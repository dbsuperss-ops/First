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thgo_kyungshin_co_kr/Documents/바탕 화면/결산/"/>
    </mc:Choice>
  </mc:AlternateContent>
  <xr:revisionPtr revIDLastSave="1" documentId="11_8320DDEF3DA9215C4B0E57FB70374FF3213696FE" xr6:coauthVersionLast="47" xr6:coauthVersionMax="47" xr10:uidLastSave="{0A81534A-A977-4601-A62B-C0FE64AD3EAA}"/>
  <bookViews>
    <workbookView xWindow="-28920" yWindow="-120" windowWidth="29040" windowHeight="17520" tabRatio="822" firstSheet="2" activeTab="5" xr2:uid="{823B20D9-BB37-4D91-92E8-1B68DD0F56E7}"/>
  </bookViews>
  <sheets>
    <sheet name="1. 경신전선 요약_PPT" sheetId="16" state="hidden" r:id="rId1"/>
    <sheet name="1. 경신전선 요약_PPT_1월임시" sheetId="17" state="hidden" r:id="rId2"/>
    <sheet name="1. 경신전선 요약" sheetId="1" r:id="rId3"/>
    <sheet name="2. 손익계산서" sheetId="2" r:id="rId4"/>
    <sheet name="2. 손익계산서 (2)" sheetId="19" state="hidden" r:id="rId5"/>
    <sheet name="3. 손익계산서 월별실적" sheetId="3" r:id="rId6"/>
    <sheet name="Sheet1" sheetId="21" state="hidden" r:id="rId7"/>
    <sheet name="Sheet2" sheetId="15" state="hidden" r:id="rId8"/>
    <sheet name="4.(전선) 구리 수율" sheetId="10" state="hidden" r:id="rId9"/>
    <sheet name="6.(전선)PA데이터_5월" sheetId="14" state="hidden" r:id="rId10"/>
    <sheet name="5. 수익성 분석 GP " sheetId="18" r:id="rId11"/>
    <sheet name="(계획)손익계산서 월별계획" sheetId="4" r:id="rId12"/>
    <sheet name="실적(1월-3월)_참조기준" sheetId="9" state="hidden" r:id="rId13"/>
  </sheets>
  <definedNames>
    <definedName name="_xlnm._FilterDatabase" localSheetId="11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9" hidden="1">'6.(전선)PA데이터_5월'!$B$3:$Q$3</definedName>
    <definedName name="_xlnm._FilterDatabase" hidden="1">#REF!</definedName>
    <definedName name="_xlnm.Criteria" localSheetId="11">#REF!</definedName>
    <definedName name="_xlnm.Criteria">#REF!</definedName>
    <definedName name="_xlnm.Database" localSheetId="11">#REF!</definedName>
    <definedName name="_xlnm.Database">#REF!</definedName>
    <definedName name="_xlnm.Extract" localSheetId="11">#REF!</definedName>
    <definedName name="_xlnm.Extract">#REF!</definedName>
    <definedName name="_xlnm.Print_Area" localSheetId="11">#REF!</definedName>
    <definedName name="_xlnm.Print_Area" localSheetId="2">'1. 경신전선 요약'!$A$1:$Q$87</definedName>
    <definedName name="_xlnm.Print_Area" localSheetId="0">'1. 경신전선 요약_PPT'!$A$1:$P$50</definedName>
    <definedName name="_xlnm.Print_Area" localSheetId="1">'1. 경신전선 요약_PPT_1월임시'!$A$1:$P$50</definedName>
    <definedName name="_xlnm.Print_Area">#REF!</definedName>
    <definedName name="_xlnm.Print_Titles" localSheetId="11">#REF!</definedName>
    <definedName name="_xlnm.Print_Titles">#REF!,#REF!</definedName>
    <definedName name="_xlnm.Recor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1" l="1"/>
  <c r="F15" i="21"/>
  <c r="F14" i="21"/>
  <c r="E14" i="21" s="1"/>
  <c r="E15" i="21"/>
  <c r="E13" i="21"/>
  <c r="G16" i="21"/>
  <c r="G10" i="21"/>
  <c r="G9" i="21"/>
  <c r="G7" i="21"/>
  <c r="G8" i="21"/>
  <c r="F10" i="21"/>
  <c r="E10" i="21"/>
  <c r="AA85" i="3"/>
  <c r="Z85" i="3"/>
  <c r="F16" i="21" l="1"/>
  <c r="E16" i="21" s="1"/>
  <c r="Z92" i="3"/>
  <c r="Z78" i="3" s="1"/>
  <c r="Z91" i="3"/>
  <c r="Z90" i="3"/>
  <c r="Z89" i="3"/>
  <c r="Z88" i="3"/>
  <c r="Z87" i="3"/>
  <c r="Z86" i="3"/>
  <c r="K17" i="18"/>
  <c r="J17" i="18"/>
  <c r="H17" i="18"/>
  <c r="G17" i="18"/>
  <c r="E17" i="18"/>
  <c r="D17" i="18"/>
  <c r="F17" i="18" s="1"/>
  <c r="C17" i="18"/>
  <c r="L17" i="18" s="1"/>
  <c r="I17" i="18" l="1"/>
  <c r="AA84" i="3" l="1"/>
  <c r="Z84" i="3"/>
  <c r="T78" i="3" l="1"/>
  <c r="V88" i="3" s="1"/>
  <c r="W156" i="3" l="1"/>
  <c r="W155" i="3"/>
  <c r="W153" i="3"/>
  <c r="W154" i="3"/>
  <c r="H185" i="2" l="1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161" i="2"/>
  <c r="H162" i="2"/>
  <c r="H163" i="2"/>
  <c r="I14" i="1" s="1"/>
  <c r="H155" i="2"/>
  <c r="I65" i="1" s="1"/>
  <c r="H156" i="2"/>
  <c r="I66" i="1" s="1"/>
  <c r="H157" i="2"/>
  <c r="I67" i="1" s="1"/>
  <c r="H158" i="2"/>
  <c r="I68" i="1" s="1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92" i="2"/>
  <c r="H93" i="2"/>
  <c r="H80" i="2"/>
  <c r="I39" i="1" s="1"/>
  <c r="H81" i="2"/>
  <c r="I40" i="1" s="1"/>
  <c r="H82" i="2"/>
  <c r="I41" i="1" s="1"/>
  <c r="H83" i="2"/>
  <c r="I42" i="1" s="1"/>
  <c r="H84" i="2"/>
  <c r="I43" i="1" s="1"/>
  <c r="H85" i="2"/>
  <c r="I44" i="1" s="1"/>
  <c r="H86" i="2"/>
  <c r="I45" i="1" s="1"/>
  <c r="H88" i="2"/>
  <c r="I47" i="1" s="1"/>
  <c r="H89" i="2"/>
  <c r="L216" i="19"/>
  <c r="J216" i="19"/>
  <c r="H216" i="19"/>
  <c r="F216" i="19"/>
  <c r="E216" i="19"/>
  <c r="C216" i="19"/>
  <c r="L215" i="19"/>
  <c r="J215" i="19"/>
  <c r="H215" i="19"/>
  <c r="F215" i="19"/>
  <c r="E215" i="19"/>
  <c r="C215" i="19"/>
  <c r="L214" i="19"/>
  <c r="J214" i="19"/>
  <c r="H214" i="19"/>
  <c r="F214" i="19"/>
  <c r="E214" i="19"/>
  <c r="C214" i="19"/>
  <c r="L213" i="19"/>
  <c r="J213" i="19"/>
  <c r="H213" i="19"/>
  <c r="F213" i="19"/>
  <c r="E213" i="19"/>
  <c r="C213" i="19"/>
  <c r="L212" i="19"/>
  <c r="J212" i="19"/>
  <c r="H212" i="19"/>
  <c r="F212" i="19"/>
  <c r="E212" i="19"/>
  <c r="C212" i="19"/>
  <c r="L211" i="19"/>
  <c r="J211" i="19"/>
  <c r="H211" i="19"/>
  <c r="F211" i="19"/>
  <c r="E211" i="19"/>
  <c r="C211" i="19"/>
  <c r="L210" i="19"/>
  <c r="J210" i="19"/>
  <c r="H210" i="19"/>
  <c r="F210" i="19"/>
  <c r="E210" i="19"/>
  <c r="C210" i="19"/>
  <c r="L209" i="19"/>
  <c r="J209" i="19"/>
  <c r="H209" i="19"/>
  <c r="F209" i="19"/>
  <c r="E209" i="19"/>
  <c r="C209" i="19"/>
  <c r="L208" i="19"/>
  <c r="J208" i="19"/>
  <c r="H208" i="19"/>
  <c r="F208" i="19"/>
  <c r="E208" i="19"/>
  <c r="C208" i="19"/>
  <c r="L207" i="19"/>
  <c r="J207" i="19"/>
  <c r="H207" i="19"/>
  <c r="F207" i="19"/>
  <c r="E207" i="19"/>
  <c r="C207" i="19"/>
  <c r="L206" i="19"/>
  <c r="J206" i="19"/>
  <c r="H206" i="19"/>
  <c r="F206" i="19"/>
  <c r="E206" i="19"/>
  <c r="C206" i="19"/>
  <c r="L205" i="19"/>
  <c r="J205" i="19"/>
  <c r="H205" i="19"/>
  <c r="F205" i="19"/>
  <c r="E205" i="19"/>
  <c r="C205" i="19"/>
  <c r="L204" i="19"/>
  <c r="J204" i="19"/>
  <c r="H204" i="19"/>
  <c r="F204" i="19"/>
  <c r="E204" i="19"/>
  <c r="C204" i="19"/>
  <c r="L203" i="19"/>
  <c r="J203" i="19"/>
  <c r="H203" i="19"/>
  <c r="F203" i="19"/>
  <c r="D203" i="19" s="1"/>
  <c r="E203" i="19"/>
  <c r="C203" i="19"/>
  <c r="L199" i="19"/>
  <c r="J199" i="19"/>
  <c r="H199" i="19"/>
  <c r="F199" i="19"/>
  <c r="E199" i="19"/>
  <c r="C199" i="19"/>
  <c r="L198" i="19"/>
  <c r="J198" i="19"/>
  <c r="H198" i="19"/>
  <c r="F198" i="19"/>
  <c r="E198" i="19"/>
  <c r="C198" i="19"/>
  <c r="L197" i="19"/>
  <c r="J197" i="19"/>
  <c r="H197" i="19"/>
  <c r="F197" i="19"/>
  <c r="E197" i="19"/>
  <c r="C197" i="19"/>
  <c r="L196" i="19"/>
  <c r="J196" i="19"/>
  <c r="H196" i="19"/>
  <c r="F196" i="19"/>
  <c r="E196" i="19"/>
  <c r="C196" i="19"/>
  <c r="L195" i="19"/>
  <c r="J195" i="19"/>
  <c r="H195" i="19"/>
  <c r="F195" i="19"/>
  <c r="E195" i="19"/>
  <c r="C195" i="19"/>
  <c r="L194" i="19"/>
  <c r="J194" i="19"/>
  <c r="H194" i="19"/>
  <c r="F194" i="19"/>
  <c r="E194" i="19"/>
  <c r="C194" i="19"/>
  <c r="L193" i="19"/>
  <c r="J193" i="19"/>
  <c r="H193" i="19"/>
  <c r="F193" i="19"/>
  <c r="E193" i="19"/>
  <c r="C193" i="19"/>
  <c r="L192" i="19"/>
  <c r="J192" i="19"/>
  <c r="H192" i="19"/>
  <c r="F192" i="19"/>
  <c r="E192" i="19"/>
  <c r="C192" i="19"/>
  <c r="L191" i="19"/>
  <c r="J191" i="19"/>
  <c r="H191" i="19"/>
  <c r="F191" i="19"/>
  <c r="E191" i="19"/>
  <c r="C191" i="19"/>
  <c r="L190" i="19"/>
  <c r="J190" i="19"/>
  <c r="H190" i="19"/>
  <c r="F190" i="19"/>
  <c r="E190" i="19"/>
  <c r="C190" i="19"/>
  <c r="L189" i="19"/>
  <c r="J189" i="19"/>
  <c r="H189" i="19"/>
  <c r="F189" i="19"/>
  <c r="E189" i="19"/>
  <c r="C189" i="19"/>
  <c r="L188" i="19"/>
  <c r="J188" i="19"/>
  <c r="H188" i="19"/>
  <c r="F188" i="19"/>
  <c r="E188" i="19"/>
  <c r="C188" i="19"/>
  <c r="L187" i="19"/>
  <c r="J187" i="19"/>
  <c r="H187" i="19"/>
  <c r="F187" i="19"/>
  <c r="E187" i="19"/>
  <c r="C187" i="19"/>
  <c r="L186" i="19"/>
  <c r="J186" i="19"/>
  <c r="H186" i="19"/>
  <c r="F186" i="19"/>
  <c r="E186" i="19"/>
  <c r="C186" i="19"/>
  <c r="L185" i="19"/>
  <c r="J185" i="19"/>
  <c r="H185" i="19"/>
  <c r="F185" i="19"/>
  <c r="D185" i="19" s="1"/>
  <c r="E185" i="19"/>
  <c r="C185" i="19"/>
  <c r="L182" i="19"/>
  <c r="J182" i="19"/>
  <c r="H182" i="19"/>
  <c r="F182" i="19"/>
  <c r="E182" i="19"/>
  <c r="C182" i="19"/>
  <c r="L181" i="19"/>
  <c r="J181" i="19"/>
  <c r="H181" i="19"/>
  <c r="F181" i="19"/>
  <c r="E181" i="19"/>
  <c r="C181" i="19"/>
  <c r="L180" i="19"/>
  <c r="J180" i="19"/>
  <c r="H180" i="19"/>
  <c r="F180" i="19"/>
  <c r="E180" i="19"/>
  <c r="C180" i="19"/>
  <c r="L179" i="19"/>
  <c r="J179" i="19"/>
  <c r="H179" i="19"/>
  <c r="F179" i="19"/>
  <c r="E179" i="19"/>
  <c r="C179" i="19"/>
  <c r="L178" i="19"/>
  <c r="J178" i="19"/>
  <c r="H178" i="19"/>
  <c r="F178" i="19"/>
  <c r="E178" i="19"/>
  <c r="C178" i="19"/>
  <c r="L177" i="19"/>
  <c r="J177" i="19"/>
  <c r="H177" i="19"/>
  <c r="F177" i="19"/>
  <c r="E177" i="19"/>
  <c r="C177" i="19"/>
  <c r="L176" i="19"/>
  <c r="J176" i="19"/>
  <c r="H176" i="19"/>
  <c r="F176" i="19"/>
  <c r="E176" i="19"/>
  <c r="C176" i="19"/>
  <c r="L175" i="19"/>
  <c r="J175" i="19"/>
  <c r="H175" i="19"/>
  <c r="F175" i="19"/>
  <c r="E175" i="19"/>
  <c r="C175" i="19"/>
  <c r="L174" i="19"/>
  <c r="J174" i="19"/>
  <c r="H174" i="19"/>
  <c r="F174" i="19"/>
  <c r="E174" i="19"/>
  <c r="C174" i="19"/>
  <c r="L173" i="19"/>
  <c r="J173" i="19"/>
  <c r="H173" i="19"/>
  <c r="F173" i="19"/>
  <c r="E173" i="19"/>
  <c r="C173" i="19"/>
  <c r="L172" i="19"/>
  <c r="J172" i="19"/>
  <c r="H172" i="19"/>
  <c r="F172" i="19"/>
  <c r="E172" i="19"/>
  <c r="C172" i="19"/>
  <c r="L171" i="19"/>
  <c r="J171" i="19"/>
  <c r="H171" i="19"/>
  <c r="F171" i="19"/>
  <c r="E171" i="19"/>
  <c r="C171" i="19"/>
  <c r="L170" i="19"/>
  <c r="J170" i="19"/>
  <c r="H170" i="19"/>
  <c r="F170" i="19"/>
  <c r="E170" i="19"/>
  <c r="C170" i="19"/>
  <c r="L169" i="19"/>
  <c r="J169" i="19"/>
  <c r="H169" i="19"/>
  <c r="F169" i="19"/>
  <c r="E169" i="19"/>
  <c r="C169" i="19"/>
  <c r="L163" i="19"/>
  <c r="J163" i="19"/>
  <c r="H163" i="19"/>
  <c r="F163" i="19"/>
  <c r="E163" i="19"/>
  <c r="C163" i="19"/>
  <c r="L162" i="19"/>
  <c r="J162" i="19"/>
  <c r="H162" i="19"/>
  <c r="F162" i="19"/>
  <c r="E162" i="19"/>
  <c r="C162" i="19"/>
  <c r="L161" i="19"/>
  <c r="J161" i="19"/>
  <c r="H161" i="19"/>
  <c r="F161" i="19"/>
  <c r="D161" i="19" s="1"/>
  <c r="E161" i="19"/>
  <c r="C161" i="19"/>
  <c r="L158" i="19"/>
  <c r="J158" i="19"/>
  <c r="H158" i="19"/>
  <c r="F158" i="19"/>
  <c r="E158" i="19"/>
  <c r="C158" i="19"/>
  <c r="L157" i="19"/>
  <c r="J157" i="19"/>
  <c r="H157" i="19"/>
  <c r="F157" i="19"/>
  <c r="E157" i="19"/>
  <c r="C157" i="19"/>
  <c r="L156" i="19"/>
  <c r="J156" i="19"/>
  <c r="H156" i="19"/>
  <c r="F156" i="19"/>
  <c r="E156" i="19"/>
  <c r="C156" i="19"/>
  <c r="L155" i="19"/>
  <c r="J155" i="19"/>
  <c r="H155" i="19"/>
  <c r="F155" i="19"/>
  <c r="E155" i="19"/>
  <c r="C155" i="19"/>
  <c r="L147" i="19"/>
  <c r="J147" i="19"/>
  <c r="H147" i="19"/>
  <c r="F147" i="19"/>
  <c r="E147" i="19"/>
  <c r="C147" i="19"/>
  <c r="L146" i="19"/>
  <c r="J146" i="19"/>
  <c r="H146" i="19"/>
  <c r="F146" i="19"/>
  <c r="E146" i="19"/>
  <c r="C146" i="19"/>
  <c r="L145" i="19"/>
  <c r="J145" i="19"/>
  <c r="H145" i="19"/>
  <c r="F145" i="19"/>
  <c r="E145" i="19"/>
  <c r="C145" i="19"/>
  <c r="L144" i="19"/>
  <c r="J144" i="19"/>
  <c r="H144" i="19"/>
  <c r="F144" i="19"/>
  <c r="E144" i="19"/>
  <c r="C144" i="19"/>
  <c r="L143" i="19"/>
  <c r="J143" i="19"/>
  <c r="H143" i="19"/>
  <c r="F143" i="19"/>
  <c r="E143" i="19"/>
  <c r="C143" i="19"/>
  <c r="L142" i="19"/>
  <c r="J142" i="19"/>
  <c r="H142" i="19"/>
  <c r="F142" i="19"/>
  <c r="E142" i="19"/>
  <c r="C142" i="19"/>
  <c r="L141" i="19"/>
  <c r="J141" i="19"/>
  <c r="H141" i="19"/>
  <c r="F141" i="19"/>
  <c r="E141" i="19"/>
  <c r="C141" i="19"/>
  <c r="L140" i="19"/>
  <c r="J140" i="19"/>
  <c r="H140" i="19"/>
  <c r="F140" i="19"/>
  <c r="E140" i="19"/>
  <c r="C140" i="19"/>
  <c r="L139" i="19"/>
  <c r="J139" i="19"/>
  <c r="H139" i="19"/>
  <c r="F139" i="19"/>
  <c r="E139" i="19"/>
  <c r="C139" i="19"/>
  <c r="L138" i="19"/>
  <c r="J138" i="19"/>
  <c r="H138" i="19"/>
  <c r="F138" i="19"/>
  <c r="E138" i="19"/>
  <c r="C138" i="19"/>
  <c r="L137" i="19"/>
  <c r="J137" i="19"/>
  <c r="H137" i="19"/>
  <c r="F137" i="19"/>
  <c r="E137" i="19"/>
  <c r="C137" i="19"/>
  <c r="L136" i="19"/>
  <c r="J136" i="19"/>
  <c r="H136" i="19"/>
  <c r="F136" i="19"/>
  <c r="E136" i="19"/>
  <c r="C136" i="19"/>
  <c r="L135" i="19"/>
  <c r="J135" i="19"/>
  <c r="H135" i="19"/>
  <c r="F135" i="19"/>
  <c r="E135" i="19"/>
  <c r="C135" i="19"/>
  <c r="L134" i="19"/>
  <c r="J134" i="19"/>
  <c r="H134" i="19"/>
  <c r="F134" i="19"/>
  <c r="D134" i="19" s="1"/>
  <c r="E134" i="19"/>
  <c r="C134" i="19"/>
  <c r="L130" i="19"/>
  <c r="J130" i="19"/>
  <c r="H130" i="19"/>
  <c r="F130" i="19"/>
  <c r="E130" i="19"/>
  <c r="C130" i="19"/>
  <c r="L129" i="19"/>
  <c r="J129" i="19"/>
  <c r="H129" i="19"/>
  <c r="F129" i="19"/>
  <c r="E129" i="19"/>
  <c r="C129" i="19"/>
  <c r="L128" i="19"/>
  <c r="J128" i="19"/>
  <c r="H128" i="19"/>
  <c r="F128" i="19"/>
  <c r="E128" i="19"/>
  <c r="C128" i="19"/>
  <c r="L127" i="19"/>
  <c r="J127" i="19"/>
  <c r="H127" i="19"/>
  <c r="F127" i="19"/>
  <c r="E127" i="19"/>
  <c r="C127" i="19"/>
  <c r="L126" i="19"/>
  <c r="J126" i="19"/>
  <c r="H126" i="19"/>
  <c r="F126" i="19"/>
  <c r="E126" i="19"/>
  <c r="C126" i="19"/>
  <c r="L125" i="19"/>
  <c r="J125" i="19"/>
  <c r="H125" i="19"/>
  <c r="F125" i="19"/>
  <c r="E125" i="19"/>
  <c r="C125" i="19"/>
  <c r="L124" i="19"/>
  <c r="J124" i="19"/>
  <c r="H124" i="19"/>
  <c r="F124" i="19"/>
  <c r="E124" i="19"/>
  <c r="C124" i="19"/>
  <c r="L123" i="19"/>
  <c r="J123" i="19"/>
  <c r="H123" i="19"/>
  <c r="F123" i="19"/>
  <c r="E123" i="19"/>
  <c r="C123" i="19"/>
  <c r="L122" i="19"/>
  <c r="J122" i="19"/>
  <c r="H122" i="19"/>
  <c r="F122" i="19"/>
  <c r="E122" i="19"/>
  <c r="C122" i="19"/>
  <c r="L121" i="19"/>
  <c r="J121" i="19"/>
  <c r="H121" i="19"/>
  <c r="F121" i="19"/>
  <c r="E121" i="19"/>
  <c r="C121" i="19"/>
  <c r="L120" i="19"/>
  <c r="J120" i="19"/>
  <c r="H120" i="19"/>
  <c r="F120" i="19"/>
  <c r="E120" i="19"/>
  <c r="C120" i="19"/>
  <c r="L119" i="19"/>
  <c r="J119" i="19"/>
  <c r="H119" i="19"/>
  <c r="F119" i="19"/>
  <c r="E119" i="19"/>
  <c r="C119" i="19"/>
  <c r="L118" i="19"/>
  <c r="J118" i="19"/>
  <c r="H118" i="19"/>
  <c r="F118" i="19"/>
  <c r="E118" i="19"/>
  <c r="C118" i="19"/>
  <c r="L117" i="19"/>
  <c r="J117" i="19"/>
  <c r="H117" i="19"/>
  <c r="F117" i="19"/>
  <c r="E117" i="19"/>
  <c r="C117" i="19"/>
  <c r="L116" i="19"/>
  <c r="J116" i="19"/>
  <c r="H116" i="19"/>
  <c r="F116" i="19"/>
  <c r="D116" i="19" s="1"/>
  <c r="E116" i="19"/>
  <c r="C116" i="19"/>
  <c r="L113" i="19"/>
  <c r="J113" i="19"/>
  <c r="H113" i="19"/>
  <c r="F113" i="19"/>
  <c r="E113" i="19"/>
  <c r="C113" i="19"/>
  <c r="L112" i="19"/>
  <c r="J112" i="19"/>
  <c r="H112" i="19"/>
  <c r="F112" i="19"/>
  <c r="E112" i="19"/>
  <c r="C112" i="19"/>
  <c r="L111" i="19"/>
  <c r="J111" i="19"/>
  <c r="H111" i="19"/>
  <c r="F111" i="19"/>
  <c r="E111" i="19"/>
  <c r="C111" i="19"/>
  <c r="L110" i="19"/>
  <c r="J110" i="19"/>
  <c r="H110" i="19"/>
  <c r="F110" i="19"/>
  <c r="E110" i="19"/>
  <c r="C110" i="19"/>
  <c r="L109" i="19"/>
  <c r="J109" i="19"/>
  <c r="H109" i="19"/>
  <c r="F109" i="19"/>
  <c r="E109" i="19"/>
  <c r="C109" i="19"/>
  <c r="L108" i="19"/>
  <c r="J108" i="19"/>
  <c r="H108" i="19"/>
  <c r="F108" i="19"/>
  <c r="E108" i="19"/>
  <c r="C108" i="19"/>
  <c r="L107" i="19"/>
  <c r="J107" i="19"/>
  <c r="H107" i="19"/>
  <c r="F107" i="19"/>
  <c r="E107" i="19"/>
  <c r="C107" i="19"/>
  <c r="L106" i="19"/>
  <c r="J106" i="19"/>
  <c r="H106" i="19"/>
  <c r="F106" i="19"/>
  <c r="E106" i="19"/>
  <c r="C106" i="19"/>
  <c r="L105" i="19"/>
  <c r="J105" i="19"/>
  <c r="H105" i="19"/>
  <c r="F105" i="19"/>
  <c r="E105" i="19"/>
  <c r="C105" i="19"/>
  <c r="L104" i="19"/>
  <c r="J104" i="19"/>
  <c r="H104" i="19"/>
  <c r="F104" i="19"/>
  <c r="E104" i="19"/>
  <c r="C104" i="19"/>
  <c r="L103" i="19"/>
  <c r="J103" i="19"/>
  <c r="H103" i="19"/>
  <c r="F103" i="19"/>
  <c r="E103" i="19"/>
  <c r="C103" i="19"/>
  <c r="L102" i="19"/>
  <c r="J102" i="19"/>
  <c r="H102" i="19"/>
  <c r="F102" i="19"/>
  <c r="E102" i="19"/>
  <c r="C102" i="19"/>
  <c r="L101" i="19"/>
  <c r="J101" i="19"/>
  <c r="H101" i="19"/>
  <c r="F101" i="19"/>
  <c r="E101" i="19"/>
  <c r="C101" i="19"/>
  <c r="L100" i="19"/>
  <c r="J100" i="19"/>
  <c r="H100" i="19"/>
  <c r="F100" i="19"/>
  <c r="E100" i="19"/>
  <c r="C100" i="19"/>
  <c r="L94" i="19"/>
  <c r="J94" i="19"/>
  <c r="H94" i="19"/>
  <c r="F94" i="19"/>
  <c r="E94" i="19"/>
  <c r="C94" i="19"/>
  <c r="L93" i="19"/>
  <c r="J93" i="19"/>
  <c r="H93" i="19"/>
  <c r="F93" i="19"/>
  <c r="E93" i="19"/>
  <c r="C93" i="19"/>
  <c r="L92" i="19"/>
  <c r="J92" i="19"/>
  <c r="H92" i="19"/>
  <c r="F92" i="19"/>
  <c r="E92" i="19"/>
  <c r="C92" i="19"/>
  <c r="M89" i="19"/>
  <c r="L89" i="19"/>
  <c r="J89" i="19"/>
  <c r="H89" i="19"/>
  <c r="F89" i="19"/>
  <c r="E89" i="19"/>
  <c r="C89" i="19"/>
  <c r="M88" i="19"/>
  <c r="L88" i="19"/>
  <c r="J88" i="19"/>
  <c r="H88" i="19"/>
  <c r="F88" i="19"/>
  <c r="E88" i="19"/>
  <c r="C88" i="19"/>
  <c r="M87" i="19"/>
  <c r="L87" i="19"/>
  <c r="J87" i="19"/>
  <c r="H87" i="19"/>
  <c r="F87" i="19"/>
  <c r="E87" i="19"/>
  <c r="C87" i="19"/>
  <c r="M86" i="19"/>
  <c r="L86" i="19"/>
  <c r="J86" i="19"/>
  <c r="H86" i="19"/>
  <c r="F86" i="19"/>
  <c r="E86" i="19"/>
  <c r="C86" i="19"/>
  <c r="M85" i="19"/>
  <c r="L85" i="19"/>
  <c r="J85" i="19"/>
  <c r="H85" i="19"/>
  <c r="F85" i="19"/>
  <c r="E85" i="19"/>
  <c r="C85" i="19"/>
  <c r="M84" i="19"/>
  <c r="L84" i="19"/>
  <c r="J84" i="19"/>
  <c r="H84" i="19"/>
  <c r="F84" i="19"/>
  <c r="E84" i="19"/>
  <c r="C84" i="19"/>
  <c r="M83" i="19"/>
  <c r="L83" i="19"/>
  <c r="J83" i="19"/>
  <c r="H83" i="19"/>
  <c r="F83" i="19"/>
  <c r="E83" i="19"/>
  <c r="C83" i="19"/>
  <c r="M82" i="19"/>
  <c r="L82" i="19"/>
  <c r="J82" i="19"/>
  <c r="H82" i="19"/>
  <c r="F82" i="19"/>
  <c r="E82" i="19"/>
  <c r="C82" i="19"/>
  <c r="M81" i="19"/>
  <c r="L81" i="19"/>
  <c r="J81" i="19"/>
  <c r="H81" i="19"/>
  <c r="F81" i="19"/>
  <c r="E81" i="19"/>
  <c r="C81" i="19"/>
  <c r="C79" i="19" s="1"/>
  <c r="M80" i="19"/>
  <c r="L80" i="19"/>
  <c r="J80" i="19"/>
  <c r="H80" i="19"/>
  <c r="F80" i="19"/>
  <c r="D80" i="19" s="1"/>
  <c r="E80" i="19"/>
  <c r="C80" i="19"/>
  <c r="L67" i="19"/>
  <c r="J67" i="19"/>
  <c r="H67" i="19"/>
  <c r="F67" i="19"/>
  <c r="E67" i="19"/>
  <c r="C67" i="19"/>
  <c r="L66" i="19"/>
  <c r="J66" i="19"/>
  <c r="H66" i="19"/>
  <c r="F66" i="19"/>
  <c r="E66" i="19"/>
  <c r="C66" i="19"/>
  <c r="L65" i="19"/>
  <c r="J65" i="19"/>
  <c r="H65" i="19"/>
  <c r="F65" i="19"/>
  <c r="E65" i="19"/>
  <c r="C65" i="19"/>
  <c r="L64" i="19"/>
  <c r="J64" i="19"/>
  <c r="H64" i="19"/>
  <c r="F64" i="19"/>
  <c r="E64" i="19"/>
  <c r="C64" i="19"/>
  <c r="L63" i="19"/>
  <c r="J63" i="19"/>
  <c r="H63" i="19"/>
  <c r="F63" i="19"/>
  <c r="E63" i="19"/>
  <c r="C63" i="19"/>
  <c r="L62" i="19"/>
  <c r="J62" i="19"/>
  <c r="H62" i="19"/>
  <c r="F62" i="19"/>
  <c r="E62" i="19"/>
  <c r="C62" i="19"/>
  <c r="L61" i="19"/>
  <c r="J61" i="19"/>
  <c r="H61" i="19"/>
  <c r="F61" i="19"/>
  <c r="E61" i="19"/>
  <c r="C61" i="19"/>
  <c r="L60" i="19"/>
  <c r="J60" i="19"/>
  <c r="H60" i="19"/>
  <c r="F60" i="19"/>
  <c r="E60" i="19"/>
  <c r="C60" i="19"/>
  <c r="L59" i="19"/>
  <c r="J59" i="19"/>
  <c r="H59" i="19"/>
  <c r="F59" i="19"/>
  <c r="E59" i="19"/>
  <c r="C59" i="19"/>
  <c r="L58" i="19"/>
  <c r="J58" i="19"/>
  <c r="H58" i="19"/>
  <c r="F58" i="19"/>
  <c r="E58" i="19"/>
  <c r="C58" i="19"/>
  <c r="L57" i="19"/>
  <c r="J57" i="19"/>
  <c r="H57" i="19"/>
  <c r="F57" i="19"/>
  <c r="E57" i="19"/>
  <c r="C57" i="19"/>
  <c r="L56" i="19"/>
  <c r="J56" i="19"/>
  <c r="H56" i="19"/>
  <c r="F56" i="19"/>
  <c r="E56" i="19"/>
  <c r="C56" i="19"/>
  <c r="L55" i="19"/>
  <c r="J55" i="19"/>
  <c r="H55" i="19"/>
  <c r="F55" i="19"/>
  <c r="E55" i="19"/>
  <c r="C55" i="19"/>
  <c r="L54" i="19"/>
  <c r="J54" i="19"/>
  <c r="H54" i="19"/>
  <c r="F54" i="19"/>
  <c r="D54" i="19" s="1"/>
  <c r="E54" i="19"/>
  <c r="C54" i="19"/>
  <c r="L50" i="19"/>
  <c r="J50" i="19"/>
  <c r="H50" i="19"/>
  <c r="F50" i="19"/>
  <c r="E50" i="19"/>
  <c r="C50" i="19"/>
  <c r="L49" i="19"/>
  <c r="J49" i="19"/>
  <c r="H49" i="19"/>
  <c r="F49" i="19"/>
  <c r="E49" i="19"/>
  <c r="C49" i="19"/>
  <c r="L48" i="19"/>
  <c r="J48" i="19"/>
  <c r="H48" i="19"/>
  <c r="F48" i="19"/>
  <c r="E48" i="19"/>
  <c r="C48" i="19"/>
  <c r="L47" i="19"/>
  <c r="J47" i="19"/>
  <c r="H47" i="19"/>
  <c r="F47" i="19"/>
  <c r="E47" i="19"/>
  <c r="C47" i="19"/>
  <c r="L46" i="19"/>
  <c r="J46" i="19"/>
  <c r="H46" i="19"/>
  <c r="F46" i="19"/>
  <c r="E46" i="19"/>
  <c r="C46" i="19"/>
  <c r="L45" i="19"/>
  <c r="J45" i="19"/>
  <c r="H45" i="19"/>
  <c r="F45" i="19"/>
  <c r="E45" i="19"/>
  <c r="C45" i="19"/>
  <c r="L44" i="19"/>
  <c r="J44" i="19"/>
  <c r="H44" i="19"/>
  <c r="F44" i="19"/>
  <c r="E44" i="19"/>
  <c r="C44" i="19"/>
  <c r="L43" i="19"/>
  <c r="J43" i="19"/>
  <c r="H43" i="19"/>
  <c r="F43" i="19"/>
  <c r="E43" i="19"/>
  <c r="C43" i="19"/>
  <c r="L42" i="19"/>
  <c r="J42" i="19"/>
  <c r="H42" i="19"/>
  <c r="F42" i="19"/>
  <c r="E42" i="19"/>
  <c r="C42" i="19"/>
  <c r="L41" i="19"/>
  <c r="J41" i="19"/>
  <c r="H41" i="19"/>
  <c r="F41" i="19"/>
  <c r="E41" i="19"/>
  <c r="C41" i="19"/>
  <c r="L40" i="19"/>
  <c r="J40" i="19"/>
  <c r="H40" i="19"/>
  <c r="F40" i="19"/>
  <c r="E40" i="19"/>
  <c r="C40" i="19"/>
  <c r="L39" i="19"/>
  <c r="J39" i="19"/>
  <c r="H39" i="19"/>
  <c r="F39" i="19"/>
  <c r="E39" i="19"/>
  <c r="C39" i="19"/>
  <c r="L38" i="19"/>
  <c r="J38" i="19"/>
  <c r="H38" i="19"/>
  <c r="F38" i="19"/>
  <c r="E38" i="19"/>
  <c r="C38" i="19"/>
  <c r="L37" i="19"/>
  <c r="J37" i="19"/>
  <c r="H37" i="19"/>
  <c r="F37" i="19"/>
  <c r="E37" i="19"/>
  <c r="C37" i="19"/>
  <c r="L36" i="19"/>
  <c r="J36" i="19"/>
  <c r="H36" i="19"/>
  <c r="F36" i="19"/>
  <c r="E36" i="19"/>
  <c r="C36" i="19"/>
  <c r="L33" i="19"/>
  <c r="J33" i="19"/>
  <c r="H33" i="19"/>
  <c r="F33" i="19"/>
  <c r="E33" i="19"/>
  <c r="C33" i="19"/>
  <c r="L32" i="19"/>
  <c r="J32" i="19"/>
  <c r="H32" i="19"/>
  <c r="F32" i="19"/>
  <c r="E32" i="19"/>
  <c r="C32" i="19"/>
  <c r="L31" i="19"/>
  <c r="J31" i="19"/>
  <c r="H31" i="19"/>
  <c r="F31" i="19"/>
  <c r="E31" i="19"/>
  <c r="C31" i="19"/>
  <c r="L30" i="19"/>
  <c r="J30" i="19"/>
  <c r="H30" i="19"/>
  <c r="F30" i="19"/>
  <c r="E30" i="19"/>
  <c r="C30" i="19"/>
  <c r="L29" i="19"/>
  <c r="J29" i="19"/>
  <c r="H29" i="19"/>
  <c r="F29" i="19"/>
  <c r="E29" i="19"/>
  <c r="C29" i="19"/>
  <c r="L28" i="19"/>
  <c r="J28" i="19"/>
  <c r="H28" i="19"/>
  <c r="F28" i="19"/>
  <c r="E28" i="19"/>
  <c r="C28" i="19"/>
  <c r="L27" i="19"/>
  <c r="J27" i="19"/>
  <c r="H27" i="19"/>
  <c r="F27" i="19"/>
  <c r="E27" i="19"/>
  <c r="C27" i="19"/>
  <c r="L26" i="19"/>
  <c r="J26" i="19"/>
  <c r="H26" i="19"/>
  <c r="F26" i="19"/>
  <c r="E26" i="19"/>
  <c r="C26" i="19"/>
  <c r="L25" i="19"/>
  <c r="J25" i="19"/>
  <c r="H25" i="19"/>
  <c r="F25" i="19"/>
  <c r="E25" i="19"/>
  <c r="C25" i="19"/>
  <c r="L24" i="19"/>
  <c r="J24" i="19"/>
  <c r="H24" i="19"/>
  <c r="F24" i="19"/>
  <c r="E24" i="19"/>
  <c r="C24" i="19"/>
  <c r="L23" i="19"/>
  <c r="J23" i="19"/>
  <c r="H23" i="19"/>
  <c r="F23" i="19"/>
  <c r="E23" i="19"/>
  <c r="C23" i="19"/>
  <c r="L22" i="19"/>
  <c r="J22" i="19"/>
  <c r="H22" i="19"/>
  <c r="F22" i="19"/>
  <c r="E22" i="19"/>
  <c r="C22" i="19"/>
  <c r="L21" i="19"/>
  <c r="J21" i="19"/>
  <c r="H21" i="19"/>
  <c r="F21" i="19"/>
  <c r="E21" i="19"/>
  <c r="C21" i="19"/>
  <c r="L20" i="19"/>
  <c r="J20" i="19"/>
  <c r="H20" i="19"/>
  <c r="F20" i="19"/>
  <c r="E20" i="19"/>
  <c r="C20" i="19"/>
  <c r="J14" i="19"/>
  <c r="H14" i="19"/>
  <c r="E14" i="19"/>
  <c r="C14" i="19"/>
  <c r="L13" i="19"/>
  <c r="J13" i="19"/>
  <c r="H13" i="19"/>
  <c r="F13" i="19"/>
  <c r="E13" i="19"/>
  <c r="C13" i="19"/>
  <c r="L12" i="19"/>
  <c r="J12" i="19"/>
  <c r="H12" i="19"/>
  <c r="F12" i="19"/>
  <c r="E12" i="19"/>
  <c r="C12" i="19"/>
  <c r="U11" i="19"/>
  <c r="S11" i="19"/>
  <c r="L9" i="19"/>
  <c r="J9" i="19"/>
  <c r="H9" i="19"/>
  <c r="F9" i="19"/>
  <c r="E9" i="19"/>
  <c r="C9" i="19"/>
  <c r="L8" i="19"/>
  <c r="J8" i="19"/>
  <c r="H8" i="19"/>
  <c r="F8" i="19"/>
  <c r="E8" i="19"/>
  <c r="C8" i="19"/>
  <c r="L7" i="19"/>
  <c r="J7" i="19"/>
  <c r="H7" i="19"/>
  <c r="F7" i="19"/>
  <c r="E7" i="19"/>
  <c r="C7" i="19"/>
  <c r="J21" i="17"/>
  <c r="J29" i="17"/>
  <c r="J32" i="17"/>
  <c r="J59" i="17"/>
  <c r="J97" i="17"/>
  <c r="J91" i="17"/>
  <c r="J88" i="17"/>
  <c r="D139" i="19" l="1"/>
  <c r="D147" i="19"/>
  <c r="D162" i="19"/>
  <c r="D175" i="19"/>
  <c r="D181" i="19"/>
  <c r="D37" i="19"/>
  <c r="D56" i="19"/>
  <c r="C11" i="19"/>
  <c r="Y11" i="19" s="1"/>
  <c r="C154" i="19"/>
  <c r="D55" i="19"/>
  <c r="D67" i="19"/>
  <c r="D86" i="19"/>
  <c r="D125" i="19"/>
  <c r="C53" i="19"/>
  <c r="C91" i="19"/>
  <c r="Y91" i="19" s="1"/>
  <c r="D110" i="19"/>
  <c r="D8" i="19"/>
  <c r="D28" i="19"/>
  <c r="D46" i="19"/>
  <c r="D50" i="19"/>
  <c r="D101" i="19"/>
  <c r="D105" i="19"/>
  <c r="D109" i="19"/>
  <c r="D113" i="19"/>
  <c r="D119" i="19"/>
  <c r="C160" i="19"/>
  <c r="Y160" i="19" s="1"/>
  <c r="D208" i="19"/>
  <c r="D63" i="19"/>
  <c r="D129" i="19"/>
  <c r="D44" i="19"/>
  <c r="D103" i="19"/>
  <c r="D140" i="19"/>
  <c r="D9" i="19"/>
  <c r="D43" i="19"/>
  <c r="D62" i="19"/>
  <c r="D66" i="19"/>
  <c r="D84" i="19"/>
  <c r="D174" i="19"/>
  <c r="D182" i="19"/>
  <c r="D192" i="19"/>
  <c r="D211" i="19"/>
  <c r="D61" i="19"/>
  <c r="D187" i="19"/>
  <c r="D191" i="19"/>
  <c r="D195" i="19"/>
  <c r="D210" i="19"/>
  <c r="D138" i="19"/>
  <c r="D142" i="19"/>
  <c r="C19" i="19"/>
  <c r="D41" i="19"/>
  <c r="D45" i="19"/>
  <c r="D60" i="19"/>
  <c r="D163" i="19"/>
  <c r="D180" i="19"/>
  <c r="C184" i="19"/>
  <c r="D186" i="19"/>
  <c r="D194" i="19"/>
  <c r="D209" i="19"/>
  <c r="D87" i="19"/>
  <c r="D108" i="19"/>
  <c r="C99" i="19"/>
  <c r="D122" i="19"/>
  <c r="D141" i="19"/>
  <c r="G192" i="19"/>
  <c r="O135" i="19"/>
  <c r="O147" i="19"/>
  <c r="G185" i="19"/>
  <c r="N206" i="19"/>
  <c r="G109" i="19"/>
  <c r="G199" i="19"/>
  <c r="N186" i="19"/>
  <c r="G62" i="19"/>
  <c r="O48" i="19"/>
  <c r="O87" i="19"/>
  <c r="D128" i="19"/>
  <c r="O123" i="19"/>
  <c r="N21" i="19"/>
  <c r="N48" i="19"/>
  <c r="N66" i="19"/>
  <c r="D196" i="19"/>
  <c r="O198" i="19"/>
  <c r="O214" i="19"/>
  <c r="L6" i="19"/>
  <c r="M6" i="19" s="1"/>
  <c r="G187" i="19"/>
  <c r="N63" i="19"/>
  <c r="O47" i="19"/>
  <c r="N31" i="19"/>
  <c r="N41" i="19"/>
  <c r="N190" i="19"/>
  <c r="O20" i="19"/>
  <c r="O126" i="19"/>
  <c r="O8" i="19"/>
  <c r="O177" i="19"/>
  <c r="H11" i="19"/>
  <c r="AB11" i="19" s="1"/>
  <c r="N58" i="19"/>
  <c r="E6" i="19"/>
  <c r="Z6" i="19" s="1"/>
  <c r="U8" i="19"/>
  <c r="V8" i="19" s="1"/>
  <c r="N32" i="19"/>
  <c r="G102" i="19"/>
  <c r="O158" i="19"/>
  <c r="R20" i="19"/>
  <c r="N121" i="19"/>
  <c r="G124" i="19"/>
  <c r="N191" i="19"/>
  <c r="N215" i="19"/>
  <c r="D27" i="19"/>
  <c r="G208" i="19"/>
  <c r="O28" i="19"/>
  <c r="O62" i="19"/>
  <c r="N86" i="19"/>
  <c r="N100" i="19"/>
  <c r="N127" i="19"/>
  <c r="N179" i="19"/>
  <c r="N28" i="19"/>
  <c r="D59" i="19"/>
  <c r="G81" i="19"/>
  <c r="O170" i="19"/>
  <c r="O174" i="19"/>
  <c r="D88" i="19"/>
  <c r="O107" i="19"/>
  <c r="G43" i="19"/>
  <c r="G67" i="19"/>
  <c r="G194" i="19"/>
  <c r="O130" i="19"/>
  <c r="G207" i="19"/>
  <c r="N213" i="19"/>
  <c r="N214" i="19"/>
  <c r="G25" i="19"/>
  <c r="L160" i="19"/>
  <c r="G193" i="19"/>
  <c r="N146" i="19"/>
  <c r="N194" i="19"/>
  <c r="N198" i="19"/>
  <c r="O12" i="19"/>
  <c r="F79" i="19"/>
  <c r="AA79" i="19" s="1"/>
  <c r="F91" i="19"/>
  <c r="AA91" i="19" s="1"/>
  <c r="O113" i="19"/>
  <c r="O136" i="19"/>
  <c r="N182" i="19"/>
  <c r="F6" i="19"/>
  <c r="AA6" i="19" s="1"/>
  <c r="R21" i="19"/>
  <c r="O60" i="19"/>
  <c r="H79" i="19"/>
  <c r="I86" i="19" s="1"/>
  <c r="N82" i="19"/>
  <c r="N89" i="19"/>
  <c r="N112" i="19"/>
  <c r="G126" i="19"/>
  <c r="N145" i="19"/>
  <c r="G147" i="19"/>
  <c r="G162" i="19"/>
  <c r="G172" i="19"/>
  <c r="G195" i="19"/>
  <c r="O197" i="19"/>
  <c r="E202" i="19"/>
  <c r="O213" i="19"/>
  <c r="O189" i="19"/>
  <c r="N30" i="19"/>
  <c r="O103" i="19"/>
  <c r="R64" i="19"/>
  <c r="N81" i="19"/>
  <c r="G13" i="19"/>
  <c r="R22" i="19"/>
  <c r="G85" i="19"/>
  <c r="O89" i="19"/>
  <c r="O92" i="19"/>
  <c r="O101" i="19"/>
  <c r="D107" i="19"/>
  <c r="G116" i="19"/>
  <c r="N126" i="19"/>
  <c r="O205" i="19"/>
  <c r="G209" i="19"/>
  <c r="F35" i="19"/>
  <c r="O37" i="19"/>
  <c r="D102" i="19"/>
  <c r="G107" i="19"/>
  <c r="H160" i="19"/>
  <c r="AB160" i="19" s="1"/>
  <c r="J160" i="19"/>
  <c r="AC160" i="19" s="1"/>
  <c r="N171" i="19"/>
  <c r="D193" i="19"/>
  <c r="G210" i="19"/>
  <c r="O216" i="19"/>
  <c r="S9" i="19"/>
  <c r="T9" i="19" s="1"/>
  <c r="G39" i="19"/>
  <c r="G56" i="19"/>
  <c r="Q64" i="19"/>
  <c r="D126" i="19"/>
  <c r="N137" i="19"/>
  <c r="G142" i="19"/>
  <c r="O144" i="19"/>
  <c r="N170" i="19"/>
  <c r="G186" i="19"/>
  <c r="O188" i="19"/>
  <c r="G143" i="19"/>
  <c r="N65" i="19"/>
  <c r="O81" i="19"/>
  <c r="N156" i="19"/>
  <c r="O161" i="19"/>
  <c r="N40" i="19"/>
  <c r="O23" i="19"/>
  <c r="G31" i="19"/>
  <c r="N57" i="19"/>
  <c r="N64" i="19"/>
  <c r="G110" i="19"/>
  <c r="N123" i="19"/>
  <c r="O129" i="19"/>
  <c r="O143" i="19"/>
  <c r="O155" i="19"/>
  <c r="G158" i="19"/>
  <c r="G173" i="19"/>
  <c r="G182" i="19"/>
  <c r="O212" i="19"/>
  <c r="G216" i="19"/>
  <c r="O30" i="19"/>
  <c r="F154" i="19"/>
  <c r="AA154" i="19" s="1"/>
  <c r="G179" i="19"/>
  <c r="N13" i="19"/>
  <c r="N39" i="19"/>
  <c r="Q67" i="19"/>
  <c r="G92" i="19"/>
  <c r="N94" i="19"/>
  <c r="O116" i="19"/>
  <c r="D124" i="19"/>
  <c r="N129" i="19"/>
  <c r="G141" i="19"/>
  <c r="N155" i="19"/>
  <c r="E160" i="19"/>
  <c r="Z160" i="19" s="1"/>
  <c r="O169" i="19"/>
  <c r="S20" i="19"/>
  <c r="O9" i="19"/>
  <c r="N20" i="19"/>
  <c r="O22" i="19"/>
  <c r="O26" i="19"/>
  <c r="D29" i="19"/>
  <c r="O43" i="19"/>
  <c r="G46" i="19"/>
  <c r="D49" i="19"/>
  <c r="N61" i="19"/>
  <c r="G84" i="19"/>
  <c r="O111" i="19"/>
  <c r="N113" i="19"/>
  <c r="O120" i="19"/>
  <c r="D130" i="19"/>
  <c r="G140" i="19"/>
  <c r="N169" i="19"/>
  <c r="N178" i="19"/>
  <c r="D199" i="19"/>
  <c r="N210" i="19"/>
  <c r="G106" i="19"/>
  <c r="G117" i="19"/>
  <c r="G212" i="19"/>
  <c r="N26" i="19"/>
  <c r="N93" i="19"/>
  <c r="N111" i="19"/>
  <c r="D117" i="19"/>
  <c r="G118" i="19"/>
  <c r="N120" i="19"/>
  <c r="G130" i="19"/>
  <c r="G139" i="19"/>
  <c r="D143" i="19"/>
  <c r="G171" i="19"/>
  <c r="O192" i="19"/>
  <c r="G8" i="19"/>
  <c r="N22" i="19"/>
  <c r="N23" i="19"/>
  <c r="G29" i="19"/>
  <c r="G37" i="19"/>
  <c r="N47" i="19"/>
  <c r="E53" i="19"/>
  <c r="G55" i="19"/>
  <c r="O61" i="19"/>
  <c r="G86" i="19"/>
  <c r="G87" i="19"/>
  <c r="G88" i="19"/>
  <c r="D118" i="19"/>
  <c r="O125" i="19"/>
  <c r="G129" i="19"/>
  <c r="G134" i="19"/>
  <c r="O137" i="19"/>
  <c r="N141" i="19"/>
  <c r="D158" i="19"/>
  <c r="F160" i="19"/>
  <c r="G163" i="19"/>
  <c r="D171" i="19"/>
  <c r="D172" i="19"/>
  <c r="D173" i="19"/>
  <c r="G175" i="19"/>
  <c r="O178" i="19"/>
  <c r="G180" i="19"/>
  <c r="G181" i="19"/>
  <c r="G203" i="19"/>
  <c r="O206" i="19"/>
  <c r="D212" i="19"/>
  <c r="D216" i="19"/>
  <c r="H6" i="19"/>
  <c r="I22" i="19" s="1"/>
  <c r="U9" i="19"/>
  <c r="V9" i="19" s="1"/>
  <c r="G20" i="19"/>
  <c r="O40" i="19"/>
  <c r="O58" i="19"/>
  <c r="R61" i="19"/>
  <c r="O65" i="19"/>
  <c r="N101" i="19"/>
  <c r="O145" i="19"/>
  <c r="E154" i="19"/>
  <c r="G161" i="19"/>
  <c r="D188" i="19"/>
  <c r="N12" i="19"/>
  <c r="O31" i="19"/>
  <c r="G49" i="19"/>
  <c r="O57" i="19"/>
  <c r="O122" i="19"/>
  <c r="N144" i="19"/>
  <c r="G157" i="19"/>
  <c r="O176" i="19"/>
  <c r="G188" i="19"/>
  <c r="G191" i="19"/>
  <c r="G211" i="19"/>
  <c r="D42" i="19"/>
  <c r="N87" i="19"/>
  <c r="H115" i="19"/>
  <c r="N163" i="19"/>
  <c r="O190" i="19"/>
  <c r="D85" i="19"/>
  <c r="D7" i="19"/>
  <c r="O25" i="19"/>
  <c r="N29" i="19"/>
  <c r="D33" i="19"/>
  <c r="D36" i="19"/>
  <c r="D38" i="19"/>
  <c r="D39" i="19"/>
  <c r="G59" i="19"/>
  <c r="Q61" i="19"/>
  <c r="R67" i="19"/>
  <c r="J79" i="19"/>
  <c r="K136" i="19" s="1"/>
  <c r="G101" i="19"/>
  <c r="O104" i="19"/>
  <c r="G108" i="19"/>
  <c r="G138" i="19"/>
  <c r="J154" i="19"/>
  <c r="K212" i="19" s="1"/>
  <c r="O156" i="19"/>
  <c r="N174" i="19"/>
  <c r="D176" i="19"/>
  <c r="D179" i="19"/>
  <c r="O196" i="19"/>
  <c r="D207" i="19"/>
  <c r="G33" i="19"/>
  <c r="E35" i="19"/>
  <c r="G38" i="19"/>
  <c r="G45" i="19"/>
  <c r="L133" i="19"/>
  <c r="E133" i="19"/>
  <c r="L154" i="19"/>
  <c r="M205" i="19" s="1"/>
  <c r="G204" i="19"/>
  <c r="G32" i="19"/>
  <c r="D32" i="19"/>
  <c r="O105" i="19"/>
  <c r="N105" i="19"/>
  <c r="D23" i="19"/>
  <c r="G23" i="19"/>
  <c r="O42" i="19"/>
  <c r="N42" i="19"/>
  <c r="F53" i="19"/>
  <c r="H53" i="19"/>
  <c r="F99" i="19"/>
  <c r="D100" i="19"/>
  <c r="J99" i="19"/>
  <c r="O186" i="19"/>
  <c r="N193" i="19"/>
  <c r="O193" i="19"/>
  <c r="L184" i="19"/>
  <c r="O27" i="19"/>
  <c r="O45" i="19"/>
  <c r="N45" i="19"/>
  <c r="N55" i="19"/>
  <c r="L53" i="19"/>
  <c r="O55" i="19"/>
  <c r="O63" i="19"/>
  <c r="J91" i="19"/>
  <c r="G100" i="19"/>
  <c r="G123" i="19"/>
  <c r="D123" i="19"/>
  <c r="F115" i="19"/>
  <c r="G125" i="19"/>
  <c r="O49" i="19"/>
  <c r="N49" i="19"/>
  <c r="N180" i="19"/>
  <c r="O180" i="19"/>
  <c r="E11" i="19"/>
  <c r="Z11" i="19" s="1"/>
  <c r="G61" i="19"/>
  <c r="O24" i="19"/>
  <c r="N24" i="19"/>
  <c r="L19" i="19"/>
  <c r="N37" i="19"/>
  <c r="G146" i="19"/>
  <c r="D146" i="19"/>
  <c r="D12" i="19"/>
  <c r="G12" i="19"/>
  <c r="D26" i="19"/>
  <c r="G26" i="19"/>
  <c r="S21" i="19"/>
  <c r="G28" i="19"/>
  <c r="H35" i="19"/>
  <c r="L35" i="19"/>
  <c r="N36" i="19"/>
  <c r="O36" i="19"/>
  <c r="D47" i="19"/>
  <c r="G47" i="19"/>
  <c r="D57" i="19"/>
  <c r="G57" i="19"/>
  <c r="N67" i="19"/>
  <c r="O67" i="19"/>
  <c r="S8" i="19"/>
  <c r="T8" i="19" s="1"/>
  <c r="O21" i="19"/>
  <c r="N38" i="19"/>
  <c r="O38" i="19"/>
  <c r="O59" i="19"/>
  <c r="N59" i="19"/>
  <c r="E19" i="19"/>
  <c r="O7" i="19"/>
  <c r="N7" i="19"/>
  <c r="G9" i="19"/>
  <c r="C6" i="19"/>
  <c r="H19" i="19"/>
  <c r="D30" i="19"/>
  <c r="S22" i="19"/>
  <c r="G30" i="19"/>
  <c r="O39" i="19"/>
  <c r="J35" i="19"/>
  <c r="N43" i="19"/>
  <c r="D22" i="19"/>
  <c r="J19" i="19"/>
  <c r="G22" i="19"/>
  <c r="G24" i="19"/>
  <c r="D24" i="19"/>
  <c r="D25" i="19"/>
  <c r="D31" i="19"/>
  <c r="N33" i="19"/>
  <c r="G42" i="19"/>
  <c r="O50" i="19"/>
  <c r="N50" i="19"/>
  <c r="O102" i="19"/>
  <c r="N102" i="19"/>
  <c r="L99" i="19"/>
  <c r="G41" i="19"/>
  <c r="G44" i="19"/>
  <c r="G119" i="19"/>
  <c r="N203" i="19"/>
  <c r="H202" i="19"/>
  <c r="J202" i="19"/>
  <c r="G66" i="19"/>
  <c r="N209" i="19"/>
  <c r="O209" i="19"/>
  <c r="N25" i="19"/>
  <c r="N27" i="19"/>
  <c r="O29" i="19"/>
  <c r="O33" i="19"/>
  <c r="N46" i="19"/>
  <c r="O46" i="19"/>
  <c r="J53" i="19"/>
  <c r="N56" i="19"/>
  <c r="O56" i="19"/>
  <c r="O108" i="19"/>
  <c r="N108" i="19"/>
  <c r="G169" i="19"/>
  <c r="D169" i="19"/>
  <c r="F168" i="19"/>
  <c r="O195" i="19"/>
  <c r="J184" i="19"/>
  <c r="G83" i="19"/>
  <c r="D83" i="19"/>
  <c r="O88" i="19"/>
  <c r="N88" i="19"/>
  <c r="N208" i="19"/>
  <c r="D13" i="19"/>
  <c r="G177" i="19"/>
  <c r="D177" i="19"/>
  <c r="L202" i="19"/>
  <c r="O208" i="19"/>
  <c r="Q8" i="19"/>
  <c r="J6" i="19"/>
  <c r="K28" i="19" s="1"/>
  <c r="O13" i="19"/>
  <c r="F19" i="19"/>
  <c r="D21" i="19"/>
  <c r="G21" i="19"/>
  <c r="G27" i="19"/>
  <c r="G63" i="19"/>
  <c r="G64" i="19"/>
  <c r="D64" i="19"/>
  <c r="Y79" i="19"/>
  <c r="O83" i="19"/>
  <c r="N83" i="19"/>
  <c r="D89" i="19"/>
  <c r="G89" i="19"/>
  <c r="G94" i="19"/>
  <c r="D94" i="19"/>
  <c r="G104" i="19"/>
  <c r="D104" i="19"/>
  <c r="N142" i="19"/>
  <c r="G54" i="19"/>
  <c r="G7" i="19"/>
  <c r="G36" i="19"/>
  <c r="Y154" i="19"/>
  <c r="G178" i="19"/>
  <c r="D178" i="19"/>
  <c r="J11" i="19"/>
  <c r="N8" i="19"/>
  <c r="N9" i="19"/>
  <c r="C35" i="19"/>
  <c r="D40" i="19"/>
  <c r="G40" i="19"/>
  <c r="O44" i="19"/>
  <c r="N44" i="19"/>
  <c r="G50" i="19"/>
  <c r="O54" i="19"/>
  <c r="N54" i="19"/>
  <c r="G60" i="19"/>
  <c r="G80" i="19"/>
  <c r="E79" i="19"/>
  <c r="N84" i="19"/>
  <c r="O84" i="19"/>
  <c r="N85" i="19"/>
  <c r="O85" i="19"/>
  <c r="N92" i="19"/>
  <c r="H91" i="19"/>
  <c r="D111" i="19"/>
  <c r="G111" i="19"/>
  <c r="N62" i="19"/>
  <c r="G82" i="19"/>
  <c r="D82" i="19"/>
  <c r="H99" i="19"/>
  <c r="N103" i="19"/>
  <c r="N104" i="19"/>
  <c r="N116" i="19"/>
  <c r="L115" i="19"/>
  <c r="O117" i="19"/>
  <c r="N117" i="19"/>
  <c r="O121" i="19"/>
  <c r="O128" i="19"/>
  <c r="N128" i="19"/>
  <c r="N195" i="19"/>
  <c r="D58" i="19"/>
  <c r="N60" i="19"/>
  <c r="O64" i="19"/>
  <c r="D65" i="19"/>
  <c r="O66" i="19"/>
  <c r="H133" i="19"/>
  <c r="O138" i="19"/>
  <c r="N138" i="19"/>
  <c r="O163" i="19"/>
  <c r="O194" i="19"/>
  <c r="D48" i="19"/>
  <c r="D20" i="19"/>
  <c r="O32" i="19"/>
  <c r="O41" i="19"/>
  <c r="G48" i="19"/>
  <c r="G58" i="19"/>
  <c r="G65" i="19"/>
  <c r="O112" i="19"/>
  <c r="E115" i="19"/>
  <c r="D120" i="19"/>
  <c r="G120" i="19"/>
  <c r="J133" i="19"/>
  <c r="O134" i="19"/>
  <c r="O187" i="19"/>
  <c r="N192" i="19"/>
  <c r="L79" i="19"/>
  <c r="M121" i="19" s="1"/>
  <c r="O80" i="19"/>
  <c r="N80" i="19"/>
  <c r="E91" i="19"/>
  <c r="Z91" i="19" s="1"/>
  <c r="G105" i="19"/>
  <c r="N124" i="19"/>
  <c r="N134" i="19"/>
  <c r="N139" i="19"/>
  <c r="O142" i="19"/>
  <c r="O157" i="19"/>
  <c r="N157" i="19"/>
  <c r="N162" i="19"/>
  <c r="G176" i="19"/>
  <c r="N177" i="19"/>
  <c r="N185" i="19"/>
  <c r="O185" i="19"/>
  <c r="G189" i="19"/>
  <c r="F184" i="19"/>
  <c r="D189" i="19"/>
  <c r="G190" i="19"/>
  <c r="D190" i="19"/>
  <c r="D92" i="19"/>
  <c r="O93" i="19"/>
  <c r="D106" i="19"/>
  <c r="N106" i="19"/>
  <c r="N109" i="19"/>
  <c r="N118" i="19"/>
  <c r="O124" i="19"/>
  <c r="G127" i="19"/>
  <c r="D127" i="19"/>
  <c r="O139" i="19"/>
  <c r="N140" i="19"/>
  <c r="O141" i="19"/>
  <c r="O162" i="19"/>
  <c r="E168" i="19"/>
  <c r="N189" i="19"/>
  <c r="G198" i="19"/>
  <c r="D198" i="19"/>
  <c r="G206" i="19"/>
  <c r="D206" i="19"/>
  <c r="N211" i="19"/>
  <c r="O106" i="19"/>
  <c r="G112" i="19"/>
  <c r="D112" i="19"/>
  <c r="G121" i="19"/>
  <c r="D121" i="19"/>
  <c r="O140" i="19"/>
  <c r="N197" i="19"/>
  <c r="N205" i="19"/>
  <c r="O211" i="19"/>
  <c r="O94" i="19"/>
  <c r="L91" i="19"/>
  <c r="O109" i="19"/>
  <c r="O110" i="19"/>
  <c r="N110" i="19"/>
  <c r="J115" i="19"/>
  <c r="O118" i="19"/>
  <c r="O119" i="19"/>
  <c r="N119" i="19"/>
  <c r="N122" i="19"/>
  <c r="N125" i="19"/>
  <c r="O127" i="19"/>
  <c r="N130" i="19"/>
  <c r="G137" i="19"/>
  <c r="D137" i="19"/>
  <c r="F133" i="19"/>
  <c r="G174" i="19"/>
  <c r="O179" i="19"/>
  <c r="O182" i="19"/>
  <c r="O210" i="19"/>
  <c r="D81" i="19"/>
  <c r="O82" i="19"/>
  <c r="O86" i="19"/>
  <c r="G93" i="19"/>
  <c r="D93" i="19"/>
  <c r="E99" i="19"/>
  <c r="O100" i="19"/>
  <c r="G103" i="19"/>
  <c r="N107" i="19"/>
  <c r="G113" i="19"/>
  <c r="C115" i="19"/>
  <c r="G122" i="19"/>
  <c r="N136" i="19"/>
  <c r="C168" i="19"/>
  <c r="L168" i="19"/>
  <c r="O171" i="19"/>
  <c r="H184" i="19"/>
  <c r="N187" i="19"/>
  <c r="O203" i="19"/>
  <c r="G155" i="19"/>
  <c r="D155" i="19"/>
  <c r="G170" i="19"/>
  <c r="D170" i="19"/>
  <c r="N172" i="19"/>
  <c r="J168" i="19"/>
  <c r="N181" i="19"/>
  <c r="G128" i="19"/>
  <c r="D135" i="19"/>
  <c r="C133" i="19"/>
  <c r="O146" i="19"/>
  <c r="H154" i="19"/>
  <c r="I204" i="19" s="1"/>
  <c r="G156" i="19"/>
  <c r="D156" i="19"/>
  <c r="D157" i="19"/>
  <c r="N158" i="19"/>
  <c r="O172" i="19"/>
  <c r="N173" i="19"/>
  <c r="O175" i="19"/>
  <c r="O181" i="19"/>
  <c r="D204" i="19"/>
  <c r="C202" i="19"/>
  <c r="G144" i="19"/>
  <c r="D144" i="19"/>
  <c r="H168" i="19"/>
  <c r="O173" i="19"/>
  <c r="N175" i="19"/>
  <c r="E184" i="19"/>
  <c r="O199" i="19"/>
  <c r="O207" i="19"/>
  <c r="G213" i="19"/>
  <c r="D213" i="19"/>
  <c r="G135" i="19"/>
  <c r="G136" i="19"/>
  <c r="D136" i="19"/>
  <c r="G145" i="19"/>
  <c r="D145" i="19"/>
  <c r="N147" i="19"/>
  <c r="N161" i="19"/>
  <c r="O191" i="19"/>
  <c r="G196" i="19"/>
  <c r="G197" i="19"/>
  <c r="D197" i="19"/>
  <c r="N199" i="19"/>
  <c r="G205" i="19"/>
  <c r="F202" i="19"/>
  <c r="D205" i="19"/>
  <c r="N207" i="19"/>
  <c r="G214" i="19"/>
  <c r="D214" i="19"/>
  <c r="D215" i="19"/>
  <c r="G215" i="19"/>
  <c r="N135" i="19"/>
  <c r="N143" i="19"/>
  <c r="N176" i="19"/>
  <c r="N188" i="19"/>
  <c r="N196" i="19"/>
  <c r="N204" i="19"/>
  <c r="N212" i="19"/>
  <c r="O215" i="19"/>
  <c r="O204" i="19"/>
  <c r="N216" i="19"/>
  <c r="C165" i="19" l="1"/>
  <c r="C96" i="19"/>
  <c r="C167" i="19"/>
  <c r="Y167" i="19" s="1"/>
  <c r="C98" i="19"/>
  <c r="Y98" i="19" s="1"/>
  <c r="M32" i="19"/>
  <c r="M27" i="19"/>
  <c r="M33" i="19"/>
  <c r="M45" i="19"/>
  <c r="M62" i="19"/>
  <c r="M39" i="19"/>
  <c r="M24" i="19"/>
  <c r="M13" i="19"/>
  <c r="M31" i="19"/>
  <c r="M58" i="19"/>
  <c r="M49" i="19"/>
  <c r="M29" i="19"/>
  <c r="M54" i="19"/>
  <c r="M30" i="19"/>
  <c r="M42" i="19"/>
  <c r="M28" i="19"/>
  <c r="M63" i="19"/>
  <c r="M26" i="19"/>
  <c r="M22" i="19"/>
  <c r="M47" i="19"/>
  <c r="M40" i="19"/>
  <c r="M9" i="19"/>
  <c r="M65" i="19"/>
  <c r="M8" i="19"/>
  <c r="M50" i="19"/>
  <c r="T20" i="19"/>
  <c r="M66" i="19"/>
  <c r="M12" i="19"/>
  <c r="M57" i="19"/>
  <c r="M46" i="19"/>
  <c r="M36" i="19"/>
  <c r="M7" i="19"/>
  <c r="M44" i="19"/>
  <c r="M60" i="19"/>
  <c r="M41" i="19"/>
  <c r="M61" i="19"/>
  <c r="M25" i="19"/>
  <c r="M64" i="19"/>
  <c r="AD6" i="19"/>
  <c r="M59" i="19"/>
  <c r="M48" i="19"/>
  <c r="M56" i="19"/>
  <c r="M67" i="19"/>
  <c r="M21" i="19"/>
  <c r="M20" i="19"/>
  <c r="M43" i="19"/>
  <c r="M55" i="19"/>
  <c r="M37" i="19"/>
  <c r="M23" i="19"/>
  <c r="I110" i="19"/>
  <c r="I117" i="19"/>
  <c r="I123" i="19"/>
  <c r="I133" i="19"/>
  <c r="I119" i="19"/>
  <c r="I146" i="19"/>
  <c r="I144" i="19"/>
  <c r="I87" i="19"/>
  <c r="I109" i="19"/>
  <c r="I138" i="19"/>
  <c r="I111" i="19"/>
  <c r="I92" i="19"/>
  <c r="I79" i="19"/>
  <c r="I101" i="19"/>
  <c r="I122" i="19"/>
  <c r="I108" i="19"/>
  <c r="I88" i="19"/>
  <c r="I143" i="19"/>
  <c r="I104" i="19"/>
  <c r="I121" i="19"/>
  <c r="I124" i="19"/>
  <c r="I113" i="19"/>
  <c r="I136" i="19"/>
  <c r="D79" i="19"/>
  <c r="I125" i="19"/>
  <c r="I142" i="19"/>
  <c r="I106" i="19"/>
  <c r="I107" i="19"/>
  <c r="T22" i="19"/>
  <c r="M123" i="19"/>
  <c r="S67" i="19"/>
  <c r="G6" i="19"/>
  <c r="M38" i="19"/>
  <c r="D91" i="19"/>
  <c r="M119" i="19"/>
  <c r="M94" i="19"/>
  <c r="D154" i="19"/>
  <c r="N160" i="19"/>
  <c r="AD160" i="19"/>
  <c r="K144" i="19"/>
  <c r="F165" i="19"/>
  <c r="K127" i="19"/>
  <c r="K79" i="19"/>
  <c r="G154" i="19"/>
  <c r="D35" i="19"/>
  <c r="AC154" i="19"/>
  <c r="K209" i="19"/>
  <c r="K214" i="19"/>
  <c r="K195" i="19"/>
  <c r="K194" i="19"/>
  <c r="T21" i="19"/>
  <c r="K200" i="19"/>
  <c r="G35" i="19"/>
  <c r="K191" i="19"/>
  <c r="I89" i="19"/>
  <c r="I112" i="19"/>
  <c r="I81" i="19"/>
  <c r="K185" i="19"/>
  <c r="I84" i="19"/>
  <c r="K202" i="19"/>
  <c r="I118" i="19"/>
  <c r="AB79" i="19"/>
  <c r="I116" i="19"/>
  <c r="I100" i="19"/>
  <c r="I115" i="19"/>
  <c r="K210" i="19"/>
  <c r="I93" i="19"/>
  <c r="I147" i="19"/>
  <c r="I94" i="19"/>
  <c r="I126" i="19"/>
  <c r="I127" i="19"/>
  <c r="K160" i="19"/>
  <c r="K110" i="19"/>
  <c r="I139" i="19"/>
  <c r="I130" i="19"/>
  <c r="I83" i="19"/>
  <c r="I128" i="19"/>
  <c r="K172" i="19"/>
  <c r="O160" i="19"/>
  <c r="M110" i="19"/>
  <c r="I141" i="19"/>
  <c r="K100" i="19"/>
  <c r="F96" i="19"/>
  <c r="D96" i="19" s="1"/>
  <c r="I103" i="19"/>
  <c r="K105" i="19"/>
  <c r="I129" i="19"/>
  <c r="I145" i="19"/>
  <c r="I85" i="19"/>
  <c r="I140" i="19"/>
  <c r="K199" i="19"/>
  <c r="K175" i="19"/>
  <c r="I102" i="19"/>
  <c r="I120" i="19"/>
  <c r="K125" i="19"/>
  <c r="K134" i="19"/>
  <c r="I134" i="19"/>
  <c r="I135" i="19"/>
  <c r="I82" i="19"/>
  <c r="I80" i="19"/>
  <c r="I137" i="19"/>
  <c r="I105" i="19"/>
  <c r="K169" i="19"/>
  <c r="K198" i="19"/>
  <c r="K163" i="19"/>
  <c r="K186" i="19"/>
  <c r="K171" i="19"/>
  <c r="K129" i="19"/>
  <c r="K211" i="19"/>
  <c r="M185" i="19"/>
  <c r="K142" i="19"/>
  <c r="K82" i="19"/>
  <c r="J96" i="19"/>
  <c r="J97" i="19" s="1"/>
  <c r="K179" i="19"/>
  <c r="M157" i="19"/>
  <c r="M213" i="19"/>
  <c r="K103" i="19"/>
  <c r="M116" i="19"/>
  <c r="K128" i="19"/>
  <c r="K157" i="19"/>
  <c r="K183" i="19"/>
  <c r="K139" i="19"/>
  <c r="K173" i="19"/>
  <c r="K203" i="19"/>
  <c r="I189" i="19"/>
  <c r="K187" i="19"/>
  <c r="K133" i="19"/>
  <c r="J165" i="19"/>
  <c r="J166" i="19" s="1"/>
  <c r="K84" i="19"/>
  <c r="K162" i="19"/>
  <c r="I186" i="19"/>
  <c r="K161" i="19"/>
  <c r="K207" i="19"/>
  <c r="M127" i="19"/>
  <c r="K108" i="19"/>
  <c r="K182" i="19"/>
  <c r="K86" i="19"/>
  <c r="K104" i="19"/>
  <c r="K184" i="19"/>
  <c r="K192" i="19"/>
  <c r="K216" i="19"/>
  <c r="K158" i="19"/>
  <c r="K115" i="19"/>
  <c r="K118" i="19"/>
  <c r="K107" i="19"/>
  <c r="K130" i="19"/>
  <c r="K106" i="19"/>
  <c r="O133" i="19"/>
  <c r="K40" i="19"/>
  <c r="K193" i="19"/>
  <c r="M211" i="19"/>
  <c r="K113" i="19"/>
  <c r="K145" i="19"/>
  <c r="AC79" i="19"/>
  <c r="K48" i="19"/>
  <c r="K7" i="19"/>
  <c r="K189" i="19"/>
  <c r="K102" i="19"/>
  <c r="K126" i="19"/>
  <c r="K116" i="19"/>
  <c r="K101" i="19"/>
  <c r="K140" i="19"/>
  <c r="K109" i="19"/>
  <c r="M182" i="19"/>
  <c r="K135" i="19"/>
  <c r="K122" i="19"/>
  <c r="K111" i="19"/>
  <c r="K138" i="19"/>
  <c r="K13" i="19"/>
  <c r="K117" i="19"/>
  <c r="K181" i="19"/>
  <c r="K208" i="19"/>
  <c r="K87" i="19"/>
  <c r="K147" i="19"/>
  <c r="I184" i="19"/>
  <c r="K123" i="19"/>
  <c r="K141" i="19"/>
  <c r="L165" i="19"/>
  <c r="M165" i="19" s="1"/>
  <c r="K143" i="19"/>
  <c r="K120" i="19"/>
  <c r="K146" i="19"/>
  <c r="K59" i="19"/>
  <c r="K190" i="19"/>
  <c r="K180" i="19"/>
  <c r="I65" i="19"/>
  <c r="M187" i="19"/>
  <c r="N6" i="19"/>
  <c r="I29" i="19"/>
  <c r="M216" i="19"/>
  <c r="M198" i="19"/>
  <c r="M172" i="19"/>
  <c r="I211" i="19"/>
  <c r="M210" i="19"/>
  <c r="M188" i="19"/>
  <c r="M155" i="19"/>
  <c r="K112" i="19"/>
  <c r="I49" i="19"/>
  <c r="E165" i="19"/>
  <c r="Z154" i="19"/>
  <c r="I58" i="19"/>
  <c r="I39" i="19"/>
  <c r="I62" i="19"/>
  <c r="I45" i="19"/>
  <c r="I210" i="19"/>
  <c r="M169" i="19"/>
  <c r="M209" i="19"/>
  <c r="K80" i="19"/>
  <c r="K88" i="19"/>
  <c r="K89" i="19"/>
  <c r="K92" i="19"/>
  <c r="K94" i="19"/>
  <c r="I32" i="19"/>
  <c r="I57" i="19"/>
  <c r="I67" i="19"/>
  <c r="I64" i="19"/>
  <c r="I48" i="19"/>
  <c r="I8" i="19"/>
  <c r="I61" i="19"/>
  <c r="I21" i="19"/>
  <c r="AB6" i="19"/>
  <c r="AB17" i="19" s="1"/>
  <c r="I31" i="19"/>
  <c r="I28" i="19"/>
  <c r="I6" i="19"/>
  <c r="I27" i="19"/>
  <c r="I66" i="19"/>
  <c r="I44" i="19"/>
  <c r="I38" i="19"/>
  <c r="I36" i="19"/>
  <c r="I33" i="19"/>
  <c r="I14" i="19"/>
  <c r="I13" i="19"/>
  <c r="I7" i="19"/>
  <c r="M156" i="19"/>
  <c r="O154" i="19"/>
  <c r="I37" i="19"/>
  <c r="I41" i="19"/>
  <c r="M174" i="19"/>
  <c r="M207" i="19"/>
  <c r="M181" i="19"/>
  <c r="M215" i="19"/>
  <c r="M171" i="19"/>
  <c r="M178" i="19"/>
  <c r="M162" i="19"/>
  <c r="M195" i="19"/>
  <c r="M175" i="19"/>
  <c r="M177" i="19"/>
  <c r="M208" i="19"/>
  <c r="I203" i="19"/>
  <c r="M102" i="19"/>
  <c r="I43" i="19"/>
  <c r="E18" i="19"/>
  <c r="Z18" i="19" s="1"/>
  <c r="M180" i="19"/>
  <c r="I63" i="19"/>
  <c r="I55" i="19"/>
  <c r="K124" i="19"/>
  <c r="I30" i="19"/>
  <c r="I54" i="19"/>
  <c r="K83" i="19"/>
  <c r="E167" i="19"/>
  <c r="Z167" i="19" s="1"/>
  <c r="M179" i="19"/>
  <c r="M186" i="19"/>
  <c r="H16" i="19"/>
  <c r="H17" i="19" s="1"/>
  <c r="I205" i="19"/>
  <c r="M192" i="19"/>
  <c r="M196" i="19"/>
  <c r="M176" i="19"/>
  <c r="M189" i="19"/>
  <c r="I35" i="19"/>
  <c r="I11" i="19"/>
  <c r="M193" i="19"/>
  <c r="I53" i="19"/>
  <c r="I59" i="19"/>
  <c r="K121" i="19"/>
  <c r="I25" i="19"/>
  <c r="I26" i="19"/>
  <c r="I9" i="19"/>
  <c r="M212" i="19"/>
  <c r="I50" i="19"/>
  <c r="E98" i="19"/>
  <c r="Z98" i="19" s="1"/>
  <c r="M160" i="19"/>
  <c r="M191" i="19"/>
  <c r="M161" i="19"/>
  <c r="M199" i="19"/>
  <c r="M173" i="19"/>
  <c r="I155" i="19"/>
  <c r="I175" i="19"/>
  <c r="I169" i="19"/>
  <c r="M170" i="19"/>
  <c r="M194" i="19"/>
  <c r="M203" i="19"/>
  <c r="M154" i="19"/>
  <c r="M197" i="19"/>
  <c r="K81" i="19"/>
  <c r="K119" i="19"/>
  <c r="K137" i="19"/>
  <c r="I56" i="19"/>
  <c r="I47" i="19"/>
  <c r="K215" i="19"/>
  <c r="K188" i="19"/>
  <c r="K156" i="19"/>
  <c r="K154" i="19"/>
  <c r="K201" i="19"/>
  <c r="K204" i="19"/>
  <c r="K213" i="19"/>
  <c r="K196" i="19"/>
  <c r="K170" i="19"/>
  <c r="K176" i="19"/>
  <c r="K206" i="19"/>
  <c r="K205" i="19"/>
  <c r="K178" i="19"/>
  <c r="K177" i="19"/>
  <c r="I60" i="19"/>
  <c r="I24" i="19"/>
  <c r="K174" i="19"/>
  <c r="K85" i="19"/>
  <c r="AA160" i="19"/>
  <c r="G160" i="19"/>
  <c r="D160" i="19"/>
  <c r="K197" i="19"/>
  <c r="K155" i="19"/>
  <c r="M158" i="19"/>
  <c r="M190" i="19"/>
  <c r="M206" i="19"/>
  <c r="N154" i="19"/>
  <c r="I174" i="19"/>
  <c r="I160" i="19"/>
  <c r="M214" i="19"/>
  <c r="I196" i="19"/>
  <c r="M163" i="19"/>
  <c r="M204" i="19"/>
  <c r="AD154" i="19"/>
  <c r="I194" i="19"/>
  <c r="I20" i="19"/>
  <c r="K93" i="19"/>
  <c r="I23" i="19"/>
  <c r="I46" i="19"/>
  <c r="I12" i="19"/>
  <c r="I42" i="19"/>
  <c r="I40" i="19"/>
  <c r="D184" i="19"/>
  <c r="G184" i="19"/>
  <c r="C18" i="19"/>
  <c r="Y18" i="19" s="1"/>
  <c r="K45" i="19"/>
  <c r="C166" i="19"/>
  <c r="Y165" i="19"/>
  <c r="D168" i="19"/>
  <c r="G168" i="19"/>
  <c r="F167" i="19"/>
  <c r="K41" i="19"/>
  <c r="K49" i="19"/>
  <c r="M35" i="19"/>
  <c r="O35" i="19"/>
  <c r="N35" i="19"/>
  <c r="K26" i="19"/>
  <c r="K46" i="19"/>
  <c r="G99" i="19"/>
  <c r="D99" i="19"/>
  <c r="F98" i="19"/>
  <c r="K27" i="19"/>
  <c r="M129" i="19"/>
  <c r="J167" i="19"/>
  <c r="K168" i="19"/>
  <c r="M107" i="19"/>
  <c r="I176" i="19"/>
  <c r="M139" i="19"/>
  <c r="M138" i="19"/>
  <c r="K64" i="19"/>
  <c r="K54" i="19"/>
  <c r="K43" i="19"/>
  <c r="J18" i="19"/>
  <c r="K19" i="19"/>
  <c r="K36" i="19"/>
  <c r="K63" i="19"/>
  <c r="N184" i="19"/>
  <c r="M184" i="19"/>
  <c r="O184" i="19"/>
  <c r="D202" i="19"/>
  <c r="G202" i="19"/>
  <c r="K29" i="19"/>
  <c r="H98" i="19"/>
  <c r="I99" i="19"/>
  <c r="M144" i="19"/>
  <c r="M136" i="19"/>
  <c r="M104" i="19"/>
  <c r="M93" i="19"/>
  <c r="M135" i="19"/>
  <c r="O79" i="19"/>
  <c r="M141" i="19"/>
  <c r="L96" i="19"/>
  <c r="M143" i="19"/>
  <c r="M142" i="19"/>
  <c r="M125" i="19"/>
  <c r="M122" i="19"/>
  <c r="M118" i="19"/>
  <c r="M113" i="19"/>
  <c r="M109" i="19"/>
  <c r="M134" i="19"/>
  <c r="M103" i="19"/>
  <c r="AD79" i="19"/>
  <c r="M100" i="19"/>
  <c r="M111" i="19"/>
  <c r="M92" i="19"/>
  <c r="M128" i="19"/>
  <c r="M117" i="19"/>
  <c r="M126" i="19"/>
  <c r="M101" i="19"/>
  <c r="M79" i="19"/>
  <c r="M120" i="19"/>
  <c r="N79" i="19"/>
  <c r="K6" i="19"/>
  <c r="AC6" i="19"/>
  <c r="K9" i="19"/>
  <c r="K60" i="19"/>
  <c r="K50" i="19"/>
  <c r="K65" i="19"/>
  <c r="K32" i="19"/>
  <c r="K30" i="19"/>
  <c r="K23" i="19"/>
  <c r="K20" i="19"/>
  <c r="K8" i="19"/>
  <c r="K25" i="19"/>
  <c r="K33" i="19"/>
  <c r="K31" i="19"/>
  <c r="K22" i="19"/>
  <c r="K62" i="19"/>
  <c r="J16" i="19"/>
  <c r="K24" i="19"/>
  <c r="K42" i="19"/>
  <c r="K57" i="19"/>
  <c r="D115" i="19"/>
  <c r="G115" i="19"/>
  <c r="G133" i="19"/>
  <c r="D133" i="19"/>
  <c r="U7" i="19"/>
  <c r="S7" i="19"/>
  <c r="R8" i="19"/>
  <c r="K35" i="19"/>
  <c r="L18" i="19"/>
  <c r="M19" i="19"/>
  <c r="O19" i="19"/>
  <c r="N19" i="19"/>
  <c r="I214" i="19"/>
  <c r="I209" i="19"/>
  <c r="I193" i="19"/>
  <c r="I185" i="19"/>
  <c r="I181" i="19"/>
  <c r="I173" i="19"/>
  <c r="I162" i="19"/>
  <c r="I215" i="19"/>
  <c r="I163" i="19"/>
  <c r="I192" i="19"/>
  <c r="I179" i="19"/>
  <c r="I156" i="19"/>
  <c r="I208" i="19"/>
  <c r="I170" i="19"/>
  <c r="I191" i="19"/>
  <c r="I178" i="19"/>
  <c r="H165" i="19"/>
  <c r="I161" i="19"/>
  <c r="I207" i="19"/>
  <c r="I199" i="19"/>
  <c r="I154" i="19"/>
  <c r="I216" i="19"/>
  <c r="I206" i="19"/>
  <c r="I172" i="19"/>
  <c r="I198" i="19"/>
  <c r="I180" i="19"/>
  <c r="I190" i="19"/>
  <c r="I171" i="19"/>
  <c r="AB154" i="19"/>
  <c r="I158" i="19"/>
  <c r="I157" i="19"/>
  <c r="I187" i="19"/>
  <c r="I197" i="19"/>
  <c r="K61" i="19"/>
  <c r="K67" i="19"/>
  <c r="K66" i="19"/>
  <c r="M108" i="19"/>
  <c r="K53" i="19"/>
  <c r="K12" i="19"/>
  <c r="K21" i="19"/>
  <c r="Z17" i="19"/>
  <c r="K44" i="19"/>
  <c r="F18" i="19"/>
  <c r="G19" i="19"/>
  <c r="D19" i="19"/>
  <c r="I168" i="19"/>
  <c r="H167" i="19"/>
  <c r="E96" i="19"/>
  <c r="Z79" i="19"/>
  <c r="G79" i="19"/>
  <c r="K37" i="19"/>
  <c r="M106" i="19"/>
  <c r="K14" i="19"/>
  <c r="C97" i="19"/>
  <c r="Y96" i="19"/>
  <c r="I19" i="19"/>
  <c r="H18" i="19"/>
  <c r="E16" i="19"/>
  <c r="K56" i="19"/>
  <c r="D53" i="19"/>
  <c r="G53" i="19"/>
  <c r="M145" i="19"/>
  <c r="I213" i="19"/>
  <c r="O91" i="19"/>
  <c r="AD91" i="19"/>
  <c r="M91" i="19"/>
  <c r="N91" i="19"/>
  <c r="I188" i="19"/>
  <c r="I177" i="19"/>
  <c r="M124" i="19"/>
  <c r="M133" i="19"/>
  <c r="AC11" i="19"/>
  <c r="K11" i="19"/>
  <c r="G91" i="19"/>
  <c r="N202" i="19"/>
  <c r="O202" i="19"/>
  <c r="M202" i="19"/>
  <c r="I202" i="19"/>
  <c r="K47" i="19"/>
  <c r="K39" i="19"/>
  <c r="O6" i="19"/>
  <c r="M53" i="19"/>
  <c r="O53" i="19"/>
  <c r="N53" i="19"/>
  <c r="K99" i="19"/>
  <c r="J98" i="19"/>
  <c r="I91" i="19"/>
  <c r="AB91" i="19"/>
  <c r="M147" i="19"/>
  <c r="M112" i="19"/>
  <c r="M137" i="19"/>
  <c r="I212" i="19"/>
  <c r="M146" i="19"/>
  <c r="L167" i="19"/>
  <c r="O168" i="19"/>
  <c r="N168" i="19"/>
  <c r="M168" i="19"/>
  <c r="M130" i="19"/>
  <c r="I182" i="19"/>
  <c r="M140" i="19"/>
  <c r="K55" i="19"/>
  <c r="I195" i="19"/>
  <c r="M115" i="19"/>
  <c r="O115" i="19"/>
  <c r="N115" i="19"/>
  <c r="N133" i="19"/>
  <c r="K58" i="19"/>
  <c r="N99" i="19"/>
  <c r="M99" i="19"/>
  <c r="L98" i="19"/>
  <c r="O99" i="19"/>
  <c r="K38" i="19"/>
  <c r="C16" i="19"/>
  <c r="Y6" i="19"/>
  <c r="Y17" i="19" s="1"/>
  <c r="D6" i="19"/>
  <c r="AC91" i="19"/>
  <c r="K91" i="19"/>
  <c r="M105" i="19"/>
  <c r="H96" i="19"/>
  <c r="D165" i="19" l="1"/>
  <c r="C148" i="19"/>
  <c r="C217" i="19"/>
  <c r="C218" i="19" s="1"/>
  <c r="F217" i="19"/>
  <c r="F218" i="19" s="1"/>
  <c r="AA165" i="19"/>
  <c r="F166" i="19"/>
  <c r="D166" i="19" s="1"/>
  <c r="L217" i="19"/>
  <c r="L218" i="19" s="1"/>
  <c r="AC165" i="19"/>
  <c r="K165" i="19"/>
  <c r="AA96" i="19"/>
  <c r="J148" i="19"/>
  <c r="AC148" i="19" s="1"/>
  <c r="AC96" i="19"/>
  <c r="K96" i="19"/>
  <c r="F97" i="19"/>
  <c r="D97" i="19" s="1"/>
  <c r="F148" i="19"/>
  <c r="AA148" i="19" s="1"/>
  <c r="L166" i="19"/>
  <c r="AB16" i="19"/>
  <c r="AD165" i="19"/>
  <c r="I16" i="19"/>
  <c r="E166" i="19"/>
  <c r="E217" i="19"/>
  <c r="Z165" i="19"/>
  <c r="G165" i="19"/>
  <c r="AB18" i="19"/>
  <c r="I18" i="19"/>
  <c r="I167" i="19"/>
  <c r="AB167" i="19"/>
  <c r="G167" i="19"/>
  <c r="D167" i="19"/>
  <c r="AA167" i="19"/>
  <c r="Y148" i="19"/>
  <c r="C149" i="19"/>
  <c r="AC17" i="19"/>
  <c r="AC18" i="19"/>
  <c r="K18" i="19"/>
  <c r="E68" i="19"/>
  <c r="Z16" i="19"/>
  <c r="Z69" i="19" s="1"/>
  <c r="E17" i="19"/>
  <c r="AD96" i="19"/>
  <c r="M96" i="19"/>
  <c r="L148" i="19"/>
  <c r="L97" i="19"/>
  <c r="E148" i="19"/>
  <c r="E97" i="19"/>
  <c r="G96" i="19"/>
  <c r="Z96" i="19"/>
  <c r="AC167" i="19"/>
  <c r="K167" i="19"/>
  <c r="H148" i="19"/>
  <c r="AB96" i="19"/>
  <c r="H97" i="19"/>
  <c r="N96" i="19"/>
  <c r="O96" i="19" s="1"/>
  <c r="I96" i="19"/>
  <c r="G18" i="19"/>
  <c r="D18" i="19"/>
  <c r="AA18" i="19"/>
  <c r="M98" i="19"/>
  <c r="AD98" i="19"/>
  <c r="N98" i="19"/>
  <c r="O98" i="19"/>
  <c r="O167" i="19"/>
  <c r="AD167" i="19"/>
  <c r="M167" i="19"/>
  <c r="N167" i="19"/>
  <c r="J217" i="19"/>
  <c r="AB98" i="19"/>
  <c r="I98" i="19"/>
  <c r="G98" i="19"/>
  <c r="D98" i="19"/>
  <c r="AA98" i="19"/>
  <c r="C68" i="19"/>
  <c r="C17" i="19"/>
  <c r="Y16" i="19"/>
  <c r="Y69" i="19" s="1"/>
  <c r="I165" i="19"/>
  <c r="H217" i="19"/>
  <c r="N165" i="19"/>
  <c r="O165" i="19" s="1"/>
  <c r="AB165" i="19"/>
  <c r="H166" i="19"/>
  <c r="J68" i="19"/>
  <c r="J17" i="19"/>
  <c r="AC16" i="19"/>
  <c r="K16" i="19"/>
  <c r="K98" i="19"/>
  <c r="AC98" i="19"/>
  <c r="H68" i="19"/>
  <c r="N18" i="19"/>
  <c r="R18" i="19"/>
  <c r="Q18" i="19"/>
  <c r="AD18" i="19"/>
  <c r="M18" i="19"/>
  <c r="O18" i="19"/>
  <c r="Y217" i="19"/>
  <c r="AA217" i="19" l="1"/>
  <c r="D217" i="19"/>
  <c r="G217" i="19"/>
  <c r="M217" i="19"/>
  <c r="AD217" i="19"/>
  <c r="F149" i="19"/>
  <c r="D148" i="19"/>
  <c r="K148" i="19"/>
  <c r="J149" i="19"/>
  <c r="AB69" i="19"/>
  <c r="E218" i="19"/>
  <c r="Z217" i="19"/>
  <c r="AB68" i="19"/>
  <c r="I68" i="19"/>
  <c r="H69" i="19"/>
  <c r="Y68" i="19"/>
  <c r="C69" i="19"/>
  <c r="K217" i="19"/>
  <c r="J218" i="19"/>
  <c r="AC217" i="19"/>
  <c r="Z148" i="19"/>
  <c r="E149" i="19"/>
  <c r="G148" i="19"/>
  <c r="J69" i="19"/>
  <c r="K68" i="19"/>
  <c r="AC68" i="19"/>
  <c r="J75" i="19"/>
  <c r="AB217" i="19"/>
  <c r="H218" i="19"/>
  <c r="I217" i="19"/>
  <c r="N217" i="19"/>
  <c r="O217" i="19" s="1"/>
  <c r="AB148" i="19"/>
  <c r="H149" i="19"/>
  <c r="I148" i="19"/>
  <c r="N148" i="19"/>
  <c r="O148" i="19" s="1"/>
  <c r="AC69" i="19"/>
  <c r="L149" i="19"/>
  <c r="AD148" i="19"/>
  <c r="M148" i="19"/>
  <c r="E69" i="19"/>
  <c r="Z68" i="19"/>
  <c r="D82" i="1" l="1" a="1"/>
  <c r="D82" i="1" s="1"/>
  <c r="P83" i="1"/>
  <c r="P82" i="1"/>
  <c r="T151" i="3"/>
  <c r="K96" i="17" l="1"/>
  <c r="J96" i="17"/>
  <c r="I96" i="17"/>
  <c r="H96" i="17"/>
  <c r="G96" i="17"/>
  <c r="F96" i="17"/>
  <c r="K88" i="17"/>
  <c r="H88" i="17"/>
  <c r="F88" i="17"/>
  <c r="K75" i="17"/>
  <c r="K62" i="17"/>
  <c r="J62" i="17"/>
  <c r="H62" i="17"/>
  <c r="F62" i="17"/>
  <c r="K42" i="17"/>
  <c r="C42" i="17"/>
  <c r="K22" i="17"/>
  <c r="J22" i="17"/>
  <c r="I22" i="17"/>
  <c r="H22" i="17"/>
  <c r="G22" i="17"/>
  <c r="F22" i="17"/>
  <c r="K17" i="17"/>
  <c r="I17" i="17"/>
  <c r="H17" i="17"/>
  <c r="J17" i="17" s="1"/>
  <c r="G17" i="17"/>
  <c r="F17" i="17"/>
  <c r="C4" i="17"/>
  <c r="H96" i="16"/>
  <c r="J96" i="16" s="1"/>
  <c r="F96" i="16"/>
  <c r="G96" i="16" s="1"/>
  <c r="D96" i="16"/>
  <c r="E96" i="16" s="1"/>
  <c r="K88" i="16"/>
  <c r="J88" i="16"/>
  <c r="H88" i="16"/>
  <c r="F88" i="16"/>
  <c r="D88" i="16"/>
  <c r="K62" i="16"/>
  <c r="J62" i="16"/>
  <c r="H62" i="16"/>
  <c r="F62" i="16"/>
  <c r="D62" i="16"/>
  <c r="C42" i="16"/>
  <c r="K22" i="16"/>
  <c r="J22" i="16"/>
  <c r="I22" i="16"/>
  <c r="H22" i="16"/>
  <c r="G22" i="16"/>
  <c r="F22" i="16"/>
  <c r="E22" i="16"/>
  <c r="D22" i="16"/>
  <c r="K17" i="16"/>
  <c r="J17" i="16"/>
  <c r="I17" i="16"/>
  <c r="H17" i="16"/>
  <c r="G17" i="16"/>
  <c r="F17" i="16"/>
  <c r="E17" i="16"/>
  <c r="D17" i="16"/>
  <c r="C4" i="16"/>
  <c r="K75" i="16"/>
  <c r="K42" i="16"/>
  <c r="K96" i="16" l="1"/>
  <c r="I96" i="16"/>
  <c r="H154" i="3" l="1"/>
  <c r="K21" i="15"/>
  <c r="J20" i="15"/>
  <c r="J21" i="15" s="1"/>
  <c r="L20" i="15" l="1"/>
  <c r="L21" i="15" s="1"/>
  <c r="U99" i="1"/>
  <c r="U95" i="1"/>
  <c r="T23" i="15" l="1"/>
  <c r="T24" i="15" s="1"/>
  <c r="S13" i="15"/>
  <c r="S16" i="15" s="1"/>
  <c r="Q11" i="15"/>
  <c r="T11" i="15" s="1"/>
  <c r="R7" i="15"/>
  <c r="Q7" i="15"/>
  <c r="S6" i="15"/>
  <c r="R15" i="15" s="1"/>
  <c r="Q15" i="15" s="1"/>
  <c r="T15" i="15" s="1"/>
  <c r="S4" i="15"/>
  <c r="S5" i="15"/>
  <c r="R12" i="15" s="1"/>
  <c r="R13" i="15" s="1"/>
  <c r="Q13" i="15" s="1"/>
  <c r="S18" i="15" l="1"/>
  <c r="S17" i="15"/>
  <c r="R16" i="15"/>
  <c r="S14" i="15"/>
  <c r="Q12" i="15"/>
  <c r="T12" i="15" s="1"/>
  <c r="R14" i="15"/>
  <c r="Q14" i="15"/>
  <c r="S7" i="15"/>
  <c r="Q16" i="15" l="1"/>
  <c r="R17" i="15"/>
  <c r="T16" i="15" l="1"/>
  <c r="Q19" i="15"/>
  <c r="R19" i="15"/>
  <c r="Q17" i="15"/>
  <c r="P84" i="1" l="1"/>
  <c r="Q35" i="1" l="1"/>
  <c r="Q2" i="14"/>
  <c r="P2" i="14"/>
  <c r="O2" i="14"/>
  <c r="N2" i="14"/>
  <c r="M2" i="14"/>
  <c r="L2" i="14"/>
  <c r="K2" i="14"/>
  <c r="J2" i="14"/>
  <c r="I2" i="14"/>
  <c r="H13" i="3" l="1"/>
  <c r="H12" i="3"/>
  <c r="P160" i="3"/>
  <c r="O160" i="3"/>
  <c r="N160" i="3"/>
  <c r="M160" i="3"/>
  <c r="L160" i="3"/>
  <c r="K160" i="3"/>
  <c r="J160" i="3"/>
  <c r="I160" i="3"/>
  <c r="H160" i="3"/>
  <c r="H91" i="3"/>
  <c r="P91" i="3"/>
  <c r="O91" i="3"/>
  <c r="N91" i="3"/>
  <c r="M91" i="3"/>
  <c r="L91" i="3"/>
  <c r="K91" i="3"/>
  <c r="J91" i="3"/>
  <c r="K6" i="10" l="1"/>
  <c r="H6" i="10"/>
  <c r="E6" i="10"/>
  <c r="I9" i="10"/>
  <c r="I8" i="10"/>
  <c r="I7" i="10"/>
  <c r="F7" i="10" l="1"/>
  <c r="D6" i="10"/>
  <c r="F10" i="10"/>
  <c r="J7" i="10"/>
  <c r="L7" i="10" s="1"/>
  <c r="I10" i="10"/>
  <c r="J10" i="10"/>
  <c r="L10" i="10" s="1"/>
  <c r="C6" i="10"/>
  <c r="F6" i="10" s="1"/>
  <c r="C9" i="10"/>
  <c r="J9" i="10" s="1"/>
  <c r="L9" i="10" s="1"/>
  <c r="C8" i="10"/>
  <c r="G6" i="10"/>
  <c r="I6" i="10" s="1"/>
  <c r="F9" i="10" l="1"/>
  <c r="J8" i="10"/>
  <c r="F8" i="10"/>
  <c r="L8" i="10" l="1"/>
  <c r="J6" i="10"/>
  <c r="L6" i="10" s="1"/>
  <c r="G160" i="3" l="1"/>
  <c r="F160" i="3"/>
  <c r="E160" i="3"/>
  <c r="G91" i="3" l="1"/>
  <c r="E91" i="3"/>
  <c r="F91" i="3"/>
  <c r="E79" i="3"/>
  <c r="G79" i="3"/>
  <c r="F79" i="3"/>
  <c r="E96" i="3" l="1"/>
  <c r="C62" i="1"/>
  <c r="C4" i="1"/>
  <c r="C36" i="1"/>
  <c r="C75" i="16" l="1"/>
  <c r="C75" i="17"/>
  <c r="M81" i="2"/>
  <c r="L81" i="2"/>
  <c r="F81" i="2"/>
  <c r="M80" i="2"/>
  <c r="L80" i="2"/>
  <c r="F80" i="2"/>
  <c r="J81" i="2"/>
  <c r="G39" i="1" l="1"/>
  <c r="G40" i="1"/>
  <c r="M39" i="1"/>
  <c r="K40" i="1"/>
  <c r="M40" i="1"/>
  <c r="C80" i="4"/>
  <c r="C80" i="2" s="1"/>
  <c r="D39" i="1" s="1"/>
  <c r="C81" i="4"/>
  <c r="C81" i="2" s="1"/>
  <c r="D40" i="1" s="1"/>
  <c r="E81" i="2"/>
  <c r="E80" i="2"/>
  <c r="J80" i="2"/>
  <c r="O81" i="2"/>
  <c r="N80" i="2"/>
  <c r="N81" i="2"/>
  <c r="H53" i="16" l="1"/>
  <c r="H53" i="17"/>
  <c r="J53" i="17" s="1"/>
  <c r="D53" i="16"/>
  <c r="D52" i="16"/>
  <c r="F53" i="16"/>
  <c r="F53" i="17"/>
  <c r="H52" i="16"/>
  <c r="H52" i="17"/>
  <c r="J52" i="17" s="1"/>
  <c r="I38" i="1"/>
  <c r="O39" i="1"/>
  <c r="E39" i="1"/>
  <c r="G38" i="1"/>
  <c r="P40" i="1"/>
  <c r="M38" i="1"/>
  <c r="O40" i="1"/>
  <c r="E40" i="1"/>
  <c r="K39" i="1"/>
  <c r="F39" i="1"/>
  <c r="H39" i="1" s="1"/>
  <c r="F40" i="1"/>
  <c r="H40" i="1" s="1"/>
  <c r="O80" i="2"/>
  <c r="D80" i="2"/>
  <c r="G81" i="2"/>
  <c r="D38" i="1"/>
  <c r="G80" i="2"/>
  <c r="D81" i="2"/>
  <c r="E45" i="16" l="1"/>
  <c r="E45" i="17"/>
  <c r="K53" i="16"/>
  <c r="K53" i="17"/>
  <c r="H51" i="16"/>
  <c r="H51" i="17"/>
  <c r="J51" i="17" s="1"/>
  <c r="G45" i="16"/>
  <c r="G45" i="17"/>
  <c r="J52" i="16"/>
  <c r="F52" i="16"/>
  <c r="F52" i="17"/>
  <c r="D51" i="16"/>
  <c r="J53" i="16"/>
  <c r="N49" i="1"/>
  <c r="N39" i="1"/>
  <c r="N40" i="1"/>
  <c r="N38" i="1"/>
  <c r="P39" i="1"/>
  <c r="J38" i="1"/>
  <c r="J49" i="1"/>
  <c r="J39" i="1"/>
  <c r="J40" i="1"/>
  <c r="K38" i="1"/>
  <c r="F38" i="1"/>
  <c r="M82" i="2"/>
  <c r="L82" i="2"/>
  <c r="F82" i="2"/>
  <c r="L79" i="2"/>
  <c r="AD79" i="2" s="1"/>
  <c r="J79" i="2"/>
  <c r="AC79" i="2" s="1"/>
  <c r="H79" i="2"/>
  <c r="AB79" i="2" s="1"/>
  <c r="F79" i="2"/>
  <c r="AA79" i="2" s="1"/>
  <c r="E79" i="2"/>
  <c r="Z79" i="2" s="1"/>
  <c r="C79" i="2"/>
  <c r="Y79" i="2" s="1"/>
  <c r="C81" i="3"/>
  <c r="C80" i="3"/>
  <c r="P79" i="3"/>
  <c r="O79" i="3"/>
  <c r="N79" i="3"/>
  <c r="M79" i="3"/>
  <c r="L79" i="3"/>
  <c r="K79" i="3"/>
  <c r="J79" i="3"/>
  <c r="I79" i="3"/>
  <c r="H79" i="3"/>
  <c r="P79" i="4"/>
  <c r="O79" i="4"/>
  <c r="N79" i="4"/>
  <c r="M79" i="4"/>
  <c r="L79" i="4"/>
  <c r="K79" i="4"/>
  <c r="J79" i="4"/>
  <c r="I79" i="4"/>
  <c r="H79" i="4"/>
  <c r="G79" i="4"/>
  <c r="F79" i="4"/>
  <c r="E79" i="4"/>
  <c r="C79" i="4"/>
  <c r="I52" i="16" l="1"/>
  <c r="I52" i="17"/>
  <c r="I62" i="16"/>
  <c r="I62" i="17"/>
  <c r="E52" i="16"/>
  <c r="E62" i="16"/>
  <c r="E51" i="16"/>
  <c r="F51" i="16"/>
  <c r="F51" i="17"/>
  <c r="K52" i="16"/>
  <c r="K52" i="17"/>
  <c r="I51" i="16"/>
  <c r="I51" i="17"/>
  <c r="E53" i="16"/>
  <c r="F45" i="16"/>
  <c r="H45" i="16" s="1"/>
  <c r="F45" i="17"/>
  <c r="H45" i="17" s="1"/>
  <c r="I53" i="16"/>
  <c r="I53" i="17"/>
  <c r="L38" i="1"/>
  <c r="L49" i="1"/>
  <c r="L40" i="1"/>
  <c r="L39" i="1"/>
  <c r="M41" i="1"/>
  <c r="G41" i="1"/>
  <c r="I82" i="2"/>
  <c r="I81" i="2"/>
  <c r="I80" i="2"/>
  <c r="K80" i="2"/>
  <c r="K81" i="2"/>
  <c r="N82" i="2"/>
  <c r="C79" i="3"/>
  <c r="G51" i="16" l="1"/>
  <c r="G51" i="17"/>
  <c r="G52" i="16"/>
  <c r="G52" i="17"/>
  <c r="D54" i="16"/>
  <c r="H54" i="16"/>
  <c r="H54" i="17"/>
  <c r="J54" i="17" s="1"/>
  <c r="G53" i="16"/>
  <c r="G53" i="17"/>
  <c r="G62" i="16"/>
  <c r="G62" i="17"/>
  <c r="N41" i="1"/>
  <c r="J41" i="1"/>
  <c r="O41" i="1"/>
  <c r="N62" i="1"/>
  <c r="N36" i="1"/>
  <c r="J54" i="16" l="1"/>
  <c r="I54" i="16"/>
  <c r="I54" i="17"/>
  <c r="E54" i="16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3" i="2"/>
  <c r="L162" i="2"/>
  <c r="L161" i="2"/>
  <c r="L158" i="2"/>
  <c r="L157" i="2"/>
  <c r="L156" i="2"/>
  <c r="L155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4" i="2"/>
  <c r="L93" i="2"/>
  <c r="L92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4" i="2"/>
  <c r="H87" i="2"/>
  <c r="I46" i="1" s="1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3" i="2"/>
  <c r="F162" i="2"/>
  <c r="F161" i="2"/>
  <c r="F158" i="2"/>
  <c r="F157" i="2"/>
  <c r="F156" i="2"/>
  <c r="F155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4" i="2"/>
  <c r="F93" i="2"/>
  <c r="F92" i="2"/>
  <c r="F89" i="2"/>
  <c r="F88" i="2"/>
  <c r="F87" i="2"/>
  <c r="F86" i="2"/>
  <c r="F85" i="2"/>
  <c r="F84" i="2"/>
  <c r="F83" i="2"/>
  <c r="F94" i="16" l="1"/>
  <c r="G94" i="16" s="1"/>
  <c r="F94" i="17"/>
  <c r="G94" i="17" s="1"/>
  <c r="F68" i="16"/>
  <c r="G68" i="16" s="1"/>
  <c r="F68" i="17"/>
  <c r="G68" i="17" s="1"/>
  <c r="D94" i="16"/>
  <c r="E94" i="16" s="1"/>
  <c r="F70" i="16"/>
  <c r="G70" i="16" s="1"/>
  <c r="F70" i="17"/>
  <c r="G70" i="17" s="1"/>
  <c r="H94" i="16"/>
  <c r="H94" i="17"/>
  <c r="M45" i="1"/>
  <c r="G43" i="1"/>
  <c r="G66" i="1"/>
  <c r="M68" i="1"/>
  <c r="M67" i="1"/>
  <c r="G67" i="1"/>
  <c r="M42" i="1"/>
  <c r="M46" i="1"/>
  <c r="G42" i="1"/>
  <c r="G46" i="1"/>
  <c r="M43" i="1"/>
  <c r="M47" i="1"/>
  <c r="M14" i="1"/>
  <c r="G47" i="1"/>
  <c r="G45" i="1"/>
  <c r="G14" i="1"/>
  <c r="M65" i="1"/>
  <c r="G65" i="1"/>
  <c r="G68" i="1"/>
  <c r="M66" i="1"/>
  <c r="L160" i="2"/>
  <c r="AD160" i="2" s="1"/>
  <c r="H160" i="2"/>
  <c r="F160" i="2"/>
  <c r="AA160" i="2" s="1"/>
  <c r="M44" i="1"/>
  <c r="M48" i="1"/>
  <c r="I48" i="1"/>
  <c r="G48" i="1"/>
  <c r="G44" i="1"/>
  <c r="I70" i="1" l="1"/>
  <c r="I13" i="1"/>
  <c r="AB160" i="2"/>
  <c r="K94" i="16"/>
  <c r="I94" i="16"/>
  <c r="H57" i="16"/>
  <c r="H57" i="17"/>
  <c r="J57" i="17" s="1"/>
  <c r="D56" i="16"/>
  <c r="H60" i="16"/>
  <c r="H60" i="17"/>
  <c r="J60" i="17" s="1"/>
  <c r="D60" i="16"/>
  <c r="H58" i="16"/>
  <c r="H58" i="17"/>
  <c r="J58" i="17" s="1"/>
  <c r="D58" i="16"/>
  <c r="D84" i="16"/>
  <c r="H86" i="16"/>
  <c r="H86" i="17"/>
  <c r="J86" i="17" s="1"/>
  <c r="H61" i="16"/>
  <c r="H61" i="17"/>
  <c r="H84" i="16"/>
  <c r="H84" i="17"/>
  <c r="J84" i="17" s="1"/>
  <c r="H21" i="16"/>
  <c r="H21" i="17"/>
  <c r="D86" i="16"/>
  <c r="D55" i="16"/>
  <c r="H87" i="16"/>
  <c r="H87" i="17"/>
  <c r="J87" i="17" s="1"/>
  <c r="H56" i="16"/>
  <c r="H56" i="17"/>
  <c r="J56" i="17" s="1"/>
  <c r="D87" i="16"/>
  <c r="G46" i="16"/>
  <c r="G46" i="17"/>
  <c r="D57" i="16"/>
  <c r="H59" i="16"/>
  <c r="H59" i="17"/>
  <c r="D59" i="16"/>
  <c r="K94" i="17"/>
  <c r="J94" i="17"/>
  <c r="I94" i="17"/>
  <c r="J94" i="16"/>
  <c r="D21" i="16"/>
  <c r="H85" i="16"/>
  <c r="H85" i="17"/>
  <c r="J85" i="17" s="1"/>
  <c r="D61" i="16"/>
  <c r="D85" i="16"/>
  <c r="H55" i="16"/>
  <c r="H55" i="17"/>
  <c r="J55" i="17" s="1"/>
  <c r="J42" i="1"/>
  <c r="N46" i="1"/>
  <c r="J46" i="1"/>
  <c r="J48" i="1"/>
  <c r="N42" i="1"/>
  <c r="J44" i="1"/>
  <c r="N48" i="1"/>
  <c r="N43" i="1"/>
  <c r="J45" i="1"/>
  <c r="N44" i="1"/>
  <c r="N45" i="1"/>
  <c r="J43" i="1"/>
  <c r="N47" i="1"/>
  <c r="J47" i="1"/>
  <c r="O47" i="1"/>
  <c r="O43" i="1"/>
  <c r="O45" i="1"/>
  <c r="O46" i="1"/>
  <c r="O42" i="1"/>
  <c r="O14" i="1"/>
  <c r="G64" i="1"/>
  <c r="O68" i="1"/>
  <c r="O67" i="1"/>
  <c r="O66" i="1"/>
  <c r="I64" i="1"/>
  <c r="O65" i="1"/>
  <c r="M70" i="1"/>
  <c r="M64" i="1"/>
  <c r="G70" i="1"/>
  <c r="O44" i="1"/>
  <c r="O48" i="1"/>
  <c r="O38" i="1"/>
  <c r="I57" i="16" l="1"/>
  <c r="I57" i="17"/>
  <c r="J58" i="16"/>
  <c r="J85" i="16"/>
  <c r="I61" i="16"/>
  <c r="I61" i="17"/>
  <c r="I56" i="16"/>
  <c r="I56" i="17"/>
  <c r="J57" i="16"/>
  <c r="J86" i="16"/>
  <c r="J60" i="16"/>
  <c r="E60" i="16"/>
  <c r="J84" i="16"/>
  <c r="I59" i="16"/>
  <c r="I59" i="17"/>
  <c r="E55" i="16"/>
  <c r="I55" i="16"/>
  <c r="I55" i="17"/>
  <c r="J51" i="16"/>
  <c r="J56" i="16"/>
  <c r="J87" i="16"/>
  <c r="E57" i="16"/>
  <c r="G78" i="16"/>
  <c r="G78" i="17"/>
  <c r="J21" i="16"/>
  <c r="E61" i="16"/>
  <c r="J59" i="16"/>
  <c r="D83" i="16"/>
  <c r="E58" i="16"/>
  <c r="J61" i="16"/>
  <c r="J61" i="17"/>
  <c r="D89" i="16"/>
  <c r="I60" i="16"/>
  <c r="I60" i="17"/>
  <c r="H83" i="16"/>
  <c r="H83" i="17"/>
  <c r="J83" i="17" s="1"/>
  <c r="E56" i="16"/>
  <c r="H89" i="16"/>
  <c r="H89" i="17"/>
  <c r="J89" i="17" s="1"/>
  <c r="J55" i="16"/>
  <c r="I58" i="16"/>
  <c r="I58" i="17"/>
  <c r="E59" i="16"/>
  <c r="N67" i="1"/>
  <c r="N66" i="1"/>
  <c r="N64" i="1"/>
  <c r="N69" i="1"/>
  <c r="N65" i="1"/>
  <c r="N70" i="1"/>
  <c r="N68" i="1"/>
  <c r="J70" i="1"/>
  <c r="J64" i="1"/>
  <c r="J69" i="1"/>
  <c r="J67" i="1"/>
  <c r="J68" i="1"/>
  <c r="J65" i="1"/>
  <c r="J66" i="1"/>
  <c r="M72" i="1"/>
  <c r="G72" i="1"/>
  <c r="O64" i="1"/>
  <c r="I72" i="1"/>
  <c r="O70" i="1"/>
  <c r="E85" i="16" l="1"/>
  <c r="E84" i="16"/>
  <c r="H91" i="16"/>
  <c r="H91" i="17"/>
  <c r="I88" i="16"/>
  <c r="I88" i="17"/>
  <c r="I89" i="16"/>
  <c r="I89" i="17"/>
  <c r="I83" i="16"/>
  <c r="I83" i="17"/>
  <c r="E88" i="16"/>
  <c r="I87" i="16"/>
  <c r="I87" i="17"/>
  <c r="I84" i="16"/>
  <c r="I84" i="17"/>
  <c r="E87" i="16"/>
  <c r="J89" i="16"/>
  <c r="D91" i="16"/>
  <c r="I85" i="16"/>
  <c r="I85" i="17"/>
  <c r="J83" i="16"/>
  <c r="E83" i="16"/>
  <c r="I86" i="16"/>
  <c r="I86" i="17"/>
  <c r="E86" i="16"/>
  <c r="E89" i="16"/>
  <c r="G73" i="1"/>
  <c r="O72" i="1"/>
  <c r="M73" i="1"/>
  <c r="N72" i="1"/>
  <c r="I73" i="1"/>
  <c r="J72" i="1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N163" i="2"/>
  <c r="N162" i="2"/>
  <c r="N161" i="2"/>
  <c r="N158" i="2"/>
  <c r="N157" i="2"/>
  <c r="N156" i="2"/>
  <c r="N155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N94" i="2"/>
  <c r="N93" i="2"/>
  <c r="N92" i="2"/>
  <c r="N83" i="2"/>
  <c r="N84" i="2"/>
  <c r="N85" i="2"/>
  <c r="N86" i="2"/>
  <c r="N87" i="2"/>
  <c r="N88" i="2"/>
  <c r="N89" i="2"/>
  <c r="D147" i="4"/>
  <c r="C147" i="4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J168" i="2"/>
  <c r="L202" i="2"/>
  <c r="J202" i="2"/>
  <c r="H202" i="2"/>
  <c r="I77" i="1" s="1"/>
  <c r="F202" i="2"/>
  <c r="E202" i="2"/>
  <c r="L184" i="2"/>
  <c r="J184" i="2"/>
  <c r="H184" i="2"/>
  <c r="I76" i="1" s="1"/>
  <c r="F184" i="2"/>
  <c r="E184" i="2"/>
  <c r="L168" i="2"/>
  <c r="H168" i="2"/>
  <c r="I75" i="1" s="1"/>
  <c r="F168" i="2"/>
  <c r="E168" i="2"/>
  <c r="J91" i="16" l="1"/>
  <c r="E91" i="16"/>
  <c r="H70" i="16"/>
  <c r="I70" i="16" s="1"/>
  <c r="H70" i="17"/>
  <c r="H68" i="16"/>
  <c r="H68" i="17"/>
  <c r="I91" i="16"/>
  <c r="I91" i="17"/>
  <c r="G76" i="1"/>
  <c r="M77" i="1"/>
  <c r="N77" i="1" s="1"/>
  <c r="M75" i="1"/>
  <c r="N75" i="1" s="1"/>
  <c r="K76" i="1"/>
  <c r="J77" i="1"/>
  <c r="K77" i="1"/>
  <c r="F75" i="1"/>
  <c r="M76" i="1"/>
  <c r="N76" i="1" s="1"/>
  <c r="K75" i="1"/>
  <c r="G75" i="1"/>
  <c r="J76" i="1"/>
  <c r="J75" i="1"/>
  <c r="G77" i="1"/>
  <c r="J82" i="2"/>
  <c r="E82" i="2"/>
  <c r="J157" i="2"/>
  <c r="E157" i="2"/>
  <c r="E162" i="2"/>
  <c r="G162" i="2" s="1"/>
  <c r="J162" i="2"/>
  <c r="J83" i="2"/>
  <c r="E83" i="2"/>
  <c r="J89" i="2"/>
  <c r="E89" i="2"/>
  <c r="E84" i="2"/>
  <c r="J84" i="2"/>
  <c r="E86" i="2"/>
  <c r="J86" i="2"/>
  <c r="J88" i="2"/>
  <c r="E88" i="2"/>
  <c r="J93" i="2"/>
  <c r="O93" i="2" s="1"/>
  <c r="E93" i="2"/>
  <c r="J155" i="2"/>
  <c r="E155" i="2"/>
  <c r="J156" i="2"/>
  <c r="E156" i="2"/>
  <c r="J158" i="2"/>
  <c r="E158" i="2"/>
  <c r="J85" i="2"/>
  <c r="E85" i="2"/>
  <c r="J94" i="2"/>
  <c r="O94" i="2" s="1"/>
  <c r="E94" i="2"/>
  <c r="J92" i="2"/>
  <c r="O92" i="2" s="1"/>
  <c r="E92" i="2"/>
  <c r="G92" i="2" s="1"/>
  <c r="E87" i="2"/>
  <c r="J87" i="2"/>
  <c r="F77" i="1"/>
  <c r="F76" i="1"/>
  <c r="G202" i="2"/>
  <c r="H167" i="2"/>
  <c r="AB167" i="2" s="1"/>
  <c r="O168" i="2"/>
  <c r="J167" i="2"/>
  <c r="O184" i="2"/>
  <c r="G184" i="2"/>
  <c r="E167" i="2"/>
  <c r="Z167" i="2" s="1"/>
  <c r="F167" i="2"/>
  <c r="AA167" i="2" s="1"/>
  <c r="N202" i="2"/>
  <c r="L167" i="2"/>
  <c r="AD167" i="2" s="1"/>
  <c r="O202" i="2"/>
  <c r="N168" i="2"/>
  <c r="N184" i="2"/>
  <c r="G168" i="2"/>
  <c r="L154" i="2"/>
  <c r="AD154" i="2" s="1"/>
  <c r="L91" i="2"/>
  <c r="AD91" i="2" s="1"/>
  <c r="L99" i="2"/>
  <c r="L115" i="2"/>
  <c r="L133" i="2"/>
  <c r="I68" i="16" l="1"/>
  <c r="K68" i="16"/>
  <c r="K70" i="16"/>
  <c r="K70" i="17"/>
  <c r="J70" i="17"/>
  <c r="I70" i="17"/>
  <c r="K68" i="17"/>
  <c r="J68" i="17"/>
  <c r="I68" i="17"/>
  <c r="AC167" i="2"/>
  <c r="O162" i="2"/>
  <c r="G94" i="2"/>
  <c r="G93" i="2"/>
  <c r="H75" i="1"/>
  <c r="M74" i="1"/>
  <c r="P75" i="1"/>
  <c r="H76" i="1"/>
  <c r="G74" i="1"/>
  <c r="H77" i="1"/>
  <c r="P77" i="1"/>
  <c r="O77" i="1"/>
  <c r="I74" i="1"/>
  <c r="K74" i="1"/>
  <c r="O76" i="1"/>
  <c r="M55" i="1"/>
  <c r="N55" i="1" s="1"/>
  <c r="P76" i="1"/>
  <c r="O75" i="1"/>
  <c r="K41" i="1"/>
  <c r="M57" i="1"/>
  <c r="N57" i="1" s="1"/>
  <c r="M56" i="1"/>
  <c r="N56" i="1" s="1"/>
  <c r="O82" i="2"/>
  <c r="K82" i="2"/>
  <c r="G82" i="2"/>
  <c r="F41" i="1"/>
  <c r="H41" i="1" s="1"/>
  <c r="K68" i="1"/>
  <c r="O158" i="2"/>
  <c r="K45" i="1"/>
  <c r="O86" i="2"/>
  <c r="K46" i="1"/>
  <c r="O87" i="2"/>
  <c r="K66" i="1"/>
  <c r="O156" i="2"/>
  <c r="F45" i="1"/>
  <c r="H45" i="1" s="1"/>
  <c r="G86" i="2"/>
  <c r="F66" i="1"/>
  <c r="G156" i="2"/>
  <c r="F46" i="1"/>
  <c r="H46" i="1" s="1"/>
  <c r="G87" i="2"/>
  <c r="F65" i="1"/>
  <c r="G155" i="2"/>
  <c r="K43" i="1"/>
  <c r="O84" i="2"/>
  <c r="K42" i="1"/>
  <c r="O83" i="2"/>
  <c r="K65" i="1"/>
  <c r="O155" i="2"/>
  <c r="F43" i="1"/>
  <c r="H43" i="1" s="1"/>
  <c r="G84" i="2"/>
  <c r="K47" i="1"/>
  <c r="O88" i="2"/>
  <c r="F44" i="1"/>
  <c r="G85" i="2"/>
  <c r="F48" i="1"/>
  <c r="G89" i="2"/>
  <c r="F67" i="1"/>
  <c r="G157" i="2"/>
  <c r="K44" i="1"/>
  <c r="O85" i="2"/>
  <c r="K48" i="1"/>
  <c r="O89" i="2"/>
  <c r="K67" i="1"/>
  <c r="O157" i="2"/>
  <c r="F68" i="1"/>
  <c r="G158" i="2"/>
  <c r="F47" i="1"/>
  <c r="G88" i="2"/>
  <c r="F42" i="1"/>
  <c r="H42" i="1" s="1"/>
  <c r="G83" i="2"/>
  <c r="F74" i="1"/>
  <c r="M12" i="1"/>
  <c r="M50" i="1"/>
  <c r="G167" i="2"/>
  <c r="M210" i="2"/>
  <c r="M194" i="2"/>
  <c r="M186" i="2"/>
  <c r="M178" i="2"/>
  <c r="M170" i="2"/>
  <c r="M209" i="2"/>
  <c r="M193" i="2"/>
  <c r="M185" i="2"/>
  <c r="M177" i="2"/>
  <c r="M169" i="2"/>
  <c r="M212" i="2"/>
  <c r="M208" i="2"/>
  <c r="M192" i="2"/>
  <c r="M176" i="2"/>
  <c r="M158" i="2"/>
  <c r="M216" i="2"/>
  <c r="M207" i="2"/>
  <c r="M199" i="2"/>
  <c r="M191" i="2"/>
  <c r="M175" i="2"/>
  <c r="M157" i="2"/>
  <c r="M215" i="2"/>
  <c r="M206" i="2"/>
  <c r="M198" i="2"/>
  <c r="M190" i="2"/>
  <c r="M182" i="2"/>
  <c r="M174" i="2"/>
  <c r="M156" i="2"/>
  <c r="M214" i="2"/>
  <c r="M205" i="2"/>
  <c r="M197" i="2"/>
  <c r="M189" i="2"/>
  <c r="M181" i="2"/>
  <c r="M173" i="2"/>
  <c r="M163" i="2"/>
  <c r="M155" i="2"/>
  <c r="M213" i="2"/>
  <c r="M204" i="2"/>
  <c r="M196" i="2"/>
  <c r="M188" i="2"/>
  <c r="M180" i="2"/>
  <c r="M172" i="2"/>
  <c r="M162" i="2"/>
  <c r="M154" i="2"/>
  <c r="M211" i="2"/>
  <c r="M203" i="2"/>
  <c r="M195" i="2"/>
  <c r="M187" i="2"/>
  <c r="M179" i="2"/>
  <c r="M171" i="2"/>
  <c r="M161" i="2"/>
  <c r="M168" i="2"/>
  <c r="M202" i="2"/>
  <c r="M184" i="2"/>
  <c r="L98" i="2"/>
  <c r="M13" i="1"/>
  <c r="J154" i="2"/>
  <c r="J99" i="2"/>
  <c r="J91" i="2"/>
  <c r="AC91" i="2" s="1"/>
  <c r="J133" i="2"/>
  <c r="M115" i="2"/>
  <c r="J115" i="2"/>
  <c r="H20" i="16" l="1"/>
  <c r="H20" i="17"/>
  <c r="J20" i="17" s="1"/>
  <c r="F57" i="16"/>
  <c r="F57" i="17"/>
  <c r="F60" i="16"/>
  <c r="F60" i="17"/>
  <c r="H63" i="16"/>
  <c r="H63" i="17"/>
  <c r="J63" i="17" s="1"/>
  <c r="F85" i="16"/>
  <c r="F85" i="17"/>
  <c r="H19" i="16"/>
  <c r="H19" i="17"/>
  <c r="J19" i="17" s="1"/>
  <c r="F87" i="16"/>
  <c r="F87" i="17"/>
  <c r="F86" i="16"/>
  <c r="F86" i="17"/>
  <c r="F46" i="16"/>
  <c r="H46" i="16" s="1"/>
  <c r="F46" i="17"/>
  <c r="H46" i="17" s="1"/>
  <c r="F84" i="16"/>
  <c r="F84" i="17"/>
  <c r="F59" i="16"/>
  <c r="F59" i="17"/>
  <c r="F93" i="16"/>
  <c r="F93" i="17"/>
  <c r="H93" i="16"/>
  <c r="H93" i="17"/>
  <c r="J93" i="17" s="1"/>
  <c r="F61" i="16"/>
  <c r="F61" i="17"/>
  <c r="F55" i="16"/>
  <c r="F55" i="17"/>
  <c r="F58" i="16"/>
  <c r="F58" i="17"/>
  <c r="F56" i="16"/>
  <c r="F56" i="17"/>
  <c r="D93" i="16"/>
  <c r="F54" i="16"/>
  <c r="F54" i="17"/>
  <c r="AD98" i="2"/>
  <c r="K162" i="2"/>
  <c r="K201" i="2"/>
  <c r="K183" i="2"/>
  <c r="K200" i="2"/>
  <c r="K178" i="2"/>
  <c r="K179" i="2"/>
  <c r="K174" i="2"/>
  <c r="K185" i="2"/>
  <c r="K194" i="2"/>
  <c r="K187" i="2"/>
  <c r="K170" i="2"/>
  <c r="K216" i="2"/>
  <c r="K173" i="2"/>
  <c r="K182" i="2"/>
  <c r="K193" i="2"/>
  <c r="K205" i="2"/>
  <c r="K195" i="2"/>
  <c r="K207" i="2"/>
  <c r="K186" i="2"/>
  <c r="K177" i="2"/>
  <c r="K172" i="2"/>
  <c r="K181" i="2"/>
  <c r="K192" i="2"/>
  <c r="K204" i="2"/>
  <c r="K213" i="2"/>
  <c r="K206" i="2"/>
  <c r="K171" i="2"/>
  <c r="K180" i="2"/>
  <c r="K191" i="2"/>
  <c r="K203" i="2"/>
  <c r="K212" i="2"/>
  <c r="K214" i="2"/>
  <c r="K190" i="2"/>
  <c r="K199" i="2"/>
  <c r="K211" i="2"/>
  <c r="K215" i="2"/>
  <c r="K188" i="2"/>
  <c r="K198" i="2"/>
  <c r="K209" i="2"/>
  <c r="K176" i="2"/>
  <c r="K169" i="2"/>
  <c r="K175" i="2"/>
  <c r="K210" i="2"/>
  <c r="K196" i="2"/>
  <c r="K197" i="2"/>
  <c r="K208" i="2"/>
  <c r="K189" i="2"/>
  <c r="K184" i="2"/>
  <c r="K202" i="2"/>
  <c r="K168" i="2"/>
  <c r="K167" i="2"/>
  <c r="K155" i="2"/>
  <c r="K154" i="2"/>
  <c r="K158" i="2"/>
  <c r="K157" i="2"/>
  <c r="K156" i="2"/>
  <c r="AC154" i="2"/>
  <c r="J74" i="1"/>
  <c r="G78" i="1"/>
  <c r="G79" i="17" s="1"/>
  <c r="G80" i="17" s="1"/>
  <c r="H68" i="1"/>
  <c r="H67" i="1"/>
  <c r="H66" i="1"/>
  <c r="L46" i="1"/>
  <c r="L48" i="1"/>
  <c r="L42" i="1"/>
  <c r="L45" i="1"/>
  <c r="L44" i="1"/>
  <c r="L47" i="1"/>
  <c r="L43" i="1"/>
  <c r="N50" i="1"/>
  <c r="H48" i="1"/>
  <c r="H47" i="1"/>
  <c r="H44" i="1"/>
  <c r="M78" i="1"/>
  <c r="N74" i="1"/>
  <c r="P41" i="1"/>
  <c r="L41" i="1"/>
  <c r="P74" i="1"/>
  <c r="H74" i="1"/>
  <c r="O74" i="1"/>
  <c r="I78" i="1"/>
  <c r="M54" i="1"/>
  <c r="K56" i="1"/>
  <c r="L56" i="1" s="1"/>
  <c r="K50" i="1"/>
  <c r="K57" i="1"/>
  <c r="K55" i="1"/>
  <c r="L55" i="1" s="1"/>
  <c r="P47" i="1"/>
  <c r="P66" i="1"/>
  <c r="P48" i="1"/>
  <c r="P42" i="1"/>
  <c r="P46" i="1"/>
  <c r="P44" i="1"/>
  <c r="P43" i="1"/>
  <c r="P45" i="1"/>
  <c r="P67" i="1"/>
  <c r="P68" i="1"/>
  <c r="O154" i="2"/>
  <c r="L165" i="2"/>
  <c r="AD165" i="2" s="1"/>
  <c r="M52" i="1"/>
  <c r="M11" i="1"/>
  <c r="O91" i="2"/>
  <c r="K12" i="1"/>
  <c r="O99" i="2"/>
  <c r="M160" i="2"/>
  <c r="O115" i="2"/>
  <c r="L96" i="2"/>
  <c r="M145" i="2"/>
  <c r="M137" i="2"/>
  <c r="M129" i="2"/>
  <c r="M121" i="2"/>
  <c r="M113" i="2"/>
  <c r="M105" i="2"/>
  <c r="M138" i="2"/>
  <c r="M144" i="2"/>
  <c r="M136" i="2"/>
  <c r="M128" i="2"/>
  <c r="M120" i="2"/>
  <c r="M112" i="2"/>
  <c r="M104" i="2"/>
  <c r="M130" i="2"/>
  <c r="M143" i="2"/>
  <c r="M135" i="2"/>
  <c r="M127" i="2"/>
  <c r="M119" i="2"/>
  <c r="M111" i="2"/>
  <c r="M103" i="2"/>
  <c r="M94" i="2"/>
  <c r="M142" i="2"/>
  <c r="M134" i="2"/>
  <c r="M126" i="2"/>
  <c r="M118" i="2"/>
  <c r="M110" i="2"/>
  <c r="M102" i="2"/>
  <c r="M93" i="2"/>
  <c r="M122" i="2"/>
  <c r="M141" i="2"/>
  <c r="M125" i="2"/>
  <c r="M117" i="2"/>
  <c r="M109" i="2"/>
  <c r="M101" i="2"/>
  <c r="M92" i="2"/>
  <c r="M140" i="2"/>
  <c r="M124" i="2"/>
  <c r="M116" i="2"/>
  <c r="M108" i="2"/>
  <c r="M100" i="2"/>
  <c r="M146" i="2"/>
  <c r="M106" i="2"/>
  <c r="M79" i="2"/>
  <c r="M147" i="2"/>
  <c r="M139" i="2"/>
  <c r="M123" i="2"/>
  <c r="M107" i="2"/>
  <c r="M133" i="2"/>
  <c r="M99" i="2"/>
  <c r="J98" i="2"/>
  <c r="O133" i="2"/>
  <c r="M91" i="2"/>
  <c r="M98" i="2"/>
  <c r="H154" i="2"/>
  <c r="AB154" i="2" s="1"/>
  <c r="E99" i="2"/>
  <c r="F99" i="2"/>
  <c r="H91" i="2"/>
  <c r="I50" i="1" s="1"/>
  <c r="I12" i="1" l="1"/>
  <c r="AB91" i="2"/>
  <c r="G61" i="16"/>
  <c r="G61" i="17"/>
  <c r="K61" i="16"/>
  <c r="K61" i="17"/>
  <c r="K87" i="16"/>
  <c r="K87" i="17"/>
  <c r="K85" i="16"/>
  <c r="K85" i="17"/>
  <c r="J93" i="16"/>
  <c r="K86" i="16"/>
  <c r="K86" i="17"/>
  <c r="K60" i="16"/>
  <c r="K60" i="17"/>
  <c r="G59" i="16"/>
  <c r="G59" i="17"/>
  <c r="K56" i="16"/>
  <c r="K56" i="17"/>
  <c r="G54" i="16"/>
  <c r="G54" i="17"/>
  <c r="G56" i="16"/>
  <c r="G56" i="17"/>
  <c r="F19" i="16"/>
  <c r="F19" i="17"/>
  <c r="K58" i="16"/>
  <c r="K58" i="17"/>
  <c r="K93" i="16"/>
  <c r="K93" i="17"/>
  <c r="H18" i="16"/>
  <c r="H18" i="17"/>
  <c r="J18" i="17" s="1"/>
  <c r="K57" i="16"/>
  <c r="K57" i="17"/>
  <c r="F63" i="16"/>
  <c r="F63" i="17"/>
  <c r="K54" i="16"/>
  <c r="K54" i="17"/>
  <c r="G60" i="16"/>
  <c r="G60" i="17"/>
  <c r="G55" i="16"/>
  <c r="G55" i="17"/>
  <c r="H65" i="16"/>
  <c r="H65" i="17"/>
  <c r="J65" i="17" s="1"/>
  <c r="K59" i="16"/>
  <c r="K59" i="17"/>
  <c r="I93" i="16"/>
  <c r="I93" i="17"/>
  <c r="G57" i="16"/>
  <c r="G57" i="17"/>
  <c r="D97" i="16"/>
  <c r="I63" i="16"/>
  <c r="I63" i="17"/>
  <c r="K55" i="16"/>
  <c r="K55" i="17"/>
  <c r="H67" i="16"/>
  <c r="H67" i="17"/>
  <c r="J67" i="17" s="1"/>
  <c r="H97" i="16"/>
  <c r="H97" i="17"/>
  <c r="G58" i="16"/>
  <c r="G58" i="17"/>
  <c r="E93" i="16"/>
  <c r="G25" i="1"/>
  <c r="G79" i="16"/>
  <c r="G80" i="16" s="1"/>
  <c r="AC98" i="2"/>
  <c r="M96" i="2"/>
  <c r="AD96" i="2"/>
  <c r="G79" i="1"/>
  <c r="M79" i="1"/>
  <c r="N54" i="1"/>
  <c r="N52" i="1"/>
  <c r="J78" i="1"/>
  <c r="O78" i="1"/>
  <c r="M25" i="1"/>
  <c r="N78" i="1"/>
  <c r="P57" i="1"/>
  <c r="L57" i="1"/>
  <c r="P50" i="1"/>
  <c r="L50" i="1"/>
  <c r="I25" i="1"/>
  <c r="I79" i="1"/>
  <c r="G55" i="1"/>
  <c r="F55" i="1"/>
  <c r="M165" i="2"/>
  <c r="L166" i="2"/>
  <c r="M53" i="1"/>
  <c r="M58" i="1"/>
  <c r="P12" i="1"/>
  <c r="L148" i="2"/>
  <c r="L97" i="2"/>
  <c r="I154" i="2"/>
  <c r="I215" i="2"/>
  <c r="I206" i="2"/>
  <c r="I198" i="2"/>
  <c r="I190" i="2"/>
  <c r="I182" i="2"/>
  <c r="I174" i="2"/>
  <c r="I156" i="2"/>
  <c r="I214" i="2"/>
  <c r="I205" i="2"/>
  <c r="I197" i="2"/>
  <c r="I189" i="2"/>
  <c r="I181" i="2"/>
  <c r="I173" i="2"/>
  <c r="I163" i="2"/>
  <c r="I155" i="2"/>
  <c r="I213" i="2"/>
  <c r="I204" i="2"/>
  <c r="I196" i="2"/>
  <c r="I188" i="2"/>
  <c r="I180" i="2"/>
  <c r="I172" i="2"/>
  <c r="I162" i="2"/>
  <c r="I212" i="2"/>
  <c r="I203" i="2"/>
  <c r="I195" i="2"/>
  <c r="I187" i="2"/>
  <c r="I179" i="2"/>
  <c r="I171" i="2"/>
  <c r="I161" i="2"/>
  <c r="I211" i="2"/>
  <c r="I194" i="2"/>
  <c r="I186" i="2"/>
  <c r="I178" i="2"/>
  <c r="I170" i="2"/>
  <c r="I210" i="2"/>
  <c r="I193" i="2"/>
  <c r="I185" i="2"/>
  <c r="I177" i="2"/>
  <c r="I169" i="2"/>
  <c r="I208" i="2"/>
  <c r="I209" i="2"/>
  <c r="I192" i="2"/>
  <c r="I176" i="2"/>
  <c r="I158" i="2"/>
  <c r="I216" i="2"/>
  <c r="I207" i="2"/>
  <c r="I199" i="2"/>
  <c r="I191" i="2"/>
  <c r="I175" i="2"/>
  <c r="I157" i="2"/>
  <c r="I202" i="2"/>
  <c r="I184" i="2"/>
  <c r="I168" i="2"/>
  <c r="N154" i="2"/>
  <c r="K98" i="2"/>
  <c r="K91" i="2"/>
  <c r="O98" i="2"/>
  <c r="N91" i="2"/>
  <c r="J96" i="2"/>
  <c r="K143" i="2"/>
  <c r="K135" i="2"/>
  <c r="K127" i="2"/>
  <c r="K119" i="2"/>
  <c r="K111" i="2"/>
  <c r="K103" i="2"/>
  <c r="K94" i="2"/>
  <c r="K86" i="2"/>
  <c r="K79" i="2"/>
  <c r="K142" i="2"/>
  <c r="K134" i="2"/>
  <c r="K126" i="2"/>
  <c r="K118" i="2"/>
  <c r="K110" i="2"/>
  <c r="K102" i="2"/>
  <c r="K93" i="2"/>
  <c r="K85" i="2"/>
  <c r="K141" i="2"/>
  <c r="K125" i="2"/>
  <c r="K117" i="2"/>
  <c r="K109" i="2"/>
  <c r="K101" i="2"/>
  <c r="K92" i="2"/>
  <c r="K84" i="2"/>
  <c r="K140" i="2"/>
  <c r="K124" i="2"/>
  <c r="K116" i="2"/>
  <c r="K108" i="2"/>
  <c r="K100" i="2"/>
  <c r="K83" i="2"/>
  <c r="K147" i="2"/>
  <c r="K139" i="2"/>
  <c r="K123" i="2"/>
  <c r="K107" i="2"/>
  <c r="K146" i="2"/>
  <c r="K138" i="2"/>
  <c r="K130" i="2"/>
  <c r="K122" i="2"/>
  <c r="K106" i="2"/>
  <c r="K89" i="2"/>
  <c r="K144" i="2"/>
  <c r="K128" i="2"/>
  <c r="K112" i="2"/>
  <c r="K145" i="2"/>
  <c r="K137" i="2"/>
  <c r="K129" i="2"/>
  <c r="K121" i="2"/>
  <c r="K113" i="2"/>
  <c r="K105" i="2"/>
  <c r="K88" i="2"/>
  <c r="K136" i="2"/>
  <c r="K120" i="2"/>
  <c r="K104" i="2"/>
  <c r="K87" i="2"/>
  <c r="O79" i="2"/>
  <c r="K133" i="2"/>
  <c r="G99" i="2"/>
  <c r="K99" i="2"/>
  <c r="K115" i="2"/>
  <c r="F154" i="2"/>
  <c r="AA154" i="2" s="1"/>
  <c r="I91" i="2"/>
  <c r="F115" i="2"/>
  <c r="F91" i="2"/>
  <c r="AA91" i="2" s="1"/>
  <c r="F133" i="2"/>
  <c r="E97" i="16" l="1"/>
  <c r="H71" i="16"/>
  <c r="H71" i="17"/>
  <c r="J71" i="17" s="1"/>
  <c r="G63" i="16"/>
  <c r="G63" i="17"/>
  <c r="I65" i="16"/>
  <c r="I65" i="17"/>
  <c r="D32" i="16"/>
  <c r="K63" i="16"/>
  <c r="K63" i="17"/>
  <c r="H98" i="16"/>
  <c r="H98" i="17"/>
  <c r="I97" i="16"/>
  <c r="I97" i="17"/>
  <c r="I67" i="16"/>
  <c r="I67" i="17"/>
  <c r="D20" i="16"/>
  <c r="K19" i="16"/>
  <c r="K19" i="17"/>
  <c r="H32" i="16"/>
  <c r="H32" i="17"/>
  <c r="D19" i="16"/>
  <c r="D63" i="16"/>
  <c r="D98" i="16"/>
  <c r="J97" i="16"/>
  <c r="AC96" i="2"/>
  <c r="L149" i="2"/>
  <c r="AD148" i="2"/>
  <c r="N58" i="1"/>
  <c r="J50" i="1"/>
  <c r="J148" i="2"/>
  <c r="O25" i="1"/>
  <c r="M24" i="1"/>
  <c r="G56" i="1"/>
  <c r="G57" i="1"/>
  <c r="H165" i="2"/>
  <c r="AB165" i="2" s="1"/>
  <c r="O12" i="1"/>
  <c r="I52" i="1"/>
  <c r="O50" i="1"/>
  <c r="M59" i="1"/>
  <c r="G12" i="1"/>
  <c r="G50" i="1"/>
  <c r="M148" i="2"/>
  <c r="O13" i="1"/>
  <c r="I11" i="1"/>
  <c r="J97" i="2"/>
  <c r="F98" i="2"/>
  <c r="K96" i="2"/>
  <c r="I160" i="2"/>
  <c r="N160" i="2"/>
  <c r="H96" i="2"/>
  <c r="I141" i="2"/>
  <c r="I125" i="2"/>
  <c r="I117" i="2"/>
  <c r="I109" i="2"/>
  <c r="I101" i="2"/>
  <c r="I92" i="2"/>
  <c r="I84" i="2"/>
  <c r="I102" i="2"/>
  <c r="I140" i="2"/>
  <c r="I124" i="2"/>
  <c r="I116" i="2"/>
  <c r="I108" i="2"/>
  <c r="I100" i="2"/>
  <c r="I83" i="2"/>
  <c r="I79" i="2"/>
  <c r="I93" i="2"/>
  <c r="I147" i="2"/>
  <c r="I139" i="2"/>
  <c r="I123" i="2"/>
  <c r="I107" i="2"/>
  <c r="I118" i="2"/>
  <c r="I146" i="2"/>
  <c r="I138" i="2"/>
  <c r="I130" i="2"/>
  <c r="I122" i="2"/>
  <c r="I106" i="2"/>
  <c r="I89" i="2"/>
  <c r="I110" i="2"/>
  <c r="I145" i="2"/>
  <c r="I137" i="2"/>
  <c r="I129" i="2"/>
  <c r="I121" i="2"/>
  <c r="I113" i="2"/>
  <c r="I105" i="2"/>
  <c r="I88" i="2"/>
  <c r="I126" i="2"/>
  <c r="I144" i="2"/>
  <c r="I136" i="2"/>
  <c r="I128" i="2"/>
  <c r="I120" i="2"/>
  <c r="I112" i="2"/>
  <c r="I104" i="2"/>
  <c r="I87" i="2"/>
  <c r="I142" i="2"/>
  <c r="I143" i="2"/>
  <c r="I135" i="2"/>
  <c r="I127" i="2"/>
  <c r="I119" i="2"/>
  <c r="I111" i="2"/>
  <c r="I103" i="2"/>
  <c r="I94" i="2"/>
  <c r="I86" i="2"/>
  <c r="I134" i="2"/>
  <c r="I85" i="2"/>
  <c r="N79" i="2"/>
  <c r="G13" i="1"/>
  <c r="E154" i="2"/>
  <c r="Z154" i="2" s="1"/>
  <c r="E115" i="2"/>
  <c r="E91" i="2"/>
  <c r="Z91" i="2" s="1"/>
  <c r="E133" i="2"/>
  <c r="J32" i="16" l="1"/>
  <c r="J63" i="16"/>
  <c r="E63" i="16"/>
  <c r="D18" i="16"/>
  <c r="J19" i="16"/>
  <c r="I71" i="16"/>
  <c r="I71" i="17"/>
  <c r="H31" i="16"/>
  <c r="H31" i="17"/>
  <c r="J31" i="17" s="1"/>
  <c r="D65" i="16"/>
  <c r="J20" i="16"/>
  <c r="H72" i="16"/>
  <c r="H72" i="17"/>
  <c r="AB96" i="2"/>
  <c r="AA98" i="2"/>
  <c r="S11" i="1"/>
  <c r="J149" i="2"/>
  <c r="AC148" i="2"/>
  <c r="K148" i="2"/>
  <c r="H166" i="2"/>
  <c r="N165" i="2"/>
  <c r="H97" i="2"/>
  <c r="N96" i="2"/>
  <c r="J52" i="1"/>
  <c r="O52" i="1"/>
  <c r="G54" i="1"/>
  <c r="F50" i="1"/>
  <c r="H50" i="1" s="1"/>
  <c r="G154" i="2"/>
  <c r="F165" i="2"/>
  <c r="AA165" i="2" s="1"/>
  <c r="G115" i="2"/>
  <c r="F56" i="1"/>
  <c r="G133" i="2"/>
  <c r="F57" i="1"/>
  <c r="H57" i="1" s="1"/>
  <c r="G52" i="1"/>
  <c r="I53" i="1"/>
  <c r="O11" i="1"/>
  <c r="G11" i="1"/>
  <c r="G91" i="2"/>
  <c r="F12" i="1"/>
  <c r="I165" i="2"/>
  <c r="F96" i="2"/>
  <c r="G79" i="2"/>
  <c r="I96" i="2"/>
  <c r="E96" i="2"/>
  <c r="E98" i="2"/>
  <c r="J65" i="16" l="1"/>
  <c r="E65" i="16"/>
  <c r="J18" i="16"/>
  <c r="AA96" i="2"/>
  <c r="O96" i="2"/>
  <c r="Z98" i="2"/>
  <c r="Z96" i="2"/>
  <c r="G98" i="2"/>
  <c r="G96" i="2"/>
  <c r="F166" i="2"/>
  <c r="F97" i="2"/>
  <c r="J163" i="2"/>
  <c r="K163" i="2" s="1"/>
  <c r="J161" i="2"/>
  <c r="K161" i="2" s="1"/>
  <c r="E161" i="2"/>
  <c r="G161" i="2" s="1"/>
  <c r="E163" i="2"/>
  <c r="G53" i="1"/>
  <c r="G58" i="1"/>
  <c r="H12" i="1"/>
  <c r="F148" i="2"/>
  <c r="AA148" i="2" s="1"/>
  <c r="F217" i="2"/>
  <c r="E97" i="2"/>
  <c r="E148" i="2"/>
  <c r="Z148" i="2" s="1"/>
  <c r="G47" i="16" l="1"/>
  <c r="G48" i="16" s="1"/>
  <c r="G47" i="17"/>
  <c r="G48" i="17" s="1"/>
  <c r="O161" i="2"/>
  <c r="AA217" i="2"/>
  <c r="E149" i="2"/>
  <c r="G148" i="2"/>
  <c r="F218" i="2"/>
  <c r="F149" i="2"/>
  <c r="G59" i="1"/>
  <c r="G24" i="1"/>
  <c r="F14" i="1"/>
  <c r="H14" i="1" s="1"/>
  <c r="K14" i="1"/>
  <c r="O163" i="2"/>
  <c r="J160" i="2"/>
  <c r="E160" i="2"/>
  <c r="Z160" i="2" s="1"/>
  <c r="G163" i="2"/>
  <c r="F21" i="16" l="1"/>
  <c r="F21" i="17"/>
  <c r="AC160" i="2"/>
  <c r="K160" i="2"/>
  <c r="P14" i="1"/>
  <c r="G160" i="2"/>
  <c r="K70" i="1"/>
  <c r="K13" i="1"/>
  <c r="J165" i="2"/>
  <c r="O160" i="2"/>
  <c r="F70" i="1"/>
  <c r="F13" i="1"/>
  <c r="H13" i="1" s="1"/>
  <c r="E165" i="2"/>
  <c r="F20" i="16" l="1"/>
  <c r="F20" i="17"/>
  <c r="K21" i="16"/>
  <c r="K21" i="17"/>
  <c r="F89" i="16"/>
  <c r="F89" i="17"/>
  <c r="AC165" i="2"/>
  <c r="K165" i="2"/>
  <c r="G165" i="2"/>
  <c r="Z165" i="2"/>
  <c r="H70" i="1"/>
  <c r="K11" i="1"/>
  <c r="J166" i="2"/>
  <c r="O165" i="2"/>
  <c r="P70" i="1"/>
  <c r="P13" i="1"/>
  <c r="F11" i="1"/>
  <c r="H11" i="1" s="1"/>
  <c r="E166" i="2"/>
  <c r="E217" i="2"/>
  <c r="Z217" i="2" s="1"/>
  <c r="P67" i="4"/>
  <c r="O67" i="4"/>
  <c r="N67" i="4"/>
  <c r="M67" i="4"/>
  <c r="L67" i="4"/>
  <c r="K67" i="4"/>
  <c r="J67" i="4"/>
  <c r="I67" i="4"/>
  <c r="H67" i="4"/>
  <c r="G67" i="4"/>
  <c r="F67" i="4"/>
  <c r="E67" i="4"/>
  <c r="P66" i="4"/>
  <c r="O66" i="4"/>
  <c r="N66" i="4"/>
  <c r="M66" i="4"/>
  <c r="L66" i="4"/>
  <c r="K66" i="4"/>
  <c r="J66" i="4"/>
  <c r="I66" i="4"/>
  <c r="H66" i="4"/>
  <c r="G66" i="4"/>
  <c r="F66" i="4"/>
  <c r="E66" i="4"/>
  <c r="P65" i="4"/>
  <c r="O65" i="4"/>
  <c r="N65" i="4"/>
  <c r="M65" i="4"/>
  <c r="L65" i="4"/>
  <c r="K65" i="4"/>
  <c r="J65" i="4"/>
  <c r="I65" i="4"/>
  <c r="H65" i="4"/>
  <c r="G65" i="4"/>
  <c r="F65" i="4"/>
  <c r="E65" i="4"/>
  <c r="P64" i="4"/>
  <c r="O64" i="4"/>
  <c r="N64" i="4"/>
  <c r="M64" i="4"/>
  <c r="L64" i="4"/>
  <c r="K64" i="4"/>
  <c r="J64" i="4"/>
  <c r="I64" i="4"/>
  <c r="H64" i="4"/>
  <c r="G64" i="4"/>
  <c r="F64" i="4"/>
  <c r="E64" i="4"/>
  <c r="P63" i="4"/>
  <c r="O63" i="4"/>
  <c r="N63" i="4"/>
  <c r="M63" i="4"/>
  <c r="L63" i="4"/>
  <c r="K63" i="4"/>
  <c r="J63" i="4"/>
  <c r="I63" i="4"/>
  <c r="H63" i="4"/>
  <c r="G63" i="4"/>
  <c r="F63" i="4"/>
  <c r="E63" i="4"/>
  <c r="P62" i="4"/>
  <c r="O62" i="4"/>
  <c r="N62" i="4"/>
  <c r="M62" i="4"/>
  <c r="L62" i="4"/>
  <c r="K62" i="4"/>
  <c r="J62" i="4"/>
  <c r="I62" i="4"/>
  <c r="H62" i="4"/>
  <c r="G62" i="4"/>
  <c r="F62" i="4"/>
  <c r="E62" i="4"/>
  <c r="P61" i="4"/>
  <c r="O61" i="4"/>
  <c r="N61" i="4"/>
  <c r="M61" i="4"/>
  <c r="L61" i="4"/>
  <c r="K61" i="4"/>
  <c r="J61" i="4"/>
  <c r="I61" i="4"/>
  <c r="H61" i="4"/>
  <c r="G61" i="4"/>
  <c r="F61" i="4"/>
  <c r="E61" i="4"/>
  <c r="P60" i="4"/>
  <c r="O60" i="4"/>
  <c r="N60" i="4"/>
  <c r="M60" i="4"/>
  <c r="L60" i="4"/>
  <c r="K60" i="4"/>
  <c r="J60" i="4"/>
  <c r="I60" i="4"/>
  <c r="H60" i="4"/>
  <c r="G60" i="4"/>
  <c r="F60" i="4"/>
  <c r="E60" i="4"/>
  <c r="P59" i="4"/>
  <c r="O59" i="4"/>
  <c r="N59" i="4"/>
  <c r="M59" i="4"/>
  <c r="L59" i="4"/>
  <c r="K59" i="4"/>
  <c r="J59" i="4"/>
  <c r="I59" i="4"/>
  <c r="H59" i="4"/>
  <c r="G59" i="4"/>
  <c r="F59" i="4"/>
  <c r="E59" i="4"/>
  <c r="P58" i="4"/>
  <c r="O58" i="4"/>
  <c r="N58" i="4"/>
  <c r="M58" i="4"/>
  <c r="L58" i="4"/>
  <c r="K58" i="4"/>
  <c r="J58" i="4"/>
  <c r="I58" i="4"/>
  <c r="H58" i="4"/>
  <c r="G58" i="4"/>
  <c r="F58" i="4"/>
  <c r="E58" i="4"/>
  <c r="P57" i="4"/>
  <c r="O57" i="4"/>
  <c r="N57" i="4"/>
  <c r="M57" i="4"/>
  <c r="L57" i="4"/>
  <c r="K57" i="4"/>
  <c r="J57" i="4"/>
  <c r="I57" i="4"/>
  <c r="H57" i="4"/>
  <c r="G57" i="4"/>
  <c r="F57" i="4"/>
  <c r="E57" i="4"/>
  <c r="P56" i="4"/>
  <c r="O56" i="4"/>
  <c r="N56" i="4"/>
  <c r="M56" i="4"/>
  <c r="L56" i="4"/>
  <c r="K56" i="4"/>
  <c r="J56" i="4"/>
  <c r="I56" i="4"/>
  <c r="H56" i="4"/>
  <c r="G56" i="4"/>
  <c r="F56" i="4"/>
  <c r="E56" i="4"/>
  <c r="P55" i="4"/>
  <c r="O55" i="4"/>
  <c r="N55" i="4"/>
  <c r="M55" i="4"/>
  <c r="L55" i="4"/>
  <c r="L53" i="4" s="1"/>
  <c r="K55" i="4"/>
  <c r="J55" i="4"/>
  <c r="I55" i="4"/>
  <c r="H55" i="4"/>
  <c r="G55" i="4"/>
  <c r="F55" i="4"/>
  <c r="E55" i="4"/>
  <c r="P54" i="4"/>
  <c r="P53" i="4" s="1"/>
  <c r="O54" i="4"/>
  <c r="N54" i="4"/>
  <c r="M54" i="4"/>
  <c r="L54" i="4"/>
  <c r="K54" i="4"/>
  <c r="J54" i="4"/>
  <c r="I54" i="4"/>
  <c r="H54" i="4"/>
  <c r="H53" i="4" s="1"/>
  <c r="G54" i="4"/>
  <c r="F54" i="4"/>
  <c r="E54" i="4"/>
  <c r="P50" i="4"/>
  <c r="O50" i="4"/>
  <c r="N50" i="4"/>
  <c r="M50" i="4"/>
  <c r="L50" i="4"/>
  <c r="K50" i="4"/>
  <c r="J50" i="4"/>
  <c r="I50" i="4"/>
  <c r="H50" i="4"/>
  <c r="G50" i="4"/>
  <c r="F50" i="4"/>
  <c r="E50" i="4"/>
  <c r="P49" i="4"/>
  <c r="O49" i="4"/>
  <c r="N49" i="4"/>
  <c r="M49" i="4"/>
  <c r="L49" i="4"/>
  <c r="K49" i="4"/>
  <c r="J49" i="4"/>
  <c r="I49" i="4"/>
  <c r="H49" i="4"/>
  <c r="G49" i="4"/>
  <c r="F49" i="4"/>
  <c r="E49" i="4"/>
  <c r="P48" i="4"/>
  <c r="O48" i="4"/>
  <c r="N48" i="4"/>
  <c r="M48" i="4"/>
  <c r="L48" i="4"/>
  <c r="K48" i="4"/>
  <c r="J48" i="4"/>
  <c r="I48" i="4"/>
  <c r="H48" i="4"/>
  <c r="G48" i="4"/>
  <c r="F48" i="4"/>
  <c r="E48" i="4"/>
  <c r="P47" i="4"/>
  <c r="O47" i="4"/>
  <c r="N47" i="4"/>
  <c r="M47" i="4"/>
  <c r="L47" i="4"/>
  <c r="K47" i="4"/>
  <c r="J47" i="4"/>
  <c r="I47" i="4"/>
  <c r="H47" i="4"/>
  <c r="G47" i="4"/>
  <c r="F47" i="4"/>
  <c r="E47" i="4"/>
  <c r="P46" i="4"/>
  <c r="O46" i="4"/>
  <c r="N46" i="4"/>
  <c r="M46" i="4"/>
  <c r="L46" i="4"/>
  <c r="K46" i="4"/>
  <c r="J46" i="4"/>
  <c r="I46" i="4"/>
  <c r="H46" i="4"/>
  <c r="G46" i="4"/>
  <c r="F46" i="4"/>
  <c r="E46" i="4"/>
  <c r="P45" i="4"/>
  <c r="O45" i="4"/>
  <c r="N45" i="4"/>
  <c r="M45" i="4"/>
  <c r="L45" i="4"/>
  <c r="K45" i="4"/>
  <c r="J45" i="4"/>
  <c r="I45" i="4"/>
  <c r="H45" i="4"/>
  <c r="G45" i="4"/>
  <c r="F45" i="4"/>
  <c r="E45" i="4"/>
  <c r="P44" i="4"/>
  <c r="O44" i="4"/>
  <c r="N44" i="4"/>
  <c r="M44" i="4"/>
  <c r="L44" i="4"/>
  <c r="K44" i="4"/>
  <c r="J44" i="4"/>
  <c r="I44" i="4"/>
  <c r="H44" i="4"/>
  <c r="G44" i="4"/>
  <c r="F44" i="4"/>
  <c r="E4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41" i="4"/>
  <c r="O41" i="4"/>
  <c r="N41" i="4"/>
  <c r="M41" i="4"/>
  <c r="L41" i="4"/>
  <c r="K41" i="4"/>
  <c r="J41" i="4"/>
  <c r="I41" i="4"/>
  <c r="H41" i="4"/>
  <c r="G41" i="4"/>
  <c r="F41" i="4"/>
  <c r="E41" i="4"/>
  <c r="P40" i="4"/>
  <c r="O40" i="4"/>
  <c r="N40" i="4"/>
  <c r="M40" i="4"/>
  <c r="L40" i="4"/>
  <c r="K40" i="4"/>
  <c r="J40" i="4"/>
  <c r="I40" i="4"/>
  <c r="H40" i="4"/>
  <c r="G40" i="4"/>
  <c r="F40" i="4"/>
  <c r="E40" i="4"/>
  <c r="P39" i="4"/>
  <c r="O39" i="4"/>
  <c r="N39" i="4"/>
  <c r="M39" i="4"/>
  <c r="L39" i="4"/>
  <c r="K39" i="4"/>
  <c r="J39" i="4"/>
  <c r="I39" i="4"/>
  <c r="H39" i="4"/>
  <c r="G39" i="4"/>
  <c r="F39" i="4"/>
  <c r="E39" i="4"/>
  <c r="P38" i="4"/>
  <c r="O38" i="4"/>
  <c r="N38" i="4"/>
  <c r="M38" i="4"/>
  <c r="L38" i="4"/>
  <c r="K38" i="4"/>
  <c r="J38" i="4"/>
  <c r="I38" i="4"/>
  <c r="H38" i="4"/>
  <c r="G38" i="4"/>
  <c r="F38" i="4"/>
  <c r="E38" i="4"/>
  <c r="P37" i="4"/>
  <c r="O37" i="4"/>
  <c r="N37" i="4"/>
  <c r="M37" i="4"/>
  <c r="L37" i="4"/>
  <c r="K37" i="4"/>
  <c r="J37" i="4"/>
  <c r="I37" i="4"/>
  <c r="H37" i="4"/>
  <c r="G37" i="4"/>
  <c r="F37" i="4"/>
  <c r="E37" i="4"/>
  <c r="P36" i="4"/>
  <c r="O36" i="4"/>
  <c r="N36" i="4"/>
  <c r="M36" i="4"/>
  <c r="L36" i="4"/>
  <c r="K36" i="4"/>
  <c r="J36" i="4"/>
  <c r="I36" i="4"/>
  <c r="H36" i="4"/>
  <c r="G36" i="4"/>
  <c r="F36" i="4"/>
  <c r="E36" i="4"/>
  <c r="P33" i="4"/>
  <c r="O33" i="4"/>
  <c r="N33" i="4"/>
  <c r="M33" i="4"/>
  <c r="L33" i="4"/>
  <c r="K33" i="4"/>
  <c r="J33" i="4"/>
  <c r="I33" i="4"/>
  <c r="H33" i="4"/>
  <c r="G33" i="4"/>
  <c r="F33" i="4"/>
  <c r="E33" i="4"/>
  <c r="P32" i="4"/>
  <c r="O32" i="4"/>
  <c r="N32" i="4"/>
  <c r="M32" i="4"/>
  <c r="L32" i="4"/>
  <c r="K32" i="4"/>
  <c r="J32" i="4"/>
  <c r="I32" i="4"/>
  <c r="H32" i="4"/>
  <c r="G32" i="4"/>
  <c r="F32" i="4"/>
  <c r="E32" i="4"/>
  <c r="P31" i="4"/>
  <c r="O31" i="4"/>
  <c r="N31" i="4"/>
  <c r="M31" i="4"/>
  <c r="L31" i="4"/>
  <c r="K31" i="4"/>
  <c r="J31" i="4"/>
  <c r="I31" i="4"/>
  <c r="H31" i="4"/>
  <c r="G31" i="4"/>
  <c r="F31" i="4"/>
  <c r="E31" i="4"/>
  <c r="P30" i="4"/>
  <c r="O30" i="4"/>
  <c r="N30" i="4"/>
  <c r="M30" i="4"/>
  <c r="L30" i="4"/>
  <c r="K30" i="4"/>
  <c r="J30" i="4"/>
  <c r="I30" i="4"/>
  <c r="H30" i="4"/>
  <c r="G30" i="4"/>
  <c r="F30" i="4"/>
  <c r="E30" i="4"/>
  <c r="P29" i="4"/>
  <c r="O29" i="4"/>
  <c r="N29" i="4"/>
  <c r="M29" i="4"/>
  <c r="L29" i="4"/>
  <c r="K29" i="4"/>
  <c r="J29" i="4"/>
  <c r="I29" i="4"/>
  <c r="H29" i="4"/>
  <c r="G29" i="4"/>
  <c r="F29" i="4"/>
  <c r="E29" i="4"/>
  <c r="P28" i="4"/>
  <c r="O28" i="4"/>
  <c r="N28" i="4"/>
  <c r="M28" i="4"/>
  <c r="L28" i="4"/>
  <c r="K28" i="4"/>
  <c r="J28" i="4"/>
  <c r="I28" i="4"/>
  <c r="H28" i="4"/>
  <c r="G28" i="4"/>
  <c r="F28" i="4"/>
  <c r="E28" i="4"/>
  <c r="P27" i="4"/>
  <c r="O27" i="4"/>
  <c r="N27" i="4"/>
  <c r="M27" i="4"/>
  <c r="L27" i="4"/>
  <c r="K27" i="4"/>
  <c r="J27" i="4"/>
  <c r="I27" i="4"/>
  <c r="H27" i="4"/>
  <c r="G27" i="4"/>
  <c r="F27" i="4"/>
  <c r="E27" i="4"/>
  <c r="P26" i="4"/>
  <c r="O26" i="4"/>
  <c r="N26" i="4"/>
  <c r="M26" i="4"/>
  <c r="L26" i="4"/>
  <c r="K26" i="4"/>
  <c r="J26" i="4"/>
  <c r="I26" i="4"/>
  <c r="H26" i="4"/>
  <c r="G26" i="4"/>
  <c r="F26" i="4"/>
  <c r="E26" i="4"/>
  <c r="P25" i="4"/>
  <c r="O25" i="4"/>
  <c r="N25" i="4"/>
  <c r="M25" i="4"/>
  <c r="L25" i="4"/>
  <c r="K25" i="4"/>
  <c r="J25" i="4"/>
  <c r="I25" i="4"/>
  <c r="H25" i="4"/>
  <c r="G25" i="4"/>
  <c r="F25" i="4"/>
  <c r="E25" i="4"/>
  <c r="P24" i="4"/>
  <c r="O24" i="4"/>
  <c r="N24" i="4"/>
  <c r="M24" i="4"/>
  <c r="L24" i="4"/>
  <c r="K24" i="4"/>
  <c r="J24" i="4"/>
  <c r="I24" i="4"/>
  <c r="H24" i="4"/>
  <c r="G24" i="4"/>
  <c r="F24" i="4"/>
  <c r="E24" i="4"/>
  <c r="P23" i="4"/>
  <c r="O23" i="4"/>
  <c r="N23" i="4"/>
  <c r="M23" i="4"/>
  <c r="L23" i="4"/>
  <c r="K23" i="4"/>
  <c r="J23" i="4"/>
  <c r="I23" i="4"/>
  <c r="H23" i="4"/>
  <c r="G23" i="4"/>
  <c r="F23" i="4"/>
  <c r="E23" i="4"/>
  <c r="P22" i="4"/>
  <c r="O22" i="4"/>
  <c r="N22" i="4"/>
  <c r="M22" i="4"/>
  <c r="L22" i="4"/>
  <c r="K22" i="4"/>
  <c r="J22" i="4"/>
  <c r="I22" i="4"/>
  <c r="H22" i="4"/>
  <c r="G22" i="4"/>
  <c r="F22" i="4"/>
  <c r="E22" i="4"/>
  <c r="P21" i="4"/>
  <c r="O21" i="4"/>
  <c r="N21" i="4"/>
  <c r="M21" i="4"/>
  <c r="L21" i="4"/>
  <c r="K21" i="4"/>
  <c r="J21" i="4"/>
  <c r="I21" i="4"/>
  <c r="H21" i="4"/>
  <c r="G21" i="4"/>
  <c r="F21" i="4"/>
  <c r="E21" i="4"/>
  <c r="P20" i="4"/>
  <c r="O20" i="4"/>
  <c r="N20" i="4"/>
  <c r="M20" i="4"/>
  <c r="L20" i="4"/>
  <c r="K20" i="4"/>
  <c r="J20" i="4"/>
  <c r="J19" i="4" s="1"/>
  <c r="I20" i="4"/>
  <c r="H20" i="4"/>
  <c r="G20" i="4"/>
  <c r="F20" i="4"/>
  <c r="E20" i="4"/>
  <c r="P14" i="4"/>
  <c r="O14" i="4"/>
  <c r="N14" i="4"/>
  <c r="M14" i="4"/>
  <c r="L14" i="4"/>
  <c r="K14" i="4"/>
  <c r="J14" i="4"/>
  <c r="I14" i="4"/>
  <c r="H14" i="4"/>
  <c r="G14" i="4"/>
  <c r="F14" i="4"/>
  <c r="E14" i="4"/>
  <c r="P13" i="4"/>
  <c r="O13" i="4"/>
  <c r="N13" i="4"/>
  <c r="M13" i="4"/>
  <c r="L13" i="4"/>
  <c r="K13" i="4"/>
  <c r="J13" i="4"/>
  <c r="I13" i="4"/>
  <c r="H13" i="4"/>
  <c r="G13" i="4"/>
  <c r="F13" i="4"/>
  <c r="E13" i="4"/>
  <c r="P12" i="4"/>
  <c r="O12" i="4"/>
  <c r="N12" i="4"/>
  <c r="M12" i="4"/>
  <c r="L12" i="4"/>
  <c r="K12" i="4"/>
  <c r="J12" i="4"/>
  <c r="I12" i="4"/>
  <c r="H12" i="4"/>
  <c r="G12" i="4"/>
  <c r="F12" i="4"/>
  <c r="E12" i="4"/>
  <c r="P8" i="4"/>
  <c r="O8" i="4"/>
  <c r="N8" i="4"/>
  <c r="M8" i="4"/>
  <c r="L8" i="4"/>
  <c r="K8" i="4"/>
  <c r="J8" i="4"/>
  <c r="I8" i="4"/>
  <c r="H8" i="4"/>
  <c r="G8" i="4"/>
  <c r="F8" i="4"/>
  <c r="E8" i="4"/>
  <c r="P7" i="3"/>
  <c r="O7" i="3"/>
  <c r="N7" i="3"/>
  <c r="M7" i="3"/>
  <c r="L7" i="3"/>
  <c r="K7" i="3"/>
  <c r="J7" i="3"/>
  <c r="I7" i="3"/>
  <c r="H7" i="3"/>
  <c r="G7" i="3"/>
  <c r="F7" i="3"/>
  <c r="E7" i="3"/>
  <c r="P8" i="3"/>
  <c r="O8" i="3"/>
  <c r="N8" i="3"/>
  <c r="M8" i="3"/>
  <c r="L8" i="3"/>
  <c r="K8" i="3"/>
  <c r="J8" i="3"/>
  <c r="I8" i="3"/>
  <c r="H8" i="3"/>
  <c r="G8" i="3"/>
  <c r="F8" i="3"/>
  <c r="H8" i="2" s="1"/>
  <c r="E8" i="3"/>
  <c r="P14" i="3"/>
  <c r="O14" i="3"/>
  <c r="N14" i="3"/>
  <c r="M14" i="3"/>
  <c r="L14" i="3"/>
  <c r="K14" i="3"/>
  <c r="J14" i="3"/>
  <c r="I14" i="3"/>
  <c r="H14" i="3"/>
  <c r="G14" i="3"/>
  <c r="F14" i="3"/>
  <c r="E14" i="3"/>
  <c r="P13" i="3"/>
  <c r="O13" i="3"/>
  <c r="N13" i="3"/>
  <c r="M13" i="3"/>
  <c r="L13" i="3"/>
  <c r="K13" i="3"/>
  <c r="J13" i="3"/>
  <c r="I13" i="3"/>
  <c r="G13" i="3"/>
  <c r="F13" i="3"/>
  <c r="H13" i="2" s="1"/>
  <c r="E13" i="3"/>
  <c r="P12" i="3"/>
  <c r="O12" i="3"/>
  <c r="N12" i="3"/>
  <c r="M12" i="3"/>
  <c r="L12" i="3"/>
  <c r="K12" i="3"/>
  <c r="J12" i="3"/>
  <c r="G12" i="3"/>
  <c r="F12" i="3"/>
  <c r="E12" i="3"/>
  <c r="P67" i="3"/>
  <c r="O67" i="3"/>
  <c r="N67" i="3"/>
  <c r="M67" i="3"/>
  <c r="L67" i="3"/>
  <c r="K67" i="3"/>
  <c r="J67" i="3"/>
  <c r="I67" i="3"/>
  <c r="H67" i="3"/>
  <c r="G67" i="3"/>
  <c r="F67" i="3"/>
  <c r="E67" i="3"/>
  <c r="P66" i="3"/>
  <c r="O66" i="3"/>
  <c r="N66" i="3"/>
  <c r="M66" i="3"/>
  <c r="L66" i="3"/>
  <c r="K66" i="3"/>
  <c r="J66" i="3"/>
  <c r="I66" i="3"/>
  <c r="H66" i="3"/>
  <c r="G66" i="3"/>
  <c r="F66" i="3"/>
  <c r="E66" i="3"/>
  <c r="P65" i="3"/>
  <c r="O65" i="3"/>
  <c r="N65" i="3"/>
  <c r="M65" i="3"/>
  <c r="L65" i="3"/>
  <c r="K65" i="3"/>
  <c r="J65" i="3"/>
  <c r="I65" i="3"/>
  <c r="H65" i="3"/>
  <c r="G65" i="3"/>
  <c r="F65" i="3"/>
  <c r="E65" i="3"/>
  <c r="P64" i="3"/>
  <c r="O64" i="3"/>
  <c r="N64" i="3"/>
  <c r="M64" i="3"/>
  <c r="L64" i="3"/>
  <c r="K64" i="3"/>
  <c r="J64" i="3"/>
  <c r="I64" i="3"/>
  <c r="H64" i="3"/>
  <c r="G64" i="3"/>
  <c r="F64" i="3"/>
  <c r="E64" i="3"/>
  <c r="P63" i="3"/>
  <c r="O63" i="3"/>
  <c r="N63" i="3"/>
  <c r="M63" i="3"/>
  <c r="L63" i="3"/>
  <c r="K63" i="3"/>
  <c r="J63" i="3"/>
  <c r="I63" i="3"/>
  <c r="H63" i="3"/>
  <c r="G63" i="3"/>
  <c r="F63" i="3"/>
  <c r="E63" i="3"/>
  <c r="P62" i="3"/>
  <c r="O62" i="3"/>
  <c r="N62" i="3"/>
  <c r="M62" i="3"/>
  <c r="L62" i="3"/>
  <c r="K62" i="3"/>
  <c r="J62" i="3"/>
  <c r="I62" i="3"/>
  <c r="H62" i="3"/>
  <c r="G62" i="3"/>
  <c r="F62" i="3"/>
  <c r="E62" i="3"/>
  <c r="P61" i="3"/>
  <c r="O61" i="3"/>
  <c r="N61" i="3"/>
  <c r="M61" i="3"/>
  <c r="L61" i="3"/>
  <c r="K61" i="3"/>
  <c r="J61" i="3"/>
  <c r="I61" i="3"/>
  <c r="H61" i="3"/>
  <c r="G61" i="3"/>
  <c r="F61" i="3"/>
  <c r="E61" i="3"/>
  <c r="P60" i="3"/>
  <c r="O60" i="3"/>
  <c r="N60" i="3"/>
  <c r="M60" i="3"/>
  <c r="L60" i="3"/>
  <c r="K60" i="3"/>
  <c r="J60" i="3"/>
  <c r="I60" i="3"/>
  <c r="H60" i="3"/>
  <c r="G60" i="3"/>
  <c r="F60" i="3"/>
  <c r="E60" i="3"/>
  <c r="P59" i="3"/>
  <c r="O59" i="3"/>
  <c r="N59" i="3"/>
  <c r="M59" i="3"/>
  <c r="L59" i="3"/>
  <c r="K59" i="3"/>
  <c r="J59" i="3"/>
  <c r="I59" i="3"/>
  <c r="H59" i="3"/>
  <c r="G59" i="3"/>
  <c r="F59" i="3"/>
  <c r="E59" i="3"/>
  <c r="P58" i="3"/>
  <c r="O58" i="3"/>
  <c r="N58" i="3"/>
  <c r="M58" i="3"/>
  <c r="L58" i="3"/>
  <c r="K58" i="3"/>
  <c r="J58" i="3"/>
  <c r="I58" i="3"/>
  <c r="H58" i="3"/>
  <c r="G58" i="3"/>
  <c r="F58" i="3"/>
  <c r="E58" i="3"/>
  <c r="P57" i="3"/>
  <c r="O57" i="3"/>
  <c r="N57" i="3"/>
  <c r="M57" i="3"/>
  <c r="L57" i="3"/>
  <c r="K57" i="3"/>
  <c r="J57" i="3"/>
  <c r="I57" i="3"/>
  <c r="H57" i="3"/>
  <c r="G57" i="3"/>
  <c r="F57" i="3"/>
  <c r="E57" i="3"/>
  <c r="P56" i="3"/>
  <c r="O56" i="3"/>
  <c r="N56" i="3"/>
  <c r="M56" i="3"/>
  <c r="L56" i="3"/>
  <c r="K56" i="3"/>
  <c r="J56" i="3"/>
  <c r="I56" i="3"/>
  <c r="H56" i="3"/>
  <c r="G56" i="3"/>
  <c r="F56" i="3"/>
  <c r="E56" i="3"/>
  <c r="P55" i="3"/>
  <c r="O55" i="3"/>
  <c r="N55" i="3"/>
  <c r="M55" i="3"/>
  <c r="L55" i="3"/>
  <c r="K55" i="3"/>
  <c r="J55" i="3"/>
  <c r="I55" i="3"/>
  <c r="H55" i="3"/>
  <c r="G55" i="3"/>
  <c r="F55" i="3"/>
  <c r="E55" i="3"/>
  <c r="P54" i="3"/>
  <c r="O54" i="3"/>
  <c r="N54" i="3"/>
  <c r="M54" i="3"/>
  <c r="L54" i="3"/>
  <c r="K54" i="3"/>
  <c r="J54" i="3"/>
  <c r="I54" i="3"/>
  <c r="H54" i="3"/>
  <c r="G54" i="3"/>
  <c r="F54" i="3"/>
  <c r="E54" i="3"/>
  <c r="P50" i="3"/>
  <c r="O50" i="3"/>
  <c r="N50" i="3"/>
  <c r="M50" i="3"/>
  <c r="L50" i="3"/>
  <c r="K50" i="3"/>
  <c r="J50" i="3"/>
  <c r="I50" i="3"/>
  <c r="H50" i="3"/>
  <c r="G50" i="3"/>
  <c r="F50" i="3"/>
  <c r="E50" i="3"/>
  <c r="P49" i="3"/>
  <c r="O49" i="3"/>
  <c r="N49" i="3"/>
  <c r="M49" i="3"/>
  <c r="L49" i="3"/>
  <c r="K49" i="3"/>
  <c r="J49" i="3"/>
  <c r="I49" i="3"/>
  <c r="H49" i="3"/>
  <c r="G49" i="3"/>
  <c r="F49" i="3"/>
  <c r="E49" i="3"/>
  <c r="P48" i="3"/>
  <c r="O48" i="3"/>
  <c r="N48" i="3"/>
  <c r="M48" i="3"/>
  <c r="L48" i="3"/>
  <c r="K48" i="3"/>
  <c r="J48" i="3"/>
  <c r="I48" i="3"/>
  <c r="H48" i="3"/>
  <c r="G48" i="3"/>
  <c r="F48" i="3"/>
  <c r="E48" i="3"/>
  <c r="P47" i="3"/>
  <c r="O47" i="3"/>
  <c r="N47" i="3"/>
  <c r="M47" i="3"/>
  <c r="L47" i="3"/>
  <c r="K47" i="3"/>
  <c r="J47" i="3"/>
  <c r="I47" i="3"/>
  <c r="H47" i="3"/>
  <c r="G47" i="3"/>
  <c r="F47" i="3"/>
  <c r="E47" i="3"/>
  <c r="P46" i="3"/>
  <c r="O46" i="3"/>
  <c r="N46" i="3"/>
  <c r="M46" i="3"/>
  <c r="L46" i="3"/>
  <c r="K46" i="3"/>
  <c r="J46" i="3"/>
  <c r="I46" i="3"/>
  <c r="H46" i="3"/>
  <c r="G46" i="3"/>
  <c r="F46" i="3"/>
  <c r="E46" i="3"/>
  <c r="P45" i="3"/>
  <c r="O45" i="3"/>
  <c r="N45" i="3"/>
  <c r="M45" i="3"/>
  <c r="L45" i="3"/>
  <c r="K45" i="3"/>
  <c r="J45" i="3"/>
  <c r="I45" i="3"/>
  <c r="H45" i="3"/>
  <c r="G45" i="3"/>
  <c r="F45" i="3"/>
  <c r="E45" i="3"/>
  <c r="P44" i="3"/>
  <c r="O44" i="3"/>
  <c r="N44" i="3"/>
  <c r="M44" i="3"/>
  <c r="L44" i="3"/>
  <c r="K44" i="3"/>
  <c r="J44" i="3"/>
  <c r="I44" i="3"/>
  <c r="H44" i="3"/>
  <c r="G44" i="3"/>
  <c r="F44" i="3"/>
  <c r="E44" i="3"/>
  <c r="P43" i="3"/>
  <c r="O43" i="3"/>
  <c r="N43" i="3"/>
  <c r="M43" i="3"/>
  <c r="L43" i="3"/>
  <c r="K43" i="3"/>
  <c r="J43" i="3"/>
  <c r="I43" i="3"/>
  <c r="H43" i="3"/>
  <c r="G43" i="3"/>
  <c r="F43" i="3"/>
  <c r="E43" i="3"/>
  <c r="P42" i="3"/>
  <c r="O42" i="3"/>
  <c r="N42" i="3"/>
  <c r="M42" i="3"/>
  <c r="L42" i="3"/>
  <c r="K42" i="3"/>
  <c r="J42" i="3"/>
  <c r="I42" i="3"/>
  <c r="H42" i="3"/>
  <c r="G42" i="3"/>
  <c r="F42" i="3"/>
  <c r="E42" i="3"/>
  <c r="P41" i="3"/>
  <c r="O41" i="3"/>
  <c r="N41" i="3"/>
  <c r="M41" i="3"/>
  <c r="L41" i="3"/>
  <c r="K41" i="3"/>
  <c r="J41" i="3"/>
  <c r="I41" i="3"/>
  <c r="H41" i="3"/>
  <c r="G41" i="3"/>
  <c r="F41" i="3"/>
  <c r="E41" i="3"/>
  <c r="P40" i="3"/>
  <c r="O40" i="3"/>
  <c r="N40" i="3"/>
  <c r="M40" i="3"/>
  <c r="L40" i="3"/>
  <c r="K40" i="3"/>
  <c r="J40" i="3"/>
  <c r="I40" i="3"/>
  <c r="H40" i="3"/>
  <c r="G40" i="3"/>
  <c r="F40" i="3"/>
  <c r="E40" i="3"/>
  <c r="P39" i="3"/>
  <c r="O39" i="3"/>
  <c r="N39" i="3"/>
  <c r="M39" i="3"/>
  <c r="L39" i="3"/>
  <c r="K39" i="3"/>
  <c r="J39" i="3"/>
  <c r="I39" i="3"/>
  <c r="H39" i="3"/>
  <c r="G39" i="3"/>
  <c r="F39" i="3"/>
  <c r="E39" i="3"/>
  <c r="P38" i="3"/>
  <c r="O38" i="3"/>
  <c r="N38" i="3"/>
  <c r="M38" i="3"/>
  <c r="L38" i="3"/>
  <c r="K38" i="3"/>
  <c r="J38" i="3"/>
  <c r="I38" i="3"/>
  <c r="H38" i="3"/>
  <c r="G38" i="3"/>
  <c r="F38" i="3"/>
  <c r="E38" i="3"/>
  <c r="P37" i="3"/>
  <c r="O37" i="3"/>
  <c r="N37" i="3"/>
  <c r="M37" i="3"/>
  <c r="L37" i="3"/>
  <c r="K37" i="3"/>
  <c r="J37" i="3"/>
  <c r="I37" i="3"/>
  <c r="H37" i="3"/>
  <c r="F37" i="3"/>
  <c r="E37" i="3"/>
  <c r="P36" i="3"/>
  <c r="O36" i="3"/>
  <c r="N36" i="3"/>
  <c r="M36" i="3"/>
  <c r="L36" i="3"/>
  <c r="K36" i="3"/>
  <c r="J36" i="3"/>
  <c r="I36" i="3"/>
  <c r="H36" i="3"/>
  <c r="G36" i="3"/>
  <c r="F36" i="3"/>
  <c r="E36" i="3"/>
  <c r="P33" i="3"/>
  <c r="O33" i="3"/>
  <c r="N33" i="3"/>
  <c r="M33" i="3"/>
  <c r="L33" i="3"/>
  <c r="K33" i="3"/>
  <c r="J33" i="3"/>
  <c r="I33" i="3"/>
  <c r="H33" i="3"/>
  <c r="G33" i="3"/>
  <c r="F33" i="3"/>
  <c r="E33" i="3"/>
  <c r="P32" i="3"/>
  <c r="O32" i="3"/>
  <c r="N32" i="3"/>
  <c r="M32" i="3"/>
  <c r="L32" i="3"/>
  <c r="K32" i="3"/>
  <c r="J32" i="3"/>
  <c r="I32" i="3"/>
  <c r="H32" i="3"/>
  <c r="G32" i="3"/>
  <c r="F32" i="3"/>
  <c r="E32" i="3"/>
  <c r="P31" i="3"/>
  <c r="O31" i="3"/>
  <c r="N31" i="3"/>
  <c r="M31" i="3"/>
  <c r="L31" i="3"/>
  <c r="K31" i="3"/>
  <c r="J31" i="3"/>
  <c r="I31" i="3"/>
  <c r="H31" i="3"/>
  <c r="G31" i="3"/>
  <c r="F31" i="3"/>
  <c r="E31" i="3"/>
  <c r="P30" i="3"/>
  <c r="O30" i="3"/>
  <c r="N30" i="3"/>
  <c r="M30" i="3"/>
  <c r="L30" i="3"/>
  <c r="K30" i="3"/>
  <c r="J30" i="3"/>
  <c r="I30" i="3"/>
  <c r="H30" i="3"/>
  <c r="G30" i="3"/>
  <c r="F30" i="3"/>
  <c r="E30" i="3"/>
  <c r="P29" i="3"/>
  <c r="O29" i="3"/>
  <c r="N29" i="3"/>
  <c r="M29" i="3"/>
  <c r="L29" i="3"/>
  <c r="K29" i="3"/>
  <c r="J29" i="3"/>
  <c r="I29" i="3"/>
  <c r="H29" i="3"/>
  <c r="G29" i="3"/>
  <c r="F29" i="3"/>
  <c r="E29" i="3"/>
  <c r="P28" i="3"/>
  <c r="O28" i="3"/>
  <c r="N28" i="3"/>
  <c r="M28" i="3"/>
  <c r="L28" i="3"/>
  <c r="K28" i="3"/>
  <c r="J28" i="3"/>
  <c r="I28" i="3"/>
  <c r="H28" i="3"/>
  <c r="G28" i="3"/>
  <c r="F28" i="3"/>
  <c r="E28" i="3"/>
  <c r="P27" i="3"/>
  <c r="O27" i="3"/>
  <c r="N27" i="3"/>
  <c r="M27" i="3"/>
  <c r="L27" i="3"/>
  <c r="K27" i="3"/>
  <c r="J27" i="3"/>
  <c r="I27" i="3"/>
  <c r="H27" i="3"/>
  <c r="G27" i="3"/>
  <c r="F27" i="3"/>
  <c r="E27" i="3"/>
  <c r="P26" i="3"/>
  <c r="O26" i="3"/>
  <c r="N26" i="3"/>
  <c r="M26" i="3"/>
  <c r="L26" i="3"/>
  <c r="K26" i="3"/>
  <c r="J26" i="3"/>
  <c r="I26" i="3"/>
  <c r="H26" i="3"/>
  <c r="G26" i="3"/>
  <c r="F26" i="3"/>
  <c r="E26" i="3"/>
  <c r="P25" i="3"/>
  <c r="O25" i="3"/>
  <c r="N25" i="3"/>
  <c r="M25" i="3"/>
  <c r="L25" i="3"/>
  <c r="K25" i="3"/>
  <c r="J25" i="3"/>
  <c r="I25" i="3"/>
  <c r="H25" i="3"/>
  <c r="G25" i="3"/>
  <c r="F25" i="3"/>
  <c r="E25" i="3"/>
  <c r="P24" i="3"/>
  <c r="O24" i="3"/>
  <c r="N24" i="3"/>
  <c r="M24" i="3"/>
  <c r="L24" i="3"/>
  <c r="K24" i="3"/>
  <c r="J24" i="3"/>
  <c r="I24" i="3"/>
  <c r="H24" i="3"/>
  <c r="G24" i="3"/>
  <c r="F24" i="3"/>
  <c r="E24" i="3"/>
  <c r="P23" i="3"/>
  <c r="O23" i="3"/>
  <c r="N23" i="3"/>
  <c r="M23" i="3"/>
  <c r="L23" i="3"/>
  <c r="K23" i="3"/>
  <c r="J23" i="3"/>
  <c r="I23" i="3"/>
  <c r="H23" i="3"/>
  <c r="G23" i="3"/>
  <c r="F23" i="3"/>
  <c r="E23" i="3"/>
  <c r="P22" i="3"/>
  <c r="O22" i="3"/>
  <c r="N22" i="3"/>
  <c r="M22" i="3"/>
  <c r="L22" i="3"/>
  <c r="K22" i="3"/>
  <c r="J22" i="3"/>
  <c r="I22" i="3"/>
  <c r="H22" i="3"/>
  <c r="G22" i="3"/>
  <c r="F22" i="3"/>
  <c r="E22" i="3"/>
  <c r="P21" i="3"/>
  <c r="O21" i="3"/>
  <c r="N21" i="3"/>
  <c r="M21" i="3"/>
  <c r="L21" i="3"/>
  <c r="K21" i="3"/>
  <c r="J21" i="3"/>
  <c r="I21" i="3"/>
  <c r="H21" i="3"/>
  <c r="G21" i="3"/>
  <c r="F21" i="3"/>
  <c r="E21" i="3"/>
  <c r="P20" i="3"/>
  <c r="O20" i="3"/>
  <c r="N20" i="3"/>
  <c r="M20" i="3"/>
  <c r="L20" i="3"/>
  <c r="K20" i="3"/>
  <c r="J20" i="3"/>
  <c r="I20" i="3"/>
  <c r="H20" i="3"/>
  <c r="G20" i="3"/>
  <c r="F20" i="3"/>
  <c r="E20" i="3"/>
  <c r="C216" i="4"/>
  <c r="C216" i="2" s="1"/>
  <c r="D216" i="2" s="1"/>
  <c r="C215" i="4"/>
  <c r="C215" i="2" s="1"/>
  <c r="D215" i="2" s="1"/>
  <c r="C214" i="4"/>
  <c r="C214" i="2" s="1"/>
  <c r="D214" i="2" s="1"/>
  <c r="C213" i="4"/>
  <c r="C213" i="2" s="1"/>
  <c r="D213" i="2" s="1"/>
  <c r="C212" i="4"/>
  <c r="C212" i="2" s="1"/>
  <c r="D212" i="2" s="1"/>
  <c r="C211" i="4"/>
  <c r="C211" i="2" s="1"/>
  <c r="D211" i="2" s="1"/>
  <c r="C210" i="4"/>
  <c r="C210" i="2" s="1"/>
  <c r="D210" i="2" s="1"/>
  <c r="C209" i="4"/>
  <c r="C209" i="2" s="1"/>
  <c r="D209" i="2" s="1"/>
  <c r="C208" i="4"/>
  <c r="C208" i="2" s="1"/>
  <c r="D208" i="2" s="1"/>
  <c r="C207" i="4"/>
  <c r="C207" i="2" s="1"/>
  <c r="D207" i="2" s="1"/>
  <c r="C206" i="4"/>
  <c r="C206" i="2" s="1"/>
  <c r="D206" i="2" s="1"/>
  <c r="C205" i="4"/>
  <c r="C205" i="2" s="1"/>
  <c r="D205" i="2" s="1"/>
  <c r="C204" i="4"/>
  <c r="C204" i="2" s="1"/>
  <c r="D204" i="2" s="1"/>
  <c r="C203" i="4"/>
  <c r="C203" i="2" s="1"/>
  <c r="P202" i="4"/>
  <c r="O202" i="4"/>
  <c r="N202" i="4"/>
  <c r="M202" i="4"/>
  <c r="L202" i="4"/>
  <c r="K202" i="4"/>
  <c r="J202" i="4"/>
  <c r="I202" i="4"/>
  <c r="H202" i="4"/>
  <c r="G202" i="4"/>
  <c r="F202" i="4"/>
  <c r="E202" i="4"/>
  <c r="C199" i="4"/>
  <c r="C199" i="2" s="1"/>
  <c r="D199" i="2" s="1"/>
  <c r="C198" i="4"/>
  <c r="C198" i="2" s="1"/>
  <c r="D198" i="2" s="1"/>
  <c r="C197" i="4"/>
  <c r="C197" i="2" s="1"/>
  <c r="D197" i="2" s="1"/>
  <c r="C196" i="4"/>
  <c r="C196" i="2" s="1"/>
  <c r="D196" i="2" s="1"/>
  <c r="C195" i="4"/>
  <c r="C195" i="2" s="1"/>
  <c r="D195" i="2" s="1"/>
  <c r="C194" i="4"/>
  <c r="C194" i="2" s="1"/>
  <c r="D194" i="2" s="1"/>
  <c r="C193" i="4"/>
  <c r="C193" i="2" s="1"/>
  <c r="D193" i="2" s="1"/>
  <c r="C192" i="4"/>
  <c r="C192" i="2" s="1"/>
  <c r="D192" i="2" s="1"/>
  <c r="C191" i="4"/>
  <c r="C191" i="2" s="1"/>
  <c r="D191" i="2" s="1"/>
  <c r="C190" i="4"/>
  <c r="C190" i="2" s="1"/>
  <c r="D190" i="2" s="1"/>
  <c r="C189" i="4"/>
  <c r="C189" i="2" s="1"/>
  <c r="D189" i="2" s="1"/>
  <c r="C188" i="4"/>
  <c r="C188" i="2" s="1"/>
  <c r="D188" i="2" s="1"/>
  <c r="C187" i="4"/>
  <c r="C187" i="2" s="1"/>
  <c r="D187" i="2" s="1"/>
  <c r="C186" i="4"/>
  <c r="C186" i="2" s="1"/>
  <c r="D186" i="2" s="1"/>
  <c r="C185" i="4"/>
  <c r="C185" i="2" s="1"/>
  <c r="P184" i="4"/>
  <c r="O184" i="4"/>
  <c r="N184" i="4"/>
  <c r="M184" i="4"/>
  <c r="L184" i="4"/>
  <c r="K184" i="4"/>
  <c r="J184" i="4"/>
  <c r="I184" i="4"/>
  <c r="H184" i="4"/>
  <c r="G184" i="4"/>
  <c r="F184" i="4"/>
  <c r="E184" i="4"/>
  <c r="C182" i="4"/>
  <c r="C182" i="2" s="1"/>
  <c r="D182" i="2" s="1"/>
  <c r="C181" i="4"/>
  <c r="C181" i="2" s="1"/>
  <c r="D181" i="2" s="1"/>
  <c r="C180" i="4"/>
  <c r="C180" i="2" s="1"/>
  <c r="D180" i="2" s="1"/>
  <c r="C179" i="4"/>
  <c r="C179" i="2" s="1"/>
  <c r="D179" i="2" s="1"/>
  <c r="C178" i="4"/>
  <c r="C178" i="2" s="1"/>
  <c r="D178" i="2" s="1"/>
  <c r="C177" i="4"/>
  <c r="C177" i="2" s="1"/>
  <c r="D177" i="2" s="1"/>
  <c r="C176" i="4"/>
  <c r="C176" i="2" s="1"/>
  <c r="D176" i="2" s="1"/>
  <c r="C175" i="4"/>
  <c r="C175" i="2" s="1"/>
  <c r="D175" i="2" s="1"/>
  <c r="C174" i="4"/>
  <c r="C174" i="2" s="1"/>
  <c r="D174" i="2" s="1"/>
  <c r="C173" i="4"/>
  <c r="C173" i="2" s="1"/>
  <c r="D173" i="2" s="1"/>
  <c r="C172" i="4"/>
  <c r="C172" i="2" s="1"/>
  <c r="D172" i="2" s="1"/>
  <c r="C171" i="4"/>
  <c r="C171" i="2" s="1"/>
  <c r="D171" i="2" s="1"/>
  <c r="C170" i="4"/>
  <c r="C170" i="2" s="1"/>
  <c r="D170" i="2" s="1"/>
  <c r="C169" i="4"/>
  <c r="C169" i="2" s="1"/>
  <c r="P168" i="4"/>
  <c r="O168" i="4"/>
  <c r="N168" i="4"/>
  <c r="M168" i="4"/>
  <c r="L168" i="4"/>
  <c r="K168" i="4"/>
  <c r="J168" i="4"/>
  <c r="I168" i="4"/>
  <c r="H168" i="4"/>
  <c r="G168" i="4"/>
  <c r="F168" i="4"/>
  <c r="E168" i="4"/>
  <c r="D165" i="4"/>
  <c r="D166" i="4" s="1"/>
  <c r="C163" i="4"/>
  <c r="C163" i="2" s="1"/>
  <c r="C162" i="4"/>
  <c r="C162" i="2" s="1"/>
  <c r="D162" i="2" s="1"/>
  <c r="C161" i="4"/>
  <c r="C161" i="2" s="1"/>
  <c r="P160" i="4"/>
  <c r="O160" i="4"/>
  <c r="N160" i="4"/>
  <c r="M160" i="4"/>
  <c r="L160" i="4"/>
  <c r="K160" i="4"/>
  <c r="J160" i="4"/>
  <c r="I160" i="4"/>
  <c r="H160" i="4"/>
  <c r="G160" i="4"/>
  <c r="F160" i="4"/>
  <c r="E160" i="4"/>
  <c r="C158" i="4"/>
  <c r="C158" i="2" s="1"/>
  <c r="C157" i="4"/>
  <c r="C157" i="2" s="1"/>
  <c r="C156" i="4"/>
  <c r="C156" i="2" s="1"/>
  <c r="C155" i="4"/>
  <c r="C155" i="2" s="1"/>
  <c r="P154" i="4"/>
  <c r="P165" i="4" s="1"/>
  <c r="O154" i="4"/>
  <c r="O165" i="4" s="1"/>
  <c r="N154" i="4"/>
  <c r="M154" i="4"/>
  <c r="M9" i="4" s="1"/>
  <c r="L154" i="4"/>
  <c r="L9" i="4" s="1"/>
  <c r="K154" i="4"/>
  <c r="J154" i="4"/>
  <c r="I154" i="4"/>
  <c r="I9" i="4" s="1"/>
  <c r="H154" i="4"/>
  <c r="H165" i="4" s="1"/>
  <c r="G154" i="4"/>
  <c r="F154" i="4"/>
  <c r="E154" i="4"/>
  <c r="E9" i="4" s="1"/>
  <c r="C147" i="2"/>
  <c r="D147" i="2" s="1"/>
  <c r="C146" i="4"/>
  <c r="C146" i="2" s="1"/>
  <c r="D70" i="16" s="1"/>
  <c r="C145" i="4"/>
  <c r="C145" i="2" s="1"/>
  <c r="D145" i="2" s="1"/>
  <c r="C144" i="4"/>
  <c r="C144" i="2" s="1"/>
  <c r="D144" i="2" s="1"/>
  <c r="C143" i="4"/>
  <c r="C143" i="2" s="1"/>
  <c r="D143" i="2" s="1"/>
  <c r="C142" i="4"/>
  <c r="C142" i="2" s="1"/>
  <c r="D142" i="2" s="1"/>
  <c r="C141" i="4"/>
  <c r="C141" i="2" s="1"/>
  <c r="D141" i="2" s="1"/>
  <c r="C140" i="4"/>
  <c r="C140" i="2" s="1"/>
  <c r="D140" i="2" s="1"/>
  <c r="C139" i="4"/>
  <c r="C139" i="2" s="1"/>
  <c r="D139" i="2" s="1"/>
  <c r="C138" i="4"/>
  <c r="C138" i="2" s="1"/>
  <c r="D138" i="2" s="1"/>
  <c r="C137" i="4"/>
  <c r="C137" i="2" s="1"/>
  <c r="D137" i="2" s="1"/>
  <c r="C136" i="4"/>
  <c r="C136" i="2" s="1"/>
  <c r="D136" i="2" s="1"/>
  <c r="C135" i="4"/>
  <c r="C135" i="2" s="1"/>
  <c r="D135" i="2" s="1"/>
  <c r="C134" i="4"/>
  <c r="C134" i="2" s="1"/>
  <c r="P133" i="4"/>
  <c r="O133" i="4"/>
  <c r="N133" i="4"/>
  <c r="M133" i="4"/>
  <c r="L133" i="4"/>
  <c r="K133" i="4"/>
  <c r="J133" i="4"/>
  <c r="I133" i="4"/>
  <c r="H133" i="4"/>
  <c r="G133" i="4"/>
  <c r="F133" i="4"/>
  <c r="E133" i="4"/>
  <c r="C130" i="4"/>
  <c r="C130" i="2" s="1"/>
  <c r="D130" i="2" s="1"/>
  <c r="C129" i="4"/>
  <c r="C129" i="2" s="1"/>
  <c r="D129" i="2" s="1"/>
  <c r="C128" i="4"/>
  <c r="C128" i="2" s="1"/>
  <c r="D128" i="2" s="1"/>
  <c r="C127" i="4"/>
  <c r="C127" i="2" s="1"/>
  <c r="D127" i="2" s="1"/>
  <c r="C126" i="4"/>
  <c r="C126" i="2" s="1"/>
  <c r="D126" i="2" s="1"/>
  <c r="C125" i="4"/>
  <c r="C125" i="2" s="1"/>
  <c r="D125" i="2" s="1"/>
  <c r="C124" i="4"/>
  <c r="C124" i="2" s="1"/>
  <c r="D124" i="2" s="1"/>
  <c r="C123" i="4"/>
  <c r="C123" i="2" s="1"/>
  <c r="D123" i="2" s="1"/>
  <c r="C122" i="4"/>
  <c r="C122" i="2" s="1"/>
  <c r="D122" i="2" s="1"/>
  <c r="C121" i="4"/>
  <c r="C121" i="2" s="1"/>
  <c r="D121" i="2" s="1"/>
  <c r="C120" i="4"/>
  <c r="C120" i="2" s="1"/>
  <c r="C119" i="4"/>
  <c r="C119" i="2" s="1"/>
  <c r="D119" i="2" s="1"/>
  <c r="C118" i="4"/>
  <c r="C118" i="2" s="1"/>
  <c r="D118" i="2" s="1"/>
  <c r="C117" i="4"/>
  <c r="C117" i="2" s="1"/>
  <c r="D117" i="2" s="1"/>
  <c r="C116" i="4"/>
  <c r="C116" i="2" s="1"/>
  <c r="P115" i="4"/>
  <c r="O115" i="4"/>
  <c r="N115" i="4"/>
  <c r="M115" i="4"/>
  <c r="L115" i="4"/>
  <c r="K115" i="4"/>
  <c r="J115" i="4"/>
  <c r="I115" i="4"/>
  <c r="H115" i="4"/>
  <c r="G115" i="4"/>
  <c r="F115" i="4"/>
  <c r="E115" i="4"/>
  <c r="C113" i="4"/>
  <c r="C113" i="2" s="1"/>
  <c r="D113" i="2" s="1"/>
  <c r="C112" i="4"/>
  <c r="C112" i="2" s="1"/>
  <c r="D68" i="16" s="1"/>
  <c r="C111" i="4"/>
  <c r="C111" i="2" s="1"/>
  <c r="D111" i="2" s="1"/>
  <c r="C110" i="4"/>
  <c r="C110" i="2" s="1"/>
  <c r="D110" i="2" s="1"/>
  <c r="C109" i="4"/>
  <c r="C109" i="2" s="1"/>
  <c r="D109" i="2" s="1"/>
  <c r="C108" i="4"/>
  <c r="C108" i="2" s="1"/>
  <c r="D108" i="2" s="1"/>
  <c r="C107" i="4"/>
  <c r="C107" i="2" s="1"/>
  <c r="D107" i="2" s="1"/>
  <c r="C106" i="4"/>
  <c r="C106" i="2" s="1"/>
  <c r="D106" i="2" s="1"/>
  <c r="C105" i="4"/>
  <c r="C105" i="2" s="1"/>
  <c r="D105" i="2" s="1"/>
  <c r="C104" i="4"/>
  <c r="C104" i="2" s="1"/>
  <c r="D104" i="2" s="1"/>
  <c r="C103" i="4"/>
  <c r="C103" i="2" s="1"/>
  <c r="D103" i="2" s="1"/>
  <c r="C102" i="4"/>
  <c r="C102" i="2" s="1"/>
  <c r="D102" i="2" s="1"/>
  <c r="C101" i="4"/>
  <c r="C101" i="2" s="1"/>
  <c r="D101" i="2" s="1"/>
  <c r="C100" i="4"/>
  <c r="C100" i="2" s="1"/>
  <c r="P99" i="4"/>
  <c r="O99" i="4"/>
  <c r="N99" i="4"/>
  <c r="M99" i="4"/>
  <c r="L99" i="4"/>
  <c r="K99" i="4"/>
  <c r="J99" i="4"/>
  <c r="I99" i="4"/>
  <c r="H99" i="4"/>
  <c r="G99" i="4"/>
  <c r="F99" i="4"/>
  <c r="E99" i="4"/>
  <c r="D96" i="4"/>
  <c r="D97" i="4" s="1"/>
  <c r="C94" i="4"/>
  <c r="C94" i="2" s="1"/>
  <c r="D94" i="2" s="1"/>
  <c r="C93" i="4"/>
  <c r="C92" i="4"/>
  <c r="C92" i="2" s="1"/>
  <c r="P91" i="4"/>
  <c r="O91" i="4"/>
  <c r="N91" i="4"/>
  <c r="N96" i="4" s="1"/>
  <c r="N97" i="4" s="1"/>
  <c r="M91" i="4"/>
  <c r="L91" i="4"/>
  <c r="K91" i="4"/>
  <c r="K96" i="4" s="1"/>
  <c r="J91" i="4"/>
  <c r="J96" i="4" s="1"/>
  <c r="I91" i="4"/>
  <c r="I96" i="4" s="1"/>
  <c r="H91" i="4"/>
  <c r="G91" i="4"/>
  <c r="F91" i="4"/>
  <c r="E91" i="4"/>
  <c r="C89" i="4"/>
  <c r="C89" i="2" s="1"/>
  <c r="C88" i="4"/>
  <c r="C88" i="2" s="1"/>
  <c r="C87" i="4"/>
  <c r="C87" i="2" s="1"/>
  <c r="C86" i="4"/>
  <c r="C86" i="2" s="1"/>
  <c r="C85" i="4"/>
  <c r="C85" i="2" s="1"/>
  <c r="C84" i="4"/>
  <c r="C84" i="2" s="1"/>
  <c r="C83" i="4"/>
  <c r="C83" i="2" s="1"/>
  <c r="C82" i="4"/>
  <c r="C82" i="2" s="1"/>
  <c r="P7" i="4"/>
  <c r="O7" i="4"/>
  <c r="M7" i="4"/>
  <c r="H7" i="4"/>
  <c r="G7" i="4"/>
  <c r="F7" i="4"/>
  <c r="E7" i="4"/>
  <c r="D68" i="4"/>
  <c r="D69" i="4" s="1"/>
  <c r="D17" i="4"/>
  <c r="C15" i="4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P202" i="3"/>
  <c r="O202" i="3"/>
  <c r="N202" i="3"/>
  <c r="L202" i="3"/>
  <c r="K202" i="3"/>
  <c r="J202" i="3"/>
  <c r="I202" i="3"/>
  <c r="H202" i="3"/>
  <c r="G202" i="3"/>
  <c r="F202" i="3"/>
  <c r="E202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5" i="3"/>
  <c r="P184" i="3"/>
  <c r="O184" i="3"/>
  <c r="N184" i="3"/>
  <c r="M184" i="3"/>
  <c r="L184" i="3"/>
  <c r="K184" i="3"/>
  <c r="J184" i="3"/>
  <c r="I184" i="3"/>
  <c r="H184" i="3"/>
  <c r="F184" i="3"/>
  <c r="E184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C163" i="3"/>
  <c r="C162" i="3"/>
  <c r="C161" i="3"/>
  <c r="C158" i="3"/>
  <c r="C157" i="3"/>
  <c r="C156" i="3"/>
  <c r="C155" i="3"/>
  <c r="P154" i="3"/>
  <c r="P165" i="3" s="1"/>
  <c r="O154" i="3"/>
  <c r="O165" i="3" s="1"/>
  <c r="N154" i="3"/>
  <c r="M154" i="3"/>
  <c r="L154" i="3"/>
  <c r="L165" i="3" s="1"/>
  <c r="K154" i="3"/>
  <c r="J154" i="3"/>
  <c r="J9" i="3" s="1"/>
  <c r="I154" i="3"/>
  <c r="I165" i="3" s="1"/>
  <c r="I166" i="3" s="1"/>
  <c r="H9" i="3"/>
  <c r="G154" i="3"/>
  <c r="G165" i="3" s="1"/>
  <c r="F154" i="3"/>
  <c r="E154" i="3"/>
  <c r="E165" i="3" s="1"/>
  <c r="D68" i="3"/>
  <c r="D69" i="3" s="1"/>
  <c r="C89" i="3"/>
  <c r="C88" i="3"/>
  <c r="C87" i="3"/>
  <c r="C86" i="3"/>
  <c r="C85" i="3"/>
  <c r="C84" i="3"/>
  <c r="C83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P99" i="3"/>
  <c r="O99" i="3"/>
  <c r="N99" i="3"/>
  <c r="M99" i="3"/>
  <c r="L99" i="3"/>
  <c r="K99" i="3"/>
  <c r="J99" i="3"/>
  <c r="I99" i="3"/>
  <c r="H99" i="3"/>
  <c r="G99" i="3"/>
  <c r="F99" i="3"/>
  <c r="E99" i="3"/>
  <c r="C94" i="3"/>
  <c r="C93" i="3"/>
  <c r="C82" i="3"/>
  <c r="L14" i="19" l="1"/>
  <c r="F14" i="19"/>
  <c r="E70" i="16"/>
  <c r="J70" i="16"/>
  <c r="E68" i="16"/>
  <c r="J68" i="16"/>
  <c r="K89" i="16"/>
  <c r="K89" i="17"/>
  <c r="K20" i="16"/>
  <c r="K20" i="17"/>
  <c r="F18" i="16"/>
  <c r="F18" i="17"/>
  <c r="L35" i="4"/>
  <c r="R11" i="1"/>
  <c r="H38" i="2"/>
  <c r="H40" i="2"/>
  <c r="H42" i="2"/>
  <c r="H44" i="2"/>
  <c r="H46" i="2"/>
  <c r="H48" i="2"/>
  <c r="H50" i="2"/>
  <c r="H55" i="2"/>
  <c r="H57" i="2"/>
  <c r="H59" i="2"/>
  <c r="H61" i="2"/>
  <c r="H63" i="2"/>
  <c r="H65" i="2"/>
  <c r="H67" i="2"/>
  <c r="H20" i="2"/>
  <c r="H22" i="2"/>
  <c r="H24" i="2"/>
  <c r="H26" i="2"/>
  <c r="H28" i="2"/>
  <c r="H30" i="2"/>
  <c r="H32" i="2"/>
  <c r="K19" i="4"/>
  <c r="M53" i="4"/>
  <c r="N53" i="4"/>
  <c r="O19" i="4"/>
  <c r="D146" i="2"/>
  <c r="D112" i="2"/>
  <c r="P11" i="1"/>
  <c r="E218" i="2"/>
  <c r="G217" i="2"/>
  <c r="I9" i="1"/>
  <c r="H36" i="2"/>
  <c r="L7" i="2"/>
  <c r="H21" i="2"/>
  <c r="H23" i="2"/>
  <c r="H25" i="2"/>
  <c r="H27" i="2"/>
  <c r="H29" i="2"/>
  <c r="H31" i="2"/>
  <c r="H33" i="2"/>
  <c r="H39" i="2"/>
  <c r="H41" i="2"/>
  <c r="H43" i="2"/>
  <c r="H45" i="2"/>
  <c r="H47" i="2"/>
  <c r="H49" i="2"/>
  <c r="H54" i="2"/>
  <c r="H56" i="2"/>
  <c r="H58" i="2"/>
  <c r="H60" i="2"/>
  <c r="H62" i="2"/>
  <c r="H64" i="2"/>
  <c r="H66" i="2"/>
  <c r="H12" i="2"/>
  <c r="H14" i="2"/>
  <c r="H7" i="2"/>
  <c r="I7" i="1" s="1"/>
  <c r="L14" i="2"/>
  <c r="H53" i="3"/>
  <c r="F21" i="2"/>
  <c r="F23" i="2"/>
  <c r="F25" i="2"/>
  <c r="L21" i="2"/>
  <c r="L23" i="2"/>
  <c r="L25" i="2"/>
  <c r="L27" i="2"/>
  <c r="L29" i="2"/>
  <c r="L31" i="2"/>
  <c r="L33" i="2"/>
  <c r="F13" i="2"/>
  <c r="F8" i="2"/>
  <c r="L20" i="2"/>
  <c r="L22" i="2"/>
  <c r="L24" i="2"/>
  <c r="L26" i="2"/>
  <c r="L28" i="2"/>
  <c r="L30" i="2"/>
  <c r="L32" i="2"/>
  <c r="L13" i="2"/>
  <c r="N13" i="2" s="1"/>
  <c r="L8" i="2"/>
  <c r="D82" i="2"/>
  <c r="D41" i="1"/>
  <c r="E41" i="1" s="1"/>
  <c r="F165" i="4"/>
  <c r="F166" i="4" s="1"/>
  <c r="N165" i="4"/>
  <c r="N166" i="4" s="1"/>
  <c r="G11" i="4"/>
  <c r="H11" i="4"/>
  <c r="F20" i="2"/>
  <c r="F22" i="2"/>
  <c r="F24" i="2"/>
  <c r="F26" i="2"/>
  <c r="F28" i="2"/>
  <c r="F30" i="2"/>
  <c r="F32" i="2"/>
  <c r="F27" i="2"/>
  <c r="F29" i="2"/>
  <c r="F31" i="2"/>
  <c r="F33" i="2"/>
  <c r="F14" i="2"/>
  <c r="H35" i="3"/>
  <c r="F7" i="2"/>
  <c r="O96" i="3"/>
  <c r="O97" i="3" s="1"/>
  <c r="K165" i="4"/>
  <c r="K166" i="4" s="1"/>
  <c r="N11" i="4"/>
  <c r="G165" i="4"/>
  <c r="G166" i="4" s="1"/>
  <c r="J165" i="4"/>
  <c r="J166" i="4" s="1"/>
  <c r="J11" i="4"/>
  <c r="O11" i="4"/>
  <c r="K11" i="4"/>
  <c r="L11" i="4"/>
  <c r="K35" i="4"/>
  <c r="P11" i="4"/>
  <c r="J7" i="2"/>
  <c r="D67" i="1"/>
  <c r="E67" i="1" s="1"/>
  <c r="D157" i="2"/>
  <c r="O53" i="4"/>
  <c r="D48" i="1"/>
  <c r="D89" i="2"/>
  <c r="G53" i="4"/>
  <c r="J8" i="2"/>
  <c r="E8" i="2"/>
  <c r="J13" i="2"/>
  <c r="E13" i="2"/>
  <c r="C14" i="4"/>
  <c r="C14" i="2" s="1"/>
  <c r="D46" i="1"/>
  <c r="E46" i="1" s="1"/>
  <c r="D87" i="2"/>
  <c r="K53" i="4"/>
  <c r="D42" i="1"/>
  <c r="E42" i="1" s="1"/>
  <c r="D83" i="2"/>
  <c r="C91" i="4"/>
  <c r="C93" i="2"/>
  <c r="D93" i="2" s="1"/>
  <c r="D14" i="1"/>
  <c r="E14" i="1" s="1"/>
  <c r="D163" i="2"/>
  <c r="D68" i="1"/>
  <c r="E68" i="1" s="1"/>
  <c r="D158" i="2"/>
  <c r="D43" i="1"/>
  <c r="E43" i="1" s="1"/>
  <c r="D84" i="2"/>
  <c r="D47" i="1"/>
  <c r="E47" i="1" s="1"/>
  <c r="D88" i="2"/>
  <c r="D44" i="1"/>
  <c r="E44" i="1" s="1"/>
  <c r="D85" i="2"/>
  <c r="D65" i="1"/>
  <c r="D155" i="2"/>
  <c r="C154" i="2"/>
  <c r="C160" i="2"/>
  <c r="Y160" i="2" s="1"/>
  <c r="D161" i="2"/>
  <c r="D45" i="1"/>
  <c r="E45" i="1" s="1"/>
  <c r="D86" i="2"/>
  <c r="D92" i="2"/>
  <c r="D66" i="1"/>
  <c r="E66" i="1" s="1"/>
  <c r="D156" i="2"/>
  <c r="J12" i="2"/>
  <c r="E12" i="2"/>
  <c r="E14" i="2"/>
  <c r="J14" i="2"/>
  <c r="H35" i="4"/>
  <c r="N167" i="4"/>
  <c r="P35" i="4"/>
  <c r="G19" i="4"/>
  <c r="C168" i="2"/>
  <c r="D75" i="1" s="1"/>
  <c r="E75" i="1" s="1"/>
  <c r="D169" i="2"/>
  <c r="J20" i="2"/>
  <c r="E20" i="2"/>
  <c r="J22" i="2"/>
  <c r="E22" i="2"/>
  <c r="E24" i="2"/>
  <c r="J24" i="2"/>
  <c r="J26" i="2"/>
  <c r="E26" i="2"/>
  <c r="J28" i="2"/>
  <c r="E28" i="2"/>
  <c r="C30" i="4"/>
  <c r="C30" i="2" s="1"/>
  <c r="J30" i="2"/>
  <c r="E30" i="2"/>
  <c r="C32" i="4"/>
  <c r="C32" i="2" s="1"/>
  <c r="E32" i="2"/>
  <c r="J32" i="2"/>
  <c r="D100" i="2"/>
  <c r="C99" i="2"/>
  <c r="E21" i="2"/>
  <c r="J21" i="2"/>
  <c r="J23" i="2"/>
  <c r="E23" i="2"/>
  <c r="E25" i="2"/>
  <c r="J25" i="2"/>
  <c r="E27" i="2"/>
  <c r="J27" i="2"/>
  <c r="E29" i="2"/>
  <c r="J29" i="2"/>
  <c r="J31" i="2"/>
  <c r="E31" i="2"/>
  <c r="E33" i="2"/>
  <c r="J33" i="2"/>
  <c r="J53" i="4"/>
  <c r="C202" i="2"/>
  <c r="D77" i="1" s="1"/>
  <c r="E77" i="1" s="1"/>
  <c r="D203" i="2"/>
  <c r="I167" i="4"/>
  <c r="F35" i="4"/>
  <c r="N35" i="4"/>
  <c r="J167" i="4"/>
  <c r="G35" i="4"/>
  <c r="C184" i="2"/>
  <c r="D185" i="2"/>
  <c r="L167" i="4"/>
  <c r="F39" i="2"/>
  <c r="L39" i="2"/>
  <c r="L41" i="2"/>
  <c r="F41" i="2"/>
  <c r="F43" i="2"/>
  <c r="L43" i="2"/>
  <c r="F45" i="2"/>
  <c r="L45" i="2"/>
  <c r="F47" i="2"/>
  <c r="L47" i="2"/>
  <c r="L49" i="2"/>
  <c r="F49" i="2"/>
  <c r="F55" i="2"/>
  <c r="L55" i="2"/>
  <c r="F57" i="2"/>
  <c r="L57" i="2"/>
  <c r="L59" i="2"/>
  <c r="F59" i="2"/>
  <c r="F61" i="2"/>
  <c r="L61" i="2"/>
  <c r="F63" i="2"/>
  <c r="L63" i="2"/>
  <c r="F65" i="2"/>
  <c r="L65" i="2"/>
  <c r="L67" i="2"/>
  <c r="F67" i="2"/>
  <c r="L36" i="2"/>
  <c r="F36" i="2"/>
  <c r="F38" i="2"/>
  <c r="L38" i="2"/>
  <c r="F40" i="2"/>
  <c r="L40" i="2"/>
  <c r="F42" i="2"/>
  <c r="L42" i="2"/>
  <c r="L44" i="2"/>
  <c r="F44" i="2"/>
  <c r="F46" i="2"/>
  <c r="L46" i="2"/>
  <c r="F48" i="2"/>
  <c r="L48" i="2"/>
  <c r="L50" i="2"/>
  <c r="F50" i="2"/>
  <c r="L54" i="2"/>
  <c r="F54" i="2"/>
  <c r="F56" i="2"/>
  <c r="L56" i="2"/>
  <c r="F58" i="2"/>
  <c r="L58" i="2"/>
  <c r="L60" i="2"/>
  <c r="F60" i="2"/>
  <c r="L62" i="2"/>
  <c r="F62" i="2"/>
  <c r="F64" i="2"/>
  <c r="L64" i="2"/>
  <c r="F66" i="2"/>
  <c r="L66" i="2"/>
  <c r="F35" i="3"/>
  <c r="F53" i="3"/>
  <c r="I98" i="4"/>
  <c r="I148" i="4" s="1"/>
  <c r="C43" i="4"/>
  <c r="C43" i="2" s="1"/>
  <c r="C45" i="4"/>
  <c r="C45" i="2" s="1"/>
  <c r="C47" i="4"/>
  <c r="C47" i="2" s="1"/>
  <c r="C55" i="4"/>
  <c r="C55" i="2" s="1"/>
  <c r="C57" i="4"/>
  <c r="C57" i="2" s="1"/>
  <c r="C59" i="4"/>
  <c r="C59" i="2" s="1"/>
  <c r="C61" i="4"/>
  <c r="C61" i="2" s="1"/>
  <c r="C63" i="4"/>
  <c r="C63" i="2" s="1"/>
  <c r="C65" i="4"/>
  <c r="C65" i="2" s="1"/>
  <c r="C67" i="4"/>
  <c r="C67" i="2" s="1"/>
  <c r="D120" i="2"/>
  <c r="J38" i="2"/>
  <c r="E38" i="2"/>
  <c r="E48" i="2"/>
  <c r="J48" i="2"/>
  <c r="C50" i="4"/>
  <c r="C50" i="2" s="1"/>
  <c r="J50" i="2"/>
  <c r="E50" i="2"/>
  <c r="J56" i="2"/>
  <c r="E56" i="2"/>
  <c r="C58" i="4"/>
  <c r="C58" i="2" s="1"/>
  <c r="E58" i="2"/>
  <c r="J58" i="2"/>
  <c r="C60" i="4"/>
  <c r="C60" i="2" s="1"/>
  <c r="J60" i="2"/>
  <c r="E60" i="2"/>
  <c r="E62" i="2"/>
  <c r="J62" i="2"/>
  <c r="E66" i="2"/>
  <c r="J66" i="2"/>
  <c r="C46" i="4"/>
  <c r="C46" i="2" s="1"/>
  <c r="J46" i="2"/>
  <c r="E46" i="2"/>
  <c r="J37" i="2"/>
  <c r="E37" i="2"/>
  <c r="E39" i="2"/>
  <c r="J39" i="2"/>
  <c r="E41" i="2"/>
  <c r="J41" i="2"/>
  <c r="E43" i="2"/>
  <c r="J43" i="2"/>
  <c r="J45" i="2"/>
  <c r="E45" i="2"/>
  <c r="E47" i="2"/>
  <c r="J47" i="2"/>
  <c r="J49" i="2"/>
  <c r="E49" i="2"/>
  <c r="J55" i="2"/>
  <c r="E55" i="2"/>
  <c r="E57" i="2"/>
  <c r="J57" i="2"/>
  <c r="E59" i="2"/>
  <c r="J59" i="2"/>
  <c r="E61" i="2"/>
  <c r="J61" i="2"/>
  <c r="J63" i="2"/>
  <c r="E63" i="2"/>
  <c r="E65" i="2"/>
  <c r="J65" i="2"/>
  <c r="J67" i="2"/>
  <c r="E67" i="2"/>
  <c r="C64" i="4"/>
  <c r="C64" i="2" s="1"/>
  <c r="J64" i="2"/>
  <c r="E64" i="2"/>
  <c r="C36" i="4"/>
  <c r="C36" i="2" s="1"/>
  <c r="E36" i="2"/>
  <c r="J36" i="2"/>
  <c r="C42" i="4"/>
  <c r="C42" i="2" s="1"/>
  <c r="J42" i="2"/>
  <c r="E42" i="2"/>
  <c r="C44" i="4"/>
  <c r="C44" i="2" s="1"/>
  <c r="E44" i="2"/>
  <c r="J44" i="2"/>
  <c r="E54" i="2"/>
  <c r="J54" i="2"/>
  <c r="C40" i="4"/>
  <c r="C40" i="2" s="1"/>
  <c r="E40" i="2"/>
  <c r="J40" i="2"/>
  <c r="I35" i="4"/>
  <c r="C38" i="4"/>
  <c r="C38" i="2" s="1"/>
  <c r="C54" i="4"/>
  <c r="C54" i="2" s="1"/>
  <c r="C56" i="4"/>
  <c r="C56" i="2" s="1"/>
  <c r="M35" i="4"/>
  <c r="P98" i="4"/>
  <c r="H98" i="4"/>
  <c r="C133" i="2"/>
  <c r="D134" i="2"/>
  <c r="G98" i="4"/>
  <c r="C48" i="4"/>
  <c r="C48" i="2" s="1"/>
  <c r="J98" i="4"/>
  <c r="J148" i="4" s="1"/>
  <c r="O98" i="4"/>
  <c r="F53" i="4"/>
  <c r="D116" i="2"/>
  <c r="C115" i="2"/>
  <c r="D56" i="1" s="1"/>
  <c r="C62" i="4"/>
  <c r="C62" i="2" s="1"/>
  <c r="C66" i="4"/>
  <c r="C66" i="2" s="1"/>
  <c r="C24" i="4"/>
  <c r="C24" i="2" s="1"/>
  <c r="C26" i="4"/>
  <c r="C26" i="2" s="1"/>
  <c r="H19" i="4"/>
  <c r="P19" i="4"/>
  <c r="I11" i="4"/>
  <c r="C154" i="4"/>
  <c r="M11" i="4"/>
  <c r="F11" i="4"/>
  <c r="L98" i="4"/>
  <c r="C133" i="4"/>
  <c r="M98" i="4"/>
  <c r="J35" i="4"/>
  <c r="E6" i="4"/>
  <c r="M6" i="4"/>
  <c r="E165" i="4"/>
  <c r="E166" i="4" s="1"/>
  <c r="M165" i="4"/>
  <c r="M166" i="4" s="1"/>
  <c r="L165" i="4"/>
  <c r="L166" i="4" s="1"/>
  <c r="H167" i="4"/>
  <c r="H217" i="4" s="1"/>
  <c r="H218" i="4" s="1"/>
  <c r="P167" i="4"/>
  <c r="P217" i="4" s="1"/>
  <c r="P218" i="4" s="1"/>
  <c r="C37" i="4"/>
  <c r="C37" i="2" s="1"/>
  <c r="C8" i="4"/>
  <c r="C8" i="2" s="1"/>
  <c r="D9" i="1" s="1"/>
  <c r="E167" i="4"/>
  <c r="M167" i="4"/>
  <c r="F167" i="4"/>
  <c r="C160" i="4"/>
  <c r="F96" i="4"/>
  <c r="F97" i="4" s="1"/>
  <c r="N7" i="4"/>
  <c r="E11" i="4"/>
  <c r="K165" i="3"/>
  <c r="K166" i="3" s="1"/>
  <c r="M165" i="3"/>
  <c r="F165" i="3"/>
  <c r="F166" i="3" s="1"/>
  <c r="H6" i="3"/>
  <c r="E166" i="3"/>
  <c r="J6" i="3"/>
  <c r="N165" i="3"/>
  <c r="N166" i="3" s="1"/>
  <c r="M9" i="3"/>
  <c r="M6" i="3" s="1"/>
  <c r="I35" i="3"/>
  <c r="G53" i="3"/>
  <c r="F9" i="3"/>
  <c r="N9" i="3"/>
  <c r="N6" i="3" s="1"/>
  <c r="G9" i="3"/>
  <c r="O9" i="3"/>
  <c r="O6" i="3" s="1"/>
  <c r="E9" i="3"/>
  <c r="P9" i="3"/>
  <c r="P6" i="3" s="1"/>
  <c r="I9" i="3"/>
  <c r="I6" i="3" s="1"/>
  <c r="I53" i="3"/>
  <c r="K9" i="3"/>
  <c r="K6" i="3" s="1"/>
  <c r="J165" i="3"/>
  <c r="J166" i="3" s="1"/>
  <c r="L9" i="3"/>
  <c r="L6" i="3" s="1"/>
  <c r="C115" i="4"/>
  <c r="C202" i="4"/>
  <c r="F9" i="4"/>
  <c r="F6" i="4" s="1"/>
  <c r="F98" i="4"/>
  <c r="N98" i="4"/>
  <c r="N148" i="4" s="1"/>
  <c r="C184" i="4"/>
  <c r="G9" i="4"/>
  <c r="G6" i="4" s="1"/>
  <c r="O9" i="4"/>
  <c r="O6" i="4" s="1"/>
  <c r="O35" i="4"/>
  <c r="O18" i="4" s="1"/>
  <c r="C99" i="4"/>
  <c r="N9" i="4"/>
  <c r="L96" i="4"/>
  <c r="G96" i="4"/>
  <c r="G97" i="4" s="1"/>
  <c r="O96" i="4"/>
  <c r="O97" i="4" s="1"/>
  <c r="C168" i="4"/>
  <c r="H9" i="4"/>
  <c r="H6" i="4" s="1"/>
  <c r="P9" i="4"/>
  <c r="P6" i="4" s="1"/>
  <c r="E19" i="4"/>
  <c r="C22" i="4"/>
  <c r="C22" i="2" s="1"/>
  <c r="I7" i="4"/>
  <c r="I6" i="4" s="1"/>
  <c r="C12" i="4"/>
  <c r="C12" i="2" s="1"/>
  <c r="C20" i="4"/>
  <c r="C20" i="2" s="1"/>
  <c r="E53" i="4"/>
  <c r="J7" i="4"/>
  <c r="J9" i="4"/>
  <c r="C21" i="4"/>
  <c r="C21" i="2" s="1"/>
  <c r="N19" i="4"/>
  <c r="C25" i="4"/>
  <c r="C25" i="2" s="1"/>
  <c r="C27" i="4"/>
  <c r="C27" i="2" s="1"/>
  <c r="C29" i="4"/>
  <c r="C29" i="2" s="1"/>
  <c r="C33" i="4"/>
  <c r="C33" i="2" s="1"/>
  <c r="E96" i="4"/>
  <c r="K98" i="4"/>
  <c r="K148" i="4" s="1"/>
  <c r="G167" i="4"/>
  <c r="O167" i="4"/>
  <c r="O217" i="4" s="1"/>
  <c r="O218" i="4" s="1"/>
  <c r="K7" i="4"/>
  <c r="K9" i="4"/>
  <c r="C39" i="4"/>
  <c r="C39" i="2" s="1"/>
  <c r="C41" i="4"/>
  <c r="C41" i="2" s="1"/>
  <c r="C49" i="4"/>
  <c r="C49" i="2" s="1"/>
  <c r="M19" i="4"/>
  <c r="M96" i="4"/>
  <c r="M97" i="4" s="1"/>
  <c r="H96" i="4"/>
  <c r="P96" i="4"/>
  <c r="P97" i="4" s="1"/>
  <c r="I165" i="4"/>
  <c r="I217" i="4" s="1"/>
  <c r="I218" i="4" s="1"/>
  <c r="L7" i="4"/>
  <c r="L6" i="4" s="1"/>
  <c r="L19" i="4"/>
  <c r="C23" i="4"/>
  <c r="C23" i="2" s="1"/>
  <c r="C28" i="4"/>
  <c r="C28" i="2" s="1"/>
  <c r="C31" i="4"/>
  <c r="C31" i="2" s="1"/>
  <c r="I53" i="4"/>
  <c r="E35" i="4"/>
  <c r="F19" i="4"/>
  <c r="I19" i="4"/>
  <c r="C13" i="4"/>
  <c r="C13" i="2" s="1"/>
  <c r="J53" i="3"/>
  <c r="J35" i="3"/>
  <c r="E53" i="3"/>
  <c r="E35" i="3"/>
  <c r="O166" i="4"/>
  <c r="H166" i="4"/>
  <c r="P166" i="4"/>
  <c r="I97" i="4"/>
  <c r="J97" i="4"/>
  <c r="K97" i="4"/>
  <c r="E98" i="4"/>
  <c r="K167" i="4"/>
  <c r="D148" i="4"/>
  <c r="D149" i="4" s="1"/>
  <c r="D217" i="4"/>
  <c r="D218" i="4" s="1"/>
  <c r="F167" i="3"/>
  <c r="C160" i="3"/>
  <c r="E97" i="3"/>
  <c r="C154" i="3"/>
  <c r="I167" i="3"/>
  <c r="I217" i="3" s="1"/>
  <c r="G98" i="3"/>
  <c r="O98" i="3"/>
  <c r="C168" i="3"/>
  <c r="K167" i="3"/>
  <c r="H165" i="3"/>
  <c r="H166" i="3" s="1"/>
  <c r="H167" i="3"/>
  <c r="P167" i="3"/>
  <c r="P217" i="3" s="1"/>
  <c r="P218" i="3" s="1"/>
  <c r="F96" i="3"/>
  <c r="F97" i="3" s="1"/>
  <c r="O167" i="3"/>
  <c r="O217" i="3" s="1"/>
  <c r="O218" i="3" s="1"/>
  <c r="H96" i="3"/>
  <c r="H97" i="3" s="1"/>
  <c r="P96" i="3"/>
  <c r="P97" i="3" s="1"/>
  <c r="J167" i="3"/>
  <c r="N167" i="3"/>
  <c r="L167" i="3"/>
  <c r="L217" i="3" s="1"/>
  <c r="L218" i="3" s="1"/>
  <c r="E167" i="3"/>
  <c r="M167" i="3"/>
  <c r="P166" i="3"/>
  <c r="G166" i="3"/>
  <c r="O166" i="3"/>
  <c r="C202" i="3"/>
  <c r="D217" i="3"/>
  <c r="D218" i="3" s="1"/>
  <c r="L166" i="3"/>
  <c r="F98" i="3"/>
  <c r="N98" i="3"/>
  <c r="M98" i="3"/>
  <c r="M96" i="3"/>
  <c r="M97" i="3" s="1"/>
  <c r="N96" i="3"/>
  <c r="D148" i="3"/>
  <c r="D149" i="3" s="1"/>
  <c r="P98" i="3"/>
  <c r="G96" i="3"/>
  <c r="I98" i="3"/>
  <c r="J98" i="3"/>
  <c r="L98" i="3"/>
  <c r="K96" i="3"/>
  <c r="K97" i="3" s="1"/>
  <c r="H98" i="3"/>
  <c r="C115" i="3"/>
  <c r="L96" i="3"/>
  <c r="K98" i="3"/>
  <c r="E98" i="3"/>
  <c r="C133" i="3"/>
  <c r="J96" i="3"/>
  <c r="C99" i="3"/>
  <c r="D14" i="19" l="1"/>
  <c r="F11" i="19"/>
  <c r="G14" i="19"/>
  <c r="N14" i="19"/>
  <c r="O14" i="19"/>
  <c r="L11" i="19"/>
  <c r="Q9" i="19"/>
  <c r="R9" i="19" s="1"/>
  <c r="M14" i="19"/>
  <c r="E46" i="16"/>
  <c r="E46" i="17"/>
  <c r="E8" i="16"/>
  <c r="E8" i="17"/>
  <c r="D16" i="16"/>
  <c r="K18" i="16"/>
  <c r="K18" i="17"/>
  <c r="L18" i="4"/>
  <c r="K18" i="4"/>
  <c r="E7" i="2"/>
  <c r="F7" i="1" s="1"/>
  <c r="H18" i="4"/>
  <c r="N217" i="4"/>
  <c r="N218" i="4" s="1"/>
  <c r="P18" i="4"/>
  <c r="M166" i="3"/>
  <c r="M217" i="3"/>
  <c r="N40" i="2"/>
  <c r="N48" i="2"/>
  <c r="N63" i="2"/>
  <c r="N50" i="2"/>
  <c r="D154" i="2"/>
  <c r="Y154" i="2"/>
  <c r="N65" i="2"/>
  <c r="N59" i="2"/>
  <c r="N26" i="2"/>
  <c r="G42" i="2"/>
  <c r="N30" i="2"/>
  <c r="N32" i="2"/>
  <c r="N46" i="2"/>
  <c r="N44" i="2"/>
  <c r="N42" i="2"/>
  <c r="N57" i="2"/>
  <c r="N28" i="2"/>
  <c r="N38" i="2"/>
  <c r="N24" i="2"/>
  <c r="N61" i="2"/>
  <c r="N20" i="2"/>
  <c r="N67" i="2"/>
  <c r="N55" i="2"/>
  <c r="N22" i="2"/>
  <c r="I218" i="3"/>
  <c r="G18" i="4"/>
  <c r="F217" i="4"/>
  <c r="F218" i="4" s="1"/>
  <c r="N64" i="2"/>
  <c r="E48" i="1"/>
  <c r="K9" i="1"/>
  <c r="F16" i="17" s="1"/>
  <c r="M9" i="1"/>
  <c r="H16" i="17" s="1"/>
  <c r="J16" i="17" s="1"/>
  <c r="M7" i="1"/>
  <c r="H14" i="17" s="1"/>
  <c r="J14" i="17" s="1"/>
  <c r="G9" i="1"/>
  <c r="N36" i="2"/>
  <c r="N58" i="2"/>
  <c r="N21" i="2"/>
  <c r="N39" i="2"/>
  <c r="N60" i="2"/>
  <c r="O31" i="2"/>
  <c r="N41" i="2"/>
  <c r="N23" i="2"/>
  <c r="N7" i="2"/>
  <c r="N14" i="2"/>
  <c r="O33" i="2"/>
  <c r="N27" i="2"/>
  <c r="G23" i="2"/>
  <c r="N45" i="2"/>
  <c r="N43" i="2"/>
  <c r="G21" i="2"/>
  <c r="N66" i="2"/>
  <c r="G13" i="2"/>
  <c r="N62" i="2"/>
  <c r="N25" i="2"/>
  <c r="N47" i="2"/>
  <c r="G25" i="2"/>
  <c r="N33" i="2"/>
  <c r="N31" i="2"/>
  <c r="N56" i="2"/>
  <c r="N54" i="2"/>
  <c r="N49" i="2"/>
  <c r="K217" i="3"/>
  <c r="N29" i="2"/>
  <c r="O21" i="2"/>
  <c r="O27" i="2"/>
  <c r="O25" i="2"/>
  <c r="O23" i="2"/>
  <c r="O24" i="2"/>
  <c r="O29" i="2"/>
  <c r="O22" i="2"/>
  <c r="O26" i="2"/>
  <c r="N8" i="2"/>
  <c r="O20" i="2"/>
  <c r="G20" i="2"/>
  <c r="O56" i="2"/>
  <c r="O28" i="2"/>
  <c r="O30" i="2"/>
  <c r="O32" i="2"/>
  <c r="G32" i="2"/>
  <c r="G217" i="4"/>
  <c r="G218" i="4" s="1"/>
  <c r="G16" i="4"/>
  <c r="H16" i="4"/>
  <c r="H68" i="4" s="1"/>
  <c r="H69" i="4" s="1"/>
  <c r="G29" i="2"/>
  <c r="O16" i="4"/>
  <c r="O17" i="4" s="1"/>
  <c r="G31" i="2"/>
  <c r="J217" i="4"/>
  <c r="J218" i="4" s="1"/>
  <c r="G24" i="2"/>
  <c r="G33" i="2"/>
  <c r="G22" i="2"/>
  <c r="G14" i="2"/>
  <c r="G28" i="2"/>
  <c r="G26" i="2"/>
  <c r="G30" i="2"/>
  <c r="F217" i="3"/>
  <c r="F218" i="3" s="1"/>
  <c r="G27" i="2"/>
  <c r="M218" i="3"/>
  <c r="F6" i="3"/>
  <c r="H9" i="2"/>
  <c r="I8" i="1" s="1"/>
  <c r="G7" i="1"/>
  <c r="E217" i="3"/>
  <c r="E218" i="3" s="1"/>
  <c r="G6" i="3"/>
  <c r="L9" i="2"/>
  <c r="E6" i="3"/>
  <c r="F9" i="2"/>
  <c r="O148" i="3"/>
  <c r="J217" i="3"/>
  <c r="L16" i="4"/>
  <c r="L17" i="4" s="1"/>
  <c r="P16" i="4"/>
  <c r="P17" i="4" s="1"/>
  <c r="N6" i="4"/>
  <c r="N16" i="4" s="1"/>
  <c r="N17" i="4" s="1"/>
  <c r="M16" i="4"/>
  <c r="M17" i="4" s="1"/>
  <c r="D64" i="1"/>
  <c r="C96" i="4"/>
  <c r="C97" i="4" s="1"/>
  <c r="C11" i="2"/>
  <c r="Y11" i="2" s="1"/>
  <c r="I166" i="4"/>
  <c r="F148" i="4"/>
  <c r="C165" i="4"/>
  <c r="C166" i="4" s="1"/>
  <c r="E9" i="2"/>
  <c r="J9" i="2"/>
  <c r="I16" i="4"/>
  <c r="I17" i="4" s="1"/>
  <c r="F16" i="4"/>
  <c r="F17" i="4" s="1"/>
  <c r="G148" i="4"/>
  <c r="C165" i="2"/>
  <c r="D70" i="1"/>
  <c r="E70" i="1" s="1"/>
  <c r="D13" i="1"/>
  <c r="E13" i="1" s="1"/>
  <c r="D160" i="2"/>
  <c r="F9" i="1"/>
  <c r="G8" i="2"/>
  <c r="D133" i="2"/>
  <c r="D57" i="1"/>
  <c r="E57" i="1" s="1"/>
  <c r="J6" i="4"/>
  <c r="J16" i="4" s="1"/>
  <c r="J17" i="4" s="1"/>
  <c r="J18" i="4"/>
  <c r="C91" i="2"/>
  <c r="Y91" i="2" s="1"/>
  <c r="O148" i="4"/>
  <c r="L217" i="4"/>
  <c r="L218" i="4" s="1"/>
  <c r="K7" i="1"/>
  <c r="F14" i="17" s="1"/>
  <c r="G41" i="2"/>
  <c r="O40" i="2"/>
  <c r="N18" i="4"/>
  <c r="O45" i="2"/>
  <c r="O57" i="2"/>
  <c r="C19" i="2"/>
  <c r="D19" i="1" s="1"/>
  <c r="O67" i="2"/>
  <c r="G47" i="2"/>
  <c r="D99" i="2"/>
  <c r="D55" i="1"/>
  <c r="E55" i="1" s="1"/>
  <c r="G58" i="2"/>
  <c r="G40" i="2"/>
  <c r="G66" i="2"/>
  <c r="G45" i="2"/>
  <c r="G57" i="2"/>
  <c r="D76" i="1"/>
  <c r="C167" i="2"/>
  <c r="Y167" i="2" s="1"/>
  <c r="O58" i="2"/>
  <c r="O66" i="2"/>
  <c r="G63" i="2"/>
  <c r="G55" i="2"/>
  <c r="G46" i="2"/>
  <c r="G43" i="2"/>
  <c r="O47" i="2"/>
  <c r="G56" i="2"/>
  <c r="O63" i="2"/>
  <c r="O55" i="2"/>
  <c r="O46" i="2"/>
  <c r="E56" i="1"/>
  <c r="O42" i="2"/>
  <c r="G67" i="2"/>
  <c r="O41" i="2"/>
  <c r="O50" i="2"/>
  <c r="O54" i="2"/>
  <c r="G54" i="2"/>
  <c r="O62" i="2"/>
  <c r="O44" i="2"/>
  <c r="G62" i="2"/>
  <c r="G44" i="2"/>
  <c r="G50" i="2"/>
  <c r="O43" i="2"/>
  <c r="C53" i="4"/>
  <c r="E65" i="1"/>
  <c r="M18" i="4"/>
  <c r="O61" i="2"/>
  <c r="O60" i="2"/>
  <c r="O59" i="2"/>
  <c r="K64" i="1"/>
  <c r="G60" i="2"/>
  <c r="G61" i="2"/>
  <c r="G59" i="2"/>
  <c r="F64" i="1"/>
  <c r="G49" i="2"/>
  <c r="O49" i="2"/>
  <c r="O65" i="2"/>
  <c r="O39" i="2"/>
  <c r="G65" i="2"/>
  <c r="H56" i="1"/>
  <c r="G39" i="2"/>
  <c r="G64" i="2"/>
  <c r="O64" i="2"/>
  <c r="O48" i="2"/>
  <c r="G48" i="2"/>
  <c r="G38" i="2"/>
  <c r="O36" i="2"/>
  <c r="G36" i="2"/>
  <c r="O38" i="2"/>
  <c r="F18" i="4"/>
  <c r="I18" i="4"/>
  <c r="C35" i="4"/>
  <c r="H148" i="4"/>
  <c r="C53" i="2"/>
  <c r="D21" i="1" s="1"/>
  <c r="C35" i="2"/>
  <c r="E18" i="4"/>
  <c r="D115" i="2"/>
  <c r="C98" i="2"/>
  <c r="Y98" i="2" s="1"/>
  <c r="L148" i="4"/>
  <c r="E16" i="4"/>
  <c r="E17" i="4" s="1"/>
  <c r="L97" i="4"/>
  <c r="E148" i="4"/>
  <c r="H97" i="4"/>
  <c r="M217" i="4"/>
  <c r="M218" i="4" s="1"/>
  <c r="M148" i="4"/>
  <c r="C167" i="4"/>
  <c r="E217" i="4"/>
  <c r="E218" i="4" s="1"/>
  <c r="E97" i="4"/>
  <c r="K6" i="4"/>
  <c r="K16" i="4" s="1"/>
  <c r="K17" i="4" s="1"/>
  <c r="J149" i="4"/>
  <c r="P148" i="4"/>
  <c r="K149" i="4"/>
  <c r="N149" i="4"/>
  <c r="I149" i="4"/>
  <c r="C11" i="4"/>
  <c r="N217" i="3"/>
  <c r="N218" i="3" s="1"/>
  <c r="H217" i="3"/>
  <c r="H218" i="3" s="1"/>
  <c r="C9" i="3"/>
  <c r="G17" i="4"/>
  <c r="C9" i="4"/>
  <c r="C9" i="2" s="1"/>
  <c r="D8" i="1" s="1"/>
  <c r="C98" i="4"/>
  <c r="C7" i="4"/>
  <c r="C7" i="2" s="1"/>
  <c r="C19" i="4"/>
  <c r="F148" i="3"/>
  <c r="M148" i="3"/>
  <c r="C165" i="3"/>
  <c r="C166" i="3" s="1"/>
  <c r="G148" i="3"/>
  <c r="K217" i="4"/>
  <c r="K218" i="4" s="1"/>
  <c r="H148" i="3"/>
  <c r="N148" i="3"/>
  <c r="J148" i="3"/>
  <c r="P148" i="3"/>
  <c r="K148" i="3"/>
  <c r="N97" i="3"/>
  <c r="L148" i="3"/>
  <c r="G97" i="3"/>
  <c r="L97" i="3"/>
  <c r="C98" i="3"/>
  <c r="J97" i="3"/>
  <c r="E148" i="3"/>
  <c r="N11" i="19" l="1"/>
  <c r="M11" i="19"/>
  <c r="O11" i="19"/>
  <c r="L16" i="19"/>
  <c r="AD11" i="19"/>
  <c r="AD17" i="19" s="1"/>
  <c r="F16" i="19"/>
  <c r="AA11" i="19"/>
  <c r="AA17" i="19" s="1"/>
  <c r="G11" i="19"/>
  <c r="D11" i="19"/>
  <c r="E78" i="16"/>
  <c r="E78" i="17"/>
  <c r="F78" i="16"/>
  <c r="H78" i="16" s="1"/>
  <c r="F78" i="17"/>
  <c r="H78" i="17" s="1"/>
  <c r="D14" i="16"/>
  <c r="H14" i="16"/>
  <c r="F83" i="16"/>
  <c r="F83" i="17"/>
  <c r="F14" i="16"/>
  <c r="H16" i="16"/>
  <c r="G8" i="16"/>
  <c r="G8" i="17"/>
  <c r="F8" i="16"/>
  <c r="F8" i="17"/>
  <c r="F16" i="16"/>
  <c r="G7" i="2"/>
  <c r="O149" i="4"/>
  <c r="L149" i="4"/>
  <c r="M149" i="4"/>
  <c r="F149" i="4"/>
  <c r="E149" i="4"/>
  <c r="G149" i="4"/>
  <c r="H149" i="4"/>
  <c r="H75" i="4"/>
  <c r="G68" i="4"/>
  <c r="G69" i="4" s="1"/>
  <c r="M68" i="4"/>
  <c r="M69" i="4" s="1"/>
  <c r="O149" i="3"/>
  <c r="K218" i="3"/>
  <c r="J218" i="3"/>
  <c r="N12" i="1"/>
  <c r="J12" i="1"/>
  <c r="L12" i="1"/>
  <c r="D165" i="2"/>
  <c r="Y165" i="2"/>
  <c r="O68" i="4"/>
  <c r="O69" i="4" s="1"/>
  <c r="P68" i="4"/>
  <c r="P69" i="4" s="1"/>
  <c r="E64" i="1"/>
  <c r="O9" i="1"/>
  <c r="L64" i="1"/>
  <c r="L69" i="1"/>
  <c r="L77" i="1"/>
  <c r="L76" i="1"/>
  <c r="L75" i="1"/>
  <c r="L66" i="1"/>
  <c r="L67" i="1"/>
  <c r="L65" i="1"/>
  <c r="L74" i="1"/>
  <c r="L68" i="1"/>
  <c r="L70" i="1"/>
  <c r="E9" i="1"/>
  <c r="H9" i="1"/>
  <c r="O7" i="1"/>
  <c r="K8" i="1"/>
  <c r="F15" i="17" s="1"/>
  <c r="P9" i="1"/>
  <c r="G8" i="1"/>
  <c r="E8" i="1" s="1"/>
  <c r="H17" i="4"/>
  <c r="N68" i="4"/>
  <c r="L68" i="4"/>
  <c r="L69" i="4" s="1"/>
  <c r="F6" i="2"/>
  <c r="AA6" i="2" s="1"/>
  <c r="G9" i="2"/>
  <c r="H6" i="2"/>
  <c r="AB6" i="2" s="1"/>
  <c r="M8" i="1"/>
  <c r="H15" i="17" s="1"/>
  <c r="J15" i="17" s="1"/>
  <c r="N9" i="2"/>
  <c r="L6" i="2"/>
  <c r="AD6" i="2" s="1"/>
  <c r="F68" i="4"/>
  <c r="F69" i="4" s="1"/>
  <c r="E6" i="2"/>
  <c r="Z6" i="2" s="1"/>
  <c r="F8" i="1"/>
  <c r="J68" i="4"/>
  <c r="I68" i="4"/>
  <c r="K68" i="4"/>
  <c r="J6" i="2"/>
  <c r="AC6" i="2" s="1"/>
  <c r="D72" i="1"/>
  <c r="D54" i="1"/>
  <c r="E54" i="1" s="1"/>
  <c r="H7" i="1"/>
  <c r="D79" i="2"/>
  <c r="C96" i="2"/>
  <c r="Y96" i="2" s="1"/>
  <c r="C166" i="2"/>
  <c r="D166" i="2" s="1"/>
  <c r="P7" i="1"/>
  <c r="D50" i="1"/>
  <c r="E50" i="1" s="1"/>
  <c r="D12" i="1"/>
  <c r="D91" i="2"/>
  <c r="C18" i="4"/>
  <c r="C217" i="2"/>
  <c r="Y217" i="2" s="1"/>
  <c r="D74" i="1"/>
  <c r="E74" i="1" s="1"/>
  <c r="E76" i="1"/>
  <c r="D7" i="1"/>
  <c r="D6" i="1" s="1"/>
  <c r="C6" i="2"/>
  <c r="Y6" i="2" s="1"/>
  <c r="Y17" i="2" s="1"/>
  <c r="E38" i="1"/>
  <c r="P65" i="1"/>
  <c r="H65" i="1"/>
  <c r="K54" i="1"/>
  <c r="P55" i="1"/>
  <c r="F54" i="1"/>
  <c r="H54" i="1" s="1"/>
  <c r="H55" i="1"/>
  <c r="P56" i="1"/>
  <c r="C18" i="2"/>
  <c r="Y18" i="2" s="1"/>
  <c r="D20" i="1"/>
  <c r="D18" i="1" s="1"/>
  <c r="E68" i="4"/>
  <c r="E69" i="4" s="1"/>
  <c r="C148" i="4"/>
  <c r="C149" i="4" s="1"/>
  <c r="D98" i="2"/>
  <c r="P149" i="4"/>
  <c r="K149" i="3"/>
  <c r="F149" i="3"/>
  <c r="P149" i="3"/>
  <c r="E149" i="3"/>
  <c r="J149" i="3"/>
  <c r="N149" i="3"/>
  <c r="G149" i="3"/>
  <c r="L149" i="3"/>
  <c r="H149" i="3"/>
  <c r="M149" i="3"/>
  <c r="C6" i="4"/>
  <c r="C16" i="4" s="1"/>
  <c r="C17" i="4" s="1"/>
  <c r="C217" i="4"/>
  <c r="C218" i="4" s="1"/>
  <c r="F17" i="19" l="1"/>
  <c r="G17" i="19" s="1"/>
  <c r="D16" i="19"/>
  <c r="F68" i="19"/>
  <c r="AA16" i="19"/>
  <c r="AA69" i="19" s="1"/>
  <c r="G16" i="19"/>
  <c r="M16" i="19"/>
  <c r="L68" i="19"/>
  <c r="N16" i="19"/>
  <c r="O16" i="19" s="1"/>
  <c r="L17" i="19"/>
  <c r="AD16" i="19"/>
  <c r="AD69" i="19" s="1"/>
  <c r="E7" i="17"/>
  <c r="E7" i="16"/>
  <c r="H8" i="16"/>
  <c r="F67" i="16"/>
  <c r="F67" i="17"/>
  <c r="G85" i="16"/>
  <c r="G85" i="17"/>
  <c r="H8" i="17"/>
  <c r="K84" i="16"/>
  <c r="K84" i="17"/>
  <c r="G89" i="16"/>
  <c r="G89" i="17"/>
  <c r="G87" i="16"/>
  <c r="G87" i="17"/>
  <c r="G88" i="16"/>
  <c r="G88" i="17"/>
  <c r="G19" i="16"/>
  <c r="G19" i="17"/>
  <c r="J14" i="16"/>
  <c r="K14" i="16"/>
  <c r="K14" i="17"/>
  <c r="H15" i="16"/>
  <c r="K7" i="16"/>
  <c r="K45" i="16" s="1"/>
  <c r="K7" i="17"/>
  <c r="G93" i="16"/>
  <c r="G93" i="17"/>
  <c r="G83" i="16"/>
  <c r="G83" i="17"/>
  <c r="E19" i="16"/>
  <c r="G84" i="16"/>
  <c r="G84" i="17"/>
  <c r="J16" i="16"/>
  <c r="I19" i="16"/>
  <c r="I19" i="17"/>
  <c r="I8" i="16"/>
  <c r="I46" i="16" s="1"/>
  <c r="I8" i="17"/>
  <c r="K16" i="16"/>
  <c r="K16" i="17"/>
  <c r="D15" i="16"/>
  <c r="F15" i="16"/>
  <c r="G86" i="16"/>
  <c r="G86" i="17"/>
  <c r="F75" i="4"/>
  <c r="M75" i="4"/>
  <c r="P75" i="4"/>
  <c r="N69" i="4"/>
  <c r="N75" i="4"/>
  <c r="K69" i="4"/>
  <c r="K75" i="4"/>
  <c r="I69" i="4"/>
  <c r="I75" i="4"/>
  <c r="J69" i="4"/>
  <c r="J75" i="4"/>
  <c r="G75" i="4"/>
  <c r="L75" i="4"/>
  <c r="E75" i="4"/>
  <c r="O75" i="4"/>
  <c r="N14" i="1"/>
  <c r="N13" i="1"/>
  <c r="J14" i="1"/>
  <c r="J13" i="1"/>
  <c r="L13" i="1"/>
  <c r="L14" i="1"/>
  <c r="C16" i="2"/>
  <c r="C68" i="2" s="1"/>
  <c r="Y68" i="2" s="1"/>
  <c r="D217" i="2"/>
  <c r="L54" i="1"/>
  <c r="J25" i="1"/>
  <c r="K6" i="1"/>
  <c r="F13" i="17" s="1"/>
  <c r="C148" i="2"/>
  <c r="D96" i="2"/>
  <c r="D73" i="1"/>
  <c r="E72" i="1"/>
  <c r="H8" i="1"/>
  <c r="G6" i="1"/>
  <c r="C218" i="2"/>
  <c r="I6" i="1"/>
  <c r="O8" i="1"/>
  <c r="M6" i="1"/>
  <c r="H13" i="17" s="1"/>
  <c r="J13" i="17" s="1"/>
  <c r="P8" i="1"/>
  <c r="F6" i="1"/>
  <c r="D52" i="1"/>
  <c r="C97" i="2"/>
  <c r="D97" i="2" s="1"/>
  <c r="E12" i="1"/>
  <c r="D11" i="1"/>
  <c r="E11" i="1" s="1"/>
  <c r="D78" i="1"/>
  <c r="C68" i="4"/>
  <c r="C69" i="4" s="1"/>
  <c r="E7" i="1"/>
  <c r="F72" i="1"/>
  <c r="H64" i="1"/>
  <c r="K72" i="1"/>
  <c r="P64" i="1"/>
  <c r="K52" i="1"/>
  <c r="F65" i="17" s="1"/>
  <c r="P38" i="1"/>
  <c r="F52" i="1"/>
  <c r="H38" i="1"/>
  <c r="P54" i="1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P53" i="3"/>
  <c r="O53" i="3"/>
  <c r="N53" i="3"/>
  <c r="M53" i="3"/>
  <c r="L53" i="3"/>
  <c r="K53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6" i="3"/>
  <c r="P35" i="3"/>
  <c r="O35" i="3"/>
  <c r="N35" i="3"/>
  <c r="M35" i="3"/>
  <c r="L35" i="3"/>
  <c r="K35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P19" i="3"/>
  <c r="O19" i="3"/>
  <c r="N19" i="3"/>
  <c r="M19" i="3"/>
  <c r="L19" i="3"/>
  <c r="K19" i="3"/>
  <c r="J19" i="3"/>
  <c r="J18" i="3" s="1"/>
  <c r="I19" i="3"/>
  <c r="I18" i="3" s="1"/>
  <c r="H19" i="3"/>
  <c r="H18" i="3" s="1"/>
  <c r="G19" i="3"/>
  <c r="F19" i="3"/>
  <c r="F18" i="3" s="1"/>
  <c r="E19" i="3"/>
  <c r="C15" i="3"/>
  <c r="C14" i="3"/>
  <c r="C13" i="3"/>
  <c r="P11" i="3"/>
  <c r="P16" i="3" s="1"/>
  <c r="O11" i="3"/>
  <c r="O16" i="3" s="1"/>
  <c r="N11" i="3"/>
  <c r="N16" i="3" s="1"/>
  <c r="M11" i="3"/>
  <c r="M16" i="3" s="1"/>
  <c r="L11" i="3"/>
  <c r="L16" i="3" s="1"/>
  <c r="K11" i="3"/>
  <c r="K16" i="3" s="1"/>
  <c r="J11" i="3"/>
  <c r="J16" i="3" s="1"/>
  <c r="J17" i="3" s="1"/>
  <c r="H11" i="3"/>
  <c r="H16" i="3" s="1"/>
  <c r="G11" i="3"/>
  <c r="G16" i="3" s="1"/>
  <c r="F11" i="3"/>
  <c r="F16" i="3" s="1"/>
  <c r="E11" i="3"/>
  <c r="E16" i="3" s="1"/>
  <c r="C8" i="3"/>
  <c r="C7" i="3"/>
  <c r="D66" i="2"/>
  <c r="D64" i="2"/>
  <c r="D63" i="2"/>
  <c r="D56" i="2"/>
  <c r="D55" i="2"/>
  <c r="D50" i="2"/>
  <c r="D46" i="2"/>
  <c r="D43" i="2"/>
  <c r="D41" i="2"/>
  <c r="D38" i="2"/>
  <c r="D32" i="2"/>
  <c r="D31" i="2"/>
  <c r="D29" i="2"/>
  <c r="D26" i="2"/>
  <c r="D23" i="2"/>
  <c r="D21" i="2"/>
  <c r="M68" i="19" l="1"/>
  <c r="AD68" i="19"/>
  <c r="L69" i="19"/>
  <c r="N68" i="19"/>
  <c r="O68" i="19" s="1"/>
  <c r="G68" i="19"/>
  <c r="D68" i="19"/>
  <c r="F75" i="19"/>
  <c r="AA68" i="19"/>
  <c r="F69" i="19"/>
  <c r="E79" i="16"/>
  <c r="E80" i="16" s="1"/>
  <c r="E79" i="17"/>
  <c r="E80" i="17" s="1"/>
  <c r="K78" i="16"/>
  <c r="J8" i="16"/>
  <c r="J46" i="16" s="1"/>
  <c r="K67" i="16"/>
  <c r="K67" i="17"/>
  <c r="F7" i="16"/>
  <c r="F7" i="17"/>
  <c r="K45" i="17"/>
  <c r="K78" i="17"/>
  <c r="K15" i="16"/>
  <c r="K15" i="17"/>
  <c r="G21" i="16"/>
  <c r="G21" i="17"/>
  <c r="G20" i="16"/>
  <c r="G20" i="17"/>
  <c r="I46" i="17"/>
  <c r="J8" i="17"/>
  <c r="J46" i="17" s="1"/>
  <c r="E20" i="16"/>
  <c r="D13" i="16"/>
  <c r="F13" i="16"/>
  <c r="E21" i="16"/>
  <c r="I20" i="16"/>
  <c r="I20" i="17"/>
  <c r="J7" i="16"/>
  <c r="J78" i="16" s="1"/>
  <c r="J7" i="17"/>
  <c r="K51" i="16"/>
  <c r="K51" i="17"/>
  <c r="J15" i="16"/>
  <c r="K83" i="16"/>
  <c r="K83" i="17"/>
  <c r="E32" i="16"/>
  <c r="F91" i="16"/>
  <c r="F91" i="17"/>
  <c r="G7" i="16"/>
  <c r="G7" i="17"/>
  <c r="G67" i="16"/>
  <c r="G67" i="17"/>
  <c r="I21" i="16"/>
  <c r="I21" i="17"/>
  <c r="P52" i="1"/>
  <c r="F65" i="16"/>
  <c r="N11" i="1"/>
  <c r="H13" i="16"/>
  <c r="L11" i="1"/>
  <c r="D148" i="2"/>
  <c r="Y148" i="2"/>
  <c r="C17" i="2"/>
  <c r="Y16" i="2"/>
  <c r="Y69" i="2" s="1"/>
  <c r="S6" i="1"/>
  <c r="R6" i="1"/>
  <c r="C149" i="2"/>
  <c r="P72" i="1"/>
  <c r="L6" i="1"/>
  <c r="G13" i="17" s="1"/>
  <c r="L9" i="1"/>
  <c r="G16" i="17" s="1"/>
  <c r="L8" i="1"/>
  <c r="G15" i="17" s="1"/>
  <c r="L7" i="1"/>
  <c r="G14" i="17" s="1"/>
  <c r="K16" i="1"/>
  <c r="D53" i="1"/>
  <c r="E52" i="1"/>
  <c r="D79" i="1"/>
  <c r="D25" i="1"/>
  <c r="E25" i="1" s="1"/>
  <c r="E78" i="1"/>
  <c r="F73" i="1"/>
  <c r="H72" i="1"/>
  <c r="F53" i="1"/>
  <c r="H52" i="1"/>
  <c r="K73" i="1"/>
  <c r="L72" i="1"/>
  <c r="K53" i="1"/>
  <c r="L52" i="1"/>
  <c r="G16" i="1"/>
  <c r="H6" i="1"/>
  <c r="P6" i="1"/>
  <c r="K13" i="17" s="1"/>
  <c r="D58" i="1"/>
  <c r="N6" i="1"/>
  <c r="I13" i="17" s="1"/>
  <c r="O6" i="1"/>
  <c r="N25" i="1"/>
  <c r="M16" i="1"/>
  <c r="N24" i="1"/>
  <c r="N7" i="1"/>
  <c r="I14" i="17" s="1"/>
  <c r="N9" i="1"/>
  <c r="I16" i="17" s="1"/>
  <c r="F16" i="1"/>
  <c r="N8" i="1"/>
  <c r="I15" i="17" s="1"/>
  <c r="J6" i="1"/>
  <c r="I16" i="1"/>
  <c r="J11" i="1"/>
  <c r="J9" i="1"/>
  <c r="J7" i="1"/>
  <c r="J8" i="1"/>
  <c r="E6" i="1"/>
  <c r="D16" i="1"/>
  <c r="K78" i="1"/>
  <c r="F78" i="1"/>
  <c r="F58" i="1"/>
  <c r="K58" i="1"/>
  <c r="O18" i="3"/>
  <c r="O68" i="3" s="1"/>
  <c r="P18" i="3"/>
  <c r="P68" i="3" s="1"/>
  <c r="P75" i="3" s="1"/>
  <c r="F68" i="3"/>
  <c r="F75" i="3" s="1"/>
  <c r="J68" i="3"/>
  <c r="J75" i="3" s="1"/>
  <c r="H68" i="3"/>
  <c r="H75" i="3" s="1"/>
  <c r="M18" i="3"/>
  <c r="M68" i="3" s="1"/>
  <c r="M75" i="3" s="1"/>
  <c r="D7" i="2"/>
  <c r="C6" i="3"/>
  <c r="N18" i="3"/>
  <c r="N68" i="3" s="1"/>
  <c r="K18" i="3"/>
  <c r="K68" i="3" s="1"/>
  <c r="K75" i="3" s="1"/>
  <c r="L18" i="3"/>
  <c r="L68" i="3" s="1"/>
  <c r="C53" i="3"/>
  <c r="E18" i="3"/>
  <c r="D9" i="2"/>
  <c r="H11" i="2"/>
  <c r="AB11" i="2" s="1"/>
  <c r="AB17" i="2" s="1"/>
  <c r="H53" i="2"/>
  <c r="I21" i="1" s="1"/>
  <c r="E11" i="2"/>
  <c r="Z11" i="2" s="1"/>
  <c r="Z17" i="2" s="1"/>
  <c r="E35" i="2"/>
  <c r="D58" i="2"/>
  <c r="O7" i="2"/>
  <c r="D45" i="2"/>
  <c r="H19" i="2"/>
  <c r="I19" i="1" s="1"/>
  <c r="D33" i="2"/>
  <c r="N17" i="3"/>
  <c r="H17" i="3"/>
  <c r="P17" i="3"/>
  <c r="F17" i="3"/>
  <c r="K17" i="3"/>
  <c r="L17" i="3"/>
  <c r="E17" i="3"/>
  <c r="M17" i="3"/>
  <c r="G17" i="3"/>
  <c r="O17" i="3"/>
  <c r="O8" i="2"/>
  <c r="O9" i="2"/>
  <c r="D13" i="2"/>
  <c r="O13" i="2"/>
  <c r="D57" i="2"/>
  <c r="D65" i="2"/>
  <c r="C19" i="3"/>
  <c r="D24" i="2"/>
  <c r="J35" i="2"/>
  <c r="D8" i="2"/>
  <c r="D25" i="2"/>
  <c r="D49" i="2"/>
  <c r="J53" i="2"/>
  <c r="D61" i="2"/>
  <c r="E53" i="2"/>
  <c r="L19" i="2"/>
  <c r="O14" i="2"/>
  <c r="D20" i="2"/>
  <c r="E19" i="2"/>
  <c r="D48" i="2"/>
  <c r="F53" i="2"/>
  <c r="D60" i="2"/>
  <c r="Q9" i="2"/>
  <c r="R9" i="2" s="1"/>
  <c r="D28" i="2"/>
  <c r="D40" i="2"/>
  <c r="D42" i="2"/>
  <c r="D47" i="2"/>
  <c r="L53" i="2"/>
  <c r="J11" i="2"/>
  <c r="AC11" i="2" s="1"/>
  <c r="AC17" i="2" s="1"/>
  <c r="D54" i="2"/>
  <c r="D62" i="2"/>
  <c r="D14" i="2"/>
  <c r="J19" i="2"/>
  <c r="D59" i="2"/>
  <c r="D67" i="2"/>
  <c r="U8" i="2"/>
  <c r="V8" i="2" s="1"/>
  <c r="D22" i="2"/>
  <c r="D30" i="2"/>
  <c r="D39" i="2"/>
  <c r="D27" i="2"/>
  <c r="D36" i="2"/>
  <c r="D44" i="2"/>
  <c r="F19" i="2"/>
  <c r="R21" i="2"/>
  <c r="S20" i="2"/>
  <c r="S21" i="2"/>
  <c r="R22" i="2"/>
  <c r="U9" i="2"/>
  <c r="V9" i="2" s="1"/>
  <c r="Q61" i="2"/>
  <c r="S8" i="2"/>
  <c r="T8" i="2" s="1"/>
  <c r="R67" i="2"/>
  <c r="S22" i="2"/>
  <c r="S9" i="2"/>
  <c r="T9" i="2" s="1"/>
  <c r="R61" i="2"/>
  <c r="R20" i="2"/>
  <c r="Q8" i="2"/>
  <c r="Q67" i="2"/>
  <c r="R64" i="2"/>
  <c r="Q64" i="2"/>
  <c r="E47" i="17" l="1"/>
  <c r="E48" i="17" s="1"/>
  <c r="E47" i="16"/>
  <c r="E48" i="16" s="1"/>
  <c r="H7" i="17"/>
  <c r="J45" i="16"/>
  <c r="H7" i="16"/>
  <c r="E15" i="16"/>
  <c r="I16" i="16"/>
  <c r="F23" i="16"/>
  <c r="F23" i="17"/>
  <c r="I13" i="16"/>
  <c r="E14" i="16"/>
  <c r="I14" i="16"/>
  <c r="G14" i="16"/>
  <c r="I18" i="16"/>
  <c r="I18" i="17"/>
  <c r="F71" i="16"/>
  <c r="F71" i="17"/>
  <c r="E16" i="16"/>
  <c r="I31" i="16"/>
  <c r="I31" i="17"/>
  <c r="G15" i="16"/>
  <c r="I7" i="16"/>
  <c r="I45" i="16" s="1"/>
  <c r="I7" i="17"/>
  <c r="F47" i="16"/>
  <c r="H47" i="16" s="1"/>
  <c r="F47" i="17"/>
  <c r="H23" i="16"/>
  <c r="H23" i="17"/>
  <c r="J23" i="17" s="1"/>
  <c r="G65" i="16"/>
  <c r="G65" i="17"/>
  <c r="G16" i="16"/>
  <c r="K65" i="16"/>
  <c r="K65" i="17"/>
  <c r="D23" i="16"/>
  <c r="I32" i="16"/>
  <c r="I32" i="17"/>
  <c r="K9" i="16"/>
  <c r="K79" i="16" s="1"/>
  <c r="K9" i="17"/>
  <c r="G13" i="16"/>
  <c r="J45" i="17"/>
  <c r="J78" i="17"/>
  <c r="I15" i="16"/>
  <c r="E18" i="16"/>
  <c r="F79" i="16"/>
  <c r="F80" i="16" s="1"/>
  <c r="F79" i="17"/>
  <c r="F97" i="16"/>
  <c r="F97" i="17"/>
  <c r="E13" i="16"/>
  <c r="G91" i="16"/>
  <c r="G91" i="17"/>
  <c r="K91" i="16"/>
  <c r="K91" i="17"/>
  <c r="G18" i="16"/>
  <c r="G18" i="17"/>
  <c r="T6" i="1"/>
  <c r="J13" i="16"/>
  <c r="Q6" i="1"/>
  <c r="K13" i="16"/>
  <c r="O69" i="3"/>
  <c r="O75" i="3"/>
  <c r="S16" i="1"/>
  <c r="R16" i="1"/>
  <c r="P78" i="1"/>
  <c r="P58" i="1"/>
  <c r="P16" i="1"/>
  <c r="H78" i="1"/>
  <c r="H58" i="1"/>
  <c r="K17" i="1"/>
  <c r="L16" i="1"/>
  <c r="D59" i="1"/>
  <c r="D24" i="1"/>
  <c r="E24" i="1" s="1"/>
  <c r="E58" i="1"/>
  <c r="H16" i="1"/>
  <c r="G17" i="1"/>
  <c r="E16" i="1"/>
  <c r="L78" i="1"/>
  <c r="L58" i="1"/>
  <c r="O16" i="1"/>
  <c r="F79" i="1"/>
  <c r="F25" i="1"/>
  <c r="H25" i="1" s="1"/>
  <c r="K79" i="1"/>
  <c r="K25" i="1"/>
  <c r="F32" i="17" s="1"/>
  <c r="F59" i="1"/>
  <c r="F24" i="1"/>
  <c r="H24" i="1" s="1"/>
  <c r="K59" i="1"/>
  <c r="K24" i="1"/>
  <c r="F31" i="17" s="1"/>
  <c r="M19" i="1"/>
  <c r="F21" i="1"/>
  <c r="F20" i="1"/>
  <c r="G19" i="1"/>
  <c r="E19" i="1" s="1"/>
  <c r="M21" i="1"/>
  <c r="K21" i="1"/>
  <c r="F19" i="1"/>
  <c r="K19" i="1"/>
  <c r="G21" i="1"/>
  <c r="E21" i="1" s="1"/>
  <c r="K20" i="1"/>
  <c r="E68" i="3"/>
  <c r="E75" i="3" s="1"/>
  <c r="N16" i="1"/>
  <c r="M17" i="1"/>
  <c r="F17" i="1"/>
  <c r="J16" i="1"/>
  <c r="I17" i="1"/>
  <c r="D17" i="1"/>
  <c r="D22" i="1"/>
  <c r="G53" i="2"/>
  <c r="G6" i="2"/>
  <c r="K67" i="2"/>
  <c r="K59" i="2"/>
  <c r="K43" i="2"/>
  <c r="K27" i="2"/>
  <c r="K8" i="2"/>
  <c r="K60" i="2"/>
  <c r="K28" i="2"/>
  <c r="K66" i="2"/>
  <c r="K58" i="2"/>
  <c r="K50" i="2"/>
  <c r="K42" i="2"/>
  <c r="K26" i="2"/>
  <c r="K7" i="2"/>
  <c r="K9" i="2"/>
  <c r="K65" i="2"/>
  <c r="K57" i="2"/>
  <c r="K49" i="2"/>
  <c r="K41" i="2"/>
  <c r="K33" i="2"/>
  <c r="K25" i="2"/>
  <c r="K6" i="2"/>
  <c r="K20" i="2"/>
  <c r="K64" i="2"/>
  <c r="K56" i="2"/>
  <c r="K48" i="2"/>
  <c r="K40" i="2"/>
  <c r="K32" i="2"/>
  <c r="K24" i="2"/>
  <c r="K14" i="2"/>
  <c r="K63" i="2"/>
  <c r="K55" i="2"/>
  <c r="K47" i="2"/>
  <c r="K39" i="2"/>
  <c r="K31" i="2"/>
  <c r="K23" i="2"/>
  <c r="K13" i="2"/>
  <c r="K36" i="2"/>
  <c r="K62" i="2"/>
  <c r="K54" i="2"/>
  <c r="K46" i="2"/>
  <c r="K38" i="2"/>
  <c r="K30" i="2"/>
  <c r="K22" i="2"/>
  <c r="K12" i="2"/>
  <c r="K61" i="2"/>
  <c r="K45" i="2"/>
  <c r="K37" i="2"/>
  <c r="K29" i="2"/>
  <c r="K21" i="2"/>
  <c r="K44" i="2"/>
  <c r="M64" i="2"/>
  <c r="M56" i="2"/>
  <c r="M48" i="2"/>
  <c r="M40" i="2"/>
  <c r="M32" i="2"/>
  <c r="M24" i="2"/>
  <c r="M14" i="2"/>
  <c r="M41" i="2"/>
  <c r="M63" i="2"/>
  <c r="M55" i="2"/>
  <c r="M47" i="2"/>
  <c r="M39" i="2"/>
  <c r="M31" i="2"/>
  <c r="M23" i="2"/>
  <c r="M13" i="2"/>
  <c r="M49" i="2"/>
  <c r="M62" i="2"/>
  <c r="M54" i="2"/>
  <c r="M46" i="2"/>
  <c r="M38" i="2"/>
  <c r="M30" i="2"/>
  <c r="M22" i="2"/>
  <c r="M33" i="2"/>
  <c r="M61" i="2"/>
  <c r="M45" i="2"/>
  <c r="M29" i="2"/>
  <c r="M21" i="2"/>
  <c r="M65" i="2"/>
  <c r="M60" i="2"/>
  <c r="M44" i="2"/>
  <c r="M36" i="2"/>
  <c r="M28" i="2"/>
  <c r="M20" i="2"/>
  <c r="M9" i="2"/>
  <c r="M57" i="2"/>
  <c r="M25" i="2"/>
  <c r="M67" i="2"/>
  <c r="M59" i="2"/>
  <c r="M43" i="2"/>
  <c r="M27" i="2"/>
  <c r="M8" i="2"/>
  <c r="M66" i="2"/>
  <c r="M58" i="2"/>
  <c r="M50" i="2"/>
  <c r="M42" i="2"/>
  <c r="M26" i="2"/>
  <c r="M7" i="2"/>
  <c r="I53" i="2"/>
  <c r="G19" i="2"/>
  <c r="K35" i="2"/>
  <c r="I11" i="2"/>
  <c r="I64" i="2"/>
  <c r="I56" i="2"/>
  <c r="I48" i="2"/>
  <c r="I40" i="2"/>
  <c r="I32" i="2"/>
  <c r="I24" i="2"/>
  <c r="I13" i="2"/>
  <c r="I33" i="2"/>
  <c r="I63" i="2"/>
  <c r="I55" i="2"/>
  <c r="I47" i="2"/>
  <c r="I39" i="2"/>
  <c r="I31" i="2"/>
  <c r="I23" i="2"/>
  <c r="I12" i="2"/>
  <c r="I25" i="2"/>
  <c r="I62" i="2"/>
  <c r="I54" i="2"/>
  <c r="I46" i="2"/>
  <c r="I38" i="2"/>
  <c r="I30" i="2"/>
  <c r="I22" i="2"/>
  <c r="I61" i="2"/>
  <c r="I45" i="2"/>
  <c r="I29" i="2"/>
  <c r="I21" i="2"/>
  <c r="I9" i="2"/>
  <c r="I65" i="2"/>
  <c r="I60" i="2"/>
  <c r="I44" i="2"/>
  <c r="I36" i="2"/>
  <c r="I28" i="2"/>
  <c r="I20" i="2"/>
  <c r="I8" i="2"/>
  <c r="I57" i="2"/>
  <c r="I14" i="2"/>
  <c r="I67" i="2"/>
  <c r="I59" i="2"/>
  <c r="I43" i="2"/>
  <c r="I27" i="2"/>
  <c r="I7" i="2"/>
  <c r="I41" i="2"/>
  <c r="I66" i="2"/>
  <c r="I58" i="2"/>
  <c r="I50" i="2"/>
  <c r="I42" i="2"/>
  <c r="I26" i="2"/>
  <c r="I49" i="2"/>
  <c r="O19" i="2"/>
  <c r="N19" i="2"/>
  <c r="M19" i="2"/>
  <c r="K11" i="2"/>
  <c r="O53" i="2"/>
  <c r="N53" i="2"/>
  <c r="M53" i="2"/>
  <c r="K53" i="2"/>
  <c r="K19" i="2"/>
  <c r="I19" i="2"/>
  <c r="S67" i="2"/>
  <c r="M69" i="3"/>
  <c r="L69" i="3"/>
  <c r="L75" i="3"/>
  <c r="H69" i="3"/>
  <c r="N69" i="3"/>
  <c r="N75" i="3"/>
  <c r="K69" i="3"/>
  <c r="J69" i="3"/>
  <c r="F69" i="3"/>
  <c r="P69" i="3"/>
  <c r="T20" i="2"/>
  <c r="I6" i="2"/>
  <c r="E16" i="2"/>
  <c r="Z16" i="2" s="1"/>
  <c r="D53" i="2"/>
  <c r="H16" i="2"/>
  <c r="AB16" i="2" s="1"/>
  <c r="J16" i="2"/>
  <c r="AC16" i="2" s="1"/>
  <c r="E18" i="2"/>
  <c r="Z18" i="2" s="1"/>
  <c r="D19" i="2"/>
  <c r="D6" i="2"/>
  <c r="J18" i="2"/>
  <c r="AC18" i="2" s="1"/>
  <c r="O6" i="2"/>
  <c r="N6" i="2"/>
  <c r="M6" i="2"/>
  <c r="T21" i="2"/>
  <c r="T22" i="2"/>
  <c r="U7" i="2"/>
  <c r="R8" i="2"/>
  <c r="S7" i="2"/>
  <c r="U11" i="2"/>
  <c r="S11" i="2"/>
  <c r="E69" i="3" l="1"/>
  <c r="D23" i="1"/>
  <c r="E9" i="16"/>
  <c r="E10" i="16" s="1"/>
  <c r="E9" i="17"/>
  <c r="E10" i="17" s="1"/>
  <c r="I78" i="16"/>
  <c r="K47" i="16"/>
  <c r="H79" i="16"/>
  <c r="F48" i="16"/>
  <c r="E23" i="16"/>
  <c r="H26" i="16"/>
  <c r="H26" i="17"/>
  <c r="J9" i="16"/>
  <c r="J47" i="16" s="1"/>
  <c r="J9" i="17"/>
  <c r="K97" i="16"/>
  <c r="K97" i="17"/>
  <c r="F26" i="16"/>
  <c r="F26" i="17"/>
  <c r="F28" i="16"/>
  <c r="F28" i="17"/>
  <c r="J23" i="16"/>
  <c r="D28" i="16"/>
  <c r="F72" i="16"/>
  <c r="F72" i="17"/>
  <c r="G71" i="16"/>
  <c r="G71" i="17"/>
  <c r="G23" i="16"/>
  <c r="G23" i="17"/>
  <c r="I23" i="16"/>
  <c r="I23" i="17"/>
  <c r="D26" i="16"/>
  <c r="G97" i="16"/>
  <c r="G97" i="17"/>
  <c r="H79" i="17"/>
  <c r="F80" i="17"/>
  <c r="F48" i="17"/>
  <c r="H47" i="17"/>
  <c r="H28" i="16"/>
  <c r="H28" i="17"/>
  <c r="K79" i="17"/>
  <c r="K47" i="17"/>
  <c r="I45" i="17"/>
  <c r="I78" i="17"/>
  <c r="K71" i="16"/>
  <c r="K71" i="17"/>
  <c r="F98" i="16"/>
  <c r="F98" i="17"/>
  <c r="K23" i="16"/>
  <c r="K23" i="17"/>
  <c r="P24" i="1"/>
  <c r="F31" i="16"/>
  <c r="P25" i="1"/>
  <c r="F32" i="16"/>
  <c r="AC69" i="2"/>
  <c r="Z69" i="2"/>
  <c r="L25" i="1"/>
  <c r="L24" i="1"/>
  <c r="J21" i="1"/>
  <c r="N19" i="1"/>
  <c r="L20" i="1"/>
  <c r="N21" i="1"/>
  <c r="L21" i="1"/>
  <c r="L19" i="1"/>
  <c r="J17" i="2"/>
  <c r="H17" i="2"/>
  <c r="E17" i="2"/>
  <c r="K18" i="1"/>
  <c r="P19" i="1"/>
  <c r="O19" i="1"/>
  <c r="F18" i="1"/>
  <c r="F22" i="1" s="1"/>
  <c r="F9" i="17" s="1"/>
  <c r="O21" i="1"/>
  <c r="J19" i="1"/>
  <c r="H21" i="1"/>
  <c r="H19" i="1"/>
  <c r="P21" i="1"/>
  <c r="K18" i="2"/>
  <c r="K16" i="2"/>
  <c r="I16" i="2"/>
  <c r="J68" i="2"/>
  <c r="E68" i="2"/>
  <c r="Z68" i="2" s="1"/>
  <c r="C69" i="2"/>
  <c r="AC68" i="2" l="1"/>
  <c r="J75" i="2"/>
  <c r="E28" i="16"/>
  <c r="G31" i="16"/>
  <c r="G31" i="17"/>
  <c r="J47" i="17"/>
  <c r="J79" i="17"/>
  <c r="K32" i="16"/>
  <c r="K32" i="17"/>
  <c r="G32" i="16"/>
  <c r="G32" i="17"/>
  <c r="G26" i="16"/>
  <c r="G26" i="17"/>
  <c r="F25" i="16"/>
  <c r="F25" i="17"/>
  <c r="I26" i="16"/>
  <c r="I26" i="17"/>
  <c r="F10" i="17"/>
  <c r="J26" i="16"/>
  <c r="J26" i="17"/>
  <c r="J79" i="16"/>
  <c r="K28" i="16"/>
  <c r="K28" i="17"/>
  <c r="E26" i="16"/>
  <c r="K31" i="16"/>
  <c r="K31" i="17"/>
  <c r="J28" i="16"/>
  <c r="J28" i="17"/>
  <c r="G28" i="16"/>
  <c r="G28" i="17"/>
  <c r="I28" i="16"/>
  <c r="I28" i="17"/>
  <c r="K26" i="16"/>
  <c r="K26" i="17"/>
  <c r="F23" i="1"/>
  <c r="F9" i="16"/>
  <c r="K22" i="1"/>
  <c r="E69" i="2"/>
  <c r="L18" i="1"/>
  <c r="K68" i="2"/>
  <c r="J69" i="2"/>
  <c r="F29" i="16" l="1"/>
  <c r="F29" i="17"/>
  <c r="G25" i="16"/>
  <c r="G25" i="17"/>
  <c r="F10" i="16"/>
  <c r="K23" i="1"/>
  <c r="L22" i="1"/>
  <c r="D202" i="2"/>
  <c r="D184" i="2"/>
  <c r="D167" i="2"/>
  <c r="D168" i="2"/>
  <c r="N136" i="2"/>
  <c r="N140" i="2"/>
  <c r="N144" i="2"/>
  <c r="N145" i="2"/>
  <c r="N141" i="2"/>
  <c r="N138" i="2"/>
  <c r="N142" i="2"/>
  <c r="N146" i="2"/>
  <c r="N137" i="2"/>
  <c r="N134" i="2"/>
  <c r="H133" i="2"/>
  <c r="I57" i="1" s="1"/>
  <c r="N135" i="2"/>
  <c r="N139" i="2"/>
  <c r="N143" i="2"/>
  <c r="N147" i="2"/>
  <c r="G29" i="16" l="1"/>
  <c r="G29" i="17"/>
  <c r="F30" i="16"/>
  <c r="F30" i="17"/>
  <c r="J57" i="1"/>
  <c r="N133" i="2"/>
  <c r="I133" i="2"/>
  <c r="N127" i="2"/>
  <c r="N126" i="2"/>
  <c r="N120" i="2"/>
  <c r="N125" i="2"/>
  <c r="N121" i="2"/>
  <c r="N116" i="2"/>
  <c r="H115" i="2"/>
  <c r="I56" i="1" s="1"/>
  <c r="N122" i="2"/>
  <c r="N128" i="2"/>
  <c r="N119" i="2"/>
  <c r="N118" i="2"/>
  <c r="N124" i="2"/>
  <c r="N123" i="2"/>
  <c r="N117" i="2"/>
  <c r="N130" i="2"/>
  <c r="N129" i="2"/>
  <c r="N105" i="2"/>
  <c r="N102" i="2"/>
  <c r="N103" i="2"/>
  <c r="N106" i="2"/>
  <c r="N113" i="2"/>
  <c r="N111" i="2"/>
  <c r="N101" i="2"/>
  <c r="N112" i="2"/>
  <c r="N109" i="2"/>
  <c r="N100" i="2"/>
  <c r="H99" i="2"/>
  <c r="I55" i="1" s="1"/>
  <c r="N104" i="2"/>
  <c r="N108" i="2"/>
  <c r="N107" i="2"/>
  <c r="N110" i="2"/>
  <c r="O57" i="1" l="1"/>
  <c r="I115" i="2"/>
  <c r="J56" i="1"/>
  <c r="I99" i="2"/>
  <c r="J55" i="1"/>
  <c r="N115" i="2"/>
  <c r="H98" i="2"/>
  <c r="N99" i="2"/>
  <c r="N98" i="2" l="1"/>
  <c r="AB98" i="2"/>
  <c r="O56" i="1"/>
  <c r="I54" i="1"/>
  <c r="O55" i="1"/>
  <c r="H148" i="2"/>
  <c r="I98" i="2"/>
  <c r="D67" i="16" l="1"/>
  <c r="N148" i="2"/>
  <c r="O148" i="2" s="1"/>
  <c r="AB148" i="2"/>
  <c r="J54" i="1"/>
  <c r="O54" i="1"/>
  <c r="I58" i="1"/>
  <c r="I148" i="2"/>
  <c r="H149" i="2"/>
  <c r="H217" i="2"/>
  <c r="AB217" i="2" s="1"/>
  <c r="I167" i="2"/>
  <c r="J217" i="2"/>
  <c r="K217" i="2" s="1"/>
  <c r="M167" i="2"/>
  <c r="O167" i="2"/>
  <c r="N167" i="2"/>
  <c r="L217" i="2"/>
  <c r="AD217" i="2" s="1"/>
  <c r="J67" i="16" l="1"/>
  <c r="D71" i="16"/>
  <c r="E67" i="16"/>
  <c r="AC217" i="2"/>
  <c r="L218" i="2"/>
  <c r="H218" i="2"/>
  <c r="N217" i="2"/>
  <c r="O217" i="2" s="1"/>
  <c r="J218" i="2"/>
  <c r="J58" i="1"/>
  <c r="O58" i="1"/>
  <c r="I24" i="1"/>
  <c r="I59" i="1"/>
  <c r="I217" i="2"/>
  <c r="M217" i="2"/>
  <c r="D31" i="16" l="1"/>
  <c r="E71" i="16"/>
  <c r="D72" i="16"/>
  <c r="J71" i="16"/>
  <c r="O24" i="1"/>
  <c r="J24" i="1"/>
  <c r="G37" i="3"/>
  <c r="H37" i="2" s="1"/>
  <c r="C186" i="3"/>
  <c r="G184" i="3"/>
  <c r="C184" i="3" s="1"/>
  <c r="E31" i="16" l="1"/>
  <c r="J31" i="16"/>
  <c r="H35" i="2"/>
  <c r="I20" i="1" s="1"/>
  <c r="I37" i="2"/>
  <c r="G35" i="3"/>
  <c r="G18" i="3" s="1"/>
  <c r="F37" i="2"/>
  <c r="L37" i="2"/>
  <c r="G167" i="3"/>
  <c r="C37" i="3"/>
  <c r="C35" i="3" l="1"/>
  <c r="I35" i="2"/>
  <c r="H18" i="2"/>
  <c r="AB18" i="2" s="1"/>
  <c r="AB69" i="2" s="1"/>
  <c r="N37" i="2"/>
  <c r="O37" i="2"/>
  <c r="L35" i="2"/>
  <c r="M37" i="2"/>
  <c r="G37" i="2"/>
  <c r="D37" i="2"/>
  <c r="F35" i="2"/>
  <c r="G68" i="3"/>
  <c r="C18" i="3"/>
  <c r="G217" i="3"/>
  <c r="C167" i="3"/>
  <c r="I18" i="2" l="1"/>
  <c r="H68" i="2"/>
  <c r="AB68" i="2" s="1"/>
  <c r="G75" i="3"/>
  <c r="J20" i="1"/>
  <c r="I18" i="1"/>
  <c r="L18" i="2"/>
  <c r="AD18" i="2" s="1"/>
  <c r="O35" i="2"/>
  <c r="N35" i="2"/>
  <c r="M35" i="2"/>
  <c r="M20" i="1"/>
  <c r="G20" i="1"/>
  <c r="D35" i="2"/>
  <c r="G35" i="2"/>
  <c r="F18" i="2"/>
  <c r="AA18" i="2" s="1"/>
  <c r="C217" i="3"/>
  <c r="C218" i="3" s="1"/>
  <c r="G218" i="3"/>
  <c r="G69" i="3"/>
  <c r="D25" i="16" l="1"/>
  <c r="J18" i="1"/>
  <c r="I22" i="1"/>
  <c r="H69" i="2"/>
  <c r="I68" i="2"/>
  <c r="E20" i="1"/>
  <c r="G18" i="1"/>
  <c r="H20" i="1"/>
  <c r="N20" i="1"/>
  <c r="P20" i="1"/>
  <c r="O20" i="1"/>
  <c r="M18" i="1"/>
  <c r="G18" i="2"/>
  <c r="D18" i="2"/>
  <c r="M18" i="2"/>
  <c r="R18" i="2"/>
  <c r="N18" i="2"/>
  <c r="O18" i="2"/>
  <c r="Q18" i="2"/>
  <c r="H25" i="16" l="1"/>
  <c r="H25" i="17"/>
  <c r="J25" i="17" s="1"/>
  <c r="D29" i="16"/>
  <c r="E25" i="16"/>
  <c r="R18" i="1"/>
  <c r="S18" i="1"/>
  <c r="I23" i="1"/>
  <c r="J22" i="1"/>
  <c r="P18" i="1"/>
  <c r="O18" i="1"/>
  <c r="M22" i="1"/>
  <c r="N18" i="1"/>
  <c r="G22" i="1"/>
  <c r="E18" i="1"/>
  <c r="H18" i="1"/>
  <c r="I25" i="16" l="1"/>
  <c r="I25" i="17"/>
  <c r="H29" i="16"/>
  <c r="H29" i="17"/>
  <c r="E29" i="16"/>
  <c r="G9" i="16"/>
  <c r="H9" i="16" s="1"/>
  <c r="G9" i="17"/>
  <c r="J25" i="16"/>
  <c r="K25" i="16"/>
  <c r="K25" i="17"/>
  <c r="D30" i="16"/>
  <c r="R22" i="1"/>
  <c r="S22" i="1"/>
  <c r="P22" i="1"/>
  <c r="K29" i="17" s="1"/>
  <c r="M23" i="1"/>
  <c r="N22" i="1"/>
  <c r="O22" i="1"/>
  <c r="E22" i="1"/>
  <c r="G23" i="1"/>
  <c r="H22" i="1"/>
  <c r="G10" i="16" l="1"/>
  <c r="H30" i="16"/>
  <c r="H30" i="17"/>
  <c r="I9" i="16"/>
  <c r="I79" i="16" s="1"/>
  <c r="I9" i="17"/>
  <c r="I29" i="16"/>
  <c r="I29" i="17"/>
  <c r="G10" i="17"/>
  <c r="H9" i="17"/>
  <c r="T22" i="1"/>
  <c r="J29" i="16"/>
  <c r="Q22" i="1"/>
  <c r="K29" i="16"/>
  <c r="C92" i="3"/>
  <c r="C91" i="3" s="1"/>
  <c r="C96" i="3" s="1"/>
  <c r="C97" i="3" s="1"/>
  <c r="I47" i="16" l="1"/>
  <c r="I79" i="17"/>
  <c r="I47" i="17"/>
  <c r="I12" i="3"/>
  <c r="I91" i="3"/>
  <c r="I96" i="3" s="1"/>
  <c r="L12" i="2" l="1"/>
  <c r="F12" i="2"/>
  <c r="I148" i="3"/>
  <c r="C150" i="3" s="1"/>
  <c r="I97" i="3"/>
  <c r="I11" i="3"/>
  <c r="C12" i="3"/>
  <c r="C11" i="3" s="1"/>
  <c r="C16" i="3" s="1"/>
  <c r="C17" i="3" s="1"/>
  <c r="I16" i="3" l="1"/>
  <c r="I17" i="3" s="1"/>
  <c r="G12" i="2"/>
  <c r="D12" i="2"/>
  <c r="F11" i="2"/>
  <c r="AA11" i="2" s="1"/>
  <c r="AA17" i="2" s="1"/>
  <c r="N12" i="2"/>
  <c r="L11" i="2"/>
  <c r="AD11" i="2" s="1"/>
  <c r="AD17" i="2" s="1"/>
  <c r="O12" i="2"/>
  <c r="M12" i="2"/>
  <c r="I149" i="3"/>
  <c r="C148" i="3"/>
  <c r="C149" i="3" s="1"/>
  <c r="I68" i="3" l="1"/>
  <c r="I75" i="3" s="1"/>
  <c r="O11" i="2"/>
  <c r="N11" i="2"/>
  <c r="M11" i="2"/>
  <c r="L16" i="2"/>
  <c r="AD16" i="2" s="1"/>
  <c r="AD69" i="2" s="1"/>
  <c r="G11" i="2"/>
  <c r="D11" i="2"/>
  <c r="F16" i="2"/>
  <c r="AA16" i="2" s="1"/>
  <c r="AA69" i="2" s="1"/>
  <c r="C68" i="3" l="1"/>
  <c r="C69" i="3" s="1"/>
  <c r="I69" i="3"/>
  <c r="M16" i="2"/>
  <c r="L17" i="2"/>
  <c r="N16" i="2"/>
  <c r="O16" i="2" s="1"/>
  <c r="L68" i="2"/>
  <c r="AD68" i="2" s="1"/>
  <c r="F17" i="2"/>
  <c r="G17" i="2" s="1"/>
  <c r="G16" i="2"/>
  <c r="D16" i="2"/>
  <c r="F68" i="2"/>
  <c r="AA68" i="2" l="1"/>
  <c r="F75" i="2"/>
  <c r="D68" i="2"/>
  <c r="F69" i="2"/>
  <c r="G68" i="2"/>
  <c r="M68" i="2"/>
  <c r="L69" i="2"/>
  <c r="N68" i="2"/>
  <c r="O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김창연 </author>
  </authors>
  <commentList>
    <comment ref="B163" authorId="0" shapeId="0" xr:uid="{B9903A08-A477-48C3-9405-EBC782724D0F}">
      <text>
        <r>
          <rPr>
            <b/>
            <sz val="9"/>
            <color indexed="81"/>
            <rFont val="돋움"/>
            <family val="3"/>
            <charset val="129"/>
          </rPr>
          <t>GP2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김창연 </author>
  </authors>
  <commentList>
    <comment ref="B163" authorId="0" shapeId="0" xr:uid="{94833187-2DF3-4B18-90E0-72C429A4D261}">
      <text>
        <r>
          <rPr>
            <b/>
            <sz val="9"/>
            <color indexed="81"/>
            <rFont val="돋움"/>
            <family val="3"/>
            <charset val="129"/>
          </rPr>
          <t>GP2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김창연 </author>
  </authors>
  <commentList>
    <comment ref="B94" authorId="0" shapeId="0" xr:uid="{19836E13-881B-4E18-9A4E-BD624A95F4AF}">
      <text>
        <r>
          <rPr>
            <b/>
            <sz val="9"/>
            <color indexed="81"/>
            <rFont val="돋움"/>
            <family val="3"/>
            <charset val="129"/>
          </rPr>
          <t>스크랩 매출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김창연 </author>
  </authors>
  <commentList>
    <comment ref="B163" authorId="0" shapeId="0" xr:uid="{BF99A2D0-C411-42F7-8BCA-85DFFCC92B11}">
      <text>
        <r>
          <rPr>
            <b/>
            <sz val="9"/>
            <color indexed="81"/>
            <rFont val="돋움"/>
            <family val="3"/>
            <charset val="129"/>
          </rPr>
          <t>GP2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<sst xmlns="http://schemas.openxmlformats.org/spreadsheetml/2006/main" count="3647" uniqueCount="568">
  <si>
    <t>(단위:백만원)</t>
    <phoneticPr fontId="8" type="noConversion"/>
  </si>
  <si>
    <t>년계획
 진척률</t>
    <phoneticPr fontId="8" type="noConversion"/>
  </si>
  <si>
    <t>누 계
계 획</t>
    <phoneticPr fontId="8" type="noConversion"/>
  </si>
  <si>
    <t>누 계
 실 적</t>
    <phoneticPr fontId="8" type="noConversion"/>
  </si>
  <si>
    <t>달성률</t>
    <phoneticPr fontId="8" type="noConversion"/>
  </si>
  <si>
    <t>전 월
실 적</t>
    <phoneticPr fontId="8" type="noConversion"/>
  </si>
  <si>
    <t>당 월 
계 획</t>
    <phoneticPr fontId="8" type="noConversion"/>
  </si>
  <si>
    <t>당 월
 실 적</t>
    <phoneticPr fontId="8" type="noConversion"/>
  </si>
  <si>
    <t>매  출
구성비</t>
    <phoneticPr fontId="8" type="noConversion"/>
  </si>
  <si>
    <t>전 월
대 비</t>
    <phoneticPr fontId="8" type="noConversion"/>
  </si>
  <si>
    <t>계 획
대 비</t>
    <phoneticPr fontId="8" type="noConversion"/>
  </si>
  <si>
    <t>Ⅰ. 매출액</t>
  </si>
  <si>
    <t>Ⅱ. 매출원가</t>
  </si>
  <si>
    <t>Ⅲ. 매출총이익</t>
  </si>
  <si>
    <t xml:space="preserve">     (이익률)</t>
  </si>
  <si>
    <t>Ⅳ.판매관리비</t>
  </si>
  <si>
    <t>[판매비]</t>
  </si>
  <si>
    <t>[관리비]</t>
  </si>
  <si>
    <t>[연구개발비]</t>
  </si>
  <si>
    <t>인건비</t>
    <phoneticPr fontId="8" type="noConversion"/>
  </si>
  <si>
    <t>Ⅴ.영업이익</t>
    <phoneticPr fontId="8" type="noConversion"/>
  </si>
  <si>
    <t xml:space="preserve">  (이익률)</t>
  </si>
  <si>
    <t>구   분</t>
    <phoneticPr fontId="8" type="noConversion"/>
  </si>
  <si>
    <t>2025년
계   획</t>
    <phoneticPr fontId="8" type="noConversion"/>
  </si>
  <si>
    <t>누  계
계  획</t>
  </si>
  <si>
    <t>누계
 실적</t>
  </si>
  <si>
    <t>달성률</t>
  </si>
  <si>
    <t>원  가
구성비</t>
    <phoneticPr fontId="8" type="noConversion"/>
  </si>
  <si>
    <t>당 월 
실 적</t>
    <phoneticPr fontId="8" type="noConversion"/>
  </si>
  <si>
    <t>원   가
구성비</t>
    <phoneticPr fontId="8" type="noConversion"/>
  </si>
  <si>
    <t>Ⅰ. 재료비</t>
  </si>
  <si>
    <t>Ⅱ. 노무비</t>
  </si>
  <si>
    <t>Ⅲ. 경비</t>
  </si>
  <si>
    <t>Ⅳ. 당기총제조비용</t>
    <phoneticPr fontId="8" type="noConversion"/>
  </si>
  <si>
    <t>Ⅴ. 당기제품제조원가</t>
    <phoneticPr fontId="8" type="noConversion"/>
  </si>
  <si>
    <t xml:space="preserve">               MONTH</t>
    <phoneticPr fontId="8" type="noConversion"/>
  </si>
  <si>
    <t>누  계
계  획</t>
    <phoneticPr fontId="8" type="noConversion"/>
  </si>
  <si>
    <t>당월실적</t>
    <phoneticPr fontId="11" type="noConversion"/>
  </si>
  <si>
    <t>당월계획</t>
    <phoneticPr fontId="11" type="noConversion"/>
  </si>
  <si>
    <t>전월실적</t>
    <phoneticPr fontId="11" type="noConversion"/>
  </si>
  <si>
    <t>누계 계획</t>
    <phoneticPr fontId="11" type="noConversion"/>
  </si>
  <si>
    <t>누계 실적</t>
    <phoneticPr fontId="11" type="noConversion"/>
  </si>
  <si>
    <t>인건비</t>
    <phoneticPr fontId="11" type="noConversion"/>
  </si>
  <si>
    <t>유지비용</t>
    <phoneticPr fontId="8" type="noConversion"/>
  </si>
  <si>
    <t>지급수수료비</t>
    <phoneticPr fontId="11" type="noConversion"/>
  </si>
  <si>
    <t>세금,보험</t>
    <phoneticPr fontId="8" type="noConversion"/>
  </si>
  <si>
    <t>개발비</t>
    <phoneticPr fontId="11" type="noConversion"/>
  </si>
  <si>
    <t>복리후생비</t>
    <phoneticPr fontId="8" type="noConversion"/>
  </si>
  <si>
    <t>운반비</t>
    <phoneticPr fontId="8" type="noConversion"/>
  </si>
  <si>
    <t>포장비</t>
    <phoneticPr fontId="8" type="noConversion"/>
  </si>
  <si>
    <t>광고선전비</t>
    <phoneticPr fontId="8" type="noConversion"/>
  </si>
  <si>
    <t>지급수수료</t>
    <phoneticPr fontId="8" type="noConversion"/>
  </si>
  <si>
    <t>여비교통비</t>
    <phoneticPr fontId="8" type="noConversion"/>
  </si>
  <si>
    <t>감가상각비</t>
    <phoneticPr fontId="8" type="noConversion"/>
  </si>
  <si>
    <t>개발비</t>
    <phoneticPr fontId="8" type="noConversion"/>
  </si>
  <si>
    <t>충당비용</t>
    <phoneticPr fontId="8" type="noConversion"/>
  </si>
  <si>
    <t>외주비</t>
    <phoneticPr fontId="8" type="noConversion"/>
  </si>
  <si>
    <t>기타비용</t>
    <phoneticPr fontId="8" type="noConversion"/>
  </si>
  <si>
    <t>인건비</t>
  </si>
  <si>
    <t>유지비용</t>
  </si>
  <si>
    <t>세금,보험</t>
  </si>
  <si>
    <t>복리후생비</t>
  </si>
  <si>
    <t>운반비</t>
  </si>
  <si>
    <t>포장비</t>
  </si>
  <si>
    <t>광고선전비</t>
  </si>
  <si>
    <t>지급수수료</t>
  </si>
  <si>
    <t>여비교통비</t>
  </si>
  <si>
    <t>감가상각비</t>
  </si>
  <si>
    <t>개발비</t>
  </si>
  <si>
    <t>충당비용</t>
  </si>
  <si>
    <t>외주비</t>
  </si>
  <si>
    <t>기타비용</t>
  </si>
  <si>
    <t>투자비지원</t>
  </si>
  <si>
    <t>유지비(금형 등)</t>
  </si>
  <si>
    <t>Ⅴ.영업이익</t>
  </si>
  <si>
    <t>구분</t>
  </si>
  <si>
    <t>년계</t>
    <phoneticPr fontId="8" type="noConversion"/>
  </si>
  <si>
    <t>12. lst y</t>
  </si>
  <si>
    <t>1월</t>
    <phoneticPr fontId="8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</si>
  <si>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</si>
  <si>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</si>
  <si>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</si>
  <si>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</si>
  <si>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</si>
  <si>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</si>
  <si>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</si>
  <si>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</si>
  <si>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</si>
  <si>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</si>
  <si>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</si>
  <si>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Ⅵ.영업외수익</t>
  </si>
  <si>
    <t>Ⅶ. 영업외비용</t>
  </si>
  <si>
    <t>Ⅷ 법인세</t>
  </si>
  <si>
    <t>Ⅸ.당기손익</t>
  </si>
  <si>
    <t xml:space="preserve"> (이익률)</t>
  </si>
  <si>
    <t>구   분</t>
    <phoneticPr fontId="22" type="noConversion"/>
  </si>
  <si>
    <t>- 전장</t>
    <phoneticPr fontId="8" type="noConversion"/>
  </si>
  <si>
    <t>- 전선</t>
    <phoneticPr fontId="8" type="noConversion"/>
  </si>
  <si>
    <t>▶ KSCI</t>
    <phoneticPr fontId="8" type="noConversion"/>
  </si>
  <si>
    <t xml:space="preserve">DAWS </t>
  </si>
  <si>
    <t xml:space="preserve">HEDS </t>
  </si>
  <si>
    <t>CEWS</t>
  </si>
  <si>
    <t>LEAR</t>
  </si>
  <si>
    <t>YURA</t>
  </si>
  <si>
    <t xml:space="preserve">기타 </t>
  </si>
  <si>
    <t>KAC-OB</t>
  </si>
  <si>
    <t>Ford</t>
  </si>
  <si>
    <t>SKI</t>
  </si>
  <si>
    <t>J/Box</t>
  </si>
  <si>
    <t>KLSE</t>
    <phoneticPr fontId="8" type="noConversion"/>
  </si>
  <si>
    <t>DGO</t>
  </si>
  <si>
    <t>Royalty</t>
  </si>
  <si>
    <t>-</t>
  </si>
  <si>
    <t xml:space="preserve">    └ 매출동량</t>
  </si>
  <si>
    <t>(매출동량)</t>
  </si>
  <si>
    <t>- 제품</t>
    <phoneticPr fontId="8" type="noConversion"/>
  </si>
  <si>
    <t>- 상품</t>
    <phoneticPr fontId="8" type="noConversion"/>
  </si>
  <si>
    <t>- 기타</t>
    <phoneticPr fontId="8" type="noConversion"/>
  </si>
  <si>
    <t>(단위:$)</t>
    <phoneticPr fontId="8" type="noConversion"/>
  </si>
  <si>
    <t>▶ KSCM-GP (전장)</t>
    <phoneticPr fontId="8" type="noConversion"/>
  </si>
  <si>
    <t>전선</t>
    <phoneticPr fontId="8" type="noConversion"/>
  </si>
  <si>
    <t>전장</t>
    <phoneticPr fontId="8" type="noConversion"/>
  </si>
  <si>
    <t>미지정</t>
  </si>
  <si>
    <t>영업이익</t>
  </si>
  <si>
    <t>*매출동량(ton)</t>
    <phoneticPr fontId="8" type="noConversion"/>
  </si>
  <si>
    <t>└ 기타(GP2)</t>
    <phoneticPr fontId="8" type="noConversion"/>
  </si>
  <si>
    <t>▶ KSCM-DG (전선)</t>
    <phoneticPr fontId="8" type="noConversion"/>
  </si>
  <si>
    <t>(이익률)</t>
    <phoneticPr fontId="8" type="noConversion"/>
  </si>
  <si>
    <t>Service Fee, Subscription Fee</t>
  </si>
  <si>
    <t>Meals &amp; Entertainment</t>
  </si>
  <si>
    <t>401k Co. Match</t>
  </si>
  <si>
    <t>Auto and Truck Expenses</t>
  </si>
  <si>
    <t>Bank Service Charges</t>
  </si>
  <si>
    <t>Computer and Internet Expenses</t>
  </si>
  <si>
    <t>Depreciation Expense</t>
  </si>
  <si>
    <t>Employee Benefit</t>
  </si>
  <si>
    <t>Insurance Expense</t>
  </si>
  <si>
    <t>License &amp; Permit</t>
  </si>
  <si>
    <t>Freight</t>
  </si>
  <si>
    <t>Office Expense, Advertising and Promotion</t>
  </si>
  <si>
    <t>Payroll Expenses</t>
  </si>
  <si>
    <t>Payroll Tax Expenses</t>
  </si>
  <si>
    <t>Professional Fees</t>
  </si>
  <si>
    <t>Bad Debt</t>
  </si>
  <si>
    <t>Recruiting</t>
  </si>
  <si>
    <t>Rent Expense</t>
  </si>
  <si>
    <t>Repairs and Maintenance</t>
  </si>
  <si>
    <t>Travel Expense</t>
  </si>
  <si>
    <t>Utilities</t>
  </si>
  <si>
    <t>50% Dedutible</t>
  </si>
  <si>
    <t>Non-Dedutible</t>
  </si>
  <si>
    <t>Lease Expense</t>
  </si>
  <si>
    <t>Office</t>
  </si>
  <si>
    <t>Vehicle</t>
  </si>
  <si>
    <t>Office Equipment</t>
  </si>
  <si>
    <t>Furniture</t>
  </si>
  <si>
    <t>Michigan</t>
  </si>
  <si>
    <t>Georgia</t>
  </si>
  <si>
    <t>-</t>
    <phoneticPr fontId="8" type="noConversion"/>
  </si>
  <si>
    <t>FY 2025</t>
  </si>
  <si>
    <t>1월</t>
  </si>
  <si>
    <t>DGO+GP</t>
  </si>
  <si>
    <t>GP</t>
  </si>
  <si>
    <t>Canoo</t>
    <phoneticPr fontId="39" type="noConversion"/>
  </si>
  <si>
    <t>Ford</t>
    <phoneticPr fontId="39" type="noConversion"/>
  </si>
  <si>
    <t>KLSE</t>
    <phoneticPr fontId="39" type="noConversion"/>
  </si>
  <si>
    <t>SKI</t>
    <phoneticPr fontId="39" type="noConversion"/>
  </si>
  <si>
    <t>J/Box</t>
    <phoneticPr fontId="39" type="noConversion"/>
  </si>
  <si>
    <t>SALES</t>
  </si>
  <si>
    <t>매출</t>
    <phoneticPr fontId="41" type="noConversion"/>
  </si>
  <si>
    <t>DGO Sales</t>
  </si>
  <si>
    <t>1) KLSE</t>
  </si>
  <si>
    <t xml:space="preserve">   - DAWS</t>
  </si>
  <si>
    <t xml:space="preserve">   - HEDS</t>
  </si>
  <si>
    <t xml:space="preserve">   - CEWS</t>
  </si>
  <si>
    <t xml:space="preserve">   - CR</t>
  </si>
  <si>
    <t>2) LEAR</t>
  </si>
  <si>
    <t xml:space="preserve">   - ALPHA</t>
  </si>
  <si>
    <t xml:space="preserve">   - BRASIL</t>
  </si>
  <si>
    <t xml:space="preserve">   - Green Valley</t>
  </si>
  <si>
    <t xml:space="preserve">   - MATAMOROS</t>
  </si>
  <si>
    <t xml:space="preserve">   - MONARCA</t>
  </si>
  <si>
    <t xml:space="preserve">   - NOVA</t>
  </si>
  <si>
    <t xml:space="preserve">   - SICOMORO</t>
  </si>
  <si>
    <t xml:space="preserve">   - NACO</t>
  </si>
  <si>
    <t xml:space="preserve">   - TORRES/Santa Elena</t>
  </si>
  <si>
    <t xml:space="preserve">   - LEAR NPS </t>
  </si>
  <si>
    <t>3) Delphi</t>
  </si>
  <si>
    <t xml:space="preserve">4) Sensata </t>
  </si>
  <si>
    <t>5) Taesung Mexico</t>
  </si>
  <si>
    <t>6) Kongsberg Automotive</t>
  </si>
  <si>
    <t>7) Kongsberg Canada</t>
  </si>
  <si>
    <t>8) Kyowa Kogyo LTD.</t>
  </si>
  <si>
    <t>9) KAC(Obregon)</t>
  </si>
  <si>
    <t>10) YURA Corp.</t>
  </si>
  <si>
    <t>11) KSAA/KS Cable/etc.</t>
  </si>
  <si>
    <t>12) E &amp; K</t>
  </si>
  <si>
    <t>GP Sales</t>
  </si>
  <si>
    <t>Product</t>
  </si>
  <si>
    <t>ED &amp; T</t>
  </si>
  <si>
    <t>Cost of Goods Sold</t>
    <phoneticPr fontId="41" type="noConversion"/>
  </si>
  <si>
    <t>매출원가</t>
    <phoneticPr fontId="41" type="noConversion"/>
  </si>
  <si>
    <t>Freight Costs</t>
  </si>
  <si>
    <t>SKBA</t>
  </si>
  <si>
    <t>GP - Other</t>
  </si>
  <si>
    <t>관리비</t>
    <phoneticPr fontId="41" type="noConversion"/>
  </si>
  <si>
    <t>지급수수료</t>
    <phoneticPr fontId="41" type="noConversion"/>
  </si>
  <si>
    <t>Raw Material Costs</t>
  </si>
  <si>
    <t>RM + WIP + FG + MD</t>
  </si>
  <si>
    <t>Beginning inventory</t>
  </si>
  <si>
    <t>Copper</t>
  </si>
  <si>
    <t>Master Batch</t>
  </si>
  <si>
    <t>Compound</t>
  </si>
  <si>
    <t>Products and Materials</t>
  </si>
  <si>
    <t>Conductor</t>
  </si>
  <si>
    <t>GP Transfer</t>
    <phoneticPr fontId="41" type="noConversion"/>
  </si>
  <si>
    <t>Scrap</t>
  </si>
  <si>
    <t>Ending inventory</t>
  </si>
  <si>
    <t>GP Raw Materials</t>
  </si>
  <si>
    <t>KL</t>
  </si>
  <si>
    <t>Canoo</t>
  </si>
  <si>
    <t>GP Raw Material</t>
  </si>
  <si>
    <t>Work in Process</t>
  </si>
  <si>
    <t>Finished Goods</t>
  </si>
  <si>
    <t>Merchandise</t>
    <phoneticPr fontId="41" type="noConversion"/>
  </si>
  <si>
    <t>GA</t>
  </si>
  <si>
    <t>Total Ending Inventory</t>
  </si>
  <si>
    <t>Manufactory Service</t>
  </si>
  <si>
    <t>KSCM</t>
  </si>
  <si>
    <t>Labor Cost</t>
  </si>
  <si>
    <t>28.Sueldos (급여)</t>
  </si>
  <si>
    <t>84.Sueldos Admon(급여)</t>
  </si>
  <si>
    <t>Overhead</t>
  </si>
  <si>
    <t>29. Gastos Aduanales (수입비용)</t>
  </si>
  <si>
    <t>30. Impuestos Aduanales (수입세금)</t>
  </si>
  <si>
    <t>31. Fletes y acarreos (운반비)</t>
  </si>
  <si>
    <t>33. Arrendamiento (임대료)</t>
  </si>
  <si>
    <t>34. Aseo y limpieza (청소용품)</t>
  </si>
  <si>
    <t>35. Capacitacion y cursos (교육비)</t>
  </si>
  <si>
    <t>36. Combustibles y lubricantes (소모품비)</t>
  </si>
  <si>
    <t>37. Depreciacion (감가상각)</t>
  </si>
  <si>
    <t>38. Empaques y sellos (포장비용)</t>
  </si>
  <si>
    <t>39. Energia Electrica (전기요금)</t>
  </si>
  <si>
    <t>40. Eq de Seguridad (안전용품)</t>
  </si>
  <si>
    <t>41. Employee Transportation</t>
  </si>
  <si>
    <t>42. Gastos Aduanales Ind Fab</t>
  </si>
  <si>
    <t>43. Gastos no Deducibles (기타비용)</t>
  </si>
  <si>
    <t>44. Impuestos aduanales</t>
  </si>
  <si>
    <t>45. Insumos para produccion (소모품비)</t>
  </si>
  <si>
    <t>46. Mantenimientos (수선비)</t>
  </si>
  <si>
    <t>47. Otros(기타 경비)</t>
  </si>
  <si>
    <t>48. Prima de seguros (보험료)</t>
  </si>
  <si>
    <t>49. Tarimas (팔레트)</t>
  </si>
  <si>
    <t>50. Telefonia (통신비)</t>
  </si>
  <si>
    <t>51. Uniformes al personal (작업복)</t>
  </si>
  <si>
    <t>SG&amp;A and Admin</t>
  </si>
  <si>
    <t>65. Agua purificada (정수)</t>
  </si>
  <si>
    <t>66. Arrendamiento (임대료)</t>
  </si>
  <si>
    <t>67. Aseo y limpieza Admon (청소)</t>
  </si>
  <si>
    <t>68. Asesoria de Servicios Tecnicos (기술지원비)</t>
  </si>
  <si>
    <t>69. Combustibles y lubricantes Admon (열료,윤활유)</t>
  </si>
  <si>
    <t>70. Cuotas y suscripciones (수수료 및 구독)</t>
  </si>
  <si>
    <t>71. Depreciacion Admon(감가상각)</t>
  </si>
  <si>
    <t>72. Autos y camionetas (차량비)</t>
  </si>
  <si>
    <t>73. Comidas Administrativas (식대)</t>
  </si>
  <si>
    <t>74. Gastos de viaje (출장비)</t>
  </si>
  <si>
    <t>75. Honorarios (공임 수수료)</t>
  </si>
  <si>
    <t>76. Mantenimiento (관리비)</t>
  </si>
  <si>
    <t>77. Multas, Actualizaciones y recargos (벌금, 업데이트 및 추가 요금)</t>
  </si>
  <si>
    <t>78. No deducibles Admon (비공제비용)</t>
  </si>
  <si>
    <t>79. Otros Admon (기타)</t>
  </si>
  <si>
    <t>80. Papeleria y Arts de Oficina (사무용품)</t>
  </si>
  <si>
    <t>81. Paqueteria y mensajeria (소포비용)</t>
  </si>
  <si>
    <t>82. Seguros y Fianzas (보험료)</t>
  </si>
  <si>
    <t>83. Servicios de seguridad (후생비)</t>
  </si>
  <si>
    <t>85. Telefonia Admon (통신비)</t>
  </si>
  <si>
    <t>Other Expense</t>
  </si>
  <si>
    <t>92. Comisiones bancarias (은행 수수료)</t>
  </si>
  <si>
    <t>93. Comisiones y regalias (로열티)</t>
  </si>
  <si>
    <t>94. ntereses bancarios (이자비용)</t>
  </si>
  <si>
    <t>95. No deducibles CIF (공제불가 비용)</t>
  </si>
  <si>
    <t>96. Perdida cambiaria (외화 환산 손실)</t>
  </si>
  <si>
    <t xml:space="preserve">Mark up </t>
  </si>
  <si>
    <t>KAC Credit</t>
  </si>
  <si>
    <t>Product Supply</t>
  </si>
  <si>
    <t>Depreciation Expense (COGS)</t>
  </si>
  <si>
    <t>Building and Improvements</t>
  </si>
  <si>
    <t>Machinery and Equipment</t>
  </si>
  <si>
    <t>Gross Profit</t>
  </si>
  <si>
    <t xml:space="preserve">SG &amp; A </t>
  </si>
  <si>
    <t>Net Ordinary Income</t>
  </si>
  <si>
    <t>Other Income/Expense</t>
  </si>
  <si>
    <t>Other Income</t>
  </si>
  <si>
    <t>Service Income</t>
  </si>
  <si>
    <t>KSAA</t>
  </si>
  <si>
    <t>E &amp; K</t>
  </si>
  <si>
    <t>Interest Income</t>
  </si>
  <si>
    <t>Interest Expense</t>
  </si>
  <si>
    <t>Loss on equity method investment</t>
  </si>
  <si>
    <t>Income Tax Provision</t>
  </si>
  <si>
    <t>Net Income</t>
  </si>
  <si>
    <r>
      <t>1</t>
    </r>
    <r>
      <rPr>
        <sz val="10"/>
        <rFont val="맑은 고딕"/>
        <family val="2"/>
        <charset val="129"/>
      </rPr>
      <t>월</t>
    </r>
    <phoneticPr fontId="8" type="noConversion"/>
  </si>
  <si>
    <r>
      <t>2</t>
    </r>
    <r>
      <rPr>
        <sz val="10"/>
        <rFont val="맑은 고딕"/>
        <family val="2"/>
        <charset val="129"/>
      </rPr>
      <t>월</t>
    </r>
    <phoneticPr fontId="8" type="noConversion"/>
  </si>
  <si>
    <r>
      <t>3</t>
    </r>
    <r>
      <rPr>
        <sz val="10"/>
        <rFont val="맑은 고딕"/>
        <family val="2"/>
        <charset val="129"/>
      </rPr>
      <t>월</t>
    </r>
    <phoneticPr fontId="8" type="noConversion"/>
  </si>
  <si>
    <r>
      <rPr>
        <b/>
        <sz val="10"/>
        <rFont val="Segoe UI Symbol"/>
        <family val="2"/>
      </rPr>
      <t xml:space="preserve">■ </t>
    </r>
    <r>
      <rPr>
        <b/>
        <sz val="10"/>
        <rFont val="Arial"/>
        <family val="2"/>
      </rPr>
      <t>2025</t>
    </r>
    <r>
      <rPr>
        <b/>
        <sz val="10"/>
        <rFont val="맑은 고딕"/>
        <family val="2"/>
        <charset val="129"/>
      </rPr>
      <t>년 구리 수율 현황</t>
    </r>
    <phoneticPr fontId="8" type="noConversion"/>
  </si>
  <si>
    <r>
      <t>(</t>
    </r>
    <r>
      <rPr>
        <b/>
        <sz val="10"/>
        <rFont val="맑은 고딕"/>
        <family val="2"/>
        <charset val="129"/>
      </rPr>
      <t>단위:</t>
    </r>
    <r>
      <rPr>
        <b/>
        <sz val="10"/>
        <rFont val="Arial"/>
        <family val="2"/>
      </rPr>
      <t>kg)</t>
    </r>
    <phoneticPr fontId="8" type="noConversion"/>
  </si>
  <si>
    <r>
      <rPr>
        <b/>
        <sz val="10"/>
        <color rgb="FFFFFFFF"/>
        <rFont val="맑은 고딕"/>
        <family val="3"/>
        <charset val="129"/>
      </rPr>
      <t>구분</t>
    </r>
    <phoneticPr fontId="8" type="noConversion"/>
  </si>
  <si>
    <r>
      <rPr>
        <b/>
        <sz val="10"/>
        <color rgb="FFFFFFFF"/>
        <rFont val="맑은 고딕"/>
        <family val="3"/>
        <charset val="129"/>
      </rPr>
      <t>투입량</t>
    </r>
  </si>
  <si>
    <r>
      <rPr>
        <b/>
        <sz val="10"/>
        <color rgb="FFFFFFFF"/>
        <rFont val="맑은 고딕"/>
        <family val="3"/>
        <charset val="129"/>
      </rPr>
      <t>투입제외</t>
    </r>
  </si>
  <si>
    <r>
      <rPr>
        <b/>
        <sz val="10"/>
        <color rgb="FFFFFFFF"/>
        <rFont val="맑은 고딕"/>
        <family val="3"/>
        <charset val="129"/>
      </rPr>
      <t>생산수율</t>
    </r>
  </si>
  <si>
    <r>
      <rPr>
        <b/>
        <sz val="10"/>
        <color rgb="FFFFFFFF"/>
        <rFont val="맑은 고딕"/>
        <family val="3"/>
        <charset val="129"/>
      </rPr>
      <t>기초재고</t>
    </r>
  </si>
  <si>
    <r>
      <rPr>
        <b/>
        <sz val="10"/>
        <color rgb="FFFFFFFF"/>
        <rFont val="맑은 고딕"/>
        <family val="3"/>
        <charset val="129"/>
      </rPr>
      <t>매입수량</t>
    </r>
  </si>
  <si>
    <r>
      <rPr>
        <b/>
        <sz val="10"/>
        <color rgb="FFFFFFFF"/>
        <rFont val="맑은 고딕"/>
        <family val="3"/>
        <charset val="129"/>
      </rPr>
      <t>기타입고</t>
    </r>
  </si>
  <si>
    <r>
      <rPr>
        <b/>
        <sz val="10"/>
        <color rgb="FFFFFFFF"/>
        <rFont val="맑은 고딕"/>
        <family val="3"/>
        <charset val="129"/>
      </rPr>
      <t>소</t>
    </r>
    <r>
      <rPr>
        <b/>
        <sz val="10"/>
        <color rgb="FFFFFFFF"/>
        <rFont val="Arial"/>
        <family val="2"/>
      </rPr>
      <t xml:space="preserve">   </t>
    </r>
    <r>
      <rPr>
        <b/>
        <sz val="10"/>
        <color rgb="FFFFFFFF"/>
        <rFont val="맑은 고딕"/>
        <family val="3"/>
        <charset val="129"/>
      </rPr>
      <t>계</t>
    </r>
  </si>
  <si>
    <r>
      <rPr>
        <b/>
        <sz val="10"/>
        <color rgb="FFFFFFFF"/>
        <rFont val="맑은 고딕"/>
        <family val="3"/>
        <charset val="129"/>
      </rPr>
      <t>재고</t>
    </r>
  </si>
  <si>
    <r>
      <rPr>
        <b/>
        <sz val="10"/>
        <color rgb="FFFFFFFF"/>
        <rFont val="맑은 고딕"/>
        <family val="3"/>
        <charset val="129"/>
      </rPr>
      <t>기타출고</t>
    </r>
  </si>
  <si>
    <r>
      <rPr>
        <b/>
        <sz val="10"/>
        <color rgb="FFFFFFFF"/>
        <rFont val="맑은 고딕"/>
        <family val="3"/>
        <charset val="129"/>
      </rPr>
      <t>소계</t>
    </r>
  </si>
  <si>
    <r>
      <rPr>
        <b/>
        <sz val="10"/>
        <color rgb="FFFFFFFF"/>
        <rFont val="맑은 고딕"/>
        <family val="3"/>
        <charset val="129"/>
      </rPr>
      <t>생산량</t>
    </r>
  </si>
  <si>
    <r>
      <rPr>
        <b/>
        <sz val="10"/>
        <color theme="0"/>
        <rFont val="맑은 고딕"/>
        <family val="3"/>
        <charset val="129"/>
      </rPr>
      <t>수</t>
    </r>
    <r>
      <rPr>
        <b/>
        <sz val="10"/>
        <color theme="0"/>
        <rFont val="Arial"/>
        <family val="2"/>
      </rPr>
      <t xml:space="preserve">  </t>
    </r>
    <r>
      <rPr>
        <b/>
        <sz val="10"/>
        <color theme="0"/>
        <rFont val="맑은 고딕"/>
        <family val="3"/>
        <charset val="129"/>
      </rPr>
      <t>율</t>
    </r>
  </si>
  <si>
    <r>
      <t>2025</t>
    </r>
    <r>
      <rPr>
        <b/>
        <sz val="10"/>
        <rFont val="맑은 고딕"/>
        <family val="3"/>
        <charset val="129"/>
      </rPr>
      <t>년</t>
    </r>
    <phoneticPr fontId="8" type="noConversion"/>
  </si>
  <si>
    <r>
      <t>8</t>
    </r>
    <r>
      <rPr>
        <b/>
        <sz val="10"/>
        <rFont val="맑은 고딕"/>
        <family val="3"/>
        <charset val="129"/>
      </rPr>
      <t>월</t>
    </r>
    <phoneticPr fontId="8" type="noConversion"/>
  </si>
  <si>
    <r>
      <t>9</t>
    </r>
    <r>
      <rPr>
        <b/>
        <sz val="10"/>
        <rFont val="맑은 고딕"/>
        <family val="3"/>
        <charset val="129"/>
      </rPr>
      <t>월</t>
    </r>
  </si>
  <si>
    <r>
      <t>10</t>
    </r>
    <r>
      <rPr>
        <b/>
        <sz val="10"/>
        <rFont val="맑은 고딕"/>
        <family val="3"/>
        <charset val="129"/>
      </rPr>
      <t>월</t>
    </r>
  </si>
  <si>
    <r>
      <t>11</t>
    </r>
    <r>
      <rPr>
        <b/>
        <sz val="10"/>
        <rFont val="맑은 고딕"/>
        <family val="3"/>
        <charset val="129"/>
      </rPr>
      <t>월</t>
    </r>
  </si>
  <si>
    <r>
      <t>12</t>
    </r>
    <r>
      <rPr>
        <b/>
        <sz val="10"/>
        <rFont val="맑은 고딕"/>
        <family val="3"/>
        <charset val="129"/>
      </rPr>
      <t>월</t>
    </r>
  </si>
  <si>
    <t>매출액</t>
  </si>
  <si>
    <t>백만원</t>
    <phoneticPr fontId="8" type="noConversion"/>
  </si>
  <si>
    <t>KRW/USD</t>
    <phoneticPr fontId="8" type="noConversion"/>
  </si>
  <si>
    <t>(영업이익률)</t>
    <phoneticPr fontId="8" type="noConversion"/>
  </si>
  <si>
    <t>판매관리비 합계</t>
  </si>
  <si>
    <t>601.[관리비]인건비</t>
  </si>
  <si>
    <t>602.[관리비]유지비용</t>
  </si>
  <si>
    <t>603.[관리비]세금,보험료</t>
  </si>
  <si>
    <t>604.[관리비]복리후생비</t>
  </si>
  <si>
    <t>605.[관리비]운반비</t>
  </si>
  <si>
    <t>606.[관리비]포장비</t>
  </si>
  <si>
    <t>607.[관리비]광고선전비</t>
  </si>
  <si>
    <t>608.[관리비]지급수수료</t>
  </si>
  <si>
    <t>609.[관리비]여비교통비</t>
  </si>
  <si>
    <t>610.[관리비]감가상각비</t>
  </si>
  <si>
    <t>611.[관리비]개발비</t>
  </si>
  <si>
    <t>612.[관리비]충당비용</t>
  </si>
  <si>
    <t>613.[관리비]외주비</t>
  </si>
  <si>
    <t>614.[관리비]기타비용</t>
  </si>
  <si>
    <t>615.[관리비]투자비지원</t>
  </si>
  <si>
    <t>기타</t>
    <phoneticPr fontId="8" type="noConversion"/>
  </si>
  <si>
    <t>SJB 매출</t>
    <phoneticPr fontId="8" type="noConversion"/>
  </si>
  <si>
    <t>KyungshinLear Sales</t>
  </si>
  <si>
    <t>FORD-USA</t>
  </si>
  <si>
    <t>E&amp;K LLC</t>
  </si>
  <si>
    <t>W/H</t>
  </si>
  <si>
    <t>매출액</t>
    <phoneticPr fontId="22" type="noConversion"/>
  </si>
  <si>
    <t>매출원가</t>
    <phoneticPr fontId="22" type="noConversion"/>
  </si>
  <si>
    <t>매출총이익</t>
    <phoneticPr fontId="22" type="noConversion"/>
  </si>
  <si>
    <t>판관비</t>
    <phoneticPr fontId="22" type="noConversion"/>
  </si>
  <si>
    <t>영업이익</t>
    <phoneticPr fontId="22" type="noConversion"/>
  </si>
  <si>
    <t>FORD-EU</t>
  </si>
  <si>
    <t>BEV-H</t>
  </si>
  <si>
    <t>고객</t>
  </si>
  <si>
    <r>
      <t>[</t>
    </r>
    <r>
      <rPr>
        <sz val="10"/>
        <rFont val="맑은 고딕"/>
        <family val="2"/>
        <charset val="129"/>
      </rPr>
      <t>단위:USD]</t>
    </r>
    <phoneticPr fontId="8" type="noConversion"/>
  </si>
  <si>
    <t>유통경로</t>
  </si>
  <si>
    <t>평가 유형</t>
  </si>
  <si>
    <t>자재 그룹</t>
  </si>
  <si>
    <t>제품계층구조1</t>
  </si>
  <si>
    <t>101.매출수량</t>
  </si>
  <si>
    <t>111.매출중량</t>
  </si>
  <si>
    <t/>
  </si>
  <si>
    <t>AEXF</t>
  </si>
  <si>
    <t>12000 자동차(조사)</t>
  </si>
  <si>
    <t>AVSS</t>
  </si>
  <si>
    <t>11000 자동차(일반)</t>
  </si>
  <si>
    <t>AVSSXF</t>
  </si>
  <si>
    <t>Conductor(Drawing)</t>
  </si>
  <si>
    <t>99000 반제품</t>
  </si>
  <si>
    <t>Conductor(Multi draw</t>
  </si>
  <si>
    <t>Conductor(Bunching/A</t>
  </si>
  <si>
    <t>Conductor(Stranding/</t>
  </si>
  <si>
    <t>Semi-finished(Insula</t>
  </si>
  <si>
    <t>Semi-finished(Anneal</t>
  </si>
  <si>
    <t>Raw material(PVC)</t>
  </si>
  <si>
    <t>Raw material(PEX)</t>
  </si>
  <si>
    <t>Raw material(VCX)</t>
  </si>
  <si>
    <t>TAESUNG MEXICO S DE</t>
  </si>
  <si>
    <t>10 내수</t>
  </si>
  <si>
    <t>PROD</t>
  </si>
  <si>
    <t>AESSXF</t>
  </si>
  <si>
    <t>FLRY-A</t>
  </si>
  <si>
    <t>FLR2X-B</t>
  </si>
  <si>
    <t>FLR2X-A</t>
  </si>
  <si>
    <t>HEDS</t>
  </si>
  <si>
    <t>30 직수출</t>
  </si>
  <si>
    <t>AVSS-BS</t>
  </si>
  <si>
    <t>13000 자동차(특수)</t>
  </si>
  <si>
    <t>OEM</t>
  </si>
  <si>
    <t>AESSXF-BS</t>
  </si>
  <si>
    <t>AEXHF</t>
  </si>
  <si>
    <t>AVSSXF-BS</t>
  </si>
  <si>
    <t>AVXF</t>
  </si>
  <si>
    <t>FLALUY</t>
  </si>
  <si>
    <t>TXL</t>
  </si>
  <si>
    <t>AVUHSF</t>
  </si>
  <si>
    <t>KAC</t>
  </si>
  <si>
    <t>CHFUS</t>
  </si>
  <si>
    <t>FHL2XC2X</t>
  </si>
  <si>
    <t>TBC</t>
  </si>
  <si>
    <t>AVS</t>
  </si>
  <si>
    <t>CIVUS</t>
  </si>
  <si>
    <t>KLSE_CEWS</t>
  </si>
  <si>
    <t>WTA</t>
  </si>
  <si>
    <t>WXC</t>
  </si>
  <si>
    <t>KLSE_CEWS 3</t>
  </si>
  <si>
    <t>CIVUS-BS</t>
  </si>
  <si>
    <t>KLSE_DAWS</t>
  </si>
  <si>
    <t>AHHEX-BS</t>
  </si>
  <si>
    <t>AEXHF-BS</t>
  </si>
  <si>
    <t>AHEX-BS</t>
  </si>
  <si>
    <t>AHHEX</t>
  </si>
  <si>
    <t>FHLR2XC2X</t>
  </si>
  <si>
    <t>FHLR91XC91X</t>
  </si>
  <si>
    <t>Kongsberg Automotive</t>
  </si>
  <si>
    <t>FLRY-B</t>
  </si>
  <si>
    <t>GPT</t>
  </si>
  <si>
    <t>TWP</t>
  </si>
  <si>
    <t>LEAR_MATAMOROS</t>
  </si>
  <si>
    <t>LEAR_MATAMOROS 2</t>
  </si>
  <si>
    <t>LEAR_MONARCA</t>
  </si>
  <si>
    <t>LEAR_NOVA</t>
  </si>
  <si>
    <t>LEAR_TORRES</t>
  </si>
  <si>
    <t>YURA CORPORATION MEX</t>
  </si>
  <si>
    <t>HL-HLF CA</t>
  </si>
  <si>
    <t>AVSSHF</t>
  </si>
  <si>
    <t>고객명</t>
    <phoneticPr fontId="11" type="noConversion"/>
  </si>
  <si>
    <t>자재그룹1</t>
    <phoneticPr fontId="11" type="noConversion"/>
  </si>
  <si>
    <t>매출액</t>
    <phoneticPr fontId="11" type="noConversion"/>
  </si>
  <si>
    <t>매출원가</t>
    <phoneticPr fontId="11" type="noConversion"/>
  </si>
  <si>
    <t>재료비</t>
    <phoneticPr fontId="11" type="noConversion"/>
  </si>
  <si>
    <t>가공비</t>
    <phoneticPr fontId="11" type="noConversion"/>
  </si>
  <si>
    <t>매출총이익</t>
    <phoneticPr fontId="11" type="noConversion"/>
  </si>
  <si>
    <t>판관비</t>
    <phoneticPr fontId="11" type="noConversion"/>
  </si>
  <si>
    <t>영업이익</t>
    <phoneticPr fontId="11" type="noConversion"/>
  </si>
  <si>
    <r>
      <rPr>
        <b/>
        <sz val="11"/>
        <rFont val="맑은 고딕"/>
        <family val="2"/>
        <charset val="129"/>
      </rPr>
      <t>＃</t>
    </r>
    <r>
      <rPr>
        <b/>
        <sz val="11"/>
        <rFont val="Arial"/>
        <family val="2"/>
      </rPr>
      <t>5</t>
    </r>
    <r>
      <rPr>
        <b/>
        <sz val="11"/>
        <rFont val="맑은 고딕"/>
        <family val="2"/>
        <charset val="129"/>
      </rPr>
      <t>월 전선</t>
    </r>
    <r>
      <rPr>
        <b/>
        <sz val="11"/>
        <rFont val="Arial"/>
        <family val="2"/>
      </rPr>
      <t xml:space="preserve">PA </t>
    </r>
    <r>
      <rPr>
        <b/>
        <sz val="11"/>
        <rFont val="맑은 고딕"/>
        <family val="2"/>
        <charset val="129"/>
      </rPr>
      <t>데이터</t>
    </r>
    <phoneticPr fontId="8" type="noConversion"/>
  </si>
  <si>
    <t>연계획</t>
    <phoneticPr fontId="8" type="noConversion"/>
  </si>
  <si>
    <t>누계 계획</t>
    <phoneticPr fontId="8" type="noConversion"/>
  </si>
  <si>
    <t>누계 실적</t>
    <phoneticPr fontId="8" type="noConversion"/>
  </si>
  <si>
    <t>전월 실적</t>
    <phoneticPr fontId="8" type="noConversion"/>
  </si>
  <si>
    <t>당월 실적</t>
    <phoneticPr fontId="8" type="noConversion"/>
  </si>
  <si>
    <t>당월 계획</t>
    <phoneticPr fontId="8" type="noConversion"/>
  </si>
  <si>
    <t>전월대비</t>
    <phoneticPr fontId="8" type="noConversion"/>
  </si>
  <si>
    <t>계획대비</t>
    <phoneticPr fontId="8" type="noConversion"/>
  </si>
  <si>
    <t>3000 원자재</t>
  </si>
  <si>
    <t>3100 상품</t>
  </si>
  <si>
    <t>7900 반제품</t>
  </si>
  <si>
    <t>7920 완제품</t>
  </si>
  <si>
    <t xml:space="preserve">     미지정</t>
  </si>
  <si>
    <t>구성비</t>
    <phoneticPr fontId="8" type="noConversion"/>
  </si>
  <si>
    <t>매출
구성비</t>
    <phoneticPr fontId="8" type="noConversion"/>
  </si>
  <si>
    <t>(매출중량)</t>
    <phoneticPr fontId="8" type="noConversion"/>
  </si>
  <si>
    <t>원가</t>
    <phoneticPr fontId="8" type="noConversion"/>
  </si>
  <si>
    <t>매출</t>
    <phoneticPr fontId="8" type="noConversion"/>
  </si>
  <si>
    <t>매출원가</t>
  </si>
  <si>
    <t>구분</t>
    <phoneticPr fontId="22" type="noConversion"/>
  </si>
  <si>
    <t>FI (ZYFIR4170)</t>
    <phoneticPr fontId="22" type="noConversion"/>
  </si>
  <si>
    <t>CO (KE30)</t>
    <phoneticPr fontId="22" type="noConversion"/>
  </si>
  <si>
    <t>차액</t>
    <phoneticPr fontId="22" type="noConversion"/>
  </si>
  <si>
    <t>KSCI</t>
    <phoneticPr fontId="22" type="noConversion"/>
  </si>
  <si>
    <t>DG</t>
    <phoneticPr fontId="22" type="noConversion"/>
  </si>
  <si>
    <t>GP</t>
    <phoneticPr fontId="22" type="noConversion"/>
  </si>
  <si>
    <t>%</t>
    <phoneticPr fontId="22" type="noConversion"/>
  </si>
  <si>
    <t>DG 마크업</t>
    <phoneticPr fontId="8" type="noConversion"/>
  </si>
  <si>
    <t>GP 마크업</t>
    <phoneticPr fontId="8" type="noConversion"/>
  </si>
  <si>
    <r>
      <t>10</t>
    </r>
    <r>
      <rPr>
        <sz val="10"/>
        <rFont val="맑은 고딕"/>
        <family val="2"/>
        <charset val="129"/>
      </rPr>
      <t>월</t>
    </r>
    <phoneticPr fontId="8" type="noConversion"/>
  </si>
  <si>
    <t>플랜트간 부가가치</t>
    <phoneticPr fontId="8" type="noConversion"/>
  </si>
  <si>
    <t>■ KSCI 11월 결산 실적</t>
    <phoneticPr fontId="22" type="noConversion"/>
  </si>
  <si>
    <t>■ KSCI 11월 결산 실적 (FI 기준, 차액 DG 반영)</t>
    <phoneticPr fontId="22" type="noConversion"/>
  </si>
  <si>
    <t>▲▼</t>
    <phoneticPr fontId="8" type="noConversion"/>
  </si>
  <si>
    <t>Kyungshin Cable Inte</t>
  </si>
  <si>
    <t>판관비</t>
  </si>
  <si>
    <t>BlueOval SK</t>
  </si>
  <si>
    <t>FORD MOTOR COMPANY</t>
  </si>
  <si>
    <t>Jiangsu Xinquan Auto</t>
  </si>
  <si>
    <t>Huizhou Keen Point P</t>
  </si>
  <si>
    <t>FI (ZYFIR4170)</t>
  </si>
  <si>
    <t>CO (KE30)</t>
  </si>
  <si>
    <t>차액</t>
  </si>
  <si>
    <t>■ KSCI 12월 결산 실적</t>
    <phoneticPr fontId="22" type="noConversion"/>
  </si>
  <si>
    <t>■ KSCI 12월 결산 실적 (FI 기준, 차액 DG 반영)</t>
    <phoneticPr fontId="22" type="noConversion"/>
  </si>
  <si>
    <t>FORD-AS</t>
  </si>
  <si>
    <t xml:space="preserve"> </t>
    <phoneticPr fontId="8" type="noConversion"/>
  </si>
  <si>
    <t>Plofit and Loss statement   FY 2026</t>
    <phoneticPr fontId="8" type="noConversion"/>
  </si>
  <si>
    <t>SUMITOMO</t>
    <phoneticPr fontId="8" type="noConversion"/>
  </si>
  <si>
    <t>Plofit and Loss statement   Plan FY 2026</t>
    <phoneticPr fontId="8" type="noConversion"/>
  </si>
  <si>
    <t>2026년
계   획</t>
  </si>
  <si>
    <t>2026년
계   획</t>
    <phoneticPr fontId="8" type="noConversion"/>
  </si>
  <si>
    <t>단위</t>
  </si>
  <si>
    <t>연 계획</t>
  </si>
  <si>
    <t>누적 계획</t>
  </si>
  <si>
    <t>누적 실적</t>
  </si>
  <si>
    <t>누적 달성률</t>
  </si>
  <si>
    <t>연 계획 진행률</t>
  </si>
  <si>
    <t>KSCI</t>
    <phoneticPr fontId="8" type="noConversion"/>
  </si>
  <si>
    <t>KSCM-DG</t>
    <phoneticPr fontId="8" type="noConversion"/>
  </si>
  <si>
    <t>KSCM-GP</t>
    <phoneticPr fontId="8" type="noConversion"/>
  </si>
  <si>
    <t>매출동량</t>
  </si>
  <si>
    <t>톤</t>
  </si>
  <si>
    <t>영업이익률</t>
  </si>
  <si>
    <t>%</t>
  </si>
  <si>
    <t>매   출
구성비</t>
    <phoneticPr fontId="8" type="noConversion"/>
  </si>
  <si>
    <t>( 1,350 KRW/USD )</t>
    <phoneticPr fontId="8" type="noConversion"/>
  </si>
  <si>
    <t>SUMITOMO</t>
  </si>
  <si>
    <t>2026년
계    획</t>
  </si>
  <si>
    <t xml:space="preserve">DAWS </t>
    <phoneticPr fontId="8" type="noConversion"/>
  </si>
  <si>
    <t xml:space="preserve">HEDS </t>
    <phoneticPr fontId="8" type="noConversion"/>
  </si>
  <si>
    <t>CEWS</t>
    <phoneticPr fontId="8" type="noConversion"/>
  </si>
  <si>
    <t>LEAR</t>
    <phoneticPr fontId="8" type="noConversion"/>
  </si>
  <si>
    <t>KAC-OB</t>
    <phoneticPr fontId="8" type="noConversion"/>
  </si>
  <si>
    <t xml:space="preserve">기타 </t>
    <phoneticPr fontId="8" type="noConversion"/>
  </si>
  <si>
    <t>200406     Kyungshin Cable Inte</t>
  </si>
  <si>
    <t>200407     KyungshinLear Sales</t>
  </si>
  <si>
    <t>200443     BlueOval SK</t>
  </si>
  <si>
    <t>200449     FORD MOTOR COMPANY</t>
  </si>
  <si>
    <t>200452     HEDS</t>
  </si>
  <si>
    <t>200461     KLSE_DAWS</t>
  </si>
  <si>
    <t>200486     FORD-EU</t>
  </si>
  <si>
    <t>200487     FORD-USA</t>
  </si>
  <si>
    <t>200488     FORD-AS</t>
  </si>
  <si>
    <t>200515     Jiangsu Xinquan Auto</t>
  </si>
  <si>
    <t>200517     Huizhou Keen Point P</t>
  </si>
  <si>
    <t xml:space="preserve">           미지정</t>
  </si>
  <si>
    <t>200440     TAESUNG MEXICO S DE</t>
  </si>
  <si>
    <t>200447     E&amp;K LLC</t>
  </si>
  <si>
    <t>200454     KAC</t>
  </si>
  <si>
    <t>200458     KLSE_CEWS</t>
  </si>
  <si>
    <t>200460     KLSE_CEWS 3</t>
  </si>
  <si>
    <t>200469     LEAR_MATAMOROS</t>
  </si>
  <si>
    <t>200470     LEAR_MATAMOROS 2</t>
  </si>
  <si>
    <t>200471     LEAR_MONARCA</t>
  </si>
  <si>
    <t>200473     LEAR_NOVA</t>
  </si>
  <si>
    <t>200475     LEAR_SICOMORO</t>
  </si>
  <si>
    <t>200476     LEAR_TORRES</t>
  </si>
  <si>
    <t>200481     Sumitomo Electric Wi</t>
  </si>
  <si>
    <t>■ KSCI '26년 1월 가결산 실적</t>
    <phoneticPr fontId="22" type="noConversion"/>
  </si>
  <si>
    <t>■ KSCI 26년 1월 재결산 실적 (FI 기준, 차액 DG 반영, GP2 미반영)</t>
    <phoneticPr fontId="22" type="noConversion"/>
  </si>
  <si>
    <t>[고객사 수익성]</t>
    <phoneticPr fontId="22" type="noConversion"/>
  </si>
  <si>
    <t>[단위:USD]</t>
    <phoneticPr fontId="22" type="noConversion"/>
  </si>
  <si>
    <t>총합계</t>
  </si>
  <si>
    <t>[제품군별 수익성]</t>
    <phoneticPr fontId="22" type="noConversion"/>
  </si>
  <si>
    <t>부품/기타</t>
  </si>
  <si>
    <t>(-)</t>
  </si>
  <si>
    <t>재료비</t>
  </si>
  <si>
    <t>가공비</t>
  </si>
  <si>
    <t>매출총이익</t>
  </si>
  <si>
    <t>이익률</t>
  </si>
  <si>
    <t>200513     Mitchell Plastics</t>
  </si>
  <si>
    <t>200519     Ningbo Tuopu Group C</t>
  </si>
  <si>
    <t>FORD</t>
    <phoneticPr fontId="8" type="noConversion"/>
  </si>
  <si>
    <t>SKI</t>
    <phoneticPr fontId="8" type="noConversion"/>
  </si>
  <si>
    <t>※ 2026년 02월 GP2 실적 제외</t>
    <phoneticPr fontId="22" type="noConversion"/>
  </si>
  <si>
    <t>고객사</t>
  </si>
  <si>
    <t>재료비%</t>
  </si>
  <si>
    <t>Ningbo Tuopu Group C</t>
  </si>
  <si>
    <t>Mitchell Plastics</t>
  </si>
  <si>
    <t>제품</t>
    <phoneticPr fontId="8" type="noConversion"/>
  </si>
  <si>
    <t>상품</t>
    <phoneticPr fontId="8" type="noConversion"/>
  </si>
  <si>
    <t>매출액 합계</t>
  </si>
  <si>
    <t>재료비</t>
    <phoneticPr fontId="22" type="noConversion"/>
  </si>
  <si>
    <t>가공비</t>
    <phoneticPr fontId="22" type="noConversion"/>
  </si>
  <si>
    <t>노무비</t>
    <phoneticPr fontId="22" type="noConversion"/>
  </si>
  <si>
    <t>경비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</si>
</sst>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##&quot;월&quot;"/>
    <numFmt numFmtId="179" formatCode="#,##0.0_ "/>
    <numFmt numFmtId="180" formatCode="_(* #,##0_);_(* \(#,##0\);_(* &quot;-&quot;??_);_(@_)"/>
    <numFmt numFmtId="181" formatCode="#,##0.000000_ "/>
    <numFmt numFmtId="182" formatCode="#,##0.00_ "/>
    <numFmt numFmtId="183" formatCode="#,##0.000"/>
    <numFmt numFmtId="184" formatCode="_-* #,##0.0_-;\-* #,##0.0_-;_-* &quot;-&quot;_-;_-@_-"/>
    <numFmt numFmtId="185" formatCode="_-* #,##0.00_-;\-* #,##0.00_-;_-* &quot;-&quot;_-;_-@_-"/>
    <numFmt numFmtId="186" formatCode="\$#,##0.00"/>
    <numFmt numFmtId="187" formatCode="#,##0.0,,"/>
    <numFmt numFmtId="188" formatCode="_-* #,##0.000000000_-;\-* #,##0.000000000_-;_-* &quot;-&quot;_-;_-@_-"/>
    <numFmt numFmtId="189" formatCode="_-[$$-409]* #,##0_ ;_-[$$-409]* \-#,##0\ ;_-[$$-409]* &quot;-&quot;??_ ;_-@_ "/>
    <numFmt numFmtId="190" formatCode="#,##0.00000"/>
    <numFmt numFmtId="191" formatCode="#,##0_ ;[Red]\-#,##0\ "/>
  </numFmts>
  <fonts count="84" x14ac:knownFonts="1">
    <font>
      <sz val="10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15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5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Calibri"/>
      <family val="2"/>
    </font>
    <font>
      <b/>
      <sz val="13"/>
      <name val="Calibri"/>
      <family val="2"/>
    </font>
    <font>
      <b/>
      <sz val="10"/>
      <name val="Calibri"/>
      <family val="2"/>
    </font>
    <font>
      <sz val="10"/>
      <name val="맑은 고딕"/>
      <family val="2"/>
      <charset val="129"/>
    </font>
    <font>
      <sz val="10"/>
      <color rgb="FF323232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0"/>
      <color rgb="FFFFFFFF"/>
      <name val="맑은 고딕"/>
      <family val="2"/>
      <scheme val="minor"/>
    </font>
    <font>
      <sz val="10"/>
      <color rgb="FFFFFFFF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color rgb="FF323232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0"/>
      <color rgb="FF000000"/>
      <name val="맑은 고딕"/>
      <family val="2"/>
      <scheme val="minor"/>
    </font>
    <font>
      <i/>
      <sz val="10"/>
      <color rgb="FF323232"/>
      <name val="맑은 고딕"/>
      <family val="2"/>
      <scheme val="minor"/>
    </font>
    <font>
      <sz val="10"/>
      <color rgb="FF0000FF"/>
      <name val="맑은 고딕"/>
      <family val="2"/>
      <scheme val="minor"/>
    </font>
    <font>
      <i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Arial"/>
      <family val="2"/>
    </font>
    <font>
      <b/>
      <sz val="10"/>
      <name val="Segoe UI Symbol"/>
      <family val="2"/>
    </font>
    <font>
      <b/>
      <sz val="10"/>
      <name val="맑은 고딕"/>
      <family val="2"/>
      <charset val="129"/>
    </font>
    <font>
      <b/>
      <sz val="10"/>
      <color rgb="FFFFFFFF"/>
      <name val="Arial"/>
      <family val="2"/>
    </font>
    <font>
      <b/>
      <sz val="10"/>
      <color rgb="FFFFFFFF"/>
      <name val="맑은 고딕"/>
      <family val="3"/>
      <charset val="129"/>
    </font>
    <font>
      <b/>
      <sz val="10"/>
      <color theme="0"/>
      <name val="Arial"/>
      <family val="2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8"/>
      <color rgb="FFFF0000"/>
      <name val="맑은 고딕"/>
      <family val="3"/>
      <charset val="129"/>
      <scheme val="minor"/>
    </font>
    <font>
      <b/>
      <sz val="11"/>
      <name val="Arial"/>
      <family val="2"/>
      <charset val="129"/>
    </font>
    <font>
      <b/>
      <sz val="11"/>
      <name val="맑은 고딕"/>
      <family val="2"/>
      <charset val="129"/>
    </font>
    <font>
      <b/>
      <sz val="11"/>
      <name val="Arial"/>
      <family val="2"/>
    </font>
    <font>
      <sz val="11"/>
      <color theme="1"/>
      <name val="맑은 고딕"/>
      <family val="3"/>
      <charset val="129"/>
    </font>
    <font>
      <b/>
      <sz val="10.5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0.5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404040"/>
      <name val="맑은 고딕"/>
      <family val="3"/>
      <charset val="129"/>
    </font>
    <font>
      <b/>
      <sz val="10"/>
      <color theme="0" tint="-0.34998626667073579"/>
      <name val="Arial"/>
      <family val="2"/>
    </font>
    <font>
      <b/>
      <sz val="10"/>
      <color theme="0" tint="-0.34998626667073579"/>
      <name val="맑은 고딕"/>
      <family val="2"/>
      <charset val="129"/>
    </font>
    <font>
      <b/>
      <sz val="10"/>
      <name val="Arial"/>
      <family val="2"/>
      <charset val="129"/>
    </font>
    <font>
      <b/>
      <sz val="10"/>
      <color theme="1"/>
      <name val="Arial"/>
      <family val="2"/>
    </font>
    <font>
      <b/>
      <sz val="10"/>
      <color rgb="FFA6A6A6"/>
      <name val="맑은 고딕"/>
      <family val="2"/>
      <charset val="129"/>
    </font>
    <font>
      <b/>
      <sz val="10"/>
      <color theme="0" tint="-0.34998626667073579"/>
      <name val="Arial"/>
      <family val="2"/>
      <charset val="129"/>
    </font>
    <font>
      <b/>
      <sz val="10"/>
      <color rgb="FFA6A6A6"/>
      <name val="Arial"/>
      <family val="2"/>
    </font>
    <font>
      <b/>
      <sz val="10"/>
      <color theme="1"/>
      <name val="맑은 고딕"/>
      <family val="2"/>
      <charset val="129"/>
    </font>
    <font>
      <i/>
      <sz val="1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3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1">
    <border>
      <left/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/>
      <right style="hair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hair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1" tint="0.499984740745262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hair">
        <color theme="0" tint="-0.499984740745262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hair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8">
    <xf numFmtId="0" fontId="0" fillId="0" borderId="0"/>
    <xf numFmtId="43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8" fillId="27" borderId="42" xfId="0" applyFont="1" applyFill="1" applyBorder="1" applyAlignment="1">
      <alignment horizontal="center" vertical="center" wrapText="1" readingOrder="1"/>
    </xf>
    <xf numFmtId="0" fontId="68" fillId="27" borderId="39" xfId="0" applyFont="1" applyFill="1" applyBorder="1" applyAlignment="1">
      <alignment horizontal="center" vertical="center" wrapText="1" readingOrder="1"/>
    </xf>
    <xf numFmtId="0" fontId="68" fillId="27" borderId="0" xfId="0" applyFont="1" applyFill="1" applyAlignment="1">
      <alignment horizontal="center" vertical="center" wrapText="1" readingOrder="1"/>
    </xf>
    <xf numFmtId="0" fontId="68" fillId="27" borderId="41" xfId="0" applyFont="1" applyFill="1" applyBorder="1" applyAlignment="1">
      <alignment horizontal="center" vertical="center" wrapText="1" readingOrder="1"/>
    </xf>
  </cellStyleXfs>
  <cellXfs count="666">
    <xf numFmtId="0" fontId="0" fillId="0" borderId="0" xfId="0"/>
    <xf numFmtId="0" fontId="68" fillId="27" borderId="43" xfId="0" applyFont="1" applyFill="1" applyBorder="1" applyAlignment="1">
      <alignment horizontal="center" vertical="center" wrapText="1" readingOrder="1"/>
    </xf>
    <xf numFmtId="0" fontId="68" fillId="27" borderId="40" xfId="0" applyFont="1" applyFill="1" applyBorder="1" applyAlignment="1">
      <alignment horizontal="center" vertical="center" wrapText="1" readingOrder="1"/>
    </xf>
    <xf numFmtId="176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horizontal="right" vertical="center"/>
    </xf>
    <xf numFmtId="177" fontId="7" fillId="0" borderId="0" xfId="3" applyNumberFormat="1" applyFont="1" applyAlignment="1">
      <alignment horizontal="right" vertical="center"/>
    </xf>
    <xf numFmtId="177" fontId="7" fillId="0" borderId="0" xfId="3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vertical="top"/>
    </xf>
    <xf numFmtId="177" fontId="9" fillId="0" borderId="0" xfId="3" applyNumberFormat="1" applyFont="1" applyBorder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6" fontId="10" fillId="0" borderId="0" xfId="0" applyNumberFormat="1" applyFont="1" applyAlignment="1">
      <alignment horizontal="right" vertical="center" wrapText="1"/>
    </xf>
    <xf numFmtId="178" fontId="10" fillId="0" borderId="0" xfId="0" applyNumberFormat="1" applyFont="1" applyAlignment="1">
      <alignment horizontal="left" vertical="center"/>
    </xf>
    <xf numFmtId="176" fontId="7" fillId="0" borderId="0" xfId="3" applyNumberFormat="1" applyFont="1" applyAlignment="1">
      <alignment horizontal="right" vertical="center"/>
    </xf>
    <xf numFmtId="177" fontId="7" fillId="0" borderId="0" xfId="3" applyNumberFormat="1" applyFont="1" applyFill="1" applyBorder="1" applyAlignment="1">
      <alignment horizontal="right" vertical="center"/>
    </xf>
    <xf numFmtId="177" fontId="7" fillId="0" borderId="0" xfId="3" applyNumberFormat="1" applyFont="1" applyFill="1" applyAlignment="1">
      <alignment vertical="top"/>
    </xf>
    <xf numFmtId="176" fontId="12" fillId="0" borderId="0" xfId="0" applyNumberFormat="1" applyFont="1" applyAlignment="1">
      <alignment horizontal="right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0" xfId="0" applyNumberFormat="1" applyFont="1" applyFill="1" applyAlignment="1">
      <alignment horizontal="right" vertical="center" wrapText="1"/>
    </xf>
    <xf numFmtId="177" fontId="9" fillId="2" borderId="0" xfId="3" applyNumberFormat="1" applyFont="1" applyFill="1" applyAlignment="1">
      <alignment horizontal="right" vertical="center" wrapText="1"/>
    </xf>
    <xf numFmtId="176" fontId="9" fillId="2" borderId="2" xfId="0" applyNumberFormat="1" applyFont="1" applyFill="1" applyBorder="1" applyAlignment="1">
      <alignment horizontal="right" vertical="center" wrapText="1"/>
    </xf>
    <xf numFmtId="177" fontId="9" fillId="2" borderId="3" xfId="3" applyNumberFormat="1" applyFont="1" applyFill="1" applyBorder="1" applyAlignment="1">
      <alignment horizontal="right" vertical="center" wrapText="1"/>
    </xf>
    <xf numFmtId="177" fontId="9" fillId="2" borderId="0" xfId="3" applyNumberFormat="1" applyFont="1" applyFill="1" applyBorder="1" applyAlignment="1">
      <alignment horizontal="right" vertical="center" wrapText="1"/>
    </xf>
    <xf numFmtId="176" fontId="7" fillId="0" borderId="1" xfId="0" applyNumberFormat="1" applyFont="1" applyBorder="1" applyAlignment="1">
      <alignment vertical="center"/>
    </xf>
    <xf numFmtId="177" fontId="7" fillId="0" borderId="0" xfId="3" applyNumberFormat="1" applyFont="1" applyFill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177" fontId="7" fillId="0" borderId="3" xfId="3" applyNumberFormat="1" applyFont="1" applyFill="1" applyBorder="1" applyAlignment="1">
      <alignment horizontal="right" vertical="center"/>
    </xf>
    <xf numFmtId="176" fontId="7" fillId="0" borderId="4" xfId="0" applyNumberFormat="1" applyFont="1" applyBorder="1" applyAlignment="1">
      <alignment vertical="center"/>
    </xf>
    <xf numFmtId="176" fontId="7" fillId="0" borderId="5" xfId="0" applyNumberFormat="1" applyFont="1" applyBorder="1" applyAlignment="1">
      <alignment horizontal="right" vertical="center"/>
    </xf>
    <xf numFmtId="177" fontId="7" fillId="0" borderId="5" xfId="3" applyNumberFormat="1" applyFont="1" applyFill="1" applyBorder="1" applyAlignment="1">
      <alignment horizontal="right" vertical="center"/>
    </xf>
    <xf numFmtId="176" fontId="7" fillId="0" borderId="6" xfId="0" applyNumberFormat="1" applyFont="1" applyBorder="1" applyAlignment="1">
      <alignment horizontal="right" vertical="center"/>
    </xf>
    <xf numFmtId="177" fontId="7" fillId="0" borderId="7" xfId="3" applyNumberFormat="1" applyFont="1" applyFill="1" applyBorder="1" applyAlignment="1">
      <alignment horizontal="right" vertical="center"/>
    </xf>
    <xf numFmtId="176" fontId="12" fillId="0" borderId="0" xfId="0" applyNumberFormat="1" applyFont="1" applyAlignment="1">
      <alignment vertical="top"/>
    </xf>
    <xf numFmtId="176" fontId="12" fillId="0" borderId="0" xfId="0" applyNumberFormat="1" applyFont="1" applyAlignment="1">
      <alignment vertical="center"/>
    </xf>
    <xf numFmtId="177" fontId="12" fillId="0" borderId="0" xfId="3" applyNumberFormat="1" applyFont="1" applyAlignment="1">
      <alignment horizontal="right" vertical="center"/>
    </xf>
    <xf numFmtId="9" fontId="12" fillId="0" borderId="0" xfId="3" applyFont="1" applyBorder="1" applyAlignment="1">
      <alignment horizontal="right" vertical="center"/>
    </xf>
    <xf numFmtId="177" fontId="12" fillId="0" borderId="0" xfId="3" applyNumberFormat="1" applyFont="1" applyBorder="1" applyAlignment="1">
      <alignment horizontal="right" vertical="center"/>
    </xf>
    <xf numFmtId="176" fontId="15" fillId="0" borderId="0" xfId="0" applyNumberFormat="1" applyFont="1" applyAlignment="1">
      <alignment vertical="center"/>
    </xf>
    <xf numFmtId="177" fontId="16" fillId="0" borderId="0" xfId="3" applyNumberFormat="1" applyFont="1" applyBorder="1" applyAlignment="1">
      <alignment horizontal="right" vertical="center"/>
    </xf>
    <xf numFmtId="176" fontId="17" fillId="0" borderId="0" xfId="0" applyNumberFormat="1" applyFont="1" applyAlignment="1">
      <alignment horizontal="right" vertical="center"/>
    </xf>
    <xf numFmtId="177" fontId="17" fillId="0" borderId="0" xfId="3" applyNumberFormat="1" applyFont="1" applyFill="1" applyAlignment="1">
      <alignment horizontal="right" vertical="center"/>
    </xf>
    <xf numFmtId="176" fontId="18" fillId="0" borderId="0" xfId="0" applyNumberFormat="1" applyFont="1" applyAlignment="1">
      <alignment vertical="center"/>
    </xf>
    <xf numFmtId="9" fontId="12" fillId="0" borderId="0" xfId="3" applyFont="1" applyAlignment="1">
      <alignment vertical="center"/>
    </xf>
    <xf numFmtId="177" fontId="12" fillId="0" borderId="0" xfId="3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41" fontId="12" fillId="0" borderId="0" xfId="2" applyFont="1" applyAlignment="1">
      <alignment vertical="center"/>
    </xf>
    <xf numFmtId="9" fontId="12" fillId="0" borderId="0" xfId="3" applyFont="1" applyAlignment="1">
      <alignment horizontal="right" vertical="center"/>
    </xf>
    <xf numFmtId="176" fontId="16" fillId="0" borderId="0" xfId="0" applyNumberFormat="1" applyFont="1" applyAlignment="1">
      <alignment horizontal="right" vertical="center"/>
    </xf>
    <xf numFmtId="41" fontId="12" fillId="0" borderId="0" xfId="0" applyNumberFormat="1" applyFont="1" applyAlignment="1">
      <alignment vertical="center"/>
    </xf>
    <xf numFmtId="41" fontId="18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41" fontId="20" fillId="0" borderId="0" xfId="2" applyFont="1" applyAlignment="1">
      <alignment vertical="center"/>
    </xf>
    <xf numFmtId="41" fontId="12" fillId="0" borderId="0" xfId="2" applyFont="1" applyAlignment="1">
      <alignment horizontal="left" vertical="center" indent="1"/>
    </xf>
    <xf numFmtId="41" fontId="20" fillId="0" borderId="0" xfId="2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3" fontId="12" fillId="0" borderId="0" xfId="0" applyNumberFormat="1" applyFont="1" applyAlignment="1">
      <alignment horizontal="left" vertical="center" indent="1"/>
    </xf>
    <xf numFmtId="177" fontId="18" fillId="0" borderId="0" xfId="3" applyNumberFormat="1" applyFont="1" applyAlignment="1">
      <alignment vertical="center"/>
    </xf>
    <xf numFmtId="176" fontId="18" fillId="3" borderId="0" xfId="0" applyNumberFormat="1" applyFont="1" applyFill="1" applyAlignment="1">
      <alignment vertical="center"/>
    </xf>
    <xf numFmtId="176" fontId="18" fillId="3" borderId="0" xfId="0" applyNumberFormat="1" applyFont="1" applyFill="1" applyAlignment="1">
      <alignment horizontal="right" vertical="center"/>
    </xf>
    <xf numFmtId="9" fontId="18" fillId="0" borderId="0" xfId="3" applyFont="1" applyAlignment="1">
      <alignment vertical="center"/>
    </xf>
    <xf numFmtId="9" fontId="18" fillId="3" borderId="0" xfId="3" applyFont="1" applyFill="1" applyBorder="1" applyAlignment="1">
      <alignment vertical="center"/>
    </xf>
    <xf numFmtId="176" fontId="18" fillId="3" borderId="0" xfId="3" applyNumberFormat="1" applyFont="1" applyFill="1" applyAlignment="1">
      <alignment horizontal="right" vertical="center"/>
    </xf>
    <xf numFmtId="176" fontId="18" fillId="3" borderId="0" xfId="3" applyNumberFormat="1" applyFont="1" applyFill="1" applyBorder="1" applyAlignment="1">
      <alignment horizontal="right" vertical="center"/>
    </xf>
    <xf numFmtId="176" fontId="21" fillId="4" borderId="0" xfId="0" applyNumberFormat="1" applyFont="1" applyFill="1" applyAlignment="1">
      <alignment horizontal="right" vertical="center" wrapText="1"/>
    </xf>
    <xf numFmtId="177" fontId="21" fillId="4" borderId="0" xfId="3" applyNumberFormat="1" applyFont="1" applyFill="1" applyBorder="1" applyAlignment="1">
      <alignment horizontal="right" vertical="center" wrapText="1"/>
    </xf>
    <xf numFmtId="176" fontId="21" fillId="5" borderId="0" xfId="0" applyNumberFormat="1" applyFont="1" applyFill="1" applyAlignment="1">
      <alignment horizontal="right" vertical="center"/>
    </xf>
    <xf numFmtId="177" fontId="21" fillId="5" borderId="0" xfId="3" applyNumberFormat="1" applyFont="1" applyFill="1" applyBorder="1" applyAlignment="1">
      <alignment horizontal="right" vertical="center"/>
    </xf>
    <xf numFmtId="176" fontId="13" fillId="0" borderId="0" xfId="0" applyNumberFormat="1" applyFont="1" applyAlignment="1">
      <alignment horizontal="left" vertical="center" indent="1"/>
    </xf>
    <xf numFmtId="176" fontId="23" fillId="0" borderId="0" xfId="0" applyNumberFormat="1" applyFont="1" applyAlignment="1">
      <alignment horizontal="right" vertical="center"/>
    </xf>
    <xf numFmtId="177" fontId="23" fillId="0" borderId="0" xfId="3" applyNumberFormat="1" applyFont="1" applyFill="1" applyBorder="1" applyAlignment="1">
      <alignment horizontal="right" vertical="center"/>
    </xf>
    <xf numFmtId="176" fontId="24" fillId="0" borderId="0" xfId="0" applyNumberFormat="1" applyFont="1" applyAlignment="1">
      <alignment horizontal="right" vertical="center"/>
    </xf>
    <xf numFmtId="177" fontId="24" fillId="0" borderId="0" xfId="3" applyNumberFormat="1" applyFont="1" applyFill="1" applyBorder="1" applyAlignment="1">
      <alignment horizontal="right" vertical="center"/>
    </xf>
    <xf numFmtId="176" fontId="21" fillId="4" borderId="0" xfId="0" applyNumberFormat="1" applyFont="1" applyFill="1" applyAlignment="1">
      <alignment horizontal="right" vertical="center"/>
    </xf>
    <xf numFmtId="177" fontId="21" fillId="4" borderId="0" xfId="3" applyNumberFormat="1" applyFont="1" applyFill="1" applyBorder="1" applyAlignment="1">
      <alignment horizontal="right" vertical="center"/>
    </xf>
    <xf numFmtId="176" fontId="25" fillId="4" borderId="8" xfId="0" applyNumberFormat="1" applyFont="1" applyFill="1" applyBorder="1" applyAlignment="1">
      <alignment horizontal="center" vertical="center"/>
    </xf>
    <xf numFmtId="176" fontId="25" fillId="4" borderId="0" xfId="0" applyNumberFormat="1" applyFont="1" applyFill="1" applyAlignment="1">
      <alignment horizontal="right" vertical="center" wrapText="1"/>
    </xf>
    <xf numFmtId="177" fontId="25" fillId="4" borderId="0" xfId="3" applyNumberFormat="1" applyFont="1" applyFill="1" applyBorder="1" applyAlignment="1">
      <alignment horizontal="right" vertical="center" wrapText="1"/>
    </xf>
    <xf numFmtId="176" fontId="25" fillId="5" borderId="8" xfId="0" applyNumberFormat="1" applyFont="1" applyFill="1" applyBorder="1" applyAlignment="1">
      <alignment vertical="center"/>
    </xf>
    <xf numFmtId="176" fontId="25" fillId="5" borderId="0" xfId="0" applyNumberFormat="1" applyFont="1" applyFill="1" applyAlignment="1">
      <alignment horizontal="right" vertical="center"/>
    </xf>
    <xf numFmtId="177" fontId="25" fillId="5" borderId="0" xfId="3" applyNumberFormat="1" applyFont="1" applyFill="1" applyBorder="1" applyAlignment="1">
      <alignment horizontal="right" vertical="center"/>
    </xf>
    <xf numFmtId="176" fontId="13" fillId="0" borderId="0" xfId="0" applyNumberFormat="1" applyFont="1" applyAlignment="1">
      <alignment vertical="center"/>
    </xf>
    <xf numFmtId="176" fontId="13" fillId="0" borderId="0" xfId="0" applyNumberFormat="1" applyFont="1" applyAlignment="1">
      <alignment horizontal="right" vertical="center"/>
    </xf>
    <xf numFmtId="177" fontId="13" fillId="0" borderId="0" xfId="3" applyNumberFormat="1" applyFont="1" applyFill="1" applyBorder="1" applyAlignment="1">
      <alignment horizontal="right" vertical="center"/>
    </xf>
    <xf numFmtId="177" fontId="13" fillId="0" borderId="8" xfId="3" applyNumberFormat="1" applyFont="1" applyFill="1" applyBorder="1" applyAlignment="1">
      <alignment vertical="center"/>
    </xf>
    <xf numFmtId="0" fontId="26" fillId="7" borderId="8" xfId="0" applyFont="1" applyFill="1" applyBorder="1" applyAlignment="1">
      <alignment vertical="center"/>
    </xf>
    <xf numFmtId="176" fontId="26" fillId="7" borderId="0" xfId="0" applyNumberFormat="1" applyFont="1" applyFill="1" applyAlignment="1">
      <alignment horizontal="right" vertical="center"/>
    </xf>
    <xf numFmtId="177" fontId="26" fillId="7" borderId="0" xfId="3" applyNumberFormat="1" applyFont="1" applyFill="1" applyBorder="1" applyAlignment="1">
      <alignment horizontal="right" vertical="center"/>
    </xf>
    <xf numFmtId="176" fontId="13" fillId="0" borderId="8" xfId="0" applyNumberFormat="1" applyFont="1" applyBorder="1" applyAlignment="1">
      <alignment vertical="center"/>
    </xf>
    <xf numFmtId="0" fontId="13" fillId="0" borderId="8" xfId="0" quotePrefix="1" applyFont="1" applyBorder="1" applyAlignment="1">
      <alignment vertical="center"/>
    </xf>
    <xf numFmtId="176" fontId="13" fillId="0" borderId="0" xfId="0" quotePrefix="1" applyNumberFormat="1" applyFont="1" applyAlignment="1">
      <alignment horizontal="right" vertical="center"/>
    </xf>
    <xf numFmtId="0" fontId="13" fillId="0" borderId="8" xfId="0" applyFont="1" applyBorder="1" applyAlignment="1">
      <alignment vertical="center"/>
    </xf>
    <xf numFmtId="177" fontId="13" fillId="0" borderId="0" xfId="3" quotePrefix="1" applyNumberFormat="1" applyFont="1" applyFill="1" applyBorder="1" applyAlignment="1">
      <alignment horizontal="right" vertical="center"/>
    </xf>
    <xf numFmtId="176" fontId="25" fillId="4" borderId="0" xfId="0" applyNumberFormat="1" applyFont="1" applyFill="1" applyAlignment="1">
      <alignment horizontal="right" vertical="center"/>
    </xf>
    <xf numFmtId="177" fontId="25" fillId="4" borderId="0" xfId="3" applyNumberFormat="1" applyFont="1" applyFill="1" applyBorder="1" applyAlignment="1">
      <alignment horizontal="right" vertical="center"/>
    </xf>
    <xf numFmtId="176" fontId="25" fillId="4" borderId="0" xfId="0" applyNumberFormat="1" applyFont="1" applyFill="1" applyAlignment="1">
      <alignment vertical="center"/>
    </xf>
    <xf numFmtId="176" fontId="25" fillId="5" borderId="0" xfId="0" applyNumberFormat="1" applyFont="1" applyFill="1" applyAlignment="1">
      <alignment vertical="center"/>
    </xf>
    <xf numFmtId="177" fontId="13" fillId="0" borderId="0" xfId="3" applyNumberFormat="1" applyFont="1" applyFill="1" applyBorder="1" applyAlignment="1">
      <alignment vertical="center"/>
    </xf>
    <xf numFmtId="0" fontId="26" fillId="7" borderId="0" xfId="0" applyFont="1" applyFill="1" applyAlignment="1">
      <alignment vertical="center"/>
    </xf>
    <xf numFmtId="176" fontId="25" fillId="7" borderId="0" xfId="0" applyNumberFormat="1" applyFont="1" applyFill="1" applyAlignment="1">
      <alignment horizontal="right" vertical="center"/>
    </xf>
    <xf numFmtId="176" fontId="25" fillId="7" borderId="0" xfId="0" applyNumberFormat="1" applyFont="1" applyFill="1" applyAlignment="1">
      <alignment vertical="center"/>
    </xf>
    <xf numFmtId="41" fontId="13" fillId="0" borderId="0" xfId="2" applyFont="1" applyFill="1" applyBorder="1" applyAlignment="1">
      <alignment vertical="center"/>
    </xf>
    <xf numFmtId="41" fontId="27" fillId="0" borderId="0" xfId="2" applyFont="1" applyFill="1" applyBorder="1" applyAlignment="1">
      <alignment vertical="center"/>
    </xf>
    <xf numFmtId="41" fontId="13" fillId="0" borderId="0" xfId="2" applyFont="1" applyFill="1" applyBorder="1" applyAlignment="1">
      <alignment horizontal="left" vertical="center" indent="1"/>
    </xf>
    <xf numFmtId="176" fontId="27" fillId="0" borderId="0" xfId="0" applyNumberFormat="1" applyFont="1" applyAlignment="1">
      <alignment vertical="center"/>
    </xf>
    <xf numFmtId="41" fontId="27" fillId="0" borderId="0" xfId="2" applyFont="1" applyFill="1" applyBorder="1" applyAlignment="1">
      <alignment horizontal="left" vertical="center" indent="1"/>
    </xf>
    <xf numFmtId="176" fontId="13" fillId="0" borderId="0" xfId="2" applyNumberFormat="1" applyFont="1" applyFill="1" applyBorder="1" applyAlignment="1"/>
    <xf numFmtId="0" fontId="13" fillId="0" borderId="0" xfId="0" quotePrefix="1" applyFont="1" applyAlignment="1">
      <alignment vertical="center"/>
    </xf>
    <xf numFmtId="176" fontId="13" fillId="0" borderId="0" xfId="0" quotePrefix="1" applyNumberFormat="1" applyFont="1" applyAlignment="1">
      <alignment vertical="center"/>
    </xf>
    <xf numFmtId="176" fontId="27" fillId="0" borderId="0" xfId="0" applyNumberFormat="1" applyFont="1" applyAlignment="1">
      <alignment horizontal="right" vertical="center"/>
    </xf>
    <xf numFmtId="176" fontId="13" fillId="7" borderId="0" xfId="0" applyNumberFormat="1" applyFont="1" applyFill="1" applyAlignment="1">
      <alignment horizontal="right" vertical="center"/>
    </xf>
    <xf numFmtId="176" fontId="13" fillId="7" borderId="0" xfId="0" applyNumberFormat="1" applyFont="1" applyFill="1" applyAlignment="1">
      <alignment vertical="center"/>
    </xf>
    <xf numFmtId="176" fontId="27" fillId="7" borderId="0" xfId="0" applyNumberFormat="1" applyFont="1" applyFill="1" applyAlignment="1">
      <alignment vertical="center"/>
    </xf>
    <xf numFmtId="0" fontId="13" fillId="0" borderId="0" xfId="0" applyFont="1" applyAlignment="1">
      <alignment horizontal="left" vertical="center" indent="1"/>
    </xf>
    <xf numFmtId="177" fontId="25" fillId="4" borderId="0" xfId="3" applyNumberFormat="1" applyFont="1" applyFill="1" applyBorder="1" applyAlignment="1">
      <alignment vertical="center"/>
    </xf>
    <xf numFmtId="176" fontId="13" fillId="0" borderId="0" xfId="0" quotePrefix="1" applyNumberFormat="1" applyFont="1" applyAlignment="1">
      <alignment horizontal="left" vertical="center" indent="1"/>
    </xf>
    <xf numFmtId="176" fontId="28" fillId="0" borderId="0" xfId="0" applyNumberFormat="1" applyFont="1" applyAlignment="1">
      <alignment vertical="center"/>
    </xf>
    <xf numFmtId="0" fontId="13" fillId="0" borderId="0" xfId="0" quotePrefix="1" applyFont="1" applyAlignment="1">
      <alignment horizontal="left" vertical="center" indent="1"/>
    </xf>
    <xf numFmtId="176" fontId="29" fillId="0" borderId="0" xfId="0" applyNumberFormat="1" applyFont="1" applyAlignment="1">
      <alignment vertical="center"/>
    </xf>
    <xf numFmtId="176" fontId="29" fillId="0" borderId="0" xfId="0" applyNumberFormat="1" applyFont="1" applyAlignment="1">
      <alignment horizontal="right" vertical="center"/>
    </xf>
    <xf numFmtId="176" fontId="30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9" fontId="29" fillId="0" borderId="0" xfId="3" applyFont="1" applyAlignment="1">
      <alignment vertical="center"/>
    </xf>
    <xf numFmtId="179" fontId="29" fillId="0" borderId="0" xfId="0" applyNumberFormat="1" applyFont="1" applyAlignment="1">
      <alignment vertical="center"/>
    </xf>
    <xf numFmtId="41" fontId="13" fillId="0" borderId="0" xfId="2" applyFont="1" applyAlignment="1">
      <alignment horizontal="right" vertical="center"/>
    </xf>
    <xf numFmtId="41" fontId="13" fillId="0" borderId="0" xfId="2" applyFont="1" applyAlignment="1">
      <alignment vertical="center"/>
    </xf>
    <xf numFmtId="41" fontId="27" fillId="0" borderId="0" xfId="2" applyFont="1" applyAlignment="1">
      <alignment vertical="center"/>
    </xf>
    <xf numFmtId="41" fontId="13" fillId="0" borderId="0" xfId="2" applyFont="1" applyFill="1" applyBorder="1" applyAlignment="1"/>
    <xf numFmtId="0" fontId="0" fillId="0" borderId="0" xfId="0" applyAlignment="1">
      <alignment vertical="center"/>
    </xf>
    <xf numFmtId="0" fontId="32" fillId="0" borderId="0" xfId="0" applyFont="1"/>
    <xf numFmtId="176" fontId="32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left" vertical="center"/>
    </xf>
    <xf numFmtId="177" fontId="25" fillId="5" borderId="0" xfId="0" applyNumberFormat="1" applyFont="1" applyFill="1" applyAlignment="1">
      <alignment horizontal="right" vertical="center"/>
    </xf>
    <xf numFmtId="177" fontId="13" fillId="0" borderId="0" xfId="0" applyNumberFormat="1" applyFont="1" applyAlignment="1">
      <alignment horizontal="right" vertical="center"/>
    </xf>
    <xf numFmtId="177" fontId="25" fillId="7" borderId="0" xfId="0" applyNumberFormat="1" applyFont="1" applyFill="1" applyAlignment="1">
      <alignment horizontal="right" vertical="center"/>
    </xf>
    <xf numFmtId="177" fontId="13" fillId="7" borderId="0" xfId="0" applyNumberFormat="1" applyFont="1" applyFill="1" applyAlignment="1">
      <alignment horizontal="right" vertical="center"/>
    </xf>
    <xf numFmtId="177" fontId="25" fillId="4" borderId="0" xfId="0" applyNumberFormat="1" applyFont="1" applyFill="1" applyAlignment="1">
      <alignment horizontal="right" vertical="center"/>
    </xf>
    <xf numFmtId="177" fontId="13" fillId="0" borderId="0" xfId="0" applyNumberFormat="1" applyFont="1" applyAlignment="1">
      <alignment vertical="center"/>
    </xf>
    <xf numFmtId="177" fontId="13" fillId="0" borderId="18" xfId="3" applyNumberFormat="1" applyFont="1" applyFill="1" applyBorder="1" applyAlignment="1">
      <alignment horizontal="right" vertical="center"/>
    </xf>
    <xf numFmtId="177" fontId="25" fillId="4" borderId="18" xfId="3" applyNumberFormat="1" applyFont="1" applyFill="1" applyBorder="1" applyAlignment="1">
      <alignment horizontal="right" vertical="center" wrapText="1"/>
    </xf>
    <xf numFmtId="177" fontId="25" fillId="5" borderId="18" xfId="3" applyNumberFormat="1" applyFont="1" applyFill="1" applyBorder="1" applyAlignment="1">
      <alignment horizontal="right" vertical="center"/>
    </xf>
    <xf numFmtId="177" fontId="26" fillId="7" borderId="18" xfId="3" applyNumberFormat="1" applyFont="1" applyFill="1" applyBorder="1" applyAlignment="1">
      <alignment horizontal="right" vertical="center"/>
    </xf>
    <xf numFmtId="177" fontId="13" fillId="0" borderId="18" xfId="3" quotePrefix="1" applyNumberFormat="1" applyFont="1" applyFill="1" applyBorder="1" applyAlignment="1">
      <alignment horizontal="right" vertical="center"/>
    </xf>
    <xf numFmtId="177" fontId="25" fillId="4" borderId="18" xfId="3" applyNumberFormat="1" applyFont="1" applyFill="1" applyBorder="1" applyAlignment="1">
      <alignment horizontal="right" vertical="center"/>
    </xf>
    <xf numFmtId="9" fontId="25" fillId="5" borderId="18" xfId="3" applyFont="1" applyFill="1" applyBorder="1" applyAlignment="1">
      <alignment horizontal="right" vertical="center"/>
    </xf>
    <xf numFmtId="9" fontId="13" fillId="0" borderId="18" xfId="3" applyFont="1" applyFill="1" applyBorder="1" applyAlignment="1">
      <alignment horizontal="right" vertical="center"/>
    </xf>
    <xf numFmtId="9" fontId="26" fillId="7" borderId="18" xfId="3" applyFont="1" applyFill="1" applyBorder="1" applyAlignment="1">
      <alignment horizontal="right" vertical="center"/>
    </xf>
    <xf numFmtId="9" fontId="13" fillId="0" borderId="18" xfId="3" quotePrefix="1" applyFont="1" applyFill="1" applyBorder="1" applyAlignment="1">
      <alignment horizontal="right" vertical="center"/>
    </xf>
    <xf numFmtId="177" fontId="25" fillId="5" borderId="18" xfId="0" applyNumberFormat="1" applyFont="1" applyFill="1" applyBorder="1" applyAlignment="1">
      <alignment horizontal="right" vertical="center"/>
    </xf>
    <xf numFmtId="177" fontId="13" fillId="0" borderId="18" xfId="0" applyNumberFormat="1" applyFont="1" applyBorder="1" applyAlignment="1">
      <alignment horizontal="right" vertical="center"/>
    </xf>
    <xf numFmtId="177" fontId="25" fillId="7" borderId="18" xfId="0" applyNumberFormat="1" applyFont="1" applyFill="1" applyBorder="1" applyAlignment="1">
      <alignment horizontal="right" vertical="center"/>
    </xf>
    <xf numFmtId="177" fontId="13" fillId="7" borderId="18" xfId="0" applyNumberFormat="1" applyFont="1" applyFill="1" applyBorder="1" applyAlignment="1">
      <alignment horizontal="right" vertical="center"/>
    </xf>
    <xf numFmtId="177" fontId="25" fillId="4" borderId="18" xfId="0" applyNumberFormat="1" applyFont="1" applyFill="1" applyBorder="1" applyAlignment="1">
      <alignment horizontal="right" vertical="center"/>
    </xf>
    <xf numFmtId="9" fontId="25" fillId="5" borderId="18" xfId="0" applyNumberFormat="1" applyFont="1" applyFill="1" applyBorder="1" applyAlignment="1">
      <alignment horizontal="right" vertical="center"/>
    </xf>
    <xf numFmtId="9" fontId="13" fillId="0" borderId="18" xfId="0" applyNumberFormat="1" applyFont="1" applyBorder="1" applyAlignment="1">
      <alignment horizontal="right" vertical="center"/>
    </xf>
    <xf numFmtId="9" fontId="25" fillId="4" borderId="18" xfId="0" applyNumberFormat="1" applyFont="1" applyFill="1" applyBorder="1" applyAlignment="1">
      <alignment horizontal="right" vertical="center"/>
    </xf>
    <xf numFmtId="176" fontId="13" fillId="0" borderId="18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6" fontId="7" fillId="0" borderId="19" xfId="0" applyNumberFormat="1" applyFont="1" applyBorder="1" applyAlignment="1">
      <alignment vertical="center"/>
    </xf>
    <xf numFmtId="176" fontId="7" fillId="0" borderId="19" xfId="0" applyNumberFormat="1" applyFont="1" applyBorder="1" applyAlignment="1">
      <alignment horizontal="right" vertical="center"/>
    </xf>
    <xf numFmtId="177" fontId="7" fillId="0" borderId="19" xfId="3" applyNumberFormat="1" applyFont="1" applyBorder="1" applyAlignment="1">
      <alignment horizontal="right" vertical="center"/>
    </xf>
    <xf numFmtId="176" fontId="21" fillId="4" borderId="20" xfId="0" applyNumberFormat="1" applyFont="1" applyFill="1" applyBorder="1" applyAlignment="1">
      <alignment horizontal="center" vertical="center"/>
    </xf>
    <xf numFmtId="176" fontId="21" fillId="5" borderId="20" xfId="0" applyNumberFormat="1" applyFont="1" applyFill="1" applyBorder="1" applyAlignment="1">
      <alignment vertical="center"/>
    </xf>
    <xf numFmtId="176" fontId="13" fillId="0" borderId="20" xfId="0" applyNumberFormat="1" applyFont="1" applyBorder="1" applyAlignment="1">
      <alignment horizontal="left" vertical="center" indent="1"/>
    </xf>
    <xf numFmtId="0" fontId="24" fillId="0" borderId="20" xfId="0" applyFont="1" applyBorder="1" applyAlignment="1">
      <alignment horizontal="left" vertical="center" indent="1"/>
    </xf>
    <xf numFmtId="176" fontId="21" fillId="4" borderId="20" xfId="0" applyNumberFormat="1" applyFont="1" applyFill="1" applyBorder="1" applyAlignment="1">
      <alignment vertical="center"/>
    </xf>
    <xf numFmtId="177" fontId="21" fillId="4" borderId="20" xfId="3" applyNumberFormat="1" applyFont="1" applyFill="1" applyBorder="1" applyAlignment="1">
      <alignment vertical="center"/>
    </xf>
    <xf numFmtId="0" fontId="13" fillId="0" borderId="20" xfId="0" quotePrefix="1" applyFont="1" applyBorder="1" applyAlignment="1">
      <alignment horizontal="left" vertical="center" indent="1"/>
    </xf>
    <xf numFmtId="0" fontId="13" fillId="0" borderId="20" xfId="0" applyFont="1" applyBorder="1" applyAlignment="1">
      <alignment horizontal="left" vertical="center" indent="1"/>
    </xf>
    <xf numFmtId="176" fontId="13" fillId="0" borderId="20" xfId="0" applyNumberFormat="1" applyFont="1" applyBorder="1" applyAlignment="1">
      <alignment vertical="center"/>
    </xf>
    <xf numFmtId="177" fontId="21" fillId="4" borderId="20" xfId="3" applyNumberFormat="1" applyFont="1" applyFill="1" applyBorder="1" applyAlignment="1">
      <alignment horizontal="right" vertical="center" wrapText="1"/>
    </xf>
    <xf numFmtId="177" fontId="21" fillId="5" borderId="20" xfId="3" applyNumberFormat="1" applyFont="1" applyFill="1" applyBorder="1" applyAlignment="1">
      <alignment horizontal="right" vertical="center"/>
    </xf>
    <xf numFmtId="177" fontId="23" fillId="0" borderId="20" xfId="3" applyNumberFormat="1" applyFont="1" applyFill="1" applyBorder="1" applyAlignment="1">
      <alignment horizontal="right" vertical="center"/>
    </xf>
    <xf numFmtId="177" fontId="24" fillId="0" borderId="20" xfId="3" applyNumberFormat="1" applyFont="1" applyFill="1" applyBorder="1" applyAlignment="1">
      <alignment horizontal="right" vertical="center"/>
    </xf>
    <xf numFmtId="177" fontId="21" fillId="4" borderId="20" xfId="3" applyNumberFormat="1" applyFont="1" applyFill="1" applyBorder="1" applyAlignment="1">
      <alignment horizontal="right" vertical="center"/>
    </xf>
    <xf numFmtId="9" fontId="23" fillId="0" borderId="0" xfId="3" applyFont="1" applyAlignment="1">
      <alignment horizontal="right" vertical="center"/>
    </xf>
    <xf numFmtId="41" fontId="27" fillId="0" borderId="0" xfId="2" applyFont="1" applyAlignment="1">
      <alignment horizontal="right" vertical="center"/>
    </xf>
    <xf numFmtId="176" fontId="25" fillId="0" borderId="0" xfId="0" applyNumberFormat="1" applyFont="1" applyAlignment="1">
      <alignment horizontal="right" vertical="center"/>
    </xf>
    <xf numFmtId="176" fontId="13" fillId="0" borderId="0" xfId="0" quotePrefix="1" applyNumberFormat="1" applyFont="1" applyAlignment="1">
      <alignment horizontal="left" vertical="center" indent="2"/>
    </xf>
    <xf numFmtId="176" fontId="13" fillId="0" borderId="0" xfId="0" applyNumberFormat="1" applyFont="1" applyAlignment="1">
      <alignment horizontal="left" vertical="center" indent="2"/>
    </xf>
    <xf numFmtId="177" fontId="25" fillId="0" borderId="18" xfId="0" applyNumberFormat="1" applyFont="1" applyBorder="1" applyAlignment="1">
      <alignment horizontal="right" vertical="center"/>
    </xf>
    <xf numFmtId="9" fontId="25" fillId="0" borderId="18" xfId="0" applyNumberFormat="1" applyFont="1" applyBorder="1" applyAlignment="1">
      <alignment horizontal="right" vertical="center"/>
    </xf>
    <xf numFmtId="177" fontId="25" fillId="0" borderId="0" xfId="0" applyNumberFormat="1" applyFont="1" applyAlignment="1">
      <alignment horizontal="right" vertical="center"/>
    </xf>
    <xf numFmtId="176" fontId="25" fillId="0" borderId="18" xfId="0" applyNumberFormat="1" applyFont="1" applyBorder="1" applyAlignment="1">
      <alignment horizontal="right" vertical="center"/>
    </xf>
    <xf numFmtId="176" fontId="13" fillId="0" borderId="20" xfId="0" applyNumberFormat="1" applyFont="1" applyBorder="1" applyAlignment="1">
      <alignment horizontal="left" vertical="center" indent="2"/>
    </xf>
    <xf numFmtId="177" fontId="13" fillId="0" borderId="20" xfId="3" applyNumberFormat="1" applyFont="1" applyFill="1" applyBorder="1" applyAlignment="1">
      <alignment horizontal="left" vertical="center" indent="1"/>
    </xf>
    <xf numFmtId="0" fontId="27" fillId="0" borderId="20" xfId="0" applyFont="1" applyBorder="1" applyAlignment="1">
      <alignment horizontal="left" vertical="center" indent="1"/>
    </xf>
    <xf numFmtId="176" fontId="7" fillId="0" borderId="0" xfId="0" applyNumberFormat="1" applyFont="1" applyAlignment="1">
      <alignment horizontal="right"/>
    </xf>
    <xf numFmtId="41" fontId="7" fillId="0" borderId="0" xfId="2" applyFont="1" applyBorder="1" applyAlignment="1">
      <alignment horizontal="right"/>
    </xf>
    <xf numFmtId="177" fontId="7" fillId="0" borderId="0" xfId="3" applyNumberFormat="1" applyFont="1" applyBorder="1" applyAlignment="1">
      <alignment horizontal="left"/>
    </xf>
    <xf numFmtId="177" fontId="7" fillId="0" borderId="0" xfId="3" applyNumberFormat="1" applyFont="1" applyAlignment="1">
      <alignment horizontal="right"/>
    </xf>
    <xf numFmtId="49" fontId="33" fillId="10" borderId="0" xfId="0" applyNumberFormat="1" applyFont="1" applyFill="1"/>
    <xf numFmtId="49" fontId="33" fillId="0" borderId="0" xfId="0" applyNumberFormat="1" applyFont="1"/>
    <xf numFmtId="49" fontId="33" fillId="11" borderId="0" xfId="0" applyNumberFormat="1" applyFont="1" applyFill="1"/>
    <xf numFmtId="49" fontId="33" fillId="10" borderId="10" xfId="0" applyNumberFormat="1" applyFont="1" applyFill="1" applyBorder="1"/>
    <xf numFmtId="0" fontId="34" fillId="0" borderId="0" xfId="0" applyFont="1"/>
    <xf numFmtId="0" fontId="35" fillId="0" borderId="0" xfId="4" applyFont="1" applyAlignment="1">
      <alignment vertical="center"/>
    </xf>
    <xf numFmtId="0" fontId="36" fillId="0" borderId="0" xfId="4" applyFont="1" applyAlignment="1">
      <alignment vertical="center"/>
    </xf>
    <xf numFmtId="180" fontId="37" fillId="0" borderId="0" xfId="4" applyNumberFormat="1" applyFont="1" applyAlignment="1">
      <alignment vertical="center"/>
    </xf>
    <xf numFmtId="0" fontId="34" fillId="0" borderId="0" xfId="0" applyFont="1" applyAlignment="1">
      <alignment horizontal="center"/>
    </xf>
    <xf numFmtId="49" fontId="38" fillId="0" borderId="0" xfId="0" applyNumberFormat="1" applyFont="1" applyAlignment="1">
      <alignment horizontal="center"/>
    </xf>
    <xf numFmtId="49" fontId="38" fillId="12" borderId="14" xfId="0" applyNumberFormat="1" applyFont="1" applyFill="1" applyBorder="1" applyAlignment="1">
      <alignment horizontal="center"/>
    </xf>
    <xf numFmtId="49" fontId="38" fillId="12" borderId="17" xfId="0" applyNumberFormat="1" applyFont="1" applyFill="1" applyBorder="1" applyAlignment="1">
      <alignment horizontal="center"/>
    </xf>
    <xf numFmtId="180" fontId="37" fillId="0" borderId="15" xfId="1" applyNumberFormat="1" applyFont="1" applyFill="1" applyBorder="1" applyAlignment="1">
      <alignment horizontal="center" vertical="center"/>
    </xf>
    <xf numFmtId="180" fontId="37" fillId="0" borderId="13" xfId="1" applyNumberFormat="1" applyFont="1" applyFill="1" applyBorder="1" applyAlignment="1">
      <alignment horizontal="center" vertical="center"/>
    </xf>
    <xf numFmtId="180" fontId="37" fillId="0" borderId="14" xfId="1" applyNumberFormat="1" applyFont="1" applyFill="1" applyBorder="1" applyAlignment="1">
      <alignment horizontal="center" vertical="center"/>
    </xf>
    <xf numFmtId="49" fontId="38" fillId="13" borderId="17" xfId="0" applyNumberFormat="1" applyFont="1" applyFill="1" applyBorder="1" applyAlignment="1">
      <alignment horizontal="center"/>
    </xf>
    <xf numFmtId="180" fontId="38" fillId="13" borderId="17" xfId="1" applyNumberFormat="1" applyFont="1" applyFill="1" applyBorder="1" applyAlignment="1">
      <alignment horizontal="center"/>
    </xf>
    <xf numFmtId="180" fontId="38" fillId="13" borderId="14" xfId="1" applyNumberFormat="1" applyFont="1" applyFill="1" applyBorder="1" applyAlignment="1">
      <alignment horizontal="center"/>
    </xf>
    <xf numFmtId="49" fontId="38" fillId="14" borderId="13" xfId="0" applyNumberFormat="1" applyFont="1" applyFill="1" applyBorder="1"/>
    <xf numFmtId="180" fontId="38" fillId="10" borderId="13" xfId="1" applyNumberFormat="1" applyFont="1" applyFill="1" applyBorder="1" applyAlignment="1"/>
    <xf numFmtId="180" fontId="38" fillId="8" borderId="13" xfId="1" applyNumberFormat="1" applyFont="1" applyFill="1" applyBorder="1" applyAlignment="1"/>
    <xf numFmtId="180" fontId="38" fillId="8" borderId="14" xfId="1" applyNumberFormat="1" applyFont="1" applyFill="1" applyBorder="1" applyAlignment="1"/>
    <xf numFmtId="180" fontId="38" fillId="8" borderId="15" xfId="1" applyNumberFormat="1" applyFont="1" applyFill="1" applyBorder="1" applyAlignment="1"/>
    <xf numFmtId="0" fontId="40" fillId="0" borderId="0" xfId="0" applyFont="1"/>
    <xf numFmtId="49" fontId="38" fillId="0" borderId="0" xfId="0" applyNumberFormat="1" applyFont="1"/>
    <xf numFmtId="49" fontId="38" fillId="0" borderId="10" xfId="0" applyNumberFormat="1" applyFont="1" applyBorder="1"/>
    <xf numFmtId="180" fontId="38" fillId="0" borderId="10" xfId="1" applyNumberFormat="1" applyFont="1" applyFill="1" applyBorder="1" applyAlignment="1"/>
    <xf numFmtId="180" fontId="38" fillId="0" borderId="14" xfId="1" applyNumberFormat="1" applyFont="1" applyFill="1" applyBorder="1" applyAlignment="1"/>
    <xf numFmtId="180" fontId="38" fillId="0" borderId="21" xfId="1" applyNumberFormat="1" applyFont="1" applyFill="1" applyBorder="1" applyAlignment="1"/>
    <xf numFmtId="180" fontId="38" fillId="0" borderId="11" xfId="1" applyNumberFormat="1" applyFont="1" applyFill="1" applyBorder="1" applyAlignment="1"/>
    <xf numFmtId="49" fontId="33" fillId="14" borderId="0" xfId="0" applyNumberFormat="1" applyFont="1" applyFill="1"/>
    <xf numFmtId="180" fontId="33" fillId="14" borderId="0" xfId="1" applyNumberFormat="1" applyFont="1" applyFill="1" applyBorder="1" applyAlignment="1"/>
    <xf numFmtId="180" fontId="33" fillId="14" borderId="9" xfId="1" applyNumberFormat="1" applyFont="1" applyFill="1" applyBorder="1" applyAlignment="1"/>
    <xf numFmtId="180" fontId="33" fillId="8" borderId="0" xfId="1" applyNumberFormat="1" applyFont="1" applyFill="1" applyBorder="1" applyAlignment="1"/>
    <xf numFmtId="180" fontId="33" fillId="8" borderId="12" xfId="1" applyNumberFormat="1" applyFont="1" applyFill="1" applyBorder="1" applyAlignment="1"/>
    <xf numFmtId="180" fontId="33" fillId="8" borderId="9" xfId="1" applyNumberFormat="1" applyFont="1" applyFill="1" applyBorder="1" applyAlignment="1"/>
    <xf numFmtId="180" fontId="33" fillId="0" borderId="0" xfId="1" applyNumberFormat="1" applyFont="1" applyFill="1" applyBorder="1" applyAlignment="1"/>
    <xf numFmtId="180" fontId="38" fillId="0" borderId="9" xfId="1" applyNumberFormat="1" applyFont="1" applyFill="1" applyBorder="1" applyAlignment="1"/>
    <xf numFmtId="180" fontId="33" fillId="0" borderId="12" xfId="1" applyNumberFormat="1" applyFont="1" applyFill="1" applyBorder="1" applyAlignment="1"/>
    <xf numFmtId="180" fontId="33" fillId="0" borderId="9" xfId="1" applyNumberFormat="1" applyFont="1" applyFill="1" applyBorder="1" applyAlignment="1"/>
    <xf numFmtId="180" fontId="38" fillId="14" borderId="9" xfId="1" applyNumberFormat="1" applyFont="1" applyFill="1" applyBorder="1" applyAlignment="1"/>
    <xf numFmtId="180" fontId="33" fillId="0" borderId="10" xfId="1" applyNumberFormat="1" applyFont="1" applyFill="1" applyBorder="1" applyAlignment="1"/>
    <xf numFmtId="180" fontId="38" fillId="0" borderId="10" xfId="1" applyNumberFormat="1" applyFont="1" applyBorder="1" applyAlignment="1"/>
    <xf numFmtId="180" fontId="38" fillId="0" borderId="11" xfId="1" applyNumberFormat="1" applyFont="1" applyBorder="1" applyAlignment="1"/>
    <xf numFmtId="180" fontId="38" fillId="0" borderId="21" xfId="1" applyNumberFormat="1" applyFont="1" applyBorder="1" applyAlignment="1"/>
    <xf numFmtId="180" fontId="33" fillId="0" borderId="22" xfId="1" applyNumberFormat="1" applyFont="1" applyFill="1" applyBorder="1" applyAlignment="1"/>
    <xf numFmtId="180" fontId="33" fillId="0" borderId="16" xfId="1" applyNumberFormat="1" applyFont="1" applyFill="1" applyBorder="1" applyAlignment="1"/>
    <xf numFmtId="180" fontId="33" fillId="0" borderId="12" xfId="1" applyNumberFormat="1" applyFont="1" applyBorder="1" applyAlignment="1"/>
    <xf numFmtId="180" fontId="33" fillId="0" borderId="0" xfId="1" applyNumberFormat="1" applyFont="1" applyBorder="1" applyAlignment="1"/>
    <xf numFmtId="180" fontId="33" fillId="0" borderId="9" xfId="1" applyNumberFormat="1" applyFont="1" applyBorder="1" applyAlignment="1"/>
    <xf numFmtId="180" fontId="38" fillId="0" borderId="12" xfId="1" applyNumberFormat="1" applyFont="1" applyFill="1" applyBorder="1" applyAlignment="1"/>
    <xf numFmtId="180" fontId="38" fillId="0" borderId="0" xfId="1" applyNumberFormat="1" applyFont="1" applyFill="1" applyBorder="1" applyAlignment="1"/>
    <xf numFmtId="49" fontId="38" fillId="14" borderId="16" xfId="0" applyNumberFormat="1" applyFont="1" applyFill="1" applyBorder="1"/>
    <xf numFmtId="49" fontId="38" fillId="10" borderId="16" xfId="0" applyNumberFormat="1" applyFont="1" applyFill="1" applyBorder="1"/>
    <xf numFmtId="180" fontId="38" fillId="8" borderId="22" xfId="1" applyNumberFormat="1" applyFont="1" applyFill="1" applyBorder="1" applyAlignment="1"/>
    <xf numFmtId="180" fontId="38" fillId="8" borderId="16" xfId="1" applyNumberFormat="1" applyFont="1" applyFill="1" applyBorder="1" applyAlignment="1"/>
    <xf numFmtId="180" fontId="38" fillId="8" borderId="23" xfId="1" applyNumberFormat="1" applyFont="1" applyFill="1" applyBorder="1" applyAlignment="1"/>
    <xf numFmtId="43" fontId="38" fillId="8" borderId="16" xfId="1" applyFont="1" applyFill="1" applyBorder="1" applyAlignment="1"/>
    <xf numFmtId="9" fontId="42" fillId="0" borderId="0" xfId="3" applyFont="1" applyAlignment="1">
      <alignment horizontal="right"/>
    </xf>
    <xf numFmtId="9" fontId="43" fillId="12" borderId="0" xfId="3" applyFont="1" applyFill="1" applyAlignment="1">
      <alignment horizontal="right"/>
    </xf>
    <xf numFmtId="9" fontId="42" fillId="12" borderId="0" xfId="3" applyFont="1" applyFill="1" applyAlignment="1">
      <alignment horizontal="right"/>
    </xf>
    <xf numFmtId="9" fontId="43" fillId="15" borderId="0" xfId="3" applyFont="1" applyFill="1" applyBorder="1" applyAlignment="1">
      <alignment horizontal="right"/>
    </xf>
    <xf numFmtId="9" fontId="43" fillId="15" borderId="9" xfId="3" applyFont="1" applyFill="1" applyBorder="1" applyAlignment="1">
      <alignment horizontal="right"/>
    </xf>
    <xf numFmtId="9" fontId="43" fillId="15" borderId="12" xfId="3" applyFont="1" applyFill="1" applyBorder="1" applyAlignment="1">
      <alignment horizontal="right"/>
    </xf>
    <xf numFmtId="49" fontId="38" fillId="16" borderId="10" xfId="0" applyNumberFormat="1" applyFont="1" applyFill="1" applyBorder="1"/>
    <xf numFmtId="49" fontId="38" fillId="17" borderId="10" xfId="0" applyNumberFormat="1" applyFont="1" applyFill="1" applyBorder="1"/>
    <xf numFmtId="180" fontId="38" fillId="17" borderId="10" xfId="1" applyNumberFormat="1" applyFont="1" applyFill="1" applyBorder="1" applyAlignment="1"/>
    <xf numFmtId="180" fontId="38" fillId="17" borderId="11" xfId="1" applyNumberFormat="1" applyFont="1" applyFill="1" applyBorder="1" applyAlignment="1"/>
    <xf numFmtId="180" fontId="38" fillId="18" borderId="10" xfId="1" applyNumberFormat="1" applyFont="1" applyFill="1" applyBorder="1" applyAlignment="1"/>
    <xf numFmtId="180" fontId="38" fillId="18" borderId="21" xfId="1" applyNumberFormat="1" applyFont="1" applyFill="1" applyBorder="1" applyAlignment="1"/>
    <xf numFmtId="180" fontId="38" fillId="18" borderId="11" xfId="1" applyNumberFormat="1" applyFont="1" applyFill="1" applyBorder="1" applyAlignment="1"/>
    <xf numFmtId="180" fontId="33" fillId="0" borderId="23" xfId="1" applyNumberFormat="1" applyFont="1" applyFill="1" applyBorder="1" applyAlignment="1"/>
    <xf numFmtId="43" fontId="33" fillId="0" borderId="12" xfId="1" applyFont="1" applyFill="1" applyBorder="1" applyAlignment="1"/>
    <xf numFmtId="180" fontId="33" fillId="0" borderId="0" xfId="1" applyNumberFormat="1" applyFont="1" applyFill="1" applyBorder="1" applyAlignment="1">
      <alignment horizontal="right"/>
    </xf>
    <xf numFmtId="49" fontId="38" fillId="17" borderId="0" xfId="0" applyNumberFormat="1" applyFont="1" applyFill="1"/>
    <xf numFmtId="180" fontId="38" fillId="18" borderId="9" xfId="1" applyNumberFormat="1" applyFont="1" applyFill="1" applyBorder="1" applyAlignment="1"/>
    <xf numFmtId="180" fontId="33" fillId="18" borderId="12" xfId="1" applyNumberFormat="1" applyFont="1" applyFill="1" applyBorder="1" applyAlignment="1"/>
    <xf numFmtId="180" fontId="33" fillId="18" borderId="0" xfId="1" applyNumberFormat="1" applyFont="1" applyFill="1" applyBorder="1" applyAlignment="1"/>
    <xf numFmtId="180" fontId="33" fillId="18" borderId="0" xfId="1" applyNumberFormat="1" applyFont="1" applyFill="1" applyBorder="1" applyAlignment="1">
      <alignment horizontal="right"/>
    </xf>
    <xf numFmtId="180" fontId="38" fillId="19" borderId="0" xfId="1" applyNumberFormat="1" applyFont="1" applyFill="1" applyBorder="1" applyAlignment="1"/>
    <xf numFmtId="180" fontId="38" fillId="18" borderId="0" xfId="1" applyNumberFormat="1" applyFont="1" applyFill="1" applyBorder="1" applyAlignment="1"/>
    <xf numFmtId="180" fontId="33" fillId="19" borderId="0" xfId="1" applyNumberFormat="1" applyFont="1" applyFill="1" applyBorder="1" applyAlignment="1"/>
    <xf numFmtId="49" fontId="38" fillId="17" borderId="16" xfId="0" applyNumberFormat="1" applyFont="1" applyFill="1" applyBorder="1"/>
    <xf numFmtId="0" fontId="40" fillId="17" borderId="16" xfId="0" applyFont="1" applyFill="1" applyBorder="1"/>
    <xf numFmtId="180" fontId="38" fillId="18" borderId="16" xfId="1" applyNumberFormat="1" applyFont="1" applyFill="1" applyBorder="1" applyAlignment="1"/>
    <xf numFmtId="180" fontId="38" fillId="18" borderId="22" xfId="1" applyNumberFormat="1" applyFont="1" applyFill="1" applyBorder="1" applyAlignment="1"/>
    <xf numFmtId="180" fontId="38" fillId="18" borderId="23" xfId="1" applyNumberFormat="1" applyFont="1" applyFill="1" applyBorder="1" applyAlignment="1">
      <alignment horizontal="right"/>
    </xf>
    <xf numFmtId="180" fontId="38" fillId="18" borderId="23" xfId="1" applyNumberFormat="1" applyFont="1" applyFill="1" applyBorder="1" applyAlignment="1"/>
    <xf numFmtId="0" fontId="42" fillId="0" borderId="0" xfId="0" applyFont="1"/>
    <xf numFmtId="49" fontId="43" fillId="0" borderId="0" xfId="0" applyNumberFormat="1" applyFont="1"/>
    <xf numFmtId="49" fontId="43" fillId="12" borderId="0" xfId="0" applyNumberFormat="1" applyFont="1" applyFill="1"/>
    <xf numFmtId="0" fontId="42" fillId="12" borderId="0" xfId="0" applyFont="1" applyFill="1"/>
    <xf numFmtId="9" fontId="43" fillId="12" borderId="0" xfId="3" applyFont="1" applyFill="1" applyBorder="1" applyAlignment="1"/>
    <xf numFmtId="9" fontId="43" fillId="15" borderId="0" xfId="3" applyFont="1" applyFill="1" applyBorder="1" applyAlignment="1"/>
    <xf numFmtId="9" fontId="43" fillId="15" borderId="12" xfId="3" applyFont="1" applyFill="1" applyBorder="1" applyAlignment="1"/>
    <xf numFmtId="9" fontId="43" fillId="15" borderId="9" xfId="3" applyFont="1" applyFill="1" applyBorder="1" applyAlignment="1"/>
    <xf numFmtId="0" fontId="44" fillId="0" borderId="0" xfId="0" applyFont="1"/>
    <xf numFmtId="49" fontId="44" fillId="0" borderId="0" xfId="0" applyNumberFormat="1" applyFont="1"/>
    <xf numFmtId="180" fontId="44" fillId="0" borderId="12" xfId="1" applyNumberFormat="1" applyFont="1" applyFill="1" applyBorder="1" applyAlignment="1"/>
    <xf numFmtId="180" fontId="44" fillId="0" borderId="0" xfId="1" applyNumberFormat="1" applyFont="1" applyFill="1" applyBorder="1" applyAlignment="1"/>
    <xf numFmtId="180" fontId="44" fillId="0" borderId="9" xfId="1" applyNumberFormat="1" applyFont="1" applyFill="1" applyBorder="1" applyAlignment="1">
      <alignment horizontal="right"/>
    </xf>
    <xf numFmtId="180" fontId="44" fillId="0" borderId="9" xfId="1" applyNumberFormat="1" applyFont="1" applyFill="1" applyBorder="1" applyAlignment="1"/>
    <xf numFmtId="180" fontId="38" fillId="0" borderId="9" xfId="1" applyNumberFormat="1" applyFont="1" applyFill="1" applyBorder="1" applyAlignment="1">
      <alignment horizontal="right"/>
    </xf>
    <xf numFmtId="180" fontId="38" fillId="0" borderId="0" xfId="1" applyNumberFormat="1" applyFont="1" applyBorder="1" applyAlignment="1"/>
    <xf numFmtId="180" fontId="38" fillId="0" borderId="9" xfId="1" applyNumberFormat="1" applyFont="1" applyBorder="1" applyAlignment="1"/>
    <xf numFmtId="180" fontId="38" fillId="0" borderId="12" xfId="1" applyNumberFormat="1" applyFont="1" applyBorder="1" applyAlignment="1"/>
    <xf numFmtId="180" fontId="33" fillId="0" borderId="9" xfId="1" applyNumberFormat="1" applyFont="1" applyFill="1" applyBorder="1" applyAlignment="1">
      <alignment horizontal="right"/>
    </xf>
    <xf numFmtId="180" fontId="37" fillId="0" borderId="0" xfId="1" applyNumberFormat="1" applyFont="1" applyFill="1" applyBorder="1" applyAlignment="1"/>
    <xf numFmtId="180" fontId="44" fillId="19" borderId="0" xfId="1" applyNumberFormat="1" applyFont="1" applyFill="1" applyBorder="1" applyAlignment="1"/>
    <xf numFmtId="180" fontId="44" fillId="0" borderId="0" xfId="1" applyNumberFormat="1" applyFont="1" applyBorder="1" applyAlignment="1"/>
    <xf numFmtId="180" fontId="44" fillId="0" borderId="9" xfId="1" applyNumberFormat="1" applyFont="1" applyBorder="1" applyAlignment="1"/>
    <xf numFmtId="0" fontId="40" fillId="17" borderId="10" xfId="0" applyFont="1" applyFill="1" applyBorder="1"/>
    <xf numFmtId="180" fontId="38" fillId="18" borderId="11" xfId="1" applyNumberFormat="1" applyFont="1" applyFill="1" applyBorder="1" applyAlignment="1">
      <alignment horizontal="right"/>
    </xf>
    <xf numFmtId="180" fontId="44" fillId="0" borderId="22" xfId="1" applyNumberFormat="1" applyFont="1" applyFill="1" applyBorder="1" applyAlignment="1"/>
    <xf numFmtId="180" fontId="44" fillId="0" borderId="16" xfId="1" applyNumberFormat="1" applyFont="1" applyFill="1" applyBorder="1" applyAlignment="1"/>
    <xf numFmtId="180" fontId="44" fillId="0" borderId="23" xfId="1" applyNumberFormat="1" applyFont="1" applyFill="1" applyBorder="1" applyAlignment="1">
      <alignment horizontal="right"/>
    </xf>
    <xf numFmtId="180" fontId="44" fillId="0" borderId="23" xfId="1" applyNumberFormat="1" applyFont="1" applyFill="1" applyBorder="1" applyAlignment="1"/>
    <xf numFmtId="180" fontId="44" fillId="0" borderId="0" xfId="1" applyNumberFormat="1" applyFont="1" applyFill="1" applyBorder="1" applyAlignment="1">
      <alignment horizontal="right"/>
    </xf>
    <xf numFmtId="180" fontId="38" fillId="18" borderId="10" xfId="1" applyNumberFormat="1" applyFont="1" applyFill="1" applyBorder="1" applyAlignment="1">
      <alignment horizontal="right"/>
    </xf>
    <xf numFmtId="49" fontId="38" fillId="20" borderId="10" xfId="0" applyNumberFormat="1" applyFont="1" applyFill="1" applyBorder="1"/>
    <xf numFmtId="0" fontId="40" fillId="20" borderId="10" xfId="0" applyFont="1" applyFill="1" applyBorder="1"/>
    <xf numFmtId="180" fontId="38" fillId="20" borderId="10" xfId="1" applyNumberFormat="1" applyFont="1" applyFill="1" applyBorder="1" applyAlignment="1"/>
    <xf numFmtId="180" fontId="38" fillId="21" borderId="10" xfId="1" applyNumberFormat="1" applyFont="1" applyFill="1" applyBorder="1" applyAlignment="1"/>
    <xf numFmtId="180" fontId="38" fillId="21" borderId="11" xfId="1" applyNumberFormat="1" applyFont="1" applyFill="1" applyBorder="1" applyAlignment="1"/>
    <xf numFmtId="180" fontId="38" fillId="21" borderId="10" xfId="1" applyNumberFormat="1" applyFont="1" applyFill="1" applyBorder="1" applyAlignment="1">
      <alignment horizontal="right"/>
    </xf>
    <xf numFmtId="180" fontId="38" fillId="21" borderId="21" xfId="1" applyNumberFormat="1" applyFont="1" applyFill="1" applyBorder="1" applyAlignment="1"/>
    <xf numFmtId="180" fontId="38" fillId="18" borderId="14" xfId="1" applyNumberFormat="1" applyFont="1" applyFill="1" applyBorder="1" applyAlignment="1"/>
    <xf numFmtId="9" fontId="42" fillId="0" borderId="0" xfId="3" applyFont="1" applyFill="1" applyBorder="1" applyAlignment="1"/>
    <xf numFmtId="9" fontId="43" fillId="0" borderId="0" xfId="3" applyFont="1" applyFill="1" applyBorder="1" applyAlignment="1"/>
    <xf numFmtId="9" fontId="43" fillId="12" borderId="16" xfId="3" applyFont="1" applyFill="1" applyBorder="1" applyAlignment="1"/>
    <xf numFmtId="9" fontId="43" fillId="12" borderId="16" xfId="3" applyFont="1" applyFill="1" applyBorder="1" applyAlignment="1">
      <alignment horizontal="right"/>
    </xf>
    <xf numFmtId="9" fontId="43" fillId="12" borderId="23" xfId="3" applyFont="1" applyFill="1" applyBorder="1" applyAlignment="1">
      <alignment horizontal="right"/>
    </xf>
    <xf numFmtId="9" fontId="43" fillId="12" borderId="22" xfId="3" applyFont="1" applyFill="1" applyBorder="1" applyAlignment="1"/>
    <xf numFmtId="9" fontId="43" fillId="12" borderId="23" xfId="3" applyFont="1" applyFill="1" applyBorder="1" applyAlignment="1"/>
    <xf numFmtId="180" fontId="33" fillId="0" borderId="9" xfId="1" applyNumberFormat="1" applyFont="1" applyBorder="1" applyAlignment="1">
      <alignment horizontal="right"/>
    </xf>
    <xf numFmtId="49" fontId="38" fillId="22" borderId="10" xfId="0" applyNumberFormat="1" applyFont="1" applyFill="1" applyBorder="1"/>
    <xf numFmtId="180" fontId="38" fillId="22" borderId="10" xfId="1" applyNumberFormat="1" applyFont="1" applyFill="1" applyBorder="1" applyAlignment="1"/>
    <xf numFmtId="180" fontId="38" fillId="23" borderId="21" xfId="1" applyNumberFormat="1" applyFont="1" applyFill="1" applyBorder="1" applyAlignment="1"/>
    <xf numFmtId="180" fontId="38" fillId="23" borderId="10" xfId="1" applyNumberFormat="1" applyFont="1" applyFill="1" applyBorder="1" applyAlignment="1"/>
    <xf numFmtId="180" fontId="38" fillId="23" borderId="11" xfId="1" applyNumberFormat="1" applyFont="1" applyFill="1" applyBorder="1" applyAlignment="1">
      <alignment horizontal="right"/>
    </xf>
    <xf numFmtId="180" fontId="38" fillId="23" borderId="11" xfId="1" applyNumberFormat="1" applyFont="1" applyFill="1" applyBorder="1" applyAlignment="1"/>
    <xf numFmtId="180" fontId="38" fillId="23" borderId="0" xfId="1" applyNumberFormat="1" applyFont="1" applyFill="1" applyBorder="1" applyAlignment="1"/>
    <xf numFmtId="180" fontId="33" fillId="0" borderId="16" xfId="1" applyNumberFormat="1" applyFont="1" applyBorder="1" applyAlignment="1"/>
    <xf numFmtId="180" fontId="33" fillId="0" borderId="23" xfId="1" applyNumberFormat="1" applyFont="1" applyBorder="1" applyAlignment="1"/>
    <xf numFmtId="180" fontId="33" fillId="0" borderId="22" xfId="1" applyNumberFormat="1" applyFont="1" applyBorder="1" applyAlignment="1"/>
    <xf numFmtId="49" fontId="38" fillId="22" borderId="0" xfId="0" applyNumberFormat="1" applyFont="1" applyFill="1"/>
    <xf numFmtId="180" fontId="38" fillId="23" borderId="12" xfId="1" applyNumberFormat="1" applyFont="1" applyFill="1" applyBorder="1" applyAlignment="1"/>
    <xf numFmtId="180" fontId="38" fillId="23" borderId="9" xfId="1" applyNumberFormat="1" applyFont="1" applyFill="1" applyBorder="1" applyAlignment="1"/>
    <xf numFmtId="49" fontId="33" fillId="0" borderId="16" xfId="0" applyNumberFormat="1" applyFont="1" applyBorder="1"/>
    <xf numFmtId="180" fontId="33" fillId="0" borderId="23" xfId="1" applyNumberFormat="1" applyFont="1" applyFill="1" applyBorder="1" applyAlignment="1">
      <alignment horizontal="right"/>
    </xf>
    <xf numFmtId="180" fontId="38" fillId="22" borderId="0" xfId="1" applyNumberFormat="1" applyFont="1" applyFill="1" applyBorder="1" applyAlignment="1"/>
    <xf numFmtId="180" fontId="33" fillId="22" borderId="10" xfId="1" applyNumberFormat="1" applyFont="1" applyFill="1" applyBorder="1" applyAlignment="1"/>
    <xf numFmtId="43" fontId="33" fillId="0" borderId="0" xfId="1" applyFont="1" applyFill="1" applyBorder="1" applyAlignment="1"/>
    <xf numFmtId="180" fontId="33" fillId="0" borderId="21" xfId="1" applyNumberFormat="1" applyFont="1" applyFill="1" applyBorder="1" applyAlignment="1"/>
    <xf numFmtId="180" fontId="33" fillId="0" borderId="11" xfId="1" applyNumberFormat="1" applyFont="1" applyFill="1" applyBorder="1" applyAlignment="1">
      <alignment horizontal="right"/>
    </xf>
    <xf numFmtId="180" fontId="38" fillId="14" borderId="16" xfId="1" applyNumberFormat="1" applyFont="1" applyFill="1" applyBorder="1" applyAlignment="1"/>
    <xf numFmtId="180" fontId="38" fillId="14" borderId="23" xfId="1" applyNumberFormat="1" applyFont="1" applyFill="1" applyBorder="1" applyAlignment="1"/>
    <xf numFmtId="180" fontId="38" fillId="8" borderId="16" xfId="1" applyNumberFormat="1" applyFont="1" applyFill="1" applyBorder="1" applyAlignment="1">
      <alignment horizontal="right"/>
    </xf>
    <xf numFmtId="9" fontId="34" fillId="0" borderId="0" xfId="3" applyFont="1" applyFill="1" applyBorder="1" applyAlignment="1"/>
    <xf numFmtId="9" fontId="33" fillId="12" borderId="10" xfId="3" applyFont="1" applyFill="1" applyBorder="1" applyAlignment="1"/>
    <xf numFmtId="9" fontId="33" fillId="12" borderId="11" xfId="3" applyFont="1" applyFill="1" applyBorder="1" applyAlignment="1"/>
    <xf numFmtId="9" fontId="33" fillId="15" borderId="10" xfId="3" applyFont="1" applyFill="1" applyBorder="1" applyAlignment="1">
      <alignment horizontal="right"/>
    </xf>
    <xf numFmtId="9" fontId="33" fillId="15" borderId="10" xfId="3" applyFont="1" applyFill="1" applyBorder="1" applyAlignment="1"/>
    <xf numFmtId="9" fontId="33" fillId="15" borderId="21" xfId="3" applyFont="1" applyFill="1" applyBorder="1" applyAlignment="1"/>
    <xf numFmtId="9" fontId="33" fillId="15" borderId="11" xfId="3" applyFont="1" applyFill="1" applyBorder="1" applyAlignment="1"/>
    <xf numFmtId="180" fontId="38" fillId="8" borderId="23" xfId="1" applyNumberFormat="1" applyFont="1" applyFill="1" applyBorder="1" applyAlignment="1">
      <alignment horizontal="right"/>
    </xf>
    <xf numFmtId="9" fontId="34" fillId="0" borderId="0" xfId="3" applyFont="1" applyAlignment="1"/>
    <xf numFmtId="9" fontId="33" fillId="12" borderId="0" xfId="3" applyFont="1" applyFill="1" applyBorder="1" applyAlignment="1"/>
    <xf numFmtId="9" fontId="33" fillId="12" borderId="9" xfId="3" applyFont="1" applyFill="1" applyBorder="1" applyAlignment="1"/>
    <xf numFmtId="9" fontId="33" fillId="15" borderId="0" xfId="3" applyFont="1" applyFill="1" applyBorder="1" applyAlignment="1">
      <alignment horizontal="right"/>
    </xf>
    <xf numFmtId="9" fontId="33" fillId="15" borderId="0" xfId="3" applyFont="1" applyFill="1" applyBorder="1" applyAlignment="1"/>
    <xf numFmtId="9" fontId="33" fillId="15" borderId="9" xfId="3" applyFont="1" applyFill="1" applyBorder="1" applyAlignment="1"/>
    <xf numFmtId="9" fontId="33" fillId="15" borderId="12" xfId="3" applyFont="1" applyFill="1" applyBorder="1" applyAlignment="1"/>
    <xf numFmtId="180" fontId="33" fillId="14" borderId="12" xfId="1" applyNumberFormat="1" applyFont="1" applyFill="1" applyBorder="1" applyAlignment="1"/>
    <xf numFmtId="180" fontId="33" fillId="14" borderId="9" xfId="1" applyNumberFormat="1" applyFont="1" applyFill="1" applyBorder="1" applyAlignment="1">
      <alignment horizontal="right"/>
    </xf>
    <xf numFmtId="180" fontId="33" fillId="8" borderId="9" xfId="1" applyNumberFormat="1" applyFont="1" applyFill="1" applyBorder="1" applyAlignment="1">
      <alignment horizontal="right"/>
    </xf>
    <xf numFmtId="2" fontId="33" fillId="0" borderId="0" xfId="1" applyNumberFormat="1" applyFont="1" applyFill="1" applyBorder="1" applyAlignment="1"/>
    <xf numFmtId="49" fontId="33" fillId="22" borderId="0" xfId="0" applyNumberFormat="1" applyFont="1" applyFill="1"/>
    <xf numFmtId="180" fontId="33" fillId="22" borderId="0" xfId="1" applyNumberFormat="1" applyFont="1" applyFill="1" applyBorder="1" applyAlignment="1"/>
    <xf numFmtId="180" fontId="33" fillId="22" borderId="9" xfId="1" applyNumberFormat="1" applyFont="1" applyFill="1" applyBorder="1" applyAlignment="1"/>
    <xf numFmtId="180" fontId="33" fillId="22" borderId="12" xfId="1" applyNumberFormat="1" applyFont="1" applyFill="1" applyBorder="1" applyAlignment="1"/>
    <xf numFmtId="180" fontId="33" fillId="22" borderId="9" xfId="1" applyNumberFormat="1" applyFont="1" applyFill="1" applyBorder="1" applyAlignment="1">
      <alignment horizontal="right"/>
    </xf>
    <xf numFmtId="180" fontId="33" fillId="23" borderId="0" xfId="1" applyNumberFormat="1" applyFont="1" applyFill="1" applyBorder="1" applyAlignment="1"/>
    <xf numFmtId="180" fontId="33" fillId="23" borderId="9" xfId="1" applyNumberFormat="1" applyFont="1" applyFill="1" applyBorder="1" applyAlignment="1"/>
    <xf numFmtId="180" fontId="33" fillId="23" borderId="12" xfId="1" applyNumberFormat="1" applyFont="1" applyFill="1" applyBorder="1" applyAlignment="1"/>
    <xf numFmtId="0" fontId="38" fillId="8" borderId="0" xfId="0" applyFont="1" applyFill="1"/>
    <xf numFmtId="180" fontId="33" fillId="8" borderId="0" xfId="1" applyNumberFormat="1" applyFont="1" applyFill="1" applyAlignment="1"/>
    <xf numFmtId="49" fontId="33" fillId="14" borderId="10" xfId="0" applyNumberFormat="1" applyFont="1" applyFill="1" applyBorder="1"/>
    <xf numFmtId="180" fontId="33" fillId="14" borderId="21" xfId="1" applyNumberFormat="1" applyFont="1" applyFill="1" applyBorder="1" applyAlignment="1"/>
    <xf numFmtId="180" fontId="33" fillId="14" borderId="10" xfId="1" applyNumberFormat="1" applyFont="1" applyFill="1" applyBorder="1" applyAlignment="1"/>
    <xf numFmtId="180" fontId="33" fillId="14" borderId="11" xfId="1" applyNumberFormat="1" applyFont="1" applyFill="1" applyBorder="1" applyAlignment="1">
      <alignment horizontal="right"/>
    </xf>
    <xf numFmtId="49" fontId="38" fillId="0" borderId="16" xfId="0" applyNumberFormat="1" applyFont="1" applyBorder="1"/>
    <xf numFmtId="180" fontId="38" fillId="0" borderId="16" xfId="1" applyNumberFormat="1" applyFont="1" applyFill="1" applyBorder="1" applyAlignment="1"/>
    <xf numFmtId="180" fontId="38" fillId="0" borderId="23" xfId="1" applyNumberFormat="1" applyFont="1" applyFill="1" applyBorder="1" applyAlignment="1"/>
    <xf numFmtId="180" fontId="38" fillId="0" borderId="16" xfId="1" applyNumberFormat="1" applyFont="1" applyFill="1" applyBorder="1" applyAlignment="1">
      <alignment horizontal="right"/>
    </xf>
    <xf numFmtId="180" fontId="38" fillId="0" borderId="22" xfId="1" applyNumberFormat="1" applyFont="1" applyFill="1" applyBorder="1" applyAlignment="1"/>
    <xf numFmtId="9" fontId="43" fillId="12" borderId="10" xfId="3" applyFont="1" applyFill="1" applyBorder="1" applyAlignment="1"/>
    <xf numFmtId="9" fontId="43" fillId="15" borderId="10" xfId="3" applyFont="1" applyFill="1" applyBorder="1" applyAlignment="1"/>
    <xf numFmtId="9" fontId="43" fillId="15" borderId="11" xfId="3" applyFont="1" applyFill="1" applyBorder="1" applyAlignment="1"/>
    <xf numFmtId="9" fontId="43" fillId="15" borderId="10" xfId="3" applyFont="1" applyFill="1" applyBorder="1" applyAlignment="1">
      <alignment horizontal="right"/>
    </xf>
    <xf numFmtId="9" fontId="43" fillId="15" borderId="21" xfId="3" applyFont="1" applyFill="1" applyBorder="1" applyAlignment="1"/>
    <xf numFmtId="0" fontId="40" fillId="14" borderId="13" xfId="0" applyFont="1" applyFill="1" applyBorder="1"/>
    <xf numFmtId="180" fontId="38" fillId="14" borderId="13" xfId="1" applyNumberFormat="1" applyFont="1" applyFill="1" applyBorder="1" applyAlignment="1"/>
    <xf numFmtId="180" fontId="38" fillId="14" borderId="14" xfId="1" applyNumberFormat="1" applyFont="1" applyFill="1" applyBorder="1" applyAlignment="1"/>
    <xf numFmtId="180" fontId="38" fillId="8" borderId="13" xfId="1" applyNumberFormat="1" applyFont="1" applyFill="1" applyBorder="1" applyAlignment="1">
      <alignment horizontal="right"/>
    </xf>
    <xf numFmtId="49" fontId="33" fillId="0" borderId="10" xfId="0" applyNumberFormat="1" applyFont="1" applyBorder="1"/>
    <xf numFmtId="180" fontId="33" fillId="0" borderId="15" xfId="1" applyNumberFormat="1" applyFont="1" applyFill="1" applyBorder="1" applyAlignment="1"/>
    <xf numFmtId="180" fontId="33" fillId="0" borderId="13" xfId="1" applyNumberFormat="1" applyFont="1" applyFill="1" applyBorder="1" applyAlignment="1"/>
    <xf numFmtId="180" fontId="33" fillId="0" borderId="14" xfId="1" applyNumberFormat="1" applyFont="1" applyFill="1" applyBorder="1" applyAlignment="1">
      <alignment horizontal="right"/>
    </xf>
    <xf numFmtId="180" fontId="33" fillId="0" borderId="21" xfId="1" applyNumberFormat="1" applyFont="1" applyBorder="1" applyAlignment="1"/>
    <xf numFmtId="180" fontId="33" fillId="0" borderId="10" xfId="1" applyNumberFormat="1" applyFont="1" applyBorder="1" applyAlignment="1"/>
    <xf numFmtId="180" fontId="33" fillId="0" borderId="11" xfId="1" applyNumberFormat="1" applyFont="1" applyBorder="1" applyAlignment="1"/>
    <xf numFmtId="0" fontId="34" fillId="0" borderId="10" xfId="0" applyFont="1" applyBorder="1"/>
    <xf numFmtId="180" fontId="33" fillId="0" borderId="11" xfId="1" applyNumberFormat="1" applyFont="1" applyFill="1" applyBorder="1" applyAlignment="1"/>
    <xf numFmtId="180" fontId="33" fillId="14" borderId="14" xfId="1" applyNumberFormat="1" applyFont="1" applyFill="1" applyBorder="1" applyAlignment="1"/>
    <xf numFmtId="180" fontId="40" fillId="0" borderId="0" xfId="1" applyNumberFormat="1" applyFont="1" applyAlignment="1"/>
    <xf numFmtId="180" fontId="38" fillId="20" borderId="0" xfId="1" applyNumberFormat="1" applyFont="1" applyFill="1" applyAlignment="1"/>
    <xf numFmtId="180" fontId="38" fillId="20" borderId="13" xfId="1" applyNumberFormat="1" applyFont="1" applyFill="1" applyBorder="1" applyAlignment="1"/>
    <xf numFmtId="180" fontId="38" fillId="20" borderId="13" xfId="1" applyNumberFormat="1" applyFont="1" applyFill="1" applyBorder="1" applyAlignment="1">
      <alignment horizontal="right"/>
    </xf>
    <xf numFmtId="180" fontId="38" fillId="21" borderId="13" xfId="1" applyNumberFormat="1" applyFont="1" applyFill="1" applyBorder="1" applyAlignment="1"/>
    <xf numFmtId="180" fontId="38" fillId="21" borderId="14" xfId="1" applyNumberFormat="1" applyFont="1" applyFill="1" applyBorder="1" applyAlignment="1"/>
    <xf numFmtId="180" fontId="38" fillId="21" borderId="15" xfId="1" applyNumberFormat="1" applyFont="1" applyFill="1" applyBorder="1" applyAlignment="1"/>
    <xf numFmtId="9" fontId="43" fillId="12" borderId="13" xfId="3" applyFont="1" applyFill="1" applyBorder="1" applyAlignment="1"/>
    <xf numFmtId="9" fontId="43" fillId="12" borderId="14" xfId="3" applyFont="1" applyFill="1" applyBorder="1" applyAlignment="1"/>
    <xf numFmtId="9" fontId="43" fillId="12" borderId="13" xfId="3" applyFont="1" applyFill="1" applyBorder="1" applyAlignment="1">
      <alignment horizontal="right"/>
    </xf>
    <xf numFmtId="9" fontId="43" fillId="15" borderId="13" xfId="3" applyFont="1" applyFill="1" applyBorder="1" applyAlignment="1"/>
    <xf numFmtId="9" fontId="43" fillId="15" borderId="14" xfId="3" applyFont="1" applyFill="1" applyBorder="1" applyAlignment="1"/>
    <xf numFmtId="176" fontId="45" fillId="0" borderId="0" xfId="0" applyNumberFormat="1" applyFont="1" applyAlignment="1">
      <alignment horizontal="right" vertical="center"/>
    </xf>
    <xf numFmtId="176" fontId="46" fillId="0" borderId="0" xfId="0" applyNumberFormat="1" applyFont="1" applyAlignment="1">
      <alignment horizontal="right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right" vertical="center"/>
    </xf>
    <xf numFmtId="0" fontId="50" fillId="9" borderId="28" xfId="0" applyFont="1" applyFill="1" applyBorder="1" applyAlignment="1">
      <alignment horizontal="right" vertical="center" wrapText="1" readingOrder="1"/>
    </xf>
    <xf numFmtId="0" fontId="50" fillId="9" borderId="29" xfId="0" applyFont="1" applyFill="1" applyBorder="1" applyAlignment="1">
      <alignment horizontal="right" vertical="center" wrapText="1" readingOrder="1"/>
    </xf>
    <xf numFmtId="0" fontId="50" fillId="9" borderId="30" xfId="0" applyFont="1" applyFill="1" applyBorder="1" applyAlignment="1">
      <alignment horizontal="right" vertical="center" wrapText="1" readingOrder="1"/>
    </xf>
    <xf numFmtId="0" fontId="50" fillId="2" borderId="31" xfId="0" applyFont="1" applyFill="1" applyBorder="1" applyAlignment="1">
      <alignment horizontal="right" vertical="center" wrapText="1" readingOrder="1"/>
    </xf>
    <xf numFmtId="0" fontId="50" fillId="2" borderId="28" xfId="0" applyFont="1" applyFill="1" applyBorder="1" applyAlignment="1">
      <alignment horizontal="right" vertical="center" wrapText="1" readingOrder="1"/>
    </xf>
    <xf numFmtId="0" fontId="52" fillId="2" borderId="28" xfId="0" applyFont="1" applyFill="1" applyBorder="1" applyAlignment="1">
      <alignment horizontal="center" vertical="center" wrapText="1" readingOrder="1"/>
    </xf>
    <xf numFmtId="176" fontId="47" fillId="0" borderId="24" xfId="0" applyNumberFormat="1" applyFont="1" applyBorder="1" applyAlignment="1">
      <alignment horizontal="center" vertical="center"/>
    </xf>
    <xf numFmtId="176" fontId="47" fillId="0" borderId="0" xfId="2" applyNumberFormat="1" applyFont="1" applyFill="1" applyBorder="1" applyAlignment="1">
      <alignment horizontal="right" vertical="center"/>
    </xf>
    <xf numFmtId="176" fontId="47" fillId="24" borderId="0" xfId="2" applyNumberFormat="1" applyFont="1" applyFill="1" applyBorder="1" applyAlignment="1">
      <alignment vertical="center"/>
    </xf>
    <xf numFmtId="177" fontId="52" fillId="2" borderId="0" xfId="3" applyNumberFormat="1" applyFont="1" applyFill="1" applyBorder="1" applyAlignment="1">
      <alignment horizontal="center" vertical="center"/>
    </xf>
    <xf numFmtId="176" fontId="47" fillId="0" borderId="32" xfId="0" applyNumberFormat="1" applyFont="1" applyBorder="1" applyAlignment="1">
      <alignment horizontal="center" vertical="center"/>
    </xf>
    <xf numFmtId="176" fontId="47" fillId="0" borderId="33" xfId="0" applyNumberFormat="1" applyFont="1" applyBorder="1" applyAlignment="1">
      <alignment vertical="center"/>
    </xf>
    <xf numFmtId="176" fontId="47" fillId="0" borderId="33" xfId="2" applyNumberFormat="1" applyFont="1" applyFill="1" applyBorder="1" applyAlignment="1">
      <alignment horizontal="right" vertical="center"/>
    </xf>
    <xf numFmtId="176" fontId="47" fillId="0" borderId="33" xfId="2" applyNumberFormat="1" applyFont="1" applyFill="1" applyBorder="1" applyAlignment="1">
      <alignment vertical="center"/>
    </xf>
    <xf numFmtId="176" fontId="47" fillId="24" borderId="33" xfId="2" applyNumberFormat="1" applyFont="1" applyFill="1" applyBorder="1" applyAlignment="1">
      <alignment vertical="center"/>
    </xf>
    <xf numFmtId="177" fontId="52" fillId="2" borderId="33" xfId="3" applyNumberFormat="1" applyFont="1" applyFill="1" applyBorder="1" applyAlignment="1">
      <alignment horizontal="center" vertical="center"/>
    </xf>
    <xf numFmtId="3" fontId="47" fillId="0" borderId="0" xfId="0" applyNumberFormat="1" applyFont="1" applyAlignment="1">
      <alignment vertical="center"/>
    </xf>
    <xf numFmtId="176" fontId="47" fillId="0" borderId="0" xfId="2" applyNumberFormat="1" applyFont="1" applyFill="1" applyBorder="1" applyAlignment="1">
      <alignment vertical="center"/>
    </xf>
    <xf numFmtId="176" fontId="47" fillId="0" borderId="0" xfId="0" applyNumberFormat="1" applyFont="1" applyAlignment="1">
      <alignment vertical="center"/>
    </xf>
    <xf numFmtId="176" fontId="47" fillId="0" borderId="34" xfId="0" applyNumberFormat="1" applyFont="1" applyBorder="1" applyAlignment="1">
      <alignment horizontal="center" vertical="center"/>
    </xf>
    <xf numFmtId="176" fontId="47" fillId="0" borderId="35" xfId="0" applyNumberFormat="1" applyFont="1" applyBorder="1" applyAlignment="1">
      <alignment vertical="center"/>
    </xf>
    <xf numFmtId="176" fontId="47" fillId="0" borderId="35" xfId="2" applyNumberFormat="1" applyFont="1" applyFill="1" applyBorder="1" applyAlignment="1">
      <alignment horizontal="right" vertical="center"/>
    </xf>
    <xf numFmtId="176" fontId="47" fillId="0" borderId="35" xfId="2" applyNumberFormat="1" applyFont="1" applyFill="1" applyBorder="1" applyAlignment="1">
      <alignment vertical="center"/>
    </xf>
    <xf numFmtId="176" fontId="47" fillId="24" borderId="35" xfId="2" applyNumberFormat="1" applyFont="1" applyFill="1" applyBorder="1" applyAlignment="1">
      <alignment vertical="center"/>
    </xf>
    <xf numFmtId="177" fontId="52" fillId="2" borderId="35" xfId="3" applyNumberFormat="1" applyFont="1" applyFill="1" applyBorder="1" applyAlignment="1">
      <alignment horizontal="center" vertical="center"/>
    </xf>
    <xf numFmtId="176" fontId="23" fillId="4" borderId="20" xfId="0" applyNumberFormat="1" applyFont="1" applyFill="1" applyBorder="1" applyAlignment="1">
      <alignment horizontal="left" vertical="center" indent="1"/>
    </xf>
    <xf numFmtId="177" fontId="23" fillId="4" borderId="20" xfId="3" applyNumberFormat="1" applyFont="1" applyFill="1" applyBorder="1" applyAlignment="1">
      <alignment horizontal="left" vertical="center" indent="1"/>
    </xf>
    <xf numFmtId="176" fontId="23" fillId="4" borderId="0" xfId="0" applyNumberFormat="1" applyFont="1" applyFill="1" applyAlignment="1">
      <alignment horizontal="right" vertical="center"/>
    </xf>
    <xf numFmtId="177" fontId="23" fillId="4" borderId="20" xfId="3" applyNumberFormat="1" applyFont="1" applyFill="1" applyBorder="1" applyAlignment="1">
      <alignment horizontal="right" vertical="center"/>
    </xf>
    <xf numFmtId="177" fontId="23" fillId="4" borderId="0" xfId="3" applyNumberFormat="1" applyFont="1" applyFill="1" applyBorder="1" applyAlignment="1">
      <alignment horizontal="right" vertical="center"/>
    </xf>
    <xf numFmtId="9" fontId="25" fillId="4" borderId="18" xfId="3" applyFont="1" applyFill="1" applyBorder="1" applyAlignment="1">
      <alignment horizontal="right" vertical="center"/>
    </xf>
    <xf numFmtId="177" fontId="21" fillId="4" borderId="0" xfId="3" applyNumberFormat="1" applyFont="1" applyFill="1" applyAlignment="1">
      <alignment horizontal="right" vertical="center"/>
    </xf>
    <xf numFmtId="177" fontId="21" fillId="4" borderId="0" xfId="0" applyNumberFormat="1" applyFont="1" applyFill="1" applyAlignment="1">
      <alignment horizontal="right" vertical="center"/>
    </xf>
    <xf numFmtId="41" fontId="7" fillId="0" borderId="19" xfId="2" applyFont="1" applyBorder="1" applyAlignment="1">
      <alignment horizontal="right" vertical="center"/>
    </xf>
    <xf numFmtId="176" fontId="20" fillId="0" borderId="0" xfId="0" applyNumberFormat="1" applyFont="1" applyAlignment="1">
      <alignment vertical="center"/>
    </xf>
    <xf numFmtId="176" fontId="18" fillId="0" borderId="0" xfId="0" applyNumberFormat="1" applyFont="1" applyAlignment="1">
      <alignment horizontal="right" vertical="center"/>
    </xf>
    <xf numFmtId="176" fontId="54" fillId="0" borderId="0" xfId="0" applyNumberFormat="1" applyFont="1" applyAlignment="1">
      <alignment horizontal="right" vertical="center"/>
    </xf>
    <xf numFmtId="41" fontId="12" fillId="0" borderId="0" xfId="2" applyFont="1" applyAlignment="1">
      <alignment horizontal="right" vertical="center"/>
    </xf>
    <xf numFmtId="181" fontId="12" fillId="0" borderId="0" xfId="0" applyNumberFormat="1" applyFont="1" applyAlignment="1">
      <alignment horizontal="right" vertical="center"/>
    </xf>
    <xf numFmtId="177" fontId="55" fillId="0" borderId="0" xfId="3" applyNumberFormat="1" applyFont="1" applyBorder="1" applyAlignment="1">
      <alignment horizontal="right" vertical="center"/>
    </xf>
    <xf numFmtId="41" fontId="0" fillId="0" borderId="0" xfId="2" applyFont="1" applyAlignment="1"/>
    <xf numFmtId="182" fontId="13" fillId="0" borderId="0" xfId="0" applyNumberFormat="1" applyFont="1" applyAlignment="1">
      <alignment horizontal="right" vertical="center"/>
    </xf>
    <xf numFmtId="49" fontId="0" fillId="26" borderId="0" xfId="0" applyNumberFormat="1" applyFill="1" applyAlignment="1">
      <alignment vertical="center"/>
    </xf>
    <xf numFmtId="0" fontId="56" fillId="0" borderId="0" xfId="0" applyFont="1"/>
    <xf numFmtId="176" fontId="23" fillId="0" borderId="36" xfId="0" applyNumberFormat="1" applyFont="1" applyBorder="1" applyAlignment="1">
      <alignment horizontal="right" vertical="center"/>
    </xf>
    <xf numFmtId="177" fontId="23" fillId="0" borderId="3" xfId="3" applyNumberFormat="1" applyFont="1" applyFill="1" applyBorder="1" applyAlignment="1">
      <alignment horizontal="right" vertical="center"/>
    </xf>
    <xf numFmtId="3" fontId="0" fillId="0" borderId="0" xfId="0" applyNumberFormat="1"/>
    <xf numFmtId="0" fontId="0" fillId="25" borderId="0" xfId="0" applyFill="1" applyAlignment="1">
      <alignment vertical="center"/>
    </xf>
    <xf numFmtId="0" fontId="0" fillId="26" borderId="0" xfId="0" applyFill="1" applyAlignment="1">
      <alignment horizontal="left" vertical="center"/>
    </xf>
    <xf numFmtId="183" fontId="0" fillId="0" borderId="0" xfId="0" applyNumberFormat="1" applyAlignment="1">
      <alignment vertical="center"/>
    </xf>
    <xf numFmtId="9" fontId="7" fillId="0" borderId="0" xfId="3" applyFont="1" applyAlignment="1">
      <alignment vertical="top"/>
    </xf>
    <xf numFmtId="41" fontId="46" fillId="0" borderId="0" xfId="2" applyFont="1" applyFill="1" applyBorder="1" applyAlignment="1">
      <alignment vertical="center"/>
    </xf>
    <xf numFmtId="41" fontId="46" fillId="0" borderId="0" xfId="2" applyFont="1" applyFill="1" applyBorder="1" applyAlignment="1">
      <alignment horizontal="left" vertical="center" indent="1"/>
    </xf>
    <xf numFmtId="184" fontId="13" fillId="0" borderId="0" xfId="2" applyNumberFormat="1" applyFont="1" applyAlignment="1">
      <alignment horizontal="right" vertical="center"/>
    </xf>
    <xf numFmtId="185" fontId="13" fillId="0" borderId="0" xfId="2" applyNumberFormat="1" applyFont="1" applyAlignment="1">
      <alignment horizontal="right" vertical="center"/>
    </xf>
    <xf numFmtId="185" fontId="25" fillId="5" borderId="0" xfId="2" applyNumberFormat="1" applyFont="1" applyFill="1" applyAlignment="1">
      <alignment horizontal="right" vertical="center"/>
    </xf>
    <xf numFmtId="182" fontId="20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182" fontId="13" fillId="7" borderId="0" xfId="0" applyNumberFormat="1" applyFont="1" applyFill="1" applyAlignment="1">
      <alignment vertical="center"/>
    </xf>
    <xf numFmtId="182" fontId="25" fillId="5" borderId="0" xfId="0" applyNumberFormat="1" applyFont="1" applyFill="1" applyAlignment="1">
      <alignment horizontal="right" vertical="center"/>
    </xf>
    <xf numFmtId="176" fontId="20" fillId="0" borderId="0" xfId="0" applyNumberFormat="1" applyFont="1" applyAlignment="1">
      <alignment horizontal="right" vertical="center"/>
    </xf>
    <xf numFmtId="0" fontId="0" fillId="6" borderId="17" xfId="0" applyFill="1" applyBorder="1" applyAlignment="1">
      <alignment vertical="center"/>
    </xf>
    <xf numFmtId="0" fontId="0" fillId="6" borderId="17" xfId="0" applyFill="1" applyBorder="1" applyAlignment="1">
      <alignment horizontal="center" vertical="center"/>
    </xf>
    <xf numFmtId="186" fontId="4" fillId="6" borderId="17" xfId="2" applyNumberFormat="1" applyFont="1" applyFill="1" applyBorder="1">
      <alignment vertical="center"/>
    </xf>
    <xf numFmtId="41" fontId="4" fillId="6" borderId="17" xfId="2" applyFont="1" applyFill="1" applyBorder="1">
      <alignment vertical="center"/>
    </xf>
    <xf numFmtId="186" fontId="0" fillId="6" borderId="17" xfId="2" applyNumberFormat="1" applyFont="1" applyFill="1" applyBorder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186" fontId="0" fillId="0" borderId="17" xfId="2" applyNumberFormat="1" applyFont="1" applyFill="1" applyBorder="1">
      <alignment vertical="center"/>
    </xf>
    <xf numFmtId="186" fontId="59" fillId="0" borderId="17" xfId="2" applyNumberFormat="1" applyFont="1" applyFill="1" applyBorder="1">
      <alignment vertical="center"/>
    </xf>
    <xf numFmtId="0" fontId="0" fillId="0" borderId="17" xfId="0" applyBorder="1" applyAlignment="1">
      <alignment horizontal="left" vertical="center" indent="1"/>
    </xf>
    <xf numFmtId="177" fontId="0" fillId="0" borderId="17" xfId="3" applyNumberFormat="1" applyFont="1" applyFill="1" applyBorder="1">
      <alignment vertical="center"/>
    </xf>
    <xf numFmtId="0" fontId="60" fillId="0" borderId="0" xfId="0" applyFont="1" applyAlignment="1">
      <alignment horizontal="right" vertical="center" readingOrder="1"/>
    </xf>
    <xf numFmtId="187" fontId="7" fillId="0" borderId="0" xfId="3" applyNumberFormat="1" applyFont="1" applyBorder="1" applyAlignment="1">
      <alignment horizontal="right" vertical="center"/>
    </xf>
    <xf numFmtId="177" fontId="7" fillId="0" borderId="0" xfId="3" applyNumberFormat="1" applyFont="1" applyBorder="1" applyAlignment="1">
      <alignment horizontal="left" vertical="center"/>
    </xf>
    <xf numFmtId="176" fontId="46" fillId="0" borderId="0" xfId="0" applyNumberFormat="1" applyFont="1" applyAlignment="1">
      <alignment vertical="center"/>
    </xf>
    <xf numFmtId="185" fontId="0" fillId="0" borderId="0" xfId="2" applyNumberFormat="1" applyFont="1" applyAlignment="1"/>
    <xf numFmtId="41" fontId="13" fillId="0" borderId="0" xfId="2" applyFont="1" applyAlignment="1">
      <alignment horizontal="right" vertical="center" readingOrder="1"/>
    </xf>
    <xf numFmtId="0" fontId="61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186" fontId="3" fillId="6" borderId="17" xfId="2" applyNumberFormat="1" applyFont="1" applyFill="1" applyBorder="1">
      <alignment vertical="center"/>
    </xf>
    <xf numFmtId="41" fontId="3" fillId="6" borderId="17" xfId="2" applyFont="1" applyFill="1" applyBorder="1">
      <alignment vertical="center"/>
    </xf>
    <xf numFmtId="187" fontId="62" fillId="0" borderId="0" xfId="0" applyNumberFormat="1" applyFont="1" applyAlignment="1">
      <alignment horizontal="right" vertical="center"/>
    </xf>
    <xf numFmtId="186" fontId="62" fillId="0" borderId="0" xfId="0" applyNumberFormat="1" applyFont="1" applyAlignment="1">
      <alignment horizontal="right" vertical="center"/>
    </xf>
    <xf numFmtId="186" fontId="0" fillId="6" borderId="0" xfId="2" applyNumberFormat="1" applyFont="1" applyFill="1" applyBorder="1">
      <alignment vertical="center"/>
    </xf>
    <xf numFmtId="41" fontId="12" fillId="0" borderId="0" xfId="2" applyFont="1" applyBorder="1" applyAlignment="1">
      <alignment vertical="center"/>
    </xf>
    <xf numFmtId="185" fontId="13" fillId="0" borderId="0" xfId="2" applyNumberFormat="1" applyFont="1" applyFill="1" applyAlignment="1">
      <alignment horizontal="right" vertical="center"/>
    </xf>
    <xf numFmtId="176" fontId="7" fillId="0" borderId="0" xfId="0" applyNumberFormat="1" applyFont="1" applyAlignment="1">
      <alignment horizontal="right" vertical="top"/>
    </xf>
    <xf numFmtId="179" fontId="25" fillId="5" borderId="0" xfId="0" applyNumberFormat="1" applyFont="1" applyFill="1" applyAlignment="1">
      <alignment horizontal="right" vertical="center"/>
    </xf>
    <xf numFmtId="182" fontId="20" fillId="0" borderId="0" xfId="2" applyNumberFormat="1" applyFont="1" applyFill="1" applyAlignment="1">
      <alignment vertical="center"/>
    </xf>
    <xf numFmtId="186" fontId="0" fillId="0" borderId="0" xfId="0" applyNumberFormat="1"/>
    <xf numFmtId="43" fontId="0" fillId="0" borderId="0" xfId="0" applyNumberFormat="1"/>
    <xf numFmtId="184" fontId="0" fillId="0" borderId="0" xfId="2" applyNumberFormat="1" applyFont="1" applyAlignment="1"/>
    <xf numFmtId="186" fontId="2" fillId="6" borderId="17" xfId="2" applyNumberFormat="1" applyFont="1" applyFill="1" applyBorder="1">
      <alignment vertical="center"/>
    </xf>
    <xf numFmtId="41" fontId="2" fillId="6" borderId="17" xfId="2" applyFont="1" applyFill="1" applyBorder="1">
      <alignment vertical="center"/>
    </xf>
    <xf numFmtId="186" fontId="2" fillId="6" borderId="0" xfId="2" applyNumberFormat="1" applyFont="1" applyFill="1" applyBorder="1">
      <alignment vertical="center"/>
    </xf>
    <xf numFmtId="42" fontId="0" fillId="0" borderId="0" xfId="2" applyNumberFormat="1" applyFont="1" applyFill="1">
      <alignment vertical="center"/>
    </xf>
    <xf numFmtId="188" fontId="12" fillId="0" borderId="0" xfId="2" applyNumberFormat="1" applyFont="1" applyAlignment="1">
      <alignment horizontal="right" vertical="center"/>
    </xf>
    <xf numFmtId="41" fontId="18" fillId="0" borderId="0" xfId="2" applyFont="1" applyAlignment="1">
      <alignment vertical="center"/>
    </xf>
    <xf numFmtId="177" fontId="63" fillId="0" borderId="0" xfId="3" applyNumberFormat="1" applyFont="1" applyBorder="1" applyAlignment="1">
      <alignment horizontal="right" vertical="center"/>
    </xf>
    <xf numFmtId="189" fontId="62" fillId="0" borderId="0" xfId="3" applyNumberFormat="1" applyFont="1" applyBorder="1" applyAlignment="1">
      <alignment horizontal="right" vertical="center"/>
    </xf>
    <xf numFmtId="41" fontId="7" fillId="0" borderId="0" xfId="2" applyFont="1" applyAlignment="1">
      <alignment vertical="top"/>
    </xf>
    <xf numFmtId="41" fontId="64" fillId="0" borderId="0" xfId="2" applyFont="1" applyAlignment="1"/>
    <xf numFmtId="0" fontId="65" fillId="0" borderId="0" xfId="0" applyFont="1" applyAlignment="1">
      <alignment horizontal="right" vertical="center" readingOrder="1"/>
    </xf>
    <xf numFmtId="0" fontId="60" fillId="0" borderId="0" xfId="0" applyFont="1" applyAlignment="1">
      <alignment horizontal="left" vertical="center" readingOrder="1"/>
    </xf>
    <xf numFmtId="0" fontId="66" fillId="0" borderId="0" xfId="0" applyFont="1" applyAlignment="1">
      <alignment vertical="center"/>
    </xf>
    <xf numFmtId="182" fontId="12" fillId="0" borderId="0" xfId="0" applyNumberFormat="1" applyFont="1" applyAlignment="1">
      <alignment vertical="center"/>
    </xf>
    <xf numFmtId="41" fontId="20" fillId="0" borderId="0" xfId="2" applyFont="1" applyFill="1" applyAlignment="1">
      <alignment horizontal="center" vertical="center"/>
    </xf>
    <xf numFmtId="176" fontId="10" fillId="0" borderId="37" xfId="0" applyNumberFormat="1" applyFont="1" applyBorder="1" applyAlignment="1">
      <alignment vertical="center"/>
    </xf>
    <xf numFmtId="176" fontId="10" fillId="0" borderId="37" xfId="0" applyNumberFormat="1" applyFont="1" applyBorder="1" applyAlignment="1">
      <alignment horizontal="right" vertical="center" wrapText="1"/>
    </xf>
    <xf numFmtId="178" fontId="10" fillId="0" borderId="37" xfId="0" applyNumberFormat="1" applyFont="1" applyBorder="1" applyAlignment="1">
      <alignment horizontal="left" vertical="center"/>
    </xf>
    <xf numFmtId="176" fontId="7" fillId="0" borderId="37" xfId="0" applyNumberFormat="1" applyFont="1" applyBorder="1" applyAlignment="1">
      <alignment vertical="top"/>
    </xf>
    <xf numFmtId="176" fontId="7" fillId="0" borderId="37" xfId="3" applyNumberFormat="1" applyFont="1" applyBorder="1" applyAlignment="1">
      <alignment horizontal="right" vertical="center"/>
    </xf>
    <xf numFmtId="177" fontId="7" fillId="0" borderId="37" xfId="3" applyNumberFormat="1" applyFont="1" applyBorder="1" applyAlignment="1">
      <alignment horizontal="right" vertical="center"/>
    </xf>
    <xf numFmtId="41" fontId="7" fillId="0" borderId="37" xfId="2" applyFont="1" applyBorder="1" applyAlignment="1">
      <alignment horizontal="right"/>
    </xf>
    <xf numFmtId="177" fontId="7" fillId="0" borderId="37" xfId="3" applyNumberFormat="1" applyFont="1" applyBorder="1" applyAlignment="1">
      <alignment horizontal="right"/>
    </xf>
    <xf numFmtId="0" fontId="68" fillId="27" borderId="38" xfId="0" applyFont="1" applyFill="1" applyBorder="1" applyAlignment="1">
      <alignment horizontal="center" vertical="center" wrapText="1" readingOrder="1"/>
    </xf>
    <xf numFmtId="0" fontId="68" fillId="27" borderId="0" xfId="0" applyFont="1" applyFill="1" applyAlignment="1">
      <alignment horizontal="center" vertical="center" wrapText="1" readingOrder="1"/>
    </xf>
    <xf numFmtId="0" fontId="68" fillId="27" borderId="43" xfId="0" applyFont="1" applyFill="1" applyBorder="1" applyAlignment="1">
      <alignment horizontal="center" vertical="center" wrapText="1" readingOrder="1"/>
    </xf>
    <xf numFmtId="0" fontId="68" fillId="27" borderId="37" xfId="0" applyFont="1" applyFill="1" applyBorder="1" applyAlignment="1">
      <alignment horizontal="center" vertical="center" wrapText="1" readingOrder="1"/>
    </xf>
    <xf numFmtId="0" fontId="68" fillId="27" borderId="44" xfId="0" applyFont="1" applyFill="1" applyBorder="1" applyAlignment="1">
      <alignment horizontal="center" vertical="center" wrapText="1" readingOrder="1"/>
    </xf>
    <xf numFmtId="0" fontId="69" fillId="0" borderId="0" xfId="0" applyFont="1" applyAlignment="1">
      <alignment horizontal="center" vertical="center" wrapText="1" readingOrder="1"/>
    </xf>
    <xf numFmtId="0" fontId="70" fillId="0" borderId="42" xfId="0" applyFont="1" applyBorder="1" applyAlignment="1">
      <alignment horizontal="center" vertical="center" wrapText="1" readingOrder="1"/>
    </xf>
    <xf numFmtId="3" fontId="69" fillId="0" borderId="45" xfId="0" applyNumberFormat="1" applyFont="1" applyBorder="1" applyAlignment="1">
      <alignment horizontal="right" vertical="center" wrapText="1" readingOrder="1"/>
    </xf>
    <xf numFmtId="41" fontId="69" fillId="0" borderId="45" xfId="2" applyFont="1" applyBorder="1" applyAlignment="1">
      <alignment horizontal="right" vertical="center" wrapText="1" readingOrder="1"/>
    </xf>
    <xf numFmtId="9" fontId="69" fillId="0" borderId="42" xfId="0" applyNumberFormat="1" applyFont="1" applyBorder="1" applyAlignment="1">
      <alignment horizontal="right" vertical="center" wrapText="1" readingOrder="1"/>
    </xf>
    <xf numFmtId="9" fontId="49" fillId="6" borderId="46" xfId="3" quotePrefix="1" applyFont="1" applyFill="1" applyBorder="1" applyAlignment="1">
      <alignment horizontal="right" vertical="center" wrapText="1" indent="1"/>
    </xf>
    <xf numFmtId="9" fontId="71" fillId="6" borderId="47" xfId="3" applyFont="1" applyFill="1" applyBorder="1" applyAlignment="1">
      <alignment vertical="center" wrapText="1"/>
    </xf>
    <xf numFmtId="9" fontId="72" fillId="6" borderId="47" xfId="3" applyFont="1" applyFill="1" applyBorder="1" applyAlignment="1">
      <alignment horizontal="right" vertical="center" wrapText="1" indent="1"/>
    </xf>
    <xf numFmtId="3" fontId="69" fillId="0" borderId="48" xfId="0" applyNumberFormat="1" applyFont="1" applyBorder="1" applyAlignment="1">
      <alignment horizontal="right" vertical="center" wrapText="1" readingOrder="1"/>
    </xf>
    <xf numFmtId="9" fontId="73" fillId="6" borderId="46" xfId="3" applyFont="1" applyFill="1" applyBorder="1" applyAlignment="1">
      <alignment horizontal="right" vertical="center" wrapText="1" indent="1"/>
    </xf>
    <xf numFmtId="9" fontId="71" fillId="6" borderId="47" xfId="3" applyFont="1" applyFill="1" applyBorder="1" applyAlignment="1">
      <alignment horizontal="left" vertical="center" wrapText="1" indent="1"/>
    </xf>
    <xf numFmtId="176" fontId="69" fillId="0" borderId="48" xfId="0" applyNumberFormat="1" applyFont="1" applyBorder="1" applyAlignment="1">
      <alignment horizontal="right" vertical="center" wrapText="1" readingOrder="1"/>
    </xf>
    <xf numFmtId="9" fontId="49" fillId="6" borderId="46" xfId="3" applyFont="1" applyFill="1" applyBorder="1" applyAlignment="1">
      <alignment horizontal="right" vertical="center" wrapText="1" indent="1"/>
    </xf>
    <xf numFmtId="0" fontId="69" fillId="0" borderId="49" xfId="0" applyFont="1" applyBorder="1" applyAlignment="1">
      <alignment horizontal="center" vertical="center" wrapText="1" readingOrder="1"/>
    </xf>
    <xf numFmtId="0" fontId="70" fillId="0" borderId="50" xfId="0" applyFont="1" applyBorder="1" applyAlignment="1">
      <alignment horizontal="center" vertical="center" wrapText="1" readingOrder="1"/>
    </xf>
    <xf numFmtId="177" fontId="69" fillId="0" borderId="51" xfId="0" applyNumberFormat="1" applyFont="1" applyBorder="1" applyAlignment="1">
      <alignment horizontal="right" vertical="center" wrapText="1" readingOrder="1"/>
    </xf>
    <xf numFmtId="0" fontId="69" fillId="0" borderId="50" xfId="0" applyFont="1" applyBorder="1" applyAlignment="1">
      <alignment horizontal="right" vertical="center" wrapText="1" readingOrder="1"/>
    </xf>
    <xf numFmtId="0" fontId="69" fillId="6" borderId="49" xfId="0" applyFont="1" applyFill="1" applyBorder="1" applyAlignment="1">
      <alignment vertical="center" wrapText="1" readingOrder="1"/>
    </xf>
    <xf numFmtId="9" fontId="21" fillId="5" borderId="20" xfId="3" applyFont="1" applyFill="1" applyBorder="1" applyAlignment="1">
      <alignment horizontal="right" vertical="center"/>
    </xf>
    <xf numFmtId="9" fontId="21" fillId="5" borderId="0" xfId="3" applyFont="1" applyFill="1" applyBorder="1" applyAlignment="1">
      <alignment horizontal="right" vertical="center"/>
    </xf>
    <xf numFmtId="9" fontId="23" fillId="0" borderId="20" xfId="3" applyFont="1" applyFill="1" applyBorder="1" applyAlignment="1">
      <alignment horizontal="right" vertical="center"/>
    </xf>
    <xf numFmtId="9" fontId="23" fillId="0" borderId="0" xfId="3" applyFont="1" applyFill="1" applyBorder="1" applyAlignment="1">
      <alignment horizontal="right" vertical="center"/>
    </xf>
    <xf numFmtId="9" fontId="23" fillId="0" borderId="52" xfId="3" applyFont="1" applyFill="1" applyBorder="1" applyAlignment="1">
      <alignment horizontal="right" vertical="center"/>
    </xf>
    <xf numFmtId="9" fontId="23" fillId="0" borderId="53" xfId="3" applyFont="1" applyFill="1" applyBorder="1" applyAlignment="1">
      <alignment horizontal="right" vertical="center"/>
    </xf>
    <xf numFmtId="9" fontId="23" fillId="0" borderId="54" xfId="3" applyFont="1" applyFill="1" applyBorder="1" applyAlignment="1">
      <alignment horizontal="right" vertical="center"/>
    </xf>
    <xf numFmtId="176" fontId="23" fillId="0" borderId="0" xfId="3" applyNumberFormat="1" applyFont="1" applyFill="1" applyBorder="1" applyAlignment="1">
      <alignment horizontal="right" vertical="center"/>
    </xf>
    <xf numFmtId="9" fontId="24" fillId="0" borderId="20" xfId="3" applyFont="1" applyFill="1" applyBorder="1" applyAlignment="1">
      <alignment horizontal="right" vertical="center"/>
    </xf>
    <xf numFmtId="9" fontId="24" fillId="0" borderId="0" xfId="3" applyFont="1" applyFill="1" applyBorder="1" applyAlignment="1">
      <alignment horizontal="right" vertical="center"/>
    </xf>
    <xf numFmtId="9" fontId="21" fillId="4" borderId="20" xfId="3" applyFont="1" applyFill="1" applyBorder="1" applyAlignment="1">
      <alignment horizontal="right" vertical="center"/>
    </xf>
    <xf numFmtId="9" fontId="21" fillId="4" borderId="0" xfId="3" applyFont="1" applyFill="1" applyBorder="1" applyAlignment="1">
      <alignment horizontal="right" vertical="center"/>
    </xf>
    <xf numFmtId="9" fontId="23" fillId="4" borderId="20" xfId="3" applyFont="1" applyFill="1" applyBorder="1" applyAlignment="1">
      <alignment horizontal="left" vertical="center" indent="1"/>
    </xf>
    <xf numFmtId="9" fontId="21" fillId="4" borderId="0" xfId="3" applyFont="1" applyFill="1" applyAlignment="1">
      <alignment horizontal="right" vertical="center"/>
    </xf>
    <xf numFmtId="41" fontId="21" fillId="4" borderId="0" xfId="2" applyFont="1" applyFill="1" applyBorder="1" applyAlignment="1">
      <alignment horizontal="right" vertical="center"/>
    </xf>
    <xf numFmtId="176" fontId="21" fillId="4" borderId="0" xfId="3" applyNumberFormat="1" applyFont="1" applyFill="1" applyBorder="1" applyAlignment="1">
      <alignment horizontal="right" vertical="center"/>
    </xf>
    <xf numFmtId="9" fontId="7" fillId="0" borderId="0" xfId="3" applyFont="1" applyAlignment="1">
      <alignment horizontal="right" vertical="center"/>
    </xf>
    <xf numFmtId="9" fontId="72" fillId="6" borderId="46" xfId="3" quotePrefix="1" applyFont="1" applyFill="1" applyBorder="1" applyAlignment="1">
      <alignment horizontal="right" vertical="center" wrapText="1" indent="1"/>
    </xf>
    <xf numFmtId="9" fontId="74" fillId="6" borderId="47" xfId="3" applyFont="1" applyFill="1" applyBorder="1" applyAlignment="1">
      <alignment vertical="center" wrapText="1"/>
    </xf>
    <xf numFmtId="9" fontId="75" fillId="6" borderId="47" xfId="3" applyFont="1" applyFill="1" applyBorder="1" applyAlignment="1">
      <alignment horizontal="right" vertical="center" wrapText="1" indent="1"/>
    </xf>
    <xf numFmtId="9" fontId="76" fillId="6" borderId="46" xfId="3" applyFont="1" applyFill="1" applyBorder="1" applyAlignment="1">
      <alignment horizontal="right" vertical="center" wrapText="1" indent="1"/>
    </xf>
    <xf numFmtId="9" fontId="72" fillId="6" borderId="46" xfId="3" applyFont="1" applyFill="1" applyBorder="1" applyAlignment="1">
      <alignment horizontal="right" vertical="center" wrapText="1" indent="1"/>
    </xf>
    <xf numFmtId="9" fontId="75" fillId="6" borderId="46" xfId="3" quotePrefix="1" applyFont="1" applyFill="1" applyBorder="1" applyAlignment="1">
      <alignment horizontal="right" vertical="center" wrapText="1" indent="1"/>
    </xf>
    <xf numFmtId="9" fontId="77" fillId="6" borderId="47" xfId="3" applyFont="1" applyFill="1" applyBorder="1" applyAlignment="1">
      <alignment vertical="center" wrapText="1"/>
    </xf>
    <xf numFmtId="9" fontId="78" fillId="6" borderId="47" xfId="3" applyFont="1" applyFill="1" applyBorder="1" applyAlignment="1">
      <alignment horizontal="right" vertical="center" wrapText="1" indent="1"/>
    </xf>
    <xf numFmtId="9" fontId="75" fillId="6" borderId="46" xfId="3" applyFont="1" applyFill="1" applyBorder="1" applyAlignment="1">
      <alignment horizontal="right" vertical="center" wrapText="1" indent="1"/>
    </xf>
    <xf numFmtId="41" fontId="23" fillId="0" borderId="0" xfId="2" applyFont="1" applyAlignment="1">
      <alignment horizontal="right" vertical="center"/>
    </xf>
    <xf numFmtId="176" fontId="79" fillId="0" borderId="0" xfId="0" applyNumberFormat="1" applyFont="1" applyAlignment="1">
      <alignment horizontal="right" vertical="center"/>
    </xf>
    <xf numFmtId="0" fontId="61" fillId="6" borderId="0" xfId="5" applyFont="1" applyFill="1">
      <alignment vertical="center"/>
    </xf>
    <xf numFmtId="0" fontId="1" fillId="6" borderId="0" xfId="5" applyFill="1">
      <alignment vertical="center"/>
    </xf>
    <xf numFmtId="0" fontId="1" fillId="6" borderId="17" xfId="5" applyFill="1" applyBorder="1">
      <alignment vertical="center"/>
    </xf>
    <xf numFmtId="0" fontId="1" fillId="6" borderId="17" xfId="5" applyFill="1" applyBorder="1" applyAlignment="1">
      <alignment horizontal="center" vertical="center"/>
    </xf>
    <xf numFmtId="186" fontId="1" fillId="6" borderId="17" xfId="6" applyNumberFormat="1" applyFont="1" applyFill="1" applyBorder="1">
      <alignment vertical="center"/>
    </xf>
    <xf numFmtId="41" fontId="1" fillId="6" borderId="17" xfId="6" applyFont="1" applyFill="1" applyBorder="1">
      <alignment vertical="center"/>
    </xf>
    <xf numFmtId="186" fontId="0" fillId="6" borderId="17" xfId="6" applyNumberFormat="1" applyFont="1" applyFill="1" applyBorder="1">
      <alignment vertical="center"/>
    </xf>
    <xf numFmtId="186" fontId="1" fillId="6" borderId="0" xfId="6" applyNumberFormat="1" applyFont="1" applyFill="1" applyBorder="1">
      <alignment vertical="center"/>
    </xf>
    <xf numFmtId="186" fontId="0" fillId="6" borderId="0" xfId="6" applyNumberFormat="1" applyFont="1" applyFill="1" applyBorder="1">
      <alignment vertical="center"/>
    </xf>
    <xf numFmtId="0" fontId="1" fillId="0" borderId="17" xfId="5" applyBorder="1">
      <alignment vertical="center"/>
    </xf>
    <xf numFmtId="0" fontId="1" fillId="0" borderId="17" xfId="5" applyBorder="1" applyAlignment="1">
      <alignment horizontal="center" vertical="center"/>
    </xf>
    <xf numFmtId="186" fontId="0" fillId="0" borderId="17" xfId="6" applyNumberFormat="1" applyFont="1" applyFill="1" applyBorder="1">
      <alignment vertical="center"/>
    </xf>
    <xf numFmtId="186" fontId="59" fillId="0" borderId="17" xfId="6" applyNumberFormat="1" applyFont="1" applyFill="1" applyBorder="1">
      <alignment vertical="center"/>
    </xf>
    <xf numFmtId="0" fontId="1" fillId="0" borderId="17" xfId="5" applyBorder="1" applyAlignment="1">
      <alignment horizontal="left" vertical="center" indent="1"/>
    </xf>
    <xf numFmtId="177" fontId="0" fillId="0" borderId="17" xfId="7" applyNumberFormat="1" applyFont="1" applyFill="1" applyBorder="1">
      <alignment vertical="center"/>
    </xf>
    <xf numFmtId="0" fontId="1" fillId="0" borderId="0" xfId="5">
      <alignment vertical="center"/>
    </xf>
    <xf numFmtId="42" fontId="0" fillId="0" borderId="0" xfId="6" applyNumberFormat="1" applyFont="1" applyFill="1">
      <alignment vertical="center"/>
    </xf>
    <xf numFmtId="0" fontId="80" fillId="0" borderId="0" xfId="0" applyFont="1" applyAlignment="1">
      <alignment vertical="center"/>
    </xf>
    <xf numFmtId="0" fontId="81" fillId="0" borderId="0" xfId="0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0" fontId="78" fillId="29" borderId="55" xfId="0" applyFont="1" applyFill="1" applyBorder="1" applyAlignment="1">
      <alignment horizontal="center" vertical="center"/>
    </xf>
    <xf numFmtId="0" fontId="78" fillId="29" borderId="56" xfId="0" applyFont="1" applyFill="1" applyBorder="1" applyAlignment="1">
      <alignment horizontal="center" vertical="center"/>
    </xf>
    <xf numFmtId="0" fontId="78" fillId="29" borderId="57" xfId="0" applyFont="1" applyFill="1" applyBorder="1" applyAlignment="1">
      <alignment horizontal="center" vertical="center"/>
    </xf>
    <xf numFmtId="0" fontId="46" fillId="6" borderId="58" xfId="0" applyFont="1" applyFill="1" applyBorder="1" applyAlignment="1">
      <alignment horizontal="left" vertical="center"/>
    </xf>
    <xf numFmtId="176" fontId="46" fillId="6" borderId="58" xfId="0" applyNumberFormat="1" applyFont="1" applyFill="1" applyBorder="1" applyAlignment="1">
      <alignment vertical="center"/>
    </xf>
    <xf numFmtId="176" fontId="46" fillId="6" borderId="59" xfId="0" applyNumberFormat="1" applyFont="1" applyFill="1" applyBorder="1" applyAlignment="1">
      <alignment vertical="center"/>
    </xf>
    <xf numFmtId="176" fontId="46" fillId="6" borderId="0" xfId="0" applyNumberFormat="1" applyFont="1" applyFill="1" applyAlignment="1">
      <alignment vertical="center"/>
    </xf>
    <xf numFmtId="9" fontId="46" fillId="6" borderId="0" xfId="7" applyFont="1" applyFill="1" applyBorder="1" applyAlignment="1">
      <alignment horizontal="right" vertical="center"/>
    </xf>
    <xf numFmtId="9" fontId="46" fillId="6" borderId="58" xfId="0" applyNumberFormat="1" applyFont="1" applyFill="1" applyBorder="1" applyAlignment="1">
      <alignment horizontal="right" vertical="center"/>
    </xf>
    <xf numFmtId="9" fontId="46" fillId="6" borderId="0" xfId="0" applyNumberFormat="1" applyFont="1" applyFill="1" applyAlignment="1">
      <alignment horizontal="right" vertical="center"/>
    </xf>
    <xf numFmtId="0" fontId="46" fillId="6" borderId="55" xfId="0" applyFont="1" applyFill="1" applyBorder="1" applyAlignment="1">
      <alignment horizontal="left" vertical="center"/>
    </xf>
    <xf numFmtId="176" fontId="46" fillId="6" borderId="55" xfId="0" applyNumberFormat="1" applyFont="1" applyFill="1" applyBorder="1" applyAlignment="1">
      <alignment vertical="center"/>
    </xf>
    <xf numFmtId="176" fontId="46" fillId="6" borderId="56" xfId="0" applyNumberFormat="1" applyFont="1" applyFill="1" applyBorder="1" applyAlignment="1">
      <alignment vertical="center"/>
    </xf>
    <xf numFmtId="176" fontId="46" fillId="6" borderId="57" xfId="0" applyNumberFormat="1" applyFont="1" applyFill="1" applyBorder="1" applyAlignment="1">
      <alignment vertical="center"/>
    </xf>
    <xf numFmtId="9" fontId="46" fillId="6" borderId="57" xfId="0" applyNumberFormat="1" applyFont="1" applyFill="1" applyBorder="1" applyAlignment="1">
      <alignment horizontal="right" vertical="center"/>
    </xf>
    <xf numFmtId="0" fontId="78" fillId="29" borderId="58" xfId="0" applyFont="1" applyFill="1" applyBorder="1" applyAlignment="1">
      <alignment horizontal="center" vertical="center"/>
    </xf>
    <xf numFmtId="176" fontId="82" fillId="29" borderId="58" xfId="0" applyNumberFormat="1" applyFont="1" applyFill="1" applyBorder="1" applyAlignment="1">
      <alignment vertical="center"/>
    </xf>
    <xf numFmtId="176" fontId="82" fillId="29" borderId="59" xfId="0" applyNumberFormat="1" applyFont="1" applyFill="1" applyBorder="1" applyAlignment="1">
      <alignment vertical="center"/>
    </xf>
    <xf numFmtId="176" fontId="82" fillId="29" borderId="0" xfId="0" applyNumberFormat="1" applyFont="1" applyFill="1" applyAlignment="1">
      <alignment vertical="center"/>
    </xf>
    <xf numFmtId="9" fontId="82" fillId="29" borderId="0" xfId="0" applyNumberFormat="1" applyFont="1" applyFill="1" applyAlignment="1">
      <alignment horizontal="right" vertical="center"/>
    </xf>
    <xf numFmtId="0" fontId="46" fillId="0" borderId="0" xfId="0" applyFont="1" applyAlignment="1">
      <alignment vertical="center"/>
    </xf>
    <xf numFmtId="9" fontId="46" fillId="6" borderId="58" xfId="0" applyNumberFormat="1" applyFont="1" applyFill="1" applyBorder="1" applyAlignment="1">
      <alignment vertical="center"/>
    </xf>
    <xf numFmtId="9" fontId="46" fillId="6" borderId="0" xfId="0" applyNumberFormat="1" applyFont="1" applyFill="1" applyAlignment="1">
      <alignment vertical="center"/>
    </xf>
    <xf numFmtId="41" fontId="46" fillId="6" borderId="0" xfId="6" applyFont="1" applyFill="1" applyBorder="1">
      <alignment vertical="center"/>
    </xf>
    <xf numFmtId="9" fontId="46" fillId="6" borderId="55" xfId="0" applyNumberFormat="1" applyFont="1" applyFill="1" applyBorder="1" applyAlignment="1">
      <alignment vertical="center"/>
    </xf>
    <xf numFmtId="9" fontId="46" fillId="6" borderId="57" xfId="0" applyNumberFormat="1" applyFont="1" applyFill="1" applyBorder="1" applyAlignment="1">
      <alignment vertical="center"/>
    </xf>
    <xf numFmtId="9" fontId="82" fillId="29" borderId="58" xfId="0" applyNumberFormat="1" applyFont="1" applyFill="1" applyBorder="1" applyAlignment="1">
      <alignment vertical="center"/>
    </xf>
    <xf numFmtId="9" fontId="82" fillId="29" borderId="0" xfId="0" applyNumberFormat="1" applyFont="1" applyFill="1" applyAlignment="1">
      <alignment vertical="center"/>
    </xf>
    <xf numFmtId="177" fontId="23" fillId="0" borderId="0" xfId="2" applyNumberFormat="1" applyFont="1" applyFill="1" applyBorder="1" applyAlignment="1">
      <alignment horizontal="right" vertical="center"/>
    </xf>
    <xf numFmtId="176" fontId="13" fillId="6" borderId="0" xfId="0" applyNumberFormat="1" applyFont="1" applyFill="1" applyAlignment="1">
      <alignment horizontal="right" vertical="center"/>
    </xf>
    <xf numFmtId="176" fontId="82" fillId="29" borderId="60" xfId="0" applyNumberFormat="1" applyFont="1" applyFill="1" applyBorder="1" applyAlignment="1">
      <alignment vertical="center"/>
    </xf>
    <xf numFmtId="176" fontId="13" fillId="0" borderId="0" xfId="2" applyNumberFormat="1" applyFont="1" applyAlignment="1">
      <alignment horizontal="right" vertical="center"/>
    </xf>
    <xf numFmtId="185" fontId="12" fillId="0" borderId="0" xfId="2" applyNumberFormat="1" applyFont="1" applyAlignment="1">
      <alignment horizontal="right" vertical="center"/>
    </xf>
    <xf numFmtId="185" fontId="12" fillId="0" borderId="0" xfId="0" applyNumberFormat="1" applyFont="1" applyAlignment="1">
      <alignment vertical="center"/>
    </xf>
    <xf numFmtId="4" fontId="0" fillId="0" borderId="0" xfId="0" applyNumberFormat="1"/>
    <xf numFmtId="179" fontId="0" fillId="0" borderId="0" xfId="0" applyNumberFormat="1"/>
    <xf numFmtId="190" fontId="0" fillId="0" borderId="0" xfId="0" applyNumberFormat="1"/>
    <xf numFmtId="185" fontId="20" fillId="0" borderId="0" xfId="2" applyNumberFormat="1" applyFont="1" applyFill="1" applyAlignment="1">
      <alignment vertical="center"/>
    </xf>
    <xf numFmtId="185" fontId="20" fillId="28" borderId="0" xfId="2" applyNumberFormat="1" applyFont="1" applyFill="1" applyAlignment="1">
      <alignment vertical="center"/>
    </xf>
    <xf numFmtId="185" fontId="20" fillId="19" borderId="0" xfId="2" applyNumberFormat="1" applyFont="1" applyFill="1" applyAlignment="1">
      <alignment vertical="center"/>
    </xf>
    <xf numFmtId="185" fontId="67" fillId="19" borderId="0" xfId="2" applyNumberFormat="1" applyFont="1" applyFill="1" applyAlignment="1">
      <alignment horizontal="right" vertical="center"/>
    </xf>
    <xf numFmtId="182" fontId="6" fillId="0" borderId="0" xfId="0" applyNumberFormat="1" applyFont="1" applyAlignment="1">
      <alignment vertical="center"/>
    </xf>
    <xf numFmtId="176" fontId="66" fillId="0" borderId="0" xfId="0" applyNumberFormat="1" applyFont="1" applyAlignment="1">
      <alignment horizontal="right" vertical="center"/>
    </xf>
    <xf numFmtId="191" fontId="83" fillId="0" borderId="17" xfId="0" applyNumberFormat="1" applyFont="1" applyBorder="1" applyAlignment="1">
      <alignment vertical="center"/>
    </xf>
    <xf numFmtId="0" fontId="68" fillId="27" borderId="38" xfId="0" applyFont="1" applyFill="1" applyBorder="1" applyAlignment="1">
      <alignment horizontal="center" vertical="center" wrapText="1" readingOrder="1"/>
    </xf>
    <xf numFmtId="0" fontId="68" fillId="27" borderId="37" xfId="0" applyFont="1" applyFill="1" applyBorder="1" applyAlignment="1">
      <alignment horizontal="center" vertical="center" wrapText="1" readingOrder="1"/>
    </xf>
    <xf numFmtId="0" fontId="50" fillId="9" borderId="24" xfId="0" applyFont="1" applyFill="1" applyBorder="1" applyAlignment="1">
      <alignment horizontal="center" vertical="center" wrapText="1" readingOrder="1"/>
    </xf>
    <xf numFmtId="0" fontId="50" fillId="9" borderId="25" xfId="0" applyFont="1" applyFill="1" applyBorder="1" applyAlignment="1">
      <alignment horizontal="center" vertical="center" wrapText="1" readingOrder="1"/>
    </xf>
    <xf numFmtId="0" fontId="50" fillId="9" borderId="26" xfId="0" applyFont="1" applyFill="1" applyBorder="1" applyAlignment="1">
      <alignment horizontal="center" vertical="center" wrapText="1" readingOrder="1"/>
    </xf>
    <xf numFmtId="0" fontId="50" fillId="9" borderId="27" xfId="0" applyFont="1" applyFill="1" applyBorder="1" applyAlignment="1">
      <alignment horizontal="center" vertical="center" wrapText="1" readingOrder="1"/>
    </xf>
    <xf numFmtId="0" fontId="50" fillId="2" borderId="27" xfId="0" applyFont="1" applyFill="1" applyBorder="1" applyAlignment="1">
      <alignment horizontal="center" vertical="center" wrapText="1" readingOrder="1"/>
    </xf>
    <xf numFmtId="0" fontId="50" fillId="2" borderId="25" xfId="0" applyFont="1" applyFill="1" applyBorder="1" applyAlignment="1">
      <alignment horizontal="center" vertical="center" wrapText="1" readingOrder="1"/>
    </xf>
    <xf numFmtId="0" fontId="38" fillId="12" borderId="13" xfId="0" applyFont="1" applyFill="1" applyBorder="1" applyAlignment="1">
      <alignment horizontal="center"/>
    </xf>
    <xf numFmtId="0" fontId="38" fillId="12" borderId="14" xfId="0" applyFont="1" applyFill="1" applyBorder="1" applyAlignment="1">
      <alignment horizontal="center"/>
    </xf>
    <xf numFmtId="0" fontId="38" fillId="13" borderId="15" xfId="0" applyFont="1" applyFill="1" applyBorder="1" applyAlignment="1">
      <alignment horizontal="center"/>
    </xf>
    <xf numFmtId="0" fontId="38" fillId="13" borderId="13" xfId="0" applyFont="1" applyFill="1" applyBorder="1" applyAlignment="1">
      <alignment horizontal="center"/>
    </xf>
    <xf numFmtId="0" fontId="38" fillId="13" borderId="14" xfId="0" applyFont="1" applyFill="1" applyBorder="1" applyAlignment="1">
      <alignment horizontal="center"/>
    </xf>
    <xf numFmtId="0" fontId="38" fillId="13" borderId="17" xfId="0" applyFont="1" applyFill="1" applyBorder="1" applyAlignment="1">
      <alignment horizontal="center"/>
    </xf>
  </cellXfs>
  <cellStyles count="4">
    <cellStyle name="백분율" xfId="3" builtinId="5"/>
    <cellStyle name="쉼표" xfId="1" builtinId="3"/>
    <cellStyle name="쉼표 [0]" xfId="2" builtinId="6"/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colors>
    <mruColors>
      <color rgb="FF0000FF"/>
      <color rgb="FFA6A6A6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'4.(전선) 구리 수율'!$B$7:$B$18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'4.(전선) 구리 수율'!$L$7:$L$18</c:f>
              <c:numCache>
                <c:formatCode>0.0%</c:formatCode>
                <c:ptCount val="12"/>
                <c:pt idx="0">
                  <c:v>0.99173464555234536</c:v>
                </c:pt>
                <c:pt idx="1">
                  <c:v>0.99997554311748382</c:v>
                </c:pt>
                <c:pt idx="2">
                  <c:v>1.0023813043245202</c:v>
                </c:pt>
                <c:pt idx="3">
                  <c:v>0.98493459384801008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E-4646-B929-6874423DB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57024"/>
        <c:axId val="750256544"/>
      </c:lineChart>
      <c:catAx>
        <c:axId val="7502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0256544"/>
        <c:crosses val="autoZero"/>
        <c:auto val="1"/>
        <c:lblAlgn val="ctr"/>
        <c:lblOffset val="100"/>
        <c:noMultiLvlLbl val="0"/>
      </c:catAx>
      <c:valAx>
        <c:axId val="750256544"/>
        <c:scaling>
          <c:orientation val="minMax"/>
          <c:min val="0.8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025702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6" fmlaLink="$C$4" max="12" min="1" page="10" val="2"/>
</file>

<file path=xl/ctrlProps/ctrlProp2.xml><?xml version="1.0" encoding="utf-8"?>
<formControlPr xmlns="http://schemas.microsoft.com/office/spreadsheetml/2009/9/main" objectType="Spin" dx="16" fmlaLink="$C$4" max="12" min="1" page="10"/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272143</xdr:colOff>
      <xdr:row>40</xdr:row>
      <xdr:rowOff>0</xdr:rowOff>
    </xdr:from>
    <xdr:to>
      <xdr:col>9</xdr:col>
      <xdr:colOff>272143</xdr:colOff>
      <xdr:row>40</xdr:row>
      <xdr:rowOff>43542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1FF312C0-77FE-4AEB-AC12-E5C903F4136A}"/>
            </a:ext>
          </a:extLst>
        </xdr:cNvPr>
        <xdr:cNvCxnSpPr/>
      </xdr:nvCxnSpPr>
      <xdr:spPr>
        <a:xfrm>
          <a:off x="8084548" y="5419725"/>
          <a:ext cx="0" cy="45447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272143</xdr:colOff>
      <xdr:row>40</xdr:row>
      <xdr:rowOff>0</xdr:rowOff>
    </xdr:from>
    <xdr:to>
      <xdr:col>9</xdr:col>
      <xdr:colOff>272143</xdr:colOff>
      <xdr:row>40</xdr:row>
      <xdr:rowOff>43542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5492480F-13EB-4C87-A3F5-8817683B032C}"/>
            </a:ext>
          </a:extLst>
        </xdr:cNvPr>
        <xdr:cNvCxnSpPr/>
      </xdr:nvCxnSpPr>
      <xdr:spPr>
        <a:xfrm>
          <a:off x="8084548" y="5419725"/>
          <a:ext cx="0" cy="45447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272143</xdr:colOff>
      <xdr:row>33</xdr:row>
      <xdr:rowOff>0</xdr:rowOff>
    </xdr:from>
    <xdr:to>
      <xdr:col>9</xdr:col>
      <xdr:colOff>272143</xdr:colOff>
      <xdr:row>33</xdr:row>
      <xdr:rowOff>43542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2A84702-AA2B-4F1D-8B23-3A06AF8C565B}"/>
            </a:ext>
          </a:extLst>
        </xdr:cNvPr>
        <xdr:cNvCxnSpPr/>
      </xdr:nvCxnSpPr>
      <xdr:spPr>
        <a:xfrm>
          <a:off x="6848203" y="4511040"/>
          <a:ext cx="0" cy="43542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391886</xdr:colOff>
      <xdr:row>33</xdr:row>
      <xdr:rowOff>0</xdr:rowOff>
    </xdr:from>
    <xdr:to>
      <xdr:col>11</xdr:col>
      <xdr:colOff>391886</xdr:colOff>
      <xdr:row>33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E0EB220A-D611-46BE-A3F0-E9543A801283}"/>
            </a:ext>
          </a:extLst>
        </xdr:cNvPr>
        <xdr:cNvCxnSpPr/>
      </xdr:nvCxnSpPr>
      <xdr:spPr>
        <a:xfrm>
          <a:off x="8629106" y="4511040"/>
          <a:ext cx="0" cy="0"/>
        </a:xfrm>
        <a:prstGeom prst="line">
          <a:avLst/>
        </a:prstGeom>
        <a:ln>
          <a:solidFill>
            <a:schemeClr val="bg1">
              <a:lumMod val="9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1</xdr:row>
          <xdr:rowOff>133350</xdr:rowOff>
        </xdr:from>
        <xdr:to>
          <xdr:col>3</xdr:col>
          <xdr:colOff>1438275</xdr:colOff>
          <xdr:row>2</xdr:row>
          <xdr:rowOff>304800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1</xdr:row>
          <xdr:rowOff>133350</xdr:rowOff>
        </xdr:from>
        <xdr:to>
          <xdr:col>3</xdr:col>
          <xdr:colOff>1438275</xdr:colOff>
          <xdr:row>2</xdr:row>
          <xdr:rowOff>304800</xdr:rowOff>
        </xdr:to>
        <xdr:sp macro="" textlink="">
          <xdr:nvSpPr>
            <xdr:cNvPr id="15361" name="Spinner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4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85726</xdr:colOff>
      <xdr:row>18</xdr:row>
      <xdr:rowOff>142875</xdr:rowOff>
    </xdr:from>
    <xdr:to>
      <xdr:col>11</xdr:col>
      <xdr:colOff>981075</xdr:colOff>
      <xdr:row>31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DF17B67-2D81-4F24-BE67-61A9F06D6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1150844</xdr:colOff>
      <xdr:row>4</xdr:row>
      <xdr:rowOff>0</xdr:rowOff>
    </xdr:from>
    <xdr:to>
      <xdr:col>11</xdr:col>
      <xdr:colOff>1027019</xdr:colOff>
      <xdr:row>18</xdr:row>
      <xdr:rowOff>9525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89E795A-CA6A-41BD-844C-A837A9111ADA}"/>
            </a:ext>
          </a:extLst>
        </xdr:cNvPr>
        <xdr:cNvSpPr/>
      </xdr:nvSpPr>
      <xdr:spPr>
        <a:xfrm>
          <a:off x="11639550" y="681318"/>
          <a:ext cx="1041587" cy="3290607"/>
        </a:xfrm>
        <a:prstGeom prst="rect">
          <a:avLst/>
        </a:prstGeom>
        <a:noFill/>
        <a:ln w="381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B462-50B6-4A40-9B9E-CF95995E75FA}">
  <dimension ref="B1:O99"/>
  <sheetViews>
    <sheetView showGridLines="0" topLeftCell="A73" zoomScaleNormal="100" zoomScaleSheetLayoutView="100" workbookViewId="0">
      <selection activeCell="D83" sqref="D83:K98"/>
    </sheetView>
  </sheetViews>
  <sheetFormatPr defaultColWidth="11" defaultRowHeight="15" customHeight="1" x14ac:dyDescent="0.2"/>
  <cols>
    <col min="1" max="1" width="0.85546875" style="7" customWidth="1"/>
    <col min="2" max="2" width="5" style="31" customWidth="1"/>
    <col min="3" max="3" width="18.5703125" style="3" customWidth="1"/>
    <col min="4" max="4" width="14.7109375" style="4" customWidth="1"/>
    <col min="5" max="5" width="14.7109375" style="6" customWidth="1"/>
    <col min="6" max="7" width="14.7109375" style="4" customWidth="1"/>
    <col min="8" max="8" width="14.7109375" style="6" customWidth="1"/>
    <col min="9" max="9" width="15.7109375" style="4" customWidth="1"/>
    <col min="10" max="10" width="15.28515625" style="6" customWidth="1"/>
    <col min="11" max="11" width="15.7109375" style="4" customWidth="1"/>
    <col min="12" max="12" width="10.28515625" style="4" customWidth="1"/>
    <col min="13" max="13" width="10.7109375" style="6" customWidth="1"/>
    <col min="14" max="14" width="11.28515625" style="6" customWidth="1"/>
    <col min="15" max="15" width="13.85546875" style="6" customWidth="1"/>
    <col min="16" max="16384" width="11" style="7"/>
  </cols>
  <sheetData>
    <row r="1" spans="2:15" ht="9" customHeight="1" x14ac:dyDescent="0.2">
      <c r="B1" s="7"/>
      <c r="E1" s="5"/>
    </row>
    <row r="2" spans="2:15" ht="16.5" hidden="1" x14ac:dyDescent="0.2">
      <c r="B2" s="7"/>
      <c r="E2" s="5"/>
    </row>
    <row r="3" spans="2:15" ht="16.5" hidden="1" x14ac:dyDescent="0.2">
      <c r="B3" s="7"/>
      <c r="E3" s="5"/>
      <c r="O3" s="8"/>
    </row>
    <row r="4" spans="2:15" ht="31.15" customHeight="1" x14ac:dyDescent="0.3">
      <c r="B4" s="7"/>
      <c r="C4" s="529" t="str">
        <f>CONCATENATE("■ ",'2. 손익계산서'!$C$4,"월 KSCI 손익/원가 요약")</f>
        <v>■ 2월 KSCI 손익/원가 요약</v>
      </c>
      <c r="D4" s="530"/>
      <c r="E4" s="531"/>
      <c r="F4" s="532"/>
      <c r="G4" s="533"/>
      <c r="H4" s="534"/>
      <c r="I4" s="535"/>
      <c r="K4" s="536" t="s">
        <v>507</v>
      </c>
      <c r="L4" s="186"/>
      <c r="M4" s="7"/>
      <c r="N4" s="7"/>
      <c r="O4" s="7"/>
    </row>
    <row r="5" spans="2:15" ht="18.600000000000001" customHeight="1" x14ac:dyDescent="0.3">
      <c r="B5" s="7"/>
      <c r="C5" s="537"/>
      <c r="D5" s="5" t="s">
        <v>493</v>
      </c>
      <c r="E5" s="2" t="s">
        <v>494</v>
      </c>
      <c r="F5" s="652" t="s">
        <v>495</v>
      </c>
      <c r="G5" s="652" t="s">
        <v>496</v>
      </c>
      <c r="H5" s="5" t="s">
        <v>497</v>
      </c>
      <c r="I5" s="7" t="s">
        <v>498</v>
      </c>
      <c r="J5" s="6"/>
      <c r="K5" s="6"/>
      <c r="L5" s="186"/>
      <c r="M5" s="187"/>
      <c r="N5" s="188"/>
      <c r="O5" s="189"/>
    </row>
    <row r="6" spans="2:15" ht="14.45" customHeight="1" x14ac:dyDescent="0.3">
      <c r="B6" s="7"/>
      <c r="C6" s="538"/>
      <c r="D6" s="4"/>
      <c r="E6" s="1"/>
      <c r="F6" s="653"/>
      <c r="G6" s="653"/>
      <c r="H6" s="4"/>
      <c r="I6" s="539" t="s">
        <v>499</v>
      </c>
      <c r="J6" s="540" t="s">
        <v>500</v>
      </c>
      <c r="K6" s="541" t="s">
        <v>501</v>
      </c>
      <c r="L6" s="186"/>
      <c r="M6" s="187"/>
      <c r="N6" s="188"/>
      <c r="O6" s="189"/>
    </row>
    <row r="7" spans="2:15" ht="16.899999999999999" customHeight="1" x14ac:dyDescent="0.3">
      <c r="B7" s="7"/>
      <c r="C7" s="542" t="s">
        <v>325</v>
      </c>
      <c r="D7" s="543" t="s">
        <v>326</v>
      </c>
      <c r="E7" s="544">
        <f>'1. 경신전선 요약'!D6</f>
        <v>234337.43036984012</v>
      </c>
      <c r="F7" s="545">
        <f ca="1">'1. 경신전선 요약'!F6</f>
        <v>39126.548571968218</v>
      </c>
      <c r="G7" s="545">
        <f ca="1">'1. 경신전선 요약'!G6</f>
        <v>37335.611906999991</v>
      </c>
      <c r="H7" s="546">
        <f ca="1">G7/F7</f>
        <v>0.95422707265697027</v>
      </c>
      <c r="I7" s="547">
        <f ca="1">'1. 경신전선 요약'!E6</f>
        <v>0.15932415000060182</v>
      </c>
      <c r="J7" s="548">
        <f ca="1">'1. 경신전선 요약'!E7</f>
        <v>0.15588420053731336</v>
      </c>
      <c r="K7" s="549">
        <f ca="1">'1. 경신전선 요약'!E8</f>
        <v>0.17890508391667151</v>
      </c>
      <c r="L7" s="186"/>
      <c r="M7" s="187"/>
      <c r="N7" s="188"/>
      <c r="O7" s="189"/>
    </row>
    <row r="8" spans="2:15" ht="16.899999999999999" hidden="1" customHeight="1" x14ac:dyDescent="0.3">
      <c r="B8" s="7"/>
      <c r="C8" s="542" t="s">
        <v>502</v>
      </c>
      <c r="D8" s="543" t="s">
        <v>503</v>
      </c>
      <c r="E8" s="550">
        <f>'1. 경신전선 요약'!D9</f>
        <v>0</v>
      </c>
      <c r="F8" s="550">
        <f ca="1">'1. 경신전선 요약'!F9</f>
        <v>0</v>
      </c>
      <c r="G8" s="550">
        <f ca="1">'1. 경신전선 요약'!G9</f>
        <v>1346.4872319999999</v>
      </c>
      <c r="H8" s="546" t="e">
        <f t="shared" ref="H8" ca="1" si="0">G8/F8</f>
        <v>#DIV/0!</v>
      </c>
      <c r="I8" s="551">
        <f ca="1">'1. 경신전선 요약'!E9</f>
        <v>0</v>
      </c>
      <c r="J8" s="548">
        <f ca="1">I8</f>
        <v>0</v>
      </c>
      <c r="K8" s="552"/>
      <c r="L8" s="186"/>
      <c r="M8" s="187"/>
      <c r="N8" s="188"/>
      <c r="O8" s="189"/>
    </row>
    <row r="9" spans="2:15" ht="16.899999999999999" customHeight="1" x14ac:dyDescent="0.3">
      <c r="B9" s="7"/>
      <c r="C9" s="542" t="s">
        <v>123</v>
      </c>
      <c r="D9" s="543" t="s">
        <v>326</v>
      </c>
      <c r="E9" s="553">
        <f>'1. 경신전선 요약'!D22</f>
        <v>2134.269196317131</v>
      </c>
      <c r="F9" s="553">
        <f ca="1">'1. 경신전선 요약'!F22</f>
        <v>1279.7307087901063</v>
      </c>
      <c r="G9" s="553">
        <f ca="1">'1. 경신전선 요약'!G22</f>
        <v>939.36468149998996</v>
      </c>
      <c r="H9" s="546">
        <f ca="1">IF(AND(F9&gt;0,G9&gt;0),G9/F9,"(-)")</f>
        <v>0.73403308606081041</v>
      </c>
      <c r="I9" s="554">
        <f ca="1">'1. 경신전선 요약'!E22</f>
        <v>0.44013411387886131</v>
      </c>
      <c r="J9" s="548">
        <f ca="1">'1. 경신전선 요약'!E24</f>
        <v>0.24100628401442215</v>
      </c>
      <c r="K9" s="549" t="str">
        <f ca="1">'1. 경신전선 요약'!E25</f>
        <v>(-)</v>
      </c>
      <c r="L9" s="186"/>
      <c r="M9" s="187"/>
      <c r="N9" s="188"/>
      <c r="O9" s="189"/>
    </row>
    <row r="10" spans="2:15" ht="16.899999999999999" customHeight="1" thickBot="1" x14ac:dyDescent="0.35">
      <c r="B10" s="7"/>
      <c r="C10" s="555" t="s">
        <v>504</v>
      </c>
      <c r="D10" s="556" t="s">
        <v>505</v>
      </c>
      <c r="E10" s="557">
        <f>E9/E7</f>
        <v>9.1076751714344022E-3</v>
      </c>
      <c r="F10" s="557">
        <f t="shared" ref="F10:G10" ca="1" si="1">F9/F7</f>
        <v>3.2707477543954776E-2</v>
      </c>
      <c r="G10" s="557">
        <f t="shared" ca="1" si="1"/>
        <v>2.516001837173238E-2</v>
      </c>
      <c r="H10" s="558"/>
      <c r="I10" s="559"/>
      <c r="J10" s="559"/>
      <c r="K10" s="559"/>
      <c r="L10" s="187"/>
      <c r="M10" s="188"/>
      <c r="N10" s="189"/>
      <c r="O10" s="7"/>
    </row>
    <row r="11" spans="2:15" ht="31.15" customHeight="1" x14ac:dyDescent="0.3">
      <c r="B11" s="7"/>
      <c r="C11" s="9"/>
      <c r="D11" s="10"/>
      <c r="E11" s="11"/>
      <c r="F11" s="7"/>
      <c r="G11" s="12"/>
      <c r="K11" s="536" t="s">
        <v>0</v>
      </c>
      <c r="L11" s="186"/>
      <c r="M11" s="187"/>
      <c r="N11" s="188"/>
      <c r="O11" s="189"/>
    </row>
    <row r="12" spans="2:15" ht="34.9" customHeight="1" x14ac:dyDescent="0.2">
      <c r="B12" s="7"/>
      <c r="C12" s="160" t="s">
        <v>95</v>
      </c>
      <c r="D12" s="63" t="s">
        <v>5</v>
      </c>
      <c r="E12" s="169" t="s">
        <v>454</v>
      </c>
      <c r="F12" s="63" t="s">
        <v>6</v>
      </c>
      <c r="G12" s="169" t="s">
        <v>454</v>
      </c>
      <c r="H12" s="63" t="s">
        <v>7</v>
      </c>
      <c r="I12" s="169" t="s">
        <v>454</v>
      </c>
      <c r="J12" s="64" t="s">
        <v>9</v>
      </c>
      <c r="K12" s="64" t="s">
        <v>10</v>
      </c>
      <c r="L12" s="7"/>
      <c r="M12" s="7"/>
      <c r="N12" s="7"/>
      <c r="O12" s="7"/>
    </row>
    <row r="13" spans="2:15" ht="18.600000000000001" customHeight="1" x14ac:dyDescent="0.2">
      <c r="B13" s="7"/>
      <c r="C13" s="161" t="s">
        <v>11</v>
      </c>
      <c r="D13" s="65">
        <f ca="1">'1. 경신전선 요약'!I6</f>
        <v>16877.672824499998</v>
      </c>
      <c r="E13" s="560">
        <f ca="1">'1. 경신전선 요약'!J6</f>
        <v>1</v>
      </c>
      <c r="F13" s="65">
        <f ca="1">'1. 경신전선 요약'!K6</f>
        <v>19937.238695354201</v>
      </c>
      <c r="G13" s="560">
        <f ca="1">'1. 경신전선 요약'!L6</f>
        <v>1</v>
      </c>
      <c r="H13" s="65">
        <f ca="1">'1. 경신전선 요약'!M6</f>
        <v>20457.939082500005</v>
      </c>
      <c r="I13" s="560">
        <f ca="1">'1. 경신전선 요약'!N6</f>
        <v>1</v>
      </c>
      <c r="J13" s="561">
        <f ca="1">'1. 경신전선 요약'!O6</f>
        <v>1.2121303271623334</v>
      </c>
      <c r="K13" s="561">
        <f ca="1">'1. 경신전선 요약'!P6</f>
        <v>1.0261169761320628</v>
      </c>
      <c r="L13" s="7"/>
      <c r="M13" s="7"/>
      <c r="N13" s="7"/>
      <c r="O13" s="7"/>
    </row>
    <row r="14" spans="2:15" ht="15" customHeight="1" x14ac:dyDescent="0.2">
      <c r="B14" s="7"/>
      <c r="C14" s="162" t="s">
        <v>120</v>
      </c>
      <c r="D14" s="68">
        <f ca="1">'1. 경신전선 요약'!I7</f>
        <v>13944.597281999997</v>
      </c>
      <c r="E14" s="562">
        <f ca="1">'1. 경신전선 요약'!J7</f>
        <v>0.8262156416350076</v>
      </c>
      <c r="F14" s="68">
        <f ca="1">'1. 경신전선 요약'!K7</f>
        <v>16067.610495778625</v>
      </c>
      <c r="G14" s="562">
        <f ca="1">'1. 경신전선 요약'!L7</f>
        <v>0.8059095214385289</v>
      </c>
      <c r="H14" s="68">
        <f ca="1">'1. 경신전선 요약'!M7</f>
        <v>17126.399092500003</v>
      </c>
      <c r="I14" s="562">
        <f ca="1">'1. 경신전선 요약'!N7</f>
        <v>0.83715172987049091</v>
      </c>
      <c r="J14" s="563">
        <f ca="1">'1. 경신전선 요약'!O7</f>
        <v>1.2281745213687274</v>
      </c>
      <c r="K14" s="563">
        <f ca="1">'1. 경신전선 요약'!P7</f>
        <v>1.0658958341689668</v>
      </c>
      <c r="L14" s="7"/>
      <c r="M14" s="7"/>
      <c r="N14" s="7"/>
      <c r="O14" s="7"/>
    </row>
    <row r="15" spans="2:15" ht="15" customHeight="1" x14ac:dyDescent="0.2">
      <c r="B15" s="7"/>
      <c r="C15" s="162" t="s">
        <v>121</v>
      </c>
      <c r="D15" s="68">
        <f ca="1">'1. 경신전선 요약'!I8</f>
        <v>2933.0755424999993</v>
      </c>
      <c r="E15" s="562">
        <f ca="1">'1. 경신전선 요약'!J8</f>
        <v>0.17378435836499229</v>
      </c>
      <c r="F15" s="68">
        <f ca="1">'1. 경신전선 요약'!K8</f>
        <v>3869.6281995755776</v>
      </c>
      <c r="G15" s="562">
        <f ca="1">'1. 경신전선 요약'!L8</f>
        <v>0.19409047856147116</v>
      </c>
      <c r="H15" s="68">
        <f ca="1">'1. 경신전선 요약'!M8</f>
        <v>3331.5399900000002</v>
      </c>
      <c r="I15" s="562">
        <f ca="1">'1. 경신전선 요약'!N8</f>
        <v>0.162848270129509</v>
      </c>
      <c r="J15" s="563">
        <f ca="1">'1. 경신전선 요약'!O8</f>
        <v>1.1358520916786108</v>
      </c>
      <c r="K15" s="563">
        <f ca="1">'1. 경신전선 요약'!P8</f>
        <v>0.86094575968962728</v>
      </c>
      <c r="L15" s="7"/>
      <c r="M15" s="7"/>
      <c r="N15" s="7"/>
      <c r="O15" s="7"/>
    </row>
    <row r="16" spans="2:15" ht="15" hidden="1" customHeight="1" x14ac:dyDescent="0.2">
      <c r="B16" s="7"/>
      <c r="C16" s="162" t="s">
        <v>124</v>
      </c>
      <c r="D16" s="68">
        <f ca="1">'1. 경신전선 요약'!I9</f>
        <v>631.81666200000006</v>
      </c>
      <c r="E16" s="562">
        <f ca="1">'1. 경신전선 요약'!J9</f>
        <v>3.743505805390665E-2</v>
      </c>
      <c r="F16" s="68">
        <f ca="1">'1. 경신전선 요약'!K9</f>
        <v>0</v>
      </c>
      <c r="G16" s="562">
        <f ca="1">'1. 경신전선 요약'!L9</f>
        <v>0</v>
      </c>
      <c r="H16" s="68">
        <f ca="1">'1. 경신전선 요약'!M9</f>
        <v>714.67057</v>
      </c>
      <c r="I16" s="562">
        <f ca="1">'1. 경신전선 요약'!N9</f>
        <v>3.4933654221863376E-2</v>
      </c>
      <c r="J16" s="563">
        <f ca="1">'1. 경신전선 요약'!O9</f>
        <v>1.1311359971700143</v>
      </c>
      <c r="K16" s="563">
        <f ca="1">'1. 경신전선 요약'!P9</f>
        <v>0</v>
      </c>
      <c r="L16" s="7"/>
      <c r="M16" s="7"/>
      <c r="N16" s="7"/>
      <c r="O16" s="7"/>
    </row>
    <row r="17" spans="2:15" s="7" customFormat="1" ht="15" hidden="1" customHeight="1" x14ac:dyDescent="0.2">
      <c r="C17" s="162"/>
      <c r="D17" s="68">
        <f>'1. 경신전선 요약'!I10</f>
        <v>0</v>
      </c>
      <c r="E17" s="562">
        <f>'1. 경신전선 요약'!J10</f>
        <v>0</v>
      </c>
      <c r="F17" s="68">
        <f>'1. 경신전선 요약'!K10</f>
        <v>0</v>
      </c>
      <c r="G17" s="562">
        <f>'1. 경신전선 요약'!L10</f>
        <v>0</v>
      </c>
      <c r="H17" s="68">
        <f>'1. 경신전선 요약'!M10</f>
        <v>0</v>
      </c>
      <c r="I17" s="562">
        <f>'1. 경신전선 요약'!N10</f>
        <v>0</v>
      </c>
      <c r="J17" s="563">
        <f>'1. 경신전선 요약'!O10</f>
        <v>0</v>
      </c>
      <c r="K17" s="563">
        <f>'1. 경신전선 요약'!P10</f>
        <v>0</v>
      </c>
    </row>
    <row r="18" spans="2:15" s="7" customFormat="1" ht="17.45" customHeight="1" thickBot="1" x14ac:dyDescent="0.25">
      <c r="C18" s="161" t="s">
        <v>12</v>
      </c>
      <c r="D18" s="65">
        <f ca="1">'1. 경신전선 요약'!I11</f>
        <v>15846.994521000001</v>
      </c>
      <c r="E18" s="560">
        <f ca="1">'1. 경신전선 요약'!J11</f>
        <v>0.93893243966645434</v>
      </c>
      <c r="F18" s="65">
        <f ca="1">'1. 경신전선 요약'!K11</f>
        <v>17905.725466662861</v>
      </c>
      <c r="G18" s="560">
        <f ca="1">'1. 경신전선 요약'!L11</f>
        <v>0.89810458410347838</v>
      </c>
      <c r="H18" s="65">
        <f ca="1">'1. 경신전선 요약'!M11</f>
        <v>18657.390906000001</v>
      </c>
      <c r="I18" s="560">
        <f ca="1">'1. 경신전선 요약'!N11</f>
        <v>0.91198780242530797</v>
      </c>
      <c r="J18" s="561">
        <f ca="1">'1. 경신전선 요약'!O11</f>
        <v>1.1773457030780026</v>
      </c>
      <c r="K18" s="561">
        <f ca="1">'1. 경신전선 요약'!P11</f>
        <v>1.0419790552880195</v>
      </c>
    </row>
    <row r="19" spans="2:15" s="7" customFormat="1" ht="15" customHeight="1" x14ac:dyDescent="0.2">
      <c r="C19" s="162" t="s">
        <v>120</v>
      </c>
      <c r="D19" s="68">
        <f ca="1">'1. 경신전선 요약'!I12</f>
        <v>12587.2624215</v>
      </c>
      <c r="E19" s="564">
        <f ca="1">'1. 경신전선 요약'!J12</f>
        <v>0.90266231192979118</v>
      </c>
      <c r="F19" s="68">
        <f ca="1">'1. 경신전선 요약'!K12</f>
        <v>14311.215549797033</v>
      </c>
      <c r="G19" s="562">
        <f ca="1">'1. 경신전선 요약'!L12</f>
        <v>0.89068723402007766</v>
      </c>
      <c r="H19" s="68">
        <f ca="1">'1. 경신전선 요약'!M12</f>
        <v>14848.112632499999</v>
      </c>
      <c r="I19" s="564">
        <f ca="1">'1. 경신전선 요약'!N12</f>
        <v>0.86697224281094132</v>
      </c>
      <c r="J19" s="563">
        <f ca="1">'1. 경신전선 요약'!O12</f>
        <v>1.1796141317542006</v>
      </c>
      <c r="K19" s="563">
        <f ca="1">'1. 경신전선 요약'!P12</f>
        <v>1.0375158267188966</v>
      </c>
      <c r="L19" s="471"/>
    </row>
    <row r="20" spans="2:15" s="7" customFormat="1" ht="15" customHeight="1" x14ac:dyDescent="0.2">
      <c r="C20" s="162" t="s">
        <v>121</v>
      </c>
      <c r="D20" s="68">
        <f ca="1">'1. 경신전선 요약'!I13</f>
        <v>3259.7320995</v>
      </c>
      <c r="E20" s="565">
        <f ca="1">'1. 경신전선 요약'!J13</f>
        <v>1.1113699774406682</v>
      </c>
      <c r="F20" s="68">
        <f ca="1">'1. 경신전선 요약'!K13</f>
        <v>3594.5099168658289</v>
      </c>
      <c r="G20" s="562">
        <f ca="1">'1. 경신전선 요약'!L13</f>
        <v>0.92890317402071765</v>
      </c>
      <c r="H20" s="68">
        <f ca="1">'1. 경신전선 요약'!M13</f>
        <v>3809.2782735000001</v>
      </c>
      <c r="I20" s="565">
        <f ca="1">'1. 경신전선 요약'!N13</f>
        <v>1.1433986339452584</v>
      </c>
      <c r="J20" s="563">
        <f ca="1">'1. 경신전선 요약'!O13</f>
        <v>1.1685863001086172</v>
      </c>
      <c r="K20" s="563">
        <f ca="1">'1. 경신전선 요약'!P13</f>
        <v>1.0597489954406454</v>
      </c>
      <c r="L20" s="471"/>
    </row>
    <row r="21" spans="2:15" s="7" customFormat="1" ht="15" customHeight="1" thickBot="1" x14ac:dyDescent="0.25">
      <c r="C21" s="162" t="s">
        <v>125</v>
      </c>
      <c r="D21" s="68">
        <f ca="1">'1. 경신전선 요약'!I14</f>
        <v>-397.83150000000001</v>
      </c>
      <c r="E21" s="566">
        <f ca="1">'1. 경신전선 요약'!J14</f>
        <v>-0.13563629515689507</v>
      </c>
      <c r="F21" s="68">
        <f ca="1">'1. 경신전선 요약'!K14</f>
        <v>98.292417095723707</v>
      </c>
      <c r="G21" s="562">
        <f ca="1">'1. 경신전선 요약'!L14</f>
        <v>2.5400997725441545E-2</v>
      </c>
      <c r="H21" s="68">
        <f ca="1">'1. 경신전선 요약'!M14</f>
        <v>0</v>
      </c>
      <c r="I21" s="566">
        <f ca="1">'1. 경신전선 요약'!N14</f>
        <v>0</v>
      </c>
      <c r="J21" s="563">
        <f ca="1">'1. 경신전선 요약'!O14</f>
        <v>0</v>
      </c>
      <c r="K21" s="563">
        <f ca="1">'1. 경신전선 요약'!P14</f>
        <v>0</v>
      </c>
    </row>
    <row r="22" spans="2:15" s="7" customFormat="1" ht="15" hidden="1" customHeight="1" thickBot="1" x14ac:dyDescent="0.25">
      <c r="C22" s="162"/>
      <c r="D22" s="68">
        <f>'1. 경신전선 요약'!I15</f>
        <v>0</v>
      </c>
      <c r="E22" s="562">
        <f>'1. 경신전선 요약'!J15</f>
        <v>0</v>
      </c>
      <c r="F22" s="68">
        <f>'1. 경신전선 요약'!K15</f>
        <v>0</v>
      </c>
      <c r="G22" s="562">
        <f>'1. 경신전선 요약'!L15</f>
        <v>0</v>
      </c>
      <c r="H22" s="68">
        <f>'1. 경신전선 요약'!M15</f>
        <v>0</v>
      </c>
      <c r="I22" s="562">
        <f>'1. 경신전선 요약'!N15</f>
        <v>0</v>
      </c>
      <c r="J22" s="563">
        <f>'1. 경신전선 요약'!O15</f>
        <v>0</v>
      </c>
      <c r="K22" s="563">
        <f>'1. 경신전선 요약'!P15</f>
        <v>0</v>
      </c>
    </row>
    <row r="23" spans="2:15" s="7" customFormat="1" ht="18.600000000000001" customHeight="1" x14ac:dyDescent="0.2">
      <c r="C23" s="161" t="s">
        <v>13</v>
      </c>
      <c r="D23" s="65">
        <f ca="1">'1. 경신전선 요약'!I16</f>
        <v>1030.6783034999971</v>
      </c>
      <c r="E23" s="560">
        <f ca="1">'1. 경신전선 요약'!J16</f>
        <v>6.1067560333545635E-2</v>
      </c>
      <c r="F23" s="65">
        <f ca="1">'1. 경신전선 요약'!K16</f>
        <v>2031.5132286913395</v>
      </c>
      <c r="G23" s="560">
        <f ca="1">'1. 경신전선 요약'!L16</f>
        <v>0.10189541589652157</v>
      </c>
      <c r="H23" s="65">
        <f ca="1">'1. 경신전선 요약'!M16</f>
        <v>1800.548176500004</v>
      </c>
      <c r="I23" s="560">
        <f ca="1">'1. 경신전선 요약'!N16</f>
        <v>8.8012197574692017E-2</v>
      </c>
      <c r="J23" s="561">
        <f ca="1">'1. 경신전선 요약'!O16</f>
        <v>1.7469545738817516</v>
      </c>
      <c r="K23" s="561">
        <f ca="1">'1. 경신전선 요약'!P16</f>
        <v>0.88630886133086195</v>
      </c>
    </row>
    <row r="24" spans="2:15" s="14" customFormat="1" ht="6" customHeight="1" x14ac:dyDescent="0.2">
      <c r="C24" s="184"/>
      <c r="D24" s="567"/>
      <c r="E24" s="562"/>
      <c r="F24" s="567"/>
      <c r="G24" s="562"/>
      <c r="H24" s="567"/>
      <c r="I24" s="562"/>
      <c r="J24" s="563"/>
      <c r="K24" s="563"/>
    </row>
    <row r="25" spans="2:15" s="7" customFormat="1" ht="18.600000000000001" customHeight="1" x14ac:dyDescent="0.2">
      <c r="C25" s="161" t="s">
        <v>15</v>
      </c>
      <c r="D25" s="65">
        <f ca="1">'1. 경신전선 요약'!I18</f>
        <v>938.54182949999984</v>
      </c>
      <c r="E25" s="560">
        <f ca="1">'1. 경신전선 요약'!J18</f>
        <v>5.5608485794178451E-2</v>
      </c>
      <c r="F25" s="65">
        <f ca="1">'1. 경신전선 요약'!K18</f>
        <v>1026.8749800182354</v>
      </c>
      <c r="G25" s="560">
        <f ca="1">'1. 경신전선 요약'!L18</f>
        <v>5.1505376231339349E-2</v>
      </c>
      <c r="H25" s="65">
        <f ca="1">'1. 경신전선 요약'!M18</f>
        <v>953.3199689999999</v>
      </c>
      <c r="I25" s="560">
        <f ca="1">'1. 경신전선 요약'!N18</f>
        <v>4.6599022763513971E-2</v>
      </c>
      <c r="J25" s="561">
        <f ca="1">'1. 경신전선 요약'!O18</f>
        <v>1.0157458506754813</v>
      </c>
      <c r="K25" s="561">
        <f ca="1">'1. 경신전선 요약'!P18</f>
        <v>0.92837004265414147</v>
      </c>
    </row>
    <row r="26" spans="2:15" s="7" customFormat="1" ht="15" hidden="1" customHeight="1" x14ac:dyDescent="0.2">
      <c r="C26" s="163" t="s">
        <v>16</v>
      </c>
      <c r="D26" s="70">
        <f ca="1">'1. 경신전선 요약'!I19</f>
        <v>0</v>
      </c>
      <c r="E26" s="568">
        <f ca="1">'1. 경신전선 요약'!J19</f>
        <v>0</v>
      </c>
      <c r="F26" s="70">
        <f ca="1">'1. 경신전선 요약'!K19</f>
        <v>0</v>
      </c>
      <c r="G26" s="568">
        <f ca="1">'1. 경신전선 요약'!L19</f>
        <v>0</v>
      </c>
      <c r="H26" s="70">
        <f ca="1">'1. 경신전선 요약'!M19</f>
        <v>0</v>
      </c>
      <c r="I26" s="568">
        <f ca="1">'1. 경신전선 요약'!N19</f>
        <v>0</v>
      </c>
      <c r="J26" s="569">
        <f ca="1">'1. 경신전선 요약'!O19</f>
        <v>0</v>
      </c>
      <c r="K26" s="569">
        <f ca="1">'1. 경신전선 요약'!P19</f>
        <v>0</v>
      </c>
    </row>
    <row r="27" spans="2:15" ht="6" customHeight="1" x14ac:dyDescent="0.2">
      <c r="B27" s="7"/>
      <c r="C27" s="185"/>
      <c r="D27" s="70"/>
      <c r="E27" s="568"/>
      <c r="F27" s="70"/>
      <c r="G27" s="568"/>
      <c r="H27" s="70"/>
      <c r="I27" s="568"/>
      <c r="J27" s="569"/>
      <c r="K27" s="569"/>
      <c r="L27" s="7"/>
      <c r="M27" s="7"/>
      <c r="N27" s="7"/>
      <c r="O27" s="7"/>
    </row>
    <row r="28" spans="2:15" s="7" customFormat="1" ht="15" hidden="1" customHeight="1" x14ac:dyDescent="0.2">
      <c r="C28" s="163" t="s">
        <v>18</v>
      </c>
      <c r="D28" s="70">
        <f ca="1">'1. 경신전선 요약'!I21</f>
        <v>0</v>
      </c>
      <c r="E28" s="568">
        <f ca="1">'1. 경신전선 요약'!J21</f>
        <v>0</v>
      </c>
      <c r="F28" s="70">
        <f ca="1">'1. 경신전선 요약'!K21</f>
        <v>0</v>
      </c>
      <c r="G28" s="568">
        <f ca="1">'1. 경신전선 요약'!L21</f>
        <v>0</v>
      </c>
      <c r="H28" s="70">
        <f ca="1">'1. 경신전선 요약'!M21</f>
        <v>0</v>
      </c>
      <c r="I28" s="568">
        <f ca="1">'1. 경신전선 요약'!N21</f>
        <v>0</v>
      </c>
      <c r="J28" s="569">
        <f ca="1">'1. 경신전선 요약'!O21</f>
        <v>0</v>
      </c>
      <c r="K28" s="569">
        <f ca="1">'1. 경신전선 요약'!P21</f>
        <v>0</v>
      </c>
    </row>
    <row r="29" spans="2:15" s="7" customFormat="1" ht="16.5" x14ac:dyDescent="0.2">
      <c r="C29" s="164" t="s">
        <v>20</v>
      </c>
      <c r="D29" s="72">
        <f ca="1">'1. 경신전선 요약'!I22</f>
        <v>92.136473999997293</v>
      </c>
      <c r="E29" s="570">
        <f ca="1">'1. 경신전선 요약'!J22</f>
        <v>5.4590745393671798E-3</v>
      </c>
      <c r="F29" s="72">
        <f ca="1">'1. 경신전선 요약'!K22</f>
        <v>1004.638248673104</v>
      </c>
      <c r="G29" s="570">
        <f ca="1">'1. 경신전선 요약'!L22</f>
        <v>5.0390039665182219E-2</v>
      </c>
      <c r="H29" s="72">
        <f ca="1">'1. 경신전선 요약'!M22</f>
        <v>847.22820750000415</v>
      </c>
      <c r="I29" s="570">
        <f ca="1">'1. 경신전선 요약'!N22</f>
        <v>4.1413174811178045E-2</v>
      </c>
      <c r="J29" s="571">
        <f ca="1">'1. 경신전선 요약'!O22</f>
        <v>9.1953617358965687</v>
      </c>
      <c r="K29" s="571">
        <f ca="1">'1. 경신전선 요약'!P22</f>
        <v>0.84331669495860595</v>
      </c>
    </row>
    <row r="30" spans="2:15" ht="16.5" x14ac:dyDescent="0.2">
      <c r="B30" s="7"/>
      <c r="C30" s="572" t="s">
        <v>328</v>
      </c>
      <c r="D30" s="573">
        <f ca="1">'1. 경신전선 요약'!I23</f>
        <v>5.4590745393671798E-3</v>
      </c>
      <c r="E30" s="570"/>
      <c r="F30" s="573">
        <f ca="1">'1. 경신전선 요약'!K23</f>
        <v>5.0390039665182219E-2</v>
      </c>
      <c r="G30" s="570"/>
      <c r="H30" s="573">
        <f ca="1">'1. 경신전선 요약'!M23</f>
        <v>4.1413174811178045E-2</v>
      </c>
      <c r="I30" s="570"/>
      <c r="J30" s="574"/>
      <c r="K30" s="574"/>
      <c r="L30" s="7"/>
      <c r="M30" s="7"/>
      <c r="N30" s="7"/>
      <c r="O30" s="7"/>
    </row>
    <row r="31" spans="2:15" s="7" customFormat="1" ht="16.5" x14ac:dyDescent="0.2">
      <c r="C31" s="446" t="s">
        <v>120</v>
      </c>
      <c r="D31" s="72">
        <f ca="1">'1. 경신전선 요약'!I24</f>
        <v>894.79166399999917</v>
      </c>
      <c r="E31" s="570">
        <f ca="1">'1. 경신전선 요약'!J24</f>
        <v>6.416762319518661E-2</v>
      </c>
      <c r="F31" s="72">
        <f ca="1">'1. 경신전선 요약'!K24</f>
        <v>964.39220452705774</v>
      </c>
      <c r="G31" s="570">
        <f ca="1">'1. 경신전선 요약'!L24</f>
        <v>6.0020885170226669E-2</v>
      </c>
      <c r="H31" s="72">
        <f ca="1">'1. 경신전선 요약'!M24</f>
        <v>1769.0229494999976</v>
      </c>
      <c r="I31" s="570">
        <f ca="1">'1. 경신전선 요약'!N24</f>
        <v>0.10329217134001561</v>
      </c>
      <c r="J31" s="571">
        <f ca="1">'1. 경신전선 요약'!O24</f>
        <v>1.9770221613284935</v>
      </c>
      <c r="K31" s="571">
        <f ca="1">'1. 경신전선 요약'!P24</f>
        <v>1.8343397439297369</v>
      </c>
    </row>
    <row r="32" spans="2:15" s="14" customFormat="1" ht="16.5" x14ac:dyDescent="0.2">
      <c r="C32" s="447" t="s">
        <v>121</v>
      </c>
      <c r="D32" s="575">
        <f ca="1">'1. 경신전선 요약'!I25</f>
        <v>-802.65519000000018</v>
      </c>
      <c r="E32" s="570">
        <f ca="1">'1. 경신전선 요약'!J25</f>
        <v>-0.27365650095594168</v>
      </c>
      <c r="F32" s="575">
        <f ca="1">'1. 경신전선 요약'!K25</f>
        <v>40.246044146049371</v>
      </c>
      <c r="G32" s="570">
        <f ca="1">'1. 경신전선 요약'!L25</f>
        <v>1.0400493812419387E-2</v>
      </c>
      <c r="H32" s="575">
        <f ca="1">'1. 경신전선 요약'!M25</f>
        <v>-921.79474200000027</v>
      </c>
      <c r="I32" s="570">
        <f ca="1">'1. 경신전선 요약'!N25</f>
        <v>-0.27668728118734076</v>
      </c>
      <c r="J32" s="571" t="str">
        <f ca="1">'1. 경신전선 요약'!O25</f>
        <v>(-)</v>
      </c>
      <c r="K32" s="571" t="str">
        <f ca="1">'1. 경신전선 요약'!P25</f>
        <v>(-)</v>
      </c>
    </row>
    <row r="33" spans="2:15" ht="5.45" customHeight="1" x14ac:dyDescent="0.2">
      <c r="B33" s="7"/>
      <c r="E33" s="576"/>
    </row>
    <row r="34" spans="2:15" ht="31.15" hidden="1" customHeight="1" x14ac:dyDescent="0.2">
      <c r="B34" s="7"/>
      <c r="C34" s="16" t="s">
        <v>22</v>
      </c>
      <c r="D34" s="17" t="s">
        <v>23</v>
      </c>
      <c r="E34" s="18" t="s">
        <v>1</v>
      </c>
      <c r="F34" s="19" t="s">
        <v>24</v>
      </c>
      <c r="G34" s="17" t="s">
        <v>25</v>
      </c>
      <c r="H34" s="20" t="s">
        <v>26</v>
      </c>
      <c r="I34" s="17" t="s">
        <v>5</v>
      </c>
      <c r="J34" s="20" t="s">
        <v>27</v>
      </c>
      <c r="K34" s="17" t="s">
        <v>6</v>
      </c>
      <c r="L34" s="17" t="s">
        <v>28</v>
      </c>
      <c r="M34" s="20" t="s">
        <v>29</v>
      </c>
      <c r="N34" s="21" t="s">
        <v>9</v>
      </c>
      <c r="O34" s="21" t="s">
        <v>10</v>
      </c>
    </row>
    <row r="35" spans="2:15" ht="16.899999999999999" hidden="1" customHeight="1" x14ac:dyDescent="0.2">
      <c r="B35" s="7"/>
      <c r="C35" s="22" t="s">
        <v>30</v>
      </c>
      <c r="E35" s="23"/>
      <c r="F35" s="24"/>
      <c r="H35" s="25"/>
      <c r="J35" s="25"/>
      <c r="M35" s="25"/>
      <c r="N35" s="13"/>
      <c r="O35" s="13"/>
    </row>
    <row r="36" spans="2:15" ht="16.899999999999999" hidden="1" customHeight="1" x14ac:dyDescent="0.2">
      <c r="B36" s="7"/>
      <c r="C36" s="22" t="s">
        <v>31</v>
      </c>
      <c r="E36" s="23"/>
      <c r="F36" s="24"/>
      <c r="H36" s="25"/>
      <c r="J36" s="25"/>
      <c r="M36" s="25"/>
      <c r="N36" s="13"/>
      <c r="O36" s="13"/>
    </row>
    <row r="37" spans="2:15" ht="16.899999999999999" hidden="1" customHeight="1" x14ac:dyDescent="0.2">
      <c r="B37" s="7"/>
      <c r="C37" s="22" t="s">
        <v>32</v>
      </c>
      <c r="E37" s="23"/>
      <c r="F37" s="24"/>
      <c r="H37" s="25"/>
      <c r="J37" s="25"/>
      <c r="M37" s="25"/>
      <c r="N37" s="13"/>
      <c r="O37" s="13"/>
    </row>
    <row r="38" spans="2:15" ht="16.899999999999999" hidden="1" customHeight="1" x14ac:dyDescent="0.2">
      <c r="B38" s="7"/>
      <c r="C38" s="22" t="s">
        <v>33</v>
      </c>
      <c r="E38" s="23"/>
      <c r="F38" s="24"/>
      <c r="H38" s="25"/>
      <c r="J38" s="25"/>
      <c r="M38" s="25"/>
      <c r="N38" s="13"/>
      <c r="O38" s="13"/>
    </row>
    <row r="39" spans="2:15" ht="16.899999999999999" hidden="1" customHeight="1" x14ac:dyDescent="0.2">
      <c r="B39" s="7"/>
      <c r="C39" s="26" t="s">
        <v>34</v>
      </c>
      <c r="D39" s="27"/>
      <c r="E39" s="28"/>
      <c r="F39" s="29"/>
      <c r="G39" s="27"/>
      <c r="H39" s="30"/>
      <c r="I39" s="27"/>
      <c r="J39" s="30"/>
      <c r="K39" s="27"/>
      <c r="L39" s="27"/>
      <c r="M39" s="30"/>
      <c r="N39" s="28"/>
      <c r="O39" s="28"/>
    </row>
    <row r="40" spans="2:15" ht="4.1500000000000004" customHeight="1" x14ac:dyDescent="0.2">
      <c r="B40" s="7"/>
      <c r="E40" s="13"/>
      <c r="H40" s="13"/>
      <c r="J40" s="13"/>
      <c r="M40" s="13"/>
      <c r="N40" s="13"/>
      <c r="O40" s="13"/>
    </row>
    <row r="41" spans="2:15" ht="15" customHeight="1" x14ac:dyDescent="0.2">
      <c r="B41" s="7"/>
      <c r="C41" s="157"/>
      <c r="D41" s="158"/>
      <c r="E41" s="159"/>
      <c r="F41" s="158"/>
      <c r="G41" s="158"/>
      <c r="H41" s="159"/>
      <c r="I41" s="158"/>
      <c r="J41" s="159"/>
      <c r="K41" s="493"/>
      <c r="L41" s="158"/>
      <c r="M41" s="159"/>
      <c r="N41" s="159"/>
      <c r="O41" s="159"/>
    </row>
    <row r="42" spans="2:15" ht="31.15" customHeight="1" x14ac:dyDescent="0.3">
      <c r="C42" s="9" t="str">
        <f>CONCATENATE("□ ",'2. 손익계산서'!$C$4,"월 KSCM-DG 손익/원가 요약")</f>
        <v>□ 2월 KSCM-DG 손익/원가 요약</v>
      </c>
      <c r="D42" s="530"/>
      <c r="E42" s="531"/>
      <c r="F42" s="532"/>
      <c r="G42" s="533"/>
      <c r="H42" s="534"/>
      <c r="I42" s="535"/>
      <c r="K42" s="536" t="str">
        <f>+K4</f>
        <v>( 1,350 KRW/USD )</v>
      </c>
    </row>
    <row r="43" spans="2:15" ht="15" customHeight="1" x14ac:dyDescent="0.2">
      <c r="C43" s="537"/>
      <c r="D43" s="5" t="s">
        <v>493</v>
      </c>
      <c r="E43" s="2" t="s">
        <v>494</v>
      </c>
      <c r="F43" s="652" t="s">
        <v>495</v>
      </c>
      <c r="G43" s="652" t="s">
        <v>496</v>
      </c>
      <c r="H43" s="5" t="s">
        <v>497</v>
      </c>
      <c r="I43" s="7" t="s">
        <v>498</v>
      </c>
      <c r="J43" s="6"/>
      <c r="K43" s="6"/>
    </row>
    <row r="44" spans="2:15" ht="15" customHeight="1" x14ac:dyDescent="0.2">
      <c r="C44" s="538"/>
      <c r="D44" s="4"/>
      <c r="E44" s="1"/>
      <c r="F44" s="653"/>
      <c r="G44" s="653"/>
      <c r="H44" s="4"/>
      <c r="I44" s="539" t="s">
        <v>499</v>
      </c>
      <c r="J44" s="540" t="s">
        <v>500</v>
      </c>
      <c r="K44" s="541" t="s">
        <v>501</v>
      </c>
    </row>
    <row r="45" spans="2:15" ht="15" customHeight="1" x14ac:dyDescent="0.2">
      <c r="C45" s="542" t="s">
        <v>325</v>
      </c>
      <c r="D45" s="543" t="s">
        <v>326</v>
      </c>
      <c r="E45" s="544">
        <f>'1. 경신전선 요약'!D38</f>
        <v>199321.01051551185</v>
      </c>
      <c r="F45" s="545">
        <f ca="1">'1. 경신전선 요약'!F38</f>
        <v>32075.727880417064</v>
      </c>
      <c r="G45" s="545">
        <f ca="1">'1. 경신전선 요약'!G38</f>
        <v>31070.996374499999</v>
      </c>
      <c r="H45" s="546">
        <f ca="1">G45/F45</f>
        <v>0.96867626793496786</v>
      </c>
      <c r="I45" s="577">
        <f ca="1">I7</f>
        <v>0.15932415000060182</v>
      </c>
      <c r="J45" s="578">
        <f t="shared" ref="J45:K45" ca="1" si="2">J7</f>
        <v>0.15588420053731336</v>
      </c>
      <c r="K45" s="579">
        <f t="shared" ca="1" si="2"/>
        <v>0.17890508391667151</v>
      </c>
      <c r="M45" s="7"/>
    </row>
    <row r="46" spans="2:15" ht="15" hidden="1" customHeight="1" x14ac:dyDescent="0.2">
      <c r="C46" s="542" t="s">
        <v>502</v>
      </c>
      <c r="D46" s="543" t="s">
        <v>503</v>
      </c>
      <c r="E46" s="550">
        <f>'1. 경신전선 요약'!D48</f>
        <v>0</v>
      </c>
      <c r="F46" s="550">
        <f ca="1">'1. 경신전선 요약'!F48</f>
        <v>0</v>
      </c>
      <c r="G46" s="550">
        <f ca="1">'1. 경신전선 요약'!G48</f>
        <v>1346.4872319999999</v>
      </c>
      <c r="H46" s="546" t="e">
        <f t="shared" ref="H46" ca="1" si="3">G46/F46</f>
        <v>#DIV/0!</v>
      </c>
      <c r="I46" s="580">
        <f t="shared" ref="I46:K47" ca="1" si="4">I8</f>
        <v>0</v>
      </c>
      <c r="J46" s="578">
        <f t="shared" ca="1" si="4"/>
        <v>0</v>
      </c>
      <c r="K46" s="552"/>
    </row>
    <row r="47" spans="2:15" ht="15" customHeight="1" x14ac:dyDescent="0.2">
      <c r="C47" s="542" t="s">
        <v>123</v>
      </c>
      <c r="D47" s="543" t="s">
        <v>326</v>
      </c>
      <c r="E47" s="553">
        <f>'1. 경신전선 요약'!D58</f>
        <v>11052.884468940207</v>
      </c>
      <c r="F47" s="553">
        <f ca="1">'1. 경신전선 요약'!F58</f>
        <v>1726.3818139306761</v>
      </c>
      <c r="G47" s="553">
        <f ca="1">'1. 경신전선 요약'!G58</f>
        <v>2663.8146134999988</v>
      </c>
      <c r="H47" s="546">
        <f ca="1">IF(AND(F47&gt;0,G47&gt;0),G47/F47,"(-)")</f>
        <v>1.5430043296360663</v>
      </c>
      <c r="I47" s="581">
        <f t="shared" ca="1" si="4"/>
        <v>0.44013411387886131</v>
      </c>
      <c r="J47" s="578">
        <f t="shared" ca="1" si="4"/>
        <v>0.24100628401442215</v>
      </c>
      <c r="K47" s="549" t="str">
        <f t="shared" ca="1" si="4"/>
        <v>(-)</v>
      </c>
    </row>
    <row r="48" spans="2:15" ht="15" customHeight="1" thickBot="1" x14ac:dyDescent="0.25">
      <c r="C48" s="555" t="s">
        <v>504</v>
      </c>
      <c r="D48" s="556" t="s">
        <v>505</v>
      </c>
      <c r="E48" s="557">
        <f>E47/E45</f>
        <v>5.5452681282087087E-2</v>
      </c>
      <c r="F48" s="557">
        <f t="shared" ref="F48:G48" ca="1" si="5">F47/F45</f>
        <v>5.3822061976796794E-2</v>
      </c>
      <c r="G48" s="557">
        <f t="shared" ca="1" si="5"/>
        <v>8.5733157102299895E-2</v>
      </c>
      <c r="H48" s="558"/>
      <c r="I48" s="559"/>
      <c r="J48" s="559"/>
      <c r="K48" s="559"/>
    </row>
    <row r="50" spans="3:11" ht="34.9" customHeight="1" x14ac:dyDescent="0.2">
      <c r="C50" s="160" t="s">
        <v>95</v>
      </c>
      <c r="D50" s="63" t="s">
        <v>5</v>
      </c>
      <c r="E50" s="169" t="s">
        <v>506</v>
      </c>
      <c r="F50" s="63" t="s">
        <v>6</v>
      </c>
      <c r="G50" s="169" t="s">
        <v>506</v>
      </c>
      <c r="H50" s="63" t="s">
        <v>7</v>
      </c>
      <c r="I50" s="169" t="s">
        <v>8</v>
      </c>
      <c r="J50" s="64" t="s">
        <v>9</v>
      </c>
      <c r="K50" s="64" t="s">
        <v>10</v>
      </c>
    </row>
    <row r="51" spans="3:11" ht="15" customHeight="1" x14ac:dyDescent="0.2">
      <c r="C51" s="161" t="s">
        <v>11</v>
      </c>
      <c r="D51" s="65">
        <f ca="1">'1. 경신전선 요약'!I38</f>
        <v>13944.597281999999</v>
      </c>
      <c r="E51" s="170">
        <f ca="1">'1. 경신전선 요약'!J38</f>
        <v>1</v>
      </c>
      <c r="F51" s="65">
        <f ca="1">'1. 경신전선 요약'!K38</f>
        <v>16067.610495778627</v>
      </c>
      <c r="G51" s="170">
        <f ca="1">'1. 경신전선 요약'!L38</f>
        <v>1</v>
      </c>
      <c r="H51" s="65">
        <f ca="1">'1. 경신전선 요약'!M38</f>
        <v>17126.399092499996</v>
      </c>
      <c r="I51" s="170">
        <f ca="1">'1. 경신전선 요약'!N38</f>
        <v>1</v>
      </c>
      <c r="J51" s="66">
        <f ca="1">'1. 경신전선 요약'!O38</f>
        <v>1.2281745213687267</v>
      </c>
      <c r="K51" s="66">
        <f ca="1">'1. 경신전선 요약'!P38</f>
        <v>1.0658958341689662</v>
      </c>
    </row>
    <row r="52" spans="3:11" ht="15" customHeight="1" x14ac:dyDescent="0.2">
      <c r="C52" s="162" t="s">
        <v>115</v>
      </c>
      <c r="D52" s="68">
        <f ca="1">'1. 경신전선 요약'!I39</f>
        <v>11979.26334</v>
      </c>
      <c r="E52" s="171">
        <f ca="1">'1. 경신전선 요약'!J39</f>
        <v>0.85906126206047584</v>
      </c>
      <c r="F52" s="68">
        <f ca="1">'1. 경신전선 요약'!K39</f>
        <v>13002.955022535694</v>
      </c>
      <c r="G52" s="171">
        <f ca="1">'1. 경신전선 요약'!L39</f>
        <v>0.80926501336038137</v>
      </c>
      <c r="H52" s="68">
        <f ca="1">'1. 경신전선 요약'!M39</f>
        <v>13146.214409999997</v>
      </c>
      <c r="I52" s="171">
        <f ca="1">'1. 경신전선 요약'!N39</f>
        <v>0.76759944335041197</v>
      </c>
      <c r="J52" s="69">
        <f ca="1">'1. 경신전선 요약'!O39</f>
        <v>1.0974142596985432</v>
      </c>
      <c r="K52" s="69">
        <f ca="1">'1. 경신전선 요약'!P39</f>
        <v>1.0110174485119741</v>
      </c>
    </row>
    <row r="53" spans="3:11" ht="15" customHeight="1" x14ac:dyDescent="0.2">
      <c r="C53" s="162" t="s">
        <v>116</v>
      </c>
      <c r="D53" s="68">
        <f ca="1">'1. 경신전선 요약'!I40</f>
        <v>1965.333942</v>
      </c>
      <c r="E53" s="171">
        <f ca="1">'1. 경신전선 요약'!J40</f>
        <v>0.14093873793952424</v>
      </c>
      <c r="F53" s="68">
        <f ca="1">'1. 경신전선 요약'!K40</f>
        <v>3064.6554732429331</v>
      </c>
      <c r="G53" s="171">
        <f ca="1">'1. 경신전선 요약'!L40</f>
        <v>0.19073498663961869</v>
      </c>
      <c r="H53" s="68">
        <f ca="1">'1. 경신전선 요약'!M40</f>
        <v>3980.1846825000007</v>
      </c>
      <c r="I53" s="171">
        <f ca="1">'1. 경신전선 요약'!N40</f>
        <v>0.23240055664958817</v>
      </c>
      <c r="J53" s="69">
        <f ca="1">'1. 경신전선 요약'!O40</f>
        <v>2.0251951067662377</v>
      </c>
      <c r="K53" s="69">
        <f ca="1">'1. 경신전선 요약'!P40</f>
        <v>1.2987380530211052</v>
      </c>
    </row>
    <row r="54" spans="3:11" ht="15" customHeight="1" x14ac:dyDescent="0.2">
      <c r="C54" s="183" t="s">
        <v>99</v>
      </c>
      <c r="D54" s="68">
        <f ca="1">'1. 경신전선 요약'!I41</f>
        <v>6653.3661089999996</v>
      </c>
      <c r="E54" s="171">
        <f ca="1">'1. 경신전선 요약'!J41</f>
        <v>0.47712859499989396</v>
      </c>
      <c r="F54" s="68">
        <f ca="1">'1. 경신전선 요약'!K41</f>
        <v>7192.9711092564321</v>
      </c>
      <c r="G54" s="171">
        <f ca="1">'1. 경신전선 요약'!L41</f>
        <v>0.44766899914248048</v>
      </c>
      <c r="H54" s="68">
        <f ca="1">'1. 경신전선 요약'!M41</f>
        <v>9748.5748695000002</v>
      </c>
      <c r="I54" s="171">
        <f ca="1">'1. 경신전선 요약'!N41</f>
        <v>0.56921334232886711</v>
      </c>
      <c r="J54" s="69">
        <f ca="1">'1. 경신전선 요약'!O41</f>
        <v>1.4652094458342095</v>
      </c>
      <c r="K54" s="69">
        <f ca="1">'1. 경신전선 요약'!P41</f>
        <v>1.355291814943457</v>
      </c>
    </row>
    <row r="55" spans="3:11" ht="15" customHeight="1" x14ac:dyDescent="0.2">
      <c r="C55" s="183" t="s">
        <v>100</v>
      </c>
      <c r="D55" s="68">
        <f ca="1">'1. 경신전선 요약'!I42</f>
        <v>1399.995819</v>
      </c>
      <c r="E55" s="171">
        <f ca="1">'1. 경신전선 요약'!J42</f>
        <v>0.10039700614424672</v>
      </c>
      <c r="F55" s="68">
        <f ca="1">'1. 경신전선 요약'!K42</f>
        <v>2028.5094596936406</v>
      </c>
      <c r="G55" s="171">
        <f ca="1">'1. 경신전선 요약'!L42</f>
        <v>0.12624835909649304</v>
      </c>
      <c r="H55" s="68">
        <f ca="1">'1. 경신전선 요약'!M42</f>
        <v>1758.4809885</v>
      </c>
      <c r="I55" s="171">
        <f ca="1">'1. 경신전선 요약'!N42</f>
        <v>0.10267663266530296</v>
      </c>
      <c r="J55" s="69">
        <f ca="1">'1. 경신전선 요약'!O42</f>
        <v>1.2560616000668214</v>
      </c>
      <c r="K55" s="69">
        <f ca="1">'1. 경신전선 요약'!P42</f>
        <v>0.86688330690140225</v>
      </c>
    </row>
    <row r="56" spans="3:11" ht="15" customHeight="1" x14ac:dyDescent="0.2">
      <c r="C56" s="183" t="s">
        <v>101</v>
      </c>
      <c r="D56" s="68">
        <f ca="1">'1. 경신전선 요약'!I43</f>
        <v>1518.011577</v>
      </c>
      <c r="E56" s="171">
        <f ca="1">'1. 경신전선 요약'!J43</f>
        <v>0.10886019483398661</v>
      </c>
      <c r="F56" s="68">
        <f ca="1">'1. 경신전선 요약'!K43</f>
        <v>2169.7291611291112</v>
      </c>
      <c r="G56" s="171">
        <f ca="1">'1. 경신전선 요약'!L43</f>
        <v>0.13503745075841581</v>
      </c>
      <c r="H56" s="68">
        <f ca="1">'1. 경신전선 요약'!M43</f>
        <v>2266.6807800000001</v>
      </c>
      <c r="I56" s="171">
        <f ca="1">'1. 경신전선 요약'!N43</f>
        <v>0.13235010861055005</v>
      </c>
      <c r="J56" s="69">
        <f ca="1">'1. 경신전선 요약'!O43</f>
        <v>1.4931907070692914</v>
      </c>
      <c r="K56" s="69">
        <f ca="1">'1. 경신전선 요약'!P43</f>
        <v>1.0446837423802868</v>
      </c>
    </row>
    <row r="57" spans="3:11" ht="15" customHeight="1" x14ac:dyDescent="0.2">
      <c r="C57" s="183" t="s">
        <v>102</v>
      </c>
      <c r="D57" s="68">
        <f ca="1">'1. 경신전선 요약'!I44</f>
        <v>2584.5580304999999</v>
      </c>
      <c r="E57" s="171">
        <f ca="1">'1. 경신전선 요약'!J44</f>
        <v>0.18534475956765031</v>
      </c>
      <c r="F57" s="68">
        <f ca="1">'1. 경신전선 요약'!K44</f>
        <v>1865.130475903062</v>
      </c>
      <c r="G57" s="171">
        <f ca="1">'1. 경신전선 요약'!L44</f>
        <v>0.11608014000545257</v>
      </c>
      <c r="H57" s="68">
        <f ca="1">'1. 경신전선 요약'!M44</f>
        <v>1831.2277635000003</v>
      </c>
      <c r="I57" s="171">
        <f ca="1">'1. 경신전선 요약'!N44</f>
        <v>0.10692427249940314</v>
      </c>
      <c r="J57" s="69">
        <f ca="1">'1. 경신전선 요약'!O44</f>
        <v>0.70852646444380174</v>
      </c>
      <c r="K57" s="69">
        <f ca="1">'1. 경신전선 요약'!P44</f>
        <v>0.98182287360531884</v>
      </c>
    </row>
    <row r="58" spans="3:11" ht="15" customHeight="1" x14ac:dyDescent="0.2">
      <c r="C58" s="183" t="s">
        <v>105</v>
      </c>
      <c r="D58" s="68">
        <f ca="1">'1. 경신전선 요약'!I45</f>
        <v>1128.1815134999999</v>
      </c>
      <c r="E58" s="171">
        <f ca="1">'1. 경신전선 요약'!J45</f>
        <v>8.0904560431894451E-2</v>
      </c>
      <c r="F58" s="68">
        <f ca="1">'1. 경신전선 요약'!K45</f>
        <v>1253.1631921227377</v>
      </c>
      <c r="G58" s="171">
        <f ca="1">'1. 경신전선 요약'!L45</f>
        <v>7.7993127382069399E-2</v>
      </c>
      <c r="H58" s="68">
        <f ca="1">'1. 경신전선 요약'!M45</f>
        <v>709.85740500000009</v>
      </c>
      <c r="I58" s="171">
        <f ca="1">'1. 경신전선 요약'!N45</f>
        <v>4.1448141034554152E-2</v>
      </c>
      <c r="J58" s="69">
        <f ca="1">'1. 경신전선 요약'!O45</f>
        <v>0.62920496082034061</v>
      </c>
      <c r="K58" s="69">
        <f ca="1">'1. 경신전선 요약'!P45</f>
        <v>0.56645248556779748</v>
      </c>
    </row>
    <row r="59" spans="3:11" ht="15" customHeight="1" x14ac:dyDescent="0.2">
      <c r="C59" s="183" t="s">
        <v>508</v>
      </c>
      <c r="D59" s="68">
        <f ca="1">'1. 경신전선 요약'!I46</f>
        <v>163.2566745</v>
      </c>
      <c r="E59" s="171">
        <f ca="1">'1. 경신전선 요약'!J46</f>
        <v>1.1707521644295558E-2</v>
      </c>
      <c r="F59" s="68">
        <f ca="1">'1. 경신전선 요약'!K46</f>
        <v>941.58537171046942</v>
      </c>
      <c r="G59" s="171">
        <f ca="1">'1. 경신전선 요약'!L46</f>
        <v>5.8601456137976959E-2</v>
      </c>
      <c r="H59" s="68">
        <f ca="1">'1. 경신전선 요약'!M46</f>
        <v>32.222542500000003</v>
      </c>
      <c r="I59" s="171">
        <f ca="1">'1. 경신전선 요약'!N46</f>
        <v>1.8814546085236866E-3</v>
      </c>
      <c r="J59" s="69">
        <f ca="1">'1. 경신전선 요약'!O46</f>
        <v>0.19737350769079889</v>
      </c>
      <c r="K59" s="69">
        <f ca="1">'1. 경신전선 요약'!P46</f>
        <v>3.422158358457187E-2</v>
      </c>
    </row>
    <row r="60" spans="3:11" ht="15" customHeight="1" x14ac:dyDescent="0.2">
      <c r="C60" s="183" t="s">
        <v>104</v>
      </c>
      <c r="D60" s="68">
        <f ca="1">'1. 경신전선 요약'!I47</f>
        <v>497.22755849999993</v>
      </c>
      <c r="E60" s="171">
        <f ca="1">'1. 경신전선 요약'!J47</f>
        <v>3.5657362378032423E-2</v>
      </c>
      <c r="F60" s="68">
        <f ca="1">'1. 경신전선 요약'!K47</f>
        <v>616.52172596317314</v>
      </c>
      <c r="G60" s="171">
        <f ca="1">'1. 경신전선 요약'!L47</f>
        <v>3.8370467477111744E-2</v>
      </c>
      <c r="H60" s="68">
        <f ca="1">'1. 경신전선 요약'!M47</f>
        <v>779.35474350000015</v>
      </c>
      <c r="I60" s="171">
        <f ca="1">'1. 경신전선 요약'!N47</f>
        <v>4.5506048252799136E-2</v>
      </c>
      <c r="J60" s="69">
        <f ca="1">'1. 경신전선 요약'!O47</f>
        <v>1.567400539606254</v>
      </c>
      <c r="K60" s="69">
        <f ca="1">'1. 경신전선 요약'!P47</f>
        <v>1.2641156194170415</v>
      </c>
    </row>
    <row r="61" spans="3:11" ht="15" hidden="1" customHeight="1" x14ac:dyDescent="0.2">
      <c r="C61" s="183" t="s">
        <v>114</v>
      </c>
      <c r="D61" s="68">
        <f ca="1">'1. 경신전선 요약'!I48</f>
        <v>631.81666200000006</v>
      </c>
      <c r="E61" s="171">
        <f ca="1">'1. 경신전선 요약'!J48</f>
        <v>4.5309064810036735E-2</v>
      </c>
      <c r="F61" s="68">
        <f ca="1">'1. 경신전선 요약'!K48</f>
        <v>0</v>
      </c>
      <c r="G61" s="171">
        <f ca="1">'1. 경신전선 요약'!L48</f>
        <v>0</v>
      </c>
      <c r="H61" s="68">
        <f ca="1">'1. 경신전선 요약'!M48</f>
        <v>714.67057</v>
      </c>
      <c r="I61" s="171">
        <f ca="1">'1. 경신전선 요약'!N48</f>
        <v>4.172917880402361E-2</v>
      </c>
      <c r="J61" s="69">
        <f ca="1">'1. 경신전선 요약'!O48</f>
        <v>1.1311359971700143</v>
      </c>
      <c r="K61" s="69">
        <f ca="1">'1. 경신전선 요약'!P48</f>
        <v>0</v>
      </c>
    </row>
    <row r="62" spans="3:11" ht="15" hidden="1" customHeight="1" x14ac:dyDescent="0.2">
      <c r="C62" s="162"/>
      <c r="D62" s="68">
        <f>'1. 경신전선 요약'!I49</f>
        <v>0</v>
      </c>
      <c r="E62" s="171">
        <f ca="1">'1. 경신전선 요약'!J49</f>
        <v>0</v>
      </c>
      <c r="F62" s="68">
        <f>'1. 경신전선 요약'!K49</f>
        <v>0</v>
      </c>
      <c r="G62" s="171">
        <f ca="1">'1. 경신전선 요약'!L49</f>
        <v>0</v>
      </c>
      <c r="H62" s="68">
        <f>'1. 경신전선 요약'!M49</f>
        <v>0</v>
      </c>
      <c r="I62" s="171">
        <f ca="1">'1. 경신전선 요약'!N49</f>
        <v>0</v>
      </c>
      <c r="J62" s="69">
        <f>'1. 경신전선 요약'!O49</f>
        <v>0</v>
      </c>
      <c r="K62" s="69">
        <f>'1. 경신전선 요약'!P49</f>
        <v>0</v>
      </c>
    </row>
    <row r="63" spans="3:11" ht="15" customHeight="1" x14ac:dyDescent="0.2">
      <c r="C63" s="161" t="s">
        <v>12</v>
      </c>
      <c r="D63" s="65">
        <f ca="1">'1. 경신전선 요약'!I50</f>
        <v>12587.2624215</v>
      </c>
      <c r="E63" s="170">
        <f ca="1">'1. 경신전선 요약'!J50</f>
        <v>0.90266231192979107</v>
      </c>
      <c r="F63" s="65">
        <f ca="1">'1. 경신전선 요약'!K50</f>
        <v>14311.215549797033</v>
      </c>
      <c r="G63" s="170">
        <f ca="1">'1. 경신전선 요약'!L50</f>
        <v>0.89068723402007755</v>
      </c>
      <c r="H63" s="65">
        <f ca="1">'1. 경신전선 요약'!M50</f>
        <v>14848.112632499999</v>
      </c>
      <c r="I63" s="170">
        <f ca="1">'1. 경신전선 요약'!N50</f>
        <v>0.86697224281094176</v>
      </c>
      <c r="J63" s="66">
        <f ca="1">'1. 경신전선 요약'!O50</f>
        <v>1.1796141317542006</v>
      </c>
      <c r="K63" s="66">
        <f ca="1">'1. 경신전선 요약'!P50</f>
        <v>1.0375158267188966</v>
      </c>
    </row>
    <row r="64" spans="3:11" ht="6" customHeight="1" x14ac:dyDescent="0.2">
      <c r="C64" s="162"/>
      <c r="D64" s="68"/>
      <c r="E64" s="171"/>
      <c r="F64" s="68"/>
      <c r="G64" s="171"/>
      <c r="H64" s="68"/>
      <c r="I64" s="171"/>
      <c r="J64" s="69"/>
      <c r="K64" s="69"/>
    </row>
    <row r="65" spans="3:11" ht="15" customHeight="1" x14ac:dyDescent="0.2">
      <c r="C65" s="161" t="s">
        <v>13</v>
      </c>
      <c r="D65" s="65">
        <f ca="1">'1. 경신전선 요약'!I52</f>
        <v>1357.3348604999992</v>
      </c>
      <c r="E65" s="170">
        <f ca="1">'1. 경신전선 요약'!J52</f>
        <v>9.7337688070208928E-2</v>
      </c>
      <c r="F65" s="65">
        <f ca="1">'1. 경신전선 요약'!K52</f>
        <v>1756.394945981594</v>
      </c>
      <c r="G65" s="170">
        <f ca="1">'1. 경신전선 요약'!L52</f>
        <v>0.1093127659799224</v>
      </c>
      <c r="H65" s="65">
        <f ca="1">'1. 경신전선 요약'!M52</f>
        <v>2278.2864599999975</v>
      </c>
      <c r="I65" s="170">
        <f ca="1">'1. 경신전선 요약'!N52</f>
        <v>0.13302775718905827</v>
      </c>
      <c r="J65" s="66">
        <f ca="1">'1. 경신전선 요약'!O52</f>
        <v>1.6784999238586924</v>
      </c>
      <c r="K65" s="66">
        <f ca="1">'1. 경신전선 요약'!P52</f>
        <v>1.2971379046679816</v>
      </c>
    </row>
    <row r="66" spans="3:11" ht="6" customHeight="1" x14ac:dyDescent="0.2">
      <c r="C66" s="184"/>
      <c r="D66" s="69"/>
      <c r="E66" s="171"/>
      <c r="F66" s="69"/>
      <c r="G66" s="171"/>
      <c r="H66" s="69"/>
      <c r="I66" s="171"/>
      <c r="J66" s="69"/>
      <c r="K66" s="69"/>
    </row>
    <row r="67" spans="3:11" ht="15" customHeight="1" x14ac:dyDescent="0.2">
      <c r="C67" s="161" t="s">
        <v>15</v>
      </c>
      <c r="D67" s="65">
        <f ca="1">'1. 경신전선 요약'!I54</f>
        <v>462.54319650000008</v>
      </c>
      <c r="E67" s="170">
        <f ca="1">'1. 경신전선 요약'!J54</f>
        <v>3.3170064875022331E-2</v>
      </c>
      <c r="F67" s="65">
        <f ca="1">'1. 경신전선 요약'!K54</f>
        <v>792.00274145453625</v>
      </c>
      <c r="G67" s="170">
        <f ca="1">'1. 경신전선 요약'!L54</f>
        <v>4.9291880809695737E-2</v>
      </c>
      <c r="H67" s="65">
        <f ca="1">'1. 경신전선 요약'!M54</f>
        <v>509.2635105</v>
      </c>
      <c r="I67" s="170">
        <f ca="1">'1. 경신전선 요약'!N54</f>
        <v>2.9735585849042664E-2</v>
      </c>
      <c r="J67" s="66">
        <f ca="1">'1. 경신전선 요약'!O54</f>
        <v>1.1010074612566481</v>
      </c>
      <c r="K67" s="66">
        <f ca="1">'1. 경신전선 요약'!P54</f>
        <v>0.64300725722833063</v>
      </c>
    </row>
    <row r="68" spans="3:11" ht="15" hidden="1" customHeight="1" x14ac:dyDescent="0.2">
      <c r="C68" s="163" t="s">
        <v>16</v>
      </c>
      <c r="D68" s="70">
        <f>'2. 손익계산서'!C112*$N$4/1000000</f>
        <v>0</v>
      </c>
      <c r="E68" s="172">
        <f>IFERROR(D68/$I$38,)</f>
        <v>0</v>
      </c>
      <c r="F68" s="70">
        <f ca="1">'2. 손익계산서'!E112*$N$4/1000000</f>
        <v>0</v>
      </c>
      <c r="G68" s="172">
        <f ca="1">IFERROR(F68/$K$38,)</f>
        <v>0</v>
      </c>
      <c r="H68" s="70">
        <f ca="1">'2. 손익계산서'!G112*$N$4/1000000</f>
        <v>0</v>
      </c>
      <c r="I68" s="172">
        <f ca="1">IFERROR(H68/$M$38,)</f>
        <v>0</v>
      </c>
      <c r="J68" s="71">
        <f t="shared" ref="J68:J70" ca="1" si="6">IFERROR(H68/D68,)</f>
        <v>0</v>
      </c>
      <c r="K68" s="71">
        <f t="shared" ref="K68:K70" ca="1" si="7">IFERROR(H68/F68,)</f>
        <v>0</v>
      </c>
    </row>
    <row r="69" spans="3:11" ht="6" customHeight="1" x14ac:dyDescent="0.2">
      <c r="C69" s="185"/>
      <c r="D69" s="70"/>
      <c r="E69" s="172"/>
      <c r="F69" s="70"/>
      <c r="G69" s="172"/>
      <c r="H69" s="70"/>
      <c r="I69" s="172"/>
      <c r="J69" s="71"/>
      <c r="K69" s="71"/>
    </row>
    <row r="70" spans="3:11" ht="15" hidden="1" customHeight="1" x14ac:dyDescent="0.2">
      <c r="C70" s="163" t="s">
        <v>18</v>
      </c>
      <c r="D70" s="70">
        <f>'2. 손익계산서'!C146*$N$4/1000000</f>
        <v>0</v>
      </c>
      <c r="E70" s="172">
        <f>IFERROR(D70/$I$38,)</f>
        <v>0</v>
      </c>
      <c r="F70" s="70">
        <f ca="1">'2. 손익계산서'!E146*$N$4/1000000</f>
        <v>0</v>
      </c>
      <c r="G70" s="172">
        <f ca="1">IFERROR(F70/$K$38,)</f>
        <v>0</v>
      </c>
      <c r="H70" s="70">
        <f ca="1">'2. 손익계산서'!G146*$N$4/1000000</f>
        <v>0</v>
      </c>
      <c r="I70" s="172">
        <f ca="1">IFERROR(H70/$M$38,)</f>
        <v>0</v>
      </c>
      <c r="J70" s="71">
        <f t="shared" ca="1" si="6"/>
        <v>0</v>
      </c>
      <c r="K70" s="71">
        <f t="shared" ca="1" si="7"/>
        <v>0</v>
      </c>
    </row>
    <row r="71" spans="3:11" ht="15" customHeight="1" x14ac:dyDescent="0.2">
      <c r="C71" s="164" t="s">
        <v>20</v>
      </c>
      <c r="D71" s="72">
        <f ca="1">'1. 경신전선 요약'!I58</f>
        <v>894.79166399999917</v>
      </c>
      <c r="E71" s="173">
        <f ca="1">'1. 경신전선 요약'!J58</f>
        <v>6.4167623195186596E-2</v>
      </c>
      <c r="F71" s="72">
        <f ca="1">'1. 경신전선 요약'!K58</f>
        <v>964.39220452705774</v>
      </c>
      <c r="G71" s="173">
        <f ca="1">'1. 경신전선 요약'!L58</f>
        <v>6.0020885170226669E-2</v>
      </c>
      <c r="H71" s="72">
        <f ca="1">'1. 경신전선 요약'!M58</f>
        <v>1769.0229494999976</v>
      </c>
      <c r="I71" s="173">
        <f ca="1">'1. 경신전선 요약'!N58</f>
        <v>0.10329217134001561</v>
      </c>
      <c r="J71" s="73">
        <f ca="1">'1. 경신전선 요약'!O58</f>
        <v>1.9770221613284935</v>
      </c>
      <c r="K71" s="73">
        <f ca="1">'1. 경신전선 요약'!P58</f>
        <v>1.8343397439297369</v>
      </c>
    </row>
    <row r="72" spans="3:11" ht="15" customHeight="1" x14ac:dyDescent="0.2">
      <c r="C72" s="165" t="s">
        <v>21</v>
      </c>
      <c r="D72" s="73">
        <f ca="1">'1. 경신전선 요약'!I59</f>
        <v>6.4167623195186596E-2</v>
      </c>
      <c r="E72" s="173"/>
      <c r="F72" s="73">
        <f ca="1">'1. 경신전선 요약'!K59</f>
        <v>6.0020885170226669E-2</v>
      </c>
      <c r="G72" s="173"/>
      <c r="H72" s="73">
        <f ca="1">'1. 경신전선 요약'!M59</f>
        <v>0.10329217134001561</v>
      </c>
      <c r="I72" s="173"/>
      <c r="J72" s="73"/>
      <c r="K72" s="73"/>
    </row>
    <row r="75" spans="3:11" ht="25.9" customHeight="1" x14ac:dyDescent="0.3">
      <c r="C75" s="9" t="str">
        <f>'1. 경신전선 요약'!C62</f>
        <v>□ 2월 KSCM-GP 손익/원가 요약</v>
      </c>
      <c r="D75" s="530"/>
      <c r="E75" s="531"/>
      <c r="F75" s="532"/>
      <c r="G75" s="533"/>
      <c r="H75" s="534"/>
      <c r="I75" s="535"/>
      <c r="K75" s="536" t="str">
        <f>+K42</f>
        <v>( 1,350 KRW/USD )</v>
      </c>
    </row>
    <row r="76" spans="3:11" ht="15" customHeight="1" x14ac:dyDescent="0.2">
      <c r="C76" s="537"/>
      <c r="D76" s="5" t="s">
        <v>493</v>
      </c>
      <c r="E76" s="2" t="s">
        <v>494</v>
      </c>
      <c r="F76" s="652" t="s">
        <v>495</v>
      </c>
      <c r="G76" s="652" t="s">
        <v>496</v>
      </c>
      <c r="H76" s="5" t="s">
        <v>497</v>
      </c>
      <c r="I76" s="7" t="s">
        <v>498</v>
      </c>
      <c r="J76" s="6"/>
      <c r="K76" s="6"/>
    </row>
    <row r="77" spans="3:11" ht="15" customHeight="1" x14ac:dyDescent="0.2">
      <c r="C77" s="538"/>
      <c r="D77" s="4"/>
      <c r="E77" s="1"/>
      <c r="F77" s="653"/>
      <c r="G77" s="653"/>
      <c r="H77" s="4"/>
      <c r="I77" s="539" t="s">
        <v>499</v>
      </c>
      <c r="J77" s="540" t="s">
        <v>500</v>
      </c>
      <c r="K77" s="541" t="s">
        <v>501</v>
      </c>
    </row>
    <row r="78" spans="3:11" ht="15" customHeight="1" x14ac:dyDescent="0.2">
      <c r="C78" s="542" t="s">
        <v>325</v>
      </c>
      <c r="D78" s="543" t="s">
        <v>326</v>
      </c>
      <c r="E78" s="544">
        <f>'1. 경신전선 요약'!D64</f>
        <v>35016.419854328247</v>
      </c>
      <c r="F78" s="545">
        <f ca="1">'1. 경신전선 요약'!F64</f>
        <v>7050.8206915511564</v>
      </c>
      <c r="G78" s="545">
        <f ca="1">'1. 경신전선 요약'!G64</f>
        <v>6264.6155325000009</v>
      </c>
      <c r="H78" s="546">
        <f ca="1">G78/F78</f>
        <v>0.88849451809301461</v>
      </c>
      <c r="I78" s="582">
        <f ca="1">I7</f>
        <v>0.15932415000060182</v>
      </c>
      <c r="J78" s="583">
        <f t="shared" ref="J78:K78" ca="1" si="8">J7</f>
        <v>0.15588420053731336</v>
      </c>
      <c r="K78" s="584">
        <f t="shared" ca="1" si="8"/>
        <v>0.17890508391667151</v>
      </c>
    </row>
    <row r="79" spans="3:11" ht="15" customHeight="1" x14ac:dyDescent="0.2">
      <c r="C79" s="542" t="s">
        <v>123</v>
      </c>
      <c r="D79" s="543" t="s">
        <v>326</v>
      </c>
      <c r="E79" s="553">
        <f>'1. 경신전선 요약'!D78</f>
        <v>-8918.6152726231157</v>
      </c>
      <c r="F79" s="553">
        <f ca="1">'1. 경신전선 요약'!F78</f>
        <v>-446.65110514056732</v>
      </c>
      <c r="G79" s="553">
        <f ca="1">'1. 경신전선 요약'!G78</f>
        <v>-1724.449932</v>
      </c>
      <c r="H79" s="546" t="str">
        <f ca="1">IF(AND(F79&gt;0,G79&gt;0),G79/F79,"(-)")</f>
        <v>(-)</v>
      </c>
      <c r="I79" s="585">
        <f ca="1">I9</f>
        <v>0.44013411387886131</v>
      </c>
      <c r="J79" s="583">
        <f ca="1">J9</f>
        <v>0.24100628401442215</v>
      </c>
      <c r="K79" s="584" t="str">
        <f ca="1">K9</f>
        <v>(-)</v>
      </c>
    </row>
    <row r="80" spans="3:11" ht="15" customHeight="1" thickBot="1" x14ac:dyDescent="0.25">
      <c r="C80" s="555" t="s">
        <v>504</v>
      </c>
      <c r="D80" s="556" t="s">
        <v>505</v>
      </c>
      <c r="E80" s="557">
        <f>E79/E78</f>
        <v>-0.25469809048798914</v>
      </c>
      <c r="F80" s="557">
        <f ca="1">F79/F78</f>
        <v>-6.334739240721006E-2</v>
      </c>
      <c r="G80" s="557">
        <f ca="1">G79/G78</f>
        <v>-0.2752682783251072</v>
      </c>
      <c r="H80" s="558"/>
      <c r="I80" s="559"/>
      <c r="J80" s="559"/>
      <c r="K80" s="559"/>
    </row>
    <row r="82" spans="3:15" ht="34.9" customHeight="1" x14ac:dyDescent="0.2">
      <c r="C82" s="160" t="s">
        <v>95</v>
      </c>
      <c r="D82" s="63" t="s">
        <v>5</v>
      </c>
      <c r="E82" s="169" t="s">
        <v>506</v>
      </c>
      <c r="F82" s="63" t="s">
        <v>6</v>
      </c>
      <c r="G82" s="169" t="s">
        <v>506</v>
      </c>
      <c r="H82" s="63" t="s">
        <v>7</v>
      </c>
      <c r="I82" s="169" t="s">
        <v>8</v>
      </c>
      <c r="J82" s="64" t="s">
        <v>9</v>
      </c>
      <c r="K82" s="64" t="s">
        <v>10</v>
      </c>
      <c r="L82" s="7"/>
      <c r="M82" s="7"/>
      <c r="N82" s="7"/>
      <c r="O82" s="7"/>
    </row>
    <row r="83" spans="3:15" ht="15" customHeight="1" x14ac:dyDescent="0.2">
      <c r="C83" s="161" t="s">
        <v>11</v>
      </c>
      <c r="D83" s="65">
        <f ca="1">'1. 경신전선 요약'!I64</f>
        <v>2933.0755424999998</v>
      </c>
      <c r="E83" s="170">
        <f ca="1">'1. 경신전선 요약'!J64</f>
        <v>1</v>
      </c>
      <c r="F83" s="65">
        <f ca="1">'1. 경신전선 요약'!K64</f>
        <v>3869.6281995755776</v>
      </c>
      <c r="G83" s="170">
        <f ca="1">'1. 경신전선 요약'!L64</f>
        <v>1</v>
      </c>
      <c r="H83" s="65">
        <f ca="1">'1. 경신전선 요약'!M64</f>
        <v>3331.5399899999998</v>
      </c>
      <c r="I83" s="170">
        <f ca="1">'1. 경신전선 요약'!N64</f>
        <v>1</v>
      </c>
      <c r="J83" s="66">
        <f ca="1">'1. 경신전선 요약'!O64</f>
        <v>1.1358520916786103</v>
      </c>
      <c r="K83" s="66">
        <f ca="1">'1. 경신전선 요약'!P64</f>
        <v>0.86094575968962717</v>
      </c>
      <c r="L83" s="7"/>
      <c r="M83" s="7"/>
      <c r="N83" s="7"/>
      <c r="O83" s="7"/>
    </row>
    <row r="84" spans="3:15" ht="15" customHeight="1" x14ac:dyDescent="0.2">
      <c r="C84" s="166" t="s">
        <v>109</v>
      </c>
      <c r="D84" s="68">
        <f ca="1">'1. 경신전선 요약'!I65</f>
        <v>2880.2946599999996</v>
      </c>
      <c r="E84" s="171">
        <f ca="1">'1. 경신전선 요약'!J65</f>
        <v>0.98200493586502979</v>
      </c>
      <c r="F84" s="68">
        <f ca="1">'1. 경신전선 요약'!K65</f>
        <v>3008.3441795999997</v>
      </c>
      <c r="G84" s="171">
        <f ca="1">'1. 경신전선 요약'!L65</f>
        <v>0.77742460630454269</v>
      </c>
      <c r="H84" s="68">
        <f ca="1">'1. 경신전선 요약'!M65</f>
        <v>3109.7147399999999</v>
      </c>
      <c r="I84" s="171">
        <f ca="1">'1. 경신전선 요약'!N65</f>
        <v>0.93341660293262763</v>
      </c>
      <c r="J84" s="69">
        <f ca="1">'1. 경신전선 요약'!O65</f>
        <v>1.0796516006456092</v>
      </c>
      <c r="K84" s="69">
        <f ca="1">'1. 경신전선 요약'!P65</f>
        <v>1.0336964636850425</v>
      </c>
      <c r="L84" s="7"/>
      <c r="M84" s="7"/>
      <c r="N84" s="7"/>
      <c r="O84" s="7"/>
    </row>
    <row r="85" spans="3:15" ht="15" customHeight="1" x14ac:dyDescent="0.2">
      <c r="C85" s="167" t="s">
        <v>106</v>
      </c>
      <c r="D85" s="68">
        <f ca="1">'1. 경신전선 요약'!I66</f>
        <v>36.123151500000006</v>
      </c>
      <c r="E85" s="171">
        <f ca="1">'1. 경신전선 요약'!J66</f>
        <v>1.2315793090419528E-2</v>
      </c>
      <c r="F85" s="68">
        <f ca="1">'1. 경신전선 요약'!K66</f>
        <v>861.28401997557796</v>
      </c>
      <c r="G85" s="171">
        <f ca="1">'1. 경신전선 요약'!L66</f>
        <v>0.22257539369545734</v>
      </c>
      <c r="H85" s="68">
        <f ca="1">'1. 경신전선 요약'!M66</f>
        <v>206.78755950000004</v>
      </c>
      <c r="I85" s="171">
        <f ca="1">'1. 경신전선 요약'!N66</f>
        <v>6.2069661514103591E-2</v>
      </c>
      <c r="J85" s="69">
        <f ca="1">'1. 경신전선 요약'!O66</f>
        <v>5.7245160212557868</v>
      </c>
      <c r="K85" s="69">
        <f ca="1">'1. 경신전선 요약'!P66</f>
        <v>0.24009218179371722</v>
      </c>
      <c r="L85" s="7"/>
      <c r="M85" s="7"/>
      <c r="N85" s="7"/>
      <c r="O85" s="7"/>
    </row>
    <row r="86" spans="3:15" ht="15" customHeight="1" x14ac:dyDescent="0.2">
      <c r="C86" s="167" t="s">
        <v>107</v>
      </c>
      <c r="D86" s="68">
        <f ca="1">'1. 경신전선 요약'!I67</f>
        <v>-13.496166000000001</v>
      </c>
      <c r="E86" s="171">
        <f ca="1">'1. 경신전선 요약'!J67</f>
        <v>-4.6013700651216698E-3</v>
      </c>
      <c r="F86" s="68">
        <f ca="1">'1. 경신전선 요약'!K67</f>
        <v>0</v>
      </c>
      <c r="G86" s="171">
        <f ca="1">'1. 경신전선 요약'!L67</f>
        <v>0</v>
      </c>
      <c r="H86" s="68">
        <f ca="1">'1. 경신전선 요약'!M67</f>
        <v>0</v>
      </c>
      <c r="I86" s="171">
        <f ca="1">'1. 경신전선 요약'!N67</f>
        <v>0</v>
      </c>
      <c r="J86" s="69">
        <f ca="1">'1. 경신전선 요약'!O67</f>
        <v>0</v>
      </c>
      <c r="K86" s="636">
        <f ca="1">'1. 경신전선 요약'!P67</f>
        <v>0</v>
      </c>
      <c r="L86" s="7"/>
      <c r="M86" s="7"/>
      <c r="N86" s="7"/>
      <c r="O86" s="7"/>
    </row>
    <row r="87" spans="3:15" ht="15" customHeight="1" x14ac:dyDescent="0.2">
      <c r="C87" s="166" t="s">
        <v>345</v>
      </c>
      <c r="D87" s="68">
        <f ca="1">'1. 경신전선 요약'!I68</f>
        <v>30.153897000000001</v>
      </c>
      <c r="E87" s="171">
        <f ca="1">'1. 경신전선 요약'!J68</f>
        <v>1.0280641109672341E-2</v>
      </c>
      <c r="F87" s="68">
        <f ca="1">'1. 경신전선 요약'!K68</f>
        <v>0</v>
      </c>
      <c r="G87" s="171">
        <f ca="1">'1. 경신전선 요약'!L68</f>
        <v>0</v>
      </c>
      <c r="H87" s="68">
        <f ca="1">'1. 경신전선 요약'!M68</f>
        <v>15.037690499999998</v>
      </c>
      <c r="I87" s="171">
        <f ca="1">'1. 경신전선 요약'!N68</f>
        <v>4.5137355532688652E-3</v>
      </c>
      <c r="J87" s="69">
        <f ca="1">'1. 경신전선 요약'!O68</f>
        <v>0.49869807872594374</v>
      </c>
      <c r="K87" s="636">
        <f ca="1">'1. 경신전선 요약'!P68</f>
        <v>0</v>
      </c>
      <c r="L87" s="7"/>
      <c r="M87" s="7"/>
      <c r="N87" s="7"/>
      <c r="O87" s="7"/>
    </row>
    <row r="88" spans="3:15" ht="15" hidden="1" customHeight="1" x14ac:dyDescent="0.2">
      <c r="C88" s="162"/>
      <c r="D88" s="68">
        <f>'1. 경신전선 요약'!I69</f>
        <v>0</v>
      </c>
      <c r="E88" s="171">
        <f ca="1">'1. 경신전선 요약'!J69</f>
        <v>0</v>
      </c>
      <c r="F88" s="68">
        <f>'1. 경신전선 요약'!K69</f>
        <v>0</v>
      </c>
      <c r="G88" s="171">
        <f ca="1">'1. 경신전선 요약'!L69</f>
        <v>0</v>
      </c>
      <c r="H88" s="68">
        <f>'1. 경신전선 요약'!M69</f>
        <v>0</v>
      </c>
      <c r="I88" s="171">
        <f ca="1">'1. 경신전선 요약'!N69</f>
        <v>0</v>
      </c>
      <c r="J88" s="69">
        <f>'1. 경신전선 요약'!O69</f>
        <v>0</v>
      </c>
      <c r="K88" s="69">
        <f>'1. 경신전선 요약'!P69</f>
        <v>0</v>
      </c>
      <c r="L88" s="7"/>
      <c r="M88" s="7"/>
      <c r="N88" s="7"/>
      <c r="O88" s="7"/>
    </row>
    <row r="89" spans="3:15" ht="15" customHeight="1" x14ac:dyDescent="0.2">
      <c r="C89" s="161" t="s">
        <v>12</v>
      </c>
      <c r="D89" s="65">
        <f ca="1">'1. 경신전선 요약'!I70</f>
        <v>3259.7320995</v>
      </c>
      <c r="E89" s="170">
        <f ca="1">'1. 경신전선 요약'!J70</f>
        <v>1.111369977440668</v>
      </c>
      <c r="F89" s="65">
        <f ca="1">'1. 경신전선 요약'!K70</f>
        <v>3594.5099168658289</v>
      </c>
      <c r="G89" s="170">
        <f ca="1">'1. 경신전선 요약'!L70</f>
        <v>0.92890317402071765</v>
      </c>
      <c r="H89" s="65">
        <f ca="1">'1. 경신전선 요약'!M70</f>
        <v>3809.2782735000001</v>
      </c>
      <c r="I89" s="170">
        <f ca="1">'1. 경신전선 요약'!N70</f>
        <v>1.1433986339452586</v>
      </c>
      <c r="J89" s="66">
        <f ca="1">'1. 경신전선 요약'!O70</f>
        <v>1.1685863001086172</v>
      </c>
      <c r="K89" s="66">
        <f ca="1">'1. 경신전선 요약'!P70</f>
        <v>1.0597489954406454</v>
      </c>
      <c r="L89" s="7"/>
      <c r="M89" s="7"/>
      <c r="N89" s="7"/>
      <c r="O89" s="7"/>
    </row>
    <row r="90" spans="3:15" ht="6" customHeight="1" x14ac:dyDescent="0.2">
      <c r="C90" s="168"/>
      <c r="D90" s="68"/>
      <c r="E90" s="171"/>
      <c r="F90" s="68"/>
      <c r="G90" s="171"/>
      <c r="H90" s="68"/>
      <c r="I90" s="171"/>
      <c r="J90" s="69"/>
      <c r="K90" s="69"/>
      <c r="L90" s="7"/>
      <c r="M90" s="7"/>
      <c r="N90" s="7"/>
      <c r="O90" s="7"/>
    </row>
    <row r="91" spans="3:15" ht="15" customHeight="1" x14ac:dyDescent="0.2">
      <c r="C91" s="161" t="s">
        <v>13</v>
      </c>
      <c r="D91" s="65">
        <f ca="1">'1. 경신전선 요약'!I72</f>
        <v>-326.65655700000025</v>
      </c>
      <c r="E91" s="170">
        <f ca="1">'1. 경신전선 요약'!J72</f>
        <v>-0.11136997744066808</v>
      </c>
      <c r="F91" s="65">
        <f ca="1">'1. 경신전선 요약'!K72</f>
        <v>275.11828270974866</v>
      </c>
      <c r="G91" s="170">
        <f ca="1">'1. 경신전선 요약'!L72</f>
        <v>7.1096825979282394E-2</v>
      </c>
      <c r="H91" s="65">
        <f ca="1">'1. 경신전선 요약'!M72</f>
        <v>-477.73828350000031</v>
      </c>
      <c r="I91" s="170">
        <f ca="1">'1. 경신전선 요약'!N72</f>
        <v>-0.14339863394525856</v>
      </c>
      <c r="J91" s="66" t="str">
        <f ca="1">'1. 경신전선 요약'!O72</f>
        <v>(-)</v>
      </c>
      <c r="K91" s="66" t="str">
        <f ca="1">'1. 경신전선 요약'!P72</f>
        <v>(-)</v>
      </c>
      <c r="L91" s="7"/>
      <c r="M91" s="7"/>
      <c r="N91" s="7"/>
      <c r="O91" s="7"/>
    </row>
    <row r="92" spans="3:15" ht="6" customHeight="1" x14ac:dyDescent="0.2">
      <c r="C92" s="184"/>
      <c r="D92" s="69"/>
      <c r="E92" s="171"/>
      <c r="F92" s="69"/>
      <c r="G92" s="171"/>
      <c r="H92" s="69"/>
      <c r="I92" s="171"/>
      <c r="J92" s="69"/>
      <c r="K92" s="69"/>
      <c r="L92" s="7"/>
      <c r="M92" s="7"/>
      <c r="N92" s="7"/>
      <c r="O92" s="7"/>
    </row>
    <row r="93" spans="3:15" ht="15" customHeight="1" x14ac:dyDescent="0.2">
      <c r="C93" s="161" t="s">
        <v>15</v>
      </c>
      <c r="D93" s="65">
        <f ca="1">'1. 경신전선 요약'!I74</f>
        <v>475.99863299999993</v>
      </c>
      <c r="E93" s="170">
        <f ca="1">'1. 경신전선 요약'!J74</f>
        <v>0.16228652351527353</v>
      </c>
      <c r="F93" s="65">
        <f ca="1">'1. 경신전선 요약'!K74</f>
        <v>234.87223856369928</v>
      </c>
      <c r="G93" s="170">
        <f ca="1">'1. 경신전선 요약'!L74</f>
        <v>6.0696332166863001E-2</v>
      </c>
      <c r="H93" s="65">
        <f ca="1">'1. 경신전선 요약'!M74</f>
        <v>444.05645850000002</v>
      </c>
      <c r="I93" s="170">
        <f ca="1">'1. 경신전선 요약'!N74</f>
        <v>0.1332886472420822</v>
      </c>
      <c r="J93" s="66">
        <f ca="1">'1. 경신전선 요약'!O74</f>
        <v>0.93289439866941826</v>
      </c>
      <c r="K93" s="66">
        <f ca="1">'1. 경신전선 요약'!P74</f>
        <v>1.8906298216235047</v>
      </c>
      <c r="L93" s="7"/>
      <c r="M93" s="7"/>
      <c r="N93" s="7"/>
      <c r="O93" s="7"/>
    </row>
    <row r="94" spans="3:15" ht="15" hidden="1" customHeight="1" x14ac:dyDescent="0.2">
      <c r="C94" s="163" t="s">
        <v>16</v>
      </c>
      <c r="D94" s="70">
        <f ca="1">'2. 손익계산서'!H188*$N$4/1000000</f>
        <v>0</v>
      </c>
      <c r="E94" s="172">
        <f t="shared" ref="E94:E96" ca="1" si="9">IFERROR(D94/$I$64,)</f>
        <v>0</v>
      </c>
      <c r="F94" s="70">
        <f ca="1">'2. 손익계산서'!J188*$N$4/1000000</f>
        <v>0</v>
      </c>
      <c r="G94" s="172">
        <f t="shared" ref="G94:G96" ca="1" si="10">IFERROR(F94/$K$64,)</f>
        <v>0</v>
      </c>
      <c r="H94" s="70">
        <f ca="1">'2. 손익계산서'!L188*$N$4/1000000</f>
        <v>0</v>
      </c>
      <c r="I94" s="172">
        <f t="shared" ref="I94:I96" ca="1" si="11">IFERROR(H94/$M$64,)</f>
        <v>0</v>
      </c>
      <c r="J94" s="71">
        <f t="shared" ref="J94:J96" ca="1" si="12">IFERROR(H94/D94,)</f>
        <v>0</v>
      </c>
      <c r="K94" s="71">
        <f t="shared" ref="K94:K96" ca="1" si="13">IFERROR(H94/F94,)</f>
        <v>0</v>
      </c>
      <c r="L94" s="7"/>
      <c r="M94" s="7"/>
      <c r="N94" s="7"/>
      <c r="O94" s="7"/>
    </row>
    <row r="95" spans="3:15" ht="6" customHeight="1" x14ac:dyDescent="0.2">
      <c r="C95" s="185"/>
      <c r="D95" s="70"/>
      <c r="E95" s="172"/>
      <c r="F95" s="70"/>
      <c r="G95" s="172"/>
      <c r="H95" s="70"/>
      <c r="I95" s="172"/>
      <c r="J95" s="71"/>
      <c r="K95" s="71"/>
      <c r="L95" s="7"/>
      <c r="M95" s="7"/>
      <c r="N95" s="7"/>
      <c r="O95" s="7"/>
    </row>
    <row r="96" spans="3:15" ht="15" hidden="1" customHeight="1" x14ac:dyDescent="0.2">
      <c r="C96" s="163" t="s">
        <v>18</v>
      </c>
      <c r="D96" s="70">
        <f>'2. 손익계산서'!H222*$N$4/1000000</f>
        <v>0</v>
      </c>
      <c r="E96" s="172">
        <f t="shared" si="9"/>
        <v>0</v>
      </c>
      <c r="F96" s="70">
        <f>'2. 손익계산서'!J222*$N$4/1000000</f>
        <v>0</v>
      </c>
      <c r="G96" s="172">
        <f t="shared" si="10"/>
        <v>0</v>
      </c>
      <c r="H96" s="70">
        <f>'2. 손익계산서'!L222*$N$4/1000000</f>
        <v>0</v>
      </c>
      <c r="I96" s="172">
        <f t="shared" si="11"/>
        <v>0</v>
      </c>
      <c r="J96" s="71">
        <f t="shared" si="12"/>
        <v>0</v>
      </c>
      <c r="K96" s="71">
        <f t="shared" si="13"/>
        <v>0</v>
      </c>
      <c r="L96" s="7"/>
      <c r="M96" s="7"/>
      <c r="N96" s="7"/>
      <c r="O96" s="7"/>
    </row>
    <row r="97" spans="3:15" ht="15" customHeight="1" x14ac:dyDescent="0.2">
      <c r="C97" s="164" t="s">
        <v>20</v>
      </c>
      <c r="D97" s="72">
        <f ca="1">'1. 경신전선 요약'!I78</f>
        <v>-802.65519000000018</v>
      </c>
      <c r="E97" s="173">
        <f ca="1">'1. 경신전선 요약'!J78</f>
        <v>-0.27365650095594163</v>
      </c>
      <c r="F97" s="72">
        <f ca="1">'1. 경신전선 요약'!K78</f>
        <v>40.246044146049371</v>
      </c>
      <c r="G97" s="173">
        <f ca="1">'1. 경신전선 요약'!L78</f>
        <v>1.0400493812419387E-2</v>
      </c>
      <c r="H97" s="72">
        <f ca="1">'1. 경신전선 요약'!M78</f>
        <v>-921.79474200000027</v>
      </c>
      <c r="I97" s="173">
        <f ca="1">'1. 경신전선 요약'!N78</f>
        <v>-0.27668728118734076</v>
      </c>
      <c r="J97" s="73" t="str">
        <f ca="1">'1. 경신전선 요약'!O78</f>
        <v>(-)</v>
      </c>
      <c r="K97" s="73" t="str">
        <f ca="1">'1. 경신전선 요약'!P78</f>
        <v>(-)</v>
      </c>
      <c r="L97" s="7"/>
      <c r="M97" s="7"/>
      <c r="N97" s="7"/>
      <c r="O97" s="7"/>
    </row>
    <row r="98" spans="3:15" ht="15" customHeight="1" x14ac:dyDescent="0.2">
      <c r="C98" s="165" t="s">
        <v>21</v>
      </c>
      <c r="D98" s="73">
        <f ca="1">'1. 경신전선 요약'!I79</f>
        <v>-0.27365650095594163</v>
      </c>
      <c r="E98" s="173"/>
      <c r="F98" s="73">
        <f ca="1">'1. 경신전선 요약'!K79</f>
        <v>1.0400493812419387E-2</v>
      </c>
      <c r="G98" s="173"/>
      <c r="H98" s="73">
        <f ca="1">'1. 경신전선 요약'!M79</f>
        <v>-0.27668728118734076</v>
      </c>
      <c r="I98" s="173"/>
      <c r="J98" s="73"/>
      <c r="K98" s="73"/>
      <c r="L98" s="7"/>
      <c r="M98" s="7"/>
      <c r="N98" s="7"/>
      <c r="O98" s="7"/>
    </row>
    <row r="99" spans="3:15" ht="15" customHeight="1" x14ac:dyDescent="0.2">
      <c r="K99" s="493"/>
    </row>
  </sheetData>
  <mergeCells count="18">
    <mergeCell ref="I5:K5"/>
    <mergeCell ref="D5:D6"/>
    <mergeCell ref="E5:E6"/>
    <mergeCell ref="F5:F6"/>
    <mergeCell ref="G5:G6"/>
    <mergeCell ref="H5:H6"/>
    <mergeCell ref="I76:K76"/>
    <mergeCell ref="D43:D44"/>
    <mergeCell ref="E43:E44"/>
    <mergeCell ref="F43:F44"/>
    <mergeCell ref="G43:G44"/>
    <mergeCell ref="H43:H44"/>
    <mergeCell ref="I43:K43"/>
    <mergeCell ref="D76:D77"/>
    <mergeCell ref="E76:E77"/>
    <mergeCell ref="F76:F77"/>
    <mergeCell ref="G76:G77"/>
    <mergeCell ref="H76:H77"/>
  </mergeCells>
  <phoneticPr fontId="8" type="noConversion"/>
  <pageMargins left="0.7" right="0.7" top="0.75" bottom="0.75" header="0.3" footer="0.3"/>
  <pageSetup paperSize="9" scale="61" orientation="landscape" r:id="rId1"/>
  <rowBreaks count="1" manualBreakCount="1">
    <brk id="4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23CC-6DD0-45B9-8EEB-A0C2731EE70D}">
  <dimension ref="B1:O99"/>
  <sheetViews>
    <sheetView showGridLines="0" topLeftCell="A74" zoomScaleNormal="100" zoomScaleSheetLayoutView="100" workbookViewId="0">
      <selection activeCell="G102" sqref="G102"/>
    </sheetView>
  </sheetViews>
  <sheetFormatPr defaultColWidth="11" defaultRowHeight="15" customHeight="1" x14ac:dyDescent="0.2"/>
  <cols>
    <col min="1" max="1" width="0.85546875" style="7" customWidth="1"/>
    <col min="2" max="2" width="5" style="31" customWidth="1"/>
    <col min="3" max="3" width="18.5703125" style="3" customWidth="1"/>
    <col min="4" max="4" width="14.7109375" style="4" customWidth="1"/>
    <col min="5" max="5" width="14.7109375" style="6" customWidth="1"/>
    <col min="6" max="7" width="14.7109375" style="4" customWidth="1"/>
    <col min="8" max="8" width="14.7109375" style="6" customWidth="1"/>
    <col min="9" max="9" width="15.7109375" style="4" customWidth="1"/>
    <col min="10" max="10" width="15.28515625" style="6" customWidth="1"/>
    <col min="11" max="11" width="15.7109375" style="4" customWidth="1"/>
    <col min="12" max="12" width="10.28515625" style="4" customWidth="1"/>
    <col min="13" max="13" width="10.7109375" style="6" customWidth="1"/>
    <col min="14" max="14" width="11.28515625" style="6" customWidth="1"/>
    <col min="15" max="15" width="13.85546875" style="6" customWidth="1"/>
    <col min="16" max="16384" width="11" style="7"/>
  </cols>
  <sheetData>
    <row r="1" spans="2:15" ht="9" customHeight="1" x14ac:dyDescent="0.2">
      <c r="B1" s="7"/>
      <c r="E1" s="5"/>
    </row>
    <row r="2" spans="2:15" ht="16.5" hidden="1" x14ac:dyDescent="0.2">
      <c r="B2" s="7"/>
      <c r="E2" s="5"/>
    </row>
    <row r="3" spans="2:15" ht="16.5" hidden="1" x14ac:dyDescent="0.2">
      <c r="B3" s="7"/>
      <c r="E3" s="5"/>
      <c r="O3" s="8"/>
    </row>
    <row r="4" spans="2:15" ht="31.15" customHeight="1" x14ac:dyDescent="0.3">
      <c r="B4" s="7"/>
      <c r="C4" s="529" t="str">
        <f>CONCATENATE("■ ",'2. 손익계산서'!$C$4,"월 KSCI 손익/원가 요약")</f>
        <v>■ 2월 KSCI 손익/원가 요약</v>
      </c>
      <c r="D4" s="530"/>
      <c r="E4" s="531"/>
      <c r="F4" s="532"/>
      <c r="G4" s="533"/>
      <c r="H4" s="534"/>
      <c r="I4" s="535"/>
      <c r="K4" s="536" t="s">
        <v>507</v>
      </c>
      <c r="L4" s="186"/>
      <c r="M4" s="7"/>
      <c r="N4" s="7"/>
      <c r="O4" s="7"/>
    </row>
    <row r="5" spans="2:15" ht="18.600000000000001" customHeight="1" x14ac:dyDescent="0.3">
      <c r="B5" s="7"/>
      <c r="C5" s="537"/>
      <c r="D5" s="5" t="s">
        <v>493</v>
      </c>
      <c r="E5" s="2" t="s">
        <v>494</v>
      </c>
      <c r="F5" s="652" t="s">
        <v>495</v>
      </c>
      <c r="G5" s="652" t="s">
        <v>496</v>
      </c>
      <c r="H5" s="5" t="s">
        <v>497</v>
      </c>
      <c r="I5" s="7" t="s">
        <v>498</v>
      </c>
      <c r="J5" s="6"/>
      <c r="K5" s="6"/>
      <c r="L5" s="186"/>
      <c r="M5" s="187"/>
      <c r="N5" s="188"/>
      <c r="O5" s="189"/>
    </row>
    <row r="6" spans="2:15" ht="14.45" customHeight="1" x14ac:dyDescent="0.3">
      <c r="B6" s="7"/>
      <c r="C6" s="538"/>
      <c r="D6" s="4"/>
      <c r="E6" s="1"/>
      <c r="F6" s="653"/>
      <c r="G6" s="653"/>
      <c r="H6" s="4"/>
      <c r="I6" s="539" t="s">
        <v>499</v>
      </c>
      <c r="J6" s="540" t="s">
        <v>500</v>
      </c>
      <c r="K6" s="541" t="s">
        <v>501</v>
      </c>
      <c r="L6" s="186"/>
      <c r="M6" s="187"/>
      <c r="N6" s="188"/>
      <c r="O6" s="189"/>
    </row>
    <row r="7" spans="2:15" ht="16.899999999999999" customHeight="1" x14ac:dyDescent="0.3">
      <c r="B7" s="7"/>
      <c r="C7" s="542" t="s">
        <v>325</v>
      </c>
      <c r="D7" s="543" t="s">
        <v>326</v>
      </c>
      <c r="E7" s="544">
        <f>'1. 경신전선 요약'!D6</f>
        <v>234337.43036984012</v>
      </c>
      <c r="F7" s="545">
        <f ca="1">'1. 경신전선 요약'!F6</f>
        <v>39126.548571968218</v>
      </c>
      <c r="G7" s="545">
        <f ca="1">'1. 경신전선 요약'!G6</f>
        <v>37335.611906999991</v>
      </c>
      <c r="H7" s="546">
        <f ca="1">G7/F7</f>
        <v>0.95422707265697027</v>
      </c>
      <c r="I7" s="547">
        <f ca="1">'1. 경신전선 요약'!E6</f>
        <v>0.15932415000060182</v>
      </c>
      <c r="J7" s="548">
        <f ca="1">'1. 경신전선 요약'!E7</f>
        <v>0.15588420053731336</v>
      </c>
      <c r="K7" s="549">
        <f ca="1">'1. 경신전선 요약'!E8</f>
        <v>0.17890508391667151</v>
      </c>
      <c r="L7" s="186"/>
      <c r="M7" s="187"/>
      <c r="N7" s="188"/>
      <c r="O7" s="189"/>
    </row>
    <row r="8" spans="2:15" ht="16.899999999999999" hidden="1" customHeight="1" x14ac:dyDescent="0.3">
      <c r="B8" s="7"/>
      <c r="C8" s="542" t="s">
        <v>502</v>
      </c>
      <c r="D8" s="543" t="s">
        <v>503</v>
      </c>
      <c r="E8" s="550">
        <f>'1. 경신전선 요약'!D9</f>
        <v>0</v>
      </c>
      <c r="F8" s="550">
        <f ca="1">'1. 경신전선 요약'!F9</f>
        <v>0</v>
      </c>
      <c r="G8" s="550">
        <f ca="1">'1. 경신전선 요약'!G9</f>
        <v>1346.4872319999999</v>
      </c>
      <c r="H8" s="546" t="e">
        <f t="shared" ref="H8" ca="1" si="0">G8/F8</f>
        <v>#DIV/0!</v>
      </c>
      <c r="I8" s="551">
        <f ca="1">'1. 경신전선 요약'!E9</f>
        <v>0</v>
      </c>
      <c r="J8" s="548">
        <f ca="1">I8</f>
        <v>0</v>
      </c>
      <c r="K8" s="552"/>
      <c r="L8" s="186"/>
      <c r="M8" s="187"/>
      <c r="N8" s="188"/>
      <c r="O8" s="189"/>
    </row>
    <row r="9" spans="2:15" ht="16.899999999999999" customHeight="1" x14ac:dyDescent="0.3">
      <c r="B9" s="7"/>
      <c r="C9" s="542" t="s">
        <v>123</v>
      </c>
      <c r="D9" s="543" t="s">
        <v>326</v>
      </c>
      <c r="E9" s="553">
        <f>'1. 경신전선 요약'!D22</f>
        <v>2134.269196317131</v>
      </c>
      <c r="F9" s="553">
        <f ca="1">'1. 경신전선 요약'!F22</f>
        <v>1279.7307087901063</v>
      </c>
      <c r="G9" s="553">
        <f ca="1">'1. 경신전선 요약'!G22</f>
        <v>939.36468149998996</v>
      </c>
      <c r="H9" s="546">
        <f ca="1">IF(AND(F9&gt;0,G9&gt;0),G9/F9,"(-)")</f>
        <v>0.73403308606081041</v>
      </c>
      <c r="I9" s="554">
        <f ca="1">'1. 경신전선 요약'!E22</f>
        <v>0.44013411387886131</v>
      </c>
      <c r="J9" s="548">
        <f ca="1">'1. 경신전선 요약'!E24</f>
        <v>0.24100628401442215</v>
      </c>
      <c r="K9" s="549" t="str">
        <f ca="1">'1. 경신전선 요약'!E25</f>
        <v>(-)</v>
      </c>
      <c r="L9" s="186"/>
      <c r="M9" s="187"/>
      <c r="N9" s="188"/>
      <c r="O9" s="189"/>
    </row>
    <row r="10" spans="2:15" ht="16.899999999999999" customHeight="1" thickBot="1" x14ac:dyDescent="0.35">
      <c r="B10" s="7"/>
      <c r="C10" s="555" t="s">
        <v>504</v>
      </c>
      <c r="D10" s="556" t="s">
        <v>505</v>
      </c>
      <c r="E10" s="557">
        <f>E9/E7</f>
        <v>9.1076751714344022E-3</v>
      </c>
      <c r="F10" s="557">
        <f t="shared" ref="F10:G10" ca="1" si="1">F9/F7</f>
        <v>3.2707477543954776E-2</v>
      </c>
      <c r="G10" s="557">
        <f t="shared" ca="1" si="1"/>
        <v>2.516001837173238E-2</v>
      </c>
      <c r="H10" s="558"/>
      <c r="I10" s="559"/>
      <c r="J10" s="559"/>
      <c r="K10" s="559"/>
      <c r="L10" s="187"/>
      <c r="M10" s="188"/>
      <c r="N10" s="189"/>
      <c r="O10" s="7"/>
    </row>
    <row r="11" spans="2:15" ht="31.15" customHeight="1" x14ac:dyDescent="0.3">
      <c r="B11" s="7"/>
      <c r="C11" s="9"/>
      <c r="D11" s="10"/>
      <c r="E11" s="11"/>
      <c r="F11" s="7"/>
      <c r="G11" s="12"/>
      <c r="K11" s="536" t="s">
        <v>0</v>
      </c>
      <c r="L11" s="186"/>
      <c r="M11" s="187"/>
      <c r="N11" s="188"/>
      <c r="O11" s="189"/>
    </row>
    <row r="12" spans="2:15" ht="34.9" customHeight="1" x14ac:dyDescent="0.2">
      <c r="B12" s="7"/>
      <c r="C12" s="160" t="s">
        <v>95</v>
      </c>
      <c r="D12" s="63" t="s">
        <v>5</v>
      </c>
      <c r="E12" s="169" t="s">
        <v>454</v>
      </c>
      <c r="F12" s="63" t="s">
        <v>6</v>
      </c>
      <c r="G12" s="169" t="s">
        <v>454</v>
      </c>
      <c r="H12" s="63" t="s">
        <v>7</v>
      </c>
      <c r="I12" s="169" t="s">
        <v>454</v>
      </c>
      <c r="J12" s="64" t="s">
        <v>9</v>
      </c>
      <c r="K12" s="64" t="s">
        <v>10</v>
      </c>
      <c r="L12" s="7"/>
      <c r="M12" s="7"/>
      <c r="N12" s="7"/>
      <c r="O12" s="7"/>
    </row>
    <row r="13" spans="2:15" ht="18.600000000000001" customHeight="1" x14ac:dyDescent="0.2">
      <c r="B13" s="7"/>
      <c r="C13" s="161" t="s">
        <v>11</v>
      </c>
      <c r="D13" s="65">
        <v>13091.899515099998</v>
      </c>
      <c r="E13" s="560">
        <v>1</v>
      </c>
      <c r="F13" s="65">
        <f ca="1">'1. 경신전선 요약'!K6</f>
        <v>19937.238695354201</v>
      </c>
      <c r="G13" s="560">
        <f ca="1">'1. 경신전선 요약'!L6</f>
        <v>1</v>
      </c>
      <c r="H13" s="65">
        <f ca="1">'1. 경신전선 요약'!M6</f>
        <v>20457.939082500005</v>
      </c>
      <c r="I13" s="560">
        <f ca="1">'1. 경신전선 요약'!N6</f>
        <v>1</v>
      </c>
      <c r="J13" s="561">
        <f t="shared" ref="J13" ca="1" si="2">IF(D13&gt;0,H13/D13,"(-)")</f>
        <v>1.5626410101073667</v>
      </c>
      <c r="K13" s="561">
        <f ca="1">'1. 경신전선 요약'!P6</f>
        <v>1.0261169761320628</v>
      </c>
      <c r="L13" s="7"/>
      <c r="M13" s="7"/>
      <c r="N13" s="7"/>
      <c r="O13" s="7"/>
    </row>
    <row r="14" spans="2:15" ht="15" customHeight="1" x14ac:dyDescent="0.2">
      <c r="B14" s="7"/>
      <c r="C14" s="162" t="s">
        <v>120</v>
      </c>
      <c r="D14" s="68">
        <v>9928.7936453999991</v>
      </c>
      <c r="E14" s="562">
        <v>0.75839213659929783</v>
      </c>
      <c r="F14" s="68">
        <f ca="1">'1. 경신전선 요약'!K7</f>
        <v>16067.610495778625</v>
      </c>
      <c r="G14" s="562">
        <f ca="1">'1. 경신전선 요약'!L7</f>
        <v>0.8059095214385289</v>
      </c>
      <c r="H14" s="68">
        <f ca="1">'1. 경신전선 요약'!M7</f>
        <v>17126.399092500003</v>
      </c>
      <c r="I14" s="562">
        <f ca="1">'1. 경신전선 요약'!N7</f>
        <v>0.83715172987049091</v>
      </c>
      <c r="J14" s="563">
        <f t="shared" ref="J14" ca="1" si="3">IF(D14&gt;0,H14/D14,"(-)")</f>
        <v>1.7249224532362648</v>
      </c>
      <c r="K14" s="563">
        <f ca="1">'1. 경신전선 요약'!P7</f>
        <v>1.0658958341689668</v>
      </c>
      <c r="L14" s="7"/>
      <c r="M14" s="7"/>
      <c r="N14" s="7"/>
      <c r="O14" s="7"/>
    </row>
    <row r="15" spans="2:15" ht="15" customHeight="1" x14ac:dyDescent="0.2">
      <c r="B15" s="7"/>
      <c r="C15" s="162" t="s">
        <v>121</v>
      </c>
      <c r="D15" s="68">
        <v>3163.1058696999999</v>
      </c>
      <c r="E15" s="562">
        <v>0.2416078634007022</v>
      </c>
      <c r="F15" s="68">
        <f ca="1">'1. 경신전선 요약'!K8</f>
        <v>3869.6281995755776</v>
      </c>
      <c r="G15" s="562">
        <f ca="1">'1. 경신전선 요약'!L8</f>
        <v>0.19409047856147116</v>
      </c>
      <c r="H15" s="68">
        <f ca="1">'1. 경신전선 요약'!M8</f>
        <v>3331.5399900000002</v>
      </c>
      <c r="I15" s="562">
        <f ca="1">'1. 경신전선 요약'!N8</f>
        <v>0.162848270129509</v>
      </c>
      <c r="J15" s="563">
        <f t="shared" ref="J15" ca="1" si="4">IF(D15&gt;0,H15/D15,"(-)")</f>
        <v>1.0532495993616475</v>
      </c>
      <c r="K15" s="563">
        <f ca="1">'1. 경신전선 요약'!P8</f>
        <v>0.86094575968962728</v>
      </c>
      <c r="L15" s="7"/>
      <c r="M15" s="7"/>
      <c r="N15" s="7"/>
      <c r="O15" s="7"/>
    </row>
    <row r="16" spans="2:15" ht="15" hidden="1" customHeight="1" x14ac:dyDescent="0.2">
      <c r="B16" s="7"/>
      <c r="C16" s="162" t="s">
        <v>124</v>
      </c>
      <c r="D16" s="68">
        <v>476.23611399999999</v>
      </c>
      <c r="E16" s="562">
        <v>3.6376395453594529E-2</v>
      </c>
      <c r="F16" s="68">
        <f ca="1">'1. 경신전선 요약'!K9</f>
        <v>0</v>
      </c>
      <c r="G16" s="562">
        <f ca="1">'1. 경신전선 요약'!L9</f>
        <v>0</v>
      </c>
      <c r="H16" s="68">
        <f ca="1">'1. 경신전선 요약'!M9</f>
        <v>714.67057</v>
      </c>
      <c r="I16" s="562">
        <f ca="1">'1. 경신전선 요약'!N9</f>
        <v>3.4933654221863376E-2</v>
      </c>
      <c r="J16" s="563">
        <f t="shared" ref="J16:J17" ca="1" si="5">+H16/D16</f>
        <v>1.5006643742267727</v>
      </c>
      <c r="K16" s="563">
        <f ca="1">'1. 경신전선 요약'!P9</f>
        <v>0</v>
      </c>
      <c r="L16" s="7"/>
      <c r="M16" s="7"/>
      <c r="N16" s="7"/>
      <c r="O16" s="7"/>
    </row>
    <row r="17" spans="2:15" s="7" customFormat="1" ht="15" hidden="1" customHeight="1" x14ac:dyDescent="0.2">
      <c r="C17" s="162"/>
      <c r="D17" s="68">
        <v>0</v>
      </c>
      <c r="E17" s="562">
        <v>0</v>
      </c>
      <c r="F17" s="68">
        <f>'1. 경신전선 요약'!K10</f>
        <v>0</v>
      </c>
      <c r="G17" s="562">
        <f>'1. 경신전선 요약'!L10</f>
        <v>0</v>
      </c>
      <c r="H17" s="68">
        <f>'1. 경신전선 요약'!M10</f>
        <v>0</v>
      </c>
      <c r="I17" s="562">
        <f>'1. 경신전선 요약'!N10</f>
        <v>0</v>
      </c>
      <c r="J17" s="563" t="e">
        <f t="shared" si="5"/>
        <v>#DIV/0!</v>
      </c>
      <c r="K17" s="563">
        <f>'1. 경신전선 요약'!P10</f>
        <v>0</v>
      </c>
    </row>
    <row r="18" spans="2:15" s="7" customFormat="1" ht="17.45" customHeight="1" thickBot="1" x14ac:dyDescent="0.25">
      <c r="C18" s="161" t="s">
        <v>12</v>
      </c>
      <c r="D18" s="65">
        <v>12827.821103237749</v>
      </c>
      <c r="E18" s="560">
        <v>0.97982886963364901</v>
      </c>
      <c r="F18" s="65">
        <f ca="1">'1. 경신전선 요약'!K11</f>
        <v>17905.725466662861</v>
      </c>
      <c r="G18" s="560">
        <f ca="1">'1. 경신전선 요약'!L11</f>
        <v>0.89810458410347838</v>
      </c>
      <c r="H18" s="65">
        <f ca="1">'1. 경신전선 요약'!M11</f>
        <v>18657.390906000001</v>
      </c>
      <c r="I18" s="560">
        <f ca="1">'1. 경신전선 요약'!N11</f>
        <v>0.91198780242530797</v>
      </c>
      <c r="J18" s="561">
        <f t="shared" ref="J18" ca="1" si="6">IF(D18&gt;0,H18/D18,"(-)")</f>
        <v>1.4544473886754521</v>
      </c>
      <c r="K18" s="561">
        <f ca="1">'1. 경신전선 요약'!P11</f>
        <v>1.0419790552880195</v>
      </c>
    </row>
    <row r="19" spans="2:15" s="7" customFormat="1" ht="15" customHeight="1" x14ac:dyDescent="0.2">
      <c r="C19" s="162" t="s">
        <v>120</v>
      </c>
      <c r="D19" s="68">
        <v>9050.1099136000012</v>
      </c>
      <c r="E19" s="564">
        <v>0.91150146098493134</v>
      </c>
      <c r="F19" s="68">
        <f ca="1">'1. 경신전선 요약'!K12</f>
        <v>14311.215549797033</v>
      </c>
      <c r="G19" s="562">
        <f ca="1">'1. 경신전선 요약'!L12</f>
        <v>0.89068723402007766</v>
      </c>
      <c r="H19" s="68">
        <f ca="1">'1. 경신전선 요약'!M12</f>
        <v>14848.112632499999</v>
      </c>
      <c r="I19" s="564">
        <f ca="1">'1. 경신전선 요약'!N12</f>
        <v>0.86697224281094132</v>
      </c>
      <c r="J19" s="563">
        <f t="shared" ref="J19:J21" ca="1" si="7">IF(D19&gt;0,H19/D19,"(-)")</f>
        <v>1.6406555029997019</v>
      </c>
      <c r="K19" s="563">
        <f ca="1">'1. 경신전선 요약'!P12</f>
        <v>1.0375158267188966</v>
      </c>
      <c r="L19" s="471"/>
    </row>
    <row r="20" spans="2:15" s="7" customFormat="1" ht="15" customHeight="1" x14ac:dyDescent="0.2">
      <c r="C20" s="162" t="s">
        <v>121</v>
      </c>
      <c r="D20" s="68">
        <v>3777.7111896377487</v>
      </c>
      <c r="E20" s="565">
        <v>1.1943043784355027</v>
      </c>
      <c r="F20" s="68">
        <f ca="1">'1. 경신전선 요약'!K13</f>
        <v>3594.5099168658289</v>
      </c>
      <c r="G20" s="562">
        <f ca="1">'1. 경신전선 요약'!L13</f>
        <v>0.92890317402071765</v>
      </c>
      <c r="H20" s="68">
        <f ca="1">'1. 경신전선 요약'!M13</f>
        <v>3809.2782735000001</v>
      </c>
      <c r="I20" s="565">
        <f ca="1">'1. 경신전선 요약'!N13</f>
        <v>1.1433986339452584</v>
      </c>
      <c r="J20" s="563">
        <f t="shared" ca="1" si="7"/>
        <v>1.0083561400746675</v>
      </c>
      <c r="K20" s="563">
        <f ca="1">'1. 경신전선 요약'!P13</f>
        <v>1.0597489954406454</v>
      </c>
      <c r="L20" s="471"/>
    </row>
    <row r="21" spans="2:15" s="7" customFormat="1" ht="15" customHeight="1" thickBot="1" x14ac:dyDescent="0.25">
      <c r="C21" s="162" t="s">
        <v>125</v>
      </c>
      <c r="D21" s="68">
        <v>-216.33364626225165</v>
      </c>
      <c r="E21" s="566">
        <v>-6.8392793404278146E-2</v>
      </c>
      <c r="F21" s="68">
        <f ca="1">'1. 경신전선 요약'!K14</f>
        <v>98.292417095723707</v>
      </c>
      <c r="G21" s="562">
        <f ca="1">'1. 경신전선 요약'!L14</f>
        <v>2.5400997725441545E-2</v>
      </c>
      <c r="H21" s="68">
        <f ca="1">'1. 경신전선 요약'!M14</f>
        <v>0</v>
      </c>
      <c r="I21" s="566">
        <f ca="1">'1. 경신전선 요약'!N14</f>
        <v>0</v>
      </c>
      <c r="J21" s="563" t="str">
        <f t="shared" si="7"/>
        <v>(-)</v>
      </c>
      <c r="K21" s="563">
        <f ca="1">'1. 경신전선 요약'!P14</f>
        <v>0</v>
      </c>
    </row>
    <row r="22" spans="2:15" s="7" customFormat="1" ht="15" hidden="1" customHeight="1" thickBot="1" x14ac:dyDescent="0.25">
      <c r="C22" s="162"/>
      <c r="D22" s="68">
        <v>0</v>
      </c>
      <c r="E22" s="562">
        <v>0</v>
      </c>
      <c r="F22" s="68">
        <f>'1. 경신전선 요약'!K15</f>
        <v>0</v>
      </c>
      <c r="G22" s="562">
        <f>'1. 경신전선 요약'!L15</f>
        <v>0</v>
      </c>
      <c r="H22" s="68">
        <f>'1. 경신전선 요약'!M15</f>
        <v>0</v>
      </c>
      <c r="I22" s="562">
        <f>'1. 경신전선 요약'!N15</f>
        <v>0</v>
      </c>
      <c r="J22" s="563">
        <f>'1. 경신전선 요약'!O15</f>
        <v>0</v>
      </c>
      <c r="K22" s="563">
        <f>'1. 경신전선 요약'!P15</f>
        <v>0</v>
      </c>
    </row>
    <row r="23" spans="2:15" s="7" customFormat="1" ht="18.600000000000001" customHeight="1" x14ac:dyDescent="0.2">
      <c r="C23" s="161" t="s">
        <v>13</v>
      </c>
      <c r="D23" s="65">
        <v>264.07841186224869</v>
      </c>
      <c r="E23" s="560">
        <v>2.0171130366350938E-2</v>
      </c>
      <c r="F23" s="65">
        <f ca="1">'1. 경신전선 요약'!K16</f>
        <v>2031.5132286913395</v>
      </c>
      <c r="G23" s="560">
        <f ca="1">'1. 경신전선 요약'!L16</f>
        <v>0.10189541589652157</v>
      </c>
      <c r="H23" s="65">
        <f ca="1">'1. 경신전선 요약'!M16</f>
        <v>1800.548176500004</v>
      </c>
      <c r="I23" s="560">
        <f ca="1">'1. 경신전선 요약'!N16</f>
        <v>8.8012197574692017E-2</v>
      </c>
      <c r="J23" s="561">
        <f t="shared" ref="J23" ca="1" si="8">IF(D23&gt;0,H23/D23,"(-)")</f>
        <v>6.8182331293298777</v>
      </c>
      <c r="K23" s="561">
        <f ca="1">'1. 경신전선 요약'!P16</f>
        <v>0.88630886133086195</v>
      </c>
    </row>
    <row r="24" spans="2:15" s="14" customFormat="1" ht="6" customHeight="1" x14ac:dyDescent="0.2">
      <c r="C24" s="184"/>
      <c r="D24" s="567"/>
      <c r="E24" s="562"/>
      <c r="F24" s="567"/>
      <c r="G24" s="562"/>
      <c r="H24" s="567"/>
      <c r="I24" s="562"/>
      <c r="J24" s="563"/>
      <c r="K24" s="563"/>
    </row>
    <row r="25" spans="2:15" s="7" customFormat="1" ht="18.600000000000001" customHeight="1" x14ac:dyDescent="0.2">
      <c r="C25" s="161" t="s">
        <v>15</v>
      </c>
      <c r="D25" s="65">
        <v>1070.2549234999997</v>
      </c>
      <c r="E25" s="560">
        <v>8.1749399486727187E-2</v>
      </c>
      <c r="F25" s="65">
        <f ca="1">'1. 경신전선 요약'!K18</f>
        <v>1026.8749800182354</v>
      </c>
      <c r="G25" s="560">
        <f ca="1">'1. 경신전선 요약'!L18</f>
        <v>5.1505376231339349E-2</v>
      </c>
      <c r="H25" s="65">
        <f ca="1">'1. 경신전선 요약'!M18</f>
        <v>953.3199689999999</v>
      </c>
      <c r="I25" s="560">
        <f ca="1">'1. 경신전선 요약'!N18</f>
        <v>4.6599022763513971E-2</v>
      </c>
      <c r="J25" s="561">
        <f t="shared" ref="J25" ca="1" si="9">IF(D25&gt;0,H25/D25,"(-)")</f>
        <v>0.89074102633642327</v>
      </c>
      <c r="K25" s="561">
        <f ca="1">'1. 경신전선 요약'!P18</f>
        <v>0.92837004265414147</v>
      </c>
    </row>
    <row r="26" spans="2:15" s="7" customFormat="1" ht="15" hidden="1" customHeight="1" x14ac:dyDescent="0.2">
      <c r="C26" s="163" t="s">
        <v>16</v>
      </c>
      <c r="D26" s="70">
        <v>0</v>
      </c>
      <c r="E26" s="568">
        <v>0</v>
      </c>
      <c r="F26" s="70">
        <f ca="1">'1. 경신전선 요약'!K19</f>
        <v>0</v>
      </c>
      <c r="G26" s="568">
        <f ca="1">'1. 경신전선 요약'!L19</f>
        <v>0</v>
      </c>
      <c r="H26" s="70">
        <f ca="1">'1. 경신전선 요약'!M19</f>
        <v>0</v>
      </c>
      <c r="I26" s="568">
        <f ca="1">'1. 경신전선 요약'!N19</f>
        <v>0</v>
      </c>
      <c r="J26" s="569">
        <f ca="1">'1. 경신전선 요약'!O19</f>
        <v>0</v>
      </c>
      <c r="K26" s="569">
        <f ca="1">'1. 경신전선 요약'!P19</f>
        <v>0</v>
      </c>
    </row>
    <row r="27" spans="2:15" ht="6" customHeight="1" x14ac:dyDescent="0.2">
      <c r="B27" s="7"/>
      <c r="C27" s="185"/>
      <c r="D27" s="70"/>
      <c r="E27" s="568"/>
      <c r="F27" s="70"/>
      <c r="G27" s="568"/>
      <c r="H27" s="70"/>
      <c r="I27" s="568"/>
      <c r="J27" s="569"/>
      <c r="K27" s="569"/>
      <c r="L27" s="7"/>
      <c r="M27" s="7"/>
      <c r="N27" s="7"/>
      <c r="O27" s="7"/>
    </row>
    <row r="28" spans="2:15" s="7" customFormat="1" ht="15" hidden="1" customHeight="1" x14ac:dyDescent="0.2">
      <c r="C28" s="163" t="s">
        <v>18</v>
      </c>
      <c r="D28" s="70">
        <v>0</v>
      </c>
      <c r="E28" s="568">
        <v>0</v>
      </c>
      <c r="F28" s="70">
        <f ca="1">'1. 경신전선 요약'!K21</f>
        <v>0</v>
      </c>
      <c r="G28" s="568">
        <f ca="1">'1. 경신전선 요약'!L21</f>
        <v>0</v>
      </c>
      <c r="H28" s="70">
        <f ca="1">'1. 경신전선 요약'!M21</f>
        <v>0</v>
      </c>
      <c r="I28" s="568">
        <f ca="1">'1. 경신전선 요약'!N21</f>
        <v>0</v>
      </c>
      <c r="J28" s="569">
        <f ca="1">'1. 경신전선 요약'!O21</f>
        <v>0</v>
      </c>
      <c r="K28" s="569">
        <f ca="1">'1. 경신전선 요약'!P21</f>
        <v>0</v>
      </c>
    </row>
    <row r="29" spans="2:15" s="7" customFormat="1" ht="16.5" x14ac:dyDescent="0.2">
      <c r="C29" s="164" t="s">
        <v>20</v>
      </c>
      <c r="D29" s="72">
        <v>-806.17651163775099</v>
      </c>
      <c r="E29" s="570">
        <v>-6.1578269120376249E-2</v>
      </c>
      <c r="F29" s="72">
        <f ca="1">'1. 경신전선 요약'!K22</f>
        <v>1004.638248673104</v>
      </c>
      <c r="G29" s="570">
        <f ca="1">'1. 경신전선 요약'!L22</f>
        <v>5.0390039665182219E-2</v>
      </c>
      <c r="H29" s="72">
        <f ca="1">'1. 경신전선 요약'!M22</f>
        <v>847.22820750000415</v>
      </c>
      <c r="I29" s="570">
        <f ca="1">'1. 경신전선 요약'!N22</f>
        <v>4.1413174811178045E-2</v>
      </c>
      <c r="J29" s="571" t="str">
        <f t="shared" ref="J29" si="10">IF(D29&gt;0,H29/D29,"(-)")</f>
        <v>(-)</v>
      </c>
      <c r="K29" s="571">
        <f ca="1">'1. 경신전선 요약'!P22</f>
        <v>0.84331669495860595</v>
      </c>
    </row>
    <row r="30" spans="2:15" ht="16.5" x14ac:dyDescent="0.2">
      <c r="B30" s="7"/>
      <c r="C30" s="572" t="s">
        <v>328</v>
      </c>
      <c r="D30" s="573">
        <v>-6.1578269120376249E-2</v>
      </c>
      <c r="E30" s="570"/>
      <c r="F30" s="573">
        <f ca="1">'1. 경신전선 요약'!K23</f>
        <v>5.0390039665182219E-2</v>
      </c>
      <c r="G30" s="570"/>
      <c r="H30" s="573">
        <f ca="1">'1. 경신전선 요약'!M23</f>
        <v>4.1413174811178045E-2</v>
      </c>
      <c r="I30" s="570"/>
      <c r="J30" s="574"/>
      <c r="K30" s="574"/>
      <c r="L30" s="7"/>
      <c r="M30" s="7"/>
      <c r="N30" s="7"/>
      <c r="O30" s="7"/>
    </row>
    <row r="31" spans="2:15" s="7" customFormat="1" ht="16.5" x14ac:dyDescent="0.2">
      <c r="C31" s="446" t="s">
        <v>120</v>
      </c>
      <c r="D31" s="72">
        <v>237.39406739999799</v>
      </c>
      <c r="E31" s="570">
        <v>2.390965870360116E-2</v>
      </c>
      <c r="F31" s="72">
        <f ca="1">'1. 경신전선 요약'!K24</f>
        <v>964.39220452705774</v>
      </c>
      <c r="G31" s="570">
        <f ca="1">'1. 경신전선 요약'!L24</f>
        <v>6.0020885170226669E-2</v>
      </c>
      <c r="H31" s="72">
        <f ca="1">'1. 경신전선 요약'!M24</f>
        <v>1769.0229494999976</v>
      </c>
      <c r="I31" s="570">
        <f ca="1">'1. 경신전선 요약'!N24</f>
        <v>0.10329217134001561</v>
      </c>
      <c r="J31" s="571">
        <f t="shared" ref="J31:J32" ca="1" si="11">IF(D31&gt;0,H31/D31,"(-)")</f>
        <v>7.4518414418473062</v>
      </c>
      <c r="K31" s="571">
        <f ca="1">'1. 경신전선 요약'!P24</f>
        <v>1.8343397439297369</v>
      </c>
    </row>
    <row r="32" spans="2:15" s="14" customFormat="1" ht="16.5" x14ac:dyDescent="0.2">
      <c r="C32" s="447" t="s">
        <v>121</v>
      </c>
      <c r="D32" s="575">
        <v>-1043.5705790377488</v>
      </c>
      <c r="E32" s="570">
        <v>-0.32991958601016558</v>
      </c>
      <c r="F32" s="575">
        <f ca="1">'1. 경신전선 요약'!K25</f>
        <v>40.246044146049371</v>
      </c>
      <c r="G32" s="570">
        <f ca="1">'1. 경신전선 요약'!L25</f>
        <v>1.0400493812419387E-2</v>
      </c>
      <c r="H32" s="575">
        <f ca="1">'1. 경신전선 요약'!M25</f>
        <v>-921.79474200000027</v>
      </c>
      <c r="I32" s="570">
        <f ca="1">'1. 경신전선 요약'!N25</f>
        <v>-0.27668728118734076</v>
      </c>
      <c r="J32" s="571" t="str">
        <f t="shared" si="11"/>
        <v>(-)</v>
      </c>
      <c r="K32" s="571" t="str">
        <f ca="1">'1. 경신전선 요약'!P25</f>
        <v>(-)</v>
      </c>
    </row>
    <row r="33" spans="2:15" ht="5.45" customHeight="1" x14ac:dyDescent="0.2">
      <c r="B33" s="7"/>
      <c r="E33" s="576"/>
    </row>
    <row r="34" spans="2:15" ht="31.15" hidden="1" customHeight="1" x14ac:dyDescent="0.2">
      <c r="B34" s="7"/>
      <c r="C34" s="16" t="s">
        <v>22</v>
      </c>
      <c r="D34" s="17" t="s">
        <v>23</v>
      </c>
      <c r="E34" s="18" t="s">
        <v>1</v>
      </c>
      <c r="F34" s="19" t="s">
        <v>24</v>
      </c>
      <c r="G34" s="17" t="s">
        <v>25</v>
      </c>
      <c r="H34" s="20" t="s">
        <v>26</v>
      </c>
      <c r="I34" s="17" t="s">
        <v>5</v>
      </c>
      <c r="J34" s="20" t="s">
        <v>27</v>
      </c>
      <c r="K34" s="17" t="s">
        <v>6</v>
      </c>
      <c r="L34" s="17" t="s">
        <v>28</v>
      </c>
      <c r="M34" s="20" t="s">
        <v>29</v>
      </c>
      <c r="N34" s="21" t="s">
        <v>9</v>
      </c>
      <c r="O34" s="21" t="s">
        <v>10</v>
      </c>
    </row>
    <row r="35" spans="2:15" ht="16.899999999999999" hidden="1" customHeight="1" x14ac:dyDescent="0.2">
      <c r="B35" s="7"/>
      <c r="C35" s="22" t="s">
        <v>30</v>
      </c>
      <c r="E35" s="23"/>
      <c r="F35" s="24"/>
      <c r="H35" s="25"/>
      <c r="J35" s="25"/>
      <c r="M35" s="25"/>
      <c r="N35" s="13"/>
      <c r="O35" s="13"/>
    </row>
    <row r="36" spans="2:15" ht="16.899999999999999" hidden="1" customHeight="1" x14ac:dyDescent="0.2">
      <c r="B36" s="7"/>
      <c r="C36" s="22" t="s">
        <v>31</v>
      </c>
      <c r="E36" s="23"/>
      <c r="F36" s="24"/>
      <c r="H36" s="25"/>
      <c r="J36" s="25"/>
      <c r="M36" s="25"/>
      <c r="N36" s="13"/>
      <c r="O36" s="13"/>
    </row>
    <row r="37" spans="2:15" ht="16.899999999999999" hidden="1" customHeight="1" x14ac:dyDescent="0.2">
      <c r="B37" s="7"/>
      <c r="C37" s="22" t="s">
        <v>32</v>
      </c>
      <c r="E37" s="23"/>
      <c r="F37" s="24"/>
      <c r="H37" s="25"/>
      <c r="J37" s="25"/>
      <c r="M37" s="25"/>
      <c r="N37" s="13"/>
      <c r="O37" s="13"/>
    </row>
    <row r="38" spans="2:15" ht="16.899999999999999" hidden="1" customHeight="1" x14ac:dyDescent="0.2">
      <c r="B38" s="7"/>
      <c r="C38" s="22" t="s">
        <v>33</v>
      </c>
      <c r="E38" s="23"/>
      <c r="F38" s="24"/>
      <c r="H38" s="25"/>
      <c r="J38" s="25"/>
      <c r="M38" s="25"/>
      <c r="N38" s="13"/>
      <c r="O38" s="13"/>
    </row>
    <row r="39" spans="2:15" ht="16.899999999999999" hidden="1" customHeight="1" x14ac:dyDescent="0.2">
      <c r="B39" s="7"/>
      <c r="C39" s="26" t="s">
        <v>34</v>
      </c>
      <c r="D39" s="27"/>
      <c r="E39" s="28"/>
      <c r="F39" s="29"/>
      <c r="G39" s="27"/>
      <c r="H39" s="30"/>
      <c r="I39" s="27"/>
      <c r="J39" s="30"/>
      <c r="K39" s="27"/>
      <c r="L39" s="27"/>
      <c r="M39" s="30"/>
      <c r="N39" s="28"/>
      <c r="O39" s="28"/>
    </row>
    <row r="40" spans="2:15" ht="4.1500000000000004" customHeight="1" x14ac:dyDescent="0.2">
      <c r="B40" s="7"/>
      <c r="E40" s="13"/>
      <c r="H40" s="13"/>
      <c r="J40" s="13"/>
      <c r="M40" s="13"/>
      <c r="N40" s="13"/>
      <c r="O40" s="13"/>
    </row>
    <row r="41" spans="2:15" ht="15" customHeight="1" x14ac:dyDescent="0.2">
      <c r="B41" s="7"/>
      <c r="C41" s="157"/>
      <c r="D41" s="158"/>
      <c r="E41" s="159"/>
      <c r="F41" s="158"/>
      <c r="G41" s="158"/>
      <c r="H41" s="159"/>
      <c r="I41" s="158"/>
      <c r="J41" s="159"/>
      <c r="K41" s="493"/>
      <c r="L41" s="158"/>
      <c r="M41" s="159"/>
      <c r="N41" s="159"/>
      <c r="O41" s="159"/>
    </row>
    <row r="42" spans="2:15" ht="31.15" customHeight="1" x14ac:dyDescent="0.3">
      <c r="C42" s="9" t="str">
        <f>CONCATENATE("□ ",'2. 손익계산서'!$C$4,"월 KSCM-DG 손익/원가 요약")</f>
        <v>□ 2월 KSCM-DG 손익/원가 요약</v>
      </c>
      <c r="D42" s="530"/>
      <c r="E42" s="531"/>
      <c r="F42" s="532"/>
      <c r="G42" s="533"/>
      <c r="H42" s="534"/>
      <c r="I42" s="535"/>
      <c r="K42" s="536" t="str">
        <f>+K4</f>
        <v>( 1,350 KRW/USD )</v>
      </c>
    </row>
    <row r="43" spans="2:15" ht="15" customHeight="1" x14ac:dyDescent="0.2">
      <c r="C43" s="537"/>
      <c r="D43" s="5" t="s">
        <v>493</v>
      </c>
      <c r="E43" s="2" t="s">
        <v>494</v>
      </c>
      <c r="F43" s="652" t="s">
        <v>495</v>
      </c>
      <c r="G43" s="652" t="s">
        <v>496</v>
      </c>
      <c r="H43" s="5" t="s">
        <v>497</v>
      </c>
      <c r="I43" s="7" t="s">
        <v>498</v>
      </c>
      <c r="J43" s="6"/>
      <c r="K43" s="6"/>
    </row>
    <row r="44" spans="2:15" ht="15" customHeight="1" x14ac:dyDescent="0.2">
      <c r="C44" s="538"/>
      <c r="D44" s="4"/>
      <c r="E44" s="1"/>
      <c r="F44" s="653"/>
      <c r="G44" s="653"/>
      <c r="H44" s="4"/>
      <c r="I44" s="539" t="s">
        <v>499</v>
      </c>
      <c r="J44" s="540" t="s">
        <v>500</v>
      </c>
      <c r="K44" s="541" t="s">
        <v>501</v>
      </c>
    </row>
    <row r="45" spans="2:15" ht="15" customHeight="1" x14ac:dyDescent="0.2">
      <c r="C45" s="542" t="s">
        <v>325</v>
      </c>
      <c r="D45" s="543" t="s">
        <v>326</v>
      </c>
      <c r="E45" s="544">
        <f>'1. 경신전선 요약'!D38</f>
        <v>199321.01051551185</v>
      </c>
      <c r="F45" s="545">
        <f ca="1">'1. 경신전선 요약'!F38</f>
        <v>32075.727880417064</v>
      </c>
      <c r="G45" s="545">
        <f ca="1">'1. 경신전선 요약'!G38</f>
        <v>31070.996374499999</v>
      </c>
      <c r="H45" s="546">
        <f ca="1">G45/F45</f>
        <v>0.96867626793496786</v>
      </c>
      <c r="I45" s="577">
        <f ca="1">I7</f>
        <v>0.15932415000060182</v>
      </c>
      <c r="J45" s="578">
        <f t="shared" ref="J45:K45" ca="1" si="12">J7</f>
        <v>0.15588420053731336</v>
      </c>
      <c r="K45" s="579">
        <f t="shared" ca="1" si="12"/>
        <v>0.17890508391667151</v>
      </c>
      <c r="M45" s="7"/>
    </row>
    <row r="46" spans="2:15" ht="15" hidden="1" customHeight="1" x14ac:dyDescent="0.2">
      <c r="C46" s="542" t="s">
        <v>502</v>
      </c>
      <c r="D46" s="543" t="s">
        <v>503</v>
      </c>
      <c r="E46" s="550">
        <f>'1. 경신전선 요약'!D48</f>
        <v>0</v>
      </c>
      <c r="F46" s="550">
        <f ca="1">'1. 경신전선 요약'!F48</f>
        <v>0</v>
      </c>
      <c r="G46" s="550">
        <f ca="1">'1. 경신전선 요약'!G48</f>
        <v>1346.4872319999999</v>
      </c>
      <c r="H46" s="546" t="e">
        <f t="shared" ref="H46" ca="1" si="13">G46/F46</f>
        <v>#DIV/0!</v>
      </c>
      <c r="I46" s="580">
        <f t="shared" ref="I46:K47" ca="1" si="14">I8</f>
        <v>0</v>
      </c>
      <c r="J46" s="578">
        <f t="shared" ca="1" si="14"/>
        <v>0</v>
      </c>
      <c r="K46" s="552"/>
    </row>
    <row r="47" spans="2:15" ht="15" customHeight="1" x14ac:dyDescent="0.2">
      <c r="C47" s="542" t="s">
        <v>123</v>
      </c>
      <c r="D47" s="543" t="s">
        <v>326</v>
      </c>
      <c r="E47" s="553">
        <f>'1. 경신전선 요약'!D58</f>
        <v>11052.884468940207</v>
      </c>
      <c r="F47" s="553">
        <f ca="1">'1. 경신전선 요약'!F58</f>
        <v>1726.3818139306761</v>
      </c>
      <c r="G47" s="553">
        <f ca="1">'1. 경신전선 요약'!G58</f>
        <v>2663.8146134999988</v>
      </c>
      <c r="H47" s="546">
        <f ca="1">IF(AND(F47&gt;0,G47&gt;0),G47/F47,"(-)")</f>
        <v>1.5430043296360663</v>
      </c>
      <c r="I47" s="581">
        <f t="shared" ca="1" si="14"/>
        <v>0.44013411387886131</v>
      </c>
      <c r="J47" s="578">
        <f t="shared" ca="1" si="14"/>
        <v>0.24100628401442215</v>
      </c>
      <c r="K47" s="549" t="str">
        <f t="shared" ca="1" si="14"/>
        <v>(-)</v>
      </c>
    </row>
    <row r="48" spans="2:15" ht="15" customHeight="1" thickBot="1" x14ac:dyDescent="0.25">
      <c r="C48" s="555" t="s">
        <v>504</v>
      </c>
      <c r="D48" s="556" t="s">
        <v>505</v>
      </c>
      <c r="E48" s="557">
        <f>E47/E45</f>
        <v>5.5452681282087087E-2</v>
      </c>
      <c r="F48" s="557">
        <f t="shared" ref="F48:G48" ca="1" si="15">F47/F45</f>
        <v>5.3822061976796794E-2</v>
      </c>
      <c r="G48" s="557">
        <f t="shared" ca="1" si="15"/>
        <v>8.5733157102299895E-2</v>
      </c>
      <c r="H48" s="558"/>
      <c r="I48" s="559"/>
      <c r="J48" s="559"/>
      <c r="K48" s="559"/>
    </row>
    <row r="50" spans="3:11" ht="34.9" customHeight="1" x14ac:dyDescent="0.2">
      <c r="C50" s="160" t="s">
        <v>95</v>
      </c>
      <c r="D50" s="63" t="s">
        <v>5</v>
      </c>
      <c r="E50" s="169" t="s">
        <v>506</v>
      </c>
      <c r="F50" s="63" t="s">
        <v>6</v>
      </c>
      <c r="G50" s="169" t="s">
        <v>506</v>
      </c>
      <c r="H50" s="63" t="s">
        <v>7</v>
      </c>
      <c r="I50" s="169" t="s">
        <v>8</v>
      </c>
      <c r="J50" s="64" t="s">
        <v>9</v>
      </c>
      <c r="K50" s="64" t="s">
        <v>10</v>
      </c>
    </row>
    <row r="51" spans="3:11" ht="15" customHeight="1" x14ac:dyDescent="0.2">
      <c r="C51" s="161" t="s">
        <v>11</v>
      </c>
      <c r="D51" s="65">
        <v>9928.7936453999991</v>
      </c>
      <c r="E51" s="170">
        <v>1</v>
      </c>
      <c r="F51" s="65">
        <f ca="1">'1. 경신전선 요약'!K38</f>
        <v>16067.610495778627</v>
      </c>
      <c r="G51" s="170">
        <f ca="1">'1. 경신전선 요약'!L38</f>
        <v>1</v>
      </c>
      <c r="H51" s="65">
        <f ca="1">'1. 경신전선 요약'!M38</f>
        <v>17126.399092499996</v>
      </c>
      <c r="I51" s="170">
        <f ca="1">'1. 경신전선 요약'!N38</f>
        <v>1</v>
      </c>
      <c r="J51" s="561">
        <f ca="1">IF(D51&gt;0,H51/D51,"(-)")</f>
        <v>1.7249224532362641</v>
      </c>
      <c r="K51" s="561">
        <f ca="1">'1. 경신전선 요약'!P38</f>
        <v>1.0658958341689662</v>
      </c>
    </row>
    <row r="52" spans="3:11" ht="15" customHeight="1" x14ac:dyDescent="0.2">
      <c r="C52" s="162" t="s">
        <v>115</v>
      </c>
      <c r="D52" s="68">
        <v>7603.2815032999988</v>
      </c>
      <c r="E52" s="171">
        <v>0.76578099765650709</v>
      </c>
      <c r="F52" s="68">
        <f ca="1">'1. 경신전선 요약'!K39</f>
        <v>13002.955022535694</v>
      </c>
      <c r="G52" s="171">
        <f ca="1">'1. 경신전선 요약'!L39</f>
        <v>0.80926501336038137</v>
      </c>
      <c r="H52" s="68">
        <f ca="1">'1. 경신전선 요약'!M39</f>
        <v>13146.214409999997</v>
      </c>
      <c r="I52" s="171">
        <f ca="1">'1. 경신전선 요약'!N39</f>
        <v>0.76759944335041197</v>
      </c>
      <c r="J52" s="563">
        <f t="shared" ref="J52:J59" ca="1" si="16">IF(D52&gt;0,H52/D52,"(-)")</f>
        <v>1.7290185039570398</v>
      </c>
      <c r="K52" s="563">
        <f ca="1">'1. 경신전선 요약'!P39</f>
        <v>1.0110174485119741</v>
      </c>
    </row>
    <row r="53" spans="3:11" ht="15" customHeight="1" x14ac:dyDescent="0.2">
      <c r="C53" s="162" t="s">
        <v>116</v>
      </c>
      <c r="D53" s="68">
        <v>2325.5121421000003</v>
      </c>
      <c r="E53" s="171">
        <v>0.23421900234349297</v>
      </c>
      <c r="F53" s="68">
        <f ca="1">'1. 경신전선 요약'!K40</f>
        <v>3064.6554732429331</v>
      </c>
      <c r="G53" s="171">
        <f ca="1">'1. 경신전선 요약'!L40</f>
        <v>0.19073498663961869</v>
      </c>
      <c r="H53" s="68">
        <f ca="1">'1. 경신전선 요약'!M40</f>
        <v>3980.1846825000007</v>
      </c>
      <c r="I53" s="171">
        <f ca="1">'1. 경신전선 요약'!N40</f>
        <v>0.23240055664958817</v>
      </c>
      <c r="J53" s="563">
        <f t="shared" ca="1" si="16"/>
        <v>1.7115303809619271</v>
      </c>
      <c r="K53" s="563">
        <f ca="1">'1. 경신전선 요약'!P40</f>
        <v>1.2987380530211052</v>
      </c>
    </row>
    <row r="54" spans="3:11" ht="15" customHeight="1" x14ac:dyDescent="0.2">
      <c r="C54" s="183" t="s">
        <v>99</v>
      </c>
      <c r="D54" s="68">
        <v>4876.0603773000003</v>
      </c>
      <c r="E54" s="171">
        <v>0.49110300318902028</v>
      </c>
      <c r="F54" s="68">
        <f ca="1">'1. 경신전선 요약'!K41</f>
        <v>7192.9711092564321</v>
      </c>
      <c r="G54" s="171">
        <f ca="1">'1. 경신전선 요약'!L41</f>
        <v>0.44766899914248048</v>
      </c>
      <c r="H54" s="68">
        <f ca="1">'1. 경신전선 요약'!M41</f>
        <v>9748.5748695000002</v>
      </c>
      <c r="I54" s="171">
        <f ca="1">'1. 경신전선 요약'!N41</f>
        <v>0.56921334232886711</v>
      </c>
      <c r="J54" s="563">
        <f t="shared" ca="1" si="16"/>
        <v>1.9992727971301365</v>
      </c>
      <c r="K54" s="563">
        <f ca="1">'1. 경신전선 요약'!P41</f>
        <v>1.355291814943457</v>
      </c>
    </row>
    <row r="55" spans="3:11" ht="15" customHeight="1" x14ac:dyDescent="0.2">
      <c r="C55" s="183" t="s">
        <v>100</v>
      </c>
      <c r="D55" s="68">
        <v>816.3626716</v>
      </c>
      <c r="E55" s="171">
        <v>8.2221738184499391E-2</v>
      </c>
      <c r="F55" s="68">
        <f ca="1">'1. 경신전선 요약'!K42</f>
        <v>2028.5094596936406</v>
      </c>
      <c r="G55" s="171">
        <f ca="1">'1. 경신전선 요약'!L42</f>
        <v>0.12624835909649304</v>
      </c>
      <c r="H55" s="68">
        <f ca="1">'1. 경신전선 요약'!M42</f>
        <v>1758.4809885</v>
      </c>
      <c r="I55" s="171">
        <f ca="1">'1. 경신전선 요약'!N42</f>
        <v>0.10267663266530296</v>
      </c>
      <c r="J55" s="563">
        <f t="shared" ca="1" si="16"/>
        <v>2.1540438455539985</v>
      </c>
      <c r="K55" s="563">
        <f ca="1">'1. 경신전선 요약'!P42</f>
        <v>0.86688330690140225</v>
      </c>
    </row>
    <row r="56" spans="3:11" ht="15" customHeight="1" x14ac:dyDescent="0.2">
      <c r="C56" s="183" t="s">
        <v>101</v>
      </c>
      <c r="D56" s="68">
        <v>1762.2976140000001</v>
      </c>
      <c r="E56" s="171">
        <v>0.17749362882735215</v>
      </c>
      <c r="F56" s="68">
        <f ca="1">'1. 경신전선 요약'!K43</f>
        <v>2169.7291611291112</v>
      </c>
      <c r="G56" s="171">
        <f ca="1">'1. 경신전선 요약'!L43</f>
        <v>0.13503745075841581</v>
      </c>
      <c r="H56" s="68">
        <f ca="1">'1. 경신전선 요약'!M43</f>
        <v>2266.6807800000001</v>
      </c>
      <c r="I56" s="171">
        <f ca="1">'1. 경신전선 요약'!N43</f>
        <v>0.13235010861055005</v>
      </c>
      <c r="J56" s="563">
        <f t="shared" ca="1" si="16"/>
        <v>1.2862077108844114</v>
      </c>
      <c r="K56" s="563">
        <f ca="1">'1. 경신전선 요약'!P43</f>
        <v>1.0446837423802868</v>
      </c>
    </row>
    <row r="57" spans="3:11" ht="15" customHeight="1" x14ac:dyDescent="0.2">
      <c r="C57" s="183" t="s">
        <v>102</v>
      </c>
      <c r="D57" s="68">
        <v>1116.1669491000002</v>
      </c>
      <c r="E57" s="171">
        <v>0.11241717664432671</v>
      </c>
      <c r="F57" s="68">
        <f ca="1">'1. 경신전선 요약'!K44</f>
        <v>1865.130475903062</v>
      </c>
      <c r="G57" s="171">
        <f ca="1">'1. 경신전선 요약'!L44</f>
        <v>0.11608014000545257</v>
      </c>
      <c r="H57" s="68">
        <f ca="1">'1. 경신전선 요약'!M44</f>
        <v>1831.2277635000003</v>
      </c>
      <c r="I57" s="171">
        <f ca="1">'1. 경신전선 요약'!N44</f>
        <v>0.10692427249940314</v>
      </c>
      <c r="J57" s="563">
        <f t="shared" ca="1" si="16"/>
        <v>1.640639659664332</v>
      </c>
      <c r="K57" s="563">
        <f ca="1">'1. 경신전선 요약'!P44</f>
        <v>0.98182287360531884</v>
      </c>
    </row>
    <row r="58" spans="3:11" ht="15" customHeight="1" x14ac:dyDescent="0.2">
      <c r="C58" s="183" t="s">
        <v>105</v>
      </c>
      <c r="D58" s="586">
        <v>809.37384080000004</v>
      </c>
      <c r="E58" s="171">
        <v>8.1517842922939801E-2</v>
      </c>
      <c r="F58" s="68">
        <f ca="1">'1. 경신전선 요약'!K45</f>
        <v>1253.1631921227377</v>
      </c>
      <c r="G58" s="171">
        <f ca="1">'1. 경신전선 요약'!L45</f>
        <v>7.7993127382069399E-2</v>
      </c>
      <c r="H58" s="68">
        <f ca="1">'1. 경신전선 요약'!M45</f>
        <v>709.85740500000009</v>
      </c>
      <c r="I58" s="171">
        <f ca="1">'1. 경신전선 요약'!N45</f>
        <v>4.1448141034554152E-2</v>
      </c>
      <c r="J58" s="563">
        <f t="shared" ca="1" si="16"/>
        <v>0.87704515418779028</v>
      </c>
      <c r="K58" s="563">
        <f ca="1">'1. 경신전선 요약'!P45</f>
        <v>0.56645248556779748</v>
      </c>
    </row>
    <row r="59" spans="3:11" ht="15" customHeight="1" x14ac:dyDescent="0.2">
      <c r="C59" s="183" t="s">
        <v>508</v>
      </c>
      <c r="D59" s="586">
        <v>0</v>
      </c>
      <c r="E59" s="171">
        <v>0</v>
      </c>
      <c r="F59" s="68">
        <f ca="1">'1. 경신전선 요약'!K46</f>
        <v>941.58537171046942</v>
      </c>
      <c r="G59" s="171">
        <f ca="1">'1. 경신전선 요약'!L46</f>
        <v>5.8601456137976959E-2</v>
      </c>
      <c r="H59" s="68">
        <f ca="1">'1. 경신전선 요약'!M46</f>
        <v>32.222542500000003</v>
      </c>
      <c r="I59" s="171">
        <f ca="1">'1. 경신전선 요약'!N46</f>
        <v>1.8814546085236866E-3</v>
      </c>
      <c r="J59" s="563" t="str">
        <f t="shared" si="16"/>
        <v>(-)</v>
      </c>
      <c r="K59" s="563">
        <f ca="1">'1. 경신전선 요약'!P46</f>
        <v>3.422158358457187E-2</v>
      </c>
    </row>
    <row r="60" spans="3:11" ht="15" customHeight="1" x14ac:dyDescent="0.2">
      <c r="C60" s="183" t="s">
        <v>104</v>
      </c>
      <c r="D60" s="68">
        <v>548.53219259999992</v>
      </c>
      <c r="E60" s="171">
        <v>5.5246610231861788E-2</v>
      </c>
      <c r="F60" s="68">
        <f ca="1">'1. 경신전선 요약'!K47</f>
        <v>616.52172596317314</v>
      </c>
      <c r="G60" s="171">
        <f ca="1">'1. 경신전선 요약'!L47</f>
        <v>3.8370467477111744E-2</v>
      </c>
      <c r="H60" s="68">
        <f ca="1">'1. 경신전선 요약'!M47</f>
        <v>779.35474350000015</v>
      </c>
      <c r="I60" s="171">
        <f ca="1">'1. 경신전선 요약'!N47</f>
        <v>4.5506048252799136E-2</v>
      </c>
      <c r="J60" s="563">
        <f ca="1">IF(D60&gt;0,H60/D60,"(-)")</f>
        <v>1.4208003723645084</v>
      </c>
      <c r="K60" s="563">
        <f ca="1">'1. 경신전선 요약'!P47</f>
        <v>1.2641156194170415</v>
      </c>
    </row>
    <row r="61" spans="3:11" ht="15" hidden="1" customHeight="1" x14ac:dyDescent="0.2">
      <c r="C61" s="183" t="s">
        <v>114</v>
      </c>
      <c r="D61" s="68">
        <v>476.23611399999999</v>
      </c>
      <c r="E61" s="171">
        <v>4.7965153774813293E-2</v>
      </c>
      <c r="F61" s="68">
        <f ca="1">'1. 경신전선 요약'!K48</f>
        <v>0</v>
      </c>
      <c r="G61" s="171">
        <f ca="1">'1. 경신전선 요약'!L48</f>
        <v>0</v>
      </c>
      <c r="H61" s="68">
        <f ca="1">'1. 경신전선 요약'!M48</f>
        <v>714.67057</v>
      </c>
      <c r="I61" s="171">
        <f ca="1">'1. 경신전선 요약'!N48</f>
        <v>4.172917880402361E-2</v>
      </c>
      <c r="J61" s="563">
        <f ca="1">'1. 경신전선 요약'!O48</f>
        <v>1.1311359971700143</v>
      </c>
      <c r="K61" s="563">
        <f ca="1">'1. 경신전선 요약'!P48</f>
        <v>0</v>
      </c>
    </row>
    <row r="62" spans="3:11" ht="15" hidden="1" customHeight="1" x14ac:dyDescent="0.2">
      <c r="C62" s="162"/>
      <c r="D62" s="68">
        <v>0</v>
      </c>
      <c r="E62" s="171">
        <v>0</v>
      </c>
      <c r="F62" s="68">
        <f>'1. 경신전선 요약'!K49</f>
        <v>0</v>
      </c>
      <c r="G62" s="171">
        <f ca="1">'1. 경신전선 요약'!L49</f>
        <v>0</v>
      </c>
      <c r="H62" s="68">
        <f>'1. 경신전선 요약'!M49</f>
        <v>0</v>
      </c>
      <c r="I62" s="171">
        <f ca="1">'1. 경신전선 요약'!N49</f>
        <v>0</v>
      </c>
      <c r="J62" s="563">
        <f>'1. 경신전선 요약'!O49</f>
        <v>0</v>
      </c>
      <c r="K62" s="563">
        <f>'1. 경신전선 요약'!P49</f>
        <v>0</v>
      </c>
    </row>
    <row r="63" spans="3:11" ht="15" customHeight="1" x14ac:dyDescent="0.2">
      <c r="C63" s="161" t="s">
        <v>12</v>
      </c>
      <c r="D63" s="65">
        <v>9050.1099136000012</v>
      </c>
      <c r="E63" s="170">
        <v>0.91150146098493134</v>
      </c>
      <c r="F63" s="65">
        <f ca="1">'1. 경신전선 요약'!K50</f>
        <v>14311.215549797033</v>
      </c>
      <c r="G63" s="170">
        <f ca="1">'1. 경신전선 요약'!L50</f>
        <v>0.89068723402007755</v>
      </c>
      <c r="H63" s="65">
        <f ca="1">'1. 경신전선 요약'!M50</f>
        <v>14848.112632499999</v>
      </c>
      <c r="I63" s="170">
        <f ca="1">'1. 경신전선 요약'!N50</f>
        <v>0.86697224281094176</v>
      </c>
      <c r="J63" s="561">
        <f ca="1">IF(D63&gt;0,H63/D63,"(-)")</f>
        <v>1.6406555029997019</v>
      </c>
      <c r="K63" s="561">
        <f ca="1">'1. 경신전선 요약'!P50</f>
        <v>1.0375158267188966</v>
      </c>
    </row>
    <row r="64" spans="3:11" ht="6" customHeight="1" x14ac:dyDescent="0.2">
      <c r="C64" s="162"/>
      <c r="D64" s="68"/>
      <c r="E64" s="171"/>
      <c r="F64" s="68"/>
      <c r="G64" s="171"/>
      <c r="H64" s="68"/>
      <c r="I64" s="171"/>
      <c r="J64" s="563"/>
      <c r="K64" s="563"/>
    </row>
    <row r="65" spans="3:11" ht="15" customHeight="1" x14ac:dyDescent="0.2">
      <c r="C65" s="161" t="s">
        <v>13</v>
      </c>
      <c r="D65" s="65">
        <v>878.68373179999799</v>
      </c>
      <c r="E65" s="170">
        <v>8.8498539015068697E-2</v>
      </c>
      <c r="F65" s="65">
        <f ca="1">'1. 경신전선 요약'!K52</f>
        <v>1756.394945981594</v>
      </c>
      <c r="G65" s="170">
        <f ca="1">'1. 경신전선 요약'!L52</f>
        <v>0.1093127659799224</v>
      </c>
      <c r="H65" s="65">
        <f ca="1">'1. 경신전선 요약'!M52</f>
        <v>2278.2864599999975</v>
      </c>
      <c r="I65" s="170">
        <f ca="1">'1. 경신전선 요약'!N52</f>
        <v>0.13302775718905827</v>
      </c>
      <c r="J65" s="561">
        <f ca="1">IF(D65&gt;0,H65/D65,"(-)")</f>
        <v>2.5928401511803236</v>
      </c>
      <c r="K65" s="561">
        <f ca="1">'1. 경신전선 요약'!P52</f>
        <v>1.2971379046679816</v>
      </c>
    </row>
    <row r="66" spans="3:11" ht="6" customHeight="1" x14ac:dyDescent="0.2">
      <c r="C66" s="184"/>
      <c r="D66" s="69"/>
      <c r="E66" s="171"/>
      <c r="F66" s="69"/>
      <c r="G66" s="171"/>
      <c r="H66" s="69"/>
      <c r="I66" s="171"/>
      <c r="J66" s="563"/>
      <c r="K66" s="563"/>
    </row>
    <row r="67" spans="3:11" ht="15" customHeight="1" x14ac:dyDescent="0.2">
      <c r="C67" s="161" t="s">
        <v>15</v>
      </c>
      <c r="D67" s="65">
        <v>641.28966439999999</v>
      </c>
      <c r="E67" s="170">
        <v>6.4588880311467534E-2</v>
      </c>
      <c r="F67" s="65">
        <f ca="1">'1. 경신전선 요약'!K54</f>
        <v>792.00274145453625</v>
      </c>
      <c r="G67" s="170">
        <f ca="1">'1. 경신전선 요약'!L54</f>
        <v>4.9291880809695737E-2</v>
      </c>
      <c r="H67" s="65">
        <f ca="1">'1. 경신전선 요약'!M54</f>
        <v>509.2635105</v>
      </c>
      <c r="I67" s="170">
        <f ca="1">'1. 경신전선 요약'!N54</f>
        <v>2.9735585849042664E-2</v>
      </c>
      <c r="J67" s="561">
        <f ca="1">IF(D67&gt;0,H67/D67,"(-)")</f>
        <v>0.79412399539679845</v>
      </c>
      <c r="K67" s="561">
        <f ca="1">'1. 경신전선 요약'!P54</f>
        <v>0.64300725722833063</v>
      </c>
    </row>
    <row r="68" spans="3:11" ht="15" hidden="1" customHeight="1" x14ac:dyDescent="0.2">
      <c r="C68" s="163" t="s">
        <v>16</v>
      </c>
      <c r="D68" s="70">
        <v>0</v>
      </c>
      <c r="E68" s="172">
        <v>0</v>
      </c>
      <c r="F68" s="70">
        <f ca="1">'2. 손익계산서'!E112*$N$4/1000000</f>
        <v>0</v>
      </c>
      <c r="G68" s="172">
        <f ca="1">IFERROR(F68/$K$38,)</f>
        <v>0</v>
      </c>
      <c r="H68" s="70">
        <f ca="1">'2. 손익계산서'!G112*$N$4/1000000</f>
        <v>0</v>
      </c>
      <c r="I68" s="172">
        <f ca="1">IFERROR(H68/$M$38,)</f>
        <v>0</v>
      </c>
      <c r="J68" s="569">
        <f t="shared" ref="J68:J70" ca="1" si="17">IFERROR(H68/D68,)</f>
        <v>0</v>
      </c>
      <c r="K68" s="569">
        <f t="shared" ref="K68:K70" ca="1" si="18">IFERROR(H68/F68,)</f>
        <v>0</v>
      </c>
    </row>
    <row r="69" spans="3:11" ht="6" customHeight="1" x14ac:dyDescent="0.2">
      <c r="C69" s="185"/>
      <c r="D69" s="70"/>
      <c r="E69" s="172"/>
      <c r="F69" s="70"/>
      <c r="G69" s="172"/>
      <c r="H69" s="70"/>
      <c r="I69" s="172"/>
      <c r="J69" s="569"/>
      <c r="K69" s="569"/>
    </row>
    <row r="70" spans="3:11" ht="15" hidden="1" customHeight="1" x14ac:dyDescent="0.2">
      <c r="C70" s="163" t="s">
        <v>18</v>
      </c>
      <c r="D70" s="70">
        <v>0</v>
      </c>
      <c r="E70" s="172">
        <v>0</v>
      </c>
      <c r="F70" s="70">
        <f ca="1">'2. 손익계산서'!E146*$N$4/1000000</f>
        <v>0</v>
      </c>
      <c r="G70" s="172">
        <f ca="1">IFERROR(F70/$K$38,)</f>
        <v>0</v>
      </c>
      <c r="H70" s="70">
        <f ca="1">'2. 손익계산서'!G146*$N$4/1000000</f>
        <v>0</v>
      </c>
      <c r="I70" s="172">
        <f ca="1">IFERROR(H70/$M$38,)</f>
        <v>0</v>
      </c>
      <c r="J70" s="569">
        <f t="shared" ca="1" si="17"/>
        <v>0</v>
      </c>
      <c r="K70" s="569">
        <f t="shared" ca="1" si="18"/>
        <v>0</v>
      </c>
    </row>
    <row r="71" spans="3:11" ht="15" customHeight="1" x14ac:dyDescent="0.2">
      <c r="C71" s="164" t="s">
        <v>20</v>
      </c>
      <c r="D71" s="72">
        <v>237.39406739999799</v>
      </c>
      <c r="E71" s="173">
        <v>2.390965870360116E-2</v>
      </c>
      <c r="F71" s="72">
        <f ca="1">'1. 경신전선 요약'!K58</f>
        <v>964.39220452705774</v>
      </c>
      <c r="G71" s="173">
        <f ca="1">'1. 경신전선 요약'!L58</f>
        <v>6.0020885170226669E-2</v>
      </c>
      <c r="H71" s="72">
        <f ca="1">'1. 경신전선 요약'!M58</f>
        <v>1769.0229494999976</v>
      </c>
      <c r="I71" s="173">
        <f ca="1">'1. 경신전선 요약'!N58</f>
        <v>0.10329217134001561</v>
      </c>
      <c r="J71" s="571">
        <f ca="1">IF(D71&gt;0,H71/D71,"(-)")</f>
        <v>7.4518414418473062</v>
      </c>
      <c r="K71" s="571">
        <f ca="1">'1. 경신전선 요약'!P58</f>
        <v>1.8343397439297369</v>
      </c>
    </row>
    <row r="72" spans="3:11" ht="15" customHeight="1" x14ac:dyDescent="0.2">
      <c r="C72" s="165" t="s">
        <v>21</v>
      </c>
      <c r="D72" s="73">
        <v>2.390965870360116E-2</v>
      </c>
      <c r="E72" s="173"/>
      <c r="F72" s="73">
        <f ca="1">'1. 경신전선 요약'!K59</f>
        <v>6.0020885170226669E-2</v>
      </c>
      <c r="G72" s="173"/>
      <c r="H72" s="73">
        <f ca="1">'1. 경신전선 요약'!M59</f>
        <v>0.10329217134001561</v>
      </c>
      <c r="I72" s="173"/>
      <c r="J72" s="73"/>
      <c r="K72" s="73"/>
    </row>
    <row r="75" spans="3:11" ht="25.9" customHeight="1" x14ac:dyDescent="0.3">
      <c r="C75" s="9" t="str">
        <f>'1. 경신전선 요약'!C62</f>
        <v>□ 2월 KSCM-GP 손익/원가 요약</v>
      </c>
      <c r="D75" s="530"/>
      <c r="E75" s="531"/>
      <c r="F75" s="532"/>
      <c r="G75" s="533"/>
      <c r="H75" s="534"/>
      <c r="I75" s="535"/>
      <c r="K75" s="536" t="str">
        <f>+K42</f>
        <v>( 1,350 KRW/USD )</v>
      </c>
    </row>
    <row r="76" spans="3:11" ht="15" customHeight="1" x14ac:dyDescent="0.2">
      <c r="C76" s="537"/>
      <c r="D76" s="5" t="s">
        <v>493</v>
      </c>
      <c r="E76" s="2" t="s">
        <v>494</v>
      </c>
      <c r="F76" s="652" t="s">
        <v>495</v>
      </c>
      <c r="G76" s="652" t="s">
        <v>496</v>
      </c>
      <c r="H76" s="5" t="s">
        <v>497</v>
      </c>
      <c r="I76" s="7" t="s">
        <v>498</v>
      </c>
      <c r="J76" s="6"/>
      <c r="K76" s="6"/>
    </row>
    <row r="77" spans="3:11" ht="15" customHeight="1" x14ac:dyDescent="0.2">
      <c r="C77" s="538"/>
      <c r="D77" s="4"/>
      <c r="E77" s="1"/>
      <c r="F77" s="653"/>
      <c r="G77" s="653"/>
      <c r="H77" s="4"/>
      <c r="I77" s="539" t="s">
        <v>499</v>
      </c>
      <c r="J77" s="540" t="s">
        <v>500</v>
      </c>
      <c r="K77" s="541" t="s">
        <v>501</v>
      </c>
    </row>
    <row r="78" spans="3:11" ht="15" customHeight="1" x14ac:dyDescent="0.2">
      <c r="C78" s="542" t="s">
        <v>325</v>
      </c>
      <c r="D78" s="543" t="s">
        <v>326</v>
      </c>
      <c r="E78" s="544">
        <f>'1. 경신전선 요약'!D64</f>
        <v>35016.419854328247</v>
      </c>
      <c r="F78" s="545">
        <f ca="1">'1. 경신전선 요약'!F64</f>
        <v>7050.8206915511564</v>
      </c>
      <c r="G78" s="545">
        <f ca="1">'1. 경신전선 요약'!G64</f>
        <v>6264.6155325000009</v>
      </c>
      <c r="H78" s="546">
        <f ca="1">G78/F78</f>
        <v>0.88849451809301461</v>
      </c>
      <c r="I78" s="582">
        <f ca="1">I7</f>
        <v>0.15932415000060182</v>
      </c>
      <c r="J78" s="583">
        <f t="shared" ref="J78:K78" ca="1" si="19">J7</f>
        <v>0.15588420053731336</v>
      </c>
      <c r="K78" s="584">
        <f t="shared" ca="1" si="19"/>
        <v>0.17890508391667151</v>
      </c>
    </row>
    <row r="79" spans="3:11" ht="15" customHeight="1" x14ac:dyDescent="0.2">
      <c r="C79" s="542" t="s">
        <v>123</v>
      </c>
      <c r="D79" s="543" t="s">
        <v>326</v>
      </c>
      <c r="E79" s="553">
        <f>'1. 경신전선 요약'!D78</f>
        <v>-8918.6152726231157</v>
      </c>
      <c r="F79" s="553">
        <f ca="1">'1. 경신전선 요약'!F78</f>
        <v>-446.65110514056732</v>
      </c>
      <c r="G79" s="553">
        <f ca="1">'1. 경신전선 요약'!G78</f>
        <v>-1724.449932</v>
      </c>
      <c r="H79" s="546" t="str">
        <f ca="1">IF(AND(F79&gt;0,G79&gt;0),G79/F79,"(-)")</f>
        <v>(-)</v>
      </c>
      <c r="I79" s="585">
        <f ca="1">I9</f>
        <v>0.44013411387886131</v>
      </c>
      <c r="J79" s="583">
        <f ca="1">J9</f>
        <v>0.24100628401442215</v>
      </c>
      <c r="K79" s="584" t="str">
        <f ca="1">K9</f>
        <v>(-)</v>
      </c>
    </row>
    <row r="80" spans="3:11" ht="15" customHeight="1" thickBot="1" x14ac:dyDescent="0.25">
      <c r="C80" s="555" t="s">
        <v>504</v>
      </c>
      <c r="D80" s="556" t="s">
        <v>505</v>
      </c>
      <c r="E80" s="557">
        <f>E79/E78</f>
        <v>-0.25469809048798914</v>
      </c>
      <c r="F80" s="557">
        <f ca="1">F79/F78</f>
        <v>-6.334739240721006E-2</v>
      </c>
      <c r="G80" s="557">
        <f ca="1">G79/G78</f>
        <v>-0.2752682783251072</v>
      </c>
      <c r="H80" s="558"/>
      <c r="I80" s="559"/>
      <c r="J80" s="559"/>
      <c r="K80" s="559"/>
    </row>
    <row r="82" spans="3:15" ht="34.9" customHeight="1" x14ac:dyDescent="0.2">
      <c r="C82" s="160" t="s">
        <v>95</v>
      </c>
      <c r="D82" s="63" t="s">
        <v>5</v>
      </c>
      <c r="E82" s="169" t="s">
        <v>506</v>
      </c>
      <c r="F82" s="63" t="s">
        <v>6</v>
      </c>
      <c r="G82" s="169" t="s">
        <v>506</v>
      </c>
      <c r="H82" s="63" t="s">
        <v>7</v>
      </c>
      <c r="I82" s="169" t="s">
        <v>8</v>
      </c>
      <c r="J82" s="64" t="s">
        <v>9</v>
      </c>
      <c r="K82" s="64" t="s">
        <v>10</v>
      </c>
      <c r="L82" s="7"/>
      <c r="M82" s="7"/>
      <c r="N82" s="7"/>
      <c r="O82" s="7"/>
    </row>
    <row r="83" spans="3:15" ht="15" customHeight="1" x14ac:dyDescent="0.2">
      <c r="C83" s="161" t="s">
        <v>11</v>
      </c>
      <c r="D83" s="65">
        <v>3163.1058696999999</v>
      </c>
      <c r="E83" s="170">
        <v>1</v>
      </c>
      <c r="F83" s="65">
        <f ca="1">'1. 경신전선 요약'!K64</f>
        <v>3869.6281995755776</v>
      </c>
      <c r="G83" s="170">
        <f ca="1">'1. 경신전선 요약'!L64</f>
        <v>1</v>
      </c>
      <c r="H83" s="65">
        <f ca="1">'1. 경신전선 요약'!M64</f>
        <v>3331.5399899999998</v>
      </c>
      <c r="I83" s="170">
        <f ca="1">'1. 경신전선 요약'!N64</f>
        <v>1</v>
      </c>
      <c r="J83" s="561">
        <f ca="1">IF(D83&gt;0,H83/D83,"(-)")</f>
        <v>1.0532495993616473</v>
      </c>
      <c r="K83" s="561">
        <f ca="1">'1. 경신전선 요약'!P64</f>
        <v>0.86094575968962717</v>
      </c>
      <c r="L83" s="7"/>
      <c r="M83" s="7"/>
      <c r="N83" s="7"/>
      <c r="O83" s="7"/>
    </row>
    <row r="84" spans="3:15" ht="15" customHeight="1" x14ac:dyDescent="0.2">
      <c r="C84" s="166" t="s">
        <v>109</v>
      </c>
      <c r="D84" s="68">
        <v>1981.7163057999999</v>
      </c>
      <c r="E84" s="171">
        <v>0.62650963560317152</v>
      </c>
      <c r="F84" s="68">
        <f ca="1">'1. 경신전선 요약'!K65</f>
        <v>3008.3441795999997</v>
      </c>
      <c r="G84" s="171">
        <f ca="1">'1. 경신전선 요약'!L65</f>
        <v>0.77742460630454269</v>
      </c>
      <c r="H84" s="68">
        <f ca="1">'1. 경신전선 요약'!M65</f>
        <v>3109.7147399999999</v>
      </c>
      <c r="I84" s="171">
        <f ca="1">'1. 경신전선 요약'!N65</f>
        <v>0.93341660293262763</v>
      </c>
      <c r="J84" s="563">
        <f t="shared" ref="J84:J87" ca="1" si="20">IF(D84&gt;0,H84/D84,"(-)")</f>
        <v>1.5692027819010339</v>
      </c>
      <c r="K84" s="563">
        <f ca="1">'1. 경신전선 요약'!P65</f>
        <v>1.0336964636850425</v>
      </c>
      <c r="L84" s="7"/>
      <c r="M84" s="7"/>
      <c r="N84" s="7"/>
      <c r="O84" s="7"/>
    </row>
    <row r="85" spans="3:15" ht="15" customHeight="1" x14ac:dyDescent="0.2">
      <c r="C85" s="167" t="s">
        <v>106</v>
      </c>
      <c r="D85" s="68">
        <v>369.54464959999996</v>
      </c>
      <c r="E85" s="171">
        <v>0.11682968096007766</v>
      </c>
      <c r="F85" s="68">
        <f ca="1">'1. 경신전선 요약'!K66</f>
        <v>861.28401997557796</v>
      </c>
      <c r="G85" s="171">
        <f ca="1">'1. 경신전선 요약'!L66</f>
        <v>0.22257539369545734</v>
      </c>
      <c r="H85" s="68">
        <f ca="1">'1. 경신전선 요약'!M66</f>
        <v>206.78755950000004</v>
      </c>
      <c r="I85" s="171">
        <f ca="1">'1. 경신전선 요약'!N66</f>
        <v>6.2069661514103591E-2</v>
      </c>
      <c r="J85" s="563">
        <f t="shared" ca="1" si="20"/>
        <v>0.55957395060063686</v>
      </c>
      <c r="K85" s="563">
        <f ca="1">'1. 경신전선 요약'!P66</f>
        <v>0.24009218179371722</v>
      </c>
      <c r="L85" s="7"/>
      <c r="M85" s="7"/>
      <c r="N85" s="7"/>
      <c r="O85" s="7"/>
    </row>
    <row r="86" spans="3:15" ht="15" customHeight="1" x14ac:dyDescent="0.2">
      <c r="C86" s="167" t="s">
        <v>107</v>
      </c>
      <c r="D86" s="68">
        <v>710.3874204</v>
      </c>
      <c r="E86" s="171">
        <v>0.22458540740129437</v>
      </c>
      <c r="F86" s="68">
        <f ca="1">'1. 경신전선 요약'!K67</f>
        <v>0</v>
      </c>
      <c r="G86" s="171">
        <f ca="1">'1. 경신전선 요약'!L67</f>
        <v>0</v>
      </c>
      <c r="H86" s="68">
        <f ca="1">'1. 경신전선 요약'!M67</f>
        <v>0</v>
      </c>
      <c r="I86" s="171">
        <f ca="1">'1. 경신전선 요약'!N67</f>
        <v>0</v>
      </c>
      <c r="J86" s="563">
        <f t="shared" ca="1" si="20"/>
        <v>0</v>
      </c>
      <c r="K86" s="563">
        <f ca="1">'1. 경신전선 요약'!P67</f>
        <v>0</v>
      </c>
      <c r="L86" s="7"/>
      <c r="M86" s="7"/>
      <c r="N86" s="7"/>
      <c r="O86" s="7"/>
    </row>
    <row r="87" spans="3:15" ht="15" customHeight="1" x14ac:dyDescent="0.2">
      <c r="C87" s="166" t="s">
        <v>345</v>
      </c>
      <c r="D87" s="68">
        <v>101.4574939</v>
      </c>
      <c r="E87" s="171">
        <v>3.2075276035456436E-2</v>
      </c>
      <c r="F87" s="68">
        <f ca="1">'1. 경신전선 요약'!K68</f>
        <v>0</v>
      </c>
      <c r="G87" s="171">
        <f ca="1">'1. 경신전선 요약'!L68</f>
        <v>0</v>
      </c>
      <c r="H87" s="68">
        <f ca="1">'1. 경신전선 요약'!M68</f>
        <v>15.037690499999998</v>
      </c>
      <c r="I87" s="171">
        <f ca="1">'1. 경신전선 요약'!N68</f>
        <v>4.5137355532688652E-3</v>
      </c>
      <c r="J87" s="563">
        <f t="shared" ca="1" si="20"/>
        <v>0.1482166562759934</v>
      </c>
      <c r="K87" s="563">
        <f ca="1">'1. 경신전선 요약'!P68</f>
        <v>0</v>
      </c>
      <c r="L87" s="7"/>
      <c r="M87" s="7"/>
      <c r="N87" s="7"/>
      <c r="O87" s="7"/>
    </row>
    <row r="88" spans="3:15" ht="15" hidden="1" customHeight="1" x14ac:dyDescent="0.2">
      <c r="C88" s="162"/>
      <c r="D88" s="68">
        <v>0</v>
      </c>
      <c r="E88" s="171">
        <v>0</v>
      </c>
      <c r="F88" s="68">
        <f>'1. 경신전선 요약'!K69</f>
        <v>0</v>
      </c>
      <c r="G88" s="171">
        <f ca="1">'1. 경신전선 요약'!L69</f>
        <v>0</v>
      </c>
      <c r="H88" s="68">
        <f>'1. 경신전선 요약'!M69</f>
        <v>0</v>
      </c>
      <c r="I88" s="171">
        <f ca="1">'1. 경신전선 요약'!N69</f>
        <v>0</v>
      </c>
      <c r="J88" s="563" t="e">
        <f t="shared" ref="J88" si="21">+H88/D88</f>
        <v>#DIV/0!</v>
      </c>
      <c r="K88" s="563">
        <f>'1. 경신전선 요약'!P69</f>
        <v>0</v>
      </c>
      <c r="L88" s="7"/>
      <c r="M88" s="7"/>
      <c r="N88" s="7"/>
      <c r="O88" s="7"/>
    </row>
    <row r="89" spans="3:15" ht="15" customHeight="1" x14ac:dyDescent="0.2">
      <c r="C89" s="161" t="s">
        <v>12</v>
      </c>
      <c r="D89" s="65">
        <v>3777.7111896377487</v>
      </c>
      <c r="E89" s="170">
        <v>1.1943043784355027</v>
      </c>
      <c r="F89" s="65">
        <f ca="1">'1. 경신전선 요약'!K70</f>
        <v>3594.5099168658289</v>
      </c>
      <c r="G89" s="170">
        <f ca="1">'1. 경신전선 요약'!L70</f>
        <v>0.92890317402071765</v>
      </c>
      <c r="H89" s="65">
        <f ca="1">'1. 경신전선 요약'!M70</f>
        <v>3809.2782735000001</v>
      </c>
      <c r="I89" s="170">
        <f ca="1">'1. 경신전선 요약'!N70</f>
        <v>1.1433986339452586</v>
      </c>
      <c r="J89" s="561">
        <f ca="1">IF(D89&gt;0,H89/D89,"(-)")</f>
        <v>1.0083561400746675</v>
      </c>
      <c r="K89" s="561">
        <f ca="1">'1. 경신전선 요약'!P70</f>
        <v>1.0597489954406454</v>
      </c>
      <c r="L89" s="7"/>
      <c r="M89" s="7"/>
      <c r="N89" s="7"/>
      <c r="O89" s="7"/>
    </row>
    <row r="90" spans="3:15" ht="6" customHeight="1" x14ac:dyDescent="0.2">
      <c r="C90" s="168"/>
      <c r="D90" s="68"/>
      <c r="E90" s="171"/>
      <c r="F90" s="68"/>
      <c r="G90" s="171"/>
      <c r="H90" s="68"/>
      <c r="I90" s="171"/>
      <c r="J90" s="69"/>
      <c r="K90" s="563"/>
      <c r="L90" s="7"/>
      <c r="M90" s="7"/>
      <c r="N90" s="7"/>
      <c r="O90" s="7"/>
    </row>
    <row r="91" spans="3:15" ht="15" customHeight="1" x14ac:dyDescent="0.2">
      <c r="C91" s="161" t="s">
        <v>13</v>
      </c>
      <c r="D91" s="65">
        <v>-614.60531993774885</v>
      </c>
      <c r="E91" s="170">
        <v>-0.19430437843550274</v>
      </c>
      <c r="F91" s="65">
        <f ca="1">'1. 경신전선 요약'!K72</f>
        <v>275.11828270974866</v>
      </c>
      <c r="G91" s="170">
        <f ca="1">'1. 경신전선 요약'!L72</f>
        <v>7.1096825979282394E-2</v>
      </c>
      <c r="H91" s="65">
        <f ca="1">'1. 경신전선 요약'!M72</f>
        <v>-477.73828350000031</v>
      </c>
      <c r="I91" s="170">
        <f ca="1">'1. 경신전선 요약'!N72</f>
        <v>-0.14339863394525856</v>
      </c>
      <c r="J91" s="561" t="str">
        <f>IF(D91&gt;0,H91/D91,"(-)")</f>
        <v>(-)</v>
      </c>
      <c r="K91" s="561" t="str">
        <f ca="1">'1. 경신전선 요약'!P72</f>
        <v>(-)</v>
      </c>
      <c r="L91" s="7"/>
      <c r="M91" s="7"/>
      <c r="N91" s="7"/>
      <c r="O91" s="7"/>
    </row>
    <row r="92" spans="3:15" ht="6" customHeight="1" x14ac:dyDescent="0.2">
      <c r="C92" s="184"/>
      <c r="D92" s="69"/>
      <c r="E92" s="171"/>
      <c r="F92" s="69"/>
      <c r="G92" s="171"/>
      <c r="H92" s="69"/>
      <c r="I92" s="171"/>
      <c r="J92" s="69"/>
      <c r="K92" s="563"/>
      <c r="L92" s="7"/>
      <c r="M92" s="7"/>
      <c r="N92" s="7"/>
      <c r="O92" s="7"/>
    </row>
    <row r="93" spans="3:15" ht="15" customHeight="1" x14ac:dyDescent="0.2">
      <c r="C93" s="161" t="s">
        <v>15</v>
      </c>
      <c r="D93" s="65">
        <v>428.96525909999997</v>
      </c>
      <c r="E93" s="170">
        <v>0.13561520757466286</v>
      </c>
      <c r="F93" s="65">
        <f ca="1">'1. 경신전선 요약'!K74</f>
        <v>234.87223856369928</v>
      </c>
      <c r="G93" s="170">
        <f ca="1">'1. 경신전선 요약'!L74</f>
        <v>6.0696332166863001E-2</v>
      </c>
      <c r="H93" s="65">
        <f ca="1">'1. 경신전선 요약'!M74</f>
        <v>444.05645850000002</v>
      </c>
      <c r="I93" s="170">
        <f ca="1">'1. 경신전선 요약'!N74</f>
        <v>0.1332886472420822</v>
      </c>
      <c r="J93" s="561">
        <f ca="1">IF(D93&gt;0,H93/D93,"(-)")</f>
        <v>1.0351804699328391</v>
      </c>
      <c r="K93" s="561">
        <f ca="1">'1. 경신전선 요약'!P74</f>
        <v>1.8906298216235047</v>
      </c>
      <c r="L93" s="7"/>
      <c r="M93" s="7"/>
      <c r="N93" s="7"/>
      <c r="O93" s="7"/>
    </row>
    <row r="94" spans="3:15" ht="15" hidden="1" customHeight="1" x14ac:dyDescent="0.2">
      <c r="C94" s="163" t="s">
        <v>16</v>
      </c>
      <c r="D94" s="70">
        <v>0</v>
      </c>
      <c r="E94" s="172">
        <v>0</v>
      </c>
      <c r="F94" s="70">
        <f ca="1">'2. 손익계산서'!J188*$N$4/1000000</f>
        <v>0</v>
      </c>
      <c r="G94" s="172">
        <f t="shared" ref="G94:G96" ca="1" si="22">IFERROR(F94/$K$64,)</f>
        <v>0</v>
      </c>
      <c r="H94" s="70">
        <f ca="1">'2. 손익계산서'!L188*$N$4/1000000</f>
        <v>0</v>
      </c>
      <c r="I94" s="172">
        <f t="shared" ref="I94:I96" ca="1" si="23">IFERROR(H94/$M$64,)</f>
        <v>0</v>
      </c>
      <c r="J94" s="71">
        <f t="shared" ref="J94:J96" ca="1" si="24">IFERROR(H94/D94,)</f>
        <v>0</v>
      </c>
      <c r="K94" s="569">
        <f t="shared" ref="K94:K96" ca="1" si="25">IFERROR(H94/F94,)</f>
        <v>0</v>
      </c>
      <c r="L94" s="7"/>
      <c r="M94" s="7"/>
      <c r="N94" s="7"/>
      <c r="O94" s="7"/>
    </row>
    <row r="95" spans="3:15" ht="6" customHeight="1" x14ac:dyDescent="0.2">
      <c r="C95" s="185"/>
      <c r="D95" s="70"/>
      <c r="E95" s="172"/>
      <c r="F95" s="70"/>
      <c r="G95" s="172"/>
      <c r="H95" s="70"/>
      <c r="I95" s="172"/>
      <c r="J95" s="71"/>
      <c r="K95" s="569"/>
      <c r="L95" s="7"/>
      <c r="M95" s="7"/>
      <c r="N95" s="7"/>
      <c r="O95" s="7"/>
    </row>
    <row r="96" spans="3:15" ht="15" hidden="1" customHeight="1" x14ac:dyDescent="0.2">
      <c r="C96" s="163" t="s">
        <v>18</v>
      </c>
      <c r="D96" s="70">
        <v>0</v>
      </c>
      <c r="E96" s="172">
        <v>0</v>
      </c>
      <c r="F96" s="70">
        <f>'2. 손익계산서'!J222*$N$4/1000000</f>
        <v>0</v>
      </c>
      <c r="G96" s="172">
        <f t="shared" si="22"/>
        <v>0</v>
      </c>
      <c r="H96" s="70">
        <f>'2. 손익계산서'!L222*$N$4/1000000</f>
        <v>0</v>
      </c>
      <c r="I96" s="172">
        <f t="shared" si="23"/>
        <v>0</v>
      </c>
      <c r="J96" s="71">
        <f t="shared" si="24"/>
        <v>0</v>
      </c>
      <c r="K96" s="569">
        <f t="shared" si="25"/>
        <v>0</v>
      </c>
      <c r="L96" s="7"/>
      <c r="M96" s="7"/>
      <c r="N96" s="7"/>
      <c r="O96" s="7"/>
    </row>
    <row r="97" spans="3:15" ht="15" customHeight="1" x14ac:dyDescent="0.2">
      <c r="C97" s="164" t="s">
        <v>20</v>
      </c>
      <c r="D97" s="72">
        <v>-1043.5705790377488</v>
      </c>
      <c r="E97" s="173">
        <v>-0.32991958601016558</v>
      </c>
      <c r="F97" s="72">
        <f ca="1">'1. 경신전선 요약'!K78</f>
        <v>40.246044146049371</v>
      </c>
      <c r="G97" s="173">
        <f ca="1">'1. 경신전선 요약'!L78</f>
        <v>1.0400493812419387E-2</v>
      </c>
      <c r="H97" s="72">
        <f ca="1">'1. 경신전선 요약'!M78</f>
        <v>-921.79474200000027</v>
      </c>
      <c r="I97" s="173">
        <f ca="1">'1. 경신전선 요약'!N78</f>
        <v>-0.27668728118734076</v>
      </c>
      <c r="J97" s="571" t="str">
        <f>IF(D97&gt;0,H97/D97,"(-)")</f>
        <v>(-)</v>
      </c>
      <c r="K97" s="571" t="str">
        <f ca="1">'1. 경신전선 요약'!P78</f>
        <v>(-)</v>
      </c>
      <c r="L97" s="7"/>
      <c r="M97" s="7"/>
      <c r="N97" s="7"/>
      <c r="O97" s="7"/>
    </row>
    <row r="98" spans="3:15" ht="15" customHeight="1" x14ac:dyDescent="0.2">
      <c r="C98" s="165" t="s">
        <v>21</v>
      </c>
      <c r="D98" s="73">
        <v>-0.32991958601016558</v>
      </c>
      <c r="E98" s="173"/>
      <c r="F98" s="73">
        <f ca="1">'1. 경신전선 요약'!K79</f>
        <v>1.0400493812419387E-2</v>
      </c>
      <c r="G98" s="173"/>
      <c r="H98" s="73">
        <f ca="1">'1. 경신전선 요약'!M79</f>
        <v>-0.27668728118734076</v>
      </c>
      <c r="I98" s="173"/>
      <c r="J98" s="73"/>
      <c r="K98" s="73"/>
      <c r="L98" s="7"/>
      <c r="M98" s="7"/>
      <c r="N98" s="7"/>
      <c r="O98" s="7"/>
    </row>
    <row r="99" spans="3:15" ht="15" customHeight="1" x14ac:dyDescent="0.2">
      <c r="K99" s="493"/>
    </row>
  </sheetData>
  <mergeCells count="18">
    <mergeCell ref="I5:K5"/>
    <mergeCell ref="D5:D6"/>
    <mergeCell ref="E5:E6"/>
    <mergeCell ref="F5:F6"/>
    <mergeCell ref="G5:G6"/>
    <mergeCell ref="H5:H6"/>
    <mergeCell ref="I76:K76"/>
    <mergeCell ref="D43:D44"/>
    <mergeCell ref="E43:E44"/>
    <mergeCell ref="F43:F44"/>
    <mergeCell ref="G43:G44"/>
    <mergeCell ref="H43:H44"/>
    <mergeCell ref="I43:K43"/>
    <mergeCell ref="D76:D77"/>
    <mergeCell ref="E76:E77"/>
    <mergeCell ref="F76:F77"/>
    <mergeCell ref="G76:G77"/>
    <mergeCell ref="H76:H77"/>
  </mergeCells>
  <phoneticPr fontId="8" type="noConversion"/>
  <pageMargins left="0.7" right="0.7" top="0.75" bottom="0.75" header="0.3" footer="0.3"/>
  <pageSetup paperSize="9" scale="61" orientation="landscape" r:id="rId1"/>
  <rowBreaks count="1" manualBreakCount="1">
    <brk id="41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B64B-66AB-4DDB-A419-454BD76BB755}">
  <dimension ref="B1:X99"/>
  <sheetViews>
    <sheetView showGridLines="0" zoomScale="85" zoomScaleNormal="85" zoomScaleSheetLayoutView="100" workbookViewId="0">
      <selection activeCell="W12" sqref="W12"/>
    </sheetView>
  </sheetViews>
  <sheetFormatPr defaultColWidth="11" defaultRowHeight="15" customHeight="1" x14ac:dyDescent="0.2"/>
  <cols>
    <col min="1" max="1" width="0.85546875" style="7" customWidth="1"/>
    <col min="2" max="2" width="5" style="31" customWidth="1"/>
    <col min="3" max="3" width="21.28515625" style="3" customWidth="1"/>
    <col min="4" max="4" width="14.140625" style="4" customWidth="1"/>
    <col min="5" max="5" width="12.7109375" style="6" customWidth="1"/>
    <col min="6" max="6" width="11" style="4" customWidth="1"/>
    <col min="7" max="7" width="10.42578125" style="4" customWidth="1"/>
    <col min="8" max="8" width="9.85546875" style="6" customWidth="1"/>
    <col min="9" max="9" width="11.140625" style="4" customWidth="1"/>
    <col min="10" max="10" width="11.7109375" style="6" customWidth="1"/>
    <col min="11" max="11" width="12.5703125" style="4" customWidth="1"/>
    <col min="12" max="12" width="10.85546875" style="6" customWidth="1"/>
    <col min="13" max="13" width="10.28515625" style="4" customWidth="1"/>
    <col min="14" max="14" width="10.7109375" style="6" customWidth="1"/>
    <col min="15" max="15" width="13.28515625" style="6" customWidth="1"/>
    <col min="16" max="16" width="13.85546875" style="6" customWidth="1"/>
    <col min="17" max="20" width="11" style="7" hidden="1" customWidth="1"/>
    <col min="21" max="21" width="19.42578125" style="7" hidden="1" customWidth="1"/>
    <col min="22" max="22" width="13.28515625" style="7" bestFit="1" customWidth="1"/>
    <col min="23" max="16384" width="11" style="7"/>
  </cols>
  <sheetData>
    <row r="1" spans="3:21" s="7" customFormat="1" ht="9" customHeight="1" x14ac:dyDescent="0.2">
      <c r="C1" s="3"/>
      <c r="D1" s="4"/>
      <c r="E1" s="5"/>
      <c r="F1" s="4"/>
      <c r="G1" s="4"/>
      <c r="H1" s="6"/>
      <c r="I1" s="4"/>
      <c r="J1" s="6"/>
      <c r="K1" s="4"/>
      <c r="L1" s="6"/>
      <c r="M1" s="4"/>
      <c r="N1" s="6"/>
      <c r="O1" s="6"/>
      <c r="P1" s="6"/>
    </row>
    <row r="2" spans="3:21" s="7" customFormat="1" ht="16.5" x14ac:dyDescent="0.2">
      <c r="C2" s="3"/>
      <c r="D2" s="4"/>
      <c r="E2" s="5"/>
      <c r="F2" s="4"/>
      <c r="G2" s="4"/>
      <c r="H2" s="6"/>
      <c r="I2" s="4"/>
      <c r="J2" s="6"/>
      <c r="K2" s="4"/>
      <c r="L2" s="6"/>
      <c r="M2" s="4"/>
      <c r="N2" s="6"/>
      <c r="O2" s="6"/>
      <c r="P2" s="6"/>
    </row>
    <row r="3" spans="3:21" s="7" customFormat="1" ht="16.5" x14ac:dyDescent="0.2">
      <c r="C3" s="3"/>
      <c r="D3" s="4"/>
      <c r="E3" s="5"/>
      <c r="F3" s="4"/>
      <c r="G3" s="4"/>
      <c r="H3" s="6"/>
      <c r="I3" s="4"/>
      <c r="J3" s="6"/>
      <c r="K3" s="4"/>
      <c r="L3" s="6"/>
      <c r="M3" s="4"/>
      <c r="N3" s="6"/>
      <c r="O3" s="6"/>
      <c r="P3" s="8"/>
    </row>
    <row r="4" spans="3:21" s="7" customFormat="1" ht="31.15" customHeight="1" x14ac:dyDescent="0.3">
      <c r="C4" s="9" t="str">
        <f>CONCATENATE("■ ",'2. 손익계산서'!$C$4,"월 KSCI 손익/원가 요약")</f>
        <v>■ 2월 KSCI 손익/원가 요약</v>
      </c>
      <c r="D4" s="10"/>
      <c r="E4" s="11"/>
      <c r="G4" s="12"/>
      <c r="H4" s="6"/>
      <c r="I4" s="4"/>
      <c r="J4" s="6"/>
      <c r="K4" s="4"/>
      <c r="L4" s="6"/>
      <c r="M4" s="186"/>
      <c r="N4" s="187">
        <v>1350</v>
      </c>
      <c r="O4" s="188" t="s">
        <v>327</v>
      </c>
      <c r="P4" s="189" t="s">
        <v>0</v>
      </c>
    </row>
    <row r="5" spans="3:21" s="7" customFormat="1" ht="34.9" customHeight="1" x14ac:dyDescent="0.2">
      <c r="C5" s="160" t="s">
        <v>95</v>
      </c>
      <c r="D5" s="63" t="s">
        <v>509</v>
      </c>
      <c r="E5" s="169" t="s">
        <v>1</v>
      </c>
      <c r="F5" s="63" t="s">
        <v>2</v>
      </c>
      <c r="G5" s="63" t="s">
        <v>3</v>
      </c>
      <c r="H5" s="169" t="s">
        <v>4</v>
      </c>
      <c r="I5" s="63" t="s">
        <v>5</v>
      </c>
      <c r="J5" s="169" t="s">
        <v>454</v>
      </c>
      <c r="K5" s="63" t="s">
        <v>6</v>
      </c>
      <c r="L5" s="169" t="s">
        <v>454</v>
      </c>
      <c r="M5" s="63" t="s">
        <v>7</v>
      </c>
      <c r="N5" s="169" t="s">
        <v>454</v>
      </c>
      <c r="O5" s="64" t="s">
        <v>9</v>
      </c>
      <c r="P5" s="64" t="s">
        <v>10</v>
      </c>
      <c r="R5" s="7" t="s">
        <v>448</v>
      </c>
      <c r="S5" s="7" t="s">
        <v>447</v>
      </c>
    </row>
    <row r="6" spans="3:21" s="7" customFormat="1" ht="18.600000000000001" customHeight="1" x14ac:dyDescent="0.2">
      <c r="C6" s="161" t="s">
        <v>11</v>
      </c>
      <c r="D6" s="65">
        <f>SUM(D7:D8)</f>
        <v>234337.43036984012</v>
      </c>
      <c r="E6" s="170">
        <f ca="1">IFERROR(G6/D6,)</f>
        <v>0.15932415000060182</v>
      </c>
      <c r="F6" s="65">
        <f ca="1">SUM(F7:F8)</f>
        <v>39126.548571968218</v>
      </c>
      <c r="G6" s="65">
        <f ca="1">SUM(G7:G8)</f>
        <v>37335.611906999991</v>
      </c>
      <c r="H6" s="170">
        <f ca="1">IFERROR(G6/F6,)</f>
        <v>0.95422707265697027</v>
      </c>
      <c r="I6" s="65">
        <f ca="1">SUM(I7:I8)</f>
        <v>16877.672824499998</v>
      </c>
      <c r="J6" s="170">
        <f ca="1">IFERROR(I6/$I$6,)</f>
        <v>1</v>
      </c>
      <c r="K6" s="65">
        <f ca="1">SUM(K7:K8)</f>
        <v>19937.238695354201</v>
      </c>
      <c r="L6" s="170">
        <f ca="1">IFERROR(K6/$K$6,)</f>
        <v>1</v>
      </c>
      <c r="M6" s="65">
        <f ca="1">SUM(M7:M8)</f>
        <v>20457.939082500005</v>
      </c>
      <c r="N6" s="170">
        <f ca="1">IFERROR(M6/$M$6,)</f>
        <v>1</v>
      </c>
      <c r="O6" s="66">
        <f ca="1">IFERROR(M6/I6,)</f>
        <v>1.2121303271623334</v>
      </c>
      <c r="P6" s="66">
        <f ca="1">IFERROR(M6/K6,)</f>
        <v>1.0261169761320628</v>
      </c>
      <c r="Q6" s="471">
        <f ca="1">P6-1</f>
        <v>2.6116976132062764E-2</v>
      </c>
      <c r="R6" s="7">
        <f ca="1">+M6-K6</f>
        <v>520.70038714580369</v>
      </c>
      <c r="S6" s="7">
        <f ca="1">+M6-I6</f>
        <v>3580.2662580000069</v>
      </c>
      <c r="T6" s="471">
        <f ca="1">O6-1</f>
        <v>0.21213032716233338</v>
      </c>
      <c r="U6" s="508" t="s">
        <v>474</v>
      </c>
    </row>
    <row r="7" spans="3:21" s="7" customFormat="1" ht="15" customHeight="1" x14ac:dyDescent="0.2">
      <c r="C7" s="162" t="s">
        <v>120</v>
      </c>
      <c r="D7" s="68">
        <f>'2. 손익계산서'!C7*$N$4/1000000</f>
        <v>199321.01051551185</v>
      </c>
      <c r="E7" s="171">
        <f t="shared" ref="E7:E9" ca="1" si="0">IFERROR(G7/D7,)</f>
        <v>0.15588420053731336</v>
      </c>
      <c r="F7" s="68">
        <f ca="1">'2. 손익계산서'!E7*$N$4/1000000</f>
        <v>32075.727880417064</v>
      </c>
      <c r="G7" s="68">
        <f ca="1">'2. 손익계산서'!F7*$N$4/1000000</f>
        <v>31070.996374499995</v>
      </c>
      <c r="H7" s="171">
        <f t="shared" ref="H7:H21" ca="1" si="1">IFERROR(G7/F7,)</f>
        <v>0.96867626793496775</v>
      </c>
      <c r="I7" s="68">
        <f ca="1">'2. 손익계산서'!H7*$N$4/1000000</f>
        <v>13944.597281999997</v>
      </c>
      <c r="J7" s="171">
        <f t="shared" ref="J7:J9" ca="1" si="2">IFERROR(I7/$I$6,)</f>
        <v>0.8262156416350076</v>
      </c>
      <c r="K7" s="68">
        <f ca="1">'2. 손익계산서'!J7*$N$4/1000000</f>
        <v>16067.610495778625</v>
      </c>
      <c r="L7" s="171">
        <f t="shared" ref="L7:L9" ca="1" si="3">IFERROR(K7/$K$6,)</f>
        <v>0.8059095214385289</v>
      </c>
      <c r="M7" s="68">
        <f ca="1">'2. 손익계산서'!L7*$N$4/1000000</f>
        <v>17126.399092500003</v>
      </c>
      <c r="N7" s="171">
        <f t="shared" ref="N7:N22" ca="1" si="4">IFERROR(M7/$M$6,)</f>
        <v>0.83715172987049091</v>
      </c>
      <c r="O7" s="69">
        <f t="shared" ref="O7:O9" ca="1" si="5">IFERROR(M7/I7,)</f>
        <v>1.2281745213687274</v>
      </c>
      <c r="P7" s="69">
        <f t="shared" ref="P7:P9" ca="1" si="6">IFERROR(M7/K7,)</f>
        <v>1.0658958341689668</v>
      </c>
    </row>
    <row r="8" spans="3:21" s="7" customFormat="1" ht="15" customHeight="1" x14ac:dyDescent="0.2">
      <c r="C8" s="162" t="s">
        <v>121</v>
      </c>
      <c r="D8" s="68">
        <f>'2. 손익계산서'!C9*$N$4/1000000</f>
        <v>35016.419854328255</v>
      </c>
      <c r="E8" s="171">
        <f t="shared" ca="1" si="0"/>
        <v>0.17890508391667151</v>
      </c>
      <c r="F8" s="68">
        <f ca="1">'2. 손익계산서'!E9*$N$4/1000000</f>
        <v>7050.8206915511564</v>
      </c>
      <c r="G8" s="68">
        <f ca="1">'2. 손익계산서'!F9*$N$4/1000000</f>
        <v>6264.6155324999991</v>
      </c>
      <c r="H8" s="171">
        <f t="shared" ca="1" si="1"/>
        <v>0.88849451809301438</v>
      </c>
      <c r="I8" s="68">
        <f ca="1">'2. 손익계산서'!H9*$N$4/1000000</f>
        <v>2933.0755424999993</v>
      </c>
      <c r="J8" s="171">
        <f t="shared" ca="1" si="2"/>
        <v>0.17378435836499229</v>
      </c>
      <c r="K8" s="68">
        <f ca="1">'2. 손익계산서'!J9*$N$4/1000000</f>
        <v>3869.6281995755776</v>
      </c>
      <c r="L8" s="171">
        <f t="shared" ca="1" si="3"/>
        <v>0.19409047856147116</v>
      </c>
      <c r="M8" s="68">
        <f ca="1">'2. 손익계산서'!L9*$N$4/1000000</f>
        <v>3331.5399900000002</v>
      </c>
      <c r="N8" s="171">
        <f t="shared" ca="1" si="4"/>
        <v>0.162848270129509</v>
      </c>
      <c r="O8" s="69">
        <f t="shared" ca="1" si="5"/>
        <v>1.1358520916786108</v>
      </c>
      <c r="P8" s="69">
        <f t="shared" ca="1" si="6"/>
        <v>0.86094575968962728</v>
      </c>
    </row>
    <row r="9" spans="3:21" s="7" customFormat="1" ht="15" customHeight="1" x14ac:dyDescent="0.2">
      <c r="C9" s="162" t="s">
        <v>124</v>
      </c>
      <c r="D9" s="68">
        <f>'2. 손익계산서'!C8</f>
        <v>0</v>
      </c>
      <c r="E9" s="171">
        <f t="shared" ca="1" si="0"/>
        <v>0</v>
      </c>
      <c r="F9" s="68">
        <f ca="1">'2. 손익계산서'!E8</f>
        <v>0</v>
      </c>
      <c r="G9" s="68">
        <f ca="1">'2. 손익계산서'!F8</f>
        <v>1346.4872319999999</v>
      </c>
      <c r="H9" s="171">
        <f t="shared" ca="1" si="1"/>
        <v>0</v>
      </c>
      <c r="I9" s="68">
        <f ca="1">'2. 손익계산서'!H8</f>
        <v>631.81666200000006</v>
      </c>
      <c r="J9" s="171">
        <f t="shared" ca="1" si="2"/>
        <v>3.743505805390665E-2</v>
      </c>
      <c r="K9" s="68">
        <f ca="1">'2. 손익계산서'!J8</f>
        <v>0</v>
      </c>
      <c r="L9" s="171">
        <f t="shared" ca="1" si="3"/>
        <v>0</v>
      </c>
      <c r="M9" s="68">
        <f ca="1">'2. 손익계산서'!L8</f>
        <v>714.67057</v>
      </c>
      <c r="N9" s="171">
        <f t="shared" ca="1" si="4"/>
        <v>3.4933654221863376E-2</v>
      </c>
      <c r="O9" s="69">
        <f t="shared" ca="1" si="5"/>
        <v>1.1311359971700143</v>
      </c>
      <c r="P9" s="69">
        <f t="shared" ca="1" si="6"/>
        <v>0</v>
      </c>
    </row>
    <row r="10" spans="3:21" s="7" customFormat="1" ht="15" hidden="1" customHeight="1" x14ac:dyDescent="0.2">
      <c r="C10" s="162"/>
      <c r="D10" s="68"/>
      <c r="E10" s="171"/>
      <c r="F10" s="68"/>
      <c r="G10" s="68"/>
      <c r="H10" s="171"/>
      <c r="I10" s="68"/>
      <c r="J10" s="171"/>
      <c r="K10" s="68"/>
      <c r="L10" s="171"/>
      <c r="M10" s="68"/>
      <c r="N10" s="171"/>
      <c r="O10" s="69"/>
      <c r="P10" s="69"/>
    </row>
    <row r="11" spans="3:21" s="7" customFormat="1" ht="17.45" customHeight="1" x14ac:dyDescent="0.2">
      <c r="C11" s="161" t="s">
        <v>12</v>
      </c>
      <c r="D11" s="65">
        <f>SUM(D12:D13)</f>
        <v>219695.57166548236</v>
      </c>
      <c r="E11" s="170">
        <f t="shared" ref="E11:E14" ca="1" si="7">IFERROR(G11/D11,)</f>
        <v>0.15705544342758904</v>
      </c>
      <c r="F11" s="65">
        <f ca="1">SUM(F12:F13)</f>
        <v>35735.271199815732</v>
      </c>
      <c r="G11" s="65">
        <f ca="1">SUM(G12:G13)</f>
        <v>34504.385427000001</v>
      </c>
      <c r="H11" s="170">
        <f t="shared" ca="1" si="1"/>
        <v>0.96555543776530572</v>
      </c>
      <c r="I11" s="65">
        <f ca="1">SUM(I12:I13)</f>
        <v>15846.994521000001</v>
      </c>
      <c r="J11" s="170">
        <f t="shared" ref="J11" ca="1" si="8">IFERROR(I11/$I$6,)</f>
        <v>0.93893243966645434</v>
      </c>
      <c r="K11" s="65">
        <f ca="1">SUM(K12:K13)</f>
        <v>17905.725466662861</v>
      </c>
      <c r="L11" s="170">
        <f ca="1">IFERROR(K11/K6,)</f>
        <v>0.89810458410347838</v>
      </c>
      <c r="M11" s="65">
        <f ca="1">SUM(M12:M13)</f>
        <v>18657.390906000001</v>
      </c>
      <c r="N11" s="170">
        <f ca="1">IFERROR(M11/M6,)</f>
        <v>0.91198780242530797</v>
      </c>
      <c r="O11" s="66">
        <f t="shared" ref="O11:O14" ca="1" si="9">IFERROR(M11/I11,)</f>
        <v>1.1773457030780026</v>
      </c>
      <c r="P11" s="66">
        <f t="shared" ref="P11:P14" ca="1" si="10">IFERROR(M11/K11,)</f>
        <v>1.0419790552880195</v>
      </c>
      <c r="R11" s="7">
        <f ca="1">+M11-K11</f>
        <v>751.66543933713911</v>
      </c>
      <c r="S11" s="7">
        <f ca="1">+M11-I11</f>
        <v>2810.396385</v>
      </c>
    </row>
    <row r="12" spans="3:21" s="7" customFormat="1" ht="15" customHeight="1" x14ac:dyDescent="0.2">
      <c r="C12" s="162" t="s">
        <v>120</v>
      </c>
      <c r="D12" s="68">
        <f>'2. 손익계산서'!C91*$N$4/1000000</f>
        <v>178792.53743766277</v>
      </c>
      <c r="E12" s="171">
        <f t="shared" ca="1" si="7"/>
        <v>0.15344809938482767</v>
      </c>
      <c r="F12" s="68">
        <f ca="1">'2. 손익계산서'!E91*$N$4/1000000</f>
        <v>28716.485724695372</v>
      </c>
      <c r="G12" s="68">
        <f ca="1">'2. 손익계산서'!F91*$N$4/1000000</f>
        <v>27435.375054</v>
      </c>
      <c r="H12" s="171">
        <f t="shared" ca="1" si="1"/>
        <v>0.95538762357701545</v>
      </c>
      <c r="I12" s="465">
        <f ca="1">'2. 손익계산서'!H91*$N$4/1000000</f>
        <v>12587.2624215</v>
      </c>
      <c r="J12" s="466">
        <f ca="1">IFERROR(I12/I7,)</f>
        <v>0.90266231192979118</v>
      </c>
      <c r="K12" s="68">
        <f ca="1">'2. 손익계산서'!J91*$N$4/1000000</f>
        <v>14311.215549797033</v>
      </c>
      <c r="L12" s="171">
        <f ca="1">IFERROR(K12/K7,)</f>
        <v>0.89068723402007766</v>
      </c>
      <c r="M12" s="465">
        <f ca="1">'2. 손익계산서'!L91*$N$4/1000000</f>
        <v>14848.112632499999</v>
      </c>
      <c r="N12" s="466">
        <f ca="1">IFERROR(M12/M7,)</f>
        <v>0.86697224281094132</v>
      </c>
      <c r="O12" s="69">
        <f t="shared" ca="1" si="9"/>
        <v>1.1796141317542006</v>
      </c>
      <c r="P12" s="69">
        <f t="shared" ca="1" si="10"/>
        <v>1.0375158267188966</v>
      </c>
    </row>
    <row r="13" spans="3:21" s="7" customFormat="1" ht="15" customHeight="1" x14ac:dyDescent="0.2">
      <c r="C13" s="162" t="s">
        <v>121</v>
      </c>
      <c r="D13" s="68">
        <f>'2. 손익계산서'!C160*$N$4/1000000</f>
        <v>40903.034227819604</v>
      </c>
      <c r="E13" s="171">
        <f t="shared" ca="1" si="7"/>
        <v>0.17282361825842535</v>
      </c>
      <c r="F13" s="68">
        <f ca="1">'2. 손익계산서'!E160*$N$4/1000000</f>
        <v>7018.7854751203586</v>
      </c>
      <c r="G13" s="68">
        <f ca="1">'2. 손익계산서'!F160*$N$4/1000000</f>
        <v>7069.010373000001</v>
      </c>
      <c r="H13" s="171">
        <f t="shared" ca="1" si="1"/>
        <v>1.0071557818738976</v>
      </c>
      <c r="I13" s="465">
        <f ca="1">'2. 손익계산서'!H160*$N$4/1000000</f>
        <v>3259.7320995</v>
      </c>
      <c r="J13" s="466">
        <f t="shared" ref="J13:L13" ca="1" si="11">IFERROR(I13/I8,)</f>
        <v>1.1113699774406682</v>
      </c>
      <c r="K13" s="68">
        <f ca="1">'2. 손익계산서'!J160*$N$4/1000000</f>
        <v>3594.5099168658289</v>
      </c>
      <c r="L13" s="171">
        <f t="shared" ca="1" si="11"/>
        <v>0.92890317402071765</v>
      </c>
      <c r="M13" s="465">
        <f ca="1">'2. 손익계산서'!L160*$N$4/1000000</f>
        <v>3809.2782735000001</v>
      </c>
      <c r="N13" s="466">
        <f t="shared" ref="N13" ca="1" si="12">IFERROR(M13/M8,)</f>
        <v>1.1433986339452584</v>
      </c>
      <c r="O13" s="69">
        <f t="shared" ca="1" si="9"/>
        <v>1.1685863001086172</v>
      </c>
      <c r="P13" s="69">
        <f t="shared" ca="1" si="10"/>
        <v>1.0597489954406454</v>
      </c>
    </row>
    <row r="14" spans="3:21" s="7" customFormat="1" ht="15" customHeight="1" x14ac:dyDescent="0.2">
      <c r="C14" s="162" t="s">
        <v>125</v>
      </c>
      <c r="D14" s="68">
        <f>'2. 손익계산서'!C163*$N$4/1000000</f>
        <v>2403.7902551486841</v>
      </c>
      <c r="E14" s="171">
        <f t="shared" ca="1" si="7"/>
        <v>-0.16550175255427704</v>
      </c>
      <c r="F14" s="68">
        <f ca="1">'2. 손익계산서'!E163*$N$4/1000000</f>
        <v>477.65483419144732</v>
      </c>
      <c r="G14" s="68">
        <f ca="1">'2. 손익계산서'!F163*$N$4/1000000</f>
        <v>-397.83150000000001</v>
      </c>
      <c r="H14" s="171">
        <f t="shared" ca="1" si="1"/>
        <v>-0.83288490249121272</v>
      </c>
      <c r="I14" s="465">
        <f ca="1">'2. 손익계산서'!H163*$N$4/1000000</f>
        <v>-397.83150000000001</v>
      </c>
      <c r="J14" s="466">
        <f ca="1">IFERROR(I14/I8,)</f>
        <v>-0.13563629515689507</v>
      </c>
      <c r="K14" s="68">
        <f ca="1">'2. 손익계산서'!J163*$N$4/1000000</f>
        <v>98.292417095723707</v>
      </c>
      <c r="L14" s="171">
        <f ca="1">IFERROR(K14/K8,)</f>
        <v>2.5400997725441545E-2</v>
      </c>
      <c r="M14" s="465">
        <f ca="1">'2. 손익계산서'!L163*$N$4/1000000</f>
        <v>0</v>
      </c>
      <c r="N14" s="466">
        <f ca="1">IFERROR(M14/M8,)</f>
        <v>0</v>
      </c>
      <c r="O14" s="69">
        <f t="shared" ca="1" si="9"/>
        <v>0</v>
      </c>
      <c r="P14" s="69">
        <f t="shared" ca="1" si="10"/>
        <v>0</v>
      </c>
    </row>
    <row r="15" spans="3:21" s="7" customFormat="1" ht="15" hidden="1" customHeight="1" x14ac:dyDescent="0.2">
      <c r="C15" s="162"/>
      <c r="D15" s="68"/>
      <c r="E15" s="171"/>
      <c r="F15" s="68"/>
      <c r="G15" s="68"/>
      <c r="H15" s="171"/>
      <c r="I15" s="68"/>
      <c r="J15" s="171"/>
      <c r="K15" s="68"/>
      <c r="L15" s="171"/>
      <c r="M15" s="68"/>
      <c r="N15" s="171"/>
      <c r="O15" s="69"/>
      <c r="P15" s="69"/>
    </row>
    <row r="16" spans="3:21" s="7" customFormat="1" ht="18.600000000000001" customHeight="1" x14ac:dyDescent="0.2">
      <c r="C16" s="161" t="s">
        <v>13</v>
      </c>
      <c r="D16" s="65">
        <f>D6-D11</f>
        <v>14641.858704357757</v>
      </c>
      <c r="E16" s="170">
        <f ca="1">IF(AND(D16&gt;0,G16&gt;0),G16/D16,"(-)")</f>
        <v>0.19336523710322048</v>
      </c>
      <c r="F16" s="65">
        <f ca="1">F6-F11</f>
        <v>3391.2773721524864</v>
      </c>
      <c r="G16" s="65">
        <f ca="1">G6-G11</f>
        <v>2831.2264799999903</v>
      </c>
      <c r="H16" s="170">
        <f t="shared" ref="H16" ca="1" si="13">IF(AND(F16&gt;0,G16&gt;0),G16/F16,"(-)")</f>
        <v>0.83485547459156229</v>
      </c>
      <c r="I16" s="65">
        <f ca="1">I6-I11</f>
        <v>1030.6783034999971</v>
      </c>
      <c r="J16" s="170">
        <f ca="1">IFERROR(I16/$I$6,)</f>
        <v>6.1067560333545635E-2</v>
      </c>
      <c r="K16" s="65">
        <f ca="1">K6-K11</f>
        <v>2031.5132286913395</v>
      </c>
      <c r="L16" s="170">
        <f ca="1">IFERROR(K16/$K$6,)</f>
        <v>0.10189541589652157</v>
      </c>
      <c r="M16" s="65">
        <f ca="1">M6-M11</f>
        <v>1800.548176500004</v>
      </c>
      <c r="N16" s="170">
        <f t="shared" ca="1" si="4"/>
        <v>8.8012197574692017E-2</v>
      </c>
      <c r="O16" s="66">
        <f ca="1">IF(AND(I16&gt;0,M16&gt;0),M16/I16,"(-)")</f>
        <v>1.7469545738817516</v>
      </c>
      <c r="P16" s="66">
        <f ca="1">IF(AND(K16&gt;0,M16&gt;0),M16/K16,"(-)")</f>
        <v>0.88630886133086195</v>
      </c>
      <c r="R16" s="7">
        <f ca="1">+M16-K16</f>
        <v>-230.96505219133542</v>
      </c>
      <c r="S16" s="7">
        <f ca="1">+M16-I16</f>
        <v>769.86987300000692</v>
      </c>
    </row>
    <row r="17" spans="2:20" s="14" customFormat="1" ht="15" customHeight="1" x14ac:dyDescent="0.2">
      <c r="C17" s="184" t="s">
        <v>127</v>
      </c>
      <c r="D17" s="69">
        <f>IFERROR(D16/D$6,)</f>
        <v>6.2481946145988829E-2</v>
      </c>
      <c r="E17" s="171"/>
      <c r="F17" s="69">
        <f ca="1">IFERROR(F16/F$6,)</f>
        <v>8.6674585311675809E-2</v>
      </c>
      <c r="G17" s="69">
        <f ca="1">IFERROR(G16/G$6,)</f>
        <v>7.583179531253828E-2</v>
      </c>
      <c r="H17" s="171"/>
      <c r="I17" s="69">
        <f ca="1">IFERROR(I16/I$6,)</f>
        <v>6.1067560333545635E-2</v>
      </c>
      <c r="J17" s="171"/>
      <c r="K17" s="69">
        <f ca="1">IFERROR(K16/K$6,)</f>
        <v>0.10189541589652157</v>
      </c>
      <c r="L17" s="171"/>
      <c r="M17" s="69">
        <f ca="1">IFERROR(M16/M$6,)</f>
        <v>8.8012197574692017E-2</v>
      </c>
      <c r="N17" s="171"/>
      <c r="O17" s="69"/>
      <c r="P17" s="69"/>
    </row>
    <row r="18" spans="2:20" ht="18.600000000000001" customHeight="1" x14ac:dyDescent="0.2">
      <c r="B18" s="7"/>
      <c r="C18" s="161" t="s">
        <v>15</v>
      </c>
      <c r="D18" s="65">
        <f>SUM(D19:D21)</f>
        <v>12507.589508040626</v>
      </c>
      <c r="E18" s="170">
        <f t="shared" ref="E18:E21" ca="1" si="14">IFERROR(G18/D18,)</f>
        <v>0.15125710651791047</v>
      </c>
      <c r="F18" s="65">
        <f ca="1">SUM(F19:F21)</f>
        <v>2111.5466633623801</v>
      </c>
      <c r="G18" s="65">
        <f ca="1">SUM(G19:G21)</f>
        <v>1891.8617985000003</v>
      </c>
      <c r="H18" s="170">
        <f t="shared" ca="1" si="1"/>
        <v>0.89596021311101004</v>
      </c>
      <c r="I18" s="65">
        <f ca="1">SUM(I19:I21)</f>
        <v>938.54182949999984</v>
      </c>
      <c r="J18" s="170">
        <f ca="1">IFERROR(I18/$I$6,)</f>
        <v>5.5608485794178451E-2</v>
      </c>
      <c r="K18" s="65">
        <f ca="1">SUM(K19:K21)</f>
        <v>1026.8749800182354</v>
      </c>
      <c r="L18" s="170">
        <f t="shared" ref="L18:L22" ca="1" si="15">IFERROR(K18/$K$6,)</f>
        <v>5.1505376231339349E-2</v>
      </c>
      <c r="M18" s="65">
        <f ca="1">SUM(M19:M21)</f>
        <v>953.3199689999999</v>
      </c>
      <c r="N18" s="170">
        <f t="shared" ca="1" si="4"/>
        <v>4.6599022763513971E-2</v>
      </c>
      <c r="O18" s="66">
        <f t="shared" ref="O18:O21" ca="1" si="16">IFERROR(M18/I18,)</f>
        <v>1.0157458506754813</v>
      </c>
      <c r="P18" s="66">
        <f t="shared" ref="P18:P21" ca="1" si="17">IFERROR(M18/K18,)</f>
        <v>0.92837004265414147</v>
      </c>
      <c r="R18" s="7">
        <f ca="1">+M18-K18</f>
        <v>-73.555011018235518</v>
      </c>
      <c r="S18" s="7">
        <f ca="1">+M18-I18</f>
        <v>14.778139500000066</v>
      </c>
    </row>
    <row r="19" spans="2:20" ht="15" customHeight="1" x14ac:dyDescent="0.2">
      <c r="B19" s="7"/>
      <c r="C19" s="163" t="s">
        <v>16</v>
      </c>
      <c r="D19" s="70">
        <f>'2. 손익계산서'!C19*$N$4/1000000</f>
        <v>0</v>
      </c>
      <c r="E19" s="172">
        <f t="shared" ca="1" si="14"/>
        <v>0</v>
      </c>
      <c r="F19" s="70">
        <f ca="1">'2. 손익계산서'!E19*$N$4/1000000</f>
        <v>0</v>
      </c>
      <c r="G19" s="70">
        <f ca="1">'2. 손익계산서'!F19*$N$4/1000000</f>
        <v>0</v>
      </c>
      <c r="H19" s="172">
        <f t="shared" ca="1" si="1"/>
        <v>0</v>
      </c>
      <c r="I19" s="70">
        <f ca="1">'2. 손익계산서'!H19*$N$4/1000000</f>
        <v>0</v>
      </c>
      <c r="J19" s="172">
        <f t="shared" ref="J19:J22" ca="1" si="18">IFERROR(I19/$I$6,)</f>
        <v>0</v>
      </c>
      <c r="K19" s="70">
        <f ca="1">'2. 손익계산서'!J19*$N$4/1000000</f>
        <v>0</v>
      </c>
      <c r="L19" s="172">
        <f t="shared" ca="1" si="15"/>
        <v>0</v>
      </c>
      <c r="M19" s="70">
        <f ca="1">'2. 손익계산서'!L19*$N$4/1000000</f>
        <v>0</v>
      </c>
      <c r="N19" s="172">
        <f t="shared" ca="1" si="4"/>
        <v>0</v>
      </c>
      <c r="O19" s="71">
        <f t="shared" ca="1" si="16"/>
        <v>0</v>
      </c>
      <c r="P19" s="71">
        <f t="shared" ca="1" si="17"/>
        <v>0</v>
      </c>
    </row>
    <row r="20" spans="2:20" ht="15" customHeight="1" x14ac:dyDescent="0.2">
      <c r="B20" s="7"/>
      <c r="C20" s="185" t="s">
        <v>17</v>
      </c>
      <c r="D20" s="70">
        <f>'2. 손익계산서'!C35*$N$4/1000000</f>
        <v>12507.589508040626</v>
      </c>
      <c r="E20" s="172">
        <f t="shared" ca="1" si="14"/>
        <v>0.15125710651791047</v>
      </c>
      <c r="F20" s="70">
        <f ca="1">'2. 손익계산서'!E35*$N$4/1000000</f>
        <v>2111.5466633623801</v>
      </c>
      <c r="G20" s="70">
        <f ca="1">'2. 손익계산서'!F35*$N$4/1000000</f>
        <v>1891.8617985000003</v>
      </c>
      <c r="H20" s="172">
        <f t="shared" ca="1" si="1"/>
        <v>0.89596021311101004</v>
      </c>
      <c r="I20" s="70">
        <f ca="1">'2. 손익계산서'!H35*$N$4/1000000</f>
        <v>938.54182949999984</v>
      </c>
      <c r="J20" s="172">
        <f t="shared" ca="1" si="18"/>
        <v>5.5608485794178451E-2</v>
      </c>
      <c r="K20" s="70">
        <f ca="1">'2. 손익계산서'!J35*$N$4/1000000</f>
        <v>1026.8749800182354</v>
      </c>
      <c r="L20" s="172">
        <f t="shared" ca="1" si="15"/>
        <v>5.1505376231339349E-2</v>
      </c>
      <c r="M20" s="70">
        <f ca="1">'2. 손익계산서'!L35*$N$4/1000000</f>
        <v>953.3199689999999</v>
      </c>
      <c r="N20" s="172">
        <f t="shared" ca="1" si="4"/>
        <v>4.6599022763513971E-2</v>
      </c>
      <c r="O20" s="71">
        <f t="shared" ca="1" si="16"/>
        <v>1.0157458506754813</v>
      </c>
      <c r="P20" s="71">
        <f t="shared" ca="1" si="17"/>
        <v>0.92837004265414147</v>
      </c>
    </row>
    <row r="21" spans="2:20" ht="15" customHeight="1" x14ac:dyDescent="0.2">
      <c r="B21" s="7"/>
      <c r="C21" s="163" t="s">
        <v>18</v>
      </c>
      <c r="D21" s="70">
        <f>'2. 손익계산서'!C53*$N$4/1000000</f>
        <v>0</v>
      </c>
      <c r="E21" s="172">
        <f t="shared" ca="1" si="14"/>
        <v>0</v>
      </c>
      <c r="F21" s="70">
        <f ca="1">'2. 손익계산서'!E53*$N$4/1000000</f>
        <v>0</v>
      </c>
      <c r="G21" s="70">
        <f ca="1">'2. 손익계산서'!F53*$N$4/1000000</f>
        <v>0</v>
      </c>
      <c r="H21" s="172">
        <f t="shared" ca="1" si="1"/>
        <v>0</v>
      </c>
      <c r="I21" s="70">
        <f ca="1">'2. 손익계산서'!H53*$N$4/1000000</f>
        <v>0</v>
      </c>
      <c r="J21" s="172">
        <f t="shared" ca="1" si="18"/>
        <v>0</v>
      </c>
      <c r="K21" s="70">
        <f ca="1">'2. 손익계산서'!J53*$N$4/1000000</f>
        <v>0</v>
      </c>
      <c r="L21" s="172">
        <f t="shared" ca="1" si="15"/>
        <v>0</v>
      </c>
      <c r="M21" s="70">
        <f ca="1">'2. 손익계산서'!L53*$N$4/1000000</f>
        <v>0</v>
      </c>
      <c r="N21" s="172">
        <f t="shared" ca="1" si="4"/>
        <v>0</v>
      </c>
      <c r="O21" s="71">
        <f t="shared" ca="1" si="16"/>
        <v>0</v>
      </c>
      <c r="P21" s="71">
        <f t="shared" ca="1" si="17"/>
        <v>0</v>
      </c>
    </row>
    <row r="22" spans="2:20" ht="16.5" x14ac:dyDescent="0.2">
      <c r="B22" s="7"/>
      <c r="C22" s="164" t="s">
        <v>20</v>
      </c>
      <c r="D22" s="72">
        <f>D16-D18</f>
        <v>2134.269196317131</v>
      </c>
      <c r="E22" s="449">
        <f ca="1">IF(AND(D22&gt;0,G22&gt;0),G22/D22,"(-)")</f>
        <v>0.44013411387886131</v>
      </c>
      <c r="F22" s="72">
        <f ca="1">F16-F18</f>
        <v>1279.7307087901063</v>
      </c>
      <c r="G22" s="72">
        <f ca="1">G16-G18</f>
        <v>939.36468149998996</v>
      </c>
      <c r="H22" s="173">
        <f ca="1">IF(AND(F22&gt;0,G22&gt;0),G22/F22,"(-)")</f>
        <v>0.73403308606081041</v>
      </c>
      <c r="I22" s="72">
        <f ca="1">I16-I18</f>
        <v>92.136473999997293</v>
      </c>
      <c r="J22" s="173">
        <f t="shared" ca="1" si="18"/>
        <v>5.4590745393671798E-3</v>
      </c>
      <c r="K22" s="72">
        <f ca="1">K16-K18</f>
        <v>1004.638248673104</v>
      </c>
      <c r="L22" s="173">
        <f t="shared" ca="1" si="15"/>
        <v>5.0390039665182219E-2</v>
      </c>
      <c r="M22" s="72">
        <f ca="1">M16-M18</f>
        <v>847.22820750000415</v>
      </c>
      <c r="N22" s="173">
        <f t="shared" ca="1" si="4"/>
        <v>4.1413174811178045E-2</v>
      </c>
      <c r="O22" s="73">
        <f t="shared" ref="O22:O25" ca="1" si="19">IF(AND(I22&gt;0,M22&gt;0),M22/I22,"(-)")</f>
        <v>9.1953617358965687</v>
      </c>
      <c r="P22" s="73">
        <f ca="1">IF(AND(K22&gt;0,M22&gt;0),M22/K22,"(-)")</f>
        <v>0.84331669495860595</v>
      </c>
      <c r="Q22" s="471">
        <f ca="1">P22-1</f>
        <v>-0.15668330504139405</v>
      </c>
      <c r="R22" s="7">
        <f ca="1">+M22-K22</f>
        <v>-157.4100411730999</v>
      </c>
      <c r="S22" s="7">
        <f ca="1">+M22-I22</f>
        <v>755.09173350000685</v>
      </c>
      <c r="T22" s="471">
        <f ca="1">O22-1</f>
        <v>8.1953617358965687</v>
      </c>
    </row>
    <row r="23" spans="2:20" ht="16.5" x14ac:dyDescent="0.2">
      <c r="B23" s="7"/>
      <c r="C23" s="446" t="s">
        <v>328</v>
      </c>
      <c r="D23" s="452">
        <f>D22/D6</f>
        <v>9.1076751714344022E-3</v>
      </c>
      <c r="E23" s="449"/>
      <c r="F23" s="453">
        <f ca="1">F22/F6</f>
        <v>3.2707477543954776E-2</v>
      </c>
      <c r="G23" s="453">
        <f ca="1">G22/G6</f>
        <v>2.516001837173238E-2</v>
      </c>
      <c r="H23" s="173"/>
      <c r="I23" s="453">
        <f ca="1">I22/I6</f>
        <v>5.4590745393671798E-3</v>
      </c>
      <c r="J23" s="173"/>
      <c r="K23" s="453">
        <f ca="1">K22/K6</f>
        <v>5.0390039665182219E-2</v>
      </c>
      <c r="L23" s="173"/>
      <c r="M23" s="453">
        <f ca="1">IFERROR(M22/M6,)</f>
        <v>4.1413174811178045E-2</v>
      </c>
      <c r="N23" s="173"/>
      <c r="O23" s="73"/>
      <c r="P23" s="73"/>
    </row>
    <row r="24" spans="2:20" ht="16.5" x14ac:dyDescent="0.2">
      <c r="B24" s="7"/>
      <c r="C24" s="446" t="s">
        <v>120</v>
      </c>
      <c r="D24" s="448">
        <f>D58</f>
        <v>11052.884468940207</v>
      </c>
      <c r="E24" s="449">
        <f ca="1">IF(AND(D24&gt;0,G24&gt;0),G24/D24,"(-)")</f>
        <v>0.24100628401442215</v>
      </c>
      <c r="F24" s="448">
        <f t="shared" ref="F24:N24" ca="1" si="20">F58</f>
        <v>1726.3818139306761</v>
      </c>
      <c r="G24" s="448">
        <f t="shared" ca="1" si="20"/>
        <v>2663.8146134999988</v>
      </c>
      <c r="H24" s="449">
        <f t="shared" ref="H24:H25" ca="1" si="21">IF(AND(F24&gt;0,G24&gt;0),G24/F24,"(-)")</f>
        <v>1.5430043296360663</v>
      </c>
      <c r="I24" s="448">
        <f t="shared" ca="1" si="20"/>
        <v>894.79166399999917</v>
      </c>
      <c r="J24" s="449">
        <f ca="1">IFERROR(I24/I7,)</f>
        <v>6.416762319518661E-2</v>
      </c>
      <c r="K24" s="448">
        <f t="shared" ca="1" si="20"/>
        <v>964.39220452705774</v>
      </c>
      <c r="L24" s="449">
        <f t="shared" ca="1" si="20"/>
        <v>6.0020885170226669E-2</v>
      </c>
      <c r="M24" s="448">
        <f t="shared" ca="1" si="20"/>
        <v>1769.0229494999976</v>
      </c>
      <c r="N24" s="449">
        <f t="shared" ca="1" si="20"/>
        <v>0.10329217134001561</v>
      </c>
      <c r="O24" s="450">
        <f t="shared" ca="1" si="19"/>
        <v>1.9770221613284935</v>
      </c>
      <c r="P24" s="450">
        <f ca="1">IF(AND(K24&gt;0,M24&gt;0),M24/K24,"(-)")</f>
        <v>1.8343397439297369</v>
      </c>
    </row>
    <row r="25" spans="2:20" s="14" customFormat="1" ht="16.149999999999999" customHeight="1" x14ac:dyDescent="0.2">
      <c r="C25" s="447" t="s">
        <v>121</v>
      </c>
      <c r="D25" s="448">
        <f>D78</f>
        <v>-8918.6152726231157</v>
      </c>
      <c r="E25" s="449" t="str">
        <f ca="1">IF(AND(D25&gt;0,G25&gt;0),G25/D25,"(-)")</f>
        <v>(-)</v>
      </c>
      <c r="F25" s="448">
        <f t="shared" ref="F25:N25" ca="1" si="22">F78</f>
        <v>-446.65110514056732</v>
      </c>
      <c r="G25" s="448">
        <f t="shared" ca="1" si="22"/>
        <v>-1724.449932</v>
      </c>
      <c r="H25" s="449" t="str">
        <f t="shared" ca="1" si="21"/>
        <v>(-)</v>
      </c>
      <c r="I25" s="448">
        <f t="shared" ca="1" si="22"/>
        <v>-802.65519000000018</v>
      </c>
      <c r="J25" s="449">
        <f ca="1">IFERROR(I25/I8,)</f>
        <v>-0.27365650095594168</v>
      </c>
      <c r="K25" s="448">
        <f t="shared" ca="1" si="22"/>
        <v>40.246044146049371</v>
      </c>
      <c r="L25" s="449">
        <f t="shared" ca="1" si="22"/>
        <v>1.0400493812419387E-2</v>
      </c>
      <c r="M25" s="448">
        <f t="shared" ca="1" si="22"/>
        <v>-921.79474200000027</v>
      </c>
      <c r="N25" s="449">
        <f t="shared" ca="1" si="22"/>
        <v>-0.27668728118734076</v>
      </c>
      <c r="O25" s="450" t="str">
        <f t="shared" ca="1" si="19"/>
        <v>(-)</v>
      </c>
      <c r="P25" s="450" t="str">
        <f t="shared" ref="P25" ca="1" si="23">IF(AND(K25&gt;0,M25&gt;0),M25/K25,"(-)")</f>
        <v>(-)</v>
      </c>
    </row>
    <row r="26" spans="2:20" ht="5.45" customHeight="1" x14ac:dyDescent="0.2">
      <c r="B26" s="7"/>
      <c r="E26" s="5"/>
    </row>
    <row r="27" spans="2:20" ht="31.15" hidden="1" customHeight="1" x14ac:dyDescent="0.2">
      <c r="B27" s="7"/>
      <c r="C27" s="16" t="s">
        <v>22</v>
      </c>
      <c r="D27" s="17" t="s">
        <v>491</v>
      </c>
      <c r="E27" s="18" t="s">
        <v>1</v>
      </c>
      <c r="F27" s="19" t="s">
        <v>24</v>
      </c>
      <c r="G27" s="17" t="s">
        <v>25</v>
      </c>
      <c r="H27" s="20" t="s">
        <v>26</v>
      </c>
      <c r="I27" s="17" t="s">
        <v>5</v>
      </c>
      <c r="J27" s="20" t="s">
        <v>27</v>
      </c>
      <c r="K27" s="17" t="s">
        <v>6</v>
      </c>
      <c r="L27" s="20" t="s">
        <v>27</v>
      </c>
      <c r="M27" s="17" t="s">
        <v>28</v>
      </c>
      <c r="N27" s="20" t="s">
        <v>29</v>
      </c>
      <c r="O27" s="21" t="s">
        <v>9</v>
      </c>
      <c r="P27" s="21" t="s">
        <v>10</v>
      </c>
    </row>
    <row r="28" spans="2:20" ht="16.899999999999999" hidden="1" customHeight="1" x14ac:dyDescent="0.2">
      <c r="B28" s="7"/>
      <c r="C28" s="22" t="s">
        <v>30</v>
      </c>
      <c r="E28" s="23"/>
      <c r="F28" s="24"/>
      <c r="H28" s="25"/>
      <c r="J28" s="25"/>
      <c r="L28" s="25"/>
      <c r="N28" s="25"/>
      <c r="O28" s="13"/>
      <c r="P28" s="13"/>
    </row>
    <row r="29" spans="2:20" ht="16.899999999999999" hidden="1" customHeight="1" x14ac:dyDescent="0.2">
      <c r="B29" s="7"/>
      <c r="C29" s="22" t="s">
        <v>31</v>
      </c>
      <c r="E29" s="23"/>
      <c r="F29" s="24"/>
      <c r="H29" s="25"/>
      <c r="J29" s="25"/>
      <c r="L29" s="25"/>
      <c r="N29" s="25"/>
      <c r="O29" s="13"/>
      <c r="P29" s="13"/>
    </row>
    <row r="30" spans="2:20" ht="16.899999999999999" hidden="1" customHeight="1" x14ac:dyDescent="0.2">
      <c r="B30" s="7"/>
      <c r="C30" s="22" t="s">
        <v>32</v>
      </c>
      <c r="E30" s="23"/>
      <c r="F30" s="24"/>
      <c r="H30" s="25"/>
      <c r="J30" s="25"/>
      <c r="L30" s="25"/>
      <c r="N30" s="25"/>
      <c r="O30" s="13"/>
      <c r="P30" s="13"/>
    </row>
    <row r="31" spans="2:20" ht="16.899999999999999" hidden="1" customHeight="1" x14ac:dyDescent="0.2">
      <c r="B31" s="7"/>
      <c r="C31" s="22" t="s">
        <v>33</v>
      </c>
      <c r="E31" s="23"/>
      <c r="F31" s="24"/>
      <c r="H31" s="25"/>
      <c r="J31" s="25"/>
      <c r="L31" s="25"/>
      <c r="N31" s="25"/>
      <c r="O31" s="13"/>
      <c r="P31" s="13"/>
    </row>
    <row r="32" spans="2:20" ht="5.45" hidden="1" customHeight="1" thickBot="1" x14ac:dyDescent="0.25">
      <c r="B32" s="7"/>
      <c r="C32" s="26" t="s">
        <v>34</v>
      </c>
      <c r="D32" s="27"/>
      <c r="E32" s="28"/>
      <c r="F32" s="29"/>
      <c r="G32" s="27"/>
      <c r="H32" s="30"/>
      <c r="I32" s="27"/>
      <c r="J32" s="30"/>
      <c r="K32" s="27"/>
      <c r="L32" s="30"/>
      <c r="M32" s="27"/>
      <c r="N32" s="30"/>
      <c r="O32" s="28"/>
      <c r="P32" s="28"/>
    </row>
    <row r="33" spans="2:17" ht="4.1500000000000004" hidden="1" customHeight="1" x14ac:dyDescent="0.2">
      <c r="B33" s="7"/>
      <c r="E33" s="13"/>
      <c r="H33" s="13"/>
      <c r="J33" s="13"/>
      <c r="L33" s="13"/>
      <c r="N33" s="13"/>
      <c r="O33" s="13"/>
      <c r="P33" s="13"/>
    </row>
    <row r="34" spans="2:17" ht="25.9" hidden="1" customHeight="1" x14ac:dyDescent="0.2">
      <c r="B34" s="7"/>
      <c r="C34" s="157"/>
      <c r="D34" s="158"/>
      <c r="E34" s="159"/>
      <c r="F34" s="158"/>
      <c r="G34" s="454"/>
      <c r="H34" s="159"/>
      <c r="I34" s="158"/>
      <c r="J34" s="159"/>
      <c r="K34" s="158"/>
      <c r="L34" s="159"/>
      <c r="M34" s="158"/>
      <c r="N34" s="159"/>
      <c r="O34" s="159"/>
      <c r="P34" s="493"/>
    </row>
    <row r="35" spans="2:17" ht="15" customHeight="1" x14ac:dyDescent="0.2">
      <c r="Q35" s="7">
        <f>4352-3447</f>
        <v>905</v>
      </c>
    </row>
    <row r="36" spans="2:17" ht="31.15" customHeight="1" x14ac:dyDescent="0.3">
      <c r="C36" s="9" t="str">
        <f>CONCATENATE("□ ",'2. 손익계산서'!$C$4,"월 KSCM-DG 손익/원가 요약")</f>
        <v>□ 2월 KSCM-DG 손익/원가 요약</v>
      </c>
      <c r="D36" s="10"/>
      <c r="E36" s="11"/>
      <c r="F36" s="7"/>
      <c r="G36" s="12"/>
      <c r="N36" s="187">
        <f>$N$4</f>
        <v>1350</v>
      </c>
      <c r="O36" s="188" t="s">
        <v>327</v>
      </c>
      <c r="P36" s="189" t="s">
        <v>0</v>
      </c>
    </row>
    <row r="37" spans="2:17" ht="34.9" customHeight="1" x14ac:dyDescent="0.2">
      <c r="C37" s="160" t="s">
        <v>95</v>
      </c>
      <c r="D37" s="63" t="s">
        <v>509</v>
      </c>
      <c r="E37" s="169" t="s">
        <v>1</v>
      </c>
      <c r="F37" s="63" t="s">
        <v>2</v>
      </c>
      <c r="G37" s="63" t="s">
        <v>3</v>
      </c>
      <c r="H37" s="169" t="s">
        <v>4</v>
      </c>
      <c r="I37" s="63" t="s">
        <v>5</v>
      </c>
      <c r="J37" s="169" t="s">
        <v>455</v>
      </c>
      <c r="K37" s="63" t="s">
        <v>6</v>
      </c>
      <c r="L37" s="169" t="s">
        <v>455</v>
      </c>
      <c r="M37" s="63" t="s">
        <v>7</v>
      </c>
      <c r="N37" s="169" t="s">
        <v>455</v>
      </c>
      <c r="O37" s="64" t="s">
        <v>9</v>
      </c>
      <c r="P37" s="64" t="s">
        <v>10</v>
      </c>
    </row>
    <row r="38" spans="2:17" ht="15" customHeight="1" x14ac:dyDescent="0.2">
      <c r="C38" s="161" t="s">
        <v>11</v>
      </c>
      <c r="D38" s="65">
        <f>SUM(D39:D40)</f>
        <v>199321.01051551185</v>
      </c>
      <c r="E38" s="170">
        <f t="shared" ref="E38:E48" ca="1" si="24">IFERROR(G38/D38,)</f>
        <v>0.15588420053731339</v>
      </c>
      <c r="F38" s="65">
        <f ca="1">SUM(F39:F40)</f>
        <v>32075.727880417064</v>
      </c>
      <c r="G38" s="65">
        <f ca="1">SUM(G39:G40)</f>
        <v>31070.996374499999</v>
      </c>
      <c r="H38" s="170">
        <f ca="1">IFERROR(G38/F38,)</f>
        <v>0.96867626793496786</v>
      </c>
      <c r="I38" s="65">
        <f ca="1">SUM(I39:I40)</f>
        <v>13944.597281999999</v>
      </c>
      <c r="J38" s="170">
        <f ca="1">IFERROR(I38/$I$38,)</f>
        <v>1</v>
      </c>
      <c r="K38" s="65">
        <f ca="1">SUM(K39:K40)</f>
        <v>16067.610495778627</v>
      </c>
      <c r="L38" s="170">
        <f ca="1">IFERROR(K38/$K$38,)</f>
        <v>1</v>
      </c>
      <c r="M38" s="65">
        <f ca="1">SUM(M39:M40)</f>
        <v>17126.399092499996</v>
      </c>
      <c r="N38" s="170">
        <f ca="1">IFERROR(M38/$M$38,)</f>
        <v>1</v>
      </c>
      <c r="O38" s="66">
        <f ca="1">IFERROR(M38/I38,)</f>
        <v>1.2281745213687267</v>
      </c>
      <c r="P38" s="66">
        <f ca="1">IFERROR(M38/K38,)</f>
        <v>1.0658958341689662</v>
      </c>
    </row>
    <row r="39" spans="2:17" ht="15" customHeight="1" x14ac:dyDescent="0.2">
      <c r="C39" s="162" t="s">
        <v>115</v>
      </c>
      <c r="D39" s="68">
        <f>'2. 손익계산서'!C80*$N$4/1000000</f>
        <v>162935.79785360303</v>
      </c>
      <c r="E39" s="171">
        <f t="shared" ref="E39:E41" ca="1" si="25">IFERROR(G39/D39,)</f>
        <v>0.15420477317437087</v>
      </c>
      <c r="F39" s="68">
        <f ca="1">'2. 손익계산서'!E80*$N$4/1000000</f>
        <v>25961.981142968223</v>
      </c>
      <c r="G39" s="68">
        <f ca="1">'2. 손익계산서'!F80*$N$4/1000000</f>
        <v>25125.477749999998</v>
      </c>
      <c r="H39" s="171">
        <f t="shared" ref="H39:H41" ca="1" si="26">IFERROR(G39/F39,)</f>
        <v>0.96777967796980735</v>
      </c>
      <c r="I39" s="68">
        <f ca="1">'2. 손익계산서'!H80*$N$4/1000000</f>
        <v>11979.26334</v>
      </c>
      <c r="J39" s="171">
        <f t="shared" ref="J39:J58" ca="1" si="27">IFERROR(I39/$I$38,)</f>
        <v>0.85906126206047584</v>
      </c>
      <c r="K39" s="68">
        <f ca="1">'2. 손익계산서'!J80*$N$4/1000000</f>
        <v>13002.955022535694</v>
      </c>
      <c r="L39" s="171">
        <f t="shared" ref="L39:L50" ca="1" si="28">IFERROR(K39/$K$38,)</f>
        <v>0.80926501336038137</v>
      </c>
      <c r="M39" s="68">
        <f ca="1">'2. 손익계산서'!L80*$N$4/1000000</f>
        <v>13146.214409999997</v>
      </c>
      <c r="N39" s="171">
        <f t="shared" ref="N39:N50" ca="1" si="29">IFERROR(M39/$M$38,)</f>
        <v>0.76759944335041197</v>
      </c>
      <c r="O39" s="69">
        <f t="shared" ref="O39:O41" ca="1" si="30">IFERROR(M39/I39,)</f>
        <v>1.0974142596985432</v>
      </c>
      <c r="P39" s="69">
        <f t="shared" ref="P39:P41" ca="1" si="31">IFERROR(M39/K39,)</f>
        <v>1.0110174485119741</v>
      </c>
    </row>
    <row r="40" spans="2:17" ht="15" customHeight="1" x14ac:dyDescent="0.2">
      <c r="C40" s="162" t="s">
        <v>116</v>
      </c>
      <c r="D40" s="68">
        <f>'2. 손익계산서'!C81*$N$4/1000000</f>
        <v>36385.212661908816</v>
      </c>
      <c r="E40" s="171">
        <f t="shared" ca="1" si="25"/>
        <v>0.16340480622569736</v>
      </c>
      <c r="F40" s="68">
        <f ca="1">'2. 손익계산서'!E81*$N$4/1000000</f>
        <v>6113.7467374488388</v>
      </c>
      <c r="G40" s="68">
        <f ca="1">'2. 손익계산서'!F81*$N$4/1000000</f>
        <v>5945.5186245000004</v>
      </c>
      <c r="H40" s="171">
        <f t="shared" ca="1" si="26"/>
        <v>0.97248363071398058</v>
      </c>
      <c r="I40" s="68">
        <f ca="1">'2. 손익계산서'!H81*$N$4/1000000</f>
        <v>1965.333942</v>
      </c>
      <c r="J40" s="171">
        <f t="shared" ca="1" si="27"/>
        <v>0.14093873793952424</v>
      </c>
      <c r="K40" s="68">
        <f ca="1">'2. 손익계산서'!J81*$N$4/1000000</f>
        <v>3064.6554732429331</v>
      </c>
      <c r="L40" s="171">
        <f t="shared" ca="1" si="28"/>
        <v>0.19073498663961869</v>
      </c>
      <c r="M40" s="68">
        <f ca="1">'2. 손익계산서'!L81*$N$4/1000000</f>
        <v>3980.1846825000007</v>
      </c>
      <c r="N40" s="171">
        <f t="shared" ca="1" si="29"/>
        <v>0.23240055664958817</v>
      </c>
      <c r="O40" s="69">
        <f t="shared" ca="1" si="30"/>
        <v>2.0251951067662377</v>
      </c>
      <c r="P40" s="69">
        <f t="shared" ca="1" si="31"/>
        <v>1.2987380530211052</v>
      </c>
    </row>
    <row r="41" spans="2:17" ht="15.6" customHeight="1" x14ac:dyDescent="0.2">
      <c r="C41" s="183" t="s">
        <v>510</v>
      </c>
      <c r="D41" s="68">
        <f>'2. 손익계산서'!C82*$N$4/1000000</f>
        <v>88697.109962114802</v>
      </c>
      <c r="E41" s="171">
        <f t="shared" ca="1" si="25"/>
        <v>0.18492080503531355</v>
      </c>
      <c r="F41" s="68">
        <f ca="1">'2. 손익계산서'!E82*$N$4/1000000</f>
        <v>14361.641640441054</v>
      </c>
      <c r="G41" s="68">
        <f ca="1">'2. 손익계산서'!F82*$N$4/1000000</f>
        <v>16401.940978499999</v>
      </c>
      <c r="H41" s="171">
        <f t="shared" ca="1" si="26"/>
        <v>1.1420658855818857</v>
      </c>
      <c r="I41" s="68">
        <f ca="1">'2. 손익계산서'!H82*$N$4/1000000</f>
        <v>6653.3661089999996</v>
      </c>
      <c r="J41" s="171">
        <f t="shared" ca="1" si="27"/>
        <v>0.47712859499989396</v>
      </c>
      <c r="K41" s="68">
        <f ca="1">'2. 손익계산서'!J82*$N$4/1000000</f>
        <v>7192.9711092564321</v>
      </c>
      <c r="L41" s="171">
        <f t="shared" ca="1" si="28"/>
        <v>0.44766899914248048</v>
      </c>
      <c r="M41" s="68">
        <f ca="1">'2. 손익계산서'!L82*$N$4/1000000</f>
        <v>9748.5748695000002</v>
      </c>
      <c r="N41" s="171">
        <f t="shared" ca="1" si="29"/>
        <v>0.56921334232886711</v>
      </c>
      <c r="O41" s="69">
        <f t="shared" ca="1" si="30"/>
        <v>1.4652094458342095</v>
      </c>
      <c r="P41" s="69">
        <f t="shared" ca="1" si="31"/>
        <v>1.355291814943457</v>
      </c>
    </row>
    <row r="42" spans="2:17" ht="15.6" customHeight="1" x14ac:dyDescent="0.2">
      <c r="C42" s="183" t="s">
        <v>511</v>
      </c>
      <c r="D42" s="68">
        <f>'2. 손익계산서'!C83*$N$4/1000000</f>
        <v>18279.223330098928</v>
      </c>
      <c r="E42" s="171">
        <f t="shared" ca="1" si="24"/>
        <v>0.1727905365814526</v>
      </c>
      <c r="F42" s="68">
        <f ca="1">'2. 손익계산서'!E83*$N$4/1000000</f>
        <v>4050.1658468883161</v>
      </c>
      <c r="G42" s="68">
        <f ca="1">'2. 손익계산서'!F83*$N$4/1000000</f>
        <v>3158.4768075000006</v>
      </c>
      <c r="H42" s="171">
        <f t="shared" ref="H42:H48" ca="1" si="32">IFERROR(G42/F42,)</f>
        <v>0.77983888238221477</v>
      </c>
      <c r="I42" s="68">
        <f ca="1">'2. 손익계산서'!H83*$N$4/1000000</f>
        <v>1399.995819</v>
      </c>
      <c r="J42" s="171">
        <f t="shared" ca="1" si="27"/>
        <v>0.10039700614424672</v>
      </c>
      <c r="K42" s="68">
        <f ca="1">'2. 손익계산서'!J83*$N$4/1000000</f>
        <v>2028.5094596936406</v>
      </c>
      <c r="L42" s="171">
        <f t="shared" ca="1" si="28"/>
        <v>0.12624835909649304</v>
      </c>
      <c r="M42" s="68">
        <f ca="1">'2. 손익계산서'!L83*$N$4/1000000</f>
        <v>1758.4809885</v>
      </c>
      <c r="N42" s="171">
        <f t="shared" ca="1" si="29"/>
        <v>0.10267663266530296</v>
      </c>
      <c r="O42" s="69">
        <f t="shared" ref="O42:O48" ca="1" si="33">IFERROR(M42/I42,)</f>
        <v>1.2560616000668214</v>
      </c>
      <c r="P42" s="69">
        <f t="shared" ref="P42:P48" ca="1" si="34">IFERROR(M42/K42,)</f>
        <v>0.86688330690140225</v>
      </c>
    </row>
    <row r="43" spans="2:17" ht="15.6" customHeight="1" x14ac:dyDescent="0.2">
      <c r="C43" s="183" t="s">
        <v>512</v>
      </c>
      <c r="D43" s="68">
        <f>'2. 손익계산서'!C84*$N$4/1000000</f>
        <v>26755.106209869107</v>
      </c>
      <c r="E43" s="171">
        <f t="shared" ca="1" si="24"/>
        <v>0.14145682425300737</v>
      </c>
      <c r="F43" s="68">
        <f ca="1">'2. 손익계산서'!E84*$N$4/1000000</f>
        <v>4332.1281561733267</v>
      </c>
      <c r="G43" s="68">
        <f ca="1">'2. 손익계산서'!F84*$N$4/1000000</f>
        <v>3784.6923570000004</v>
      </c>
      <c r="H43" s="171">
        <f t="shared" ca="1" si="32"/>
        <v>0.87363351696019775</v>
      </c>
      <c r="I43" s="68">
        <f ca="1">'2. 손익계산서'!H84*$N$4/1000000</f>
        <v>1518.011577</v>
      </c>
      <c r="J43" s="171">
        <f t="shared" ca="1" si="27"/>
        <v>0.10886019483398661</v>
      </c>
      <c r="K43" s="68">
        <f ca="1">'2. 손익계산서'!J84*$N$4/1000000</f>
        <v>2169.7291611291112</v>
      </c>
      <c r="L43" s="171">
        <f t="shared" ca="1" si="28"/>
        <v>0.13503745075841581</v>
      </c>
      <c r="M43" s="68">
        <f ca="1">'2. 손익계산서'!L84*$N$4/1000000</f>
        <v>2266.6807800000001</v>
      </c>
      <c r="N43" s="171">
        <f t="shared" ca="1" si="29"/>
        <v>0.13235010861055005</v>
      </c>
      <c r="O43" s="69">
        <f t="shared" ca="1" si="33"/>
        <v>1.4931907070692914</v>
      </c>
      <c r="P43" s="69">
        <f t="shared" ca="1" si="34"/>
        <v>1.0446837423802868</v>
      </c>
    </row>
    <row r="44" spans="2:17" ht="15.6" customHeight="1" x14ac:dyDescent="0.2">
      <c r="C44" s="183" t="s">
        <v>513</v>
      </c>
      <c r="D44" s="68">
        <f>'2. 손익계산서'!C85*$N$4/1000000</f>
        <v>22999.075125156003</v>
      </c>
      <c r="E44" s="171">
        <f t="shared" ca="1" si="24"/>
        <v>0.19199840732595758</v>
      </c>
      <c r="F44" s="68">
        <f ca="1">'2. 손익계산서'!E85*$N$4/1000000</f>
        <v>3723.9598353334786</v>
      </c>
      <c r="G44" s="68">
        <f ca="1">'2. 손익계산서'!F85*$N$4/1000000</f>
        <v>4415.7857940000013</v>
      </c>
      <c r="H44" s="171">
        <f t="shared" ca="1" si="32"/>
        <v>1.185776965718689</v>
      </c>
      <c r="I44" s="68">
        <f ca="1">'2. 손익계산서'!H85*$N$4/1000000</f>
        <v>2584.5580304999999</v>
      </c>
      <c r="J44" s="171">
        <f t="shared" ca="1" si="27"/>
        <v>0.18534475956765031</v>
      </c>
      <c r="K44" s="68">
        <f ca="1">'2. 손익계산서'!J85*$N$4/1000000</f>
        <v>1865.130475903062</v>
      </c>
      <c r="L44" s="171">
        <f t="shared" ca="1" si="28"/>
        <v>0.11608014000545257</v>
      </c>
      <c r="M44" s="68">
        <f ca="1">'2. 손익계산서'!L85*$N$4/1000000</f>
        <v>1831.2277635000003</v>
      </c>
      <c r="N44" s="171">
        <f t="shared" ca="1" si="29"/>
        <v>0.10692427249940314</v>
      </c>
      <c r="O44" s="69">
        <f t="shared" ca="1" si="33"/>
        <v>0.70852646444380174</v>
      </c>
      <c r="P44" s="69">
        <f t="shared" ca="1" si="34"/>
        <v>0.98182287360531884</v>
      </c>
    </row>
    <row r="45" spans="2:17" ht="15.6" customHeight="1" x14ac:dyDescent="0.2">
      <c r="C45" s="183" t="s">
        <v>514</v>
      </c>
      <c r="D45" s="68">
        <f>'2. 손익계산서'!C86*$N$4/1000000</f>
        <v>15452.856929891863</v>
      </c>
      <c r="E45" s="171">
        <f t="shared" ca="1" si="24"/>
        <v>0.11894492564313558</v>
      </c>
      <c r="F45" s="68">
        <f ca="1">'2. 손익계산서'!E86*$N$4/1000000</f>
        <v>2502.0927248126277</v>
      </c>
      <c r="G45" s="68">
        <f ca="1">'2. 손익계산서'!F86*$N$4/1000000</f>
        <v>1838.0389184999999</v>
      </c>
      <c r="H45" s="171">
        <f t="shared" ca="1" si="32"/>
        <v>0.73460064060481356</v>
      </c>
      <c r="I45" s="68">
        <f ca="1">'2. 손익계산서'!H86*$N$4/1000000</f>
        <v>1128.1815134999999</v>
      </c>
      <c r="J45" s="171">
        <f t="shared" ca="1" si="27"/>
        <v>8.0904560431894451E-2</v>
      </c>
      <c r="K45" s="68">
        <f ca="1">'2. 손익계산서'!J86*$N$4/1000000</f>
        <v>1253.1631921227377</v>
      </c>
      <c r="L45" s="171">
        <f t="shared" ca="1" si="28"/>
        <v>7.7993127382069399E-2</v>
      </c>
      <c r="M45" s="68">
        <f ca="1">'2. 손익계산서'!L86*$N$4/1000000</f>
        <v>709.85740500000009</v>
      </c>
      <c r="N45" s="171">
        <f t="shared" ca="1" si="29"/>
        <v>4.1448141034554152E-2</v>
      </c>
      <c r="O45" s="69">
        <f t="shared" ca="1" si="33"/>
        <v>0.62920496082034061</v>
      </c>
      <c r="P45" s="69">
        <f t="shared" ca="1" si="34"/>
        <v>0.56645248556779748</v>
      </c>
    </row>
    <row r="46" spans="2:17" ht="15.6" customHeight="1" x14ac:dyDescent="0.2">
      <c r="C46" s="183" t="s">
        <v>489</v>
      </c>
      <c r="D46" s="68">
        <f>'2. 손익계산서'!C87*$N$4/1000000</f>
        <v>19535.259567281209</v>
      </c>
      <c r="E46" s="171">
        <f t="shared" ca="1" si="24"/>
        <v>1.0006481681328666E-2</v>
      </c>
      <c r="F46" s="68">
        <f ca="1">'2. 손익계산서'!E87*$N$4/1000000</f>
        <v>1874.7790685107088</v>
      </c>
      <c r="G46" s="68">
        <f ca="1">'2. 손익계산서'!F87*$N$4/1000000</f>
        <v>195.47921699999998</v>
      </c>
      <c r="H46" s="171">
        <f t="shared" ca="1" si="32"/>
        <v>0.10426786829622819</v>
      </c>
      <c r="I46" s="68">
        <f ca="1">'2. 손익계산서'!H87*$N$4/1000000</f>
        <v>163.2566745</v>
      </c>
      <c r="J46" s="171">
        <f t="shared" ca="1" si="27"/>
        <v>1.1707521644295558E-2</v>
      </c>
      <c r="K46" s="68">
        <f ca="1">'2. 손익계산서'!J87*$N$4/1000000</f>
        <v>941.58537171046942</v>
      </c>
      <c r="L46" s="171">
        <f t="shared" ca="1" si="28"/>
        <v>5.8601456137976959E-2</v>
      </c>
      <c r="M46" s="68">
        <f ca="1">'2. 손익계산서'!L87*$N$4/1000000</f>
        <v>32.222542500000003</v>
      </c>
      <c r="N46" s="171">
        <f t="shared" ca="1" si="29"/>
        <v>1.8814546085236866E-3</v>
      </c>
      <c r="O46" s="69">
        <f t="shared" ca="1" si="33"/>
        <v>0.19737350769079889</v>
      </c>
      <c r="P46" s="69">
        <f t="shared" ca="1" si="34"/>
        <v>3.422158358457187E-2</v>
      </c>
    </row>
    <row r="47" spans="2:17" ht="15.6" customHeight="1" x14ac:dyDescent="0.2">
      <c r="C47" s="183" t="s">
        <v>515</v>
      </c>
      <c r="D47" s="68">
        <f>'2. 손익계산서'!C88*$N$4/1000000</f>
        <v>7602.3793910999393</v>
      </c>
      <c r="E47" s="171">
        <f t="shared" ca="1" si="24"/>
        <v>0.16791878388685619</v>
      </c>
      <c r="F47" s="68">
        <f ca="1">'2. 손익계산서'!E88*$N$4/1000000</f>
        <v>1230.9606082575519</v>
      </c>
      <c r="G47" s="68">
        <f ca="1">'2. 손익계산서'!F88*$N$4/1000000</f>
        <v>1276.582302</v>
      </c>
      <c r="H47" s="171">
        <f t="shared" ca="1" si="32"/>
        <v>1.0370618632606177</v>
      </c>
      <c r="I47" s="68">
        <f ca="1">'2. 손익계산서'!H88*$N$4/1000000</f>
        <v>497.22755849999993</v>
      </c>
      <c r="J47" s="171">
        <f t="shared" ca="1" si="27"/>
        <v>3.5657362378032423E-2</v>
      </c>
      <c r="K47" s="68">
        <f ca="1">'2. 손익계산서'!J88*$N$4/1000000</f>
        <v>616.52172596317314</v>
      </c>
      <c r="L47" s="171">
        <f t="shared" ca="1" si="28"/>
        <v>3.8370467477111744E-2</v>
      </c>
      <c r="M47" s="68">
        <f ca="1">'2. 손익계산서'!L88*$N$4/1000000</f>
        <v>779.35474350000015</v>
      </c>
      <c r="N47" s="171">
        <f t="shared" ca="1" si="29"/>
        <v>4.5506048252799136E-2</v>
      </c>
      <c r="O47" s="69">
        <f t="shared" ca="1" si="33"/>
        <v>1.567400539606254</v>
      </c>
      <c r="P47" s="69">
        <f t="shared" ca="1" si="34"/>
        <v>1.2641156194170415</v>
      </c>
    </row>
    <row r="48" spans="2:17" ht="15.6" customHeight="1" x14ac:dyDescent="0.2">
      <c r="C48" s="183" t="s">
        <v>114</v>
      </c>
      <c r="D48" s="68">
        <f>'2. 손익계산서'!C89</f>
        <v>0</v>
      </c>
      <c r="E48" s="171">
        <f t="shared" ca="1" si="24"/>
        <v>0</v>
      </c>
      <c r="F48" s="68">
        <f ca="1">'2. 손익계산서'!E89</f>
        <v>0</v>
      </c>
      <c r="G48" s="68">
        <f ca="1">'2. 손익계산서'!F89</f>
        <v>1346.4872319999999</v>
      </c>
      <c r="H48" s="171">
        <f t="shared" ca="1" si="32"/>
        <v>0</v>
      </c>
      <c r="I48" s="68">
        <f ca="1">'2. 손익계산서'!H89</f>
        <v>631.81666200000006</v>
      </c>
      <c r="J48" s="171">
        <f t="shared" ca="1" si="27"/>
        <v>4.5309064810036735E-2</v>
      </c>
      <c r="K48" s="68">
        <f ca="1">'2. 손익계산서'!J89</f>
        <v>0</v>
      </c>
      <c r="L48" s="171">
        <f t="shared" ca="1" si="28"/>
        <v>0</v>
      </c>
      <c r="M48" s="68">
        <f ca="1">'2. 손익계산서'!L89</f>
        <v>714.67057</v>
      </c>
      <c r="N48" s="171">
        <f t="shared" ca="1" si="29"/>
        <v>4.172917880402361E-2</v>
      </c>
      <c r="O48" s="69">
        <f t="shared" ca="1" si="33"/>
        <v>1.1311359971700143</v>
      </c>
      <c r="P48" s="69">
        <f t="shared" ca="1" si="34"/>
        <v>0</v>
      </c>
    </row>
    <row r="49" spans="3:16" ht="15" hidden="1" customHeight="1" x14ac:dyDescent="0.2">
      <c r="C49" s="162"/>
      <c r="D49" s="68"/>
      <c r="E49" s="171"/>
      <c r="F49" s="68"/>
      <c r="G49" s="68"/>
      <c r="H49" s="171"/>
      <c r="I49" s="68"/>
      <c r="J49" s="171">
        <f t="shared" ca="1" si="27"/>
        <v>0</v>
      </c>
      <c r="K49" s="68"/>
      <c r="L49" s="171">
        <f t="shared" ca="1" si="28"/>
        <v>0</v>
      </c>
      <c r="M49" s="68"/>
      <c r="N49" s="171">
        <f t="shared" ca="1" si="29"/>
        <v>0</v>
      </c>
      <c r="O49" s="69"/>
      <c r="P49" s="69"/>
    </row>
    <row r="50" spans="3:16" ht="15" customHeight="1" x14ac:dyDescent="0.2">
      <c r="C50" s="161" t="s">
        <v>12</v>
      </c>
      <c r="D50" s="65">
        <f>'2. 손익계산서'!C91*$N$4/1000000</f>
        <v>178792.53743766277</v>
      </c>
      <c r="E50" s="170">
        <f t="shared" ref="E50" ca="1" si="35">IFERROR(G50/D50,)</f>
        <v>0.15344809938482767</v>
      </c>
      <c r="F50" s="65">
        <f ca="1">'2. 손익계산서'!E91*$N$4/1000000</f>
        <v>28716.485724695372</v>
      </c>
      <c r="G50" s="65">
        <f ca="1">'2. 손익계산서'!F91*$N$4/1000000</f>
        <v>27435.375054</v>
      </c>
      <c r="H50" s="170">
        <f t="shared" ref="H50" ca="1" si="36">IFERROR(G50/F50,)</f>
        <v>0.95538762357701545</v>
      </c>
      <c r="I50" s="65">
        <f ca="1">'2. 손익계산서'!H91*$N$4/1000000</f>
        <v>12587.2624215</v>
      </c>
      <c r="J50" s="170">
        <f t="shared" ca="1" si="27"/>
        <v>0.90266231192979107</v>
      </c>
      <c r="K50" s="65">
        <f ca="1">'2. 손익계산서'!J91*$N$4/1000000</f>
        <v>14311.215549797033</v>
      </c>
      <c r="L50" s="170">
        <f t="shared" ca="1" si="28"/>
        <v>0.89068723402007755</v>
      </c>
      <c r="M50" s="65">
        <f ca="1">'2. 손익계산서'!L91*$N$4/1000000</f>
        <v>14848.112632499999</v>
      </c>
      <c r="N50" s="170">
        <f t="shared" ca="1" si="29"/>
        <v>0.86697224281094176</v>
      </c>
      <c r="O50" s="66">
        <f t="shared" ref="O50" ca="1" si="37">IFERROR(M50/I50,)</f>
        <v>1.1796141317542006</v>
      </c>
      <c r="P50" s="66">
        <f t="shared" ref="P50" ca="1" si="38">IFERROR(M50/K50,)</f>
        <v>1.0375158267188966</v>
      </c>
    </row>
    <row r="51" spans="3:16" ht="15" customHeight="1" x14ac:dyDescent="0.2">
      <c r="C51" s="162"/>
      <c r="D51" s="174"/>
      <c r="E51" s="171"/>
      <c r="F51" s="68"/>
      <c r="G51" s="68"/>
      <c r="H51" s="171"/>
      <c r="I51" s="68"/>
      <c r="J51" s="171"/>
      <c r="K51" s="68"/>
      <c r="L51" s="171"/>
      <c r="M51" s="68"/>
      <c r="N51" s="171"/>
      <c r="O51" s="69"/>
      <c r="P51" s="69"/>
    </row>
    <row r="52" spans="3:16" ht="15" customHeight="1" x14ac:dyDescent="0.2">
      <c r="C52" s="161" t="s">
        <v>13</v>
      </c>
      <c r="D52" s="65">
        <f>D38-D50</f>
        <v>20528.473077849078</v>
      </c>
      <c r="E52" s="170">
        <f ca="1">IF(AND(D52&gt;0,G52&gt;0),G52/D52,"(-)")</f>
        <v>0.1771013999293965</v>
      </c>
      <c r="F52" s="65">
        <f ca="1">F38-F50</f>
        <v>3359.2421557216912</v>
      </c>
      <c r="G52" s="65">
        <f ca="1">G38-G50</f>
        <v>3635.6213204999985</v>
      </c>
      <c r="H52" s="170">
        <f t="shared" ref="H52" ca="1" si="39">IF(AND(F52&gt;0,G52&gt;0),G52/F52,"(-)")</f>
        <v>1.0822742606714313</v>
      </c>
      <c r="I52" s="65">
        <f ca="1">I38-I50</f>
        <v>1357.3348604999992</v>
      </c>
      <c r="J52" s="170">
        <f t="shared" ca="1" si="27"/>
        <v>9.7337688070208928E-2</v>
      </c>
      <c r="K52" s="65">
        <f ca="1">K38-K50</f>
        <v>1756.394945981594</v>
      </c>
      <c r="L52" s="170">
        <f ca="1">IFERROR(K52/$K$38,)</f>
        <v>0.1093127659799224</v>
      </c>
      <c r="M52" s="65">
        <f ca="1">M38-M50</f>
        <v>2278.2864599999975</v>
      </c>
      <c r="N52" s="170">
        <f ca="1">IFERROR(M52/$M$38,)</f>
        <v>0.13302775718905827</v>
      </c>
      <c r="O52" s="66">
        <f ca="1">IF(AND(I52&gt;0,M52&gt;0),M52/I52,"(-)")</f>
        <v>1.6784999238586924</v>
      </c>
      <c r="P52" s="66">
        <f ca="1">IF(AND(K52&gt;0,M52&gt;0),M52/K52,"(-)")</f>
        <v>1.2971379046679816</v>
      </c>
    </row>
    <row r="53" spans="3:16" ht="15" customHeight="1" x14ac:dyDescent="0.2">
      <c r="C53" s="184" t="s">
        <v>127</v>
      </c>
      <c r="D53" s="69">
        <f>IFERROR(D52/D$38,)</f>
        <v>0.10299201787486162</v>
      </c>
      <c r="E53" s="171"/>
      <c r="F53" s="69">
        <f t="shared" ref="F53:G53" ca="1" si="40">IFERROR(F52/F$38,)</f>
        <v>0.10472847781492069</v>
      </c>
      <c r="G53" s="69">
        <f t="shared" ca="1" si="40"/>
        <v>0.1170101298548558</v>
      </c>
      <c r="H53" s="171"/>
      <c r="I53" s="69">
        <f ca="1">IFERROR(I52/I$38,)</f>
        <v>9.7337688070208928E-2</v>
      </c>
      <c r="J53" s="171"/>
      <c r="K53" s="69">
        <f ca="1">IFERROR(K52/K$38,)</f>
        <v>0.1093127659799224</v>
      </c>
      <c r="L53" s="171"/>
      <c r="M53" s="69">
        <f ca="1">IFERROR(M52/M$38,)</f>
        <v>0.13302775718905827</v>
      </c>
      <c r="N53" s="171"/>
      <c r="O53" s="69"/>
      <c r="P53" s="69"/>
    </row>
    <row r="54" spans="3:16" ht="15" customHeight="1" x14ac:dyDescent="0.2">
      <c r="C54" s="161" t="s">
        <v>15</v>
      </c>
      <c r="D54" s="65">
        <f>SUM(D55:D57)</f>
        <v>9475.5886089088708</v>
      </c>
      <c r="E54" s="170">
        <f t="shared" ref="E54:E57" ca="1" si="41">IFERROR(G54/D54,)</f>
        <v>0.10255898046125758</v>
      </c>
      <c r="F54" s="65">
        <f ca="1">SUM(F55:F57)</f>
        <v>1632.8603417910151</v>
      </c>
      <c r="G54" s="65">
        <f ca="1">SUM(G55:G57)</f>
        <v>971.80670699999985</v>
      </c>
      <c r="H54" s="170">
        <f t="shared" ref="H54:H57" ca="1" si="42">IFERROR(G54/F54,)</f>
        <v>0.59515604741435901</v>
      </c>
      <c r="I54" s="65">
        <f ca="1">SUM(I55:I57)</f>
        <v>462.54319650000008</v>
      </c>
      <c r="J54" s="170">
        <f t="shared" ca="1" si="27"/>
        <v>3.3170064875022331E-2</v>
      </c>
      <c r="K54" s="65">
        <f ca="1">SUM(K55:K57)</f>
        <v>792.00274145453625</v>
      </c>
      <c r="L54" s="170">
        <f t="shared" ref="L54:L58" ca="1" si="43">IFERROR(K54/$K$38,)</f>
        <v>4.9291880809695737E-2</v>
      </c>
      <c r="M54" s="65">
        <f ca="1">SUM(M55:M57)</f>
        <v>509.2635105</v>
      </c>
      <c r="N54" s="170">
        <f t="shared" ref="N54:N58" ca="1" si="44">IFERROR(M54/$M$38,)</f>
        <v>2.9735585849042664E-2</v>
      </c>
      <c r="O54" s="66">
        <f t="shared" ref="O54:O57" ca="1" si="45">IFERROR(M54/I54,)</f>
        <v>1.1010074612566481</v>
      </c>
      <c r="P54" s="66">
        <f t="shared" ref="P54:P57" ca="1" si="46">IFERROR(M54/K54,)</f>
        <v>0.64300725722833063</v>
      </c>
    </row>
    <row r="55" spans="3:16" ht="15" hidden="1" customHeight="1" x14ac:dyDescent="0.2">
      <c r="C55" s="163" t="s">
        <v>16</v>
      </c>
      <c r="D55" s="70">
        <f>'2. 손익계산서'!C99*$N$4/1000000</f>
        <v>0</v>
      </c>
      <c r="E55" s="172">
        <f t="shared" ca="1" si="41"/>
        <v>0</v>
      </c>
      <c r="F55" s="70">
        <f ca="1">'2. 손익계산서'!E99*$N$4/1000000</f>
        <v>0</v>
      </c>
      <c r="G55" s="70">
        <f ca="1">'2. 손익계산서'!F99*$N$4/1000000</f>
        <v>0</v>
      </c>
      <c r="H55" s="172">
        <f t="shared" ca="1" si="42"/>
        <v>0</v>
      </c>
      <c r="I55" s="70">
        <f ca="1">'2. 손익계산서'!H99*$N$4/1000000</f>
        <v>0</v>
      </c>
      <c r="J55" s="172">
        <f t="shared" ca="1" si="27"/>
        <v>0</v>
      </c>
      <c r="K55" s="70">
        <f ca="1">'2. 손익계산서'!J99*$N$4/1000000</f>
        <v>0</v>
      </c>
      <c r="L55" s="172">
        <f t="shared" ca="1" si="43"/>
        <v>0</v>
      </c>
      <c r="M55" s="70">
        <f ca="1">'2. 손익계산서'!L99*$N$4/1000000</f>
        <v>0</v>
      </c>
      <c r="N55" s="172">
        <f t="shared" ca="1" si="44"/>
        <v>0</v>
      </c>
      <c r="O55" s="71">
        <f t="shared" ca="1" si="45"/>
        <v>0</v>
      </c>
      <c r="P55" s="71">
        <f t="shared" ca="1" si="46"/>
        <v>0</v>
      </c>
    </row>
    <row r="56" spans="3:16" ht="15" customHeight="1" x14ac:dyDescent="0.2">
      <c r="C56" s="185" t="s">
        <v>17</v>
      </c>
      <c r="D56" s="70">
        <f>'2. 손익계산서'!C115*$N$4/1000000</f>
        <v>9475.5886089088708</v>
      </c>
      <c r="E56" s="172">
        <f t="shared" ca="1" si="41"/>
        <v>0.10255898046125758</v>
      </c>
      <c r="F56" s="70">
        <f ca="1">'2. 손익계산서'!E115*$N$4/1000000</f>
        <v>1632.8603417910151</v>
      </c>
      <c r="G56" s="70">
        <f ca="1">'2. 손익계산서'!F115*$N$4/1000000</f>
        <v>971.80670699999985</v>
      </c>
      <c r="H56" s="172">
        <f t="shared" ca="1" si="42"/>
        <v>0.59515604741435901</v>
      </c>
      <c r="I56" s="70">
        <f ca="1">'2. 손익계산서'!H115*$N$4/1000000</f>
        <v>462.54319650000008</v>
      </c>
      <c r="J56" s="172">
        <f t="shared" ca="1" si="27"/>
        <v>3.3170064875022331E-2</v>
      </c>
      <c r="K56" s="70">
        <f ca="1">'2. 손익계산서'!J115*$N$4/1000000</f>
        <v>792.00274145453625</v>
      </c>
      <c r="L56" s="172">
        <f t="shared" ca="1" si="43"/>
        <v>4.9291880809695737E-2</v>
      </c>
      <c r="M56" s="70">
        <f ca="1">'2. 손익계산서'!L115*$N$4/1000000</f>
        <v>509.2635105</v>
      </c>
      <c r="N56" s="172">
        <f t="shared" ca="1" si="44"/>
        <v>2.9735585849042664E-2</v>
      </c>
      <c r="O56" s="71">
        <f t="shared" ca="1" si="45"/>
        <v>1.1010074612566481</v>
      </c>
      <c r="P56" s="71">
        <f t="shared" ca="1" si="46"/>
        <v>0.64300725722833063</v>
      </c>
    </row>
    <row r="57" spans="3:16" ht="15" hidden="1" customHeight="1" x14ac:dyDescent="0.2">
      <c r="C57" s="163" t="s">
        <v>18</v>
      </c>
      <c r="D57" s="70">
        <f>'2. 손익계산서'!C133*$N$4/1000000</f>
        <v>0</v>
      </c>
      <c r="E57" s="172">
        <f t="shared" ca="1" si="41"/>
        <v>0</v>
      </c>
      <c r="F57" s="70">
        <f ca="1">'2. 손익계산서'!E133*$N$4/1000000</f>
        <v>0</v>
      </c>
      <c r="G57" s="70">
        <f ca="1">'2. 손익계산서'!F133*$N$4/1000000</f>
        <v>0</v>
      </c>
      <c r="H57" s="172">
        <f t="shared" ca="1" si="42"/>
        <v>0</v>
      </c>
      <c r="I57" s="70">
        <f ca="1">'2. 손익계산서'!H133*$N$4/1000000</f>
        <v>0</v>
      </c>
      <c r="J57" s="172">
        <f t="shared" ca="1" si="27"/>
        <v>0</v>
      </c>
      <c r="K57" s="70">
        <f ca="1">'2. 손익계산서'!J133*$N$4/1000000</f>
        <v>0</v>
      </c>
      <c r="L57" s="172">
        <f t="shared" ca="1" si="43"/>
        <v>0</v>
      </c>
      <c r="M57" s="70">
        <f ca="1">'2. 손익계산서'!L133*$N$4/1000000</f>
        <v>0</v>
      </c>
      <c r="N57" s="172">
        <f t="shared" ca="1" si="44"/>
        <v>0</v>
      </c>
      <c r="O57" s="71">
        <f t="shared" ca="1" si="45"/>
        <v>0</v>
      </c>
      <c r="P57" s="71">
        <f t="shared" ca="1" si="46"/>
        <v>0</v>
      </c>
    </row>
    <row r="58" spans="3:16" ht="15" customHeight="1" x14ac:dyDescent="0.2">
      <c r="C58" s="164" t="s">
        <v>20</v>
      </c>
      <c r="D58" s="72">
        <f>D52-D54</f>
        <v>11052.884468940207</v>
      </c>
      <c r="E58" s="173">
        <f ca="1">IF(AND(D58&gt;0,G58&gt;0),G58/D58,"(-)")</f>
        <v>0.24100628401442215</v>
      </c>
      <c r="F58" s="72">
        <f ca="1">F52-F54</f>
        <v>1726.3818139306761</v>
      </c>
      <c r="G58" s="72">
        <f ca="1">G52-G54</f>
        <v>2663.8146134999988</v>
      </c>
      <c r="H58" s="173">
        <f ca="1">IF(AND(F58&gt;0,G58&gt;0),G58/F58,"(-)")</f>
        <v>1.5430043296360663</v>
      </c>
      <c r="I58" s="72">
        <f ca="1">I52-I54</f>
        <v>894.79166399999917</v>
      </c>
      <c r="J58" s="173">
        <f t="shared" ca="1" si="27"/>
        <v>6.4167623195186596E-2</v>
      </c>
      <c r="K58" s="72">
        <f ca="1">K52-K54</f>
        <v>964.39220452705774</v>
      </c>
      <c r="L58" s="173">
        <f t="shared" ca="1" si="43"/>
        <v>6.0020885170226669E-2</v>
      </c>
      <c r="M58" s="72">
        <f ca="1">M52-M54</f>
        <v>1769.0229494999976</v>
      </c>
      <c r="N58" s="173">
        <f t="shared" ca="1" si="44"/>
        <v>0.10329217134001561</v>
      </c>
      <c r="O58" s="73">
        <f t="shared" ref="O58" ca="1" si="47">IF(AND(I58&gt;0,M58&gt;0),M58/I58,"(-)")</f>
        <v>1.9770221613284935</v>
      </c>
      <c r="P58" s="73">
        <f ca="1">IF(AND(K58&gt;0,M58&gt;0),M58/K58,"(-)")</f>
        <v>1.8343397439297369</v>
      </c>
    </row>
    <row r="59" spans="3:16" ht="15" customHeight="1" x14ac:dyDescent="0.2">
      <c r="C59" s="165" t="s">
        <v>21</v>
      </c>
      <c r="D59" s="73">
        <f>IFERROR(D58/D$38,)</f>
        <v>5.5452681282087087E-2</v>
      </c>
      <c r="E59" s="173"/>
      <c r="F59" s="73">
        <f ca="1">IFERROR(F58/F$38,)</f>
        <v>5.3822061976796794E-2</v>
      </c>
      <c r="G59" s="73">
        <f ca="1">IFERROR(G58/G$38,)</f>
        <v>8.5733157102299895E-2</v>
      </c>
      <c r="H59" s="173"/>
      <c r="I59" s="73">
        <f ca="1">IFERROR(I58/I$38,)</f>
        <v>6.4167623195186596E-2</v>
      </c>
      <c r="J59" s="173"/>
      <c r="K59" s="73">
        <f ca="1">IFERROR(K58/K$38,)</f>
        <v>6.0020885170226669E-2</v>
      </c>
      <c r="L59" s="173"/>
      <c r="M59" s="73">
        <f ca="1">IFERROR(M58/M$38,)</f>
        <v>0.10329217134001561</v>
      </c>
      <c r="N59" s="173"/>
      <c r="O59" s="73"/>
      <c r="P59" s="73"/>
    </row>
    <row r="62" spans="3:16" ht="31.15" customHeight="1" x14ac:dyDescent="0.3">
      <c r="C62" s="9" t="str">
        <f>CONCATENATE("□ ",'2. 손익계산서'!$C$4,"월 KSCM-GP 손익/원가 요약")</f>
        <v>□ 2월 KSCM-GP 손익/원가 요약</v>
      </c>
      <c r="D62" s="10"/>
      <c r="E62" s="11"/>
      <c r="F62" s="7"/>
      <c r="G62" s="12"/>
      <c r="N62" s="187">
        <f>$N$4</f>
        <v>1350</v>
      </c>
      <c r="O62" s="188" t="s">
        <v>327</v>
      </c>
      <c r="P62" s="189" t="s">
        <v>0</v>
      </c>
    </row>
    <row r="63" spans="3:16" ht="34.9" customHeight="1" x14ac:dyDescent="0.2">
      <c r="C63" s="160" t="s">
        <v>95</v>
      </c>
      <c r="D63" s="63" t="s">
        <v>509</v>
      </c>
      <c r="E63" s="169" t="s">
        <v>1</v>
      </c>
      <c r="F63" s="63" t="s">
        <v>2</v>
      </c>
      <c r="G63" s="63" t="s">
        <v>3</v>
      </c>
      <c r="H63" s="169" t="s">
        <v>4</v>
      </c>
      <c r="I63" s="63" t="s">
        <v>5</v>
      </c>
      <c r="J63" s="169" t="s">
        <v>455</v>
      </c>
      <c r="K63" s="63" t="s">
        <v>6</v>
      </c>
      <c r="L63" s="169" t="s">
        <v>455</v>
      </c>
      <c r="M63" s="63" t="s">
        <v>7</v>
      </c>
      <c r="N63" s="169" t="s">
        <v>455</v>
      </c>
      <c r="O63" s="64" t="s">
        <v>9</v>
      </c>
      <c r="P63" s="64" t="s">
        <v>10</v>
      </c>
    </row>
    <row r="64" spans="3:16" ht="15" customHeight="1" x14ac:dyDescent="0.2">
      <c r="C64" s="161" t="s">
        <v>11</v>
      </c>
      <c r="D64" s="65">
        <f>SUM(D65:D68)</f>
        <v>35016.419854328247</v>
      </c>
      <c r="E64" s="170">
        <f ca="1">IFERROR(G64/D64,)</f>
        <v>0.17890508391667162</v>
      </c>
      <c r="F64" s="65">
        <f ca="1">SUM(F65:F68)</f>
        <v>7050.8206915511564</v>
      </c>
      <c r="G64" s="65">
        <f ca="1">SUM(G65:G68)</f>
        <v>6264.6155325000009</v>
      </c>
      <c r="H64" s="170">
        <f ca="1">IFERROR(G64/F64,)</f>
        <v>0.88849451809301461</v>
      </c>
      <c r="I64" s="65">
        <f ca="1">SUM(I65:I68)</f>
        <v>2933.0755424999998</v>
      </c>
      <c r="J64" s="170">
        <f ca="1">IFERROR(I64/$I$64,)</f>
        <v>1</v>
      </c>
      <c r="K64" s="65">
        <f ca="1">SUM(K65:K68)</f>
        <v>3869.6281995755776</v>
      </c>
      <c r="L64" s="170">
        <f ca="1">IFERROR(K64/$K$64,)</f>
        <v>1</v>
      </c>
      <c r="M64" s="65">
        <f ca="1">SUM(M65:M68)</f>
        <v>3331.5399899999998</v>
      </c>
      <c r="N64" s="170">
        <f ca="1">IFERROR(M64/$M$64,)</f>
        <v>1</v>
      </c>
      <c r="O64" s="66">
        <f ca="1">IFERROR(M64/I64,)</f>
        <v>1.1358520916786103</v>
      </c>
      <c r="P64" s="66">
        <f ca="1">IFERROR(M64/K64,)</f>
        <v>0.86094575968962717</v>
      </c>
    </row>
    <row r="65" spans="3:16" ht="15" customHeight="1" x14ac:dyDescent="0.2">
      <c r="C65" s="166" t="s">
        <v>109</v>
      </c>
      <c r="D65" s="68">
        <f>'2. 손익계산서'!C155*$N$4/1000000</f>
        <v>29722.580711819995</v>
      </c>
      <c r="E65" s="171">
        <f t="shared" ref="E65:E68" ca="1" si="48">IFERROR(G65/D65,)</f>
        <v>0.20153059581457908</v>
      </c>
      <c r="F65" s="68">
        <f ca="1">'2. 손익계산서'!E155*$N$4/1000000</f>
        <v>5318.6676515999998</v>
      </c>
      <c r="G65" s="68">
        <f ca="1">'2. 손익계산서'!F155*$N$4/1000000</f>
        <v>5990.0093999999999</v>
      </c>
      <c r="H65" s="171">
        <f t="shared" ref="H65:H68" ca="1" si="49">IFERROR(G65/F65,)</f>
        <v>1.1262236696060606</v>
      </c>
      <c r="I65" s="68">
        <f ca="1">'2. 손익계산서'!H155*$N$4/1000000</f>
        <v>2880.2946599999996</v>
      </c>
      <c r="J65" s="171">
        <f t="shared" ref="J65:J70" ca="1" si="50">IFERROR(I65/$I$64,)</f>
        <v>0.98200493586502979</v>
      </c>
      <c r="K65" s="68">
        <f ca="1">'2. 손익계산서'!J155*$N$4/1000000</f>
        <v>3008.3441795999997</v>
      </c>
      <c r="L65" s="171">
        <f t="shared" ref="L65:L70" ca="1" si="51">IFERROR(K65/$K$64,)</f>
        <v>0.77742460630454269</v>
      </c>
      <c r="M65" s="68">
        <f ca="1">'2. 손익계산서'!L155*$N$4/1000000</f>
        <v>3109.7147399999999</v>
      </c>
      <c r="N65" s="171">
        <f t="shared" ref="N65:N70" ca="1" si="52">IFERROR(M65/$M$64,)</f>
        <v>0.93341660293262763</v>
      </c>
      <c r="O65" s="69">
        <f t="shared" ref="O65" ca="1" si="53">IFERROR(M65/I65,)</f>
        <v>1.0796516006456092</v>
      </c>
      <c r="P65" s="69">
        <f t="shared" ref="P65" ca="1" si="54">IFERROR(M65/K65,)</f>
        <v>1.0336964636850425</v>
      </c>
    </row>
    <row r="66" spans="3:16" ht="15" customHeight="1" x14ac:dyDescent="0.2">
      <c r="C66" s="167" t="s">
        <v>106</v>
      </c>
      <c r="D66" s="68">
        <f>'2. 손익계산서'!C156*$N$4/1000000</f>
        <v>5293.8391425082536</v>
      </c>
      <c r="E66" s="171">
        <f t="shared" ca="1" si="48"/>
        <v>4.5885548174194705E-2</v>
      </c>
      <c r="F66" s="68">
        <f ca="1">'2. 손익계산서'!E156*$N$4/1000000</f>
        <v>1732.1530399511562</v>
      </c>
      <c r="G66" s="68">
        <f ca="1">'2. 손익계산서'!F156*$N$4/1000000</f>
        <v>242.91071100000005</v>
      </c>
      <c r="H66" s="171">
        <f t="shared" ca="1" si="49"/>
        <v>0.14023628709322919</v>
      </c>
      <c r="I66" s="68">
        <f ca="1">'2. 손익계산서'!H156*$N$4/1000000</f>
        <v>36.123151500000006</v>
      </c>
      <c r="J66" s="171">
        <f t="shared" ca="1" si="50"/>
        <v>1.2315793090419528E-2</v>
      </c>
      <c r="K66" s="68">
        <f ca="1">'2. 손익계산서'!J156*$N$4/1000000</f>
        <v>861.28401997557796</v>
      </c>
      <c r="L66" s="171">
        <f t="shared" ca="1" si="51"/>
        <v>0.22257539369545734</v>
      </c>
      <c r="M66" s="68">
        <f ca="1">'2. 손익계산서'!L156*$N$4/1000000</f>
        <v>206.78755950000004</v>
      </c>
      <c r="N66" s="171">
        <f t="shared" ca="1" si="52"/>
        <v>6.2069661514103591E-2</v>
      </c>
      <c r="O66" s="69">
        <f t="shared" ref="O66:O68" ca="1" si="55">IFERROR(M66/I66,)</f>
        <v>5.7245160212557868</v>
      </c>
      <c r="P66" s="69">
        <f t="shared" ref="P66:P68" ca="1" si="56">IFERROR(M66/K66,)</f>
        <v>0.24009218179371722</v>
      </c>
    </row>
    <row r="67" spans="3:16" ht="15" customHeight="1" x14ac:dyDescent="0.2">
      <c r="C67" s="167" t="s">
        <v>107</v>
      </c>
      <c r="D67" s="68">
        <f>'2. 손익계산서'!C157*$N$4/1000000</f>
        <v>0</v>
      </c>
      <c r="E67" s="171">
        <f t="shared" ca="1" si="48"/>
        <v>0</v>
      </c>
      <c r="F67" s="68">
        <f ca="1">'2. 손익계산서'!E157*$N$4/1000000</f>
        <v>0</v>
      </c>
      <c r="G67" s="68">
        <f ca="1">'2. 손익계산서'!F157*$N$4/1000000</f>
        <v>-13.496166000000001</v>
      </c>
      <c r="H67" s="171">
        <f t="shared" ca="1" si="49"/>
        <v>0</v>
      </c>
      <c r="I67" s="68">
        <f ca="1">'2. 손익계산서'!H157*$N$4/1000000</f>
        <v>-13.496166000000001</v>
      </c>
      <c r="J67" s="171">
        <f t="shared" ca="1" si="50"/>
        <v>-4.6013700651216698E-3</v>
      </c>
      <c r="K67" s="68">
        <f ca="1">'2. 손익계산서'!J157*$N$4/1000000</f>
        <v>0</v>
      </c>
      <c r="L67" s="171">
        <f t="shared" ca="1" si="51"/>
        <v>0</v>
      </c>
      <c r="M67" s="68">
        <f ca="1">'2. 손익계산서'!L157*$N$4/1000000</f>
        <v>0</v>
      </c>
      <c r="N67" s="171">
        <f t="shared" ca="1" si="52"/>
        <v>0</v>
      </c>
      <c r="O67" s="69">
        <f t="shared" ca="1" si="55"/>
        <v>0</v>
      </c>
      <c r="P67" s="69">
        <f t="shared" ca="1" si="56"/>
        <v>0</v>
      </c>
    </row>
    <row r="68" spans="3:16" ht="15" customHeight="1" x14ac:dyDescent="0.2">
      <c r="C68" s="166" t="s">
        <v>345</v>
      </c>
      <c r="D68" s="68">
        <f>'2. 손익계산서'!C158*$N$4/1000000</f>
        <v>0</v>
      </c>
      <c r="E68" s="171">
        <f t="shared" ca="1" si="48"/>
        <v>0</v>
      </c>
      <c r="F68" s="68">
        <f ca="1">'2. 손익계산서'!E158*$N$4/1000000</f>
        <v>0</v>
      </c>
      <c r="G68" s="68">
        <f ca="1">'2. 손익계산서'!F158*$N$4/1000000</f>
        <v>45.191587499999997</v>
      </c>
      <c r="H68" s="171">
        <f t="shared" ca="1" si="49"/>
        <v>0</v>
      </c>
      <c r="I68" s="68">
        <f ca="1">'2. 손익계산서'!H158*$N$4/1000000</f>
        <v>30.153897000000001</v>
      </c>
      <c r="J68" s="171">
        <f t="shared" ca="1" si="50"/>
        <v>1.0280641109672341E-2</v>
      </c>
      <c r="K68" s="68">
        <f ca="1">'2. 손익계산서'!J158*$N$4/1000000</f>
        <v>0</v>
      </c>
      <c r="L68" s="171">
        <f t="shared" ca="1" si="51"/>
        <v>0</v>
      </c>
      <c r="M68" s="68">
        <f ca="1">'2. 손익계산서'!L158*$N$4/1000000</f>
        <v>15.037690499999998</v>
      </c>
      <c r="N68" s="171">
        <f t="shared" ca="1" si="52"/>
        <v>4.5137355532688652E-3</v>
      </c>
      <c r="O68" s="69">
        <f t="shared" ca="1" si="55"/>
        <v>0.49869807872594374</v>
      </c>
      <c r="P68" s="69">
        <f t="shared" ca="1" si="56"/>
        <v>0</v>
      </c>
    </row>
    <row r="69" spans="3:16" ht="15" hidden="1" customHeight="1" x14ac:dyDescent="0.2">
      <c r="C69" s="162"/>
      <c r="D69" s="68"/>
      <c r="E69" s="171"/>
      <c r="F69" s="68"/>
      <c r="G69" s="68"/>
      <c r="H69" s="171"/>
      <c r="I69" s="68"/>
      <c r="J69" s="171">
        <f t="shared" ca="1" si="50"/>
        <v>0</v>
      </c>
      <c r="K69" s="68"/>
      <c r="L69" s="171">
        <f t="shared" ca="1" si="51"/>
        <v>0</v>
      </c>
      <c r="M69" s="68"/>
      <c r="N69" s="171">
        <f t="shared" ca="1" si="52"/>
        <v>0</v>
      </c>
      <c r="O69" s="69"/>
      <c r="P69" s="69"/>
    </row>
    <row r="70" spans="3:16" ht="15" customHeight="1" x14ac:dyDescent="0.2">
      <c r="C70" s="161" t="s">
        <v>12</v>
      </c>
      <c r="D70" s="65">
        <f>'2. 손익계산서'!C160*$N$4/1000000</f>
        <v>40903.034227819604</v>
      </c>
      <c r="E70" s="170">
        <f t="shared" ref="E70" ca="1" si="57">IFERROR(G70/D70,)</f>
        <v>0.17282361825842535</v>
      </c>
      <c r="F70" s="65">
        <f ca="1">'2. 손익계산서'!E160*$N$4/1000000</f>
        <v>7018.7854751203586</v>
      </c>
      <c r="G70" s="65">
        <f ca="1">'2. 손익계산서'!F160*$N$4/1000000</f>
        <v>7069.010373000001</v>
      </c>
      <c r="H70" s="170">
        <f t="shared" ref="H70" ca="1" si="58">IFERROR(G70/F70,)</f>
        <v>1.0071557818738976</v>
      </c>
      <c r="I70" s="65">
        <f ca="1">'2. 손익계산서'!H160*$N$4/1000000</f>
        <v>3259.7320995</v>
      </c>
      <c r="J70" s="170">
        <f t="shared" ca="1" si="50"/>
        <v>1.111369977440668</v>
      </c>
      <c r="K70" s="65">
        <f ca="1">'2. 손익계산서'!J160*$N$4/1000000</f>
        <v>3594.5099168658289</v>
      </c>
      <c r="L70" s="170">
        <f t="shared" ca="1" si="51"/>
        <v>0.92890317402071765</v>
      </c>
      <c r="M70" s="65">
        <f ca="1">'2. 손익계산서'!L160*$N$4/1000000</f>
        <v>3809.2782735000001</v>
      </c>
      <c r="N70" s="170">
        <f t="shared" ca="1" si="52"/>
        <v>1.1433986339452586</v>
      </c>
      <c r="O70" s="66">
        <f t="shared" ref="O70" ca="1" si="59">IFERROR(M70/I70,)</f>
        <v>1.1685863001086172</v>
      </c>
      <c r="P70" s="66">
        <f t="shared" ref="P70" ca="1" si="60">IFERROR(M70/K70,)</f>
        <v>1.0597489954406454</v>
      </c>
    </row>
    <row r="71" spans="3:16" ht="15" customHeight="1" x14ac:dyDescent="0.2">
      <c r="C71" s="168"/>
      <c r="D71" s="68"/>
      <c r="E71" s="171"/>
      <c r="F71" s="68"/>
      <c r="G71" s="68"/>
      <c r="H71" s="171"/>
      <c r="I71" s="68"/>
      <c r="J71" s="171"/>
      <c r="K71" s="68"/>
      <c r="L71" s="171"/>
      <c r="M71" s="68"/>
      <c r="N71" s="171"/>
      <c r="O71" s="69"/>
      <c r="P71" s="69"/>
    </row>
    <row r="72" spans="3:16" ht="15" customHeight="1" x14ac:dyDescent="0.2">
      <c r="C72" s="161" t="s">
        <v>13</v>
      </c>
      <c r="D72" s="65">
        <f>D64-D70</f>
        <v>-5886.6143734913567</v>
      </c>
      <c r="E72" s="170" t="str">
        <f ca="1">IF(AND(D72&gt;0,G72&gt;0),G72/D72,"(-)")</f>
        <v>(-)</v>
      </c>
      <c r="F72" s="65">
        <f ca="1">F64-F70</f>
        <v>32.035216430797846</v>
      </c>
      <c r="G72" s="65">
        <f ca="1">G64-G70</f>
        <v>-804.3948405000001</v>
      </c>
      <c r="H72" s="170" t="str">
        <f t="shared" ref="H72" ca="1" si="61">IF(AND(F72&gt;0,G72&gt;0),G72/F72,"(-)")</f>
        <v>(-)</v>
      </c>
      <c r="I72" s="65">
        <f ca="1">I64-I70</f>
        <v>-326.65655700000025</v>
      </c>
      <c r="J72" s="170">
        <f ca="1">IFERROR(I72/$I$64,)</f>
        <v>-0.11136997744066808</v>
      </c>
      <c r="K72" s="65">
        <f ca="1">K64-K70</f>
        <v>275.11828270974866</v>
      </c>
      <c r="L72" s="170">
        <f ca="1">IFERROR(K72/$K$64,)</f>
        <v>7.1096825979282394E-2</v>
      </c>
      <c r="M72" s="65">
        <f ca="1">M64-M70</f>
        <v>-477.73828350000031</v>
      </c>
      <c r="N72" s="170">
        <f ca="1">IFERROR(M72/$M$64,)</f>
        <v>-0.14339863394525856</v>
      </c>
      <c r="O72" s="66" t="str">
        <f ca="1">IF(AND(I72&gt;0,M72&gt;0),M72/I72,"(-)")</f>
        <v>(-)</v>
      </c>
      <c r="P72" s="66" t="str">
        <f ca="1">IF(AND(K72&gt;0,M72&gt;0),M72/K72,"(-)")</f>
        <v>(-)</v>
      </c>
    </row>
    <row r="73" spans="3:16" ht="15" customHeight="1" x14ac:dyDescent="0.2">
      <c r="C73" s="184" t="s">
        <v>127</v>
      </c>
      <c r="D73" s="69">
        <f>IFERROR(D72/D$64,)</f>
        <v>-0.1681101151397045</v>
      </c>
      <c r="E73" s="171"/>
      <c r="F73" s="69">
        <f t="shared" ref="F73:G73" ca="1" si="62">IFERROR(F72/F$64,)</f>
        <v>4.5434734241908805E-3</v>
      </c>
      <c r="G73" s="69">
        <f t="shared" ca="1" si="62"/>
        <v>-0.12840290618425113</v>
      </c>
      <c r="H73" s="171"/>
      <c r="I73" s="69">
        <f ca="1">IFERROR(I72/I$64,)</f>
        <v>-0.11136997744066808</v>
      </c>
      <c r="J73" s="171"/>
      <c r="K73" s="69">
        <f ca="1">IFERROR(K72/K$64,)</f>
        <v>7.1096825979282394E-2</v>
      </c>
      <c r="L73" s="171"/>
      <c r="M73" s="69">
        <f ca="1">IFERROR(M72/M$64,)</f>
        <v>-0.14339863394525856</v>
      </c>
      <c r="N73" s="171"/>
      <c r="O73" s="69"/>
      <c r="P73" s="69"/>
    </row>
    <row r="74" spans="3:16" ht="15" customHeight="1" x14ac:dyDescent="0.2">
      <c r="C74" s="161" t="s">
        <v>15</v>
      </c>
      <c r="D74" s="65">
        <f>SUM(D75:D77)</f>
        <v>3032.0008991317591</v>
      </c>
      <c r="E74" s="170">
        <f t="shared" ref="E74:E77" ca="1" si="63">IFERROR(G74/D74,)</f>
        <v>0.30344815918869489</v>
      </c>
      <c r="F74" s="65">
        <f ca="1">SUM(F75:F77)</f>
        <v>478.68632157136517</v>
      </c>
      <c r="G74" s="65">
        <f ca="1">SUM(G75:G77)</f>
        <v>920.0550915</v>
      </c>
      <c r="H74" s="170">
        <f t="shared" ref="H74:H77" ca="1" si="64">IFERROR(G74/F74,)</f>
        <v>1.9220417422410787</v>
      </c>
      <c r="I74" s="65">
        <f ca="1">SUM(I75:I77)</f>
        <v>475.99863299999993</v>
      </c>
      <c r="J74" s="170">
        <f t="shared" ref="J74:J78" ca="1" si="65">IFERROR(I74/$I$64,)</f>
        <v>0.16228652351527353</v>
      </c>
      <c r="K74" s="65">
        <f ca="1">SUM(K75:K77)</f>
        <v>234.87223856369928</v>
      </c>
      <c r="L74" s="170">
        <f t="shared" ref="L74:L78" ca="1" si="66">IFERROR(K74/$K$64,)</f>
        <v>6.0696332166863001E-2</v>
      </c>
      <c r="M74" s="65">
        <f ca="1">SUM(M75:M77)</f>
        <v>444.05645850000002</v>
      </c>
      <c r="N74" s="170">
        <f t="shared" ref="N74:N78" ca="1" si="67">IFERROR(M74/$M$64,)</f>
        <v>0.1332886472420822</v>
      </c>
      <c r="O74" s="66">
        <f t="shared" ref="O74:O77" ca="1" si="68">IFERROR(M74/I74,)</f>
        <v>0.93289439866941826</v>
      </c>
      <c r="P74" s="66">
        <f t="shared" ref="P74:P77" ca="1" si="69">IFERROR(M74/K74,)</f>
        <v>1.8906298216235047</v>
      </c>
    </row>
    <row r="75" spans="3:16" ht="15" hidden="1" customHeight="1" x14ac:dyDescent="0.2">
      <c r="C75" s="163" t="s">
        <v>16</v>
      </c>
      <c r="D75" s="70">
        <f>'2. 손익계산서'!C168*$N$4/1000000</f>
        <v>0</v>
      </c>
      <c r="E75" s="172">
        <f t="shared" ca="1" si="63"/>
        <v>0</v>
      </c>
      <c r="F75" s="70">
        <f ca="1">'2. 손익계산서'!E168*$N$4/1000000</f>
        <v>0</v>
      </c>
      <c r="G75" s="70">
        <f ca="1">'2. 손익계산서'!F168*$N$4/1000000</f>
        <v>0</v>
      </c>
      <c r="H75" s="172">
        <f t="shared" ca="1" si="64"/>
        <v>0</v>
      </c>
      <c r="I75" s="70">
        <f ca="1">'2. 손익계산서'!H168*$N$4/1000000</f>
        <v>0</v>
      </c>
      <c r="J75" s="172">
        <f t="shared" ca="1" si="65"/>
        <v>0</v>
      </c>
      <c r="K75" s="70">
        <f ca="1">'2. 손익계산서'!J168*$N$4/1000000</f>
        <v>0</v>
      </c>
      <c r="L75" s="172">
        <f t="shared" ca="1" si="66"/>
        <v>0</v>
      </c>
      <c r="M75" s="70">
        <f ca="1">'2. 손익계산서'!L168*$N$4/1000000</f>
        <v>0</v>
      </c>
      <c r="N75" s="172">
        <f t="shared" ca="1" si="67"/>
        <v>0</v>
      </c>
      <c r="O75" s="71">
        <f t="shared" ca="1" si="68"/>
        <v>0</v>
      </c>
      <c r="P75" s="71">
        <f t="shared" ca="1" si="69"/>
        <v>0</v>
      </c>
    </row>
    <row r="76" spans="3:16" ht="15" customHeight="1" x14ac:dyDescent="0.2">
      <c r="C76" s="185" t="s">
        <v>17</v>
      </c>
      <c r="D76" s="70">
        <f>'2. 손익계산서'!C184*$N$4/1000000</f>
        <v>3032.0008991317591</v>
      </c>
      <c r="E76" s="172">
        <f t="shared" ca="1" si="63"/>
        <v>0.30344815918869489</v>
      </c>
      <c r="F76" s="70">
        <f ca="1">'2. 손익계산서'!E184*$N$4/1000000</f>
        <v>478.68632157136517</v>
      </c>
      <c r="G76" s="70">
        <f ca="1">'2. 손익계산서'!F184*$N$4/1000000</f>
        <v>920.0550915</v>
      </c>
      <c r="H76" s="172">
        <f t="shared" ca="1" si="64"/>
        <v>1.9220417422410787</v>
      </c>
      <c r="I76" s="70">
        <f ca="1">'2. 손익계산서'!H184*$N$4/1000000</f>
        <v>475.99863299999993</v>
      </c>
      <c r="J76" s="172">
        <f t="shared" ca="1" si="65"/>
        <v>0.16228652351527353</v>
      </c>
      <c r="K76" s="70">
        <f ca="1">'2. 손익계산서'!J184*$N$4/1000000</f>
        <v>234.87223856369928</v>
      </c>
      <c r="L76" s="172">
        <f t="shared" ca="1" si="66"/>
        <v>6.0696332166863001E-2</v>
      </c>
      <c r="M76" s="70">
        <f ca="1">'2. 손익계산서'!L184*$N$4/1000000</f>
        <v>444.05645850000002</v>
      </c>
      <c r="N76" s="172">
        <f t="shared" ca="1" si="67"/>
        <v>0.1332886472420822</v>
      </c>
      <c r="O76" s="71">
        <f t="shared" ca="1" si="68"/>
        <v>0.93289439866941826</v>
      </c>
      <c r="P76" s="71">
        <f t="shared" ca="1" si="69"/>
        <v>1.8906298216235047</v>
      </c>
    </row>
    <row r="77" spans="3:16" ht="15" hidden="1" customHeight="1" x14ac:dyDescent="0.2">
      <c r="C77" s="163" t="s">
        <v>18</v>
      </c>
      <c r="D77" s="70">
        <f>'2. 손익계산서'!C202*$N$4/1000000</f>
        <v>0</v>
      </c>
      <c r="E77" s="172">
        <f t="shared" ca="1" si="63"/>
        <v>0</v>
      </c>
      <c r="F77" s="70">
        <f ca="1">'2. 손익계산서'!E202*$N$4/1000000</f>
        <v>0</v>
      </c>
      <c r="G77" s="70">
        <f ca="1">'2. 손익계산서'!F202*$N$4/1000000</f>
        <v>0</v>
      </c>
      <c r="H77" s="172">
        <f t="shared" ca="1" si="64"/>
        <v>0</v>
      </c>
      <c r="I77" s="70">
        <f ca="1">'2. 손익계산서'!H202*$N$4/1000000</f>
        <v>0</v>
      </c>
      <c r="J77" s="172">
        <f t="shared" ca="1" si="65"/>
        <v>0</v>
      </c>
      <c r="K77" s="70">
        <f ca="1">'2. 손익계산서'!J202*$N$4/1000000</f>
        <v>0</v>
      </c>
      <c r="L77" s="172">
        <f t="shared" ca="1" si="66"/>
        <v>0</v>
      </c>
      <c r="M77" s="70">
        <f ca="1">'2. 손익계산서'!L202*$N$4/1000000</f>
        <v>0</v>
      </c>
      <c r="N77" s="172">
        <f t="shared" ca="1" si="67"/>
        <v>0</v>
      </c>
      <c r="O77" s="71">
        <f t="shared" ca="1" si="68"/>
        <v>0</v>
      </c>
      <c r="P77" s="71">
        <f t="shared" ca="1" si="69"/>
        <v>0</v>
      </c>
    </row>
    <row r="78" spans="3:16" ht="15" customHeight="1" x14ac:dyDescent="0.2">
      <c r="C78" s="164" t="s">
        <v>20</v>
      </c>
      <c r="D78" s="72">
        <f>D72-D74</f>
        <v>-8918.6152726231157</v>
      </c>
      <c r="E78" s="173" t="str">
        <f ca="1">IF(AND(D78&gt;0,G78&gt;0),G78/D78,"(-)")</f>
        <v>(-)</v>
      </c>
      <c r="F78" s="72">
        <f ca="1">F72-F74</f>
        <v>-446.65110514056732</v>
      </c>
      <c r="G78" s="72">
        <f ca="1">G72-G74</f>
        <v>-1724.449932</v>
      </c>
      <c r="H78" s="173" t="str">
        <f ca="1">IF(AND(F78&gt;0,G78&gt;0),G78/F78,"(-)")</f>
        <v>(-)</v>
      </c>
      <c r="I78" s="72">
        <f ca="1">I72-I74</f>
        <v>-802.65519000000018</v>
      </c>
      <c r="J78" s="173">
        <f t="shared" ca="1" si="65"/>
        <v>-0.27365650095594163</v>
      </c>
      <c r="K78" s="72">
        <f ca="1">K72-K74</f>
        <v>40.246044146049371</v>
      </c>
      <c r="L78" s="173">
        <f t="shared" ca="1" si="66"/>
        <v>1.0400493812419387E-2</v>
      </c>
      <c r="M78" s="72">
        <f ca="1">M72-M74</f>
        <v>-921.79474200000027</v>
      </c>
      <c r="N78" s="173">
        <f t="shared" ca="1" si="67"/>
        <v>-0.27668728118734076</v>
      </c>
      <c r="O78" s="73" t="str">
        <f t="shared" ref="O78" ca="1" si="70">IF(AND(I78&gt;0,M78&gt;0),M78/I78,"(-)")</f>
        <v>(-)</v>
      </c>
      <c r="P78" s="73" t="str">
        <f ca="1">IF(AND(K78&gt;0,M78&gt;0),M78/K78,"(-)")</f>
        <v>(-)</v>
      </c>
    </row>
    <row r="79" spans="3:16" ht="15" customHeight="1" x14ac:dyDescent="0.2">
      <c r="C79" s="165" t="s">
        <v>21</v>
      </c>
      <c r="D79" s="73">
        <f>IFERROR(D78/D$64,)</f>
        <v>-0.25469809048798914</v>
      </c>
      <c r="E79" s="173"/>
      <c r="F79" s="73">
        <f t="shared" ref="F79:G79" ca="1" si="71">IFERROR(F78/F$64,)</f>
        <v>-6.334739240721006E-2</v>
      </c>
      <c r="G79" s="73">
        <f t="shared" ca="1" si="71"/>
        <v>-0.2752682783251072</v>
      </c>
      <c r="H79" s="173"/>
      <c r="I79" s="73">
        <f ca="1">IFERROR(I78/I$64,)</f>
        <v>-0.27365650095594163</v>
      </c>
      <c r="J79" s="173"/>
      <c r="K79" s="73">
        <f ca="1">IFERROR(K78/K$64,)</f>
        <v>1.0400493812419387E-2</v>
      </c>
      <c r="L79" s="173"/>
      <c r="M79" s="73">
        <f ca="1">IFERROR(M78/M$64,)</f>
        <v>-0.27668728118734076</v>
      </c>
      <c r="N79" s="173"/>
      <c r="O79" s="73"/>
      <c r="P79" s="73"/>
    </row>
    <row r="80" spans="3:16" ht="20.45" customHeight="1" x14ac:dyDescent="0.2">
      <c r="C80" s="525"/>
      <c r="P80" s="493"/>
    </row>
    <row r="81" spans="3:24" ht="15" hidden="1" customHeight="1" x14ac:dyDescent="0.2"/>
    <row r="82" spans="3:24" ht="15" hidden="1" customHeight="1" x14ac:dyDescent="0.2">
      <c r="C82" s="3" t="s">
        <v>471</v>
      </c>
      <c r="D82" s="503" cm="1">
        <f t="array" ref="D82">+SUM(D83:D84*1350)</f>
        <v>45170001</v>
      </c>
      <c r="E82" s="6" t="s">
        <v>326</v>
      </c>
      <c r="N82" s="495" t="s">
        <v>468</v>
      </c>
      <c r="O82" s="521">
        <v>26563.62</v>
      </c>
      <c r="P82" s="494">
        <f>+O82*1350</f>
        <v>35860887</v>
      </c>
      <c r="V82" s="7" t="s">
        <v>326</v>
      </c>
    </row>
    <row r="83" spans="3:24" ht="15" hidden="1" customHeight="1" x14ac:dyDescent="0.2">
      <c r="D83" s="504">
        <v>32284.240000000002</v>
      </c>
      <c r="N83" s="495" t="s">
        <v>469</v>
      </c>
      <c r="O83" s="521">
        <v>22389.94</v>
      </c>
      <c r="P83" s="494">
        <f>+O83*1350</f>
        <v>30226419</v>
      </c>
      <c r="V83" s="7" t="s">
        <v>326</v>
      </c>
    </row>
    <row r="84" spans="3:24" ht="15" hidden="1" customHeight="1" x14ac:dyDescent="0.2">
      <c r="D84" s="504">
        <v>1175.02</v>
      </c>
      <c r="O84" s="520"/>
      <c r="P84" s="494">
        <f>SUM(P82:P83)</f>
        <v>66087306</v>
      </c>
      <c r="V84" s="7" t="s">
        <v>326</v>
      </c>
    </row>
    <row r="85" spans="3:24" ht="15" hidden="1" customHeight="1" x14ac:dyDescent="0.2">
      <c r="O85" s="520"/>
    </row>
    <row r="86" spans="3:24" ht="15" hidden="1" customHeight="1" x14ac:dyDescent="0.2">
      <c r="O86" s="520"/>
    </row>
    <row r="87" spans="3:24" ht="15" customHeight="1" x14ac:dyDescent="0.2">
      <c r="O87" s="520"/>
    </row>
    <row r="90" spans="3:24" ht="15" customHeight="1" x14ac:dyDescent="0.2">
      <c r="W90" s="4"/>
      <c r="X90" s="495"/>
    </row>
    <row r="91" spans="3:24" ht="15" customHeight="1" x14ac:dyDescent="0.2">
      <c r="W91" s="4"/>
      <c r="X91" s="495"/>
    </row>
    <row r="92" spans="3:24" ht="15" customHeight="1" x14ac:dyDescent="0.2">
      <c r="W92" s="4"/>
      <c r="X92" s="495"/>
    </row>
    <row r="93" spans="3:24" ht="15" customHeight="1" x14ac:dyDescent="0.2">
      <c r="W93" s="4"/>
      <c r="X93" s="495"/>
    </row>
    <row r="94" spans="3:24" ht="15" customHeight="1" x14ac:dyDescent="0.2">
      <c r="W94" s="4"/>
      <c r="X94" s="495"/>
    </row>
    <row r="95" spans="3:24" ht="15" customHeight="1" x14ac:dyDescent="0.2">
      <c r="U95" s="522">
        <f>+V95*1330</f>
        <v>0</v>
      </c>
      <c r="V95" s="522"/>
      <c r="W95" s="4"/>
      <c r="X95" s="495"/>
    </row>
    <row r="96" spans="3:24" ht="15" customHeight="1" x14ac:dyDescent="0.2">
      <c r="W96" s="4"/>
      <c r="X96" s="495"/>
    </row>
    <row r="97" spans="21:24" ht="15" customHeight="1" x14ac:dyDescent="0.2">
      <c r="W97" s="4"/>
      <c r="X97" s="495"/>
    </row>
    <row r="99" spans="21:24" ht="15" customHeight="1" x14ac:dyDescent="0.2">
      <c r="U99" s="7">
        <f>+V99*1330</f>
        <v>0</v>
      </c>
      <c r="V99" s="523"/>
    </row>
  </sheetData>
  <phoneticPr fontId="8" type="noConversion"/>
  <pageMargins left="0.7" right="0.7" top="0.75" bottom="0.75" header="0.3" footer="0.3"/>
  <pageSetup paperSize="9" scale="61" orientation="landscape" r:id="rId1"/>
  <rowBreaks count="1" manualBreakCount="1">
    <brk id="34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048F-7AC0-4459-BB47-CF4CB40B03D1}">
  <dimension ref="B2:AD219"/>
  <sheetViews>
    <sheetView showGridLines="0" zoomScale="70" zoomScaleNormal="7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8.85546875" defaultRowHeight="13.5" outlineLevelRow="1" x14ac:dyDescent="0.2"/>
  <cols>
    <col min="1" max="1" width="1.42578125" style="32" customWidth="1"/>
    <col min="2" max="2" width="24.140625" style="32" customWidth="1"/>
    <col min="3" max="3" width="23.5703125" style="15" customWidth="1"/>
    <col min="4" max="4" width="23.5703125" style="33" customWidth="1"/>
    <col min="5" max="5" width="21.28515625" style="15" customWidth="1"/>
    <col min="6" max="6" width="20.42578125" style="15" customWidth="1"/>
    <col min="7" max="7" width="12.5703125" style="34" customWidth="1"/>
    <col min="8" max="8" width="18.42578125" style="15" customWidth="1"/>
    <col min="9" max="9" width="11.28515625" style="35" customWidth="1"/>
    <col min="10" max="10" width="16.7109375" style="15" customWidth="1"/>
    <col min="11" max="11" width="11.28515625" style="35" bestFit="1" customWidth="1"/>
    <col min="12" max="12" width="17.42578125" style="15" bestFit="1" customWidth="1"/>
    <col min="13" max="13" width="14.140625" style="35" customWidth="1"/>
    <col min="14" max="15" width="11.28515625" style="35" bestFit="1" customWidth="1"/>
    <col min="16" max="16" width="16.7109375" style="32" customWidth="1"/>
    <col min="17" max="17" width="13.140625" style="32" hidden="1" customWidth="1"/>
    <col min="18" max="18" width="13.85546875" style="32" hidden="1" customWidth="1"/>
    <col min="19" max="19" width="12.28515625" style="32" hidden="1" customWidth="1"/>
    <col min="20" max="20" width="8.85546875" style="32" hidden="1" customWidth="1"/>
    <col min="21" max="21" width="12.28515625" style="32" hidden="1" customWidth="1"/>
    <col min="22" max="24" width="8.85546875" style="32" hidden="1" customWidth="1"/>
    <col min="25" max="25" width="14.7109375" style="32" hidden="1" customWidth="1"/>
    <col min="26" max="27" width="17.5703125" style="32" hidden="1" customWidth="1"/>
    <col min="28" max="29" width="16.28515625" style="32" hidden="1" customWidth="1"/>
    <col min="30" max="30" width="14.42578125" style="32" hidden="1" customWidth="1"/>
    <col min="31" max="16384" width="8.85546875" style="32"/>
  </cols>
  <sheetData>
    <row r="2" spans="2:30" ht="13.15" customHeight="1" x14ac:dyDescent="0.2"/>
    <row r="3" spans="2:30" ht="27.6" customHeight="1" x14ac:dyDescent="0.2">
      <c r="B3" s="36" t="s">
        <v>488</v>
      </c>
      <c r="F3" s="15" t="s">
        <v>487</v>
      </c>
      <c r="O3" s="37"/>
    </row>
    <row r="4" spans="2:30" ht="14.45" customHeight="1" x14ac:dyDescent="0.2">
      <c r="B4" s="38" t="s">
        <v>35</v>
      </c>
      <c r="C4" s="38">
        <v>2</v>
      </c>
      <c r="D4" s="39"/>
      <c r="O4" s="33" t="s">
        <v>118</v>
      </c>
      <c r="P4" s="15"/>
      <c r="Q4" s="15"/>
    </row>
    <row r="5" spans="2:30" ht="37.15" customHeight="1" x14ac:dyDescent="0.2">
      <c r="B5" s="74" t="s">
        <v>95</v>
      </c>
      <c r="C5" s="75" t="s">
        <v>492</v>
      </c>
      <c r="D5" s="138" t="s">
        <v>1</v>
      </c>
      <c r="E5" s="75" t="s">
        <v>36</v>
      </c>
      <c r="F5" s="75" t="s">
        <v>3</v>
      </c>
      <c r="G5" s="138" t="s">
        <v>4</v>
      </c>
      <c r="H5" s="75" t="s">
        <v>5</v>
      </c>
      <c r="I5" s="138" t="s">
        <v>8</v>
      </c>
      <c r="J5" s="75" t="s">
        <v>6</v>
      </c>
      <c r="K5" s="138" t="s">
        <v>8</v>
      </c>
      <c r="L5" s="75" t="s">
        <v>7</v>
      </c>
      <c r="M5" s="138" t="s">
        <v>8</v>
      </c>
      <c r="N5" s="76" t="s">
        <v>9</v>
      </c>
      <c r="O5" s="76" t="s">
        <v>10</v>
      </c>
      <c r="Y5" s="44" t="s">
        <v>441</v>
      </c>
      <c r="Z5" s="44" t="s">
        <v>442</v>
      </c>
      <c r="AA5" s="44" t="s">
        <v>443</v>
      </c>
      <c r="AB5" s="44" t="s">
        <v>444</v>
      </c>
      <c r="AC5" s="44" t="s">
        <v>446</v>
      </c>
      <c r="AD5" s="44" t="s">
        <v>445</v>
      </c>
    </row>
    <row r="6" spans="2:30" s="40" customFormat="1" ht="20.45" customHeight="1" x14ac:dyDescent="0.2">
      <c r="B6" s="77" t="s">
        <v>11</v>
      </c>
      <c r="C6" s="78">
        <f>C7+C9</f>
        <v>173583281.75543711</v>
      </c>
      <c r="D6" s="139">
        <f t="shared" ref="D6:D14" ca="1" si="0">+IFERROR(F6/C6,)</f>
        <v>0.15932415000060185</v>
      </c>
      <c r="E6" s="78">
        <f ca="1">E7+E9</f>
        <v>28982628.571828313</v>
      </c>
      <c r="F6" s="78">
        <f ca="1">F7+F9</f>
        <v>27656008.819999997</v>
      </c>
      <c r="G6" s="143">
        <f t="shared" ref="G6:G67" ca="1" si="1">+IFERROR(F6/E6,)</f>
        <v>0.95422707265697027</v>
      </c>
      <c r="H6" s="78">
        <f ca="1">H7+H9</f>
        <v>12501979.869999997</v>
      </c>
      <c r="I6" s="139">
        <f t="shared" ref="I6:I16" ca="1" si="2">+IFERROR(H6/$H$6,)</f>
        <v>1</v>
      </c>
      <c r="J6" s="78">
        <f ca="1">J7+J9</f>
        <v>14768324.959521633</v>
      </c>
      <c r="K6" s="139">
        <f ca="1">+IFERROR(J6/$J$6,)</f>
        <v>1</v>
      </c>
      <c r="L6" s="78">
        <f ca="1">L7+L9</f>
        <v>15154028.950000003</v>
      </c>
      <c r="M6" s="139">
        <f ca="1">+IFERROR(L6/$L$6,)</f>
        <v>1</v>
      </c>
      <c r="N6" s="79">
        <f t="shared" ref="N6:N14" ca="1" si="3">+IFERROR(L6/H6,)</f>
        <v>1.2121303271623334</v>
      </c>
      <c r="O6" s="79">
        <f ca="1">+IFERROR(L6/J6,)</f>
        <v>1.0261169761320625</v>
      </c>
      <c r="Q6" s="40" t="s">
        <v>37</v>
      </c>
      <c r="S6" s="40" t="s">
        <v>38</v>
      </c>
      <c r="U6" s="40" t="s">
        <v>39</v>
      </c>
      <c r="Y6" s="40">
        <f>+C6*1330/1000000</f>
        <v>230865.76473473135</v>
      </c>
      <c r="Z6" s="40">
        <f ca="1">+E6*1330/1000000</f>
        <v>38546.896000531655</v>
      </c>
      <c r="AA6" s="40">
        <f ca="1">+F6*1330/1000000</f>
        <v>36782.491730599999</v>
      </c>
      <c r="AB6" s="40">
        <f ca="1">+H6*1330/1000000</f>
        <v>16627.633227099996</v>
      </c>
      <c r="AC6" s="40">
        <f ca="1">+J6*1330/1000000</f>
        <v>19641.872196163771</v>
      </c>
      <c r="AD6" s="40">
        <f ca="1">+L6*1330/1000000</f>
        <v>20154.858503500003</v>
      </c>
    </row>
    <row r="7" spans="2:30" x14ac:dyDescent="0.2">
      <c r="B7" s="114" t="s">
        <v>97</v>
      </c>
      <c r="C7" s="81">
        <f>'(계획)손익계산서 월별계획'!C7</f>
        <v>147645192.97445321</v>
      </c>
      <c r="D7" s="137">
        <f t="shared" ca="1" si="0"/>
        <v>0.15588420053731339</v>
      </c>
      <c r="E7" s="81">
        <f ca="1">SUM('(계획)손익계산서 월별계획'!E7:(OFFSET('(계획)손익계산서 월별계획'!E7,0,$C$4-1)))</f>
        <v>23759798.429938566</v>
      </c>
      <c r="F7" s="81">
        <f ca="1">SUM('3. 손익계산서 월별실적'!E7:(OFFSET('3. 손익계산서 월별실적'!E7,0,$C$4-1)))</f>
        <v>23015552.869999997</v>
      </c>
      <c r="G7" s="144">
        <f t="shared" ca="1" si="1"/>
        <v>0.96867626793496775</v>
      </c>
      <c r="H7" s="81">
        <f ca="1">OFFSET('3. 손익계산서 월별실적'!E7,0,$C$4-2)</f>
        <v>10329331.319999997</v>
      </c>
      <c r="I7" s="137">
        <f t="shared" ca="1" si="2"/>
        <v>0.8262156416350076</v>
      </c>
      <c r="J7" s="81">
        <f ca="1">OFFSET('(계획)손익계산서 월별계획'!E7,0,$C$4-1)</f>
        <v>11901933.70057676</v>
      </c>
      <c r="K7" s="137">
        <f t="shared" ref="K7:K9" ca="1" si="4">+IFERROR(J7/$J$6,)</f>
        <v>0.8059095214385289</v>
      </c>
      <c r="L7" s="81">
        <f ca="1">OFFSET('3. 손익계산서 월별실적'!E7,0,$C$4-1)</f>
        <v>12686221.550000003</v>
      </c>
      <c r="M7" s="137">
        <f t="shared" ref="M7:M9" ca="1" si="5">+IFERROR(L7/$L$6,)</f>
        <v>0.83715172987049102</v>
      </c>
      <c r="N7" s="82">
        <f t="shared" ca="1" si="3"/>
        <v>1.2281745213687276</v>
      </c>
      <c r="O7" s="82">
        <f ca="1">+IFERROR(L7/J7,)</f>
        <v>1.0658958341689668</v>
      </c>
      <c r="P7" s="40"/>
      <c r="Q7" s="40"/>
      <c r="S7" s="32">
        <f ca="1">+Q8-S8</f>
        <v>-182563.11646992248</v>
      </c>
      <c r="U7" s="32">
        <f ca="1">+Q8-U8</f>
        <v>-1164932.3160919999</v>
      </c>
    </row>
    <row r="8" spans="2:30" x14ac:dyDescent="0.2">
      <c r="B8" s="80" t="s">
        <v>113</v>
      </c>
      <c r="C8" s="81">
        <f>'(계획)손익계산서 월별계획'!C8</f>
        <v>0</v>
      </c>
      <c r="D8" s="137">
        <f t="shared" ca="1" si="0"/>
        <v>0</v>
      </c>
      <c r="E8" s="81">
        <f ca="1">SUM('(계획)손익계산서 월별계획'!E8:(OFFSET('(계획)손익계산서 월별계획'!E8,0,$C$4-1)))</f>
        <v>0</v>
      </c>
      <c r="F8" s="81">
        <f ca="1">SUM('3. 손익계산서 월별실적'!E8:(OFFSET('3. 손익계산서 월별실적'!E8,0,$C$4-1)))</f>
        <v>1346.4872319999999</v>
      </c>
      <c r="G8" s="144">
        <f t="shared" ca="1" si="1"/>
        <v>0</v>
      </c>
      <c r="H8" s="81">
        <f ca="1">OFFSET('3. 손익계산서 월별실적'!E8,0,$C$4-2)</f>
        <v>631.81666200000006</v>
      </c>
      <c r="I8" s="137">
        <f t="shared" ca="1" si="2"/>
        <v>5.053732837277398E-5</v>
      </c>
      <c r="J8" s="81">
        <f ca="1">OFFSET('(계획)손익계산서 월별계획'!E8,0,$C$4-1)</f>
        <v>0</v>
      </c>
      <c r="K8" s="137">
        <f t="shared" ca="1" si="4"/>
        <v>0</v>
      </c>
      <c r="L8" s="81">
        <f ca="1">OFFSET('3. 손익계산서 월별실적'!E8,0,$C$4-1)</f>
        <v>714.67057</v>
      </c>
      <c r="M8" s="137">
        <f t="shared" ca="1" si="5"/>
        <v>4.7160433199515555E-5</v>
      </c>
      <c r="N8" s="82">
        <f t="shared" ca="1" si="3"/>
        <v>1.1311359971700143</v>
      </c>
      <c r="O8" s="82">
        <f ca="1">+IFERROR(L8/J8,)</f>
        <v>0</v>
      </c>
      <c r="P8" s="40"/>
      <c r="Q8" s="40">
        <f ca="1">+L8-L13</f>
        <v>-2362937.6294299997</v>
      </c>
      <c r="R8" s="41">
        <f ca="1">+Q8/L8</f>
        <v>-3306.3312365444121</v>
      </c>
      <c r="S8" s="32">
        <f ca="1">+J8-J13</f>
        <v>-2180374.5129600773</v>
      </c>
      <c r="T8" s="41" t="e">
        <f ca="1">+S8/J8</f>
        <v>#DIV/0!</v>
      </c>
      <c r="U8" s="32">
        <f ca="1">+H8-H13</f>
        <v>-1198005.3133379999</v>
      </c>
      <c r="V8" s="41">
        <f ca="1">+U8/H8</f>
        <v>-1896.1280785880886</v>
      </c>
    </row>
    <row r="9" spans="2:30" x14ac:dyDescent="0.2">
      <c r="B9" s="114" t="s">
        <v>96</v>
      </c>
      <c r="C9" s="81">
        <f>'(계획)손익계산서 월별계획'!C9</f>
        <v>25938088.780983891</v>
      </c>
      <c r="D9" s="137">
        <f t="shared" ca="1" si="0"/>
        <v>0.17890508391667154</v>
      </c>
      <c r="E9" s="81">
        <f ca="1">SUM('(계획)손익계산서 월별계획'!E9:(OFFSET('(계획)손익계산서 월별계획'!E9,0,$C$4-1)))</f>
        <v>5222830.1418897454</v>
      </c>
      <c r="F9" s="81">
        <f ca="1">SUM('3. 손익계산서 월별실적'!E9:(OFFSET('3. 손익계산서 월별실적'!E9,0,$C$4-1)))</f>
        <v>4640455.9499999993</v>
      </c>
      <c r="G9" s="144">
        <f t="shared" ca="1" si="1"/>
        <v>0.88849451809301438</v>
      </c>
      <c r="H9" s="81">
        <f ca="1">OFFSET('3. 손익계산서 월별실적'!E9,0,$C$4-2)</f>
        <v>2172648.5499999998</v>
      </c>
      <c r="I9" s="137">
        <f t="shared" ca="1" si="2"/>
        <v>0.17378435836499234</v>
      </c>
      <c r="J9" s="81">
        <f ca="1">OFFSET('(계획)손익계산서 월별계획'!E9,0,$C$4-1)</f>
        <v>2866391.2589448723</v>
      </c>
      <c r="K9" s="137">
        <f t="shared" ca="1" si="4"/>
        <v>0.19409047856147113</v>
      </c>
      <c r="L9" s="81">
        <f ca="1">OFFSET('3. 손익계산서 월별실적'!E9,0,$C$4-1)</f>
        <v>2467807.4</v>
      </c>
      <c r="M9" s="137">
        <f t="shared" ca="1" si="5"/>
        <v>0.16284827012950898</v>
      </c>
      <c r="N9" s="82">
        <f t="shared" ca="1" si="3"/>
        <v>1.1358520916786106</v>
      </c>
      <c r="O9" s="82">
        <f ca="1">+IFERROR(L9/J9,)</f>
        <v>0.86094575968962717</v>
      </c>
      <c r="P9" s="40"/>
      <c r="Q9" s="40">
        <f ca="1">+L9-L14</f>
        <v>2467807.4</v>
      </c>
      <c r="R9" s="41">
        <f ca="1">+Q9/L9</f>
        <v>1</v>
      </c>
      <c r="S9" s="32">
        <f ca="1">+J9-J14</f>
        <v>2793582.0610961881</v>
      </c>
      <c r="T9" s="41">
        <f ca="1">+S9/J9</f>
        <v>0.97459900227455853</v>
      </c>
      <c r="U9" s="32">
        <f ca="1">+H9-H14</f>
        <v>2467338.5499999998</v>
      </c>
      <c r="V9" s="41">
        <f ca="1">+U9/H9</f>
        <v>1.135636295156895</v>
      </c>
    </row>
    <row r="10" spans="2:30" x14ac:dyDescent="0.2">
      <c r="B10" s="114"/>
      <c r="C10" s="81"/>
      <c r="D10" s="137"/>
      <c r="E10" s="81"/>
      <c r="F10" s="81"/>
      <c r="G10" s="144"/>
      <c r="H10" s="81"/>
      <c r="I10" s="137"/>
      <c r="J10" s="81"/>
      <c r="K10" s="137"/>
      <c r="L10" s="81"/>
      <c r="M10" s="137"/>
      <c r="N10" s="82"/>
      <c r="O10" s="82"/>
      <c r="P10" s="40"/>
      <c r="Q10" s="40"/>
      <c r="R10" s="41"/>
      <c r="T10" s="41"/>
      <c r="V10" s="41"/>
    </row>
    <row r="11" spans="2:30" x14ac:dyDescent="0.2">
      <c r="B11" s="77" t="s">
        <v>12</v>
      </c>
      <c r="C11" s="78">
        <f>SUM(C12:C14)</f>
        <v>162737460.49294993</v>
      </c>
      <c r="D11" s="139">
        <f t="shared" ca="1" si="0"/>
        <v>0.15705544342758904</v>
      </c>
      <c r="E11" s="78">
        <f t="shared" ref="E11:F11" ca="1" si="6">SUM(E12:E15)</f>
        <v>26470571.259122767</v>
      </c>
      <c r="F11" s="78">
        <f t="shared" ca="1" si="6"/>
        <v>25558804.020000003</v>
      </c>
      <c r="G11" s="143">
        <f t="shared" ca="1" si="1"/>
        <v>0.96555543776530572</v>
      </c>
      <c r="H11" s="78">
        <f ca="1">SUM(H12:H15)</f>
        <v>11738514.460000001</v>
      </c>
      <c r="I11" s="139">
        <f t="shared" ca="1" si="2"/>
        <v>0.93893243966645445</v>
      </c>
      <c r="J11" s="78">
        <f ca="1">SUM(J12:J15)</f>
        <v>13263500.345676195</v>
      </c>
      <c r="K11" s="139">
        <f t="shared" ref="K11:K14" ca="1" si="7">+IFERROR(J11/$J$6,)</f>
        <v>0.89810458410347838</v>
      </c>
      <c r="L11" s="78">
        <f ca="1">SUM(L12:L15)</f>
        <v>13820289.559999999</v>
      </c>
      <c r="M11" s="139">
        <f t="shared" ref="M11:M14" ca="1" si="8">+IFERROR(L11/$L$6,)</f>
        <v>0.91198780242530786</v>
      </c>
      <c r="N11" s="79">
        <f t="shared" ca="1" si="3"/>
        <v>1.1773457030780023</v>
      </c>
      <c r="O11" s="79">
        <f t="shared" ref="O11:O18" ca="1" si="9">+IFERROR(L11/J11,)</f>
        <v>1.0419790552880193</v>
      </c>
      <c r="P11" s="40"/>
      <c r="Q11" s="40"/>
      <c r="S11" s="32">
        <f>+Q10-S10</f>
        <v>0</v>
      </c>
      <c r="U11" s="32">
        <f>+Q10-U10</f>
        <v>0</v>
      </c>
      <c r="Y11" s="40">
        <f>+C11*1330/1000000</f>
        <v>216440.82245562342</v>
      </c>
      <c r="Z11" s="40">
        <f ca="1">+E11*1330/1000000</f>
        <v>35205.859774633274</v>
      </c>
      <c r="AA11" s="40">
        <f ca="1">+F11*1330/1000000</f>
        <v>33993.209346600008</v>
      </c>
      <c r="AB11" s="40">
        <f ca="1">+H11*1330/1000000</f>
        <v>15612.224231800001</v>
      </c>
      <c r="AC11" s="40">
        <f ca="1">+J11*1330/1000000</f>
        <v>17640.455459749341</v>
      </c>
      <c r="AD11" s="40">
        <f ca="1">+L11*1330/1000000</f>
        <v>18380.985114799998</v>
      </c>
    </row>
    <row r="12" spans="2:30" x14ac:dyDescent="0.2">
      <c r="B12" s="114" t="s">
        <v>115</v>
      </c>
      <c r="C12" s="81">
        <f>'(계획)손익계산서 월별계획'!C12</f>
        <v>135158268.23264986</v>
      </c>
      <c r="D12" s="137">
        <f t="shared" ca="1" si="0"/>
        <v>0.16492668100504096</v>
      </c>
      <c r="E12" s="81">
        <f ca="1">SUM('(계획)손익계산서 월별계획'!E12:(OFFSET('(계획)손익계산서 월별계획'!E12,0,$C$4-1)))</f>
        <v>21765121.785276644</v>
      </c>
      <c r="F12" s="81">
        <f ca="1">SUM('3. 손익계산서 월별실적'!E12:(OFFSET('3. 손익계산서 월별실적'!E12,0,$C$4-1)))</f>
        <v>22291204.590000004</v>
      </c>
      <c r="G12" s="144">
        <f t="shared" ca="1" si="1"/>
        <v>1.0241709102257004</v>
      </c>
      <c r="H12" s="81">
        <f ca="1">OFFSET('3. 손익계산서 월별실적'!E12,0,$C$4-2)</f>
        <v>10834567.330000002</v>
      </c>
      <c r="I12" s="137">
        <f t="shared" ca="1" si="2"/>
        <v>0.86662812151848423</v>
      </c>
      <c r="J12" s="81">
        <f ca="1">OFFSET('(계획)손익계산서 월별계획'!E12,0,$C$4-1)</f>
        <v>11010316.634867433</v>
      </c>
      <c r="K12" s="137">
        <f t="shared" ca="1" si="7"/>
        <v>0.74553591318213208</v>
      </c>
      <c r="L12" s="81">
        <f ca="1">OFFSET('3. 손익계산서 월별실적'!E12,0,$C$4-1)</f>
        <v>11456637.26</v>
      </c>
      <c r="M12" s="137">
        <f t="shared" ca="1" si="8"/>
        <v>0.75601262857558404</v>
      </c>
      <c r="N12" s="82">
        <f t="shared" ca="1" si="3"/>
        <v>1.0574152996656856</v>
      </c>
      <c r="O12" s="82">
        <f t="shared" ca="1" si="9"/>
        <v>1.0405365839996972</v>
      </c>
      <c r="P12" s="40"/>
      <c r="R12" s="40"/>
    </row>
    <row r="13" spans="2:30" x14ac:dyDescent="0.2">
      <c r="B13" s="114" t="s">
        <v>116</v>
      </c>
      <c r="C13" s="81">
        <f>'(계획)손익계산서 월별계획'!C13</f>
        <v>25798606.886115849</v>
      </c>
      <c r="D13" s="137">
        <f t="shared" ca="1" si="0"/>
        <v>0.13808068961728057</v>
      </c>
      <c r="E13" s="81">
        <f ca="1">SUM('(계획)손익계산서 월별계획'!E13:(OFFSET('(계획)손익계산서 월별계획'!E13,0,$C$4-1)))</f>
        <v>4351631.0781487525</v>
      </c>
      <c r="F13" s="81">
        <f ca="1">SUM('3. 손익계산서 월별실적'!E13:(OFFSET('3. 손익계산서 월별실적'!E13,0,$C$4-1)))</f>
        <v>3562289.4299999997</v>
      </c>
      <c r="G13" s="144">
        <f t="shared" ca="1" si="1"/>
        <v>0.8186101638734159</v>
      </c>
      <c r="H13" s="81">
        <f ca="1">OFFSET('3. 손익계산서 월별실적'!E13,0,$C$4-2)</f>
        <v>1198637.1299999999</v>
      </c>
      <c r="I13" s="137">
        <f t="shared" ca="1" si="2"/>
        <v>9.5875784672816003E-2</v>
      </c>
      <c r="J13" s="81">
        <f ca="1">OFFSET('(계획)손익계산서 월별계획'!E13,0,$C$4-1)</f>
        <v>2180374.5129600773</v>
      </c>
      <c r="K13" s="137">
        <f t="shared" ca="1" si="7"/>
        <v>0.14763857911687656</v>
      </c>
      <c r="L13" s="81">
        <f ca="1">OFFSET('3. 손익계산서 월별실적'!E13,0,$C$4-1)</f>
        <v>2363652.2999999998</v>
      </c>
      <c r="M13" s="137">
        <f t="shared" ca="1" si="8"/>
        <v>0.15597517384972392</v>
      </c>
      <c r="N13" s="82">
        <f t="shared" ca="1" si="3"/>
        <v>1.9719498427351403</v>
      </c>
      <c r="O13" s="82">
        <f t="shared" ca="1" si="9"/>
        <v>1.0840579386479365</v>
      </c>
      <c r="P13" s="40"/>
    </row>
    <row r="14" spans="2:30" x14ac:dyDescent="0.2">
      <c r="B14" s="114" t="s">
        <v>117</v>
      </c>
      <c r="C14" s="81">
        <f>'(계획)손익계산서 월별계획'!C14</f>
        <v>1780585.3741842103</v>
      </c>
      <c r="D14" s="137">
        <f t="shared" ca="1" si="0"/>
        <v>-0.16550175255427707</v>
      </c>
      <c r="E14" s="81">
        <f ca="1">SUM('(계획)손익계산서 월별계획'!E14:(OFFSET('(계획)손익계산서 월별계획'!E14,0,$C$4-1)))</f>
        <v>353818.39569736837</v>
      </c>
      <c r="F14" s="81">
        <f ca="1">SUM('3. 손익계산서 월별실적'!E14:(OFFSET('3. 손익계산서 월별실적'!E14,0,$C$4-1)))</f>
        <v>-294690</v>
      </c>
      <c r="G14" s="144">
        <f t="shared" ca="1" si="1"/>
        <v>-0.83288490249121283</v>
      </c>
      <c r="H14" s="81">
        <f ca="1">OFFSET('3. 손익계산서 월별실적'!E14,0,$C$4-2)</f>
        <v>-294690</v>
      </c>
      <c r="I14" s="137">
        <f t="shared" ca="1" si="2"/>
        <v>-2.3571466524845722E-2</v>
      </c>
      <c r="J14" s="81">
        <f ca="1">OFFSET('(계획)손익계산서 월별계획'!E14,0,$C$4-1)</f>
        <v>72809.197848684227</v>
      </c>
      <c r="K14" s="137">
        <f t="shared" ca="1" si="7"/>
        <v>4.9300918044697887E-3</v>
      </c>
      <c r="L14" s="81">
        <f ca="1">OFFSET('3. 손익계산서 월별실적'!E14,0,$C$4-1)</f>
        <v>0</v>
      </c>
      <c r="M14" s="137">
        <f t="shared" ca="1" si="8"/>
        <v>0</v>
      </c>
      <c r="N14" s="82">
        <f t="shared" ca="1" si="3"/>
        <v>0</v>
      </c>
      <c r="O14" s="82">
        <f t="shared" ca="1" si="9"/>
        <v>0</v>
      </c>
      <c r="P14" s="40"/>
    </row>
    <row r="15" spans="2:30" x14ac:dyDescent="0.2">
      <c r="B15" s="80"/>
      <c r="C15" s="81"/>
      <c r="D15" s="137"/>
      <c r="E15" s="81"/>
      <c r="F15" s="81"/>
      <c r="G15" s="144"/>
      <c r="H15" s="81"/>
      <c r="I15" s="137"/>
      <c r="J15" s="81"/>
      <c r="K15" s="137"/>
      <c r="L15" s="81"/>
      <c r="M15" s="137"/>
      <c r="N15" s="82"/>
      <c r="O15" s="82"/>
      <c r="P15" s="40"/>
      <c r="Q15" s="40"/>
    </row>
    <row r="16" spans="2:30" s="40" customFormat="1" ht="21.6" customHeight="1" x14ac:dyDescent="0.2">
      <c r="B16" s="77" t="s">
        <v>13</v>
      </c>
      <c r="C16" s="78">
        <f>C6-C11</f>
        <v>10845821.262487173</v>
      </c>
      <c r="D16" s="139">
        <f ca="1">IF(AND(C16&gt;0,F16&gt;0),F16/C16,"(-)")</f>
        <v>0.19336523710322148</v>
      </c>
      <c r="E16" s="78">
        <f ca="1">+E6-E11</f>
        <v>2512057.3127055466</v>
      </c>
      <c r="F16" s="78">
        <f ca="1">+F6-F11</f>
        <v>2097204.7999999933</v>
      </c>
      <c r="G16" s="139">
        <f t="shared" ref="G16" ca="1" si="10">IF(AND(E16&gt;0,F16&gt;0),F16/E16,"(-)")</f>
        <v>0.83485547459156217</v>
      </c>
      <c r="H16" s="78">
        <f ca="1">+H6-H11</f>
        <v>763465.40999999642</v>
      </c>
      <c r="I16" s="139">
        <f t="shared" ca="1" si="2"/>
        <v>6.1067560333545517E-2</v>
      </c>
      <c r="J16" s="78">
        <f ca="1">+J6-J11</f>
        <v>1504824.6138454378</v>
      </c>
      <c r="K16" s="139">
        <f ca="1">+IFERROR(J16/$J$6,)</f>
        <v>0.10189541589652164</v>
      </c>
      <c r="L16" s="78">
        <f ca="1">+L6-L11</f>
        <v>1333739.3900000043</v>
      </c>
      <c r="M16" s="139">
        <f ca="1">+IFERROR(L16/$L$6,)</f>
        <v>8.8012197574692114E-2</v>
      </c>
      <c r="N16" s="79">
        <f ca="1">+IF(AND(H16&gt;0,L16&gt;0),L16/H16,"(-)")</f>
        <v>1.7469545738817565</v>
      </c>
      <c r="O16" s="79">
        <f ca="1">+IF(AND(J16&gt;0,N16&gt;0),L16/J16,"(-)")</f>
        <v>0.88630886133086217</v>
      </c>
      <c r="Y16" s="40">
        <f>+C16*1330/1000000</f>
        <v>14424.942279107941</v>
      </c>
      <c r="Z16" s="40">
        <f ca="1">+E16*1330/1000000</f>
        <v>3341.0362258983769</v>
      </c>
      <c r="AA16" s="40">
        <f ca="1">+F16*1330/1000000</f>
        <v>2789.282383999991</v>
      </c>
      <c r="AB16" s="40">
        <f ca="1">+H16*1330/1000000</f>
        <v>1015.4089952999952</v>
      </c>
      <c r="AC16" s="40">
        <f ca="1">+J16*1330/1000000</f>
        <v>2001.4167364144323</v>
      </c>
      <c r="AD16" s="40">
        <f ca="1">+L16*1330/1000000</f>
        <v>1773.8733887000058</v>
      </c>
    </row>
    <row r="17" spans="2:30" s="42" customFormat="1" x14ac:dyDescent="0.2">
      <c r="B17" s="83" t="s">
        <v>14</v>
      </c>
      <c r="C17" s="82">
        <f>+IFERROR(C16/C6,)</f>
        <v>6.2481946145988523E-2</v>
      </c>
      <c r="D17" s="137"/>
      <c r="E17" s="82">
        <f ca="1">+IFERROR(E16/E6,)</f>
        <v>8.6674585311675836E-2</v>
      </c>
      <c r="F17" s="82">
        <f ca="1">+IFERROR(F16/F6,)</f>
        <v>7.5831795312538294E-2</v>
      </c>
      <c r="G17" s="144">
        <f t="shared" ca="1" si="1"/>
        <v>0.87490231467335422</v>
      </c>
      <c r="H17" s="82">
        <f ca="1">+IFERROR(H16/H6,)</f>
        <v>6.1067560333545517E-2</v>
      </c>
      <c r="I17" s="137"/>
      <c r="J17" s="82">
        <f ca="1">+IFERROR(J16/J6,)</f>
        <v>0.10189541589652164</v>
      </c>
      <c r="K17" s="137"/>
      <c r="L17" s="82">
        <f ca="1">+IFERROR(L16/L6,)</f>
        <v>8.8012197574692114E-2</v>
      </c>
      <c r="M17" s="137"/>
      <c r="N17" s="82"/>
      <c r="O17" s="82"/>
      <c r="P17" s="40"/>
      <c r="Q17" s="40"/>
      <c r="Y17" s="45">
        <f>+Y6-Y11</f>
        <v>14424.942279107927</v>
      </c>
      <c r="Z17" s="45">
        <f t="shared" ref="Z17:AD17" ca="1" si="11">+Z6-Z11</f>
        <v>3341.0362258983805</v>
      </c>
      <c r="AA17" s="45">
        <f t="shared" ca="1" si="11"/>
        <v>2789.282383999991</v>
      </c>
      <c r="AB17" s="45">
        <f t="shared" ca="1" si="11"/>
        <v>1015.4089952999948</v>
      </c>
      <c r="AC17" s="45">
        <f t="shared" ca="1" si="11"/>
        <v>2001.4167364144305</v>
      </c>
      <c r="AD17" s="45">
        <f t="shared" ca="1" si="11"/>
        <v>1773.8733887000053</v>
      </c>
    </row>
    <row r="18" spans="2:30" x14ac:dyDescent="0.2">
      <c r="B18" s="77" t="s">
        <v>15</v>
      </c>
      <c r="C18" s="78">
        <f>SUM(C19,C35,C53)</f>
        <v>9264881.1170671303</v>
      </c>
      <c r="D18" s="139">
        <f t="shared" ref="D18:D33" ca="1" si="12">+IFERROR(F18/C18,)</f>
        <v>0.15125710651791044</v>
      </c>
      <c r="E18" s="78">
        <f t="shared" ref="E18:F18" ca="1" si="13">+E19+E35+E53</f>
        <v>1564108.639527689</v>
      </c>
      <c r="F18" s="78">
        <f t="shared" ca="1" si="13"/>
        <v>1401379.11</v>
      </c>
      <c r="G18" s="143">
        <f t="shared" ca="1" si="1"/>
        <v>0.89596021311101004</v>
      </c>
      <c r="H18" s="78">
        <f t="shared" ref="H18:L18" ca="1" si="14">+H19+H35+H53</f>
        <v>695216.16999999993</v>
      </c>
      <c r="I18" s="139">
        <f t="shared" ref="I18:I68" ca="1" si="15">+IFERROR(H18/$H$6,)</f>
        <v>5.5608485794178458E-2</v>
      </c>
      <c r="J18" s="78">
        <f t="shared" ca="1" si="14"/>
        <v>760648.13334684097</v>
      </c>
      <c r="K18" s="139">
        <f t="shared" ref="K18:K68" ca="1" si="16">+IFERROR(J18/$J$6,)</f>
        <v>5.1505376231339335E-2</v>
      </c>
      <c r="L18" s="78">
        <f t="shared" ca="1" si="14"/>
        <v>706162.94</v>
      </c>
      <c r="M18" s="139">
        <f t="shared" ref="M18:M68" ca="1" si="17">+IFERROR(L18/$L$6,)</f>
        <v>4.6599022763513978E-2</v>
      </c>
      <c r="N18" s="79">
        <f t="shared" ref="N18" ca="1" si="18">+IFERROR(L18/H18,)</f>
        <v>1.0157458506754813</v>
      </c>
      <c r="O18" s="79">
        <f t="shared" ca="1" si="9"/>
        <v>0.92837004265414158</v>
      </c>
      <c r="P18" s="40"/>
      <c r="Q18" s="43">
        <f ca="1">+L18-J18</f>
        <v>-54485.193346841028</v>
      </c>
      <c r="R18" s="43">
        <f ca="1">+L18-H18</f>
        <v>10946.770000000019</v>
      </c>
      <c r="Y18" s="40">
        <f>+C18*1330/1000000</f>
        <v>12322.291885699284</v>
      </c>
      <c r="Z18" s="40">
        <f ca="1">+E18*1330/1000000</f>
        <v>2080.2644905718262</v>
      </c>
      <c r="AA18" s="40">
        <f ca="1">+F18*1330/1000000</f>
        <v>1863.8342163000002</v>
      </c>
      <c r="AB18" s="40">
        <f ca="1">+H18*1330/1000000</f>
        <v>924.63750609999988</v>
      </c>
      <c r="AC18" s="40">
        <f ca="1">+J18*1330/1000000</f>
        <v>1011.6620173512985</v>
      </c>
      <c r="AD18" s="40">
        <f ca="1">+L18*1330/1000000</f>
        <v>939.19671019999998</v>
      </c>
    </row>
    <row r="19" spans="2:30" ht="16.5" hidden="1" outlineLevel="1" x14ac:dyDescent="0.2">
      <c r="B19" s="84" t="s">
        <v>16</v>
      </c>
      <c r="C19" s="85">
        <f>SUM(C20:C33)</f>
        <v>0</v>
      </c>
      <c r="D19" s="140">
        <f t="shared" ca="1" si="12"/>
        <v>0</v>
      </c>
      <c r="E19" s="85">
        <f ca="1">SUM(E20:E34)</f>
        <v>0</v>
      </c>
      <c r="F19" s="85">
        <f ca="1">SUM(F20:F34)</f>
        <v>0</v>
      </c>
      <c r="G19" s="145">
        <f t="shared" ca="1" si="1"/>
        <v>0</v>
      </c>
      <c r="H19" s="85">
        <f ca="1">SUM(H20:H34)</f>
        <v>0</v>
      </c>
      <c r="I19" s="140">
        <f t="shared" ca="1" si="15"/>
        <v>0</v>
      </c>
      <c r="J19" s="85">
        <f ca="1">SUM(J20:J34)</f>
        <v>0</v>
      </c>
      <c r="K19" s="140">
        <f t="shared" ca="1" si="16"/>
        <v>0</v>
      </c>
      <c r="L19" s="85">
        <f ca="1">SUM(L20:L34)</f>
        <v>0</v>
      </c>
      <c r="M19" s="140">
        <f t="shared" ca="1" si="17"/>
        <v>0</v>
      </c>
      <c r="N19" s="86">
        <f t="shared" ref="N19:N67" ca="1" si="19">+IFERROR(L19/H19,)</f>
        <v>0</v>
      </c>
      <c r="O19" s="86">
        <f t="shared" ref="O19:O67" ca="1" si="20">+IFERROR(L19/J19,)</f>
        <v>0</v>
      </c>
      <c r="P19" s="40"/>
      <c r="Q19" s="40"/>
      <c r="R19" s="44" t="s">
        <v>40</v>
      </c>
      <c r="S19" s="44" t="s">
        <v>41</v>
      </c>
    </row>
    <row r="20" spans="2:30" hidden="1" outlineLevel="1" x14ac:dyDescent="0.2">
      <c r="B20" s="87" t="s">
        <v>19</v>
      </c>
      <c r="C20" s="81">
        <f>'(계획)손익계산서 월별계획'!C20</f>
        <v>0</v>
      </c>
      <c r="D20" s="137">
        <f t="shared" ca="1" si="12"/>
        <v>0</v>
      </c>
      <c r="E20" s="81">
        <f ca="1">SUM('(계획)손익계산서 월별계획'!E20:(OFFSET('(계획)손익계산서 월별계획'!E20,0,$C$4-1)))</f>
        <v>0</v>
      </c>
      <c r="F20" s="81">
        <f ca="1">SUM('3. 손익계산서 월별실적'!E20:(OFFSET('3. 손익계산서 월별실적'!E20,0,$C$4-1)))</f>
        <v>0</v>
      </c>
      <c r="G20" s="144">
        <f t="shared" ca="1" si="1"/>
        <v>0</v>
      </c>
      <c r="H20" s="81">
        <f ca="1">OFFSET('3. 손익계산서 월별실적'!E20,0,$C$4-2)</f>
        <v>0</v>
      </c>
      <c r="I20" s="137">
        <f t="shared" ca="1" si="15"/>
        <v>0</v>
      </c>
      <c r="J20" s="81">
        <f ca="1">OFFSET('(계획)손익계산서 월별계획'!E20,0,$C$4-1)</f>
        <v>0</v>
      </c>
      <c r="K20" s="137">
        <f t="shared" ca="1" si="16"/>
        <v>0</v>
      </c>
      <c r="L20" s="81">
        <f ca="1">OFFSET('3. 손익계산서 월별실적'!E20,0,$C$4-1)</f>
        <v>0</v>
      </c>
      <c r="M20" s="137">
        <f t="shared" ca="1" si="17"/>
        <v>0</v>
      </c>
      <c r="N20" s="82">
        <f t="shared" ca="1" si="19"/>
        <v>0</v>
      </c>
      <c r="O20" s="82">
        <f t="shared" ca="1" si="20"/>
        <v>0</v>
      </c>
      <c r="P20" s="40"/>
      <c r="Q20" s="40" t="s">
        <v>42</v>
      </c>
      <c r="R20" s="32">
        <f ca="1">+E20+E36+E54</f>
        <v>694634.80733333342</v>
      </c>
      <c r="S20" s="32">
        <f ca="1">+F20+F36+F54</f>
        <v>646352.28</v>
      </c>
      <c r="T20" s="41">
        <f ca="1">+S20/R20</f>
        <v>0.93049221429215812</v>
      </c>
    </row>
    <row r="21" spans="2:30" hidden="1" outlineLevel="1" x14ac:dyDescent="0.2">
      <c r="B21" s="87" t="s">
        <v>43</v>
      </c>
      <c r="C21" s="81">
        <f>'(계획)손익계산서 월별계획'!C21</f>
        <v>0</v>
      </c>
      <c r="D21" s="137">
        <f t="shared" ca="1" si="12"/>
        <v>0</v>
      </c>
      <c r="E21" s="81">
        <f ca="1">SUM('(계획)손익계산서 월별계획'!E21:(OFFSET('(계획)손익계산서 월별계획'!E21,0,$C$4-1)))</f>
        <v>0</v>
      </c>
      <c r="F21" s="81">
        <f ca="1">SUM('3. 손익계산서 월별실적'!E21:(OFFSET('3. 손익계산서 월별실적'!E21,0,$C$4-1)))</f>
        <v>0</v>
      </c>
      <c r="G21" s="144">
        <f t="shared" ca="1" si="1"/>
        <v>0</v>
      </c>
      <c r="H21" s="81">
        <f ca="1">OFFSET('3. 손익계산서 월별실적'!E21,0,$C$4-2)</f>
        <v>0</v>
      </c>
      <c r="I21" s="137">
        <f t="shared" ca="1" si="15"/>
        <v>0</v>
      </c>
      <c r="J21" s="81">
        <f ca="1">OFFSET('(계획)손익계산서 월별계획'!E21,0,$C$4-1)</f>
        <v>0</v>
      </c>
      <c r="K21" s="137">
        <f t="shared" ca="1" si="16"/>
        <v>0</v>
      </c>
      <c r="L21" s="81">
        <f ca="1">OFFSET('3. 손익계산서 월별실적'!E21,0,$C$4-1)</f>
        <v>0</v>
      </c>
      <c r="M21" s="137">
        <f t="shared" ca="1" si="17"/>
        <v>0</v>
      </c>
      <c r="N21" s="82">
        <f t="shared" ca="1" si="19"/>
        <v>0</v>
      </c>
      <c r="O21" s="82">
        <f t="shared" ca="1" si="20"/>
        <v>0</v>
      </c>
      <c r="P21" s="40"/>
      <c r="Q21" s="40" t="s">
        <v>44</v>
      </c>
      <c r="R21" s="32">
        <f ca="1">SUM(E27,E43,E61)</f>
        <v>573325.3304436889</v>
      </c>
      <c r="S21" s="32">
        <f ca="1">SUM(F27,F43,F61)</f>
        <v>478068.05</v>
      </c>
      <c r="T21" s="41">
        <f ca="1">+S21/R21</f>
        <v>0.83385126142957866</v>
      </c>
    </row>
    <row r="22" spans="2:30" hidden="1" outlineLevel="1" x14ac:dyDescent="0.2">
      <c r="B22" s="87" t="s">
        <v>45</v>
      </c>
      <c r="C22" s="81">
        <f>'(계획)손익계산서 월별계획'!C22</f>
        <v>0</v>
      </c>
      <c r="D22" s="137">
        <f t="shared" ca="1" si="12"/>
        <v>0</v>
      </c>
      <c r="E22" s="81">
        <f ca="1">SUM('(계획)손익계산서 월별계획'!E22:(OFFSET('(계획)손익계산서 월별계획'!E22,0,$C$4-1)))</f>
        <v>0</v>
      </c>
      <c r="F22" s="81">
        <f ca="1">SUM('3. 손익계산서 월별실적'!E22:(OFFSET('3. 손익계산서 월별실적'!E22,0,$C$4-1)))</f>
        <v>0</v>
      </c>
      <c r="G22" s="144">
        <f t="shared" ca="1" si="1"/>
        <v>0</v>
      </c>
      <c r="H22" s="81">
        <f ca="1">OFFSET('3. 손익계산서 월별실적'!E22,0,$C$4-2)</f>
        <v>0</v>
      </c>
      <c r="I22" s="137">
        <f t="shared" ca="1" si="15"/>
        <v>0</v>
      </c>
      <c r="J22" s="81">
        <f ca="1">OFFSET('(계획)손익계산서 월별계획'!E22,0,$C$4-1)</f>
        <v>0</v>
      </c>
      <c r="K22" s="137">
        <f t="shared" ca="1" si="16"/>
        <v>0</v>
      </c>
      <c r="L22" s="81">
        <f ca="1">OFFSET('3. 손익계산서 월별실적'!E22,0,$C$4-1)</f>
        <v>0</v>
      </c>
      <c r="M22" s="137">
        <f t="shared" ca="1" si="17"/>
        <v>0</v>
      </c>
      <c r="N22" s="82">
        <f t="shared" ca="1" si="19"/>
        <v>0</v>
      </c>
      <c r="O22" s="82">
        <f t="shared" ca="1" si="20"/>
        <v>0</v>
      </c>
      <c r="P22" s="40"/>
      <c r="Q22" s="40" t="s">
        <v>46</v>
      </c>
      <c r="R22" s="32">
        <f ca="1">SUM(E30,E46,E64)</f>
        <v>0</v>
      </c>
      <c r="S22" s="32">
        <f ca="1">SUM(F30,F46,F64)</f>
        <v>0</v>
      </c>
      <c r="T22" s="41" t="e">
        <f ca="1">+S22/R22</f>
        <v>#DIV/0!</v>
      </c>
    </row>
    <row r="23" spans="2:30" hidden="1" outlineLevel="1" x14ac:dyDescent="0.2">
      <c r="B23" s="87" t="s">
        <v>47</v>
      </c>
      <c r="C23" s="81">
        <f>'(계획)손익계산서 월별계획'!C23</f>
        <v>0</v>
      </c>
      <c r="D23" s="137">
        <f t="shared" ca="1" si="12"/>
        <v>0</v>
      </c>
      <c r="E23" s="81">
        <f ca="1">SUM('(계획)손익계산서 월별계획'!E23:(OFFSET('(계획)손익계산서 월별계획'!E23,0,$C$4-1)))</f>
        <v>0</v>
      </c>
      <c r="F23" s="81">
        <f ca="1">SUM('3. 손익계산서 월별실적'!E23:(OFFSET('3. 손익계산서 월별실적'!E23,0,$C$4-1)))</f>
        <v>0</v>
      </c>
      <c r="G23" s="144">
        <f t="shared" ca="1" si="1"/>
        <v>0</v>
      </c>
      <c r="H23" s="81">
        <f ca="1">OFFSET('3. 손익계산서 월별실적'!E23,0,$C$4-2)</f>
        <v>0</v>
      </c>
      <c r="I23" s="137">
        <f t="shared" ca="1" si="15"/>
        <v>0</v>
      </c>
      <c r="J23" s="81">
        <f ca="1">OFFSET('(계획)손익계산서 월별계획'!E23,0,$C$4-1)</f>
        <v>0</v>
      </c>
      <c r="K23" s="137">
        <f t="shared" ca="1" si="16"/>
        <v>0</v>
      </c>
      <c r="L23" s="81">
        <f ca="1">OFFSET('3. 손익계산서 월별실적'!E23,0,$C$4-1)</f>
        <v>0</v>
      </c>
      <c r="M23" s="137">
        <f t="shared" ca="1" si="17"/>
        <v>0</v>
      </c>
      <c r="N23" s="82">
        <f t="shared" ca="1" si="19"/>
        <v>0</v>
      </c>
      <c r="O23" s="82">
        <f t="shared" ca="1" si="20"/>
        <v>0</v>
      </c>
      <c r="P23" s="40"/>
      <c r="Q23" s="40"/>
    </row>
    <row r="24" spans="2:30" hidden="1" outlineLevel="1" x14ac:dyDescent="0.2">
      <c r="B24" s="87" t="s">
        <v>48</v>
      </c>
      <c r="C24" s="81">
        <f>'(계획)손익계산서 월별계획'!C24</f>
        <v>0</v>
      </c>
      <c r="D24" s="137">
        <f t="shared" ca="1" si="12"/>
        <v>0</v>
      </c>
      <c r="E24" s="81">
        <f ca="1">SUM('(계획)손익계산서 월별계획'!E24:(OFFSET('(계획)손익계산서 월별계획'!E24,0,$C$4-1)))</f>
        <v>0</v>
      </c>
      <c r="F24" s="81">
        <f ca="1">SUM('3. 손익계산서 월별실적'!E24:(OFFSET('3. 손익계산서 월별실적'!E24,0,$C$4-1)))</f>
        <v>0</v>
      </c>
      <c r="G24" s="144">
        <f t="shared" ca="1" si="1"/>
        <v>0</v>
      </c>
      <c r="H24" s="81">
        <f ca="1">OFFSET('3. 손익계산서 월별실적'!E24,0,$C$4-2)</f>
        <v>0</v>
      </c>
      <c r="I24" s="137">
        <f t="shared" ca="1" si="15"/>
        <v>0</v>
      </c>
      <c r="J24" s="81">
        <f ca="1">OFFSET('(계획)손익계산서 월별계획'!E24,0,$C$4-1)</f>
        <v>0</v>
      </c>
      <c r="K24" s="137">
        <f t="shared" ca="1" si="16"/>
        <v>0</v>
      </c>
      <c r="L24" s="81">
        <f ca="1">OFFSET('3. 손익계산서 월별실적'!E24,0,$C$4-1)</f>
        <v>0</v>
      </c>
      <c r="M24" s="137">
        <f t="shared" ca="1" si="17"/>
        <v>0</v>
      </c>
      <c r="N24" s="82">
        <f t="shared" ca="1" si="19"/>
        <v>0</v>
      </c>
      <c r="O24" s="82">
        <f t="shared" ca="1" si="20"/>
        <v>0</v>
      </c>
      <c r="P24" s="40"/>
      <c r="Q24" s="40"/>
    </row>
    <row r="25" spans="2:30" hidden="1" outlineLevel="1" x14ac:dyDescent="0.2">
      <c r="B25" s="87" t="s">
        <v>49</v>
      </c>
      <c r="C25" s="81">
        <f>'(계획)손익계산서 월별계획'!C25</f>
        <v>0</v>
      </c>
      <c r="D25" s="137">
        <f t="shared" ca="1" si="12"/>
        <v>0</v>
      </c>
      <c r="E25" s="81">
        <f ca="1">SUM('(계획)손익계산서 월별계획'!E25:(OFFSET('(계획)손익계산서 월별계획'!E25,0,$C$4-1)))</f>
        <v>0</v>
      </c>
      <c r="F25" s="81">
        <f ca="1">SUM('3. 손익계산서 월별실적'!E25:(OFFSET('3. 손익계산서 월별실적'!E25,0,$C$4-1)))</f>
        <v>0</v>
      </c>
      <c r="G25" s="144">
        <f t="shared" ca="1" si="1"/>
        <v>0</v>
      </c>
      <c r="H25" s="81">
        <f ca="1">OFFSET('3. 손익계산서 월별실적'!E25,0,$C$4-2)</f>
        <v>0</v>
      </c>
      <c r="I25" s="137">
        <f t="shared" ca="1" si="15"/>
        <v>0</v>
      </c>
      <c r="J25" s="81">
        <f ca="1">OFFSET('(계획)손익계산서 월별계획'!E25,0,$C$4-1)</f>
        <v>0</v>
      </c>
      <c r="K25" s="137">
        <f t="shared" ca="1" si="16"/>
        <v>0</v>
      </c>
      <c r="L25" s="81">
        <f ca="1">OFFSET('3. 손익계산서 월별실적'!E25,0,$C$4-1)</f>
        <v>0</v>
      </c>
      <c r="M25" s="137">
        <f t="shared" ca="1" si="17"/>
        <v>0</v>
      </c>
      <c r="N25" s="82">
        <f t="shared" ca="1" si="19"/>
        <v>0</v>
      </c>
      <c r="O25" s="82">
        <f t="shared" ca="1" si="20"/>
        <v>0</v>
      </c>
      <c r="P25" s="40"/>
      <c r="Q25" s="40"/>
    </row>
    <row r="26" spans="2:30" hidden="1" outlineLevel="1" x14ac:dyDescent="0.2">
      <c r="B26" s="87" t="s">
        <v>50</v>
      </c>
      <c r="C26" s="81">
        <f>'(계획)손익계산서 월별계획'!C26</f>
        <v>0</v>
      </c>
      <c r="D26" s="137">
        <f t="shared" ca="1" si="12"/>
        <v>0</v>
      </c>
      <c r="E26" s="81">
        <f ca="1">SUM('(계획)손익계산서 월별계획'!E26:(OFFSET('(계획)손익계산서 월별계획'!E26,0,$C$4-1)))</f>
        <v>0</v>
      </c>
      <c r="F26" s="81">
        <f ca="1">SUM('3. 손익계산서 월별실적'!E26:(OFFSET('3. 손익계산서 월별실적'!E26,0,$C$4-1)))</f>
        <v>0</v>
      </c>
      <c r="G26" s="144">
        <f t="shared" ca="1" si="1"/>
        <v>0</v>
      </c>
      <c r="H26" s="81">
        <f ca="1">OFFSET('3. 손익계산서 월별실적'!E26,0,$C$4-2)</f>
        <v>0</v>
      </c>
      <c r="I26" s="137">
        <f t="shared" ca="1" si="15"/>
        <v>0</v>
      </c>
      <c r="J26" s="81">
        <f ca="1">OFFSET('(계획)손익계산서 월별계획'!E26,0,$C$4-1)</f>
        <v>0</v>
      </c>
      <c r="K26" s="137">
        <f t="shared" ca="1" si="16"/>
        <v>0</v>
      </c>
      <c r="L26" s="81">
        <f ca="1">OFFSET('3. 손익계산서 월별실적'!E26,0,$C$4-1)</f>
        <v>0</v>
      </c>
      <c r="M26" s="137">
        <f t="shared" ca="1" si="17"/>
        <v>0</v>
      </c>
      <c r="N26" s="82">
        <f t="shared" ca="1" si="19"/>
        <v>0</v>
      </c>
      <c r="O26" s="82">
        <f t="shared" ca="1" si="20"/>
        <v>0</v>
      </c>
      <c r="P26" s="40"/>
      <c r="Q26" s="40"/>
    </row>
    <row r="27" spans="2:30" hidden="1" outlineLevel="1" x14ac:dyDescent="0.2">
      <c r="B27" s="87" t="s">
        <v>51</v>
      </c>
      <c r="C27" s="81">
        <f>'(계획)손익계산서 월별계획'!C27</f>
        <v>0</v>
      </c>
      <c r="D27" s="137">
        <f t="shared" ca="1" si="12"/>
        <v>0</v>
      </c>
      <c r="E27" s="81">
        <f ca="1">SUM('(계획)손익계산서 월별계획'!E27:(OFFSET('(계획)손익계산서 월별계획'!E27,0,$C$4-1)))</f>
        <v>0</v>
      </c>
      <c r="F27" s="81">
        <f ca="1">SUM('3. 손익계산서 월별실적'!E27:(OFFSET('3. 손익계산서 월별실적'!E27,0,$C$4-1)))</f>
        <v>0</v>
      </c>
      <c r="G27" s="144">
        <f t="shared" ca="1" si="1"/>
        <v>0</v>
      </c>
      <c r="H27" s="81">
        <f ca="1">OFFSET('3. 손익계산서 월별실적'!E27,0,$C$4-2)</f>
        <v>0</v>
      </c>
      <c r="I27" s="137">
        <f t="shared" ca="1" si="15"/>
        <v>0</v>
      </c>
      <c r="J27" s="81">
        <f ca="1">OFFSET('(계획)손익계산서 월별계획'!E27,0,$C$4-1)</f>
        <v>0</v>
      </c>
      <c r="K27" s="137">
        <f t="shared" ca="1" si="16"/>
        <v>0</v>
      </c>
      <c r="L27" s="81">
        <f ca="1">OFFSET('3. 손익계산서 월별실적'!E27,0,$C$4-1)</f>
        <v>0</v>
      </c>
      <c r="M27" s="137">
        <f t="shared" ca="1" si="17"/>
        <v>0</v>
      </c>
      <c r="N27" s="82">
        <f t="shared" ca="1" si="19"/>
        <v>0</v>
      </c>
      <c r="O27" s="82">
        <f t="shared" ca="1" si="20"/>
        <v>0</v>
      </c>
      <c r="P27" s="40"/>
      <c r="Q27" s="40"/>
    </row>
    <row r="28" spans="2:30" hidden="1" outlineLevel="1" x14ac:dyDescent="0.2">
      <c r="B28" s="87" t="s">
        <v>52</v>
      </c>
      <c r="C28" s="81">
        <f>'(계획)손익계산서 월별계획'!C28</f>
        <v>0</v>
      </c>
      <c r="D28" s="137">
        <f t="shared" ca="1" si="12"/>
        <v>0</v>
      </c>
      <c r="E28" s="81">
        <f ca="1">SUM('(계획)손익계산서 월별계획'!E28:(OFFSET('(계획)손익계산서 월별계획'!E28,0,$C$4-1)))</f>
        <v>0</v>
      </c>
      <c r="F28" s="81">
        <f ca="1">SUM('3. 손익계산서 월별실적'!E28:(OFFSET('3. 손익계산서 월별실적'!E28,0,$C$4-1)))</f>
        <v>0</v>
      </c>
      <c r="G28" s="144">
        <f t="shared" ca="1" si="1"/>
        <v>0</v>
      </c>
      <c r="H28" s="81">
        <f ca="1">OFFSET('3. 손익계산서 월별실적'!E28,0,$C$4-2)</f>
        <v>0</v>
      </c>
      <c r="I28" s="137">
        <f t="shared" ca="1" si="15"/>
        <v>0</v>
      </c>
      <c r="J28" s="81">
        <f ca="1">OFFSET('(계획)손익계산서 월별계획'!E28,0,$C$4-1)</f>
        <v>0</v>
      </c>
      <c r="K28" s="137">
        <f t="shared" ca="1" si="16"/>
        <v>0</v>
      </c>
      <c r="L28" s="81">
        <f ca="1">OFFSET('3. 손익계산서 월별실적'!E28,0,$C$4-1)</f>
        <v>0</v>
      </c>
      <c r="M28" s="137">
        <f t="shared" ca="1" si="17"/>
        <v>0</v>
      </c>
      <c r="N28" s="82">
        <f t="shared" ca="1" si="19"/>
        <v>0</v>
      </c>
      <c r="O28" s="82">
        <f t="shared" ca="1" si="20"/>
        <v>0</v>
      </c>
      <c r="P28" s="40"/>
      <c r="Q28" s="40"/>
    </row>
    <row r="29" spans="2:30" hidden="1" outlineLevel="1" x14ac:dyDescent="0.2">
      <c r="B29" s="87" t="s">
        <v>53</v>
      </c>
      <c r="C29" s="81">
        <f>'(계획)손익계산서 월별계획'!C29</f>
        <v>0</v>
      </c>
      <c r="D29" s="137">
        <f t="shared" ca="1" si="12"/>
        <v>0</v>
      </c>
      <c r="E29" s="81">
        <f ca="1">SUM('(계획)손익계산서 월별계획'!E29:(OFFSET('(계획)손익계산서 월별계획'!E29,0,$C$4-1)))</f>
        <v>0</v>
      </c>
      <c r="F29" s="81">
        <f ca="1">SUM('3. 손익계산서 월별실적'!E29:(OFFSET('3. 손익계산서 월별실적'!E29,0,$C$4-1)))</f>
        <v>0</v>
      </c>
      <c r="G29" s="144">
        <f t="shared" ca="1" si="1"/>
        <v>0</v>
      </c>
      <c r="H29" s="81">
        <f ca="1">OFFSET('3. 손익계산서 월별실적'!E29,0,$C$4-2)</f>
        <v>0</v>
      </c>
      <c r="I29" s="137">
        <f t="shared" ca="1" si="15"/>
        <v>0</v>
      </c>
      <c r="J29" s="81">
        <f ca="1">OFFSET('(계획)손익계산서 월별계획'!E29,0,$C$4-1)</f>
        <v>0</v>
      </c>
      <c r="K29" s="137">
        <f t="shared" ca="1" si="16"/>
        <v>0</v>
      </c>
      <c r="L29" s="81">
        <f ca="1">OFFSET('3. 손익계산서 월별실적'!E29,0,$C$4-1)</f>
        <v>0</v>
      </c>
      <c r="M29" s="137">
        <f t="shared" ca="1" si="17"/>
        <v>0</v>
      </c>
      <c r="N29" s="82">
        <f t="shared" ca="1" si="19"/>
        <v>0</v>
      </c>
      <c r="O29" s="82">
        <f t="shared" ca="1" si="20"/>
        <v>0</v>
      </c>
      <c r="P29" s="40"/>
      <c r="Q29" s="40"/>
    </row>
    <row r="30" spans="2:30" hidden="1" outlineLevel="1" x14ac:dyDescent="0.2">
      <c r="B30" s="87" t="s">
        <v>54</v>
      </c>
      <c r="C30" s="81">
        <f>'(계획)손익계산서 월별계획'!C30</f>
        <v>0</v>
      </c>
      <c r="D30" s="137">
        <f t="shared" ca="1" si="12"/>
        <v>0</v>
      </c>
      <c r="E30" s="81">
        <f ca="1">SUM('(계획)손익계산서 월별계획'!E30:(OFFSET('(계획)손익계산서 월별계획'!E30,0,$C$4-1)))</f>
        <v>0</v>
      </c>
      <c r="F30" s="81">
        <f ca="1">SUM('3. 손익계산서 월별실적'!E30:(OFFSET('3. 손익계산서 월별실적'!E30,0,$C$4-1)))</f>
        <v>0</v>
      </c>
      <c r="G30" s="144">
        <f t="shared" ca="1" si="1"/>
        <v>0</v>
      </c>
      <c r="H30" s="81">
        <f ca="1">OFFSET('3. 손익계산서 월별실적'!E30,0,$C$4-2)</f>
        <v>0</v>
      </c>
      <c r="I30" s="137">
        <f t="shared" ca="1" si="15"/>
        <v>0</v>
      </c>
      <c r="J30" s="81">
        <f ca="1">OFFSET('(계획)손익계산서 월별계획'!E30,0,$C$4-1)</f>
        <v>0</v>
      </c>
      <c r="K30" s="137">
        <f t="shared" ca="1" si="16"/>
        <v>0</v>
      </c>
      <c r="L30" s="81">
        <f ca="1">OFFSET('3. 손익계산서 월별실적'!E30,0,$C$4-1)</f>
        <v>0</v>
      </c>
      <c r="M30" s="137">
        <f t="shared" ca="1" si="17"/>
        <v>0</v>
      </c>
      <c r="N30" s="82">
        <f t="shared" ca="1" si="19"/>
        <v>0</v>
      </c>
      <c r="O30" s="82">
        <f t="shared" ca="1" si="20"/>
        <v>0</v>
      </c>
      <c r="P30" s="40"/>
      <c r="Q30" s="40"/>
    </row>
    <row r="31" spans="2:30" hidden="1" outlineLevel="1" x14ac:dyDescent="0.2">
      <c r="B31" s="87" t="s">
        <v>55</v>
      </c>
      <c r="C31" s="81">
        <f>'(계획)손익계산서 월별계획'!C31</f>
        <v>0</v>
      </c>
      <c r="D31" s="137">
        <f t="shared" ca="1" si="12"/>
        <v>0</v>
      </c>
      <c r="E31" s="81">
        <f ca="1">SUM('(계획)손익계산서 월별계획'!E31:(OFFSET('(계획)손익계산서 월별계획'!E31,0,$C$4-1)))</f>
        <v>0</v>
      </c>
      <c r="F31" s="81">
        <f ca="1">SUM('3. 손익계산서 월별실적'!E31:(OFFSET('3. 손익계산서 월별실적'!E31,0,$C$4-1)))</f>
        <v>0</v>
      </c>
      <c r="G31" s="144">
        <f t="shared" ca="1" si="1"/>
        <v>0</v>
      </c>
      <c r="H31" s="81">
        <f ca="1">OFFSET('3. 손익계산서 월별실적'!E31,0,$C$4-2)</f>
        <v>0</v>
      </c>
      <c r="I31" s="137">
        <f t="shared" ca="1" si="15"/>
        <v>0</v>
      </c>
      <c r="J31" s="81">
        <f ca="1">OFFSET('(계획)손익계산서 월별계획'!E31,0,$C$4-1)</f>
        <v>0</v>
      </c>
      <c r="K31" s="137">
        <f t="shared" ca="1" si="16"/>
        <v>0</v>
      </c>
      <c r="L31" s="81">
        <f ca="1">OFFSET('3. 손익계산서 월별실적'!E31,0,$C$4-1)</f>
        <v>0</v>
      </c>
      <c r="M31" s="137">
        <f t="shared" ca="1" si="17"/>
        <v>0</v>
      </c>
      <c r="N31" s="82">
        <f t="shared" ca="1" si="19"/>
        <v>0</v>
      </c>
      <c r="O31" s="82">
        <f t="shared" ca="1" si="20"/>
        <v>0</v>
      </c>
      <c r="P31" s="40"/>
      <c r="Q31" s="40"/>
    </row>
    <row r="32" spans="2:30" hidden="1" outlineLevel="1" x14ac:dyDescent="0.2">
      <c r="B32" s="87" t="s">
        <v>56</v>
      </c>
      <c r="C32" s="81">
        <f>'(계획)손익계산서 월별계획'!C32</f>
        <v>0</v>
      </c>
      <c r="D32" s="137">
        <f t="shared" ca="1" si="12"/>
        <v>0</v>
      </c>
      <c r="E32" s="81">
        <f ca="1">SUM('(계획)손익계산서 월별계획'!E32:(OFFSET('(계획)손익계산서 월별계획'!E32,0,$C$4-1)))</f>
        <v>0</v>
      </c>
      <c r="F32" s="81">
        <f ca="1">SUM('3. 손익계산서 월별실적'!E32:(OFFSET('3. 손익계산서 월별실적'!E32,0,$C$4-1)))</f>
        <v>0</v>
      </c>
      <c r="G32" s="144">
        <f t="shared" ca="1" si="1"/>
        <v>0</v>
      </c>
      <c r="H32" s="81">
        <f ca="1">OFFSET('3. 손익계산서 월별실적'!E32,0,$C$4-2)</f>
        <v>0</v>
      </c>
      <c r="I32" s="137">
        <f t="shared" ca="1" si="15"/>
        <v>0</v>
      </c>
      <c r="J32" s="81">
        <f ca="1">OFFSET('(계획)손익계산서 월별계획'!E32,0,$C$4-1)</f>
        <v>0</v>
      </c>
      <c r="K32" s="137">
        <f t="shared" ca="1" si="16"/>
        <v>0</v>
      </c>
      <c r="L32" s="81">
        <f ca="1">OFFSET('3. 손익계산서 월별실적'!E32,0,$C$4-1)</f>
        <v>0</v>
      </c>
      <c r="M32" s="137">
        <f t="shared" ca="1" si="17"/>
        <v>0</v>
      </c>
      <c r="N32" s="82">
        <f t="shared" ca="1" si="19"/>
        <v>0</v>
      </c>
      <c r="O32" s="82">
        <f t="shared" ca="1" si="20"/>
        <v>0</v>
      </c>
      <c r="P32" s="40"/>
      <c r="Q32" s="40"/>
    </row>
    <row r="33" spans="2:17" s="40" customFormat="1" hidden="1" outlineLevel="1" x14ac:dyDescent="0.2">
      <c r="B33" s="87" t="s">
        <v>57</v>
      </c>
      <c r="C33" s="81">
        <f>'(계획)손익계산서 월별계획'!C33</f>
        <v>0</v>
      </c>
      <c r="D33" s="137">
        <f t="shared" ca="1" si="12"/>
        <v>0</v>
      </c>
      <c r="E33" s="81">
        <f ca="1">SUM('(계획)손익계산서 월별계획'!E33:(OFFSET('(계획)손익계산서 월별계획'!E33,0,$C$4-1)))</f>
        <v>0</v>
      </c>
      <c r="F33" s="81">
        <f ca="1">SUM('3. 손익계산서 월별실적'!E33:(OFFSET('3. 손익계산서 월별실적'!E33,0,$C$4-1)))</f>
        <v>0</v>
      </c>
      <c r="G33" s="144">
        <f t="shared" ca="1" si="1"/>
        <v>0</v>
      </c>
      <c r="H33" s="81">
        <f ca="1">OFFSET('3. 손익계산서 월별실적'!E33,0,$C$4-2)</f>
        <v>0</v>
      </c>
      <c r="I33" s="137">
        <f t="shared" ca="1" si="15"/>
        <v>0</v>
      </c>
      <c r="J33" s="81">
        <f ca="1">OFFSET('(계획)손익계산서 월별계획'!E33,0,$C$4-1)</f>
        <v>0</v>
      </c>
      <c r="K33" s="137">
        <f t="shared" ca="1" si="16"/>
        <v>0</v>
      </c>
      <c r="L33" s="81">
        <f ca="1">OFFSET('3. 손익계산서 월별실적'!E33,0,$C$4-1)</f>
        <v>0</v>
      </c>
      <c r="M33" s="137">
        <f t="shared" ca="1" si="17"/>
        <v>0</v>
      </c>
      <c r="N33" s="82">
        <f t="shared" ca="1" si="19"/>
        <v>0</v>
      </c>
      <c r="O33" s="82">
        <f t="shared" ca="1" si="20"/>
        <v>0</v>
      </c>
    </row>
    <row r="34" spans="2:17" s="41" customFormat="1" ht="9.6" hidden="1" customHeight="1" outlineLevel="1" x14ac:dyDescent="0.2">
      <c r="B34" s="88"/>
      <c r="C34" s="89"/>
      <c r="D34" s="141"/>
      <c r="E34" s="81"/>
      <c r="F34" s="81"/>
      <c r="G34" s="146"/>
      <c r="H34" s="81"/>
      <c r="I34" s="141"/>
      <c r="J34" s="81"/>
      <c r="K34" s="137"/>
      <c r="L34" s="81"/>
      <c r="M34" s="137"/>
      <c r="N34" s="82"/>
      <c r="O34" s="82"/>
      <c r="P34" s="40"/>
      <c r="Q34" s="40"/>
    </row>
    <row r="35" spans="2:17" s="40" customFormat="1" ht="16.5" collapsed="1" x14ac:dyDescent="0.2">
      <c r="B35" s="84" t="s">
        <v>17</v>
      </c>
      <c r="C35" s="85">
        <f>SUM(C36:C51)</f>
        <v>9264881.1170671303</v>
      </c>
      <c r="D35" s="140">
        <f t="shared" ref="D35:D67" ca="1" si="21">+IFERROR(F35/C35,)</f>
        <v>0.15125710651791044</v>
      </c>
      <c r="E35" s="85">
        <f ca="1">SUM(E36:E51)</f>
        <v>1564108.639527689</v>
      </c>
      <c r="F35" s="85">
        <f ca="1">SUM(F36:F51)</f>
        <v>1401379.11</v>
      </c>
      <c r="G35" s="145">
        <f t="shared" ca="1" si="1"/>
        <v>0.89596021311101004</v>
      </c>
      <c r="H35" s="85">
        <f ca="1">SUM(H36:H51)</f>
        <v>695216.16999999993</v>
      </c>
      <c r="I35" s="140">
        <f t="shared" ca="1" si="15"/>
        <v>5.5608485794178458E-2</v>
      </c>
      <c r="J35" s="85">
        <f ca="1">SUM(J36:J51)</f>
        <v>760648.13334684097</v>
      </c>
      <c r="K35" s="140">
        <f t="shared" ca="1" si="16"/>
        <v>5.1505376231339335E-2</v>
      </c>
      <c r="L35" s="85">
        <f ca="1">SUM(L36:L51)</f>
        <v>706162.94</v>
      </c>
      <c r="M35" s="140">
        <f t="shared" ca="1" si="17"/>
        <v>4.6599022763513978E-2</v>
      </c>
      <c r="N35" s="86">
        <f t="shared" ca="1" si="19"/>
        <v>1.0157458506754813</v>
      </c>
      <c r="O35" s="86">
        <f t="shared" ca="1" si="20"/>
        <v>0.92837004265414158</v>
      </c>
    </row>
    <row r="36" spans="2:17" x14ac:dyDescent="0.2">
      <c r="B36" s="90" t="s">
        <v>58</v>
      </c>
      <c r="C36" s="81">
        <f>'(계획)손익계산서 월별계획'!C36</f>
        <v>4201174.0856666658</v>
      </c>
      <c r="D36" s="137">
        <f t="shared" ca="1" si="21"/>
        <v>0.15385039201426789</v>
      </c>
      <c r="E36" s="81">
        <f ca="1">SUM('(계획)손익계산서 월별계획'!E36:(OFFSET('(계획)손익계산서 월별계획'!E36,0,$C$4-1)))</f>
        <v>694634.80733333342</v>
      </c>
      <c r="F36" s="81">
        <f ca="1">SUM('3. 손익계산서 월별실적'!E36:(OFFSET('3. 손익계산서 월별실적'!E36,0,$C$4-1)))</f>
        <v>646352.28</v>
      </c>
      <c r="G36" s="144">
        <f t="shared" ca="1" si="1"/>
        <v>0.93049221429215812</v>
      </c>
      <c r="H36" s="81">
        <f ca="1">OFFSET('3. 손익계산서 월별실적'!E36,0,$C$4-2)</f>
        <v>325645.53999999998</v>
      </c>
      <c r="I36" s="137">
        <f t="shared" ca="1" si="15"/>
        <v>2.60475175441152E-2</v>
      </c>
      <c r="J36" s="81">
        <f ca="1">OFFSET('(계획)손익계산서 월별계획'!E36,0,$C$4-1)</f>
        <v>347317.40366666671</v>
      </c>
      <c r="K36" s="137">
        <f t="shared" ca="1" si="16"/>
        <v>2.351772490235865E-2</v>
      </c>
      <c r="L36" s="81">
        <f ca="1">OFFSET('3. 손익계산서 월별실적'!E36,0,$C$4-1)</f>
        <v>320706.74</v>
      </c>
      <c r="M36" s="137">
        <f t="shared" ca="1" si="17"/>
        <v>2.1163133649681982E-2</v>
      </c>
      <c r="N36" s="82">
        <f t="shared" ca="1" si="19"/>
        <v>0.98483381654789437</v>
      </c>
      <c r="O36" s="82">
        <f t="shared" ca="1" si="20"/>
        <v>0.92338229128245486</v>
      </c>
      <c r="P36" s="40"/>
      <c r="Q36" s="40"/>
    </row>
    <row r="37" spans="2:17" x14ac:dyDescent="0.2">
      <c r="B37" s="90" t="s">
        <v>59</v>
      </c>
      <c r="C37" s="81">
        <f>'(계획)손익계산서 월별계획'!C37</f>
        <v>132669.69735</v>
      </c>
      <c r="D37" s="137">
        <f t="shared" ca="1" si="21"/>
        <v>0.19504680056466567</v>
      </c>
      <c r="E37" s="81">
        <f ca="1">SUM('(계획)손익계산서 월별계획'!E37:(OFFSET('(계획)손익계산서 월별계획'!E37,0,$C$4-1)))</f>
        <v>22111.616224999998</v>
      </c>
      <c r="F37" s="81">
        <f ca="1">SUM('3. 손익계산서 월별실적'!E37:(OFFSET('3. 손익계산서 월별실적'!E37,0,$C$4-1)))</f>
        <v>25876.800000000003</v>
      </c>
      <c r="G37" s="144">
        <f t="shared" ca="1" si="1"/>
        <v>1.1702808033879941</v>
      </c>
      <c r="H37" s="81">
        <f ca="1">OFFSET('3. 손익계산서 월별실적'!E37,0,$C$4-2)</f>
        <v>12954.35</v>
      </c>
      <c r="I37" s="137">
        <f t="shared" ca="1" si="15"/>
        <v>1.0361838792498394E-3</v>
      </c>
      <c r="J37" s="81">
        <f ca="1">OFFSET('(계획)손익계산서 월별계획'!E37,0,$C$4-1)</f>
        <v>11055.808112499999</v>
      </c>
      <c r="K37" s="137">
        <f t="shared" ca="1" si="16"/>
        <v>7.4861625423348704E-4</v>
      </c>
      <c r="L37" s="81">
        <f ca="1">OFFSET('3. 손익계산서 월별실적'!E37,0,$C$4-1)</f>
        <v>12922.45</v>
      </c>
      <c r="M37" s="137">
        <f t="shared" ca="1" si="17"/>
        <v>8.5274022127297038E-4</v>
      </c>
      <c r="N37" s="82">
        <f t="shared" ca="1" si="19"/>
        <v>0.99753750670624153</v>
      </c>
      <c r="O37" s="82">
        <f t="shared" ca="1" si="20"/>
        <v>1.1688381227772509</v>
      </c>
      <c r="P37" s="40"/>
      <c r="Q37" s="40"/>
    </row>
    <row r="38" spans="2:17" x14ac:dyDescent="0.2">
      <c r="B38" s="90" t="s">
        <v>60</v>
      </c>
      <c r="C38" s="81">
        <f>'(계획)손익계산서 월별계획'!C38</f>
        <v>976247.63005399983</v>
      </c>
      <c r="D38" s="137">
        <f t="shared" ca="1" si="21"/>
        <v>6.3038831650322077E-2</v>
      </c>
      <c r="E38" s="81">
        <f ca="1">SUM('(계획)손익계산서 월별계획'!E38:(OFFSET('(계획)손익계산서 월별계획'!E38,0,$C$4-1)))</f>
        <v>157341.96589566665</v>
      </c>
      <c r="F38" s="81">
        <f ca="1">SUM('3. 손익계산서 월별실적'!E38:(OFFSET('3. 손익계산서 월별실적'!E38,0,$C$4-1)))</f>
        <v>61541.51</v>
      </c>
      <c r="G38" s="144">
        <f t="shared" ca="1" si="1"/>
        <v>0.39113220461989229</v>
      </c>
      <c r="H38" s="81">
        <f ca="1">OFFSET('3. 손익계산서 월별실적'!E38,0,$C$4-2)</f>
        <v>28636.21</v>
      </c>
      <c r="I38" s="137">
        <f t="shared" ca="1" si="15"/>
        <v>2.2905340032354417E-3</v>
      </c>
      <c r="J38" s="81">
        <f ca="1">OFFSET('(계획)손익계산서 월별계획'!E38,0,$C$4-1)</f>
        <v>79287.119415833324</v>
      </c>
      <c r="K38" s="137">
        <f t="shared" ca="1" si="16"/>
        <v>5.3687279791818417E-3</v>
      </c>
      <c r="L38" s="81">
        <f ca="1">OFFSET('3. 손익계산서 월별실적'!E38,0,$C$4-1)</f>
        <v>32905.300000000003</v>
      </c>
      <c r="M38" s="137">
        <f t="shared" ca="1" si="17"/>
        <v>2.1713895432409081E-3</v>
      </c>
      <c r="N38" s="82">
        <f t="shared" ca="1" si="19"/>
        <v>1.1490801331600797</v>
      </c>
      <c r="O38" s="82">
        <f t="shared" ca="1" si="20"/>
        <v>0.4150144467655984</v>
      </c>
      <c r="P38" s="40"/>
      <c r="Q38" s="40"/>
    </row>
    <row r="39" spans="2:17" x14ac:dyDescent="0.2">
      <c r="B39" s="90" t="s">
        <v>61</v>
      </c>
      <c r="C39" s="81">
        <f>'(계획)손익계산서 월별계획'!C39</f>
        <v>262838.82915499998</v>
      </c>
      <c r="D39" s="137">
        <f t="shared" ca="1" si="21"/>
        <v>2.4967886294037542E-2</v>
      </c>
      <c r="E39" s="81">
        <f ca="1">SUM('(계획)손익계산서 월별계획'!E39:(OFFSET('(계획)손익계산서 월별계획'!E39,0,$C$4-1)))</f>
        <v>41707.291625833328</v>
      </c>
      <c r="F39" s="81">
        <f ca="1">SUM('3. 손익계산서 월별실적'!E39:(OFFSET('3. 손익계산서 월별실적'!E39,0,$C$4-1)))</f>
        <v>6562.53</v>
      </c>
      <c r="G39" s="144">
        <f t="shared" ca="1" si="1"/>
        <v>0.1573473065303333</v>
      </c>
      <c r="H39" s="81">
        <f ca="1">OFFSET('3. 손익계산서 월별실적'!E39,0,$C$4-2)</f>
        <v>2374.41</v>
      </c>
      <c r="I39" s="137">
        <f t="shared" ca="1" si="15"/>
        <v>1.8992271821663078E-4</v>
      </c>
      <c r="J39" s="81">
        <f ca="1">OFFSET('(계획)손익계산서 월별계획'!E39,0,$C$4-1)</f>
        <v>20279.415662916661</v>
      </c>
      <c r="K39" s="137">
        <f t="shared" ca="1" si="16"/>
        <v>1.3731696531935969E-3</v>
      </c>
      <c r="L39" s="81">
        <f ca="1">OFFSET('3. 손익계산서 월별실적'!E39,0,$C$4-1)</f>
        <v>4188.12</v>
      </c>
      <c r="M39" s="137">
        <f t="shared" ca="1" si="17"/>
        <v>2.7637006724868368E-4</v>
      </c>
      <c r="N39" s="82">
        <f t="shared" ca="1" si="19"/>
        <v>1.7638571266125058</v>
      </c>
      <c r="O39" s="82">
        <f t="shared" ca="1" si="20"/>
        <v>0.20652074347775606</v>
      </c>
      <c r="P39" s="40"/>
      <c r="Q39" s="40"/>
    </row>
    <row r="40" spans="2:17" x14ac:dyDescent="0.2">
      <c r="B40" s="90" t="s">
        <v>62</v>
      </c>
      <c r="C40" s="81">
        <f>'(계획)손익계산서 월별계획'!C40</f>
        <v>0</v>
      </c>
      <c r="D40" s="137">
        <f t="shared" ca="1" si="21"/>
        <v>0</v>
      </c>
      <c r="E40" s="81">
        <f ca="1">SUM('(계획)손익계산서 월별계획'!E40:(OFFSET('(계획)손익계산서 월별계획'!E40,0,$C$4-1)))</f>
        <v>0</v>
      </c>
      <c r="F40" s="81">
        <f ca="1">SUM('3. 손익계산서 월별실적'!E40:(OFFSET('3. 손익계산서 월별실적'!E40,0,$C$4-1)))</f>
        <v>91123.68</v>
      </c>
      <c r="G40" s="144">
        <f t="shared" ca="1" si="1"/>
        <v>0</v>
      </c>
      <c r="H40" s="81">
        <f ca="1">OFFSET('3. 손익계산서 월별실적'!E40,0,$C$4-2)</f>
        <v>58276.9</v>
      </c>
      <c r="I40" s="137">
        <f t="shared" ca="1" si="15"/>
        <v>4.6614136805517041E-3</v>
      </c>
      <c r="J40" s="81">
        <f ca="1">OFFSET('(계획)손익계산서 월별계획'!E40,0,$C$4-1)</f>
        <v>0</v>
      </c>
      <c r="K40" s="137">
        <f t="shared" ca="1" si="16"/>
        <v>0</v>
      </c>
      <c r="L40" s="81">
        <f ca="1">OFFSET('3. 손익계산서 월별실적'!E40,0,$C$4-1)</f>
        <v>32846.78</v>
      </c>
      <c r="M40" s="137">
        <f t="shared" ca="1" si="17"/>
        <v>2.1675278639348245E-3</v>
      </c>
      <c r="N40" s="82">
        <f t="shared" ca="1" si="19"/>
        <v>0.56363293174482509</v>
      </c>
      <c r="O40" s="82">
        <f t="shared" ca="1" si="20"/>
        <v>0</v>
      </c>
      <c r="P40" s="40"/>
      <c r="Q40" s="40"/>
    </row>
    <row r="41" spans="2:17" x14ac:dyDescent="0.2">
      <c r="B41" s="90" t="s">
        <v>63</v>
      </c>
      <c r="C41" s="81">
        <f>'(계획)손익계산서 월별계획'!C41</f>
        <v>0</v>
      </c>
      <c r="D41" s="137">
        <f t="shared" ca="1" si="21"/>
        <v>0</v>
      </c>
      <c r="E41" s="81">
        <f ca="1">SUM('(계획)손익계산서 월별계획'!E41:(OFFSET('(계획)손익계산서 월별계획'!E41,0,$C$4-1)))</f>
        <v>0</v>
      </c>
      <c r="F41" s="81">
        <f ca="1">SUM('3. 손익계산서 월별실적'!E41:(OFFSET('3. 손익계산서 월별실적'!E41,0,$C$4-1)))</f>
        <v>0</v>
      </c>
      <c r="G41" s="144">
        <f t="shared" ca="1" si="1"/>
        <v>0</v>
      </c>
      <c r="H41" s="81">
        <f ca="1">OFFSET('3. 손익계산서 월별실적'!E41,0,$C$4-2)</f>
        <v>0</v>
      </c>
      <c r="I41" s="137">
        <f t="shared" ca="1" si="15"/>
        <v>0</v>
      </c>
      <c r="J41" s="81">
        <f ca="1">OFFSET('(계획)손익계산서 월별계획'!E41,0,$C$4-1)</f>
        <v>0</v>
      </c>
      <c r="K41" s="137">
        <f t="shared" ca="1" si="16"/>
        <v>0</v>
      </c>
      <c r="L41" s="81">
        <f ca="1">OFFSET('3. 손익계산서 월별실적'!E41,0,$C$4-1)</f>
        <v>0</v>
      </c>
      <c r="M41" s="137">
        <f t="shared" ca="1" si="17"/>
        <v>0</v>
      </c>
      <c r="N41" s="82">
        <f t="shared" ca="1" si="19"/>
        <v>0</v>
      </c>
      <c r="O41" s="82">
        <f t="shared" ca="1" si="20"/>
        <v>0</v>
      </c>
      <c r="P41" s="40"/>
      <c r="Q41" s="40"/>
    </row>
    <row r="42" spans="2:17" x14ac:dyDescent="0.2">
      <c r="B42" s="90" t="s">
        <v>64</v>
      </c>
      <c r="C42" s="81">
        <f>'(계획)손익계산서 월별계획'!C42</f>
        <v>0</v>
      </c>
      <c r="D42" s="137">
        <f t="shared" ca="1" si="21"/>
        <v>0</v>
      </c>
      <c r="E42" s="81">
        <f ca="1">SUM('(계획)손익계산서 월별계획'!E42:(OFFSET('(계획)손익계산서 월별계획'!E42,0,$C$4-1)))</f>
        <v>0</v>
      </c>
      <c r="F42" s="81">
        <f ca="1">SUM('3. 손익계산서 월별실적'!E42:(OFFSET('3. 손익계산서 월별실적'!E42,0,$C$4-1)))</f>
        <v>18646.72</v>
      </c>
      <c r="G42" s="144">
        <f t="shared" ca="1" si="1"/>
        <v>0</v>
      </c>
      <c r="H42" s="81">
        <f ca="1">OFFSET('3. 손익계산서 월별실적'!E42,0,$C$4-2)</f>
        <v>4997.2299999999996</v>
      </c>
      <c r="I42" s="137">
        <f t="shared" ca="1" si="15"/>
        <v>3.9971508928689394E-4</v>
      </c>
      <c r="J42" s="81">
        <f ca="1">OFFSET('(계획)손익계산서 월별계획'!E42,0,$C$4-1)</f>
        <v>0</v>
      </c>
      <c r="K42" s="137">
        <f t="shared" ca="1" si="16"/>
        <v>0</v>
      </c>
      <c r="L42" s="81">
        <f ca="1">OFFSET('3. 손익계산서 월별실적'!E42,0,$C$4-1)</f>
        <v>13649.49</v>
      </c>
      <c r="M42" s="137">
        <f t="shared" ca="1" si="17"/>
        <v>9.00716901428382E-4</v>
      </c>
      <c r="N42" s="82">
        <f t="shared" ca="1" si="19"/>
        <v>2.7314112018058005</v>
      </c>
      <c r="O42" s="82">
        <f t="shared" ca="1" si="20"/>
        <v>0</v>
      </c>
      <c r="P42" s="40"/>
      <c r="Q42" s="40"/>
    </row>
    <row r="43" spans="2:17" x14ac:dyDescent="0.2">
      <c r="B43" s="90" t="s">
        <v>65</v>
      </c>
      <c r="C43" s="81">
        <f>'(계획)손익계산서 월별계획'!C43</f>
        <v>3243763.7468164661</v>
      </c>
      <c r="D43" s="137">
        <f t="shared" ca="1" si="21"/>
        <v>0.14738066250021795</v>
      </c>
      <c r="E43" s="81">
        <f ca="1">SUM('(계획)손익계산서 월별계획'!E43:(OFFSET('(계획)손익계산서 월별계획'!E43,0,$C$4-1)))</f>
        <v>573325.3304436889</v>
      </c>
      <c r="F43" s="81">
        <f ca="1">SUM('3. 손익계산서 월별실적'!E43:(OFFSET('3. 손익계산서 월별실적'!E43,0,$C$4-1)))</f>
        <v>478068.05</v>
      </c>
      <c r="G43" s="144">
        <f t="shared" ca="1" si="1"/>
        <v>0.83385126142957866</v>
      </c>
      <c r="H43" s="81">
        <f ca="1">OFFSET('3. 손익계산서 월별실적'!E43,0,$C$4-2)</f>
        <v>225126.16</v>
      </c>
      <c r="I43" s="137">
        <f t="shared" ca="1" si="15"/>
        <v>1.8007240640357875E-2</v>
      </c>
      <c r="J43" s="81">
        <f ca="1">OFFSET('(계획)손익계산서 월별계획'!E43,0,$C$4-1)</f>
        <v>265214.572486841</v>
      </c>
      <c r="K43" s="137">
        <f t="shared" ca="1" si="16"/>
        <v>1.7958338079217866E-2</v>
      </c>
      <c r="L43" s="81">
        <f ca="1">OFFSET('3. 손익계산서 월별실적'!E43,0,$C$4-1)</f>
        <v>252941.88999999998</v>
      </c>
      <c r="M43" s="137">
        <f t="shared" ca="1" si="17"/>
        <v>1.6691395458895433E-2</v>
      </c>
      <c r="N43" s="82">
        <f t="shared" ca="1" si="19"/>
        <v>1.1235561873395787</v>
      </c>
      <c r="O43" s="82">
        <f t="shared" ca="1" si="20"/>
        <v>0.95372545945811504</v>
      </c>
      <c r="P43" s="40"/>
      <c r="Q43" s="40"/>
    </row>
    <row r="44" spans="2:17" x14ac:dyDescent="0.2">
      <c r="B44" s="90" t="s">
        <v>66</v>
      </c>
      <c r="C44" s="81">
        <f>'(계획)손익계산서 월별계획'!C44</f>
        <v>191128.12870000003</v>
      </c>
      <c r="D44" s="137">
        <f t="shared" ca="1" si="21"/>
        <v>0.2127398529801019</v>
      </c>
      <c r="E44" s="81">
        <f ca="1">SUM('(계획)손익계산서 월별계획'!E44:(OFFSET('(계획)손익계산서 월별계획'!E44,0,$C$4-1)))</f>
        <v>31854.688116666668</v>
      </c>
      <c r="F44" s="81">
        <f ca="1">SUM('3. 손익계산서 월별실적'!E44:(OFFSET('3. 손익계산서 월별실적'!E44,0,$C$4-1)))</f>
        <v>40660.57</v>
      </c>
      <c r="G44" s="144">
        <f t="shared" ca="1" si="1"/>
        <v>1.2764391178806116</v>
      </c>
      <c r="H44" s="81">
        <f ca="1">OFFSET('3. 손익계산서 월별실적'!E44,0,$C$4-2)</f>
        <v>18498.97</v>
      </c>
      <c r="I44" s="137">
        <f t="shared" ca="1" si="15"/>
        <v>1.4796832335645094E-3</v>
      </c>
      <c r="J44" s="81">
        <f ca="1">OFFSET('(계획)손익계산서 월별계획'!E44,0,$C$4-1)</f>
        <v>15927.344058333334</v>
      </c>
      <c r="K44" s="137">
        <f t="shared" ca="1" si="16"/>
        <v>1.0784800647323544E-3</v>
      </c>
      <c r="L44" s="81">
        <f ca="1">OFFSET('3. 손익계산서 월별실적'!E44,0,$C$4-1)</f>
        <v>22161.599999999999</v>
      </c>
      <c r="M44" s="137">
        <f t="shared" ca="1" si="17"/>
        <v>1.4624229683816194E-3</v>
      </c>
      <c r="N44" s="82">
        <f t="shared" ca="1" si="19"/>
        <v>1.197991023283999</v>
      </c>
      <c r="O44" s="82">
        <f t="shared" ca="1" si="20"/>
        <v>1.3914184259995843</v>
      </c>
      <c r="P44" s="40"/>
      <c r="Q44" s="40"/>
    </row>
    <row r="45" spans="2:17" x14ac:dyDescent="0.2">
      <c r="B45" s="90" t="s">
        <v>67</v>
      </c>
      <c r="C45" s="81">
        <f>'(계획)손익계산서 월별계획'!C45</f>
        <v>0</v>
      </c>
      <c r="D45" s="137">
        <f t="shared" ca="1" si="21"/>
        <v>0</v>
      </c>
      <c r="E45" s="81">
        <f ca="1">SUM('(계획)손익계산서 월별계획'!E45:(OFFSET('(계획)손익계산서 월별계획'!E45,0,$C$4-1)))</f>
        <v>0</v>
      </c>
      <c r="F45" s="81">
        <f ca="1">SUM('3. 손익계산서 월별실적'!E45:(OFFSET('3. 손익계산서 월별실적'!E45,0,$C$4-1)))</f>
        <v>10328.31</v>
      </c>
      <c r="G45" s="144">
        <f t="shared" ca="1" si="1"/>
        <v>0</v>
      </c>
      <c r="H45" s="81">
        <f ca="1">OFFSET('3. 손익계산서 월별실적'!E45,0,$C$4-2)</f>
        <v>5419.12</v>
      </c>
      <c r="I45" s="137">
        <f t="shared" ca="1" si="15"/>
        <v>4.3346094429441766E-4</v>
      </c>
      <c r="J45" s="81">
        <f ca="1">OFFSET('(계획)손익계산서 월별계획'!E45,0,$C$4-1)</f>
        <v>0</v>
      </c>
      <c r="K45" s="137">
        <f t="shared" ca="1" si="16"/>
        <v>0</v>
      </c>
      <c r="L45" s="81">
        <f ca="1">OFFSET('3. 손익계산서 월별실적'!E45,0,$C$4-1)</f>
        <v>4909.1899999999996</v>
      </c>
      <c r="M45" s="137">
        <f t="shared" ca="1" si="17"/>
        <v>3.2395279276538526E-4</v>
      </c>
      <c r="N45" s="82">
        <f t="shared" ca="1" si="19"/>
        <v>0.90590169621635974</v>
      </c>
      <c r="O45" s="82">
        <f t="shared" ca="1" si="20"/>
        <v>0</v>
      </c>
      <c r="P45" s="40"/>
      <c r="Q45" s="40"/>
    </row>
    <row r="46" spans="2:17" x14ac:dyDescent="0.2">
      <c r="B46" s="90" t="s">
        <v>68</v>
      </c>
      <c r="C46" s="81">
        <f>'(계획)손익계산서 월별계획'!C46</f>
        <v>0</v>
      </c>
      <c r="D46" s="137">
        <f t="shared" ca="1" si="21"/>
        <v>0</v>
      </c>
      <c r="E46" s="81">
        <f ca="1">SUM('(계획)손익계산서 월별계획'!E46:(OFFSET('(계획)손익계산서 월별계획'!E46,0,$C$4-1)))</f>
        <v>0</v>
      </c>
      <c r="F46" s="81">
        <f ca="1">SUM('3. 손익계산서 월별실적'!E46:(OFFSET('3. 손익계산서 월별실적'!E46,0,$C$4-1)))</f>
        <v>0</v>
      </c>
      <c r="G46" s="144">
        <f t="shared" ca="1" si="1"/>
        <v>0</v>
      </c>
      <c r="H46" s="81">
        <f ca="1">OFFSET('3. 손익계산서 월별실적'!E46,0,$C$4-2)</f>
        <v>0</v>
      </c>
      <c r="I46" s="137">
        <f t="shared" ca="1" si="15"/>
        <v>0</v>
      </c>
      <c r="J46" s="81">
        <f ca="1">OFFSET('(계획)손익계산서 월별계획'!E46,0,$C$4-1)</f>
        <v>0</v>
      </c>
      <c r="K46" s="137">
        <f t="shared" ca="1" si="16"/>
        <v>0</v>
      </c>
      <c r="L46" s="81">
        <f ca="1">OFFSET('3. 손익계산서 월별실적'!E46,0,$C$4-1)</f>
        <v>0</v>
      </c>
      <c r="M46" s="137">
        <f t="shared" ca="1" si="17"/>
        <v>0</v>
      </c>
      <c r="N46" s="82">
        <f t="shared" ca="1" si="19"/>
        <v>0</v>
      </c>
      <c r="O46" s="82">
        <f t="shared" ca="1" si="20"/>
        <v>0</v>
      </c>
      <c r="P46" s="40"/>
      <c r="Q46" s="40"/>
    </row>
    <row r="47" spans="2:17" x14ac:dyDescent="0.2">
      <c r="B47" s="90" t="s">
        <v>69</v>
      </c>
      <c r="C47" s="81">
        <f>'(계획)손익계산서 월별계획'!C47</f>
        <v>0</v>
      </c>
      <c r="D47" s="137">
        <f t="shared" ca="1" si="21"/>
        <v>0</v>
      </c>
      <c r="E47" s="81">
        <f ca="1">SUM('(계획)손익계산서 월별계획'!E47:(OFFSET('(계획)손익계산서 월별계획'!E47,0,$C$4-1)))</f>
        <v>0</v>
      </c>
      <c r="F47" s="81">
        <f ca="1">SUM('3. 손익계산서 월별실적'!E47:(OFFSET('3. 손익계산서 월별실적'!E47,0,$C$4-1)))</f>
        <v>0</v>
      </c>
      <c r="G47" s="144">
        <f t="shared" ca="1" si="1"/>
        <v>0</v>
      </c>
      <c r="H47" s="81">
        <f ca="1">OFFSET('3. 손익계산서 월별실적'!E47,0,$C$4-2)</f>
        <v>0</v>
      </c>
      <c r="I47" s="137">
        <f t="shared" ca="1" si="15"/>
        <v>0</v>
      </c>
      <c r="J47" s="81">
        <f ca="1">OFFSET('(계획)손익계산서 월별계획'!E47,0,$C$4-1)</f>
        <v>0</v>
      </c>
      <c r="K47" s="137">
        <f t="shared" ca="1" si="16"/>
        <v>0</v>
      </c>
      <c r="L47" s="81">
        <f ca="1">OFFSET('3. 손익계산서 월별실적'!E47,0,$C$4-1)</f>
        <v>0</v>
      </c>
      <c r="M47" s="137">
        <f t="shared" ca="1" si="17"/>
        <v>0</v>
      </c>
      <c r="N47" s="82">
        <f t="shared" ca="1" si="19"/>
        <v>0</v>
      </c>
      <c r="O47" s="82">
        <f t="shared" ca="1" si="20"/>
        <v>0</v>
      </c>
      <c r="P47" s="40"/>
      <c r="Q47" s="40"/>
    </row>
    <row r="48" spans="2:17" x14ac:dyDescent="0.2">
      <c r="B48" s="90" t="s">
        <v>70</v>
      </c>
      <c r="C48" s="81">
        <f>'(계획)손익계산서 월별계획'!C48</f>
        <v>0</v>
      </c>
      <c r="D48" s="137">
        <f t="shared" ca="1" si="21"/>
        <v>0</v>
      </c>
      <c r="E48" s="81">
        <f ca="1">SUM('(계획)손익계산서 월별계획'!E48:(OFFSET('(계획)손익계산서 월별계획'!E48,0,$C$4-1)))</f>
        <v>0</v>
      </c>
      <c r="F48" s="81">
        <f ca="1">SUM('3. 손익계산서 월별실적'!E48:(OFFSET('3. 손익계산서 월별실적'!E48,0,$C$4-1)))</f>
        <v>0</v>
      </c>
      <c r="G48" s="144">
        <f t="shared" ca="1" si="1"/>
        <v>0</v>
      </c>
      <c r="H48" s="81">
        <f ca="1">OFFSET('3. 손익계산서 월별실적'!E48,0,$C$4-2)</f>
        <v>0</v>
      </c>
      <c r="I48" s="137">
        <f t="shared" ca="1" si="15"/>
        <v>0</v>
      </c>
      <c r="J48" s="81">
        <f ca="1">OFFSET('(계획)손익계산서 월별계획'!E48,0,$C$4-1)</f>
        <v>0</v>
      </c>
      <c r="K48" s="137">
        <f t="shared" ca="1" si="16"/>
        <v>0</v>
      </c>
      <c r="L48" s="81">
        <f ca="1">OFFSET('3. 손익계산서 월별실적'!E48,0,$C$4-1)</f>
        <v>0</v>
      </c>
      <c r="M48" s="137">
        <f t="shared" ca="1" si="17"/>
        <v>0</v>
      </c>
      <c r="N48" s="82">
        <f t="shared" ca="1" si="19"/>
        <v>0</v>
      </c>
      <c r="O48" s="82">
        <f t="shared" ca="1" si="20"/>
        <v>0</v>
      </c>
      <c r="P48" s="40"/>
      <c r="Q48" s="40"/>
    </row>
    <row r="49" spans="2:25" x14ac:dyDescent="0.2">
      <c r="B49" s="90" t="s">
        <v>71</v>
      </c>
      <c r="C49" s="81">
        <f>'(계획)손익계산서 월별계획'!C49</f>
        <v>257058.99932500004</v>
      </c>
      <c r="D49" s="137">
        <f t="shared" ca="1" si="21"/>
        <v>8.643408734315082E-2</v>
      </c>
      <c r="E49" s="81">
        <f ca="1">SUM('(계획)손익계산서 월별계획'!E49:(OFFSET('(계획)손익계산서 월별계획'!E49,0,$C$4-1)))</f>
        <v>43132.939887499997</v>
      </c>
      <c r="F49" s="81">
        <f ca="1">SUM('3. 손익계산서 월별실적'!E49:(OFFSET('3. 손익계산서 월별실적'!E49,0,$C$4-1)))</f>
        <v>22218.66</v>
      </c>
      <c r="G49" s="144">
        <f t="shared" ca="1" si="1"/>
        <v>0.51512046380216725</v>
      </c>
      <c r="H49" s="81">
        <f ca="1">OFFSET('3. 손익계산서 월별실적'!E49,0,$C$4-2)</f>
        <v>13287.28</v>
      </c>
      <c r="I49" s="137">
        <f t="shared" ca="1" si="15"/>
        <v>1.0628140613059556E-3</v>
      </c>
      <c r="J49" s="81">
        <f ca="1">OFFSET('(계획)손익계산서 월별계획'!E49,0,$C$4-1)</f>
        <v>21566.469943749998</v>
      </c>
      <c r="K49" s="137">
        <f t="shared" ca="1" si="16"/>
        <v>1.4603192984215434E-3</v>
      </c>
      <c r="L49" s="81">
        <f ca="1">OFFSET('3. 손익계산서 월별실적'!E49,0,$C$4-1)</f>
        <v>8931.3799999999992</v>
      </c>
      <c r="M49" s="137">
        <f t="shared" ca="1" si="17"/>
        <v>5.8937329666378904E-4</v>
      </c>
      <c r="N49" s="82">
        <f t="shared" ca="1" si="19"/>
        <v>0.67217519311702612</v>
      </c>
      <c r="O49" s="82">
        <f t="shared" ca="1" si="20"/>
        <v>0.41413268018804017</v>
      </c>
      <c r="P49" s="40"/>
      <c r="Q49" s="40"/>
    </row>
    <row r="50" spans="2:25" x14ac:dyDescent="0.2">
      <c r="B50" s="90" t="s">
        <v>72</v>
      </c>
      <c r="C50" s="81">
        <f>'(계획)손익계산서 월별계획'!C50</f>
        <v>0</v>
      </c>
      <c r="D50" s="137">
        <f t="shared" ca="1" si="21"/>
        <v>0</v>
      </c>
      <c r="E50" s="81">
        <f ca="1">SUM('(계획)손익계산서 월별계획'!E50:(OFFSET('(계획)손익계산서 월별계획'!E50,0,$C$4-1)))</f>
        <v>0</v>
      </c>
      <c r="F50" s="81">
        <f ca="1">SUM('3. 손익계산서 월별실적'!E50:(OFFSET('3. 손익계산서 월별실적'!E50,0,$C$4-1)))</f>
        <v>0</v>
      </c>
      <c r="G50" s="144">
        <f t="shared" ca="1" si="1"/>
        <v>0</v>
      </c>
      <c r="H50" s="81">
        <f ca="1">OFFSET('3. 손익계산서 월별실적'!E50,0,$C$4-2)</f>
        <v>0</v>
      </c>
      <c r="I50" s="137">
        <f t="shared" ca="1" si="15"/>
        <v>0</v>
      </c>
      <c r="J50" s="81">
        <f ca="1">OFFSET('(계획)손익계산서 월별계획'!E50,0,$C$4-1)</f>
        <v>0</v>
      </c>
      <c r="K50" s="137">
        <f t="shared" ca="1" si="16"/>
        <v>0</v>
      </c>
      <c r="L50" s="81">
        <f ca="1">OFFSET('3. 손익계산서 월별실적'!E50,0,$C$4-1)</f>
        <v>0</v>
      </c>
      <c r="M50" s="137">
        <f t="shared" ca="1" si="17"/>
        <v>0</v>
      </c>
      <c r="N50" s="82">
        <f t="shared" ca="1" si="19"/>
        <v>0</v>
      </c>
      <c r="O50" s="82">
        <f t="shared" ca="1" si="20"/>
        <v>0</v>
      </c>
      <c r="P50" s="40"/>
      <c r="Q50" s="40"/>
    </row>
    <row r="51" spans="2:25" hidden="1" outlineLevel="1" x14ac:dyDescent="0.2">
      <c r="B51" s="90"/>
      <c r="C51" s="81"/>
      <c r="D51" s="137"/>
      <c r="E51" s="81"/>
      <c r="F51" s="81"/>
      <c r="G51" s="144"/>
      <c r="H51" s="81"/>
      <c r="I51" s="137"/>
      <c r="J51" s="81"/>
      <c r="K51" s="137"/>
      <c r="L51" s="81"/>
      <c r="M51" s="137"/>
      <c r="N51" s="82"/>
      <c r="O51" s="82"/>
      <c r="P51" s="40"/>
      <c r="Q51" s="40"/>
    </row>
    <row r="52" spans="2:25" hidden="1" outlineLevel="1" x14ac:dyDescent="0.2">
      <c r="B52" s="88"/>
      <c r="C52" s="89"/>
      <c r="D52" s="141"/>
      <c r="E52" s="89"/>
      <c r="F52" s="89"/>
      <c r="G52" s="146"/>
      <c r="H52" s="81"/>
      <c r="I52" s="141"/>
      <c r="J52" s="81"/>
      <c r="K52" s="141"/>
      <c r="L52" s="81"/>
      <c r="M52" s="141"/>
      <c r="N52" s="91"/>
      <c r="O52" s="91"/>
      <c r="P52" s="40"/>
      <c r="Q52" s="40"/>
    </row>
    <row r="53" spans="2:25" ht="16.5" hidden="1" outlineLevel="1" x14ac:dyDescent="0.2">
      <c r="B53" s="84" t="s">
        <v>18</v>
      </c>
      <c r="C53" s="85">
        <f>SUM(C54:C67)</f>
        <v>0</v>
      </c>
      <c r="D53" s="140">
        <f t="shared" ca="1" si="21"/>
        <v>0</v>
      </c>
      <c r="E53" s="85">
        <f ca="1">SUM(E54:E67)</f>
        <v>0</v>
      </c>
      <c r="F53" s="85">
        <f ca="1">SUM(F54:F67)</f>
        <v>0</v>
      </c>
      <c r="G53" s="145">
        <f t="shared" ca="1" si="1"/>
        <v>0</v>
      </c>
      <c r="H53" s="85">
        <f ca="1">SUM(H54:H67)</f>
        <v>0</v>
      </c>
      <c r="I53" s="140">
        <f t="shared" ca="1" si="15"/>
        <v>0</v>
      </c>
      <c r="J53" s="85">
        <f ca="1">SUM(J54:J67)</f>
        <v>0</v>
      </c>
      <c r="K53" s="140">
        <f t="shared" ca="1" si="16"/>
        <v>0</v>
      </c>
      <c r="L53" s="85">
        <f ca="1">SUM(L54:L67)</f>
        <v>0</v>
      </c>
      <c r="M53" s="140">
        <f t="shared" ca="1" si="17"/>
        <v>0</v>
      </c>
      <c r="N53" s="86">
        <f t="shared" ca="1" si="19"/>
        <v>0</v>
      </c>
      <c r="O53" s="86">
        <f t="shared" ca="1" si="20"/>
        <v>0</v>
      </c>
      <c r="P53" s="40"/>
      <c r="Q53" s="40"/>
    </row>
    <row r="54" spans="2:25" hidden="1" outlineLevel="1" x14ac:dyDescent="0.2">
      <c r="B54" s="90" t="s">
        <v>58</v>
      </c>
      <c r="C54" s="81">
        <f>'(계획)손익계산서 월별계획'!C54</f>
        <v>0</v>
      </c>
      <c r="D54" s="137">
        <f t="shared" ca="1" si="21"/>
        <v>0</v>
      </c>
      <c r="E54" s="81">
        <f ca="1">SUM('(계획)손익계산서 월별계획'!E54:(OFFSET('(계획)손익계산서 월별계획'!E54,0,$C$4-1)))</f>
        <v>0</v>
      </c>
      <c r="F54" s="81">
        <f ca="1">SUM('3. 손익계산서 월별실적'!E54:(OFFSET('3. 손익계산서 월별실적'!E54,0,$C$4-1)))</f>
        <v>0</v>
      </c>
      <c r="G54" s="144">
        <f t="shared" ca="1" si="1"/>
        <v>0</v>
      </c>
      <c r="H54" s="81">
        <f ca="1">OFFSET('3. 손익계산서 월별실적'!E54,0,$C$4-2)</f>
        <v>0</v>
      </c>
      <c r="I54" s="137">
        <f t="shared" ca="1" si="15"/>
        <v>0</v>
      </c>
      <c r="J54" s="81">
        <f ca="1">OFFSET('(계획)손익계산서 월별계획'!E54,0,$C$4-1)</f>
        <v>0</v>
      </c>
      <c r="K54" s="137">
        <f t="shared" ca="1" si="16"/>
        <v>0</v>
      </c>
      <c r="L54" s="81">
        <f ca="1">OFFSET('3. 손익계산서 월별실적'!E54,0,$C$4-1)</f>
        <v>0</v>
      </c>
      <c r="M54" s="137">
        <f t="shared" ca="1" si="17"/>
        <v>0</v>
      </c>
      <c r="N54" s="82">
        <f t="shared" ca="1" si="19"/>
        <v>0</v>
      </c>
      <c r="O54" s="82">
        <f t="shared" ca="1" si="20"/>
        <v>0</v>
      </c>
      <c r="P54" s="40"/>
      <c r="Q54" s="40"/>
    </row>
    <row r="55" spans="2:25" hidden="1" outlineLevel="1" x14ac:dyDescent="0.2">
      <c r="B55" s="90" t="s">
        <v>73</v>
      </c>
      <c r="C55" s="81">
        <f>'(계획)손익계산서 월별계획'!C55</f>
        <v>0</v>
      </c>
      <c r="D55" s="137">
        <f t="shared" ca="1" si="21"/>
        <v>0</v>
      </c>
      <c r="E55" s="81">
        <f ca="1">SUM('(계획)손익계산서 월별계획'!E55:(OFFSET('(계획)손익계산서 월별계획'!E55,0,$C$4-1)))</f>
        <v>0</v>
      </c>
      <c r="F55" s="81">
        <f ca="1">SUM('3. 손익계산서 월별실적'!E55:(OFFSET('3. 손익계산서 월별실적'!E55,0,$C$4-1)))</f>
        <v>0</v>
      </c>
      <c r="G55" s="144">
        <f t="shared" ca="1" si="1"/>
        <v>0</v>
      </c>
      <c r="H55" s="81">
        <f ca="1">OFFSET('3. 손익계산서 월별실적'!E55,0,$C$4-2)</f>
        <v>0</v>
      </c>
      <c r="I55" s="137">
        <f t="shared" ca="1" si="15"/>
        <v>0</v>
      </c>
      <c r="J55" s="81">
        <f ca="1">OFFSET('(계획)손익계산서 월별계획'!E55,0,$C$4-1)</f>
        <v>0</v>
      </c>
      <c r="K55" s="137">
        <f t="shared" ca="1" si="16"/>
        <v>0</v>
      </c>
      <c r="L55" s="81">
        <f ca="1">OFFSET('3. 손익계산서 월별실적'!E55,0,$C$4-1)</f>
        <v>0</v>
      </c>
      <c r="M55" s="137">
        <f t="shared" ca="1" si="17"/>
        <v>0</v>
      </c>
      <c r="N55" s="82">
        <f t="shared" ca="1" si="19"/>
        <v>0</v>
      </c>
      <c r="O55" s="82">
        <f t="shared" ca="1" si="20"/>
        <v>0</v>
      </c>
      <c r="P55" s="40"/>
      <c r="Q55" s="40"/>
    </row>
    <row r="56" spans="2:25" hidden="1" outlineLevel="1" x14ac:dyDescent="0.2">
      <c r="B56" s="90" t="s">
        <v>60</v>
      </c>
      <c r="C56" s="81">
        <f>'(계획)손익계산서 월별계획'!C56</f>
        <v>0</v>
      </c>
      <c r="D56" s="137">
        <f t="shared" ca="1" si="21"/>
        <v>0</v>
      </c>
      <c r="E56" s="81">
        <f ca="1">SUM('(계획)손익계산서 월별계획'!E56:(OFFSET('(계획)손익계산서 월별계획'!E56,0,$C$4-1)))</f>
        <v>0</v>
      </c>
      <c r="F56" s="81">
        <f ca="1">SUM('3. 손익계산서 월별실적'!E56:(OFFSET('3. 손익계산서 월별실적'!E56,0,$C$4-1)))</f>
        <v>0</v>
      </c>
      <c r="G56" s="144">
        <f t="shared" ca="1" si="1"/>
        <v>0</v>
      </c>
      <c r="H56" s="81">
        <f ca="1">OFFSET('3. 손익계산서 월별실적'!E56,0,$C$4-2)</f>
        <v>0</v>
      </c>
      <c r="I56" s="137">
        <f t="shared" ca="1" si="15"/>
        <v>0</v>
      </c>
      <c r="J56" s="81">
        <f ca="1">OFFSET('(계획)손익계산서 월별계획'!E56,0,$C$4-1)</f>
        <v>0</v>
      </c>
      <c r="K56" s="137">
        <f t="shared" ca="1" si="16"/>
        <v>0</v>
      </c>
      <c r="L56" s="81">
        <f ca="1">OFFSET('3. 손익계산서 월별실적'!E56,0,$C$4-1)</f>
        <v>0</v>
      </c>
      <c r="M56" s="137">
        <f t="shared" ca="1" si="17"/>
        <v>0</v>
      </c>
      <c r="N56" s="82">
        <f t="shared" ca="1" si="19"/>
        <v>0</v>
      </c>
      <c r="O56" s="82">
        <f t="shared" ca="1" si="20"/>
        <v>0</v>
      </c>
      <c r="P56" s="40"/>
      <c r="Q56" s="40"/>
    </row>
    <row r="57" spans="2:25" hidden="1" outlineLevel="1" x14ac:dyDescent="0.2">
      <c r="B57" s="90" t="s">
        <v>61</v>
      </c>
      <c r="C57" s="81">
        <f>'(계획)손익계산서 월별계획'!C57</f>
        <v>0</v>
      </c>
      <c r="D57" s="137">
        <f t="shared" ca="1" si="21"/>
        <v>0</v>
      </c>
      <c r="E57" s="81">
        <f ca="1">SUM('(계획)손익계산서 월별계획'!E57:(OFFSET('(계획)손익계산서 월별계획'!E57,0,$C$4-1)))</f>
        <v>0</v>
      </c>
      <c r="F57" s="81">
        <f ca="1">SUM('3. 손익계산서 월별실적'!E57:(OFFSET('3. 손익계산서 월별실적'!E57,0,$C$4-1)))</f>
        <v>0</v>
      </c>
      <c r="G57" s="144">
        <f t="shared" ca="1" si="1"/>
        <v>0</v>
      </c>
      <c r="H57" s="81">
        <f ca="1">OFFSET('3. 손익계산서 월별실적'!E57,0,$C$4-2)</f>
        <v>0</v>
      </c>
      <c r="I57" s="137">
        <f t="shared" ca="1" si="15"/>
        <v>0</v>
      </c>
      <c r="J57" s="81">
        <f ca="1">OFFSET('(계획)손익계산서 월별계획'!E57,0,$C$4-1)</f>
        <v>0</v>
      </c>
      <c r="K57" s="137">
        <f t="shared" ca="1" si="16"/>
        <v>0</v>
      </c>
      <c r="L57" s="81">
        <f ca="1">OFFSET('3. 손익계산서 월별실적'!E57,0,$C$4-1)</f>
        <v>0</v>
      </c>
      <c r="M57" s="137">
        <f t="shared" ca="1" si="17"/>
        <v>0</v>
      </c>
      <c r="N57" s="82">
        <f t="shared" ca="1" si="19"/>
        <v>0</v>
      </c>
      <c r="O57" s="82">
        <f t="shared" ca="1" si="20"/>
        <v>0</v>
      </c>
      <c r="P57" s="40"/>
      <c r="Q57" s="40"/>
    </row>
    <row r="58" spans="2:25" hidden="1" outlineLevel="1" x14ac:dyDescent="0.2">
      <c r="B58" s="90" t="s">
        <v>62</v>
      </c>
      <c r="C58" s="81">
        <f>'(계획)손익계산서 월별계획'!C58</f>
        <v>0</v>
      </c>
      <c r="D58" s="137">
        <f t="shared" ca="1" si="21"/>
        <v>0</v>
      </c>
      <c r="E58" s="81">
        <f ca="1">SUM('(계획)손익계산서 월별계획'!E58:(OFFSET('(계획)손익계산서 월별계획'!E58,0,$C$4-1)))</f>
        <v>0</v>
      </c>
      <c r="F58" s="81">
        <f ca="1">SUM('3. 손익계산서 월별실적'!E58:(OFFSET('3. 손익계산서 월별실적'!E58,0,$C$4-1)))</f>
        <v>0</v>
      </c>
      <c r="G58" s="144">
        <f t="shared" ca="1" si="1"/>
        <v>0</v>
      </c>
      <c r="H58" s="81">
        <f ca="1">OFFSET('3. 손익계산서 월별실적'!E58,0,$C$4-2)</f>
        <v>0</v>
      </c>
      <c r="I58" s="137">
        <f t="shared" ca="1" si="15"/>
        <v>0</v>
      </c>
      <c r="J58" s="81">
        <f ca="1">OFFSET('(계획)손익계산서 월별계획'!E58,0,$C$4-1)</f>
        <v>0</v>
      </c>
      <c r="K58" s="137">
        <f t="shared" ca="1" si="16"/>
        <v>0</v>
      </c>
      <c r="L58" s="81">
        <f ca="1">OFFSET('3. 손익계산서 월별실적'!E58,0,$C$4-1)</f>
        <v>0</v>
      </c>
      <c r="M58" s="137">
        <f t="shared" ca="1" si="17"/>
        <v>0</v>
      </c>
      <c r="N58" s="82">
        <f t="shared" ca="1" si="19"/>
        <v>0</v>
      </c>
      <c r="O58" s="82">
        <f t="shared" ca="1" si="20"/>
        <v>0</v>
      </c>
      <c r="P58" s="40"/>
      <c r="Q58" s="40"/>
    </row>
    <row r="59" spans="2:25" hidden="1" outlineLevel="1" x14ac:dyDescent="0.2">
      <c r="B59" s="90" t="s">
        <v>63</v>
      </c>
      <c r="C59" s="81">
        <f>'(계획)손익계산서 월별계획'!C59</f>
        <v>0</v>
      </c>
      <c r="D59" s="137">
        <f t="shared" ca="1" si="21"/>
        <v>0</v>
      </c>
      <c r="E59" s="81">
        <f ca="1">SUM('(계획)손익계산서 월별계획'!E59:(OFFSET('(계획)손익계산서 월별계획'!E59,0,$C$4-1)))</f>
        <v>0</v>
      </c>
      <c r="F59" s="81">
        <f ca="1">SUM('3. 손익계산서 월별실적'!E59:(OFFSET('3. 손익계산서 월별실적'!E59,0,$C$4-1)))</f>
        <v>0</v>
      </c>
      <c r="G59" s="144">
        <f t="shared" ca="1" si="1"/>
        <v>0</v>
      </c>
      <c r="H59" s="81">
        <f ca="1">OFFSET('3. 손익계산서 월별실적'!E59,0,$C$4-2)</f>
        <v>0</v>
      </c>
      <c r="I59" s="137">
        <f t="shared" ca="1" si="15"/>
        <v>0</v>
      </c>
      <c r="J59" s="81">
        <f ca="1">OFFSET('(계획)손익계산서 월별계획'!E59,0,$C$4-1)</f>
        <v>0</v>
      </c>
      <c r="K59" s="137">
        <f t="shared" ca="1" si="16"/>
        <v>0</v>
      </c>
      <c r="L59" s="81">
        <f ca="1">OFFSET('3. 손익계산서 월별실적'!E59,0,$C$4-1)</f>
        <v>0</v>
      </c>
      <c r="M59" s="137">
        <f t="shared" ca="1" si="17"/>
        <v>0</v>
      </c>
      <c r="N59" s="82">
        <f t="shared" ca="1" si="19"/>
        <v>0</v>
      </c>
      <c r="O59" s="82">
        <f t="shared" ca="1" si="20"/>
        <v>0</v>
      </c>
      <c r="P59" s="40"/>
      <c r="Q59" s="40"/>
    </row>
    <row r="60" spans="2:25" hidden="1" outlineLevel="1" x14ac:dyDescent="0.2">
      <c r="B60" s="90" t="s">
        <v>64</v>
      </c>
      <c r="C60" s="81">
        <f>'(계획)손익계산서 월별계획'!C60</f>
        <v>0</v>
      </c>
      <c r="D60" s="137">
        <f t="shared" ca="1" si="21"/>
        <v>0</v>
      </c>
      <c r="E60" s="81">
        <f ca="1">SUM('(계획)손익계산서 월별계획'!E60:(OFFSET('(계획)손익계산서 월별계획'!E60,0,$C$4-1)))</f>
        <v>0</v>
      </c>
      <c r="F60" s="81">
        <f ca="1">SUM('3. 손익계산서 월별실적'!E60:(OFFSET('3. 손익계산서 월별실적'!E60,0,$C$4-1)))</f>
        <v>0</v>
      </c>
      <c r="G60" s="144">
        <f t="shared" ca="1" si="1"/>
        <v>0</v>
      </c>
      <c r="H60" s="81">
        <f ca="1">OFFSET('3. 손익계산서 월별실적'!E60,0,$C$4-2)</f>
        <v>0</v>
      </c>
      <c r="I60" s="137">
        <f t="shared" ca="1" si="15"/>
        <v>0</v>
      </c>
      <c r="J60" s="81">
        <f ca="1">OFFSET('(계획)손익계산서 월별계획'!E60,0,$C$4-1)</f>
        <v>0</v>
      </c>
      <c r="K60" s="137">
        <f t="shared" ca="1" si="16"/>
        <v>0</v>
      </c>
      <c r="L60" s="81">
        <f ca="1">OFFSET('3. 손익계산서 월별실적'!E60,0,$C$4-1)</f>
        <v>0</v>
      </c>
      <c r="M60" s="137">
        <f t="shared" ca="1" si="17"/>
        <v>0</v>
      </c>
      <c r="N60" s="82">
        <f t="shared" ca="1" si="19"/>
        <v>0</v>
      </c>
      <c r="O60" s="82">
        <f t="shared" ca="1" si="20"/>
        <v>0</v>
      </c>
      <c r="P60" s="40"/>
      <c r="Q60" s="40"/>
    </row>
    <row r="61" spans="2:25" hidden="1" outlineLevel="1" x14ac:dyDescent="0.2">
      <c r="B61" s="90" t="s">
        <v>65</v>
      </c>
      <c r="C61" s="81">
        <f>'(계획)손익계산서 월별계획'!C61</f>
        <v>0</v>
      </c>
      <c r="D61" s="137">
        <f t="shared" ca="1" si="21"/>
        <v>0</v>
      </c>
      <c r="E61" s="81">
        <f ca="1">SUM('(계획)손익계산서 월별계획'!E61:(OFFSET('(계획)손익계산서 월별계획'!E61,0,$C$4-1)))</f>
        <v>0</v>
      </c>
      <c r="F61" s="81">
        <f ca="1">SUM('3. 손익계산서 월별실적'!E61:(OFFSET('3. 손익계산서 월별실적'!E61,0,$C$4-1)))</f>
        <v>0</v>
      </c>
      <c r="G61" s="144">
        <f t="shared" ca="1" si="1"/>
        <v>0</v>
      </c>
      <c r="H61" s="81">
        <f ca="1">OFFSET('3. 손익계산서 월별실적'!E61,0,$C$4-2)</f>
        <v>0</v>
      </c>
      <c r="I61" s="137">
        <f t="shared" ca="1" si="15"/>
        <v>0</v>
      </c>
      <c r="J61" s="81">
        <f ca="1">OFFSET('(계획)손익계산서 월별계획'!E61,0,$C$4-1)</f>
        <v>0</v>
      </c>
      <c r="K61" s="137">
        <f t="shared" ca="1" si="16"/>
        <v>0</v>
      </c>
      <c r="L61" s="81">
        <f ca="1">OFFSET('3. 손익계산서 월별실적'!E61,0,$C$4-1)</f>
        <v>0</v>
      </c>
      <c r="M61" s="137">
        <f t="shared" ca="1" si="17"/>
        <v>0</v>
      </c>
      <c r="N61" s="82">
        <f t="shared" ca="1" si="19"/>
        <v>0</v>
      </c>
      <c r="O61" s="82">
        <f t="shared" ca="1" si="20"/>
        <v>0</v>
      </c>
      <c r="P61" s="40"/>
      <c r="Q61" s="43">
        <f ca="1">+L61-J61</f>
        <v>0</v>
      </c>
      <c r="R61" s="43">
        <f ca="1">+L61-H61</f>
        <v>0</v>
      </c>
    </row>
    <row r="62" spans="2:25" hidden="1" outlineLevel="1" x14ac:dyDescent="0.2">
      <c r="B62" s="90" t="s">
        <v>66</v>
      </c>
      <c r="C62" s="81">
        <f>'(계획)손익계산서 월별계획'!C62</f>
        <v>0</v>
      </c>
      <c r="D62" s="137">
        <f t="shared" ca="1" si="21"/>
        <v>0</v>
      </c>
      <c r="E62" s="81">
        <f ca="1">SUM('(계획)손익계산서 월별계획'!E62:(OFFSET('(계획)손익계산서 월별계획'!E62,0,$C$4-1)))</f>
        <v>0</v>
      </c>
      <c r="F62" s="81">
        <f ca="1">SUM('3. 손익계산서 월별실적'!E62:(OFFSET('3. 손익계산서 월별실적'!E62,0,$C$4-1)))</f>
        <v>0</v>
      </c>
      <c r="G62" s="144">
        <f t="shared" ca="1" si="1"/>
        <v>0</v>
      </c>
      <c r="H62" s="81">
        <f ca="1">OFFSET('3. 손익계산서 월별실적'!E62,0,$C$4-2)</f>
        <v>0</v>
      </c>
      <c r="I62" s="137">
        <f t="shared" ca="1" si="15"/>
        <v>0</v>
      </c>
      <c r="J62" s="81">
        <f ca="1">OFFSET('(계획)손익계산서 월별계획'!E62,0,$C$4-1)</f>
        <v>0</v>
      </c>
      <c r="K62" s="137">
        <f t="shared" ca="1" si="16"/>
        <v>0</v>
      </c>
      <c r="L62" s="81">
        <f ca="1">OFFSET('3. 손익계산서 월별실적'!E62,0,$C$4-1)</f>
        <v>0</v>
      </c>
      <c r="M62" s="137">
        <f t="shared" ca="1" si="17"/>
        <v>0</v>
      </c>
      <c r="N62" s="82">
        <f t="shared" ca="1" si="19"/>
        <v>0</v>
      </c>
      <c r="O62" s="82">
        <f t="shared" ca="1" si="20"/>
        <v>0</v>
      </c>
      <c r="P62" s="40"/>
      <c r="Q62" s="40"/>
    </row>
    <row r="63" spans="2:25" hidden="1" outlineLevel="1" x14ac:dyDescent="0.2">
      <c r="B63" s="90" t="s">
        <v>67</v>
      </c>
      <c r="C63" s="81">
        <f>'(계획)손익계산서 월별계획'!C63</f>
        <v>0</v>
      </c>
      <c r="D63" s="137">
        <f t="shared" ca="1" si="21"/>
        <v>0</v>
      </c>
      <c r="E63" s="81">
        <f ca="1">SUM('(계획)손익계산서 월별계획'!E63:(OFFSET('(계획)손익계산서 월별계획'!E63,0,$C$4-1)))</f>
        <v>0</v>
      </c>
      <c r="F63" s="81">
        <f ca="1">SUM('3. 손익계산서 월별실적'!E63:(OFFSET('3. 손익계산서 월별실적'!E63,0,$C$4-1)))</f>
        <v>0</v>
      </c>
      <c r="G63" s="144">
        <f t="shared" ca="1" si="1"/>
        <v>0</v>
      </c>
      <c r="H63" s="81">
        <f ca="1">OFFSET('3. 손익계산서 월별실적'!E63,0,$C$4-2)</f>
        <v>0</v>
      </c>
      <c r="I63" s="137">
        <f t="shared" ca="1" si="15"/>
        <v>0</v>
      </c>
      <c r="J63" s="81">
        <f ca="1">OFFSET('(계획)손익계산서 월별계획'!E63,0,$C$4-1)</f>
        <v>0</v>
      </c>
      <c r="K63" s="137">
        <f t="shared" ca="1" si="16"/>
        <v>0</v>
      </c>
      <c r="L63" s="81">
        <f ca="1">OFFSET('3. 손익계산서 월별실적'!E63,0,$C$4-1)</f>
        <v>0</v>
      </c>
      <c r="M63" s="137">
        <f t="shared" ca="1" si="17"/>
        <v>0</v>
      </c>
      <c r="N63" s="82">
        <f t="shared" ca="1" si="19"/>
        <v>0</v>
      </c>
      <c r="O63" s="82">
        <f t="shared" ca="1" si="20"/>
        <v>0</v>
      </c>
      <c r="P63" s="40"/>
      <c r="Q63" s="40"/>
    </row>
    <row r="64" spans="2:25" hidden="1" outlineLevel="1" x14ac:dyDescent="0.2">
      <c r="B64" s="90" t="s">
        <v>68</v>
      </c>
      <c r="C64" s="81">
        <f>'(계획)손익계산서 월별계획'!C64</f>
        <v>0</v>
      </c>
      <c r="D64" s="137">
        <f t="shared" ca="1" si="21"/>
        <v>0</v>
      </c>
      <c r="E64" s="81">
        <f ca="1">SUM('(계획)손익계산서 월별계획'!E64:(OFFSET('(계획)손익계산서 월별계획'!E64,0,$C$4-1)))</f>
        <v>0</v>
      </c>
      <c r="F64" s="81">
        <f ca="1">SUM('3. 손익계산서 월별실적'!E64:(OFFSET('3. 손익계산서 월별실적'!E64,0,$C$4-1)))</f>
        <v>0</v>
      </c>
      <c r="G64" s="144">
        <f t="shared" ca="1" si="1"/>
        <v>0</v>
      </c>
      <c r="H64" s="81">
        <f ca="1">OFFSET('3. 손익계산서 월별실적'!E64,0,$C$4-2)</f>
        <v>0</v>
      </c>
      <c r="I64" s="137">
        <f t="shared" ca="1" si="15"/>
        <v>0</v>
      </c>
      <c r="J64" s="81">
        <f ca="1">OFFSET('(계획)손익계산서 월별계획'!E64,0,$C$4-1)</f>
        <v>0</v>
      </c>
      <c r="K64" s="137">
        <f t="shared" ca="1" si="16"/>
        <v>0</v>
      </c>
      <c r="L64" s="81">
        <f ca="1">OFFSET('3. 손익계산서 월별실적'!E64,0,$C$4-1)</f>
        <v>0</v>
      </c>
      <c r="M64" s="137">
        <f t="shared" ca="1" si="17"/>
        <v>0</v>
      </c>
      <c r="N64" s="82">
        <f t="shared" ca="1" si="19"/>
        <v>0</v>
      </c>
      <c r="O64" s="82">
        <f t="shared" ca="1" si="20"/>
        <v>0</v>
      </c>
      <c r="P64" s="40"/>
      <c r="Q64" s="43">
        <f ca="1">+L64-J64</f>
        <v>0</v>
      </c>
      <c r="R64" s="43">
        <f ca="1">+L64-H64</f>
        <v>0</v>
      </c>
      <c r="Y64" s="45"/>
    </row>
    <row r="65" spans="2:30" hidden="1" outlineLevel="1" x14ac:dyDescent="0.2">
      <c r="B65" s="90" t="s">
        <v>69</v>
      </c>
      <c r="C65" s="81">
        <f>'(계획)손익계산서 월별계획'!C65</f>
        <v>0</v>
      </c>
      <c r="D65" s="137">
        <f t="shared" ca="1" si="21"/>
        <v>0</v>
      </c>
      <c r="E65" s="81">
        <f ca="1">SUM('(계획)손익계산서 월별계획'!E65:(OFFSET('(계획)손익계산서 월별계획'!E65,0,$C$4-1)))</f>
        <v>0</v>
      </c>
      <c r="F65" s="81">
        <f ca="1">SUM('3. 손익계산서 월별실적'!E65:(OFFSET('3. 손익계산서 월별실적'!E65,0,$C$4-1)))</f>
        <v>0</v>
      </c>
      <c r="G65" s="144">
        <f t="shared" ca="1" si="1"/>
        <v>0</v>
      </c>
      <c r="H65" s="81">
        <f ca="1">OFFSET('3. 손익계산서 월별실적'!E65,0,$C$4-2)</f>
        <v>0</v>
      </c>
      <c r="I65" s="137">
        <f t="shared" ca="1" si="15"/>
        <v>0</v>
      </c>
      <c r="J65" s="81">
        <f ca="1">OFFSET('(계획)손익계산서 월별계획'!E65,0,$C$4-1)</f>
        <v>0</v>
      </c>
      <c r="K65" s="137">
        <f t="shared" ca="1" si="16"/>
        <v>0</v>
      </c>
      <c r="L65" s="81">
        <f ca="1">OFFSET('3. 손익계산서 월별실적'!E65,0,$C$4-1)</f>
        <v>0</v>
      </c>
      <c r="M65" s="137">
        <f t="shared" ca="1" si="17"/>
        <v>0</v>
      </c>
      <c r="N65" s="82">
        <f t="shared" ca="1" si="19"/>
        <v>0</v>
      </c>
      <c r="O65" s="82">
        <f t="shared" ca="1" si="20"/>
        <v>0</v>
      </c>
      <c r="P65" s="40"/>
      <c r="Q65" s="40"/>
    </row>
    <row r="66" spans="2:30" hidden="1" outlineLevel="1" x14ac:dyDescent="0.2">
      <c r="B66" s="90" t="s">
        <v>70</v>
      </c>
      <c r="C66" s="81">
        <f>'(계획)손익계산서 월별계획'!C66</f>
        <v>0</v>
      </c>
      <c r="D66" s="137">
        <f t="shared" ca="1" si="21"/>
        <v>0</v>
      </c>
      <c r="E66" s="81">
        <f ca="1">SUM('(계획)손익계산서 월별계획'!E66:(OFFSET('(계획)손익계산서 월별계획'!E66,0,$C$4-1)))</f>
        <v>0</v>
      </c>
      <c r="F66" s="81">
        <f ca="1">SUM('3. 손익계산서 월별실적'!E66:(OFFSET('3. 손익계산서 월별실적'!E66,0,$C$4-1)))</f>
        <v>0</v>
      </c>
      <c r="G66" s="144">
        <f t="shared" ca="1" si="1"/>
        <v>0</v>
      </c>
      <c r="H66" s="81">
        <f ca="1">OFFSET('3. 손익계산서 월별실적'!E66,0,$C$4-2)</f>
        <v>0</v>
      </c>
      <c r="I66" s="137">
        <f t="shared" ca="1" si="15"/>
        <v>0</v>
      </c>
      <c r="J66" s="81">
        <f ca="1">OFFSET('(계획)손익계산서 월별계획'!E66,0,$C$4-1)</f>
        <v>0</v>
      </c>
      <c r="K66" s="137">
        <f t="shared" ca="1" si="16"/>
        <v>0</v>
      </c>
      <c r="L66" s="81">
        <f ca="1">OFFSET('3. 손익계산서 월별실적'!E66,0,$C$4-1)</f>
        <v>0</v>
      </c>
      <c r="M66" s="137">
        <f t="shared" ca="1" si="17"/>
        <v>0</v>
      </c>
      <c r="N66" s="82">
        <f t="shared" ca="1" si="19"/>
        <v>0</v>
      </c>
      <c r="O66" s="82">
        <f t="shared" ca="1" si="20"/>
        <v>0</v>
      </c>
      <c r="P66" s="40"/>
      <c r="Q66" s="40"/>
    </row>
    <row r="67" spans="2:30" hidden="1" outlineLevel="1" x14ac:dyDescent="0.2">
      <c r="B67" s="90" t="s">
        <v>71</v>
      </c>
      <c r="C67" s="81">
        <f>'(계획)손익계산서 월별계획'!C67</f>
        <v>0</v>
      </c>
      <c r="D67" s="137">
        <f t="shared" ca="1" si="21"/>
        <v>0</v>
      </c>
      <c r="E67" s="81">
        <f ca="1">SUM('(계획)손익계산서 월별계획'!E67:(OFFSET('(계획)손익계산서 월별계획'!E67,0,$C$4-1)))</f>
        <v>0</v>
      </c>
      <c r="F67" s="81">
        <f ca="1">SUM('3. 손익계산서 월별실적'!E67:(OFFSET('3. 손익계산서 월별실적'!E67,0,$C$4-1)))</f>
        <v>0</v>
      </c>
      <c r="G67" s="144">
        <f t="shared" ca="1" si="1"/>
        <v>0</v>
      </c>
      <c r="H67" s="81">
        <f ca="1">OFFSET('3. 손익계산서 월별실적'!E67,0,$C$4-2)</f>
        <v>0</v>
      </c>
      <c r="I67" s="137">
        <f t="shared" ca="1" si="15"/>
        <v>0</v>
      </c>
      <c r="J67" s="81">
        <f ca="1">OFFSET('(계획)손익계산서 월별계획'!E67,0,$C$4-1)</f>
        <v>0</v>
      </c>
      <c r="K67" s="137">
        <f t="shared" ca="1" si="16"/>
        <v>0</v>
      </c>
      <c r="L67" s="81">
        <f ca="1">OFFSET('3. 손익계산서 월별실적'!E67,0,$C$4-1)</f>
        <v>0</v>
      </c>
      <c r="M67" s="137">
        <f t="shared" ca="1" si="17"/>
        <v>0</v>
      </c>
      <c r="N67" s="82">
        <f t="shared" ca="1" si="19"/>
        <v>0</v>
      </c>
      <c r="O67" s="82">
        <f t="shared" ca="1" si="20"/>
        <v>0</v>
      </c>
      <c r="P67" s="40"/>
      <c r="Q67" s="40">
        <f ca="1">+L64+L61</f>
        <v>0</v>
      </c>
      <c r="R67" s="32">
        <f ca="1">+J64+J61</f>
        <v>0</v>
      </c>
      <c r="S67" s="32">
        <f ca="1">+Q67-R67</f>
        <v>0</v>
      </c>
    </row>
    <row r="68" spans="2:30" collapsed="1" x14ac:dyDescent="0.2">
      <c r="B68" s="94" t="s">
        <v>74</v>
      </c>
      <c r="C68" s="92">
        <f>+C16-C18</f>
        <v>1580940.1454200428</v>
      </c>
      <c r="D68" s="451">
        <f ca="1">IF(AND(C68&gt;0,F68&gt;0),F68/C68,"(-)")</f>
        <v>0.4401341138788768</v>
      </c>
      <c r="E68" s="92">
        <f ca="1">+E16-E18</f>
        <v>947948.67317785765</v>
      </c>
      <c r="F68" s="92">
        <f t="shared" ref="F68:L68" ca="1" si="22">+F16-F18</f>
        <v>695825.68999999319</v>
      </c>
      <c r="G68" s="142">
        <f t="shared" ref="G68" ca="1" si="23">IF(AND(E68&gt;0,F68&gt;0),F68/E68,"(-)")</f>
        <v>0.73403308606081019</v>
      </c>
      <c r="H68" s="92">
        <f t="shared" ca="1" si="22"/>
        <v>68249.239999996498</v>
      </c>
      <c r="I68" s="142">
        <f t="shared" ca="1" si="15"/>
        <v>5.4590745393670601E-3</v>
      </c>
      <c r="J68" s="92">
        <f t="shared" ca="1" si="22"/>
        <v>744176.48049859679</v>
      </c>
      <c r="K68" s="142">
        <f t="shared" ca="1" si="16"/>
        <v>5.0390039665182296E-2</v>
      </c>
      <c r="L68" s="92">
        <f t="shared" ca="1" si="22"/>
        <v>627576.45000000438</v>
      </c>
      <c r="M68" s="142">
        <f t="shared" ca="1" si="17"/>
        <v>4.1413174811178136E-2</v>
      </c>
      <c r="N68" s="93">
        <f ca="1">+IF(AND(H68&gt;0,L68&gt;0),L68/H68,"(-)")</f>
        <v>9.195361735896789</v>
      </c>
      <c r="O68" s="93">
        <f ca="1">+IF(AND(J68&gt;0,N68&gt;0),L68/J68,"(-)")</f>
        <v>0.84331669495860628</v>
      </c>
      <c r="P68" s="40"/>
      <c r="Q68" s="40"/>
      <c r="Y68" s="40">
        <f>+C68*1330/1000000</f>
        <v>2102.6503934086568</v>
      </c>
      <c r="Z68" s="40">
        <f ca="1">+E68*1330/1000000</f>
        <v>1260.7717353265507</v>
      </c>
      <c r="AA68" s="40">
        <f ca="1">+F68*1330/1000000</f>
        <v>925.44816769999102</v>
      </c>
      <c r="AB68" s="40">
        <f ca="1">+H68*1330/1000000</f>
        <v>90.771489199995344</v>
      </c>
      <c r="AC68" s="40">
        <f ca="1">+J68*1330/1000000</f>
        <v>989.75471906313373</v>
      </c>
      <c r="AD68" s="40">
        <f ca="1">+L68*1330/1000000</f>
        <v>834.67667850000589</v>
      </c>
    </row>
    <row r="69" spans="2:30" s="42" customFormat="1" x14ac:dyDescent="0.2">
      <c r="B69" s="113" t="s">
        <v>21</v>
      </c>
      <c r="C69" s="93">
        <f>+IFERROR(C68/C6,)</f>
        <v>9.1076751714340917E-3</v>
      </c>
      <c r="D69" s="142"/>
      <c r="E69" s="93">
        <f t="shared" ref="E69:L69" ca="1" si="24">+IFERROR(E68/E6,)</f>
        <v>3.270747754395481E-2</v>
      </c>
      <c r="F69" s="93">
        <f t="shared" ca="1" si="24"/>
        <v>2.5160018371732401E-2</v>
      </c>
      <c r="G69" s="142"/>
      <c r="H69" s="93">
        <f t="shared" ca="1" si="24"/>
        <v>5.4590745393670601E-3</v>
      </c>
      <c r="I69" s="142"/>
      <c r="J69" s="93">
        <f t="shared" ca="1" si="24"/>
        <v>5.0390039665182296E-2</v>
      </c>
      <c r="K69" s="142"/>
      <c r="L69" s="93">
        <f t="shared" ca="1" si="24"/>
        <v>4.1413174811178136E-2</v>
      </c>
      <c r="M69" s="142"/>
      <c r="N69" s="93"/>
      <c r="O69" s="93"/>
      <c r="P69" s="40"/>
      <c r="Q69" s="40"/>
      <c r="Y69" s="45">
        <f t="shared" ref="Y69:AC69" si="25">+Y16-Y18</f>
        <v>2102.6503934086577</v>
      </c>
      <c r="Z69" s="45">
        <f t="shared" ca="1" si="25"/>
        <v>1260.7717353265507</v>
      </c>
      <c r="AA69" s="45">
        <f t="shared" ca="1" si="25"/>
        <v>925.44816769999079</v>
      </c>
      <c r="AB69" s="45">
        <f t="shared" ca="1" si="25"/>
        <v>90.771489199995358</v>
      </c>
      <c r="AC69" s="45">
        <f t="shared" ca="1" si="25"/>
        <v>989.75471906313385</v>
      </c>
      <c r="AD69" s="45">
        <f ca="1">+AD16-AD18</f>
        <v>834.67667850000578</v>
      </c>
    </row>
    <row r="70" spans="2:30" hidden="1" x14ac:dyDescent="0.2">
      <c r="B70" s="57" t="s">
        <v>90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</row>
    <row r="71" spans="2:30" hidden="1" x14ac:dyDescent="0.2">
      <c r="B71" s="57" t="s">
        <v>91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</row>
    <row r="72" spans="2:30" hidden="1" x14ac:dyDescent="0.2">
      <c r="B72" s="57" t="s">
        <v>92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</row>
    <row r="73" spans="2:30" hidden="1" x14ac:dyDescent="0.2">
      <c r="B73" s="57" t="s">
        <v>93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2:30" hidden="1" x14ac:dyDescent="0.2">
      <c r="B74" s="60" t="s">
        <v>94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</row>
    <row r="75" spans="2:30" x14ac:dyDescent="0.2">
      <c r="B75" s="15"/>
      <c r="F75" s="15">
        <f ca="1">F68*1350</f>
        <v>939364681.49999082</v>
      </c>
      <c r="J75" s="15">
        <f ca="1">J68*1350</f>
        <v>1004638248.6731057</v>
      </c>
    </row>
    <row r="77" spans="2:30" ht="17.25" x14ac:dyDescent="0.2">
      <c r="B77" s="115" t="s">
        <v>126</v>
      </c>
      <c r="O77" s="33" t="s">
        <v>118</v>
      </c>
    </row>
    <row r="78" spans="2:30" ht="27" x14ac:dyDescent="0.2">
      <c r="B78" s="74" t="s">
        <v>95</v>
      </c>
      <c r="C78" s="75" t="s">
        <v>492</v>
      </c>
      <c r="D78" s="138" t="s">
        <v>1</v>
      </c>
      <c r="E78" s="75" t="s">
        <v>36</v>
      </c>
      <c r="F78" s="75" t="s">
        <v>3</v>
      </c>
      <c r="G78" s="138" t="s">
        <v>4</v>
      </c>
      <c r="H78" s="75" t="s">
        <v>5</v>
      </c>
      <c r="I78" s="138" t="s">
        <v>8</v>
      </c>
      <c r="J78" s="75" t="s">
        <v>6</v>
      </c>
      <c r="K78" s="138" t="s">
        <v>8</v>
      </c>
      <c r="L78" s="75" t="s">
        <v>7</v>
      </c>
      <c r="M78" s="138" t="s">
        <v>8</v>
      </c>
      <c r="N78" s="76" t="s">
        <v>9</v>
      </c>
      <c r="O78" s="76" t="s">
        <v>10</v>
      </c>
    </row>
    <row r="79" spans="2:30" x14ac:dyDescent="0.2">
      <c r="B79" s="95" t="s">
        <v>11</v>
      </c>
      <c r="C79" s="78">
        <f>SUM(C80:C81)</f>
        <v>147645192.97445321</v>
      </c>
      <c r="D79" s="147">
        <f t="shared" ref="D79:D133" ca="1" si="26">+IFERROR(F79/C79,)</f>
        <v>0.15588420053731342</v>
      </c>
      <c r="E79" s="78">
        <f ca="1">SUM(E80:E81)</f>
        <v>23759798.429938566</v>
      </c>
      <c r="F79" s="78">
        <f ca="1">SUM(F80:F81)</f>
        <v>23015552.870000001</v>
      </c>
      <c r="G79" s="152">
        <f t="shared" ref="G79:G133" ca="1" si="27">+IFERROR(F79/E79,)</f>
        <v>0.96867626793496797</v>
      </c>
      <c r="H79" s="78">
        <f ca="1">SUM(H80:H81)</f>
        <v>10329331.32</v>
      </c>
      <c r="I79" s="147">
        <f ca="1">+IFERROR(H79/$H$79,)</f>
        <v>1</v>
      </c>
      <c r="J79" s="78">
        <f ca="1">SUM(J80:J81)</f>
        <v>11901933.70057676</v>
      </c>
      <c r="K79" s="147">
        <f ca="1">+IFERROR(J79/$J$79,)</f>
        <v>1</v>
      </c>
      <c r="L79" s="78">
        <f ca="1">SUM(L80:L81)</f>
        <v>12686221.549999997</v>
      </c>
      <c r="M79" s="147">
        <f ca="1">+IFERROR(L79/$L$79,)</f>
        <v>1</v>
      </c>
      <c r="N79" s="131">
        <f t="shared" ref="N79:N89" ca="1" si="28">+IFERROR(L79/H79,)</f>
        <v>1.2281745213687265</v>
      </c>
      <c r="O79" s="131">
        <f t="shared" ref="O79:O89" ca="1" si="29">+IFERROR(L79/J79,)</f>
        <v>1.0658958341689662</v>
      </c>
      <c r="Y79" s="40">
        <f>+C79*1330/1000000</f>
        <v>196368.10665602278</v>
      </c>
      <c r="Z79" s="40">
        <f ca="1">+E79*1330/1000000</f>
        <v>31600.531911818296</v>
      </c>
      <c r="AA79" s="40">
        <f ca="1">+F79*1330/1000000</f>
        <v>30610.685317100004</v>
      </c>
      <c r="AB79" s="40">
        <f ca="1">+H79*1330/1000000</f>
        <v>13738.010655600001</v>
      </c>
      <c r="AC79" s="40">
        <f ca="1">+J79*1330/1000000</f>
        <v>15829.571821767089</v>
      </c>
      <c r="AD79" s="40">
        <f ca="1">+L79*1330/1000000</f>
        <v>16872.674661499997</v>
      </c>
    </row>
    <row r="80" spans="2:30" x14ac:dyDescent="0.2">
      <c r="B80" s="114" t="s">
        <v>115</v>
      </c>
      <c r="C80" s="81">
        <f>'(계획)손익계산서 월별계획'!C80</f>
        <v>120693183.5952615</v>
      </c>
      <c r="D80" s="179">
        <f t="shared" ref="D80:D81" ca="1" si="30">+IFERROR(F80/C80,)</f>
        <v>0.15420477317437087</v>
      </c>
      <c r="E80" s="176">
        <f ca="1">SUM('(계획)손익계산서 월별계획'!E80:(OFFSET('(계획)손익계산서 월별계획'!E80,0,$C$4-1)))</f>
        <v>19231097.142939426</v>
      </c>
      <c r="F80" s="176">
        <f ca="1">SUM('3. 손익계산서 월별실적'!E80:(OFFSET('3. 손익계산서 월별실적'!E80,0,$C$4-1)))</f>
        <v>18611465</v>
      </c>
      <c r="G80" s="180">
        <f t="shared" ca="1" si="27"/>
        <v>0.96777967796980735</v>
      </c>
      <c r="H80" s="176">
        <f ca="1">OFFSET('3. 손익계산서 월별실적'!E80,0,$C$4-2)</f>
        <v>8873528.4000000004</v>
      </c>
      <c r="I80" s="179">
        <f t="shared" ref="I80:I81" ca="1" si="31">+IFERROR(H80/$H$79,)</f>
        <v>0.85906126206047573</v>
      </c>
      <c r="J80" s="176">
        <f ca="1">OFFSET('(계획)손익계산서 월별계획'!E80,0,$C$4-1)</f>
        <v>9631818.5352116246</v>
      </c>
      <c r="K80" s="179">
        <f t="shared" ref="K80:K81" ca="1" si="32">+IFERROR(J80/$J$79,)</f>
        <v>0.80926501336038137</v>
      </c>
      <c r="L80" s="176">
        <f ca="1">OFFSET('3. 손익계산서 월별실적'!E80,0,$C$4-1)</f>
        <v>9737936.5999999978</v>
      </c>
      <c r="M80" s="182">
        <f ca="1">OFFSET('3. 손익계산서 월별실적'!F80,0,$C$4-1)</f>
        <v>0</v>
      </c>
      <c r="N80" s="181">
        <f t="shared" ca="1" si="28"/>
        <v>1.097414259698543</v>
      </c>
      <c r="O80" s="181">
        <f t="shared" ca="1" si="29"/>
        <v>1.0110174485119743</v>
      </c>
    </row>
    <row r="81" spans="2:30" x14ac:dyDescent="0.2">
      <c r="B81" s="114" t="s">
        <v>116</v>
      </c>
      <c r="C81" s="81">
        <f>'(계획)손익계산서 월별계획'!C81</f>
        <v>26952009.379191715</v>
      </c>
      <c r="D81" s="179">
        <f t="shared" ca="1" si="30"/>
        <v>0.16340480622569736</v>
      </c>
      <c r="E81" s="176">
        <f ca="1">SUM('(계획)손익계산서 월별계획'!E81:(OFFSET('(계획)손익계산서 월별계획'!E81,0,$C$4-1)))</f>
        <v>4528701.2869991399</v>
      </c>
      <c r="F81" s="176">
        <f ca="1">SUM('3. 손익계산서 월별실적'!E81:(OFFSET('3. 손익계산서 월별실적'!E81,0,$C$4-1)))</f>
        <v>4404087.87</v>
      </c>
      <c r="G81" s="180">
        <f t="shared" ca="1" si="27"/>
        <v>0.97248363071398058</v>
      </c>
      <c r="H81" s="176">
        <f ca="1">OFFSET('3. 손익계산서 월별실적'!E81,0,$C$4-2)</f>
        <v>1455802.92</v>
      </c>
      <c r="I81" s="179">
        <f t="shared" ca="1" si="31"/>
        <v>0.14093873793952422</v>
      </c>
      <c r="J81" s="176">
        <f ca="1">OFFSET('(계획)손익계산서 월별계획'!E81,0,$C$4-1)</f>
        <v>2270115.1653651358</v>
      </c>
      <c r="K81" s="179">
        <f t="shared" ca="1" si="32"/>
        <v>0.19073498663961869</v>
      </c>
      <c r="L81" s="176">
        <f ca="1">OFFSET('3. 손익계산서 월별실적'!E81,0,$C$4-1)</f>
        <v>2948284.95</v>
      </c>
      <c r="M81" s="182">
        <f ca="1">OFFSET('3. 손익계산서 월별실적'!F81,0,$C$4-1)</f>
        <v>0</v>
      </c>
      <c r="N81" s="181">
        <f t="shared" ca="1" si="28"/>
        <v>2.0251951067662377</v>
      </c>
      <c r="O81" s="181">
        <f t="shared" ca="1" si="29"/>
        <v>1.298738053021105</v>
      </c>
    </row>
    <row r="82" spans="2:30" x14ac:dyDescent="0.2">
      <c r="B82" s="177" t="s">
        <v>99</v>
      </c>
      <c r="C82" s="81">
        <f>'(계획)손익계산서 월별계획'!C82</f>
        <v>65701562.934899852</v>
      </c>
      <c r="D82" s="148">
        <f t="shared" ca="1" si="26"/>
        <v>0.18492080503531358</v>
      </c>
      <c r="E82" s="81">
        <f ca="1">SUM('(계획)손익계산서 월별계획'!E82:(OFFSET('(계획)손익계산서 월별계획'!E82,0,$C$4-1)))</f>
        <v>10638253.066993373</v>
      </c>
      <c r="F82" s="81">
        <f ca="1">SUM('3. 손익계산서 월별실적'!E82:(OFFSET('3. 손익계산서 월별실적'!E82,0,$C$4-1)))</f>
        <v>12149585.91</v>
      </c>
      <c r="G82" s="153">
        <f t="shared" ref="G82" ca="1" si="33">+IFERROR(F82/E82,)</f>
        <v>1.1420658855818859</v>
      </c>
      <c r="H82" s="81">
        <f ca="1">OFFSET('3. 손익계산서 월별실적'!E82,0,$C$4-2)</f>
        <v>4928419.34</v>
      </c>
      <c r="I82" s="148">
        <f t="shared" ref="I82" ca="1" si="34">+IFERROR(H82/$H$79,)</f>
        <v>0.47712859499989391</v>
      </c>
      <c r="J82" s="81">
        <f ca="1">OFFSET('(계획)손익계산서 월별계획'!E82,0,$C$4-1)</f>
        <v>5328126.7475973573</v>
      </c>
      <c r="K82" s="148">
        <f t="shared" ref="K82" ca="1" si="35">+IFERROR(J82/$J$79,)</f>
        <v>0.44766899914248048</v>
      </c>
      <c r="L82" s="81">
        <f ca="1">OFFSET('3. 손익계산서 월별실적'!E82,0,$C$4-1)</f>
        <v>7221166.5700000003</v>
      </c>
      <c r="M82" s="155">
        <f ca="1">OFFSET('3. 손익계산서 월별실적'!F82,0,$C$4-1)</f>
        <v>0</v>
      </c>
      <c r="N82" s="132">
        <f t="shared" ref="N82" ca="1" si="36">+IFERROR(L82/H82,)</f>
        <v>1.4652094458342095</v>
      </c>
      <c r="O82" s="132">
        <f t="shared" ref="O82" ca="1" si="37">+IFERROR(L82/J82,)</f>
        <v>1.355291814943457</v>
      </c>
    </row>
    <row r="83" spans="2:30" x14ac:dyDescent="0.2">
      <c r="B83" s="178" t="s">
        <v>100</v>
      </c>
      <c r="C83" s="81">
        <f>'(계획)손익계산서 월별계획'!C83</f>
        <v>13540165.429702908</v>
      </c>
      <c r="D83" s="148">
        <f t="shared" ca="1" si="26"/>
        <v>0.1727905365814526</v>
      </c>
      <c r="E83" s="81">
        <f ca="1">SUM('(계획)손익계산서 월별계획'!E83:(OFFSET('(계획)손익계산서 월별계획'!E83,0,$C$4-1)))</f>
        <v>3000122.849546901</v>
      </c>
      <c r="F83" s="81">
        <f ca="1">SUM('3. 손익계산서 월별실적'!E83:(OFFSET('3. 손익계산서 월별실적'!E83,0,$C$4-1)))</f>
        <v>2339612.4500000002</v>
      </c>
      <c r="G83" s="153">
        <f t="shared" ca="1" si="27"/>
        <v>0.77983888238221455</v>
      </c>
      <c r="H83" s="81">
        <f ca="1">OFFSET('3. 손익계산서 월별실적'!E83,0,$C$4-2)</f>
        <v>1037033.94</v>
      </c>
      <c r="I83" s="148">
        <f t="shared" ref="I83:I96" ca="1" si="38">+IFERROR(H83/$H$79,)</f>
        <v>0.10039700614424671</v>
      </c>
      <c r="J83" s="81">
        <f ca="1">OFFSET('(계획)손익계산서 월별계획'!E83,0,$C$4-1)</f>
        <v>1502599.599773067</v>
      </c>
      <c r="K83" s="148">
        <f t="shared" ref="K83:K145" ca="1" si="39">+IFERROR(J83/$J$79,)</f>
        <v>0.12624835909649304</v>
      </c>
      <c r="L83" s="81">
        <f ca="1">OFFSET('3. 손익계산서 월별실적'!E83,0,$C$4-1)</f>
        <v>1302578.51</v>
      </c>
      <c r="M83" s="155">
        <f ca="1">OFFSET('3. 손익계산서 월별실적'!F83,0,$C$4-1)</f>
        <v>0</v>
      </c>
      <c r="N83" s="132">
        <f t="shared" ca="1" si="28"/>
        <v>1.2560616000668214</v>
      </c>
      <c r="O83" s="132">
        <f t="shared" ca="1" si="29"/>
        <v>0.86688330690140236</v>
      </c>
    </row>
    <row r="84" spans="2:30" x14ac:dyDescent="0.2">
      <c r="B84" s="178" t="s">
        <v>101</v>
      </c>
      <c r="C84" s="81">
        <f>'(계획)손익계산서 월별계획'!C84</f>
        <v>19818597.192495633</v>
      </c>
      <c r="D84" s="148">
        <f t="shared" ca="1" si="26"/>
        <v>0.14145682425300737</v>
      </c>
      <c r="E84" s="81">
        <f ca="1">SUM('(계획)손익계산서 월별계획'!E84:(OFFSET('(계획)손익계산서 월별계획'!E84,0,$C$4-1)))</f>
        <v>3208983.8193876492</v>
      </c>
      <c r="F84" s="81">
        <f ca="1">SUM('3. 손익계산서 월별실적'!E84:(OFFSET('3. 손익계산서 월별실적'!E84,0,$C$4-1)))</f>
        <v>2803475.8200000003</v>
      </c>
      <c r="G84" s="153">
        <f t="shared" ca="1" si="27"/>
        <v>0.87363351696019786</v>
      </c>
      <c r="H84" s="81">
        <f ca="1">OFFSET('3. 손익계산서 월별실적'!E84,0,$C$4-2)</f>
        <v>1124453.02</v>
      </c>
      <c r="I84" s="148">
        <f t="shared" ca="1" si="38"/>
        <v>0.1088601948339866</v>
      </c>
      <c r="J84" s="81">
        <f ca="1">OFFSET('(계획)손익계산서 월별계획'!E84,0,$C$4-1)</f>
        <v>1607206.7860215639</v>
      </c>
      <c r="K84" s="148">
        <f t="shared" ca="1" si="39"/>
        <v>0.13503745075841581</v>
      </c>
      <c r="L84" s="81">
        <f ca="1">OFFSET('3. 손익계산서 월별실적'!E84,0,$C$4-1)</f>
        <v>1679022.8</v>
      </c>
      <c r="M84" s="155">
        <f ca="1">OFFSET('3. 손익계산서 월별실적'!F84,0,$C$4-1)</f>
        <v>0</v>
      </c>
      <c r="N84" s="132">
        <f t="shared" ca="1" si="28"/>
        <v>1.4931907070692914</v>
      </c>
      <c r="O84" s="132">
        <f t="shared" ca="1" si="29"/>
        <v>1.0446837423802866</v>
      </c>
    </row>
    <row r="85" spans="2:30" x14ac:dyDescent="0.2">
      <c r="B85" s="177" t="s">
        <v>102</v>
      </c>
      <c r="C85" s="81">
        <f>'(계획)손익계산서 월별계획'!C85</f>
        <v>17036351.944560003</v>
      </c>
      <c r="D85" s="148">
        <f t="shared" ca="1" si="26"/>
        <v>0.19199840732595755</v>
      </c>
      <c r="E85" s="81">
        <f ca="1">SUM('(계획)손익계산서 월별계획'!E85:(OFFSET('(계획)손익계산서 월별계획'!E85,0,$C$4-1)))</f>
        <v>2758488.7669136878</v>
      </c>
      <c r="F85" s="81">
        <f ca="1">SUM('3. 손익계산서 월별실적'!E85:(OFFSET('3. 손익계산서 월별실적'!E85,0,$C$4-1)))</f>
        <v>3270952.4400000004</v>
      </c>
      <c r="G85" s="153">
        <f t="shared" ca="1" si="27"/>
        <v>1.185776965718689</v>
      </c>
      <c r="H85" s="81">
        <f ca="1">OFFSET('3. 손익계산서 월별실적'!E85,0,$C$4-2)</f>
        <v>1914487.4300000002</v>
      </c>
      <c r="I85" s="148">
        <f t="shared" ca="1" si="38"/>
        <v>0.18534475956765031</v>
      </c>
      <c r="J85" s="81">
        <f ca="1">OFFSET('(계획)손익계산서 월별계획'!E85,0,$C$4-1)</f>
        <v>1381578.1302985644</v>
      </c>
      <c r="K85" s="148">
        <f t="shared" ca="1" si="39"/>
        <v>0.11608014000545257</v>
      </c>
      <c r="L85" s="81">
        <f ca="1">OFFSET('3. 손익계산서 월별실적'!E85,0,$C$4-1)</f>
        <v>1356465.0100000002</v>
      </c>
      <c r="M85" s="155">
        <f ca="1">OFFSET('3. 손익계산서 월별실적'!F85,0,$C$4-1)</f>
        <v>0</v>
      </c>
      <c r="N85" s="132">
        <f t="shared" ca="1" si="28"/>
        <v>0.70852646444380163</v>
      </c>
      <c r="O85" s="132">
        <f t="shared" ca="1" si="29"/>
        <v>0.98182287360531895</v>
      </c>
    </row>
    <row r="86" spans="2:30" x14ac:dyDescent="0.2">
      <c r="B86" s="177" t="s">
        <v>105</v>
      </c>
      <c r="C86" s="81">
        <f>'(계획)손익계산서 월별계획'!C86</f>
        <v>11446560.688808788</v>
      </c>
      <c r="D86" s="148">
        <f t="shared" ca="1" si="26"/>
        <v>0.11894492564313558</v>
      </c>
      <c r="E86" s="81">
        <f ca="1">SUM('(계획)손익계산서 월별계획'!E86:(OFFSET('(계획)손익계산서 월별계획'!E86,0,$C$4-1)))</f>
        <v>1853402.0183797241</v>
      </c>
      <c r="F86" s="81">
        <f ca="1">SUM('3. 손익계산서 월별실적'!E86:(OFFSET('3. 손익계산서 월별실적'!E86,0,$C$4-1)))</f>
        <v>1361510.31</v>
      </c>
      <c r="G86" s="153">
        <f t="shared" ca="1" si="27"/>
        <v>0.73460064060481367</v>
      </c>
      <c r="H86" s="81">
        <f ca="1">OFFSET('3. 손익계산서 월별실적'!E86,0,$C$4-2)</f>
        <v>835690.01</v>
      </c>
      <c r="I86" s="148">
        <f t="shared" ca="1" si="38"/>
        <v>8.0904560431894437E-2</v>
      </c>
      <c r="J86" s="81">
        <f ca="1">OFFSET('(계획)손익계산서 월별계획'!E86,0,$C$4-1)</f>
        <v>928269.03120202781</v>
      </c>
      <c r="K86" s="148">
        <f t="shared" ca="1" si="39"/>
        <v>7.7993127382069399E-2</v>
      </c>
      <c r="L86" s="81">
        <f ca="1">OFFSET('3. 손익계산서 월별실적'!E86,0,$C$4-1)</f>
        <v>525820.30000000005</v>
      </c>
      <c r="M86" s="155">
        <f ca="1">OFFSET('3. 손익계산서 월별실적'!F86,0,$C$4-1)</f>
        <v>0</v>
      </c>
      <c r="N86" s="132">
        <f t="shared" ca="1" si="28"/>
        <v>0.62920496082034061</v>
      </c>
      <c r="O86" s="132">
        <f t="shared" ca="1" si="29"/>
        <v>0.56645248556779748</v>
      </c>
    </row>
    <row r="87" spans="2:30" x14ac:dyDescent="0.2">
      <c r="B87" s="177" t="s">
        <v>508</v>
      </c>
      <c r="C87" s="81">
        <f>'(계획)손익계산서 월별계획'!C87</f>
        <v>14470562.642430523</v>
      </c>
      <c r="D87" s="148">
        <f t="shared" ca="1" si="26"/>
        <v>1.0006481681328666E-2</v>
      </c>
      <c r="E87" s="81">
        <f ca="1">SUM('(계획)손익계산서 월별계획'!E87:(OFFSET('(계획)손익계산서 월별계획'!E87,0,$C$4-1)))</f>
        <v>1388725.2359338584</v>
      </c>
      <c r="F87" s="81">
        <f ca="1">SUM('3. 손익계산서 월별실적'!E87:(OFFSET('3. 손익계산서 월별실적'!E87,0,$C$4-1)))</f>
        <v>144799.41999999998</v>
      </c>
      <c r="G87" s="153">
        <f t="shared" ca="1" si="27"/>
        <v>0.10426786829622819</v>
      </c>
      <c r="H87" s="81">
        <f ca="1">OFFSET('3. 손익계산서 월별실적'!E87,0,$C$4-2)</f>
        <v>120930.87</v>
      </c>
      <c r="I87" s="148">
        <f t="shared" ca="1" si="38"/>
        <v>1.1707521644295556E-2</v>
      </c>
      <c r="J87" s="81">
        <f ca="1">OFFSET('(계획)손익계산서 월별계획'!E87,0,$C$4-1)</f>
        <v>697470.64571145875</v>
      </c>
      <c r="K87" s="148">
        <f t="shared" ca="1" si="39"/>
        <v>5.8601456137976959E-2</v>
      </c>
      <c r="L87" s="81">
        <f ca="1">OFFSET('3. 손익계산서 월별실적'!E87,0,$C$4-1)</f>
        <v>23868.55</v>
      </c>
      <c r="M87" s="155">
        <f ca="1">OFFSET('3. 손익계산서 월별실적'!F87,0,$C$4-1)</f>
        <v>0</v>
      </c>
      <c r="N87" s="132">
        <f t="shared" ca="1" si="28"/>
        <v>0.19737350769079889</v>
      </c>
      <c r="O87" s="132">
        <f t="shared" ca="1" si="29"/>
        <v>3.422158358457187E-2</v>
      </c>
    </row>
    <row r="88" spans="2:30" x14ac:dyDescent="0.2">
      <c r="B88" s="177" t="s">
        <v>104</v>
      </c>
      <c r="C88" s="81">
        <f>'(계획)손익계산서 월별계획'!C88</f>
        <v>5631392.1415555105</v>
      </c>
      <c r="D88" s="148">
        <f t="shared" ca="1" si="26"/>
        <v>0.16791878388685619</v>
      </c>
      <c r="E88" s="81">
        <f ca="1">SUM('(계획)손익계산서 월별계획'!E88:(OFFSET('(계획)손익계산서 월별계획'!E88,0,$C$4-1)))</f>
        <v>911822.67278337176</v>
      </c>
      <c r="F88" s="81">
        <f ca="1">SUM('3. 손익계산서 월별실적'!E88:(OFFSET('3. 손익계산서 월별실적'!E88,0,$C$4-1)))</f>
        <v>945616.52</v>
      </c>
      <c r="G88" s="153">
        <f t="shared" ca="1" si="27"/>
        <v>1.0370618632606177</v>
      </c>
      <c r="H88" s="81">
        <f ca="1">OFFSET('3. 손익계산서 월별실적'!E88,0,$C$4-2)</f>
        <v>368316.70999999996</v>
      </c>
      <c r="I88" s="148">
        <f t="shared" ca="1" si="38"/>
        <v>3.5657362378032423E-2</v>
      </c>
      <c r="J88" s="81">
        <f ca="1">OFFSET('(계획)손익계산서 월별계획'!E88,0,$C$4-1)</f>
        <v>456682.75997272087</v>
      </c>
      <c r="K88" s="148">
        <f t="shared" ca="1" si="39"/>
        <v>3.8370467477111751E-2</v>
      </c>
      <c r="L88" s="81">
        <f ca="1">OFFSET('3. 손익계산서 월별실적'!E88,0,$C$4-1)</f>
        <v>577299.81000000006</v>
      </c>
      <c r="M88" s="155">
        <f ca="1">OFFSET('3. 손익계산서 월별실적'!F88,0,$C$4-1)</f>
        <v>0</v>
      </c>
      <c r="N88" s="132">
        <f t="shared" ca="1" si="28"/>
        <v>1.5674005396062538</v>
      </c>
      <c r="O88" s="132">
        <f t="shared" ca="1" si="29"/>
        <v>1.2641156194170413</v>
      </c>
    </row>
    <row r="89" spans="2:30" x14ac:dyDescent="0.2">
      <c r="B89" s="178" t="s">
        <v>114</v>
      </c>
      <c r="C89" s="81">
        <f>'(계획)손익계산서 월별계획'!C89</f>
        <v>0</v>
      </c>
      <c r="D89" s="148">
        <f t="shared" ca="1" si="26"/>
        <v>0</v>
      </c>
      <c r="E89" s="81">
        <f ca="1">SUM('(계획)손익계산서 월별계획'!E89:(OFFSET('(계획)손익계산서 월별계획'!E89,0,$C$4-1)))</f>
        <v>0</v>
      </c>
      <c r="F89" s="81">
        <f ca="1">SUM('3. 손익계산서 월별실적'!E89:(OFFSET('3. 손익계산서 월별실적'!E89,0,$C$4-1)))</f>
        <v>1346.4872319999999</v>
      </c>
      <c r="G89" s="153">
        <f t="shared" ca="1" si="27"/>
        <v>0</v>
      </c>
      <c r="H89" s="81">
        <f ca="1">OFFSET('3. 손익계산서 월별실적'!E89,0,$C$4-2)</f>
        <v>631.81666200000006</v>
      </c>
      <c r="I89" s="148">
        <f t="shared" ca="1" si="38"/>
        <v>6.1167237493549585E-5</v>
      </c>
      <c r="J89" s="81">
        <f ca="1">OFFSET('(계획)손익계산서 월별계획'!E89,0,$C$4-1)</f>
        <v>0</v>
      </c>
      <c r="K89" s="148">
        <f t="shared" ca="1" si="39"/>
        <v>0</v>
      </c>
      <c r="L89" s="81">
        <f ca="1">OFFSET('3. 손익계산서 월별실적'!E89,0,$C$4-1)</f>
        <v>714.67057</v>
      </c>
      <c r="M89" s="155">
        <f ca="1">OFFSET('3. 손익계산서 월별실적'!F89,0,$C$4-1)</f>
        <v>0</v>
      </c>
      <c r="N89" s="132">
        <f t="shared" ca="1" si="28"/>
        <v>1.1311359971700143</v>
      </c>
      <c r="O89" s="132">
        <f t="shared" ca="1" si="29"/>
        <v>0</v>
      </c>
    </row>
    <row r="90" spans="2:30" x14ac:dyDescent="0.2">
      <c r="B90" s="67"/>
      <c r="C90" s="81"/>
      <c r="D90" s="148"/>
      <c r="E90" s="81"/>
      <c r="F90" s="81"/>
      <c r="G90" s="153"/>
      <c r="H90" s="81"/>
      <c r="I90" s="148"/>
      <c r="J90" s="81"/>
      <c r="K90" s="148"/>
      <c r="L90" s="81"/>
      <c r="M90" s="155"/>
      <c r="N90" s="132"/>
      <c r="O90" s="132"/>
    </row>
    <row r="91" spans="2:30" x14ac:dyDescent="0.2">
      <c r="B91" s="95" t="s">
        <v>12</v>
      </c>
      <c r="C91" s="78">
        <f t="shared" ref="C91:L91" si="40">SUM(C92:C95)</f>
        <v>132438916.62049095</v>
      </c>
      <c r="D91" s="147">
        <f t="shared" ca="1" si="26"/>
        <v>0.15344809938482765</v>
      </c>
      <c r="E91" s="78">
        <f t="shared" ca="1" si="40"/>
        <v>21271470.907181758</v>
      </c>
      <c r="F91" s="78">
        <f t="shared" ca="1" si="40"/>
        <v>20322500.039999999</v>
      </c>
      <c r="G91" s="152">
        <f t="shared" ca="1" si="27"/>
        <v>0.95538762357701534</v>
      </c>
      <c r="H91" s="78">
        <f t="shared" ca="1" si="40"/>
        <v>9323898.0899999999</v>
      </c>
      <c r="I91" s="147">
        <f t="shared" ca="1" si="38"/>
        <v>0.90266231192979096</v>
      </c>
      <c r="J91" s="78">
        <f t="shared" ca="1" si="40"/>
        <v>10600900.407257061</v>
      </c>
      <c r="K91" s="147">
        <f t="shared" ca="1" si="39"/>
        <v>0.89068723402007766</v>
      </c>
      <c r="L91" s="78">
        <f t="shared" ca="1" si="40"/>
        <v>10998601.949999999</v>
      </c>
      <c r="M91" s="147">
        <f t="shared" ref="M91:M145" ca="1" si="41">+IFERROR(L91/$L$79,)</f>
        <v>0.86697224281094176</v>
      </c>
      <c r="N91" s="131">
        <f t="shared" ref="N91:N94" ca="1" si="42">+IFERROR(L91/H91,)</f>
        <v>1.1796141317542006</v>
      </c>
      <c r="O91" s="131">
        <f t="shared" ref="O91:O94" ca="1" si="43">+IFERROR(L91/J91,)</f>
        <v>1.0375158267188966</v>
      </c>
      <c r="Y91" s="40">
        <f>+C91*1330/1000000</f>
        <v>176143.75910525295</v>
      </c>
      <c r="Z91" s="40">
        <f ca="1">+E91*1330/1000000</f>
        <v>28291.056306551738</v>
      </c>
      <c r="AA91" s="40">
        <f ca="1">+F91*1330/1000000</f>
        <v>27028.925053199997</v>
      </c>
      <c r="AB91" s="40">
        <f ca="1">+H91*1330/1000000</f>
        <v>12400.784459699998</v>
      </c>
      <c r="AC91" s="40">
        <f ca="1">+J91*1330/1000000</f>
        <v>14099.197541651893</v>
      </c>
      <c r="AD91" s="40">
        <f ca="1">+L91*1330/1000000</f>
        <v>14628.140593499998</v>
      </c>
    </row>
    <row r="92" spans="2:30" x14ac:dyDescent="0.2">
      <c r="B92" s="114" t="s">
        <v>115</v>
      </c>
      <c r="C92" s="81">
        <f>'(계획)손익계산서 월별계획'!C92</f>
        <v>106640309.7343751</v>
      </c>
      <c r="D92" s="148">
        <f t="shared" ca="1" si="26"/>
        <v>0.15716580954938289</v>
      </c>
      <c r="E92" s="81">
        <f ca="1">SUM('(계획)손익계산서 월별계획'!E92:(OFFSET('(계획)손익계산서 월별계획'!E92,0,$C$4-1)))</f>
        <v>16919839.829033006</v>
      </c>
      <c r="F92" s="81">
        <f ca="1">SUM('3. 손익계산서 월별실적'!E92:(OFFSET('3. 손익계산서 월별실적'!E92,0,$C$4-1)))</f>
        <v>16760210.610000001</v>
      </c>
      <c r="G92" s="153">
        <f t="shared" ca="1" si="27"/>
        <v>0.99056555968342597</v>
      </c>
      <c r="H92" s="81">
        <f ca="1">OFFSET('3. 손익계산서 월별실적'!E92,0,$C$4-2)</f>
        <v>8125260.9600000009</v>
      </c>
      <c r="I92" s="148">
        <f t="shared" ca="1" si="38"/>
        <v>0.7866202281911121</v>
      </c>
      <c r="J92" s="81">
        <f ca="1">OFFSET('(계획)손익계산서 월별계획'!E92,0,$C$4-1)</f>
        <v>8420525.8942969851</v>
      </c>
      <c r="K92" s="148">
        <f t="shared" ca="1" si="39"/>
        <v>0.70749225345532984</v>
      </c>
      <c r="L92" s="81">
        <f ca="1">OFFSET('3. 손익계산서 월별실적'!E92,0,$C$4-1)</f>
        <v>8634949.6500000004</v>
      </c>
      <c r="M92" s="148">
        <f t="shared" ca="1" si="41"/>
        <v>0.68065575049018456</v>
      </c>
      <c r="N92" s="132">
        <f t="shared" ca="1" si="42"/>
        <v>1.0627289009558161</v>
      </c>
      <c r="O92" s="132">
        <f t="shared" ca="1" si="43"/>
        <v>1.0254644137901456</v>
      </c>
    </row>
    <row r="93" spans="2:30" x14ac:dyDescent="0.2">
      <c r="B93" s="114" t="s">
        <v>116</v>
      </c>
      <c r="C93" s="81">
        <f>'(계획)손익계산서 월별계획'!C93</f>
        <v>25798606.886115849</v>
      </c>
      <c r="D93" s="148">
        <f t="shared" ca="1" si="26"/>
        <v>0.13808068961728057</v>
      </c>
      <c r="E93" s="81">
        <f ca="1">SUM('(계획)손익계산서 월별계획'!E93:(OFFSET('(계획)손익계산서 월별계획'!E93,0,$C$4-1)))</f>
        <v>4351631.0781487525</v>
      </c>
      <c r="F93" s="81">
        <f ca="1">SUM('3. 손익계산서 월별실적'!E93:(OFFSET('3. 손익계산서 월별실적'!E93,0,$C$4-1)))</f>
        <v>3562289.4299999997</v>
      </c>
      <c r="G93" s="153">
        <f t="shared" ca="1" si="27"/>
        <v>0.8186101638734159</v>
      </c>
      <c r="H93" s="81">
        <f ca="1">OFFSET('3. 손익계산서 월별실적'!E93,0,$C$4-2)</f>
        <v>1198637.1299999999</v>
      </c>
      <c r="I93" s="148">
        <f t="shared" ca="1" si="38"/>
        <v>0.11604208373867901</v>
      </c>
      <c r="J93" s="81">
        <f ca="1">OFFSET('(계획)손익계산서 월별계획'!E93,0,$C$4-1)</f>
        <v>2180374.5129600773</v>
      </c>
      <c r="K93" s="148">
        <f t="shared" ca="1" si="39"/>
        <v>0.18319498056474787</v>
      </c>
      <c r="L93" s="81">
        <f ca="1">OFFSET('3. 손익계산서 월별실적'!E93,0,$C$4-1)</f>
        <v>2363652.2999999998</v>
      </c>
      <c r="M93" s="148">
        <f t="shared" ca="1" si="41"/>
        <v>0.18631649232075728</v>
      </c>
      <c r="N93" s="132">
        <f t="shared" ca="1" si="42"/>
        <v>1.9719498427351403</v>
      </c>
      <c r="O93" s="132">
        <f t="shared" ca="1" si="43"/>
        <v>1.0840579386479365</v>
      </c>
    </row>
    <row r="94" spans="2:30" x14ac:dyDescent="0.2">
      <c r="B94" s="114" t="s">
        <v>117</v>
      </c>
      <c r="C94" s="81">
        <f>'(계획)손익계산서 월별계획'!C94</f>
        <v>0</v>
      </c>
      <c r="D94" s="148">
        <f t="shared" ca="1" si="26"/>
        <v>0</v>
      </c>
      <c r="E94" s="81">
        <f ca="1">SUM('(계획)손익계산서 월별계획'!E94:(OFFSET('(계획)손익계산서 월별계획'!E94,0,$C$4-1)))</f>
        <v>0</v>
      </c>
      <c r="F94" s="81">
        <f ca="1">SUM('3. 손익계산서 월별실적'!E94:(OFFSET('3. 손익계산서 월별실적'!E94,0,$C$4-1)))</f>
        <v>0</v>
      </c>
      <c r="G94" s="153">
        <f t="shared" ca="1" si="27"/>
        <v>0</v>
      </c>
      <c r="H94" s="81">
        <f ca="1">OFFSET('3. 손익계산서 월별실적'!E94,0,$C$4-2)</f>
        <v>0</v>
      </c>
      <c r="I94" s="148">
        <f t="shared" ca="1" si="38"/>
        <v>0</v>
      </c>
      <c r="J94" s="81">
        <f ca="1">OFFSET('(계획)손익계산서 월별계획'!E94,0,$C$4-1)</f>
        <v>0</v>
      </c>
      <c r="K94" s="148">
        <f t="shared" ca="1" si="39"/>
        <v>0</v>
      </c>
      <c r="L94" s="81">
        <f ca="1">OFFSET('3. 손익계산서 월별실적'!E94,0,$C$4-1)</f>
        <v>0</v>
      </c>
      <c r="M94" s="148">
        <f t="shared" ca="1" si="41"/>
        <v>0</v>
      </c>
      <c r="N94" s="132">
        <f t="shared" ca="1" si="42"/>
        <v>0</v>
      </c>
      <c r="O94" s="132">
        <f t="shared" ca="1" si="43"/>
        <v>0</v>
      </c>
    </row>
    <row r="95" spans="2:30" x14ac:dyDescent="0.2">
      <c r="B95" s="80"/>
      <c r="C95" s="81"/>
      <c r="D95" s="148"/>
      <c r="E95" s="81"/>
      <c r="F95" s="81"/>
      <c r="G95" s="153"/>
      <c r="H95" s="81"/>
      <c r="I95" s="148"/>
      <c r="J95" s="81"/>
      <c r="K95" s="148"/>
      <c r="L95" s="81"/>
      <c r="M95" s="148"/>
      <c r="N95" s="132"/>
      <c r="O95" s="132"/>
    </row>
    <row r="96" spans="2:30" x14ac:dyDescent="0.2">
      <c r="B96" s="95" t="s">
        <v>13</v>
      </c>
      <c r="C96" s="78">
        <f>+C79-C91</f>
        <v>15206276.353962258</v>
      </c>
      <c r="D96" s="147">
        <f ca="1">IF(AND(C96&gt;0,F96&gt;0),F96/C96,"(-)")</f>
        <v>0.17710139992939697</v>
      </c>
      <c r="E96" s="78">
        <f ca="1">+E79-E91</f>
        <v>2488327.5227568075</v>
      </c>
      <c r="F96" s="78">
        <f ca="1">+F79-F91</f>
        <v>2693052.8300000019</v>
      </c>
      <c r="G96" s="147">
        <f t="shared" ref="G96" ca="1" si="44">IF(AND(E96&gt;0,F96&gt;0),F96/E96,"(-)")</f>
        <v>1.0822742606714328</v>
      </c>
      <c r="H96" s="78">
        <f ca="1">+H79-H91</f>
        <v>1005433.2300000004</v>
      </c>
      <c r="I96" s="147">
        <f t="shared" ca="1" si="38"/>
        <v>9.7337688070209025E-2</v>
      </c>
      <c r="J96" s="78">
        <f ca="1">+J79-J91</f>
        <v>1301033.2933196984</v>
      </c>
      <c r="K96" s="147">
        <f t="shared" ca="1" si="39"/>
        <v>0.10931276597992234</v>
      </c>
      <c r="L96" s="78">
        <f ca="1">+L79-L91</f>
        <v>1687619.5999999978</v>
      </c>
      <c r="M96" s="147">
        <f t="shared" ca="1" si="41"/>
        <v>0.13302775718905824</v>
      </c>
      <c r="N96" s="131">
        <f ca="1">+IF(AND(H96&gt;0,L96&gt;0),L96/H96,"(-)")</f>
        <v>1.6784999238586902</v>
      </c>
      <c r="O96" s="131">
        <f ca="1">+IF(AND(J96&gt;0,N96&gt;0),L96/J96,"(-)")</f>
        <v>1.2971379046679821</v>
      </c>
      <c r="Y96" s="40">
        <f>+C96*1330/1000000</f>
        <v>20224.347550769802</v>
      </c>
      <c r="Z96" s="40">
        <f ca="1">+E96*1330/1000000</f>
        <v>3309.4756052665539</v>
      </c>
      <c r="AA96" s="40">
        <f ca="1">+F96*1330/1000000</f>
        <v>3581.7602639000024</v>
      </c>
      <c r="AB96" s="40">
        <f ca="1">+H96*1330/1000000</f>
        <v>1337.2261959000007</v>
      </c>
      <c r="AC96" s="40">
        <f ca="1">+J96*1330/1000000</f>
        <v>1730.3742801151989</v>
      </c>
      <c r="AD96" s="40">
        <f ca="1">+L96*1330/1000000</f>
        <v>2244.5340679999972</v>
      </c>
    </row>
    <row r="97" spans="2:30" x14ac:dyDescent="0.2">
      <c r="B97" s="96" t="s">
        <v>14</v>
      </c>
      <c r="C97" s="82">
        <f>+IFERROR(C96/C79,)</f>
        <v>0.10299201787486148</v>
      </c>
      <c r="D97" s="137">
        <f t="shared" ca="1" si="26"/>
        <v>1.1361087224936877</v>
      </c>
      <c r="E97" s="82">
        <f ca="1">+IFERROR(E96/E79,)</f>
        <v>0.10472847781492065</v>
      </c>
      <c r="F97" s="82">
        <f ca="1">+IFERROR(F96/F79,)</f>
        <v>0.11701012985485591</v>
      </c>
      <c r="G97" s="144"/>
      <c r="H97" s="82">
        <f ca="1">+IFERROR(H96/H79,)</f>
        <v>9.7337688070209025E-2</v>
      </c>
      <c r="I97" s="137"/>
      <c r="J97" s="82">
        <f ca="1">+IFERROR(J96/J79,)</f>
        <v>0.10931276597992234</v>
      </c>
      <c r="K97" s="137"/>
      <c r="L97" s="82">
        <f ca="1">+IFERROR(L96/L79,)</f>
        <v>0.13302775718905824</v>
      </c>
      <c r="M97" s="137"/>
      <c r="N97" s="82"/>
      <c r="O97" s="82"/>
    </row>
    <row r="98" spans="2:30" x14ac:dyDescent="0.2">
      <c r="B98" s="95" t="s">
        <v>15</v>
      </c>
      <c r="C98" s="78">
        <f>SUM(C99,C115,C133)</f>
        <v>7018954.5251176823</v>
      </c>
      <c r="D98" s="147">
        <f t="shared" ca="1" si="26"/>
        <v>0.1025589804612576</v>
      </c>
      <c r="E98" s="78">
        <f t="shared" ref="E98:L98" ca="1" si="45">SUM(E99,E115,E133)</f>
        <v>1209526.1791044557</v>
      </c>
      <c r="F98" s="78">
        <f t="shared" ca="1" si="45"/>
        <v>719856.82</v>
      </c>
      <c r="G98" s="147">
        <f t="shared" ca="1" si="27"/>
        <v>0.59515604741435901</v>
      </c>
      <c r="H98" s="78">
        <f t="shared" ca="1" si="45"/>
        <v>342624.59</v>
      </c>
      <c r="I98" s="147">
        <f t="shared" ref="I98:I148" ca="1" si="46">+IFERROR(H98/$H$79,)</f>
        <v>3.3170064875022325E-2</v>
      </c>
      <c r="J98" s="78">
        <f t="shared" ca="1" si="45"/>
        <v>586668.69737373048</v>
      </c>
      <c r="K98" s="147">
        <f t="shared" ca="1" si="39"/>
        <v>4.929188080969573E-2</v>
      </c>
      <c r="L98" s="78">
        <f t="shared" ca="1" si="45"/>
        <v>377232.23</v>
      </c>
      <c r="M98" s="147">
        <f t="shared" ca="1" si="41"/>
        <v>2.9735585849042661E-2</v>
      </c>
      <c r="N98" s="131">
        <f t="shared" ref="N98:N147" ca="1" si="47">+IFERROR(L98/H98,)</f>
        <v>1.1010074612566481</v>
      </c>
      <c r="O98" s="131">
        <f t="shared" ref="O98:O147" ca="1" si="48">+IFERROR(L98/J98,)</f>
        <v>0.64300725722833063</v>
      </c>
      <c r="Y98" s="40">
        <f>+C98*1330/1000000</f>
        <v>9335.2095184065165</v>
      </c>
      <c r="Z98" s="40">
        <f ca="1">+E98*1330/1000000</f>
        <v>1608.6698182089262</v>
      </c>
      <c r="AA98" s="40">
        <f ca="1">+F98*1330/1000000</f>
        <v>957.40957059999994</v>
      </c>
      <c r="AB98" s="40">
        <f ca="1">+H98*1330/1000000</f>
        <v>455.69070470000003</v>
      </c>
      <c r="AC98" s="40">
        <f ca="1">+J98*1330/1000000</f>
        <v>780.26936750706147</v>
      </c>
      <c r="AD98" s="40">
        <f ca="1">+L98*1330/1000000</f>
        <v>501.71886589999997</v>
      </c>
    </row>
    <row r="99" spans="2:30" ht="16.5" hidden="1" outlineLevel="1" x14ac:dyDescent="0.2">
      <c r="B99" s="97" t="s">
        <v>16</v>
      </c>
      <c r="C99" s="98">
        <f>SUM(C100:C113)</f>
        <v>0</v>
      </c>
      <c r="D99" s="149">
        <f t="shared" ca="1" si="26"/>
        <v>0</v>
      </c>
      <c r="E99" s="98">
        <f t="shared" ref="E99:L99" ca="1" si="49">SUM(E100:E113)</f>
        <v>0</v>
      </c>
      <c r="F99" s="98">
        <f t="shared" ca="1" si="49"/>
        <v>0</v>
      </c>
      <c r="G99" s="149">
        <f t="shared" ca="1" si="27"/>
        <v>0</v>
      </c>
      <c r="H99" s="98">
        <f t="shared" ca="1" si="49"/>
        <v>0</v>
      </c>
      <c r="I99" s="149">
        <f t="shared" ca="1" si="46"/>
        <v>0</v>
      </c>
      <c r="J99" s="98">
        <f t="shared" ca="1" si="49"/>
        <v>0</v>
      </c>
      <c r="K99" s="149">
        <f t="shared" ca="1" si="39"/>
        <v>0</v>
      </c>
      <c r="L99" s="98">
        <f t="shared" ca="1" si="49"/>
        <v>0</v>
      </c>
      <c r="M99" s="149">
        <f t="shared" ca="1" si="41"/>
        <v>0</v>
      </c>
      <c r="N99" s="133">
        <f t="shared" ca="1" si="47"/>
        <v>0</v>
      </c>
      <c r="O99" s="133">
        <f t="shared" ca="1" si="48"/>
        <v>0</v>
      </c>
    </row>
    <row r="100" spans="2:30" hidden="1" outlineLevel="1" x14ac:dyDescent="0.2">
      <c r="B100" s="67" t="s">
        <v>19</v>
      </c>
      <c r="C100" s="81">
        <f>'(계획)손익계산서 월별계획'!C100</f>
        <v>0</v>
      </c>
      <c r="D100" s="148">
        <f t="shared" ca="1" si="26"/>
        <v>0</v>
      </c>
      <c r="E100" s="81">
        <f ca="1">SUM('(계획)손익계산서 월별계획'!E100:(OFFSET('(계획)손익계산서 월별계획'!E100,0,$C$4-1)))</f>
        <v>0</v>
      </c>
      <c r="F100" s="81">
        <f ca="1">SUM('3. 손익계산서 월별실적'!E100:(OFFSET('3. 손익계산서 월별실적'!E100,0,$C$4-1)))</f>
        <v>0</v>
      </c>
      <c r="G100" s="148">
        <f t="shared" ca="1" si="27"/>
        <v>0</v>
      </c>
      <c r="H100" s="81">
        <f ca="1">OFFSET('3. 손익계산서 월별실적'!E100,0,$C$4-2)</f>
        <v>0</v>
      </c>
      <c r="I100" s="148">
        <f t="shared" ca="1" si="46"/>
        <v>0</v>
      </c>
      <c r="J100" s="81">
        <f ca="1">OFFSET('(계획)손익계산서 월별계획'!E100,0,$C$4-1)</f>
        <v>0</v>
      </c>
      <c r="K100" s="148">
        <f t="shared" ca="1" si="39"/>
        <v>0</v>
      </c>
      <c r="L100" s="81">
        <f ca="1">OFFSET('3. 손익계산서 월별실적'!E100,0,$C$4-1)</f>
        <v>0</v>
      </c>
      <c r="M100" s="148">
        <f t="shared" ca="1" si="41"/>
        <v>0</v>
      </c>
      <c r="N100" s="132">
        <f t="shared" ca="1" si="47"/>
        <v>0</v>
      </c>
      <c r="O100" s="132">
        <f t="shared" ca="1" si="48"/>
        <v>0</v>
      </c>
    </row>
    <row r="101" spans="2:30" hidden="1" outlineLevel="1" x14ac:dyDescent="0.2">
      <c r="B101" s="67" t="s">
        <v>43</v>
      </c>
      <c r="C101" s="81">
        <f>'(계획)손익계산서 월별계획'!C101</f>
        <v>0</v>
      </c>
      <c r="D101" s="148">
        <f t="shared" ca="1" si="26"/>
        <v>0</v>
      </c>
      <c r="E101" s="81">
        <f ca="1">SUM('(계획)손익계산서 월별계획'!E101:(OFFSET('(계획)손익계산서 월별계획'!E101,0,$C$4-1)))</f>
        <v>0</v>
      </c>
      <c r="F101" s="81">
        <f ca="1">SUM('3. 손익계산서 월별실적'!E101:(OFFSET('3. 손익계산서 월별실적'!E101,0,$C$4-1)))</f>
        <v>0</v>
      </c>
      <c r="G101" s="148">
        <f t="shared" ca="1" si="27"/>
        <v>0</v>
      </c>
      <c r="H101" s="81">
        <f ca="1">OFFSET('3. 손익계산서 월별실적'!E101,0,$C$4-2)</f>
        <v>0</v>
      </c>
      <c r="I101" s="148">
        <f t="shared" ca="1" si="46"/>
        <v>0</v>
      </c>
      <c r="J101" s="81">
        <f ca="1">OFFSET('(계획)손익계산서 월별계획'!E101,0,$C$4-1)</f>
        <v>0</v>
      </c>
      <c r="K101" s="148">
        <f t="shared" ca="1" si="39"/>
        <v>0</v>
      </c>
      <c r="L101" s="81">
        <f ca="1">OFFSET('3. 손익계산서 월별실적'!E101,0,$C$4-1)</f>
        <v>0</v>
      </c>
      <c r="M101" s="148">
        <f t="shared" ca="1" si="41"/>
        <v>0</v>
      </c>
      <c r="N101" s="132">
        <f t="shared" ca="1" si="47"/>
        <v>0</v>
      </c>
      <c r="O101" s="132">
        <f t="shared" ca="1" si="48"/>
        <v>0</v>
      </c>
    </row>
    <row r="102" spans="2:30" hidden="1" outlineLevel="1" x14ac:dyDescent="0.2">
      <c r="B102" s="67" t="s">
        <v>45</v>
      </c>
      <c r="C102" s="81">
        <f>'(계획)손익계산서 월별계획'!C102</f>
        <v>0</v>
      </c>
      <c r="D102" s="148">
        <f t="shared" ca="1" si="26"/>
        <v>0</v>
      </c>
      <c r="E102" s="81">
        <f ca="1">SUM('(계획)손익계산서 월별계획'!E102:(OFFSET('(계획)손익계산서 월별계획'!E102,0,$C$4-1)))</f>
        <v>0</v>
      </c>
      <c r="F102" s="81">
        <f ca="1">SUM('3. 손익계산서 월별실적'!E102:(OFFSET('3. 손익계산서 월별실적'!E102,0,$C$4-1)))</f>
        <v>0</v>
      </c>
      <c r="G102" s="148">
        <f t="shared" ca="1" si="27"/>
        <v>0</v>
      </c>
      <c r="H102" s="81">
        <f ca="1">OFFSET('3. 손익계산서 월별실적'!E102,0,$C$4-2)</f>
        <v>0</v>
      </c>
      <c r="I102" s="148">
        <f t="shared" ca="1" si="46"/>
        <v>0</v>
      </c>
      <c r="J102" s="81">
        <f ca="1">OFFSET('(계획)손익계산서 월별계획'!E102,0,$C$4-1)</f>
        <v>0</v>
      </c>
      <c r="K102" s="148">
        <f t="shared" ca="1" si="39"/>
        <v>0</v>
      </c>
      <c r="L102" s="81">
        <f ca="1">OFFSET('3. 손익계산서 월별실적'!E102,0,$C$4-1)</f>
        <v>0</v>
      </c>
      <c r="M102" s="148">
        <f t="shared" ca="1" si="41"/>
        <v>0</v>
      </c>
      <c r="N102" s="132">
        <f t="shared" ca="1" si="47"/>
        <v>0</v>
      </c>
      <c r="O102" s="132">
        <f t="shared" ca="1" si="48"/>
        <v>0</v>
      </c>
    </row>
    <row r="103" spans="2:30" hidden="1" outlineLevel="1" x14ac:dyDescent="0.2">
      <c r="B103" s="67" t="s">
        <v>47</v>
      </c>
      <c r="C103" s="81">
        <f>'(계획)손익계산서 월별계획'!C103</f>
        <v>0</v>
      </c>
      <c r="D103" s="148">
        <f t="shared" ca="1" si="26"/>
        <v>0</v>
      </c>
      <c r="E103" s="81">
        <f ca="1">SUM('(계획)손익계산서 월별계획'!E103:(OFFSET('(계획)손익계산서 월별계획'!E103,0,$C$4-1)))</f>
        <v>0</v>
      </c>
      <c r="F103" s="81">
        <f ca="1">SUM('3. 손익계산서 월별실적'!E103:(OFFSET('3. 손익계산서 월별실적'!E103,0,$C$4-1)))</f>
        <v>0</v>
      </c>
      <c r="G103" s="148">
        <f t="shared" ca="1" si="27"/>
        <v>0</v>
      </c>
      <c r="H103" s="81">
        <f ca="1">OFFSET('3. 손익계산서 월별실적'!E103,0,$C$4-2)</f>
        <v>0</v>
      </c>
      <c r="I103" s="148">
        <f t="shared" ca="1" si="46"/>
        <v>0</v>
      </c>
      <c r="J103" s="81">
        <f ca="1">OFFSET('(계획)손익계산서 월별계획'!E103,0,$C$4-1)</f>
        <v>0</v>
      </c>
      <c r="K103" s="148">
        <f t="shared" ca="1" si="39"/>
        <v>0</v>
      </c>
      <c r="L103" s="81">
        <f ca="1">OFFSET('3. 손익계산서 월별실적'!E103,0,$C$4-1)</f>
        <v>0</v>
      </c>
      <c r="M103" s="148">
        <f t="shared" ca="1" si="41"/>
        <v>0</v>
      </c>
      <c r="N103" s="132">
        <f t="shared" ca="1" si="47"/>
        <v>0</v>
      </c>
      <c r="O103" s="132">
        <f t="shared" ca="1" si="48"/>
        <v>0</v>
      </c>
    </row>
    <row r="104" spans="2:30" hidden="1" outlineLevel="1" x14ac:dyDescent="0.2">
      <c r="B104" s="67" t="s">
        <v>48</v>
      </c>
      <c r="C104" s="81">
        <f>'(계획)손익계산서 월별계획'!C104</f>
        <v>0</v>
      </c>
      <c r="D104" s="148">
        <f t="shared" ca="1" si="26"/>
        <v>0</v>
      </c>
      <c r="E104" s="81">
        <f ca="1">SUM('(계획)손익계산서 월별계획'!E104:(OFFSET('(계획)손익계산서 월별계획'!E104,0,$C$4-1)))</f>
        <v>0</v>
      </c>
      <c r="F104" s="81">
        <f ca="1">SUM('3. 손익계산서 월별실적'!E104:(OFFSET('3. 손익계산서 월별실적'!E104,0,$C$4-1)))</f>
        <v>0</v>
      </c>
      <c r="G104" s="148">
        <f t="shared" ca="1" si="27"/>
        <v>0</v>
      </c>
      <c r="H104" s="81">
        <f ca="1">OFFSET('3. 손익계산서 월별실적'!E104,0,$C$4-2)</f>
        <v>0</v>
      </c>
      <c r="I104" s="148">
        <f t="shared" ca="1" si="46"/>
        <v>0</v>
      </c>
      <c r="J104" s="81">
        <f ca="1">OFFSET('(계획)손익계산서 월별계획'!E104,0,$C$4-1)</f>
        <v>0</v>
      </c>
      <c r="K104" s="148">
        <f t="shared" ca="1" si="39"/>
        <v>0</v>
      </c>
      <c r="L104" s="81">
        <f ca="1">OFFSET('3. 손익계산서 월별실적'!E104,0,$C$4-1)</f>
        <v>0</v>
      </c>
      <c r="M104" s="148">
        <f t="shared" ca="1" si="41"/>
        <v>0</v>
      </c>
      <c r="N104" s="132">
        <f t="shared" ca="1" si="47"/>
        <v>0</v>
      </c>
      <c r="O104" s="132">
        <f t="shared" ca="1" si="48"/>
        <v>0</v>
      </c>
    </row>
    <row r="105" spans="2:30" hidden="1" outlineLevel="1" x14ac:dyDescent="0.2">
      <c r="B105" s="67" t="s">
        <v>49</v>
      </c>
      <c r="C105" s="81">
        <f>'(계획)손익계산서 월별계획'!C105</f>
        <v>0</v>
      </c>
      <c r="D105" s="148">
        <f t="shared" ca="1" si="26"/>
        <v>0</v>
      </c>
      <c r="E105" s="81">
        <f ca="1">SUM('(계획)손익계산서 월별계획'!E105:(OFFSET('(계획)손익계산서 월별계획'!E105,0,$C$4-1)))</f>
        <v>0</v>
      </c>
      <c r="F105" s="81">
        <f ca="1">SUM('3. 손익계산서 월별실적'!E105:(OFFSET('3. 손익계산서 월별실적'!E105,0,$C$4-1)))</f>
        <v>0</v>
      </c>
      <c r="G105" s="148">
        <f t="shared" ca="1" si="27"/>
        <v>0</v>
      </c>
      <c r="H105" s="81">
        <f ca="1">OFFSET('3. 손익계산서 월별실적'!E105,0,$C$4-2)</f>
        <v>0</v>
      </c>
      <c r="I105" s="148">
        <f t="shared" ca="1" si="46"/>
        <v>0</v>
      </c>
      <c r="J105" s="81">
        <f ca="1">OFFSET('(계획)손익계산서 월별계획'!E105,0,$C$4-1)</f>
        <v>0</v>
      </c>
      <c r="K105" s="148">
        <f t="shared" ca="1" si="39"/>
        <v>0</v>
      </c>
      <c r="L105" s="81">
        <f ca="1">OFFSET('3. 손익계산서 월별실적'!E105,0,$C$4-1)</f>
        <v>0</v>
      </c>
      <c r="M105" s="148">
        <f t="shared" ca="1" si="41"/>
        <v>0</v>
      </c>
      <c r="N105" s="132">
        <f t="shared" ca="1" si="47"/>
        <v>0</v>
      </c>
      <c r="O105" s="132">
        <f t="shared" ca="1" si="48"/>
        <v>0</v>
      </c>
    </row>
    <row r="106" spans="2:30" hidden="1" outlineLevel="1" x14ac:dyDescent="0.2">
      <c r="B106" s="67" t="s">
        <v>50</v>
      </c>
      <c r="C106" s="81">
        <f>'(계획)손익계산서 월별계획'!C106</f>
        <v>0</v>
      </c>
      <c r="D106" s="148">
        <f t="shared" ca="1" si="26"/>
        <v>0</v>
      </c>
      <c r="E106" s="81">
        <f ca="1">SUM('(계획)손익계산서 월별계획'!E106:(OFFSET('(계획)손익계산서 월별계획'!E106,0,$C$4-1)))</f>
        <v>0</v>
      </c>
      <c r="F106" s="81">
        <f ca="1">SUM('3. 손익계산서 월별실적'!E106:(OFFSET('3. 손익계산서 월별실적'!E106,0,$C$4-1)))</f>
        <v>0</v>
      </c>
      <c r="G106" s="148">
        <f t="shared" ca="1" si="27"/>
        <v>0</v>
      </c>
      <c r="H106" s="81">
        <f ca="1">OFFSET('3. 손익계산서 월별실적'!E106,0,$C$4-2)</f>
        <v>0</v>
      </c>
      <c r="I106" s="148">
        <f t="shared" ca="1" si="46"/>
        <v>0</v>
      </c>
      <c r="J106" s="81">
        <f ca="1">OFFSET('(계획)손익계산서 월별계획'!E106,0,$C$4-1)</f>
        <v>0</v>
      </c>
      <c r="K106" s="148">
        <f t="shared" ca="1" si="39"/>
        <v>0</v>
      </c>
      <c r="L106" s="81">
        <f ca="1">OFFSET('3. 손익계산서 월별실적'!E106,0,$C$4-1)</f>
        <v>0</v>
      </c>
      <c r="M106" s="148">
        <f t="shared" ca="1" si="41"/>
        <v>0</v>
      </c>
      <c r="N106" s="132">
        <f t="shared" ca="1" si="47"/>
        <v>0</v>
      </c>
      <c r="O106" s="132">
        <f t="shared" ca="1" si="48"/>
        <v>0</v>
      </c>
    </row>
    <row r="107" spans="2:30" hidden="1" outlineLevel="1" x14ac:dyDescent="0.2">
      <c r="B107" s="67" t="s">
        <v>51</v>
      </c>
      <c r="C107" s="81">
        <f>'(계획)손익계산서 월별계획'!C107</f>
        <v>0</v>
      </c>
      <c r="D107" s="148">
        <f t="shared" ca="1" si="26"/>
        <v>0</v>
      </c>
      <c r="E107" s="81">
        <f ca="1">SUM('(계획)손익계산서 월별계획'!E107:(OFFSET('(계획)손익계산서 월별계획'!E107,0,$C$4-1)))</f>
        <v>0</v>
      </c>
      <c r="F107" s="81">
        <f ca="1">SUM('3. 손익계산서 월별실적'!E107:(OFFSET('3. 손익계산서 월별실적'!E107,0,$C$4-1)))</f>
        <v>0</v>
      </c>
      <c r="G107" s="148">
        <f t="shared" ca="1" si="27"/>
        <v>0</v>
      </c>
      <c r="H107" s="81">
        <f ca="1">OFFSET('3. 손익계산서 월별실적'!E107,0,$C$4-2)</f>
        <v>0</v>
      </c>
      <c r="I107" s="148">
        <f t="shared" ca="1" si="46"/>
        <v>0</v>
      </c>
      <c r="J107" s="81">
        <f ca="1">OFFSET('(계획)손익계산서 월별계획'!E107,0,$C$4-1)</f>
        <v>0</v>
      </c>
      <c r="K107" s="148">
        <f t="shared" ca="1" si="39"/>
        <v>0</v>
      </c>
      <c r="L107" s="81">
        <f ca="1">OFFSET('3. 손익계산서 월별실적'!E107,0,$C$4-1)</f>
        <v>0</v>
      </c>
      <c r="M107" s="148">
        <f t="shared" ca="1" si="41"/>
        <v>0</v>
      </c>
      <c r="N107" s="132">
        <f t="shared" ca="1" si="47"/>
        <v>0</v>
      </c>
      <c r="O107" s="132">
        <f t="shared" ca="1" si="48"/>
        <v>0</v>
      </c>
    </row>
    <row r="108" spans="2:30" hidden="1" outlineLevel="1" x14ac:dyDescent="0.2">
      <c r="B108" s="67" t="s">
        <v>52</v>
      </c>
      <c r="C108" s="81">
        <f>'(계획)손익계산서 월별계획'!C108</f>
        <v>0</v>
      </c>
      <c r="D108" s="148">
        <f t="shared" ca="1" si="26"/>
        <v>0</v>
      </c>
      <c r="E108" s="81">
        <f ca="1">SUM('(계획)손익계산서 월별계획'!E108:(OFFSET('(계획)손익계산서 월별계획'!E108,0,$C$4-1)))</f>
        <v>0</v>
      </c>
      <c r="F108" s="81">
        <f ca="1">SUM('3. 손익계산서 월별실적'!E108:(OFFSET('3. 손익계산서 월별실적'!E108,0,$C$4-1)))</f>
        <v>0</v>
      </c>
      <c r="G108" s="148">
        <f t="shared" ca="1" si="27"/>
        <v>0</v>
      </c>
      <c r="H108" s="81">
        <f ca="1">OFFSET('3. 손익계산서 월별실적'!E108,0,$C$4-2)</f>
        <v>0</v>
      </c>
      <c r="I108" s="148">
        <f t="shared" ca="1" si="46"/>
        <v>0</v>
      </c>
      <c r="J108" s="81">
        <f ca="1">OFFSET('(계획)손익계산서 월별계획'!E108,0,$C$4-1)</f>
        <v>0</v>
      </c>
      <c r="K108" s="148">
        <f t="shared" ca="1" si="39"/>
        <v>0</v>
      </c>
      <c r="L108" s="81">
        <f ca="1">OFFSET('3. 손익계산서 월별실적'!E108,0,$C$4-1)</f>
        <v>0</v>
      </c>
      <c r="M108" s="148">
        <f t="shared" ca="1" si="41"/>
        <v>0</v>
      </c>
      <c r="N108" s="132">
        <f t="shared" ca="1" si="47"/>
        <v>0</v>
      </c>
      <c r="O108" s="132">
        <f t="shared" ca="1" si="48"/>
        <v>0</v>
      </c>
    </row>
    <row r="109" spans="2:30" hidden="1" outlineLevel="1" x14ac:dyDescent="0.2">
      <c r="B109" s="67" t="s">
        <v>53</v>
      </c>
      <c r="C109" s="81">
        <f>'(계획)손익계산서 월별계획'!C109</f>
        <v>0</v>
      </c>
      <c r="D109" s="148">
        <f t="shared" ca="1" si="26"/>
        <v>0</v>
      </c>
      <c r="E109" s="81">
        <f ca="1">SUM('(계획)손익계산서 월별계획'!E109:(OFFSET('(계획)손익계산서 월별계획'!E109,0,$C$4-1)))</f>
        <v>0</v>
      </c>
      <c r="F109" s="81">
        <f ca="1">SUM('3. 손익계산서 월별실적'!E109:(OFFSET('3. 손익계산서 월별실적'!E109,0,$C$4-1)))</f>
        <v>0</v>
      </c>
      <c r="G109" s="148">
        <f t="shared" ca="1" si="27"/>
        <v>0</v>
      </c>
      <c r="H109" s="81">
        <f ca="1">OFFSET('3. 손익계산서 월별실적'!E109,0,$C$4-2)</f>
        <v>0</v>
      </c>
      <c r="I109" s="148">
        <f t="shared" ca="1" si="46"/>
        <v>0</v>
      </c>
      <c r="J109" s="81">
        <f ca="1">OFFSET('(계획)손익계산서 월별계획'!E109,0,$C$4-1)</f>
        <v>0</v>
      </c>
      <c r="K109" s="148">
        <f t="shared" ca="1" si="39"/>
        <v>0</v>
      </c>
      <c r="L109" s="81">
        <f ca="1">OFFSET('3. 손익계산서 월별실적'!E109,0,$C$4-1)</f>
        <v>0</v>
      </c>
      <c r="M109" s="148">
        <f t="shared" ca="1" si="41"/>
        <v>0</v>
      </c>
      <c r="N109" s="132">
        <f t="shared" ca="1" si="47"/>
        <v>0</v>
      </c>
      <c r="O109" s="132">
        <f t="shared" ca="1" si="48"/>
        <v>0</v>
      </c>
    </row>
    <row r="110" spans="2:30" hidden="1" outlineLevel="1" x14ac:dyDescent="0.2">
      <c r="B110" s="67" t="s">
        <v>54</v>
      </c>
      <c r="C110" s="81">
        <f>'(계획)손익계산서 월별계획'!C110</f>
        <v>0</v>
      </c>
      <c r="D110" s="148">
        <f t="shared" ca="1" si="26"/>
        <v>0</v>
      </c>
      <c r="E110" s="81">
        <f ca="1">SUM('(계획)손익계산서 월별계획'!E110:(OFFSET('(계획)손익계산서 월별계획'!E110,0,$C$4-1)))</f>
        <v>0</v>
      </c>
      <c r="F110" s="81">
        <f ca="1">SUM('3. 손익계산서 월별실적'!E110:(OFFSET('3. 손익계산서 월별실적'!E110,0,$C$4-1)))</f>
        <v>0</v>
      </c>
      <c r="G110" s="148">
        <f t="shared" ca="1" si="27"/>
        <v>0</v>
      </c>
      <c r="H110" s="81">
        <f ca="1">OFFSET('3. 손익계산서 월별실적'!E110,0,$C$4-2)</f>
        <v>0</v>
      </c>
      <c r="I110" s="148">
        <f t="shared" ca="1" si="46"/>
        <v>0</v>
      </c>
      <c r="J110" s="81">
        <f ca="1">OFFSET('(계획)손익계산서 월별계획'!E110,0,$C$4-1)</f>
        <v>0</v>
      </c>
      <c r="K110" s="148">
        <f t="shared" ca="1" si="39"/>
        <v>0</v>
      </c>
      <c r="L110" s="81">
        <f ca="1">OFFSET('3. 손익계산서 월별실적'!E110,0,$C$4-1)</f>
        <v>0</v>
      </c>
      <c r="M110" s="148">
        <f t="shared" ca="1" si="41"/>
        <v>0</v>
      </c>
      <c r="N110" s="132">
        <f t="shared" ca="1" si="47"/>
        <v>0</v>
      </c>
      <c r="O110" s="132">
        <f t="shared" ca="1" si="48"/>
        <v>0</v>
      </c>
    </row>
    <row r="111" spans="2:30" hidden="1" outlineLevel="1" x14ac:dyDescent="0.2">
      <c r="B111" s="67" t="s">
        <v>55</v>
      </c>
      <c r="C111" s="81">
        <f>'(계획)손익계산서 월별계획'!C111</f>
        <v>0</v>
      </c>
      <c r="D111" s="148">
        <f t="shared" ca="1" si="26"/>
        <v>0</v>
      </c>
      <c r="E111" s="81">
        <f ca="1">SUM('(계획)손익계산서 월별계획'!E111:(OFFSET('(계획)손익계산서 월별계획'!E111,0,$C$4-1)))</f>
        <v>0</v>
      </c>
      <c r="F111" s="81">
        <f ca="1">SUM('3. 손익계산서 월별실적'!E111:(OFFSET('3. 손익계산서 월별실적'!E111,0,$C$4-1)))</f>
        <v>0</v>
      </c>
      <c r="G111" s="148">
        <f t="shared" ca="1" si="27"/>
        <v>0</v>
      </c>
      <c r="H111" s="81">
        <f ca="1">OFFSET('3. 손익계산서 월별실적'!E111,0,$C$4-2)</f>
        <v>0</v>
      </c>
      <c r="I111" s="148">
        <f t="shared" ca="1" si="46"/>
        <v>0</v>
      </c>
      <c r="J111" s="81">
        <f ca="1">OFFSET('(계획)손익계산서 월별계획'!E111,0,$C$4-1)</f>
        <v>0</v>
      </c>
      <c r="K111" s="148">
        <f t="shared" ca="1" si="39"/>
        <v>0</v>
      </c>
      <c r="L111" s="81">
        <f ca="1">OFFSET('3. 손익계산서 월별실적'!E111,0,$C$4-1)</f>
        <v>0</v>
      </c>
      <c r="M111" s="148">
        <f t="shared" ca="1" si="41"/>
        <v>0</v>
      </c>
      <c r="N111" s="132">
        <f t="shared" ca="1" si="47"/>
        <v>0</v>
      </c>
      <c r="O111" s="132">
        <f t="shared" ca="1" si="48"/>
        <v>0</v>
      </c>
    </row>
    <row r="112" spans="2:30" hidden="1" outlineLevel="1" x14ac:dyDescent="0.2">
      <c r="B112" s="67" t="s">
        <v>56</v>
      </c>
      <c r="C112" s="81">
        <f>'(계획)손익계산서 월별계획'!C112</f>
        <v>0</v>
      </c>
      <c r="D112" s="148">
        <f t="shared" ca="1" si="26"/>
        <v>0</v>
      </c>
      <c r="E112" s="81">
        <f ca="1">SUM('(계획)손익계산서 월별계획'!E112:(OFFSET('(계획)손익계산서 월별계획'!E112,0,$C$4-1)))</f>
        <v>0</v>
      </c>
      <c r="F112" s="81">
        <f ca="1">SUM('3. 손익계산서 월별실적'!E112:(OFFSET('3. 손익계산서 월별실적'!E112,0,$C$4-1)))</f>
        <v>0</v>
      </c>
      <c r="G112" s="148">
        <f t="shared" ca="1" si="27"/>
        <v>0</v>
      </c>
      <c r="H112" s="81">
        <f ca="1">OFFSET('3. 손익계산서 월별실적'!E112,0,$C$4-2)</f>
        <v>0</v>
      </c>
      <c r="I112" s="148">
        <f t="shared" ca="1" si="46"/>
        <v>0</v>
      </c>
      <c r="J112" s="81">
        <f ca="1">OFFSET('(계획)손익계산서 월별계획'!E112,0,$C$4-1)</f>
        <v>0</v>
      </c>
      <c r="K112" s="148">
        <f t="shared" ca="1" si="39"/>
        <v>0</v>
      </c>
      <c r="L112" s="81">
        <f ca="1">OFFSET('3. 손익계산서 월별실적'!E112,0,$C$4-1)</f>
        <v>0</v>
      </c>
      <c r="M112" s="148">
        <f t="shared" ca="1" si="41"/>
        <v>0</v>
      </c>
      <c r="N112" s="132">
        <f t="shared" ca="1" si="47"/>
        <v>0</v>
      </c>
      <c r="O112" s="132">
        <f t="shared" ca="1" si="48"/>
        <v>0</v>
      </c>
    </row>
    <row r="113" spans="2:15" hidden="1" outlineLevel="1" x14ac:dyDescent="0.2">
      <c r="B113" s="67" t="s">
        <v>57</v>
      </c>
      <c r="C113" s="81">
        <f>'(계획)손익계산서 월별계획'!C113</f>
        <v>0</v>
      </c>
      <c r="D113" s="148">
        <f t="shared" ca="1" si="26"/>
        <v>0</v>
      </c>
      <c r="E113" s="81">
        <f ca="1">SUM('(계획)손익계산서 월별계획'!E113:(OFFSET('(계획)손익계산서 월별계획'!E113,0,$C$4-1)))</f>
        <v>0</v>
      </c>
      <c r="F113" s="81">
        <f ca="1">SUM('3. 손익계산서 월별실적'!E113:(OFFSET('3. 손익계산서 월별실적'!E113,0,$C$4-1)))</f>
        <v>0</v>
      </c>
      <c r="G113" s="148">
        <f t="shared" ca="1" si="27"/>
        <v>0</v>
      </c>
      <c r="H113" s="81">
        <f ca="1">OFFSET('3. 손익계산서 월별실적'!E113,0,$C$4-2)</f>
        <v>0</v>
      </c>
      <c r="I113" s="148">
        <f t="shared" ca="1" si="46"/>
        <v>0</v>
      </c>
      <c r="J113" s="81">
        <f ca="1">OFFSET('(계획)손익계산서 월별계획'!E113,0,$C$4-1)</f>
        <v>0</v>
      </c>
      <c r="K113" s="148">
        <f t="shared" ca="1" si="39"/>
        <v>0</v>
      </c>
      <c r="L113" s="81">
        <f ca="1">OFFSET('3. 손익계산서 월별실적'!E113,0,$C$4-1)</f>
        <v>0</v>
      </c>
      <c r="M113" s="148">
        <f t="shared" ca="1" si="41"/>
        <v>0</v>
      </c>
      <c r="N113" s="132">
        <f t="shared" ca="1" si="47"/>
        <v>0</v>
      </c>
      <c r="O113" s="132">
        <f t="shared" ca="1" si="48"/>
        <v>0</v>
      </c>
    </row>
    <row r="114" spans="2:15" hidden="1" outlineLevel="1" x14ac:dyDescent="0.2">
      <c r="B114" s="106"/>
      <c r="C114" s="81"/>
      <c r="D114" s="148"/>
      <c r="E114" s="81"/>
      <c r="F114" s="81"/>
      <c r="G114" s="148"/>
      <c r="H114" s="81"/>
      <c r="I114" s="148"/>
      <c r="J114" s="81"/>
      <c r="K114" s="148"/>
      <c r="L114" s="81"/>
      <c r="M114" s="148"/>
      <c r="N114" s="132"/>
      <c r="O114" s="132"/>
    </row>
    <row r="115" spans="2:15" ht="16.5" collapsed="1" x14ac:dyDescent="0.2">
      <c r="B115" s="97" t="s">
        <v>17</v>
      </c>
      <c r="C115" s="109">
        <f>SUM(C116:C131)</f>
        <v>7018954.5251176823</v>
      </c>
      <c r="D115" s="150">
        <f t="shared" ca="1" si="26"/>
        <v>0.1025589804612576</v>
      </c>
      <c r="E115" s="109">
        <f t="shared" ref="E115:L115" ca="1" si="50">SUM(E116:E131)</f>
        <v>1209526.1791044557</v>
      </c>
      <c r="F115" s="109">
        <f t="shared" ca="1" si="50"/>
        <v>719856.82</v>
      </c>
      <c r="G115" s="150">
        <f t="shared" ca="1" si="27"/>
        <v>0.59515604741435901</v>
      </c>
      <c r="H115" s="109">
        <f t="shared" ca="1" si="50"/>
        <v>342624.59</v>
      </c>
      <c r="I115" s="150">
        <f t="shared" ca="1" si="46"/>
        <v>3.3170064875022325E-2</v>
      </c>
      <c r="J115" s="109">
        <f t="shared" ca="1" si="50"/>
        <v>586668.69737373048</v>
      </c>
      <c r="K115" s="150">
        <f t="shared" ca="1" si="39"/>
        <v>4.929188080969573E-2</v>
      </c>
      <c r="L115" s="109">
        <f t="shared" ca="1" si="50"/>
        <v>377232.23</v>
      </c>
      <c r="M115" s="150">
        <f t="shared" ca="1" si="41"/>
        <v>2.9735585849042661E-2</v>
      </c>
      <c r="N115" s="134">
        <f t="shared" ca="1" si="47"/>
        <v>1.1010074612566481</v>
      </c>
      <c r="O115" s="134">
        <f t="shared" ca="1" si="48"/>
        <v>0.64300725722833063</v>
      </c>
    </row>
    <row r="116" spans="2:15" x14ac:dyDescent="0.2">
      <c r="B116" s="112" t="s">
        <v>58</v>
      </c>
      <c r="C116" s="81">
        <f>'(계획)손익계산서 월별계획'!C116</f>
        <v>2387908.3655666676</v>
      </c>
      <c r="D116" s="148">
        <f t="shared" ca="1" si="26"/>
        <v>7.7868821384138101E-2</v>
      </c>
      <c r="E116" s="81">
        <f ca="1">SUM('(계획)손익계산서 월별계획'!E116:(OFFSET('(계획)손익계산서 월별계획'!E116,0,$C$4-1)))</f>
        <v>429470.92273333337</v>
      </c>
      <c r="F116" s="81">
        <f ca="1">SUM('3. 손익계산서 월별실적'!E116:(OFFSET('3. 손익계산서 월별실적'!E116,0,$C$4-1)))</f>
        <v>185943.61</v>
      </c>
      <c r="G116" s="148">
        <f t="shared" ca="1" si="27"/>
        <v>0.43295971894110258</v>
      </c>
      <c r="H116" s="81">
        <f ca="1">OFFSET('3. 손익계산서 월별실적'!E116,0,$C$4-2)</f>
        <v>92901.83</v>
      </c>
      <c r="I116" s="148">
        <f t="shared" ca="1" si="46"/>
        <v>8.993982971590847E-3</v>
      </c>
      <c r="J116" s="81">
        <f ca="1">OFFSET('(계획)손익계산서 월별계획'!E116,0,$C$4-1)</f>
        <v>214735.46136666668</v>
      </c>
      <c r="K116" s="148">
        <f t="shared" ca="1" si="39"/>
        <v>1.8042064992872607E-2</v>
      </c>
      <c r="L116" s="81">
        <f ca="1">OFFSET('3. 손익계산서 월별실적'!E116,0,$C$4-1)</f>
        <v>93041.78</v>
      </c>
      <c r="M116" s="148">
        <f t="shared" ca="1" si="41"/>
        <v>7.3340812812779559E-3</v>
      </c>
      <c r="N116" s="132">
        <f t="shared" ca="1" si="47"/>
        <v>1.0015064288830478</v>
      </c>
      <c r="O116" s="132">
        <f t="shared" ca="1" si="48"/>
        <v>0.43328558500698033</v>
      </c>
    </row>
    <row r="117" spans="2:15" x14ac:dyDescent="0.2">
      <c r="B117" s="112" t="s">
        <v>59</v>
      </c>
      <c r="C117" s="81">
        <f>'(계획)손익계산서 월별계획'!C117</f>
        <v>112845.21682624255</v>
      </c>
      <c r="D117" s="148">
        <f t="shared" ca="1" si="26"/>
        <v>0.1852774143913723</v>
      </c>
      <c r="E117" s="81">
        <f ca="1">SUM('(계획)손익계산서 월별계획'!E117:(OFFSET('(계획)손익계산서 월별계획'!E117,0,$C$4-1)))</f>
        <v>18807.536137707091</v>
      </c>
      <c r="F117" s="81">
        <f ca="1">SUM('3. 손익계산서 월별실적'!E117:(OFFSET('3. 손익계산서 월별실적'!E117,0,$C$4-1)))</f>
        <v>20907.669999999998</v>
      </c>
      <c r="G117" s="148">
        <f t="shared" ca="1" si="27"/>
        <v>1.1116644863482337</v>
      </c>
      <c r="H117" s="81">
        <f ca="1">OFFSET('3. 손익계산서 월별실적'!E117,0,$C$4-2)</f>
        <v>10508.77</v>
      </c>
      <c r="I117" s="148">
        <f t="shared" ca="1" si="46"/>
        <v>1.0173717614859119E-3</v>
      </c>
      <c r="J117" s="81">
        <f ca="1">OFFSET('(계획)손익계산서 월별계획'!E117,0,$C$4-1)</f>
        <v>9403.7680688535474</v>
      </c>
      <c r="K117" s="148">
        <f t="shared" ca="1" si="39"/>
        <v>7.9010422217339754E-4</v>
      </c>
      <c r="L117" s="81">
        <f ca="1">OFFSET('3. 손익계산서 월별실적'!E117,0,$C$4-1)</f>
        <v>10398.9</v>
      </c>
      <c r="M117" s="148">
        <f t="shared" ca="1" si="41"/>
        <v>8.1970033071036841E-4</v>
      </c>
      <c r="N117" s="132">
        <f t="shared" ca="1" si="47"/>
        <v>0.98954492295482721</v>
      </c>
      <c r="O117" s="132">
        <f t="shared" ca="1" si="48"/>
        <v>1.1058226791494841</v>
      </c>
    </row>
    <row r="118" spans="2:15" x14ac:dyDescent="0.2">
      <c r="B118" s="112" t="s">
        <v>60</v>
      </c>
      <c r="C118" s="81">
        <f>'(계획)손익계산서 월별계획'!C118</f>
        <v>830369.53946551727</v>
      </c>
      <c r="D118" s="148">
        <f t="shared" ca="1" si="26"/>
        <v>4.0035524450232479E-2</v>
      </c>
      <c r="E118" s="81">
        <f ca="1">SUM('(계획)손익계산서 월별계획'!E118:(OFFSET('(계획)손익계산서 월별계획'!E118,0,$C$4-1)))</f>
        <v>133830.77380905603</v>
      </c>
      <c r="F118" s="81">
        <f ca="1">SUM('3. 손익계산서 월별실적'!E118:(OFFSET('3. 손익계산서 월별실적'!E118,0,$C$4-1)))</f>
        <v>33244.28</v>
      </c>
      <c r="G118" s="148">
        <f t="shared" ca="1" si="27"/>
        <v>0.24840534843975051</v>
      </c>
      <c r="H118" s="81">
        <f ca="1">OFFSET('3. 손익계산서 월별실적'!E118,0,$C$4-2)</f>
        <v>17302.13</v>
      </c>
      <c r="I118" s="148">
        <f t="shared" ca="1" si="46"/>
        <v>1.6750484096196075E-3</v>
      </c>
      <c r="J118" s="81">
        <f ca="1">OFFSET('(계획)손익계산서 월별계획'!E118,0,$C$4-1)</f>
        <v>67439.455736482836</v>
      </c>
      <c r="K118" s="148">
        <f t="shared" ca="1" si="39"/>
        <v>5.6662604105427649E-3</v>
      </c>
      <c r="L118" s="81">
        <f ca="1">OFFSET('3. 손익계산서 월별실적'!E118,0,$C$4-1)</f>
        <v>15942.15</v>
      </c>
      <c r="M118" s="148">
        <f t="shared" ca="1" si="41"/>
        <v>1.2566507637571569E-3</v>
      </c>
      <c r="N118" s="132">
        <f t="shared" ca="1" si="47"/>
        <v>0.92139811687925122</v>
      </c>
      <c r="O118" s="132">
        <f t="shared" ca="1" si="48"/>
        <v>0.2363920323184896</v>
      </c>
    </row>
    <row r="119" spans="2:15" x14ac:dyDescent="0.2">
      <c r="B119" s="112" t="s">
        <v>61</v>
      </c>
      <c r="C119" s="81">
        <f>'(계획)손익계산서 월별계획'!C119</f>
        <v>223563.52097573923</v>
      </c>
      <c r="D119" s="148">
        <f t="shared" ca="1" si="26"/>
        <v>0</v>
      </c>
      <c r="E119" s="81">
        <f ca="1">SUM('(계획)손익계산서 월별계획'!E119:(OFFSET('(계획)손익계산서 월별계획'!E119,0,$C$4-1)))</f>
        <v>35475.08180663301</v>
      </c>
      <c r="F119" s="81">
        <f ca="1">SUM('3. 손익계산서 월별실적'!E119:(OFFSET('3. 손익계산서 월별실적'!E119,0,$C$4-1)))</f>
        <v>0</v>
      </c>
      <c r="G119" s="148">
        <f t="shared" ca="1" si="27"/>
        <v>0</v>
      </c>
      <c r="H119" s="81">
        <f ca="1">OFFSET('3. 손익계산서 월별실적'!E119,0,$C$4-2)</f>
        <v>0</v>
      </c>
      <c r="I119" s="148">
        <f t="shared" ca="1" si="46"/>
        <v>0</v>
      </c>
      <c r="J119" s="81">
        <f ca="1">OFFSET('(계획)손익계산서 월별계획'!E119,0,$C$4-1)</f>
        <v>17249.11643955997</v>
      </c>
      <c r="K119" s="148">
        <f t="shared" ca="1" si="39"/>
        <v>1.4492700827869751E-3</v>
      </c>
      <c r="L119" s="81">
        <f ca="1">OFFSET('3. 손익계산서 월별실적'!E119,0,$C$4-1)</f>
        <v>0</v>
      </c>
      <c r="M119" s="148">
        <f t="shared" ca="1" si="41"/>
        <v>0</v>
      </c>
      <c r="N119" s="132">
        <f t="shared" ca="1" si="47"/>
        <v>0</v>
      </c>
      <c r="O119" s="132">
        <f t="shared" ca="1" si="48"/>
        <v>0</v>
      </c>
    </row>
    <row r="120" spans="2:15" x14ac:dyDescent="0.2">
      <c r="B120" s="112" t="s">
        <v>62</v>
      </c>
      <c r="C120" s="81">
        <f>'(계획)손익계산서 월별계획'!C120</f>
        <v>0</v>
      </c>
      <c r="D120" s="148">
        <f t="shared" ca="1" si="26"/>
        <v>0</v>
      </c>
      <c r="E120" s="81">
        <f ca="1">SUM('(계획)손익계산서 월별계획'!E120:(OFFSET('(계획)손익계산서 월별계획'!E120,0,$C$4-1)))</f>
        <v>0</v>
      </c>
      <c r="F120" s="81">
        <f ca="1">SUM('3. 손익계산서 월별실적'!E120:(OFFSET('3. 손익계산서 월별실적'!E120,0,$C$4-1)))</f>
        <v>715.36</v>
      </c>
      <c r="G120" s="148">
        <f t="shared" ca="1" si="27"/>
        <v>0</v>
      </c>
      <c r="H120" s="81">
        <f ca="1">OFFSET('3. 손익계산서 월별실적'!E120,0,$C$4-2)</f>
        <v>421.05</v>
      </c>
      <c r="I120" s="148">
        <f t="shared" ca="1" si="46"/>
        <v>4.0762561191618356E-5</v>
      </c>
      <c r="J120" s="81">
        <f ca="1">OFFSET('(계획)손익계산서 월별계획'!E120,0,$C$4-1)</f>
        <v>0</v>
      </c>
      <c r="K120" s="148">
        <f t="shared" ca="1" si="39"/>
        <v>0</v>
      </c>
      <c r="L120" s="81">
        <f ca="1">OFFSET('3. 손익계산서 월별실적'!E120,0,$C$4-1)</f>
        <v>294.31</v>
      </c>
      <c r="M120" s="148">
        <f t="shared" ca="1" si="41"/>
        <v>2.3199184945654687E-5</v>
      </c>
      <c r="N120" s="132">
        <f t="shared" ca="1" si="47"/>
        <v>0.69899061869136681</v>
      </c>
      <c r="O120" s="132">
        <f t="shared" ca="1" si="48"/>
        <v>0</v>
      </c>
    </row>
    <row r="121" spans="2:15" x14ac:dyDescent="0.2">
      <c r="B121" s="112" t="s">
        <v>63</v>
      </c>
      <c r="C121" s="81">
        <f>'(계획)손익계산서 월별계획'!C121</f>
        <v>0</v>
      </c>
      <c r="D121" s="148">
        <f t="shared" ca="1" si="26"/>
        <v>0</v>
      </c>
      <c r="E121" s="81">
        <f ca="1">SUM('(계획)손익계산서 월별계획'!E121:(OFFSET('(계획)손익계산서 월별계획'!E121,0,$C$4-1)))</f>
        <v>0</v>
      </c>
      <c r="F121" s="81">
        <f ca="1">SUM('3. 손익계산서 월별실적'!E121:(OFFSET('3. 손익계산서 월별실적'!E121,0,$C$4-1)))</f>
        <v>0</v>
      </c>
      <c r="G121" s="148">
        <f t="shared" ca="1" si="27"/>
        <v>0</v>
      </c>
      <c r="H121" s="81">
        <f ca="1">OFFSET('3. 손익계산서 월별실적'!E121,0,$C$4-2)</f>
        <v>0</v>
      </c>
      <c r="I121" s="148">
        <f t="shared" ca="1" si="46"/>
        <v>0</v>
      </c>
      <c r="J121" s="81">
        <f ca="1">OFFSET('(계획)손익계산서 월별계획'!E121,0,$C$4-1)</f>
        <v>0</v>
      </c>
      <c r="K121" s="148">
        <f t="shared" ca="1" si="39"/>
        <v>0</v>
      </c>
      <c r="L121" s="81">
        <f ca="1">OFFSET('3. 손익계산서 월별실적'!E121,0,$C$4-1)</f>
        <v>0</v>
      </c>
      <c r="M121" s="148">
        <f t="shared" ca="1" si="41"/>
        <v>0</v>
      </c>
      <c r="N121" s="132">
        <f t="shared" ca="1" si="47"/>
        <v>0</v>
      </c>
      <c r="O121" s="132">
        <f t="shared" ca="1" si="48"/>
        <v>0</v>
      </c>
    </row>
    <row r="122" spans="2:15" x14ac:dyDescent="0.2">
      <c r="B122" s="112" t="s">
        <v>64</v>
      </c>
      <c r="C122" s="81">
        <f>'(계획)손익계산서 월별계획'!C122</f>
        <v>0</v>
      </c>
      <c r="D122" s="148">
        <f t="shared" ca="1" si="26"/>
        <v>0</v>
      </c>
      <c r="E122" s="81">
        <f ca="1">SUM('(계획)손익계산서 월별계획'!E122:(OFFSET('(계획)손익계산서 월별계획'!E122,0,$C$4-1)))</f>
        <v>0</v>
      </c>
      <c r="F122" s="81">
        <f ca="1">SUM('3. 손익계산서 월별실적'!E122:(OFFSET('3. 손익계산서 월별실적'!E122,0,$C$4-1)))</f>
        <v>18646.72</v>
      </c>
      <c r="G122" s="148">
        <f t="shared" ca="1" si="27"/>
        <v>0</v>
      </c>
      <c r="H122" s="81">
        <f ca="1">OFFSET('3. 손익계산서 월별실적'!E122,0,$C$4-2)</f>
        <v>4997.2299999999996</v>
      </c>
      <c r="I122" s="148">
        <f t="shared" ca="1" si="46"/>
        <v>4.8379027114022318E-4</v>
      </c>
      <c r="J122" s="81">
        <f ca="1">OFFSET('(계획)손익계산서 월별계획'!E122,0,$C$4-1)</f>
        <v>0</v>
      </c>
      <c r="K122" s="148">
        <f t="shared" ca="1" si="39"/>
        <v>0</v>
      </c>
      <c r="L122" s="81">
        <f ca="1">OFFSET('3. 손익계산서 월별실적'!E122,0,$C$4-1)</f>
        <v>13649.49</v>
      </c>
      <c r="M122" s="148">
        <f t="shared" ca="1" si="41"/>
        <v>1.0759302875330916E-3</v>
      </c>
      <c r="N122" s="132">
        <f t="shared" ca="1" si="47"/>
        <v>2.7314112018058005</v>
      </c>
      <c r="O122" s="132">
        <f t="shared" ca="1" si="48"/>
        <v>0</v>
      </c>
    </row>
    <row r="123" spans="2:15" x14ac:dyDescent="0.2">
      <c r="B123" s="112" t="s">
        <v>65</v>
      </c>
      <c r="C123" s="81">
        <f>'(계획)손익계산서 월별계획'!C123</f>
        <v>3083052.1664800309</v>
      </c>
      <c r="D123" s="148">
        <f t="shared" ca="1" si="26"/>
        <v>0.13833058507307691</v>
      </c>
      <c r="E123" s="81">
        <f ca="1">SUM('(계획)손익계산서 월별계획'!E123:(OFFSET('(계획)손익계산서 월별계획'!E123,0,$C$4-1)))</f>
        <v>528159.43871008302</v>
      </c>
      <c r="F123" s="81">
        <f ca="1">SUM('3. 손익계산서 월별실적'!E123:(OFFSET('3. 손익계산서 월별실적'!E123,0,$C$4-1)))</f>
        <v>426480.41000000003</v>
      </c>
      <c r="G123" s="148">
        <f t="shared" ca="1" si="27"/>
        <v>0.80748421545128046</v>
      </c>
      <c r="H123" s="81">
        <f ca="1">OFFSET('3. 손익계산서 월별실적'!E123,0,$C$4-2)</f>
        <v>200093.95</v>
      </c>
      <c r="I123" s="148">
        <f t="shared" ca="1" si="46"/>
        <v>1.9371433038707097E-2</v>
      </c>
      <c r="J123" s="81">
        <f ca="1">OFFSET('(계획)손익계산서 월별계획'!E123,0,$C$4-1)</f>
        <v>245949.68280834591</v>
      </c>
      <c r="K123" s="148">
        <f t="shared" ca="1" si="39"/>
        <v>2.0664682647024604E-2</v>
      </c>
      <c r="L123" s="81">
        <f ca="1">OFFSET('3. 손익계산서 월별실적'!E123,0,$C$4-1)</f>
        <v>226386.46</v>
      </c>
      <c r="M123" s="148">
        <f t="shared" ca="1" si="41"/>
        <v>1.7845065932968831E-2</v>
      </c>
      <c r="N123" s="132">
        <f t="shared" ca="1" si="47"/>
        <v>1.1314008244627085</v>
      </c>
      <c r="O123" s="132">
        <f t="shared" ca="1" si="48"/>
        <v>0.92045843448560005</v>
      </c>
    </row>
    <row r="124" spans="2:15" x14ac:dyDescent="0.2">
      <c r="B124" s="112" t="s">
        <v>66</v>
      </c>
      <c r="C124" s="81">
        <f>'(계획)손익계산서 월별계획'!C124</f>
        <v>162568.36003662969</v>
      </c>
      <c r="D124" s="148">
        <f t="shared" ca="1" si="26"/>
        <v>9.0438569944897421E-2</v>
      </c>
      <c r="E124" s="81">
        <f ca="1">SUM('(계획)손익계산서 월별계획'!E124:(OFFSET('(계획)손익계산서 월별계획'!E124,0,$C$4-1)))</f>
        <v>27094.726672771616</v>
      </c>
      <c r="F124" s="81">
        <f ca="1">SUM('3. 손익계산서 월별실적'!E124:(OFFSET('3. 손익계산서 월별실적'!E124,0,$C$4-1)))</f>
        <v>14702.45</v>
      </c>
      <c r="G124" s="148">
        <f t="shared" ca="1" si="27"/>
        <v>0.54263141966938455</v>
      </c>
      <c r="H124" s="81">
        <f ca="1">OFFSET('3. 손익계산서 월별실적'!E124,0,$C$4-2)</f>
        <v>6742.17</v>
      </c>
      <c r="I124" s="148">
        <f t="shared" ca="1" si="46"/>
        <v>6.5272085782993358E-4</v>
      </c>
      <c r="J124" s="81">
        <f ca="1">OFFSET('(계획)손익계산서 월별계획'!E124,0,$C$4-1)</f>
        <v>13547.363336385808</v>
      </c>
      <c r="K124" s="148">
        <f t="shared" ca="1" si="39"/>
        <v>1.1382489330896972E-3</v>
      </c>
      <c r="L124" s="81">
        <f ca="1">OFFSET('3. 손익계산서 월별실적'!E124,0,$C$4-1)</f>
        <v>7960.28</v>
      </c>
      <c r="M124" s="148">
        <f t="shared" ca="1" si="41"/>
        <v>6.2747445869727866E-4</v>
      </c>
      <c r="N124" s="132">
        <f t="shared" ca="1" si="47"/>
        <v>1.1806703183099803</v>
      </c>
      <c r="O124" s="132">
        <f t="shared" ca="1" si="48"/>
        <v>0.58758887632548418</v>
      </c>
    </row>
    <row r="125" spans="2:15" x14ac:dyDescent="0.2">
      <c r="B125" s="112" t="s">
        <v>67</v>
      </c>
      <c r="C125" s="81">
        <f>'(계획)손익계산서 월별계획'!C125</f>
        <v>0</v>
      </c>
      <c r="D125" s="148">
        <f t="shared" ca="1" si="26"/>
        <v>0</v>
      </c>
      <c r="E125" s="81">
        <f ca="1">SUM('(계획)손익계산서 월별계획'!E125:(OFFSET('(계획)손익계산서 월별계획'!E125,0,$C$4-1)))</f>
        <v>0</v>
      </c>
      <c r="F125" s="81">
        <f ca="1">SUM('3. 손익계산서 월별실적'!E125:(OFFSET('3. 손익계산서 월별실적'!E125,0,$C$4-1)))</f>
        <v>8645.6899999999987</v>
      </c>
      <c r="G125" s="148">
        <f t="shared" ca="1" si="27"/>
        <v>0</v>
      </c>
      <c r="H125" s="81">
        <f ca="1">OFFSET('3. 손익계산서 월별실적'!E125,0,$C$4-2)</f>
        <v>4493.28</v>
      </c>
      <c r="I125" s="148">
        <f t="shared" ca="1" si="46"/>
        <v>4.350020210214343E-4</v>
      </c>
      <c r="J125" s="81">
        <f ca="1">OFFSET('(계획)손익계산서 월별계획'!E125,0,$C$4-1)</f>
        <v>0</v>
      </c>
      <c r="K125" s="148">
        <f t="shared" ca="1" si="39"/>
        <v>0</v>
      </c>
      <c r="L125" s="81">
        <f ca="1">OFFSET('3. 손익계산서 월별실적'!E125,0,$C$4-1)</f>
        <v>4152.41</v>
      </c>
      <c r="M125" s="148">
        <f t="shared" ca="1" si="41"/>
        <v>3.2731652869486585E-4</v>
      </c>
      <c r="N125" s="132">
        <f t="shared" ca="1" si="47"/>
        <v>0.92413782359434538</v>
      </c>
      <c r="O125" s="132">
        <f t="shared" ca="1" si="48"/>
        <v>0</v>
      </c>
    </row>
    <row r="126" spans="2:15" x14ac:dyDescent="0.2">
      <c r="B126" s="112" t="s">
        <v>68</v>
      </c>
      <c r="C126" s="81">
        <f>'(계획)손익계산서 월별계획'!C126</f>
        <v>0</v>
      </c>
      <c r="D126" s="148">
        <f t="shared" ca="1" si="26"/>
        <v>0</v>
      </c>
      <c r="E126" s="81">
        <f ca="1">SUM('(계획)손익계산서 월별계획'!E126:(OFFSET('(계획)손익계산서 월별계획'!E126,0,$C$4-1)))</f>
        <v>0</v>
      </c>
      <c r="F126" s="81">
        <f ca="1">SUM('3. 손익계산서 월별실적'!E126:(OFFSET('3. 손익계산서 월별실적'!E126,0,$C$4-1)))</f>
        <v>0</v>
      </c>
      <c r="G126" s="148">
        <f t="shared" ca="1" si="27"/>
        <v>0</v>
      </c>
      <c r="H126" s="81">
        <f ca="1">OFFSET('3. 손익계산서 월별실적'!E126,0,$C$4-2)</f>
        <v>0</v>
      </c>
      <c r="I126" s="148">
        <f t="shared" ca="1" si="46"/>
        <v>0</v>
      </c>
      <c r="J126" s="81">
        <f ca="1">OFFSET('(계획)손익계산서 월별계획'!E126,0,$C$4-1)</f>
        <v>0</v>
      </c>
      <c r="K126" s="148">
        <f t="shared" ca="1" si="39"/>
        <v>0</v>
      </c>
      <c r="L126" s="81">
        <f ca="1">OFFSET('3. 손익계산서 월별실적'!E126,0,$C$4-1)</f>
        <v>0</v>
      </c>
      <c r="M126" s="148">
        <f t="shared" ca="1" si="41"/>
        <v>0</v>
      </c>
      <c r="N126" s="132">
        <f t="shared" ca="1" si="47"/>
        <v>0</v>
      </c>
      <c r="O126" s="132">
        <f t="shared" ca="1" si="48"/>
        <v>0</v>
      </c>
    </row>
    <row r="127" spans="2:15" x14ac:dyDescent="0.2">
      <c r="B127" s="112" t="s">
        <v>69</v>
      </c>
      <c r="C127" s="81">
        <f>'(계획)손익계산서 월별계획'!C127</f>
        <v>0</v>
      </c>
      <c r="D127" s="148">
        <f t="shared" ca="1" si="26"/>
        <v>0</v>
      </c>
      <c r="E127" s="81">
        <f ca="1">SUM('(계획)손익계산서 월별계획'!E127:(OFFSET('(계획)손익계산서 월별계획'!E127,0,$C$4-1)))</f>
        <v>0</v>
      </c>
      <c r="F127" s="81">
        <f ca="1">SUM('3. 손익계산서 월별실적'!E127:(OFFSET('3. 손익계산서 월별실적'!E127,0,$C$4-1)))</f>
        <v>0</v>
      </c>
      <c r="G127" s="148">
        <f t="shared" ca="1" si="27"/>
        <v>0</v>
      </c>
      <c r="H127" s="81">
        <f ca="1">OFFSET('3. 손익계산서 월별실적'!E127,0,$C$4-2)</f>
        <v>0</v>
      </c>
      <c r="I127" s="148">
        <f t="shared" ca="1" si="46"/>
        <v>0</v>
      </c>
      <c r="J127" s="81">
        <f ca="1">OFFSET('(계획)손익계산서 월별계획'!E127,0,$C$4-1)</f>
        <v>0</v>
      </c>
      <c r="K127" s="148">
        <f t="shared" ca="1" si="39"/>
        <v>0</v>
      </c>
      <c r="L127" s="81">
        <f ca="1">OFFSET('3. 손익계산서 월별실적'!E127,0,$C$4-1)</f>
        <v>0</v>
      </c>
      <c r="M127" s="148">
        <f t="shared" ca="1" si="41"/>
        <v>0</v>
      </c>
      <c r="N127" s="132">
        <f t="shared" ca="1" si="47"/>
        <v>0</v>
      </c>
      <c r="O127" s="132">
        <f t="shared" ca="1" si="48"/>
        <v>0</v>
      </c>
    </row>
    <row r="128" spans="2:15" x14ac:dyDescent="0.2">
      <c r="B128" s="112" t="s">
        <v>70</v>
      </c>
      <c r="C128" s="81">
        <f>'(계획)손익계산서 월별계획'!C128</f>
        <v>0</v>
      </c>
      <c r="D128" s="148">
        <f t="shared" ca="1" si="26"/>
        <v>0</v>
      </c>
      <c r="E128" s="81">
        <f ca="1">SUM('(계획)손익계산서 월별계획'!E128:(OFFSET('(계획)손익계산서 월별계획'!E128,0,$C$4-1)))</f>
        <v>0</v>
      </c>
      <c r="F128" s="81">
        <f ca="1">SUM('3. 손익계산서 월별실적'!E128:(OFFSET('3. 손익계산서 월별실적'!E128,0,$C$4-1)))</f>
        <v>0</v>
      </c>
      <c r="G128" s="148">
        <f t="shared" ca="1" si="27"/>
        <v>0</v>
      </c>
      <c r="H128" s="81">
        <f ca="1">OFFSET('3. 손익계산서 월별실적'!E128,0,$C$4-2)</f>
        <v>0</v>
      </c>
      <c r="I128" s="148">
        <f t="shared" ca="1" si="46"/>
        <v>0</v>
      </c>
      <c r="J128" s="81">
        <f ca="1">OFFSET('(계획)손익계산서 월별계획'!E128,0,$C$4-1)</f>
        <v>0</v>
      </c>
      <c r="K128" s="148">
        <f t="shared" ca="1" si="39"/>
        <v>0</v>
      </c>
      <c r="L128" s="81">
        <f ca="1">OFFSET('3. 손익계산서 월별실적'!E128,0,$C$4-1)</f>
        <v>0</v>
      </c>
      <c r="M128" s="148">
        <f t="shared" ca="1" si="41"/>
        <v>0</v>
      </c>
      <c r="N128" s="132">
        <f t="shared" ca="1" si="47"/>
        <v>0</v>
      </c>
      <c r="O128" s="132">
        <f t="shared" ca="1" si="48"/>
        <v>0</v>
      </c>
    </row>
    <row r="129" spans="2:15" x14ac:dyDescent="0.2">
      <c r="B129" s="112" t="s">
        <v>71</v>
      </c>
      <c r="C129" s="81">
        <f>'(계획)손익계산서 월별계획'!C129</f>
        <v>218647.35576685605</v>
      </c>
      <c r="D129" s="148">
        <f t="shared" ca="1" si="26"/>
        <v>4.834556522728533E-2</v>
      </c>
      <c r="E129" s="81">
        <f ca="1">SUM('(계획)손익계산서 월별계획'!E129:(OFFSET('(계획)손익계산서 월별계획'!E129,0,$C$4-1)))</f>
        <v>36687.69923487147</v>
      </c>
      <c r="F129" s="81">
        <f ca="1">SUM('3. 손익계산서 월별실적'!E129:(OFFSET('3. 손익계산서 월별실적'!E129,0,$C$4-1)))</f>
        <v>10570.630000000001</v>
      </c>
      <c r="G129" s="148">
        <f t="shared" ca="1" si="27"/>
        <v>0.28812463633458574</v>
      </c>
      <c r="H129" s="81">
        <f ca="1">OFFSET('3. 손익계산서 월별실적'!E129,0,$C$4-2)</f>
        <v>5164.18</v>
      </c>
      <c r="I129" s="148">
        <f t="shared" ca="1" si="46"/>
        <v>4.9995298243565303E-4</v>
      </c>
      <c r="J129" s="81">
        <f ca="1">OFFSET('(계획)손익계산서 월별계획'!E129,0,$C$4-1)</f>
        <v>18343.849617435735</v>
      </c>
      <c r="K129" s="148">
        <f t="shared" ca="1" si="39"/>
        <v>1.5412495212056847E-3</v>
      </c>
      <c r="L129" s="81">
        <f ca="1">OFFSET('3. 손익계산서 월별실적'!E129,0,$C$4-1)</f>
        <v>5406.45</v>
      </c>
      <c r="M129" s="148">
        <f t="shared" ca="1" si="41"/>
        <v>4.2616708045745908E-4</v>
      </c>
      <c r="N129" s="132">
        <f t="shared" ca="1" si="47"/>
        <v>1.0469135467779975</v>
      </c>
      <c r="O129" s="132">
        <f t="shared" ca="1" si="48"/>
        <v>0.29472821205758232</v>
      </c>
    </row>
    <row r="130" spans="2:15" x14ac:dyDescent="0.2">
      <c r="B130" s="112" t="s">
        <v>72</v>
      </c>
      <c r="C130" s="81">
        <f>'(계획)손익계산서 월별계획'!C130</f>
        <v>0</v>
      </c>
      <c r="D130" s="148">
        <f t="shared" ca="1" si="26"/>
        <v>0</v>
      </c>
      <c r="E130" s="81">
        <f ca="1">SUM('(계획)손익계산서 월별계획'!E130:(OFFSET('(계획)손익계산서 월별계획'!E130,0,$C$4-1)))</f>
        <v>0</v>
      </c>
      <c r="F130" s="81">
        <f ca="1">SUM('3. 손익계산서 월별실적'!E130:(OFFSET('3. 손익계산서 월별실적'!E130,0,$C$4-1)))</f>
        <v>0</v>
      </c>
      <c r="G130" s="148">
        <f t="shared" ca="1" si="27"/>
        <v>0</v>
      </c>
      <c r="H130" s="81">
        <f ca="1">OFFSET('3. 손익계산서 월별실적'!E130,0,$C$4-2)</f>
        <v>0</v>
      </c>
      <c r="I130" s="148">
        <f t="shared" ca="1" si="46"/>
        <v>0</v>
      </c>
      <c r="J130" s="81">
        <f ca="1">OFFSET('(계획)손익계산서 월별계획'!E130,0,$C$4-1)</f>
        <v>0</v>
      </c>
      <c r="K130" s="148">
        <f t="shared" ca="1" si="39"/>
        <v>0</v>
      </c>
      <c r="L130" s="81">
        <f ca="1">OFFSET('3. 손익계산서 월별실적'!E130,0,$C$4-1)</f>
        <v>0</v>
      </c>
      <c r="M130" s="148">
        <f t="shared" ca="1" si="41"/>
        <v>0</v>
      </c>
      <c r="N130" s="132">
        <f t="shared" ca="1" si="47"/>
        <v>0</v>
      </c>
      <c r="O130" s="132">
        <f t="shared" ca="1" si="48"/>
        <v>0</v>
      </c>
    </row>
    <row r="131" spans="2:15" hidden="1" outlineLevel="1" x14ac:dyDescent="0.2">
      <c r="B131" s="112"/>
      <c r="C131" s="81"/>
      <c r="D131" s="148"/>
      <c r="E131" s="81"/>
      <c r="F131" s="81"/>
      <c r="G131" s="148"/>
      <c r="H131" s="81"/>
      <c r="I131" s="148"/>
      <c r="J131" s="81"/>
      <c r="K131" s="148"/>
      <c r="L131" s="81"/>
      <c r="M131" s="148"/>
      <c r="N131" s="132"/>
      <c r="O131" s="132"/>
    </row>
    <row r="132" spans="2:15" hidden="1" outlineLevel="1" x14ac:dyDescent="0.2">
      <c r="B132" s="106"/>
      <c r="C132" s="81"/>
      <c r="D132" s="148"/>
      <c r="E132" s="81"/>
      <c r="F132" s="81"/>
      <c r="G132" s="148"/>
      <c r="H132" s="81"/>
      <c r="I132" s="148"/>
      <c r="J132" s="81"/>
      <c r="K132" s="148"/>
      <c r="L132" s="81"/>
      <c r="M132" s="148"/>
      <c r="N132" s="132"/>
      <c r="O132" s="132"/>
    </row>
    <row r="133" spans="2:15" ht="16.5" hidden="1" outlineLevel="1" x14ac:dyDescent="0.2">
      <c r="B133" s="97" t="s">
        <v>18</v>
      </c>
      <c r="C133" s="109">
        <f>SUM(C134:C147)</f>
        <v>0</v>
      </c>
      <c r="D133" s="150">
        <f t="shared" ca="1" si="26"/>
        <v>0</v>
      </c>
      <c r="E133" s="109">
        <f ca="1">SUM(E134:E147)</f>
        <v>0</v>
      </c>
      <c r="F133" s="109">
        <f ca="1">SUM(F134:F147)</f>
        <v>0</v>
      </c>
      <c r="G133" s="150">
        <f t="shared" ca="1" si="27"/>
        <v>0</v>
      </c>
      <c r="H133" s="109">
        <f t="shared" ref="H133:L133" ca="1" si="51">SUM(H134:H147)</f>
        <v>0</v>
      </c>
      <c r="I133" s="150">
        <f t="shared" ca="1" si="46"/>
        <v>0</v>
      </c>
      <c r="J133" s="109">
        <f t="shared" ca="1" si="51"/>
        <v>0</v>
      </c>
      <c r="K133" s="150">
        <f t="shared" ca="1" si="39"/>
        <v>0</v>
      </c>
      <c r="L133" s="109">
        <f t="shared" ca="1" si="51"/>
        <v>0</v>
      </c>
      <c r="M133" s="150">
        <f t="shared" ca="1" si="41"/>
        <v>0</v>
      </c>
      <c r="N133" s="134">
        <f t="shared" ca="1" si="47"/>
        <v>0</v>
      </c>
      <c r="O133" s="134">
        <f t="shared" ca="1" si="48"/>
        <v>0</v>
      </c>
    </row>
    <row r="134" spans="2:15" hidden="1" outlineLevel="1" x14ac:dyDescent="0.2">
      <c r="B134" s="112" t="s">
        <v>58</v>
      </c>
      <c r="C134" s="81">
        <f>'(계획)손익계산서 월별계획'!C134</f>
        <v>0</v>
      </c>
      <c r="D134" s="148">
        <f t="shared" ref="D134:D147" ca="1" si="52">+IFERROR(F134/C134,)</f>
        <v>0</v>
      </c>
      <c r="E134" s="81">
        <f ca="1">SUM('(계획)손익계산서 월별계획'!E134:(OFFSET('(계획)손익계산서 월별계획'!E134,0,$C$4-1)))</f>
        <v>0</v>
      </c>
      <c r="F134" s="81">
        <f ca="1">SUM('3. 손익계산서 월별실적'!E134:(OFFSET('3. 손익계산서 월별실적'!E134,0,$C$4-1)))</f>
        <v>0</v>
      </c>
      <c r="G134" s="148">
        <f t="shared" ref="G134:G147" ca="1" si="53">+IFERROR(F134/E134,)</f>
        <v>0</v>
      </c>
      <c r="H134" s="81">
        <f ca="1">OFFSET('3. 손익계산서 월별실적'!E134,0,$C$4-2)</f>
        <v>0</v>
      </c>
      <c r="I134" s="148">
        <f t="shared" ca="1" si="46"/>
        <v>0</v>
      </c>
      <c r="J134" s="81">
        <f ca="1">OFFSET('(계획)손익계산서 월별계획'!E134,0,$C$4-1)</f>
        <v>0</v>
      </c>
      <c r="K134" s="148">
        <f t="shared" ca="1" si="39"/>
        <v>0</v>
      </c>
      <c r="L134" s="81">
        <f ca="1">OFFSET('3. 손익계산서 월별실적'!E134,0,$C$4-1)</f>
        <v>0</v>
      </c>
      <c r="M134" s="148">
        <f t="shared" ca="1" si="41"/>
        <v>0</v>
      </c>
      <c r="N134" s="132">
        <f t="shared" ca="1" si="47"/>
        <v>0</v>
      </c>
      <c r="O134" s="132">
        <f t="shared" ca="1" si="48"/>
        <v>0</v>
      </c>
    </row>
    <row r="135" spans="2:15" hidden="1" outlineLevel="1" x14ac:dyDescent="0.2">
      <c r="B135" s="112" t="s">
        <v>73</v>
      </c>
      <c r="C135" s="81">
        <f>'(계획)손익계산서 월별계획'!C135</f>
        <v>0</v>
      </c>
      <c r="D135" s="148">
        <f t="shared" ca="1" si="52"/>
        <v>0</v>
      </c>
      <c r="E135" s="81">
        <f ca="1">SUM('(계획)손익계산서 월별계획'!E135:(OFFSET('(계획)손익계산서 월별계획'!E135,0,$C$4-1)))</f>
        <v>0</v>
      </c>
      <c r="F135" s="81">
        <f ca="1">SUM('3. 손익계산서 월별실적'!E135:(OFFSET('3. 손익계산서 월별실적'!E135,0,$C$4-1)))</f>
        <v>0</v>
      </c>
      <c r="G135" s="148">
        <f t="shared" ca="1" si="53"/>
        <v>0</v>
      </c>
      <c r="H135" s="81">
        <f ca="1">OFFSET('3. 손익계산서 월별실적'!E135,0,$C$4-2)</f>
        <v>0</v>
      </c>
      <c r="I135" s="148">
        <f t="shared" ca="1" si="46"/>
        <v>0</v>
      </c>
      <c r="J135" s="81">
        <f ca="1">OFFSET('(계획)손익계산서 월별계획'!E135,0,$C$4-1)</f>
        <v>0</v>
      </c>
      <c r="K135" s="148">
        <f t="shared" ca="1" si="39"/>
        <v>0</v>
      </c>
      <c r="L135" s="81">
        <f ca="1">OFFSET('3. 손익계산서 월별실적'!E135,0,$C$4-1)</f>
        <v>0</v>
      </c>
      <c r="M135" s="148">
        <f t="shared" ca="1" si="41"/>
        <v>0</v>
      </c>
      <c r="N135" s="132">
        <f t="shared" ca="1" si="47"/>
        <v>0</v>
      </c>
      <c r="O135" s="132">
        <f t="shared" ca="1" si="48"/>
        <v>0</v>
      </c>
    </row>
    <row r="136" spans="2:15" hidden="1" outlineLevel="1" x14ac:dyDescent="0.2">
      <c r="B136" s="112" t="s">
        <v>60</v>
      </c>
      <c r="C136" s="81">
        <f>'(계획)손익계산서 월별계획'!C136</f>
        <v>0</v>
      </c>
      <c r="D136" s="148">
        <f t="shared" ca="1" si="52"/>
        <v>0</v>
      </c>
      <c r="E136" s="81">
        <f ca="1">SUM('(계획)손익계산서 월별계획'!E136:(OFFSET('(계획)손익계산서 월별계획'!E136,0,$C$4-1)))</f>
        <v>0</v>
      </c>
      <c r="F136" s="81">
        <f ca="1">SUM('3. 손익계산서 월별실적'!E136:(OFFSET('3. 손익계산서 월별실적'!E136,0,$C$4-1)))</f>
        <v>0</v>
      </c>
      <c r="G136" s="148">
        <f t="shared" ca="1" si="53"/>
        <v>0</v>
      </c>
      <c r="H136" s="81">
        <f ca="1">OFFSET('3. 손익계산서 월별실적'!E136,0,$C$4-2)</f>
        <v>0</v>
      </c>
      <c r="I136" s="148">
        <f t="shared" ca="1" si="46"/>
        <v>0</v>
      </c>
      <c r="J136" s="81">
        <f ca="1">OFFSET('(계획)손익계산서 월별계획'!E136,0,$C$4-1)</f>
        <v>0</v>
      </c>
      <c r="K136" s="148">
        <f t="shared" ca="1" si="39"/>
        <v>0</v>
      </c>
      <c r="L136" s="81">
        <f ca="1">OFFSET('3. 손익계산서 월별실적'!E136,0,$C$4-1)</f>
        <v>0</v>
      </c>
      <c r="M136" s="148">
        <f t="shared" ca="1" si="41"/>
        <v>0</v>
      </c>
      <c r="N136" s="132">
        <f t="shared" ca="1" si="47"/>
        <v>0</v>
      </c>
      <c r="O136" s="132">
        <f t="shared" ca="1" si="48"/>
        <v>0</v>
      </c>
    </row>
    <row r="137" spans="2:15" hidden="1" outlineLevel="1" x14ac:dyDescent="0.2">
      <c r="B137" s="112" t="s">
        <v>61</v>
      </c>
      <c r="C137" s="81">
        <f>'(계획)손익계산서 월별계획'!C137</f>
        <v>0</v>
      </c>
      <c r="D137" s="148">
        <f t="shared" ca="1" si="52"/>
        <v>0</v>
      </c>
      <c r="E137" s="81">
        <f ca="1">SUM('(계획)손익계산서 월별계획'!E137:(OFFSET('(계획)손익계산서 월별계획'!E137,0,$C$4-1)))</f>
        <v>0</v>
      </c>
      <c r="F137" s="81">
        <f ca="1">SUM('3. 손익계산서 월별실적'!E137:(OFFSET('3. 손익계산서 월별실적'!E137,0,$C$4-1)))</f>
        <v>0</v>
      </c>
      <c r="G137" s="148">
        <f t="shared" ca="1" si="53"/>
        <v>0</v>
      </c>
      <c r="H137" s="81">
        <f ca="1">OFFSET('3. 손익계산서 월별실적'!E137,0,$C$4-2)</f>
        <v>0</v>
      </c>
      <c r="I137" s="148">
        <f t="shared" ca="1" si="46"/>
        <v>0</v>
      </c>
      <c r="J137" s="81">
        <f ca="1">OFFSET('(계획)손익계산서 월별계획'!E137,0,$C$4-1)</f>
        <v>0</v>
      </c>
      <c r="K137" s="148">
        <f t="shared" ca="1" si="39"/>
        <v>0</v>
      </c>
      <c r="L137" s="81">
        <f ca="1">OFFSET('3. 손익계산서 월별실적'!E137,0,$C$4-1)</f>
        <v>0</v>
      </c>
      <c r="M137" s="148">
        <f t="shared" ca="1" si="41"/>
        <v>0</v>
      </c>
      <c r="N137" s="132">
        <f t="shared" ca="1" si="47"/>
        <v>0</v>
      </c>
      <c r="O137" s="132">
        <f t="shared" ca="1" si="48"/>
        <v>0</v>
      </c>
    </row>
    <row r="138" spans="2:15" hidden="1" outlineLevel="1" x14ac:dyDescent="0.2">
      <c r="B138" s="112" t="s">
        <v>62</v>
      </c>
      <c r="C138" s="81">
        <f>'(계획)손익계산서 월별계획'!C138</f>
        <v>0</v>
      </c>
      <c r="D138" s="148">
        <f t="shared" ca="1" si="52"/>
        <v>0</v>
      </c>
      <c r="E138" s="81">
        <f ca="1">SUM('(계획)손익계산서 월별계획'!E138:(OFFSET('(계획)손익계산서 월별계획'!E138,0,$C$4-1)))</f>
        <v>0</v>
      </c>
      <c r="F138" s="81">
        <f ca="1">SUM('3. 손익계산서 월별실적'!E138:(OFFSET('3. 손익계산서 월별실적'!E138,0,$C$4-1)))</f>
        <v>0</v>
      </c>
      <c r="G138" s="148">
        <f t="shared" ca="1" si="53"/>
        <v>0</v>
      </c>
      <c r="H138" s="81">
        <f ca="1">OFFSET('3. 손익계산서 월별실적'!E138,0,$C$4-2)</f>
        <v>0</v>
      </c>
      <c r="I138" s="148">
        <f t="shared" ca="1" si="46"/>
        <v>0</v>
      </c>
      <c r="J138" s="81">
        <f ca="1">OFFSET('(계획)손익계산서 월별계획'!E138,0,$C$4-1)</f>
        <v>0</v>
      </c>
      <c r="K138" s="148">
        <f t="shared" ca="1" si="39"/>
        <v>0</v>
      </c>
      <c r="L138" s="81">
        <f ca="1">OFFSET('3. 손익계산서 월별실적'!E138,0,$C$4-1)</f>
        <v>0</v>
      </c>
      <c r="M138" s="148">
        <f t="shared" ca="1" si="41"/>
        <v>0</v>
      </c>
      <c r="N138" s="132">
        <f t="shared" ca="1" si="47"/>
        <v>0</v>
      </c>
      <c r="O138" s="132">
        <f t="shared" ca="1" si="48"/>
        <v>0</v>
      </c>
    </row>
    <row r="139" spans="2:15" hidden="1" outlineLevel="1" x14ac:dyDescent="0.2">
      <c r="B139" s="112" t="s">
        <v>63</v>
      </c>
      <c r="C139" s="81">
        <f>'(계획)손익계산서 월별계획'!C139</f>
        <v>0</v>
      </c>
      <c r="D139" s="148">
        <f t="shared" ca="1" si="52"/>
        <v>0</v>
      </c>
      <c r="E139" s="81">
        <f ca="1">SUM('(계획)손익계산서 월별계획'!E139:(OFFSET('(계획)손익계산서 월별계획'!E139,0,$C$4-1)))</f>
        <v>0</v>
      </c>
      <c r="F139" s="81">
        <f ca="1">SUM('3. 손익계산서 월별실적'!E139:(OFFSET('3. 손익계산서 월별실적'!E139,0,$C$4-1)))</f>
        <v>0</v>
      </c>
      <c r="G139" s="148">
        <f t="shared" ca="1" si="53"/>
        <v>0</v>
      </c>
      <c r="H139" s="81">
        <f ca="1">OFFSET('3. 손익계산서 월별실적'!E139,0,$C$4-2)</f>
        <v>0</v>
      </c>
      <c r="I139" s="148">
        <f t="shared" ca="1" si="46"/>
        <v>0</v>
      </c>
      <c r="J139" s="81">
        <f ca="1">OFFSET('(계획)손익계산서 월별계획'!E139,0,$C$4-1)</f>
        <v>0</v>
      </c>
      <c r="K139" s="148">
        <f t="shared" ca="1" si="39"/>
        <v>0</v>
      </c>
      <c r="L139" s="81">
        <f ca="1">OFFSET('3. 손익계산서 월별실적'!E139,0,$C$4-1)</f>
        <v>0</v>
      </c>
      <c r="M139" s="148">
        <f t="shared" ca="1" si="41"/>
        <v>0</v>
      </c>
      <c r="N139" s="132">
        <f t="shared" ca="1" si="47"/>
        <v>0</v>
      </c>
      <c r="O139" s="132">
        <f t="shared" ca="1" si="48"/>
        <v>0</v>
      </c>
    </row>
    <row r="140" spans="2:15" hidden="1" outlineLevel="1" x14ac:dyDescent="0.2">
      <c r="B140" s="112" t="s">
        <v>64</v>
      </c>
      <c r="C140" s="81">
        <f>'(계획)손익계산서 월별계획'!C140</f>
        <v>0</v>
      </c>
      <c r="D140" s="148">
        <f t="shared" ca="1" si="52"/>
        <v>0</v>
      </c>
      <c r="E140" s="81">
        <f ca="1">SUM('(계획)손익계산서 월별계획'!E140:(OFFSET('(계획)손익계산서 월별계획'!E140,0,$C$4-1)))</f>
        <v>0</v>
      </c>
      <c r="F140" s="81">
        <f ca="1">SUM('3. 손익계산서 월별실적'!E140:(OFFSET('3. 손익계산서 월별실적'!E140,0,$C$4-1)))</f>
        <v>0</v>
      </c>
      <c r="G140" s="148">
        <f t="shared" ca="1" si="53"/>
        <v>0</v>
      </c>
      <c r="H140" s="81">
        <f ca="1">OFFSET('3. 손익계산서 월별실적'!E140,0,$C$4-2)</f>
        <v>0</v>
      </c>
      <c r="I140" s="148">
        <f t="shared" ca="1" si="46"/>
        <v>0</v>
      </c>
      <c r="J140" s="81">
        <f ca="1">OFFSET('(계획)손익계산서 월별계획'!E140,0,$C$4-1)</f>
        <v>0</v>
      </c>
      <c r="K140" s="148">
        <f t="shared" ca="1" si="39"/>
        <v>0</v>
      </c>
      <c r="L140" s="81">
        <f ca="1">OFFSET('3. 손익계산서 월별실적'!E140,0,$C$4-1)</f>
        <v>0</v>
      </c>
      <c r="M140" s="148">
        <f t="shared" ca="1" si="41"/>
        <v>0</v>
      </c>
      <c r="N140" s="132">
        <f t="shared" ca="1" si="47"/>
        <v>0</v>
      </c>
      <c r="O140" s="132">
        <f t="shared" ca="1" si="48"/>
        <v>0</v>
      </c>
    </row>
    <row r="141" spans="2:15" hidden="1" outlineLevel="1" x14ac:dyDescent="0.2">
      <c r="B141" s="112" t="s">
        <v>65</v>
      </c>
      <c r="C141" s="81">
        <f>'(계획)손익계산서 월별계획'!C141</f>
        <v>0</v>
      </c>
      <c r="D141" s="148">
        <f t="shared" ca="1" si="52"/>
        <v>0</v>
      </c>
      <c r="E141" s="81">
        <f ca="1">SUM('(계획)손익계산서 월별계획'!E141:(OFFSET('(계획)손익계산서 월별계획'!E141,0,$C$4-1)))</f>
        <v>0</v>
      </c>
      <c r="F141" s="81">
        <f ca="1">SUM('3. 손익계산서 월별실적'!E141:(OFFSET('3. 손익계산서 월별실적'!E141,0,$C$4-1)))</f>
        <v>0</v>
      </c>
      <c r="G141" s="148">
        <f t="shared" ca="1" si="53"/>
        <v>0</v>
      </c>
      <c r="H141" s="81">
        <f ca="1">OFFSET('3. 손익계산서 월별실적'!E141,0,$C$4-2)</f>
        <v>0</v>
      </c>
      <c r="I141" s="148">
        <f t="shared" ca="1" si="46"/>
        <v>0</v>
      </c>
      <c r="J141" s="81">
        <f ca="1">OFFSET('(계획)손익계산서 월별계획'!E141,0,$C$4-1)</f>
        <v>0</v>
      </c>
      <c r="K141" s="148">
        <f t="shared" ca="1" si="39"/>
        <v>0</v>
      </c>
      <c r="L141" s="81">
        <f ca="1">OFFSET('3. 손익계산서 월별실적'!E141,0,$C$4-1)</f>
        <v>0</v>
      </c>
      <c r="M141" s="148">
        <f t="shared" ca="1" si="41"/>
        <v>0</v>
      </c>
      <c r="N141" s="132">
        <f t="shared" ca="1" si="47"/>
        <v>0</v>
      </c>
      <c r="O141" s="132">
        <f t="shared" ca="1" si="48"/>
        <v>0</v>
      </c>
    </row>
    <row r="142" spans="2:15" hidden="1" outlineLevel="1" x14ac:dyDescent="0.2">
      <c r="B142" s="112" t="s">
        <v>66</v>
      </c>
      <c r="C142" s="81">
        <f>'(계획)손익계산서 월별계획'!C142</f>
        <v>0</v>
      </c>
      <c r="D142" s="148">
        <f t="shared" ca="1" si="52"/>
        <v>0</v>
      </c>
      <c r="E142" s="81">
        <f ca="1">SUM('(계획)손익계산서 월별계획'!E142:(OFFSET('(계획)손익계산서 월별계획'!E142,0,$C$4-1)))</f>
        <v>0</v>
      </c>
      <c r="F142" s="81">
        <f ca="1">SUM('3. 손익계산서 월별실적'!E142:(OFFSET('3. 손익계산서 월별실적'!E142,0,$C$4-1)))</f>
        <v>0</v>
      </c>
      <c r="G142" s="148">
        <f t="shared" ca="1" si="53"/>
        <v>0</v>
      </c>
      <c r="H142" s="81">
        <f ca="1">OFFSET('3. 손익계산서 월별실적'!E142,0,$C$4-2)</f>
        <v>0</v>
      </c>
      <c r="I142" s="148">
        <f t="shared" ca="1" si="46"/>
        <v>0</v>
      </c>
      <c r="J142" s="81">
        <f ca="1">OFFSET('(계획)손익계산서 월별계획'!E142,0,$C$4-1)</f>
        <v>0</v>
      </c>
      <c r="K142" s="148">
        <f t="shared" ca="1" si="39"/>
        <v>0</v>
      </c>
      <c r="L142" s="81">
        <f ca="1">OFFSET('3. 손익계산서 월별실적'!E142,0,$C$4-1)</f>
        <v>0</v>
      </c>
      <c r="M142" s="148">
        <f t="shared" ca="1" si="41"/>
        <v>0</v>
      </c>
      <c r="N142" s="132">
        <f t="shared" ca="1" si="47"/>
        <v>0</v>
      </c>
      <c r="O142" s="132">
        <f t="shared" ca="1" si="48"/>
        <v>0</v>
      </c>
    </row>
    <row r="143" spans="2:15" hidden="1" outlineLevel="1" x14ac:dyDescent="0.2">
      <c r="B143" s="112" t="s">
        <v>67</v>
      </c>
      <c r="C143" s="81">
        <f>'(계획)손익계산서 월별계획'!C143</f>
        <v>0</v>
      </c>
      <c r="D143" s="148">
        <f t="shared" ca="1" si="52"/>
        <v>0</v>
      </c>
      <c r="E143" s="81">
        <f ca="1">SUM('(계획)손익계산서 월별계획'!E143:(OFFSET('(계획)손익계산서 월별계획'!E143,0,$C$4-1)))</f>
        <v>0</v>
      </c>
      <c r="F143" s="81">
        <f ca="1">SUM('3. 손익계산서 월별실적'!E143:(OFFSET('3. 손익계산서 월별실적'!E143,0,$C$4-1)))</f>
        <v>0</v>
      </c>
      <c r="G143" s="148">
        <f t="shared" ca="1" si="53"/>
        <v>0</v>
      </c>
      <c r="H143" s="81">
        <f ca="1">OFFSET('3. 손익계산서 월별실적'!E143,0,$C$4-2)</f>
        <v>0</v>
      </c>
      <c r="I143" s="148">
        <f t="shared" ca="1" si="46"/>
        <v>0</v>
      </c>
      <c r="J143" s="81">
        <f ca="1">OFFSET('(계획)손익계산서 월별계획'!E143,0,$C$4-1)</f>
        <v>0</v>
      </c>
      <c r="K143" s="148">
        <f t="shared" ca="1" si="39"/>
        <v>0</v>
      </c>
      <c r="L143" s="81">
        <f ca="1">OFFSET('3. 손익계산서 월별실적'!E143,0,$C$4-1)</f>
        <v>0</v>
      </c>
      <c r="M143" s="148">
        <f t="shared" ca="1" si="41"/>
        <v>0</v>
      </c>
      <c r="N143" s="132">
        <f t="shared" ca="1" si="47"/>
        <v>0</v>
      </c>
      <c r="O143" s="132">
        <f t="shared" ca="1" si="48"/>
        <v>0</v>
      </c>
    </row>
    <row r="144" spans="2:15" hidden="1" outlineLevel="1" x14ac:dyDescent="0.2">
      <c r="B144" s="112" t="s">
        <v>68</v>
      </c>
      <c r="C144" s="81">
        <f>'(계획)손익계산서 월별계획'!C144</f>
        <v>0</v>
      </c>
      <c r="D144" s="148">
        <f t="shared" ca="1" si="52"/>
        <v>0</v>
      </c>
      <c r="E144" s="81">
        <f ca="1">SUM('(계획)손익계산서 월별계획'!E144:(OFFSET('(계획)손익계산서 월별계획'!E144,0,$C$4-1)))</f>
        <v>0</v>
      </c>
      <c r="F144" s="81">
        <f ca="1">SUM('3. 손익계산서 월별실적'!E144:(OFFSET('3. 손익계산서 월별실적'!E144,0,$C$4-1)))</f>
        <v>0</v>
      </c>
      <c r="G144" s="148">
        <f t="shared" ca="1" si="53"/>
        <v>0</v>
      </c>
      <c r="H144" s="81">
        <f ca="1">OFFSET('3. 손익계산서 월별실적'!E144,0,$C$4-2)</f>
        <v>0</v>
      </c>
      <c r="I144" s="148">
        <f t="shared" ca="1" si="46"/>
        <v>0</v>
      </c>
      <c r="J144" s="81">
        <f ca="1">OFFSET('(계획)손익계산서 월별계획'!E144,0,$C$4-1)</f>
        <v>0</v>
      </c>
      <c r="K144" s="148">
        <f t="shared" ca="1" si="39"/>
        <v>0</v>
      </c>
      <c r="L144" s="81">
        <f ca="1">OFFSET('3. 손익계산서 월별실적'!E144,0,$C$4-1)</f>
        <v>0</v>
      </c>
      <c r="M144" s="148">
        <f t="shared" ca="1" si="41"/>
        <v>0</v>
      </c>
      <c r="N144" s="132">
        <f t="shared" ca="1" si="47"/>
        <v>0</v>
      </c>
      <c r="O144" s="132">
        <f t="shared" ca="1" si="48"/>
        <v>0</v>
      </c>
    </row>
    <row r="145" spans="2:30" hidden="1" outlineLevel="1" x14ac:dyDescent="0.2">
      <c r="B145" s="112" t="s">
        <v>69</v>
      </c>
      <c r="C145" s="81">
        <f>'(계획)손익계산서 월별계획'!C145</f>
        <v>0</v>
      </c>
      <c r="D145" s="148">
        <f t="shared" ca="1" si="52"/>
        <v>0</v>
      </c>
      <c r="E145" s="81">
        <f ca="1">SUM('(계획)손익계산서 월별계획'!E145:(OFFSET('(계획)손익계산서 월별계획'!E145,0,$C$4-1)))</f>
        <v>0</v>
      </c>
      <c r="F145" s="81">
        <f ca="1">SUM('3. 손익계산서 월별실적'!E145:(OFFSET('3. 손익계산서 월별실적'!E145,0,$C$4-1)))</f>
        <v>0</v>
      </c>
      <c r="G145" s="148">
        <f t="shared" ca="1" si="53"/>
        <v>0</v>
      </c>
      <c r="H145" s="81">
        <f ca="1">OFFSET('3. 손익계산서 월별실적'!E145,0,$C$4-2)</f>
        <v>0</v>
      </c>
      <c r="I145" s="148">
        <f t="shared" ca="1" si="46"/>
        <v>0</v>
      </c>
      <c r="J145" s="81">
        <f ca="1">OFFSET('(계획)손익계산서 월별계획'!E145,0,$C$4-1)</f>
        <v>0</v>
      </c>
      <c r="K145" s="148">
        <f t="shared" ca="1" si="39"/>
        <v>0</v>
      </c>
      <c r="L145" s="81">
        <f ca="1">OFFSET('3. 손익계산서 월별실적'!E145,0,$C$4-1)</f>
        <v>0</v>
      </c>
      <c r="M145" s="148">
        <f t="shared" ca="1" si="41"/>
        <v>0</v>
      </c>
      <c r="N145" s="132">
        <f t="shared" ca="1" si="47"/>
        <v>0</v>
      </c>
      <c r="O145" s="132">
        <f t="shared" ca="1" si="48"/>
        <v>0</v>
      </c>
    </row>
    <row r="146" spans="2:30" hidden="1" outlineLevel="1" x14ac:dyDescent="0.2">
      <c r="B146" s="112" t="s">
        <v>70</v>
      </c>
      <c r="C146" s="81">
        <f>'(계획)손익계산서 월별계획'!C146</f>
        <v>0</v>
      </c>
      <c r="D146" s="148">
        <f t="shared" ca="1" si="52"/>
        <v>0</v>
      </c>
      <c r="E146" s="81">
        <f ca="1">SUM('(계획)손익계산서 월별계획'!E146:(OFFSET('(계획)손익계산서 월별계획'!E146,0,$C$4-1)))</f>
        <v>0</v>
      </c>
      <c r="F146" s="81">
        <f ca="1">SUM('3. 손익계산서 월별실적'!E146:(OFFSET('3. 손익계산서 월별실적'!E146,0,$C$4-1)))</f>
        <v>0</v>
      </c>
      <c r="G146" s="148">
        <f t="shared" ca="1" si="53"/>
        <v>0</v>
      </c>
      <c r="H146" s="81">
        <f ca="1">OFFSET('3. 손익계산서 월별실적'!E146,0,$C$4-2)</f>
        <v>0</v>
      </c>
      <c r="I146" s="148">
        <f t="shared" ca="1" si="46"/>
        <v>0</v>
      </c>
      <c r="J146" s="81">
        <f ca="1">OFFSET('(계획)손익계산서 월별계획'!E146,0,$C$4-1)</f>
        <v>0</v>
      </c>
      <c r="K146" s="148">
        <f t="shared" ref="K146:K148" ca="1" si="54">+IFERROR(J146/$J$79,)</f>
        <v>0</v>
      </c>
      <c r="L146" s="81">
        <f ca="1">OFFSET('3. 손익계산서 월별실적'!E146,0,$C$4-1)</f>
        <v>0</v>
      </c>
      <c r="M146" s="148">
        <f t="shared" ref="M146:M148" ca="1" si="55">+IFERROR(L146/$L$79,)</f>
        <v>0</v>
      </c>
      <c r="N146" s="132">
        <f t="shared" ca="1" si="47"/>
        <v>0</v>
      </c>
      <c r="O146" s="132">
        <f t="shared" ca="1" si="48"/>
        <v>0</v>
      </c>
    </row>
    <row r="147" spans="2:30" hidden="1" outlineLevel="1" x14ac:dyDescent="0.2">
      <c r="B147" s="112" t="s">
        <v>71</v>
      </c>
      <c r="C147" s="81">
        <f>'(계획)손익계산서 월별계획'!C147</f>
        <v>0</v>
      </c>
      <c r="D147" s="148">
        <f t="shared" ca="1" si="52"/>
        <v>0</v>
      </c>
      <c r="E147" s="81">
        <f ca="1">SUM('(계획)손익계산서 월별계획'!E147:(OFFSET('(계획)손익계산서 월별계획'!E147,0,$C$4-1)))</f>
        <v>0</v>
      </c>
      <c r="F147" s="81">
        <f ca="1">SUM('3. 손익계산서 월별실적'!E147:(OFFSET('3. 손익계산서 월별실적'!E147,0,$C$4-1)))</f>
        <v>0</v>
      </c>
      <c r="G147" s="148">
        <f t="shared" ca="1" si="53"/>
        <v>0</v>
      </c>
      <c r="H147" s="81">
        <f ca="1">OFFSET('3. 손익계산서 월별실적'!E147,0,$C$4-2)</f>
        <v>0</v>
      </c>
      <c r="I147" s="148">
        <f t="shared" ca="1" si="46"/>
        <v>0</v>
      </c>
      <c r="J147" s="81">
        <f ca="1">OFFSET('(계획)손익계산서 월별계획'!E147,0,$C$4-1)</f>
        <v>0</v>
      </c>
      <c r="K147" s="148">
        <f t="shared" ca="1" si="54"/>
        <v>0</v>
      </c>
      <c r="L147" s="81">
        <f ca="1">OFFSET('3. 손익계산서 월별실적'!E147,0,$C$4-1)</f>
        <v>0</v>
      </c>
      <c r="M147" s="148">
        <f t="shared" ca="1" si="55"/>
        <v>0</v>
      </c>
      <c r="N147" s="132">
        <f t="shared" ca="1" si="47"/>
        <v>0</v>
      </c>
      <c r="O147" s="132">
        <f t="shared" ca="1" si="48"/>
        <v>0</v>
      </c>
    </row>
    <row r="148" spans="2:30" collapsed="1" x14ac:dyDescent="0.2">
      <c r="B148" s="94" t="s">
        <v>74</v>
      </c>
      <c r="C148" s="92">
        <f>C96-C98</f>
        <v>8187321.8288445752</v>
      </c>
      <c r="D148" s="151">
        <f ca="1">IF(AND(C148&gt;0,F148&gt;0),F148/C148,"(-)")</f>
        <v>0.24100628401442314</v>
      </c>
      <c r="E148" s="92">
        <f ca="1">E96-E98</f>
        <v>1278801.3436523518</v>
      </c>
      <c r="F148" s="92">
        <f ca="1">F96-F98</f>
        <v>1973196.0100000021</v>
      </c>
      <c r="G148" s="151">
        <f t="shared" ref="G148" ca="1" si="56">IF(AND(E148&gt;0,F148&gt;0),F148/E148,"(-)")</f>
        <v>1.5430043296360696</v>
      </c>
      <c r="H148" s="92">
        <f t="shared" ref="H148:L148" ca="1" si="57">H96-H98</f>
        <v>662808.64000000036</v>
      </c>
      <c r="I148" s="151">
        <f t="shared" ca="1" si="46"/>
        <v>6.4167623195186693E-2</v>
      </c>
      <c r="J148" s="92">
        <f t="shared" ca="1" si="57"/>
        <v>714364.59594596794</v>
      </c>
      <c r="K148" s="151">
        <f t="shared" ca="1" si="54"/>
        <v>6.0020885170226607E-2</v>
      </c>
      <c r="L148" s="92">
        <f t="shared" ca="1" si="57"/>
        <v>1310387.3699999978</v>
      </c>
      <c r="M148" s="151">
        <f t="shared" ca="1" si="55"/>
        <v>0.10329217134001559</v>
      </c>
      <c r="N148" s="135">
        <f ca="1">+IF(AND(H148&gt;0,L148&gt;0),L148/H148,"(-)")</f>
        <v>1.97702216132849</v>
      </c>
      <c r="O148" s="135">
        <f ca="1">+IF(AND(J148&gt;0,N148&gt;0),L148/J148,"(-)")</f>
        <v>1.8343397439297382</v>
      </c>
      <c r="Y148" s="40">
        <f>+C148*1330/1000000</f>
        <v>10889.138032363286</v>
      </c>
      <c r="Z148" s="40">
        <f ca="1">+E148*1330/1000000</f>
        <v>1700.8057870576279</v>
      </c>
      <c r="AA148" s="40">
        <f ca="1">+F148*1330/1000000</f>
        <v>2624.3506933000026</v>
      </c>
      <c r="AB148" s="40">
        <f ca="1">+H148*1330/1000000</f>
        <v>881.53549120000048</v>
      </c>
      <c r="AC148" s="40">
        <f ca="1">+J148*1330/1000000</f>
        <v>950.1049126081374</v>
      </c>
      <c r="AD148" s="40">
        <f ca="1">+L148*1330/1000000</f>
        <v>1742.8152020999971</v>
      </c>
    </row>
    <row r="149" spans="2:30" x14ac:dyDescent="0.2">
      <c r="B149" s="113" t="s">
        <v>21</v>
      </c>
      <c r="C149" s="93">
        <f>+IFERROR(C148/C79,)</f>
        <v>5.5452681282086934E-2</v>
      </c>
      <c r="D149" s="142"/>
      <c r="E149" s="93">
        <f ca="1">+IFERROR(E148/E79,)</f>
        <v>5.3822061976796759E-2</v>
      </c>
      <c r="F149" s="93">
        <f ca="1">+IFERROR(F148/F79,)</f>
        <v>8.573315710230002E-2</v>
      </c>
      <c r="G149" s="142"/>
      <c r="H149" s="93">
        <f ca="1">+IFERROR(H148/H79,)</f>
        <v>6.4167623195186693E-2</v>
      </c>
      <c r="I149" s="142"/>
      <c r="J149" s="93">
        <f ca="1">+IFERROR(J148/J79,)</f>
        <v>6.0020885170226607E-2</v>
      </c>
      <c r="K149" s="142"/>
      <c r="L149" s="93">
        <f ca="1">+IFERROR(L148/L79,)</f>
        <v>0.10329217134001559</v>
      </c>
      <c r="M149" s="142"/>
      <c r="N149" s="93"/>
      <c r="O149" s="93"/>
    </row>
    <row r="150" spans="2:30" x14ac:dyDescent="0.2">
      <c r="B150" s="15"/>
    </row>
    <row r="151" spans="2:30" x14ac:dyDescent="0.2">
      <c r="C151" s="33"/>
    </row>
    <row r="152" spans="2:30" ht="17.25" x14ac:dyDescent="0.2">
      <c r="B152" s="115" t="s">
        <v>119</v>
      </c>
      <c r="M152" s="524"/>
      <c r="O152" s="33" t="s">
        <v>118</v>
      </c>
    </row>
    <row r="153" spans="2:30" ht="27" x14ac:dyDescent="0.2">
      <c r="B153" s="74" t="s">
        <v>95</v>
      </c>
      <c r="C153" s="75" t="s">
        <v>492</v>
      </c>
      <c r="D153" s="138" t="s">
        <v>1</v>
      </c>
      <c r="E153" s="75" t="s">
        <v>36</v>
      </c>
      <c r="F153" s="75" t="s">
        <v>3</v>
      </c>
      <c r="G153" s="138" t="s">
        <v>4</v>
      </c>
      <c r="H153" s="75" t="s">
        <v>5</v>
      </c>
      <c r="I153" s="138" t="s">
        <v>8</v>
      </c>
      <c r="J153" s="75" t="s">
        <v>6</v>
      </c>
      <c r="K153" s="138" t="s">
        <v>8</v>
      </c>
      <c r="L153" s="75" t="s">
        <v>7</v>
      </c>
      <c r="M153" s="138" t="s">
        <v>8</v>
      </c>
      <c r="N153" s="76" t="s">
        <v>9</v>
      </c>
      <c r="O153" s="76" t="s">
        <v>10</v>
      </c>
    </row>
    <row r="154" spans="2:30" x14ac:dyDescent="0.2">
      <c r="B154" s="95" t="s">
        <v>11</v>
      </c>
      <c r="C154" s="78">
        <f t="shared" ref="C154:L154" si="58">SUM(C155:C158)</f>
        <v>25938088.780983888</v>
      </c>
      <c r="D154" s="147">
        <f ca="1">+IFERROR(F154/C154,)</f>
        <v>0.17890508391667159</v>
      </c>
      <c r="E154" s="78">
        <f t="shared" ca="1" si="58"/>
        <v>5222830.1418897454</v>
      </c>
      <c r="F154" s="78">
        <f t="shared" ca="1" si="58"/>
        <v>4640455.95</v>
      </c>
      <c r="G154" s="152">
        <f ca="1">+IFERROR(F154/E154,)</f>
        <v>0.88849451809301461</v>
      </c>
      <c r="H154" s="78">
        <f t="shared" ca="1" si="58"/>
        <v>2172648.5499999998</v>
      </c>
      <c r="I154" s="147">
        <f ca="1">+IFERROR(H154/$H$154,)</f>
        <v>1</v>
      </c>
      <c r="J154" s="78">
        <f t="shared" ca="1" si="58"/>
        <v>2866391.2589448723</v>
      </c>
      <c r="K154" s="147">
        <f ca="1">+IFERROR(J154/$J$154,)</f>
        <v>1</v>
      </c>
      <c r="L154" s="78">
        <f t="shared" ca="1" si="58"/>
        <v>2467807.4</v>
      </c>
      <c r="M154" s="147">
        <f ca="1">+IFERROR(L154/$L$154,)</f>
        <v>1</v>
      </c>
      <c r="N154" s="131">
        <f t="shared" ref="N154:N158" ca="1" si="59">+IFERROR(L154/H154,)</f>
        <v>1.1358520916786106</v>
      </c>
      <c r="O154" s="131">
        <f t="shared" ref="O154:O158" ca="1" si="60">+IFERROR(L154/J154,)</f>
        <v>0.86094575968962717</v>
      </c>
      <c r="Y154" s="40">
        <f>+C154*1330/1000000</f>
        <v>34497.65807870857</v>
      </c>
      <c r="Z154" s="40">
        <f ca="1">+E154*1330/1000000</f>
        <v>6946.3640887133615</v>
      </c>
      <c r="AA154" s="40">
        <f ca="1">+F154*1330/1000000</f>
        <v>6171.8064135000004</v>
      </c>
      <c r="AB154" s="40">
        <f ca="1">+H154*1330/1000000</f>
        <v>2889.6225714999996</v>
      </c>
      <c r="AC154" s="40">
        <f ca="1">+J154*1330/1000000</f>
        <v>3812.3003743966806</v>
      </c>
      <c r="AD154" s="40">
        <f ca="1">+L154*1330/1000000</f>
        <v>3282.1838419999999</v>
      </c>
    </row>
    <row r="155" spans="2:30" x14ac:dyDescent="0.2">
      <c r="B155" s="116" t="s">
        <v>109</v>
      </c>
      <c r="C155" s="81">
        <f>'(계획)손익계산서 월별계획'!C155</f>
        <v>22016726.453199998</v>
      </c>
      <c r="D155" s="148">
        <f ca="1">+IFERROR(F155/C155,)</f>
        <v>0.20153059581457908</v>
      </c>
      <c r="E155" s="81">
        <f ca="1">SUM('(계획)손익계산서 월별계획'!E155:(OFFSET('(계획)손익계산서 월별계획'!E155,0,$C$4-1)))</f>
        <v>3939753.8159999996</v>
      </c>
      <c r="F155" s="81">
        <f ca="1">SUM('3. 손익계산서 월별실적'!E155:(OFFSET('3. 손익계산서 월별실적'!E155,0,$C$4-1)))</f>
        <v>4437044</v>
      </c>
      <c r="G155" s="153">
        <f ca="1">+IFERROR(F155/E155,)</f>
        <v>1.1262236696060606</v>
      </c>
      <c r="H155" s="81">
        <f ca="1">OFFSET('3. 손익계산서 월별실적'!E155,0,$C$4-2)</f>
        <v>2133551.5999999996</v>
      </c>
      <c r="I155" s="148">
        <f t="shared" ref="I155:I165" ca="1" si="61">+IFERROR(H155/$H$154,)</f>
        <v>0.98200493586502968</v>
      </c>
      <c r="J155" s="81">
        <f ca="1">OFFSET('(계획)손익계산서 월별계획'!E155,0,$C$4-1)</f>
        <v>2228403.0959999999</v>
      </c>
      <c r="K155" s="148">
        <f ca="1">+IFERROR(J155/$J$154,)</f>
        <v>0.77742460630454269</v>
      </c>
      <c r="L155" s="81">
        <f ca="1">OFFSET('3. 손익계산서 월별실적'!E155,0,$C$4-1)</f>
        <v>2303492.4</v>
      </c>
      <c r="M155" s="148">
        <f t="shared" ref="M155:M217" ca="1" si="62">+IFERROR(L155/$L$154,)</f>
        <v>0.93341660293262751</v>
      </c>
      <c r="N155" s="132">
        <f t="shared" ca="1" si="59"/>
        <v>1.0796516006456092</v>
      </c>
      <c r="O155" s="132">
        <f t="shared" ca="1" si="60"/>
        <v>1.0336964636850423</v>
      </c>
    </row>
    <row r="156" spans="2:30" x14ac:dyDescent="0.2">
      <c r="B156" s="112" t="s">
        <v>106</v>
      </c>
      <c r="C156" s="81">
        <f>'(계획)손익계산서 월별계획'!C156</f>
        <v>3921362.3277838919</v>
      </c>
      <c r="D156" s="148">
        <f ca="1">+IFERROR(F156/C156,)</f>
        <v>4.5885548174194699E-2</v>
      </c>
      <c r="E156" s="81">
        <f ca="1">SUM('(계획)손익계산서 월별계획'!E156:(OFFSET('(계획)손익계산서 월별계획'!E156,0,$C$4-1)))</f>
        <v>1283076.3258897453</v>
      </c>
      <c r="F156" s="81">
        <f ca="1">SUM('3. 손익계산서 월별실적'!E156:(OFFSET('3. 손익계산서 월별실적'!E156,0,$C$4-1)))</f>
        <v>179933.86000000004</v>
      </c>
      <c r="G156" s="153">
        <f ca="1">+IFERROR(F156/E156,)</f>
        <v>0.14023628709322922</v>
      </c>
      <c r="H156" s="81">
        <f ca="1">OFFSET('3. 손익계산서 월별실적'!E156,0,$C$4-2)</f>
        <v>26757.890000000007</v>
      </c>
      <c r="I156" s="148">
        <f t="shared" ca="1" si="61"/>
        <v>1.231579309041953E-2</v>
      </c>
      <c r="J156" s="81">
        <f ca="1">OFFSET('(계획)손익계산서 월별계획'!E156,0,$C$4-1)</f>
        <v>637988.16294487251</v>
      </c>
      <c r="K156" s="148">
        <f t="shared" ref="K156:K158" ca="1" si="63">+IFERROR(J156/$J$154,)</f>
        <v>0.22257539369545731</v>
      </c>
      <c r="L156" s="81">
        <f ca="1">OFFSET('3. 손익계산서 월별실적'!E156,0,$C$4-1)</f>
        <v>153175.97000000003</v>
      </c>
      <c r="M156" s="148">
        <f t="shared" ca="1" si="62"/>
        <v>6.2069661514103584E-2</v>
      </c>
      <c r="N156" s="132">
        <f t="shared" ca="1" si="59"/>
        <v>5.724516021255786</v>
      </c>
      <c r="O156" s="132">
        <f t="shared" ca="1" si="60"/>
        <v>0.24009218179371725</v>
      </c>
    </row>
    <row r="157" spans="2:30" x14ac:dyDescent="0.2">
      <c r="B157" s="112" t="s">
        <v>107</v>
      </c>
      <c r="C157" s="81">
        <f>'(계획)손익계산서 월별계획'!C157</f>
        <v>0</v>
      </c>
      <c r="D157" s="148">
        <f ca="1">+IFERROR(F157/C157,)</f>
        <v>0</v>
      </c>
      <c r="E157" s="81">
        <f ca="1">SUM('(계획)손익계산서 월별계획'!E157:(OFFSET('(계획)손익계산서 월별계획'!E157,0,$C$4-1)))</f>
        <v>0</v>
      </c>
      <c r="F157" s="81">
        <f ca="1">SUM('3. 손익계산서 월별실적'!E157:(OFFSET('3. 손익계산서 월별실적'!E157,0,$C$4-1)))</f>
        <v>-9997.16</v>
      </c>
      <c r="G157" s="153">
        <f ca="1">+IFERROR(F157/E157,)</f>
        <v>0</v>
      </c>
      <c r="H157" s="81">
        <f ca="1">OFFSET('3. 손익계산서 월별실적'!E157,0,$C$4-2)</f>
        <v>-9997.16</v>
      </c>
      <c r="I157" s="148">
        <f t="shared" ca="1" si="61"/>
        <v>-4.6013700651216698E-3</v>
      </c>
      <c r="J157" s="81">
        <f ca="1">OFFSET('(계획)손익계산서 월별계획'!E157,0,$C$4-1)</f>
        <v>0</v>
      </c>
      <c r="K157" s="148">
        <f t="shared" ca="1" si="63"/>
        <v>0</v>
      </c>
      <c r="L157" s="81">
        <f ca="1">OFFSET('3. 손익계산서 월별실적'!E157,0,$C$4-1)</f>
        <v>0</v>
      </c>
      <c r="M157" s="148">
        <f t="shared" ca="1" si="62"/>
        <v>0</v>
      </c>
      <c r="N157" s="132">
        <f t="shared" ca="1" si="59"/>
        <v>0</v>
      </c>
      <c r="O157" s="132">
        <f t="shared" ca="1" si="60"/>
        <v>0</v>
      </c>
    </row>
    <row r="158" spans="2:30" x14ac:dyDescent="0.2">
      <c r="B158" s="116" t="s">
        <v>345</v>
      </c>
      <c r="C158" s="81">
        <f>'(계획)손익계산서 월별계획'!C158</f>
        <v>0</v>
      </c>
      <c r="D158" s="148">
        <f ca="1">+IFERROR(F158/C158,)</f>
        <v>0</v>
      </c>
      <c r="E158" s="81">
        <f ca="1">SUM('(계획)손익계산서 월별계획'!E158:(OFFSET('(계획)손익계산서 월별계획'!E158,0,$C$4-1)))</f>
        <v>0</v>
      </c>
      <c r="F158" s="81">
        <f ca="1">SUM('3. 손익계산서 월별실적'!E158:(OFFSET('3. 손익계산서 월별실적'!E158,0,$C$4-1)))</f>
        <v>33475.25</v>
      </c>
      <c r="G158" s="153">
        <f ca="1">+IFERROR(F158/E158,)</f>
        <v>0</v>
      </c>
      <c r="H158" s="81">
        <f ca="1">OFFSET('3. 손익계산서 월별실적'!E158,0,$C$4-2)</f>
        <v>22336.22</v>
      </c>
      <c r="I158" s="148">
        <f t="shared" ca="1" si="61"/>
        <v>1.0280641109672341E-2</v>
      </c>
      <c r="J158" s="81">
        <f ca="1">OFFSET('(계획)손익계산서 월별계획'!E158,0,$C$4-1)</f>
        <v>0</v>
      </c>
      <c r="K158" s="148">
        <f t="shared" ca="1" si="63"/>
        <v>0</v>
      </c>
      <c r="L158" s="81">
        <f ca="1">OFFSET('3. 손익계산서 월별실적'!E158,0,$C$4-1)</f>
        <v>11139.029999999999</v>
      </c>
      <c r="M158" s="148">
        <f t="shared" ca="1" si="62"/>
        <v>4.5137355532688652E-3</v>
      </c>
      <c r="N158" s="132">
        <f t="shared" ca="1" si="59"/>
        <v>0.49869807872594368</v>
      </c>
      <c r="O158" s="132">
        <f t="shared" ca="1" si="60"/>
        <v>0</v>
      </c>
    </row>
    <row r="159" spans="2:30" x14ac:dyDescent="0.2">
      <c r="B159" s="67"/>
      <c r="C159" s="81"/>
      <c r="D159" s="148"/>
      <c r="E159" s="81"/>
      <c r="F159" s="81"/>
      <c r="G159" s="153"/>
      <c r="H159" s="81"/>
      <c r="I159" s="148"/>
      <c r="J159" s="81"/>
      <c r="K159" s="148"/>
      <c r="L159" s="81"/>
      <c r="M159" s="148"/>
      <c r="N159" s="132"/>
      <c r="O159" s="132"/>
    </row>
    <row r="160" spans="2:30" x14ac:dyDescent="0.2">
      <c r="B160" s="95" t="s">
        <v>12</v>
      </c>
      <c r="C160" s="78">
        <f>SUM(C161:C163)</f>
        <v>30298543.872458965</v>
      </c>
      <c r="D160" s="147">
        <f ca="1">+IFERROR(F160/C160,)</f>
        <v>0.17282361825842535</v>
      </c>
      <c r="E160" s="78">
        <f ca="1">SUM(E161:E163)</f>
        <v>5199100.3519410063</v>
      </c>
      <c r="F160" s="78">
        <f ca="1">SUM(F161:F163)</f>
        <v>5236303.9800000004</v>
      </c>
      <c r="G160" s="152">
        <f ca="1">+IFERROR(F160/E160,)</f>
        <v>1.0071557818738976</v>
      </c>
      <c r="H160" s="78">
        <f ca="1">SUM(H161:H163)</f>
        <v>2414616.37</v>
      </c>
      <c r="I160" s="147">
        <f t="shared" ca="1" si="61"/>
        <v>1.1113699774406682</v>
      </c>
      <c r="J160" s="78">
        <f ca="1">SUM(J161:J163)</f>
        <v>2662599.9384191325</v>
      </c>
      <c r="K160" s="147">
        <f t="shared" ref="K160:K217" ca="1" si="64">+IFERROR(J160/$J$154,)</f>
        <v>0.92890317402071754</v>
      </c>
      <c r="L160" s="78">
        <f ca="1">SUM(L161:L163)</f>
        <v>2821687.61</v>
      </c>
      <c r="M160" s="147">
        <f t="shared" ca="1" si="62"/>
        <v>1.1433986339452584</v>
      </c>
      <c r="N160" s="131">
        <f t="shared" ref="N160:N163" ca="1" si="65">+IFERROR(L160/H160,)</f>
        <v>1.1685863001086172</v>
      </c>
      <c r="O160" s="131">
        <f t="shared" ref="O160:O163" ca="1" si="66">+IFERROR(L160/J160,)</f>
        <v>1.0597489954406454</v>
      </c>
      <c r="Y160" s="40">
        <f>+C160*1330/1000000</f>
        <v>40297.063350370423</v>
      </c>
      <c r="Z160" s="40">
        <f ca="1">+E160*1330/1000000</f>
        <v>6914.8034680815381</v>
      </c>
      <c r="AA160" s="40">
        <f ca="1">+F160*1330/1000000</f>
        <v>6964.2842934000009</v>
      </c>
      <c r="AB160" s="40">
        <f ca="1">+H160*1330/1000000</f>
        <v>3211.4397721000005</v>
      </c>
      <c r="AC160" s="40">
        <f ca="1">+J160*1330/1000000</f>
        <v>3541.2579180974462</v>
      </c>
      <c r="AD160" s="40">
        <f ca="1">+L160*1330/1000000</f>
        <v>3752.8445212999995</v>
      </c>
    </row>
    <row r="161" spans="2:30" x14ac:dyDescent="0.2">
      <c r="B161" s="114" t="s">
        <v>115</v>
      </c>
      <c r="C161" s="81">
        <f>'(계획)손익계산서 월별계획'!C161</f>
        <v>28517958.498274755</v>
      </c>
      <c r="D161" s="148">
        <f ca="1">+IFERROR(F161/C161,)</f>
        <v>0.19394775331953049</v>
      </c>
      <c r="E161" s="81">
        <f ca="1">SUM('(계획)손익계산서 월별계획'!E161:(OFFSET('(계획)손익계산서 월별계획'!E161,0,$C$4-1)))</f>
        <v>4845281.9562436379</v>
      </c>
      <c r="F161" s="81">
        <f ca="1">SUM('3. 손익계산서 월별실적'!E161:(OFFSET('3. 손익계산서 월별실적'!E161,0,$C$4-1)))</f>
        <v>5530993.9800000004</v>
      </c>
      <c r="G161" s="153">
        <f ca="1">+IFERROR(F161/E161,)</f>
        <v>1.1415215935726408</v>
      </c>
      <c r="H161" s="81">
        <f ca="1">OFFSET('3. 손익계산서 월별실적'!E161,0,$C$4-2)</f>
        <v>2709306.37</v>
      </c>
      <c r="I161" s="148">
        <f t="shared" ca="1" si="61"/>
        <v>1.2470062725975632</v>
      </c>
      <c r="J161" s="81">
        <f ca="1">OFFSET('(계획)손익계산서 월별계획'!E161,0,$C$4-1)</f>
        <v>2589790.7405704483</v>
      </c>
      <c r="K161" s="148">
        <f t="shared" ca="1" si="64"/>
        <v>0.90350217629527607</v>
      </c>
      <c r="L161" s="81">
        <f ca="1">OFFSET('3. 손익계산서 월별실적'!E161,0,$C$4-1)</f>
        <v>2821687.61</v>
      </c>
      <c r="M161" s="148">
        <f t="shared" ca="1" si="62"/>
        <v>1.1433986339452584</v>
      </c>
      <c r="N161" s="132">
        <f t="shared" ca="1" si="65"/>
        <v>1.0414797090666419</v>
      </c>
      <c r="O161" s="132">
        <f t="shared" ca="1" si="66"/>
        <v>1.0895427054382285</v>
      </c>
    </row>
    <row r="162" spans="2:30" x14ac:dyDescent="0.2">
      <c r="B162" s="114" t="s">
        <v>116</v>
      </c>
      <c r="C162" s="81">
        <f>'(계획)손익계산서 월별계획'!C162</f>
        <v>0</v>
      </c>
      <c r="D162" s="148">
        <f ca="1">+IFERROR(F162/C162,)</f>
        <v>0</v>
      </c>
      <c r="E162" s="81">
        <f ca="1">SUM('(계획)손익계산서 월별계획'!E162:(OFFSET('(계획)손익계산서 월별계획'!E162,0,$C$4-1)))</f>
        <v>0</v>
      </c>
      <c r="F162" s="81">
        <f ca="1">SUM('3. 손익계산서 월별실적'!E162:(OFFSET('3. 손익계산서 월별실적'!E162,0,$C$4-1)))</f>
        <v>0</v>
      </c>
      <c r="G162" s="153">
        <f ca="1">+IFERROR(F162/E162,)</f>
        <v>0</v>
      </c>
      <c r="H162" s="81">
        <f ca="1">OFFSET('3. 손익계산서 월별실적'!E162,0,$C$4-2)</f>
        <v>0</v>
      </c>
      <c r="I162" s="148">
        <f t="shared" ca="1" si="61"/>
        <v>0</v>
      </c>
      <c r="J162" s="81">
        <f ca="1">OFFSET('(계획)손익계산서 월별계획'!E162,0,$C$4-1)</f>
        <v>0</v>
      </c>
      <c r="K162" s="148">
        <f t="shared" ca="1" si="64"/>
        <v>0</v>
      </c>
      <c r="L162" s="81">
        <f ca="1">OFFSET('3. 손익계산서 월별실적'!E162,0,$C$4-1)</f>
        <v>0</v>
      </c>
      <c r="M162" s="148">
        <f t="shared" ca="1" si="62"/>
        <v>0</v>
      </c>
      <c r="N162" s="132">
        <f t="shared" ca="1" si="65"/>
        <v>0</v>
      </c>
      <c r="O162" s="132">
        <f t="shared" ca="1" si="66"/>
        <v>0</v>
      </c>
    </row>
    <row r="163" spans="2:30" x14ac:dyDescent="0.2">
      <c r="B163" s="114" t="s">
        <v>117</v>
      </c>
      <c r="C163" s="81">
        <f>'(계획)손익계산서 월별계획'!C163</f>
        <v>1780585.3741842103</v>
      </c>
      <c r="D163" s="148">
        <f ca="1">+IFERROR(F163/C163,)</f>
        <v>-0.16550175255427707</v>
      </c>
      <c r="E163" s="81">
        <f ca="1">SUM('(계획)손익계산서 월별계획'!E163:(OFFSET('(계획)손익계산서 월별계획'!E163,0,$C$4-1)))</f>
        <v>353818.39569736837</v>
      </c>
      <c r="F163" s="81">
        <f ca="1">SUM('3. 손익계산서 월별실적'!E163:(OFFSET('3. 손익계산서 월별실적'!E163,0,$C$4-1)))</f>
        <v>-294690</v>
      </c>
      <c r="G163" s="153">
        <f ca="1">+IFERROR(F163/E163,)</f>
        <v>-0.83288490249121283</v>
      </c>
      <c r="H163" s="81">
        <f ca="1">OFFSET('3. 손익계산서 월별실적'!E163,0,$C$4-2)</f>
        <v>-294690</v>
      </c>
      <c r="I163" s="148">
        <f t="shared" ca="1" si="61"/>
        <v>-0.13563629515689504</v>
      </c>
      <c r="J163" s="81">
        <f ca="1">OFFSET('(계획)손익계산서 월별계획'!E163,0,$C$4-1)</f>
        <v>72809.197848684227</v>
      </c>
      <c r="K163" s="148">
        <f t="shared" ca="1" si="64"/>
        <v>2.5400997725441545E-2</v>
      </c>
      <c r="L163" s="81">
        <f ca="1">OFFSET('3. 손익계산서 월별실적'!E163,0,$C$4-1)</f>
        <v>0</v>
      </c>
      <c r="M163" s="148">
        <f t="shared" ca="1" si="62"/>
        <v>0</v>
      </c>
      <c r="N163" s="132">
        <f t="shared" ca="1" si="65"/>
        <v>0</v>
      </c>
      <c r="O163" s="132">
        <f t="shared" ca="1" si="66"/>
        <v>0</v>
      </c>
    </row>
    <row r="164" spans="2:30" x14ac:dyDescent="0.2">
      <c r="B164" s="80"/>
      <c r="C164" s="81"/>
      <c r="D164" s="148"/>
      <c r="E164" s="81"/>
      <c r="F164" s="81"/>
      <c r="G164" s="153"/>
      <c r="H164" s="81"/>
      <c r="I164" s="148"/>
      <c r="J164" s="81"/>
      <c r="K164" s="148"/>
      <c r="L164" s="81"/>
      <c r="M164" s="148"/>
      <c r="N164" s="132"/>
      <c r="O164" s="132"/>
    </row>
    <row r="165" spans="2:30" x14ac:dyDescent="0.2">
      <c r="B165" s="95" t="s">
        <v>13</v>
      </c>
      <c r="C165" s="78">
        <f>+C154-C160</f>
        <v>-4360455.091475077</v>
      </c>
      <c r="D165" s="152" t="str">
        <f ca="1">IF(AND(C165&gt;0,F165&gt;0),F165/C165,"(-)")</f>
        <v>(-)</v>
      </c>
      <c r="E165" s="78">
        <f ca="1">+E154-E160</f>
        <v>23729.789948739111</v>
      </c>
      <c r="F165" s="78">
        <f ca="1">+F154-F160</f>
        <v>-595848.03000000026</v>
      </c>
      <c r="G165" s="152" t="str">
        <f t="shared" ref="G165" ca="1" si="67">IF(AND(E165&gt;0,F165&gt;0),F165/E165,"(-)")</f>
        <v>(-)</v>
      </c>
      <c r="H165" s="78">
        <f ca="1">+H154-H160</f>
        <v>-241967.8200000003</v>
      </c>
      <c r="I165" s="147">
        <f t="shared" ca="1" si="61"/>
        <v>-0.11136997744066812</v>
      </c>
      <c r="J165" s="78">
        <f ca="1">+J154-J160</f>
        <v>203791.32052573981</v>
      </c>
      <c r="K165" s="147">
        <f t="shared" ca="1" si="64"/>
        <v>7.1096825979282408E-2</v>
      </c>
      <c r="L165" s="78">
        <f ca="1">+L154-L160</f>
        <v>-353880.20999999996</v>
      </c>
      <c r="M165" s="147">
        <f t="shared" ca="1" si="62"/>
        <v>-0.14339863394525845</v>
      </c>
      <c r="N165" s="131" t="str">
        <f ca="1">+IF(AND(H165&gt;0,L165&gt;0),L165/H165,"(-)")</f>
        <v>(-)</v>
      </c>
      <c r="O165" s="131">
        <f ca="1">+IF(AND(J165&gt;0,N165&gt;0),L165/J165,"(-)")</f>
        <v>-1.7364832274851627</v>
      </c>
      <c r="Y165" s="40">
        <f>+C165*1330/1000000</f>
        <v>-5799.4052716618526</v>
      </c>
      <c r="Z165" s="40">
        <f ca="1">+E165*1330/1000000</f>
        <v>31.560620631823017</v>
      </c>
      <c r="AA165" s="40">
        <f ca="1">+F165*1330/1000000</f>
        <v>-792.47787990000029</v>
      </c>
      <c r="AB165" s="40">
        <f ca="1">+H165*1330/1000000</f>
        <v>-321.81720060000038</v>
      </c>
      <c r="AC165" s="40">
        <f ca="1">+J165*1330/1000000</f>
        <v>271.04245629923395</v>
      </c>
      <c r="AD165" s="40">
        <f ca="1">+L165*1330/1000000</f>
        <v>-470.66067929999997</v>
      </c>
    </row>
    <row r="166" spans="2:30" x14ac:dyDescent="0.2">
      <c r="B166" s="96" t="s">
        <v>14</v>
      </c>
      <c r="C166" s="82">
        <f>+IFERROR(C165/C154,)</f>
        <v>-0.16811011513970442</v>
      </c>
      <c r="D166" s="137">
        <f t="shared" ref="D166:D182" ca="1" si="68">+IFERROR(F166/C166,)</f>
        <v>0.76380238082369178</v>
      </c>
      <c r="E166" s="82">
        <f ca="1">+IFERROR(E165/E154,)</f>
        <v>4.5434734241908744E-3</v>
      </c>
      <c r="F166" s="82">
        <f ca="1">+IFERROR(F165/F154,)</f>
        <v>-0.12840290618425118</v>
      </c>
      <c r="G166" s="144"/>
      <c r="H166" s="82">
        <f ca="1">+IFERROR(H165/H154,)</f>
        <v>-0.11136997744066812</v>
      </c>
      <c r="I166" s="137"/>
      <c r="J166" s="82">
        <f ca="1">+IFERROR(J165/J154,)</f>
        <v>7.1096825979282408E-2</v>
      </c>
      <c r="K166" s="137"/>
      <c r="L166" s="82">
        <f ca="1">+IFERROR(L165/L154,)</f>
        <v>-0.14339863394525845</v>
      </c>
      <c r="M166" s="137"/>
      <c r="N166" s="82"/>
      <c r="O166" s="82"/>
    </row>
    <row r="167" spans="2:30" x14ac:dyDescent="0.2">
      <c r="B167" s="95" t="s">
        <v>15</v>
      </c>
      <c r="C167" s="78">
        <f>SUM(C168,C184,C202)</f>
        <v>2245926.5919494512</v>
      </c>
      <c r="D167" s="147">
        <f t="shared" ca="1" si="68"/>
        <v>0.30344815918869489</v>
      </c>
      <c r="E167" s="78">
        <f ca="1">SUM(E168,E184,E202)</f>
        <v>354582.46042323345</v>
      </c>
      <c r="F167" s="78">
        <f ca="1">SUM(F168,F184,F202)</f>
        <v>681522.29</v>
      </c>
      <c r="G167" s="147">
        <f t="shared" ref="G167:G182" ca="1" si="69">+IFERROR(F167/E167,)</f>
        <v>1.9220417422410789</v>
      </c>
      <c r="H167" s="78">
        <f ca="1">SUM(H168,H184,H202)</f>
        <v>352591.57999999996</v>
      </c>
      <c r="I167" s="147">
        <f t="shared" ref="I167:I217" ca="1" si="70">+IFERROR(H167/$H$154,)</f>
        <v>0.16228652351527356</v>
      </c>
      <c r="J167" s="78">
        <f ca="1">SUM(J168,J184,J202)</f>
        <v>173979.43597311058</v>
      </c>
      <c r="K167" s="147">
        <f t="shared" ca="1" si="64"/>
        <v>6.0696332166863001E-2</v>
      </c>
      <c r="L167" s="78">
        <f ca="1">SUM(L168,L184,L202)</f>
        <v>328930.71000000002</v>
      </c>
      <c r="M167" s="147">
        <f t="shared" ca="1" si="62"/>
        <v>0.1332886472420822</v>
      </c>
      <c r="N167" s="131">
        <f t="shared" ref="N167:N216" ca="1" si="71">+IFERROR(L167/H167,)</f>
        <v>0.93289439866941815</v>
      </c>
      <c r="O167" s="131">
        <f t="shared" ref="O167:O216" ca="1" si="72">+IFERROR(L167/J167,)</f>
        <v>1.8906298216235047</v>
      </c>
      <c r="Y167" s="40">
        <f>+C167*1330/1000000</f>
        <v>2987.0823672927704</v>
      </c>
      <c r="Z167" s="40">
        <f ca="1">+E167*1330/1000000</f>
        <v>471.5946723629005</v>
      </c>
      <c r="AA167" s="40">
        <f ca="1">+F167*1330/1000000</f>
        <v>906.42464570000004</v>
      </c>
      <c r="AB167" s="40">
        <f ca="1">+H167*1330/1000000</f>
        <v>468.94680139999991</v>
      </c>
      <c r="AC167" s="40">
        <f ca="1">+J167*1330/1000000</f>
        <v>231.39264984423707</v>
      </c>
      <c r="AD167" s="40">
        <f ca="1">+L167*1330/1000000</f>
        <v>437.47784430000002</v>
      </c>
    </row>
    <row r="168" spans="2:30" ht="16.5" hidden="1" outlineLevel="1" x14ac:dyDescent="0.2">
      <c r="B168" s="97" t="s">
        <v>16</v>
      </c>
      <c r="C168" s="98">
        <f>SUM(C169:C182)</f>
        <v>0</v>
      </c>
      <c r="D168" s="149">
        <f t="shared" ca="1" si="68"/>
        <v>0</v>
      </c>
      <c r="E168" s="98">
        <f t="shared" ref="E168:F168" ca="1" si="73">SUM(E169:E182)</f>
        <v>0</v>
      </c>
      <c r="F168" s="98">
        <f t="shared" ca="1" si="73"/>
        <v>0</v>
      </c>
      <c r="G168" s="149">
        <f t="shared" ca="1" si="69"/>
        <v>0</v>
      </c>
      <c r="H168" s="98">
        <f ca="1">SUM(H169:H182)</f>
        <v>0</v>
      </c>
      <c r="I168" s="149">
        <f t="shared" ca="1" si="70"/>
        <v>0</v>
      </c>
      <c r="J168" s="98">
        <f ca="1">SUM(J169:J182)</f>
        <v>0</v>
      </c>
      <c r="K168" s="149">
        <f t="shared" ca="1" si="64"/>
        <v>0</v>
      </c>
      <c r="L168" s="98">
        <f ca="1">SUM(L169:L182)</f>
        <v>0</v>
      </c>
      <c r="M168" s="149">
        <f t="shared" ca="1" si="62"/>
        <v>0</v>
      </c>
      <c r="N168" s="133">
        <f t="shared" ca="1" si="71"/>
        <v>0</v>
      </c>
      <c r="O168" s="133">
        <f t="shared" ca="1" si="72"/>
        <v>0</v>
      </c>
    </row>
    <row r="169" spans="2:30" hidden="1" outlineLevel="1" x14ac:dyDescent="0.2">
      <c r="B169" s="67" t="s">
        <v>19</v>
      </c>
      <c r="C169" s="81">
        <f>'(계획)손익계산서 월별계획'!C169</f>
        <v>0</v>
      </c>
      <c r="D169" s="148">
        <f t="shared" ca="1" si="68"/>
        <v>0</v>
      </c>
      <c r="E169" s="81">
        <f ca="1">SUM('(계획)손익계산서 월별계획'!E169:(OFFSET('(계획)손익계산서 월별계획'!E169,0,$C$4-1)))</f>
        <v>0</v>
      </c>
      <c r="F169" s="81">
        <f ca="1">SUM('3. 손익계산서 월별실적'!E169:(OFFSET('3. 손익계산서 월별실적'!E169,0,$C$4-1)))</f>
        <v>0</v>
      </c>
      <c r="G169" s="148">
        <f t="shared" ca="1" si="69"/>
        <v>0</v>
      </c>
      <c r="H169" s="81">
        <f ca="1">OFFSET('3. 손익계산서 월별실적'!E169,0,$C$4-2)</f>
        <v>0</v>
      </c>
      <c r="I169" s="148">
        <f t="shared" ca="1" si="70"/>
        <v>0</v>
      </c>
      <c r="J169" s="81">
        <f ca="1">OFFSET('(계획)손익계산서 월별계획'!E169,0,$C$4-1)</f>
        <v>0</v>
      </c>
      <c r="K169" s="148">
        <f t="shared" ca="1" si="64"/>
        <v>0</v>
      </c>
      <c r="L169" s="81">
        <f ca="1">OFFSET('3. 손익계산서 월별실적'!E169,0,$C$4-1)</f>
        <v>0</v>
      </c>
      <c r="M169" s="148">
        <f t="shared" ca="1" si="62"/>
        <v>0</v>
      </c>
      <c r="N169" s="132">
        <f t="shared" ca="1" si="71"/>
        <v>0</v>
      </c>
      <c r="O169" s="132">
        <f t="shared" ca="1" si="72"/>
        <v>0</v>
      </c>
    </row>
    <row r="170" spans="2:30" hidden="1" outlineLevel="1" x14ac:dyDescent="0.2">
      <c r="B170" s="67" t="s">
        <v>43</v>
      </c>
      <c r="C170" s="81">
        <f>'(계획)손익계산서 월별계획'!C170</f>
        <v>0</v>
      </c>
      <c r="D170" s="148">
        <f t="shared" ca="1" si="68"/>
        <v>0</v>
      </c>
      <c r="E170" s="81">
        <f ca="1">SUM('(계획)손익계산서 월별계획'!E170:(OFFSET('(계획)손익계산서 월별계획'!E170,0,$C$4-1)))</f>
        <v>0</v>
      </c>
      <c r="F170" s="81">
        <f ca="1">SUM('3. 손익계산서 월별실적'!E170:(OFFSET('3. 손익계산서 월별실적'!E170,0,$C$4-1)))</f>
        <v>0</v>
      </c>
      <c r="G170" s="148">
        <f t="shared" ca="1" si="69"/>
        <v>0</v>
      </c>
      <c r="H170" s="81">
        <f ca="1">OFFSET('3. 손익계산서 월별실적'!E170,0,$C$4-2)</f>
        <v>0</v>
      </c>
      <c r="I170" s="148">
        <f t="shared" ca="1" si="70"/>
        <v>0</v>
      </c>
      <c r="J170" s="81">
        <f ca="1">OFFSET('(계획)손익계산서 월별계획'!E170,0,$C$4-1)</f>
        <v>0</v>
      </c>
      <c r="K170" s="148">
        <f t="shared" ca="1" si="64"/>
        <v>0</v>
      </c>
      <c r="L170" s="81">
        <f ca="1">OFFSET('3. 손익계산서 월별실적'!E170,0,$C$4-1)</f>
        <v>0</v>
      </c>
      <c r="M170" s="148">
        <f t="shared" ca="1" si="62"/>
        <v>0</v>
      </c>
      <c r="N170" s="132">
        <f t="shared" ca="1" si="71"/>
        <v>0</v>
      </c>
      <c r="O170" s="132">
        <f t="shared" ca="1" si="72"/>
        <v>0</v>
      </c>
    </row>
    <row r="171" spans="2:30" hidden="1" outlineLevel="1" x14ac:dyDescent="0.2">
      <c r="B171" s="67" t="s">
        <v>45</v>
      </c>
      <c r="C171" s="81">
        <f>'(계획)손익계산서 월별계획'!C171</f>
        <v>0</v>
      </c>
      <c r="D171" s="148">
        <f t="shared" ca="1" si="68"/>
        <v>0</v>
      </c>
      <c r="E171" s="81">
        <f ca="1">SUM('(계획)손익계산서 월별계획'!E171:(OFFSET('(계획)손익계산서 월별계획'!E171,0,$C$4-1)))</f>
        <v>0</v>
      </c>
      <c r="F171" s="81">
        <f ca="1">SUM('3. 손익계산서 월별실적'!E171:(OFFSET('3. 손익계산서 월별실적'!E171,0,$C$4-1)))</f>
        <v>0</v>
      </c>
      <c r="G171" s="148">
        <f t="shared" ca="1" si="69"/>
        <v>0</v>
      </c>
      <c r="H171" s="81">
        <f ca="1">OFFSET('3. 손익계산서 월별실적'!E171,0,$C$4-2)</f>
        <v>0</v>
      </c>
      <c r="I171" s="148">
        <f t="shared" ca="1" si="70"/>
        <v>0</v>
      </c>
      <c r="J171" s="81">
        <f ca="1">OFFSET('(계획)손익계산서 월별계획'!E171,0,$C$4-1)</f>
        <v>0</v>
      </c>
      <c r="K171" s="148">
        <f t="shared" ca="1" si="64"/>
        <v>0</v>
      </c>
      <c r="L171" s="81">
        <f ca="1">OFFSET('3. 손익계산서 월별실적'!E171,0,$C$4-1)</f>
        <v>0</v>
      </c>
      <c r="M171" s="148">
        <f t="shared" ca="1" si="62"/>
        <v>0</v>
      </c>
      <c r="N171" s="132">
        <f t="shared" ca="1" si="71"/>
        <v>0</v>
      </c>
      <c r="O171" s="132">
        <f t="shared" ca="1" si="72"/>
        <v>0</v>
      </c>
    </row>
    <row r="172" spans="2:30" hidden="1" outlineLevel="1" x14ac:dyDescent="0.2">
      <c r="B172" s="67" t="s">
        <v>47</v>
      </c>
      <c r="C172" s="81">
        <f>'(계획)손익계산서 월별계획'!C172</f>
        <v>0</v>
      </c>
      <c r="D172" s="148">
        <f t="shared" ca="1" si="68"/>
        <v>0</v>
      </c>
      <c r="E172" s="81">
        <f ca="1">SUM('(계획)손익계산서 월별계획'!E172:(OFFSET('(계획)손익계산서 월별계획'!E172,0,$C$4-1)))</f>
        <v>0</v>
      </c>
      <c r="F172" s="81">
        <f ca="1">SUM('3. 손익계산서 월별실적'!E172:(OFFSET('3. 손익계산서 월별실적'!E172,0,$C$4-1)))</f>
        <v>0</v>
      </c>
      <c r="G172" s="148">
        <f t="shared" ca="1" si="69"/>
        <v>0</v>
      </c>
      <c r="H172" s="81">
        <f ca="1">OFFSET('3. 손익계산서 월별실적'!E172,0,$C$4-2)</f>
        <v>0</v>
      </c>
      <c r="I172" s="148">
        <f t="shared" ca="1" si="70"/>
        <v>0</v>
      </c>
      <c r="J172" s="81">
        <f ca="1">OFFSET('(계획)손익계산서 월별계획'!E172,0,$C$4-1)</f>
        <v>0</v>
      </c>
      <c r="K172" s="148">
        <f t="shared" ca="1" si="64"/>
        <v>0</v>
      </c>
      <c r="L172" s="81">
        <f ca="1">OFFSET('3. 손익계산서 월별실적'!E172,0,$C$4-1)</f>
        <v>0</v>
      </c>
      <c r="M172" s="148">
        <f t="shared" ca="1" si="62"/>
        <v>0</v>
      </c>
      <c r="N172" s="132">
        <f t="shared" ca="1" si="71"/>
        <v>0</v>
      </c>
      <c r="O172" s="132">
        <f t="shared" ca="1" si="72"/>
        <v>0</v>
      </c>
    </row>
    <row r="173" spans="2:30" hidden="1" outlineLevel="1" x14ac:dyDescent="0.2">
      <c r="B173" s="67" t="s">
        <v>48</v>
      </c>
      <c r="C173" s="81">
        <f>'(계획)손익계산서 월별계획'!C173</f>
        <v>0</v>
      </c>
      <c r="D173" s="148">
        <f t="shared" ca="1" si="68"/>
        <v>0</v>
      </c>
      <c r="E173" s="81">
        <f ca="1">SUM('(계획)손익계산서 월별계획'!E173:(OFFSET('(계획)손익계산서 월별계획'!E173,0,$C$4-1)))</f>
        <v>0</v>
      </c>
      <c r="F173" s="81">
        <f ca="1">SUM('3. 손익계산서 월별실적'!E173:(OFFSET('3. 손익계산서 월별실적'!E173,0,$C$4-1)))</f>
        <v>0</v>
      </c>
      <c r="G173" s="148">
        <f t="shared" ca="1" si="69"/>
        <v>0</v>
      </c>
      <c r="H173" s="81">
        <f ca="1">OFFSET('3. 손익계산서 월별실적'!E173,0,$C$4-2)</f>
        <v>0</v>
      </c>
      <c r="I173" s="148">
        <f t="shared" ca="1" si="70"/>
        <v>0</v>
      </c>
      <c r="J173" s="81">
        <f ca="1">OFFSET('(계획)손익계산서 월별계획'!E173,0,$C$4-1)</f>
        <v>0</v>
      </c>
      <c r="K173" s="148">
        <f t="shared" ca="1" si="64"/>
        <v>0</v>
      </c>
      <c r="L173" s="81">
        <f ca="1">OFFSET('3. 손익계산서 월별실적'!E173,0,$C$4-1)</f>
        <v>0</v>
      </c>
      <c r="M173" s="148">
        <f t="shared" ca="1" si="62"/>
        <v>0</v>
      </c>
      <c r="N173" s="132">
        <f t="shared" ca="1" si="71"/>
        <v>0</v>
      </c>
      <c r="O173" s="132">
        <f t="shared" ca="1" si="72"/>
        <v>0</v>
      </c>
    </row>
    <row r="174" spans="2:30" hidden="1" outlineLevel="1" x14ac:dyDescent="0.2">
      <c r="B174" s="67" t="s">
        <v>49</v>
      </c>
      <c r="C174" s="81">
        <f>'(계획)손익계산서 월별계획'!C174</f>
        <v>0</v>
      </c>
      <c r="D174" s="148">
        <f t="shared" ca="1" si="68"/>
        <v>0</v>
      </c>
      <c r="E174" s="81">
        <f ca="1">SUM('(계획)손익계산서 월별계획'!E174:(OFFSET('(계획)손익계산서 월별계획'!E174,0,$C$4-1)))</f>
        <v>0</v>
      </c>
      <c r="F174" s="81">
        <f ca="1">SUM('3. 손익계산서 월별실적'!E174:(OFFSET('3. 손익계산서 월별실적'!E174,0,$C$4-1)))</f>
        <v>0</v>
      </c>
      <c r="G174" s="148">
        <f t="shared" ca="1" si="69"/>
        <v>0</v>
      </c>
      <c r="H174" s="81">
        <f ca="1">OFFSET('3. 손익계산서 월별실적'!E174,0,$C$4-2)</f>
        <v>0</v>
      </c>
      <c r="I174" s="148">
        <f t="shared" ca="1" si="70"/>
        <v>0</v>
      </c>
      <c r="J174" s="81">
        <f ca="1">OFFSET('(계획)손익계산서 월별계획'!E174,0,$C$4-1)</f>
        <v>0</v>
      </c>
      <c r="K174" s="148">
        <f t="shared" ca="1" si="64"/>
        <v>0</v>
      </c>
      <c r="L174" s="81">
        <f ca="1">OFFSET('3. 손익계산서 월별실적'!E174,0,$C$4-1)</f>
        <v>0</v>
      </c>
      <c r="M174" s="148">
        <f t="shared" ca="1" si="62"/>
        <v>0</v>
      </c>
      <c r="N174" s="132">
        <f t="shared" ca="1" si="71"/>
        <v>0</v>
      </c>
      <c r="O174" s="132">
        <f t="shared" ca="1" si="72"/>
        <v>0</v>
      </c>
    </row>
    <row r="175" spans="2:30" hidden="1" outlineLevel="1" x14ac:dyDescent="0.2">
      <c r="B175" s="67" t="s">
        <v>50</v>
      </c>
      <c r="C175" s="81">
        <f>'(계획)손익계산서 월별계획'!C175</f>
        <v>0</v>
      </c>
      <c r="D175" s="148">
        <f t="shared" ca="1" si="68"/>
        <v>0</v>
      </c>
      <c r="E175" s="81">
        <f ca="1">SUM('(계획)손익계산서 월별계획'!E175:(OFFSET('(계획)손익계산서 월별계획'!E175,0,$C$4-1)))</f>
        <v>0</v>
      </c>
      <c r="F175" s="81">
        <f ca="1">SUM('3. 손익계산서 월별실적'!E175:(OFFSET('3. 손익계산서 월별실적'!E175,0,$C$4-1)))</f>
        <v>0</v>
      </c>
      <c r="G175" s="148">
        <f t="shared" ca="1" si="69"/>
        <v>0</v>
      </c>
      <c r="H175" s="81">
        <f ca="1">OFFSET('3. 손익계산서 월별실적'!E175,0,$C$4-2)</f>
        <v>0</v>
      </c>
      <c r="I175" s="148">
        <f t="shared" ca="1" si="70"/>
        <v>0</v>
      </c>
      <c r="J175" s="81">
        <f ca="1">OFFSET('(계획)손익계산서 월별계획'!E175,0,$C$4-1)</f>
        <v>0</v>
      </c>
      <c r="K175" s="148">
        <f t="shared" ca="1" si="64"/>
        <v>0</v>
      </c>
      <c r="L175" s="81">
        <f ca="1">OFFSET('3. 손익계산서 월별실적'!E175,0,$C$4-1)</f>
        <v>0</v>
      </c>
      <c r="M175" s="148">
        <f t="shared" ca="1" si="62"/>
        <v>0</v>
      </c>
      <c r="N175" s="132">
        <f t="shared" ca="1" si="71"/>
        <v>0</v>
      </c>
      <c r="O175" s="132">
        <f t="shared" ca="1" si="72"/>
        <v>0</v>
      </c>
    </row>
    <row r="176" spans="2:30" hidden="1" outlineLevel="1" x14ac:dyDescent="0.2">
      <c r="B176" s="67" t="s">
        <v>51</v>
      </c>
      <c r="C176" s="81">
        <f>'(계획)손익계산서 월별계획'!C176</f>
        <v>0</v>
      </c>
      <c r="D176" s="148">
        <f t="shared" ca="1" si="68"/>
        <v>0</v>
      </c>
      <c r="E176" s="81">
        <f ca="1">SUM('(계획)손익계산서 월별계획'!E176:(OFFSET('(계획)손익계산서 월별계획'!E176,0,$C$4-1)))</f>
        <v>0</v>
      </c>
      <c r="F176" s="81">
        <f ca="1">SUM('3. 손익계산서 월별실적'!E176:(OFFSET('3. 손익계산서 월별실적'!E176,0,$C$4-1)))</f>
        <v>0</v>
      </c>
      <c r="G176" s="148">
        <f t="shared" ca="1" si="69"/>
        <v>0</v>
      </c>
      <c r="H176" s="81">
        <f ca="1">OFFSET('3. 손익계산서 월별실적'!E176,0,$C$4-2)</f>
        <v>0</v>
      </c>
      <c r="I176" s="148">
        <f t="shared" ca="1" si="70"/>
        <v>0</v>
      </c>
      <c r="J176" s="81">
        <f ca="1">OFFSET('(계획)손익계산서 월별계획'!E176,0,$C$4-1)</f>
        <v>0</v>
      </c>
      <c r="K176" s="148">
        <f t="shared" ca="1" si="64"/>
        <v>0</v>
      </c>
      <c r="L176" s="81">
        <f ca="1">OFFSET('3. 손익계산서 월별실적'!E176,0,$C$4-1)</f>
        <v>0</v>
      </c>
      <c r="M176" s="148">
        <f t="shared" ca="1" si="62"/>
        <v>0</v>
      </c>
      <c r="N176" s="132">
        <f t="shared" ca="1" si="71"/>
        <v>0</v>
      </c>
      <c r="O176" s="132">
        <f t="shared" ca="1" si="72"/>
        <v>0</v>
      </c>
    </row>
    <row r="177" spans="2:15" hidden="1" outlineLevel="1" x14ac:dyDescent="0.2">
      <c r="B177" s="67" t="s">
        <v>52</v>
      </c>
      <c r="C177" s="81">
        <f>'(계획)손익계산서 월별계획'!C177</f>
        <v>0</v>
      </c>
      <c r="D177" s="148">
        <f t="shared" ca="1" si="68"/>
        <v>0</v>
      </c>
      <c r="E177" s="81">
        <f ca="1">SUM('(계획)손익계산서 월별계획'!E177:(OFFSET('(계획)손익계산서 월별계획'!E177,0,$C$4-1)))</f>
        <v>0</v>
      </c>
      <c r="F177" s="81">
        <f ca="1">SUM('3. 손익계산서 월별실적'!E177:(OFFSET('3. 손익계산서 월별실적'!E177,0,$C$4-1)))</f>
        <v>0</v>
      </c>
      <c r="G177" s="148">
        <f t="shared" ca="1" si="69"/>
        <v>0</v>
      </c>
      <c r="H177" s="81">
        <f ca="1">OFFSET('3. 손익계산서 월별실적'!E177,0,$C$4-2)</f>
        <v>0</v>
      </c>
      <c r="I177" s="148">
        <f t="shared" ca="1" si="70"/>
        <v>0</v>
      </c>
      <c r="J177" s="81">
        <f ca="1">OFFSET('(계획)손익계산서 월별계획'!E177,0,$C$4-1)</f>
        <v>0</v>
      </c>
      <c r="K177" s="148">
        <f t="shared" ca="1" si="64"/>
        <v>0</v>
      </c>
      <c r="L177" s="81">
        <f ca="1">OFFSET('3. 손익계산서 월별실적'!E177,0,$C$4-1)</f>
        <v>0</v>
      </c>
      <c r="M177" s="148">
        <f t="shared" ca="1" si="62"/>
        <v>0</v>
      </c>
      <c r="N177" s="132">
        <f t="shared" ca="1" si="71"/>
        <v>0</v>
      </c>
      <c r="O177" s="132">
        <f t="shared" ca="1" si="72"/>
        <v>0</v>
      </c>
    </row>
    <row r="178" spans="2:15" hidden="1" outlineLevel="1" x14ac:dyDescent="0.2">
      <c r="B178" s="67" t="s">
        <v>53</v>
      </c>
      <c r="C178" s="81">
        <f>'(계획)손익계산서 월별계획'!C178</f>
        <v>0</v>
      </c>
      <c r="D178" s="148">
        <f t="shared" ca="1" si="68"/>
        <v>0</v>
      </c>
      <c r="E178" s="81">
        <f ca="1">SUM('(계획)손익계산서 월별계획'!E178:(OFFSET('(계획)손익계산서 월별계획'!E178,0,$C$4-1)))</f>
        <v>0</v>
      </c>
      <c r="F178" s="81">
        <f ca="1">SUM('3. 손익계산서 월별실적'!E178:(OFFSET('3. 손익계산서 월별실적'!E178,0,$C$4-1)))</f>
        <v>0</v>
      </c>
      <c r="G178" s="148">
        <f t="shared" ca="1" si="69"/>
        <v>0</v>
      </c>
      <c r="H178" s="81">
        <f ca="1">OFFSET('3. 손익계산서 월별실적'!E178,0,$C$4-2)</f>
        <v>0</v>
      </c>
      <c r="I178" s="148">
        <f t="shared" ca="1" si="70"/>
        <v>0</v>
      </c>
      <c r="J178" s="81">
        <f ca="1">OFFSET('(계획)손익계산서 월별계획'!E178,0,$C$4-1)</f>
        <v>0</v>
      </c>
      <c r="K178" s="148">
        <f t="shared" ca="1" si="64"/>
        <v>0</v>
      </c>
      <c r="L178" s="81">
        <f ca="1">OFFSET('3. 손익계산서 월별실적'!E178,0,$C$4-1)</f>
        <v>0</v>
      </c>
      <c r="M178" s="148">
        <f t="shared" ca="1" si="62"/>
        <v>0</v>
      </c>
      <c r="N178" s="132">
        <f t="shared" ca="1" si="71"/>
        <v>0</v>
      </c>
      <c r="O178" s="132">
        <f t="shared" ca="1" si="72"/>
        <v>0</v>
      </c>
    </row>
    <row r="179" spans="2:15" hidden="1" outlineLevel="1" x14ac:dyDescent="0.2">
      <c r="B179" s="67" t="s">
        <v>54</v>
      </c>
      <c r="C179" s="81">
        <f>'(계획)손익계산서 월별계획'!C179</f>
        <v>0</v>
      </c>
      <c r="D179" s="148">
        <f t="shared" ca="1" si="68"/>
        <v>0</v>
      </c>
      <c r="E179" s="81">
        <f ca="1">SUM('(계획)손익계산서 월별계획'!E179:(OFFSET('(계획)손익계산서 월별계획'!E179,0,$C$4-1)))</f>
        <v>0</v>
      </c>
      <c r="F179" s="81">
        <f ca="1">SUM('3. 손익계산서 월별실적'!E179:(OFFSET('3. 손익계산서 월별실적'!E179,0,$C$4-1)))</f>
        <v>0</v>
      </c>
      <c r="G179" s="148">
        <f t="shared" ca="1" si="69"/>
        <v>0</v>
      </c>
      <c r="H179" s="81">
        <f ca="1">OFFSET('3. 손익계산서 월별실적'!E179,0,$C$4-2)</f>
        <v>0</v>
      </c>
      <c r="I179" s="148">
        <f t="shared" ca="1" si="70"/>
        <v>0</v>
      </c>
      <c r="J179" s="81">
        <f ca="1">OFFSET('(계획)손익계산서 월별계획'!E179,0,$C$4-1)</f>
        <v>0</v>
      </c>
      <c r="K179" s="148">
        <f t="shared" ca="1" si="64"/>
        <v>0</v>
      </c>
      <c r="L179" s="81">
        <f ca="1">OFFSET('3. 손익계산서 월별실적'!E179,0,$C$4-1)</f>
        <v>0</v>
      </c>
      <c r="M179" s="148">
        <f t="shared" ca="1" si="62"/>
        <v>0</v>
      </c>
      <c r="N179" s="132">
        <f t="shared" ca="1" si="71"/>
        <v>0</v>
      </c>
      <c r="O179" s="132">
        <f t="shared" ca="1" si="72"/>
        <v>0</v>
      </c>
    </row>
    <row r="180" spans="2:15" hidden="1" outlineLevel="1" x14ac:dyDescent="0.2">
      <c r="B180" s="67" t="s">
        <v>55</v>
      </c>
      <c r="C180" s="81">
        <f>'(계획)손익계산서 월별계획'!C180</f>
        <v>0</v>
      </c>
      <c r="D180" s="148">
        <f t="shared" ca="1" si="68"/>
        <v>0</v>
      </c>
      <c r="E180" s="81">
        <f ca="1">SUM('(계획)손익계산서 월별계획'!E180:(OFFSET('(계획)손익계산서 월별계획'!E180,0,$C$4-1)))</f>
        <v>0</v>
      </c>
      <c r="F180" s="81">
        <f ca="1">SUM('3. 손익계산서 월별실적'!E180:(OFFSET('3. 손익계산서 월별실적'!E180,0,$C$4-1)))</f>
        <v>0</v>
      </c>
      <c r="G180" s="148">
        <f t="shared" ca="1" si="69"/>
        <v>0</v>
      </c>
      <c r="H180" s="81">
        <f ca="1">OFFSET('3. 손익계산서 월별실적'!E180,0,$C$4-2)</f>
        <v>0</v>
      </c>
      <c r="I180" s="148">
        <f t="shared" ca="1" si="70"/>
        <v>0</v>
      </c>
      <c r="J180" s="81">
        <f ca="1">OFFSET('(계획)손익계산서 월별계획'!E180,0,$C$4-1)</f>
        <v>0</v>
      </c>
      <c r="K180" s="148">
        <f t="shared" ca="1" si="64"/>
        <v>0</v>
      </c>
      <c r="L180" s="81">
        <f ca="1">OFFSET('3. 손익계산서 월별실적'!E180,0,$C$4-1)</f>
        <v>0</v>
      </c>
      <c r="M180" s="148">
        <f t="shared" ca="1" si="62"/>
        <v>0</v>
      </c>
      <c r="N180" s="132">
        <f t="shared" ca="1" si="71"/>
        <v>0</v>
      </c>
      <c r="O180" s="132">
        <f t="shared" ca="1" si="72"/>
        <v>0</v>
      </c>
    </row>
    <row r="181" spans="2:15" hidden="1" outlineLevel="1" x14ac:dyDescent="0.2">
      <c r="B181" s="67" t="s">
        <v>56</v>
      </c>
      <c r="C181" s="81">
        <f>'(계획)손익계산서 월별계획'!C181</f>
        <v>0</v>
      </c>
      <c r="D181" s="148">
        <f t="shared" ca="1" si="68"/>
        <v>0</v>
      </c>
      <c r="E181" s="81">
        <f ca="1">SUM('(계획)손익계산서 월별계획'!E181:(OFFSET('(계획)손익계산서 월별계획'!E181,0,$C$4-1)))</f>
        <v>0</v>
      </c>
      <c r="F181" s="81">
        <f ca="1">SUM('3. 손익계산서 월별실적'!E181:(OFFSET('3. 손익계산서 월별실적'!E181,0,$C$4-1)))</f>
        <v>0</v>
      </c>
      <c r="G181" s="148">
        <f t="shared" ca="1" si="69"/>
        <v>0</v>
      </c>
      <c r="H181" s="81">
        <f ca="1">OFFSET('3. 손익계산서 월별실적'!E181,0,$C$4-2)</f>
        <v>0</v>
      </c>
      <c r="I181" s="148">
        <f t="shared" ca="1" si="70"/>
        <v>0</v>
      </c>
      <c r="J181" s="81">
        <f ca="1">OFFSET('(계획)손익계산서 월별계획'!E181,0,$C$4-1)</f>
        <v>0</v>
      </c>
      <c r="K181" s="148">
        <f t="shared" ca="1" si="64"/>
        <v>0</v>
      </c>
      <c r="L181" s="81">
        <f ca="1">OFFSET('3. 손익계산서 월별실적'!E181,0,$C$4-1)</f>
        <v>0</v>
      </c>
      <c r="M181" s="148">
        <f t="shared" ca="1" si="62"/>
        <v>0</v>
      </c>
      <c r="N181" s="132">
        <f t="shared" ca="1" si="71"/>
        <v>0</v>
      </c>
      <c r="O181" s="132">
        <f t="shared" ca="1" si="72"/>
        <v>0</v>
      </c>
    </row>
    <row r="182" spans="2:15" hidden="1" outlineLevel="1" x14ac:dyDescent="0.2">
      <c r="B182" s="67" t="s">
        <v>57</v>
      </c>
      <c r="C182" s="81">
        <f>'(계획)손익계산서 월별계획'!C182</f>
        <v>0</v>
      </c>
      <c r="D182" s="148">
        <f t="shared" ca="1" si="68"/>
        <v>0</v>
      </c>
      <c r="E182" s="81">
        <f ca="1">SUM('(계획)손익계산서 월별계획'!E182:(OFFSET('(계획)손익계산서 월별계획'!E182,0,$C$4-1)))</f>
        <v>0</v>
      </c>
      <c r="F182" s="81">
        <f ca="1">SUM('3. 손익계산서 월별실적'!E182:(OFFSET('3. 손익계산서 월별실적'!E182,0,$C$4-1)))</f>
        <v>0</v>
      </c>
      <c r="G182" s="148">
        <f t="shared" ca="1" si="69"/>
        <v>0</v>
      </c>
      <c r="H182" s="81">
        <f ca="1">OFFSET('3. 손익계산서 월별실적'!E182,0,$C$4-2)</f>
        <v>0</v>
      </c>
      <c r="I182" s="148">
        <f t="shared" ca="1" si="70"/>
        <v>0</v>
      </c>
      <c r="J182" s="81">
        <f ca="1">OFFSET('(계획)손익계산서 월별계획'!E182,0,$C$4-1)</f>
        <v>0</v>
      </c>
      <c r="K182" s="148">
        <f t="shared" ca="1" si="64"/>
        <v>0</v>
      </c>
      <c r="L182" s="81">
        <f ca="1">OFFSET('3. 손익계산서 월별실적'!E182,0,$C$4-1)</f>
        <v>0</v>
      </c>
      <c r="M182" s="148">
        <f t="shared" ca="1" si="62"/>
        <v>0</v>
      </c>
      <c r="N182" s="132">
        <f t="shared" ca="1" si="71"/>
        <v>0</v>
      </c>
      <c r="O182" s="132">
        <f t="shared" ca="1" si="72"/>
        <v>0</v>
      </c>
    </row>
    <row r="183" spans="2:15" hidden="1" outlineLevel="1" x14ac:dyDescent="0.2">
      <c r="B183" s="106"/>
      <c r="C183" s="81"/>
      <c r="D183" s="148"/>
      <c r="E183" s="81"/>
      <c r="F183" s="81"/>
      <c r="G183" s="148"/>
      <c r="H183" s="81"/>
      <c r="I183" s="148"/>
      <c r="J183" s="81"/>
      <c r="K183" s="148">
        <f t="shared" ca="1" si="64"/>
        <v>0</v>
      </c>
      <c r="L183" s="81"/>
      <c r="M183" s="148"/>
      <c r="N183" s="132"/>
      <c r="O183" s="132"/>
    </row>
    <row r="184" spans="2:15" ht="16.5" collapsed="1" x14ac:dyDescent="0.2">
      <c r="B184" s="97" t="s">
        <v>17</v>
      </c>
      <c r="C184" s="109">
        <f>SUM(C185:C200)</f>
        <v>2245926.5919494512</v>
      </c>
      <c r="D184" s="150">
        <f t="shared" ref="D184:D199" ca="1" si="74">+IFERROR(F184/C184,)</f>
        <v>0.30344815918869489</v>
      </c>
      <c r="E184" s="109">
        <f t="shared" ref="E184:F184" ca="1" si="75">SUM(E185:E200)</f>
        <v>354582.46042323345</v>
      </c>
      <c r="F184" s="109">
        <f t="shared" ca="1" si="75"/>
        <v>681522.29</v>
      </c>
      <c r="G184" s="150">
        <f t="shared" ref="G184:G199" ca="1" si="76">+IFERROR(F184/E184,)</f>
        <v>1.9220417422410789</v>
      </c>
      <c r="H184" s="109">
        <f ca="1">SUM(H185:H200)</f>
        <v>352591.57999999996</v>
      </c>
      <c r="I184" s="150">
        <f t="shared" ca="1" si="70"/>
        <v>0.16228652351527356</v>
      </c>
      <c r="J184" s="109">
        <f ca="1">SUM(J185:J200)</f>
        <v>173979.43597311058</v>
      </c>
      <c r="K184" s="150">
        <f t="shared" ca="1" si="64"/>
        <v>6.0696332166863001E-2</v>
      </c>
      <c r="L184" s="109">
        <f ca="1">SUM(L185:L200)</f>
        <v>328930.71000000002</v>
      </c>
      <c r="M184" s="150">
        <f t="shared" ca="1" si="62"/>
        <v>0.1332886472420822</v>
      </c>
      <c r="N184" s="134">
        <f t="shared" ca="1" si="71"/>
        <v>0.93289439866941815</v>
      </c>
      <c r="O184" s="134">
        <f t="shared" ca="1" si="72"/>
        <v>1.8906298216235047</v>
      </c>
    </row>
    <row r="185" spans="2:15" x14ac:dyDescent="0.2">
      <c r="B185" s="112" t="s">
        <v>58</v>
      </c>
      <c r="C185" s="81">
        <f>'(계획)손익계산서 월별계획'!C185</f>
        <v>1813265.7201</v>
      </c>
      <c r="D185" s="148">
        <f t="shared" ca="1" si="74"/>
        <v>0.25391130759070923</v>
      </c>
      <c r="E185" s="81">
        <f ca="1">SUM('(계획)손익계산서 월별계획'!E185:(OFFSET('(계획)손익계산서 월별계획'!E185,0,$C$4-1)))</f>
        <v>265163.88460000005</v>
      </c>
      <c r="F185" s="81">
        <f ca="1">SUM('3. 손익계산서 월별실적'!E185:(OFFSET('3. 손익계산서 월별실적'!E185,0,$C$4-1)))</f>
        <v>460408.67</v>
      </c>
      <c r="G185" s="148">
        <f t="shared" ca="1" si="76"/>
        <v>1.7363174125108585</v>
      </c>
      <c r="H185" s="81">
        <f ca="1">OFFSET('3. 손익계산서 월별실적'!E185,0,$C$4-2)</f>
        <v>232743.71</v>
      </c>
      <c r="I185" s="148">
        <f t="shared" ca="1" si="70"/>
        <v>0.10712441733846001</v>
      </c>
      <c r="J185" s="81">
        <f ca="1">OFFSET('(계획)손익계산서 월별계획'!E185,0,$C$4-1)</f>
        <v>132581.94230000002</v>
      </c>
      <c r="K185" s="148">
        <f t="shared" ca="1" si="64"/>
        <v>4.6253958487441051E-2</v>
      </c>
      <c r="L185" s="81">
        <f ca="1">OFFSET('3. 손익계산서 월별실적'!E185,0,$C$4-1)</f>
        <v>227664.96</v>
      </c>
      <c r="M185" s="148">
        <f t="shared" ca="1" si="62"/>
        <v>9.2253941697395023E-2</v>
      </c>
      <c r="N185" s="132">
        <f t="shared" ca="1" si="71"/>
        <v>0.97817878730213592</v>
      </c>
      <c r="O185" s="132">
        <f t="shared" ca="1" si="72"/>
        <v>1.7171641631622103</v>
      </c>
    </row>
    <row r="186" spans="2:15" x14ac:dyDescent="0.2">
      <c r="B186" s="112" t="s">
        <v>59</v>
      </c>
      <c r="C186" s="81">
        <f>'(계획)손익계산서 월별계획'!C186</f>
        <v>19824.480523757436</v>
      </c>
      <c r="D186" s="148">
        <f t="shared" ca="1" si="74"/>
        <v>0.25065625270962588</v>
      </c>
      <c r="E186" s="81">
        <f ca="1">SUM('(계획)손익계산서 월별계획'!E186:(OFFSET('(계획)손익계산서 월별계획'!E186,0,$C$4-1)))</f>
        <v>3304.0800872929044</v>
      </c>
      <c r="F186" s="81">
        <f ca="1">SUM('3. 손익계산서 월별실적'!E186:(OFFSET('3. 손익계산서 월별실적'!E186,0,$C$4-1)))</f>
        <v>4969.13</v>
      </c>
      <c r="G186" s="148">
        <f t="shared" ca="1" si="76"/>
        <v>1.503937516257756</v>
      </c>
      <c r="H186" s="81">
        <f ca="1">OFFSET('3. 손익계산서 월별실적'!E186,0,$C$4-2)</f>
        <v>2445.58</v>
      </c>
      <c r="I186" s="148">
        <f t="shared" ca="1" si="70"/>
        <v>1.1256215369025056E-3</v>
      </c>
      <c r="J186" s="81">
        <f ca="1">OFFSET('(계획)손익계산서 월별계획'!E186,0,$C$4-1)</f>
        <v>1652.0400436464511</v>
      </c>
      <c r="K186" s="148">
        <f t="shared" ca="1" si="64"/>
        <v>5.7634840969148513E-4</v>
      </c>
      <c r="L186" s="81">
        <f ca="1">OFFSET('3. 손익계산서 월별실적'!E186,0,$C$4-1)</f>
        <v>2523.5500000000002</v>
      </c>
      <c r="M186" s="148">
        <f t="shared" ca="1" si="62"/>
        <v>1.0225879053608481E-3</v>
      </c>
      <c r="N186" s="132">
        <f t="shared" ca="1" si="71"/>
        <v>1.0318820075401338</v>
      </c>
      <c r="O186" s="132">
        <f t="shared" ca="1" si="72"/>
        <v>1.527535612532682</v>
      </c>
    </row>
    <row r="187" spans="2:15" x14ac:dyDescent="0.2">
      <c r="B187" s="112" t="s">
        <v>60</v>
      </c>
      <c r="C187" s="81">
        <f>'(계획)손익계산서 월별계획'!C187</f>
        <v>145878.09058848268</v>
      </c>
      <c r="D187" s="148">
        <f t="shared" ca="1" si="74"/>
        <v>0.19397861519743609</v>
      </c>
      <c r="E187" s="81">
        <f ca="1">SUM('(계획)손익계산서 월별계획'!E187:(OFFSET('(계획)손익계산서 월별계획'!E187,0,$C$4-1)))</f>
        <v>23511.192086610641</v>
      </c>
      <c r="F187" s="81">
        <f ca="1">SUM('3. 손익계산서 월별실적'!E187:(OFFSET('3. 손익계산서 월별실적'!E187,0,$C$4-1)))</f>
        <v>28297.230000000003</v>
      </c>
      <c r="G187" s="148">
        <f t="shared" ca="1" si="76"/>
        <v>1.2035642385021794</v>
      </c>
      <c r="H187" s="81">
        <f ca="1">OFFSET('3. 손익계산서 월별실적'!E187,0,$C$4-2)</f>
        <v>11334.08</v>
      </c>
      <c r="I187" s="148">
        <f t="shared" ca="1" si="70"/>
        <v>5.2167111887470256E-3</v>
      </c>
      <c r="J187" s="81">
        <f ca="1">OFFSET('(계획)손익계산서 월별계획'!E187,0,$C$4-1)</f>
        <v>11847.663679350484</v>
      </c>
      <c r="K187" s="148">
        <f t="shared" ca="1" si="64"/>
        <v>4.1333030312517933E-3</v>
      </c>
      <c r="L187" s="81">
        <f ca="1">OFFSET('3. 손익계산서 월별실적'!E187,0,$C$4-1)</f>
        <v>16963.150000000001</v>
      </c>
      <c r="M187" s="148">
        <f t="shared" ca="1" si="62"/>
        <v>6.8737738609585177E-3</v>
      </c>
      <c r="N187" s="132">
        <f t="shared" ca="1" si="71"/>
        <v>1.4966499265930717</v>
      </c>
      <c r="O187" s="132">
        <f t="shared" ca="1" si="72"/>
        <v>1.4317717365294049</v>
      </c>
    </row>
    <row r="188" spans="2:15" x14ac:dyDescent="0.2">
      <c r="B188" s="112" t="s">
        <v>61</v>
      </c>
      <c r="C188" s="81">
        <f>'(계획)손익계산서 월별계획'!C188</f>
        <v>39275.308179260785</v>
      </c>
      <c r="D188" s="148">
        <f t="shared" ca="1" si="74"/>
        <v>0.16709047756028367</v>
      </c>
      <c r="E188" s="81">
        <f ca="1">SUM('(계획)손익계산서 월별계획'!E188:(OFFSET('(계획)손익계산서 월별계획'!E188,0,$C$4-1)))</f>
        <v>6232.2098192003159</v>
      </c>
      <c r="F188" s="81">
        <f ca="1">SUM('3. 손익계산서 월별실적'!E188:(OFFSET('3. 손익계산서 월별실적'!E188,0,$C$4-1)))</f>
        <v>6562.53</v>
      </c>
      <c r="G188" s="148">
        <f t="shared" ca="1" si="76"/>
        <v>1.0530020956261816</v>
      </c>
      <c r="H188" s="81">
        <f ca="1">OFFSET('3. 손익계산서 월별실적'!E188,0,$C$4-2)</f>
        <v>2374.41</v>
      </c>
      <c r="I188" s="148">
        <f t="shared" ca="1" si="70"/>
        <v>1.0928642830889516E-3</v>
      </c>
      <c r="J188" s="81">
        <f ca="1">OFFSET('(계획)손익계산서 월별계획'!E188,0,$C$4-1)</f>
        <v>3030.2992233566929</v>
      </c>
      <c r="K188" s="148">
        <f t="shared" ca="1" si="64"/>
        <v>1.0571826905696592E-3</v>
      </c>
      <c r="L188" s="81">
        <f ca="1">OFFSET('3. 손익계산서 월별실적'!E188,0,$C$4-1)</f>
        <v>4188.12</v>
      </c>
      <c r="M188" s="148">
        <f t="shared" ca="1" si="62"/>
        <v>1.6971016457767328E-3</v>
      </c>
      <c r="N188" s="132">
        <f t="shared" ca="1" si="71"/>
        <v>1.7638571266125058</v>
      </c>
      <c r="O188" s="132">
        <f t="shared" ca="1" si="72"/>
        <v>1.3820813362981288</v>
      </c>
    </row>
    <row r="189" spans="2:15" x14ac:dyDescent="0.2">
      <c r="B189" s="112" t="s">
        <v>62</v>
      </c>
      <c r="C189" s="81">
        <f>'(계획)손익계산서 월별계획'!C189</f>
        <v>0</v>
      </c>
      <c r="D189" s="148">
        <f t="shared" ca="1" si="74"/>
        <v>0</v>
      </c>
      <c r="E189" s="81">
        <f ca="1">SUM('(계획)손익계산서 월별계획'!E189:(OFFSET('(계획)손익계산서 월별계획'!E189,0,$C$4-1)))</f>
        <v>0</v>
      </c>
      <c r="F189" s="81">
        <f ca="1">SUM('3. 손익계산서 월별실적'!E189:(OFFSET('3. 손익계산서 월별실적'!E189,0,$C$4-1)))</f>
        <v>90408.320000000007</v>
      </c>
      <c r="G189" s="148">
        <f t="shared" ca="1" si="76"/>
        <v>0</v>
      </c>
      <c r="H189" s="81">
        <f ca="1">OFFSET('3. 손익계산서 월별실적'!E189,0,$C$4-2)</f>
        <v>57855.85</v>
      </c>
      <c r="I189" s="148">
        <f t="shared" ca="1" si="70"/>
        <v>2.6629180315426534E-2</v>
      </c>
      <c r="J189" s="81">
        <f ca="1">OFFSET('(계획)손익계산서 월별계획'!E189,0,$C$4-1)</f>
        <v>0</v>
      </c>
      <c r="K189" s="148">
        <f t="shared" ca="1" si="64"/>
        <v>0</v>
      </c>
      <c r="L189" s="81">
        <f ca="1">OFFSET('3. 손익계산서 월별실적'!E189,0,$C$4-1)</f>
        <v>32552.47</v>
      </c>
      <c r="M189" s="148">
        <f t="shared" ca="1" si="62"/>
        <v>1.319084706529367E-2</v>
      </c>
      <c r="N189" s="132">
        <f t="shared" ca="1" si="71"/>
        <v>0.56264785669902007</v>
      </c>
      <c r="O189" s="132">
        <f t="shared" ca="1" si="72"/>
        <v>0</v>
      </c>
    </row>
    <row r="190" spans="2:15" x14ac:dyDescent="0.2">
      <c r="B190" s="112" t="s">
        <v>63</v>
      </c>
      <c r="C190" s="81">
        <f>'(계획)손익계산서 월별계획'!C190</f>
        <v>0</v>
      </c>
      <c r="D190" s="148">
        <f t="shared" ca="1" si="74"/>
        <v>0</v>
      </c>
      <c r="E190" s="81">
        <f ca="1">SUM('(계획)손익계산서 월별계획'!E190:(OFFSET('(계획)손익계산서 월별계획'!E190,0,$C$4-1)))</f>
        <v>0</v>
      </c>
      <c r="F190" s="81">
        <f ca="1">SUM('3. 손익계산서 월별실적'!E190:(OFFSET('3. 손익계산서 월별실적'!E190,0,$C$4-1)))</f>
        <v>0</v>
      </c>
      <c r="G190" s="148">
        <f t="shared" ca="1" si="76"/>
        <v>0</v>
      </c>
      <c r="H190" s="81">
        <f ca="1">OFFSET('3. 손익계산서 월별실적'!E190,0,$C$4-2)</f>
        <v>0</v>
      </c>
      <c r="I190" s="148">
        <f t="shared" ca="1" si="70"/>
        <v>0</v>
      </c>
      <c r="J190" s="81">
        <f ca="1">OFFSET('(계획)손익계산서 월별계획'!E190,0,$C$4-1)</f>
        <v>0</v>
      </c>
      <c r="K190" s="148">
        <f t="shared" ca="1" si="64"/>
        <v>0</v>
      </c>
      <c r="L190" s="81">
        <f ca="1">OFFSET('3. 손익계산서 월별실적'!E190,0,$C$4-1)</f>
        <v>0</v>
      </c>
      <c r="M190" s="148">
        <f t="shared" ca="1" si="62"/>
        <v>0</v>
      </c>
      <c r="N190" s="132">
        <f t="shared" ca="1" si="71"/>
        <v>0</v>
      </c>
      <c r="O190" s="132">
        <f t="shared" ca="1" si="72"/>
        <v>0</v>
      </c>
    </row>
    <row r="191" spans="2:15" x14ac:dyDescent="0.2">
      <c r="B191" s="112" t="s">
        <v>64</v>
      </c>
      <c r="C191" s="81">
        <f>'(계획)손익계산서 월별계획'!C191</f>
        <v>0</v>
      </c>
      <c r="D191" s="148">
        <f t="shared" ca="1" si="74"/>
        <v>0</v>
      </c>
      <c r="E191" s="81">
        <f ca="1">SUM('(계획)손익계산서 월별계획'!E191:(OFFSET('(계획)손익계산서 월별계획'!E191,0,$C$4-1)))</f>
        <v>0</v>
      </c>
      <c r="F191" s="81">
        <f ca="1">SUM('3. 손익계산서 월별실적'!E191:(OFFSET('3. 손익계산서 월별실적'!E191,0,$C$4-1)))</f>
        <v>0</v>
      </c>
      <c r="G191" s="148">
        <f t="shared" ca="1" si="76"/>
        <v>0</v>
      </c>
      <c r="H191" s="81">
        <f ca="1">OFFSET('3. 손익계산서 월별실적'!E191,0,$C$4-2)</f>
        <v>0</v>
      </c>
      <c r="I191" s="148">
        <f t="shared" ca="1" si="70"/>
        <v>0</v>
      </c>
      <c r="J191" s="81">
        <f ca="1">OFFSET('(계획)손익계산서 월별계획'!E191,0,$C$4-1)</f>
        <v>0</v>
      </c>
      <c r="K191" s="148">
        <f t="shared" ca="1" si="64"/>
        <v>0</v>
      </c>
      <c r="L191" s="81">
        <f ca="1">OFFSET('3. 손익계산서 월별실적'!E191,0,$C$4-1)</f>
        <v>0</v>
      </c>
      <c r="M191" s="148">
        <f t="shared" ca="1" si="62"/>
        <v>0</v>
      </c>
      <c r="N191" s="132">
        <f t="shared" ca="1" si="71"/>
        <v>0</v>
      </c>
      <c r="O191" s="132">
        <f t="shared" ca="1" si="72"/>
        <v>0</v>
      </c>
    </row>
    <row r="192" spans="2:15" x14ac:dyDescent="0.2">
      <c r="B192" s="112" t="s">
        <v>65</v>
      </c>
      <c r="C192" s="81">
        <f>'(계획)손익계산서 월별계획'!C192</f>
        <v>160711.58033643576</v>
      </c>
      <c r="D192" s="148">
        <f t="shared" ca="1" si="74"/>
        <v>0.32099516345994328</v>
      </c>
      <c r="E192" s="81">
        <f ca="1">SUM('(계획)손익계산서 월별계획'!E192:(OFFSET('(계획)손익계산서 월별계획'!E192,0,$C$4-1)))</f>
        <v>45165.891733605968</v>
      </c>
      <c r="F192" s="81">
        <f ca="1">SUM('3. 손익계산서 월별실적'!E192:(OFFSET('3. 손익계산서 월별실적'!E192,0,$C$4-1)))</f>
        <v>51587.64</v>
      </c>
      <c r="G192" s="148">
        <f t="shared" ca="1" si="76"/>
        <v>1.1421813678399244</v>
      </c>
      <c r="H192" s="81">
        <f ca="1">OFFSET('3. 손익계산서 월별실적'!E192,0,$C$4-2)</f>
        <v>25032.21</v>
      </c>
      <c r="I192" s="148">
        <f t="shared" ca="1" si="70"/>
        <v>1.1521518286977431E-2</v>
      </c>
      <c r="J192" s="81">
        <f ca="1">OFFSET('(계획)손익계산서 월별계획'!E192,0,$C$4-1)</f>
        <v>19264.889678495114</v>
      </c>
      <c r="K192" s="148">
        <f t="shared" ca="1" si="64"/>
        <v>6.7209560517521886E-3</v>
      </c>
      <c r="L192" s="81">
        <f ca="1">OFFSET('3. 손익계산서 월별실적'!E192,0,$C$4-1)</f>
        <v>26555.43</v>
      </c>
      <c r="M192" s="148">
        <f t="shared" ca="1" si="62"/>
        <v>1.0760738459573467E-2</v>
      </c>
      <c r="N192" s="132">
        <f t="shared" ca="1" si="71"/>
        <v>1.0608504003441965</v>
      </c>
      <c r="O192" s="132">
        <f t="shared" ca="1" si="72"/>
        <v>1.3784366504648673</v>
      </c>
    </row>
    <row r="193" spans="2:15" x14ac:dyDescent="0.2">
      <c r="B193" s="112" t="s">
        <v>66</v>
      </c>
      <c r="C193" s="81">
        <f>'(계획)손익계산서 월별계획'!C193</f>
        <v>28559.768663370327</v>
      </c>
      <c r="D193" s="148">
        <f t="shared" ca="1" si="74"/>
        <v>0.90890512125516254</v>
      </c>
      <c r="E193" s="81">
        <f ca="1">SUM('(계획)손익계산서 월별계획'!E193:(OFFSET('(계획)손익계산서 월별계획'!E193,0,$C$4-1)))</f>
        <v>4759.9614438950521</v>
      </c>
      <c r="F193" s="81">
        <f ca="1">SUM('3. 손익계산서 월별실적'!E193:(OFFSET('3. 손익계산서 월별실적'!E193,0,$C$4-1)))</f>
        <v>25958.12</v>
      </c>
      <c r="G193" s="148">
        <f t="shared" ca="1" si="76"/>
        <v>5.4534307275309786</v>
      </c>
      <c r="H193" s="81">
        <f ca="1">OFFSET('3. 손익계산서 월별실적'!E193,0,$C$4-2)</f>
        <v>11756.8</v>
      </c>
      <c r="I193" s="148">
        <f t="shared" ca="1" si="70"/>
        <v>5.4112755604214038E-3</v>
      </c>
      <c r="J193" s="81">
        <f ca="1">OFFSET('(계획)손익계산서 월별계획'!E193,0,$C$4-1)</f>
        <v>2379.980721947526</v>
      </c>
      <c r="K193" s="148">
        <f t="shared" ca="1" si="64"/>
        <v>8.3030560274022203E-4</v>
      </c>
      <c r="L193" s="81">
        <f ca="1">OFFSET('3. 손익계산서 월별실적'!E193,0,$C$4-1)</f>
        <v>14201.32</v>
      </c>
      <c r="M193" s="148">
        <f t="shared" ca="1" si="62"/>
        <v>5.754630608531282E-3</v>
      </c>
      <c r="N193" s="132">
        <f t="shared" ca="1" si="71"/>
        <v>1.2079239248775178</v>
      </c>
      <c r="O193" s="132">
        <f t="shared" ca="1" si="72"/>
        <v>5.9669895092171723</v>
      </c>
    </row>
    <row r="194" spans="2:15" x14ac:dyDescent="0.2">
      <c r="B194" s="112" t="s">
        <v>67</v>
      </c>
      <c r="C194" s="81">
        <f>'(계획)손익계산서 월별계획'!C194</f>
        <v>0</v>
      </c>
      <c r="D194" s="148">
        <f t="shared" ca="1" si="74"/>
        <v>0</v>
      </c>
      <c r="E194" s="81">
        <f ca="1">SUM('(계획)손익계산서 월별계획'!E194:(OFFSET('(계획)손익계산서 월별계획'!E194,0,$C$4-1)))</f>
        <v>0</v>
      </c>
      <c r="F194" s="81">
        <f ca="1">SUM('3. 손익계산서 월별실적'!E194:(OFFSET('3. 손익계산서 월별실적'!E194,0,$C$4-1)))</f>
        <v>1682.62</v>
      </c>
      <c r="G194" s="148">
        <f t="shared" ca="1" si="76"/>
        <v>0</v>
      </c>
      <c r="H194" s="81">
        <f ca="1">OFFSET('3. 손익계산서 월별실적'!E194,0,$C$4-2)</f>
        <v>925.84</v>
      </c>
      <c r="I194" s="148">
        <f t="shared" ca="1" si="70"/>
        <v>4.2613426824140521E-4</v>
      </c>
      <c r="J194" s="81">
        <f ca="1">OFFSET('(계획)손익계산서 월별계획'!E194,0,$C$4-1)</f>
        <v>0</v>
      </c>
      <c r="K194" s="148">
        <f t="shared" ca="1" si="64"/>
        <v>0</v>
      </c>
      <c r="L194" s="81">
        <f ca="1">OFFSET('3. 손익계산서 월별실적'!E194,0,$C$4-1)</f>
        <v>756.78</v>
      </c>
      <c r="M194" s="148">
        <f t="shared" ca="1" si="62"/>
        <v>3.0666088447583062E-4</v>
      </c>
      <c r="N194" s="132">
        <f t="shared" ca="1" si="71"/>
        <v>0.81739825455802295</v>
      </c>
      <c r="O194" s="132">
        <f t="shared" ca="1" si="72"/>
        <v>0</v>
      </c>
    </row>
    <row r="195" spans="2:15" x14ac:dyDescent="0.2">
      <c r="B195" s="112" t="s">
        <v>68</v>
      </c>
      <c r="C195" s="81">
        <f>'(계획)손익계산서 월별계획'!C195</f>
        <v>0</v>
      </c>
      <c r="D195" s="148">
        <f t="shared" ca="1" si="74"/>
        <v>0</v>
      </c>
      <c r="E195" s="81">
        <f ca="1">SUM('(계획)손익계산서 월별계획'!E195:(OFFSET('(계획)손익계산서 월별계획'!E195,0,$C$4-1)))</f>
        <v>0</v>
      </c>
      <c r="F195" s="81">
        <f ca="1">SUM('3. 손익계산서 월별실적'!E195:(OFFSET('3. 손익계산서 월별실적'!E195,0,$C$4-1)))</f>
        <v>0</v>
      </c>
      <c r="G195" s="148">
        <f t="shared" ca="1" si="76"/>
        <v>0</v>
      </c>
      <c r="H195" s="81">
        <f ca="1">OFFSET('3. 손익계산서 월별실적'!E195,0,$C$4-2)</f>
        <v>0</v>
      </c>
      <c r="I195" s="148">
        <f t="shared" ca="1" si="70"/>
        <v>0</v>
      </c>
      <c r="J195" s="81">
        <f ca="1">OFFSET('(계획)손익계산서 월별계획'!E195,0,$C$4-1)</f>
        <v>0</v>
      </c>
      <c r="K195" s="148">
        <f t="shared" ca="1" si="64"/>
        <v>0</v>
      </c>
      <c r="L195" s="81">
        <f ca="1">OFFSET('3. 손익계산서 월별실적'!E195,0,$C$4-1)</f>
        <v>0</v>
      </c>
      <c r="M195" s="148">
        <f t="shared" ca="1" si="62"/>
        <v>0</v>
      </c>
      <c r="N195" s="132">
        <f t="shared" ca="1" si="71"/>
        <v>0</v>
      </c>
      <c r="O195" s="132">
        <f t="shared" ca="1" si="72"/>
        <v>0</v>
      </c>
    </row>
    <row r="196" spans="2:15" x14ac:dyDescent="0.2">
      <c r="B196" s="112" t="s">
        <v>69</v>
      </c>
      <c r="C196" s="81">
        <f>'(계획)손익계산서 월별계획'!C196</f>
        <v>0</v>
      </c>
      <c r="D196" s="148">
        <f t="shared" ca="1" si="74"/>
        <v>0</v>
      </c>
      <c r="E196" s="81">
        <f ca="1">SUM('(계획)손익계산서 월별계획'!E196:(OFFSET('(계획)손익계산서 월별계획'!E196,0,$C$4-1)))</f>
        <v>0</v>
      </c>
      <c r="F196" s="81">
        <f ca="1">SUM('3. 손익계산서 월별실적'!E196:(OFFSET('3. 손익계산서 월별실적'!E196,0,$C$4-1)))</f>
        <v>0</v>
      </c>
      <c r="G196" s="148">
        <f t="shared" ca="1" si="76"/>
        <v>0</v>
      </c>
      <c r="H196" s="81">
        <f ca="1">OFFSET('3. 손익계산서 월별실적'!E196,0,$C$4-2)</f>
        <v>0</v>
      </c>
      <c r="I196" s="148">
        <f t="shared" ca="1" si="70"/>
        <v>0</v>
      </c>
      <c r="J196" s="81">
        <f ca="1">OFFSET('(계획)손익계산서 월별계획'!E196,0,$C$4-1)</f>
        <v>0</v>
      </c>
      <c r="K196" s="148">
        <f t="shared" ca="1" si="64"/>
        <v>0</v>
      </c>
      <c r="L196" s="81">
        <f ca="1">OFFSET('3. 손익계산서 월별실적'!E196,0,$C$4-1)</f>
        <v>0</v>
      </c>
      <c r="M196" s="148">
        <f t="shared" ca="1" si="62"/>
        <v>0</v>
      </c>
      <c r="N196" s="132">
        <f t="shared" ca="1" si="71"/>
        <v>0</v>
      </c>
      <c r="O196" s="132">
        <f t="shared" ca="1" si="72"/>
        <v>0</v>
      </c>
    </row>
    <row r="197" spans="2:15" x14ac:dyDescent="0.2">
      <c r="B197" s="112" t="s">
        <v>70</v>
      </c>
      <c r="C197" s="81">
        <f>'(계획)손익계산서 월별계획'!C197</f>
        <v>0</v>
      </c>
      <c r="D197" s="148">
        <f t="shared" ca="1" si="74"/>
        <v>0</v>
      </c>
      <c r="E197" s="81">
        <f ca="1">SUM('(계획)손익계산서 월별계획'!E197:(OFFSET('(계획)손익계산서 월별계획'!E197,0,$C$4-1)))</f>
        <v>0</v>
      </c>
      <c r="F197" s="81">
        <f ca="1">SUM('3. 손익계산서 월별실적'!E197:(OFFSET('3. 손익계산서 월별실적'!E197,0,$C$4-1)))</f>
        <v>0</v>
      </c>
      <c r="G197" s="148">
        <f t="shared" ca="1" si="76"/>
        <v>0</v>
      </c>
      <c r="H197" s="81">
        <f ca="1">OFFSET('3. 손익계산서 월별실적'!E197,0,$C$4-2)</f>
        <v>0</v>
      </c>
      <c r="I197" s="148">
        <f t="shared" ca="1" si="70"/>
        <v>0</v>
      </c>
      <c r="J197" s="81">
        <f ca="1">OFFSET('(계획)손익계산서 월별계획'!E197,0,$C$4-1)</f>
        <v>0</v>
      </c>
      <c r="K197" s="148">
        <f t="shared" ca="1" si="64"/>
        <v>0</v>
      </c>
      <c r="L197" s="81">
        <f ca="1">OFFSET('3. 손익계산서 월별실적'!E197,0,$C$4-1)</f>
        <v>0</v>
      </c>
      <c r="M197" s="148">
        <f t="shared" ca="1" si="62"/>
        <v>0</v>
      </c>
      <c r="N197" s="132">
        <f t="shared" ca="1" si="71"/>
        <v>0</v>
      </c>
      <c r="O197" s="132">
        <f t="shared" ca="1" si="72"/>
        <v>0</v>
      </c>
    </row>
    <row r="198" spans="2:15" x14ac:dyDescent="0.2">
      <c r="B198" s="112" t="s">
        <v>71</v>
      </c>
      <c r="C198" s="81">
        <f>'(계획)손익계산서 월별계획'!C198</f>
        <v>38411.643558143987</v>
      </c>
      <c r="D198" s="148">
        <f t="shared" ca="1" si="74"/>
        <v>0.30324216620328398</v>
      </c>
      <c r="E198" s="81">
        <f ca="1">SUM('(계획)손익계산서 월별계획'!E198:(OFFSET('(계획)손익계산서 월별계획'!E198,0,$C$4-1)))</f>
        <v>6445.2406526285313</v>
      </c>
      <c r="F198" s="81">
        <f ca="1">SUM('3. 손익계산서 월별실적'!E198:(OFFSET('3. 손익계산서 월별실적'!E198,0,$C$4-1)))</f>
        <v>11648.03</v>
      </c>
      <c r="G198" s="148">
        <f t="shared" ca="1" si="76"/>
        <v>1.8072296486322261</v>
      </c>
      <c r="H198" s="81">
        <f ca="1">OFFSET('3. 손익계산서 월별실적'!E198,0,$C$4-2)</f>
        <v>8123.1</v>
      </c>
      <c r="I198" s="148">
        <f t="shared" ca="1" si="70"/>
        <v>3.7388007370082938E-3</v>
      </c>
      <c r="J198" s="81">
        <f ca="1">OFFSET('(계획)손익계산서 월별계획'!E198,0,$C$4-1)</f>
        <v>3222.6203263142634</v>
      </c>
      <c r="K198" s="148">
        <f t="shared" ca="1" si="64"/>
        <v>1.1242778934165882E-3</v>
      </c>
      <c r="L198" s="81">
        <f ca="1">OFFSET('3. 손익계산서 월별실적'!E198,0,$C$4-1)</f>
        <v>3524.93</v>
      </c>
      <c r="M198" s="148">
        <f t="shared" ca="1" si="62"/>
        <v>1.4283651147168129E-3</v>
      </c>
      <c r="N198" s="132">
        <f t="shared" ca="1" si="71"/>
        <v>0.43393901343083302</v>
      </c>
      <c r="O198" s="132">
        <f t="shared" ca="1" si="72"/>
        <v>1.0938086535411047</v>
      </c>
    </row>
    <row r="199" spans="2:15" x14ac:dyDescent="0.2">
      <c r="B199" s="112" t="s">
        <v>72</v>
      </c>
      <c r="C199" s="81">
        <f>'(계획)손익계산서 월별계획'!C199</f>
        <v>0</v>
      </c>
      <c r="D199" s="148">
        <f t="shared" ca="1" si="74"/>
        <v>0</v>
      </c>
      <c r="E199" s="81">
        <f ca="1">SUM('(계획)손익계산서 월별계획'!E199:(OFFSET('(계획)손익계산서 월별계획'!E199,0,$C$4-1)))</f>
        <v>0</v>
      </c>
      <c r="F199" s="81">
        <f ca="1">SUM('3. 손익계산서 월별실적'!E199:(OFFSET('3. 손익계산서 월별실적'!E199,0,$C$4-1)))</f>
        <v>0</v>
      </c>
      <c r="G199" s="148">
        <f t="shared" ca="1" si="76"/>
        <v>0</v>
      </c>
      <c r="H199" s="81">
        <f ca="1">OFFSET('3. 손익계산서 월별실적'!E199,0,$C$4-2)</f>
        <v>0</v>
      </c>
      <c r="I199" s="148">
        <f t="shared" ca="1" si="70"/>
        <v>0</v>
      </c>
      <c r="J199" s="81">
        <f ca="1">OFFSET('(계획)손익계산서 월별계획'!E199,0,$C$4-1)</f>
        <v>0</v>
      </c>
      <c r="K199" s="148">
        <f t="shared" ca="1" si="64"/>
        <v>0</v>
      </c>
      <c r="L199" s="81">
        <f ca="1">OFFSET('3. 손익계산서 월별실적'!E199,0,$C$4-1)</f>
        <v>0</v>
      </c>
      <c r="M199" s="148">
        <f t="shared" ca="1" si="62"/>
        <v>0</v>
      </c>
      <c r="N199" s="132">
        <f t="shared" ca="1" si="71"/>
        <v>0</v>
      </c>
      <c r="O199" s="132">
        <f t="shared" ca="1" si="72"/>
        <v>0</v>
      </c>
    </row>
    <row r="200" spans="2:15" hidden="1" outlineLevel="1" x14ac:dyDescent="0.2">
      <c r="B200" s="112"/>
      <c r="C200" s="81"/>
      <c r="D200" s="148"/>
      <c r="E200" s="81"/>
      <c r="F200" s="81"/>
      <c r="G200" s="148"/>
      <c r="H200" s="81"/>
      <c r="I200" s="148"/>
      <c r="J200" s="81"/>
      <c r="K200" s="148">
        <f t="shared" ca="1" si="64"/>
        <v>0</v>
      </c>
      <c r="L200" s="81"/>
      <c r="M200" s="148"/>
      <c r="N200" s="132"/>
      <c r="O200" s="132"/>
    </row>
    <row r="201" spans="2:15" hidden="1" outlineLevel="1" x14ac:dyDescent="0.2">
      <c r="B201" s="106"/>
      <c r="C201" s="81"/>
      <c r="D201" s="148"/>
      <c r="E201" s="81"/>
      <c r="F201" s="81"/>
      <c r="G201" s="148"/>
      <c r="H201" s="81"/>
      <c r="I201" s="148"/>
      <c r="J201" s="81"/>
      <c r="K201" s="148">
        <f t="shared" ca="1" si="64"/>
        <v>0</v>
      </c>
      <c r="L201" s="81"/>
      <c r="M201" s="148"/>
      <c r="N201" s="132"/>
      <c r="O201" s="132"/>
    </row>
    <row r="202" spans="2:15" ht="16.5" hidden="1" outlineLevel="1" x14ac:dyDescent="0.2">
      <c r="B202" s="97" t="s">
        <v>18</v>
      </c>
      <c r="C202" s="109">
        <f>SUM(C203:C216)</f>
        <v>0</v>
      </c>
      <c r="D202" s="150">
        <f t="shared" ref="D202:D216" ca="1" si="77">+IFERROR(F202/C202,)</f>
        <v>0</v>
      </c>
      <c r="E202" s="109">
        <f ca="1">SUM(E203:E216)</f>
        <v>0</v>
      </c>
      <c r="F202" s="109">
        <f ca="1">SUM(F203:F216)</f>
        <v>0</v>
      </c>
      <c r="G202" s="150">
        <f t="shared" ref="G202:G216" ca="1" si="78">+IFERROR(F202/E202,)</f>
        <v>0</v>
      </c>
      <c r="H202" s="109">
        <f ca="1">SUM(H203:H216)</f>
        <v>0</v>
      </c>
      <c r="I202" s="150">
        <f t="shared" ca="1" si="70"/>
        <v>0</v>
      </c>
      <c r="J202" s="109">
        <f ca="1">SUM(J203:J216)</f>
        <v>0</v>
      </c>
      <c r="K202" s="150">
        <f t="shared" ca="1" si="64"/>
        <v>0</v>
      </c>
      <c r="L202" s="109">
        <f ca="1">SUM(L203:L216)</f>
        <v>0</v>
      </c>
      <c r="M202" s="150">
        <f t="shared" ca="1" si="62"/>
        <v>0</v>
      </c>
      <c r="N202" s="134">
        <f t="shared" ca="1" si="71"/>
        <v>0</v>
      </c>
      <c r="O202" s="134">
        <f t="shared" ca="1" si="72"/>
        <v>0</v>
      </c>
    </row>
    <row r="203" spans="2:15" hidden="1" outlineLevel="1" x14ac:dyDescent="0.2">
      <c r="B203" s="112" t="s">
        <v>58</v>
      </c>
      <c r="C203" s="81">
        <f>'(계획)손익계산서 월별계획'!C203</f>
        <v>0</v>
      </c>
      <c r="D203" s="148">
        <f t="shared" ca="1" si="77"/>
        <v>0</v>
      </c>
      <c r="E203" s="81">
        <f ca="1">SUM('(계획)손익계산서 월별계획'!E203:(OFFSET('(계획)손익계산서 월별계획'!E203,0,$C$4-1)))</f>
        <v>0</v>
      </c>
      <c r="F203" s="81">
        <f ca="1">SUM('3. 손익계산서 월별실적'!E203:(OFFSET('3. 손익계산서 월별실적'!E203,0,$C$4-1)))</f>
        <v>0</v>
      </c>
      <c r="G203" s="148">
        <f t="shared" ca="1" si="78"/>
        <v>0</v>
      </c>
      <c r="H203" s="81">
        <f ca="1">OFFSET('3. 손익계산서 월별실적'!E203,0,$C$4-2)</f>
        <v>0</v>
      </c>
      <c r="I203" s="148">
        <f t="shared" ca="1" si="70"/>
        <v>0</v>
      </c>
      <c r="J203" s="81">
        <f ca="1">OFFSET('(계획)손익계산서 월별계획'!E203,0,$C$4-1)</f>
        <v>0</v>
      </c>
      <c r="K203" s="148">
        <f t="shared" ca="1" si="64"/>
        <v>0</v>
      </c>
      <c r="L203" s="81">
        <f ca="1">OFFSET('3. 손익계산서 월별실적'!E203,0,$C$4-1)</f>
        <v>0</v>
      </c>
      <c r="M203" s="148">
        <f t="shared" ca="1" si="62"/>
        <v>0</v>
      </c>
      <c r="N203" s="132">
        <f t="shared" ca="1" si="71"/>
        <v>0</v>
      </c>
      <c r="O203" s="132">
        <f t="shared" ca="1" si="72"/>
        <v>0</v>
      </c>
    </row>
    <row r="204" spans="2:15" hidden="1" outlineLevel="1" x14ac:dyDescent="0.2">
      <c r="B204" s="112" t="s">
        <v>73</v>
      </c>
      <c r="C204" s="81">
        <f>'(계획)손익계산서 월별계획'!C204</f>
        <v>0</v>
      </c>
      <c r="D204" s="148">
        <f t="shared" ca="1" si="77"/>
        <v>0</v>
      </c>
      <c r="E204" s="81">
        <f ca="1">SUM('(계획)손익계산서 월별계획'!E204:(OFFSET('(계획)손익계산서 월별계획'!E204,0,$C$4-1)))</f>
        <v>0</v>
      </c>
      <c r="F204" s="81">
        <f ca="1">SUM('3. 손익계산서 월별실적'!E204:(OFFSET('3. 손익계산서 월별실적'!E204,0,$C$4-1)))</f>
        <v>0</v>
      </c>
      <c r="G204" s="148">
        <f t="shared" ca="1" si="78"/>
        <v>0</v>
      </c>
      <c r="H204" s="81">
        <f ca="1">OFFSET('3. 손익계산서 월별실적'!E204,0,$C$4-2)</f>
        <v>0</v>
      </c>
      <c r="I204" s="148">
        <f t="shared" ca="1" si="70"/>
        <v>0</v>
      </c>
      <c r="J204" s="81">
        <f ca="1">OFFSET('(계획)손익계산서 월별계획'!E204,0,$C$4-1)</f>
        <v>0</v>
      </c>
      <c r="K204" s="148">
        <f t="shared" ca="1" si="64"/>
        <v>0</v>
      </c>
      <c r="L204" s="81">
        <f ca="1">OFFSET('3. 손익계산서 월별실적'!E204,0,$C$4-1)</f>
        <v>0</v>
      </c>
      <c r="M204" s="148">
        <f t="shared" ca="1" si="62"/>
        <v>0</v>
      </c>
      <c r="N204" s="132">
        <f t="shared" ca="1" si="71"/>
        <v>0</v>
      </c>
      <c r="O204" s="132">
        <f t="shared" ca="1" si="72"/>
        <v>0</v>
      </c>
    </row>
    <row r="205" spans="2:15" hidden="1" outlineLevel="1" x14ac:dyDescent="0.2">
      <c r="B205" s="112" t="s">
        <v>60</v>
      </c>
      <c r="C205" s="81">
        <f>'(계획)손익계산서 월별계획'!C205</f>
        <v>0</v>
      </c>
      <c r="D205" s="148">
        <f t="shared" ca="1" si="77"/>
        <v>0</v>
      </c>
      <c r="E205" s="81">
        <f ca="1">SUM('(계획)손익계산서 월별계획'!E205:(OFFSET('(계획)손익계산서 월별계획'!E205,0,$C$4-1)))</f>
        <v>0</v>
      </c>
      <c r="F205" s="81">
        <f ca="1">SUM('3. 손익계산서 월별실적'!E205:(OFFSET('3. 손익계산서 월별실적'!E205,0,$C$4-1)))</f>
        <v>0</v>
      </c>
      <c r="G205" s="148">
        <f t="shared" ca="1" si="78"/>
        <v>0</v>
      </c>
      <c r="H205" s="81">
        <f ca="1">OFFSET('3. 손익계산서 월별실적'!E205,0,$C$4-2)</f>
        <v>0</v>
      </c>
      <c r="I205" s="148">
        <f t="shared" ca="1" si="70"/>
        <v>0</v>
      </c>
      <c r="J205" s="81">
        <f ca="1">OFFSET('(계획)손익계산서 월별계획'!E205,0,$C$4-1)</f>
        <v>0</v>
      </c>
      <c r="K205" s="148">
        <f t="shared" ca="1" si="64"/>
        <v>0</v>
      </c>
      <c r="L205" s="81">
        <f ca="1">OFFSET('3. 손익계산서 월별실적'!E205,0,$C$4-1)</f>
        <v>0</v>
      </c>
      <c r="M205" s="148">
        <f t="shared" ca="1" si="62"/>
        <v>0</v>
      </c>
      <c r="N205" s="132">
        <f t="shared" ca="1" si="71"/>
        <v>0</v>
      </c>
      <c r="O205" s="132">
        <f t="shared" ca="1" si="72"/>
        <v>0</v>
      </c>
    </row>
    <row r="206" spans="2:15" hidden="1" outlineLevel="1" x14ac:dyDescent="0.2">
      <c r="B206" s="112" t="s">
        <v>61</v>
      </c>
      <c r="C206" s="81">
        <f>'(계획)손익계산서 월별계획'!C206</f>
        <v>0</v>
      </c>
      <c r="D206" s="148">
        <f t="shared" ca="1" si="77"/>
        <v>0</v>
      </c>
      <c r="E206" s="81">
        <f ca="1">SUM('(계획)손익계산서 월별계획'!E206:(OFFSET('(계획)손익계산서 월별계획'!E206,0,$C$4-1)))</f>
        <v>0</v>
      </c>
      <c r="F206" s="81">
        <f ca="1">SUM('3. 손익계산서 월별실적'!E206:(OFFSET('3. 손익계산서 월별실적'!E206,0,$C$4-1)))</f>
        <v>0</v>
      </c>
      <c r="G206" s="148">
        <f t="shared" ca="1" si="78"/>
        <v>0</v>
      </c>
      <c r="H206" s="81">
        <f ca="1">OFFSET('3. 손익계산서 월별실적'!E206,0,$C$4-2)</f>
        <v>0</v>
      </c>
      <c r="I206" s="148">
        <f t="shared" ca="1" si="70"/>
        <v>0</v>
      </c>
      <c r="J206" s="81">
        <f ca="1">OFFSET('(계획)손익계산서 월별계획'!E206,0,$C$4-1)</f>
        <v>0</v>
      </c>
      <c r="K206" s="148">
        <f t="shared" ca="1" si="64"/>
        <v>0</v>
      </c>
      <c r="L206" s="81">
        <f ca="1">OFFSET('3. 손익계산서 월별실적'!E206,0,$C$4-1)</f>
        <v>0</v>
      </c>
      <c r="M206" s="148">
        <f t="shared" ca="1" si="62"/>
        <v>0</v>
      </c>
      <c r="N206" s="132">
        <f t="shared" ca="1" si="71"/>
        <v>0</v>
      </c>
      <c r="O206" s="132">
        <f t="shared" ca="1" si="72"/>
        <v>0</v>
      </c>
    </row>
    <row r="207" spans="2:15" hidden="1" outlineLevel="1" x14ac:dyDescent="0.2">
      <c r="B207" s="112" t="s">
        <v>62</v>
      </c>
      <c r="C207" s="81">
        <f>'(계획)손익계산서 월별계획'!C207</f>
        <v>0</v>
      </c>
      <c r="D207" s="148">
        <f t="shared" ca="1" si="77"/>
        <v>0</v>
      </c>
      <c r="E207" s="81">
        <f ca="1">SUM('(계획)손익계산서 월별계획'!E207:(OFFSET('(계획)손익계산서 월별계획'!E207,0,$C$4-1)))</f>
        <v>0</v>
      </c>
      <c r="F207" s="81">
        <f ca="1">SUM('3. 손익계산서 월별실적'!E207:(OFFSET('3. 손익계산서 월별실적'!E207,0,$C$4-1)))</f>
        <v>0</v>
      </c>
      <c r="G207" s="148">
        <f t="shared" ca="1" si="78"/>
        <v>0</v>
      </c>
      <c r="H207" s="81">
        <f ca="1">OFFSET('3. 손익계산서 월별실적'!E207,0,$C$4-2)</f>
        <v>0</v>
      </c>
      <c r="I207" s="148">
        <f t="shared" ca="1" si="70"/>
        <v>0</v>
      </c>
      <c r="J207" s="81">
        <f ca="1">OFFSET('(계획)손익계산서 월별계획'!E207,0,$C$4-1)</f>
        <v>0</v>
      </c>
      <c r="K207" s="148">
        <f t="shared" ca="1" si="64"/>
        <v>0</v>
      </c>
      <c r="L207" s="81">
        <f ca="1">OFFSET('3. 손익계산서 월별실적'!E207,0,$C$4-1)</f>
        <v>0</v>
      </c>
      <c r="M207" s="148">
        <f t="shared" ca="1" si="62"/>
        <v>0</v>
      </c>
      <c r="N207" s="132">
        <f t="shared" ca="1" si="71"/>
        <v>0</v>
      </c>
      <c r="O207" s="132">
        <f t="shared" ca="1" si="72"/>
        <v>0</v>
      </c>
    </row>
    <row r="208" spans="2:15" hidden="1" outlineLevel="1" x14ac:dyDescent="0.2">
      <c r="B208" s="112" t="s">
        <v>63</v>
      </c>
      <c r="C208" s="81">
        <f>'(계획)손익계산서 월별계획'!C208</f>
        <v>0</v>
      </c>
      <c r="D208" s="148">
        <f t="shared" ca="1" si="77"/>
        <v>0</v>
      </c>
      <c r="E208" s="81">
        <f ca="1">SUM('(계획)손익계산서 월별계획'!E208:(OFFSET('(계획)손익계산서 월별계획'!E208,0,$C$4-1)))</f>
        <v>0</v>
      </c>
      <c r="F208" s="81">
        <f ca="1">SUM('3. 손익계산서 월별실적'!E208:(OFFSET('3. 손익계산서 월별실적'!E208,0,$C$4-1)))</f>
        <v>0</v>
      </c>
      <c r="G208" s="148">
        <f t="shared" ca="1" si="78"/>
        <v>0</v>
      </c>
      <c r="H208" s="81">
        <f ca="1">OFFSET('3. 손익계산서 월별실적'!E208,0,$C$4-2)</f>
        <v>0</v>
      </c>
      <c r="I208" s="148">
        <f ca="1">+IFERROR(H208/$H$154,)</f>
        <v>0</v>
      </c>
      <c r="J208" s="81">
        <f ca="1">OFFSET('(계획)손익계산서 월별계획'!E208,0,$C$4-1)</f>
        <v>0</v>
      </c>
      <c r="K208" s="148">
        <f t="shared" ca="1" si="64"/>
        <v>0</v>
      </c>
      <c r="L208" s="81">
        <f ca="1">OFFSET('3. 손익계산서 월별실적'!E208,0,$C$4-1)</f>
        <v>0</v>
      </c>
      <c r="M208" s="148">
        <f t="shared" ca="1" si="62"/>
        <v>0</v>
      </c>
      <c r="N208" s="132">
        <f t="shared" ca="1" si="71"/>
        <v>0</v>
      </c>
      <c r="O208" s="132">
        <f t="shared" ca="1" si="72"/>
        <v>0</v>
      </c>
    </row>
    <row r="209" spans="2:30" hidden="1" outlineLevel="1" x14ac:dyDescent="0.2">
      <c r="B209" s="112" t="s">
        <v>64</v>
      </c>
      <c r="C209" s="81">
        <f>'(계획)손익계산서 월별계획'!C209</f>
        <v>0</v>
      </c>
      <c r="D209" s="148">
        <f t="shared" ca="1" si="77"/>
        <v>0</v>
      </c>
      <c r="E209" s="81">
        <f ca="1">SUM('(계획)손익계산서 월별계획'!E209:(OFFSET('(계획)손익계산서 월별계획'!E209,0,$C$4-1)))</f>
        <v>0</v>
      </c>
      <c r="F209" s="81">
        <f ca="1">SUM('3. 손익계산서 월별실적'!E209:(OFFSET('3. 손익계산서 월별실적'!E209,0,$C$4-1)))</f>
        <v>0</v>
      </c>
      <c r="G209" s="148">
        <f t="shared" ca="1" si="78"/>
        <v>0</v>
      </c>
      <c r="H209" s="81">
        <f ca="1">OFFSET('3. 손익계산서 월별실적'!E209,0,$C$4-2)</f>
        <v>0</v>
      </c>
      <c r="I209" s="148">
        <f t="shared" ca="1" si="70"/>
        <v>0</v>
      </c>
      <c r="J209" s="81">
        <f ca="1">OFFSET('(계획)손익계산서 월별계획'!E209,0,$C$4-1)</f>
        <v>0</v>
      </c>
      <c r="K209" s="148">
        <f t="shared" ca="1" si="64"/>
        <v>0</v>
      </c>
      <c r="L209" s="81">
        <f ca="1">OFFSET('3. 손익계산서 월별실적'!E209,0,$C$4-1)</f>
        <v>0</v>
      </c>
      <c r="M209" s="148">
        <f t="shared" ca="1" si="62"/>
        <v>0</v>
      </c>
      <c r="N209" s="132">
        <f t="shared" ca="1" si="71"/>
        <v>0</v>
      </c>
      <c r="O209" s="132">
        <f t="shared" ca="1" si="72"/>
        <v>0</v>
      </c>
    </row>
    <row r="210" spans="2:30" hidden="1" outlineLevel="1" x14ac:dyDescent="0.2">
      <c r="B210" s="112" t="s">
        <v>65</v>
      </c>
      <c r="C210" s="81">
        <f>'(계획)손익계산서 월별계획'!C210</f>
        <v>0</v>
      </c>
      <c r="D210" s="148">
        <f t="shared" ca="1" si="77"/>
        <v>0</v>
      </c>
      <c r="E210" s="81">
        <f ca="1">SUM('(계획)손익계산서 월별계획'!E210:(OFFSET('(계획)손익계산서 월별계획'!E210,0,$C$4-1)))</f>
        <v>0</v>
      </c>
      <c r="F210" s="81">
        <f ca="1">SUM('3. 손익계산서 월별실적'!E210:(OFFSET('3. 손익계산서 월별실적'!E210,0,$C$4-1)))</f>
        <v>0</v>
      </c>
      <c r="G210" s="148">
        <f t="shared" ca="1" si="78"/>
        <v>0</v>
      </c>
      <c r="H210" s="81">
        <f ca="1">OFFSET('3. 손익계산서 월별실적'!E210,0,$C$4-2)</f>
        <v>0</v>
      </c>
      <c r="I210" s="148">
        <f t="shared" ca="1" si="70"/>
        <v>0</v>
      </c>
      <c r="J210" s="81">
        <f ca="1">OFFSET('(계획)손익계산서 월별계획'!E210,0,$C$4-1)</f>
        <v>0</v>
      </c>
      <c r="K210" s="148">
        <f t="shared" ca="1" si="64"/>
        <v>0</v>
      </c>
      <c r="L210" s="81">
        <f ca="1">OFFSET('3. 손익계산서 월별실적'!E210,0,$C$4-1)</f>
        <v>0</v>
      </c>
      <c r="M210" s="148">
        <f t="shared" ca="1" si="62"/>
        <v>0</v>
      </c>
      <c r="N210" s="132">
        <f t="shared" ca="1" si="71"/>
        <v>0</v>
      </c>
      <c r="O210" s="132">
        <f t="shared" ca="1" si="72"/>
        <v>0</v>
      </c>
    </row>
    <row r="211" spans="2:30" hidden="1" outlineLevel="1" x14ac:dyDescent="0.2">
      <c r="B211" s="112" t="s">
        <v>66</v>
      </c>
      <c r="C211" s="81">
        <f>'(계획)손익계산서 월별계획'!C211</f>
        <v>0</v>
      </c>
      <c r="D211" s="148">
        <f t="shared" ca="1" si="77"/>
        <v>0</v>
      </c>
      <c r="E211" s="81">
        <f ca="1">SUM('(계획)손익계산서 월별계획'!E211:(OFFSET('(계획)손익계산서 월별계획'!E211,0,$C$4-1)))</f>
        <v>0</v>
      </c>
      <c r="F211" s="81">
        <f ca="1">SUM('3. 손익계산서 월별실적'!E211:(OFFSET('3. 손익계산서 월별실적'!E211,0,$C$4-1)))</f>
        <v>0</v>
      </c>
      <c r="G211" s="148">
        <f t="shared" ca="1" si="78"/>
        <v>0</v>
      </c>
      <c r="H211" s="81">
        <f ca="1">OFFSET('3. 손익계산서 월별실적'!E211,0,$C$4-2)</f>
        <v>0</v>
      </c>
      <c r="I211" s="148">
        <f t="shared" ca="1" si="70"/>
        <v>0</v>
      </c>
      <c r="J211" s="81">
        <f ca="1">OFFSET('(계획)손익계산서 월별계획'!E211,0,$C$4-1)</f>
        <v>0</v>
      </c>
      <c r="K211" s="148">
        <f t="shared" ca="1" si="64"/>
        <v>0</v>
      </c>
      <c r="L211" s="81">
        <f ca="1">OFFSET('3. 손익계산서 월별실적'!E211,0,$C$4-1)</f>
        <v>0</v>
      </c>
      <c r="M211" s="148">
        <f t="shared" ca="1" si="62"/>
        <v>0</v>
      </c>
      <c r="N211" s="132">
        <f t="shared" ca="1" si="71"/>
        <v>0</v>
      </c>
      <c r="O211" s="132">
        <f t="shared" ca="1" si="72"/>
        <v>0</v>
      </c>
    </row>
    <row r="212" spans="2:30" hidden="1" outlineLevel="1" x14ac:dyDescent="0.2">
      <c r="B212" s="112" t="s">
        <v>67</v>
      </c>
      <c r="C212" s="81">
        <f>'(계획)손익계산서 월별계획'!C212</f>
        <v>0</v>
      </c>
      <c r="D212" s="148">
        <f t="shared" ca="1" si="77"/>
        <v>0</v>
      </c>
      <c r="E212" s="81">
        <f ca="1">SUM('(계획)손익계산서 월별계획'!E212:(OFFSET('(계획)손익계산서 월별계획'!E212,0,$C$4-1)))</f>
        <v>0</v>
      </c>
      <c r="F212" s="81">
        <f ca="1">SUM('3. 손익계산서 월별실적'!E212:(OFFSET('3. 손익계산서 월별실적'!E212,0,$C$4-1)))</f>
        <v>0</v>
      </c>
      <c r="G212" s="148">
        <f t="shared" ca="1" si="78"/>
        <v>0</v>
      </c>
      <c r="H212" s="81">
        <f ca="1">OFFSET('3. 손익계산서 월별실적'!E212,0,$C$4-2)</f>
        <v>0</v>
      </c>
      <c r="I212" s="148">
        <f t="shared" ca="1" si="70"/>
        <v>0</v>
      </c>
      <c r="J212" s="81">
        <f ca="1">OFFSET('(계획)손익계산서 월별계획'!E212,0,$C$4-1)</f>
        <v>0</v>
      </c>
      <c r="K212" s="148">
        <f t="shared" ca="1" si="64"/>
        <v>0</v>
      </c>
      <c r="L212" s="81">
        <f ca="1">OFFSET('3. 손익계산서 월별실적'!E212,0,$C$4-1)</f>
        <v>0</v>
      </c>
      <c r="M212" s="148">
        <f ca="1">+IFERROR(L212/$L$154,)</f>
        <v>0</v>
      </c>
      <c r="N212" s="132">
        <f t="shared" ca="1" si="71"/>
        <v>0</v>
      </c>
      <c r="O212" s="132">
        <f t="shared" ca="1" si="72"/>
        <v>0</v>
      </c>
    </row>
    <row r="213" spans="2:30" hidden="1" outlineLevel="1" x14ac:dyDescent="0.2">
      <c r="B213" s="112" t="s">
        <v>68</v>
      </c>
      <c r="C213" s="81">
        <f>'(계획)손익계산서 월별계획'!C213</f>
        <v>0</v>
      </c>
      <c r="D213" s="148">
        <f t="shared" ca="1" si="77"/>
        <v>0</v>
      </c>
      <c r="E213" s="81">
        <f ca="1">SUM('(계획)손익계산서 월별계획'!E213:(OFFSET('(계획)손익계산서 월별계획'!E213,0,$C$4-1)))</f>
        <v>0</v>
      </c>
      <c r="F213" s="81">
        <f ca="1">SUM('3. 손익계산서 월별실적'!E213:(OFFSET('3. 손익계산서 월별실적'!E213,0,$C$4-1)))</f>
        <v>0</v>
      </c>
      <c r="G213" s="148">
        <f t="shared" ca="1" si="78"/>
        <v>0</v>
      </c>
      <c r="H213" s="81">
        <f ca="1">OFFSET('3. 손익계산서 월별실적'!E213,0,$C$4-2)</f>
        <v>0</v>
      </c>
      <c r="I213" s="148">
        <f t="shared" ca="1" si="70"/>
        <v>0</v>
      </c>
      <c r="J213" s="81">
        <f ca="1">OFFSET('(계획)손익계산서 월별계획'!E213,0,$C$4-1)</f>
        <v>0</v>
      </c>
      <c r="K213" s="148">
        <f t="shared" ca="1" si="64"/>
        <v>0</v>
      </c>
      <c r="L213" s="81">
        <f ca="1">OFFSET('3. 손익계산서 월별실적'!E213,0,$C$4-1)</f>
        <v>0</v>
      </c>
      <c r="M213" s="148">
        <f t="shared" ca="1" si="62"/>
        <v>0</v>
      </c>
      <c r="N213" s="132">
        <f t="shared" ca="1" si="71"/>
        <v>0</v>
      </c>
      <c r="O213" s="132">
        <f t="shared" ca="1" si="72"/>
        <v>0</v>
      </c>
    </row>
    <row r="214" spans="2:30" hidden="1" outlineLevel="1" x14ac:dyDescent="0.2">
      <c r="B214" s="112" t="s">
        <v>69</v>
      </c>
      <c r="C214" s="81">
        <f>'(계획)손익계산서 월별계획'!C214</f>
        <v>0</v>
      </c>
      <c r="D214" s="148">
        <f t="shared" ca="1" si="77"/>
        <v>0</v>
      </c>
      <c r="E214" s="81">
        <f ca="1">SUM('(계획)손익계산서 월별계획'!E214:(OFFSET('(계획)손익계산서 월별계획'!E214,0,$C$4-1)))</f>
        <v>0</v>
      </c>
      <c r="F214" s="81">
        <f ca="1">SUM('3. 손익계산서 월별실적'!E214:(OFFSET('3. 손익계산서 월별실적'!E214,0,$C$4-1)))</f>
        <v>0</v>
      </c>
      <c r="G214" s="148">
        <f t="shared" ca="1" si="78"/>
        <v>0</v>
      </c>
      <c r="H214" s="81">
        <f ca="1">OFFSET('3. 손익계산서 월별실적'!E214,0,$C$4-2)</f>
        <v>0</v>
      </c>
      <c r="I214" s="148">
        <f t="shared" ca="1" si="70"/>
        <v>0</v>
      </c>
      <c r="J214" s="81">
        <f ca="1">OFFSET('(계획)손익계산서 월별계획'!E214,0,$C$4-1)</f>
        <v>0</v>
      </c>
      <c r="K214" s="148">
        <f t="shared" ca="1" si="64"/>
        <v>0</v>
      </c>
      <c r="L214" s="81">
        <f ca="1">OFFSET('3. 손익계산서 월별실적'!E214,0,$C$4-1)</f>
        <v>0</v>
      </c>
      <c r="M214" s="148">
        <f t="shared" ca="1" si="62"/>
        <v>0</v>
      </c>
      <c r="N214" s="132">
        <f t="shared" ca="1" si="71"/>
        <v>0</v>
      </c>
      <c r="O214" s="132">
        <f t="shared" ca="1" si="72"/>
        <v>0</v>
      </c>
    </row>
    <row r="215" spans="2:30" hidden="1" outlineLevel="1" x14ac:dyDescent="0.2">
      <c r="B215" s="112" t="s">
        <v>70</v>
      </c>
      <c r="C215" s="81">
        <f>'(계획)손익계산서 월별계획'!C215</f>
        <v>0</v>
      </c>
      <c r="D215" s="148">
        <f t="shared" ca="1" si="77"/>
        <v>0</v>
      </c>
      <c r="E215" s="81">
        <f ca="1">SUM('(계획)손익계산서 월별계획'!E215:(OFFSET('(계획)손익계산서 월별계획'!E215,0,$C$4-1)))</f>
        <v>0</v>
      </c>
      <c r="F215" s="81">
        <f ca="1">SUM('3. 손익계산서 월별실적'!E215:(OFFSET('3. 손익계산서 월별실적'!E215,0,$C$4-1)))</f>
        <v>0</v>
      </c>
      <c r="G215" s="148">
        <f t="shared" ca="1" si="78"/>
        <v>0</v>
      </c>
      <c r="H215" s="81">
        <f ca="1">OFFSET('3. 손익계산서 월별실적'!E215,0,$C$4-2)</f>
        <v>0</v>
      </c>
      <c r="I215" s="148">
        <f t="shared" ca="1" si="70"/>
        <v>0</v>
      </c>
      <c r="J215" s="81">
        <f ca="1">OFFSET('(계획)손익계산서 월별계획'!E215,0,$C$4-1)</f>
        <v>0</v>
      </c>
      <c r="K215" s="148">
        <f t="shared" ca="1" si="64"/>
        <v>0</v>
      </c>
      <c r="L215" s="81">
        <f ca="1">OFFSET('3. 손익계산서 월별실적'!E215,0,$C$4-1)</f>
        <v>0</v>
      </c>
      <c r="M215" s="148">
        <f t="shared" ca="1" si="62"/>
        <v>0</v>
      </c>
      <c r="N215" s="132">
        <f t="shared" ca="1" si="71"/>
        <v>0</v>
      </c>
      <c r="O215" s="132">
        <f t="shared" ca="1" si="72"/>
        <v>0</v>
      </c>
    </row>
    <row r="216" spans="2:30" hidden="1" outlineLevel="1" x14ac:dyDescent="0.2">
      <c r="B216" s="112" t="s">
        <v>71</v>
      </c>
      <c r="C216" s="81">
        <f>'(계획)손익계산서 월별계획'!C216</f>
        <v>0</v>
      </c>
      <c r="D216" s="148">
        <f t="shared" ca="1" si="77"/>
        <v>0</v>
      </c>
      <c r="E216" s="81">
        <f ca="1">SUM('(계획)손익계산서 월별계획'!E216:(OFFSET('(계획)손익계산서 월별계획'!E216,0,$C$4-1)))</f>
        <v>0</v>
      </c>
      <c r="F216" s="81">
        <f ca="1">SUM('3. 손익계산서 월별실적'!E216:(OFFSET('3. 손익계산서 월별실적'!E216,0,$C$4-1)))</f>
        <v>0</v>
      </c>
      <c r="G216" s="148">
        <f t="shared" ca="1" si="78"/>
        <v>0</v>
      </c>
      <c r="H216" s="81">
        <f ca="1">OFFSET('3. 손익계산서 월별실적'!E216,0,$C$4-2)</f>
        <v>0</v>
      </c>
      <c r="I216" s="148">
        <f t="shared" ca="1" si="70"/>
        <v>0</v>
      </c>
      <c r="J216" s="81">
        <f ca="1">OFFSET('(계획)손익계산서 월별계획'!E216,0,$C$4-1)</f>
        <v>0</v>
      </c>
      <c r="K216" s="148">
        <f t="shared" ca="1" si="64"/>
        <v>0</v>
      </c>
      <c r="L216" s="81">
        <f ca="1">OFFSET('3. 손익계산서 월별실적'!E216,0,$C$4-1)</f>
        <v>0</v>
      </c>
      <c r="M216" s="148">
        <f t="shared" ca="1" si="62"/>
        <v>0</v>
      </c>
      <c r="N216" s="132">
        <f t="shared" ca="1" si="71"/>
        <v>0</v>
      </c>
      <c r="O216" s="132">
        <f t="shared" ca="1" si="72"/>
        <v>0</v>
      </c>
    </row>
    <row r="217" spans="2:30" collapsed="1" x14ac:dyDescent="0.2">
      <c r="B217" s="94" t="s">
        <v>74</v>
      </c>
      <c r="C217" s="92">
        <f>C165-C167</f>
        <v>-6606381.6834245287</v>
      </c>
      <c r="D217" s="154" t="str">
        <f ca="1">IF(AND(C217&gt;0,F217&gt;0),F217/C217,"(-)")</f>
        <v>(-)</v>
      </c>
      <c r="E217" s="92">
        <f ca="1">E165-E167</f>
        <v>-330852.67047449434</v>
      </c>
      <c r="F217" s="92">
        <f ca="1">F165-F167</f>
        <v>-1277370.3200000003</v>
      </c>
      <c r="G217" s="151" t="str">
        <f t="shared" ref="G217" ca="1" si="79">IF(AND(E217&gt;0,F217&gt;0),F217/E217,"(-)")</f>
        <v>(-)</v>
      </c>
      <c r="H217" s="92">
        <f ca="1">H165-H167</f>
        <v>-594559.40000000026</v>
      </c>
      <c r="I217" s="151">
        <f t="shared" ca="1" si="70"/>
        <v>-0.27365650095594168</v>
      </c>
      <c r="J217" s="92">
        <f ca="1">J165-J167</f>
        <v>29811.884552629228</v>
      </c>
      <c r="K217" s="151">
        <f t="shared" ca="1" si="64"/>
        <v>1.040049381241941E-2</v>
      </c>
      <c r="L217" s="92">
        <f ca="1">L165-L167</f>
        <v>-682810.91999999993</v>
      </c>
      <c r="M217" s="151">
        <f t="shared" ca="1" si="62"/>
        <v>-0.27668728118734059</v>
      </c>
      <c r="N217" s="135" t="str">
        <f ca="1">+IF(AND(H217&gt;0,L217&gt;0),L217/H217,"(-)")</f>
        <v>(-)</v>
      </c>
      <c r="O217" s="135">
        <f ca="1">+IF(AND(J217&gt;0,N217&gt;0),L217/J217,"(-)")</f>
        <v>-22.90398377179346</v>
      </c>
      <c r="Y217" s="40">
        <f>+C217*1330/1000000</f>
        <v>-8786.4876389546225</v>
      </c>
      <c r="Z217" s="40">
        <f ca="1">+E217*1330/1000000</f>
        <v>-440.03405173107751</v>
      </c>
      <c r="AA217" s="40">
        <f ca="1">+F217*1330/1000000</f>
        <v>-1698.9025256000004</v>
      </c>
      <c r="AB217" s="40">
        <f ca="1">+H217*1330/1000000</f>
        <v>-790.76400200000035</v>
      </c>
      <c r="AC217" s="40">
        <f ca="1">+J217*1330/1000000</f>
        <v>39.649806454996877</v>
      </c>
      <c r="AD217" s="40">
        <f ca="1">+L217*1330/1000000</f>
        <v>-908.13852359999987</v>
      </c>
    </row>
    <row r="218" spans="2:30" x14ac:dyDescent="0.2">
      <c r="B218" s="113" t="s">
        <v>21</v>
      </c>
      <c r="C218" s="93">
        <f>+IFERROR(C217/C154,)</f>
        <v>-0.25469809048798908</v>
      </c>
      <c r="D218" s="142"/>
      <c r="E218" s="93">
        <f ca="1">+IFERROR(E217/E154,)</f>
        <v>-6.3347392407210074E-2</v>
      </c>
      <c r="F218" s="93">
        <f ca="1">+IFERROR(F217/F154,)</f>
        <v>-0.27526827832510731</v>
      </c>
      <c r="G218" s="142"/>
      <c r="H218" s="93">
        <f ca="1">+IFERROR(H217/H154,)</f>
        <v>-0.27365650095594168</v>
      </c>
      <c r="I218" s="142"/>
      <c r="J218" s="93">
        <f ca="1">+IFERROR(J217/J154,)</f>
        <v>1.040049381241941E-2</v>
      </c>
      <c r="K218" s="142"/>
      <c r="L218" s="93">
        <f ca="1">+IFERROR(L217/L154,)</f>
        <v>-0.27668728118734059</v>
      </c>
      <c r="M218" s="142"/>
      <c r="N218" s="93"/>
      <c r="O218" s="93"/>
    </row>
    <row r="219" spans="2:30" ht="26.25" x14ac:dyDescent="0.2">
      <c r="B219" s="15"/>
      <c r="O219" s="460"/>
    </row>
  </sheetData>
  <phoneticPr fontId="8" type="noConversion"/>
  <pageMargins left="0.7" right="0.7" top="0.75" bottom="0.75" header="0.3" footer="0.3"/>
  <pageSetup paperSize="9" scale="6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print="0" autoFill="0" autoLine="0" autoPict="0">
                <anchor moveWithCells="1">
                  <from>
                    <xdr:col>3</xdr:col>
                    <xdr:colOff>952500</xdr:colOff>
                    <xdr:row>1</xdr:row>
                    <xdr:rowOff>133350</xdr:rowOff>
                  </from>
                  <to>
                    <xdr:col>3</xdr:col>
                    <xdr:colOff>1438275</xdr:colOff>
                    <xdr:row>2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4AF9-3ECF-47A9-99E5-37B318CB23D1}">
  <dimension ref="B2:AD219"/>
  <sheetViews>
    <sheetView showGridLines="0" zoomScale="70" zoomScaleNormal="70" workbookViewId="0">
      <pane xSplit="3" ySplit="5" topLeftCell="D6" activePane="bottomRight" state="frozen"/>
      <selection activeCell="G44" sqref="G44"/>
      <selection pane="topRight" activeCell="G44" sqref="G44"/>
      <selection pane="bottomLeft" activeCell="G44" sqref="G44"/>
      <selection pane="bottomRight" activeCell="G220" sqref="G220"/>
    </sheetView>
  </sheetViews>
  <sheetFormatPr defaultColWidth="8.85546875" defaultRowHeight="13.5" outlineLevelRow="1" x14ac:dyDescent="0.2"/>
  <cols>
    <col min="1" max="1" width="1.42578125" style="32" customWidth="1"/>
    <col min="2" max="2" width="24.140625" style="32" customWidth="1"/>
    <col min="3" max="3" width="23.5703125" style="15" customWidth="1"/>
    <col min="4" max="4" width="23.5703125" style="33" customWidth="1"/>
    <col min="5" max="5" width="21.28515625" style="15" customWidth="1"/>
    <col min="6" max="6" width="20.42578125" style="15" customWidth="1"/>
    <col min="7" max="7" width="12.5703125" style="34" customWidth="1"/>
    <col min="8" max="8" width="18.42578125" style="15" customWidth="1"/>
    <col min="9" max="9" width="11.28515625" style="35" customWidth="1"/>
    <col min="10" max="10" width="16.7109375" style="15" customWidth="1"/>
    <col min="11" max="11" width="11.28515625" style="35" bestFit="1" customWidth="1"/>
    <col min="12" max="12" width="17.42578125" style="15" bestFit="1" customWidth="1"/>
    <col min="13" max="13" width="14.140625" style="35" customWidth="1"/>
    <col min="14" max="15" width="11.28515625" style="35" bestFit="1" customWidth="1"/>
    <col min="16" max="16" width="16.7109375" style="32" customWidth="1"/>
    <col min="17" max="17" width="13.140625" style="32" hidden="1" customWidth="1"/>
    <col min="18" max="18" width="13.85546875" style="32" hidden="1" customWidth="1"/>
    <col min="19" max="19" width="12.28515625" style="32" hidden="1" customWidth="1"/>
    <col min="20" max="20" width="8.85546875" style="32" hidden="1" customWidth="1"/>
    <col min="21" max="21" width="12.28515625" style="32" hidden="1" customWidth="1"/>
    <col min="22" max="24" width="8.85546875" style="32" hidden="1" customWidth="1"/>
    <col min="25" max="25" width="14.7109375" style="32" hidden="1" customWidth="1"/>
    <col min="26" max="27" width="17.5703125" style="32" hidden="1" customWidth="1"/>
    <col min="28" max="29" width="16.28515625" style="32" hidden="1" customWidth="1"/>
    <col min="30" max="30" width="14.42578125" style="32" hidden="1" customWidth="1"/>
    <col min="31" max="16384" width="8.85546875" style="32"/>
  </cols>
  <sheetData>
    <row r="2" spans="2:30" ht="13.15" customHeight="1" x14ac:dyDescent="0.2"/>
    <row r="3" spans="2:30" ht="27.6" customHeight="1" x14ac:dyDescent="0.2">
      <c r="B3" s="36" t="s">
        <v>488</v>
      </c>
      <c r="F3" s="15" t="s">
        <v>487</v>
      </c>
      <c r="O3" s="37"/>
    </row>
    <row r="4" spans="2:30" ht="14.45" customHeight="1" x14ac:dyDescent="0.2">
      <c r="B4" s="38" t="s">
        <v>35</v>
      </c>
      <c r="C4" s="38">
        <v>1</v>
      </c>
      <c r="D4" s="39"/>
      <c r="O4" s="33" t="s">
        <v>118</v>
      </c>
      <c r="P4" s="15"/>
      <c r="Q4" s="15"/>
    </row>
    <row r="5" spans="2:30" ht="37.15" customHeight="1" x14ac:dyDescent="0.2">
      <c r="B5" s="74" t="s">
        <v>95</v>
      </c>
      <c r="C5" s="75" t="s">
        <v>492</v>
      </c>
      <c r="D5" s="138" t="s">
        <v>1</v>
      </c>
      <c r="E5" s="75" t="s">
        <v>36</v>
      </c>
      <c r="F5" s="75" t="s">
        <v>3</v>
      </c>
      <c r="G5" s="138" t="s">
        <v>4</v>
      </c>
      <c r="H5" s="75" t="s">
        <v>5</v>
      </c>
      <c r="I5" s="138" t="s">
        <v>8</v>
      </c>
      <c r="J5" s="75" t="s">
        <v>6</v>
      </c>
      <c r="K5" s="138" t="s">
        <v>8</v>
      </c>
      <c r="L5" s="75" t="s">
        <v>7</v>
      </c>
      <c r="M5" s="138" t="s">
        <v>8</v>
      </c>
      <c r="N5" s="76" t="s">
        <v>9</v>
      </c>
      <c r="O5" s="76" t="s">
        <v>10</v>
      </c>
      <c r="Y5" s="44" t="s">
        <v>441</v>
      </c>
      <c r="Z5" s="44" t="s">
        <v>442</v>
      </c>
      <c r="AA5" s="44" t="s">
        <v>443</v>
      </c>
      <c r="AB5" s="44" t="s">
        <v>444</v>
      </c>
      <c r="AC5" s="44" t="s">
        <v>446</v>
      </c>
      <c r="AD5" s="44" t="s">
        <v>445</v>
      </c>
    </row>
    <row r="6" spans="2:30" s="40" customFormat="1" ht="20.45" customHeight="1" x14ac:dyDescent="0.2">
      <c r="B6" s="77" t="s">
        <v>11</v>
      </c>
      <c r="C6" s="78">
        <f>C7+C9</f>
        <v>173583281.75543711</v>
      </c>
      <c r="D6" s="139">
        <f t="shared" ref="D6:D14" ca="1" si="0">+IFERROR(F6/C6,)</f>
        <v>7.2022949120262275E-2</v>
      </c>
      <c r="E6" s="78">
        <f ca="1">E7+E9</f>
        <v>14214303.612306679</v>
      </c>
      <c r="F6" s="78">
        <f ca="1">F7+F9</f>
        <v>12501979.869999997</v>
      </c>
      <c r="G6" s="143">
        <f t="shared" ref="G6:G67" ca="1" si="1">+IFERROR(F6/E6,)</f>
        <v>0.87953516478822369</v>
      </c>
      <c r="H6" s="78">
        <f ca="1">H7+H9</f>
        <v>9843533.4699999988</v>
      </c>
      <c r="I6" s="139">
        <f t="shared" ref="I6:I16" ca="1" si="2">+IFERROR(H6/$H$6,)</f>
        <v>1</v>
      </c>
      <c r="J6" s="78">
        <f ca="1">J7+J9</f>
        <v>14214303.612306679</v>
      </c>
      <c r="K6" s="139">
        <f ca="1">+IFERROR(J6/$J$6,)</f>
        <v>1</v>
      </c>
      <c r="L6" s="78">
        <f ca="1">L7+L9</f>
        <v>12501979.869999997</v>
      </c>
      <c r="M6" s="139">
        <f ca="1">+IFERROR(L6/$L$6,)</f>
        <v>1</v>
      </c>
      <c r="N6" s="79">
        <f t="shared" ref="N6:N14" ca="1" si="3">+IFERROR(L6/H6,)</f>
        <v>1.2700703368462258</v>
      </c>
      <c r="O6" s="79">
        <f ca="1">+IFERROR(L6/J6,)</f>
        <v>0.87953516478822369</v>
      </c>
      <c r="Q6" s="40" t="s">
        <v>37</v>
      </c>
      <c r="S6" s="40" t="s">
        <v>38</v>
      </c>
      <c r="U6" s="40" t="s">
        <v>39</v>
      </c>
      <c r="Y6" s="40">
        <f>+C6*1330/1000000</f>
        <v>230865.76473473135</v>
      </c>
      <c r="Z6" s="40">
        <f ca="1">+E6*1330/1000000</f>
        <v>18905.02380436788</v>
      </c>
      <c r="AA6" s="40">
        <f ca="1">+F6*1330/1000000</f>
        <v>16627.633227099996</v>
      </c>
      <c r="AB6" s="40">
        <f ca="1">+H6*1330/1000000</f>
        <v>13091.899515099998</v>
      </c>
      <c r="AC6" s="40">
        <f ca="1">+J6*1330/1000000</f>
        <v>18905.02380436788</v>
      </c>
      <c r="AD6" s="40">
        <f ca="1">+L6*1330/1000000</f>
        <v>16627.633227099996</v>
      </c>
    </row>
    <row r="7" spans="2:30" x14ac:dyDescent="0.2">
      <c r="B7" s="114" t="s">
        <v>97</v>
      </c>
      <c r="C7" s="81">
        <f>'(계획)손익계산서 월별계획'!C7</f>
        <v>147645192.97445321</v>
      </c>
      <c r="D7" s="137">
        <f t="shared" ca="1" si="0"/>
        <v>6.9960498624477827E-2</v>
      </c>
      <c r="E7" s="81">
        <f ca="1">SUM('(계획)손익계산서 월별계획'!E7:(OFFSET('(계획)손익계산서 월별계획'!E7,0,$C$4-1)))</f>
        <v>11857864.729361806</v>
      </c>
      <c r="F7" s="81">
        <f ca="1">SUM('3. 손익계산서 월별실적'!E7:(OFFSET('3. 손익계산서 월별실적'!E7,0,$C$4-1)))</f>
        <v>10329331.319999997</v>
      </c>
      <c r="G7" s="144">
        <f t="shared" ca="1" si="1"/>
        <v>0.8710953916030989</v>
      </c>
      <c r="H7" s="81">
        <f ca="1">OFFSET('3. 손익계산서 월별실적'!E7,0,$C$4-2)</f>
        <v>7465258.3799999999</v>
      </c>
      <c r="I7" s="137">
        <f t="shared" ca="1" si="2"/>
        <v>0.75839213659929794</v>
      </c>
      <c r="J7" s="81">
        <f ca="1">OFFSET('(계획)손익계산서 월별계획'!E7,0,$C$4-1)</f>
        <v>11857864.729361806</v>
      </c>
      <c r="K7" s="137">
        <f t="shared" ref="K7:K9" ca="1" si="4">+IFERROR(J7/$J$6,)</f>
        <v>0.83422058883667871</v>
      </c>
      <c r="L7" s="81">
        <f ca="1">OFFSET('3. 손익계산서 월별실적'!E7,0,$C$4-1)</f>
        <v>10329331.319999997</v>
      </c>
      <c r="M7" s="137">
        <f t="shared" ref="M7:M9" ca="1" si="5">+IFERROR(L7/$L$6,)</f>
        <v>0.8262156416350076</v>
      </c>
      <c r="N7" s="82">
        <f t="shared" ca="1" si="3"/>
        <v>1.3836535581505214</v>
      </c>
      <c r="O7" s="82">
        <f ca="1">+IFERROR(L7/J7,)</f>
        <v>0.8710953916030989</v>
      </c>
      <c r="P7" s="40"/>
      <c r="Q7" s="40"/>
      <c r="S7" s="32">
        <f ca="1">+Q8-S8</f>
        <v>973251.25185067533</v>
      </c>
      <c r="U7" s="32">
        <f ca="1">+Q8-U8</f>
        <v>305313.91054800013</v>
      </c>
    </row>
    <row r="8" spans="2:30" x14ac:dyDescent="0.2">
      <c r="B8" s="80" t="s">
        <v>113</v>
      </c>
      <c r="C8" s="81">
        <f>'(계획)손익계산서 월별계획'!C8</f>
        <v>0</v>
      </c>
      <c r="D8" s="137">
        <f t="shared" ca="1" si="0"/>
        <v>0</v>
      </c>
      <c r="E8" s="81">
        <f ca="1">SUM('(계획)손익계산서 월별계획'!E8:(OFFSET('(계획)손익계산서 월별계획'!E8,0,$C$4-1)))</f>
        <v>0</v>
      </c>
      <c r="F8" s="81">
        <f ca="1">SUM('3. 손익계산서 월별실적'!E8:(OFFSET('3. 손익계산서 월별실적'!E8,0,$C$4-1)))</f>
        <v>631.81666200000006</v>
      </c>
      <c r="G8" s="144">
        <f t="shared" ca="1" si="1"/>
        <v>0</v>
      </c>
      <c r="H8" s="81">
        <f ca="1">OFFSET('3. 손익계산서 월별실적'!E8,0,$C$4-2)</f>
        <v>476.23611399999999</v>
      </c>
      <c r="I8" s="137">
        <f t="shared" ca="1" si="2"/>
        <v>4.8380605953280724E-5</v>
      </c>
      <c r="J8" s="81">
        <f ca="1">OFFSET('(계획)손익계산서 월별계획'!E8,0,$C$4-1)</f>
        <v>0</v>
      </c>
      <c r="K8" s="137">
        <f t="shared" ca="1" si="4"/>
        <v>0</v>
      </c>
      <c r="L8" s="81">
        <f ca="1">OFFSET('3. 손익계산서 월별실적'!E8,0,$C$4-1)</f>
        <v>631.81666200000006</v>
      </c>
      <c r="M8" s="137">
        <f t="shared" ca="1" si="5"/>
        <v>5.053732837277398E-5</v>
      </c>
      <c r="N8" s="82">
        <f t="shared" ca="1" si="3"/>
        <v>1.3266878412333092</v>
      </c>
      <c r="O8" s="82">
        <f ca="1">+IFERROR(L8/J8,)</f>
        <v>0</v>
      </c>
      <c r="P8" s="40"/>
      <c r="Q8" s="40">
        <f ca="1">+L8-L13</f>
        <v>-1198005.3133379999</v>
      </c>
      <c r="R8" s="41">
        <f ca="1">+Q8/L8</f>
        <v>-1896.1280785880886</v>
      </c>
      <c r="S8" s="32">
        <f ca="1">+J8-J13</f>
        <v>-2171256.5651886752</v>
      </c>
      <c r="T8" s="41" t="e">
        <f ca="1">+S8/J8</f>
        <v>#DIV/0!</v>
      </c>
      <c r="U8" s="32">
        <f ca="1">+H8-H13</f>
        <v>-1503319.223886</v>
      </c>
      <c r="V8" s="41">
        <f ca="1">+U8/H8</f>
        <v>-3156.6678370091017</v>
      </c>
    </row>
    <row r="9" spans="2:30" x14ac:dyDescent="0.2">
      <c r="B9" s="114" t="s">
        <v>96</v>
      </c>
      <c r="C9" s="81">
        <f>'(계획)손익계산서 월별계획'!C9</f>
        <v>25938088.780983891</v>
      </c>
      <c r="D9" s="137">
        <f t="shared" ca="1" si="0"/>
        <v>8.3762861957386914E-2</v>
      </c>
      <c r="E9" s="81">
        <f ca="1">SUM('(계획)손익계산서 월별계획'!E9:(OFFSET('(계획)손익계산서 월별계획'!E9,0,$C$4-1)))</f>
        <v>2356438.8829448726</v>
      </c>
      <c r="F9" s="81">
        <f ca="1">SUM('3. 손익계산서 월별실적'!E9:(OFFSET('3. 손익계산서 월별실적'!E9,0,$C$4-1)))</f>
        <v>2172648.5499999998</v>
      </c>
      <c r="G9" s="144">
        <f t="shared" ca="1" si="1"/>
        <v>0.92200504996115684</v>
      </c>
      <c r="H9" s="81">
        <f ca="1">OFFSET('3. 손익계산서 월별실적'!E9,0,$C$4-2)</f>
        <v>2378275.09</v>
      </c>
      <c r="I9" s="137">
        <f t="shared" ca="1" si="2"/>
        <v>0.2416078634007022</v>
      </c>
      <c r="J9" s="81">
        <f ca="1">OFFSET('(계획)손익계산서 월별계획'!E9,0,$C$4-1)</f>
        <v>2356438.8829448726</v>
      </c>
      <c r="K9" s="137">
        <f t="shared" ca="1" si="4"/>
        <v>0.16577941116332134</v>
      </c>
      <c r="L9" s="81">
        <f ca="1">OFFSET('3. 손익계산서 월별실적'!E9,0,$C$4-1)</f>
        <v>2172648.5499999998</v>
      </c>
      <c r="M9" s="137">
        <f t="shared" ca="1" si="5"/>
        <v>0.17378435836499234</v>
      </c>
      <c r="N9" s="82">
        <f t="shared" ca="1" si="3"/>
        <v>0.91353963178414321</v>
      </c>
      <c r="O9" s="82">
        <f ca="1">+IFERROR(L9/J9,)</f>
        <v>0.92200504996115684</v>
      </c>
      <c r="P9" s="40"/>
      <c r="Q9" s="40">
        <f ca="1">+L9-L14</f>
        <v>2467338.5499999998</v>
      </c>
      <c r="R9" s="41">
        <f ca="1">+Q9/L9</f>
        <v>1.135636295156895</v>
      </c>
      <c r="S9" s="32">
        <f ca="1">+J9-J14</f>
        <v>2075429.6850961884</v>
      </c>
      <c r="T9" s="41">
        <f ca="1">+S9/J9</f>
        <v>0.88074836148625113</v>
      </c>
      <c r="U9" s="32">
        <f ca="1">+H9-H14</f>
        <v>2540931.9668889111</v>
      </c>
      <c r="V9" s="41">
        <f ca="1">+U9/H9</f>
        <v>1.0683927934042783</v>
      </c>
    </row>
    <row r="10" spans="2:30" x14ac:dyDescent="0.2">
      <c r="B10" s="114"/>
      <c r="C10" s="81"/>
      <c r="D10" s="137"/>
      <c r="E10" s="81"/>
      <c r="F10" s="81"/>
      <c r="G10" s="144"/>
      <c r="H10" s="81"/>
      <c r="I10" s="137"/>
      <c r="J10" s="81"/>
      <c r="K10" s="137"/>
      <c r="L10" s="81"/>
      <c r="M10" s="137"/>
      <c r="N10" s="82"/>
      <c r="O10" s="82"/>
      <c r="P10" s="40"/>
      <c r="Q10" s="40"/>
      <c r="R10" s="41"/>
      <c r="T10" s="41"/>
      <c r="V10" s="41"/>
    </row>
    <row r="11" spans="2:30" x14ac:dyDescent="0.2">
      <c r="B11" s="77" t="s">
        <v>12</v>
      </c>
      <c r="C11" s="78">
        <f>SUM(C12:C14)</f>
        <v>162737460.49294993</v>
      </c>
      <c r="D11" s="139">
        <f t="shared" ca="1" si="0"/>
        <v>7.213160648103227E-2</v>
      </c>
      <c r="E11" s="78">
        <f t="shared" ref="E11:F11" ca="1" si="6">SUM(E12:E15)</f>
        <v>13207070.913446572</v>
      </c>
      <c r="F11" s="78">
        <f t="shared" ca="1" si="6"/>
        <v>11738514.460000001</v>
      </c>
      <c r="G11" s="143">
        <f t="shared" ca="1" si="1"/>
        <v>0.88880528748040699</v>
      </c>
      <c r="H11" s="78">
        <f ca="1">SUM(H12:H15)</f>
        <v>9644978.2731110882</v>
      </c>
      <c r="I11" s="139">
        <f t="shared" ca="1" si="2"/>
        <v>0.9798288696336489</v>
      </c>
      <c r="J11" s="78">
        <f ca="1">SUM(J12:J15)</f>
        <v>13207070.913446572</v>
      </c>
      <c r="K11" s="139">
        <f t="shared" ref="K11:K14" ca="1" si="7">+IFERROR(J11/$J$6,)</f>
        <v>0.92913949734491041</v>
      </c>
      <c r="L11" s="78">
        <f ca="1">SUM(L12:L15)</f>
        <v>11738514.460000001</v>
      </c>
      <c r="M11" s="139">
        <f t="shared" ref="M11:M14" ca="1" si="8">+IFERROR(L11/$L$6,)</f>
        <v>0.93893243966645445</v>
      </c>
      <c r="N11" s="79">
        <f t="shared" ca="1" si="3"/>
        <v>1.2170597099970055</v>
      </c>
      <c r="O11" s="79">
        <f t="shared" ref="O11:O67" ca="1" si="9">+IFERROR(L11/J11,)</f>
        <v>0.88880528748040699</v>
      </c>
      <c r="P11" s="40"/>
      <c r="Q11" s="40"/>
      <c r="S11" s="32">
        <f>+Q10-S10</f>
        <v>0</v>
      </c>
      <c r="U11" s="32">
        <f>+Q10-U10</f>
        <v>0</v>
      </c>
      <c r="Y11" s="40">
        <f>+C11*1330/1000000</f>
        <v>216440.82245562342</v>
      </c>
      <c r="Z11" s="40">
        <f ca="1">+E11*1330/1000000</f>
        <v>17565.404314883941</v>
      </c>
      <c r="AA11" s="40">
        <f ca="1">+F11*1330/1000000</f>
        <v>15612.224231800001</v>
      </c>
      <c r="AB11" s="40">
        <f ca="1">+H11*1330/1000000</f>
        <v>12827.821103237748</v>
      </c>
      <c r="AC11" s="40">
        <f ca="1">+J11*1330/1000000</f>
        <v>17565.404314883941</v>
      </c>
      <c r="AD11" s="40">
        <f ca="1">+L11*1330/1000000</f>
        <v>15612.224231800001</v>
      </c>
    </row>
    <row r="12" spans="2:30" x14ac:dyDescent="0.2">
      <c r="B12" s="114" t="s">
        <v>115</v>
      </c>
      <c r="C12" s="81">
        <f>'(계획)손익계산서 월별계획'!C12</f>
        <v>135158268.23264986</v>
      </c>
      <c r="D12" s="137">
        <f t="shared" ca="1" si="0"/>
        <v>8.0162075703354721E-2</v>
      </c>
      <c r="E12" s="81">
        <f ca="1">SUM('(계획)손익계산서 월별계획'!E12:(OFFSET('(계획)손익계산서 월별계획'!E12,0,$C$4-1)))</f>
        <v>10754805.15040921</v>
      </c>
      <c r="F12" s="81">
        <f ca="1">SUM('3. 손익계산서 월별실적'!E12:(OFFSET('3. 손익계산서 월별실적'!E12,0,$C$4-1)))</f>
        <v>10834567.330000002</v>
      </c>
      <c r="G12" s="144">
        <f t="shared" ca="1" si="1"/>
        <v>1.0074164225641742</v>
      </c>
      <c r="H12" s="81">
        <f ca="1">OFFSET('3. 손익계산서 월별실적'!E12,0,$C$4-2)</f>
        <v>8303839.6899999995</v>
      </c>
      <c r="I12" s="137">
        <f t="shared" ca="1" si="2"/>
        <v>0.84358322296637656</v>
      </c>
      <c r="J12" s="81">
        <f ca="1">OFFSET('(계획)손익계산서 월별계획'!E12,0,$C$4-1)</f>
        <v>10754805.15040921</v>
      </c>
      <c r="K12" s="137">
        <f t="shared" ca="1" si="7"/>
        <v>0.75661850511605433</v>
      </c>
      <c r="L12" s="81">
        <f ca="1">OFFSET('3. 손익계산서 월별실적'!E12,0,$C$4-1)</f>
        <v>10834567.330000002</v>
      </c>
      <c r="M12" s="137">
        <f t="shared" ca="1" si="8"/>
        <v>0.86662812151848423</v>
      </c>
      <c r="N12" s="82">
        <f t="shared" ca="1" si="3"/>
        <v>1.30476595580809</v>
      </c>
      <c r="O12" s="82">
        <f t="shared" ca="1" si="9"/>
        <v>1.0074164225641742</v>
      </c>
      <c r="P12" s="40"/>
      <c r="R12" s="40"/>
    </row>
    <row r="13" spans="2:30" x14ac:dyDescent="0.2">
      <c r="B13" s="114" t="s">
        <v>116</v>
      </c>
      <c r="C13" s="81">
        <f>'(계획)손익계산서 월별계획'!C13</f>
        <v>25798606.886115849</v>
      </c>
      <c r="D13" s="137">
        <f t="shared" ca="1" si="0"/>
        <v>4.6461312244153612E-2</v>
      </c>
      <c r="E13" s="81">
        <f ca="1">SUM('(계획)손익계산서 월별계획'!E13:(OFFSET('(계획)손익계산서 월별계획'!E13,0,$C$4-1)))</f>
        <v>2171256.5651886752</v>
      </c>
      <c r="F13" s="81">
        <f ca="1">SUM('3. 손익계산서 월별실적'!E13:(OFFSET('3. 손익계산서 월별실적'!E13,0,$C$4-1)))</f>
        <v>1198637.1299999999</v>
      </c>
      <c r="G13" s="144">
        <f t="shared" ca="1" si="1"/>
        <v>0.55204767102032559</v>
      </c>
      <c r="H13" s="81">
        <f ca="1">OFFSET('3. 손익계산서 월별실적'!E13,0,$C$4-2)</f>
        <v>1503795.46</v>
      </c>
      <c r="I13" s="137">
        <f t="shared" ca="1" si="2"/>
        <v>0.1527698833536856</v>
      </c>
      <c r="J13" s="81">
        <f ca="1">OFFSET('(계획)손익계산서 월별계획'!E13,0,$C$4-1)</f>
        <v>2171256.5651886752</v>
      </c>
      <c r="K13" s="137">
        <f t="shared" ca="1" si="7"/>
        <v>0.15275152581578538</v>
      </c>
      <c r="L13" s="81">
        <f ca="1">OFFSET('3. 손익계산서 월별실적'!E13,0,$C$4-1)</f>
        <v>1198637.1299999999</v>
      </c>
      <c r="M13" s="137">
        <f t="shared" ca="1" si="8"/>
        <v>9.5875784672816003E-2</v>
      </c>
      <c r="N13" s="82">
        <f t="shared" ca="1" si="3"/>
        <v>0.79707457688427918</v>
      </c>
      <c r="O13" s="82">
        <f t="shared" ca="1" si="9"/>
        <v>0.55204767102032559</v>
      </c>
      <c r="P13" s="40"/>
    </row>
    <row r="14" spans="2:30" x14ac:dyDescent="0.2">
      <c r="B14" s="114" t="s">
        <v>117</v>
      </c>
      <c r="C14" s="81">
        <f>'(계획)손익계산서 월별계획'!C14</f>
        <v>1780585.3741842103</v>
      </c>
      <c r="D14" s="137">
        <f t="shared" ca="1" si="0"/>
        <v>-0.16550175255427707</v>
      </c>
      <c r="E14" s="81">
        <f ca="1">SUM('(계획)손익계산서 월별계획'!E14:(OFFSET('(계획)손익계산서 월별계획'!E14,0,$C$4-1)))</f>
        <v>281009.19784868415</v>
      </c>
      <c r="F14" s="81">
        <f ca="1">SUM('3. 손익계산서 월별실적'!E14:(OFFSET('3. 손익계산서 월별실적'!E14,0,$C$4-1)))</f>
        <v>-294690</v>
      </c>
      <c r="G14" s="144">
        <f t="shared" ca="1" si="1"/>
        <v>-1.048684535083021</v>
      </c>
      <c r="H14" s="81">
        <f ca="1">OFFSET('3. 손익계산서 월별실적'!E14,0,$C$4-2)</f>
        <v>-162656.87688891101</v>
      </c>
      <c r="I14" s="137">
        <f t="shared" ca="1" si="2"/>
        <v>-1.6524236686413282E-2</v>
      </c>
      <c r="J14" s="81">
        <f ca="1">OFFSET('(계획)손익계산서 월별계획'!E14,0,$C$4-1)</f>
        <v>281009.19784868415</v>
      </c>
      <c r="K14" s="137">
        <f t="shared" ca="1" si="7"/>
        <v>1.9769466413070542E-2</v>
      </c>
      <c r="L14" s="81">
        <f ca="1">OFFSET('3. 손익계산서 월별실적'!E14,0,$C$4-1)</f>
        <v>-294690</v>
      </c>
      <c r="M14" s="137">
        <f t="shared" ca="1" si="8"/>
        <v>-2.3571466524845722E-2</v>
      </c>
      <c r="N14" s="82">
        <f t="shared" ca="1" si="3"/>
        <v>1.8117278877871423</v>
      </c>
      <c r="O14" s="82">
        <f t="shared" ca="1" si="9"/>
        <v>-1.048684535083021</v>
      </c>
      <c r="P14" s="40"/>
    </row>
    <row r="15" spans="2:30" x14ac:dyDescent="0.2">
      <c r="B15" s="80"/>
      <c r="C15" s="81"/>
      <c r="D15" s="137"/>
      <c r="E15" s="81"/>
      <c r="F15" s="81"/>
      <c r="G15" s="144"/>
      <c r="H15" s="81"/>
      <c r="I15" s="137"/>
      <c r="J15" s="81"/>
      <c r="K15" s="137"/>
      <c r="L15" s="81"/>
      <c r="M15" s="137"/>
      <c r="N15" s="82"/>
      <c r="O15" s="82"/>
      <c r="P15" s="40"/>
      <c r="Q15" s="40"/>
    </row>
    <row r="16" spans="2:30" s="40" customFormat="1" ht="21.6" customHeight="1" x14ac:dyDescent="0.2">
      <c r="B16" s="77" t="s">
        <v>13</v>
      </c>
      <c r="C16" s="78">
        <f>C6-C11</f>
        <v>10845821.262487173</v>
      </c>
      <c r="D16" s="139">
        <f ca="1">IF(AND(C16&gt;0,F16&gt;0),F16/C16,"(-)")</f>
        <v>7.0392586372469673E-2</v>
      </c>
      <c r="E16" s="78">
        <f ca="1">+E6-E11</f>
        <v>1007232.698860107</v>
      </c>
      <c r="F16" s="78">
        <f ca="1">+F6-F11</f>
        <v>763465.40999999642</v>
      </c>
      <c r="G16" s="139">
        <f t="shared" ref="G16" ca="1" si="10">IF(AND(E16&gt;0,F16&gt;0),F16/E16,"(-)")</f>
        <v>0.75798314616276463</v>
      </c>
      <c r="H16" s="78">
        <f ca="1">+H6-H11</f>
        <v>198555.19688891061</v>
      </c>
      <c r="I16" s="139">
        <f t="shared" ca="1" si="2"/>
        <v>2.0171130366351122E-2</v>
      </c>
      <c r="J16" s="78">
        <f ca="1">+J6-J11</f>
        <v>1007232.698860107</v>
      </c>
      <c r="K16" s="139">
        <f ca="1">+IFERROR(J16/$J$6,)</f>
        <v>7.0860502655089599E-2</v>
      </c>
      <c r="L16" s="78">
        <f ca="1">+L6-L11</f>
        <v>763465.40999999642</v>
      </c>
      <c r="M16" s="139">
        <f ca="1">+IFERROR(L16/$L$6,)</f>
        <v>6.1067560333545517E-2</v>
      </c>
      <c r="N16" s="79">
        <f ca="1">+IF(AND(H16&gt;0,L16&gt;0),L16/H16,"(-)")</f>
        <v>3.8451041421350793</v>
      </c>
      <c r="O16" s="79">
        <f ca="1">+IF(AND(J16&gt;0,N16&gt;0),L16/J16,"(-)")</f>
        <v>0.75798314616276463</v>
      </c>
      <c r="Y16" s="40">
        <f>+C16*1330/1000000</f>
        <v>14424.942279107941</v>
      </c>
      <c r="Z16" s="40">
        <f ca="1">+E16*1330/1000000</f>
        <v>1339.6194894839423</v>
      </c>
      <c r="AA16" s="40">
        <f ca="1">+F16*1330/1000000</f>
        <v>1015.4089952999952</v>
      </c>
      <c r="AB16" s="40">
        <f ca="1">+H16*1330/1000000</f>
        <v>264.07841186225113</v>
      </c>
      <c r="AC16" s="40">
        <f ca="1">+J16*1330/1000000</f>
        <v>1339.6194894839423</v>
      </c>
      <c r="AD16" s="40">
        <f ca="1">+L16*1330/1000000</f>
        <v>1015.4089952999952</v>
      </c>
    </row>
    <row r="17" spans="2:30" s="42" customFormat="1" x14ac:dyDescent="0.2">
      <c r="B17" s="83" t="s">
        <v>14</v>
      </c>
      <c r="C17" s="82">
        <f>+IFERROR(C16/C6,)</f>
        <v>6.2481946145988523E-2</v>
      </c>
      <c r="D17" s="137"/>
      <c r="E17" s="82">
        <f ca="1">+IFERROR(E16/E6,)</f>
        <v>7.0860502655089599E-2</v>
      </c>
      <c r="F17" s="82">
        <f ca="1">+IFERROR(F16/F6,)</f>
        <v>6.1067560333545517E-2</v>
      </c>
      <c r="G17" s="144">
        <f t="shared" ca="1" si="1"/>
        <v>0.86179970569485231</v>
      </c>
      <c r="H17" s="82">
        <f ca="1">+IFERROR(H16/H6,)</f>
        <v>2.0171130366351122E-2</v>
      </c>
      <c r="I17" s="137"/>
      <c r="J17" s="82">
        <f ca="1">+IFERROR(J16/J6,)</f>
        <v>7.0860502655089599E-2</v>
      </c>
      <c r="K17" s="137"/>
      <c r="L17" s="82">
        <f ca="1">+IFERROR(L16/L6,)</f>
        <v>6.1067560333545517E-2</v>
      </c>
      <c r="M17" s="137"/>
      <c r="N17" s="82"/>
      <c r="O17" s="82"/>
      <c r="P17" s="40"/>
      <c r="Q17" s="40"/>
      <c r="Y17" s="45">
        <f>+Y6-Y11</f>
        <v>14424.942279107927</v>
      </c>
      <c r="Z17" s="45">
        <f t="shared" ref="Z17:AD17" ca="1" si="11">+Z6-Z11</f>
        <v>1339.6194894839391</v>
      </c>
      <c r="AA17" s="45">
        <f t="shared" ca="1" si="11"/>
        <v>1015.4089952999948</v>
      </c>
      <c r="AB17" s="45">
        <f t="shared" ca="1" si="11"/>
        <v>264.0784118622505</v>
      </c>
      <c r="AC17" s="45">
        <f t="shared" ca="1" si="11"/>
        <v>1339.6194894839391</v>
      </c>
      <c r="AD17" s="45">
        <f t="shared" ca="1" si="11"/>
        <v>1015.4089952999948</v>
      </c>
    </row>
    <row r="18" spans="2:30" x14ac:dyDescent="0.2">
      <c r="B18" s="77" t="s">
        <v>15</v>
      </c>
      <c r="C18" s="78">
        <f>SUM(C19,C35,C53)</f>
        <v>9264881.1170671303</v>
      </c>
      <c r="D18" s="139">
        <f t="shared" ref="D18:D33" ca="1" si="12">+IFERROR(F18/C18,)</f>
        <v>7.5037786369359913E-2</v>
      </c>
      <c r="E18" s="78">
        <f t="shared" ref="E18:F18" ca="1" si="13">+E19+E35+E53</f>
        <v>803460.50618084788</v>
      </c>
      <c r="F18" s="78">
        <f t="shared" ca="1" si="13"/>
        <v>695216.16999999993</v>
      </c>
      <c r="G18" s="143">
        <f t="shared" ca="1" si="1"/>
        <v>0.86527734051873406</v>
      </c>
      <c r="H18" s="78">
        <f t="shared" ref="H18:L18" ca="1" si="14">+H19+H35+H53</f>
        <v>804702.94999999984</v>
      </c>
      <c r="I18" s="139">
        <f t="shared" ref="I18:I68" ca="1" si="15">+IFERROR(H18/$H$6,)</f>
        <v>8.1749399486727187E-2</v>
      </c>
      <c r="J18" s="78">
        <f t="shared" ca="1" si="14"/>
        <v>803460.50618084788</v>
      </c>
      <c r="K18" s="139">
        <f t="shared" ref="K18:K68" ca="1" si="16">+IFERROR(J18/$J$6,)</f>
        <v>5.6524788557718399E-2</v>
      </c>
      <c r="L18" s="78">
        <f t="shared" ca="1" si="14"/>
        <v>695216.16999999993</v>
      </c>
      <c r="M18" s="139">
        <f t="shared" ref="M18:M68" ca="1" si="17">+IFERROR(L18/$L$6,)</f>
        <v>5.5608485794178458E-2</v>
      </c>
      <c r="N18" s="79">
        <f t="shared" ref="N18:N67" ca="1" si="18">+IFERROR(L18/H18,)</f>
        <v>0.8639413711606253</v>
      </c>
      <c r="O18" s="79">
        <f t="shared" ca="1" si="9"/>
        <v>0.86527734051873406</v>
      </c>
      <c r="P18" s="40"/>
      <c r="Q18" s="43">
        <f ca="1">+L18-J18</f>
        <v>-108244.33618084795</v>
      </c>
      <c r="R18" s="43">
        <f ca="1">+L18-H18</f>
        <v>-109486.77999999991</v>
      </c>
      <c r="Y18" s="40">
        <f>+C18*1330/1000000</f>
        <v>12322.291885699284</v>
      </c>
      <c r="Z18" s="40">
        <f ca="1">+E18*1330/1000000</f>
        <v>1068.6024732205276</v>
      </c>
      <c r="AA18" s="40">
        <f ca="1">+F18*1330/1000000</f>
        <v>924.63750609999988</v>
      </c>
      <c r="AB18" s="40">
        <f ca="1">+H18*1330/1000000</f>
        <v>1070.2549234999997</v>
      </c>
      <c r="AC18" s="40">
        <f ca="1">+J18*1330/1000000</f>
        <v>1068.6024732205276</v>
      </c>
      <c r="AD18" s="40">
        <f ca="1">+L18*1330/1000000</f>
        <v>924.63750609999988</v>
      </c>
    </row>
    <row r="19" spans="2:30" ht="16.5" hidden="1" outlineLevel="1" x14ac:dyDescent="0.2">
      <c r="B19" s="84" t="s">
        <v>16</v>
      </c>
      <c r="C19" s="85">
        <f>SUM(C20:C33)</f>
        <v>0</v>
      </c>
      <c r="D19" s="140">
        <f t="shared" ca="1" si="12"/>
        <v>0</v>
      </c>
      <c r="E19" s="85">
        <f ca="1">SUM(E20:E34)</f>
        <v>0</v>
      </c>
      <c r="F19" s="85">
        <f ca="1">SUM(F20:F34)</f>
        <v>0</v>
      </c>
      <c r="G19" s="145">
        <f t="shared" ca="1" si="1"/>
        <v>0</v>
      </c>
      <c r="H19" s="85">
        <f ca="1">SUM(H20:H34)</f>
        <v>0</v>
      </c>
      <c r="I19" s="140">
        <f t="shared" ca="1" si="15"/>
        <v>0</v>
      </c>
      <c r="J19" s="85">
        <f ca="1">SUM(J20:J34)</f>
        <v>0</v>
      </c>
      <c r="K19" s="140">
        <f t="shared" ca="1" si="16"/>
        <v>0</v>
      </c>
      <c r="L19" s="85">
        <f ca="1">SUM(L20:L34)</f>
        <v>0</v>
      </c>
      <c r="M19" s="140">
        <f t="shared" ca="1" si="17"/>
        <v>0</v>
      </c>
      <c r="N19" s="86">
        <f t="shared" ca="1" si="18"/>
        <v>0</v>
      </c>
      <c r="O19" s="86">
        <f t="shared" ca="1" si="9"/>
        <v>0</v>
      </c>
      <c r="P19" s="40"/>
      <c r="Q19" s="40"/>
      <c r="R19" s="44" t="s">
        <v>40</v>
      </c>
      <c r="S19" s="44" t="s">
        <v>41</v>
      </c>
    </row>
    <row r="20" spans="2:30" hidden="1" outlineLevel="1" x14ac:dyDescent="0.2">
      <c r="B20" s="87" t="s">
        <v>19</v>
      </c>
      <c r="C20" s="81">
        <f>'(계획)손익계산서 월별계획'!C20</f>
        <v>0</v>
      </c>
      <c r="D20" s="137">
        <f t="shared" ca="1" si="12"/>
        <v>0</v>
      </c>
      <c r="E20" s="81">
        <f ca="1">SUM('(계획)손익계산서 월별계획'!E20:(OFFSET('(계획)손익계산서 월별계획'!E20,0,$C$4-1)))</f>
        <v>0</v>
      </c>
      <c r="F20" s="81">
        <f ca="1">SUM('3. 손익계산서 월별실적'!E20:(OFFSET('3. 손익계산서 월별실적'!E20,0,$C$4-1)))</f>
        <v>0</v>
      </c>
      <c r="G20" s="144">
        <f t="shared" ca="1" si="1"/>
        <v>0</v>
      </c>
      <c r="H20" s="81">
        <f ca="1">OFFSET('3. 손익계산서 월별실적'!E20,0,$C$4-2)</f>
        <v>0</v>
      </c>
      <c r="I20" s="137">
        <f t="shared" ca="1" si="15"/>
        <v>0</v>
      </c>
      <c r="J20" s="81">
        <f ca="1">OFFSET('(계획)손익계산서 월별계획'!E20,0,$C$4-1)</f>
        <v>0</v>
      </c>
      <c r="K20" s="137">
        <f t="shared" ca="1" si="16"/>
        <v>0</v>
      </c>
      <c r="L20" s="81">
        <f ca="1">OFFSET('3. 손익계산서 월별실적'!E20,0,$C$4-1)</f>
        <v>0</v>
      </c>
      <c r="M20" s="137">
        <f t="shared" ca="1" si="17"/>
        <v>0</v>
      </c>
      <c r="N20" s="82">
        <f t="shared" ca="1" si="18"/>
        <v>0</v>
      </c>
      <c r="O20" s="82">
        <f t="shared" ca="1" si="9"/>
        <v>0</v>
      </c>
      <c r="P20" s="40"/>
      <c r="Q20" s="40" t="s">
        <v>42</v>
      </c>
      <c r="R20" s="32">
        <f ca="1">+E20+E36+E54</f>
        <v>347317.40366666671</v>
      </c>
      <c r="S20" s="32">
        <f ca="1">+F20+F36+F54</f>
        <v>325645.53999999998</v>
      </c>
      <c r="T20" s="41">
        <f ca="1">+S20/R20</f>
        <v>0.93760213730186115</v>
      </c>
    </row>
    <row r="21" spans="2:30" hidden="1" outlineLevel="1" x14ac:dyDescent="0.2">
      <c r="B21" s="87" t="s">
        <v>43</v>
      </c>
      <c r="C21" s="81">
        <f>'(계획)손익계산서 월별계획'!C21</f>
        <v>0</v>
      </c>
      <c r="D21" s="137">
        <f t="shared" ca="1" si="12"/>
        <v>0</v>
      </c>
      <c r="E21" s="81">
        <f ca="1">SUM('(계획)손익계산서 월별계획'!E21:(OFFSET('(계획)손익계산서 월별계획'!E21,0,$C$4-1)))</f>
        <v>0</v>
      </c>
      <c r="F21" s="81">
        <f ca="1">SUM('3. 손익계산서 월별실적'!E21:(OFFSET('3. 손익계산서 월별실적'!E21,0,$C$4-1)))</f>
        <v>0</v>
      </c>
      <c r="G21" s="144">
        <f t="shared" ca="1" si="1"/>
        <v>0</v>
      </c>
      <c r="H21" s="81">
        <f ca="1">OFFSET('3. 손익계산서 월별실적'!E21,0,$C$4-2)</f>
        <v>0</v>
      </c>
      <c r="I21" s="137">
        <f t="shared" ca="1" si="15"/>
        <v>0</v>
      </c>
      <c r="J21" s="81">
        <f ca="1">OFFSET('(계획)손익계산서 월별계획'!E21,0,$C$4-1)</f>
        <v>0</v>
      </c>
      <c r="K21" s="137">
        <f t="shared" ca="1" si="16"/>
        <v>0</v>
      </c>
      <c r="L21" s="81">
        <f ca="1">OFFSET('3. 손익계산서 월별실적'!E21,0,$C$4-1)</f>
        <v>0</v>
      </c>
      <c r="M21" s="137">
        <f t="shared" ca="1" si="17"/>
        <v>0</v>
      </c>
      <c r="N21" s="82">
        <f t="shared" ca="1" si="18"/>
        <v>0</v>
      </c>
      <c r="O21" s="82">
        <f t="shared" ca="1" si="9"/>
        <v>0</v>
      </c>
      <c r="P21" s="40"/>
      <c r="Q21" s="40" t="s">
        <v>44</v>
      </c>
      <c r="R21" s="32">
        <f ca="1">SUM(E27,E43,E61)</f>
        <v>308110.75795684796</v>
      </c>
      <c r="S21" s="32">
        <f ca="1">SUM(F27,F43,F61)</f>
        <v>225126.16</v>
      </c>
      <c r="T21" s="41">
        <f ca="1">+S21/R21</f>
        <v>0.73066634054864699</v>
      </c>
    </row>
    <row r="22" spans="2:30" hidden="1" outlineLevel="1" x14ac:dyDescent="0.2">
      <c r="B22" s="87" t="s">
        <v>45</v>
      </c>
      <c r="C22" s="81">
        <f>'(계획)손익계산서 월별계획'!C22</f>
        <v>0</v>
      </c>
      <c r="D22" s="137">
        <f t="shared" ca="1" si="12"/>
        <v>0</v>
      </c>
      <c r="E22" s="81">
        <f ca="1">SUM('(계획)손익계산서 월별계획'!E22:(OFFSET('(계획)손익계산서 월별계획'!E22,0,$C$4-1)))</f>
        <v>0</v>
      </c>
      <c r="F22" s="81">
        <f ca="1">SUM('3. 손익계산서 월별실적'!E22:(OFFSET('3. 손익계산서 월별실적'!E22,0,$C$4-1)))</f>
        <v>0</v>
      </c>
      <c r="G22" s="144">
        <f t="shared" ca="1" si="1"/>
        <v>0</v>
      </c>
      <c r="H22" s="81">
        <f ca="1">OFFSET('3. 손익계산서 월별실적'!E22,0,$C$4-2)</f>
        <v>0</v>
      </c>
      <c r="I22" s="137">
        <f t="shared" ca="1" si="15"/>
        <v>0</v>
      </c>
      <c r="J22" s="81">
        <f ca="1">OFFSET('(계획)손익계산서 월별계획'!E22,0,$C$4-1)</f>
        <v>0</v>
      </c>
      <c r="K22" s="137">
        <f t="shared" ca="1" si="16"/>
        <v>0</v>
      </c>
      <c r="L22" s="81">
        <f ca="1">OFFSET('3. 손익계산서 월별실적'!E22,0,$C$4-1)</f>
        <v>0</v>
      </c>
      <c r="M22" s="137">
        <f t="shared" ca="1" si="17"/>
        <v>0</v>
      </c>
      <c r="N22" s="82">
        <f t="shared" ca="1" si="18"/>
        <v>0</v>
      </c>
      <c r="O22" s="82">
        <f t="shared" ca="1" si="9"/>
        <v>0</v>
      </c>
      <c r="P22" s="40"/>
      <c r="Q22" s="40" t="s">
        <v>46</v>
      </c>
      <c r="R22" s="32">
        <f ca="1">SUM(E30,E46,E64)</f>
        <v>0</v>
      </c>
      <c r="S22" s="32">
        <f ca="1">SUM(F30,F46,F64)</f>
        <v>0</v>
      </c>
      <c r="T22" s="41" t="e">
        <f ca="1">+S22/R22</f>
        <v>#DIV/0!</v>
      </c>
    </row>
    <row r="23" spans="2:30" hidden="1" outlineLevel="1" x14ac:dyDescent="0.2">
      <c r="B23" s="87" t="s">
        <v>47</v>
      </c>
      <c r="C23" s="81">
        <f>'(계획)손익계산서 월별계획'!C23</f>
        <v>0</v>
      </c>
      <c r="D23" s="137">
        <f t="shared" ca="1" si="12"/>
        <v>0</v>
      </c>
      <c r="E23" s="81">
        <f ca="1">SUM('(계획)손익계산서 월별계획'!E23:(OFFSET('(계획)손익계산서 월별계획'!E23,0,$C$4-1)))</f>
        <v>0</v>
      </c>
      <c r="F23" s="81">
        <f ca="1">SUM('3. 손익계산서 월별실적'!E23:(OFFSET('3. 손익계산서 월별실적'!E23,0,$C$4-1)))</f>
        <v>0</v>
      </c>
      <c r="G23" s="144">
        <f t="shared" ca="1" si="1"/>
        <v>0</v>
      </c>
      <c r="H23" s="81">
        <f ca="1">OFFSET('3. 손익계산서 월별실적'!E23,0,$C$4-2)</f>
        <v>0</v>
      </c>
      <c r="I23" s="137">
        <f t="shared" ca="1" si="15"/>
        <v>0</v>
      </c>
      <c r="J23" s="81">
        <f ca="1">OFFSET('(계획)손익계산서 월별계획'!E23,0,$C$4-1)</f>
        <v>0</v>
      </c>
      <c r="K23" s="137">
        <f t="shared" ca="1" si="16"/>
        <v>0</v>
      </c>
      <c r="L23" s="81">
        <f ca="1">OFFSET('3. 손익계산서 월별실적'!E23,0,$C$4-1)</f>
        <v>0</v>
      </c>
      <c r="M23" s="137">
        <f t="shared" ca="1" si="17"/>
        <v>0</v>
      </c>
      <c r="N23" s="82">
        <f t="shared" ca="1" si="18"/>
        <v>0</v>
      </c>
      <c r="O23" s="82">
        <f t="shared" ca="1" si="9"/>
        <v>0</v>
      </c>
      <c r="P23" s="40"/>
      <c r="Q23" s="40"/>
    </row>
    <row r="24" spans="2:30" hidden="1" outlineLevel="1" x14ac:dyDescent="0.2">
      <c r="B24" s="87" t="s">
        <v>48</v>
      </c>
      <c r="C24" s="81">
        <f>'(계획)손익계산서 월별계획'!C24</f>
        <v>0</v>
      </c>
      <c r="D24" s="137">
        <f t="shared" ca="1" si="12"/>
        <v>0</v>
      </c>
      <c r="E24" s="81">
        <f ca="1">SUM('(계획)손익계산서 월별계획'!E24:(OFFSET('(계획)손익계산서 월별계획'!E24,0,$C$4-1)))</f>
        <v>0</v>
      </c>
      <c r="F24" s="81">
        <f ca="1">SUM('3. 손익계산서 월별실적'!E24:(OFFSET('3. 손익계산서 월별실적'!E24,0,$C$4-1)))</f>
        <v>0</v>
      </c>
      <c r="G24" s="144">
        <f t="shared" ca="1" si="1"/>
        <v>0</v>
      </c>
      <c r="H24" s="81">
        <f ca="1">OFFSET('3. 손익계산서 월별실적'!E24,0,$C$4-2)</f>
        <v>0</v>
      </c>
      <c r="I24" s="137">
        <f t="shared" ca="1" si="15"/>
        <v>0</v>
      </c>
      <c r="J24" s="81">
        <f ca="1">OFFSET('(계획)손익계산서 월별계획'!E24,0,$C$4-1)</f>
        <v>0</v>
      </c>
      <c r="K24" s="137">
        <f t="shared" ca="1" si="16"/>
        <v>0</v>
      </c>
      <c r="L24" s="81">
        <f ca="1">OFFSET('3. 손익계산서 월별실적'!E24,0,$C$4-1)</f>
        <v>0</v>
      </c>
      <c r="M24" s="137">
        <f t="shared" ca="1" si="17"/>
        <v>0</v>
      </c>
      <c r="N24" s="82">
        <f t="shared" ca="1" si="18"/>
        <v>0</v>
      </c>
      <c r="O24" s="82">
        <f t="shared" ca="1" si="9"/>
        <v>0</v>
      </c>
      <c r="P24" s="40"/>
      <c r="Q24" s="40"/>
    </row>
    <row r="25" spans="2:30" hidden="1" outlineLevel="1" x14ac:dyDescent="0.2">
      <c r="B25" s="87" t="s">
        <v>49</v>
      </c>
      <c r="C25" s="81">
        <f>'(계획)손익계산서 월별계획'!C25</f>
        <v>0</v>
      </c>
      <c r="D25" s="137">
        <f t="shared" ca="1" si="12"/>
        <v>0</v>
      </c>
      <c r="E25" s="81">
        <f ca="1">SUM('(계획)손익계산서 월별계획'!E25:(OFFSET('(계획)손익계산서 월별계획'!E25,0,$C$4-1)))</f>
        <v>0</v>
      </c>
      <c r="F25" s="81">
        <f ca="1">SUM('3. 손익계산서 월별실적'!E25:(OFFSET('3. 손익계산서 월별실적'!E25,0,$C$4-1)))</f>
        <v>0</v>
      </c>
      <c r="G25" s="144">
        <f t="shared" ca="1" si="1"/>
        <v>0</v>
      </c>
      <c r="H25" s="81">
        <f ca="1">OFFSET('3. 손익계산서 월별실적'!E25,0,$C$4-2)</f>
        <v>0</v>
      </c>
      <c r="I25" s="137">
        <f t="shared" ca="1" si="15"/>
        <v>0</v>
      </c>
      <c r="J25" s="81">
        <f ca="1">OFFSET('(계획)손익계산서 월별계획'!E25,0,$C$4-1)</f>
        <v>0</v>
      </c>
      <c r="K25" s="137">
        <f t="shared" ca="1" si="16"/>
        <v>0</v>
      </c>
      <c r="L25" s="81">
        <f ca="1">OFFSET('3. 손익계산서 월별실적'!E25,0,$C$4-1)</f>
        <v>0</v>
      </c>
      <c r="M25" s="137">
        <f t="shared" ca="1" si="17"/>
        <v>0</v>
      </c>
      <c r="N25" s="82">
        <f t="shared" ca="1" si="18"/>
        <v>0</v>
      </c>
      <c r="O25" s="82">
        <f t="shared" ca="1" si="9"/>
        <v>0</v>
      </c>
      <c r="P25" s="40"/>
      <c r="Q25" s="40"/>
    </row>
    <row r="26" spans="2:30" hidden="1" outlineLevel="1" x14ac:dyDescent="0.2">
      <c r="B26" s="87" t="s">
        <v>50</v>
      </c>
      <c r="C26" s="81">
        <f>'(계획)손익계산서 월별계획'!C26</f>
        <v>0</v>
      </c>
      <c r="D26" s="137">
        <f t="shared" ca="1" si="12"/>
        <v>0</v>
      </c>
      <c r="E26" s="81">
        <f ca="1">SUM('(계획)손익계산서 월별계획'!E26:(OFFSET('(계획)손익계산서 월별계획'!E26,0,$C$4-1)))</f>
        <v>0</v>
      </c>
      <c r="F26" s="81">
        <f ca="1">SUM('3. 손익계산서 월별실적'!E26:(OFFSET('3. 손익계산서 월별실적'!E26,0,$C$4-1)))</f>
        <v>0</v>
      </c>
      <c r="G26" s="144">
        <f t="shared" ca="1" si="1"/>
        <v>0</v>
      </c>
      <c r="H26" s="81">
        <f ca="1">OFFSET('3. 손익계산서 월별실적'!E26,0,$C$4-2)</f>
        <v>0</v>
      </c>
      <c r="I26" s="137">
        <f t="shared" ca="1" si="15"/>
        <v>0</v>
      </c>
      <c r="J26" s="81">
        <f ca="1">OFFSET('(계획)손익계산서 월별계획'!E26,0,$C$4-1)</f>
        <v>0</v>
      </c>
      <c r="K26" s="137">
        <f t="shared" ca="1" si="16"/>
        <v>0</v>
      </c>
      <c r="L26" s="81">
        <f ca="1">OFFSET('3. 손익계산서 월별실적'!E26,0,$C$4-1)</f>
        <v>0</v>
      </c>
      <c r="M26" s="137">
        <f t="shared" ca="1" si="17"/>
        <v>0</v>
      </c>
      <c r="N26" s="82">
        <f t="shared" ca="1" si="18"/>
        <v>0</v>
      </c>
      <c r="O26" s="82">
        <f t="shared" ca="1" si="9"/>
        <v>0</v>
      </c>
      <c r="P26" s="40"/>
      <c r="Q26" s="40"/>
    </row>
    <row r="27" spans="2:30" hidden="1" outlineLevel="1" x14ac:dyDescent="0.2">
      <c r="B27" s="87" t="s">
        <v>51</v>
      </c>
      <c r="C27" s="81">
        <f>'(계획)손익계산서 월별계획'!C27</f>
        <v>0</v>
      </c>
      <c r="D27" s="137">
        <f t="shared" ca="1" si="12"/>
        <v>0</v>
      </c>
      <c r="E27" s="81">
        <f ca="1">SUM('(계획)손익계산서 월별계획'!E27:(OFFSET('(계획)손익계산서 월별계획'!E27,0,$C$4-1)))</f>
        <v>0</v>
      </c>
      <c r="F27" s="81">
        <f ca="1">SUM('3. 손익계산서 월별실적'!E27:(OFFSET('3. 손익계산서 월별실적'!E27,0,$C$4-1)))</f>
        <v>0</v>
      </c>
      <c r="G27" s="144">
        <f t="shared" ca="1" si="1"/>
        <v>0</v>
      </c>
      <c r="H27" s="81">
        <f ca="1">OFFSET('3. 손익계산서 월별실적'!E27,0,$C$4-2)</f>
        <v>0</v>
      </c>
      <c r="I27" s="137">
        <f t="shared" ca="1" si="15"/>
        <v>0</v>
      </c>
      <c r="J27" s="81">
        <f ca="1">OFFSET('(계획)손익계산서 월별계획'!E27,0,$C$4-1)</f>
        <v>0</v>
      </c>
      <c r="K27" s="137">
        <f t="shared" ca="1" si="16"/>
        <v>0</v>
      </c>
      <c r="L27" s="81">
        <f ca="1">OFFSET('3. 손익계산서 월별실적'!E27,0,$C$4-1)</f>
        <v>0</v>
      </c>
      <c r="M27" s="137">
        <f t="shared" ca="1" si="17"/>
        <v>0</v>
      </c>
      <c r="N27" s="82">
        <f t="shared" ca="1" si="18"/>
        <v>0</v>
      </c>
      <c r="O27" s="82">
        <f t="shared" ca="1" si="9"/>
        <v>0</v>
      </c>
      <c r="P27" s="40"/>
      <c r="Q27" s="40"/>
    </row>
    <row r="28" spans="2:30" hidden="1" outlineLevel="1" x14ac:dyDescent="0.2">
      <c r="B28" s="87" t="s">
        <v>52</v>
      </c>
      <c r="C28" s="81">
        <f>'(계획)손익계산서 월별계획'!C28</f>
        <v>0</v>
      </c>
      <c r="D28" s="137">
        <f t="shared" ca="1" si="12"/>
        <v>0</v>
      </c>
      <c r="E28" s="81">
        <f ca="1">SUM('(계획)손익계산서 월별계획'!E28:(OFFSET('(계획)손익계산서 월별계획'!E28,0,$C$4-1)))</f>
        <v>0</v>
      </c>
      <c r="F28" s="81">
        <f ca="1">SUM('3. 손익계산서 월별실적'!E28:(OFFSET('3. 손익계산서 월별실적'!E28,0,$C$4-1)))</f>
        <v>0</v>
      </c>
      <c r="G28" s="144">
        <f t="shared" ca="1" si="1"/>
        <v>0</v>
      </c>
      <c r="H28" s="81">
        <f ca="1">OFFSET('3. 손익계산서 월별실적'!E28,0,$C$4-2)</f>
        <v>0</v>
      </c>
      <c r="I28" s="137">
        <f t="shared" ca="1" si="15"/>
        <v>0</v>
      </c>
      <c r="J28" s="81">
        <f ca="1">OFFSET('(계획)손익계산서 월별계획'!E28,0,$C$4-1)</f>
        <v>0</v>
      </c>
      <c r="K28" s="137">
        <f t="shared" ca="1" si="16"/>
        <v>0</v>
      </c>
      <c r="L28" s="81">
        <f ca="1">OFFSET('3. 손익계산서 월별실적'!E28,0,$C$4-1)</f>
        <v>0</v>
      </c>
      <c r="M28" s="137">
        <f t="shared" ca="1" si="17"/>
        <v>0</v>
      </c>
      <c r="N28" s="82">
        <f t="shared" ca="1" si="18"/>
        <v>0</v>
      </c>
      <c r="O28" s="82">
        <f t="shared" ca="1" si="9"/>
        <v>0</v>
      </c>
      <c r="P28" s="40"/>
      <c r="Q28" s="40"/>
    </row>
    <row r="29" spans="2:30" hidden="1" outlineLevel="1" x14ac:dyDescent="0.2">
      <c r="B29" s="87" t="s">
        <v>53</v>
      </c>
      <c r="C29" s="81">
        <f>'(계획)손익계산서 월별계획'!C29</f>
        <v>0</v>
      </c>
      <c r="D29" s="137">
        <f t="shared" ca="1" si="12"/>
        <v>0</v>
      </c>
      <c r="E29" s="81">
        <f ca="1">SUM('(계획)손익계산서 월별계획'!E29:(OFFSET('(계획)손익계산서 월별계획'!E29,0,$C$4-1)))</f>
        <v>0</v>
      </c>
      <c r="F29" s="81">
        <f ca="1">SUM('3. 손익계산서 월별실적'!E29:(OFFSET('3. 손익계산서 월별실적'!E29,0,$C$4-1)))</f>
        <v>0</v>
      </c>
      <c r="G29" s="144">
        <f t="shared" ca="1" si="1"/>
        <v>0</v>
      </c>
      <c r="H29" s="81">
        <f ca="1">OFFSET('3. 손익계산서 월별실적'!E29,0,$C$4-2)</f>
        <v>0</v>
      </c>
      <c r="I29" s="137">
        <f t="shared" ca="1" si="15"/>
        <v>0</v>
      </c>
      <c r="J29" s="81">
        <f ca="1">OFFSET('(계획)손익계산서 월별계획'!E29,0,$C$4-1)</f>
        <v>0</v>
      </c>
      <c r="K29" s="137">
        <f t="shared" ca="1" si="16"/>
        <v>0</v>
      </c>
      <c r="L29" s="81">
        <f ca="1">OFFSET('3. 손익계산서 월별실적'!E29,0,$C$4-1)</f>
        <v>0</v>
      </c>
      <c r="M29" s="137">
        <f t="shared" ca="1" si="17"/>
        <v>0</v>
      </c>
      <c r="N29" s="82">
        <f t="shared" ca="1" si="18"/>
        <v>0</v>
      </c>
      <c r="O29" s="82">
        <f t="shared" ca="1" si="9"/>
        <v>0</v>
      </c>
      <c r="P29" s="40"/>
      <c r="Q29" s="40"/>
    </row>
    <row r="30" spans="2:30" hidden="1" outlineLevel="1" x14ac:dyDescent="0.2">
      <c r="B30" s="87" t="s">
        <v>54</v>
      </c>
      <c r="C30" s="81">
        <f>'(계획)손익계산서 월별계획'!C30</f>
        <v>0</v>
      </c>
      <c r="D30" s="137">
        <f t="shared" ca="1" si="12"/>
        <v>0</v>
      </c>
      <c r="E30" s="81">
        <f ca="1">SUM('(계획)손익계산서 월별계획'!E30:(OFFSET('(계획)손익계산서 월별계획'!E30,0,$C$4-1)))</f>
        <v>0</v>
      </c>
      <c r="F30" s="81">
        <f ca="1">SUM('3. 손익계산서 월별실적'!E30:(OFFSET('3. 손익계산서 월별실적'!E30,0,$C$4-1)))</f>
        <v>0</v>
      </c>
      <c r="G30" s="144">
        <f t="shared" ca="1" si="1"/>
        <v>0</v>
      </c>
      <c r="H30" s="81">
        <f ca="1">OFFSET('3. 손익계산서 월별실적'!E30,0,$C$4-2)</f>
        <v>0</v>
      </c>
      <c r="I30" s="137">
        <f t="shared" ca="1" si="15"/>
        <v>0</v>
      </c>
      <c r="J30" s="81">
        <f ca="1">OFFSET('(계획)손익계산서 월별계획'!E30,0,$C$4-1)</f>
        <v>0</v>
      </c>
      <c r="K30" s="137">
        <f t="shared" ca="1" si="16"/>
        <v>0</v>
      </c>
      <c r="L30" s="81">
        <f ca="1">OFFSET('3. 손익계산서 월별실적'!E30,0,$C$4-1)</f>
        <v>0</v>
      </c>
      <c r="M30" s="137">
        <f t="shared" ca="1" si="17"/>
        <v>0</v>
      </c>
      <c r="N30" s="82">
        <f t="shared" ca="1" si="18"/>
        <v>0</v>
      </c>
      <c r="O30" s="82">
        <f t="shared" ca="1" si="9"/>
        <v>0</v>
      </c>
      <c r="P30" s="40"/>
      <c r="Q30" s="40"/>
    </row>
    <row r="31" spans="2:30" hidden="1" outlineLevel="1" x14ac:dyDescent="0.2">
      <c r="B31" s="87" t="s">
        <v>55</v>
      </c>
      <c r="C31" s="81">
        <f>'(계획)손익계산서 월별계획'!C31</f>
        <v>0</v>
      </c>
      <c r="D31" s="137">
        <f t="shared" ca="1" si="12"/>
        <v>0</v>
      </c>
      <c r="E31" s="81">
        <f ca="1">SUM('(계획)손익계산서 월별계획'!E31:(OFFSET('(계획)손익계산서 월별계획'!E31,0,$C$4-1)))</f>
        <v>0</v>
      </c>
      <c r="F31" s="81">
        <f ca="1">SUM('3. 손익계산서 월별실적'!E31:(OFFSET('3. 손익계산서 월별실적'!E31,0,$C$4-1)))</f>
        <v>0</v>
      </c>
      <c r="G31" s="144">
        <f t="shared" ca="1" si="1"/>
        <v>0</v>
      </c>
      <c r="H31" s="81">
        <f ca="1">OFFSET('3. 손익계산서 월별실적'!E31,0,$C$4-2)</f>
        <v>0</v>
      </c>
      <c r="I31" s="137">
        <f t="shared" ca="1" si="15"/>
        <v>0</v>
      </c>
      <c r="J31" s="81">
        <f ca="1">OFFSET('(계획)손익계산서 월별계획'!E31,0,$C$4-1)</f>
        <v>0</v>
      </c>
      <c r="K31" s="137">
        <f t="shared" ca="1" si="16"/>
        <v>0</v>
      </c>
      <c r="L31" s="81">
        <f ca="1">OFFSET('3. 손익계산서 월별실적'!E31,0,$C$4-1)</f>
        <v>0</v>
      </c>
      <c r="M31" s="137">
        <f t="shared" ca="1" si="17"/>
        <v>0</v>
      </c>
      <c r="N31" s="82">
        <f t="shared" ca="1" si="18"/>
        <v>0</v>
      </c>
      <c r="O31" s="82">
        <f t="shared" ca="1" si="9"/>
        <v>0</v>
      </c>
      <c r="P31" s="40"/>
      <c r="Q31" s="40"/>
    </row>
    <row r="32" spans="2:30" hidden="1" outlineLevel="1" x14ac:dyDescent="0.2">
      <c r="B32" s="87" t="s">
        <v>56</v>
      </c>
      <c r="C32" s="81">
        <f>'(계획)손익계산서 월별계획'!C32</f>
        <v>0</v>
      </c>
      <c r="D32" s="137">
        <f t="shared" ca="1" si="12"/>
        <v>0</v>
      </c>
      <c r="E32" s="81">
        <f ca="1">SUM('(계획)손익계산서 월별계획'!E32:(OFFSET('(계획)손익계산서 월별계획'!E32,0,$C$4-1)))</f>
        <v>0</v>
      </c>
      <c r="F32" s="81">
        <f ca="1">SUM('3. 손익계산서 월별실적'!E32:(OFFSET('3. 손익계산서 월별실적'!E32,0,$C$4-1)))</f>
        <v>0</v>
      </c>
      <c r="G32" s="144">
        <f t="shared" ca="1" si="1"/>
        <v>0</v>
      </c>
      <c r="H32" s="81">
        <f ca="1">OFFSET('3. 손익계산서 월별실적'!E32,0,$C$4-2)</f>
        <v>0</v>
      </c>
      <c r="I32" s="137">
        <f t="shared" ca="1" si="15"/>
        <v>0</v>
      </c>
      <c r="J32" s="81">
        <f ca="1">OFFSET('(계획)손익계산서 월별계획'!E32,0,$C$4-1)</f>
        <v>0</v>
      </c>
      <c r="K32" s="137">
        <f t="shared" ca="1" si="16"/>
        <v>0</v>
      </c>
      <c r="L32" s="81">
        <f ca="1">OFFSET('3. 손익계산서 월별실적'!E32,0,$C$4-1)</f>
        <v>0</v>
      </c>
      <c r="M32" s="137">
        <f t="shared" ca="1" si="17"/>
        <v>0</v>
      </c>
      <c r="N32" s="82">
        <f t="shared" ca="1" si="18"/>
        <v>0</v>
      </c>
      <c r="O32" s="82">
        <f t="shared" ca="1" si="9"/>
        <v>0</v>
      </c>
      <c r="P32" s="40"/>
      <c r="Q32" s="40"/>
    </row>
    <row r="33" spans="2:17" s="40" customFormat="1" hidden="1" outlineLevel="1" x14ac:dyDescent="0.2">
      <c r="B33" s="87" t="s">
        <v>57</v>
      </c>
      <c r="C33" s="81">
        <f>'(계획)손익계산서 월별계획'!C33</f>
        <v>0</v>
      </c>
      <c r="D33" s="137">
        <f t="shared" ca="1" si="12"/>
        <v>0</v>
      </c>
      <c r="E33" s="81">
        <f ca="1">SUM('(계획)손익계산서 월별계획'!E33:(OFFSET('(계획)손익계산서 월별계획'!E33,0,$C$4-1)))</f>
        <v>0</v>
      </c>
      <c r="F33" s="81">
        <f ca="1">SUM('3. 손익계산서 월별실적'!E33:(OFFSET('3. 손익계산서 월별실적'!E33,0,$C$4-1)))</f>
        <v>0</v>
      </c>
      <c r="G33" s="144">
        <f t="shared" ca="1" si="1"/>
        <v>0</v>
      </c>
      <c r="H33" s="81">
        <f ca="1">OFFSET('3. 손익계산서 월별실적'!E33,0,$C$4-2)</f>
        <v>0</v>
      </c>
      <c r="I33" s="137">
        <f t="shared" ca="1" si="15"/>
        <v>0</v>
      </c>
      <c r="J33" s="81">
        <f ca="1">OFFSET('(계획)손익계산서 월별계획'!E33,0,$C$4-1)</f>
        <v>0</v>
      </c>
      <c r="K33" s="137">
        <f t="shared" ca="1" si="16"/>
        <v>0</v>
      </c>
      <c r="L33" s="81">
        <f ca="1">OFFSET('3. 손익계산서 월별실적'!E33,0,$C$4-1)</f>
        <v>0</v>
      </c>
      <c r="M33" s="137">
        <f t="shared" ca="1" si="17"/>
        <v>0</v>
      </c>
      <c r="N33" s="82">
        <f t="shared" ca="1" si="18"/>
        <v>0</v>
      </c>
      <c r="O33" s="82">
        <f t="shared" ca="1" si="9"/>
        <v>0</v>
      </c>
    </row>
    <row r="34" spans="2:17" s="41" customFormat="1" ht="9.6" hidden="1" customHeight="1" outlineLevel="1" x14ac:dyDescent="0.2">
      <c r="B34" s="88"/>
      <c r="C34" s="89"/>
      <c r="D34" s="141"/>
      <c r="E34" s="81"/>
      <c r="F34" s="81"/>
      <c r="G34" s="146"/>
      <c r="H34" s="81"/>
      <c r="I34" s="141"/>
      <c r="J34" s="81"/>
      <c r="K34" s="137"/>
      <c r="L34" s="81"/>
      <c r="M34" s="137"/>
      <c r="N34" s="82"/>
      <c r="O34" s="82"/>
      <c r="P34" s="40"/>
      <c r="Q34" s="40"/>
    </row>
    <row r="35" spans="2:17" s="40" customFormat="1" ht="16.5" collapsed="1" x14ac:dyDescent="0.2">
      <c r="B35" s="84" t="s">
        <v>17</v>
      </c>
      <c r="C35" s="85">
        <f>SUM(C36:C51)</f>
        <v>9264881.1170671303</v>
      </c>
      <c r="D35" s="140">
        <f t="shared" ref="D35:D67" ca="1" si="19">+IFERROR(F35/C35,)</f>
        <v>7.5037786369359913E-2</v>
      </c>
      <c r="E35" s="85">
        <f ca="1">SUM(E36:E51)</f>
        <v>803460.50618084788</v>
      </c>
      <c r="F35" s="85">
        <f ca="1">SUM(F36:F51)</f>
        <v>695216.16999999993</v>
      </c>
      <c r="G35" s="145">
        <f t="shared" ca="1" si="1"/>
        <v>0.86527734051873406</v>
      </c>
      <c r="H35" s="85">
        <f ca="1">SUM(H36:H51)</f>
        <v>804702.94999999984</v>
      </c>
      <c r="I35" s="140">
        <f t="shared" ca="1" si="15"/>
        <v>8.1749399486727187E-2</v>
      </c>
      <c r="J35" s="85">
        <f ca="1">SUM(J36:J51)</f>
        <v>803460.50618084788</v>
      </c>
      <c r="K35" s="140">
        <f t="shared" ca="1" si="16"/>
        <v>5.6524788557718399E-2</v>
      </c>
      <c r="L35" s="85">
        <f ca="1">SUM(L36:L51)</f>
        <v>695216.16999999993</v>
      </c>
      <c r="M35" s="140">
        <f t="shared" ca="1" si="17"/>
        <v>5.5608485794178458E-2</v>
      </c>
      <c r="N35" s="86">
        <f t="shared" ca="1" si="18"/>
        <v>0.8639413711606253</v>
      </c>
      <c r="O35" s="86">
        <f t="shared" ca="1" si="9"/>
        <v>0.86527734051873406</v>
      </c>
    </row>
    <row r="36" spans="2:17" x14ac:dyDescent="0.2">
      <c r="B36" s="90" t="s">
        <v>58</v>
      </c>
      <c r="C36" s="81">
        <f>'(계획)손익계산서 월별계획'!C36</f>
        <v>4201174.0856666658</v>
      </c>
      <c r="D36" s="137">
        <f t="shared" ca="1" si="19"/>
        <v>7.7512984075337299E-2</v>
      </c>
      <c r="E36" s="81">
        <f ca="1">SUM('(계획)손익계산서 월별계획'!E36:(OFFSET('(계획)손익계산서 월별계획'!E36,0,$C$4-1)))</f>
        <v>347317.40366666671</v>
      </c>
      <c r="F36" s="81">
        <f ca="1">SUM('3. 손익계산서 월별실적'!E36:(OFFSET('3. 손익계산서 월별실적'!E36,0,$C$4-1)))</f>
        <v>325645.53999999998</v>
      </c>
      <c r="G36" s="144">
        <f t="shared" ca="1" si="1"/>
        <v>0.93760213730186115</v>
      </c>
      <c r="H36" s="81">
        <f ca="1">OFFSET('3. 손익계산서 월별실적'!E36,0,$C$4-2)</f>
        <v>138875.91999999998</v>
      </c>
      <c r="I36" s="137">
        <f t="shared" ca="1" si="15"/>
        <v>1.4108340305160765E-2</v>
      </c>
      <c r="J36" s="81">
        <f ca="1">OFFSET('(계획)손익계산서 월별계획'!E36,0,$C$4-1)</f>
        <v>347317.40366666671</v>
      </c>
      <c r="K36" s="137">
        <f t="shared" ca="1" si="16"/>
        <v>2.4434359441004264E-2</v>
      </c>
      <c r="L36" s="81">
        <f ca="1">OFFSET('3. 손익계산서 월별실적'!E36,0,$C$4-1)</f>
        <v>325645.53999999998</v>
      </c>
      <c r="M36" s="137">
        <f t="shared" ca="1" si="17"/>
        <v>2.60475175441152E-2</v>
      </c>
      <c r="N36" s="82">
        <f t="shared" ca="1" si="18"/>
        <v>2.3448668422862653</v>
      </c>
      <c r="O36" s="82">
        <f t="shared" ca="1" si="9"/>
        <v>0.93760213730186115</v>
      </c>
      <c r="P36" s="40"/>
      <c r="Q36" s="40"/>
    </row>
    <row r="37" spans="2:17" x14ac:dyDescent="0.2">
      <c r="B37" s="90" t="s">
        <v>59</v>
      </c>
      <c r="C37" s="81">
        <f>'(계획)손익계산서 월별계획'!C37</f>
        <v>132669.69735</v>
      </c>
      <c r="D37" s="137">
        <f t="shared" ca="1" si="19"/>
        <v>9.7643623666561416E-2</v>
      </c>
      <c r="E37" s="81">
        <f ca="1">SUM('(계획)손익계산서 월별계획'!E37:(OFFSET('(계획)손익계산서 월별계획'!E37,0,$C$4-1)))</f>
        <v>11055.808112499997</v>
      </c>
      <c r="F37" s="81">
        <f ca="1">SUM('3. 손익계산서 월별실적'!E37:(OFFSET('3. 손익계산서 월별실적'!E37,0,$C$4-1)))</f>
        <v>12954.35</v>
      </c>
      <c r="G37" s="144">
        <f t="shared" ca="1" si="1"/>
        <v>1.1717234839987374</v>
      </c>
      <c r="H37" s="81">
        <f ca="1">OFFSET('3. 손익계산서 월별실적'!E37,0,$C$4-2)</f>
        <v>10657.369999999999</v>
      </c>
      <c r="I37" s="137">
        <f t="shared" ca="1" si="15"/>
        <v>1.0826772756429709E-3</v>
      </c>
      <c r="J37" s="81">
        <f ca="1">OFFSET('(계획)손익계산서 월별계획'!E37,0,$C$4-1)</f>
        <v>11055.808112499997</v>
      </c>
      <c r="K37" s="137">
        <f t="shared" ca="1" si="16"/>
        <v>7.7779456623734483E-4</v>
      </c>
      <c r="L37" s="81">
        <f ca="1">OFFSET('3. 손익계산서 월별실적'!E37,0,$C$4-1)</f>
        <v>12954.35</v>
      </c>
      <c r="M37" s="137">
        <f t="shared" ca="1" si="17"/>
        <v>1.0361838792498394E-3</v>
      </c>
      <c r="N37" s="82">
        <f t="shared" ca="1" si="18"/>
        <v>1.2155297226238746</v>
      </c>
      <c r="O37" s="82">
        <f t="shared" ca="1" si="9"/>
        <v>1.1717234839987374</v>
      </c>
      <c r="P37" s="40"/>
      <c r="Q37" s="40"/>
    </row>
    <row r="38" spans="2:17" x14ac:dyDescent="0.2">
      <c r="B38" s="90" t="s">
        <v>60</v>
      </c>
      <c r="C38" s="81">
        <f>'(계획)손익계산서 월별계획'!C38</f>
        <v>976247.63005399983</v>
      </c>
      <c r="D38" s="137">
        <f t="shared" ca="1" si="19"/>
        <v>2.9332936765660598E-2</v>
      </c>
      <c r="E38" s="81">
        <f ca="1">SUM('(계획)손익계산서 월별계획'!E38:(OFFSET('(계획)손익계산서 월별계획'!E38,0,$C$4-1)))</f>
        <v>78054.84647983333</v>
      </c>
      <c r="F38" s="81">
        <f ca="1">SUM('3. 손익계산서 월별실적'!E38:(OFFSET('3. 손익계산서 월별실적'!E38,0,$C$4-1)))</f>
        <v>28636.21</v>
      </c>
      <c r="G38" s="144">
        <f t="shared" ca="1" si="1"/>
        <v>0.36687292706928332</v>
      </c>
      <c r="H38" s="81">
        <f ca="1">OFFSET('3. 손익계산서 월별실적'!E38,0,$C$4-2)</f>
        <v>27643.34</v>
      </c>
      <c r="I38" s="137">
        <f t="shared" ca="1" si="15"/>
        <v>2.8082740902185405E-3</v>
      </c>
      <c r="J38" s="81">
        <f ca="1">OFFSET('(계획)손익계산서 월별계획'!E38,0,$C$4-1)</f>
        <v>78054.84647983333</v>
      </c>
      <c r="K38" s="137">
        <f t="shared" ca="1" si="16"/>
        <v>5.4912888178534338E-3</v>
      </c>
      <c r="L38" s="81">
        <f ca="1">OFFSET('3. 손익계산서 월별실적'!E38,0,$C$4-1)</f>
        <v>28636.21</v>
      </c>
      <c r="M38" s="137">
        <f t="shared" ca="1" si="17"/>
        <v>2.2905340032354417E-3</v>
      </c>
      <c r="N38" s="82">
        <f t="shared" ca="1" si="18"/>
        <v>1.0359171503877607</v>
      </c>
      <c r="O38" s="82">
        <f t="shared" ca="1" si="9"/>
        <v>0.36687292706928332</v>
      </c>
      <c r="P38" s="40"/>
      <c r="Q38" s="40"/>
    </row>
    <row r="39" spans="2:17" x14ac:dyDescent="0.2">
      <c r="B39" s="90" t="s">
        <v>61</v>
      </c>
      <c r="C39" s="81">
        <f>'(계획)손익계산서 월별계획'!C39</f>
        <v>262838.82915499998</v>
      </c>
      <c r="D39" s="137">
        <f t="shared" ca="1" si="19"/>
        <v>9.0337109156721079E-3</v>
      </c>
      <c r="E39" s="81">
        <f ca="1">SUM('(계획)손익계산서 월별계획'!E39:(OFFSET('(계획)손익계산서 월별계획'!E39,0,$C$4-1)))</f>
        <v>21427.875962916663</v>
      </c>
      <c r="F39" s="81">
        <f ca="1">SUM('3. 손익계산서 월별실적'!E39:(OFFSET('3. 손익계산서 월별실적'!E39,0,$C$4-1)))</f>
        <v>2374.41</v>
      </c>
      <c r="G39" s="144">
        <f t="shared" ca="1" si="1"/>
        <v>0.11080939632603726</v>
      </c>
      <c r="H39" s="81">
        <f ca="1">OFFSET('3. 손익계산서 월별실적'!E39,0,$C$4-2)</f>
        <v>3221.41</v>
      </c>
      <c r="I39" s="137">
        <f t="shared" ca="1" si="15"/>
        <v>3.2726154787992E-4</v>
      </c>
      <c r="J39" s="81">
        <f ca="1">OFFSET('(계획)손익계산서 월별계획'!E39,0,$C$4-1)</f>
        <v>21427.875962916663</v>
      </c>
      <c r="K39" s="137">
        <f t="shared" ca="1" si="16"/>
        <v>1.507486863047199E-3</v>
      </c>
      <c r="L39" s="81">
        <f ca="1">OFFSET('3. 손익계산서 월별실적'!E39,0,$C$4-1)</f>
        <v>2374.41</v>
      </c>
      <c r="M39" s="137">
        <f t="shared" ca="1" si="17"/>
        <v>1.8992271821663078E-4</v>
      </c>
      <c r="N39" s="82">
        <f t="shared" ca="1" si="18"/>
        <v>0.73707165495854299</v>
      </c>
      <c r="O39" s="82">
        <f t="shared" ca="1" si="9"/>
        <v>0.11080939632603726</v>
      </c>
      <c r="P39" s="40"/>
      <c r="Q39" s="40"/>
    </row>
    <row r="40" spans="2:17" x14ac:dyDescent="0.2">
      <c r="B40" s="90" t="s">
        <v>62</v>
      </c>
      <c r="C40" s="81">
        <f>'(계획)손익계산서 월별계획'!C40</f>
        <v>0</v>
      </c>
      <c r="D40" s="137">
        <f t="shared" ca="1" si="19"/>
        <v>0</v>
      </c>
      <c r="E40" s="81">
        <f ca="1">SUM('(계획)손익계산서 월별계획'!E40:(OFFSET('(계획)손익계산서 월별계획'!E40,0,$C$4-1)))</f>
        <v>0</v>
      </c>
      <c r="F40" s="81">
        <f ca="1">SUM('3. 손익계산서 월별실적'!E40:(OFFSET('3. 손익계산서 월별실적'!E40,0,$C$4-1)))</f>
        <v>58276.9</v>
      </c>
      <c r="G40" s="144">
        <f t="shared" ca="1" si="1"/>
        <v>0</v>
      </c>
      <c r="H40" s="81">
        <f ca="1">OFFSET('3. 손익계산서 월별실적'!E40,0,$C$4-2)</f>
        <v>25846.870000000003</v>
      </c>
      <c r="I40" s="137">
        <f t="shared" ca="1" si="15"/>
        <v>2.625771536082358E-3</v>
      </c>
      <c r="J40" s="81">
        <f ca="1">OFFSET('(계획)손익계산서 월별계획'!E40,0,$C$4-1)</f>
        <v>0</v>
      </c>
      <c r="K40" s="137">
        <f t="shared" ca="1" si="16"/>
        <v>0</v>
      </c>
      <c r="L40" s="81">
        <f ca="1">OFFSET('3. 손익계산서 월별실적'!E40,0,$C$4-1)</f>
        <v>58276.9</v>
      </c>
      <c r="M40" s="137">
        <f t="shared" ca="1" si="17"/>
        <v>4.6614136805517041E-3</v>
      </c>
      <c r="N40" s="82">
        <f t="shared" ca="1" si="18"/>
        <v>2.2546985379661058</v>
      </c>
      <c r="O40" s="82">
        <f t="shared" ca="1" si="9"/>
        <v>0</v>
      </c>
      <c r="P40" s="40"/>
      <c r="Q40" s="40"/>
    </row>
    <row r="41" spans="2:17" x14ac:dyDescent="0.2">
      <c r="B41" s="90" t="s">
        <v>63</v>
      </c>
      <c r="C41" s="81">
        <f>'(계획)손익계산서 월별계획'!C41</f>
        <v>0</v>
      </c>
      <c r="D41" s="137">
        <f t="shared" ca="1" si="19"/>
        <v>0</v>
      </c>
      <c r="E41" s="81">
        <f ca="1">SUM('(계획)손익계산서 월별계획'!E41:(OFFSET('(계획)손익계산서 월별계획'!E41,0,$C$4-1)))</f>
        <v>0</v>
      </c>
      <c r="F41" s="81">
        <f ca="1">SUM('3. 손익계산서 월별실적'!E41:(OFFSET('3. 손익계산서 월별실적'!E41,0,$C$4-1)))</f>
        <v>0</v>
      </c>
      <c r="G41" s="144">
        <f t="shared" ca="1" si="1"/>
        <v>0</v>
      </c>
      <c r="H41" s="81">
        <f ca="1">OFFSET('3. 손익계산서 월별실적'!E41,0,$C$4-2)</f>
        <v>0</v>
      </c>
      <c r="I41" s="137">
        <f t="shared" ca="1" si="15"/>
        <v>0</v>
      </c>
      <c r="J41" s="81">
        <f ca="1">OFFSET('(계획)손익계산서 월별계획'!E41,0,$C$4-1)</f>
        <v>0</v>
      </c>
      <c r="K41" s="137">
        <f t="shared" ca="1" si="16"/>
        <v>0</v>
      </c>
      <c r="L41" s="81">
        <f ca="1">OFFSET('3. 손익계산서 월별실적'!E41,0,$C$4-1)</f>
        <v>0</v>
      </c>
      <c r="M41" s="137">
        <f t="shared" ca="1" si="17"/>
        <v>0</v>
      </c>
      <c r="N41" s="82">
        <f t="shared" ca="1" si="18"/>
        <v>0</v>
      </c>
      <c r="O41" s="82">
        <f t="shared" ca="1" si="9"/>
        <v>0</v>
      </c>
      <c r="P41" s="40"/>
      <c r="Q41" s="40"/>
    </row>
    <row r="42" spans="2:17" x14ac:dyDescent="0.2">
      <c r="B42" s="90" t="s">
        <v>64</v>
      </c>
      <c r="C42" s="81">
        <f>'(계획)손익계산서 월별계획'!C42</f>
        <v>0</v>
      </c>
      <c r="D42" s="137">
        <f t="shared" ca="1" si="19"/>
        <v>0</v>
      </c>
      <c r="E42" s="81">
        <f ca="1">SUM('(계획)손익계산서 월별계획'!E42:(OFFSET('(계획)손익계산서 월별계획'!E42,0,$C$4-1)))</f>
        <v>0</v>
      </c>
      <c r="F42" s="81">
        <f ca="1">SUM('3. 손익계산서 월별실적'!E42:(OFFSET('3. 손익계산서 월별실적'!E42,0,$C$4-1)))</f>
        <v>4997.2299999999996</v>
      </c>
      <c r="G42" s="144">
        <f t="shared" ca="1" si="1"/>
        <v>0</v>
      </c>
      <c r="H42" s="81">
        <f ca="1">OFFSET('3. 손익계산서 월별실적'!E42,0,$C$4-2)</f>
        <v>7379.83</v>
      </c>
      <c r="I42" s="137">
        <f t="shared" ca="1" si="15"/>
        <v>7.4971350709492741E-4</v>
      </c>
      <c r="J42" s="81">
        <f ca="1">OFFSET('(계획)손익계산서 월별계획'!E42,0,$C$4-1)</f>
        <v>0</v>
      </c>
      <c r="K42" s="137">
        <f t="shared" ca="1" si="16"/>
        <v>0</v>
      </c>
      <c r="L42" s="81">
        <f ca="1">OFFSET('3. 손익계산서 월별실적'!E42,0,$C$4-1)</f>
        <v>4997.2299999999996</v>
      </c>
      <c r="M42" s="137">
        <f t="shared" ca="1" si="17"/>
        <v>3.9971508928689394E-4</v>
      </c>
      <c r="N42" s="82">
        <f t="shared" ca="1" si="18"/>
        <v>0.67714703455228642</v>
      </c>
      <c r="O42" s="82">
        <f t="shared" ca="1" si="9"/>
        <v>0</v>
      </c>
      <c r="P42" s="40"/>
      <c r="Q42" s="40"/>
    </row>
    <row r="43" spans="2:17" x14ac:dyDescent="0.2">
      <c r="B43" s="90" t="s">
        <v>65</v>
      </c>
      <c r="C43" s="81">
        <f>'(계획)손익계산서 월별계획'!C43</f>
        <v>3243763.7468164661</v>
      </c>
      <c r="D43" s="137">
        <f t="shared" ca="1" si="19"/>
        <v>6.9402760981266298E-2</v>
      </c>
      <c r="E43" s="81">
        <f ca="1">SUM('(계획)손익계산서 월별계획'!E43:(OFFSET('(계획)손익계산서 월별계획'!E43,0,$C$4-1)))</f>
        <v>308110.75795684796</v>
      </c>
      <c r="F43" s="81">
        <f ca="1">SUM('3. 손익계산서 월별실적'!E43:(OFFSET('3. 손익계산서 월별실적'!E43,0,$C$4-1)))</f>
        <v>225126.16</v>
      </c>
      <c r="G43" s="144">
        <f t="shared" ca="1" si="1"/>
        <v>0.73066634054864699</v>
      </c>
      <c r="H43" s="81">
        <f ca="1">OFFSET('3. 손익계산서 월별실적'!E43,0,$C$4-2)</f>
        <v>227988.19</v>
      </c>
      <c r="I43" s="137">
        <f t="shared" ca="1" si="15"/>
        <v>2.3161214486122943E-2</v>
      </c>
      <c r="J43" s="81">
        <f ca="1">OFFSET('(계획)손익계산서 월별계획'!E43,0,$C$4-1)</f>
        <v>308110.75795684796</v>
      </c>
      <c r="K43" s="137">
        <f t="shared" ca="1" si="16"/>
        <v>2.1676106431980747E-2</v>
      </c>
      <c r="L43" s="81">
        <f ca="1">OFFSET('3. 손익계산서 월별실적'!E43,0,$C$4-1)</f>
        <v>225126.16</v>
      </c>
      <c r="M43" s="137">
        <f t="shared" ca="1" si="17"/>
        <v>1.8007240640357875E-2</v>
      </c>
      <c r="N43" s="82">
        <f t="shared" ca="1" si="18"/>
        <v>0.98744658659731455</v>
      </c>
      <c r="O43" s="82">
        <f t="shared" ca="1" si="9"/>
        <v>0.73066634054864699</v>
      </c>
      <c r="P43" s="40"/>
      <c r="Q43" s="40"/>
    </row>
    <row r="44" spans="2:17" x14ac:dyDescent="0.2">
      <c r="B44" s="90" t="s">
        <v>66</v>
      </c>
      <c r="C44" s="81">
        <f>'(계획)손익계산서 월별계획'!C44</f>
        <v>191128.12870000003</v>
      </c>
      <c r="D44" s="137">
        <f t="shared" ca="1" si="19"/>
        <v>9.6788317480136554E-2</v>
      </c>
      <c r="E44" s="81">
        <f ca="1">SUM('(계획)손익계산서 월별계획'!E44:(OFFSET('(계획)손익계산서 월별계획'!E44,0,$C$4-1)))</f>
        <v>15927.344058333334</v>
      </c>
      <c r="F44" s="81">
        <f ca="1">SUM('3. 손익계산서 월별실적'!E44:(OFFSET('3. 손익계산서 월별실적'!E44,0,$C$4-1)))</f>
        <v>18498.97</v>
      </c>
      <c r="G44" s="144">
        <f t="shared" ca="1" si="1"/>
        <v>1.1614598097616387</v>
      </c>
      <c r="H44" s="81">
        <f ca="1">OFFSET('3. 손익계산서 월별실적'!E44,0,$C$4-2)</f>
        <v>15159.41</v>
      </c>
      <c r="I44" s="137">
        <f t="shared" ca="1" si="15"/>
        <v>1.5400374312944762E-3</v>
      </c>
      <c r="J44" s="81">
        <f ca="1">OFFSET('(계획)손익계산서 월별계획'!E44,0,$C$4-1)</f>
        <v>15927.344058333334</v>
      </c>
      <c r="K44" s="137">
        <f t="shared" ca="1" si="16"/>
        <v>1.1205152565155222E-3</v>
      </c>
      <c r="L44" s="81">
        <f ca="1">OFFSET('3. 손익계산서 월별실적'!E44,0,$C$4-1)</f>
        <v>18498.97</v>
      </c>
      <c r="M44" s="137">
        <f t="shared" ca="1" si="17"/>
        <v>1.4796832335645094E-3</v>
      </c>
      <c r="N44" s="82">
        <f t="shared" ca="1" si="18"/>
        <v>1.2202961724763695</v>
      </c>
      <c r="O44" s="82">
        <f t="shared" ca="1" si="9"/>
        <v>1.1614598097616387</v>
      </c>
      <c r="P44" s="40"/>
      <c r="Q44" s="40"/>
    </row>
    <row r="45" spans="2:17" x14ac:dyDescent="0.2">
      <c r="B45" s="90" t="s">
        <v>67</v>
      </c>
      <c r="C45" s="81">
        <f>'(계획)손익계산서 월별계획'!C45</f>
        <v>0</v>
      </c>
      <c r="D45" s="137">
        <f t="shared" ca="1" si="19"/>
        <v>0</v>
      </c>
      <c r="E45" s="81">
        <f ca="1">SUM('(계획)손익계산서 월별계획'!E45:(OFFSET('(계획)손익계산서 월별계획'!E45,0,$C$4-1)))</f>
        <v>0</v>
      </c>
      <c r="F45" s="81">
        <f ca="1">SUM('3. 손익계산서 월별실적'!E45:(OFFSET('3. 손익계산서 월별실적'!E45,0,$C$4-1)))</f>
        <v>5419.12</v>
      </c>
      <c r="G45" s="144">
        <f t="shared" ca="1" si="1"/>
        <v>0</v>
      </c>
      <c r="H45" s="81">
        <f ca="1">OFFSET('3. 손익계산서 월별실적'!E45,0,$C$4-2)</f>
        <v>26706.26</v>
      </c>
      <c r="I45" s="137">
        <f t="shared" ca="1" si="15"/>
        <v>2.7130765676159174E-3</v>
      </c>
      <c r="J45" s="81">
        <f ca="1">OFFSET('(계획)손익계산서 월별계획'!E45,0,$C$4-1)</f>
        <v>0</v>
      </c>
      <c r="K45" s="137">
        <f t="shared" ca="1" si="16"/>
        <v>0</v>
      </c>
      <c r="L45" s="81">
        <f ca="1">OFFSET('3. 손익계산서 월별실적'!E45,0,$C$4-1)</f>
        <v>5419.12</v>
      </c>
      <c r="M45" s="137">
        <f t="shared" ca="1" si="17"/>
        <v>4.3346094429441766E-4</v>
      </c>
      <c r="N45" s="82">
        <f t="shared" ca="1" si="18"/>
        <v>0.20291572088341836</v>
      </c>
      <c r="O45" s="82">
        <f t="shared" ca="1" si="9"/>
        <v>0</v>
      </c>
      <c r="P45" s="40"/>
      <c r="Q45" s="40"/>
    </row>
    <row r="46" spans="2:17" x14ac:dyDescent="0.2">
      <c r="B46" s="90" t="s">
        <v>68</v>
      </c>
      <c r="C46" s="81">
        <f>'(계획)손익계산서 월별계획'!C46</f>
        <v>0</v>
      </c>
      <c r="D46" s="137">
        <f t="shared" ca="1" si="19"/>
        <v>0</v>
      </c>
      <c r="E46" s="81">
        <f ca="1">SUM('(계획)손익계산서 월별계획'!E46:(OFFSET('(계획)손익계산서 월별계획'!E46,0,$C$4-1)))</f>
        <v>0</v>
      </c>
      <c r="F46" s="81">
        <f ca="1">SUM('3. 손익계산서 월별실적'!E46:(OFFSET('3. 손익계산서 월별실적'!E46,0,$C$4-1)))</f>
        <v>0</v>
      </c>
      <c r="G46" s="144">
        <f t="shared" ca="1" si="1"/>
        <v>0</v>
      </c>
      <c r="H46" s="81">
        <f ca="1">OFFSET('3. 손익계산서 월별실적'!E46,0,$C$4-2)</f>
        <v>0</v>
      </c>
      <c r="I46" s="137">
        <f t="shared" ca="1" si="15"/>
        <v>0</v>
      </c>
      <c r="J46" s="81">
        <f ca="1">OFFSET('(계획)손익계산서 월별계획'!E46,0,$C$4-1)</f>
        <v>0</v>
      </c>
      <c r="K46" s="137">
        <f t="shared" ca="1" si="16"/>
        <v>0</v>
      </c>
      <c r="L46" s="81">
        <f ca="1">OFFSET('3. 손익계산서 월별실적'!E46,0,$C$4-1)</f>
        <v>0</v>
      </c>
      <c r="M46" s="137">
        <f t="shared" ca="1" si="17"/>
        <v>0</v>
      </c>
      <c r="N46" s="82">
        <f t="shared" ca="1" si="18"/>
        <v>0</v>
      </c>
      <c r="O46" s="82">
        <f t="shared" ca="1" si="9"/>
        <v>0</v>
      </c>
      <c r="P46" s="40"/>
      <c r="Q46" s="40"/>
    </row>
    <row r="47" spans="2:17" x14ac:dyDescent="0.2">
      <c r="B47" s="90" t="s">
        <v>69</v>
      </c>
      <c r="C47" s="81">
        <f>'(계획)손익계산서 월별계획'!C47</f>
        <v>0</v>
      </c>
      <c r="D47" s="137">
        <f t="shared" ca="1" si="19"/>
        <v>0</v>
      </c>
      <c r="E47" s="81">
        <f ca="1">SUM('(계획)손익계산서 월별계획'!E47:(OFFSET('(계획)손익계산서 월별계획'!E47,0,$C$4-1)))</f>
        <v>0</v>
      </c>
      <c r="F47" s="81">
        <f ca="1">SUM('3. 손익계산서 월별실적'!E47:(OFFSET('3. 손익계산서 월별실적'!E47,0,$C$4-1)))</f>
        <v>0</v>
      </c>
      <c r="G47" s="144">
        <f t="shared" ca="1" si="1"/>
        <v>0</v>
      </c>
      <c r="H47" s="81">
        <f ca="1">OFFSET('3. 손익계산서 월별실적'!E47,0,$C$4-2)</f>
        <v>311831.51</v>
      </c>
      <c r="I47" s="137">
        <f t="shared" ca="1" si="15"/>
        <v>3.1678818480209835E-2</v>
      </c>
      <c r="J47" s="81">
        <f ca="1">OFFSET('(계획)손익계산서 월별계획'!E47,0,$C$4-1)</f>
        <v>0</v>
      </c>
      <c r="K47" s="137">
        <f t="shared" ca="1" si="16"/>
        <v>0</v>
      </c>
      <c r="L47" s="81">
        <f ca="1">OFFSET('3. 손익계산서 월별실적'!E47,0,$C$4-1)</f>
        <v>0</v>
      </c>
      <c r="M47" s="137">
        <f t="shared" ca="1" si="17"/>
        <v>0</v>
      </c>
      <c r="N47" s="82">
        <f t="shared" ca="1" si="18"/>
        <v>0</v>
      </c>
      <c r="O47" s="82">
        <f t="shared" ca="1" si="9"/>
        <v>0</v>
      </c>
      <c r="P47" s="40"/>
      <c r="Q47" s="40"/>
    </row>
    <row r="48" spans="2:17" x14ac:dyDescent="0.2">
      <c r="B48" s="90" t="s">
        <v>70</v>
      </c>
      <c r="C48" s="81">
        <f>'(계획)손익계산서 월별계획'!C48</f>
        <v>0</v>
      </c>
      <c r="D48" s="137">
        <f t="shared" ca="1" si="19"/>
        <v>0</v>
      </c>
      <c r="E48" s="81">
        <f ca="1">SUM('(계획)손익계산서 월별계획'!E48:(OFFSET('(계획)손익계산서 월별계획'!E48,0,$C$4-1)))</f>
        <v>0</v>
      </c>
      <c r="F48" s="81">
        <f ca="1">SUM('3. 손익계산서 월별실적'!E48:(OFFSET('3. 손익계산서 월별실적'!E48,0,$C$4-1)))</f>
        <v>0</v>
      </c>
      <c r="G48" s="144">
        <f t="shared" ca="1" si="1"/>
        <v>0</v>
      </c>
      <c r="H48" s="81">
        <f ca="1">OFFSET('3. 손익계산서 월별실적'!E48,0,$C$4-2)</f>
        <v>0</v>
      </c>
      <c r="I48" s="137">
        <f t="shared" ca="1" si="15"/>
        <v>0</v>
      </c>
      <c r="J48" s="81">
        <f ca="1">OFFSET('(계획)손익계산서 월별계획'!E48,0,$C$4-1)</f>
        <v>0</v>
      </c>
      <c r="K48" s="137">
        <f t="shared" ca="1" si="16"/>
        <v>0</v>
      </c>
      <c r="L48" s="81">
        <f ca="1">OFFSET('3. 손익계산서 월별실적'!E48,0,$C$4-1)</f>
        <v>0</v>
      </c>
      <c r="M48" s="137">
        <f t="shared" ca="1" si="17"/>
        <v>0</v>
      </c>
      <c r="N48" s="82">
        <f t="shared" ca="1" si="18"/>
        <v>0</v>
      </c>
      <c r="O48" s="82">
        <f t="shared" ca="1" si="9"/>
        <v>0</v>
      </c>
      <c r="P48" s="40"/>
      <c r="Q48" s="40"/>
    </row>
    <row r="49" spans="2:25" x14ac:dyDescent="0.2">
      <c r="B49" s="90" t="s">
        <v>71</v>
      </c>
      <c r="C49" s="81">
        <f>'(계획)손익계산서 월별계획'!C49</f>
        <v>257058.99932500004</v>
      </c>
      <c r="D49" s="137">
        <f t="shared" ca="1" si="19"/>
        <v>5.168961224812392E-2</v>
      </c>
      <c r="E49" s="81">
        <f ca="1">SUM('(계획)손익계산서 월별계획'!E49:(OFFSET('(계획)손익계산서 월별계획'!E49,0,$C$4-1)))</f>
        <v>21566.469943749998</v>
      </c>
      <c r="F49" s="81">
        <f ca="1">SUM('3. 손익계산서 월별실적'!E49:(OFFSET('3. 손익계산서 월별실적'!E49,0,$C$4-1)))</f>
        <v>13287.28</v>
      </c>
      <c r="G49" s="144">
        <f t="shared" ca="1" si="1"/>
        <v>0.61610824741629444</v>
      </c>
      <c r="H49" s="81">
        <f ca="1">OFFSET('3. 손익계산서 월별실적'!E49,0,$C$4-2)</f>
        <v>9392.84</v>
      </c>
      <c r="I49" s="137">
        <f t="shared" ca="1" si="15"/>
        <v>9.5421425940455523E-4</v>
      </c>
      <c r="J49" s="81">
        <f ca="1">OFFSET('(계획)손익계산서 월별계획'!E49,0,$C$4-1)</f>
        <v>21566.469943749998</v>
      </c>
      <c r="K49" s="137">
        <f t="shared" ca="1" si="16"/>
        <v>1.5172371810798981E-3</v>
      </c>
      <c r="L49" s="81">
        <f ca="1">OFFSET('3. 손익계산서 월별실적'!E49,0,$C$4-1)</f>
        <v>13287.28</v>
      </c>
      <c r="M49" s="137">
        <f t="shared" ca="1" si="17"/>
        <v>1.0628140613059556E-3</v>
      </c>
      <c r="N49" s="82">
        <f t="shared" ca="1" si="18"/>
        <v>1.4146179430289454</v>
      </c>
      <c r="O49" s="82">
        <f t="shared" ca="1" si="9"/>
        <v>0.61610824741629444</v>
      </c>
      <c r="P49" s="40"/>
      <c r="Q49" s="40"/>
    </row>
    <row r="50" spans="2:25" x14ac:dyDescent="0.2">
      <c r="B50" s="90" t="s">
        <v>72</v>
      </c>
      <c r="C50" s="81">
        <f>'(계획)손익계산서 월별계획'!C50</f>
        <v>0</v>
      </c>
      <c r="D50" s="137">
        <f t="shared" ca="1" si="19"/>
        <v>0</v>
      </c>
      <c r="E50" s="81">
        <f ca="1">SUM('(계획)손익계산서 월별계획'!E50:(OFFSET('(계획)손익계산서 월별계획'!E50,0,$C$4-1)))</f>
        <v>0</v>
      </c>
      <c r="F50" s="81">
        <f ca="1">SUM('3. 손익계산서 월별실적'!E50:(OFFSET('3. 손익계산서 월별실적'!E50,0,$C$4-1)))</f>
        <v>0</v>
      </c>
      <c r="G50" s="144">
        <f t="shared" ca="1" si="1"/>
        <v>0</v>
      </c>
      <c r="H50" s="81">
        <f ca="1">OFFSET('3. 손익계산서 월별실적'!E50,0,$C$4-2)</f>
        <v>0</v>
      </c>
      <c r="I50" s="137">
        <f t="shared" ca="1" si="15"/>
        <v>0</v>
      </c>
      <c r="J50" s="81">
        <f ca="1">OFFSET('(계획)손익계산서 월별계획'!E50,0,$C$4-1)</f>
        <v>0</v>
      </c>
      <c r="K50" s="137">
        <f t="shared" ca="1" si="16"/>
        <v>0</v>
      </c>
      <c r="L50" s="81">
        <f ca="1">OFFSET('3. 손익계산서 월별실적'!E50,0,$C$4-1)</f>
        <v>0</v>
      </c>
      <c r="M50" s="137">
        <f t="shared" ca="1" si="17"/>
        <v>0</v>
      </c>
      <c r="N50" s="82">
        <f t="shared" ca="1" si="18"/>
        <v>0</v>
      </c>
      <c r="O50" s="82">
        <f t="shared" ca="1" si="9"/>
        <v>0</v>
      </c>
      <c r="P50" s="40"/>
      <c r="Q50" s="40"/>
    </row>
    <row r="51" spans="2:25" hidden="1" outlineLevel="1" x14ac:dyDescent="0.2">
      <c r="B51" s="90"/>
      <c r="C51" s="81"/>
      <c r="D51" s="137"/>
      <c r="E51" s="81"/>
      <c r="F51" s="81"/>
      <c r="G51" s="144"/>
      <c r="H51" s="81"/>
      <c r="I51" s="137"/>
      <c r="J51" s="81"/>
      <c r="K51" s="137"/>
      <c r="L51" s="81"/>
      <c r="M51" s="137"/>
      <c r="N51" s="82"/>
      <c r="O51" s="82"/>
      <c r="P51" s="40"/>
      <c r="Q51" s="40"/>
    </row>
    <row r="52" spans="2:25" hidden="1" outlineLevel="1" x14ac:dyDescent="0.2">
      <c r="B52" s="88"/>
      <c r="C52" s="89"/>
      <c r="D52" s="141"/>
      <c r="E52" s="89"/>
      <c r="F52" s="89"/>
      <c r="G52" s="146"/>
      <c r="H52" s="81"/>
      <c r="I52" s="141"/>
      <c r="J52" s="81"/>
      <c r="K52" s="141"/>
      <c r="L52" s="81"/>
      <c r="M52" s="141"/>
      <c r="N52" s="91"/>
      <c r="O52" s="91"/>
      <c r="P52" s="40"/>
      <c r="Q52" s="40"/>
    </row>
    <row r="53" spans="2:25" ht="16.5" hidden="1" outlineLevel="1" x14ac:dyDescent="0.2">
      <c r="B53" s="84" t="s">
        <v>18</v>
      </c>
      <c r="C53" s="85">
        <f>SUM(C54:C67)</f>
        <v>0</v>
      </c>
      <c r="D53" s="140">
        <f t="shared" ca="1" si="19"/>
        <v>0</v>
      </c>
      <c r="E53" s="85">
        <f ca="1">SUM(E54:E67)</f>
        <v>0</v>
      </c>
      <c r="F53" s="85">
        <f ca="1">SUM(F54:F67)</f>
        <v>0</v>
      </c>
      <c r="G53" s="145">
        <f t="shared" ca="1" si="1"/>
        <v>0</v>
      </c>
      <c r="H53" s="85">
        <f ca="1">SUM(H54:H67)</f>
        <v>0</v>
      </c>
      <c r="I53" s="140">
        <f t="shared" ca="1" si="15"/>
        <v>0</v>
      </c>
      <c r="J53" s="85">
        <f ca="1">SUM(J54:J67)</f>
        <v>0</v>
      </c>
      <c r="K53" s="140">
        <f t="shared" ca="1" si="16"/>
        <v>0</v>
      </c>
      <c r="L53" s="85">
        <f ca="1">SUM(L54:L67)</f>
        <v>0</v>
      </c>
      <c r="M53" s="140">
        <f t="shared" ca="1" si="17"/>
        <v>0</v>
      </c>
      <c r="N53" s="86">
        <f t="shared" ca="1" si="18"/>
        <v>0</v>
      </c>
      <c r="O53" s="86">
        <f t="shared" ca="1" si="9"/>
        <v>0</v>
      </c>
      <c r="P53" s="40"/>
      <c r="Q53" s="40"/>
    </row>
    <row r="54" spans="2:25" hidden="1" outlineLevel="1" x14ac:dyDescent="0.2">
      <c r="B54" s="90" t="s">
        <v>58</v>
      </c>
      <c r="C54" s="81">
        <f>'(계획)손익계산서 월별계획'!C54</f>
        <v>0</v>
      </c>
      <c r="D54" s="137">
        <f t="shared" ca="1" si="19"/>
        <v>0</v>
      </c>
      <c r="E54" s="81">
        <f ca="1">SUM('(계획)손익계산서 월별계획'!E54:(OFFSET('(계획)손익계산서 월별계획'!E54,0,$C$4-1)))</f>
        <v>0</v>
      </c>
      <c r="F54" s="81">
        <f ca="1">SUM('3. 손익계산서 월별실적'!E54:(OFFSET('3. 손익계산서 월별실적'!E54,0,$C$4-1)))</f>
        <v>0</v>
      </c>
      <c r="G54" s="144">
        <f t="shared" ca="1" si="1"/>
        <v>0</v>
      </c>
      <c r="H54" s="81">
        <f ca="1">OFFSET('3. 손익계산서 월별실적'!E54,0,$C$4-2)</f>
        <v>0</v>
      </c>
      <c r="I54" s="137">
        <f t="shared" ca="1" si="15"/>
        <v>0</v>
      </c>
      <c r="J54" s="81">
        <f ca="1">OFFSET('(계획)손익계산서 월별계획'!E54,0,$C$4-1)</f>
        <v>0</v>
      </c>
      <c r="K54" s="137">
        <f t="shared" ca="1" si="16"/>
        <v>0</v>
      </c>
      <c r="L54" s="81">
        <f ca="1">OFFSET('3. 손익계산서 월별실적'!E54,0,$C$4-1)</f>
        <v>0</v>
      </c>
      <c r="M54" s="137">
        <f t="shared" ca="1" si="17"/>
        <v>0</v>
      </c>
      <c r="N54" s="82">
        <f t="shared" ca="1" si="18"/>
        <v>0</v>
      </c>
      <c r="O54" s="82">
        <f t="shared" ca="1" si="9"/>
        <v>0</v>
      </c>
      <c r="P54" s="40"/>
      <c r="Q54" s="40"/>
    </row>
    <row r="55" spans="2:25" hidden="1" outlineLevel="1" x14ac:dyDescent="0.2">
      <c r="B55" s="90" t="s">
        <v>73</v>
      </c>
      <c r="C55" s="81">
        <f>'(계획)손익계산서 월별계획'!C55</f>
        <v>0</v>
      </c>
      <c r="D55" s="137">
        <f t="shared" ca="1" si="19"/>
        <v>0</v>
      </c>
      <c r="E55" s="81">
        <f ca="1">SUM('(계획)손익계산서 월별계획'!E55:(OFFSET('(계획)손익계산서 월별계획'!E55,0,$C$4-1)))</f>
        <v>0</v>
      </c>
      <c r="F55" s="81">
        <f ca="1">SUM('3. 손익계산서 월별실적'!E55:(OFFSET('3. 손익계산서 월별실적'!E55,0,$C$4-1)))</f>
        <v>0</v>
      </c>
      <c r="G55" s="144">
        <f t="shared" ca="1" si="1"/>
        <v>0</v>
      </c>
      <c r="H55" s="81">
        <f ca="1">OFFSET('3. 손익계산서 월별실적'!E55,0,$C$4-2)</f>
        <v>0</v>
      </c>
      <c r="I55" s="137">
        <f t="shared" ca="1" si="15"/>
        <v>0</v>
      </c>
      <c r="J55" s="81">
        <f ca="1">OFFSET('(계획)손익계산서 월별계획'!E55,0,$C$4-1)</f>
        <v>0</v>
      </c>
      <c r="K55" s="137">
        <f t="shared" ca="1" si="16"/>
        <v>0</v>
      </c>
      <c r="L55" s="81">
        <f ca="1">OFFSET('3. 손익계산서 월별실적'!E55,0,$C$4-1)</f>
        <v>0</v>
      </c>
      <c r="M55" s="137">
        <f t="shared" ca="1" si="17"/>
        <v>0</v>
      </c>
      <c r="N55" s="82">
        <f t="shared" ca="1" si="18"/>
        <v>0</v>
      </c>
      <c r="O55" s="82">
        <f t="shared" ca="1" si="9"/>
        <v>0</v>
      </c>
      <c r="P55" s="40"/>
      <c r="Q55" s="40"/>
    </row>
    <row r="56" spans="2:25" hidden="1" outlineLevel="1" x14ac:dyDescent="0.2">
      <c r="B56" s="90" t="s">
        <v>60</v>
      </c>
      <c r="C56" s="81">
        <f>'(계획)손익계산서 월별계획'!C56</f>
        <v>0</v>
      </c>
      <c r="D56" s="137">
        <f t="shared" ca="1" si="19"/>
        <v>0</v>
      </c>
      <c r="E56" s="81">
        <f ca="1">SUM('(계획)손익계산서 월별계획'!E56:(OFFSET('(계획)손익계산서 월별계획'!E56,0,$C$4-1)))</f>
        <v>0</v>
      </c>
      <c r="F56" s="81">
        <f ca="1">SUM('3. 손익계산서 월별실적'!E56:(OFFSET('3. 손익계산서 월별실적'!E56,0,$C$4-1)))</f>
        <v>0</v>
      </c>
      <c r="G56" s="144">
        <f t="shared" ca="1" si="1"/>
        <v>0</v>
      </c>
      <c r="H56" s="81">
        <f ca="1">OFFSET('3. 손익계산서 월별실적'!E56,0,$C$4-2)</f>
        <v>0</v>
      </c>
      <c r="I56" s="137">
        <f t="shared" ca="1" si="15"/>
        <v>0</v>
      </c>
      <c r="J56" s="81">
        <f ca="1">OFFSET('(계획)손익계산서 월별계획'!E56,0,$C$4-1)</f>
        <v>0</v>
      </c>
      <c r="K56" s="137">
        <f t="shared" ca="1" si="16"/>
        <v>0</v>
      </c>
      <c r="L56" s="81">
        <f ca="1">OFFSET('3. 손익계산서 월별실적'!E56,0,$C$4-1)</f>
        <v>0</v>
      </c>
      <c r="M56" s="137">
        <f t="shared" ca="1" si="17"/>
        <v>0</v>
      </c>
      <c r="N56" s="82">
        <f t="shared" ca="1" si="18"/>
        <v>0</v>
      </c>
      <c r="O56" s="82">
        <f t="shared" ca="1" si="9"/>
        <v>0</v>
      </c>
      <c r="P56" s="40"/>
      <c r="Q56" s="40"/>
    </row>
    <row r="57" spans="2:25" hidden="1" outlineLevel="1" x14ac:dyDescent="0.2">
      <c r="B57" s="90" t="s">
        <v>61</v>
      </c>
      <c r="C57" s="81">
        <f>'(계획)손익계산서 월별계획'!C57</f>
        <v>0</v>
      </c>
      <c r="D57" s="137">
        <f t="shared" ca="1" si="19"/>
        <v>0</v>
      </c>
      <c r="E57" s="81">
        <f ca="1">SUM('(계획)손익계산서 월별계획'!E57:(OFFSET('(계획)손익계산서 월별계획'!E57,0,$C$4-1)))</f>
        <v>0</v>
      </c>
      <c r="F57" s="81">
        <f ca="1">SUM('3. 손익계산서 월별실적'!E57:(OFFSET('3. 손익계산서 월별실적'!E57,0,$C$4-1)))</f>
        <v>0</v>
      </c>
      <c r="G57" s="144">
        <f t="shared" ca="1" si="1"/>
        <v>0</v>
      </c>
      <c r="H57" s="81">
        <f ca="1">OFFSET('3. 손익계산서 월별실적'!E57,0,$C$4-2)</f>
        <v>0</v>
      </c>
      <c r="I57" s="137">
        <f t="shared" ca="1" si="15"/>
        <v>0</v>
      </c>
      <c r="J57" s="81">
        <f ca="1">OFFSET('(계획)손익계산서 월별계획'!E57,0,$C$4-1)</f>
        <v>0</v>
      </c>
      <c r="K57" s="137">
        <f t="shared" ca="1" si="16"/>
        <v>0</v>
      </c>
      <c r="L57" s="81">
        <f ca="1">OFFSET('3. 손익계산서 월별실적'!E57,0,$C$4-1)</f>
        <v>0</v>
      </c>
      <c r="M57" s="137">
        <f t="shared" ca="1" si="17"/>
        <v>0</v>
      </c>
      <c r="N57" s="82">
        <f t="shared" ca="1" si="18"/>
        <v>0</v>
      </c>
      <c r="O57" s="82">
        <f t="shared" ca="1" si="9"/>
        <v>0</v>
      </c>
      <c r="P57" s="40"/>
      <c r="Q57" s="40"/>
    </row>
    <row r="58" spans="2:25" hidden="1" outlineLevel="1" x14ac:dyDescent="0.2">
      <c r="B58" s="90" t="s">
        <v>62</v>
      </c>
      <c r="C58" s="81">
        <f>'(계획)손익계산서 월별계획'!C58</f>
        <v>0</v>
      </c>
      <c r="D58" s="137">
        <f t="shared" ca="1" si="19"/>
        <v>0</v>
      </c>
      <c r="E58" s="81">
        <f ca="1">SUM('(계획)손익계산서 월별계획'!E58:(OFFSET('(계획)손익계산서 월별계획'!E58,0,$C$4-1)))</f>
        <v>0</v>
      </c>
      <c r="F58" s="81">
        <f ca="1">SUM('3. 손익계산서 월별실적'!E58:(OFFSET('3. 손익계산서 월별실적'!E58,0,$C$4-1)))</f>
        <v>0</v>
      </c>
      <c r="G58" s="144">
        <f t="shared" ca="1" si="1"/>
        <v>0</v>
      </c>
      <c r="H58" s="81">
        <f ca="1">OFFSET('3. 손익계산서 월별실적'!E58,0,$C$4-2)</f>
        <v>0</v>
      </c>
      <c r="I58" s="137">
        <f t="shared" ca="1" si="15"/>
        <v>0</v>
      </c>
      <c r="J58" s="81">
        <f ca="1">OFFSET('(계획)손익계산서 월별계획'!E58,0,$C$4-1)</f>
        <v>0</v>
      </c>
      <c r="K58" s="137">
        <f t="shared" ca="1" si="16"/>
        <v>0</v>
      </c>
      <c r="L58" s="81">
        <f ca="1">OFFSET('3. 손익계산서 월별실적'!E58,0,$C$4-1)</f>
        <v>0</v>
      </c>
      <c r="M58" s="137">
        <f t="shared" ca="1" si="17"/>
        <v>0</v>
      </c>
      <c r="N58" s="82">
        <f t="shared" ca="1" si="18"/>
        <v>0</v>
      </c>
      <c r="O58" s="82">
        <f t="shared" ca="1" si="9"/>
        <v>0</v>
      </c>
      <c r="P58" s="40"/>
      <c r="Q58" s="40"/>
    </row>
    <row r="59" spans="2:25" hidden="1" outlineLevel="1" x14ac:dyDescent="0.2">
      <c r="B59" s="90" t="s">
        <v>63</v>
      </c>
      <c r="C59" s="81">
        <f>'(계획)손익계산서 월별계획'!C59</f>
        <v>0</v>
      </c>
      <c r="D59" s="137">
        <f t="shared" ca="1" si="19"/>
        <v>0</v>
      </c>
      <c r="E59" s="81">
        <f ca="1">SUM('(계획)손익계산서 월별계획'!E59:(OFFSET('(계획)손익계산서 월별계획'!E59,0,$C$4-1)))</f>
        <v>0</v>
      </c>
      <c r="F59" s="81">
        <f ca="1">SUM('3. 손익계산서 월별실적'!E59:(OFFSET('3. 손익계산서 월별실적'!E59,0,$C$4-1)))</f>
        <v>0</v>
      </c>
      <c r="G59" s="144">
        <f t="shared" ca="1" si="1"/>
        <v>0</v>
      </c>
      <c r="H59" s="81">
        <f ca="1">OFFSET('3. 손익계산서 월별실적'!E59,0,$C$4-2)</f>
        <v>0</v>
      </c>
      <c r="I59" s="137">
        <f t="shared" ca="1" si="15"/>
        <v>0</v>
      </c>
      <c r="J59" s="81">
        <f ca="1">OFFSET('(계획)손익계산서 월별계획'!E59,0,$C$4-1)</f>
        <v>0</v>
      </c>
      <c r="K59" s="137">
        <f t="shared" ca="1" si="16"/>
        <v>0</v>
      </c>
      <c r="L59" s="81">
        <f ca="1">OFFSET('3. 손익계산서 월별실적'!E59,0,$C$4-1)</f>
        <v>0</v>
      </c>
      <c r="M59" s="137">
        <f t="shared" ca="1" si="17"/>
        <v>0</v>
      </c>
      <c r="N59" s="82">
        <f t="shared" ca="1" si="18"/>
        <v>0</v>
      </c>
      <c r="O59" s="82">
        <f t="shared" ca="1" si="9"/>
        <v>0</v>
      </c>
      <c r="P59" s="40"/>
      <c r="Q59" s="40"/>
    </row>
    <row r="60" spans="2:25" hidden="1" outlineLevel="1" x14ac:dyDescent="0.2">
      <c r="B60" s="90" t="s">
        <v>64</v>
      </c>
      <c r="C60" s="81">
        <f>'(계획)손익계산서 월별계획'!C60</f>
        <v>0</v>
      </c>
      <c r="D60" s="137">
        <f t="shared" ca="1" si="19"/>
        <v>0</v>
      </c>
      <c r="E60" s="81">
        <f ca="1">SUM('(계획)손익계산서 월별계획'!E60:(OFFSET('(계획)손익계산서 월별계획'!E60,0,$C$4-1)))</f>
        <v>0</v>
      </c>
      <c r="F60" s="81">
        <f ca="1">SUM('3. 손익계산서 월별실적'!E60:(OFFSET('3. 손익계산서 월별실적'!E60,0,$C$4-1)))</f>
        <v>0</v>
      </c>
      <c r="G60" s="144">
        <f t="shared" ca="1" si="1"/>
        <v>0</v>
      </c>
      <c r="H60" s="81">
        <f ca="1">OFFSET('3. 손익계산서 월별실적'!E60,0,$C$4-2)</f>
        <v>0</v>
      </c>
      <c r="I60" s="137">
        <f t="shared" ca="1" si="15"/>
        <v>0</v>
      </c>
      <c r="J60" s="81">
        <f ca="1">OFFSET('(계획)손익계산서 월별계획'!E60,0,$C$4-1)</f>
        <v>0</v>
      </c>
      <c r="K60" s="137">
        <f t="shared" ca="1" si="16"/>
        <v>0</v>
      </c>
      <c r="L60" s="81">
        <f ca="1">OFFSET('3. 손익계산서 월별실적'!E60,0,$C$4-1)</f>
        <v>0</v>
      </c>
      <c r="M60" s="137">
        <f t="shared" ca="1" si="17"/>
        <v>0</v>
      </c>
      <c r="N60" s="82">
        <f t="shared" ca="1" si="18"/>
        <v>0</v>
      </c>
      <c r="O60" s="82">
        <f t="shared" ca="1" si="9"/>
        <v>0</v>
      </c>
      <c r="P60" s="40"/>
      <c r="Q60" s="40"/>
    </row>
    <row r="61" spans="2:25" hidden="1" outlineLevel="1" x14ac:dyDescent="0.2">
      <c r="B61" s="90" t="s">
        <v>65</v>
      </c>
      <c r="C61" s="81">
        <f>'(계획)손익계산서 월별계획'!C61</f>
        <v>0</v>
      </c>
      <c r="D61" s="137">
        <f t="shared" ca="1" si="19"/>
        <v>0</v>
      </c>
      <c r="E61" s="81">
        <f ca="1">SUM('(계획)손익계산서 월별계획'!E61:(OFFSET('(계획)손익계산서 월별계획'!E61,0,$C$4-1)))</f>
        <v>0</v>
      </c>
      <c r="F61" s="81">
        <f ca="1">SUM('3. 손익계산서 월별실적'!E61:(OFFSET('3. 손익계산서 월별실적'!E61,0,$C$4-1)))</f>
        <v>0</v>
      </c>
      <c r="G61" s="144">
        <f t="shared" ca="1" si="1"/>
        <v>0</v>
      </c>
      <c r="H61" s="81">
        <f ca="1">OFFSET('3. 손익계산서 월별실적'!E61,0,$C$4-2)</f>
        <v>0</v>
      </c>
      <c r="I61" s="137">
        <f t="shared" ca="1" si="15"/>
        <v>0</v>
      </c>
      <c r="J61" s="81">
        <f ca="1">OFFSET('(계획)손익계산서 월별계획'!E61,0,$C$4-1)</f>
        <v>0</v>
      </c>
      <c r="K61" s="137">
        <f t="shared" ca="1" si="16"/>
        <v>0</v>
      </c>
      <c r="L61" s="81">
        <f ca="1">OFFSET('3. 손익계산서 월별실적'!E61,0,$C$4-1)</f>
        <v>0</v>
      </c>
      <c r="M61" s="137">
        <f t="shared" ca="1" si="17"/>
        <v>0</v>
      </c>
      <c r="N61" s="82">
        <f t="shared" ca="1" si="18"/>
        <v>0</v>
      </c>
      <c r="O61" s="82">
        <f t="shared" ca="1" si="9"/>
        <v>0</v>
      </c>
      <c r="P61" s="40"/>
      <c r="Q61" s="43">
        <f ca="1">+L61-J61</f>
        <v>0</v>
      </c>
      <c r="R61" s="43">
        <f ca="1">+L61-H61</f>
        <v>0</v>
      </c>
    </row>
    <row r="62" spans="2:25" hidden="1" outlineLevel="1" x14ac:dyDescent="0.2">
      <c r="B62" s="90" t="s">
        <v>66</v>
      </c>
      <c r="C62" s="81">
        <f>'(계획)손익계산서 월별계획'!C62</f>
        <v>0</v>
      </c>
      <c r="D62" s="137">
        <f t="shared" ca="1" si="19"/>
        <v>0</v>
      </c>
      <c r="E62" s="81">
        <f ca="1">SUM('(계획)손익계산서 월별계획'!E62:(OFFSET('(계획)손익계산서 월별계획'!E62,0,$C$4-1)))</f>
        <v>0</v>
      </c>
      <c r="F62" s="81">
        <f ca="1">SUM('3. 손익계산서 월별실적'!E62:(OFFSET('3. 손익계산서 월별실적'!E62,0,$C$4-1)))</f>
        <v>0</v>
      </c>
      <c r="G62" s="144">
        <f t="shared" ca="1" si="1"/>
        <v>0</v>
      </c>
      <c r="H62" s="81">
        <f ca="1">OFFSET('3. 손익계산서 월별실적'!E62,0,$C$4-2)</f>
        <v>0</v>
      </c>
      <c r="I62" s="137">
        <f t="shared" ca="1" si="15"/>
        <v>0</v>
      </c>
      <c r="J62" s="81">
        <f ca="1">OFFSET('(계획)손익계산서 월별계획'!E62,0,$C$4-1)</f>
        <v>0</v>
      </c>
      <c r="K62" s="137">
        <f t="shared" ca="1" si="16"/>
        <v>0</v>
      </c>
      <c r="L62" s="81">
        <f ca="1">OFFSET('3. 손익계산서 월별실적'!E62,0,$C$4-1)</f>
        <v>0</v>
      </c>
      <c r="M62" s="137">
        <f t="shared" ca="1" si="17"/>
        <v>0</v>
      </c>
      <c r="N62" s="82">
        <f t="shared" ca="1" si="18"/>
        <v>0</v>
      </c>
      <c r="O62" s="82">
        <f t="shared" ca="1" si="9"/>
        <v>0</v>
      </c>
      <c r="P62" s="40"/>
      <c r="Q62" s="40"/>
    </row>
    <row r="63" spans="2:25" hidden="1" outlineLevel="1" x14ac:dyDescent="0.2">
      <c r="B63" s="90" t="s">
        <v>67</v>
      </c>
      <c r="C63" s="81">
        <f>'(계획)손익계산서 월별계획'!C63</f>
        <v>0</v>
      </c>
      <c r="D63" s="137">
        <f t="shared" ca="1" si="19"/>
        <v>0</v>
      </c>
      <c r="E63" s="81">
        <f ca="1">SUM('(계획)손익계산서 월별계획'!E63:(OFFSET('(계획)손익계산서 월별계획'!E63,0,$C$4-1)))</f>
        <v>0</v>
      </c>
      <c r="F63" s="81">
        <f ca="1">SUM('3. 손익계산서 월별실적'!E63:(OFFSET('3. 손익계산서 월별실적'!E63,0,$C$4-1)))</f>
        <v>0</v>
      </c>
      <c r="G63" s="144">
        <f t="shared" ca="1" si="1"/>
        <v>0</v>
      </c>
      <c r="H63" s="81">
        <f ca="1">OFFSET('3. 손익계산서 월별실적'!E63,0,$C$4-2)</f>
        <v>0</v>
      </c>
      <c r="I63" s="137">
        <f t="shared" ca="1" si="15"/>
        <v>0</v>
      </c>
      <c r="J63" s="81">
        <f ca="1">OFFSET('(계획)손익계산서 월별계획'!E63,0,$C$4-1)</f>
        <v>0</v>
      </c>
      <c r="K63" s="137">
        <f t="shared" ca="1" si="16"/>
        <v>0</v>
      </c>
      <c r="L63" s="81">
        <f ca="1">OFFSET('3. 손익계산서 월별실적'!E63,0,$C$4-1)</f>
        <v>0</v>
      </c>
      <c r="M63" s="137">
        <f t="shared" ca="1" si="17"/>
        <v>0</v>
      </c>
      <c r="N63" s="82">
        <f t="shared" ca="1" si="18"/>
        <v>0</v>
      </c>
      <c r="O63" s="82">
        <f t="shared" ca="1" si="9"/>
        <v>0</v>
      </c>
      <c r="P63" s="40"/>
      <c r="Q63" s="40"/>
    </row>
    <row r="64" spans="2:25" hidden="1" outlineLevel="1" x14ac:dyDescent="0.2">
      <c r="B64" s="90" t="s">
        <v>68</v>
      </c>
      <c r="C64" s="81">
        <f>'(계획)손익계산서 월별계획'!C64</f>
        <v>0</v>
      </c>
      <c r="D64" s="137">
        <f t="shared" ca="1" si="19"/>
        <v>0</v>
      </c>
      <c r="E64" s="81">
        <f ca="1">SUM('(계획)손익계산서 월별계획'!E64:(OFFSET('(계획)손익계산서 월별계획'!E64,0,$C$4-1)))</f>
        <v>0</v>
      </c>
      <c r="F64" s="81">
        <f ca="1">SUM('3. 손익계산서 월별실적'!E64:(OFFSET('3. 손익계산서 월별실적'!E64,0,$C$4-1)))</f>
        <v>0</v>
      </c>
      <c r="G64" s="144">
        <f t="shared" ca="1" si="1"/>
        <v>0</v>
      </c>
      <c r="H64" s="81">
        <f ca="1">OFFSET('3. 손익계산서 월별실적'!E64,0,$C$4-2)</f>
        <v>0</v>
      </c>
      <c r="I64" s="137">
        <f t="shared" ca="1" si="15"/>
        <v>0</v>
      </c>
      <c r="J64" s="81">
        <f ca="1">OFFSET('(계획)손익계산서 월별계획'!E64,0,$C$4-1)</f>
        <v>0</v>
      </c>
      <c r="K64" s="137">
        <f t="shared" ca="1" si="16"/>
        <v>0</v>
      </c>
      <c r="L64" s="81">
        <f ca="1">OFFSET('3. 손익계산서 월별실적'!E64,0,$C$4-1)</f>
        <v>0</v>
      </c>
      <c r="M64" s="137">
        <f t="shared" ca="1" si="17"/>
        <v>0</v>
      </c>
      <c r="N64" s="82">
        <f t="shared" ca="1" si="18"/>
        <v>0</v>
      </c>
      <c r="O64" s="82">
        <f t="shared" ca="1" si="9"/>
        <v>0</v>
      </c>
      <c r="P64" s="40"/>
      <c r="Q64" s="43">
        <f ca="1">+L64-J64</f>
        <v>0</v>
      </c>
      <c r="R64" s="43">
        <f ca="1">+L64-H64</f>
        <v>0</v>
      </c>
      <c r="Y64" s="45"/>
    </row>
    <row r="65" spans="2:30" hidden="1" outlineLevel="1" x14ac:dyDescent="0.2">
      <c r="B65" s="90" t="s">
        <v>69</v>
      </c>
      <c r="C65" s="81">
        <f>'(계획)손익계산서 월별계획'!C65</f>
        <v>0</v>
      </c>
      <c r="D65" s="137">
        <f t="shared" ca="1" si="19"/>
        <v>0</v>
      </c>
      <c r="E65" s="81">
        <f ca="1">SUM('(계획)손익계산서 월별계획'!E65:(OFFSET('(계획)손익계산서 월별계획'!E65,0,$C$4-1)))</f>
        <v>0</v>
      </c>
      <c r="F65" s="81">
        <f ca="1">SUM('3. 손익계산서 월별실적'!E65:(OFFSET('3. 손익계산서 월별실적'!E65,0,$C$4-1)))</f>
        <v>0</v>
      </c>
      <c r="G65" s="144">
        <f t="shared" ca="1" si="1"/>
        <v>0</v>
      </c>
      <c r="H65" s="81">
        <f ca="1">OFFSET('3. 손익계산서 월별실적'!E65,0,$C$4-2)</f>
        <v>0</v>
      </c>
      <c r="I65" s="137">
        <f t="shared" ca="1" si="15"/>
        <v>0</v>
      </c>
      <c r="J65" s="81">
        <f ca="1">OFFSET('(계획)손익계산서 월별계획'!E65,0,$C$4-1)</f>
        <v>0</v>
      </c>
      <c r="K65" s="137">
        <f t="shared" ca="1" si="16"/>
        <v>0</v>
      </c>
      <c r="L65" s="81">
        <f ca="1">OFFSET('3. 손익계산서 월별실적'!E65,0,$C$4-1)</f>
        <v>0</v>
      </c>
      <c r="M65" s="137">
        <f t="shared" ca="1" si="17"/>
        <v>0</v>
      </c>
      <c r="N65" s="82">
        <f t="shared" ca="1" si="18"/>
        <v>0</v>
      </c>
      <c r="O65" s="82">
        <f t="shared" ca="1" si="9"/>
        <v>0</v>
      </c>
      <c r="P65" s="40"/>
      <c r="Q65" s="40"/>
    </row>
    <row r="66" spans="2:30" hidden="1" outlineLevel="1" x14ac:dyDescent="0.2">
      <c r="B66" s="90" t="s">
        <v>70</v>
      </c>
      <c r="C66" s="81">
        <f>'(계획)손익계산서 월별계획'!C66</f>
        <v>0</v>
      </c>
      <c r="D66" s="137">
        <f t="shared" ca="1" si="19"/>
        <v>0</v>
      </c>
      <c r="E66" s="81">
        <f ca="1">SUM('(계획)손익계산서 월별계획'!E66:(OFFSET('(계획)손익계산서 월별계획'!E66,0,$C$4-1)))</f>
        <v>0</v>
      </c>
      <c r="F66" s="81">
        <f ca="1">SUM('3. 손익계산서 월별실적'!E66:(OFFSET('3. 손익계산서 월별실적'!E66,0,$C$4-1)))</f>
        <v>0</v>
      </c>
      <c r="G66" s="144">
        <f t="shared" ca="1" si="1"/>
        <v>0</v>
      </c>
      <c r="H66" s="81">
        <f ca="1">OFFSET('3. 손익계산서 월별실적'!E66,0,$C$4-2)</f>
        <v>0</v>
      </c>
      <c r="I66" s="137">
        <f t="shared" ca="1" si="15"/>
        <v>0</v>
      </c>
      <c r="J66" s="81">
        <f ca="1">OFFSET('(계획)손익계산서 월별계획'!E66,0,$C$4-1)</f>
        <v>0</v>
      </c>
      <c r="K66" s="137">
        <f t="shared" ca="1" si="16"/>
        <v>0</v>
      </c>
      <c r="L66" s="81">
        <f ca="1">OFFSET('3. 손익계산서 월별실적'!E66,0,$C$4-1)</f>
        <v>0</v>
      </c>
      <c r="M66" s="137">
        <f t="shared" ca="1" si="17"/>
        <v>0</v>
      </c>
      <c r="N66" s="82">
        <f t="shared" ca="1" si="18"/>
        <v>0</v>
      </c>
      <c r="O66" s="82">
        <f t="shared" ca="1" si="9"/>
        <v>0</v>
      </c>
      <c r="P66" s="40"/>
      <c r="Q66" s="40"/>
    </row>
    <row r="67" spans="2:30" hidden="1" outlineLevel="1" x14ac:dyDescent="0.2">
      <c r="B67" s="90" t="s">
        <v>71</v>
      </c>
      <c r="C67" s="81">
        <f>'(계획)손익계산서 월별계획'!C67</f>
        <v>0</v>
      </c>
      <c r="D67" s="137">
        <f t="shared" ca="1" si="19"/>
        <v>0</v>
      </c>
      <c r="E67" s="81">
        <f ca="1">SUM('(계획)손익계산서 월별계획'!E67:(OFFSET('(계획)손익계산서 월별계획'!E67,0,$C$4-1)))</f>
        <v>0</v>
      </c>
      <c r="F67" s="81">
        <f ca="1">SUM('3. 손익계산서 월별실적'!E67:(OFFSET('3. 손익계산서 월별실적'!E67,0,$C$4-1)))</f>
        <v>0</v>
      </c>
      <c r="G67" s="144">
        <f t="shared" ca="1" si="1"/>
        <v>0</v>
      </c>
      <c r="H67" s="81">
        <f ca="1">OFFSET('3. 손익계산서 월별실적'!E67,0,$C$4-2)</f>
        <v>0</v>
      </c>
      <c r="I67" s="137">
        <f t="shared" ca="1" si="15"/>
        <v>0</v>
      </c>
      <c r="J67" s="81">
        <f ca="1">OFFSET('(계획)손익계산서 월별계획'!E67,0,$C$4-1)</f>
        <v>0</v>
      </c>
      <c r="K67" s="137">
        <f t="shared" ca="1" si="16"/>
        <v>0</v>
      </c>
      <c r="L67" s="81">
        <f ca="1">OFFSET('3. 손익계산서 월별실적'!E67,0,$C$4-1)</f>
        <v>0</v>
      </c>
      <c r="M67" s="137">
        <f t="shared" ca="1" si="17"/>
        <v>0</v>
      </c>
      <c r="N67" s="82">
        <f t="shared" ca="1" si="18"/>
        <v>0</v>
      </c>
      <c r="O67" s="82">
        <f t="shared" ca="1" si="9"/>
        <v>0</v>
      </c>
      <c r="P67" s="40"/>
      <c r="Q67" s="40">
        <f ca="1">+L64+L61</f>
        <v>0</v>
      </c>
      <c r="R67" s="32">
        <f ca="1">+J64+J61</f>
        <v>0</v>
      </c>
      <c r="S67" s="32">
        <f ca="1">+Q67-R67</f>
        <v>0</v>
      </c>
    </row>
    <row r="68" spans="2:30" collapsed="1" x14ac:dyDescent="0.2">
      <c r="B68" s="94" t="s">
        <v>74</v>
      </c>
      <c r="C68" s="92">
        <f>+C16-C18</f>
        <v>1580940.1454200428</v>
      </c>
      <c r="D68" s="451">
        <f ca="1">IF(AND(C68&gt;0,F68&gt;0),F68/C68,"(-)")</f>
        <v>4.3170034107688014E-2</v>
      </c>
      <c r="E68" s="92">
        <f ca="1">+E16-E18</f>
        <v>203772.19267925911</v>
      </c>
      <c r="F68" s="92">
        <f t="shared" ref="F68:L68" ca="1" si="20">+F16-F18</f>
        <v>68249.239999996498</v>
      </c>
      <c r="G68" s="142">
        <f t="shared" ref="G68" ca="1" si="21">IF(AND(E68&gt;0,F68&gt;0),F68/E68,"(-)")</f>
        <v>0.33492911423602317</v>
      </c>
      <c r="H68" s="92">
        <f t="shared" ca="1" si="20"/>
        <v>-606147.75311108923</v>
      </c>
      <c r="I68" s="142">
        <f t="shared" ca="1" si="15"/>
        <v>-6.1578269120376068E-2</v>
      </c>
      <c r="J68" s="92">
        <f t="shared" ca="1" si="20"/>
        <v>203772.19267925911</v>
      </c>
      <c r="K68" s="142">
        <f t="shared" ca="1" si="16"/>
        <v>1.4335714097371192E-2</v>
      </c>
      <c r="L68" s="92">
        <f t="shared" ca="1" si="20"/>
        <v>68249.239999996498</v>
      </c>
      <c r="M68" s="142">
        <f t="shared" ca="1" si="17"/>
        <v>5.4590745393670601E-3</v>
      </c>
      <c r="N68" s="93" t="str">
        <f ca="1">+IF(AND(H68&gt;0,L68&gt;0),L68/H68,"(-)")</f>
        <v>(-)</v>
      </c>
      <c r="O68" s="93">
        <f ca="1">+IF(AND(J68&gt;0,N68&gt;0),L68/J68,"(-)")</f>
        <v>0.33492911423602317</v>
      </c>
      <c r="P68" s="40"/>
      <c r="Q68" s="40"/>
      <c r="Y68" s="40">
        <f>+C68*1330/1000000</f>
        <v>2102.6503934086568</v>
      </c>
      <c r="Z68" s="40">
        <f ca="1">+E68*1330/1000000</f>
        <v>271.01701626341463</v>
      </c>
      <c r="AA68" s="40">
        <f ca="1">+F68*1330/1000000</f>
        <v>90.771489199995344</v>
      </c>
      <c r="AB68" s="40">
        <f ca="1">+H68*1330/1000000</f>
        <v>-806.17651163774872</v>
      </c>
      <c r="AC68" s="40">
        <f ca="1">+J68*1330/1000000</f>
        <v>271.01701626341463</v>
      </c>
      <c r="AD68" s="40">
        <f ca="1">+L68*1330/1000000</f>
        <v>90.771489199995344</v>
      </c>
    </row>
    <row r="69" spans="2:30" s="42" customFormat="1" x14ac:dyDescent="0.2">
      <c r="B69" s="113" t="s">
        <v>21</v>
      </c>
      <c r="C69" s="93">
        <f>+IFERROR(C68/C6,)</f>
        <v>9.1076751714340917E-3</v>
      </c>
      <c r="D69" s="142"/>
      <c r="E69" s="93">
        <f t="shared" ref="E69:L69" ca="1" si="22">+IFERROR(E68/E6,)</f>
        <v>1.4335714097371192E-2</v>
      </c>
      <c r="F69" s="93">
        <f t="shared" ca="1" si="22"/>
        <v>5.4590745393670601E-3</v>
      </c>
      <c r="G69" s="142"/>
      <c r="H69" s="93">
        <f t="shared" ca="1" si="22"/>
        <v>-6.1578269120376068E-2</v>
      </c>
      <c r="I69" s="142"/>
      <c r="J69" s="93">
        <f t="shared" ca="1" si="22"/>
        <v>1.4335714097371192E-2</v>
      </c>
      <c r="K69" s="142"/>
      <c r="L69" s="93">
        <f t="shared" ca="1" si="22"/>
        <v>5.4590745393670601E-3</v>
      </c>
      <c r="M69" s="142"/>
      <c r="N69" s="93"/>
      <c r="O69" s="93"/>
      <c r="P69" s="40"/>
      <c r="Q69" s="40"/>
      <c r="Y69" s="45">
        <f t="shared" ref="Y69:AC69" si="23">+Y16-Y18</f>
        <v>2102.6503934086577</v>
      </c>
      <c r="Z69" s="45">
        <f t="shared" ca="1" si="23"/>
        <v>271.01701626341469</v>
      </c>
      <c r="AA69" s="45">
        <f t="shared" ca="1" si="23"/>
        <v>90.771489199995358</v>
      </c>
      <c r="AB69" s="45">
        <f t="shared" ca="1" si="23"/>
        <v>-806.17651163774849</v>
      </c>
      <c r="AC69" s="45">
        <f t="shared" ca="1" si="23"/>
        <v>271.01701626341469</v>
      </c>
      <c r="AD69" s="45">
        <f ca="1">+AD16-AD18</f>
        <v>90.771489199995358</v>
      </c>
    </row>
    <row r="70" spans="2:30" hidden="1" x14ac:dyDescent="0.2">
      <c r="B70" s="57" t="s">
        <v>90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</row>
    <row r="71" spans="2:30" hidden="1" x14ac:dyDescent="0.2">
      <c r="B71" s="57" t="s">
        <v>91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</row>
    <row r="72" spans="2:30" hidden="1" x14ac:dyDescent="0.2">
      <c r="B72" s="57" t="s">
        <v>92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</row>
    <row r="73" spans="2:30" hidden="1" x14ac:dyDescent="0.2">
      <c r="B73" s="57" t="s">
        <v>93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2:30" hidden="1" x14ac:dyDescent="0.2">
      <c r="B74" s="60" t="s">
        <v>94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</row>
    <row r="75" spans="2:30" x14ac:dyDescent="0.2">
      <c r="B75" s="15"/>
      <c r="F75" s="15">
        <f ca="1">F68*1330</f>
        <v>90771489.199995339</v>
      </c>
      <c r="J75" s="15">
        <f ca="1">J68*1330</f>
        <v>271017016.26341462</v>
      </c>
    </row>
    <row r="77" spans="2:30" ht="17.25" x14ac:dyDescent="0.2">
      <c r="B77" s="115" t="s">
        <v>126</v>
      </c>
      <c r="O77" s="33" t="s">
        <v>118</v>
      </c>
    </row>
    <row r="78" spans="2:30" ht="27" x14ac:dyDescent="0.2">
      <c r="B78" s="74" t="s">
        <v>95</v>
      </c>
      <c r="C78" s="75" t="s">
        <v>492</v>
      </c>
      <c r="D78" s="138" t="s">
        <v>1</v>
      </c>
      <c r="E78" s="75" t="s">
        <v>36</v>
      </c>
      <c r="F78" s="75" t="s">
        <v>3</v>
      </c>
      <c r="G78" s="138" t="s">
        <v>4</v>
      </c>
      <c r="H78" s="75" t="s">
        <v>5</v>
      </c>
      <c r="I78" s="138" t="s">
        <v>8</v>
      </c>
      <c r="J78" s="75" t="s">
        <v>6</v>
      </c>
      <c r="K78" s="138" t="s">
        <v>8</v>
      </c>
      <c r="L78" s="75" t="s">
        <v>7</v>
      </c>
      <c r="M78" s="138" t="s">
        <v>8</v>
      </c>
      <c r="N78" s="76" t="s">
        <v>9</v>
      </c>
      <c r="O78" s="76" t="s">
        <v>10</v>
      </c>
    </row>
    <row r="79" spans="2:30" x14ac:dyDescent="0.2">
      <c r="B79" s="95" t="s">
        <v>11</v>
      </c>
      <c r="C79" s="78">
        <f>SUM(C80:C81)</f>
        <v>147645192.97445321</v>
      </c>
      <c r="D79" s="147">
        <f t="shared" ref="D79:D142" ca="1" si="24">+IFERROR(F79/C79,)</f>
        <v>6.9960498624477854E-2</v>
      </c>
      <c r="E79" s="78">
        <f ca="1">SUM(E80:E81)</f>
        <v>11857864.729361806</v>
      </c>
      <c r="F79" s="78">
        <f ca="1">SUM(F80:F81)</f>
        <v>10329331.32</v>
      </c>
      <c r="G79" s="152">
        <f t="shared" ref="G79:G142" ca="1" si="25">+IFERROR(F79/E79,)</f>
        <v>0.87109539160309923</v>
      </c>
      <c r="H79" s="78">
        <f ca="1">SUM(H80:H81)</f>
        <v>7465258.3799999999</v>
      </c>
      <c r="I79" s="147">
        <f ca="1">+IFERROR(H79/$H$79,)</f>
        <v>1</v>
      </c>
      <c r="J79" s="78">
        <f ca="1">SUM(J80:J81)</f>
        <v>11857864.729361806</v>
      </c>
      <c r="K79" s="147">
        <f ca="1">+IFERROR(J79/$J$79,)</f>
        <v>1</v>
      </c>
      <c r="L79" s="78">
        <f ca="1">SUM(L80:L81)</f>
        <v>10329331.32</v>
      </c>
      <c r="M79" s="147">
        <f ca="1">+IFERROR(L79/$L$79,)</f>
        <v>1</v>
      </c>
      <c r="N79" s="131">
        <f t="shared" ref="N79:N89" ca="1" si="26">+IFERROR(L79/H79,)</f>
        <v>1.3836535581505218</v>
      </c>
      <c r="O79" s="131">
        <f t="shared" ref="O79:O89" ca="1" si="27">+IFERROR(L79/J79,)</f>
        <v>0.87109539160309923</v>
      </c>
      <c r="Y79" s="40">
        <f>+C79*1330/1000000</f>
        <v>196368.10665602278</v>
      </c>
      <c r="Z79" s="40">
        <f ca="1">+E79*1330/1000000</f>
        <v>15770.960090051203</v>
      </c>
      <c r="AA79" s="40">
        <f ca="1">+F79*1330/1000000</f>
        <v>13738.010655600001</v>
      </c>
      <c r="AB79" s="40">
        <f ca="1">+H79*1330/1000000</f>
        <v>9928.7936453999991</v>
      </c>
      <c r="AC79" s="40">
        <f ca="1">+J79*1330/1000000</f>
        <v>15770.960090051203</v>
      </c>
      <c r="AD79" s="40">
        <f ca="1">+L79*1330/1000000</f>
        <v>13738.010655600001</v>
      </c>
    </row>
    <row r="80" spans="2:30" x14ac:dyDescent="0.2">
      <c r="B80" s="114" t="s">
        <v>115</v>
      </c>
      <c r="C80" s="81">
        <f>'(계획)손익계산서 월별계획'!C80</f>
        <v>120693183.5952615</v>
      </c>
      <c r="D80" s="179">
        <f t="shared" ca="1" si="24"/>
        <v>7.3521371594247861E-2</v>
      </c>
      <c r="E80" s="176">
        <f ca="1">SUM('(계획)손익계산서 월별계획'!E80:(OFFSET('(계획)손익계산서 월별계획'!E80,0,$C$4-1)))</f>
        <v>9599278.6077278014</v>
      </c>
      <c r="F80" s="176">
        <f ca="1">SUM('3. 손익계산서 월별실적'!E80:(OFFSET('3. 손익계산서 월별실적'!E80,0,$C$4-1)))</f>
        <v>8873528.4000000004</v>
      </c>
      <c r="G80" s="180">
        <f t="shared" ca="1" si="25"/>
        <v>0.92439533871393798</v>
      </c>
      <c r="H80" s="176">
        <f ca="1">OFFSET('3. 손익계산서 월별실적'!E80,0,$C$4-2)</f>
        <v>5716753.0099999998</v>
      </c>
      <c r="I80" s="179">
        <f t="shared" ref="I80:I96" ca="1" si="28">+IFERROR(H80/$H$79,)</f>
        <v>0.76578099765650709</v>
      </c>
      <c r="J80" s="176">
        <f ca="1">OFFSET('(계획)손익계산서 월별계획'!E80,0,$C$4-1)</f>
        <v>9599278.6077278014</v>
      </c>
      <c r="K80" s="179">
        <f t="shared" ref="K80:K143" ca="1" si="29">+IFERROR(J80/$J$79,)</f>
        <v>0.80952842917482304</v>
      </c>
      <c r="L80" s="176">
        <f ca="1">OFFSET('3. 손익계산서 월별실적'!E80,0,$C$4-1)</f>
        <v>8873528.4000000004</v>
      </c>
      <c r="M80" s="182">
        <f ca="1">OFFSET('3. 손익계산서 월별실적'!F80,0,$C$4-1)</f>
        <v>9737936.5999999978</v>
      </c>
      <c r="N80" s="181">
        <f t="shared" ca="1" si="26"/>
        <v>1.5521972673085627</v>
      </c>
      <c r="O80" s="181">
        <f t="shared" ca="1" si="27"/>
        <v>0.92439533871393798</v>
      </c>
    </row>
    <row r="81" spans="2:30" x14ac:dyDescent="0.2">
      <c r="B81" s="114" t="s">
        <v>116</v>
      </c>
      <c r="C81" s="81">
        <f>'(계획)손익계산서 월별계획'!C81</f>
        <v>26952009.379191715</v>
      </c>
      <c r="D81" s="179">
        <f t="shared" ca="1" si="24"/>
        <v>5.4014633919055838E-2</v>
      </c>
      <c r="E81" s="176">
        <f ca="1">SUM('(계획)손익계산서 월별계획'!E81:(OFFSET('(계획)손익계산서 월별계획'!E81,0,$C$4-1)))</f>
        <v>2258586.1216340037</v>
      </c>
      <c r="F81" s="176">
        <f ca="1">SUM('3. 손익계산서 월별실적'!E81:(OFFSET('3. 손익계산서 월별실적'!E81,0,$C$4-1)))</f>
        <v>1455802.92</v>
      </c>
      <c r="G81" s="180">
        <f t="shared" ca="1" si="25"/>
        <v>0.64456382958148184</v>
      </c>
      <c r="H81" s="176">
        <f ca="1">OFFSET('3. 손익계산서 월별실적'!E81,0,$C$4-2)</f>
        <v>1748505.37</v>
      </c>
      <c r="I81" s="179">
        <f t="shared" ca="1" si="28"/>
        <v>0.23421900234349291</v>
      </c>
      <c r="J81" s="176">
        <f ca="1">OFFSET('(계획)손익계산서 월별계획'!E81,0,$C$4-1)</f>
        <v>2258586.1216340037</v>
      </c>
      <c r="K81" s="179">
        <f t="shared" ca="1" si="29"/>
        <v>0.19047157082517685</v>
      </c>
      <c r="L81" s="176">
        <f ca="1">OFFSET('3. 손익계산서 월별실적'!E81,0,$C$4-1)</f>
        <v>1455802.92</v>
      </c>
      <c r="M81" s="182">
        <f ca="1">OFFSET('3. 손익계산서 월별실적'!F81,0,$C$4-1)</f>
        <v>2948284.95</v>
      </c>
      <c r="N81" s="181">
        <f t="shared" ca="1" si="26"/>
        <v>0.83259848381249169</v>
      </c>
      <c r="O81" s="181">
        <f t="shared" ca="1" si="27"/>
        <v>0.64456382958148184</v>
      </c>
    </row>
    <row r="82" spans="2:30" x14ac:dyDescent="0.2">
      <c r="B82" s="177" t="s">
        <v>99</v>
      </c>
      <c r="C82" s="81">
        <f>'(계획)손익계산서 월별계획'!C82</f>
        <v>65701562.934899852</v>
      </c>
      <c r="D82" s="148">
        <f t="shared" ca="1" si="24"/>
        <v>7.501220853578941E-2</v>
      </c>
      <c r="E82" s="81">
        <f ca="1">SUM('(계획)손익계산서 월별계획'!E82:(OFFSET('(계획)손익계산서 월별계획'!E82,0,$C$4-1)))</f>
        <v>5310126.3193960153</v>
      </c>
      <c r="F82" s="81">
        <f ca="1">SUM('3. 손익계산서 월별실적'!E82:(OFFSET('3. 손익계산서 월별실적'!E82,0,$C$4-1)))</f>
        <v>4928419.34</v>
      </c>
      <c r="G82" s="153">
        <f t="shared" ca="1" si="25"/>
        <v>0.92811715645976733</v>
      </c>
      <c r="H82" s="81">
        <f ca="1">OFFSET('3. 손익계산서 월별실적'!E82,0,$C$4-2)</f>
        <v>3666210.81</v>
      </c>
      <c r="I82" s="148">
        <f t="shared" ca="1" si="28"/>
        <v>0.49110300318902023</v>
      </c>
      <c r="J82" s="81">
        <f ca="1">OFFSET('(계획)손익계산서 월별계획'!E82,0,$C$4-1)</f>
        <v>5310126.3193960153</v>
      </c>
      <c r="K82" s="148">
        <f t="shared" ca="1" si="29"/>
        <v>0.44781471543079476</v>
      </c>
      <c r="L82" s="81">
        <f ca="1">OFFSET('3. 손익계산서 월별실적'!E82,0,$C$4-1)</f>
        <v>4928419.34</v>
      </c>
      <c r="M82" s="155">
        <f ca="1">OFFSET('3. 손익계산서 월별실적'!F82,0,$C$4-1)</f>
        <v>7221166.5700000003</v>
      </c>
      <c r="N82" s="132">
        <f t="shared" ca="1" si="26"/>
        <v>1.3442814926400808</v>
      </c>
      <c r="O82" s="132">
        <f t="shared" ca="1" si="27"/>
        <v>0.92811715645976733</v>
      </c>
    </row>
    <row r="83" spans="2:30" x14ac:dyDescent="0.2">
      <c r="B83" s="178" t="s">
        <v>100</v>
      </c>
      <c r="C83" s="81">
        <f>'(계획)손익계산서 월별계획'!C83</f>
        <v>13540165.429702908</v>
      </c>
      <c r="D83" s="148">
        <f t="shared" ca="1" si="24"/>
        <v>7.6589458628405702E-2</v>
      </c>
      <c r="E83" s="81">
        <f ca="1">SUM('(계획)손익계산서 월별계획'!E83:(OFFSET('(계획)손익계산서 월별계획'!E83,0,$C$4-1)))</f>
        <v>1497523.2497738339</v>
      </c>
      <c r="F83" s="81">
        <f ca="1">SUM('3. 손익계산서 월별실적'!E83:(OFFSET('3. 손익계산서 월별실적'!E83,0,$C$4-1)))</f>
        <v>1037033.94</v>
      </c>
      <c r="G83" s="153">
        <f t="shared" ca="1" si="25"/>
        <v>0.6924993920171989</v>
      </c>
      <c r="H83" s="81">
        <f ca="1">OFFSET('3. 손익계산서 월별실적'!E83,0,$C$4-2)</f>
        <v>613806.52</v>
      </c>
      <c r="I83" s="148">
        <f t="shared" ca="1" si="28"/>
        <v>8.2221738184499391E-2</v>
      </c>
      <c r="J83" s="81">
        <f ca="1">OFFSET('(계획)손익계산서 월별계획'!E83,0,$C$4-1)</f>
        <v>1497523.2497738339</v>
      </c>
      <c r="K83" s="148">
        <f t="shared" ca="1" si="29"/>
        <v>0.12628945294558366</v>
      </c>
      <c r="L83" s="81">
        <f ca="1">OFFSET('3. 손익계산서 월별실적'!E83,0,$C$4-1)</f>
        <v>1037033.94</v>
      </c>
      <c r="M83" s="155">
        <f ca="1">OFFSET('3. 손익계산서 월별실적'!F83,0,$C$4-1)</f>
        <v>1302578.51</v>
      </c>
      <c r="N83" s="132">
        <f t="shared" ca="1" si="26"/>
        <v>1.6895127474370912</v>
      </c>
      <c r="O83" s="132">
        <f t="shared" ca="1" si="27"/>
        <v>0.6924993920171989</v>
      </c>
    </row>
    <row r="84" spans="2:30" x14ac:dyDescent="0.2">
      <c r="B84" s="178" t="s">
        <v>101</v>
      </c>
      <c r="C84" s="81">
        <f>'(계획)손익계산서 월별계획'!C84</f>
        <v>19818597.192495633</v>
      </c>
      <c r="D84" s="148">
        <f t="shared" ca="1" si="24"/>
        <v>5.6737265966825205E-2</v>
      </c>
      <c r="E84" s="81">
        <f ca="1">SUM('(계획)손익계산서 월별계획'!E84:(OFFSET('(계획)손익계산서 월별계획'!E84,0,$C$4-1)))</f>
        <v>1601777.0333660855</v>
      </c>
      <c r="F84" s="81">
        <f ca="1">SUM('3. 손익계산서 월별실적'!E84:(OFFSET('3. 손익계산서 월별실적'!E84,0,$C$4-1)))</f>
        <v>1124453.02</v>
      </c>
      <c r="G84" s="153">
        <f t="shared" ca="1" si="25"/>
        <v>0.70200346026749827</v>
      </c>
      <c r="H84" s="81">
        <f ca="1">OFFSET('3. 손익계산서 월별실적'!E84,0,$C$4-2)</f>
        <v>1325035.8</v>
      </c>
      <c r="I84" s="148">
        <f t="shared" ca="1" si="28"/>
        <v>0.17749362882735212</v>
      </c>
      <c r="J84" s="81">
        <f ca="1">OFFSET('(계획)손익계산서 월별계획'!E84,0,$C$4-1)</f>
        <v>1601777.0333660855</v>
      </c>
      <c r="K84" s="148">
        <f t="shared" ca="1" si="29"/>
        <v>0.13508140545741354</v>
      </c>
      <c r="L84" s="81">
        <f ca="1">OFFSET('3. 손익계산서 월별실적'!E84,0,$C$4-1)</f>
        <v>1124453.02</v>
      </c>
      <c r="M84" s="155">
        <f ca="1">OFFSET('3. 손익계산서 월별실적'!F84,0,$C$4-1)</f>
        <v>1679022.8</v>
      </c>
      <c r="N84" s="132">
        <f t="shared" ca="1" si="26"/>
        <v>0.84862085990431346</v>
      </c>
      <c r="O84" s="132">
        <f t="shared" ca="1" si="27"/>
        <v>0.70200346026749827</v>
      </c>
    </row>
    <row r="85" spans="2:30" x14ac:dyDescent="0.2">
      <c r="B85" s="177" t="s">
        <v>102</v>
      </c>
      <c r="C85" s="81">
        <f>'(계획)손익계산서 월별계획'!C85</f>
        <v>17036351.944560003</v>
      </c>
      <c r="D85" s="148">
        <f t="shared" ca="1" si="24"/>
        <v>0.11237660716508786</v>
      </c>
      <c r="E85" s="81">
        <f ca="1">SUM('(계획)손익계산서 월별계획'!E85:(OFFSET('(계획)손익계산서 월별계획'!E85,0,$C$4-1)))</f>
        <v>1376910.6366151236</v>
      </c>
      <c r="F85" s="81">
        <f ca="1">SUM('3. 손익계산서 월별실적'!E85:(OFFSET('3. 손익계산서 월별실적'!E85,0,$C$4-1)))</f>
        <v>1914487.4300000002</v>
      </c>
      <c r="G85" s="153">
        <f t="shared" ca="1" si="25"/>
        <v>1.3904224276358328</v>
      </c>
      <c r="H85" s="81">
        <f ca="1">OFFSET('3. 손익계산서 월별실적'!E85,0,$C$4-2)</f>
        <v>839223.27</v>
      </c>
      <c r="I85" s="148">
        <f t="shared" ca="1" si="28"/>
        <v>0.11241717664432668</v>
      </c>
      <c r="J85" s="81">
        <f ca="1">OFFSET('(계획)손익계산서 월별계획'!E85,0,$C$4-1)</f>
        <v>1376910.6366151236</v>
      </c>
      <c r="K85" s="148">
        <f t="shared" ca="1" si="29"/>
        <v>0.11611792409856823</v>
      </c>
      <c r="L85" s="81">
        <f ca="1">OFFSET('3. 손익계산서 월별실적'!E85,0,$C$4-1)</f>
        <v>1914487.4300000002</v>
      </c>
      <c r="M85" s="155">
        <f ca="1">OFFSET('3. 손익계산서 월별실적'!F85,0,$C$4-1)</f>
        <v>1356465.0100000002</v>
      </c>
      <c r="N85" s="132">
        <f t="shared" ca="1" si="26"/>
        <v>2.2812611356689385</v>
      </c>
      <c r="O85" s="132">
        <f t="shared" ca="1" si="27"/>
        <v>1.3904224276358328</v>
      </c>
    </row>
    <row r="86" spans="2:30" x14ac:dyDescent="0.2">
      <c r="B86" s="177" t="s">
        <v>105</v>
      </c>
      <c r="C86" s="81">
        <f>'(계획)손익계산서 월별계획'!C86</f>
        <v>11446560.688808788</v>
      </c>
      <c r="D86" s="148">
        <f t="shared" ca="1" si="24"/>
        <v>7.3007956950514194E-2</v>
      </c>
      <c r="E86" s="81">
        <f ca="1">SUM('(계획)손익계산서 월별계획'!E86:(OFFSET('(계획)손익계산서 월별계획'!E86,0,$C$4-1)))</f>
        <v>925132.98717769631</v>
      </c>
      <c r="F86" s="81">
        <f ca="1">SUM('3. 손익계산서 월별실적'!E86:(OFFSET('3. 손익계산서 월별실적'!E86,0,$C$4-1)))</f>
        <v>835690.01</v>
      </c>
      <c r="G86" s="153">
        <f t="shared" ca="1" si="25"/>
        <v>0.90331878938771815</v>
      </c>
      <c r="H86" s="81">
        <f ca="1">OFFSET('3. 손익계산서 월별실적'!E86,0,$C$4-2)</f>
        <v>608551.76</v>
      </c>
      <c r="I86" s="148">
        <f t="shared" ca="1" si="28"/>
        <v>8.1517842922939801E-2</v>
      </c>
      <c r="J86" s="81">
        <f ca="1">OFFSET('(계획)손익계산서 월별계획'!E86,0,$C$4-1)</f>
        <v>925132.98717769631</v>
      </c>
      <c r="K86" s="148">
        <f t="shared" ca="1" si="29"/>
        <v>7.8018514150100887E-2</v>
      </c>
      <c r="L86" s="81">
        <f ca="1">OFFSET('3. 손익계산서 월별실적'!E86,0,$C$4-1)</f>
        <v>835690.01</v>
      </c>
      <c r="M86" s="155">
        <f ca="1">OFFSET('3. 손익계산서 월별실적'!F86,0,$C$4-1)</f>
        <v>525820.30000000005</v>
      </c>
      <c r="N86" s="132">
        <f t="shared" ca="1" si="26"/>
        <v>1.3732439291606025</v>
      </c>
      <c r="O86" s="132">
        <f t="shared" ca="1" si="27"/>
        <v>0.90331878938771815</v>
      </c>
    </row>
    <row r="87" spans="2:30" x14ac:dyDescent="0.2">
      <c r="B87" s="177" t="s">
        <v>508</v>
      </c>
      <c r="C87" s="81">
        <f>'(계획)손익계산서 월별계획'!C87</f>
        <v>14470562.642430523</v>
      </c>
      <c r="D87" s="148">
        <f t="shared" ca="1" si="24"/>
        <v>8.3570261218044832E-3</v>
      </c>
      <c r="E87" s="81">
        <f ca="1">SUM('(계획)손익계산서 월별계획'!E87:(OFFSET('(계획)손익계산서 월별계획'!E87,0,$C$4-1)))</f>
        <v>691254.59022239968</v>
      </c>
      <c r="F87" s="81">
        <f ca="1">SUM('3. 손익계산서 월별실적'!E87:(OFFSET('3. 손익계산서 월별실적'!E87,0,$C$4-1)))</f>
        <v>120930.87</v>
      </c>
      <c r="G87" s="153">
        <f t="shared" ca="1" si="25"/>
        <v>0.17494403901331418</v>
      </c>
      <c r="H87" s="81">
        <f ca="1">OFFSET('3. 손익계산서 월별실적'!E87,0,$C$4-2)</f>
        <v>0</v>
      </c>
      <c r="I87" s="148">
        <f t="shared" ca="1" si="28"/>
        <v>0</v>
      </c>
      <c r="J87" s="81">
        <f ca="1">OFFSET('(계획)손익계산서 월별계획'!E87,0,$C$4-1)</f>
        <v>691254.59022239968</v>
      </c>
      <c r="K87" s="148">
        <f t="shared" ca="1" si="29"/>
        <v>5.829503085076964E-2</v>
      </c>
      <c r="L87" s="81">
        <f ca="1">OFFSET('3. 손익계산서 월별실적'!E87,0,$C$4-1)</f>
        <v>120930.87</v>
      </c>
      <c r="M87" s="155">
        <f ca="1">OFFSET('3. 손익계산서 월별실적'!F87,0,$C$4-1)</f>
        <v>23868.55</v>
      </c>
      <c r="N87" s="132">
        <f t="shared" ca="1" si="26"/>
        <v>0</v>
      </c>
      <c r="O87" s="132">
        <f t="shared" ca="1" si="27"/>
        <v>0.17494403901331418</v>
      </c>
    </row>
    <row r="88" spans="2:30" x14ac:dyDescent="0.2">
      <c r="B88" s="177" t="s">
        <v>104</v>
      </c>
      <c r="C88" s="81">
        <f>'(계획)손익계산서 월별계획'!C88</f>
        <v>5631392.1415555105</v>
      </c>
      <c r="D88" s="148">
        <f t="shared" ca="1" si="24"/>
        <v>6.5404202147830368E-2</v>
      </c>
      <c r="E88" s="81">
        <f ca="1">SUM('(계획)손익계산서 월별계획'!E88:(OFFSET('(계획)손익계산서 월별계획'!E88,0,$C$4-1)))</f>
        <v>455139.91281065083</v>
      </c>
      <c r="F88" s="81">
        <f ca="1">SUM('3. 손익계산서 월별실적'!E88:(OFFSET('3. 손익계산서 월별실적'!E88,0,$C$4-1)))</f>
        <v>368316.70999999996</v>
      </c>
      <c r="G88" s="153">
        <f t="shared" ca="1" si="25"/>
        <v>0.80923843335451129</v>
      </c>
      <c r="H88" s="81">
        <f ca="1">OFFSET('3. 손익계산서 월별실적'!E88,0,$C$4-2)</f>
        <v>412430.22</v>
      </c>
      <c r="I88" s="148">
        <f t="shared" ca="1" si="28"/>
        <v>5.5246610231861788E-2</v>
      </c>
      <c r="J88" s="81">
        <f ca="1">OFFSET('(계획)손익계산서 월별계획'!E88,0,$C$4-1)</f>
        <v>455139.91281065083</v>
      </c>
      <c r="K88" s="148">
        <f t="shared" ca="1" si="29"/>
        <v>3.838295706676919E-2</v>
      </c>
      <c r="L88" s="81">
        <f ca="1">OFFSET('3. 손익계산서 월별실적'!E88,0,$C$4-1)</f>
        <v>368316.70999999996</v>
      </c>
      <c r="M88" s="155">
        <f ca="1">OFFSET('3. 손익계산서 월별실적'!F88,0,$C$4-1)</f>
        <v>577299.81000000006</v>
      </c>
      <c r="N88" s="132">
        <f t="shared" ca="1" si="26"/>
        <v>0.89304006384401213</v>
      </c>
      <c r="O88" s="132">
        <f t="shared" ca="1" si="27"/>
        <v>0.80923843335451129</v>
      </c>
    </row>
    <row r="89" spans="2:30" x14ac:dyDescent="0.2">
      <c r="B89" s="178" t="s">
        <v>114</v>
      </c>
      <c r="C89" s="81">
        <f>'(계획)손익계산서 월별계획'!C89</f>
        <v>0</v>
      </c>
      <c r="D89" s="148">
        <f t="shared" ca="1" si="24"/>
        <v>0</v>
      </c>
      <c r="E89" s="81">
        <f ca="1">SUM('(계획)손익계산서 월별계획'!E89:(OFFSET('(계획)손익계산서 월별계획'!E89,0,$C$4-1)))</f>
        <v>0</v>
      </c>
      <c r="F89" s="81">
        <f ca="1">SUM('3. 손익계산서 월별실적'!E89:(OFFSET('3. 손익계산서 월별실적'!E89,0,$C$4-1)))</f>
        <v>631.81666200000006</v>
      </c>
      <c r="G89" s="153">
        <f t="shared" ca="1" si="25"/>
        <v>0</v>
      </c>
      <c r="H89" s="81">
        <f ca="1">OFFSET('3. 손익계산서 월별실적'!E89,0,$C$4-2)</f>
        <v>476.23611399999999</v>
      </c>
      <c r="I89" s="148">
        <f t="shared" ca="1" si="28"/>
        <v>6.3793654520501671E-5</v>
      </c>
      <c r="J89" s="81">
        <f ca="1">OFFSET('(계획)손익계산서 월별계획'!E89,0,$C$4-1)</f>
        <v>0</v>
      </c>
      <c r="K89" s="148">
        <f t="shared" ca="1" si="29"/>
        <v>0</v>
      </c>
      <c r="L89" s="81">
        <f ca="1">OFFSET('3. 손익계산서 월별실적'!E89,0,$C$4-1)</f>
        <v>631.81666200000006</v>
      </c>
      <c r="M89" s="155">
        <f ca="1">OFFSET('3. 손익계산서 월별실적'!F89,0,$C$4-1)</f>
        <v>714.67057</v>
      </c>
      <c r="N89" s="132">
        <f t="shared" ca="1" si="26"/>
        <v>1.3266878412333092</v>
      </c>
      <c r="O89" s="132">
        <f t="shared" ca="1" si="27"/>
        <v>0</v>
      </c>
    </row>
    <row r="90" spans="2:30" x14ac:dyDescent="0.2">
      <c r="B90" s="67"/>
      <c r="C90" s="81"/>
      <c r="D90" s="148"/>
      <c r="E90" s="81"/>
      <c r="F90" s="81"/>
      <c r="G90" s="153"/>
      <c r="H90" s="81"/>
      <c r="I90" s="148"/>
      <c r="J90" s="81"/>
      <c r="K90" s="148"/>
      <c r="L90" s="81"/>
      <c r="M90" s="155"/>
      <c r="N90" s="132"/>
      <c r="O90" s="132"/>
    </row>
    <row r="91" spans="2:30" x14ac:dyDescent="0.2">
      <c r="B91" s="95" t="s">
        <v>12</v>
      </c>
      <c r="C91" s="78">
        <f t="shared" ref="C91:L91" si="30">SUM(C92:C95)</f>
        <v>132438916.62049095</v>
      </c>
      <c r="D91" s="147">
        <f t="shared" ca="1" si="24"/>
        <v>7.0401497746451713E-2</v>
      </c>
      <c r="E91" s="78">
        <f t="shared" ca="1" si="30"/>
        <v>10670570.499924697</v>
      </c>
      <c r="F91" s="78">
        <f t="shared" ca="1" si="30"/>
        <v>9323898.0899999999</v>
      </c>
      <c r="G91" s="152">
        <f t="shared" ca="1" si="25"/>
        <v>0.87379565038868345</v>
      </c>
      <c r="H91" s="78">
        <f t="shared" ca="1" si="30"/>
        <v>6804593.9199999999</v>
      </c>
      <c r="I91" s="147">
        <f t="shared" ca="1" si="28"/>
        <v>0.91150146098493112</v>
      </c>
      <c r="J91" s="78">
        <f t="shared" ca="1" si="30"/>
        <v>10670570.499924697</v>
      </c>
      <c r="K91" s="147">
        <f t="shared" ca="1" si="29"/>
        <v>0.89987284755431596</v>
      </c>
      <c r="L91" s="78">
        <f t="shared" ca="1" si="30"/>
        <v>9323898.0899999999</v>
      </c>
      <c r="M91" s="147">
        <f t="shared" ref="M91:M148" ca="1" si="31">+IFERROR(L91/$L$79,)</f>
        <v>0.90266231192979096</v>
      </c>
      <c r="N91" s="131">
        <f t="shared" ref="N91:N94" ca="1" si="32">+IFERROR(L91/H91,)</f>
        <v>1.3702357847681821</v>
      </c>
      <c r="O91" s="131">
        <f t="shared" ref="O91:O94" ca="1" si="33">+IFERROR(L91/J91,)</f>
        <v>0.87379565038868345</v>
      </c>
      <c r="Y91" s="40">
        <f>+C91*1330/1000000</f>
        <v>176143.75910525295</v>
      </c>
      <c r="Z91" s="40">
        <f ca="1">+E91*1330/1000000</f>
        <v>14191.858764899847</v>
      </c>
      <c r="AA91" s="40">
        <f ca="1">+F91*1330/1000000</f>
        <v>12400.784459699998</v>
      </c>
      <c r="AB91" s="40">
        <f ca="1">+H91*1330/1000000</f>
        <v>9050.1099136000012</v>
      </c>
      <c r="AC91" s="40">
        <f ca="1">+J91*1330/1000000</f>
        <v>14191.858764899847</v>
      </c>
      <c r="AD91" s="40">
        <f ca="1">+L91*1330/1000000</f>
        <v>12400.784459699998</v>
      </c>
    </row>
    <row r="92" spans="2:30" x14ac:dyDescent="0.2">
      <c r="B92" s="114" t="s">
        <v>115</v>
      </c>
      <c r="C92" s="81">
        <f>'(계획)손익계산서 월별계획'!C92</f>
        <v>106640309.7343751</v>
      </c>
      <c r="D92" s="148">
        <f t="shared" ca="1" si="24"/>
        <v>7.6193148540535924E-2</v>
      </c>
      <c r="E92" s="81">
        <f ca="1">SUM('(계획)손익계산서 월별계획'!E92:(OFFSET('(계획)손익계산서 월별계획'!E92,0,$C$4-1)))</f>
        <v>8499313.9347360209</v>
      </c>
      <c r="F92" s="81">
        <f ca="1">SUM('3. 손익계산서 월별실적'!E92:(OFFSET('3. 손익계산서 월별실적'!E92,0,$C$4-1)))</f>
        <v>8125260.9600000009</v>
      </c>
      <c r="G92" s="153">
        <f t="shared" ca="1" si="25"/>
        <v>0.95599021549171215</v>
      </c>
      <c r="H92" s="81">
        <f ca="1">OFFSET('3. 손익계산서 월별실적'!E92,0,$C$4-2)</f>
        <v>5300798.46</v>
      </c>
      <c r="I92" s="148">
        <f t="shared" ca="1" si="28"/>
        <v>0.71006228990027265</v>
      </c>
      <c r="J92" s="81">
        <f ca="1">OFFSET('(계획)손익계산서 월별계획'!E92,0,$C$4-1)</f>
        <v>8499313.9347360209</v>
      </c>
      <c r="K92" s="148">
        <f t="shared" ca="1" si="29"/>
        <v>0.71676597167536216</v>
      </c>
      <c r="L92" s="81">
        <f ca="1">OFFSET('3. 손익계산서 월별실적'!E92,0,$C$4-1)</f>
        <v>8125260.9600000009</v>
      </c>
      <c r="M92" s="148">
        <f t="shared" ca="1" si="31"/>
        <v>0.7866202281911121</v>
      </c>
      <c r="N92" s="132">
        <f t="shared" ca="1" si="32"/>
        <v>1.5328371794010824</v>
      </c>
      <c r="O92" s="132">
        <f t="shared" ca="1" si="33"/>
        <v>0.95599021549171215</v>
      </c>
    </row>
    <row r="93" spans="2:30" x14ac:dyDescent="0.2">
      <c r="B93" s="114" t="s">
        <v>116</v>
      </c>
      <c r="C93" s="81">
        <f>'(계획)손익계산서 월별계획'!C93</f>
        <v>25798606.886115849</v>
      </c>
      <c r="D93" s="148">
        <f t="shared" ca="1" si="24"/>
        <v>4.6461312244153612E-2</v>
      </c>
      <c r="E93" s="81">
        <f ca="1">SUM('(계획)손익계산서 월별계획'!E93:(OFFSET('(계획)손익계산서 월별계획'!E93,0,$C$4-1)))</f>
        <v>2171256.5651886752</v>
      </c>
      <c r="F93" s="81">
        <f ca="1">SUM('3. 손익계산서 월별실적'!E93:(OFFSET('3. 손익계산서 월별실적'!E93,0,$C$4-1)))</f>
        <v>1198637.1299999999</v>
      </c>
      <c r="G93" s="153">
        <f t="shared" ca="1" si="25"/>
        <v>0.55204767102032559</v>
      </c>
      <c r="H93" s="81">
        <f ca="1">OFFSET('3. 손익계산서 월별실적'!E93,0,$C$4-2)</f>
        <v>1503795.46</v>
      </c>
      <c r="I93" s="148">
        <f t="shared" ca="1" si="28"/>
        <v>0.20143917108465842</v>
      </c>
      <c r="J93" s="81">
        <f ca="1">OFFSET('(계획)손익계산서 월별계획'!E93,0,$C$4-1)</f>
        <v>2171256.5651886752</v>
      </c>
      <c r="K93" s="148">
        <f t="shared" ca="1" si="29"/>
        <v>0.18310687587895372</v>
      </c>
      <c r="L93" s="81">
        <f ca="1">OFFSET('3. 손익계산서 월별실적'!E93,0,$C$4-1)</f>
        <v>1198637.1299999999</v>
      </c>
      <c r="M93" s="148">
        <f t="shared" ca="1" si="31"/>
        <v>0.11604208373867901</v>
      </c>
      <c r="N93" s="132">
        <f t="shared" ca="1" si="32"/>
        <v>0.79707457688427918</v>
      </c>
      <c r="O93" s="132">
        <f t="shared" ca="1" si="33"/>
        <v>0.55204767102032559</v>
      </c>
    </row>
    <row r="94" spans="2:30" x14ac:dyDescent="0.2">
      <c r="B94" s="114" t="s">
        <v>117</v>
      </c>
      <c r="C94" s="81">
        <f>'(계획)손익계산서 월별계획'!C94</f>
        <v>0</v>
      </c>
      <c r="D94" s="148">
        <f t="shared" ca="1" si="24"/>
        <v>0</v>
      </c>
      <c r="E94" s="81">
        <f ca="1">SUM('(계획)손익계산서 월별계획'!E94:(OFFSET('(계획)손익계산서 월별계획'!E94,0,$C$4-1)))</f>
        <v>0</v>
      </c>
      <c r="F94" s="81">
        <f ca="1">SUM('3. 손익계산서 월별실적'!E94:(OFFSET('3. 손익계산서 월별실적'!E94,0,$C$4-1)))</f>
        <v>0</v>
      </c>
      <c r="G94" s="153">
        <f t="shared" ca="1" si="25"/>
        <v>0</v>
      </c>
      <c r="H94" s="81">
        <f ca="1">OFFSET('3. 손익계산서 월별실적'!E94,0,$C$4-2)</f>
        <v>0</v>
      </c>
      <c r="I94" s="148">
        <f t="shared" ca="1" si="28"/>
        <v>0</v>
      </c>
      <c r="J94" s="81">
        <f ca="1">OFFSET('(계획)손익계산서 월별계획'!E94,0,$C$4-1)</f>
        <v>0</v>
      </c>
      <c r="K94" s="148">
        <f t="shared" ca="1" si="29"/>
        <v>0</v>
      </c>
      <c r="L94" s="81">
        <f ca="1">OFFSET('3. 손익계산서 월별실적'!E94,0,$C$4-1)</f>
        <v>0</v>
      </c>
      <c r="M94" s="148">
        <f t="shared" ca="1" si="31"/>
        <v>0</v>
      </c>
      <c r="N94" s="132">
        <f t="shared" ca="1" si="32"/>
        <v>0</v>
      </c>
      <c r="O94" s="132">
        <f t="shared" ca="1" si="33"/>
        <v>0</v>
      </c>
    </row>
    <row r="95" spans="2:30" x14ac:dyDescent="0.2">
      <c r="B95" s="80"/>
      <c r="C95" s="81"/>
      <c r="D95" s="148"/>
      <c r="E95" s="81"/>
      <c r="F95" s="81"/>
      <c r="G95" s="153"/>
      <c r="H95" s="81"/>
      <c r="I95" s="148"/>
      <c r="J95" s="81"/>
      <c r="K95" s="148"/>
      <c r="L95" s="81"/>
      <c r="M95" s="148"/>
      <c r="N95" s="132"/>
      <c r="O95" s="132"/>
    </row>
    <row r="96" spans="2:30" x14ac:dyDescent="0.2">
      <c r="B96" s="95" t="s">
        <v>13</v>
      </c>
      <c r="C96" s="78">
        <f>+C79-C91</f>
        <v>15206276.353962258</v>
      </c>
      <c r="D96" s="147">
        <f ca="1">IF(AND(C96&gt;0,F96&gt;0),F96/C96,"(-)")</f>
        <v>6.6119621043058144E-2</v>
      </c>
      <c r="E96" s="78">
        <f ca="1">+E79-E91</f>
        <v>1187294.2294371091</v>
      </c>
      <c r="F96" s="78">
        <f ca="1">+F79-F91</f>
        <v>1005433.2300000004</v>
      </c>
      <c r="G96" s="147">
        <f t="shared" ref="G96" ca="1" si="34">IF(AND(E96&gt;0,F96&gt;0),F96/E96,"(-)")</f>
        <v>0.84682735338204407</v>
      </c>
      <c r="H96" s="78">
        <f ca="1">+H79-H91</f>
        <v>660664.46</v>
      </c>
      <c r="I96" s="147">
        <f t="shared" ca="1" si="28"/>
        <v>8.8498539015068892E-2</v>
      </c>
      <c r="J96" s="78">
        <f ca="1">+J79-J91</f>
        <v>1187294.2294371091</v>
      </c>
      <c r="K96" s="147">
        <f t="shared" ca="1" si="29"/>
        <v>0.100127152445684</v>
      </c>
      <c r="L96" s="78">
        <f ca="1">+L79-L91</f>
        <v>1005433.2300000004</v>
      </c>
      <c r="M96" s="147">
        <f t="shared" ca="1" si="31"/>
        <v>9.7337688070209025E-2</v>
      </c>
      <c r="N96" s="131">
        <f ca="1">+IF(AND(H96&gt;0,L96&gt;0),L96/H96,"(-)")</f>
        <v>1.5218515462448223</v>
      </c>
      <c r="O96" s="131">
        <f ca="1">+IF(AND(J96&gt;0,N96&gt;0),L96/J96,"(-)")</f>
        <v>0.84682735338204407</v>
      </c>
      <c r="Y96" s="40">
        <f>+C96*1330/1000000</f>
        <v>20224.347550769802</v>
      </c>
      <c r="Z96" s="40">
        <f ca="1">+E96*1330/1000000</f>
        <v>1579.101325151355</v>
      </c>
      <c r="AA96" s="40">
        <f ca="1">+F96*1330/1000000</f>
        <v>1337.2261959000007</v>
      </c>
      <c r="AB96" s="40">
        <f ca="1">+H96*1330/1000000</f>
        <v>878.68373179999992</v>
      </c>
      <c r="AC96" s="40">
        <f ca="1">+J96*1330/1000000</f>
        <v>1579.101325151355</v>
      </c>
      <c r="AD96" s="40">
        <f ca="1">+L96*1330/1000000</f>
        <v>1337.2261959000007</v>
      </c>
    </row>
    <row r="97" spans="2:30" x14ac:dyDescent="0.2">
      <c r="B97" s="96" t="s">
        <v>14</v>
      </c>
      <c r="C97" s="82">
        <f>+IFERROR(C96/C79,)</f>
        <v>0.10299201787486148</v>
      </c>
      <c r="D97" s="137">
        <f t="shared" ca="1" si="24"/>
        <v>0.94509933952820846</v>
      </c>
      <c r="E97" s="82">
        <f ca="1">+IFERROR(E96/E79,)</f>
        <v>0.100127152445684</v>
      </c>
      <c r="F97" s="82">
        <f ca="1">+IFERROR(F96/F79,)</f>
        <v>9.7337688070209025E-2</v>
      </c>
      <c r="G97" s="144"/>
      <c r="H97" s="82">
        <f ca="1">+IFERROR(H96/H79,)</f>
        <v>8.8498539015068892E-2</v>
      </c>
      <c r="I97" s="137"/>
      <c r="J97" s="82">
        <f ca="1">+IFERROR(J96/J79,)</f>
        <v>0.100127152445684</v>
      </c>
      <c r="K97" s="137"/>
      <c r="L97" s="82">
        <f ca="1">+IFERROR(L96/L79,)</f>
        <v>9.7337688070209025E-2</v>
      </c>
      <c r="M97" s="137"/>
      <c r="N97" s="82"/>
      <c r="O97" s="82"/>
    </row>
    <row r="98" spans="2:30" x14ac:dyDescent="0.2">
      <c r="B98" s="95" t="s">
        <v>15</v>
      </c>
      <c r="C98" s="78">
        <f>SUM(C99,C115,C133)</f>
        <v>7018954.5251176823</v>
      </c>
      <c r="D98" s="147">
        <f t="shared" ca="1" si="24"/>
        <v>4.8814191454567869E-2</v>
      </c>
      <c r="E98" s="78">
        <f t="shared" ref="E98:L98" ca="1" si="35">SUM(E99,E115,E133)</f>
        <v>622857.48173072503</v>
      </c>
      <c r="F98" s="78">
        <f t="shared" ca="1" si="35"/>
        <v>342624.59</v>
      </c>
      <c r="G98" s="147">
        <f t="shared" ca="1" si="25"/>
        <v>0.55008505163645793</v>
      </c>
      <c r="H98" s="78">
        <f t="shared" ca="1" si="35"/>
        <v>482172.68</v>
      </c>
      <c r="I98" s="147">
        <f t="shared" ref="I98:I148" ca="1" si="36">+IFERROR(H98/$H$79,)</f>
        <v>6.4588880311467534E-2</v>
      </c>
      <c r="J98" s="78">
        <f t="shared" ca="1" si="35"/>
        <v>622857.48173072503</v>
      </c>
      <c r="K98" s="147">
        <f t="shared" ca="1" si="29"/>
        <v>5.2526951179366961E-2</v>
      </c>
      <c r="L98" s="78">
        <f t="shared" ca="1" si="35"/>
        <v>342624.59</v>
      </c>
      <c r="M98" s="147">
        <f t="shared" ca="1" si="31"/>
        <v>3.3170064875022325E-2</v>
      </c>
      <c r="N98" s="131">
        <f t="shared" ref="N98:N147" ca="1" si="37">+IFERROR(L98/H98,)</f>
        <v>0.7105848261664266</v>
      </c>
      <c r="O98" s="131">
        <f t="shared" ref="O98:O147" ca="1" si="38">+IFERROR(L98/J98,)</f>
        <v>0.55008505163645793</v>
      </c>
      <c r="Y98" s="40">
        <f>+C98*1330/1000000</f>
        <v>9335.2095184065165</v>
      </c>
      <c r="Z98" s="40">
        <f ca="1">+E98*1330/1000000</f>
        <v>828.4004507018642</v>
      </c>
      <c r="AA98" s="40">
        <f ca="1">+F98*1330/1000000</f>
        <v>455.69070470000003</v>
      </c>
      <c r="AB98" s="40">
        <f ca="1">+H98*1330/1000000</f>
        <v>641.28966439999999</v>
      </c>
      <c r="AC98" s="40">
        <f ca="1">+J98*1330/1000000</f>
        <v>828.4004507018642</v>
      </c>
      <c r="AD98" s="40">
        <f ca="1">+L98*1330/1000000</f>
        <v>455.69070470000003</v>
      </c>
    </row>
    <row r="99" spans="2:30" ht="16.5" hidden="1" outlineLevel="1" x14ac:dyDescent="0.2">
      <c r="B99" s="97" t="s">
        <v>16</v>
      </c>
      <c r="C99" s="98">
        <f>SUM(C100:C113)</f>
        <v>0</v>
      </c>
      <c r="D99" s="149">
        <f t="shared" ca="1" si="24"/>
        <v>0</v>
      </c>
      <c r="E99" s="98">
        <f t="shared" ref="E99:L99" ca="1" si="39">SUM(E100:E113)</f>
        <v>0</v>
      </c>
      <c r="F99" s="98">
        <f t="shared" ca="1" si="39"/>
        <v>0</v>
      </c>
      <c r="G99" s="149">
        <f t="shared" ca="1" si="25"/>
        <v>0</v>
      </c>
      <c r="H99" s="98">
        <f t="shared" ca="1" si="39"/>
        <v>0</v>
      </c>
      <c r="I99" s="149">
        <f t="shared" ca="1" si="36"/>
        <v>0</v>
      </c>
      <c r="J99" s="98">
        <f t="shared" ca="1" si="39"/>
        <v>0</v>
      </c>
      <c r="K99" s="149">
        <f t="shared" ca="1" si="29"/>
        <v>0</v>
      </c>
      <c r="L99" s="98">
        <f t="shared" ca="1" si="39"/>
        <v>0</v>
      </c>
      <c r="M99" s="149">
        <f t="shared" ca="1" si="31"/>
        <v>0</v>
      </c>
      <c r="N99" s="133">
        <f t="shared" ca="1" si="37"/>
        <v>0</v>
      </c>
      <c r="O99" s="133">
        <f t="shared" ca="1" si="38"/>
        <v>0</v>
      </c>
    </row>
    <row r="100" spans="2:30" hidden="1" outlineLevel="1" x14ac:dyDescent="0.2">
      <c r="B100" s="67" t="s">
        <v>19</v>
      </c>
      <c r="C100" s="81">
        <f>'(계획)손익계산서 월별계획'!C100</f>
        <v>0</v>
      </c>
      <c r="D100" s="148">
        <f t="shared" ca="1" si="24"/>
        <v>0</v>
      </c>
      <c r="E100" s="81">
        <f ca="1">SUM('(계획)손익계산서 월별계획'!E100:(OFFSET('(계획)손익계산서 월별계획'!E100,0,$C$4-1)))</f>
        <v>0</v>
      </c>
      <c r="F100" s="81">
        <f ca="1">SUM('3. 손익계산서 월별실적'!E100:(OFFSET('3. 손익계산서 월별실적'!E100,0,$C$4-1)))</f>
        <v>0</v>
      </c>
      <c r="G100" s="148">
        <f t="shared" ca="1" si="25"/>
        <v>0</v>
      </c>
      <c r="H100" s="81">
        <f ca="1">OFFSET('3. 손익계산서 월별실적'!E100,0,$C$4-2)</f>
        <v>0</v>
      </c>
      <c r="I100" s="148">
        <f t="shared" ca="1" si="36"/>
        <v>0</v>
      </c>
      <c r="J100" s="81">
        <f ca="1">OFFSET('(계획)손익계산서 월별계획'!E100,0,$C$4-1)</f>
        <v>0</v>
      </c>
      <c r="K100" s="148">
        <f t="shared" ca="1" si="29"/>
        <v>0</v>
      </c>
      <c r="L100" s="81">
        <f ca="1">OFFSET('3. 손익계산서 월별실적'!E100,0,$C$4-1)</f>
        <v>0</v>
      </c>
      <c r="M100" s="148">
        <f t="shared" ca="1" si="31"/>
        <v>0</v>
      </c>
      <c r="N100" s="132">
        <f t="shared" ca="1" si="37"/>
        <v>0</v>
      </c>
      <c r="O100" s="132">
        <f t="shared" ca="1" si="38"/>
        <v>0</v>
      </c>
    </row>
    <row r="101" spans="2:30" hidden="1" outlineLevel="1" x14ac:dyDescent="0.2">
      <c r="B101" s="67" t="s">
        <v>43</v>
      </c>
      <c r="C101" s="81">
        <f>'(계획)손익계산서 월별계획'!C101</f>
        <v>0</v>
      </c>
      <c r="D101" s="148">
        <f t="shared" ca="1" si="24"/>
        <v>0</v>
      </c>
      <c r="E101" s="81">
        <f ca="1">SUM('(계획)손익계산서 월별계획'!E101:(OFFSET('(계획)손익계산서 월별계획'!E101,0,$C$4-1)))</f>
        <v>0</v>
      </c>
      <c r="F101" s="81">
        <f ca="1">SUM('3. 손익계산서 월별실적'!E101:(OFFSET('3. 손익계산서 월별실적'!E101,0,$C$4-1)))</f>
        <v>0</v>
      </c>
      <c r="G101" s="148">
        <f t="shared" ca="1" si="25"/>
        <v>0</v>
      </c>
      <c r="H101" s="81">
        <f ca="1">OFFSET('3. 손익계산서 월별실적'!E101,0,$C$4-2)</f>
        <v>0</v>
      </c>
      <c r="I101" s="148">
        <f t="shared" ca="1" si="36"/>
        <v>0</v>
      </c>
      <c r="J101" s="81">
        <f ca="1">OFFSET('(계획)손익계산서 월별계획'!E101,0,$C$4-1)</f>
        <v>0</v>
      </c>
      <c r="K101" s="148">
        <f t="shared" ca="1" si="29"/>
        <v>0</v>
      </c>
      <c r="L101" s="81">
        <f ca="1">OFFSET('3. 손익계산서 월별실적'!E101,0,$C$4-1)</f>
        <v>0</v>
      </c>
      <c r="M101" s="148">
        <f t="shared" ca="1" si="31"/>
        <v>0</v>
      </c>
      <c r="N101" s="132">
        <f t="shared" ca="1" si="37"/>
        <v>0</v>
      </c>
      <c r="O101" s="132">
        <f t="shared" ca="1" si="38"/>
        <v>0</v>
      </c>
    </row>
    <row r="102" spans="2:30" hidden="1" outlineLevel="1" x14ac:dyDescent="0.2">
      <c r="B102" s="67" t="s">
        <v>45</v>
      </c>
      <c r="C102" s="81">
        <f>'(계획)손익계산서 월별계획'!C102</f>
        <v>0</v>
      </c>
      <c r="D102" s="148">
        <f t="shared" ca="1" si="24"/>
        <v>0</v>
      </c>
      <c r="E102" s="81">
        <f ca="1">SUM('(계획)손익계산서 월별계획'!E102:(OFFSET('(계획)손익계산서 월별계획'!E102,0,$C$4-1)))</f>
        <v>0</v>
      </c>
      <c r="F102" s="81">
        <f ca="1">SUM('3. 손익계산서 월별실적'!E102:(OFFSET('3. 손익계산서 월별실적'!E102,0,$C$4-1)))</f>
        <v>0</v>
      </c>
      <c r="G102" s="148">
        <f t="shared" ca="1" si="25"/>
        <v>0</v>
      </c>
      <c r="H102" s="81">
        <f ca="1">OFFSET('3. 손익계산서 월별실적'!E102,0,$C$4-2)</f>
        <v>0</v>
      </c>
      <c r="I102" s="148">
        <f t="shared" ca="1" si="36"/>
        <v>0</v>
      </c>
      <c r="J102" s="81">
        <f ca="1">OFFSET('(계획)손익계산서 월별계획'!E102,0,$C$4-1)</f>
        <v>0</v>
      </c>
      <c r="K102" s="148">
        <f t="shared" ca="1" si="29"/>
        <v>0</v>
      </c>
      <c r="L102" s="81">
        <f ca="1">OFFSET('3. 손익계산서 월별실적'!E102,0,$C$4-1)</f>
        <v>0</v>
      </c>
      <c r="M102" s="148">
        <f t="shared" ca="1" si="31"/>
        <v>0</v>
      </c>
      <c r="N102" s="132">
        <f t="shared" ca="1" si="37"/>
        <v>0</v>
      </c>
      <c r="O102" s="132">
        <f t="shared" ca="1" si="38"/>
        <v>0</v>
      </c>
    </row>
    <row r="103" spans="2:30" hidden="1" outlineLevel="1" x14ac:dyDescent="0.2">
      <c r="B103" s="67" t="s">
        <v>47</v>
      </c>
      <c r="C103" s="81">
        <f>'(계획)손익계산서 월별계획'!C103</f>
        <v>0</v>
      </c>
      <c r="D103" s="148">
        <f t="shared" ca="1" si="24"/>
        <v>0</v>
      </c>
      <c r="E103" s="81">
        <f ca="1">SUM('(계획)손익계산서 월별계획'!E103:(OFFSET('(계획)손익계산서 월별계획'!E103,0,$C$4-1)))</f>
        <v>0</v>
      </c>
      <c r="F103" s="81">
        <f ca="1">SUM('3. 손익계산서 월별실적'!E103:(OFFSET('3. 손익계산서 월별실적'!E103,0,$C$4-1)))</f>
        <v>0</v>
      </c>
      <c r="G103" s="148">
        <f t="shared" ca="1" si="25"/>
        <v>0</v>
      </c>
      <c r="H103" s="81">
        <f ca="1">OFFSET('3. 손익계산서 월별실적'!E103,0,$C$4-2)</f>
        <v>0</v>
      </c>
      <c r="I103" s="148">
        <f t="shared" ca="1" si="36"/>
        <v>0</v>
      </c>
      <c r="J103" s="81">
        <f ca="1">OFFSET('(계획)손익계산서 월별계획'!E103,0,$C$4-1)</f>
        <v>0</v>
      </c>
      <c r="K103" s="148">
        <f t="shared" ca="1" si="29"/>
        <v>0</v>
      </c>
      <c r="L103" s="81">
        <f ca="1">OFFSET('3. 손익계산서 월별실적'!E103,0,$C$4-1)</f>
        <v>0</v>
      </c>
      <c r="M103" s="148">
        <f t="shared" ca="1" si="31"/>
        <v>0</v>
      </c>
      <c r="N103" s="132">
        <f t="shared" ca="1" si="37"/>
        <v>0</v>
      </c>
      <c r="O103" s="132">
        <f t="shared" ca="1" si="38"/>
        <v>0</v>
      </c>
    </row>
    <row r="104" spans="2:30" hidden="1" outlineLevel="1" x14ac:dyDescent="0.2">
      <c r="B104" s="67" t="s">
        <v>48</v>
      </c>
      <c r="C104" s="81">
        <f>'(계획)손익계산서 월별계획'!C104</f>
        <v>0</v>
      </c>
      <c r="D104" s="148">
        <f t="shared" ca="1" si="24"/>
        <v>0</v>
      </c>
      <c r="E104" s="81">
        <f ca="1">SUM('(계획)손익계산서 월별계획'!E104:(OFFSET('(계획)손익계산서 월별계획'!E104,0,$C$4-1)))</f>
        <v>0</v>
      </c>
      <c r="F104" s="81">
        <f ca="1">SUM('3. 손익계산서 월별실적'!E104:(OFFSET('3. 손익계산서 월별실적'!E104,0,$C$4-1)))</f>
        <v>0</v>
      </c>
      <c r="G104" s="148">
        <f t="shared" ca="1" si="25"/>
        <v>0</v>
      </c>
      <c r="H104" s="81">
        <f ca="1">OFFSET('3. 손익계산서 월별실적'!E104,0,$C$4-2)</f>
        <v>0</v>
      </c>
      <c r="I104" s="148">
        <f t="shared" ca="1" si="36"/>
        <v>0</v>
      </c>
      <c r="J104" s="81">
        <f ca="1">OFFSET('(계획)손익계산서 월별계획'!E104,0,$C$4-1)</f>
        <v>0</v>
      </c>
      <c r="K104" s="148">
        <f t="shared" ca="1" si="29"/>
        <v>0</v>
      </c>
      <c r="L104" s="81">
        <f ca="1">OFFSET('3. 손익계산서 월별실적'!E104,0,$C$4-1)</f>
        <v>0</v>
      </c>
      <c r="M104" s="148">
        <f t="shared" ca="1" si="31"/>
        <v>0</v>
      </c>
      <c r="N104" s="132">
        <f t="shared" ca="1" si="37"/>
        <v>0</v>
      </c>
      <c r="O104" s="132">
        <f t="shared" ca="1" si="38"/>
        <v>0</v>
      </c>
    </row>
    <row r="105" spans="2:30" hidden="1" outlineLevel="1" x14ac:dyDescent="0.2">
      <c r="B105" s="67" t="s">
        <v>49</v>
      </c>
      <c r="C105" s="81">
        <f>'(계획)손익계산서 월별계획'!C105</f>
        <v>0</v>
      </c>
      <c r="D105" s="148">
        <f t="shared" ca="1" si="24"/>
        <v>0</v>
      </c>
      <c r="E105" s="81">
        <f ca="1">SUM('(계획)손익계산서 월별계획'!E105:(OFFSET('(계획)손익계산서 월별계획'!E105,0,$C$4-1)))</f>
        <v>0</v>
      </c>
      <c r="F105" s="81">
        <f ca="1">SUM('3. 손익계산서 월별실적'!E105:(OFFSET('3. 손익계산서 월별실적'!E105,0,$C$4-1)))</f>
        <v>0</v>
      </c>
      <c r="G105" s="148">
        <f t="shared" ca="1" si="25"/>
        <v>0</v>
      </c>
      <c r="H105" s="81">
        <f ca="1">OFFSET('3. 손익계산서 월별실적'!E105,0,$C$4-2)</f>
        <v>0</v>
      </c>
      <c r="I105" s="148">
        <f t="shared" ca="1" si="36"/>
        <v>0</v>
      </c>
      <c r="J105" s="81">
        <f ca="1">OFFSET('(계획)손익계산서 월별계획'!E105,0,$C$4-1)</f>
        <v>0</v>
      </c>
      <c r="K105" s="148">
        <f t="shared" ca="1" si="29"/>
        <v>0</v>
      </c>
      <c r="L105" s="81">
        <f ca="1">OFFSET('3. 손익계산서 월별실적'!E105,0,$C$4-1)</f>
        <v>0</v>
      </c>
      <c r="M105" s="148">
        <f t="shared" ca="1" si="31"/>
        <v>0</v>
      </c>
      <c r="N105" s="132">
        <f t="shared" ca="1" si="37"/>
        <v>0</v>
      </c>
      <c r="O105" s="132">
        <f t="shared" ca="1" si="38"/>
        <v>0</v>
      </c>
    </row>
    <row r="106" spans="2:30" hidden="1" outlineLevel="1" x14ac:dyDescent="0.2">
      <c r="B106" s="67" t="s">
        <v>50</v>
      </c>
      <c r="C106" s="81">
        <f>'(계획)손익계산서 월별계획'!C106</f>
        <v>0</v>
      </c>
      <c r="D106" s="148">
        <f t="shared" ca="1" si="24"/>
        <v>0</v>
      </c>
      <c r="E106" s="81">
        <f ca="1">SUM('(계획)손익계산서 월별계획'!E106:(OFFSET('(계획)손익계산서 월별계획'!E106,0,$C$4-1)))</f>
        <v>0</v>
      </c>
      <c r="F106" s="81">
        <f ca="1">SUM('3. 손익계산서 월별실적'!E106:(OFFSET('3. 손익계산서 월별실적'!E106,0,$C$4-1)))</f>
        <v>0</v>
      </c>
      <c r="G106" s="148">
        <f t="shared" ca="1" si="25"/>
        <v>0</v>
      </c>
      <c r="H106" s="81">
        <f ca="1">OFFSET('3. 손익계산서 월별실적'!E106,0,$C$4-2)</f>
        <v>0</v>
      </c>
      <c r="I106" s="148">
        <f t="shared" ca="1" si="36"/>
        <v>0</v>
      </c>
      <c r="J106" s="81">
        <f ca="1">OFFSET('(계획)손익계산서 월별계획'!E106,0,$C$4-1)</f>
        <v>0</v>
      </c>
      <c r="K106" s="148">
        <f t="shared" ca="1" si="29"/>
        <v>0</v>
      </c>
      <c r="L106" s="81">
        <f ca="1">OFFSET('3. 손익계산서 월별실적'!E106,0,$C$4-1)</f>
        <v>0</v>
      </c>
      <c r="M106" s="148">
        <f t="shared" ca="1" si="31"/>
        <v>0</v>
      </c>
      <c r="N106" s="132">
        <f t="shared" ca="1" si="37"/>
        <v>0</v>
      </c>
      <c r="O106" s="132">
        <f t="shared" ca="1" si="38"/>
        <v>0</v>
      </c>
    </row>
    <row r="107" spans="2:30" hidden="1" outlineLevel="1" x14ac:dyDescent="0.2">
      <c r="B107" s="67" t="s">
        <v>51</v>
      </c>
      <c r="C107" s="81">
        <f>'(계획)손익계산서 월별계획'!C107</f>
        <v>0</v>
      </c>
      <c r="D107" s="148">
        <f t="shared" ca="1" si="24"/>
        <v>0</v>
      </c>
      <c r="E107" s="81">
        <f ca="1">SUM('(계획)손익계산서 월별계획'!E107:(OFFSET('(계획)손익계산서 월별계획'!E107,0,$C$4-1)))</f>
        <v>0</v>
      </c>
      <c r="F107" s="81">
        <f ca="1">SUM('3. 손익계산서 월별실적'!E107:(OFFSET('3. 손익계산서 월별실적'!E107,0,$C$4-1)))</f>
        <v>0</v>
      </c>
      <c r="G107" s="148">
        <f t="shared" ca="1" si="25"/>
        <v>0</v>
      </c>
      <c r="H107" s="81">
        <f ca="1">OFFSET('3. 손익계산서 월별실적'!E107,0,$C$4-2)</f>
        <v>0</v>
      </c>
      <c r="I107" s="148">
        <f t="shared" ca="1" si="36"/>
        <v>0</v>
      </c>
      <c r="J107" s="81">
        <f ca="1">OFFSET('(계획)손익계산서 월별계획'!E107,0,$C$4-1)</f>
        <v>0</v>
      </c>
      <c r="K107" s="148">
        <f t="shared" ca="1" si="29"/>
        <v>0</v>
      </c>
      <c r="L107" s="81">
        <f ca="1">OFFSET('3. 손익계산서 월별실적'!E107,0,$C$4-1)</f>
        <v>0</v>
      </c>
      <c r="M107" s="148">
        <f t="shared" ca="1" si="31"/>
        <v>0</v>
      </c>
      <c r="N107" s="132">
        <f t="shared" ca="1" si="37"/>
        <v>0</v>
      </c>
      <c r="O107" s="132">
        <f t="shared" ca="1" si="38"/>
        <v>0</v>
      </c>
    </row>
    <row r="108" spans="2:30" hidden="1" outlineLevel="1" x14ac:dyDescent="0.2">
      <c r="B108" s="67" t="s">
        <v>52</v>
      </c>
      <c r="C108" s="81">
        <f>'(계획)손익계산서 월별계획'!C108</f>
        <v>0</v>
      </c>
      <c r="D108" s="148">
        <f t="shared" ca="1" si="24"/>
        <v>0</v>
      </c>
      <c r="E108" s="81">
        <f ca="1">SUM('(계획)손익계산서 월별계획'!E108:(OFFSET('(계획)손익계산서 월별계획'!E108,0,$C$4-1)))</f>
        <v>0</v>
      </c>
      <c r="F108" s="81">
        <f ca="1">SUM('3. 손익계산서 월별실적'!E108:(OFFSET('3. 손익계산서 월별실적'!E108,0,$C$4-1)))</f>
        <v>0</v>
      </c>
      <c r="G108" s="148">
        <f t="shared" ca="1" si="25"/>
        <v>0</v>
      </c>
      <c r="H108" s="81">
        <f ca="1">OFFSET('3. 손익계산서 월별실적'!E108,0,$C$4-2)</f>
        <v>0</v>
      </c>
      <c r="I108" s="148">
        <f t="shared" ca="1" si="36"/>
        <v>0</v>
      </c>
      <c r="J108" s="81">
        <f ca="1">OFFSET('(계획)손익계산서 월별계획'!E108,0,$C$4-1)</f>
        <v>0</v>
      </c>
      <c r="K108" s="148">
        <f t="shared" ca="1" si="29"/>
        <v>0</v>
      </c>
      <c r="L108" s="81">
        <f ca="1">OFFSET('3. 손익계산서 월별실적'!E108,0,$C$4-1)</f>
        <v>0</v>
      </c>
      <c r="M108" s="148">
        <f t="shared" ca="1" si="31"/>
        <v>0</v>
      </c>
      <c r="N108" s="132">
        <f t="shared" ca="1" si="37"/>
        <v>0</v>
      </c>
      <c r="O108" s="132">
        <f t="shared" ca="1" si="38"/>
        <v>0</v>
      </c>
    </row>
    <row r="109" spans="2:30" hidden="1" outlineLevel="1" x14ac:dyDescent="0.2">
      <c r="B109" s="67" t="s">
        <v>53</v>
      </c>
      <c r="C109" s="81">
        <f>'(계획)손익계산서 월별계획'!C109</f>
        <v>0</v>
      </c>
      <c r="D109" s="148">
        <f t="shared" ca="1" si="24"/>
        <v>0</v>
      </c>
      <c r="E109" s="81">
        <f ca="1">SUM('(계획)손익계산서 월별계획'!E109:(OFFSET('(계획)손익계산서 월별계획'!E109,0,$C$4-1)))</f>
        <v>0</v>
      </c>
      <c r="F109" s="81">
        <f ca="1">SUM('3. 손익계산서 월별실적'!E109:(OFFSET('3. 손익계산서 월별실적'!E109,0,$C$4-1)))</f>
        <v>0</v>
      </c>
      <c r="G109" s="148">
        <f t="shared" ca="1" si="25"/>
        <v>0</v>
      </c>
      <c r="H109" s="81">
        <f ca="1">OFFSET('3. 손익계산서 월별실적'!E109,0,$C$4-2)</f>
        <v>0</v>
      </c>
      <c r="I109" s="148">
        <f t="shared" ca="1" si="36"/>
        <v>0</v>
      </c>
      <c r="J109" s="81">
        <f ca="1">OFFSET('(계획)손익계산서 월별계획'!E109,0,$C$4-1)</f>
        <v>0</v>
      </c>
      <c r="K109" s="148">
        <f t="shared" ca="1" si="29"/>
        <v>0</v>
      </c>
      <c r="L109" s="81">
        <f ca="1">OFFSET('3. 손익계산서 월별실적'!E109,0,$C$4-1)</f>
        <v>0</v>
      </c>
      <c r="M109" s="148">
        <f t="shared" ca="1" si="31"/>
        <v>0</v>
      </c>
      <c r="N109" s="132">
        <f t="shared" ca="1" si="37"/>
        <v>0</v>
      </c>
      <c r="O109" s="132">
        <f t="shared" ca="1" si="38"/>
        <v>0</v>
      </c>
    </row>
    <row r="110" spans="2:30" hidden="1" outlineLevel="1" x14ac:dyDescent="0.2">
      <c r="B110" s="67" t="s">
        <v>54</v>
      </c>
      <c r="C110" s="81">
        <f>'(계획)손익계산서 월별계획'!C110</f>
        <v>0</v>
      </c>
      <c r="D110" s="148">
        <f t="shared" ca="1" si="24"/>
        <v>0</v>
      </c>
      <c r="E110" s="81">
        <f ca="1">SUM('(계획)손익계산서 월별계획'!E110:(OFFSET('(계획)손익계산서 월별계획'!E110,0,$C$4-1)))</f>
        <v>0</v>
      </c>
      <c r="F110" s="81">
        <f ca="1">SUM('3. 손익계산서 월별실적'!E110:(OFFSET('3. 손익계산서 월별실적'!E110,0,$C$4-1)))</f>
        <v>0</v>
      </c>
      <c r="G110" s="148">
        <f t="shared" ca="1" si="25"/>
        <v>0</v>
      </c>
      <c r="H110" s="81">
        <f ca="1">OFFSET('3. 손익계산서 월별실적'!E110,0,$C$4-2)</f>
        <v>0</v>
      </c>
      <c r="I110" s="148">
        <f t="shared" ca="1" si="36"/>
        <v>0</v>
      </c>
      <c r="J110" s="81">
        <f ca="1">OFFSET('(계획)손익계산서 월별계획'!E110,0,$C$4-1)</f>
        <v>0</v>
      </c>
      <c r="K110" s="148">
        <f t="shared" ca="1" si="29"/>
        <v>0</v>
      </c>
      <c r="L110" s="81">
        <f ca="1">OFFSET('3. 손익계산서 월별실적'!E110,0,$C$4-1)</f>
        <v>0</v>
      </c>
      <c r="M110" s="148">
        <f t="shared" ca="1" si="31"/>
        <v>0</v>
      </c>
      <c r="N110" s="132">
        <f t="shared" ca="1" si="37"/>
        <v>0</v>
      </c>
      <c r="O110" s="132">
        <f t="shared" ca="1" si="38"/>
        <v>0</v>
      </c>
    </row>
    <row r="111" spans="2:30" hidden="1" outlineLevel="1" x14ac:dyDescent="0.2">
      <c r="B111" s="67" t="s">
        <v>55</v>
      </c>
      <c r="C111" s="81">
        <f>'(계획)손익계산서 월별계획'!C111</f>
        <v>0</v>
      </c>
      <c r="D111" s="148">
        <f t="shared" ca="1" si="24"/>
        <v>0</v>
      </c>
      <c r="E111" s="81">
        <f ca="1">SUM('(계획)손익계산서 월별계획'!E111:(OFFSET('(계획)손익계산서 월별계획'!E111,0,$C$4-1)))</f>
        <v>0</v>
      </c>
      <c r="F111" s="81">
        <f ca="1">SUM('3. 손익계산서 월별실적'!E111:(OFFSET('3. 손익계산서 월별실적'!E111,0,$C$4-1)))</f>
        <v>0</v>
      </c>
      <c r="G111" s="148">
        <f t="shared" ca="1" si="25"/>
        <v>0</v>
      </c>
      <c r="H111" s="81">
        <f ca="1">OFFSET('3. 손익계산서 월별실적'!E111,0,$C$4-2)</f>
        <v>0</v>
      </c>
      <c r="I111" s="148">
        <f t="shared" ca="1" si="36"/>
        <v>0</v>
      </c>
      <c r="J111" s="81">
        <f ca="1">OFFSET('(계획)손익계산서 월별계획'!E111,0,$C$4-1)</f>
        <v>0</v>
      </c>
      <c r="K111" s="148">
        <f t="shared" ca="1" si="29"/>
        <v>0</v>
      </c>
      <c r="L111" s="81">
        <f ca="1">OFFSET('3. 손익계산서 월별실적'!E111,0,$C$4-1)</f>
        <v>0</v>
      </c>
      <c r="M111" s="148">
        <f t="shared" ca="1" si="31"/>
        <v>0</v>
      </c>
      <c r="N111" s="132">
        <f t="shared" ca="1" si="37"/>
        <v>0</v>
      </c>
      <c r="O111" s="132">
        <f t="shared" ca="1" si="38"/>
        <v>0</v>
      </c>
    </row>
    <row r="112" spans="2:30" hidden="1" outlineLevel="1" x14ac:dyDescent="0.2">
      <c r="B112" s="67" t="s">
        <v>56</v>
      </c>
      <c r="C112" s="81">
        <f>'(계획)손익계산서 월별계획'!C112</f>
        <v>0</v>
      </c>
      <c r="D112" s="148">
        <f t="shared" ca="1" si="24"/>
        <v>0</v>
      </c>
      <c r="E112" s="81">
        <f ca="1">SUM('(계획)손익계산서 월별계획'!E112:(OFFSET('(계획)손익계산서 월별계획'!E112,0,$C$4-1)))</f>
        <v>0</v>
      </c>
      <c r="F112" s="81">
        <f ca="1">SUM('3. 손익계산서 월별실적'!E112:(OFFSET('3. 손익계산서 월별실적'!E112,0,$C$4-1)))</f>
        <v>0</v>
      </c>
      <c r="G112" s="148">
        <f t="shared" ca="1" si="25"/>
        <v>0</v>
      </c>
      <c r="H112" s="81">
        <f ca="1">OFFSET('3. 손익계산서 월별실적'!E112,0,$C$4-2)</f>
        <v>0</v>
      </c>
      <c r="I112" s="148">
        <f t="shared" ca="1" si="36"/>
        <v>0</v>
      </c>
      <c r="J112" s="81">
        <f ca="1">OFFSET('(계획)손익계산서 월별계획'!E112,0,$C$4-1)</f>
        <v>0</v>
      </c>
      <c r="K112" s="148">
        <f t="shared" ca="1" si="29"/>
        <v>0</v>
      </c>
      <c r="L112" s="81">
        <f ca="1">OFFSET('3. 손익계산서 월별실적'!E112,0,$C$4-1)</f>
        <v>0</v>
      </c>
      <c r="M112" s="148">
        <f t="shared" ca="1" si="31"/>
        <v>0</v>
      </c>
      <c r="N112" s="132">
        <f t="shared" ca="1" si="37"/>
        <v>0</v>
      </c>
      <c r="O112" s="132">
        <f t="shared" ca="1" si="38"/>
        <v>0</v>
      </c>
    </row>
    <row r="113" spans="2:15" hidden="1" outlineLevel="1" x14ac:dyDescent="0.2">
      <c r="B113" s="67" t="s">
        <v>57</v>
      </c>
      <c r="C113" s="81">
        <f>'(계획)손익계산서 월별계획'!C113</f>
        <v>0</v>
      </c>
      <c r="D113" s="148">
        <f t="shared" ca="1" si="24"/>
        <v>0</v>
      </c>
      <c r="E113" s="81">
        <f ca="1">SUM('(계획)손익계산서 월별계획'!E113:(OFFSET('(계획)손익계산서 월별계획'!E113,0,$C$4-1)))</f>
        <v>0</v>
      </c>
      <c r="F113" s="81">
        <f ca="1">SUM('3. 손익계산서 월별실적'!E113:(OFFSET('3. 손익계산서 월별실적'!E113,0,$C$4-1)))</f>
        <v>0</v>
      </c>
      <c r="G113" s="148">
        <f t="shared" ca="1" si="25"/>
        <v>0</v>
      </c>
      <c r="H113" s="81">
        <f ca="1">OFFSET('3. 손익계산서 월별실적'!E113,0,$C$4-2)</f>
        <v>0</v>
      </c>
      <c r="I113" s="148">
        <f t="shared" ca="1" si="36"/>
        <v>0</v>
      </c>
      <c r="J113" s="81">
        <f ca="1">OFFSET('(계획)손익계산서 월별계획'!E113,0,$C$4-1)</f>
        <v>0</v>
      </c>
      <c r="K113" s="148">
        <f t="shared" ca="1" si="29"/>
        <v>0</v>
      </c>
      <c r="L113" s="81">
        <f ca="1">OFFSET('3. 손익계산서 월별실적'!E113,0,$C$4-1)</f>
        <v>0</v>
      </c>
      <c r="M113" s="148">
        <f t="shared" ca="1" si="31"/>
        <v>0</v>
      </c>
      <c r="N113" s="132">
        <f t="shared" ca="1" si="37"/>
        <v>0</v>
      </c>
      <c r="O113" s="132">
        <f t="shared" ca="1" si="38"/>
        <v>0</v>
      </c>
    </row>
    <row r="114" spans="2:15" hidden="1" outlineLevel="1" x14ac:dyDescent="0.2">
      <c r="B114" s="106"/>
      <c r="C114" s="81"/>
      <c r="D114" s="148"/>
      <c r="E114" s="81"/>
      <c r="F114" s="81"/>
      <c r="G114" s="148"/>
      <c r="H114" s="81"/>
      <c r="I114" s="148"/>
      <c r="J114" s="81"/>
      <c r="K114" s="148"/>
      <c r="L114" s="81"/>
      <c r="M114" s="148"/>
      <c r="N114" s="132"/>
      <c r="O114" s="132"/>
    </row>
    <row r="115" spans="2:15" ht="16.5" collapsed="1" x14ac:dyDescent="0.2">
      <c r="B115" s="97" t="s">
        <v>17</v>
      </c>
      <c r="C115" s="109">
        <f>SUM(C116:C131)</f>
        <v>7018954.5251176823</v>
      </c>
      <c r="D115" s="150">
        <f t="shared" ca="1" si="24"/>
        <v>4.8814191454567869E-2</v>
      </c>
      <c r="E115" s="109">
        <f t="shared" ref="E115:L115" ca="1" si="40">SUM(E116:E131)</f>
        <v>622857.48173072503</v>
      </c>
      <c r="F115" s="109">
        <f t="shared" ca="1" si="40"/>
        <v>342624.59</v>
      </c>
      <c r="G115" s="150">
        <f t="shared" ca="1" si="25"/>
        <v>0.55008505163645793</v>
      </c>
      <c r="H115" s="109">
        <f t="shared" ca="1" si="40"/>
        <v>482172.68</v>
      </c>
      <c r="I115" s="150">
        <f t="shared" ca="1" si="36"/>
        <v>6.4588880311467534E-2</v>
      </c>
      <c r="J115" s="109">
        <f t="shared" ca="1" si="40"/>
        <v>622857.48173072503</v>
      </c>
      <c r="K115" s="150">
        <f t="shared" ca="1" si="29"/>
        <v>5.2526951179366961E-2</v>
      </c>
      <c r="L115" s="109">
        <f t="shared" ca="1" si="40"/>
        <v>342624.59</v>
      </c>
      <c r="M115" s="150">
        <f t="shared" ca="1" si="31"/>
        <v>3.3170064875022325E-2</v>
      </c>
      <c r="N115" s="134">
        <f t="shared" ca="1" si="37"/>
        <v>0.7105848261664266</v>
      </c>
      <c r="O115" s="134">
        <f t="shared" ca="1" si="38"/>
        <v>0.55008505163645793</v>
      </c>
    </row>
    <row r="116" spans="2:15" x14ac:dyDescent="0.2">
      <c r="B116" s="112" t="s">
        <v>58</v>
      </c>
      <c r="C116" s="81">
        <f>'(계획)손익계산서 월별계획'!C116</f>
        <v>2387908.3655666676</v>
      </c>
      <c r="D116" s="148">
        <f t="shared" ca="1" si="24"/>
        <v>3.8905106803775416E-2</v>
      </c>
      <c r="E116" s="81">
        <f ca="1">SUM('(계획)손익계산서 월별계획'!E116:(OFFSET('(계획)손익계산서 월별계획'!E116,0,$C$4-1)))</f>
        <v>214735.46136666668</v>
      </c>
      <c r="F116" s="81">
        <f ca="1">SUM('3. 손익계산서 월별실적'!E116:(OFFSET('3. 손익계산서 월별실적'!E116,0,$C$4-1)))</f>
        <v>92901.83</v>
      </c>
      <c r="G116" s="148">
        <f t="shared" ca="1" si="25"/>
        <v>0.43263385287522482</v>
      </c>
      <c r="H116" s="81">
        <f ca="1">OFFSET('3. 손익계산서 월별실적'!E116,0,$C$4-2)</f>
        <v>8495</v>
      </c>
      <c r="I116" s="148">
        <f t="shared" ca="1" si="36"/>
        <v>1.1379378405386152E-3</v>
      </c>
      <c r="J116" s="81">
        <f ca="1">OFFSET('(계획)손익계산서 월별계획'!E116,0,$C$4-1)</f>
        <v>214735.46136666668</v>
      </c>
      <c r="K116" s="148">
        <f t="shared" ca="1" si="29"/>
        <v>1.8109117135984044E-2</v>
      </c>
      <c r="L116" s="81">
        <f ca="1">OFFSET('3. 손익계산서 월별실적'!E116,0,$C$4-1)</f>
        <v>92901.83</v>
      </c>
      <c r="M116" s="148">
        <f t="shared" ca="1" si="31"/>
        <v>8.993982971590847E-3</v>
      </c>
      <c r="N116" s="132">
        <f t="shared" ca="1" si="37"/>
        <v>10.936060035314892</v>
      </c>
      <c r="O116" s="132">
        <f t="shared" ca="1" si="38"/>
        <v>0.43263385287522482</v>
      </c>
    </row>
    <row r="117" spans="2:15" x14ac:dyDescent="0.2">
      <c r="B117" s="112" t="s">
        <v>59</v>
      </c>
      <c r="C117" s="81">
        <f>'(계획)손익계산서 월별계획'!C117</f>
        <v>112845.21682624255</v>
      </c>
      <c r="D117" s="148">
        <f t="shared" ca="1" si="24"/>
        <v>9.3125524462248616E-2</v>
      </c>
      <c r="E117" s="81">
        <f ca="1">SUM('(계획)손익계산서 월별계획'!E117:(OFFSET('(계획)손익계산서 월별계획'!E117,0,$C$4-1)))</f>
        <v>9403.7680688535438</v>
      </c>
      <c r="F117" s="81">
        <f ca="1">SUM('3. 손익계산서 월별실적'!E117:(OFFSET('3. 손익계산서 월별실적'!E117,0,$C$4-1)))</f>
        <v>10508.77</v>
      </c>
      <c r="G117" s="148">
        <f t="shared" ca="1" si="25"/>
        <v>1.1175062935469837</v>
      </c>
      <c r="H117" s="81">
        <f ca="1">OFFSET('3. 손익계산서 월별실적'!E117,0,$C$4-2)</f>
        <v>7832.73</v>
      </c>
      <c r="I117" s="148">
        <f t="shared" ca="1" si="36"/>
        <v>1.0492242332809918E-3</v>
      </c>
      <c r="J117" s="81">
        <f ca="1">OFFSET('(계획)손익계산서 월별계획'!E117,0,$C$4-1)</f>
        <v>9403.7680688535438</v>
      </c>
      <c r="K117" s="148">
        <f t="shared" ca="1" si="29"/>
        <v>7.9304059233939819E-4</v>
      </c>
      <c r="L117" s="81">
        <f ca="1">OFFSET('3. 손익계산서 월별실적'!E117,0,$C$4-1)</f>
        <v>10508.77</v>
      </c>
      <c r="M117" s="148">
        <f t="shared" ca="1" si="31"/>
        <v>1.0173717614859119E-3</v>
      </c>
      <c r="N117" s="132">
        <f t="shared" ca="1" si="37"/>
        <v>1.3416484418587136</v>
      </c>
      <c r="O117" s="132">
        <f t="shared" ca="1" si="38"/>
        <v>1.1175062935469837</v>
      </c>
    </row>
    <row r="118" spans="2:15" x14ac:dyDescent="0.2">
      <c r="B118" s="112" t="s">
        <v>60</v>
      </c>
      <c r="C118" s="81">
        <f>'(계획)손익계산서 월별계획'!C118</f>
        <v>830369.53946551727</v>
      </c>
      <c r="D118" s="148">
        <f t="shared" ca="1" si="24"/>
        <v>2.083666268771954E-2</v>
      </c>
      <c r="E118" s="81">
        <f ca="1">SUM('(계획)손익계산서 월별계획'!E118:(OFFSET('(계획)손익계산서 월별계획'!E118,0,$C$4-1)))</f>
        <v>66391.31807257318</v>
      </c>
      <c r="F118" s="81">
        <f ca="1">SUM('3. 손익계산서 월별실적'!E118:(OFFSET('3. 손익계산서 월별실적'!E118,0,$C$4-1)))</f>
        <v>17302.13</v>
      </c>
      <c r="G118" s="148">
        <f t="shared" ca="1" si="25"/>
        <v>0.26060832202618461</v>
      </c>
      <c r="H118" s="81">
        <f ca="1">OFFSET('3. 손익계산서 월별실적'!E118,0,$C$4-2)</f>
        <v>18511.75</v>
      </c>
      <c r="I118" s="148">
        <f t="shared" ca="1" si="36"/>
        <v>2.4797199316763637E-3</v>
      </c>
      <c r="J118" s="81">
        <f ca="1">OFFSET('(계획)손익계산서 월별계획'!E118,0,$C$4-1)</f>
        <v>66391.31807257318</v>
      </c>
      <c r="K118" s="148">
        <f t="shared" ca="1" si="29"/>
        <v>5.5989269221615066E-3</v>
      </c>
      <c r="L118" s="81">
        <f ca="1">OFFSET('3. 손익계산서 월별실적'!E118,0,$C$4-1)</f>
        <v>17302.13</v>
      </c>
      <c r="M118" s="148">
        <f t="shared" ca="1" si="31"/>
        <v>1.6750484096196075E-3</v>
      </c>
      <c r="N118" s="132">
        <f t="shared" ca="1" si="37"/>
        <v>0.93465663700082391</v>
      </c>
      <c r="O118" s="132">
        <f t="shared" ca="1" si="38"/>
        <v>0.26060832202618461</v>
      </c>
    </row>
    <row r="119" spans="2:15" x14ac:dyDescent="0.2">
      <c r="B119" s="112" t="s">
        <v>61</v>
      </c>
      <c r="C119" s="81">
        <f>'(계획)손익계산서 월별계획'!C119</f>
        <v>223563.52097573923</v>
      </c>
      <c r="D119" s="148">
        <f t="shared" ca="1" si="24"/>
        <v>0</v>
      </c>
      <c r="E119" s="81">
        <f ca="1">SUM('(계획)손익계산서 월별계획'!E119:(OFFSET('(계획)손익계산서 월별계획'!E119,0,$C$4-1)))</f>
        <v>18225.96536707304</v>
      </c>
      <c r="F119" s="81">
        <f ca="1">SUM('3. 손익계산서 월별실적'!E119:(OFFSET('3. 손익계산서 월별실적'!E119,0,$C$4-1)))</f>
        <v>0</v>
      </c>
      <c r="G119" s="148">
        <f t="shared" ca="1" si="25"/>
        <v>0</v>
      </c>
      <c r="H119" s="81">
        <f ca="1">OFFSET('3. 손익계산서 월별실적'!E119,0,$C$4-2)</f>
        <v>1773.63</v>
      </c>
      <c r="I119" s="148">
        <f t="shared" ca="1" si="36"/>
        <v>2.375845429210717E-4</v>
      </c>
      <c r="J119" s="81">
        <f ca="1">OFFSET('(계획)손익계산서 월별계획'!E119,0,$C$4-1)</f>
        <v>18225.96536707304</v>
      </c>
      <c r="K119" s="148">
        <f t="shared" ca="1" si="29"/>
        <v>1.5370360333039461E-3</v>
      </c>
      <c r="L119" s="81">
        <f ca="1">OFFSET('3. 손익계산서 월별실적'!E119,0,$C$4-1)</f>
        <v>0</v>
      </c>
      <c r="M119" s="148">
        <f t="shared" ca="1" si="31"/>
        <v>0</v>
      </c>
      <c r="N119" s="132">
        <f t="shared" ca="1" si="37"/>
        <v>0</v>
      </c>
      <c r="O119" s="132">
        <f t="shared" ca="1" si="38"/>
        <v>0</v>
      </c>
    </row>
    <row r="120" spans="2:15" x14ac:dyDescent="0.2">
      <c r="B120" s="112" t="s">
        <v>62</v>
      </c>
      <c r="C120" s="81">
        <f>'(계획)손익계산서 월별계획'!C120</f>
        <v>0</v>
      </c>
      <c r="D120" s="148">
        <f t="shared" ca="1" si="24"/>
        <v>0</v>
      </c>
      <c r="E120" s="81">
        <f ca="1">SUM('(계획)손익계산서 월별계획'!E120:(OFFSET('(계획)손익계산서 월별계획'!E120,0,$C$4-1)))</f>
        <v>0</v>
      </c>
      <c r="F120" s="81">
        <f ca="1">SUM('3. 손익계산서 월별실적'!E120:(OFFSET('3. 손익계산서 월별실적'!E120,0,$C$4-1)))</f>
        <v>421.05</v>
      </c>
      <c r="G120" s="148">
        <f t="shared" ca="1" si="25"/>
        <v>0</v>
      </c>
      <c r="H120" s="81">
        <f ca="1">OFFSET('3. 손익계산서 월별실적'!E120,0,$C$4-2)</f>
        <v>145.08000000000001</v>
      </c>
      <c r="I120" s="148">
        <f t="shared" ca="1" si="36"/>
        <v>1.9434022590387555E-5</v>
      </c>
      <c r="J120" s="81">
        <f ca="1">OFFSET('(계획)손익계산서 월별계획'!E120,0,$C$4-1)</f>
        <v>0</v>
      </c>
      <c r="K120" s="148">
        <f t="shared" ca="1" si="29"/>
        <v>0</v>
      </c>
      <c r="L120" s="81">
        <f ca="1">OFFSET('3. 손익계산서 월별실적'!E120,0,$C$4-1)</f>
        <v>421.05</v>
      </c>
      <c r="M120" s="148">
        <f t="shared" ca="1" si="31"/>
        <v>4.0762561191618356E-5</v>
      </c>
      <c r="N120" s="132">
        <f t="shared" ca="1" si="37"/>
        <v>2.9021918941273777</v>
      </c>
      <c r="O120" s="132">
        <f t="shared" ca="1" si="38"/>
        <v>0</v>
      </c>
    </row>
    <row r="121" spans="2:15" x14ac:dyDescent="0.2">
      <c r="B121" s="112" t="s">
        <v>63</v>
      </c>
      <c r="C121" s="81">
        <f>'(계획)손익계산서 월별계획'!C121</f>
        <v>0</v>
      </c>
      <c r="D121" s="148">
        <f t="shared" ca="1" si="24"/>
        <v>0</v>
      </c>
      <c r="E121" s="81">
        <f ca="1">SUM('(계획)손익계산서 월별계획'!E121:(OFFSET('(계획)손익계산서 월별계획'!E121,0,$C$4-1)))</f>
        <v>0</v>
      </c>
      <c r="F121" s="81">
        <f ca="1">SUM('3. 손익계산서 월별실적'!E121:(OFFSET('3. 손익계산서 월별실적'!E121,0,$C$4-1)))</f>
        <v>0</v>
      </c>
      <c r="G121" s="148">
        <f t="shared" ca="1" si="25"/>
        <v>0</v>
      </c>
      <c r="H121" s="81">
        <f ca="1">OFFSET('3. 손익계산서 월별실적'!E121,0,$C$4-2)</f>
        <v>0</v>
      </c>
      <c r="I121" s="148">
        <f t="shared" ca="1" si="36"/>
        <v>0</v>
      </c>
      <c r="J121" s="81">
        <f ca="1">OFFSET('(계획)손익계산서 월별계획'!E121,0,$C$4-1)</f>
        <v>0</v>
      </c>
      <c r="K121" s="148">
        <f t="shared" ca="1" si="29"/>
        <v>0</v>
      </c>
      <c r="L121" s="81">
        <f ca="1">OFFSET('3. 손익계산서 월별실적'!E121,0,$C$4-1)</f>
        <v>0</v>
      </c>
      <c r="M121" s="148">
        <f t="shared" ca="1" si="31"/>
        <v>0</v>
      </c>
      <c r="N121" s="132">
        <f t="shared" ca="1" si="37"/>
        <v>0</v>
      </c>
      <c r="O121" s="132">
        <f t="shared" ca="1" si="38"/>
        <v>0</v>
      </c>
    </row>
    <row r="122" spans="2:15" x14ac:dyDescent="0.2">
      <c r="B122" s="112" t="s">
        <v>64</v>
      </c>
      <c r="C122" s="81">
        <f>'(계획)손익계산서 월별계획'!C122</f>
        <v>0</v>
      </c>
      <c r="D122" s="148">
        <f t="shared" ca="1" si="24"/>
        <v>0</v>
      </c>
      <c r="E122" s="81">
        <f ca="1">SUM('(계획)손익계산서 월별계획'!E122:(OFFSET('(계획)손익계산서 월별계획'!E122,0,$C$4-1)))</f>
        <v>0</v>
      </c>
      <c r="F122" s="81">
        <f ca="1">SUM('3. 손익계산서 월별실적'!E122:(OFFSET('3. 손익계산서 월별실적'!E122,0,$C$4-1)))</f>
        <v>4997.2299999999996</v>
      </c>
      <c r="G122" s="148">
        <f t="shared" ca="1" si="25"/>
        <v>0</v>
      </c>
      <c r="H122" s="81">
        <f ca="1">OFFSET('3. 손익계산서 월별실적'!E122,0,$C$4-2)</f>
        <v>7379.83</v>
      </c>
      <c r="I122" s="148">
        <f t="shared" ca="1" si="36"/>
        <v>9.8855654075833874E-4</v>
      </c>
      <c r="J122" s="81">
        <f ca="1">OFFSET('(계획)손익계산서 월별계획'!E122,0,$C$4-1)</f>
        <v>0</v>
      </c>
      <c r="K122" s="148">
        <f t="shared" ca="1" si="29"/>
        <v>0</v>
      </c>
      <c r="L122" s="81">
        <f ca="1">OFFSET('3. 손익계산서 월별실적'!E122,0,$C$4-1)</f>
        <v>4997.2299999999996</v>
      </c>
      <c r="M122" s="148">
        <f t="shared" ca="1" si="31"/>
        <v>4.8379027114022318E-4</v>
      </c>
      <c r="N122" s="132">
        <f t="shared" ca="1" si="37"/>
        <v>0.67714703455228642</v>
      </c>
      <c r="O122" s="132">
        <f t="shared" ca="1" si="38"/>
        <v>0</v>
      </c>
    </row>
    <row r="123" spans="2:15" x14ac:dyDescent="0.2">
      <c r="B123" s="112" t="s">
        <v>65</v>
      </c>
      <c r="C123" s="81">
        <f>'(계획)손익계산서 월별계획'!C123</f>
        <v>3083052.1664800309</v>
      </c>
      <c r="D123" s="148">
        <f t="shared" ca="1" si="24"/>
        <v>6.4901253431741454E-2</v>
      </c>
      <c r="E123" s="81">
        <f ca="1">SUM('(계획)손익계산서 월별계획'!E123:(OFFSET('(계획)손익계산서 월별계획'!E123,0,$C$4-1)))</f>
        <v>282209.75590173708</v>
      </c>
      <c r="F123" s="81">
        <f ca="1">SUM('3. 손익계산서 월별실적'!E123:(OFFSET('3. 손익계산서 월별실적'!E123,0,$C$4-1)))</f>
        <v>200093.95</v>
      </c>
      <c r="G123" s="148">
        <f t="shared" ca="1" si="25"/>
        <v>0.70902563010497388</v>
      </c>
      <c r="H123" s="81">
        <f ca="1">OFFSET('3. 손익계산서 월별실적'!E123,0,$C$4-2)</f>
        <v>215328.28</v>
      </c>
      <c r="I123" s="148">
        <f t="shared" ca="1" si="36"/>
        <v>2.8844049199540232E-2</v>
      </c>
      <c r="J123" s="81">
        <f ca="1">OFFSET('(계획)손익계산서 월별계획'!E123,0,$C$4-1)</f>
        <v>282209.75590173708</v>
      </c>
      <c r="K123" s="148">
        <f t="shared" ca="1" si="29"/>
        <v>2.3799373862221963E-2</v>
      </c>
      <c r="L123" s="81">
        <f ca="1">OFFSET('3. 손익계산서 월별실적'!E123,0,$C$4-1)</f>
        <v>200093.95</v>
      </c>
      <c r="M123" s="148">
        <f t="shared" ca="1" si="31"/>
        <v>1.9371433038707097E-2</v>
      </c>
      <c r="N123" s="132">
        <f t="shared" ca="1" si="37"/>
        <v>0.92925067715211407</v>
      </c>
      <c r="O123" s="132">
        <f t="shared" ca="1" si="38"/>
        <v>0.70902563010497388</v>
      </c>
    </row>
    <row r="124" spans="2:15" x14ac:dyDescent="0.2">
      <c r="B124" s="112" t="s">
        <v>66</v>
      </c>
      <c r="C124" s="81">
        <f>'(계획)손익계산서 월별계획'!C124</f>
        <v>162568.36003662969</v>
      </c>
      <c r="D124" s="148">
        <f t="shared" ca="1" si="24"/>
        <v>4.1472830251107061E-2</v>
      </c>
      <c r="E124" s="81">
        <f ca="1">SUM('(계획)손익계산서 월별계획'!E124:(OFFSET('(계획)손익계산서 월별계획'!E124,0,$C$4-1)))</f>
        <v>13547.363336385808</v>
      </c>
      <c r="F124" s="81">
        <f ca="1">SUM('3. 손익계산서 월별실적'!E124:(OFFSET('3. 손익계산서 월별실적'!E124,0,$C$4-1)))</f>
        <v>6742.17</v>
      </c>
      <c r="G124" s="148">
        <f t="shared" ca="1" si="25"/>
        <v>0.4976739630132847</v>
      </c>
      <c r="H124" s="81">
        <f ca="1">OFFSET('3. 손익계산서 월별실적'!E124,0,$C$4-2)</f>
        <v>9389.7000000000007</v>
      </c>
      <c r="I124" s="148">
        <f t="shared" ca="1" si="36"/>
        <v>1.2577863379994627E-3</v>
      </c>
      <c r="J124" s="81">
        <f ca="1">OFFSET('(계획)손익계산서 월별계획'!E124,0,$C$4-1)</f>
        <v>13547.363336385808</v>
      </c>
      <c r="K124" s="148">
        <f t="shared" ca="1" si="29"/>
        <v>1.1424791600835652E-3</v>
      </c>
      <c r="L124" s="81">
        <f ca="1">OFFSET('3. 손익계산서 월별실적'!E124,0,$C$4-1)</f>
        <v>6742.17</v>
      </c>
      <c r="M124" s="148">
        <f t="shared" ca="1" si="31"/>
        <v>6.5272085782993358E-4</v>
      </c>
      <c r="N124" s="132">
        <f t="shared" ca="1" si="37"/>
        <v>0.71803891498130923</v>
      </c>
      <c r="O124" s="132">
        <f t="shared" ca="1" si="38"/>
        <v>0.4976739630132847</v>
      </c>
    </row>
    <row r="125" spans="2:15" x14ac:dyDescent="0.2">
      <c r="B125" s="112" t="s">
        <v>67</v>
      </c>
      <c r="C125" s="81">
        <f>'(계획)손익계산서 월별계획'!C125</f>
        <v>0</v>
      </c>
      <c r="D125" s="148">
        <f t="shared" ca="1" si="24"/>
        <v>0</v>
      </c>
      <c r="E125" s="81">
        <f ca="1">SUM('(계획)손익계산서 월별계획'!E125:(OFFSET('(계획)손익계산서 월별계획'!E125,0,$C$4-1)))</f>
        <v>0</v>
      </c>
      <c r="F125" s="81">
        <f ca="1">SUM('3. 손익계산서 월별실적'!E125:(OFFSET('3. 손익계산서 월별실적'!E125,0,$C$4-1)))</f>
        <v>4493.28</v>
      </c>
      <c r="G125" s="148">
        <f t="shared" ca="1" si="25"/>
        <v>0</v>
      </c>
      <c r="H125" s="81">
        <f ca="1">OFFSET('3. 손익계산서 월별실적'!E125,0,$C$4-2)</f>
        <v>20474.12</v>
      </c>
      <c r="I125" s="148">
        <f t="shared" ca="1" si="36"/>
        <v>2.7425869216866944E-3</v>
      </c>
      <c r="J125" s="81">
        <f ca="1">OFFSET('(계획)손익계산서 월별계획'!E125,0,$C$4-1)</f>
        <v>0</v>
      </c>
      <c r="K125" s="148">
        <f t="shared" ca="1" si="29"/>
        <v>0</v>
      </c>
      <c r="L125" s="81">
        <f ca="1">OFFSET('3. 손익계산서 월별실적'!E125,0,$C$4-1)</f>
        <v>4493.28</v>
      </c>
      <c r="M125" s="148">
        <f t="shared" ca="1" si="31"/>
        <v>4.350020210214343E-4</v>
      </c>
      <c r="N125" s="132">
        <f t="shared" ca="1" si="37"/>
        <v>0.21946144693886721</v>
      </c>
      <c r="O125" s="132">
        <f t="shared" ca="1" si="38"/>
        <v>0</v>
      </c>
    </row>
    <row r="126" spans="2:15" x14ac:dyDescent="0.2">
      <c r="B126" s="112" t="s">
        <v>68</v>
      </c>
      <c r="C126" s="81">
        <f>'(계획)손익계산서 월별계획'!C126</f>
        <v>0</v>
      </c>
      <c r="D126" s="148">
        <f t="shared" ca="1" si="24"/>
        <v>0</v>
      </c>
      <c r="E126" s="81">
        <f ca="1">SUM('(계획)손익계산서 월별계획'!E126:(OFFSET('(계획)손익계산서 월별계획'!E126,0,$C$4-1)))</f>
        <v>0</v>
      </c>
      <c r="F126" s="81">
        <f ca="1">SUM('3. 손익계산서 월별실적'!E126:(OFFSET('3. 손익계산서 월별실적'!E126,0,$C$4-1)))</f>
        <v>0</v>
      </c>
      <c r="G126" s="148">
        <f t="shared" ca="1" si="25"/>
        <v>0</v>
      </c>
      <c r="H126" s="81">
        <f ca="1">OFFSET('3. 손익계산서 월별실적'!E126,0,$C$4-2)</f>
        <v>0</v>
      </c>
      <c r="I126" s="148">
        <f t="shared" ca="1" si="36"/>
        <v>0</v>
      </c>
      <c r="J126" s="81">
        <f ca="1">OFFSET('(계획)손익계산서 월별계획'!E126,0,$C$4-1)</f>
        <v>0</v>
      </c>
      <c r="K126" s="148">
        <f t="shared" ca="1" si="29"/>
        <v>0</v>
      </c>
      <c r="L126" s="81">
        <f ca="1">OFFSET('3. 손익계산서 월별실적'!E126,0,$C$4-1)</f>
        <v>0</v>
      </c>
      <c r="M126" s="148">
        <f t="shared" ca="1" si="31"/>
        <v>0</v>
      </c>
      <c r="N126" s="132">
        <f t="shared" ca="1" si="37"/>
        <v>0</v>
      </c>
      <c r="O126" s="132">
        <f t="shared" ca="1" si="38"/>
        <v>0</v>
      </c>
    </row>
    <row r="127" spans="2:15" x14ac:dyDescent="0.2">
      <c r="B127" s="112" t="s">
        <v>69</v>
      </c>
      <c r="C127" s="81">
        <f>'(계획)손익계산서 월별계획'!C127</f>
        <v>0</v>
      </c>
      <c r="D127" s="148">
        <f t="shared" ca="1" si="24"/>
        <v>0</v>
      </c>
      <c r="E127" s="81">
        <f ca="1">SUM('(계획)손익계산서 월별계획'!E127:(OFFSET('(계획)손익계산서 월별계획'!E127,0,$C$4-1)))</f>
        <v>0</v>
      </c>
      <c r="F127" s="81">
        <f ca="1">SUM('3. 손익계산서 월별실적'!E127:(OFFSET('3. 손익계산서 월별실적'!E127,0,$C$4-1)))</f>
        <v>0</v>
      </c>
      <c r="G127" s="148">
        <f t="shared" ca="1" si="25"/>
        <v>0</v>
      </c>
      <c r="H127" s="81">
        <f ca="1">OFFSET('3. 손익계산서 월별실적'!E127,0,$C$4-2)</f>
        <v>187614.51</v>
      </c>
      <c r="I127" s="148">
        <f t="shared" ca="1" si="36"/>
        <v>2.5131683385887043E-2</v>
      </c>
      <c r="J127" s="81">
        <f ca="1">OFFSET('(계획)손익계산서 월별계획'!E127,0,$C$4-1)</f>
        <v>0</v>
      </c>
      <c r="K127" s="148">
        <f t="shared" ca="1" si="29"/>
        <v>0</v>
      </c>
      <c r="L127" s="81">
        <f ca="1">OFFSET('3. 손익계산서 월별실적'!E127,0,$C$4-1)</f>
        <v>0</v>
      </c>
      <c r="M127" s="148">
        <f t="shared" ca="1" si="31"/>
        <v>0</v>
      </c>
      <c r="N127" s="132">
        <f t="shared" ca="1" si="37"/>
        <v>0</v>
      </c>
      <c r="O127" s="132">
        <f t="shared" ca="1" si="38"/>
        <v>0</v>
      </c>
    </row>
    <row r="128" spans="2:15" x14ac:dyDescent="0.2">
      <c r="B128" s="112" t="s">
        <v>70</v>
      </c>
      <c r="C128" s="81">
        <f>'(계획)손익계산서 월별계획'!C128</f>
        <v>0</v>
      </c>
      <c r="D128" s="148">
        <f t="shared" ca="1" si="24"/>
        <v>0</v>
      </c>
      <c r="E128" s="81">
        <f ca="1">SUM('(계획)손익계산서 월별계획'!E128:(OFFSET('(계획)손익계산서 월별계획'!E128,0,$C$4-1)))</f>
        <v>0</v>
      </c>
      <c r="F128" s="81">
        <f ca="1">SUM('3. 손익계산서 월별실적'!E128:(OFFSET('3. 손익계산서 월별실적'!E128,0,$C$4-1)))</f>
        <v>0</v>
      </c>
      <c r="G128" s="148">
        <f t="shared" ca="1" si="25"/>
        <v>0</v>
      </c>
      <c r="H128" s="81">
        <f ca="1">OFFSET('3. 손익계산서 월별실적'!E128,0,$C$4-2)</f>
        <v>0</v>
      </c>
      <c r="I128" s="148">
        <f t="shared" ca="1" si="36"/>
        <v>0</v>
      </c>
      <c r="J128" s="81">
        <f ca="1">OFFSET('(계획)손익계산서 월별계획'!E128,0,$C$4-1)</f>
        <v>0</v>
      </c>
      <c r="K128" s="148">
        <f t="shared" ca="1" si="29"/>
        <v>0</v>
      </c>
      <c r="L128" s="81">
        <f ca="1">OFFSET('3. 손익계산서 월별실적'!E128,0,$C$4-1)</f>
        <v>0</v>
      </c>
      <c r="M128" s="148">
        <f t="shared" ca="1" si="31"/>
        <v>0</v>
      </c>
      <c r="N128" s="132">
        <f t="shared" ca="1" si="37"/>
        <v>0</v>
      </c>
      <c r="O128" s="132">
        <f t="shared" ca="1" si="38"/>
        <v>0</v>
      </c>
    </row>
    <row r="129" spans="2:15" x14ac:dyDescent="0.2">
      <c r="B129" s="112" t="s">
        <v>71</v>
      </c>
      <c r="C129" s="81">
        <f>'(계획)손익계산서 월별계획'!C129</f>
        <v>218647.35576685605</v>
      </c>
      <c r="D129" s="148">
        <f t="shared" ca="1" si="24"/>
        <v>2.361876265042314E-2</v>
      </c>
      <c r="E129" s="81">
        <f ca="1">SUM('(계획)손익계산서 월별계획'!E129:(OFFSET('(계획)손익계산서 월별계획'!E129,0,$C$4-1)))</f>
        <v>18343.849617435731</v>
      </c>
      <c r="F129" s="81">
        <f ca="1">SUM('3. 손익계산서 월별실적'!E129:(OFFSET('3. 손익계산서 월별실적'!E129,0,$C$4-1)))</f>
        <v>5164.18</v>
      </c>
      <c r="G129" s="148">
        <f t="shared" ca="1" si="25"/>
        <v>0.2815210606115891</v>
      </c>
      <c r="H129" s="81">
        <f ca="1">OFFSET('3. 손익계산서 월별실적'!E129,0,$C$4-2)</f>
        <v>5228.05</v>
      </c>
      <c r="I129" s="148">
        <f t="shared" ca="1" si="36"/>
        <v>7.0031735458833514E-4</v>
      </c>
      <c r="J129" s="81">
        <f ca="1">OFFSET('(계획)손익계산서 월별계획'!E129,0,$C$4-1)</f>
        <v>18343.849617435731</v>
      </c>
      <c r="K129" s="148">
        <f t="shared" ca="1" si="29"/>
        <v>1.5469774732725428E-3</v>
      </c>
      <c r="L129" s="81">
        <f ca="1">OFFSET('3. 손익계산서 월별실적'!E129,0,$C$4-1)</f>
        <v>5164.18</v>
      </c>
      <c r="M129" s="148">
        <f t="shared" ca="1" si="31"/>
        <v>4.9995298243565303E-4</v>
      </c>
      <c r="N129" s="132">
        <f t="shared" ca="1" si="37"/>
        <v>0.98778320788821838</v>
      </c>
      <c r="O129" s="132">
        <f t="shared" ca="1" si="38"/>
        <v>0.2815210606115891</v>
      </c>
    </row>
    <row r="130" spans="2:15" x14ac:dyDescent="0.2">
      <c r="B130" s="112" t="s">
        <v>72</v>
      </c>
      <c r="C130" s="81">
        <f>'(계획)손익계산서 월별계획'!C130</f>
        <v>0</v>
      </c>
      <c r="D130" s="148">
        <f t="shared" ca="1" si="24"/>
        <v>0</v>
      </c>
      <c r="E130" s="81">
        <f ca="1">SUM('(계획)손익계산서 월별계획'!E130:(OFFSET('(계획)손익계산서 월별계획'!E130,0,$C$4-1)))</f>
        <v>0</v>
      </c>
      <c r="F130" s="81">
        <f ca="1">SUM('3. 손익계산서 월별실적'!E130:(OFFSET('3. 손익계산서 월별실적'!E130,0,$C$4-1)))</f>
        <v>0</v>
      </c>
      <c r="G130" s="148">
        <f t="shared" ca="1" si="25"/>
        <v>0</v>
      </c>
      <c r="H130" s="81">
        <f ca="1">OFFSET('3. 손익계산서 월별실적'!E130,0,$C$4-2)</f>
        <v>0</v>
      </c>
      <c r="I130" s="148">
        <f t="shared" ca="1" si="36"/>
        <v>0</v>
      </c>
      <c r="J130" s="81">
        <f ca="1">OFFSET('(계획)손익계산서 월별계획'!E130,0,$C$4-1)</f>
        <v>0</v>
      </c>
      <c r="K130" s="148">
        <f t="shared" ca="1" si="29"/>
        <v>0</v>
      </c>
      <c r="L130" s="81">
        <f ca="1">OFFSET('3. 손익계산서 월별실적'!E130,0,$C$4-1)</f>
        <v>0</v>
      </c>
      <c r="M130" s="148">
        <f t="shared" ca="1" si="31"/>
        <v>0</v>
      </c>
      <c r="N130" s="132">
        <f t="shared" ca="1" si="37"/>
        <v>0</v>
      </c>
      <c r="O130" s="132">
        <f t="shared" ca="1" si="38"/>
        <v>0</v>
      </c>
    </row>
    <row r="131" spans="2:15" hidden="1" outlineLevel="1" x14ac:dyDescent="0.2">
      <c r="B131" s="112"/>
      <c r="C131" s="81"/>
      <c r="D131" s="148"/>
      <c r="E131" s="81"/>
      <c r="F131" s="81"/>
      <c r="G131" s="148"/>
      <c r="H131" s="81"/>
      <c r="I131" s="148"/>
      <c r="J131" s="81"/>
      <c r="K131" s="148"/>
      <c r="L131" s="81"/>
      <c r="M131" s="148"/>
      <c r="N131" s="132"/>
      <c r="O131" s="132"/>
    </row>
    <row r="132" spans="2:15" hidden="1" outlineLevel="1" x14ac:dyDescent="0.2">
      <c r="B132" s="106"/>
      <c r="C132" s="81"/>
      <c r="D132" s="148"/>
      <c r="E132" s="81"/>
      <c r="F132" s="81"/>
      <c r="G132" s="148"/>
      <c r="H132" s="81"/>
      <c r="I132" s="148"/>
      <c r="J132" s="81"/>
      <c r="K132" s="148"/>
      <c r="L132" s="81"/>
      <c r="M132" s="148"/>
      <c r="N132" s="132"/>
      <c r="O132" s="132"/>
    </row>
    <row r="133" spans="2:15" ht="16.5" hidden="1" outlineLevel="1" x14ac:dyDescent="0.2">
      <c r="B133" s="97" t="s">
        <v>18</v>
      </c>
      <c r="C133" s="109">
        <f>SUM(C134:C147)</f>
        <v>0</v>
      </c>
      <c r="D133" s="150">
        <f t="shared" ca="1" si="24"/>
        <v>0</v>
      </c>
      <c r="E133" s="109">
        <f ca="1">SUM(E134:E147)</f>
        <v>0</v>
      </c>
      <c r="F133" s="109">
        <f ca="1">SUM(F134:F147)</f>
        <v>0</v>
      </c>
      <c r="G133" s="150">
        <f t="shared" ca="1" si="25"/>
        <v>0</v>
      </c>
      <c r="H133" s="109">
        <f t="shared" ref="H133:L133" ca="1" si="41">SUM(H134:H147)</f>
        <v>0</v>
      </c>
      <c r="I133" s="150">
        <f t="shared" ca="1" si="36"/>
        <v>0</v>
      </c>
      <c r="J133" s="109">
        <f t="shared" ca="1" si="41"/>
        <v>0</v>
      </c>
      <c r="K133" s="150">
        <f t="shared" ca="1" si="29"/>
        <v>0</v>
      </c>
      <c r="L133" s="109">
        <f t="shared" ca="1" si="41"/>
        <v>0</v>
      </c>
      <c r="M133" s="150">
        <f t="shared" ca="1" si="31"/>
        <v>0</v>
      </c>
      <c r="N133" s="134">
        <f t="shared" ca="1" si="37"/>
        <v>0</v>
      </c>
      <c r="O133" s="134">
        <f t="shared" ca="1" si="38"/>
        <v>0</v>
      </c>
    </row>
    <row r="134" spans="2:15" hidden="1" outlineLevel="1" x14ac:dyDescent="0.2">
      <c r="B134" s="112" t="s">
        <v>58</v>
      </c>
      <c r="C134" s="81">
        <f>'(계획)손익계산서 월별계획'!C134</f>
        <v>0</v>
      </c>
      <c r="D134" s="148">
        <f t="shared" ca="1" si="24"/>
        <v>0</v>
      </c>
      <c r="E134" s="81">
        <f ca="1">SUM('(계획)손익계산서 월별계획'!E134:(OFFSET('(계획)손익계산서 월별계획'!E134,0,$C$4-1)))</f>
        <v>0</v>
      </c>
      <c r="F134" s="81">
        <f ca="1">SUM('3. 손익계산서 월별실적'!E134:(OFFSET('3. 손익계산서 월별실적'!E134,0,$C$4-1)))</f>
        <v>0</v>
      </c>
      <c r="G134" s="148">
        <f t="shared" ca="1" si="25"/>
        <v>0</v>
      </c>
      <c r="H134" s="81">
        <f ca="1">OFFSET('3. 손익계산서 월별실적'!E134,0,$C$4-2)</f>
        <v>0</v>
      </c>
      <c r="I134" s="148">
        <f t="shared" ca="1" si="36"/>
        <v>0</v>
      </c>
      <c r="J134" s="81">
        <f ca="1">OFFSET('(계획)손익계산서 월별계획'!E134,0,$C$4-1)</f>
        <v>0</v>
      </c>
      <c r="K134" s="148">
        <f t="shared" ca="1" si="29"/>
        <v>0</v>
      </c>
      <c r="L134" s="81">
        <f ca="1">OFFSET('3. 손익계산서 월별실적'!E134,0,$C$4-1)</f>
        <v>0</v>
      </c>
      <c r="M134" s="148">
        <f t="shared" ca="1" si="31"/>
        <v>0</v>
      </c>
      <c r="N134" s="132">
        <f t="shared" ca="1" si="37"/>
        <v>0</v>
      </c>
      <c r="O134" s="132">
        <f t="shared" ca="1" si="38"/>
        <v>0</v>
      </c>
    </row>
    <row r="135" spans="2:15" hidden="1" outlineLevel="1" x14ac:dyDescent="0.2">
      <c r="B135" s="112" t="s">
        <v>73</v>
      </c>
      <c r="C135" s="81">
        <f>'(계획)손익계산서 월별계획'!C135</f>
        <v>0</v>
      </c>
      <c r="D135" s="148">
        <f t="shared" ca="1" si="24"/>
        <v>0</v>
      </c>
      <c r="E135" s="81">
        <f ca="1">SUM('(계획)손익계산서 월별계획'!E135:(OFFSET('(계획)손익계산서 월별계획'!E135,0,$C$4-1)))</f>
        <v>0</v>
      </c>
      <c r="F135" s="81">
        <f ca="1">SUM('3. 손익계산서 월별실적'!E135:(OFFSET('3. 손익계산서 월별실적'!E135,0,$C$4-1)))</f>
        <v>0</v>
      </c>
      <c r="G135" s="148">
        <f t="shared" ca="1" si="25"/>
        <v>0</v>
      </c>
      <c r="H135" s="81">
        <f ca="1">OFFSET('3. 손익계산서 월별실적'!E135,0,$C$4-2)</f>
        <v>0</v>
      </c>
      <c r="I135" s="148">
        <f t="shared" ca="1" si="36"/>
        <v>0</v>
      </c>
      <c r="J135" s="81">
        <f ca="1">OFFSET('(계획)손익계산서 월별계획'!E135,0,$C$4-1)</f>
        <v>0</v>
      </c>
      <c r="K135" s="148">
        <f t="shared" ca="1" si="29"/>
        <v>0</v>
      </c>
      <c r="L135" s="81">
        <f ca="1">OFFSET('3. 손익계산서 월별실적'!E135,0,$C$4-1)</f>
        <v>0</v>
      </c>
      <c r="M135" s="148">
        <f t="shared" ca="1" si="31"/>
        <v>0</v>
      </c>
      <c r="N135" s="132">
        <f t="shared" ca="1" si="37"/>
        <v>0</v>
      </c>
      <c r="O135" s="132">
        <f t="shared" ca="1" si="38"/>
        <v>0</v>
      </c>
    </row>
    <row r="136" spans="2:15" hidden="1" outlineLevel="1" x14ac:dyDescent="0.2">
      <c r="B136" s="112" t="s">
        <v>60</v>
      </c>
      <c r="C136" s="81">
        <f>'(계획)손익계산서 월별계획'!C136</f>
        <v>0</v>
      </c>
      <c r="D136" s="148">
        <f t="shared" ca="1" si="24"/>
        <v>0</v>
      </c>
      <c r="E136" s="81">
        <f ca="1">SUM('(계획)손익계산서 월별계획'!E136:(OFFSET('(계획)손익계산서 월별계획'!E136,0,$C$4-1)))</f>
        <v>0</v>
      </c>
      <c r="F136" s="81">
        <f ca="1">SUM('3. 손익계산서 월별실적'!E136:(OFFSET('3. 손익계산서 월별실적'!E136,0,$C$4-1)))</f>
        <v>0</v>
      </c>
      <c r="G136" s="148">
        <f t="shared" ca="1" si="25"/>
        <v>0</v>
      </c>
      <c r="H136" s="81">
        <f ca="1">OFFSET('3. 손익계산서 월별실적'!E136,0,$C$4-2)</f>
        <v>0</v>
      </c>
      <c r="I136" s="148">
        <f t="shared" ca="1" si="36"/>
        <v>0</v>
      </c>
      <c r="J136" s="81">
        <f ca="1">OFFSET('(계획)손익계산서 월별계획'!E136,0,$C$4-1)</f>
        <v>0</v>
      </c>
      <c r="K136" s="148">
        <f t="shared" ca="1" si="29"/>
        <v>0</v>
      </c>
      <c r="L136" s="81">
        <f ca="1">OFFSET('3. 손익계산서 월별실적'!E136,0,$C$4-1)</f>
        <v>0</v>
      </c>
      <c r="M136" s="148">
        <f t="shared" ca="1" si="31"/>
        <v>0</v>
      </c>
      <c r="N136" s="132">
        <f t="shared" ca="1" si="37"/>
        <v>0</v>
      </c>
      <c r="O136" s="132">
        <f t="shared" ca="1" si="38"/>
        <v>0</v>
      </c>
    </row>
    <row r="137" spans="2:15" hidden="1" outlineLevel="1" x14ac:dyDescent="0.2">
      <c r="B137" s="112" t="s">
        <v>61</v>
      </c>
      <c r="C137" s="81">
        <f>'(계획)손익계산서 월별계획'!C137</f>
        <v>0</v>
      </c>
      <c r="D137" s="148">
        <f t="shared" ca="1" si="24"/>
        <v>0</v>
      </c>
      <c r="E137" s="81">
        <f ca="1">SUM('(계획)손익계산서 월별계획'!E137:(OFFSET('(계획)손익계산서 월별계획'!E137,0,$C$4-1)))</f>
        <v>0</v>
      </c>
      <c r="F137" s="81">
        <f ca="1">SUM('3. 손익계산서 월별실적'!E137:(OFFSET('3. 손익계산서 월별실적'!E137,0,$C$4-1)))</f>
        <v>0</v>
      </c>
      <c r="G137" s="148">
        <f t="shared" ca="1" si="25"/>
        <v>0</v>
      </c>
      <c r="H137" s="81">
        <f ca="1">OFFSET('3. 손익계산서 월별실적'!E137,0,$C$4-2)</f>
        <v>0</v>
      </c>
      <c r="I137" s="148">
        <f t="shared" ca="1" si="36"/>
        <v>0</v>
      </c>
      <c r="J137" s="81">
        <f ca="1">OFFSET('(계획)손익계산서 월별계획'!E137,0,$C$4-1)</f>
        <v>0</v>
      </c>
      <c r="K137" s="148">
        <f t="shared" ca="1" si="29"/>
        <v>0</v>
      </c>
      <c r="L137" s="81">
        <f ca="1">OFFSET('3. 손익계산서 월별실적'!E137,0,$C$4-1)</f>
        <v>0</v>
      </c>
      <c r="M137" s="148">
        <f t="shared" ca="1" si="31"/>
        <v>0</v>
      </c>
      <c r="N137" s="132">
        <f t="shared" ca="1" si="37"/>
        <v>0</v>
      </c>
      <c r="O137" s="132">
        <f t="shared" ca="1" si="38"/>
        <v>0</v>
      </c>
    </row>
    <row r="138" spans="2:15" hidden="1" outlineLevel="1" x14ac:dyDescent="0.2">
      <c r="B138" s="112" t="s">
        <v>62</v>
      </c>
      <c r="C138" s="81">
        <f>'(계획)손익계산서 월별계획'!C138</f>
        <v>0</v>
      </c>
      <c r="D138" s="148">
        <f t="shared" ca="1" si="24"/>
        <v>0</v>
      </c>
      <c r="E138" s="81">
        <f ca="1">SUM('(계획)손익계산서 월별계획'!E138:(OFFSET('(계획)손익계산서 월별계획'!E138,0,$C$4-1)))</f>
        <v>0</v>
      </c>
      <c r="F138" s="81">
        <f ca="1">SUM('3. 손익계산서 월별실적'!E138:(OFFSET('3. 손익계산서 월별실적'!E138,0,$C$4-1)))</f>
        <v>0</v>
      </c>
      <c r="G138" s="148">
        <f t="shared" ca="1" si="25"/>
        <v>0</v>
      </c>
      <c r="H138" s="81">
        <f ca="1">OFFSET('3. 손익계산서 월별실적'!E138,0,$C$4-2)</f>
        <v>0</v>
      </c>
      <c r="I138" s="148">
        <f t="shared" ca="1" si="36"/>
        <v>0</v>
      </c>
      <c r="J138" s="81">
        <f ca="1">OFFSET('(계획)손익계산서 월별계획'!E138,0,$C$4-1)</f>
        <v>0</v>
      </c>
      <c r="K138" s="148">
        <f t="shared" ca="1" si="29"/>
        <v>0</v>
      </c>
      <c r="L138" s="81">
        <f ca="1">OFFSET('3. 손익계산서 월별실적'!E138,0,$C$4-1)</f>
        <v>0</v>
      </c>
      <c r="M138" s="148">
        <f t="shared" ca="1" si="31"/>
        <v>0</v>
      </c>
      <c r="N138" s="132">
        <f t="shared" ca="1" si="37"/>
        <v>0</v>
      </c>
      <c r="O138" s="132">
        <f t="shared" ca="1" si="38"/>
        <v>0</v>
      </c>
    </row>
    <row r="139" spans="2:15" hidden="1" outlineLevel="1" x14ac:dyDescent="0.2">
      <c r="B139" s="112" t="s">
        <v>63</v>
      </c>
      <c r="C139" s="81">
        <f>'(계획)손익계산서 월별계획'!C139</f>
        <v>0</v>
      </c>
      <c r="D139" s="148">
        <f t="shared" ca="1" si="24"/>
        <v>0</v>
      </c>
      <c r="E139" s="81">
        <f ca="1">SUM('(계획)손익계산서 월별계획'!E139:(OFFSET('(계획)손익계산서 월별계획'!E139,0,$C$4-1)))</f>
        <v>0</v>
      </c>
      <c r="F139" s="81">
        <f ca="1">SUM('3. 손익계산서 월별실적'!E139:(OFFSET('3. 손익계산서 월별실적'!E139,0,$C$4-1)))</f>
        <v>0</v>
      </c>
      <c r="G139" s="148">
        <f t="shared" ca="1" si="25"/>
        <v>0</v>
      </c>
      <c r="H139" s="81">
        <f ca="1">OFFSET('3. 손익계산서 월별실적'!E139,0,$C$4-2)</f>
        <v>0</v>
      </c>
      <c r="I139" s="148">
        <f t="shared" ca="1" si="36"/>
        <v>0</v>
      </c>
      <c r="J139" s="81">
        <f ca="1">OFFSET('(계획)손익계산서 월별계획'!E139,0,$C$4-1)</f>
        <v>0</v>
      </c>
      <c r="K139" s="148">
        <f t="shared" ca="1" si="29"/>
        <v>0</v>
      </c>
      <c r="L139" s="81">
        <f ca="1">OFFSET('3. 손익계산서 월별실적'!E139,0,$C$4-1)</f>
        <v>0</v>
      </c>
      <c r="M139" s="148">
        <f t="shared" ca="1" si="31"/>
        <v>0</v>
      </c>
      <c r="N139" s="132">
        <f t="shared" ca="1" si="37"/>
        <v>0</v>
      </c>
      <c r="O139" s="132">
        <f t="shared" ca="1" si="38"/>
        <v>0</v>
      </c>
    </row>
    <row r="140" spans="2:15" hidden="1" outlineLevel="1" x14ac:dyDescent="0.2">
      <c r="B140" s="112" t="s">
        <v>64</v>
      </c>
      <c r="C140" s="81">
        <f>'(계획)손익계산서 월별계획'!C140</f>
        <v>0</v>
      </c>
      <c r="D140" s="148">
        <f t="shared" ca="1" si="24"/>
        <v>0</v>
      </c>
      <c r="E140" s="81">
        <f ca="1">SUM('(계획)손익계산서 월별계획'!E140:(OFFSET('(계획)손익계산서 월별계획'!E140,0,$C$4-1)))</f>
        <v>0</v>
      </c>
      <c r="F140" s="81">
        <f ca="1">SUM('3. 손익계산서 월별실적'!E140:(OFFSET('3. 손익계산서 월별실적'!E140,0,$C$4-1)))</f>
        <v>0</v>
      </c>
      <c r="G140" s="148">
        <f t="shared" ca="1" si="25"/>
        <v>0</v>
      </c>
      <c r="H140" s="81">
        <f ca="1">OFFSET('3. 손익계산서 월별실적'!E140,0,$C$4-2)</f>
        <v>0</v>
      </c>
      <c r="I140" s="148">
        <f t="shared" ca="1" si="36"/>
        <v>0</v>
      </c>
      <c r="J140" s="81">
        <f ca="1">OFFSET('(계획)손익계산서 월별계획'!E140,0,$C$4-1)</f>
        <v>0</v>
      </c>
      <c r="K140" s="148">
        <f t="shared" ca="1" si="29"/>
        <v>0</v>
      </c>
      <c r="L140" s="81">
        <f ca="1">OFFSET('3. 손익계산서 월별실적'!E140,0,$C$4-1)</f>
        <v>0</v>
      </c>
      <c r="M140" s="148">
        <f t="shared" ca="1" si="31"/>
        <v>0</v>
      </c>
      <c r="N140" s="132">
        <f t="shared" ca="1" si="37"/>
        <v>0</v>
      </c>
      <c r="O140" s="132">
        <f t="shared" ca="1" si="38"/>
        <v>0</v>
      </c>
    </row>
    <row r="141" spans="2:15" hidden="1" outlineLevel="1" x14ac:dyDescent="0.2">
      <c r="B141" s="112" t="s">
        <v>65</v>
      </c>
      <c r="C141" s="81">
        <f>'(계획)손익계산서 월별계획'!C141</f>
        <v>0</v>
      </c>
      <c r="D141" s="148">
        <f t="shared" ca="1" si="24"/>
        <v>0</v>
      </c>
      <c r="E141" s="81">
        <f ca="1">SUM('(계획)손익계산서 월별계획'!E141:(OFFSET('(계획)손익계산서 월별계획'!E141,0,$C$4-1)))</f>
        <v>0</v>
      </c>
      <c r="F141" s="81">
        <f ca="1">SUM('3. 손익계산서 월별실적'!E141:(OFFSET('3. 손익계산서 월별실적'!E141,0,$C$4-1)))</f>
        <v>0</v>
      </c>
      <c r="G141" s="148">
        <f t="shared" ca="1" si="25"/>
        <v>0</v>
      </c>
      <c r="H141" s="81">
        <f ca="1">OFFSET('3. 손익계산서 월별실적'!E141,0,$C$4-2)</f>
        <v>0</v>
      </c>
      <c r="I141" s="148">
        <f t="shared" ca="1" si="36"/>
        <v>0</v>
      </c>
      <c r="J141" s="81">
        <f ca="1">OFFSET('(계획)손익계산서 월별계획'!E141,0,$C$4-1)</f>
        <v>0</v>
      </c>
      <c r="K141" s="148">
        <f t="shared" ca="1" si="29"/>
        <v>0</v>
      </c>
      <c r="L141" s="81">
        <f ca="1">OFFSET('3. 손익계산서 월별실적'!E141,0,$C$4-1)</f>
        <v>0</v>
      </c>
      <c r="M141" s="148">
        <f t="shared" ca="1" si="31"/>
        <v>0</v>
      </c>
      <c r="N141" s="132">
        <f t="shared" ca="1" si="37"/>
        <v>0</v>
      </c>
      <c r="O141" s="132">
        <f t="shared" ca="1" si="38"/>
        <v>0</v>
      </c>
    </row>
    <row r="142" spans="2:15" hidden="1" outlineLevel="1" x14ac:dyDescent="0.2">
      <c r="B142" s="112" t="s">
        <v>66</v>
      </c>
      <c r="C142" s="81">
        <f>'(계획)손익계산서 월별계획'!C142</f>
        <v>0</v>
      </c>
      <c r="D142" s="148">
        <f t="shared" ca="1" si="24"/>
        <v>0</v>
      </c>
      <c r="E142" s="81">
        <f ca="1">SUM('(계획)손익계산서 월별계획'!E142:(OFFSET('(계획)손익계산서 월별계획'!E142,0,$C$4-1)))</f>
        <v>0</v>
      </c>
      <c r="F142" s="81">
        <f ca="1">SUM('3. 손익계산서 월별실적'!E142:(OFFSET('3. 손익계산서 월별실적'!E142,0,$C$4-1)))</f>
        <v>0</v>
      </c>
      <c r="G142" s="148">
        <f t="shared" ca="1" si="25"/>
        <v>0</v>
      </c>
      <c r="H142" s="81">
        <f ca="1">OFFSET('3. 손익계산서 월별실적'!E142,0,$C$4-2)</f>
        <v>0</v>
      </c>
      <c r="I142" s="148">
        <f t="shared" ca="1" si="36"/>
        <v>0</v>
      </c>
      <c r="J142" s="81">
        <f ca="1">OFFSET('(계획)손익계산서 월별계획'!E142,0,$C$4-1)</f>
        <v>0</v>
      </c>
      <c r="K142" s="148">
        <f t="shared" ca="1" si="29"/>
        <v>0</v>
      </c>
      <c r="L142" s="81">
        <f ca="1">OFFSET('3. 손익계산서 월별실적'!E142,0,$C$4-1)</f>
        <v>0</v>
      </c>
      <c r="M142" s="148">
        <f t="shared" ca="1" si="31"/>
        <v>0</v>
      </c>
      <c r="N142" s="132">
        <f t="shared" ca="1" si="37"/>
        <v>0</v>
      </c>
      <c r="O142" s="132">
        <f t="shared" ca="1" si="38"/>
        <v>0</v>
      </c>
    </row>
    <row r="143" spans="2:15" hidden="1" outlineLevel="1" x14ac:dyDescent="0.2">
      <c r="B143" s="112" t="s">
        <v>67</v>
      </c>
      <c r="C143" s="81">
        <f>'(계획)손익계산서 월별계획'!C143</f>
        <v>0</v>
      </c>
      <c r="D143" s="148">
        <f t="shared" ref="D143:D147" ca="1" si="42">+IFERROR(F143/C143,)</f>
        <v>0</v>
      </c>
      <c r="E143" s="81">
        <f ca="1">SUM('(계획)손익계산서 월별계획'!E143:(OFFSET('(계획)손익계산서 월별계획'!E143,0,$C$4-1)))</f>
        <v>0</v>
      </c>
      <c r="F143" s="81">
        <f ca="1">SUM('3. 손익계산서 월별실적'!E143:(OFFSET('3. 손익계산서 월별실적'!E143,0,$C$4-1)))</f>
        <v>0</v>
      </c>
      <c r="G143" s="148">
        <f t="shared" ref="G143:G147" ca="1" si="43">+IFERROR(F143/E143,)</f>
        <v>0</v>
      </c>
      <c r="H143" s="81">
        <f ca="1">OFFSET('3. 손익계산서 월별실적'!E143,0,$C$4-2)</f>
        <v>0</v>
      </c>
      <c r="I143" s="148">
        <f t="shared" ca="1" si="36"/>
        <v>0</v>
      </c>
      <c r="J143" s="81">
        <f ca="1">OFFSET('(계획)손익계산서 월별계획'!E143,0,$C$4-1)</f>
        <v>0</v>
      </c>
      <c r="K143" s="148">
        <f t="shared" ca="1" si="29"/>
        <v>0</v>
      </c>
      <c r="L143" s="81">
        <f ca="1">OFFSET('3. 손익계산서 월별실적'!E143,0,$C$4-1)</f>
        <v>0</v>
      </c>
      <c r="M143" s="148">
        <f t="shared" ca="1" si="31"/>
        <v>0</v>
      </c>
      <c r="N143" s="132">
        <f t="shared" ca="1" si="37"/>
        <v>0</v>
      </c>
      <c r="O143" s="132">
        <f t="shared" ca="1" si="38"/>
        <v>0</v>
      </c>
    </row>
    <row r="144" spans="2:15" hidden="1" outlineLevel="1" x14ac:dyDescent="0.2">
      <c r="B144" s="112" t="s">
        <v>68</v>
      </c>
      <c r="C144" s="81">
        <f>'(계획)손익계산서 월별계획'!C144</f>
        <v>0</v>
      </c>
      <c r="D144" s="148">
        <f t="shared" ca="1" si="42"/>
        <v>0</v>
      </c>
      <c r="E144" s="81">
        <f ca="1">SUM('(계획)손익계산서 월별계획'!E144:(OFFSET('(계획)손익계산서 월별계획'!E144,0,$C$4-1)))</f>
        <v>0</v>
      </c>
      <c r="F144" s="81">
        <f ca="1">SUM('3. 손익계산서 월별실적'!E144:(OFFSET('3. 손익계산서 월별실적'!E144,0,$C$4-1)))</f>
        <v>0</v>
      </c>
      <c r="G144" s="148">
        <f t="shared" ca="1" si="43"/>
        <v>0</v>
      </c>
      <c r="H144" s="81">
        <f ca="1">OFFSET('3. 손익계산서 월별실적'!E144,0,$C$4-2)</f>
        <v>0</v>
      </c>
      <c r="I144" s="148">
        <f t="shared" ca="1" si="36"/>
        <v>0</v>
      </c>
      <c r="J144" s="81">
        <f ca="1">OFFSET('(계획)손익계산서 월별계획'!E144,0,$C$4-1)</f>
        <v>0</v>
      </c>
      <c r="K144" s="148">
        <f t="shared" ref="K144:K148" ca="1" si="44">+IFERROR(J144/$J$79,)</f>
        <v>0</v>
      </c>
      <c r="L144" s="81">
        <f ca="1">OFFSET('3. 손익계산서 월별실적'!E144,0,$C$4-1)</f>
        <v>0</v>
      </c>
      <c r="M144" s="148">
        <f t="shared" ca="1" si="31"/>
        <v>0</v>
      </c>
      <c r="N144" s="132">
        <f t="shared" ca="1" si="37"/>
        <v>0</v>
      </c>
      <c r="O144" s="132">
        <f t="shared" ca="1" si="38"/>
        <v>0</v>
      </c>
    </row>
    <row r="145" spans="2:30" hidden="1" outlineLevel="1" x14ac:dyDescent="0.2">
      <c r="B145" s="112" t="s">
        <v>69</v>
      </c>
      <c r="C145" s="81">
        <f>'(계획)손익계산서 월별계획'!C145</f>
        <v>0</v>
      </c>
      <c r="D145" s="148">
        <f t="shared" ca="1" si="42"/>
        <v>0</v>
      </c>
      <c r="E145" s="81">
        <f ca="1">SUM('(계획)손익계산서 월별계획'!E145:(OFFSET('(계획)손익계산서 월별계획'!E145,0,$C$4-1)))</f>
        <v>0</v>
      </c>
      <c r="F145" s="81">
        <f ca="1">SUM('3. 손익계산서 월별실적'!E145:(OFFSET('3. 손익계산서 월별실적'!E145,0,$C$4-1)))</f>
        <v>0</v>
      </c>
      <c r="G145" s="148">
        <f t="shared" ca="1" si="43"/>
        <v>0</v>
      </c>
      <c r="H145" s="81">
        <f ca="1">OFFSET('3. 손익계산서 월별실적'!E145,0,$C$4-2)</f>
        <v>0</v>
      </c>
      <c r="I145" s="148">
        <f t="shared" ca="1" si="36"/>
        <v>0</v>
      </c>
      <c r="J145" s="81">
        <f ca="1">OFFSET('(계획)손익계산서 월별계획'!E145,0,$C$4-1)</f>
        <v>0</v>
      </c>
      <c r="K145" s="148">
        <f t="shared" ca="1" si="44"/>
        <v>0</v>
      </c>
      <c r="L145" s="81">
        <f ca="1">OFFSET('3. 손익계산서 월별실적'!E145,0,$C$4-1)</f>
        <v>0</v>
      </c>
      <c r="M145" s="148">
        <f t="shared" ca="1" si="31"/>
        <v>0</v>
      </c>
      <c r="N145" s="132">
        <f t="shared" ca="1" si="37"/>
        <v>0</v>
      </c>
      <c r="O145" s="132">
        <f t="shared" ca="1" si="38"/>
        <v>0</v>
      </c>
    </row>
    <row r="146" spans="2:30" hidden="1" outlineLevel="1" x14ac:dyDescent="0.2">
      <c r="B146" s="112" t="s">
        <v>70</v>
      </c>
      <c r="C146" s="81">
        <f>'(계획)손익계산서 월별계획'!C146</f>
        <v>0</v>
      </c>
      <c r="D146" s="148">
        <f t="shared" ca="1" si="42"/>
        <v>0</v>
      </c>
      <c r="E146" s="81">
        <f ca="1">SUM('(계획)손익계산서 월별계획'!E146:(OFFSET('(계획)손익계산서 월별계획'!E146,0,$C$4-1)))</f>
        <v>0</v>
      </c>
      <c r="F146" s="81">
        <f ca="1">SUM('3. 손익계산서 월별실적'!E146:(OFFSET('3. 손익계산서 월별실적'!E146,0,$C$4-1)))</f>
        <v>0</v>
      </c>
      <c r="G146" s="148">
        <f t="shared" ca="1" si="43"/>
        <v>0</v>
      </c>
      <c r="H146" s="81">
        <f ca="1">OFFSET('3. 손익계산서 월별실적'!E146,0,$C$4-2)</f>
        <v>0</v>
      </c>
      <c r="I146" s="148">
        <f t="shared" ca="1" si="36"/>
        <v>0</v>
      </c>
      <c r="J146" s="81">
        <f ca="1">OFFSET('(계획)손익계산서 월별계획'!E146,0,$C$4-1)</f>
        <v>0</v>
      </c>
      <c r="K146" s="148">
        <f t="shared" ca="1" si="44"/>
        <v>0</v>
      </c>
      <c r="L146" s="81">
        <f ca="1">OFFSET('3. 손익계산서 월별실적'!E146,0,$C$4-1)</f>
        <v>0</v>
      </c>
      <c r="M146" s="148">
        <f t="shared" ca="1" si="31"/>
        <v>0</v>
      </c>
      <c r="N146" s="132">
        <f t="shared" ca="1" si="37"/>
        <v>0</v>
      </c>
      <c r="O146" s="132">
        <f t="shared" ca="1" si="38"/>
        <v>0</v>
      </c>
    </row>
    <row r="147" spans="2:30" hidden="1" outlineLevel="1" x14ac:dyDescent="0.2">
      <c r="B147" s="112" t="s">
        <v>71</v>
      </c>
      <c r="C147" s="81">
        <f>'(계획)손익계산서 월별계획'!C147</f>
        <v>0</v>
      </c>
      <c r="D147" s="148">
        <f t="shared" ca="1" si="42"/>
        <v>0</v>
      </c>
      <c r="E147" s="81">
        <f ca="1">SUM('(계획)손익계산서 월별계획'!E147:(OFFSET('(계획)손익계산서 월별계획'!E147,0,$C$4-1)))</f>
        <v>0</v>
      </c>
      <c r="F147" s="81">
        <f ca="1">SUM('3. 손익계산서 월별실적'!E147:(OFFSET('3. 손익계산서 월별실적'!E147,0,$C$4-1)))</f>
        <v>0</v>
      </c>
      <c r="G147" s="148">
        <f t="shared" ca="1" si="43"/>
        <v>0</v>
      </c>
      <c r="H147" s="81">
        <f ca="1">OFFSET('3. 손익계산서 월별실적'!E147,0,$C$4-2)</f>
        <v>0</v>
      </c>
      <c r="I147" s="148">
        <f t="shared" ca="1" si="36"/>
        <v>0</v>
      </c>
      <c r="J147" s="81">
        <f ca="1">OFFSET('(계획)손익계산서 월별계획'!E147,0,$C$4-1)</f>
        <v>0</v>
      </c>
      <c r="K147" s="148">
        <f t="shared" ca="1" si="44"/>
        <v>0</v>
      </c>
      <c r="L147" s="81">
        <f ca="1">OFFSET('3. 손익계산서 월별실적'!E147,0,$C$4-1)</f>
        <v>0</v>
      </c>
      <c r="M147" s="148">
        <f t="shared" ca="1" si="31"/>
        <v>0</v>
      </c>
      <c r="N147" s="132">
        <f t="shared" ca="1" si="37"/>
        <v>0</v>
      </c>
      <c r="O147" s="132">
        <f t="shared" ca="1" si="38"/>
        <v>0</v>
      </c>
    </row>
    <row r="148" spans="2:30" collapsed="1" x14ac:dyDescent="0.2">
      <c r="B148" s="94" t="s">
        <v>74</v>
      </c>
      <c r="C148" s="92">
        <f>C96-C98</f>
        <v>8187321.8288445752</v>
      </c>
      <c r="D148" s="151">
        <f ca="1">IF(AND(C148&gt;0,F148&gt;0),F148/C148,"(-)")</f>
        <v>8.095548872463687E-2</v>
      </c>
      <c r="E148" s="92">
        <f ca="1">E96-E98</f>
        <v>564436.74770638405</v>
      </c>
      <c r="F148" s="92">
        <f ca="1">F96-F98</f>
        <v>662808.64000000036</v>
      </c>
      <c r="G148" s="151">
        <f t="shared" ref="G148" ca="1" si="45">IF(AND(E148&gt;0,F148&gt;0),F148/E148,"(-)")</f>
        <v>1.1742832880625778</v>
      </c>
      <c r="H148" s="92">
        <f t="shared" ref="H148:L148" ca="1" si="46">H96-H98</f>
        <v>178491.77999999997</v>
      </c>
      <c r="I148" s="151">
        <f t="shared" ca="1" si="36"/>
        <v>2.3909658703601358E-2</v>
      </c>
      <c r="J148" s="92">
        <f t="shared" ca="1" si="46"/>
        <v>564436.74770638405</v>
      </c>
      <c r="K148" s="151">
        <f t="shared" ca="1" si="44"/>
        <v>4.7600201266317047E-2</v>
      </c>
      <c r="L148" s="92">
        <f t="shared" ca="1" si="46"/>
        <v>662808.64000000036</v>
      </c>
      <c r="M148" s="151">
        <f t="shared" ca="1" si="31"/>
        <v>6.4167623195186693E-2</v>
      </c>
      <c r="N148" s="135">
        <f ca="1">+IF(AND(H148&gt;0,L148&gt;0),L148/H148,"(-)")</f>
        <v>3.7133846723921993</v>
      </c>
      <c r="O148" s="135">
        <f ca="1">+IF(AND(J148&gt;0,N148&gt;0),L148/J148,"(-)")</f>
        <v>1.1742832880625778</v>
      </c>
      <c r="Y148" s="40">
        <f>+C148*1330/1000000</f>
        <v>10889.138032363286</v>
      </c>
      <c r="Z148" s="40">
        <f ca="1">+E148*1330/1000000</f>
        <v>750.70087444949081</v>
      </c>
      <c r="AA148" s="40">
        <f ca="1">+F148*1330/1000000</f>
        <v>881.53549120000048</v>
      </c>
      <c r="AB148" s="40">
        <f ca="1">+H148*1330/1000000</f>
        <v>237.39406739999995</v>
      </c>
      <c r="AC148" s="40">
        <f ca="1">+J148*1330/1000000</f>
        <v>750.70087444949081</v>
      </c>
      <c r="AD148" s="40">
        <f ca="1">+L148*1330/1000000</f>
        <v>881.53549120000048</v>
      </c>
    </row>
    <row r="149" spans="2:30" x14ac:dyDescent="0.2">
      <c r="B149" s="113" t="s">
        <v>21</v>
      </c>
      <c r="C149" s="93">
        <f>+IFERROR(C148/C79,)</f>
        <v>5.5452681282086934E-2</v>
      </c>
      <c r="D149" s="142"/>
      <c r="E149" s="93">
        <f ca="1">+IFERROR(E148/E79,)</f>
        <v>4.7600201266317047E-2</v>
      </c>
      <c r="F149" s="93">
        <f ca="1">+IFERROR(F148/F79,)</f>
        <v>6.4167623195186693E-2</v>
      </c>
      <c r="G149" s="142"/>
      <c r="H149" s="93">
        <f ca="1">+IFERROR(H148/H79,)</f>
        <v>2.3909658703601358E-2</v>
      </c>
      <c r="I149" s="142"/>
      <c r="J149" s="93">
        <f ca="1">+IFERROR(J148/J79,)</f>
        <v>4.7600201266317047E-2</v>
      </c>
      <c r="K149" s="142"/>
      <c r="L149" s="93">
        <f ca="1">+IFERROR(L148/L79,)</f>
        <v>6.4167623195186693E-2</v>
      </c>
      <c r="M149" s="142"/>
      <c r="N149" s="93"/>
      <c r="O149" s="93"/>
    </row>
    <row r="150" spans="2:30" x14ac:dyDescent="0.2">
      <c r="B150" s="15"/>
    </row>
    <row r="151" spans="2:30" x14ac:dyDescent="0.2">
      <c r="C151" s="33"/>
    </row>
    <row r="152" spans="2:30" ht="17.25" x14ac:dyDescent="0.2">
      <c r="B152" s="115" t="s">
        <v>119</v>
      </c>
      <c r="M152" s="524"/>
      <c r="O152" s="33" t="s">
        <v>118</v>
      </c>
    </row>
    <row r="153" spans="2:30" ht="27" x14ac:dyDescent="0.2">
      <c r="B153" s="74" t="s">
        <v>95</v>
      </c>
      <c r="C153" s="75" t="s">
        <v>492</v>
      </c>
      <c r="D153" s="138" t="s">
        <v>1</v>
      </c>
      <c r="E153" s="75" t="s">
        <v>36</v>
      </c>
      <c r="F153" s="75" t="s">
        <v>3</v>
      </c>
      <c r="G153" s="138" t="s">
        <v>4</v>
      </c>
      <c r="H153" s="75" t="s">
        <v>5</v>
      </c>
      <c r="I153" s="138" t="s">
        <v>8</v>
      </c>
      <c r="J153" s="75" t="s">
        <v>6</v>
      </c>
      <c r="K153" s="138" t="s">
        <v>8</v>
      </c>
      <c r="L153" s="75" t="s">
        <v>7</v>
      </c>
      <c r="M153" s="138" t="s">
        <v>8</v>
      </c>
      <c r="N153" s="76" t="s">
        <v>9</v>
      </c>
      <c r="O153" s="76" t="s">
        <v>10</v>
      </c>
    </row>
    <row r="154" spans="2:30" x14ac:dyDescent="0.2">
      <c r="B154" s="95" t="s">
        <v>11</v>
      </c>
      <c r="C154" s="78">
        <f t="shared" ref="C154:L154" si="47">SUM(C155:C158)</f>
        <v>25938088.780983888</v>
      </c>
      <c r="D154" s="147">
        <f ca="1">+IFERROR(F154/C154,)</f>
        <v>8.3762861957386928E-2</v>
      </c>
      <c r="E154" s="78">
        <f t="shared" ca="1" si="47"/>
        <v>2356438.8829448726</v>
      </c>
      <c r="F154" s="78">
        <f t="shared" ca="1" si="47"/>
        <v>2172648.5499999998</v>
      </c>
      <c r="G154" s="152">
        <f ca="1">+IFERROR(F154/E154,)</f>
        <v>0.92200504996115684</v>
      </c>
      <c r="H154" s="78">
        <f t="shared" ca="1" si="47"/>
        <v>2378275.09</v>
      </c>
      <c r="I154" s="147">
        <f ca="1">+IFERROR(H154/$H$154,)</f>
        <v>1</v>
      </c>
      <c r="J154" s="78">
        <f t="shared" ca="1" si="47"/>
        <v>2356438.8829448726</v>
      </c>
      <c r="K154" s="147">
        <f ca="1">+IFERROR(J154/$J$154,)</f>
        <v>1</v>
      </c>
      <c r="L154" s="78">
        <f t="shared" ca="1" si="47"/>
        <v>2172648.5499999998</v>
      </c>
      <c r="M154" s="147">
        <f ca="1">+IFERROR(L154/$L$154,)</f>
        <v>1</v>
      </c>
      <c r="N154" s="131">
        <f t="shared" ref="N154:N158" ca="1" si="48">+IFERROR(L154/H154,)</f>
        <v>0.91353963178414321</v>
      </c>
      <c r="O154" s="131">
        <f t="shared" ref="O154:O158" ca="1" si="49">+IFERROR(L154/J154,)</f>
        <v>0.92200504996115684</v>
      </c>
      <c r="Y154" s="40">
        <f>+C154*1330/1000000</f>
        <v>34497.65807870857</v>
      </c>
      <c r="Z154" s="40">
        <f ca="1">+E154*1330/1000000</f>
        <v>3134.0637143166805</v>
      </c>
      <c r="AA154" s="40">
        <f ca="1">+F154*1330/1000000</f>
        <v>2889.6225714999996</v>
      </c>
      <c r="AB154" s="40">
        <f ca="1">+H154*1330/1000000</f>
        <v>3163.1058696999999</v>
      </c>
      <c r="AC154" s="40">
        <f ca="1">+J154*1330/1000000</f>
        <v>3134.0637143166805</v>
      </c>
      <c r="AD154" s="40">
        <f ca="1">+L154*1330/1000000</f>
        <v>2889.6225714999996</v>
      </c>
    </row>
    <row r="155" spans="2:30" x14ac:dyDescent="0.2">
      <c r="B155" s="116" t="s">
        <v>109</v>
      </c>
      <c r="C155" s="81">
        <f>'(계획)손익계산서 월별계획'!C155</f>
        <v>22016726.453199998</v>
      </c>
      <c r="D155" s="148">
        <f ca="1">+IFERROR(F155/C155,)</f>
        <v>9.6905941241319321E-2</v>
      </c>
      <c r="E155" s="81">
        <f ca="1">SUM('(계획)손익계산서 월별계획'!E155:(OFFSET('(계획)손익계산서 월별계획'!E155,0,$C$4-1)))</f>
        <v>1711350.72</v>
      </c>
      <c r="F155" s="81">
        <f ca="1">SUM('3. 손익계산서 월별실적'!E155:(OFFSET('3. 손익계산서 월별실적'!E155,0,$C$4-1)))</f>
        <v>2133551.5999999996</v>
      </c>
      <c r="G155" s="153">
        <f ca="1">+IFERROR(F155/E155,)</f>
        <v>1.2467062274645839</v>
      </c>
      <c r="H155" s="81">
        <f ca="1">OFFSET('3. 손익계산서 월별실적'!E155,0,$C$4-2)</f>
        <v>1490012.26</v>
      </c>
      <c r="I155" s="148">
        <f t="shared" ref="I155:I165" ca="1" si="50">+IFERROR(H155/$H$154,)</f>
        <v>0.62650963560317163</v>
      </c>
      <c r="J155" s="81">
        <f ca="1">OFFSET('(계획)손익계산서 월별계획'!E155,0,$C$4-1)</f>
        <v>1711350.72</v>
      </c>
      <c r="K155" s="148">
        <f ca="1">+IFERROR(J155/$J$154,)</f>
        <v>0.72624447524872893</v>
      </c>
      <c r="L155" s="81">
        <f ca="1">OFFSET('3. 손익계산서 월별실적'!E155,0,$C$4-1)</f>
        <v>2133551.5999999996</v>
      </c>
      <c r="M155" s="148">
        <f t="shared" ref="M155:M217" ca="1" si="51">+IFERROR(L155/$L$154,)</f>
        <v>0.98200493586502968</v>
      </c>
      <c r="N155" s="132">
        <f t="shared" ca="1" si="48"/>
        <v>1.4319020435442589</v>
      </c>
      <c r="O155" s="132">
        <f t="shared" ca="1" si="49"/>
        <v>1.2467062274645839</v>
      </c>
    </row>
    <row r="156" spans="2:30" x14ac:dyDescent="0.2">
      <c r="B156" s="112" t="s">
        <v>106</v>
      </c>
      <c r="C156" s="81">
        <f>'(계획)손익계산서 월별계획'!C156</f>
        <v>3921362.3277838919</v>
      </c>
      <c r="D156" s="148">
        <f ca="1">+IFERROR(F156/C156,)</f>
        <v>6.823620916234458E-3</v>
      </c>
      <c r="E156" s="81">
        <f ca="1">SUM('(계획)손익계산서 월별계획'!E156:(OFFSET('(계획)손익계산서 월별계획'!E156,0,$C$4-1)))</f>
        <v>645088.16294487263</v>
      </c>
      <c r="F156" s="81">
        <f ca="1">SUM('3. 손익계산서 월별실적'!E156:(OFFSET('3. 손익계산서 월별실적'!E156,0,$C$4-1)))</f>
        <v>26757.890000000007</v>
      </c>
      <c r="G156" s="153">
        <f ca="1">+IFERROR(F156/E156,)</f>
        <v>4.1479431087137558E-2</v>
      </c>
      <c r="H156" s="81">
        <f ca="1">OFFSET('3. 손익계산서 월별실적'!E156,0,$C$4-2)</f>
        <v>277853.12</v>
      </c>
      <c r="I156" s="148">
        <f t="shared" ca="1" si="50"/>
        <v>0.11682968096007768</v>
      </c>
      <c r="J156" s="81">
        <f ca="1">OFFSET('(계획)손익계산서 월별계획'!E156,0,$C$4-1)</f>
        <v>645088.16294487263</v>
      </c>
      <c r="K156" s="148">
        <f t="shared" ref="K156:K158" ca="1" si="52">+IFERROR(J156/$J$154,)</f>
        <v>0.27375552475127107</v>
      </c>
      <c r="L156" s="81">
        <f ca="1">OFFSET('3. 손익계산서 월별실적'!E156,0,$C$4-1)</f>
        <v>26757.890000000007</v>
      </c>
      <c r="M156" s="148">
        <f t="shared" ca="1" si="51"/>
        <v>1.231579309041953E-2</v>
      </c>
      <c r="N156" s="132">
        <f t="shared" ca="1" si="48"/>
        <v>9.6302283738976938E-2</v>
      </c>
      <c r="O156" s="132">
        <f t="shared" ca="1" si="49"/>
        <v>4.1479431087137558E-2</v>
      </c>
    </row>
    <row r="157" spans="2:30" x14ac:dyDescent="0.2">
      <c r="B157" s="112" t="s">
        <v>107</v>
      </c>
      <c r="C157" s="81">
        <f>'(계획)손익계산서 월별계획'!C157</f>
        <v>0</v>
      </c>
      <c r="D157" s="148">
        <f ca="1">+IFERROR(F157/C157,)</f>
        <v>0</v>
      </c>
      <c r="E157" s="81">
        <f ca="1">SUM('(계획)손익계산서 월별계획'!E157:(OFFSET('(계획)손익계산서 월별계획'!E157,0,$C$4-1)))</f>
        <v>0</v>
      </c>
      <c r="F157" s="81">
        <f ca="1">SUM('3. 손익계산서 월별실적'!E157:(OFFSET('3. 손익계산서 월별실적'!E157,0,$C$4-1)))</f>
        <v>-9997.16</v>
      </c>
      <c r="G157" s="153">
        <f ca="1">+IFERROR(F157/E157,)</f>
        <v>0</v>
      </c>
      <c r="H157" s="81">
        <f ca="1">OFFSET('3. 손익계산서 월별실적'!E157,0,$C$4-2)</f>
        <v>534125.88</v>
      </c>
      <c r="I157" s="148">
        <f t="shared" ca="1" si="50"/>
        <v>0.22458540740129437</v>
      </c>
      <c r="J157" s="81">
        <f ca="1">OFFSET('(계획)손익계산서 월별계획'!E157,0,$C$4-1)</f>
        <v>0</v>
      </c>
      <c r="K157" s="148">
        <f t="shared" ca="1" si="52"/>
        <v>0</v>
      </c>
      <c r="L157" s="81">
        <f ca="1">OFFSET('3. 손익계산서 월별실적'!E157,0,$C$4-1)</f>
        <v>-9997.16</v>
      </c>
      <c r="M157" s="148">
        <f t="shared" ca="1" si="51"/>
        <v>-4.6013700651216698E-3</v>
      </c>
      <c r="N157" s="132">
        <f t="shared" ca="1" si="48"/>
        <v>-1.8716861276222001E-2</v>
      </c>
      <c r="O157" s="132">
        <f t="shared" ca="1" si="49"/>
        <v>0</v>
      </c>
    </row>
    <row r="158" spans="2:30" x14ac:dyDescent="0.2">
      <c r="B158" s="116" t="s">
        <v>345</v>
      </c>
      <c r="C158" s="81">
        <f>'(계획)손익계산서 월별계획'!C158</f>
        <v>0</v>
      </c>
      <c r="D158" s="148">
        <f ca="1">+IFERROR(F158/C158,)</f>
        <v>0</v>
      </c>
      <c r="E158" s="81">
        <f ca="1">SUM('(계획)손익계산서 월별계획'!E158:(OFFSET('(계획)손익계산서 월별계획'!E158,0,$C$4-1)))</f>
        <v>0</v>
      </c>
      <c r="F158" s="81">
        <f ca="1">SUM('3. 손익계산서 월별실적'!E158:(OFFSET('3. 손익계산서 월별실적'!E158,0,$C$4-1)))</f>
        <v>22336.22</v>
      </c>
      <c r="G158" s="153">
        <f ca="1">+IFERROR(F158/E158,)</f>
        <v>0</v>
      </c>
      <c r="H158" s="81">
        <f ca="1">OFFSET('3. 손익계산서 월별실적'!E158,0,$C$4-2)</f>
        <v>76283.83</v>
      </c>
      <c r="I158" s="148">
        <f t="shared" ca="1" si="50"/>
        <v>3.2075276035456436E-2</v>
      </c>
      <c r="J158" s="81">
        <f ca="1">OFFSET('(계획)손익계산서 월별계획'!E158,0,$C$4-1)</f>
        <v>0</v>
      </c>
      <c r="K158" s="148">
        <f t="shared" ca="1" si="52"/>
        <v>0</v>
      </c>
      <c r="L158" s="81">
        <f ca="1">OFFSET('3. 손익계산서 월별실적'!E158,0,$C$4-1)</f>
        <v>22336.22</v>
      </c>
      <c r="M158" s="148">
        <f t="shared" ca="1" si="51"/>
        <v>1.0280641109672341E-2</v>
      </c>
      <c r="N158" s="132">
        <f t="shared" ca="1" si="48"/>
        <v>0.29280412375728909</v>
      </c>
      <c r="O158" s="132">
        <f t="shared" ca="1" si="49"/>
        <v>0</v>
      </c>
    </row>
    <row r="159" spans="2:30" x14ac:dyDescent="0.2">
      <c r="B159" s="67"/>
      <c r="C159" s="81"/>
      <c r="D159" s="148"/>
      <c r="E159" s="81"/>
      <c r="F159" s="81"/>
      <c r="G159" s="153"/>
      <c r="H159" s="81"/>
      <c r="I159" s="148"/>
      <c r="J159" s="81"/>
      <c r="K159" s="148"/>
      <c r="L159" s="81"/>
      <c r="M159" s="148"/>
      <c r="N159" s="132"/>
      <c r="O159" s="132"/>
    </row>
    <row r="160" spans="2:30" x14ac:dyDescent="0.2">
      <c r="B160" s="95" t="s">
        <v>12</v>
      </c>
      <c r="C160" s="78">
        <f>SUM(C161:C163)</f>
        <v>30298543.872458965</v>
      </c>
      <c r="D160" s="147">
        <f ca="1">+IFERROR(F160/C160,)</f>
        <v>7.9694139103326983E-2</v>
      </c>
      <c r="E160" s="78">
        <f ca="1">SUM(E161:E163)</f>
        <v>2536500.4135218738</v>
      </c>
      <c r="F160" s="78">
        <f ca="1">SUM(F161:F163)</f>
        <v>2414616.37</v>
      </c>
      <c r="G160" s="152">
        <f ca="1">+IFERROR(F160/E160,)</f>
        <v>0.95194795046272418</v>
      </c>
      <c r="H160" s="78">
        <f ca="1">SUM(H161:H163)</f>
        <v>2840384.3531110892</v>
      </c>
      <c r="I160" s="147">
        <f t="shared" ca="1" si="50"/>
        <v>1.1943043784355027</v>
      </c>
      <c r="J160" s="78">
        <f ca="1">SUM(J161:J163)</f>
        <v>2536500.4135218738</v>
      </c>
      <c r="K160" s="147">
        <f t="shared" ref="K160:K217" ca="1" si="53">+IFERROR(J160/$J$154,)</f>
        <v>1.0764125612933257</v>
      </c>
      <c r="L160" s="78">
        <f ca="1">SUM(L161:L163)</f>
        <v>2414616.37</v>
      </c>
      <c r="M160" s="147">
        <f t="shared" ca="1" si="51"/>
        <v>1.1113699774406682</v>
      </c>
      <c r="N160" s="131">
        <f t="shared" ref="N160:N163" ca="1" si="54">+IFERROR(L160/H160,)</f>
        <v>0.85010198262613901</v>
      </c>
      <c r="O160" s="131">
        <f t="shared" ref="O160:O163" ca="1" si="55">+IFERROR(L160/J160,)</f>
        <v>0.95194795046272418</v>
      </c>
      <c r="Y160" s="40">
        <f>+C160*1330/1000000</f>
        <v>40297.063350370423</v>
      </c>
      <c r="Z160" s="40">
        <f ca="1">+E160*1330/1000000</f>
        <v>3373.5455499840923</v>
      </c>
      <c r="AA160" s="40">
        <f ca="1">+F160*1330/1000000</f>
        <v>3211.4397721000005</v>
      </c>
      <c r="AB160" s="40">
        <f ca="1">+H160*1330/1000000</f>
        <v>3777.7111896377487</v>
      </c>
      <c r="AC160" s="40">
        <f ca="1">+J160*1330/1000000</f>
        <v>3373.5455499840923</v>
      </c>
      <c r="AD160" s="40">
        <f ca="1">+L160*1330/1000000</f>
        <v>3211.4397721000005</v>
      </c>
    </row>
    <row r="161" spans="2:30" x14ac:dyDescent="0.2">
      <c r="B161" s="114" t="s">
        <v>115</v>
      </c>
      <c r="C161" s="81">
        <f>'(계획)손익계산서 월별계획'!C161</f>
        <v>28517958.498274755</v>
      </c>
      <c r="D161" s="148">
        <f ca="1">+IFERROR(F161/C161,)</f>
        <v>9.5003517526119713E-2</v>
      </c>
      <c r="E161" s="81">
        <f ca="1">SUM('(계획)손익계산서 월별계획'!E161:(OFFSET('(계획)손익계산서 월별계획'!E161,0,$C$4-1)))</f>
        <v>2255491.2156731896</v>
      </c>
      <c r="F161" s="81">
        <f ca="1">SUM('3. 손익계산서 월별실적'!E161:(OFFSET('3. 손익계산서 월별실적'!E161,0,$C$4-1)))</f>
        <v>2709306.37</v>
      </c>
      <c r="G161" s="153">
        <f ca="1">+IFERROR(F161/E161,)</f>
        <v>1.2012045762684833</v>
      </c>
      <c r="H161" s="81">
        <f ca="1">OFFSET('3. 손익계산서 월별실적'!E161,0,$C$4-2)</f>
        <v>3003041.23</v>
      </c>
      <c r="I161" s="148">
        <f t="shared" ca="1" si="50"/>
        <v>1.2626971718397808</v>
      </c>
      <c r="J161" s="81">
        <f ca="1">OFFSET('(계획)손익계산서 월별계획'!E161,0,$C$4-1)</f>
        <v>2255491.2156731896</v>
      </c>
      <c r="K161" s="148">
        <f t="shared" ca="1" si="53"/>
        <v>0.95716092277957687</v>
      </c>
      <c r="L161" s="81">
        <f ca="1">OFFSET('3. 손익계산서 월별실적'!E161,0,$C$4-1)</f>
        <v>2709306.37</v>
      </c>
      <c r="M161" s="148">
        <f t="shared" ca="1" si="51"/>
        <v>1.2470062725975632</v>
      </c>
      <c r="N161" s="132">
        <f t="shared" ca="1" si="54"/>
        <v>0.90218753673255436</v>
      </c>
      <c r="O161" s="132">
        <f t="shared" ca="1" si="55"/>
        <v>1.2012045762684833</v>
      </c>
    </row>
    <row r="162" spans="2:30" x14ac:dyDescent="0.2">
      <c r="B162" s="114" t="s">
        <v>116</v>
      </c>
      <c r="C162" s="81">
        <f>'(계획)손익계산서 월별계획'!C162</f>
        <v>0</v>
      </c>
      <c r="D162" s="148">
        <f ca="1">+IFERROR(F162/C162,)</f>
        <v>0</v>
      </c>
      <c r="E162" s="81">
        <f ca="1">SUM('(계획)손익계산서 월별계획'!E162:(OFFSET('(계획)손익계산서 월별계획'!E162,0,$C$4-1)))</f>
        <v>0</v>
      </c>
      <c r="F162" s="81">
        <f ca="1">SUM('3. 손익계산서 월별실적'!E162:(OFFSET('3. 손익계산서 월별실적'!E162,0,$C$4-1)))</f>
        <v>0</v>
      </c>
      <c r="G162" s="153">
        <f ca="1">+IFERROR(F162/E162,)</f>
        <v>0</v>
      </c>
      <c r="H162" s="81">
        <f ca="1">OFFSET('3. 손익계산서 월별실적'!E162,0,$C$4-2)</f>
        <v>0</v>
      </c>
      <c r="I162" s="148">
        <f t="shared" ca="1" si="50"/>
        <v>0</v>
      </c>
      <c r="J162" s="81">
        <f ca="1">OFFSET('(계획)손익계산서 월별계획'!E162,0,$C$4-1)</f>
        <v>0</v>
      </c>
      <c r="K162" s="148">
        <f t="shared" ca="1" si="53"/>
        <v>0</v>
      </c>
      <c r="L162" s="81">
        <f ca="1">OFFSET('3. 손익계산서 월별실적'!E162,0,$C$4-1)</f>
        <v>0</v>
      </c>
      <c r="M162" s="148">
        <f t="shared" ca="1" si="51"/>
        <v>0</v>
      </c>
      <c r="N162" s="132">
        <f t="shared" ca="1" si="54"/>
        <v>0</v>
      </c>
      <c r="O162" s="132">
        <f t="shared" ca="1" si="55"/>
        <v>0</v>
      </c>
    </row>
    <row r="163" spans="2:30" x14ac:dyDescent="0.2">
      <c r="B163" s="114" t="s">
        <v>117</v>
      </c>
      <c r="C163" s="81">
        <f>'(계획)손익계산서 월별계획'!C163</f>
        <v>1780585.3741842103</v>
      </c>
      <c r="D163" s="148">
        <f ca="1">+IFERROR(F163/C163,)</f>
        <v>-0.16550175255427707</v>
      </c>
      <c r="E163" s="81">
        <f ca="1">SUM('(계획)손익계산서 월별계획'!E163:(OFFSET('(계획)손익계산서 월별계획'!E163,0,$C$4-1)))</f>
        <v>281009.19784868415</v>
      </c>
      <c r="F163" s="81">
        <f ca="1">SUM('3. 손익계산서 월별실적'!E163:(OFFSET('3. 손익계산서 월별실적'!E163,0,$C$4-1)))</f>
        <v>-294690</v>
      </c>
      <c r="G163" s="153">
        <f ca="1">+IFERROR(F163/E163,)</f>
        <v>-1.048684535083021</v>
      </c>
      <c r="H163" s="81">
        <f ca="1">OFFSET('3. 손익계산서 월별실적'!E163,0,$C$4-2)</f>
        <v>-162656.87688891101</v>
      </c>
      <c r="I163" s="148">
        <f t="shared" ca="1" si="50"/>
        <v>-6.8392793404278146E-2</v>
      </c>
      <c r="J163" s="81">
        <f ca="1">OFFSET('(계획)손익계산서 월별계획'!E163,0,$C$4-1)</f>
        <v>281009.19784868415</v>
      </c>
      <c r="K163" s="148">
        <f t="shared" ca="1" si="53"/>
        <v>0.11925163851374888</v>
      </c>
      <c r="L163" s="81">
        <f ca="1">OFFSET('3. 손익계산서 월별실적'!E163,0,$C$4-1)</f>
        <v>-294690</v>
      </c>
      <c r="M163" s="148">
        <f t="shared" ca="1" si="51"/>
        <v>-0.13563629515689504</v>
      </c>
      <c r="N163" s="132">
        <f t="shared" ca="1" si="54"/>
        <v>1.8117278877871423</v>
      </c>
      <c r="O163" s="132">
        <f t="shared" ca="1" si="55"/>
        <v>-1.048684535083021</v>
      </c>
    </row>
    <row r="164" spans="2:30" x14ac:dyDescent="0.2">
      <c r="B164" s="80"/>
      <c r="C164" s="81"/>
      <c r="D164" s="148"/>
      <c r="E164" s="81"/>
      <c r="F164" s="81"/>
      <c r="G164" s="153"/>
      <c r="H164" s="81"/>
      <c r="I164" s="148"/>
      <c r="J164" s="81"/>
      <c r="K164" s="148"/>
      <c r="L164" s="81"/>
      <c r="M164" s="148"/>
      <c r="N164" s="132"/>
      <c r="O164" s="132"/>
    </row>
    <row r="165" spans="2:30" x14ac:dyDescent="0.2">
      <c r="B165" s="95" t="s">
        <v>13</v>
      </c>
      <c r="C165" s="78">
        <f>+C154-C160</f>
        <v>-4360455.091475077</v>
      </c>
      <c r="D165" s="152" t="str">
        <f ca="1">IF(AND(C165&gt;0,F165&gt;0),F165/C165,"(-)")</f>
        <v>(-)</v>
      </c>
      <c r="E165" s="78">
        <f ca="1">+E154-E160</f>
        <v>-180061.53057700116</v>
      </c>
      <c r="F165" s="78">
        <f ca="1">+F154-F160</f>
        <v>-241967.8200000003</v>
      </c>
      <c r="G165" s="152" t="str">
        <f t="shared" ref="G165" ca="1" si="56">IF(AND(E165&gt;0,F165&gt;0),F165/E165,"(-)")</f>
        <v>(-)</v>
      </c>
      <c r="H165" s="78">
        <f ca="1">+H154-H160</f>
        <v>-462109.26311108936</v>
      </c>
      <c r="I165" s="147">
        <f t="shared" ca="1" si="50"/>
        <v>-0.19430437843550277</v>
      </c>
      <c r="J165" s="78">
        <f ca="1">+J154-J160</f>
        <v>-180061.53057700116</v>
      </c>
      <c r="K165" s="147">
        <f t="shared" ca="1" si="53"/>
        <v>-7.6412561293325756E-2</v>
      </c>
      <c r="L165" s="78">
        <f ca="1">+L154-L160</f>
        <v>-241967.8200000003</v>
      </c>
      <c r="M165" s="147">
        <f t="shared" ca="1" si="51"/>
        <v>-0.11136997744066812</v>
      </c>
      <c r="N165" s="131" t="str">
        <f ca="1">+IF(AND(H165&gt;0,L165&gt;0),L165/H165,"(-)")</f>
        <v>(-)</v>
      </c>
      <c r="O165" s="131" t="str">
        <f ca="1">+IF(AND(J165&gt;0,N165&gt;0),L165/J165,"(-)")</f>
        <v>(-)</v>
      </c>
      <c r="Y165" s="40">
        <f>+C165*1330/1000000</f>
        <v>-5799.4052716618526</v>
      </c>
      <c r="Z165" s="40">
        <f ca="1">+E165*1330/1000000</f>
        <v>-239.48183566741153</v>
      </c>
      <c r="AA165" s="40">
        <f ca="1">+F165*1330/1000000</f>
        <v>-321.81720060000038</v>
      </c>
      <c r="AB165" s="40">
        <f ca="1">+H165*1330/1000000</f>
        <v>-614.60531993774885</v>
      </c>
      <c r="AC165" s="40">
        <f ca="1">+J165*1330/1000000</f>
        <v>-239.48183566741153</v>
      </c>
      <c r="AD165" s="40">
        <f ca="1">+L165*1330/1000000</f>
        <v>-321.81720060000038</v>
      </c>
    </row>
    <row r="166" spans="2:30" x14ac:dyDescent="0.2">
      <c r="B166" s="96" t="s">
        <v>14</v>
      </c>
      <c r="C166" s="82">
        <f>+IFERROR(C165/C154,)</f>
        <v>-0.16811011513970442</v>
      </c>
      <c r="D166" s="137">
        <f t="shared" ref="D166:D182" ca="1" si="57">+IFERROR(F166/C166,)</f>
        <v>0.66248231016983372</v>
      </c>
      <c r="E166" s="82">
        <f ca="1">+IFERROR(E165/E154,)</f>
        <v>-7.6412561293325756E-2</v>
      </c>
      <c r="F166" s="82">
        <f ca="1">+IFERROR(F165/F154,)</f>
        <v>-0.11136997744066812</v>
      </c>
      <c r="G166" s="144"/>
      <c r="H166" s="82">
        <f ca="1">+IFERROR(H165/H154,)</f>
        <v>-0.19430437843550277</v>
      </c>
      <c r="I166" s="137"/>
      <c r="J166" s="82">
        <f ca="1">+IFERROR(J165/J154,)</f>
        <v>-7.6412561293325756E-2</v>
      </c>
      <c r="K166" s="137"/>
      <c r="L166" s="82">
        <f ca="1">+IFERROR(L165/L154,)</f>
        <v>-0.11136997744066812</v>
      </c>
      <c r="M166" s="137"/>
      <c r="N166" s="82"/>
      <c r="O166" s="82"/>
    </row>
    <row r="167" spans="2:30" x14ac:dyDescent="0.2">
      <c r="B167" s="95" t="s">
        <v>15</v>
      </c>
      <c r="C167" s="78">
        <f>SUM(C168,C184,C202)</f>
        <v>2245926.5919494512</v>
      </c>
      <c r="D167" s="147">
        <f t="shared" ca="1" si="57"/>
        <v>0.15699158701974872</v>
      </c>
      <c r="E167" s="78">
        <f ca="1">SUM(E168,E184,E202)</f>
        <v>180603.0244501229</v>
      </c>
      <c r="F167" s="78">
        <f ca="1">SUM(F168,F184,F202)</f>
        <v>352591.57999999996</v>
      </c>
      <c r="G167" s="147">
        <f t="shared" ref="G167:G182" ca="1" si="58">+IFERROR(F167/E167,)</f>
        <v>1.9523016354434037</v>
      </c>
      <c r="H167" s="78">
        <f ca="1">SUM(H168,H184,H202)</f>
        <v>322530.26999999996</v>
      </c>
      <c r="I167" s="147">
        <f t="shared" ref="I167:I217" ca="1" si="59">+IFERROR(H167/$H$154,)</f>
        <v>0.13561520757466286</v>
      </c>
      <c r="J167" s="78">
        <f ca="1">SUM(J168,J184,J202)</f>
        <v>180603.0244501229</v>
      </c>
      <c r="K167" s="147">
        <f t="shared" ca="1" si="53"/>
        <v>7.6642354595855652E-2</v>
      </c>
      <c r="L167" s="78">
        <f ca="1">SUM(L168,L184,L202)</f>
        <v>352591.57999999996</v>
      </c>
      <c r="M167" s="147">
        <f t="shared" ca="1" si="51"/>
        <v>0.16228652351527356</v>
      </c>
      <c r="N167" s="131">
        <f t="shared" ref="N167:N216" ca="1" si="60">+IFERROR(L167/H167,)</f>
        <v>1.093204616112466</v>
      </c>
      <c r="O167" s="131">
        <f t="shared" ref="O167:O216" ca="1" si="61">+IFERROR(L167/J167,)</f>
        <v>1.9523016354434037</v>
      </c>
      <c r="Y167" s="40">
        <f>+C167*1330/1000000</f>
        <v>2987.0823672927704</v>
      </c>
      <c r="Z167" s="40">
        <f ca="1">+E167*1330/1000000</f>
        <v>240.20202251866345</v>
      </c>
      <c r="AA167" s="40">
        <f ca="1">+F167*1330/1000000</f>
        <v>468.94680139999991</v>
      </c>
      <c r="AB167" s="40">
        <f ca="1">+H167*1330/1000000</f>
        <v>428.96525909999997</v>
      </c>
      <c r="AC167" s="40">
        <f ca="1">+J167*1330/1000000</f>
        <v>240.20202251866345</v>
      </c>
      <c r="AD167" s="40">
        <f ca="1">+L167*1330/1000000</f>
        <v>468.94680139999991</v>
      </c>
    </row>
    <row r="168" spans="2:30" ht="16.5" hidden="1" outlineLevel="1" x14ac:dyDescent="0.2">
      <c r="B168" s="97" t="s">
        <v>16</v>
      </c>
      <c r="C168" s="98">
        <f>SUM(C169:C182)</f>
        <v>0</v>
      </c>
      <c r="D168" s="149">
        <f t="shared" ca="1" si="57"/>
        <v>0</v>
      </c>
      <c r="E168" s="98">
        <f t="shared" ref="E168:F168" ca="1" si="62">SUM(E169:E182)</f>
        <v>0</v>
      </c>
      <c r="F168" s="98">
        <f t="shared" ca="1" si="62"/>
        <v>0</v>
      </c>
      <c r="G168" s="149">
        <f t="shared" ca="1" si="58"/>
        <v>0</v>
      </c>
      <c r="H168" s="98">
        <f ca="1">SUM(H169:H182)</f>
        <v>0</v>
      </c>
      <c r="I168" s="149">
        <f t="shared" ca="1" si="59"/>
        <v>0</v>
      </c>
      <c r="J168" s="98">
        <f ca="1">SUM(J169:J182)</f>
        <v>0</v>
      </c>
      <c r="K168" s="149">
        <f t="shared" ca="1" si="53"/>
        <v>0</v>
      </c>
      <c r="L168" s="98">
        <f ca="1">SUM(L169:L182)</f>
        <v>0</v>
      </c>
      <c r="M168" s="149">
        <f t="shared" ca="1" si="51"/>
        <v>0</v>
      </c>
      <c r="N168" s="133">
        <f t="shared" ca="1" si="60"/>
        <v>0</v>
      </c>
      <c r="O168" s="133">
        <f t="shared" ca="1" si="61"/>
        <v>0</v>
      </c>
    </row>
    <row r="169" spans="2:30" hidden="1" outlineLevel="1" x14ac:dyDescent="0.2">
      <c r="B169" s="67" t="s">
        <v>19</v>
      </c>
      <c r="C169" s="81">
        <f>'(계획)손익계산서 월별계획'!C169</f>
        <v>0</v>
      </c>
      <c r="D169" s="148">
        <f t="shared" ca="1" si="57"/>
        <v>0</v>
      </c>
      <c r="E169" s="81">
        <f ca="1">SUM('(계획)손익계산서 월별계획'!E169:(OFFSET('(계획)손익계산서 월별계획'!E169,0,$C$4-1)))</f>
        <v>0</v>
      </c>
      <c r="F169" s="81">
        <f ca="1">SUM('3. 손익계산서 월별실적'!E169:(OFFSET('3. 손익계산서 월별실적'!E169,0,$C$4-1)))</f>
        <v>0</v>
      </c>
      <c r="G169" s="148">
        <f t="shared" ca="1" si="58"/>
        <v>0</v>
      </c>
      <c r="H169" s="81">
        <f ca="1">OFFSET('3. 손익계산서 월별실적'!E169,0,$C$4-2)</f>
        <v>0</v>
      </c>
      <c r="I169" s="148">
        <f t="shared" ca="1" si="59"/>
        <v>0</v>
      </c>
      <c r="J169" s="81">
        <f ca="1">OFFSET('(계획)손익계산서 월별계획'!E169,0,$C$4-1)</f>
        <v>0</v>
      </c>
      <c r="K169" s="148">
        <f t="shared" ca="1" si="53"/>
        <v>0</v>
      </c>
      <c r="L169" s="81">
        <f ca="1">OFFSET('3. 손익계산서 월별실적'!E169,0,$C$4-1)</f>
        <v>0</v>
      </c>
      <c r="M169" s="148">
        <f t="shared" ca="1" si="51"/>
        <v>0</v>
      </c>
      <c r="N169" s="132">
        <f t="shared" ca="1" si="60"/>
        <v>0</v>
      </c>
      <c r="O169" s="132">
        <f t="shared" ca="1" si="61"/>
        <v>0</v>
      </c>
    </row>
    <row r="170" spans="2:30" hidden="1" outlineLevel="1" x14ac:dyDescent="0.2">
      <c r="B170" s="67" t="s">
        <v>43</v>
      </c>
      <c r="C170" s="81">
        <f>'(계획)손익계산서 월별계획'!C170</f>
        <v>0</v>
      </c>
      <c r="D170" s="148">
        <f t="shared" ca="1" si="57"/>
        <v>0</v>
      </c>
      <c r="E170" s="81">
        <f ca="1">SUM('(계획)손익계산서 월별계획'!E170:(OFFSET('(계획)손익계산서 월별계획'!E170,0,$C$4-1)))</f>
        <v>0</v>
      </c>
      <c r="F170" s="81">
        <f ca="1">SUM('3. 손익계산서 월별실적'!E170:(OFFSET('3. 손익계산서 월별실적'!E170,0,$C$4-1)))</f>
        <v>0</v>
      </c>
      <c r="G170" s="148">
        <f t="shared" ca="1" si="58"/>
        <v>0</v>
      </c>
      <c r="H170" s="81">
        <f ca="1">OFFSET('3. 손익계산서 월별실적'!E170,0,$C$4-2)</f>
        <v>0</v>
      </c>
      <c r="I170" s="148">
        <f t="shared" ca="1" si="59"/>
        <v>0</v>
      </c>
      <c r="J170" s="81">
        <f ca="1">OFFSET('(계획)손익계산서 월별계획'!E170,0,$C$4-1)</f>
        <v>0</v>
      </c>
      <c r="K170" s="148">
        <f t="shared" ca="1" si="53"/>
        <v>0</v>
      </c>
      <c r="L170" s="81">
        <f ca="1">OFFSET('3. 손익계산서 월별실적'!E170,0,$C$4-1)</f>
        <v>0</v>
      </c>
      <c r="M170" s="148">
        <f t="shared" ca="1" si="51"/>
        <v>0</v>
      </c>
      <c r="N170" s="132">
        <f t="shared" ca="1" si="60"/>
        <v>0</v>
      </c>
      <c r="O170" s="132">
        <f t="shared" ca="1" si="61"/>
        <v>0</v>
      </c>
    </row>
    <row r="171" spans="2:30" hidden="1" outlineLevel="1" x14ac:dyDescent="0.2">
      <c r="B171" s="67" t="s">
        <v>45</v>
      </c>
      <c r="C171" s="81">
        <f>'(계획)손익계산서 월별계획'!C171</f>
        <v>0</v>
      </c>
      <c r="D171" s="148">
        <f t="shared" ca="1" si="57"/>
        <v>0</v>
      </c>
      <c r="E171" s="81">
        <f ca="1">SUM('(계획)손익계산서 월별계획'!E171:(OFFSET('(계획)손익계산서 월별계획'!E171,0,$C$4-1)))</f>
        <v>0</v>
      </c>
      <c r="F171" s="81">
        <f ca="1">SUM('3. 손익계산서 월별실적'!E171:(OFFSET('3. 손익계산서 월별실적'!E171,0,$C$4-1)))</f>
        <v>0</v>
      </c>
      <c r="G171" s="148">
        <f t="shared" ca="1" si="58"/>
        <v>0</v>
      </c>
      <c r="H171" s="81">
        <f ca="1">OFFSET('3. 손익계산서 월별실적'!E171,0,$C$4-2)</f>
        <v>0</v>
      </c>
      <c r="I171" s="148">
        <f t="shared" ca="1" si="59"/>
        <v>0</v>
      </c>
      <c r="J171" s="81">
        <f ca="1">OFFSET('(계획)손익계산서 월별계획'!E171,0,$C$4-1)</f>
        <v>0</v>
      </c>
      <c r="K171" s="148">
        <f t="shared" ca="1" si="53"/>
        <v>0</v>
      </c>
      <c r="L171" s="81">
        <f ca="1">OFFSET('3. 손익계산서 월별실적'!E171,0,$C$4-1)</f>
        <v>0</v>
      </c>
      <c r="M171" s="148">
        <f t="shared" ca="1" si="51"/>
        <v>0</v>
      </c>
      <c r="N171" s="132">
        <f t="shared" ca="1" si="60"/>
        <v>0</v>
      </c>
      <c r="O171" s="132">
        <f t="shared" ca="1" si="61"/>
        <v>0</v>
      </c>
    </row>
    <row r="172" spans="2:30" hidden="1" outlineLevel="1" x14ac:dyDescent="0.2">
      <c r="B172" s="67" t="s">
        <v>47</v>
      </c>
      <c r="C172" s="81">
        <f>'(계획)손익계산서 월별계획'!C172</f>
        <v>0</v>
      </c>
      <c r="D172" s="148">
        <f t="shared" ca="1" si="57"/>
        <v>0</v>
      </c>
      <c r="E172" s="81">
        <f ca="1">SUM('(계획)손익계산서 월별계획'!E172:(OFFSET('(계획)손익계산서 월별계획'!E172,0,$C$4-1)))</f>
        <v>0</v>
      </c>
      <c r="F172" s="81">
        <f ca="1">SUM('3. 손익계산서 월별실적'!E172:(OFFSET('3. 손익계산서 월별실적'!E172,0,$C$4-1)))</f>
        <v>0</v>
      </c>
      <c r="G172" s="148">
        <f t="shared" ca="1" si="58"/>
        <v>0</v>
      </c>
      <c r="H172" s="81">
        <f ca="1">OFFSET('3. 손익계산서 월별실적'!E172,0,$C$4-2)</f>
        <v>0</v>
      </c>
      <c r="I172" s="148">
        <f t="shared" ca="1" si="59"/>
        <v>0</v>
      </c>
      <c r="J172" s="81">
        <f ca="1">OFFSET('(계획)손익계산서 월별계획'!E172,0,$C$4-1)</f>
        <v>0</v>
      </c>
      <c r="K172" s="148">
        <f t="shared" ca="1" si="53"/>
        <v>0</v>
      </c>
      <c r="L172" s="81">
        <f ca="1">OFFSET('3. 손익계산서 월별실적'!E172,0,$C$4-1)</f>
        <v>0</v>
      </c>
      <c r="M172" s="148">
        <f t="shared" ca="1" si="51"/>
        <v>0</v>
      </c>
      <c r="N172" s="132">
        <f t="shared" ca="1" si="60"/>
        <v>0</v>
      </c>
      <c r="O172" s="132">
        <f t="shared" ca="1" si="61"/>
        <v>0</v>
      </c>
    </row>
    <row r="173" spans="2:30" hidden="1" outlineLevel="1" x14ac:dyDescent="0.2">
      <c r="B173" s="67" t="s">
        <v>48</v>
      </c>
      <c r="C173" s="81">
        <f>'(계획)손익계산서 월별계획'!C173</f>
        <v>0</v>
      </c>
      <c r="D173" s="148">
        <f t="shared" ca="1" si="57"/>
        <v>0</v>
      </c>
      <c r="E173" s="81">
        <f ca="1">SUM('(계획)손익계산서 월별계획'!E173:(OFFSET('(계획)손익계산서 월별계획'!E173,0,$C$4-1)))</f>
        <v>0</v>
      </c>
      <c r="F173" s="81">
        <f ca="1">SUM('3. 손익계산서 월별실적'!E173:(OFFSET('3. 손익계산서 월별실적'!E173,0,$C$4-1)))</f>
        <v>0</v>
      </c>
      <c r="G173" s="148">
        <f t="shared" ca="1" si="58"/>
        <v>0</v>
      </c>
      <c r="H173" s="81">
        <f ca="1">OFFSET('3. 손익계산서 월별실적'!E173,0,$C$4-2)</f>
        <v>0</v>
      </c>
      <c r="I173" s="148">
        <f t="shared" ca="1" si="59"/>
        <v>0</v>
      </c>
      <c r="J173" s="81">
        <f ca="1">OFFSET('(계획)손익계산서 월별계획'!E173,0,$C$4-1)</f>
        <v>0</v>
      </c>
      <c r="K173" s="148">
        <f t="shared" ca="1" si="53"/>
        <v>0</v>
      </c>
      <c r="L173" s="81">
        <f ca="1">OFFSET('3. 손익계산서 월별실적'!E173,0,$C$4-1)</f>
        <v>0</v>
      </c>
      <c r="M173" s="148">
        <f t="shared" ca="1" si="51"/>
        <v>0</v>
      </c>
      <c r="N173" s="132">
        <f t="shared" ca="1" si="60"/>
        <v>0</v>
      </c>
      <c r="O173" s="132">
        <f t="shared" ca="1" si="61"/>
        <v>0</v>
      </c>
    </row>
    <row r="174" spans="2:30" hidden="1" outlineLevel="1" x14ac:dyDescent="0.2">
      <c r="B174" s="67" t="s">
        <v>49</v>
      </c>
      <c r="C174" s="81">
        <f>'(계획)손익계산서 월별계획'!C174</f>
        <v>0</v>
      </c>
      <c r="D174" s="148">
        <f t="shared" ca="1" si="57"/>
        <v>0</v>
      </c>
      <c r="E174" s="81">
        <f ca="1">SUM('(계획)손익계산서 월별계획'!E174:(OFFSET('(계획)손익계산서 월별계획'!E174,0,$C$4-1)))</f>
        <v>0</v>
      </c>
      <c r="F174" s="81">
        <f ca="1">SUM('3. 손익계산서 월별실적'!E174:(OFFSET('3. 손익계산서 월별실적'!E174,0,$C$4-1)))</f>
        <v>0</v>
      </c>
      <c r="G174" s="148">
        <f t="shared" ca="1" si="58"/>
        <v>0</v>
      </c>
      <c r="H174" s="81">
        <f ca="1">OFFSET('3. 손익계산서 월별실적'!E174,0,$C$4-2)</f>
        <v>0</v>
      </c>
      <c r="I174" s="148">
        <f t="shared" ca="1" si="59"/>
        <v>0</v>
      </c>
      <c r="J174" s="81">
        <f ca="1">OFFSET('(계획)손익계산서 월별계획'!E174,0,$C$4-1)</f>
        <v>0</v>
      </c>
      <c r="K174" s="148">
        <f t="shared" ca="1" si="53"/>
        <v>0</v>
      </c>
      <c r="L174" s="81">
        <f ca="1">OFFSET('3. 손익계산서 월별실적'!E174,0,$C$4-1)</f>
        <v>0</v>
      </c>
      <c r="M174" s="148">
        <f t="shared" ca="1" si="51"/>
        <v>0</v>
      </c>
      <c r="N174" s="132">
        <f t="shared" ca="1" si="60"/>
        <v>0</v>
      </c>
      <c r="O174" s="132">
        <f t="shared" ca="1" si="61"/>
        <v>0</v>
      </c>
    </row>
    <row r="175" spans="2:30" hidden="1" outlineLevel="1" x14ac:dyDescent="0.2">
      <c r="B175" s="67" t="s">
        <v>50</v>
      </c>
      <c r="C175" s="81">
        <f>'(계획)손익계산서 월별계획'!C175</f>
        <v>0</v>
      </c>
      <c r="D175" s="148">
        <f t="shared" ca="1" si="57"/>
        <v>0</v>
      </c>
      <c r="E175" s="81">
        <f ca="1">SUM('(계획)손익계산서 월별계획'!E175:(OFFSET('(계획)손익계산서 월별계획'!E175,0,$C$4-1)))</f>
        <v>0</v>
      </c>
      <c r="F175" s="81">
        <f ca="1">SUM('3. 손익계산서 월별실적'!E175:(OFFSET('3. 손익계산서 월별실적'!E175,0,$C$4-1)))</f>
        <v>0</v>
      </c>
      <c r="G175" s="148">
        <f t="shared" ca="1" si="58"/>
        <v>0</v>
      </c>
      <c r="H175" s="81">
        <f ca="1">OFFSET('3. 손익계산서 월별실적'!E175,0,$C$4-2)</f>
        <v>0</v>
      </c>
      <c r="I175" s="148">
        <f t="shared" ca="1" si="59"/>
        <v>0</v>
      </c>
      <c r="J175" s="81">
        <f ca="1">OFFSET('(계획)손익계산서 월별계획'!E175,0,$C$4-1)</f>
        <v>0</v>
      </c>
      <c r="K175" s="148">
        <f t="shared" ca="1" si="53"/>
        <v>0</v>
      </c>
      <c r="L175" s="81">
        <f ca="1">OFFSET('3. 손익계산서 월별실적'!E175,0,$C$4-1)</f>
        <v>0</v>
      </c>
      <c r="M175" s="148">
        <f t="shared" ca="1" si="51"/>
        <v>0</v>
      </c>
      <c r="N175" s="132">
        <f t="shared" ca="1" si="60"/>
        <v>0</v>
      </c>
      <c r="O175" s="132">
        <f t="shared" ca="1" si="61"/>
        <v>0</v>
      </c>
    </row>
    <row r="176" spans="2:30" hidden="1" outlineLevel="1" x14ac:dyDescent="0.2">
      <c r="B176" s="67" t="s">
        <v>51</v>
      </c>
      <c r="C176" s="81">
        <f>'(계획)손익계산서 월별계획'!C176</f>
        <v>0</v>
      </c>
      <c r="D176" s="148">
        <f t="shared" ca="1" si="57"/>
        <v>0</v>
      </c>
      <c r="E176" s="81">
        <f ca="1">SUM('(계획)손익계산서 월별계획'!E176:(OFFSET('(계획)손익계산서 월별계획'!E176,0,$C$4-1)))</f>
        <v>0</v>
      </c>
      <c r="F176" s="81">
        <f ca="1">SUM('3. 손익계산서 월별실적'!E176:(OFFSET('3. 손익계산서 월별실적'!E176,0,$C$4-1)))</f>
        <v>0</v>
      </c>
      <c r="G176" s="148">
        <f t="shared" ca="1" si="58"/>
        <v>0</v>
      </c>
      <c r="H176" s="81">
        <f ca="1">OFFSET('3. 손익계산서 월별실적'!E176,0,$C$4-2)</f>
        <v>0</v>
      </c>
      <c r="I176" s="148">
        <f t="shared" ca="1" si="59"/>
        <v>0</v>
      </c>
      <c r="J176" s="81">
        <f ca="1">OFFSET('(계획)손익계산서 월별계획'!E176,0,$C$4-1)</f>
        <v>0</v>
      </c>
      <c r="K176" s="148">
        <f t="shared" ca="1" si="53"/>
        <v>0</v>
      </c>
      <c r="L176" s="81">
        <f ca="1">OFFSET('3. 손익계산서 월별실적'!E176,0,$C$4-1)</f>
        <v>0</v>
      </c>
      <c r="M176" s="148">
        <f t="shared" ca="1" si="51"/>
        <v>0</v>
      </c>
      <c r="N176" s="132">
        <f t="shared" ca="1" si="60"/>
        <v>0</v>
      </c>
      <c r="O176" s="132">
        <f t="shared" ca="1" si="61"/>
        <v>0</v>
      </c>
    </row>
    <row r="177" spans="2:15" hidden="1" outlineLevel="1" x14ac:dyDescent="0.2">
      <c r="B177" s="67" t="s">
        <v>52</v>
      </c>
      <c r="C177" s="81">
        <f>'(계획)손익계산서 월별계획'!C177</f>
        <v>0</v>
      </c>
      <c r="D177" s="148">
        <f t="shared" ca="1" si="57"/>
        <v>0</v>
      </c>
      <c r="E177" s="81">
        <f ca="1">SUM('(계획)손익계산서 월별계획'!E177:(OFFSET('(계획)손익계산서 월별계획'!E177,0,$C$4-1)))</f>
        <v>0</v>
      </c>
      <c r="F177" s="81">
        <f ca="1">SUM('3. 손익계산서 월별실적'!E177:(OFFSET('3. 손익계산서 월별실적'!E177,0,$C$4-1)))</f>
        <v>0</v>
      </c>
      <c r="G177" s="148">
        <f t="shared" ca="1" si="58"/>
        <v>0</v>
      </c>
      <c r="H177" s="81">
        <f ca="1">OFFSET('3. 손익계산서 월별실적'!E177,0,$C$4-2)</f>
        <v>0</v>
      </c>
      <c r="I177" s="148">
        <f t="shared" ca="1" si="59"/>
        <v>0</v>
      </c>
      <c r="J177" s="81">
        <f ca="1">OFFSET('(계획)손익계산서 월별계획'!E177,0,$C$4-1)</f>
        <v>0</v>
      </c>
      <c r="K177" s="148">
        <f t="shared" ca="1" si="53"/>
        <v>0</v>
      </c>
      <c r="L177" s="81">
        <f ca="1">OFFSET('3. 손익계산서 월별실적'!E177,0,$C$4-1)</f>
        <v>0</v>
      </c>
      <c r="M177" s="148">
        <f t="shared" ca="1" si="51"/>
        <v>0</v>
      </c>
      <c r="N177" s="132">
        <f t="shared" ca="1" si="60"/>
        <v>0</v>
      </c>
      <c r="O177" s="132">
        <f t="shared" ca="1" si="61"/>
        <v>0</v>
      </c>
    </row>
    <row r="178" spans="2:15" hidden="1" outlineLevel="1" x14ac:dyDescent="0.2">
      <c r="B178" s="67" t="s">
        <v>53</v>
      </c>
      <c r="C178" s="81">
        <f>'(계획)손익계산서 월별계획'!C178</f>
        <v>0</v>
      </c>
      <c r="D178" s="148">
        <f t="shared" ca="1" si="57"/>
        <v>0</v>
      </c>
      <c r="E178" s="81">
        <f ca="1">SUM('(계획)손익계산서 월별계획'!E178:(OFFSET('(계획)손익계산서 월별계획'!E178,0,$C$4-1)))</f>
        <v>0</v>
      </c>
      <c r="F178" s="81">
        <f ca="1">SUM('3. 손익계산서 월별실적'!E178:(OFFSET('3. 손익계산서 월별실적'!E178,0,$C$4-1)))</f>
        <v>0</v>
      </c>
      <c r="G178" s="148">
        <f t="shared" ca="1" si="58"/>
        <v>0</v>
      </c>
      <c r="H178" s="81">
        <f ca="1">OFFSET('3. 손익계산서 월별실적'!E178,0,$C$4-2)</f>
        <v>0</v>
      </c>
      <c r="I178" s="148">
        <f t="shared" ca="1" si="59"/>
        <v>0</v>
      </c>
      <c r="J178" s="81">
        <f ca="1">OFFSET('(계획)손익계산서 월별계획'!E178,0,$C$4-1)</f>
        <v>0</v>
      </c>
      <c r="K178" s="148">
        <f t="shared" ca="1" si="53"/>
        <v>0</v>
      </c>
      <c r="L178" s="81">
        <f ca="1">OFFSET('3. 손익계산서 월별실적'!E178,0,$C$4-1)</f>
        <v>0</v>
      </c>
      <c r="M178" s="148">
        <f t="shared" ca="1" si="51"/>
        <v>0</v>
      </c>
      <c r="N178" s="132">
        <f t="shared" ca="1" si="60"/>
        <v>0</v>
      </c>
      <c r="O178" s="132">
        <f t="shared" ca="1" si="61"/>
        <v>0</v>
      </c>
    </row>
    <row r="179" spans="2:15" hidden="1" outlineLevel="1" x14ac:dyDescent="0.2">
      <c r="B179" s="67" t="s">
        <v>54</v>
      </c>
      <c r="C179" s="81">
        <f>'(계획)손익계산서 월별계획'!C179</f>
        <v>0</v>
      </c>
      <c r="D179" s="148">
        <f t="shared" ca="1" si="57"/>
        <v>0</v>
      </c>
      <c r="E179" s="81">
        <f ca="1">SUM('(계획)손익계산서 월별계획'!E179:(OFFSET('(계획)손익계산서 월별계획'!E179,0,$C$4-1)))</f>
        <v>0</v>
      </c>
      <c r="F179" s="81">
        <f ca="1">SUM('3. 손익계산서 월별실적'!E179:(OFFSET('3. 손익계산서 월별실적'!E179,0,$C$4-1)))</f>
        <v>0</v>
      </c>
      <c r="G179" s="148">
        <f t="shared" ca="1" si="58"/>
        <v>0</v>
      </c>
      <c r="H179" s="81">
        <f ca="1">OFFSET('3. 손익계산서 월별실적'!E179,0,$C$4-2)</f>
        <v>0</v>
      </c>
      <c r="I179" s="148">
        <f t="shared" ca="1" si="59"/>
        <v>0</v>
      </c>
      <c r="J179" s="81">
        <f ca="1">OFFSET('(계획)손익계산서 월별계획'!E179,0,$C$4-1)</f>
        <v>0</v>
      </c>
      <c r="K179" s="148">
        <f t="shared" ca="1" si="53"/>
        <v>0</v>
      </c>
      <c r="L179" s="81">
        <f ca="1">OFFSET('3. 손익계산서 월별실적'!E179,0,$C$4-1)</f>
        <v>0</v>
      </c>
      <c r="M179" s="148">
        <f t="shared" ca="1" si="51"/>
        <v>0</v>
      </c>
      <c r="N179" s="132">
        <f t="shared" ca="1" si="60"/>
        <v>0</v>
      </c>
      <c r="O179" s="132">
        <f t="shared" ca="1" si="61"/>
        <v>0</v>
      </c>
    </row>
    <row r="180" spans="2:15" hidden="1" outlineLevel="1" x14ac:dyDescent="0.2">
      <c r="B180" s="67" t="s">
        <v>55</v>
      </c>
      <c r="C180" s="81">
        <f>'(계획)손익계산서 월별계획'!C180</f>
        <v>0</v>
      </c>
      <c r="D180" s="148">
        <f t="shared" ca="1" si="57"/>
        <v>0</v>
      </c>
      <c r="E180" s="81">
        <f ca="1">SUM('(계획)손익계산서 월별계획'!E180:(OFFSET('(계획)손익계산서 월별계획'!E180,0,$C$4-1)))</f>
        <v>0</v>
      </c>
      <c r="F180" s="81">
        <f ca="1">SUM('3. 손익계산서 월별실적'!E180:(OFFSET('3. 손익계산서 월별실적'!E180,0,$C$4-1)))</f>
        <v>0</v>
      </c>
      <c r="G180" s="148">
        <f t="shared" ca="1" si="58"/>
        <v>0</v>
      </c>
      <c r="H180" s="81">
        <f ca="1">OFFSET('3. 손익계산서 월별실적'!E180,0,$C$4-2)</f>
        <v>0</v>
      </c>
      <c r="I180" s="148">
        <f t="shared" ca="1" si="59"/>
        <v>0</v>
      </c>
      <c r="J180" s="81">
        <f ca="1">OFFSET('(계획)손익계산서 월별계획'!E180,0,$C$4-1)</f>
        <v>0</v>
      </c>
      <c r="K180" s="148">
        <f t="shared" ca="1" si="53"/>
        <v>0</v>
      </c>
      <c r="L180" s="81">
        <f ca="1">OFFSET('3. 손익계산서 월별실적'!E180,0,$C$4-1)</f>
        <v>0</v>
      </c>
      <c r="M180" s="148">
        <f t="shared" ca="1" si="51"/>
        <v>0</v>
      </c>
      <c r="N180" s="132">
        <f t="shared" ca="1" si="60"/>
        <v>0</v>
      </c>
      <c r="O180" s="132">
        <f t="shared" ca="1" si="61"/>
        <v>0</v>
      </c>
    </row>
    <row r="181" spans="2:15" hidden="1" outlineLevel="1" x14ac:dyDescent="0.2">
      <c r="B181" s="67" t="s">
        <v>56</v>
      </c>
      <c r="C181" s="81">
        <f>'(계획)손익계산서 월별계획'!C181</f>
        <v>0</v>
      </c>
      <c r="D181" s="148">
        <f t="shared" ca="1" si="57"/>
        <v>0</v>
      </c>
      <c r="E181" s="81">
        <f ca="1">SUM('(계획)손익계산서 월별계획'!E181:(OFFSET('(계획)손익계산서 월별계획'!E181,0,$C$4-1)))</f>
        <v>0</v>
      </c>
      <c r="F181" s="81">
        <f ca="1">SUM('3. 손익계산서 월별실적'!E181:(OFFSET('3. 손익계산서 월별실적'!E181,0,$C$4-1)))</f>
        <v>0</v>
      </c>
      <c r="G181" s="148">
        <f t="shared" ca="1" si="58"/>
        <v>0</v>
      </c>
      <c r="H181" s="81">
        <f ca="1">OFFSET('3. 손익계산서 월별실적'!E181,0,$C$4-2)</f>
        <v>0</v>
      </c>
      <c r="I181" s="148">
        <f t="shared" ca="1" si="59"/>
        <v>0</v>
      </c>
      <c r="J181" s="81">
        <f ca="1">OFFSET('(계획)손익계산서 월별계획'!E181,0,$C$4-1)</f>
        <v>0</v>
      </c>
      <c r="K181" s="148">
        <f t="shared" ca="1" si="53"/>
        <v>0</v>
      </c>
      <c r="L181" s="81">
        <f ca="1">OFFSET('3. 손익계산서 월별실적'!E181,0,$C$4-1)</f>
        <v>0</v>
      </c>
      <c r="M181" s="148">
        <f t="shared" ca="1" si="51"/>
        <v>0</v>
      </c>
      <c r="N181" s="132">
        <f t="shared" ca="1" si="60"/>
        <v>0</v>
      </c>
      <c r="O181" s="132">
        <f t="shared" ca="1" si="61"/>
        <v>0</v>
      </c>
    </row>
    <row r="182" spans="2:15" hidden="1" outlineLevel="1" x14ac:dyDescent="0.2">
      <c r="B182" s="67" t="s">
        <v>57</v>
      </c>
      <c r="C182" s="81">
        <f>'(계획)손익계산서 월별계획'!C182</f>
        <v>0</v>
      </c>
      <c r="D182" s="148">
        <f t="shared" ca="1" si="57"/>
        <v>0</v>
      </c>
      <c r="E182" s="81">
        <f ca="1">SUM('(계획)손익계산서 월별계획'!E182:(OFFSET('(계획)손익계산서 월별계획'!E182,0,$C$4-1)))</f>
        <v>0</v>
      </c>
      <c r="F182" s="81">
        <f ca="1">SUM('3. 손익계산서 월별실적'!E182:(OFFSET('3. 손익계산서 월별실적'!E182,0,$C$4-1)))</f>
        <v>0</v>
      </c>
      <c r="G182" s="148">
        <f t="shared" ca="1" si="58"/>
        <v>0</v>
      </c>
      <c r="H182" s="81">
        <f ca="1">OFFSET('3. 손익계산서 월별실적'!E182,0,$C$4-2)</f>
        <v>0</v>
      </c>
      <c r="I182" s="148">
        <f t="shared" ca="1" si="59"/>
        <v>0</v>
      </c>
      <c r="J182" s="81">
        <f ca="1">OFFSET('(계획)손익계산서 월별계획'!E182,0,$C$4-1)</f>
        <v>0</v>
      </c>
      <c r="K182" s="148">
        <f t="shared" ca="1" si="53"/>
        <v>0</v>
      </c>
      <c r="L182" s="81">
        <f ca="1">OFFSET('3. 손익계산서 월별실적'!E182,0,$C$4-1)</f>
        <v>0</v>
      </c>
      <c r="M182" s="148">
        <f t="shared" ca="1" si="51"/>
        <v>0</v>
      </c>
      <c r="N182" s="132">
        <f t="shared" ca="1" si="60"/>
        <v>0</v>
      </c>
      <c r="O182" s="132">
        <f t="shared" ca="1" si="61"/>
        <v>0</v>
      </c>
    </row>
    <row r="183" spans="2:15" hidden="1" outlineLevel="1" x14ac:dyDescent="0.2">
      <c r="B183" s="106"/>
      <c r="C183" s="81"/>
      <c r="D183" s="148"/>
      <c r="E183" s="81"/>
      <c r="F183" s="81"/>
      <c r="G183" s="148"/>
      <c r="H183" s="81"/>
      <c r="I183" s="148"/>
      <c r="J183" s="81"/>
      <c r="K183" s="148">
        <f t="shared" ca="1" si="53"/>
        <v>0</v>
      </c>
      <c r="L183" s="81"/>
      <c r="M183" s="148"/>
      <c r="N183" s="132"/>
      <c r="O183" s="132"/>
    </row>
    <row r="184" spans="2:15" ht="16.5" collapsed="1" x14ac:dyDescent="0.2">
      <c r="B184" s="97" t="s">
        <v>17</v>
      </c>
      <c r="C184" s="109">
        <f>SUM(C185:C200)</f>
        <v>2245926.5919494512</v>
      </c>
      <c r="D184" s="150">
        <f t="shared" ref="D184:D199" ca="1" si="63">+IFERROR(F184/C184,)</f>
        <v>0.15699158701974872</v>
      </c>
      <c r="E184" s="109">
        <f t="shared" ref="E184:F184" ca="1" si="64">SUM(E185:E200)</f>
        <v>180603.0244501229</v>
      </c>
      <c r="F184" s="109">
        <f t="shared" ca="1" si="64"/>
        <v>352591.57999999996</v>
      </c>
      <c r="G184" s="150">
        <f t="shared" ref="G184:G199" ca="1" si="65">+IFERROR(F184/E184,)</f>
        <v>1.9523016354434037</v>
      </c>
      <c r="H184" s="109">
        <f ca="1">SUM(H185:H200)</f>
        <v>322530.26999999996</v>
      </c>
      <c r="I184" s="150">
        <f t="shared" ca="1" si="59"/>
        <v>0.13561520757466286</v>
      </c>
      <c r="J184" s="109">
        <f ca="1">SUM(J185:J200)</f>
        <v>180603.0244501229</v>
      </c>
      <c r="K184" s="150">
        <f t="shared" ca="1" si="53"/>
        <v>7.6642354595855652E-2</v>
      </c>
      <c r="L184" s="109">
        <f ca="1">SUM(L185:L200)</f>
        <v>352591.57999999996</v>
      </c>
      <c r="M184" s="150">
        <f t="shared" ca="1" si="51"/>
        <v>0.16228652351527356</v>
      </c>
      <c r="N184" s="134">
        <f t="shared" ca="1" si="60"/>
        <v>1.093204616112466</v>
      </c>
      <c r="O184" s="134">
        <f t="shared" ca="1" si="61"/>
        <v>1.9523016354434037</v>
      </c>
    </row>
    <row r="185" spans="2:15" x14ac:dyDescent="0.2">
      <c r="B185" s="112" t="s">
        <v>58</v>
      </c>
      <c r="C185" s="81">
        <f>'(계획)손익계산서 월별계획'!C185</f>
        <v>1813265.7201</v>
      </c>
      <c r="D185" s="148">
        <f t="shared" ca="1" si="63"/>
        <v>0.12835609663826014</v>
      </c>
      <c r="E185" s="81">
        <f ca="1">SUM('(계획)손익계산서 월별계획'!E185:(OFFSET('(계획)손익계산서 월별계획'!E185,0,$C$4-1)))</f>
        <v>132581.94230000002</v>
      </c>
      <c r="F185" s="81">
        <f ca="1">SUM('3. 손익계산서 월별실적'!E185:(OFFSET('3. 손익계산서 월별실적'!E185,0,$C$4-1)))</f>
        <v>232743.71</v>
      </c>
      <c r="G185" s="148">
        <f t="shared" ca="1" si="65"/>
        <v>1.7554706618595068</v>
      </c>
      <c r="H185" s="81">
        <f ca="1">OFFSET('3. 손익계산서 월별실적'!E185,0,$C$4-2)</f>
        <v>130380.92</v>
      </c>
      <c r="I185" s="148">
        <f t="shared" ca="1" si="59"/>
        <v>5.4821631252085314E-2</v>
      </c>
      <c r="J185" s="81">
        <f ca="1">OFFSET('(계획)손익계산서 월별계획'!E185,0,$C$4-1)</f>
        <v>132581.94230000002</v>
      </c>
      <c r="K185" s="148">
        <f t="shared" ca="1" si="53"/>
        <v>5.6263688084416022E-2</v>
      </c>
      <c r="L185" s="81">
        <f ca="1">OFFSET('3. 손익계산서 월별실적'!E185,0,$C$4-1)</f>
        <v>232743.71</v>
      </c>
      <c r="M185" s="148">
        <f t="shared" ca="1" si="51"/>
        <v>0.10712441733846001</v>
      </c>
      <c r="N185" s="132">
        <f t="shared" ca="1" si="60"/>
        <v>1.7851055967391547</v>
      </c>
      <c r="O185" s="132">
        <f t="shared" ca="1" si="61"/>
        <v>1.7554706618595068</v>
      </c>
    </row>
    <row r="186" spans="2:15" x14ac:dyDescent="0.2">
      <c r="B186" s="112" t="s">
        <v>59</v>
      </c>
      <c r="C186" s="81">
        <f>'(계획)손익계산서 월별계획'!C186</f>
        <v>19824.480523757436</v>
      </c>
      <c r="D186" s="148">
        <f t="shared" ca="1" si="63"/>
        <v>0.12336161833190253</v>
      </c>
      <c r="E186" s="81">
        <f ca="1">SUM('(계획)손익계산서 월별계획'!E186:(OFFSET('(계획)손익계산서 월별계획'!E186,0,$C$4-1)))</f>
        <v>1652.0400436464533</v>
      </c>
      <c r="F186" s="81">
        <f ca="1">SUM('3. 손익계산서 월별실적'!E186:(OFFSET('3. 손익계산서 월별실적'!E186,0,$C$4-1)))</f>
        <v>2445.58</v>
      </c>
      <c r="G186" s="148">
        <f t="shared" ca="1" si="65"/>
        <v>1.4803394199828299</v>
      </c>
      <c r="H186" s="81">
        <f ca="1">OFFSET('3. 손익계산서 월별실적'!E186,0,$C$4-2)</f>
        <v>2824.64</v>
      </c>
      <c r="I186" s="148">
        <f t="shared" ca="1" si="59"/>
        <v>1.1876843061077514E-3</v>
      </c>
      <c r="J186" s="81">
        <f ca="1">OFFSET('(계획)손익계산서 월별계획'!E186,0,$C$4-1)</f>
        <v>1652.0400436464533</v>
      </c>
      <c r="K186" s="148">
        <f t="shared" ca="1" si="53"/>
        <v>7.0107485307740179E-4</v>
      </c>
      <c r="L186" s="81">
        <f ca="1">OFFSET('3. 손익계산서 월별실적'!E186,0,$C$4-1)</f>
        <v>2445.58</v>
      </c>
      <c r="M186" s="148">
        <f t="shared" ca="1" si="51"/>
        <v>1.1256215369025056E-3</v>
      </c>
      <c r="N186" s="132">
        <f t="shared" ca="1" si="60"/>
        <v>0.86580236773535746</v>
      </c>
      <c r="O186" s="132">
        <f t="shared" ca="1" si="61"/>
        <v>1.4803394199828299</v>
      </c>
    </row>
    <row r="187" spans="2:15" x14ac:dyDescent="0.2">
      <c r="B187" s="112" t="s">
        <v>60</v>
      </c>
      <c r="C187" s="81">
        <f>'(계획)손익계산서 월별계획'!C187</f>
        <v>145878.09058848268</v>
      </c>
      <c r="D187" s="148">
        <f t="shared" ca="1" si="63"/>
        <v>7.7695560411282519E-2</v>
      </c>
      <c r="E187" s="81">
        <f ca="1">SUM('(계획)손익계산서 월별계획'!E187:(OFFSET('(계획)손익계산서 월별계획'!E187,0,$C$4-1)))</f>
        <v>11663.528407260157</v>
      </c>
      <c r="F187" s="81">
        <f ca="1">SUM('3. 손익계산서 월별실적'!E187:(OFFSET('3. 손익계산서 월별실적'!E187,0,$C$4-1)))</f>
        <v>11334.08</v>
      </c>
      <c r="G187" s="148">
        <f t="shared" ca="1" si="65"/>
        <v>0.97175396708811657</v>
      </c>
      <c r="H187" s="81">
        <f ca="1">OFFSET('3. 손익계산서 월별실적'!E187,0,$C$4-2)</f>
        <v>9131.59</v>
      </c>
      <c r="I187" s="148">
        <f t="shared" ca="1" si="59"/>
        <v>3.8395852684981035E-3</v>
      </c>
      <c r="J187" s="81">
        <f ca="1">OFFSET('(계획)손익계산서 월별계획'!E187,0,$C$4-1)</f>
        <v>11663.528407260157</v>
      </c>
      <c r="K187" s="148">
        <f t="shared" ca="1" si="53"/>
        <v>4.9496418055553779E-3</v>
      </c>
      <c r="L187" s="81">
        <f ca="1">OFFSET('3. 손익계산서 월별실적'!E187,0,$C$4-1)</f>
        <v>11334.08</v>
      </c>
      <c r="M187" s="148">
        <f t="shared" ca="1" si="51"/>
        <v>5.2167111887470256E-3</v>
      </c>
      <c r="N187" s="132">
        <f t="shared" ca="1" si="60"/>
        <v>1.241194578381202</v>
      </c>
      <c r="O187" s="132">
        <f t="shared" ca="1" si="61"/>
        <v>0.97175396708811657</v>
      </c>
    </row>
    <row r="188" spans="2:15" x14ac:dyDescent="0.2">
      <c r="B188" s="112" t="s">
        <v>61</v>
      </c>
      <c r="C188" s="81">
        <f>'(계획)손익계산서 월별계획'!C188</f>
        <v>39275.308179260785</v>
      </c>
      <c r="D188" s="148">
        <f t="shared" ca="1" si="63"/>
        <v>6.0455540900218839E-2</v>
      </c>
      <c r="E188" s="81">
        <f ca="1">SUM('(계획)손익계산서 월별계획'!E188:(OFFSET('(계획)손익계산서 월별계획'!E188,0,$C$4-1)))</f>
        <v>3201.910595843623</v>
      </c>
      <c r="F188" s="81">
        <f ca="1">SUM('3. 손익계산서 월별실적'!E188:(OFFSET('3. 손익계산서 월별실적'!E188,0,$C$4-1)))</f>
        <v>2374.41</v>
      </c>
      <c r="G188" s="148">
        <f t="shared" ca="1" si="65"/>
        <v>0.74156036807592451</v>
      </c>
      <c r="H188" s="81">
        <f ca="1">OFFSET('3. 손익계산서 월별실적'!E188,0,$C$4-2)</f>
        <v>1447.78</v>
      </c>
      <c r="I188" s="148">
        <f t="shared" ca="1" si="59"/>
        <v>6.0875211874670057E-4</v>
      </c>
      <c r="J188" s="81">
        <f ca="1">OFFSET('(계획)손익계산서 월별계획'!E188,0,$C$4-1)</f>
        <v>3201.910595843623</v>
      </c>
      <c r="K188" s="148">
        <f t="shared" ca="1" si="53"/>
        <v>1.3587921244289406E-3</v>
      </c>
      <c r="L188" s="81">
        <f ca="1">OFFSET('3. 손익계산서 월별실적'!E188,0,$C$4-1)</f>
        <v>2374.41</v>
      </c>
      <c r="M188" s="148">
        <f t="shared" ca="1" si="51"/>
        <v>1.0928642830889516E-3</v>
      </c>
      <c r="N188" s="132">
        <f t="shared" ca="1" si="60"/>
        <v>1.6400350882040089</v>
      </c>
      <c r="O188" s="132">
        <f t="shared" ca="1" si="61"/>
        <v>0.74156036807592451</v>
      </c>
    </row>
    <row r="189" spans="2:15" x14ac:dyDescent="0.2">
      <c r="B189" s="112" t="s">
        <v>62</v>
      </c>
      <c r="C189" s="81">
        <f>'(계획)손익계산서 월별계획'!C189</f>
        <v>0</v>
      </c>
      <c r="D189" s="148">
        <f t="shared" ca="1" si="63"/>
        <v>0</v>
      </c>
      <c r="E189" s="81">
        <f ca="1">SUM('(계획)손익계산서 월별계획'!E189:(OFFSET('(계획)손익계산서 월별계획'!E189,0,$C$4-1)))</f>
        <v>0</v>
      </c>
      <c r="F189" s="81">
        <f ca="1">SUM('3. 손익계산서 월별실적'!E189:(OFFSET('3. 손익계산서 월별실적'!E189,0,$C$4-1)))</f>
        <v>57855.85</v>
      </c>
      <c r="G189" s="148">
        <f t="shared" ca="1" si="65"/>
        <v>0</v>
      </c>
      <c r="H189" s="81">
        <f ca="1">OFFSET('3. 손익계산서 월별실적'!E189,0,$C$4-2)</f>
        <v>25701.79</v>
      </c>
      <c r="I189" s="148">
        <f t="shared" ca="1" si="59"/>
        <v>1.080690375477128E-2</v>
      </c>
      <c r="J189" s="81">
        <f ca="1">OFFSET('(계획)손익계산서 월별계획'!E189,0,$C$4-1)</f>
        <v>0</v>
      </c>
      <c r="K189" s="148">
        <f t="shared" ca="1" si="53"/>
        <v>0</v>
      </c>
      <c r="L189" s="81">
        <f ca="1">OFFSET('3. 손익계산서 월별실적'!E189,0,$C$4-1)</f>
        <v>57855.85</v>
      </c>
      <c r="M189" s="148">
        <f t="shared" ca="1" si="51"/>
        <v>2.6629180315426534E-2</v>
      </c>
      <c r="N189" s="132">
        <f t="shared" ca="1" si="60"/>
        <v>2.251043604355961</v>
      </c>
      <c r="O189" s="132">
        <f t="shared" ca="1" si="61"/>
        <v>0</v>
      </c>
    </row>
    <row r="190" spans="2:15" x14ac:dyDescent="0.2">
      <c r="B190" s="112" t="s">
        <v>63</v>
      </c>
      <c r="C190" s="81">
        <f>'(계획)손익계산서 월별계획'!C190</f>
        <v>0</v>
      </c>
      <c r="D190" s="148">
        <f t="shared" ca="1" si="63"/>
        <v>0</v>
      </c>
      <c r="E190" s="81">
        <f ca="1">SUM('(계획)손익계산서 월별계획'!E190:(OFFSET('(계획)손익계산서 월별계획'!E190,0,$C$4-1)))</f>
        <v>0</v>
      </c>
      <c r="F190" s="81">
        <f ca="1">SUM('3. 손익계산서 월별실적'!E190:(OFFSET('3. 손익계산서 월별실적'!E190,0,$C$4-1)))</f>
        <v>0</v>
      </c>
      <c r="G190" s="148">
        <f t="shared" ca="1" si="65"/>
        <v>0</v>
      </c>
      <c r="H190" s="81">
        <f ca="1">OFFSET('3. 손익계산서 월별실적'!E190,0,$C$4-2)</f>
        <v>0</v>
      </c>
      <c r="I190" s="148">
        <f t="shared" ca="1" si="59"/>
        <v>0</v>
      </c>
      <c r="J190" s="81">
        <f ca="1">OFFSET('(계획)손익계산서 월별계획'!E190,0,$C$4-1)</f>
        <v>0</v>
      </c>
      <c r="K190" s="148">
        <f t="shared" ca="1" si="53"/>
        <v>0</v>
      </c>
      <c r="L190" s="81">
        <f ca="1">OFFSET('3. 손익계산서 월별실적'!E190,0,$C$4-1)</f>
        <v>0</v>
      </c>
      <c r="M190" s="148">
        <f t="shared" ca="1" si="51"/>
        <v>0</v>
      </c>
      <c r="N190" s="132">
        <f t="shared" ca="1" si="60"/>
        <v>0</v>
      </c>
      <c r="O190" s="132">
        <f t="shared" ca="1" si="61"/>
        <v>0</v>
      </c>
    </row>
    <row r="191" spans="2:15" x14ac:dyDescent="0.2">
      <c r="B191" s="112" t="s">
        <v>64</v>
      </c>
      <c r="C191" s="81">
        <f>'(계획)손익계산서 월별계획'!C191</f>
        <v>0</v>
      </c>
      <c r="D191" s="148">
        <f t="shared" ca="1" si="63"/>
        <v>0</v>
      </c>
      <c r="E191" s="81">
        <f ca="1">SUM('(계획)손익계산서 월별계획'!E191:(OFFSET('(계획)손익계산서 월별계획'!E191,0,$C$4-1)))</f>
        <v>0</v>
      </c>
      <c r="F191" s="81">
        <f ca="1">SUM('3. 손익계산서 월별실적'!E191:(OFFSET('3. 손익계산서 월별실적'!E191,0,$C$4-1)))</f>
        <v>0</v>
      </c>
      <c r="G191" s="148">
        <f t="shared" ca="1" si="65"/>
        <v>0</v>
      </c>
      <c r="H191" s="81">
        <f ca="1">OFFSET('3. 손익계산서 월별실적'!E191,0,$C$4-2)</f>
        <v>0</v>
      </c>
      <c r="I191" s="148">
        <f t="shared" ca="1" si="59"/>
        <v>0</v>
      </c>
      <c r="J191" s="81">
        <f ca="1">OFFSET('(계획)손익계산서 월별계획'!E191,0,$C$4-1)</f>
        <v>0</v>
      </c>
      <c r="K191" s="148">
        <f t="shared" ca="1" si="53"/>
        <v>0</v>
      </c>
      <c r="L191" s="81">
        <f ca="1">OFFSET('3. 손익계산서 월별실적'!E191,0,$C$4-1)</f>
        <v>0</v>
      </c>
      <c r="M191" s="148">
        <f t="shared" ca="1" si="51"/>
        <v>0</v>
      </c>
      <c r="N191" s="132">
        <f t="shared" ca="1" si="60"/>
        <v>0</v>
      </c>
      <c r="O191" s="132">
        <f t="shared" ca="1" si="61"/>
        <v>0</v>
      </c>
    </row>
    <row r="192" spans="2:15" x14ac:dyDescent="0.2">
      <c r="B192" s="112" t="s">
        <v>65</v>
      </c>
      <c r="C192" s="81">
        <f>'(계획)손익계산서 월별계획'!C192</f>
        <v>160711.58033643576</v>
      </c>
      <c r="D192" s="148">
        <f t="shared" ca="1" si="63"/>
        <v>0.15575859528975597</v>
      </c>
      <c r="E192" s="81">
        <f ca="1">SUM('(계획)손익계산서 월별계획'!E192:(OFFSET('(계획)손익계산서 월별계획'!E192,0,$C$4-1)))</f>
        <v>25901.002055110854</v>
      </c>
      <c r="F192" s="81">
        <f ca="1">SUM('3. 손익계산서 월별실적'!E192:(OFFSET('3. 손익계산서 월별실적'!E192,0,$C$4-1)))</f>
        <v>25032.21</v>
      </c>
      <c r="G192" s="148">
        <f t="shared" ca="1" si="65"/>
        <v>0.96645720295831483</v>
      </c>
      <c r="H192" s="81">
        <f ca="1">OFFSET('3. 손익계산서 월별실적'!E192,0,$C$4-2)</f>
        <v>12659.91</v>
      </c>
      <c r="I192" s="148">
        <f t="shared" ca="1" si="59"/>
        <v>5.3231478785744678E-3</v>
      </c>
      <c r="J192" s="81">
        <f ca="1">OFFSET('(계획)손익계산서 월별계획'!E192,0,$C$4-1)</f>
        <v>25901.002055110854</v>
      </c>
      <c r="K192" s="148">
        <f t="shared" ca="1" si="53"/>
        <v>1.0991586602382843E-2</v>
      </c>
      <c r="L192" s="81">
        <f ca="1">OFFSET('3. 손익계산서 월별실적'!E192,0,$C$4-1)</f>
        <v>25032.21</v>
      </c>
      <c r="M192" s="148">
        <f t="shared" ca="1" si="51"/>
        <v>1.1521518286977431E-2</v>
      </c>
      <c r="N192" s="132">
        <f t="shared" ca="1" si="60"/>
        <v>1.9772818290177419</v>
      </c>
      <c r="O192" s="132">
        <f t="shared" ca="1" si="61"/>
        <v>0.96645720295831483</v>
      </c>
    </row>
    <row r="193" spans="2:15" x14ac:dyDescent="0.2">
      <c r="B193" s="112" t="s">
        <v>66</v>
      </c>
      <c r="C193" s="81">
        <f>'(계획)손익계산서 월별계획'!C193</f>
        <v>28559.768663370327</v>
      </c>
      <c r="D193" s="148">
        <f t="shared" ca="1" si="63"/>
        <v>0.41165599548706511</v>
      </c>
      <c r="E193" s="81">
        <f ca="1">SUM('(계획)손익계산서 월별계획'!E193:(OFFSET('(계획)손익계산서 월별계획'!E193,0,$C$4-1)))</f>
        <v>2379.980721947526</v>
      </c>
      <c r="F193" s="81">
        <f ca="1">SUM('3. 손익계산서 월별실적'!E193:(OFFSET('3. 손익계산서 월별실적'!E193,0,$C$4-1)))</f>
        <v>11756.8</v>
      </c>
      <c r="G193" s="148">
        <f t="shared" ca="1" si="65"/>
        <v>4.939871945844784</v>
      </c>
      <c r="H193" s="81">
        <f ca="1">OFFSET('3. 손익계산서 월별실적'!E193,0,$C$4-2)</f>
        <v>5769.71</v>
      </c>
      <c r="I193" s="148">
        <f t="shared" ca="1" si="59"/>
        <v>2.4260061522151334E-3</v>
      </c>
      <c r="J193" s="81">
        <f ca="1">OFFSET('(계획)손익계산서 월별계획'!E193,0,$C$4-1)</f>
        <v>2379.980721947526</v>
      </c>
      <c r="K193" s="148">
        <f t="shared" ca="1" si="53"/>
        <v>1.0099904305488428E-3</v>
      </c>
      <c r="L193" s="81">
        <f ca="1">OFFSET('3. 손익계산서 월별실적'!E193,0,$C$4-1)</f>
        <v>11756.8</v>
      </c>
      <c r="M193" s="148">
        <f t="shared" ca="1" si="51"/>
        <v>5.4112755604214038E-3</v>
      </c>
      <c r="N193" s="132">
        <f t="shared" ca="1" si="60"/>
        <v>2.0376760703744208</v>
      </c>
      <c r="O193" s="132">
        <f t="shared" ca="1" si="61"/>
        <v>4.939871945844784</v>
      </c>
    </row>
    <row r="194" spans="2:15" x14ac:dyDescent="0.2">
      <c r="B194" s="112" t="s">
        <v>67</v>
      </c>
      <c r="C194" s="81">
        <f>'(계획)손익계산서 월별계획'!C194</f>
        <v>0</v>
      </c>
      <c r="D194" s="148">
        <f t="shared" ca="1" si="63"/>
        <v>0</v>
      </c>
      <c r="E194" s="81">
        <f ca="1">SUM('(계획)손익계산서 월별계획'!E194:(OFFSET('(계획)손익계산서 월별계획'!E194,0,$C$4-1)))</f>
        <v>0</v>
      </c>
      <c r="F194" s="81">
        <f ca="1">SUM('3. 손익계산서 월별실적'!E194:(OFFSET('3. 손익계산서 월별실적'!E194,0,$C$4-1)))</f>
        <v>925.84</v>
      </c>
      <c r="G194" s="148">
        <f t="shared" ca="1" si="65"/>
        <v>0</v>
      </c>
      <c r="H194" s="81">
        <f ca="1">OFFSET('3. 손익계산서 월별실적'!E194,0,$C$4-2)</f>
        <v>6232.14</v>
      </c>
      <c r="I194" s="148">
        <f t="shared" ca="1" si="59"/>
        <v>2.6204453917902325E-3</v>
      </c>
      <c r="J194" s="81">
        <f ca="1">OFFSET('(계획)손익계산서 월별계획'!E194,0,$C$4-1)</f>
        <v>0</v>
      </c>
      <c r="K194" s="148">
        <f t="shared" ca="1" si="53"/>
        <v>0</v>
      </c>
      <c r="L194" s="81">
        <f ca="1">OFFSET('3. 손익계산서 월별실적'!E194,0,$C$4-1)</f>
        <v>925.84</v>
      </c>
      <c r="M194" s="148">
        <f t="shared" ca="1" si="51"/>
        <v>4.2613426824140521E-4</v>
      </c>
      <c r="N194" s="132">
        <f t="shared" ca="1" si="60"/>
        <v>0.14855892197543702</v>
      </c>
      <c r="O194" s="132">
        <f t="shared" ca="1" si="61"/>
        <v>0</v>
      </c>
    </row>
    <row r="195" spans="2:15" x14ac:dyDescent="0.2">
      <c r="B195" s="112" t="s">
        <v>68</v>
      </c>
      <c r="C195" s="81">
        <f>'(계획)손익계산서 월별계획'!C195</f>
        <v>0</v>
      </c>
      <c r="D195" s="148">
        <f t="shared" ca="1" si="63"/>
        <v>0</v>
      </c>
      <c r="E195" s="81">
        <f ca="1">SUM('(계획)손익계산서 월별계획'!E195:(OFFSET('(계획)손익계산서 월별계획'!E195,0,$C$4-1)))</f>
        <v>0</v>
      </c>
      <c r="F195" s="81">
        <f ca="1">SUM('3. 손익계산서 월별실적'!E195:(OFFSET('3. 손익계산서 월별실적'!E195,0,$C$4-1)))</f>
        <v>0</v>
      </c>
      <c r="G195" s="148">
        <f t="shared" ca="1" si="65"/>
        <v>0</v>
      </c>
      <c r="H195" s="81">
        <f ca="1">OFFSET('3. 손익계산서 월별실적'!E195,0,$C$4-2)</f>
        <v>0</v>
      </c>
      <c r="I195" s="148">
        <f t="shared" ca="1" si="59"/>
        <v>0</v>
      </c>
      <c r="J195" s="81">
        <f ca="1">OFFSET('(계획)손익계산서 월별계획'!E195,0,$C$4-1)</f>
        <v>0</v>
      </c>
      <c r="K195" s="148">
        <f t="shared" ca="1" si="53"/>
        <v>0</v>
      </c>
      <c r="L195" s="81">
        <f ca="1">OFFSET('3. 손익계산서 월별실적'!E195,0,$C$4-1)</f>
        <v>0</v>
      </c>
      <c r="M195" s="148">
        <f t="shared" ca="1" si="51"/>
        <v>0</v>
      </c>
      <c r="N195" s="132">
        <f t="shared" ca="1" si="60"/>
        <v>0</v>
      </c>
      <c r="O195" s="132">
        <f t="shared" ca="1" si="61"/>
        <v>0</v>
      </c>
    </row>
    <row r="196" spans="2:15" x14ac:dyDescent="0.2">
      <c r="B196" s="112" t="s">
        <v>69</v>
      </c>
      <c r="C196" s="81">
        <f>'(계획)손익계산서 월별계획'!C196</f>
        <v>0</v>
      </c>
      <c r="D196" s="148">
        <f t="shared" ca="1" si="63"/>
        <v>0</v>
      </c>
      <c r="E196" s="81">
        <f ca="1">SUM('(계획)손익계산서 월별계획'!E196:(OFFSET('(계획)손익계산서 월별계획'!E196,0,$C$4-1)))</f>
        <v>0</v>
      </c>
      <c r="F196" s="81">
        <f ca="1">SUM('3. 손익계산서 월별실적'!E196:(OFFSET('3. 손익계산서 월별실적'!E196,0,$C$4-1)))</f>
        <v>0</v>
      </c>
      <c r="G196" s="148">
        <f t="shared" ca="1" si="65"/>
        <v>0</v>
      </c>
      <c r="H196" s="81">
        <f ca="1">OFFSET('3. 손익계산서 월별실적'!E196,0,$C$4-2)</f>
        <v>124217</v>
      </c>
      <c r="I196" s="148">
        <f t="shared" ca="1" si="59"/>
        <v>5.2229870515105137E-2</v>
      </c>
      <c r="J196" s="81">
        <f ca="1">OFFSET('(계획)손익계산서 월별계획'!E196,0,$C$4-1)</f>
        <v>0</v>
      </c>
      <c r="K196" s="148">
        <f t="shared" ca="1" si="53"/>
        <v>0</v>
      </c>
      <c r="L196" s="81">
        <f ca="1">OFFSET('3. 손익계산서 월별실적'!E196,0,$C$4-1)</f>
        <v>0</v>
      </c>
      <c r="M196" s="148">
        <f t="shared" ca="1" si="51"/>
        <v>0</v>
      </c>
      <c r="N196" s="132">
        <f t="shared" ca="1" si="60"/>
        <v>0</v>
      </c>
      <c r="O196" s="132">
        <f t="shared" ca="1" si="61"/>
        <v>0</v>
      </c>
    </row>
    <row r="197" spans="2:15" x14ac:dyDescent="0.2">
      <c r="B197" s="112" t="s">
        <v>70</v>
      </c>
      <c r="C197" s="81">
        <f>'(계획)손익계산서 월별계획'!C197</f>
        <v>0</v>
      </c>
      <c r="D197" s="148">
        <f t="shared" ca="1" si="63"/>
        <v>0</v>
      </c>
      <c r="E197" s="81">
        <f ca="1">SUM('(계획)손익계산서 월별계획'!E197:(OFFSET('(계획)손익계산서 월별계획'!E197,0,$C$4-1)))</f>
        <v>0</v>
      </c>
      <c r="F197" s="81">
        <f ca="1">SUM('3. 손익계산서 월별실적'!E197:(OFFSET('3. 손익계산서 월별실적'!E197,0,$C$4-1)))</f>
        <v>0</v>
      </c>
      <c r="G197" s="148">
        <f t="shared" ca="1" si="65"/>
        <v>0</v>
      </c>
      <c r="H197" s="81">
        <f ca="1">OFFSET('3. 손익계산서 월별실적'!E197,0,$C$4-2)</f>
        <v>0</v>
      </c>
      <c r="I197" s="148">
        <f t="shared" ca="1" si="59"/>
        <v>0</v>
      </c>
      <c r="J197" s="81">
        <f ca="1">OFFSET('(계획)손익계산서 월별계획'!E197,0,$C$4-1)</f>
        <v>0</v>
      </c>
      <c r="K197" s="148">
        <f t="shared" ca="1" si="53"/>
        <v>0</v>
      </c>
      <c r="L197" s="81">
        <f ca="1">OFFSET('3. 손익계산서 월별실적'!E197,0,$C$4-1)</f>
        <v>0</v>
      </c>
      <c r="M197" s="148">
        <f t="shared" ca="1" si="51"/>
        <v>0</v>
      </c>
      <c r="N197" s="132">
        <f t="shared" ca="1" si="60"/>
        <v>0</v>
      </c>
      <c r="O197" s="132">
        <f t="shared" ca="1" si="61"/>
        <v>0</v>
      </c>
    </row>
    <row r="198" spans="2:15" x14ac:dyDescent="0.2">
      <c r="B198" s="112" t="s">
        <v>71</v>
      </c>
      <c r="C198" s="81">
        <f>'(계획)손익계산서 월별계획'!C198</f>
        <v>38411.643558143987</v>
      </c>
      <c r="D198" s="148">
        <f t="shared" ca="1" si="63"/>
        <v>0.21147493956367694</v>
      </c>
      <c r="E198" s="81">
        <f ca="1">SUM('(계획)손익계산서 월별계획'!E198:(OFFSET('(계획)손익계산서 월별계획'!E198,0,$C$4-1)))</f>
        <v>3222.6203263142679</v>
      </c>
      <c r="F198" s="81">
        <f ca="1">SUM('3. 손익계산서 월별실적'!E198:(OFFSET('3. 손익계산서 월별실적'!E198,0,$C$4-1)))</f>
        <v>8123.1</v>
      </c>
      <c r="G198" s="148">
        <f t="shared" ca="1" si="65"/>
        <v>2.5206506437233465</v>
      </c>
      <c r="H198" s="81">
        <f ca="1">OFFSET('3. 손익계산서 월별실적'!E198,0,$C$4-2)</f>
        <v>4164.79</v>
      </c>
      <c r="I198" s="148">
        <f t="shared" ca="1" si="59"/>
        <v>1.7511809367687572E-3</v>
      </c>
      <c r="J198" s="81">
        <f ca="1">OFFSET('(계획)손익계산서 월별계획'!E198,0,$C$4-1)</f>
        <v>3222.6203263142679</v>
      </c>
      <c r="K198" s="148">
        <f t="shared" ca="1" si="53"/>
        <v>1.3675806954462223E-3</v>
      </c>
      <c r="L198" s="81">
        <f ca="1">OFFSET('3. 손익계산서 월별실적'!E198,0,$C$4-1)</f>
        <v>8123.1</v>
      </c>
      <c r="M198" s="148">
        <f t="shared" ca="1" si="51"/>
        <v>3.7388007370082938E-3</v>
      </c>
      <c r="N198" s="132">
        <f t="shared" ca="1" si="60"/>
        <v>1.9504224702806146</v>
      </c>
      <c r="O198" s="132">
        <f t="shared" ca="1" si="61"/>
        <v>2.5206506437233465</v>
      </c>
    </row>
    <row r="199" spans="2:15" x14ac:dyDescent="0.2">
      <c r="B199" s="112" t="s">
        <v>72</v>
      </c>
      <c r="C199" s="81">
        <f>'(계획)손익계산서 월별계획'!C199</f>
        <v>0</v>
      </c>
      <c r="D199" s="148">
        <f t="shared" ca="1" si="63"/>
        <v>0</v>
      </c>
      <c r="E199" s="81">
        <f ca="1">SUM('(계획)손익계산서 월별계획'!E199:(OFFSET('(계획)손익계산서 월별계획'!E199,0,$C$4-1)))</f>
        <v>0</v>
      </c>
      <c r="F199" s="81">
        <f ca="1">SUM('3. 손익계산서 월별실적'!E199:(OFFSET('3. 손익계산서 월별실적'!E199,0,$C$4-1)))</f>
        <v>0</v>
      </c>
      <c r="G199" s="148">
        <f t="shared" ca="1" si="65"/>
        <v>0</v>
      </c>
      <c r="H199" s="81">
        <f ca="1">OFFSET('3. 손익계산서 월별실적'!E199,0,$C$4-2)</f>
        <v>0</v>
      </c>
      <c r="I199" s="148">
        <f t="shared" ca="1" si="59"/>
        <v>0</v>
      </c>
      <c r="J199" s="81">
        <f ca="1">OFFSET('(계획)손익계산서 월별계획'!E199,0,$C$4-1)</f>
        <v>0</v>
      </c>
      <c r="K199" s="148">
        <f t="shared" ca="1" si="53"/>
        <v>0</v>
      </c>
      <c r="L199" s="81">
        <f ca="1">OFFSET('3. 손익계산서 월별실적'!E199,0,$C$4-1)</f>
        <v>0</v>
      </c>
      <c r="M199" s="148">
        <f t="shared" ca="1" si="51"/>
        <v>0</v>
      </c>
      <c r="N199" s="132">
        <f t="shared" ca="1" si="60"/>
        <v>0</v>
      </c>
      <c r="O199" s="132">
        <f t="shared" ca="1" si="61"/>
        <v>0</v>
      </c>
    </row>
    <row r="200" spans="2:15" hidden="1" outlineLevel="1" x14ac:dyDescent="0.2">
      <c r="B200" s="112"/>
      <c r="C200" s="81"/>
      <c r="D200" s="148"/>
      <c r="E200" s="81"/>
      <c r="F200" s="81"/>
      <c r="G200" s="148"/>
      <c r="H200" s="81"/>
      <c r="I200" s="148"/>
      <c r="J200" s="81"/>
      <c r="K200" s="148">
        <f t="shared" ca="1" si="53"/>
        <v>0</v>
      </c>
      <c r="L200" s="81"/>
      <c r="M200" s="148"/>
      <c r="N200" s="132"/>
      <c r="O200" s="132"/>
    </row>
    <row r="201" spans="2:15" hidden="1" outlineLevel="1" x14ac:dyDescent="0.2">
      <c r="B201" s="106"/>
      <c r="C201" s="81"/>
      <c r="D201" s="148"/>
      <c r="E201" s="81"/>
      <c r="F201" s="81"/>
      <c r="G201" s="148"/>
      <c r="H201" s="81"/>
      <c r="I201" s="148"/>
      <c r="J201" s="81"/>
      <c r="K201" s="148">
        <f t="shared" ca="1" si="53"/>
        <v>0</v>
      </c>
      <c r="L201" s="81"/>
      <c r="M201" s="148"/>
      <c r="N201" s="132"/>
      <c r="O201" s="132"/>
    </row>
    <row r="202" spans="2:15" ht="16.5" hidden="1" outlineLevel="1" x14ac:dyDescent="0.2">
      <c r="B202" s="97" t="s">
        <v>18</v>
      </c>
      <c r="C202" s="109">
        <f>SUM(C203:C216)</f>
        <v>0</v>
      </c>
      <c r="D202" s="150">
        <f t="shared" ref="D202:D216" ca="1" si="66">+IFERROR(F202/C202,)</f>
        <v>0</v>
      </c>
      <c r="E202" s="109">
        <f ca="1">SUM(E203:E216)</f>
        <v>0</v>
      </c>
      <c r="F202" s="109">
        <f ca="1">SUM(F203:F216)</f>
        <v>0</v>
      </c>
      <c r="G202" s="150">
        <f t="shared" ref="G202:G216" ca="1" si="67">+IFERROR(F202/E202,)</f>
        <v>0</v>
      </c>
      <c r="H202" s="109">
        <f ca="1">SUM(H203:H216)</f>
        <v>0</v>
      </c>
      <c r="I202" s="150">
        <f t="shared" ca="1" si="59"/>
        <v>0</v>
      </c>
      <c r="J202" s="109">
        <f ca="1">SUM(J203:J216)</f>
        <v>0</v>
      </c>
      <c r="K202" s="150">
        <f t="shared" ca="1" si="53"/>
        <v>0</v>
      </c>
      <c r="L202" s="109">
        <f ca="1">SUM(L203:L216)</f>
        <v>0</v>
      </c>
      <c r="M202" s="150">
        <f t="shared" ca="1" si="51"/>
        <v>0</v>
      </c>
      <c r="N202" s="134">
        <f t="shared" ca="1" si="60"/>
        <v>0</v>
      </c>
      <c r="O202" s="134">
        <f t="shared" ca="1" si="61"/>
        <v>0</v>
      </c>
    </row>
    <row r="203" spans="2:15" hidden="1" outlineLevel="1" x14ac:dyDescent="0.2">
      <c r="B203" s="112" t="s">
        <v>58</v>
      </c>
      <c r="C203" s="81">
        <f>'(계획)손익계산서 월별계획'!C203</f>
        <v>0</v>
      </c>
      <c r="D203" s="148">
        <f t="shared" ca="1" si="66"/>
        <v>0</v>
      </c>
      <c r="E203" s="81">
        <f ca="1">SUM('(계획)손익계산서 월별계획'!E203:(OFFSET('(계획)손익계산서 월별계획'!E203,0,$C$4-1)))</f>
        <v>0</v>
      </c>
      <c r="F203" s="81">
        <f ca="1">SUM('3. 손익계산서 월별실적'!E203:(OFFSET('3. 손익계산서 월별실적'!E203,0,$C$4-1)))</f>
        <v>0</v>
      </c>
      <c r="G203" s="148">
        <f t="shared" ca="1" si="67"/>
        <v>0</v>
      </c>
      <c r="H203" s="81">
        <f ca="1">OFFSET('3. 손익계산서 월별실적'!E203,0,$C$4-2)</f>
        <v>0</v>
      </c>
      <c r="I203" s="148">
        <f t="shared" ca="1" si="59"/>
        <v>0</v>
      </c>
      <c r="J203" s="81">
        <f ca="1">OFFSET('(계획)손익계산서 월별계획'!E203,0,$C$4-1)</f>
        <v>0</v>
      </c>
      <c r="K203" s="148">
        <f t="shared" ca="1" si="53"/>
        <v>0</v>
      </c>
      <c r="L203" s="81">
        <f ca="1">OFFSET('3. 손익계산서 월별실적'!E203,0,$C$4-1)</f>
        <v>0</v>
      </c>
      <c r="M203" s="148">
        <f t="shared" ca="1" si="51"/>
        <v>0</v>
      </c>
      <c r="N203" s="132">
        <f t="shared" ca="1" si="60"/>
        <v>0</v>
      </c>
      <c r="O203" s="132">
        <f t="shared" ca="1" si="61"/>
        <v>0</v>
      </c>
    </row>
    <row r="204" spans="2:15" hidden="1" outlineLevel="1" x14ac:dyDescent="0.2">
      <c r="B204" s="112" t="s">
        <v>73</v>
      </c>
      <c r="C204" s="81">
        <f>'(계획)손익계산서 월별계획'!C204</f>
        <v>0</v>
      </c>
      <c r="D204" s="148">
        <f t="shared" ca="1" si="66"/>
        <v>0</v>
      </c>
      <c r="E204" s="81">
        <f ca="1">SUM('(계획)손익계산서 월별계획'!E204:(OFFSET('(계획)손익계산서 월별계획'!E204,0,$C$4-1)))</f>
        <v>0</v>
      </c>
      <c r="F204" s="81">
        <f ca="1">SUM('3. 손익계산서 월별실적'!E204:(OFFSET('3. 손익계산서 월별실적'!E204,0,$C$4-1)))</f>
        <v>0</v>
      </c>
      <c r="G204" s="148">
        <f t="shared" ca="1" si="67"/>
        <v>0</v>
      </c>
      <c r="H204" s="81">
        <f ca="1">OFFSET('3. 손익계산서 월별실적'!E204,0,$C$4-2)</f>
        <v>0</v>
      </c>
      <c r="I204" s="148">
        <f t="shared" ca="1" si="59"/>
        <v>0</v>
      </c>
      <c r="J204" s="81">
        <f ca="1">OFFSET('(계획)손익계산서 월별계획'!E204,0,$C$4-1)</f>
        <v>0</v>
      </c>
      <c r="K204" s="148">
        <f t="shared" ca="1" si="53"/>
        <v>0</v>
      </c>
      <c r="L204" s="81">
        <f ca="1">OFFSET('3. 손익계산서 월별실적'!E204,0,$C$4-1)</f>
        <v>0</v>
      </c>
      <c r="M204" s="148">
        <f t="shared" ca="1" si="51"/>
        <v>0</v>
      </c>
      <c r="N204" s="132">
        <f t="shared" ca="1" si="60"/>
        <v>0</v>
      </c>
      <c r="O204" s="132">
        <f t="shared" ca="1" si="61"/>
        <v>0</v>
      </c>
    </row>
    <row r="205" spans="2:15" hidden="1" outlineLevel="1" x14ac:dyDescent="0.2">
      <c r="B205" s="112" t="s">
        <v>60</v>
      </c>
      <c r="C205" s="81">
        <f>'(계획)손익계산서 월별계획'!C205</f>
        <v>0</v>
      </c>
      <c r="D205" s="148">
        <f t="shared" ca="1" si="66"/>
        <v>0</v>
      </c>
      <c r="E205" s="81">
        <f ca="1">SUM('(계획)손익계산서 월별계획'!E205:(OFFSET('(계획)손익계산서 월별계획'!E205,0,$C$4-1)))</f>
        <v>0</v>
      </c>
      <c r="F205" s="81">
        <f ca="1">SUM('3. 손익계산서 월별실적'!E205:(OFFSET('3. 손익계산서 월별실적'!E205,0,$C$4-1)))</f>
        <v>0</v>
      </c>
      <c r="G205" s="148">
        <f t="shared" ca="1" si="67"/>
        <v>0</v>
      </c>
      <c r="H205" s="81">
        <f ca="1">OFFSET('3. 손익계산서 월별실적'!E205,0,$C$4-2)</f>
        <v>0</v>
      </c>
      <c r="I205" s="148">
        <f t="shared" ca="1" si="59"/>
        <v>0</v>
      </c>
      <c r="J205" s="81">
        <f ca="1">OFFSET('(계획)손익계산서 월별계획'!E205,0,$C$4-1)</f>
        <v>0</v>
      </c>
      <c r="K205" s="148">
        <f t="shared" ca="1" si="53"/>
        <v>0</v>
      </c>
      <c r="L205" s="81">
        <f ca="1">OFFSET('3. 손익계산서 월별실적'!E205,0,$C$4-1)</f>
        <v>0</v>
      </c>
      <c r="M205" s="148">
        <f t="shared" ca="1" si="51"/>
        <v>0</v>
      </c>
      <c r="N205" s="132">
        <f t="shared" ca="1" si="60"/>
        <v>0</v>
      </c>
      <c r="O205" s="132">
        <f t="shared" ca="1" si="61"/>
        <v>0</v>
      </c>
    </row>
    <row r="206" spans="2:15" hidden="1" outlineLevel="1" x14ac:dyDescent="0.2">
      <c r="B206" s="112" t="s">
        <v>61</v>
      </c>
      <c r="C206" s="81">
        <f>'(계획)손익계산서 월별계획'!C206</f>
        <v>0</v>
      </c>
      <c r="D206" s="148">
        <f t="shared" ca="1" si="66"/>
        <v>0</v>
      </c>
      <c r="E206" s="81">
        <f ca="1">SUM('(계획)손익계산서 월별계획'!E206:(OFFSET('(계획)손익계산서 월별계획'!E206,0,$C$4-1)))</f>
        <v>0</v>
      </c>
      <c r="F206" s="81">
        <f ca="1">SUM('3. 손익계산서 월별실적'!E206:(OFFSET('3. 손익계산서 월별실적'!E206,0,$C$4-1)))</f>
        <v>0</v>
      </c>
      <c r="G206" s="148">
        <f t="shared" ca="1" si="67"/>
        <v>0</v>
      </c>
      <c r="H206" s="81">
        <f ca="1">OFFSET('3. 손익계산서 월별실적'!E206,0,$C$4-2)</f>
        <v>0</v>
      </c>
      <c r="I206" s="148">
        <f t="shared" ca="1" si="59"/>
        <v>0</v>
      </c>
      <c r="J206" s="81">
        <f ca="1">OFFSET('(계획)손익계산서 월별계획'!E206,0,$C$4-1)</f>
        <v>0</v>
      </c>
      <c r="K206" s="148">
        <f t="shared" ca="1" si="53"/>
        <v>0</v>
      </c>
      <c r="L206" s="81">
        <f ca="1">OFFSET('3. 손익계산서 월별실적'!E206,0,$C$4-1)</f>
        <v>0</v>
      </c>
      <c r="M206" s="148">
        <f t="shared" ca="1" si="51"/>
        <v>0</v>
      </c>
      <c r="N206" s="132">
        <f t="shared" ca="1" si="60"/>
        <v>0</v>
      </c>
      <c r="O206" s="132">
        <f t="shared" ca="1" si="61"/>
        <v>0</v>
      </c>
    </row>
    <row r="207" spans="2:15" hidden="1" outlineLevel="1" x14ac:dyDescent="0.2">
      <c r="B207" s="112" t="s">
        <v>62</v>
      </c>
      <c r="C207" s="81">
        <f>'(계획)손익계산서 월별계획'!C207</f>
        <v>0</v>
      </c>
      <c r="D207" s="148">
        <f t="shared" ca="1" si="66"/>
        <v>0</v>
      </c>
      <c r="E207" s="81">
        <f ca="1">SUM('(계획)손익계산서 월별계획'!E207:(OFFSET('(계획)손익계산서 월별계획'!E207,0,$C$4-1)))</f>
        <v>0</v>
      </c>
      <c r="F207" s="81">
        <f ca="1">SUM('3. 손익계산서 월별실적'!E207:(OFFSET('3. 손익계산서 월별실적'!E207,0,$C$4-1)))</f>
        <v>0</v>
      </c>
      <c r="G207" s="148">
        <f t="shared" ca="1" si="67"/>
        <v>0</v>
      </c>
      <c r="H207" s="81">
        <f ca="1">OFFSET('3. 손익계산서 월별실적'!E207,0,$C$4-2)</f>
        <v>0</v>
      </c>
      <c r="I207" s="148">
        <f t="shared" ca="1" si="59"/>
        <v>0</v>
      </c>
      <c r="J207" s="81">
        <f ca="1">OFFSET('(계획)손익계산서 월별계획'!E207,0,$C$4-1)</f>
        <v>0</v>
      </c>
      <c r="K207" s="148">
        <f t="shared" ca="1" si="53"/>
        <v>0</v>
      </c>
      <c r="L207" s="81">
        <f ca="1">OFFSET('3. 손익계산서 월별실적'!E207,0,$C$4-1)</f>
        <v>0</v>
      </c>
      <c r="M207" s="148">
        <f t="shared" ca="1" si="51"/>
        <v>0</v>
      </c>
      <c r="N207" s="132">
        <f t="shared" ca="1" si="60"/>
        <v>0</v>
      </c>
      <c r="O207" s="132">
        <f t="shared" ca="1" si="61"/>
        <v>0</v>
      </c>
    </row>
    <row r="208" spans="2:15" hidden="1" outlineLevel="1" x14ac:dyDescent="0.2">
      <c r="B208" s="112" t="s">
        <v>63</v>
      </c>
      <c r="C208" s="81">
        <f>'(계획)손익계산서 월별계획'!C208</f>
        <v>0</v>
      </c>
      <c r="D208" s="148">
        <f t="shared" ca="1" si="66"/>
        <v>0</v>
      </c>
      <c r="E208" s="81">
        <f ca="1">SUM('(계획)손익계산서 월별계획'!E208:(OFFSET('(계획)손익계산서 월별계획'!E208,0,$C$4-1)))</f>
        <v>0</v>
      </c>
      <c r="F208" s="81">
        <f ca="1">SUM('3. 손익계산서 월별실적'!E208:(OFFSET('3. 손익계산서 월별실적'!E208,0,$C$4-1)))</f>
        <v>0</v>
      </c>
      <c r="G208" s="148">
        <f t="shared" ca="1" si="67"/>
        <v>0</v>
      </c>
      <c r="H208" s="81">
        <f ca="1">OFFSET('3. 손익계산서 월별실적'!E208,0,$C$4-2)</f>
        <v>0</v>
      </c>
      <c r="I208" s="148">
        <f ca="1">+IFERROR(H208/$H$154,)</f>
        <v>0</v>
      </c>
      <c r="J208" s="81">
        <f ca="1">OFFSET('(계획)손익계산서 월별계획'!E208,0,$C$4-1)</f>
        <v>0</v>
      </c>
      <c r="K208" s="148">
        <f t="shared" ca="1" si="53"/>
        <v>0</v>
      </c>
      <c r="L208" s="81">
        <f ca="1">OFFSET('3. 손익계산서 월별실적'!E208,0,$C$4-1)</f>
        <v>0</v>
      </c>
      <c r="M208" s="148">
        <f t="shared" ca="1" si="51"/>
        <v>0</v>
      </c>
      <c r="N208" s="132">
        <f t="shared" ca="1" si="60"/>
        <v>0</v>
      </c>
      <c r="O208" s="132">
        <f t="shared" ca="1" si="61"/>
        <v>0</v>
      </c>
    </row>
    <row r="209" spans="2:30" hidden="1" outlineLevel="1" x14ac:dyDescent="0.2">
      <c r="B209" s="112" t="s">
        <v>64</v>
      </c>
      <c r="C209" s="81">
        <f>'(계획)손익계산서 월별계획'!C209</f>
        <v>0</v>
      </c>
      <c r="D209" s="148">
        <f t="shared" ca="1" si="66"/>
        <v>0</v>
      </c>
      <c r="E209" s="81">
        <f ca="1">SUM('(계획)손익계산서 월별계획'!E209:(OFFSET('(계획)손익계산서 월별계획'!E209,0,$C$4-1)))</f>
        <v>0</v>
      </c>
      <c r="F209" s="81">
        <f ca="1">SUM('3. 손익계산서 월별실적'!E209:(OFFSET('3. 손익계산서 월별실적'!E209,0,$C$4-1)))</f>
        <v>0</v>
      </c>
      <c r="G209" s="148">
        <f t="shared" ca="1" si="67"/>
        <v>0</v>
      </c>
      <c r="H209" s="81">
        <f ca="1">OFFSET('3. 손익계산서 월별실적'!E209,0,$C$4-2)</f>
        <v>0</v>
      </c>
      <c r="I209" s="148">
        <f t="shared" ca="1" si="59"/>
        <v>0</v>
      </c>
      <c r="J209" s="81">
        <f ca="1">OFFSET('(계획)손익계산서 월별계획'!E209,0,$C$4-1)</f>
        <v>0</v>
      </c>
      <c r="K209" s="148">
        <f t="shared" ca="1" si="53"/>
        <v>0</v>
      </c>
      <c r="L209" s="81">
        <f ca="1">OFFSET('3. 손익계산서 월별실적'!E209,0,$C$4-1)</f>
        <v>0</v>
      </c>
      <c r="M209" s="148">
        <f t="shared" ca="1" si="51"/>
        <v>0</v>
      </c>
      <c r="N209" s="132">
        <f t="shared" ca="1" si="60"/>
        <v>0</v>
      </c>
      <c r="O209" s="132">
        <f t="shared" ca="1" si="61"/>
        <v>0</v>
      </c>
    </row>
    <row r="210" spans="2:30" hidden="1" outlineLevel="1" x14ac:dyDescent="0.2">
      <c r="B210" s="112" t="s">
        <v>65</v>
      </c>
      <c r="C210" s="81">
        <f>'(계획)손익계산서 월별계획'!C210</f>
        <v>0</v>
      </c>
      <c r="D210" s="148">
        <f t="shared" ca="1" si="66"/>
        <v>0</v>
      </c>
      <c r="E210" s="81">
        <f ca="1">SUM('(계획)손익계산서 월별계획'!E210:(OFFSET('(계획)손익계산서 월별계획'!E210,0,$C$4-1)))</f>
        <v>0</v>
      </c>
      <c r="F210" s="81">
        <f ca="1">SUM('3. 손익계산서 월별실적'!E210:(OFFSET('3. 손익계산서 월별실적'!E210,0,$C$4-1)))</f>
        <v>0</v>
      </c>
      <c r="G210" s="148">
        <f t="shared" ca="1" si="67"/>
        <v>0</v>
      </c>
      <c r="H210" s="81">
        <f ca="1">OFFSET('3. 손익계산서 월별실적'!E210,0,$C$4-2)</f>
        <v>0</v>
      </c>
      <c r="I210" s="148">
        <f t="shared" ca="1" si="59"/>
        <v>0</v>
      </c>
      <c r="J210" s="81">
        <f ca="1">OFFSET('(계획)손익계산서 월별계획'!E210,0,$C$4-1)</f>
        <v>0</v>
      </c>
      <c r="K210" s="148">
        <f t="shared" ca="1" si="53"/>
        <v>0</v>
      </c>
      <c r="L210" s="81">
        <f ca="1">OFFSET('3. 손익계산서 월별실적'!E210,0,$C$4-1)</f>
        <v>0</v>
      </c>
      <c r="M210" s="148">
        <f t="shared" ca="1" si="51"/>
        <v>0</v>
      </c>
      <c r="N210" s="132">
        <f t="shared" ca="1" si="60"/>
        <v>0</v>
      </c>
      <c r="O210" s="132">
        <f t="shared" ca="1" si="61"/>
        <v>0</v>
      </c>
    </row>
    <row r="211" spans="2:30" hidden="1" outlineLevel="1" x14ac:dyDescent="0.2">
      <c r="B211" s="112" t="s">
        <v>66</v>
      </c>
      <c r="C211" s="81">
        <f>'(계획)손익계산서 월별계획'!C211</f>
        <v>0</v>
      </c>
      <c r="D211" s="148">
        <f t="shared" ca="1" si="66"/>
        <v>0</v>
      </c>
      <c r="E211" s="81">
        <f ca="1">SUM('(계획)손익계산서 월별계획'!E211:(OFFSET('(계획)손익계산서 월별계획'!E211,0,$C$4-1)))</f>
        <v>0</v>
      </c>
      <c r="F211" s="81">
        <f ca="1">SUM('3. 손익계산서 월별실적'!E211:(OFFSET('3. 손익계산서 월별실적'!E211,0,$C$4-1)))</f>
        <v>0</v>
      </c>
      <c r="G211" s="148">
        <f t="shared" ca="1" si="67"/>
        <v>0</v>
      </c>
      <c r="H211" s="81">
        <f ca="1">OFFSET('3. 손익계산서 월별실적'!E211,0,$C$4-2)</f>
        <v>0</v>
      </c>
      <c r="I211" s="148">
        <f t="shared" ca="1" si="59"/>
        <v>0</v>
      </c>
      <c r="J211" s="81">
        <f ca="1">OFFSET('(계획)손익계산서 월별계획'!E211,0,$C$4-1)</f>
        <v>0</v>
      </c>
      <c r="K211" s="148">
        <f t="shared" ca="1" si="53"/>
        <v>0</v>
      </c>
      <c r="L211" s="81">
        <f ca="1">OFFSET('3. 손익계산서 월별실적'!E211,0,$C$4-1)</f>
        <v>0</v>
      </c>
      <c r="M211" s="148">
        <f t="shared" ca="1" si="51"/>
        <v>0</v>
      </c>
      <c r="N211" s="132">
        <f t="shared" ca="1" si="60"/>
        <v>0</v>
      </c>
      <c r="O211" s="132">
        <f t="shared" ca="1" si="61"/>
        <v>0</v>
      </c>
    </row>
    <row r="212" spans="2:30" hidden="1" outlineLevel="1" x14ac:dyDescent="0.2">
      <c r="B212" s="112" t="s">
        <v>67</v>
      </c>
      <c r="C212" s="81">
        <f>'(계획)손익계산서 월별계획'!C212</f>
        <v>0</v>
      </c>
      <c r="D212" s="148">
        <f t="shared" ca="1" si="66"/>
        <v>0</v>
      </c>
      <c r="E212" s="81">
        <f ca="1">SUM('(계획)손익계산서 월별계획'!E212:(OFFSET('(계획)손익계산서 월별계획'!E212,0,$C$4-1)))</f>
        <v>0</v>
      </c>
      <c r="F212" s="81">
        <f ca="1">SUM('3. 손익계산서 월별실적'!E212:(OFFSET('3. 손익계산서 월별실적'!E212,0,$C$4-1)))</f>
        <v>0</v>
      </c>
      <c r="G212" s="148">
        <f t="shared" ca="1" si="67"/>
        <v>0</v>
      </c>
      <c r="H212" s="81">
        <f ca="1">OFFSET('3. 손익계산서 월별실적'!E212,0,$C$4-2)</f>
        <v>0</v>
      </c>
      <c r="I212" s="148">
        <f t="shared" ca="1" si="59"/>
        <v>0</v>
      </c>
      <c r="J212" s="81">
        <f ca="1">OFFSET('(계획)손익계산서 월별계획'!E212,0,$C$4-1)</f>
        <v>0</v>
      </c>
      <c r="K212" s="148">
        <f t="shared" ca="1" si="53"/>
        <v>0</v>
      </c>
      <c r="L212" s="81">
        <f ca="1">OFFSET('3. 손익계산서 월별실적'!E212,0,$C$4-1)</f>
        <v>0</v>
      </c>
      <c r="M212" s="148">
        <f ca="1">+IFERROR(L212/$L$154,)</f>
        <v>0</v>
      </c>
      <c r="N212" s="132">
        <f t="shared" ca="1" si="60"/>
        <v>0</v>
      </c>
      <c r="O212" s="132">
        <f t="shared" ca="1" si="61"/>
        <v>0</v>
      </c>
    </row>
    <row r="213" spans="2:30" hidden="1" outlineLevel="1" x14ac:dyDescent="0.2">
      <c r="B213" s="112" t="s">
        <v>68</v>
      </c>
      <c r="C213" s="81">
        <f>'(계획)손익계산서 월별계획'!C213</f>
        <v>0</v>
      </c>
      <c r="D213" s="148">
        <f t="shared" ca="1" si="66"/>
        <v>0</v>
      </c>
      <c r="E213" s="81">
        <f ca="1">SUM('(계획)손익계산서 월별계획'!E213:(OFFSET('(계획)손익계산서 월별계획'!E213,0,$C$4-1)))</f>
        <v>0</v>
      </c>
      <c r="F213" s="81">
        <f ca="1">SUM('3. 손익계산서 월별실적'!E213:(OFFSET('3. 손익계산서 월별실적'!E213,0,$C$4-1)))</f>
        <v>0</v>
      </c>
      <c r="G213" s="148">
        <f t="shared" ca="1" si="67"/>
        <v>0</v>
      </c>
      <c r="H213" s="81">
        <f ca="1">OFFSET('3. 손익계산서 월별실적'!E213,0,$C$4-2)</f>
        <v>0</v>
      </c>
      <c r="I213" s="148">
        <f t="shared" ca="1" si="59"/>
        <v>0</v>
      </c>
      <c r="J213" s="81">
        <f ca="1">OFFSET('(계획)손익계산서 월별계획'!E213,0,$C$4-1)</f>
        <v>0</v>
      </c>
      <c r="K213" s="148">
        <f t="shared" ca="1" si="53"/>
        <v>0</v>
      </c>
      <c r="L213" s="81">
        <f ca="1">OFFSET('3. 손익계산서 월별실적'!E213,0,$C$4-1)</f>
        <v>0</v>
      </c>
      <c r="M213" s="148">
        <f t="shared" ca="1" si="51"/>
        <v>0</v>
      </c>
      <c r="N213" s="132">
        <f t="shared" ca="1" si="60"/>
        <v>0</v>
      </c>
      <c r="O213" s="132">
        <f t="shared" ca="1" si="61"/>
        <v>0</v>
      </c>
    </row>
    <row r="214" spans="2:30" hidden="1" outlineLevel="1" x14ac:dyDescent="0.2">
      <c r="B214" s="112" t="s">
        <v>69</v>
      </c>
      <c r="C214" s="81">
        <f>'(계획)손익계산서 월별계획'!C214</f>
        <v>0</v>
      </c>
      <c r="D214" s="148">
        <f t="shared" ca="1" si="66"/>
        <v>0</v>
      </c>
      <c r="E214" s="81">
        <f ca="1">SUM('(계획)손익계산서 월별계획'!E214:(OFFSET('(계획)손익계산서 월별계획'!E214,0,$C$4-1)))</f>
        <v>0</v>
      </c>
      <c r="F214" s="81">
        <f ca="1">SUM('3. 손익계산서 월별실적'!E214:(OFFSET('3. 손익계산서 월별실적'!E214,0,$C$4-1)))</f>
        <v>0</v>
      </c>
      <c r="G214" s="148">
        <f t="shared" ca="1" si="67"/>
        <v>0</v>
      </c>
      <c r="H214" s="81">
        <f ca="1">OFFSET('3. 손익계산서 월별실적'!E214,0,$C$4-2)</f>
        <v>0</v>
      </c>
      <c r="I214" s="148">
        <f t="shared" ca="1" si="59"/>
        <v>0</v>
      </c>
      <c r="J214" s="81">
        <f ca="1">OFFSET('(계획)손익계산서 월별계획'!E214,0,$C$4-1)</f>
        <v>0</v>
      </c>
      <c r="K214" s="148">
        <f t="shared" ca="1" si="53"/>
        <v>0</v>
      </c>
      <c r="L214" s="81">
        <f ca="1">OFFSET('3. 손익계산서 월별실적'!E214,0,$C$4-1)</f>
        <v>0</v>
      </c>
      <c r="M214" s="148">
        <f t="shared" ca="1" si="51"/>
        <v>0</v>
      </c>
      <c r="N214" s="132">
        <f t="shared" ca="1" si="60"/>
        <v>0</v>
      </c>
      <c r="O214" s="132">
        <f t="shared" ca="1" si="61"/>
        <v>0</v>
      </c>
    </row>
    <row r="215" spans="2:30" hidden="1" outlineLevel="1" x14ac:dyDescent="0.2">
      <c r="B215" s="112" t="s">
        <v>70</v>
      </c>
      <c r="C215" s="81">
        <f>'(계획)손익계산서 월별계획'!C215</f>
        <v>0</v>
      </c>
      <c r="D215" s="148">
        <f t="shared" ca="1" si="66"/>
        <v>0</v>
      </c>
      <c r="E215" s="81">
        <f ca="1">SUM('(계획)손익계산서 월별계획'!E215:(OFFSET('(계획)손익계산서 월별계획'!E215,0,$C$4-1)))</f>
        <v>0</v>
      </c>
      <c r="F215" s="81">
        <f ca="1">SUM('3. 손익계산서 월별실적'!E215:(OFFSET('3. 손익계산서 월별실적'!E215,0,$C$4-1)))</f>
        <v>0</v>
      </c>
      <c r="G215" s="148">
        <f t="shared" ca="1" si="67"/>
        <v>0</v>
      </c>
      <c r="H215" s="81">
        <f ca="1">OFFSET('3. 손익계산서 월별실적'!E215,0,$C$4-2)</f>
        <v>0</v>
      </c>
      <c r="I215" s="148">
        <f t="shared" ca="1" si="59"/>
        <v>0</v>
      </c>
      <c r="J215" s="81">
        <f ca="1">OFFSET('(계획)손익계산서 월별계획'!E215,0,$C$4-1)</f>
        <v>0</v>
      </c>
      <c r="K215" s="148">
        <f t="shared" ca="1" si="53"/>
        <v>0</v>
      </c>
      <c r="L215" s="81">
        <f ca="1">OFFSET('3. 손익계산서 월별실적'!E215,0,$C$4-1)</f>
        <v>0</v>
      </c>
      <c r="M215" s="148">
        <f t="shared" ca="1" si="51"/>
        <v>0</v>
      </c>
      <c r="N215" s="132">
        <f t="shared" ca="1" si="60"/>
        <v>0</v>
      </c>
      <c r="O215" s="132">
        <f t="shared" ca="1" si="61"/>
        <v>0</v>
      </c>
    </row>
    <row r="216" spans="2:30" hidden="1" outlineLevel="1" x14ac:dyDescent="0.2">
      <c r="B216" s="112" t="s">
        <v>71</v>
      </c>
      <c r="C216" s="81">
        <f>'(계획)손익계산서 월별계획'!C216</f>
        <v>0</v>
      </c>
      <c r="D216" s="148">
        <f t="shared" ca="1" si="66"/>
        <v>0</v>
      </c>
      <c r="E216" s="81">
        <f ca="1">SUM('(계획)손익계산서 월별계획'!E216:(OFFSET('(계획)손익계산서 월별계획'!E216,0,$C$4-1)))</f>
        <v>0</v>
      </c>
      <c r="F216" s="81">
        <f ca="1">SUM('3. 손익계산서 월별실적'!E216:(OFFSET('3. 손익계산서 월별실적'!E216,0,$C$4-1)))</f>
        <v>0</v>
      </c>
      <c r="G216" s="148">
        <f t="shared" ca="1" si="67"/>
        <v>0</v>
      </c>
      <c r="H216" s="81">
        <f ca="1">OFFSET('3. 손익계산서 월별실적'!E216,0,$C$4-2)</f>
        <v>0</v>
      </c>
      <c r="I216" s="148">
        <f t="shared" ca="1" si="59"/>
        <v>0</v>
      </c>
      <c r="J216" s="81">
        <f ca="1">OFFSET('(계획)손익계산서 월별계획'!E216,0,$C$4-1)</f>
        <v>0</v>
      </c>
      <c r="K216" s="148">
        <f t="shared" ca="1" si="53"/>
        <v>0</v>
      </c>
      <c r="L216" s="81">
        <f ca="1">OFFSET('3. 손익계산서 월별실적'!E216,0,$C$4-1)</f>
        <v>0</v>
      </c>
      <c r="M216" s="148">
        <f t="shared" ca="1" si="51"/>
        <v>0</v>
      </c>
      <c r="N216" s="132">
        <f t="shared" ca="1" si="60"/>
        <v>0</v>
      </c>
      <c r="O216" s="132">
        <f t="shared" ca="1" si="61"/>
        <v>0</v>
      </c>
    </row>
    <row r="217" spans="2:30" collapsed="1" x14ac:dyDescent="0.2">
      <c r="B217" s="94" t="s">
        <v>74</v>
      </c>
      <c r="C217" s="92">
        <f>C165-C167</f>
        <v>-6606381.6834245287</v>
      </c>
      <c r="D217" s="154" t="str">
        <f ca="1">IF(AND(C217&gt;0,F217&gt;0),F217/C217,"(-)")</f>
        <v>(-)</v>
      </c>
      <c r="E217" s="92">
        <f ca="1">E165-E167</f>
        <v>-360664.55502712406</v>
      </c>
      <c r="F217" s="92">
        <f ca="1">F165-F167</f>
        <v>-594559.40000000026</v>
      </c>
      <c r="G217" s="151" t="str">
        <f t="shared" ref="G217" ca="1" si="68">IF(AND(E217&gt;0,F217&gt;0),F217/E217,"(-)")</f>
        <v>(-)</v>
      </c>
      <c r="H217" s="92">
        <f ca="1">H165-H167</f>
        <v>-784639.53311108937</v>
      </c>
      <c r="I217" s="151">
        <f t="shared" ca="1" si="59"/>
        <v>-0.32991958601016563</v>
      </c>
      <c r="J217" s="92">
        <f ca="1">J165-J167</f>
        <v>-360664.55502712406</v>
      </c>
      <c r="K217" s="151">
        <f t="shared" ca="1" si="53"/>
        <v>-0.15305491588918141</v>
      </c>
      <c r="L217" s="92">
        <f ca="1">L165-L167</f>
        <v>-594559.40000000026</v>
      </c>
      <c r="M217" s="151">
        <f t="shared" ca="1" si="51"/>
        <v>-0.27365650095594168</v>
      </c>
      <c r="N217" s="135" t="str">
        <f ca="1">+IF(AND(H217&gt;0,L217&gt;0),L217/H217,"(-)")</f>
        <v>(-)</v>
      </c>
      <c r="O217" s="135" t="str">
        <f ca="1">+IF(AND(J217&gt;0,N217&gt;0),L217/J217,"(-)")</f>
        <v>(-)</v>
      </c>
      <c r="Y217" s="40">
        <f>+C217*1330/1000000</f>
        <v>-8786.4876389546225</v>
      </c>
      <c r="Z217" s="40">
        <f ca="1">+E217*1330/1000000</f>
        <v>-479.68385818607504</v>
      </c>
      <c r="AA217" s="40">
        <f ca="1">+F217*1330/1000000</f>
        <v>-790.76400200000035</v>
      </c>
      <c r="AB217" s="40">
        <f ca="1">+H217*1330/1000000</f>
        <v>-1043.5705790377488</v>
      </c>
      <c r="AC217" s="40">
        <f ca="1">+J217*1330/1000000</f>
        <v>-479.68385818607504</v>
      </c>
      <c r="AD217" s="40">
        <f ca="1">+L217*1330/1000000</f>
        <v>-790.76400200000035</v>
      </c>
    </row>
    <row r="218" spans="2:30" x14ac:dyDescent="0.2">
      <c r="B218" s="113" t="s">
        <v>21</v>
      </c>
      <c r="C218" s="93">
        <f>+IFERROR(C217/C154,)</f>
        <v>-0.25469809048798908</v>
      </c>
      <c r="D218" s="142"/>
      <c r="E218" s="93">
        <f ca="1">+IFERROR(E217/E154,)</f>
        <v>-0.15305491588918141</v>
      </c>
      <c r="F218" s="93">
        <f ca="1">+IFERROR(F217/F154,)</f>
        <v>-0.27365650095594168</v>
      </c>
      <c r="G218" s="142"/>
      <c r="H218" s="93">
        <f ca="1">+IFERROR(H217/H154,)</f>
        <v>-0.32991958601016563</v>
      </c>
      <c r="I218" s="142"/>
      <c r="J218" s="93">
        <f ca="1">+IFERROR(J217/J154,)</f>
        <v>-0.15305491588918141</v>
      </c>
      <c r="K218" s="142"/>
      <c r="L218" s="93">
        <f ca="1">+IFERROR(L217/L154,)</f>
        <v>-0.27365650095594168</v>
      </c>
      <c r="M218" s="142"/>
      <c r="N218" s="93"/>
      <c r="O218" s="93"/>
    </row>
    <row r="219" spans="2:30" ht="26.25" x14ac:dyDescent="0.2">
      <c r="B219" s="15"/>
      <c r="O219" s="460"/>
    </row>
  </sheetData>
  <phoneticPr fontId="8" type="noConversion"/>
  <pageMargins left="0.7" right="0.7" top="0.75" bottom="0.75" header="0.3" footer="0.3"/>
  <pageSetup paperSize="9" scale="6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Spinner 1">
              <controlPr defaultSize="0" print="0" autoFill="0" autoLine="0" autoPict="0">
                <anchor moveWithCells="1">
                  <from>
                    <xdr:col>3</xdr:col>
                    <xdr:colOff>952500</xdr:colOff>
                    <xdr:row>1</xdr:row>
                    <xdr:rowOff>133350</xdr:rowOff>
                  </from>
                  <to>
                    <xdr:col>3</xdr:col>
                    <xdr:colOff>1438275</xdr:colOff>
                    <xdr:row>2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8B3-C892-4152-86DB-677706AA9474}">
  <dimension ref="B1:AB222"/>
  <sheetViews>
    <sheetView showGridLines="0" tabSelected="1" zoomScale="70" zoomScaleNormal="70" workbookViewId="0">
      <pane xSplit="4" ySplit="5" topLeftCell="E6" activePane="bottomRight" state="frozen"/>
      <selection pane="topRight"/>
      <selection pane="bottomLeft"/>
      <selection pane="bottomRight" activeCell="L4" sqref="L4"/>
    </sheetView>
  </sheetViews>
  <sheetFormatPr defaultColWidth="8.85546875" defaultRowHeight="13.5" outlineLevelRow="1" outlineLevelCol="1" x14ac:dyDescent="0.2"/>
  <cols>
    <col min="1" max="1" width="1.42578125" style="32" customWidth="1"/>
    <col min="2" max="2" width="24.85546875" style="32" customWidth="1"/>
    <col min="3" max="3" width="20.140625" style="15" customWidth="1"/>
    <col min="4" max="4" width="16" style="15" customWidth="1"/>
    <col min="5" max="5" width="19.28515625" style="15" customWidth="1"/>
    <col min="6" max="6" width="16.85546875" style="15" customWidth="1" outlineLevel="1"/>
    <col min="7" max="7" width="14.7109375" style="15" customWidth="1" outlineLevel="1"/>
    <col min="8" max="8" width="15.7109375" style="15" customWidth="1" outlineLevel="1"/>
    <col min="9" max="9" width="16.42578125" style="15" customWidth="1" outlineLevel="1"/>
    <col min="10" max="10" width="16.140625" style="15" customWidth="1" outlineLevel="1"/>
    <col min="11" max="11" width="16.7109375" style="15" customWidth="1" outlineLevel="1"/>
    <col min="12" max="12" width="15.85546875" style="15" customWidth="1" outlineLevel="1"/>
    <col min="13" max="13" width="16.5703125" style="15" customWidth="1" outlineLevel="1"/>
    <col min="14" max="14" width="17.28515625" style="15" customWidth="1" outlineLevel="1"/>
    <col min="15" max="15" width="14.7109375" style="15" customWidth="1" outlineLevel="1"/>
    <col min="16" max="16" width="15.85546875" style="15" customWidth="1"/>
    <col min="17" max="17" width="14.85546875" style="32" customWidth="1"/>
    <col min="18" max="18" width="15.5703125" style="32" customWidth="1"/>
    <col min="19" max="19" width="36.85546875" style="32" hidden="1" customWidth="1"/>
    <col min="20" max="20" width="14.42578125" style="32" hidden="1" customWidth="1"/>
    <col min="21" max="21" width="19" style="32" hidden="1" customWidth="1"/>
    <col min="22" max="22" width="21.7109375" style="32" hidden="1" customWidth="1"/>
    <col min="23" max="23" width="16" style="32" hidden="1" customWidth="1"/>
    <col min="24" max="25" width="12.28515625" style="32" hidden="1" customWidth="1"/>
    <col min="26" max="26" width="11.42578125" style="32" hidden="1" customWidth="1"/>
    <col min="27" max="27" width="10.28515625" style="32" hidden="1" customWidth="1"/>
    <col min="28" max="28" width="8.42578125" style="32" hidden="1" customWidth="1"/>
    <col min="29" max="16384" width="8.85546875" style="32"/>
  </cols>
  <sheetData>
    <row r="1" spans="2:21" x14ac:dyDescent="0.2">
      <c r="E1" s="46"/>
      <c r="F1" s="640"/>
      <c r="G1" s="46"/>
      <c r="H1" s="46"/>
      <c r="I1" s="46"/>
      <c r="J1" s="46"/>
      <c r="K1" s="46"/>
      <c r="L1" s="46"/>
      <c r="M1" s="46"/>
      <c r="N1" s="46"/>
    </row>
    <row r="2" spans="2:21" ht="12.75" customHeight="1" x14ac:dyDescent="0.2">
      <c r="E2" s="46"/>
      <c r="F2" s="640"/>
      <c r="G2" s="46"/>
      <c r="H2" s="46"/>
      <c r="I2" s="458"/>
      <c r="J2" s="458"/>
      <c r="K2" s="46"/>
      <c r="L2" s="458"/>
      <c r="M2" s="46"/>
      <c r="N2" s="46"/>
    </row>
    <row r="3" spans="2:21" ht="27.6" customHeight="1" x14ac:dyDescent="0.2">
      <c r="B3" s="36" t="s">
        <v>488</v>
      </c>
      <c r="E3" s="46"/>
      <c r="F3" s="640"/>
      <c r="G3" s="46"/>
      <c r="H3" s="458"/>
      <c r="I3" s="46"/>
      <c r="J3" s="458"/>
      <c r="K3" s="46"/>
      <c r="L3" s="46"/>
      <c r="M3" s="46"/>
      <c r="N3" s="46"/>
      <c r="P3" s="47"/>
    </row>
    <row r="4" spans="2:21" ht="24.6" customHeight="1" x14ac:dyDescent="0.2">
      <c r="B4" s="115" t="s">
        <v>98</v>
      </c>
      <c r="E4" s="32"/>
      <c r="F4" s="641"/>
      <c r="N4" s="32"/>
      <c r="P4" s="15" t="s">
        <v>118</v>
      </c>
    </row>
    <row r="5" spans="2:21" ht="24.6" customHeight="1" x14ac:dyDescent="0.2">
      <c r="B5" s="94" t="s">
        <v>75</v>
      </c>
      <c r="C5" s="92" t="s">
        <v>76</v>
      </c>
      <c r="D5" s="92" t="s">
        <v>77</v>
      </c>
      <c r="E5" s="92" t="s">
        <v>78</v>
      </c>
      <c r="F5" s="92" t="s">
        <v>79</v>
      </c>
      <c r="G5" s="92" t="s">
        <v>80</v>
      </c>
      <c r="H5" s="92" t="s">
        <v>81</v>
      </c>
      <c r="I5" s="92" t="s">
        <v>82</v>
      </c>
      <c r="J5" s="92" t="s">
        <v>83</v>
      </c>
      <c r="K5" s="92" t="s">
        <v>84</v>
      </c>
      <c r="L5" s="92" t="s">
        <v>85</v>
      </c>
      <c r="M5" s="92" t="s">
        <v>86</v>
      </c>
      <c r="N5" s="92" t="s">
        <v>87</v>
      </c>
      <c r="O5" s="92" t="s">
        <v>88</v>
      </c>
      <c r="P5" s="92" t="s">
        <v>89</v>
      </c>
    </row>
    <row r="6" spans="2:21" s="40" customFormat="1" ht="20.45" customHeight="1" x14ac:dyDescent="0.2">
      <c r="B6" s="95" t="s">
        <v>11</v>
      </c>
      <c r="C6" s="78">
        <f t="shared" ref="C6" si="0">SUM(C7:C10)</f>
        <v>27657355.307231996</v>
      </c>
      <c r="D6" s="78">
        <v>9843533.4699999988</v>
      </c>
      <c r="E6" s="78">
        <f>SUM(E7,E9:E10)</f>
        <v>12501979.869999997</v>
      </c>
      <c r="F6" s="78">
        <f t="shared" ref="F6:P6" si="1">SUM(F7,F9:F10)</f>
        <v>15154028.950000003</v>
      </c>
      <c r="G6" s="78">
        <f t="shared" si="1"/>
        <v>0</v>
      </c>
      <c r="H6" s="78">
        <f t="shared" si="1"/>
        <v>0</v>
      </c>
      <c r="I6" s="78">
        <f t="shared" si="1"/>
        <v>0</v>
      </c>
      <c r="J6" s="78">
        <f t="shared" si="1"/>
        <v>0</v>
      </c>
      <c r="K6" s="78">
        <f t="shared" si="1"/>
        <v>0</v>
      </c>
      <c r="L6" s="78">
        <f t="shared" si="1"/>
        <v>0</v>
      </c>
      <c r="M6" s="78">
        <f t="shared" si="1"/>
        <v>0</v>
      </c>
      <c r="N6" s="78">
        <f t="shared" si="1"/>
        <v>0</v>
      </c>
      <c r="O6" s="78">
        <f t="shared" si="1"/>
        <v>0</v>
      </c>
      <c r="P6" s="78">
        <f t="shared" si="1"/>
        <v>0</v>
      </c>
    </row>
    <row r="7" spans="2:21" x14ac:dyDescent="0.2">
      <c r="B7" s="114" t="s">
        <v>97</v>
      </c>
      <c r="C7" s="81">
        <f>SUM(E7:P7)</f>
        <v>23015552.869999997</v>
      </c>
      <c r="D7" s="81">
        <v>7465258.3799999999</v>
      </c>
      <c r="E7" s="81">
        <f t="shared" ref="E7:P7" si="2">E79</f>
        <v>10329331.319999997</v>
      </c>
      <c r="F7" s="81">
        <f t="shared" si="2"/>
        <v>12686221.550000003</v>
      </c>
      <c r="G7" s="81">
        <f t="shared" si="2"/>
        <v>0</v>
      </c>
      <c r="H7" s="81">
        <f t="shared" si="2"/>
        <v>0</v>
      </c>
      <c r="I7" s="81">
        <f t="shared" si="2"/>
        <v>0</v>
      </c>
      <c r="J7" s="81">
        <f t="shared" si="2"/>
        <v>0</v>
      </c>
      <c r="K7" s="81">
        <f t="shared" si="2"/>
        <v>0</v>
      </c>
      <c r="L7" s="81">
        <f t="shared" si="2"/>
        <v>0</v>
      </c>
      <c r="M7" s="81">
        <f t="shared" si="2"/>
        <v>0</v>
      </c>
      <c r="N7" s="81">
        <f t="shared" si="2"/>
        <v>0</v>
      </c>
      <c r="O7" s="81">
        <f t="shared" si="2"/>
        <v>0</v>
      </c>
      <c r="P7" s="81">
        <f t="shared" si="2"/>
        <v>0</v>
      </c>
    </row>
    <row r="8" spans="2:21" x14ac:dyDescent="0.2">
      <c r="B8" s="80" t="s">
        <v>113</v>
      </c>
      <c r="C8" s="81">
        <f>SUM(E8:P8)</f>
        <v>1346.4872319999999</v>
      </c>
      <c r="D8" s="81">
        <v>476.23611399999999</v>
      </c>
      <c r="E8" s="81">
        <f>E89</f>
        <v>631.81666200000006</v>
      </c>
      <c r="F8" s="81">
        <f t="shared" ref="F8:P8" si="3">F89</f>
        <v>714.67057</v>
      </c>
      <c r="G8" s="81">
        <f t="shared" si="3"/>
        <v>0</v>
      </c>
      <c r="H8" s="81">
        <f t="shared" si="3"/>
        <v>0</v>
      </c>
      <c r="I8" s="81">
        <f t="shared" si="3"/>
        <v>0</v>
      </c>
      <c r="J8" s="81">
        <f t="shared" si="3"/>
        <v>0</v>
      </c>
      <c r="K8" s="81">
        <f t="shared" si="3"/>
        <v>0</v>
      </c>
      <c r="L8" s="81">
        <f t="shared" si="3"/>
        <v>0</v>
      </c>
      <c r="M8" s="81">
        <f t="shared" si="3"/>
        <v>0</v>
      </c>
      <c r="N8" s="81">
        <f t="shared" si="3"/>
        <v>0</v>
      </c>
      <c r="O8" s="81">
        <f t="shared" si="3"/>
        <v>0</v>
      </c>
      <c r="P8" s="81">
        <f t="shared" si="3"/>
        <v>0</v>
      </c>
    </row>
    <row r="9" spans="2:21" x14ac:dyDescent="0.2">
      <c r="B9" s="114" t="s">
        <v>96</v>
      </c>
      <c r="C9" s="81">
        <f>SUM(E9:P9)</f>
        <v>4640455.9499999993</v>
      </c>
      <c r="D9" s="81">
        <v>2378275.09</v>
      </c>
      <c r="E9" s="81">
        <f>E154</f>
        <v>2172648.5499999998</v>
      </c>
      <c r="F9" s="81">
        <f t="shared" ref="F9:P9" si="4">F154</f>
        <v>2467807.4</v>
      </c>
      <c r="G9" s="81">
        <f t="shared" si="4"/>
        <v>0</v>
      </c>
      <c r="H9" s="81">
        <f t="shared" si="4"/>
        <v>0</v>
      </c>
      <c r="I9" s="81">
        <f t="shared" si="4"/>
        <v>0</v>
      </c>
      <c r="J9" s="81">
        <f t="shared" si="4"/>
        <v>0</v>
      </c>
      <c r="K9" s="81">
        <f t="shared" si="4"/>
        <v>0</v>
      </c>
      <c r="L9" s="81">
        <f t="shared" si="4"/>
        <v>0</v>
      </c>
      <c r="M9" s="81">
        <f t="shared" si="4"/>
        <v>0</v>
      </c>
      <c r="N9" s="81">
        <f t="shared" si="4"/>
        <v>0</v>
      </c>
      <c r="O9" s="81">
        <f t="shared" si="4"/>
        <v>0</v>
      </c>
      <c r="P9" s="81">
        <f t="shared" si="4"/>
        <v>0</v>
      </c>
      <c r="U9" s="48"/>
    </row>
    <row r="10" spans="2:21" x14ac:dyDescent="0.2">
      <c r="B10" s="114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U10" s="48"/>
    </row>
    <row r="11" spans="2:21" s="40" customFormat="1" ht="21.6" customHeight="1" x14ac:dyDescent="0.2">
      <c r="B11" s="95" t="s">
        <v>12</v>
      </c>
      <c r="C11" s="78">
        <f t="shared" ref="C11" si="5">SUM(C12:C15)</f>
        <v>25558804.020000003</v>
      </c>
      <c r="D11" s="78">
        <v>9644978.2731110882</v>
      </c>
      <c r="E11" s="78">
        <f>SUM(E12:E15)</f>
        <v>11738514.460000001</v>
      </c>
      <c r="F11" s="78">
        <f t="shared" ref="F11:O11" si="6">SUM(F12:F15)</f>
        <v>13820289.559999999</v>
      </c>
      <c r="G11" s="78">
        <f t="shared" si="6"/>
        <v>0</v>
      </c>
      <c r="H11" s="78">
        <f>SUM(H12:H15)</f>
        <v>0</v>
      </c>
      <c r="I11" s="78">
        <f t="shared" si="6"/>
        <v>0</v>
      </c>
      <c r="J11" s="78">
        <f t="shared" si="6"/>
        <v>0</v>
      </c>
      <c r="K11" s="78">
        <f t="shared" si="6"/>
        <v>0</v>
      </c>
      <c r="L11" s="78">
        <f t="shared" si="6"/>
        <v>0</v>
      </c>
      <c r="M11" s="78">
        <f t="shared" si="6"/>
        <v>0</v>
      </c>
      <c r="N11" s="78">
        <f t="shared" si="6"/>
        <v>0</v>
      </c>
      <c r="O11" s="78">
        <f t="shared" si="6"/>
        <v>0</v>
      </c>
      <c r="P11" s="78">
        <f>SUM(P12:P15)</f>
        <v>0</v>
      </c>
      <c r="S11" s="32"/>
    </row>
    <row r="12" spans="2:21" s="40" customFormat="1" ht="17.45" customHeight="1" x14ac:dyDescent="0.2">
      <c r="B12" s="114" t="s">
        <v>115</v>
      </c>
      <c r="C12" s="81">
        <f>SUM(E12:P12)</f>
        <v>22291204.590000004</v>
      </c>
      <c r="D12" s="81">
        <v>8303839.6899999995</v>
      </c>
      <c r="E12" s="123">
        <f>SUM(E92,E161)</f>
        <v>10834567.330000002</v>
      </c>
      <c r="F12" s="639">
        <f t="shared" ref="F12:P14" si="7">SUM(F92,F161)</f>
        <v>11456637.26</v>
      </c>
      <c r="G12" s="123">
        <f t="shared" si="7"/>
        <v>0</v>
      </c>
      <c r="H12" s="123">
        <f t="shared" si="7"/>
        <v>0</v>
      </c>
      <c r="I12" s="100">
        <f>SUM(I92,I161)</f>
        <v>0</v>
      </c>
      <c r="J12" s="100">
        <f t="shared" si="7"/>
        <v>0</v>
      </c>
      <c r="K12" s="100">
        <f t="shared" si="7"/>
        <v>0</v>
      </c>
      <c r="L12" s="100">
        <f t="shared" si="7"/>
        <v>0</v>
      </c>
      <c r="M12" s="101">
        <f t="shared" si="7"/>
        <v>0</v>
      </c>
      <c r="N12" s="101">
        <f t="shared" si="7"/>
        <v>0</v>
      </c>
      <c r="O12" s="123">
        <f t="shared" si="7"/>
        <v>0</v>
      </c>
      <c r="P12" s="124">
        <f t="shared" si="7"/>
        <v>0</v>
      </c>
      <c r="Q12" s="49"/>
    </row>
    <row r="13" spans="2:21" ht="17.45" customHeight="1" x14ac:dyDescent="0.2">
      <c r="B13" s="114" t="s">
        <v>116</v>
      </c>
      <c r="C13" s="81">
        <f>SUM(E13:P13)</f>
        <v>3562289.4299999997</v>
      </c>
      <c r="D13" s="81">
        <v>1503795.46</v>
      </c>
      <c r="E13" s="123">
        <f>SUM(E93,E162)</f>
        <v>1198637.1299999999</v>
      </c>
      <c r="F13" s="639">
        <f>SUM(F93,F162)</f>
        <v>2363652.2999999998</v>
      </c>
      <c r="G13" s="123">
        <f>SUM(G93,G162)</f>
        <v>0</v>
      </c>
      <c r="H13" s="123">
        <f>SUM(H93,H162)</f>
        <v>0</v>
      </c>
      <c r="I13" s="100">
        <f>SUM(I93,I162)</f>
        <v>0</v>
      </c>
      <c r="J13" s="100">
        <f t="shared" si="7"/>
        <v>0</v>
      </c>
      <c r="K13" s="100">
        <f t="shared" si="7"/>
        <v>0</v>
      </c>
      <c r="L13" s="100">
        <f t="shared" si="7"/>
        <v>0</v>
      </c>
      <c r="M13" s="101">
        <f t="shared" si="7"/>
        <v>0</v>
      </c>
      <c r="N13" s="101">
        <f t="shared" si="7"/>
        <v>0</v>
      </c>
      <c r="O13" s="123">
        <f t="shared" si="7"/>
        <v>0</v>
      </c>
      <c r="P13" s="124">
        <f t="shared" si="7"/>
        <v>0</v>
      </c>
      <c r="Q13" s="48"/>
      <c r="R13" s="505"/>
    </row>
    <row r="14" spans="2:21" ht="17.45" customHeight="1" x14ac:dyDescent="0.2">
      <c r="B14" s="114" t="s">
        <v>117</v>
      </c>
      <c r="C14" s="81">
        <f>SUM(E14:P14)</f>
        <v>-294690</v>
      </c>
      <c r="D14" s="81">
        <v>-162656.87688891101</v>
      </c>
      <c r="E14" s="123">
        <f>SUM(E94,E163)</f>
        <v>-294690</v>
      </c>
      <c r="F14" s="123">
        <f>SUM(F94,F163)</f>
        <v>0</v>
      </c>
      <c r="G14" s="123">
        <f>SUM(G94,G163)</f>
        <v>0</v>
      </c>
      <c r="H14" s="100">
        <f t="shared" si="7"/>
        <v>0</v>
      </c>
      <c r="I14" s="100">
        <f t="shared" si="7"/>
        <v>0</v>
      </c>
      <c r="J14" s="100">
        <f t="shared" si="7"/>
        <v>0</v>
      </c>
      <c r="K14" s="100">
        <f t="shared" si="7"/>
        <v>0</v>
      </c>
      <c r="L14" s="100">
        <f t="shared" si="7"/>
        <v>0</v>
      </c>
      <c r="M14" s="101">
        <f t="shared" si="7"/>
        <v>0</v>
      </c>
      <c r="N14" s="101">
        <f t="shared" si="7"/>
        <v>0</v>
      </c>
      <c r="O14" s="123">
        <f t="shared" si="7"/>
        <v>0</v>
      </c>
      <c r="P14" s="124">
        <f t="shared" si="7"/>
        <v>0</v>
      </c>
      <c r="Q14" s="48"/>
      <c r="R14" s="506"/>
    </row>
    <row r="15" spans="2:21" x14ac:dyDescent="0.2">
      <c r="B15" s="80"/>
      <c r="C15" s="81">
        <f>SUM(E15:P15)</f>
        <v>0</v>
      </c>
      <c r="D15" s="81"/>
      <c r="E15" s="81"/>
      <c r="F15" s="50"/>
      <c r="G15" s="81"/>
      <c r="H15" s="81"/>
      <c r="I15" s="81"/>
      <c r="J15" s="81"/>
      <c r="K15" s="81"/>
      <c r="L15" s="81"/>
      <c r="M15" s="81"/>
      <c r="N15" s="81"/>
      <c r="O15" s="81"/>
      <c r="P15" s="81"/>
      <c r="R15" s="45"/>
    </row>
    <row r="16" spans="2:21" s="40" customFormat="1" ht="17.45" customHeight="1" x14ac:dyDescent="0.2">
      <c r="B16" s="95" t="s">
        <v>13</v>
      </c>
      <c r="C16" s="78">
        <f>+C6-C11</f>
        <v>2098551.2872319929</v>
      </c>
      <c r="D16" s="78">
        <v>198555.19688891061</v>
      </c>
      <c r="E16" s="78">
        <f t="shared" ref="E16:P16" si="8">+E6-E11</f>
        <v>763465.40999999642</v>
      </c>
      <c r="F16" s="78">
        <f t="shared" si="8"/>
        <v>1333739.3900000043</v>
      </c>
      <c r="G16" s="78">
        <f t="shared" si="8"/>
        <v>0</v>
      </c>
      <c r="H16" s="78">
        <f t="shared" si="8"/>
        <v>0</v>
      </c>
      <c r="I16" s="78">
        <f t="shared" si="8"/>
        <v>0</v>
      </c>
      <c r="J16" s="78">
        <f t="shared" si="8"/>
        <v>0</v>
      </c>
      <c r="K16" s="78">
        <f t="shared" si="8"/>
        <v>0</v>
      </c>
      <c r="L16" s="78">
        <f t="shared" si="8"/>
        <v>0</v>
      </c>
      <c r="M16" s="78">
        <f t="shared" si="8"/>
        <v>0</v>
      </c>
      <c r="N16" s="78">
        <f t="shared" si="8"/>
        <v>0</v>
      </c>
      <c r="O16" s="78">
        <f t="shared" si="8"/>
        <v>0</v>
      </c>
      <c r="P16" s="78">
        <f t="shared" si="8"/>
        <v>0</v>
      </c>
      <c r="R16" s="45"/>
    </row>
    <row r="17" spans="2:19" s="42" customFormat="1" x14ac:dyDescent="0.2">
      <c r="B17" s="96" t="s">
        <v>14</v>
      </c>
      <c r="C17" s="82">
        <f t="shared" ref="C17:P17" si="9">+IFERROR(C16/C6,)</f>
        <v>7.5876788070305928E-2</v>
      </c>
      <c r="D17" s="82">
        <v>2.0171130366351122E-2</v>
      </c>
      <c r="E17" s="82">
        <f t="shared" si="9"/>
        <v>6.1067560333545517E-2</v>
      </c>
      <c r="F17" s="82">
        <f t="shared" si="9"/>
        <v>8.8012197574692114E-2</v>
      </c>
      <c r="G17" s="82">
        <f t="shared" si="9"/>
        <v>0</v>
      </c>
      <c r="H17" s="82">
        <f t="shared" si="9"/>
        <v>0</v>
      </c>
      <c r="I17" s="82">
        <f t="shared" si="9"/>
        <v>0</v>
      </c>
      <c r="J17" s="82">
        <f t="shared" si="9"/>
        <v>0</v>
      </c>
      <c r="K17" s="82">
        <f t="shared" si="9"/>
        <v>0</v>
      </c>
      <c r="L17" s="82">
        <f t="shared" si="9"/>
        <v>0</v>
      </c>
      <c r="M17" s="82">
        <f t="shared" si="9"/>
        <v>0</v>
      </c>
      <c r="N17" s="82">
        <f t="shared" si="9"/>
        <v>0</v>
      </c>
      <c r="O17" s="82">
        <f t="shared" si="9"/>
        <v>0</v>
      </c>
      <c r="P17" s="82">
        <f t="shared" si="9"/>
        <v>0</v>
      </c>
      <c r="R17" s="45"/>
    </row>
    <row r="18" spans="2:19" s="40" customFormat="1" ht="18.600000000000001" customHeight="1" x14ac:dyDescent="0.2">
      <c r="B18" s="95" t="s">
        <v>15</v>
      </c>
      <c r="C18" s="78">
        <f t="shared" ref="C18:C68" si="10">SUM(E18:P18)</f>
        <v>1401379.1099999999</v>
      </c>
      <c r="D18" s="78">
        <v>804702.94999999984</v>
      </c>
      <c r="E18" s="78">
        <f>+E19+E35+E53</f>
        <v>695216.16999999993</v>
      </c>
      <c r="F18" s="78">
        <f t="shared" ref="F18:P18" si="11">+F19+F35+F53</f>
        <v>706162.94</v>
      </c>
      <c r="G18" s="78">
        <f t="shared" si="11"/>
        <v>0</v>
      </c>
      <c r="H18" s="78">
        <f t="shared" si="11"/>
        <v>0</v>
      </c>
      <c r="I18" s="78">
        <f t="shared" si="11"/>
        <v>0</v>
      </c>
      <c r="J18" s="78">
        <f t="shared" si="11"/>
        <v>0</v>
      </c>
      <c r="K18" s="78">
        <f t="shared" si="11"/>
        <v>0</v>
      </c>
      <c r="L18" s="78">
        <f t="shared" si="11"/>
        <v>0</v>
      </c>
      <c r="M18" s="78">
        <f t="shared" si="11"/>
        <v>0</v>
      </c>
      <c r="N18" s="78">
        <f t="shared" si="11"/>
        <v>0</v>
      </c>
      <c r="O18" s="78">
        <f t="shared" si="11"/>
        <v>0</v>
      </c>
      <c r="P18" s="78">
        <f t="shared" si="11"/>
        <v>0</v>
      </c>
      <c r="R18" s="45"/>
    </row>
    <row r="19" spans="2:19" ht="16.5" hidden="1" outlineLevel="1" x14ac:dyDescent="0.2">
      <c r="B19" s="97" t="s">
        <v>16</v>
      </c>
      <c r="C19" s="98">
        <f t="shared" si="10"/>
        <v>0</v>
      </c>
      <c r="D19" s="98"/>
      <c r="E19" s="99">
        <f>SUM(E20:E33)</f>
        <v>0</v>
      </c>
      <c r="F19" s="99">
        <f t="shared" ref="F19:P19" si="12">SUM(F20:F33)</f>
        <v>0</v>
      </c>
      <c r="G19" s="98">
        <f t="shared" si="12"/>
        <v>0</v>
      </c>
      <c r="H19" s="99">
        <f t="shared" si="12"/>
        <v>0</v>
      </c>
      <c r="I19" s="99">
        <f t="shared" si="12"/>
        <v>0</v>
      </c>
      <c r="J19" s="99">
        <f t="shared" si="12"/>
        <v>0</v>
      </c>
      <c r="K19" s="99">
        <f t="shared" si="12"/>
        <v>0</v>
      </c>
      <c r="L19" s="99">
        <f t="shared" si="12"/>
        <v>0</v>
      </c>
      <c r="M19" s="99">
        <f t="shared" si="12"/>
        <v>0</v>
      </c>
      <c r="N19" s="99">
        <f t="shared" si="12"/>
        <v>0</v>
      </c>
      <c r="O19" s="99">
        <f t="shared" si="12"/>
        <v>0</v>
      </c>
      <c r="P19" s="99">
        <f t="shared" si="12"/>
        <v>0</v>
      </c>
      <c r="R19" s="51"/>
    </row>
    <row r="20" spans="2:19" hidden="1" outlineLevel="1" x14ac:dyDescent="0.2">
      <c r="B20" s="67" t="s">
        <v>19</v>
      </c>
      <c r="C20" s="81">
        <f t="shared" si="10"/>
        <v>0</v>
      </c>
      <c r="D20" s="81"/>
      <c r="E20" s="123">
        <f>SUM(E100,E169)</f>
        <v>0</v>
      </c>
      <c r="F20" s="123">
        <f t="shared" ref="F20:P20" si="13">SUM(F100,F169)</f>
        <v>0</v>
      </c>
      <c r="G20" s="123">
        <f t="shared" si="13"/>
        <v>0</v>
      </c>
      <c r="H20" s="100">
        <f t="shared" si="13"/>
        <v>0</v>
      </c>
      <c r="I20" s="100">
        <f t="shared" si="13"/>
        <v>0</v>
      </c>
      <c r="J20" s="100">
        <f t="shared" si="13"/>
        <v>0</v>
      </c>
      <c r="K20" s="100">
        <f t="shared" si="13"/>
        <v>0</v>
      </c>
      <c r="L20" s="100">
        <f t="shared" si="13"/>
        <v>0</v>
      </c>
      <c r="M20" s="101">
        <f t="shared" si="13"/>
        <v>0</v>
      </c>
      <c r="N20" s="101">
        <f t="shared" si="13"/>
        <v>0</v>
      </c>
      <c r="O20" s="123">
        <f t="shared" si="13"/>
        <v>0</v>
      </c>
      <c r="P20" s="124">
        <f t="shared" si="13"/>
        <v>0</v>
      </c>
      <c r="Q20" s="52"/>
      <c r="R20" s="51"/>
      <c r="S20" s="15"/>
    </row>
    <row r="21" spans="2:19" hidden="1" outlineLevel="1" x14ac:dyDescent="0.2">
      <c r="B21" s="67" t="s">
        <v>43</v>
      </c>
      <c r="C21" s="81">
        <f t="shared" si="10"/>
        <v>0</v>
      </c>
      <c r="D21" s="80"/>
      <c r="E21" s="124">
        <f t="shared" ref="E21:P21" si="14">SUM(E101,E170)</f>
        <v>0</v>
      </c>
      <c r="F21" s="124">
        <f t="shared" si="14"/>
        <v>0</v>
      </c>
      <c r="G21" s="124">
        <f t="shared" si="14"/>
        <v>0</v>
      </c>
      <c r="H21" s="100">
        <f t="shared" si="14"/>
        <v>0</v>
      </c>
      <c r="I21" s="100">
        <f t="shared" si="14"/>
        <v>0</v>
      </c>
      <c r="J21" s="100">
        <f t="shared" si="14"/>
        <v>0</v>
      </c>
      <c r="K21" s="100">
        <f t="shared" si="14"/>
        <v>0</v>
      </c>
      <c r="L21" s="102">
        <f t="shared" si="14"/>
        <v>0</v>
      </c>
      <c r="M21" s="101">
        <f t="shared" si="14"/>
        <v>0</v>
      </c>
      <c r="N21" s="125">
        <f t="shared" si="14"/>
        <v>0</v>
      </c>
      <c r="O21" s="124">
        <f t="shared" si="14"/>
        <v>0</v>
      </c>
      <c r="P21" s="124">
        <f t="shared" si="14"/>
        <v>0</v>
      </c>
      <c r="Q21" s="52"/>
      <c r="R21" s="51"/>
    </row>
    <row r="22" spans="2:19" hidden="1" outlineLevel="1" x14ac:dyDescent="0.2">
      <c r="B22" s="67" t="s">
        <v>45</v>
      </c>
      <c r="C22" s="81">
        <f t="shared" si="10"/>
        <v>0</v>
      </c>
      <c r="D22" s="80"/>
      <c r="E22" s="124">
        <f t="shared" ref="E22:P22" si="15">SUM(E102,E171)</f>
        <v>0</v>
      </c>
      <c r="F22" s="124">
        <f t="shared" si="15"/>
        <v>0</v>
      </c>
      <c r="G22" s="124">
        <f t="shared" si="15"/>
        <v>0</v>
      </c>
      <c r="H22" s="102">
        <f t="shared" si="15"/>
        <v>0</v>
      </c>
      <c r="I22" s="102">
        <f t="shared" si="15"/>
        <v>0</v>
      </c>
      <c r="J22" s="102">
        <f t="shared" si="15"/>
        <v>0</v>
      </c>
      <c r="K22" s="102">
        <f t="shared" si="15"/>
        <v>0</v>
      </c>
      <c r="L22" s="102">
        <f t="shared" si="15"/>
        <v>0</v>
      </c>
      <c r="M22" s="104">
        <f t="shared" si="15"/>
        <v>0</v>
      </c>
      <c r="N22" s="125">
        <f t="shared" si="15"/>
        <v>0</v>
      </c>
      <c r="O22" s="124">
        <f t="shared" si="15"/>
        <v>0</v>
      </c>
      <c r="P22" s="124">
        <f t="shared" si="15"/>
        <v>0</v>
      </c>
      <c r="Q22" s="52"/>
      <c r="R22" s="53"/>
    </row>
    <row r="23" spans="2:19" hidden="1" outlineLevel="1" x14ac:dyDescent="0.2">
      <c r="B23" s="67" t="s">
        <v>47</v>
      </c>
      <c r="C23" s="81">
        <f t="shared" si="10"/>
        <v>0</v>
      </c>
      <c r="D23" s="80"/>
      <c r="E23" s="124">
        <f t="shared" ref="E23:P23" si="16">SUM(E103,E172)</f>
        <v>0</v>
      </c>
      <c r="F23" s="124">
        <f t="shared" si="16"/>
        <v>0</v>
      </c>
      <c r="G23" s="124">
        <f t="shared" si="16"/>
        <v>0</v>
      </c>
      <c r="H23" s="102">
        <f t="shared" si="16"/>
        <v>0</v>
      </c>
      <c r="I23" s="102">
        <f t="shared" si="16"/>
        <v>0</v>
      </c>
      <c r="J23" s="102">
        <f t="shared" si="16"/>
        <v>0</v>
      </c>
      <c r="K23" s="102">
        <f t="shared" si="16"/>
        <v>0</v>
      </c>
      <c r="L23" s="102">
        <f t="shared" si="16"/>
        <v>0</v>
      </c>
      <c r="M23" s="104">
        <f t="shared" si="16"/>
        <v>0</v>
      </c>
      <c r="N23" s="125">
        <f t="shared" si="16"/>
        <v>0</v>
      </c>
      <c r="O23" s="124">
        <f t="shared" si="16"/>
        <v>0</v>
      </c>
      <c r="P23" s="124">
        <f t="shared" si="16"/>
        <v>0</v>
      </c>
      <c r="Q23" s="52"/>
      <c r="R23" s="53"/>
    </row>
    <row r="24" spans="2:19" hidden="1" outlineLevel="1" x14ac:dyDescent="0.2">
      <c r="B24" s="67" t="s">
        <v>48</v>
      </c>
      <c r="C24" s="81">
        <f>SUM(E24:P24)</f>
        <v>0</v>
      </c>
      <c r="D24" s="80"/>
      <c r="E24" s="124">
        <f t="shared" ref="E24:P24" si="17">SUM(E104,E173)</f>
        <v>0</v>
      </c>
      <c r="F24" s="124">
        <f t="shared" si="17"/>
        <v>0</v>
      </c>
      <c r="G24" s="124">
        <f t="shared" si="17"/>
        <v>0</v>
      </c>
      <c r="H24" s="102">
        <f t="shared" si="17"/>
        <v>0</v>
      </c>
      <c r="I24" s="102">
        <f t="shared" si="17"/>
        <v>0</v>
      </c>
      <c r="J24" s="102">
        <f t="shared" si="17"/>
        <v>0</v>
      </c>
      <c r="K24" s="102">
        <f t="shared" si="17"/>
        <v>0</v>
      </c>
      <c r="L24" s="102">
        <f t="shared" si="17"/>
        <v>0</v>
      </c>
      <c r="M24" s="104">
        <f t="shared" si="17"/>
        <v>0</v>
      </c>
      <c r="N24" s="125">
        <f t="shared" si="17"/>
        <v>0</v>
      </c>
      <c r="O24" s="124">
        <f t="shared" si="17"/>
        <v>0</v>
      </c>
      <c r="P24" s="124">
        <f t="shared" si="17"/>
        <v>0</v>
      </c>
      <c r="Q24" s="52"/>
      <c r="R24" s="53"/>
    </row>
    <row r="25" spans="2:19" hidden="1" outlineLevel="1" x14ac:dyDescent="0.2">
      <c r="B25" s="67" t="s">
        <v>49</v>
      </c>
      <c r="C25" s="81">
        <f t="shared" si="10"/>
        <v>0</v>
      </c>
      <c r="D25" s="81"/>
      <c r="E25" s="124">
        <f t="shared" ref="E25:P25" si="18">SUM(E105,E174)</f>
        <v>0</v>
      </c>
      <c r="F25" s="124">
        <f t="shared" si="18"/>
        <v>0</v>
      </c>
      <c r="G25" s="123">
        <f t="shared" si="18"/>
        <v>0</v>
      </c>
      <c r="H25" s="123">
        <f t="shared" si="18"/>
        <v>0</v>
      </c>
      <c r="I25" s="123">
        <f t="shared" si="18"/>
        <v>0</v>
      </c>
      <c r="J25" s="123">
        <f t="shared" si="18"/>
        <v>0</v>
      </c>
      <c r="K25" s="123">
        <f t="shared" si="18"/>
        <v>0</v>
      </c>
      <c r="L25" s="123">
        <f t="shared" si="18"/>
        <v>0</v>
      </c>
      <c r="M25" s="125">
        <f t="shared" si="18"/>
        <v>0</v>
      </c>
      <c r="N25" s="125">
        <f t="shared" si="18"/>
        <v>0</v>
      </c>
      <c r="O25" s="123">
        <f t="shared" si="18"/>
        <v>0</v>
      </c>
      <c r="P25" s="123">
        <f t="shared" si="18"/>
        <v>0</v>
      </c>
      <c r="Q25" s="52"/>
      <c r="R25" s="53"/>
    </row>
    <row r="26" spans="2:19" hidden="1" outlineLevel="1" x14ac:dyDescent="0.2">
      <c r="B26" s="67" t="s">
        <v>50</v>
      </c>
      <c r="C26" s="81">
        <f t="shared" si="10"/>
        <v>0</v>
      </c>
      <c r="D26" s="102"/>
      <c r="E26" s="124">
        <f t="shared" ref="E26:P26" si="19">SUM(E106,E175)</f>
        <v>0</v>
      </c>
      <c r="F26" s="124">
        <f t="shared" si="19"/>
        <v>0</v>
      </c>
      <c r="G26" s="123">
        <f t="shared" si="19"/>
        <v>0</v>
      </c>
      <c r="H26" s="102">
        <f t="shared" si="19"/>
        <v>0</v>
      </c>
      <c r="I26" s="123">
        <f t="shared" si="19"/>
        <v>0</v>
      </c>
      <c r="J26" s="123">
        <f t="shared" si="19"/>
        <v>0</v>
      </c>
      <c r="K26" s="123">
        <f t="shared" si="19"/>
        <v>0</v>
      </c>
      <c r="L26" s="123">
        <f t="shared" si="19"/>
        <v>0</v>
      </c>
      <c r="M26" s="125">
        <f t="shared" si="19"/>
        <v>0</v>
      </c>
      <c r="N26" s="125">
        <f t="shared" si="19"/>
        <v>0</v>
      </c>
      <c r="O26" s="124">
        <f t="shared" si="19"/>
        <v>0</v>
      </c>
      <c r="P26" s="102">
        <f t="shared" si="19"/>
        <v>0</v>
      </c>
      <c r="Q26" s="52"/>
      <c r="R26" s="53"/>
    </row>
    <row r="27" spans="2:19" hidden="1" outlineLevel="1" x14ac:dyDescent="0.2">
      <c r="B27" s="67" t="s">
        <v>51</v>
      </c>
      <c r="C27" s="81">
        <f t="shared" si="10"/>
        <v>0</v>
      </c>
      <c r="D27" s="80"/>
      <c r="E27" s="124">
        <f t="shared" ref="E27:P27" si="20">SUM(E107,E176)</f>
        <v>0</v>
      </c>
      <c r="F27" s="102">
        <f t="shared" si="20"/>
        <v>0</v>
      </c>
      <c r="G27" s="124">
        <f t="shared" si="20"/>
        <v>0</v>
      </c>
      <c r="H27" s="102">
        <f t="shared" si="20"/>
        <v>0</v>
      </c>
      <c r="I27" s="102">
        <f t="shared" si="20"/>
        <v>0</v>
      </c>
      <c r="J27" s="102">
        <f t="shared" si="20"/>
        <v>0</v>
      </c>
      <c r="K27" s="102">
        <f t="shared" si="20"/>
        <v>0</v>
      </c>
      <c r="L27" s="102">
        <f t="shared" si="20"/>
        <v>0</v>
      </c>
      <c r="M27" s="104">
        <f t="shared" si="20"/>
        <v>0</v>
      </c>
      <c r="N27" s="125">
        <f t="shared" si="20"/>
        <v>0</v>
      </c>
      <c r="O27" s="124">
        <f t="shared" si="20"/>
        <v>0</v>
      </c>
      <c r="P27" s="124">
        <f t="shared" si="20"/>
        <v>0</v>
      </c>
      <c r="Q27" s="52"/>
      <c r="R27" s="53"/>
      <c r="S27" s="42"/>
    </row>
    <row r="28" spans="2:19" hidden="1" outlineLevel="1" x14ac:dyDescent="0.2">
      <c r="B28" s="67" t="s">
        <v>52</v>
      </c>
      <c r="C28" s="81">
        <f t="shared" si="10"/>
        <v>0</v>
      </c>
      <c r="D28" s="80"/>
      <c r="E28" s="124">
        <f t="shared" ref="E28:P28" si="21">SUM(E108,E177)</f>
        <v>0</v>
      </c>
      <c r="F28" s="124">
        <f t="shared" si="21"/>
        <v>0</v>
      </c>
      <c r="G28" s="124">
        <f t="shared" si="21"/>
        <v>0</v>
      </c>
      <c r="H28" s="102">
        <f t="shared" si="21"/>
        <v>0</v>
      </c>
      <c r="I28" s="102">
        <f t="shared" si="21"/>
        <v>0</v>
      </c>
      <c r="J28" s="102">
        <f t="shared" si="21"/>
        <v>0</v>
      </c>
      <c r="K28" s="102">
        <f t="shared" si="21"/>
        <v>0</v>
      </c>
      <c r="L28" s="102">
        <f t="shared" si="21"/>
        <v>0</v>
      </c>
      <c r="M28" s="104">
        <f t="shared" si="21"/>
        <v>0</v>
      </c>
      <c r="N28" s="125">
        <f t="shared" si="21"/>
        <v>0</v>
      </c>
      <c r="O28" s="124">
        <f t="shared" si="21"/>
        <v>0</v>
      </c>
      <c r="P28" s="124">
        <f t="shared" si="21"/>
        <v>0</v>
      </c>
      <c r="Q28" s="52"/>
      <c r="R28" s="53"/>
    </row>
    <row r="29" spans="2:19" hidden="1" outlineLevel="1" x14ac:dyDescent="0.2">
      <c r="B29" s="67" t="s">
        <v>53</v>
      </c>
      <c r="C29" s="81">
        <f t="shared" si="10"/>
        <v>0</v>
      </c>
      <c r="D29" s="80"/>
      <c r="E29" s="124">
        <f t="shared" ref="E29:P29" si="22">SUM(E109,E178)</f>
        <v>0</v>
      </c>
      <c r="F29" s="124">
        <f t="shared" si="22"/>
        <v>0</v>
      </c>
      <c r="G29" s="124">
        <f t="shared" si="22"/>
        <v>0</v>
      </c>
      <c r="H29" s="102">
        <f t="shared" si="22"/>
        <v>0</v>
      </c>
      <c r="I29" s="102">
        <f t="shared" si="22"/>
        <v>0</v>
      </c>
      <c r="J29" s="102">
        <f t="shared" si="22"/>
        <v>0</v>
      </c>
      <c r="K29" s="102">
        <f t="shared" si="22"/>
        <v>0</v>
      </c>
      <c r="L29" s="102">
        <f t="shared" si="22"/>
        <v>0</v>
      </c>
      <c r="M29" s="104">
        <f t="shared" si="22"/>
        <v>0</v>
      </c>
      <c r="N29" s="125">
        <f t="shared" si="22"/>
        <v>0</v>
      </c>
      <c r="O29" s="124">
        <f t="shared" si="22"/>
        <v>0</v>
      </c>
      <c r="P29" s="124">
        <f t="shared" si="22"/>
        <v>0</v>
      </c>
      <c r="Q29" s="52"/>
      <c r="R29" s="53"/>
    </row>
    <row r="30" spans="2:19" hidden="1" outlineLevel="1" x14ac:dyDescent="0.2">
      <c r="B30" s="67" t="s">
        <v>54</v>
      </c>
      <c r="C30" s="81">
        <f t="shared" si="10"/>
        <v>0</v>
      </c>
      <c r="D30" s="102"/>
      <c r="E30" s="124">
        <f t="shared" ref="E30:P30" si="23">SUM(E110,E179)</f>
        <v>0</v>
      </c>
      <c r="F30" s="124">
        <f t="shared" si="23"/>
        <v>0</v>
      </c>
      <c r="G30" s="123">
        <f t="shared" si="23"/>
        <v>0</v>
      </c>
      <c r="H30" s="123">
        <f t="shared" si="23"/>
        <v>0</v>
      </c>
      <c r="I30" s="123">
        <f t="shared" si="23"/>
        <v>0</v>
      </c>
      <c r="J30" s="123">
        <f t="shared" si="23"/>
        <v>0</v>
      </c>
      <c r="K30" s="123">
        <f t="shared" si="23"/>
        <v>0</v>
      </c>
      <c r="L30" s="123">
        <f t="shared" si="23"/>
        <v>0</v>
      </c>
      <c r="M30" s="125">
        <f t="shared" si="23"/>
        <v>0</v>
      </c>
      <c r="N30" s="125">
        <f t="shared" si="23"/>
        <v>0</v>
      </c>
      <c r="O30" s="123">
        <f t="shared" si="23"/>
        <v>0</v>
      </c>
      <c r="P30" s="102">
        <f t="shared" si="23"/>
        <v>0</v>
      </c>
      <c r="Q30" s="52"/>
      <c r="R30" s="53"/>
    </row>
    <row r="31" spans="2:19" hidden="1" outlineLevel="1" x14ac:dyDescent="0.25">
      <c r="B31" s="67" t="s">
        <v>55</v>
      </c>
      <c r="C31" s="81">
        <f t="shared" si="10"/>
        <v>0</v>
      </c>
      <c r="D31" s="81"/>
      <c r="E31" s="124">
        <f t="shared" ref="E31:P31" si="24">SUM(E111,E180)</f>
        <v>0</v>
      </c>
      <c r="F31" s="124">
        <f t="shared" si="24"/>
        <v>0</v>
      </c>
      <c r="G31" s="123">
        <f t="shared" si="24"/>
        <v>0</v>
      </c>
      <c r="H31" s="123">
        <f t="shared" si="24"/>
        <v>0</v>
      </c>
      <c r="I31" s="123">
        <f t="shared" si="24"/>
        <v>0</v>
      </c>
      <c r="J31" s="123">
        <f t="shared" si="24"/>
        <v>0</v>
      </c>
      <c r="K31" s="126">
        <f t="shared" si="24"/>
        <v>0</v>
      </c>
      <c r="L31" s="123">
        <f t="shared" si="24"/>
        <v>0</v>
      </c>
      <c r="M31" s="125">
        <f t="shared" si="24"/>
        <v>0</v>
      </c>
      <c r="N31" s="125">
        <f t="shared" si="24"/>
        <v>0</v>
      </c>
      <c r="O31" s="123">
        <f t="shared" si="24"/>
        <v>0</v>
      </c>
      <c r="P31" s="123">
        <f t="shared" si="24"/>
        <v>0</v>
      </c>
      <c r="Q31" s="52"/>
      <c r="R31" s="53"/>
    </row>
    <row r="32" spans="2:19" hidden="1" outlineLevel="1" x14ac:dyDescent="0.2">
      <c r="B32" s="67" t="s">
        <v>56</v>
      </c>
      <c r="C32" s="81">
        <f t="shared" si="10"/>
        <v>0</v>
      </c>
      <c r="D32" s="81"/>
      <c r="E32" s="124">
        <f t="shared" ref="E32:P32" si="25">SUM(E112,E181)</f>
        <v>0</v>
      </c>
      <c r="F32" s="124">
        <f t="shared" si="25"/>
        <v>0</v>
      </c>
      <c r="G32" s="123">
        <f t="shared" si="25"/>
        <v>0</v>
      </c>
      <c r="H32" s="123">
        <f t="shared" si="25"/>
        <v>0</v>
      </c>
      <c r="I32" s="123">
        <f t="shared" si="25"/>
        <v>0</v>
      </c>
      <c r="J32" s="123">
        <f t="shared" si="25"/>
        <v>0</v>
      </c>
      <c r="K32" s="123">
        <f t="shared" si="25"/>
        <v>0</v>
      </c>
      <c r="L32" s="123">
        <f t="shared" si="25"/>
        <v>0</v>
      </c>
      <c r="M32" s="125">
        <f t="shared" si="25"/>
        <v>0</v>
      </c>
      <c r="N32" s="125">
        <f t="shared" si="25"/>
        <v>0</v>
      </c>
      <c r="O32" s="123">
        <f t="shared" si="25"/>
        <v>0</v>
      </c>
      <c r="P32" s="123">
        <f t="shared" si="25"/>
        <v>0</v>
      </c>
      <c r="Q32" s="52"/>
      <c r="R32" s="53"/>
    </row>
    <row r="33" spans="2:18" hidden="1" outlineLevel="1" x14ac:dyDescent="0.2">
      <c r="B33" s="67" t="s">
        <v>57</v>
      </c>
      <c r="C33" s="81">
        <f t="shared" si="10"/>
        <v>0</v>
      </c>
      <c r="D33" s="80"/>
      <c r="E33" s="124">
        <f t="shared" ref="E33:P33" si="26">SUM(E113,E182)</f>
        <v>0</v>
      </c>
      <c r="F33" s="124">
        <f t="shared" si="26"/>
        <v>0</v>
      </c>
      <c r="G33" s="124">
        <f t="shared" si="26"/>
        <v>0</v>
      </c>
      <c r="H33" s="102">
        <f t="shared" si="26"/>
        <v>0</v>
      </c>
      <c r="I33" s="102">
        <f t="shared" si="26"/>
        <v>0</v>
      </c>
      <c r="J33" s="102">
        <f t="shared" si="26"/>
        <v>0</v>
      </c>
      <c r="K33" s="102">
        <f t="shared" si="26"/>
        <v>0</v>
      </c>
      <c r="L33" s="102">
        <f t="shared" si="26"/>
        <v>0</v>
      </c>
      <c r="M33" s="104">
        <f t="shared" si="26"/>
        <v>0</v>
      </c>
      <c r="N33" s="125">
        <f t="shared" si="26"/>
        <v>0</v>
      </c>
      <c r="O33" s="124">
        <f t="shared" si="26"/>
        <v>0</v>
      </c>
      <c r="P33" s="124">
        <f t="shared" si="26"/>
        <v>0</v>
      </c>
      <c r="Q33" s="52"/>
      <c r="R33" s="53"/>
    </row>
    <row r="34" spans="2:18" hidden="1" outlineLevel="1" x14ac:dyDescent="0.2">
      <c r="B34" s="106"/>
      <c r="C34" s="81"/>
      <c r="D34" s="81"/>
      <c r="E34" s="107"/>
      <c r="F34" s="107"/>
      <c r="G34" s="81"/>
      <c r="H34" s="81"/>
      <c r="I34" s="81"/>
      <c r="J34" s="81"/>
      <c r="K34" s="81"/>
      <c r="L34" s="81"/>
      <c r="M34" s="108"/>
      <c r="N34" s="103"/>
      <c r="O34" s="81"/>
      <c r="P34" s="81"/>
      <c r="R34" s="53"/>
    </row>
    <row r="35" spans="2:18" ht="16.5" collapsed="1" x14ac:dyDescent="0.2">
      <c r="B35" s="97" t="s">
        <v>17</v>
      </c>
      <c r="C35" s="109">
        <f t="shared" si="10"/>
        <v>1401379.1099999999</v>
      </c>
      <c r="D35" s="109">
        <v>804702.94999999984</v>
      </c>
      <c r="E35" s="110">
        <f>SUM(E36:E51)</f>
        <v>695216.16999999993</v>
      </c>
      <c r="F35" s="110">
        <f t="shared" ref="F35:P35" si="27">SUM(F36:F51)</f>
        <v>706162.94</v>
      </c>
      <c r="G35" s="109">
        <f t="shared" si="27"/>
        <v>0</v>
      </c>
      <c r="H35" s="110">
        <f t="shared" si="27"/>
        <v>0</v>
      </c>
      <c r="I35" s="110">
        <f t="shared" si="27"/>
        <v>0</v>
      </c>
      <c r="J35" s="110">
        <f t="shared" si="27"/>
        <v>0</v>
      </c>
      <c r="K35" s="110">
        <f t="shared" si="27"/>
        <v>0</v>
      </c>
      <c r="L35" s="110">
        <f>SUM(L36:L51)</f>
        <v>0</v>
      </c>
      <c r="M35" s="111">
        <f t="shared" si="27"/>
        <v>0</v>
      </c>
      <c r="N35" s="111">
        <f t="shared" si="27"/>
        <v>0</v>
      </c>
      <c r="O35" s="110">
        <f t="shared" si="27"/>
        <v>0</v>
      </c>
      <c r="P35" s="110">
        <f t="shared" si="27"/>
        <v>0</v>
      </c>
      <c r="R35" s="53"/>
    </row>
    <row r="36" spans="2:18" x14ac:dyDescent="0.2">
      <c r="B36" s="112" t="s">
        <v>58</v>
      </c>
      <c r="C36" s="81">
        <f t="shared" si="10"/>
        <v>646352.28</v>
      </c>
      <c r="D36" s="80">
        <v>138875.91999999998</v>
      </c>
      <c r="E36" s="123">
        <f>SUM(E116,E185)</f>
        <v>325645.53999999998</v>
      </c>
      <c r="F36" s="123">
        <f t="shared" ref="F36:P36" si="28">SUM(F116,F185)</f>
        <v>320706.74</v>
      </c>
      <c r="G36" s="123">
        <f t="shared" si="28"/>
        <v>0</v>
      </c>
      <c r="H36" s="100">
        <f t="shared" si="28"/>
        <v>0</v>
      </c>
      <c r="I36" s="100">
        <f t="shared" si="28"/>
        <v>0</v>
      </c>
      <c r="J36" s="100">
        <f t="shared" si="28"/>
        <v>0</v>
      </c>
      <c r="K36" s="100">
        <f t="shared" si="28"/>
        <v>0</v>
      </c>
      <c r="L36" s="100">
        <f t="shared" si="28"/>
        <v>0</v>
      </c>
      <c r="M36" s="101">
        <f t="shared" si="28"/>
        <v>0</v>
      </c>
      <c r="N36" s="101">
        <f t="shared" si="28"/>
        <v>0</v>
      </c>
      <c r="O36" s="123">
        <f t="shared" si="28"/>
        <v>0</v>
      </c>
      <c r="P36" s="124">
        <f t="shared" si="28"/>
        <v>0</v>
      </c>
      <c r="Q36" s="52"/>
      <c r="R36" s="51"/>
    </row>
    <row r="37" spans="2:18" x14ac:dyDescent="0.2">
      <c r="B37" s="112" t="s">
        <v>59</v>
      </c>
      <c r="C37" s="81">
        <f t="shared" si="10"/>
        <v>25876.800000000003</v>
      </c>
      <c r="D37" s="80">
        <v>10657.369999999999</v>
      </c>
      <c r="E37" s="124">
        <f t="shared" ref="E37:P37" si="29">SUM(E117,E186)</f>
        <v>12954.35</v>
      </c>
      <c r="F37" s="124">
        <f t="shared" si="29"/>
        <v>12922.45</v>
      </c>
      <c r="G37" s="124">
        <f t="shared" si="29"/>
        <v>0</v>
      </c>
      <c r="H37" s="100">
        <f t="shared" si="29"/>
        <v>0</v>
      </c>
      <c r="I37" s="100">
        <f t="shared" si="29"/>
        <v>0</v>
      </c>
      <c r="J37" s="100">
        <f t="shared" si="29"/>
        <v>0</v>
      </c>
      <c r="K37" s="100">
        <f t="shared" si="29"/>
        <v>0</v>
      </c>
      <c r="L37" s="102">
        <f t="shared" si="29"/>
        <v>0</v>
      </c>
      <c r="M37" s="101">
        <f t="shared" si="29"/>
        <v>0</v>
      </c>
      <c r="N37" s="125">
        <f t="shared" si="29"/>
        <v>0</v>
      </c>
      <c r="O37" s="124">
        <f t="shared" si="29"/>
        <v>0</v>
      </c>
      <c r="P37" s="124">
        <f t="shared" si="29"/>
        <v>0</v>
      </c>
      <c r="Q37" s="52"/>
      <c r="R37" s="53"/>
    </row>
    <row r="38" spans="2:18" x14ac:dyDescent="0.2">
      <c r="B38" s="112" t="s">
        <v>60</v>
      </c>
      <c r="C38" s="81">
        <f t="shared" si="10"/>
        <v>61541.51</v>
      </c>
      <c r="D38" s="80">
        <v>27643.34</v>
      </c>
      <c r="E38" s="124">
        <f t="shared" ref="E38:P38" si="30">SUM(E118,E187)</f>
        <v>28636.21</v>
      </c>
      <c r="F38" s="124">
        <f t="shared" si="30"/>
        <v>32905.300000000003</v>
      </c>
      <c r="G38" s="124">
        <f t="shared" si="30"/>
        <v>0</v>
      </c>
      <c r="H38" s="102">
        <f t="shared" si="30"/>
        <v>0</v>
      </c>
      <c r="I38" s="102">
        <f t="shared" si="30"/>
        <v>0</v>
      </c>
      <c r="J38" s="102">
        <f t="shared" si="30"/>
        <v>0</v>
      </c>
      <c r="K38" s="102">
        <f t="shared" si="30"/>
        <v>0</v>
      </c>
      <c r="L38" s="102">
        <f t="shared" si="30"/>
        <v>0</v>
      </c>
      <c r="M38" s="104">
        <f t="shared" si="30"/>
        <v>0</v>
      </c>
      <c r="N38" s="125">
        <f t="shared" si="30"/>
        <v>0</v>
      </c>
      <c r="O38" s="124">
        <f t="shared" si="30"/>
        <v>0</v>
      </c>
      <c r="P38" s="124">
        <f t="shared" si="30"/>
        <v>0</v>
      </c>
      <c r="Q38" s="52"/>
      <c r="R38" s="53"/>
    </row>
    <row r="39" spans="2:18" x14ac:dyDescent="0.2">
      <c r="B39" s="112" t="s">
        <v>61</v>
      </c>
      <c r="C39" s="81">
        <f t="shared" si="10"/>
        <v>6562.53</v>
      </c>
      <c r="D39" s="80">
        <v>3221.41</v>
      </c>
      <c r="E39" s="124">
        <f t="shared" ref="E39:P39" si="31">SUM(E119,E188)</f>
        <v>2374.41</v>
      </c>
      <c r="F39" s="124">
        <f t="shared" si="31"/>
        <v>4188.12</v>
      </c>
      <c r="G39" s="124">
        <f t="shared" si="31"/>
        <v>0</v>
      </c>
      <c r="H39" s="102">
        <f t="shared" si="31"/>
        <v>0</v>
      </c>
      <c r="I39" s="102">
        <f t="shared" si="31"/>
        <v>0</v>
      </c>
      <c r="J39" s="102">
        <f t="shared" si="31"/>
        <v>0</v>
      </c>
      <c r="K39" s="102">
        <f t="shared" si="31"/>
        <v>0</v>
      </c>
      <c r="L39" s="102">
        <f t="shared" si="31"/>
        <v>0</v>
      </c>
      <c r="M39" s="104">
        <f t="shared" si="31"/>
        <v>0</v>
      </c>
      <c r="N39" s="125">
        <f t="shared" si="31"/>
        <v>0</v>
      </c>
      <c r="O39" s="124">
        <f t="shared" si="31"/>
        <v>0</v>
      </c>
      <c r="P39" s="124">
        <f t="shared" si="31"/>
        <v>0</v>
      </c>
      <c r="Q39" s="52"/>
      <c r="R39" s="53"/>
    </row>
    <row r="40" spans="2:18" x14ac:dyDescent="0.2">
      <c r="B40" s="112" t="s">
        <v>62</v>
      </c>
      <c r="C40" s="81">
        <f t="shared" si="10"/>
        <v>91123.68</v>
      </c>
      <c r="D40" s="80">
        <v>25846.870000000003</v>
      </c>
      <c r="E40" s="124">
        <f t="shared" ref="E40:P40" si="32">SUM(E120,E189)</f>
        <v>58276.9</v>
      </c>
      <c r="F40" s="124">
        <f t="shared" si="32"/>
        <v>32846.78</v>
      </c>
      <c r="G40" s="124">
        <f t="shared" si="32"/>
        <v>0</v>
      </c>
      <c r="H40" s="102">
        <f t="shared" si="32"/>
        <v>0</v>
      </c>
      <c r="I40" s="102">
        <f t="shared" si="32"/>
        <v>0</v>
      </c>
      <c r="J40" s="102">
        <f t="shared" si="32"/>
        <v>0</v>
      </c>
      <c r="K40" s="102">
        <f t="shared" si="32"/>
        <v>0</v>
      </c>
      <c r="L40" s="102">
        <f t="shared" si="32"/>
        <v>0</v>
      </c>
      <c r="M40" s="104">
        <f t="shared" si="32"/>
        <v>0</v>
      </c>
      <c r="N40" s="125">
        <f t="shared" si="32"/>
        <v>0</v>
      </c>
      <c r="O40" s="124">
        <f t="shared" si="32"/>
        <v>0</v>
      </c>
      <c r="P40" s="124">
        <f t="shared" si="32"/>
        <v>0</v>
      </c>
      <c r="Q40" s="52"/>
      <c r="R40" s="53"/>
    </row>
    <row r="41" spans="2:18" x14ac:dyDescent="0.2">
      <c r="B41" s="112" t="s">
        <v>63</v>
      </c>
      <c r="C41" s="81">
        <f t="shared" si="10"/>
        <v>0</v>
      </c>
      <c r="D41" s="81">
        <v>0</v>
      </c>
      <c r="E41" s="124">
        <f t="shared" ref="E41:P41" si="33">SUM(E121,E190)</f>
        <v>0</v>
      </c>
      <c r="F41" s="124">
        <f t="shared" si="33"/>
        <v>0</v>
      </c>
      <c r="G41" s="123">
        <f t="shared" si="33"/>
        <v>0</v>
      </c>
      <c r="H41" s="123">
        <f t="shared" si="33"/>
        <v>0</v>
      </c>
      <c r="I41" s="123">
        <f t="shared" si="33"/>
        <v>0</v>
      </c>
      <c r="J41" s="123">
        <f t="shared" si="33"/>
        <v>0</v>
      </c>
      <c r="K41" s="123">
        <f t="shared" si="33"/>
        <v>0</v>
      </c>
      <c r="L41" s="123">
        <f t="shared" si="33"/>
        <v>0</v>
      </c>
      <c r="M41" s="125">
        <f t="shared" si="33"/>
        <v>0</v>
      </c>
      <c r="N41" s="125">
        <f t="shared" si="33"/>
        <v>0</v>
      </c>
      <c r="O41" s="123">
        <f t="shared" si="33"/>
        <v>0</v>
      </c>
      <c r="P41" s="123">
        <f t="shared" si="33"/>
        <v>0</v>
      </c>
      <c r="Q41" s="52"/>
      <c r="R41" s="53"/>
    </row>
    <row r="42" spans="2:18" x14ac:dyDescent="0.2">
      <c r="B42" s="112" t="s">
        <v>64</v>
      </c>
      <c r="C42" s="81">
        <f t="shared" si="10"/>
        <v>18646.72</v>
      </c>
      <c r="D42" s="81">
        <v>7379.83</v>
      </c>
      <c r="E42" s="124">
        <f t="shared" ref="E42:P42" si="34">SUM(E122,E191)</f>
        <v>4997.2299999999996</v>
      </c>
      <c r="F42" s="124">
        <f t="shared" si="34"/>
        <v>13649.49</v>
      </c>
      <c r="G42" s="123">
        <f t="shared" si="34"/>
        <v>0</v>
      </c>
      <c r="H42" s="102">
        <f t="shared" si="34"/>
        <v>0</v>
      </c>
      <c r="I42" s="123">
        <f t="shared" si="34"/>
        <v>0</v>
      </c>
      <c r="J42" s="123">
        <f t="shared" si="34"/>
        <v>0</v>
      </c>
      <c r="K42" s="123">
        <f t="shared" si="34"/>
        <v>0</v>
      </c>
      <c r="L42" s="123">
        <f t="shared" si="34"/>
        <v>0</v>
      </c>
      <c r="M42" s="125">
        <f t="shared" si="34"/>
        <v>0</v>
      </c>
      <c r="N42" s="125">
        <f t="shared" si="34"/>
        <v>0</v>
      </c>
      <c r="O42" s="124">
        <f t="shared" si="34"/>
        <v>0</v>
      </c>
      <c r="P42" s="102">
        <f t="shared" si="34"/>
        <v>0</v>
      </c>
      <c r="Q42" s="52"/>
      <c r="R42" s="53"/>
    </row>
    <row r="43" spans="2:18" x14ac:dyDescent="0.2">
      <c r="B43" s="112" t="s">
        <v>65</v>
      </c>
      <c r="C43" s="81">
        <f t="shared" si="10"/>
        <v>478068.05</v>
      </c>
      <c r="D43" s="80">
        <v>227988.19</v>
      </c>
      <c r="E43" s="124">
        <f t="shared" ref="E43:P43" si="35">SUM(E123,E192)</f>
        <v>225126.16</v>
      </c>
      <c r="F43" s="102">
        <f t="shared" si="35"/>
        <v>252941.88999999998</v>
      </c>
      <c r="G43" s="124">
        <f t="shared" si="35"/>
        <v>0</v>
      </c>
      <c r="H43" s="102">
        <f t="shared" si="35"/>
        <v>0</v>
      </c>
      <c r="I43" s="102">
        <f t="shared" si="35"/>
        <v>0</v>
      </c>
      <c r="J43" s="102">
        <f t="shared" si="35"/>
        <v>0</v>
      </c>
      <c r="K43" s="102">
        <f t="shared" si="35"/>
        <v>0</v>
      </c>
      <c r="L43" s="102">
        <f t="shared" si="35"/>
        <v>0</v>
      </c>
      <c r="M43" s="104">
        <f t="shared" si="35"/>
        <v>0</v>
      </c>
      <c r="N43" s="125">
        <f t="shared" si="35"/>
        <v>0</v>
      </c>
      <c r="O43" s="124">
        <f t="shared" si="35"/>
        <v>0</v>
      </c>
      <c r="P43" s="124">
        <f t="shared" si="35"/>
        <v>0</v>
      </c>
      <c r="Q43" s="52"/>
      <c r="R43" s="53"/>
    </row>
    <row r="44" spans="2:18" x14ac:dyDescent="0.2">
      <c r="B44" s="112" t="s">
        <v>66</v>
      </c>
      <c r="C44" s="81">
        <f t="shared" si="10"/>
        <v>40660.57</v>
      </c>
      <c r="D44" s="80">
        <v>15159.41</v>
      </c>
      <c r="E44" s="124">
        <f t="shared" ref="E44:P44" si="36">SUM(E124,E193)</f>
        <v>18498.97</v>
      </c>
      <c r="F44" s="124">
        <f t="shared" si="36"/>
        <v>22161.599999999999</v>
      </c>
      <c r="G44" s="124">
        <f t="shared" si="36"/>
        <v>0</v>
      </c>
      <c r="H44" s="102">
        <f t="shared" si="36"/>
        <v>0</v>
      </c>
      <c r="I44" s="102">
        <f t="shared" si="36"/>
        <v>0</v>
      </c>
      <c r="J44" s="102">
        <f t="shared" si="36"/>
        <v>0</v>
      </c>
      <c r="K44" s="102">
        <f t="shared" si="36"/>
        <v>0</v>
      </c>
      <c r="L44" s="102">
        <f t="shared" si="36"/>
        <v>0</v>
      </c>
      <c r="M44" s="104">
        <f t="shared" si="36"/>
        <v>0</v>
      </c>
      <c r="N44" s="125">
        <f t="shared" si="36"/>
        <v>0</v>
      </c>
      <c r="O44" s="124">
        <f t="shared" si="36"/>
        <v>0</v>
      </c>
      <c r="P44" s="124">
        <f t="shared" si="36"/>
        <v>0</v>
      </c>
      <c r="Q44" s="52"/>
      <c r="R44" s="53"/>
    </row>
    <row r="45" spans="2:18" x14ac:dyDescent="0.2">
      <c r="B45" s="112" t="s">
        <v>67</v>
      </c>
      <c r="C45" s="81">
        <f t="shared" si="10"/>
        <v>10328.31</v>
      </c>
      <c r="D45" s="80">
        <v>26706.26</v>
      </c>
      <c r="E45" s="124">
        <f t="shared" ref="E45:P45" si="37">SUM(E125,E194)</f>
        <v>5419.12</v>
      </c>
      <c r="F45" s="124">
        <f t="shared" si="37"/>
        <v>4909.1899999999996</v>
      </c>
      <c r="G45" s="124">
        <f t="shared" si="37"/>
        <v>0</v>
      </c>
      <c r="H45" s="102">
        <f t="shared" si="37"/>
        <v>0</v>
      </c>
      <c r="I45" s="102">
        <f t="shared" si="37"/>
        <v>0</v>
      </c>
      <c r="J45" s="102">
        <f t="shared" si="37"/>
        <v>0</v>
      </c>
      <c r="K45" s="102">
        <f t="shared" si="37"/>
        <v>0</v>
      </c>
      <c r="L45" s="102">
        <f t="shared" si="37"/>
        <v>0</v>
      </c>
      <c r="M45" s="104">
        <f t="shared" si="37"/>
        <v>0</v>
      </c>
      <c r="N45" s="125">
        <f t="shared" si="37"/>
        <v>0</v>
      </c>
      <c r="O45" s="124">
        <f t="shared" si="37"/>
        <v>0</v>
      </c>
      <c r="P45" s="124">
        <f t="shared" si="37"/>
        <v>0</v>
      </c>
      <c r="Q45" s="52"/>
      <c r="R45" s="53"/>
    </row>
    <row r="46" spans="2:18" x14ac:dyDescent="0.2">
      <c r="B46" s="112" t="s">
        <v>68</v>
      </c>
      <c r="C46" s="81">
        <f t="shared" si="10"/>
        <v>0</v>
      </c>
      <c r="D46" s="81">
        <v>0</v>
      </c>
      <c r="E46" s="124">
        <f t="shared" ref="E46:P46" si="38">SUM(E126,E195)</f>
        <v>0</v>
      </c>
      <c r="F46" s="124">
        <f t="shared" si="38"/>
        <v>0</v>
      </c>
      <c r="G46" s="123">
        <f t="shared" si="38"/>
        <v>0</v>
      </c>
      <c r="H46" s="123">
        <f t="shared" si="38"/>
        <v>0</v>
      </c>
      <c r="I46" s="123">
        <f t="shared" si="38"/>
        <v>0</v>
      </c>
      <c r="J46" s="123">
        <f t="shared" si="38"/>
        <v>0</v>
      </c>
      <c r="K46" s="123">
        <f t="shared" si="38"/>
        <v>0</v>
      </c>
      <c r="L46" s="123">
        <f t="shared" si="38"/>
        <v>0</v>
      </c>
      <c r="M46" s="125">
        <f t="shared" si="38"/>
        <v>0</v>
      </c>
      <c r="N46" s="125">
        <f t="shared" si="38"/>
        <v>0</v>
      </c>
      <c r="O46" s="123">
        <f t="shared" si="38"/>
        <v>0</v>
      </c>
      <c r="P46" s="102">
        <f t="shared" si="38"/>
        <v>0</v>
      </c>
      <c r="Q46" s="52"/>
      <c r="R46" s="53"/>
    </row>
    <row r="47" spans="2:18" x14ac:dyDescent="0.25">
      <c r="B47" s="112" t="s">
        <v>69</v>
      </c>
      <c r="C47" s="81">
        <f t="shared" si="10"/>
        <v>0</v>
      </c>
      <c r="D47" s="81">
        <v>311831.51</v>
      </c>
      <c r="E47" s="124">
        <f t="shared" ref="E47:P47" si="39">SUM(E127,E196)</f>
        <v>0</v>
      </c>
      <c r="F47" s="124">
        <f t="shared" si="39"/>
        <v>0</v>
      </c>
      <c r="G47" s="123">
        <f t="shared" si="39"/>
        <v>0</v>
      </c>
      <c r="H47" s="123">
        <f t="shared" si="39"/>
        <v>0</v>
      </c>
      <c r="I47" s="123">
        <f t="shared" si="39"/>
        <v>0</v>
      </c>
      <c r="J47" s="123">
        <f t="shared" si="39"/>
        <v>0</v>
      </c>
      <c r="K47" s="126">
        <f t="shared" si="39"/>
        <v>0</v>
      </c>
      <c r="L47" s="123">
        <f t="shared" si="39"/>
        <v>0</v>
      </c>
      <c r="M47" s="125">
        <f t="shared" si="39"/>
        <v>0</v>
      </c>
      <c r="N47" s="125">
        <f t="shared" si="39"/>
        <v>0</v>
      </c>
      <c r="O47" s="123">
        <f t="shared" si="39"/>
        <v>0</v>
      </c>
      <c r="P47" s="123">
        <f t="shared" si="39"/>
        <v>0</v>
      </c>
      <c r="Q47" s="52"/>
      <c r="R47" s="53"/>
    </row>
    <row r="48" spans="2:18" x14ac:dyDescent="0.2">
      <c r="B48" s="112" t="s">
        <v>70</v>
      </c>
      <c r="C48" s="81">
        <f t="shared" si="10"/>
        <v>0</v>
      </c>
      <c r="D48" s="81">
        <v>0</v>
      </c>
      <c r="E48" s="124">
        <f t="shared" ref="E48:P48" si="40">SUM(E128,E197)</f>
        <v>0</v>
      </c>
      <c r="F48" s="124">
        <f t="shared" si="40"/>
        <v>0</v>
      </c>
      <c r="G48" s="123">
        <f t="shared" si="40"/>
        <v>0</v>
      </c>
      <c r="H48" s="123">
        <f t="shared" si="40"/>
        <v>0</v>
      </c>
      <c r="I48" s="123">
        <f t="shared" si="40"/>
        <v>0</v>
      </c>
      <c r="J48" s="123">
        <f t="shared" si="40"/>
        <v>0</v>
      </c>
      <c r="K48" s="123">
        <f t="shared" si="40"/>
        <v>0</v>
      </c>
      <c r="L48" s="123">
        <f t="shared" si="40"/>
        <v>0</v>
      </c>
      <c r="M48" s="125">
        <f t="shared" si="40"/>
        <v>0</v>
      </c>
      <c r="N48" s="125">
        <f t="shared" si="40"/>
        <v>0</v>
      </c>
      <c r="O48" s="123">
        <f t="shared" si="40"/>
        <v>0</v>
      </c>
      <c r="P48" s="123">
        <f t="shared" si="40"/>
        <v>0</v>
      </c>
      <c r="Q48" s="52"/>
      <c r="R48" s="53"/>
    </row>
    <row r="49" spans="2:18" x14ac:dyDescent="0.2">
      <c r="B49" s="112" t="s">
        <v>71</v>
      </c>
      <c r="C49" s="81">
        <f t="shared" si="10"/>
        <v>22218.66</v>
      </c>
      <c r="D49" s="80">
        <v>9392.84</v>
      </c>
      <c r="E49" s="124">
        <f t="shared" ref="E49:P49" si="41">SUM(E129,E198)</f>
        <v>13287.28</v>
      </c>
      <c r="F49" s="124">
        <f t="shared" si="41"/>
        <v>8931.3799999999992</v>
      </c>
      <c r="G49" s="124">
        <f t="shared" si="41"/>
        <v>0</v>
      </c>
      <c r="H49" s="102">
        <f t="shared" si="41"/>
        <v>0</v>
      </c>
      <c r="I49" s="102">
        <f t="shared" si="41"/>
        <v>0</v>
      </c>
      <c r="J49" s="102">
        <f t="shared" si="41"/>
        <v>0</v>
      </c>
      <c r="K49" s="102">
        <f t="shared" si="41"/>
        <v>0</v>
      </c>
      <c r="L49" s="102">
        <f t="shared" si="41"/>
        <v>0</v>
      </c>
      <c r="M49" s="104">
        <f t="shared" si="41"/>
        <v>0</v>
      </c>
      <c r="N49" s="125">
        <f t="shared" si="41"/>
        <v>0</v>
      </c>
      <c r="O49" s="124">
        <f t="shared" si="41"/>
        <v>0</v>
      </c>
      <c r="P49" s="124">
        <f t="shared" si="41"/>
        <v>0</v>
      </c>
      <c r="Q49" s="52"/>
      <c r="R49" s="53"/>
    </row>
    <row r="50" spans="2:18" ht="16.149999999999999" customHeight="1" x14ac:dyDescent="0.2">
      <c r="B50" s="112" t="s">
        <v>72</v>
      </c>
      <c r="C50" s="81">
        <f t="shared" si="10"/>
        <v>0</v>
      </c>
      <c r="D50" s="81">
        <v>0</v>
      </c>
      <c r="E50" s="124">
        <f t="shared" ref="E50:P50" si="42">SUM(E130,E199)</f>
        <v>0</v>
      </c>
      <c r="F50" s="124">
        <f t="shared" si="42"/>
        <v>0</v>
      </c>
      <c r="G50" s="124">
        <f t="shared" si="42"/>
        <v>0</v>
      </c>
      <c r="H50" s="102">
        <f t="shared" si="42"/>
        <v>0</v>
      </c>
      <c r="I50" s="102">
        <f t="shared" si="42"/>
        <v>0</v>
      </c>
      <c r="J50" s="102">
        <f t="shared" si="42"/>
        <v>0</v>
      </c>
      <c r="K50" s="102">
        <f t="shared" si="42"/>
        <v>0</v>
      </c>
      <c r="L50" s="102">
        <f t="shared" si="42"/>
        <v>0</v>
      </c>
      <c r="M50" s="104">
        <f t="shared" si="42"/>
        <v>0</v>
      </c>
      <c r="N50" s="125">
        <f t="shared" si="42"/>
        <v>0</v>
      </c>
      <c r="O50" s="124">
        <f t="shared" si="42"/>
        <v>0</v>
      </c>
      <c r="P50" s="124">
        <f t="shared" si="42"/>
        <v>0</v>
      </c>
      <c r="Q50" s="52"/>
      <c r="R50" s="53"/>
    </row>
    <row r="51" spans="2:18" ht="19.149999999999999" hidden="1" customHeight="1" outlineLevel="1" x14ac:dyDescent="0.2">
      <c r="B51" s="112"/>
      <c r="C51" s="81"/>
      <c r="D51" s="81"/>
      <c r="E51" s="124"/>
      <c r="F51" s="124"/>
      <c r="G51" s="124"/>
      <c r="H51" s="102"/>
      <c r="I51" s="102"/>
      <c r="J51" s="102"/>
      <c r="K51" s="102"/>
      <c r="L51" s="102"/>
      <c r="M51" s="104"/>
      <c r="N51" s="125"/>
      <c r="O51" s="124"/>
      <c r="P51" s="124"/>
      <c r="Q51" s="45"/>
      <c r="R51" s="53"/>
    </row>
    <row r="52" spans="2:18" hidden="1" outlineLevel="1" x14ac:dyDescent="0.2">
      <c r="B52" s="106"/>
      <c r="C52" s="81"/>
      <c r="D52" s="81"/>
      <c r="E52" s="107"/>
      <c r="F52" s="107"/>
      <c r="G52" s="81"/>
      <c r="H52" s="81"/>
      <c r="I52" s="81"/>
      <c r="J52" s="81"/>
      <c r="K52" s="81"/>
      <c r="L52" s="81"/>
      <c r="M52" s="108"/>
      <c r="N52" s="108"/>
      <c r="O52" s="81"/>
      <c r="P52" s="81"/>
      <c r="R52" s="53"/>
    </row>
    <row r="53" spans="2:18" ht="16.5" hidden="1" outlineLevel="1" x14ac:dyDescent="0.2">
      <c r="B53" s="97" t="s">
        <v>18</v>
      </c>
      <c r="C53" s="109">
        <f t="shared" si="10"/>
        <v>0</v>
      </c>
      <c r="D53" s="109"/>
      <c r="E53" s="110">
        <f>SUM(E54:E67)</f>
        <v>0</v>
      </c>
      <c r="F53" s="110">
        <f t="shared" ref="F53:P53" si="43">SUM(F54:F67)</f>
        <v>0</v>
      </c>
      <c r="G53" s="109">
        <f>SUM(G54:G67)</f>
        <v>0</v>
      </c>
      <c r="H53" s="110">
        <f t="shared" si="43"/>
        <v>0</v>
      </c>
      <c r="I53" s="110">
        <f t="shared" si="43"/>
        <v>0</v>
      </c>
      <c r="J53" s="110">
        <f t="shared" si="43"/>
        <v>0</v>
      </c>
      <c r="K53" s="110">
        <f t="shared" si="43"/>
        <v>0</v>
      </c>
      <c r="L53" s="110">
        <f>SUM(L54:L67)</f>
        <v>0</v>
      </c>
      <c r="M53" s="111">
        <f t="shared" si="43"/>
        <v>0</v>
      </c>
      <c r="N53" s="111">
        <f t="shared" si="43"/>
        <v>0</v>
      </c>
      <c r="O53" s="110">
        <f t="shared" si="43"/>
        <v>0</v>
      </c>
      <c r="P53" s="110">
        <f t="shared" si="43"/>
        <v>0</v>
      </c>
      <c r="R53" s="51"/>
    </row>
    <row r="54" spans="2:18" hidden="1" outlineLevel="1" x14ac:dyDescent="0.2">
      <c r="B54" s="112" t="s">
        <v>58</v>
      </c>
      <c r="C54" s="81">
        <f t="shared" si="10"/>
        <v>0</v>
      </c>
      <c r="D54" s="80"/>
      <c r="E54" s="124">
        <f t="shared" ref="E54:P54" si="44">SUM(E134,E203)</f>
        <v>0</v>
      </c>
      <c r="F54" s="124">
        <f t="shared" si="44"/>
        <v>0</v>
      </c>
      <c r="G54" s="124">
        <f t="shared" si="44"/>
        <v>0</v>
      </c>
      <c r="H54" s="102">
        <f t="shared" si="44"/>
        <v>0</v>
      </c>
      <c r="I54" s="102">
        <f t="shared" si="44"/>
        <v>0</v>
      </c>
      <c r="J54" s="102">
        <f t="shared" si="44"/>
        <v>0</v>
      </c>
      <c r="K54" s="102">
        <f t="shared" si="44"/>
        <v>0</v>
      </c>
      <c r="L54" s="102">
        <f t="shared" si="44"/>
        <v>0</v>
      </c>
      <c r="M54" s="104">
        <f t="shared" si="44"/>
        <v>0</v>
      </c>
      <c r="N54" s="125">
        <f t="shared" si="44"/>
        <v>0</v>
      </c>
      <c r="O54" s="124">
        <f t="shared" si="44"/>
        <v>0</v>
      </c>
      <c r="P54" s="124">
        <f t="shared" si="44"/>
        <v>0</v>
      </c>
      <c r="Q54" s="52"/>
      <c r="R54" s="53"/>
    </row>
    <row r="55" spans="2:18" hidden="1" outlineLevel="1" x14ac:dyDescent="0.2">
      <c r="B55" s="112" t="s">
        <v>73</v>
      </c>
      <c r="C55" s="81">
        <f t="shared" si="10"/>
        <v>0</v>
      </c>
      <c r="D55" s="80"/>
      <c r="E55" s="124">
        <f t="shared" ref="E55:P55" si="45">SUM(E135,E204)</f>
        <v>0</v>
      </c>
      <c r="F55" s="124">
        <f t="shared" si="45"/>
        <v>0</v>
      </c>
      <c r="G55" s="124">
        <f t="shared" si="45"/>
        <v>0</v>
      </c>
      <c r="H55" s="102">
        <f t="shared" si="45"/>
        <v>0</v>
      </c>
      <c r="I55" s="102">
        <f t="shared" si="45"/>
        <v>0</v>
      </c>
      <c r="J55" s="102">
        <f t="shared" si="45"/>
        <v>0</v>
      </c>
      <c r="K55" s="102">
        <f t="shared" si="45"/>
        <v>0</v>
      </c>
      <c r="L55" s="102">
        <f t="shared" si="45"/>
        <v>0</v>
      </c>
      <c r="M55" s="104">
        <f t="shared" si="45"/>
        <v>0</v>
      </c>
      <c r="N55" s="125">
        <f t="shared" si="45"/>
        <v>0</v>
      </c>
      <c r="O55" s="124">
        <f t="shared" si="45"/>
        <v>0</v>
      </c>
      <c r="P55" s="124">
        <f t="shared" si="45"/>
        <v>0</v>
      </c>
      <c r="Q55" s="55"/>
      <c r="R55" s="53"/>
    </row>
    <row r="56" spans="2:18" hidden="1" outlineLevel="1" x14ac:dyDescent="0.2">
      <c r="B56" s="112" t="s">
        <v>60</v>
      </c>
      <c r="C56" s="81">
        <f t="shared" ref="C56:C63" si="46">SUM(E56:P56)</f>
        <v>0</v>
      </c>
      <c r="D56" s="80"/>
      <c r="E56" s="124">
        <f t="shared" ref="E56:P56" si="47">SUM(E136,E205)</f>
        <v>0</v>
      </c>
      <c r="F56" s="124">
        <f t="shared" si="47"/>
        <v>0</v>
      </c>
      <c r="G56" s="124">
        <f t="shared" si="47"/>
        <v>0</v>
      </c>
      <c r="H56" s="102">
        <f t="shared" si="47"/>
        <v>0</v>
      </c>
      <c r="I56" s="102">
        <f t="shared" si="47"/>
        <v>0</v>
      </c>
      <c r="J56" s="102">
        <f t="shared" si="47"/>
        <v>0</v>
      </c>
      <c r="K56" s="102">
        <f t="shared" si="47"/>
        <v>0</v>
      </c>
      <c r="L56" s="102">
        <f t="shared" si="47"/>
        <v>0</v>
      </c>
      <c r="M56" s="104">
        <f t="shared" si="47"/>
        <v>0</v>
      </c>
      <c r="N56" s="125">
        <f t="shared" si="47"/>
        <v>0</v>
      </c>
      <c r="O56" s="124">
        <f t="shared" si="47"/>
        <v>0</v>
      </c>
      <c r="P56" s="124">
        <f t="shared" si="47"/>
        <v>0</v>
      </c>
      <c r="Q56" s="55"/>
      <c r="R56" s="53"/>
    </row>
    <row r="57" spans="2:18" hidden="1" outlineLevel="1" x14ac:dyDescent="0.2">
      <c r="B57" s="112" t="s">
        <v>61</v>
      </c>
      <c r="C57" s="81">
        <f t="shared" si="46"/>
        <v>0</v>
      </c>
      <c r="D57" s="80"/>
      <c r="E57" s="124">
        <f t="shared" ref="E57:P57" si="48">SUM(E137,E206)</f>
        <v>0</v>
      </c>
      <c r="F57" s="124">
        <f t="shared" si="48"/>
        <v>0</v>
      </c>
      <c r="G57" s="124">
        <f t="shared" si="48"/>
        <v>0</v>
      </c>
      <c r="H57" s="102">
        <f t="shared" si="48"/>
        <v>0</v>
      </c>
      <c r="I57" s="102">
        <f t="shared" si="48"/>
        <v>0</v>
      </c>
      <c r="J57" s="102">
        <f t="shared" si="48"/>
        <v>0</v>
      </c>
      <c r="K57" s="102">
        <f t="shared" si="48"/>
        <v>0</v>
      </c>
      <c r="L57" s="102">
        <f t="shared" si="48"/>
        <v>0</v>
      </c>
      <c r="M57" s="104">
        <f t="shared" si="48"/>
        <v>0</v>
      </c>
      <c r="N57" s="125">
        <f t="shared" si="48"/>
        <v>0</v>
      </c>
      <c r="O57" s="124">
        <f t="shared" si="48"/>
        <v>0</v>
      </c>
      <c r="P57" s="124">
        <f t="shared" si="48"/>
        <v>0</v>
      </c>
      <c r="Q57" s="55"/>
      <c r="R57" s="53"/>
    </row>
    <row r="58" spans="2:18" hidden="1" outlineLevel="1" x14ac:dyDescent="0.2">
      <c r="B58" s="112" t="s">
        <v>62</v>
      </c>
      <c r="C58" s="81">
        <f t="shared" si="46"/>
        <v>0</v>
      </c>
      <c r="D58" s="80"/>
      <c r="E58" s="124">
        <f t="shared" ref="E58:P58" si="49">SUM(E138,E207)</f>
        <v>0</v>
      </c>
      <c r="F58" s="124">
        <f t="shared" si="49"/>
        <v>0</v>
      </c>
      <c r="G58" s="124">
        <f t="shared" si="49"/>
        <v>0</v>
      </c>
      <c r="H58" s="102">
        <f t="shared" si="49"/>
        <v>0</v>
      </c>
      <c r="I58" s="102">
        <f t="shared" si="49"/>
        <v>0</v>
      </c>
      <c r="J58" s="102">
        <f t="shared" si="49"/>
        <v>0</v>
      </c>
      <c r="K58" s="102">
        <f t="shared" si="49"/>
        <v>0</v>
      </c>
      <c r="L58" s="102">
        <f t="shared" si="49"/>
        <v>0</v>
      </c>
      <c r="M58" s="104">
        <f t="shared" si="49"/>
        <v>0</v>
      </c>
      <c r="N58" s="125">
        <f t="shared" si="49"/>
        <v>0</v>
      </c>
      <c r="O58" s="124">
        <f t="shared" si="49"/>
        <v>0</v>
      </c>
      <c r="P58" s="124">
        <f t="shared" si="49"/>
        <v>0</v>
      </c>
      <c r="Q58" s="55"/>
      <c r="R58" s="53"/>
    </row>
    <row r="59" spans="2:18" hidden="1" outlineLevel="1" x14ac:dyDescent="0.2">
      <c r="B59" s="112" t="s">
        <v>63</v>
      </c>
      <c r="C59" s="81">
        <f t="shared" si="46"/>
        <v>0</v>
      </c>
      <c r="D59" s="81"/>
      <c r="E59" s="124">
        <f t="shared" ref="E59:P59" si="50">SUM(E139,E208)</f>
        <v>0</v>
      </c>
      <c r="F59" s="124">
        <f t="shared" si="50"/>
        <v>0</v>
      </c>
      <c r="G59" s="124">
        <f t="shared" si="50"/>
        <v>0</v>
      </c>
      <c r="H59" s="102">
        <f t="shared" si="50"/>
        <v>0</v>
      </c>
      <c r="I59" s="102">
        <f t="shared" si="50"/>
        <v>0</v>
      </c>
      <c r="J59" s="102">
        <f t="shared" si="50"/>
        <v>0</v>
      </c>
      <c r="K59" s="102">
        <f t="shared" si="50"/>
        <v>0</v>
      </c>
      <c r="L59" s="102">
        <f t="shared" si="50"/>
        <v>0</v>
      </c>
      <c r="M59" s="104">
        <f t="shared" si="50"/>
        <v>0</v>
      </c>
      <c r="N59" s="125">
        <f t="shared" si="50"/>
        <v>0</v>
      </c>
      <c r="O59" s="124">
        <f t="shared" si="50"/>
        <v>0</v>
      </c>
      <c r="P59" s="124">
        <f t="shared" si="50"/>
        <v>0</v>
      </c>
      <c r="Q59" s="54"/>
      <c r="R59" s="53"/>
    </row>
    <row r="60" spans="2:18" hidden="1" outlineLevel="1" x14ac:dyDescent="0.2">
      <c r="B60" s="112" t="s">
        <v>64</v>
      </c>
      <c r="C60" s="81">
        <f t="shared" si="46"/>
        <v>0</v>
      </c>
      <c r="D60" s="81"/>
      <c r="E60" s="124">
        <f t="shared" ref="E60:P60" si="51">SUM(E140,E209)</f>
        <v>0</v>
      </c>
      <c r="F60" s="124">
        <f t="shared" si="51"/>
        <v>0</v>
      </c>
      <c r="G60" s="124">
        <f t="shared" si="51"/>
        <v>0</v>
      </c>
      <c r="H60" s="102">
        <f t="shared" si="51"/>
        <v>0</v>
      </c>
      <c r="I60" s="102">
        <f t="shared" si="51"/>
        <v>0</v>
      </c>
      <c r="J60" s="102">
        <f t="shared" si="51"/>
        <v>0</v>
      </c>
      <c r="K60" s="102">
        <f t="shared" si="51"/>
        <v>0</v>
      </c>
      <c r="L60" s="102">
        <f t="shared" si="51"/>
        <v>0</v>
      </c>
      <c r="M60" s="104">
        <f t="shared" si="51"/>
        <v>0</v>
      </c>
      <c r="N60" s="125">
        <f t="shared" si="51"/>
        <v>0</v>
      </c>
      <c r="O60" s="124">
        <f t="shared" si="51"/>
        <v>0</v>
      </c>
      <c r="P60" s="124">
        <f t="shared" si="51"/>
        <v>0</v>
      </c>
      <c r="Q60" s="54"/>
      <c r="R60" s="53"/>
    </row>
    <row r="61" spans="2:18" hidden="1" outlineLevel="1" x14ac:dyDescent="0.2">
      <c r="B61" s="112" t="s">
        <v>65</v>
      </c>
      <c r="C61" s="81">
        <f t="shared" si="46"/>
        <v>0</v>
      </c>
      <c r="D61" s="80"/>
      <c r="E61" s="124">
        <f t="shared" ref="E61:P61" si="52">SUM(E141,E210)</f>
        <v>0</v>
      </c>
      <c r="F61" s="124">
        <f t="shared" si="52"/>
        <v>0</v>
      </c>
      <c r="G61" s="124">
        <f t="shared" si="52"/>
        <v>0</v>
      </c>
      <c r="H61" s="102">
        <f t="shared" si="52"/>
        <v>0</v>
      </c>
      <c r="I61" s="102">
        <f t="shared" si="52"/>
        <v>0</v>
      </c>
      <c r="J61" s="102">
        <f t="shared" si="52"/>
        <v>0</v>
      </c>
      <c r="K61" s="102">
        <f t="shared" si="52"/>
        <v>0</v>
      </c>
      <c r="L61" s="102">
        <f t="shared" si="52"/>
        <v>0</v>
      </c>
      <c r="M61" s="104">
        <f t="shared" si="52"/>
        <v>0</v>
      </c>
      <c r="N61" s="125">
        <f t="shared" si="52"/>
        <v>0</v>
      </c>
      <c r="O61" s="124">
        <f t="shared" si="52"/>
        <v>0</v>
      </c>
      <c r="P61" s="124">
        <f t="shared" si="52"/>
        <v>0</v>
      </c>
      <c r="Q61" s="55"/>
      <c r="R61" s="53"/>
    </row>
    <row r="62" spans="2:18" hidden="1" outlineLevel="1" x14ac:dyDescent="0.2">
      <c r="B62" s="112" t="s">
        <v>66</v>
      </c>
      <c r="C62" s="81">
        <f t="shared" si="46"/>
        <v>0</v>
      </c>
      <c r="D62" s="80"/>
      <c r="E62" s="124">
        <f t="shared" ref="E62:P62" si="53">SUM(E142,E211)</f>
        <v>0</v>
      </c>
      <c r="F62" s="124">
        <f t="shared" si="53"/>
        <v>0</v>
      </c>
      <c r="G62" s="124">
        <f t="shared" si="53"/>
        <v>0</v>
      </c>
      <c r="H62" s="102">
        <f t="shared" si="53"/>
        <v>0</v>
      </c>
      <c r="I62" s="102">
        <f t="shared" si="53"/>
        <v>0</v>
      </c>
      <c r="J62" s="102">
        <f t="shared" si="53"/>
        <v>0</v>
      </c>
      <c r="K62" s="102">
        <f t="shared" si="53"/>
        <v>0</v>
      </c>
      <c r="L62" s="102">
        <f t="shared" si="53"/>
        <v>0</v>
      </c>
      <c r="M62" s="104">
        <f t="shared" si="53"/>
        <v>0</v>
      </c>
      <c r="N62" s="125">
        <f t="shared" si="53"/>
        <v>0</v>
      </c>
      <c r="O62" s="124">
        <f t="shared" si="53"/>
        <v>0</v>
      </c>
      <c r="P62" s="124">
        <f t="shared" si="53"/>
        <v>0</v>
      </c>
      <c r="Q62" s="55"/>
      <c r="R62" s="53"/>
    </row>
    <row r="63" spans="2:18" hidden="1" outlineLevel="1" x14ac:dyDescent="0.2">
      <c r="B63" s="112" t="s">
        <v>67</v>
      </c>
      <c r="C63" s="81">
        <f t="shared" si="46"/>
        <v>0</v>
      </c>
      <c r="D63" s="80"/>
      <c r="E63" s="124">
        <f t="shared" ref="E63:P63" si="54">SUM(E143,E212)</f>
        <v>0</v>
      </c>
      <c r="F63" s="124">
        <f t="shared" si="54"/>
        <v>0</v>
      </c>
      <c r="G63" s="124">
        <f t="shared" si="54"/>
        <v>0</v>
      </c>
      <c r="H63" s="102">
        <f t="shared" si="54"/>
        <v>0</v>
      </c>
      <c r="I63" s="102">
        <f t="shared" si="54"/>
        <v>0</v>
      </c>
      <c r="J63" s="102">
        <f t="shared" si="54"/>
        <v>0</v>
      </c>
      <c r="K63" s="102">
        <f t="shared" si="54"/>
        <v>0</v>
      </c>
      <c r="L63" s="102">
        <f t="shared" si="54"/>
        <v>0</v>
      </c>
      <c r="M63" s="104">
        <f t="shared" si="54"/>
        <v>0</v>
      </c>
      <c r="N63" s="125">
        <f t="shared" si="54"/>
        <v>0</v>
      </c>
      <c r="O63" s="124">
        <f t="shared" si="54"/>
        <v>0</v>
      </c>
      <c r="P63" s="124">
        <f t="shared" si="54"/>
        <v>0</v>
      </c>
      <c r="Q63" s="55"/>
      <c r="R63" s="53"/>
    </row>
    <row r="64" spans="2:18" hidden="1" outlineLevel="1" x14ac:dyDescent="0.2">
      <c r="B64" s="112" t="s">
        <v>68</v>
      </c>
      <c r="C64" s="81">
        <f t="shared" si="10"/>
        <v>0</v>
      </c>
      <c r="D64" s="80"/>
      <c r="E64" s="124">
        <f t="shared" ref="E64:P64" si="55">SUM(E144,E213)</f>
        <v>0</v>
      </c>
      <c r="F64" s="124">
        <f t="shared" si="55"/>
        <v>0</v>
      </c>
      <c r="G64" s="124">
        <f t="shared" si="55"/>
        <v>0</v>
      </c>
      <c r="H64" s="102">
        <f t="shared" si="55"/>
        <v>0</v>
      </c>
      <c r="I64" s="102">
        <f t="shared" si="55"/>
        <v>0</v>
      </c>
      <c r="J64" s="102">
        <f t="shared" si="55"/>
        <v>0</v>
      </c>
      <c r="K64" s="102">
        <f t="shared" si="55"/>
        <v>0</v>
      </c>
      <c r="L64" s="102">
        <f t="shared" si="55"/>
        <v>0</v>
      </c>
      <c r="M64" s="104">
        <f t="shared" si="55"/>
        <v>0</v>
      </c>
      <c r="N64" s="125">
        <f t="shared" si="55"/>
        <v>0</v>
      </c>
      <c r="O64" s="124">
        <f t="shared" si="55"/>
        <v>0</v>
      </c>
      <c r="P64" s="124">
        <f t="shared" si="55"/>
        <v>0</v>
      </c>
      <c r="Q64" s="55"/>
      <c r="R64" s="53"/>
    </row>
    <row r="65" spans="2:26" hidden="1" outlineLevel="1" x14ac:dyDescent="0.2">
      <c r="B65" s="112" t="s">
        <v>69</v>
      </c>
      <c r="C65" s="81">
        <f t="shared" si="10"/>
        <v>0</v>
      </c>
      <c r="D65" s="81"/>
      <c r="E65" s="124">
        <f t="shared" ref="E65:P65" si="56">SUM(E145,E214)</f>
        <v>0</v>
      </c>
      <c r="F65" s="124">
        <f t="shared" si="56"/>
        <v>0</v>
      </c>
      <c r="G65" s="124">
        <f t="shared" si="56"/>
        <v>0</v>
      </c>
      <c r="H65" s="102">
        <f t="shared" si="56"/>
        <v>0</v>
      </c>
      <c r="I65" s="102">
        <f t="shared" si="56"/>
        <v>0</v>
      </c>
      <c r="J65" s="102">
        <f t="shared" si="56"/>
        <v>0</v>
      </c>
      <c r="K65" s="102">
        <f t="shared" si="56"/>
        <v>0</v>
      </c>
      <c r="L65" s="102">
        <f t="shared" si="56"/>
        <v>0</v>
      </c>
      <c r="M65" s="104">
        <f t="shared" si="56"/>
        <v>0</v>
      </c>
      <c r="N65" s="125">
        <f t="shared" si="56"/>
        <v>0</v>
      </c>
      <c r="O65" s="124">
        <f t="shared" si="56"/>
        <v>0</v>
      </c>
      <c r="P65" s="124">
        <f t="shared" si="56"/>
        <v>0</v>
      </c>
      <c r="Q65" s="54"/>
      <c r="R65" s="53"/>
    </row>
    <row r="66" spans="2:26" hidden="1" outlineLevel="1" x14ac:dyDescent="0.2">
      <c r="B66" s="112" t="s">
        <v>70</v>
      </c>
      <c r="C66" s="81">
        <f t="shared" si="10"/>
        <v>0</v>
      </c>
      <c r="D66" s="81"/>
      <c r="E66" s="124">
        <f t="shared" ref="E66:P66" si="57">SUM(E146,E215)</f>
        <v>0</v>
      </c>
      <c r="F66" s="124">
        <f t="shared" si="57"/>
        <v>0</v>
      </c>
      <c r="G66" s="124">
        <f t="shared" si="57"/>
        <v>0</v>
      </c>
      <c r="H66" s="102">
        <f t="shared" si="57"/>
        <v>0</v>
      </c>
      <c r="I66" s="102">
        <f t="shared" si="57"/>
        <v>0</v>
      </c>
      <c r="J66" s="102">
        <f t="shared" si="57"/>
        <v>0</v>
      </c>
      <c r="K66" s="102">
        <f t="shared" si="57"/>
        <v>0</v>
      </c>
      <c r="L66" s="102">
        <f t="shared" si="57"/>
        <v>0</v>
      </c>
      <c r="M66" s="104">
        <f t="shared" si="57"/>
        <v>0</v>
      </c>
      <c r="N66" s="125">
        <f t="shared" si="57"/>
        <v>0</v>
      </c>
      <c r="O66" s="124">
        <f t="shared" si="57"/>
        <v>0</v>
      </c>
      <c r="P66" s="124">
        <f t="shared" si="57"/>
        <v>0</v>
      </c>
      <c r="Q66" s="54"/>
      <c r="R66" s="53"/>
    </row>
    <row r="67" spans="2:26" hidden="1" outlineLevel="1" x14ac:dyDescent="0.2">
      <c r="B67" s="112" t="s">
        <v>71</v>
      </c>
      <c r="C67" s="81">
        <f t="shared" si="10"/>
        <v>0</v>
      </c>
      <c r="D67" s="80"/>
      <c r="E67" s="124">
        <f t="shared" ref="E67:P67" si="58">SUM(E147,E216)</f>
        <v>0</v>
      </c>
      <c r="F67" s="124">
        <f t="shared" si="58"/>
        <v>0</v>
      </c>
      <c r="G67" s="124">
        <f t="shared" si="58"/>
        <v>0</v>
      </c>
      <c r="H67" s="102">
        <f t="shared" si="58"/>
        <v>0</v>
      </c>
      <c r="I67" s="102">
        <f t="shared" si="58"/>
        <v>0</v>
      </c>
      <c r="J67" s="102">
        <f t="shared" si="58"/>
        <v>0</v>
      </c>
      <c r="K67" s="102">
        <f t="shared" si="58"/>
        <v>0</v>
      </c>
      <c r="L67" s="102">
        <f t="shared" si="58"/>
        <v>0</v>
      </c>
      <c r="M67" s="104">
        <f t="shared" si="58"/>
        <v>0</v>
      </c>
      <c r="N67" s="125">
        <f t="shared" si="58"/>
        <v>0</v>
      </c>
      <c r="O67" s="124">
        <f t="shared" si="58"/>
        <v>0</v>
      </c>
      <c r="P67" s="124">
        <f t="shared" si="58"/>
        <v>0</v>
      </c>
    </row>
    <row r="68" spans="2:26" s="40" customFormat="1" ht="18.600000000000001" customHeight="1" collapsed="1" x14ac:dyDescent="0.2">
      <c r="B68" s="94" t="s">
        <v>74</v>
      </c>
      <c r="C68" s="92">
        <f t="shared" si="10"/>
        <v>695825.69000000088</v>
      </c>
      <c r="D68" s="92">
        <f t="shared" ref="D68" si="59">+D16-D18</f>
        <v>-606147.75311108923</v>
      </c>
      <c r="E68" s="92">
        <f t="shared" ref="E68:P68" si="60">+E16-E18</f>
        <v>68249.239999996498</v>
      </c>
      <c r="F68" s="92">
        <f t="shared" si="60"/>
        <v>627576.45000000438</v>
      </c>
      <c r="G68" s="92">
        <f t="shared" si="60"/>
        <v>0</v>
      </c>
      <c r="H68" s="92">
        <f t="shared" si="60"/>
        <v>0</v>
      </c>
      <c r="I68" s="92">
        <f t="shared" si="60"/>
        <v>0</v>
      </c>
      <c r="J68" s="92">
        <f t="shared" si="60"/>
        <v>0</v>
      </c>
      <c r="K68" s="92">
        <f t="shared" si="60"/>
        <v>0</v>
      </c>
      <c r="L68" s="92">
        <f t="shared" si="60"/>
        <v>0</v>
      </c>
      <c r="M68" s="92">
        <f t="shared" si="60"/>
        <v>0</v>
      </c>
      <c r="N68" s="92">
        <f t="shared" si="60"/>
        <v>0</v>
      </c>
      <c r="O68" s="92">
        <f t="shared" si="60"/>
        <v>0</v>
      </c>
      <c r="P68" s="92">
        <f t="shared" si="60"/>
        <v>0</v>
      </c>
      <c r="Q68" s="519"/>
    </row>
    <row r="69" spans="2:26" s="56" customFormat="1" x14ac:dyDescent="0.2">
      <c r="B69" s="113" t="s">
        <v>21</v>
      </c>
      <c r="C69" s="93">
        <f>+IFERROR(C68/C6,)</f>
        <v>2.5158793466346096E-2</v>
      </c>
      <c r="D69" s="93">
        <f>+IFERROR(D68/D6,)</f>
        <v>-6.1578269120376068E-2</v>
      </c>
      <c r="E69" s="93">
        <f t="shared" ref="E69:P69" si="61">+IFERROR(E68/E6,)</f>
        <v>5.4590745393670601E-3</v>
      </c>
      <c r="F69" s="93">
        <f t="shared" si="61"/>
        <v>4.1413174811178136E-2</v>
      </c>
      <c r="G69" s="93">
        <f t="shared" si="61"/>
        <v>0</v>
      </c>
      <c r="H69" s="93">
        <f t="shared" si="61"/>
        <v>0</v>
      </c>
      <c r="I69" s="93">
        <f t="shared" si="61"/>
        <v>0</v>
      </c>
      <c r="J69" s="93">
        <f t="shared" si="61"/>
        <v>0</v>
      </c>
      <c r="K69" s="93">
        <f t="shared" si="61"/>
        <v>0</v>
      </c>
      <c r="L69" s="93">
        <f t="shared" si="61"/>
        <v>0</v>
      </c>
      <c r="M69" s="93">
        <f t="shared" si="61"/>
        <v>0</v>
      </c>
      <c r="N69" s="93">
        <f t="shared" si="61"/>
        <v>0</v>
      </c>
      <c r="O69" s="93">
        <f t="shared" si="61"/>
        <v>0</v>
      </c>
      <c r="P69" s="93">
        <f t="shared" si="61"/>
        <v>0</v>
      </c>
      <c r="Q69" s="40"/>
    </row>
    <row r="70" spans="2:26" s="40" customFormat="1" ht="18.600000000000001" hidden="1" customHeight="1" x14ac:dyDescent="0.2">
      <c r="B70" s="57" t="s">
        <v>90</v>
      </c>
      <c r="C70" s="58"/>
      <c r="D70" s="58"/>
      <c r="E70" s="32"/>
      <c r="G70" s="58"/>
      <c r="H70" s="58"/>
      <c r="I70" s="58"/>
      <c r="J70" s="58"/>
      <c r="K70" s="58"/>
      <c r="L70" s="58"/>
      <c r="M70" s="58"/>
      <c r="N70" s="58"/>
      <c r="O70" s="58"/>
      <c r="P70" s="58"/>
    </row>
    <row r="71" spans="2:26" s="40" customFormat="1" ht="19.899999999999999" hidden="1" customHeight="1" x14ac:dyDescent="0.2">
      <c r="B71" s="57" t="s">
        <v>91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</row>
    <row r="72" spans="2:26" s="40" customFormat="1" ht="20.45" hidden="1" customHeight="1" x14ac:dyDescent="0.2">
      <c r="B72" s="57" t="s">
        <v>92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spans="2:26" s="40" customFormat="1" ht="20.45" hidden="1" customHeight="1" x14ac:dyDescent="0.2">
      <c r="B73" s="57" t="s">
        <v>93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9"/>
    </row>
    <row r="74" spans="2:26" s="59" customFormat="1" hidden="1" x14ac:dyDescent="0.2">
      <c r="B74" s="60" t="s">
        <v>94</v>
      </c>
      <c r="C74" s="61"/>
      <c r="D74" s="61"/>
      <c r="E74" s="62"/>
      <c r="F74" s="62"/>
      <c r="G74" s="62"/>
      <c r="H74" s="62"/>
      <c r="I74" s="61"/>
      <c r="J74" s="61"/>
      <c r="K74" s="61"/>
      <c r="L74" s="61"/>
      <c r="M74" s="61"/>
      <c r="N74" s="61"/>
      <c r="O74" s="61"/>
      <c r="P74" s="61"/>
      <c r="Q74" s="32"/>
    </row>
    <row r="75" spans="2:26" x14ac:dyDescent="0.2">
      <c r="E75" s="15">
        <f>E68-SUM(E148,E217)</f>
        <v>1.1641532182693481E-10</v>
      </c>
      <c r="F75" s="15">
        <f t="shared" ref="F75:H75" si="62">F68-SUM(F148,F217)</f>
        <v>9.3132257461547852E-10</v>
      </c>
      <c r="G75" s="15">
        <f t="shared" si="62"/>
        <v>0</v>
      </c>
      <c r="H75" s="15">
        <f t="shared" si="62"/>
        <v>0</v>
      </c>
      <c r="I75" s="459">
        <f>I148+I217-I68</f>
        <v>0</v>
      </c>
      <c r="J75" s="459">
        <f t="shared" ref="J75:O75" si="63">J148+J217-J68</f>
        <v>0</v>
      </c>
      <c r="K75" s="459">
        <f t="shared" si="63"/>
        <v>0</v>
      </c>
      <c r="L75" s="15" t="b">
        <f t="shared" ref="L75:N75" si="64">L148+L217=L68</f>
        <v>1</v>
      </c>
      <c r="M75" s="459">
        <f t="shared" si="63"/>
        <v>0</v>
      </c>
      <c r="N75" s="15" t="b">
        <f t="shared" si="64"/>
        <v>1</v>
      </c>
      <c r="O75" s="459">
        <f t="shared" si="63"/>
        <v>0</v>
      </c>
      <c r="P75" s="518">
        <f>P148+P217-P68</f>
        <v>0</v>
      </c>
    </row>
    <row r="76" spans="2:26" x14ac:dyDescent="0.2">
      <c r="T76" s="478"/>
      <c r="U76" s="478"/>
      <c r="V76" s="478"/>
      <c r="W76" s="478"/>
      <c r="X76" s="478"/>
      <c r="Y76" s="478"/>
    </row>
    <row r="77" spans="2:26" ht="17.25" x14ac:dyDescent="0.2">
      <c r="B77" s="115" t="s">
        <v>126</v>
      </c>
      <c r="E77" s="15">
        <v>10329331.32</v>
      </c>
      <c r="F77" s="477">
        <v>12686221.550000001</v>
      </c>
      <c r="G77" s="44"/>
      <c r="N77" s="478"/>
      <c r="P77" s="15" t="s">
        <v>118</v>
      </c>
      <c r="U77" s="478"/>
      <c r="V77" s="478"/>
      <c r="W77" s="478"/>
      <c r="X77" s="478"/>
      <c r="Y77" s="478"/>
    </row>
    <row r="78" spans="2:26" x14ac:dyDescent="0.2">
      <c r="B78" s="94" t="s">
        <v>75</v>
      </c>
      <c r="C78" s="92" t="s">
        <v>76</v>
      </c>
      <c r="D78" s="92" t="s">
        <v>77</v>
      </c>
      <c r="E78" s="92" t="s">
        <v>78</v>
      </c>
      <c r="F78" s="92" t="s">
        <v>79</v>
      </c>
      <c r="G78" s="92" t="s">
        <v>80</v>
      </c>
      <c r="H78" s="92" t="s">
        <v>81</v>
      </c>
      <c r="I78" s="92" t="s">
        <v>82</v>
      </c>
      <c r="J78" s="92" t="s">
        <v>83</v>
      </c>
      <c r="K78" s="92" t="s">
        <v>84</v>
      </c>
      <c r="L78" s="92" t="s">
        <v>85</v>
      </c>
      <c r="M78" s="92" t="s">
        <v>86</v>
      </c>
      <c r="N78" s="92" t="s">
        <v>87</v>
      </c>
      <c r="O78" s="92" t="s">
        <v>88</v>
      </c>
      <c r="P78" s="92" t="s">
        <v>89</v>
      </c>
      <c r="T78" s="81">
        <f>SUM(T79:T94)</f>
        <v>12686221.550000001</v>
      </c>
      <c r="U78" s="478"/>
      <c r="V78" s="478" t="s">
        <v>458</v>
      </c>
      <c r="W78" s="478" t="s">
        <v>457</v>
      </c>
      <c r="X78" s="478"/>
      <c r="Y78" s="478"/>
      <c r="Z78" s="81">
        <f>SUM(Z86:Z94)</f>
        <v>12686221.550000003</v>
      </c>
    </row>
    <row r="79" spans="2:26" x14ac:dyDescent="0.2">
      <c r="B79" s="95" t="s">
        <v>11</v>
      </c>
      <c r="C79" s="78">
        <f>SUM(C80:C81)</f>
        <v>23015552.870000001</v>
      </c>
      <c r="D79" s="78">
        <v>7465258.3799999999</v>
      </c>
      <c r="E79" s="78">
        <f>SUM(E82:E88)</f>
        <v>10329331.319999997</v>
      </c>
      <c r="F79" s="78">
        <f t="shared" ref="F79:G79" si="65">SUM(F82:F88)</f>
        <v>12686221.550000003</v>
      </c>
      <c r="G79" s="78">
        <f t="shared" si="65"/>
        <v>0</v>
      </c>
      <c r="H79" s="78">
        <f t="shared" ref="H79:P79" si="66">SUM(H80:H81)</f>
        <v>0</v>
      </c>
      <c r="I79" s="78">
        <f t="shared" si="66"/>
        <v>0</v>
      </c>
      <c r="J79" s="78">
        <f t="shared" si="66"/>
        <v>0</v>
      </c>
      <c r="K79" s="78">
        <f t="shared" si="66"/>
        <v>0</v>
      </c>
      <c r="L79" s="78">
        <f t="shared" si="66"/>
        <v>0</v>
      </c>
      <c r="M79" s="78">
        <f t="shared" si="66"/>
        <v>0</v>
      </c>
      <c r="N79" s="78">
        <f t="shared" si="66"/>
        <v>0</v>
      </c>
      <c r="O79" s="78">
        <f t="shared" si="66"/>
        <v>0</v>
      </c>
      <c r="P79" s="78">
        <f t="shared" si="66"/>
        <v>0</v>
      </c>
      <c r="S79" s="478" t="s">
        <v>516</v>
      </c>
      <c r="T79" s="645">
        <v>33459.26</v>
      </c>
      <c r="U79" s="457" t="s">
        <v>449</v>
      </c>
      <c r="V79" s="477">
        <v>0</v>
      </c>
      <c r="W79" s="477">
        <v>7.15</v>
      </c>
    </row>
    <row r="80" spans="2:26" x14ac:dyDescent="0.2">
      <c r="B80" s="114" t="s">
        <v>115</v>
      </c>
      <c r="C80" s="81">
        <f>SUM(E80:P80)</f>
        <v>18611465</v>
      </c>
      <c r="D80" s="176">
        <v>5716753.0099999998</v>
      </c>
      <c r="E80" s="418">
        <v>8873528.4000000004</v>
      </c>
      <c r="F80" s="418">
        <v>9737936.5999999978</v>
      </c>
      <c r="G80" s="418"/>
      <c r="H80" s="81"/>
      <c r="I80" s="81"/>
      <c r="J80" s="81"/>
      <c r="K80" s="81"/>
      <c r="L80" s="81"/>
      <c r="M80" s="81"/>
      <c r="N80" s="81"/>
      <c r="O80" s="81"/>
      <c r="P80" s="176"/>
      <c r="S80" s="478" t="s">
        <v>528</v>
      </c>
      <c r="T80" s="645">
        <v>397410.65</v>
      </c>
      <c r="U80" s="457" t="s">
        <v>450</v>
      </c>
      <c r="V80" s="477">
        <v>2948284.95</v>
      </c>
      <c r="W80" s="510">
        <v>2363652.2999999998</v>
      </c>
    </row>
    <row r="81" spans="2:27" x14ac:dyDescent="0.2">
      <c r="B81" s="114" t="s">
        <v>116</v>
      </c>
      <c r="C81" s="81">
        <f>SUM(E81:P81)</f>
        <v>4404087.87</v>
      </c>
      <c r="D81" s="176">
        <v>1748505.37</v>
      </c>
      <c r="E81" s="418">
        <v>1455802.92</v>
      </c>
      <c r="F81" s="418">
        <v>2948284.95</v>
      </c>
      <c r="G81" s="418"/>
      <c r="H81" s="81"/>
      <c r="I81" s="81"/>
      <c r="J81" s="81"/>
      <c r="K81" s="81"/>
      <c r="L81" s="81"/>
      <c r="M81" s="81"/>
      <c r="N81" s="81"/>
      <c r="O81" s="81"/>
      <c r="P81" s="176"/>
      <c r="S81" s="478" t="s">
        <v>529</v>
      </c>
      <c r="T81" s="645">
        <v>146429.9</v>
      </c>
      <c r="U81" s="457" t="s">
        <v>451</v>
      </c>
      <c r="V81" s="477">
        <v>0</v>
      </c>
      <c r="W81" s="510">
        <v>1.85</v>
      </c>
    </row>
    <row r="82" spans="2:27" x14ac:dyDescent="0.2">
      <c r="B82" s="177" t="s">
        <v>99</v>
      </c>
      <c r="C82" s="81">
        <f>SUM(E82:P82)</f>
        <v>12149585.91</v>
      </c>
      <c r="D82" s="81">
        <v>3666210.81</v>
      </c>
      <c r="E82" s="81">
        <v>4928419.34</v>
      </c>
      <c r="F82" s="81">
        <v>7221166.5700000003</v>
      </c>
      <c r="G82" s="81"/>
      <c r="H82" s="81"/>
      <c r="I82" s="81"/>
      <c r="J82" s="81"/>
      <c r="K82" s="81"/>
      <c r="L82" s="81"/>
      <c r="M82" s="81"/>
      <c r="N82" s="81"/>
      <c r="O82" s="81"/>
      <c r="P82" s="81"/>
      <c r="S82" s="478" t="s">
        <v>520</v>
      </c>
      <c r="T82" s="647">
        <v>1302578.51</v>
      </c>
      <c r="U82" s="457" t="s">
        <v>452</v>
      </c>
      <c r="V82" s="477">
        <v>9686783.5700000003</v>
      </c>
      <c r="W82" s="510">
        <v>8634942.1799999997</v>
      </c>
    </row>
    <row r="83" spans="2:27" x14ac:dyDescent="0.2">
      <c r="B83" s="178" t="s">
        <v>100</v>
      </c>
      <c r="C83" s="81">
        <f>SUM(E83:P83)</f>
        <v>2339612.4500000002</v>
      </c>
      <c r="D83" s="81">
        <v>613806.52</v>
      </c>
      <c r="E83" s="81">
        <v>1037033.94</v>
      </c>
      <c r="F83" s="81">
        <v>1302578.51</v>
      </c>
      <c r="G83" s="81"/>
      <c r="H83" s="81"/>
      <c r="I83" s="81"/>
      <c r="J83" s="81"/>
      <c r="K83" s="81"/>
      <c r="L83" s="81"/>
      <c r="M83" s="81"/>
      <c r="N83" s="81"/>
      <c r="O83" s="81"/>
      <c r="P83" s="81"/>
      <c r="S83" s="478" t="s">
        <v>530</v>
      </c>
      <c r="T83" s="647">
        <v>525820.30000000005</v>
      </c>
      <c r="U83" s="457" t="s">
        <v>453</v>
      </c>
      <c r="V83" s="477">
        <v>51153.03</v>
      </c>
      <c r="W83" s="510">
        <v>0</v>
      </c>
    </row>
    <row r="84" spans="2:27" x14ac:dyDescent="0.2">
      <c r="B84" s="178" t="s">
        <v>101</v>
      </c>
      <c r="C84" s="81">
        <f t="shared" ref="C84:C89" si="67">SUM(E84:P84)</f>
        <v>2803475.8200000003</v>
      </c>
      <c r="D84" s="81">
        <v>1325035.8</v>
      </c>
      <c r="E84" s="81">
        <v>1124453.02</v>
      </c>
      <c r="F84" s="81">
        <v>1679022.8</v>
      </c>
      <c r="G84" s="81"/>
      <c r="H84" s="81"/>
      <c r="I84" s="81"/>
      <c r="J84" s="81"/>
      <c r="K84" s="81"/>
      <c r="L84" s="81"/>
      <c r="M84" s="81"/>
      <c r="N84" s="81"/>
      <c r="O84" s="81"/>
      <c r="P84" s="81"/>
      <c r="S84" s="478" t="s">
        <v>531</v>
      </c>
      <c r="T84" s="647">
        <v>927020.68</v>
      </c>
      <c r="U84" s="478"/>
      <c r="V84" s="477"/>
      <c r="W84" s="477"/>
      <c r="Y84" s="32" t="s">
        <v>561</v>
      </c>
      <c r="Z84" s="32">
        <f>+V85-V80</f>
        <v>9737936.6000000015</v>
      </c>
      <c r="AA84" s="32">
        <f>+W85-W80</f>
        <v>8634951.1799999997</v>
      </c>
    </row>
    <row r="85" spans="2:27" x14ac:dyDescent="0.2">
      <c r="B85" s="177" t="s">
        <v>102</v>
      </c>
      <c r="C85" s="81">
        <f t="shared" si="67"/>
        <v>3270952.4400000004</v>
      </c>
      <c r="D85" s="81">
        <v>839223.27</v>
      </c>
      <c r="E85" s="81">
        <v>1914487.4300000002</v>
      </c>
      <c r="F85" s="81">
        <v>1356465.0100000002</v>
      </c>
      <c r="G85" s="81"/>
      <c r="H85" s="81"/>
      <c r="I85" s="81"/>
      <c r="J85" s="81"/>
      <c r="K85" s="81"/>
      <c r="L85" s="81"/>
      <c r="M85" s="81"/>
      <c r="N85" s="81"/>
      <c r="O85" s="81"/>
      <c r="P85" s="81"/>
      <c r="S85" s="478" t="s">
        <v>532</v>
      </c>
      <c r="T85" s="647">
        <v>752002.12</v>
      </c>
      <c r="U85" s="478"/>
      <c r="V85" s="477">
        <v>12686221.550000001</v>
      </c>
      <c r="W85" s="477">
        <v>10998603.48</v>
      </c>
      <c r="Y85" s="32" t="s">
        <v>562</v>
      </c>
      <c r="Z85" s="32">
        <f>+V80</f>
        <v>2948284.95</v>
      </c>
      <c r="AA85" s="32">
        <f>+W80</f>
        <v>2363652.2999999998</v>
      </c>
    </row>
    <row r="86" spans="2:27" x14ac:dyDescent="0.2">
      <c r="B86" s="177" t="s">
        <v>105</v>
      </c>
      <c r="C86" s="81">
        <f t="shared" si="67"/>
        <v>1361510.31</v>
      </c>
      <c r="D86" s="81">
        <v>608551.76</v>
      </c>
      <c r="E86" s="81">
        <v>835690.01</v>
      </c>
      <c r="F86" s="81">
        <v>525820.30000000005</v>
      </c>
      <c r="G86" s="81"/>
      <c r="H86" s="81"/>
      <c r="I86" s="81"/>
      <c r="J86" s="81"/>
      <c r="K86" s="81"/>
      <c r="L86" s="81"/>
      <c r="M86" s="81"/>
      <c r="N86" s="81"/>
      <c r="O86" s="81"/>
      <c r="P86" s="81"/>
      <c r="S86" s="478" t="s">
        <v>521</v>
      </c>
      <c r="T86" s="647">
        <v>7221166.5700000003</v>
      </c>
      <c r="U86" s="478"/>
      <c r="W86" s="455"/>
      <c r="Y86" s="478" t="s">
        <v>99</v>
      </c>
      <c r="Z86" s="32">
        <f>+T86</f>
        <v>7221166.5700000003</v>
      </c>
    </row>
    <row r="87" spans="2:27" x14ac:dyDescent="0.2">
      <c r="B87" s="177" t="s">
        <v>489</v>
      </c>
      <c r="C87" s="81">
        <f t="shared" si="67"/>
        <v>144799.41999999998</v>
      </c>
      <c r="D87" s="81"/>
      <c r="E87" s="81">
        <v>120930.87</v>
      </c>
      <c r="F87" s="81">
        <v>23868.55</v>
      </c>
      <c r="G87" s="81"/>
      <c r="H87" s="81"/>
      <c r="I87" s="81"/>
      <c r="J87" s="81"/>
      <c r="K87" s="81"/>
      <c r="L87" s="81"/>
      <c r="M87" s="81"/>
      <c r="N87" s="81"/>
      <c r="O87" s="81"/>
      <c r="P87" s="81"/>
      <c r="S87" s="478" t="s">
        <v>533</v>
      </c>
      <c r="T87" s="647">
        <v>689718.66</v>
      </c>
      <c r="U87" s="478"/>
      <c r="Y87" s="478" t="s">
        <v>100</v>
      </c>
      <c r="Z87" s="32">
        <f>+T82</f>
        <v>1302578.51</v>
      </c>
    </row>
    <row r="88" spans="2:27" x14ac:dyDescent="0.2">
      <c r="B88" s="177" t="s">
        <v>104</v>
      </c>
      <c r="C88" s="81">
        <f t="shared" si="67"/>
        <v>945616.52</v>
      </c>
      <c r="D88" s="81">
        <v>412430.22</v>
      </c>
      <c r="E88" s="81">
        <v>368316.70999999996</v>
      </c>
      <c r="F88" s="81">
        <v>577299.81000000006</v>
      </c>
      <c r="G88" s="81"/>
      <c r="H88" s="81"/>
      <c r="I88" s="81"/>
      <c r="J88" s="81"/>
      <c r="K88" s="81"/>
      <c r="L88" s="81"/>
      <c r="M88" s="81"/>
      <c r="N88" s="81"/>
      <c r="O88" s="81"/>
      <c r="P88" s="81"/>
      <c r="S88" s="496" t="s">
        <v>534</v>
      </c>
      <c r="T88" s="648">
        <v>236178.06</v>
      </c>
      <c r="U88" s="478"/>
      <c r="V88" s="455">
        <f>+V85-T78</f>
        <v>0</v>
      </c>
      <c r="W88" s="455"/>
      <c r="X88" s="478"/>
      <c r="Y88" s="478" t="s">
        <v>101</v>
      </c>
      <c r="Z88" s="32">
        <f>+T84+T85</f>
        <v>1679022.8</v>
      </c>
    </row>
    <row r="89" spans="2:27" x14ac:dyDescent="0.2">
      <c r="B89" s="178" t="s">
        <v>456</v>
      </c>
      <c r="C89" s="81">
        <f t="shared" si="67"/>
        <v>1346.4872319999999</v>
      </c>
      <c r="D89" s="81">
        <v>476.23611399999999</v>
      </c>
      <c r="E89" s="81">
        <v>631.81666200000006</v>
      </c>
      <c r="F89" s="81">
        <v>714.67057</v>
      </c>
      <c r="G89" s="81"/>
      <c r="H89" s="81"/>
      <c r="I89" s="123"/>
      <c r="J89" s="81"/>
      <c r="K89" s="81"/>
      <c r="L89" s="81"/>
      <c r="M89" s="81"/>
      <c r="N89" s="81"/>
      <c r="O89" s="81"/>
      <c r="P89" s="81"/>
      <c r="S89" s="478" t="s">
        <v>535</v>
      </c>
      <c r="T89" s="647">
        <v>27012.54</v>
      </c>
      <c r="U89" s="478"/>
      <c r="V89" s="478"/>
      <c r="W89" s="478"/>
      <c r="X89" s="478"/>
      <c r="Y89" s="478" t="s">
        <v>102</v>
      </c>
      <c r="Z89" s="32">
        <f>+T87+T88+T89+T90+T91+T92</f>
        <v>1356465.0100000002</v>
      </c>
    </row>
    <row r="90" spans="2:27" x14ac:dyDescent="0.2">
      <c r="B90" s="67"/>
      <c r="C90" s="81"/>
      <c r="D90" s="81"/>
      <c r="E90" s="81">
        <v>9323899.9700000007</v>
      </c>
      <c r="F90" s="81">
        <v>10998601.950000001</v>
      </c>
      <c r="G90" s="81"/>
      <c r="H90" s="81"/>
      <c r="I90" s="461"/>
      <c r="J90" s="462"/>
      <c r="K90" s="475"/>
      <c r="L90" s="81"/>
      <c r="M90" s="81"/>
      <c r="N90" s="81"/>
      <c r="O90" s="81"/>
      <c r="P90" s="81"/>
      <c r="S90" s="478" t="s">
        <v>536</v>
      </c>
      <c r="T90" s="647">
        <v>234617.60000000001</v>
      </c>
      <c r="U90" s="478"/>
      <c r="V90" s="478"/>
      <c r="W90" s="478"/>
      <c r="X90" s="478"/>
      <c r="Y90" s="478" t="s">
        <v>105</v>
      </c>
      <c r="Z90" s="32">
        <f>+T83</f>
        <v>525820.30000000005</v>
      </c>
    </row>
    <row r="91" spans="2:27" x14ac:dyDescent="0.2">
      <c r="B91" s="95" t="s">
        <v>12</v>
      </c>
      <c r="C91" s="78">
        <f>SUM(C92:C95)</f>
        <v>20322500.039999999</v>
      </c>
      <c r="D91" s="78">
        <v>6804593.9199999999</v>
      </c>
      <c r="E91" s="78">
        <f>SUM(E92:E94)</f>
        <v>9323898.0899999999</v>
      </c>
      <c r="F91" s="78">
        <f t="shared" ref="F91:P91" si="68">SUM(F92:F94)</f>
        <v>10998601.949999999</v>
      </c>
      <c r="G91" s="78">
        <f t="shared" si="68"/>
        <v>0</v>
      </c>
      <c r="H91" s="78">
        <f>SUM(H92:H94)</f>
        <v>0</v>
      </c>
      <c r="I91" s="78">
        <f>SUM(I92:I94)</f>
        <v>0</v>
      </c>
      <c r="J91" s="78">
        <f t="shared" si="68"/>
        <v>0</v>
      </c>
      <c r="K91" s="476">
        <f t="shared" si="68"/>
        <v>0</v>
      </c>
      <c r="L91" s="480">
        <f t="shared" si="68"/>
        <v>0</v>
      </c>
      <c r="M91" s="78">
        <f t="shared" si="68"/>
        <v>0</v>
      </c>
      <c r="N91" s="78">
        <f t="shared" si="68"/>
        <v>0</v>
      </c>
      <c r="O91" s="78">
        <f t="shared" si="68"/>
        <v>0</v>
      </c>
      <c r="P91" s="78">
        <f t="shared" si="68"/>
        <v>0</v>
      </c>
      <c r="S91" s="478" t="s">
        <v>537</v>
      </c>
      <c r="T91" s="647">
        <v>3078.1</v>
      </c>
      <c r="U91" s="478"/>
      <c r="V91" s="478"/>
      <c r="W91" s="478"/>
      <c r="X91" s="478"/>
      <c r="Y91" s="478" t="s">
        <v>508</v>
      </c>
      <c r="Z91" s="32">
        <f>+T93</f>
        <v>23868.55</v>
      </c>
    </row>
    <row r="92" spans="2:27" x14ac:dyDescent="0.2">
      <c r="B92" s="114" t="s">
        <v>115</v>
      </c>
      <c r="C92" s="81">
        <f>SUM(E92:P92)</f>
        <v>16760210.610000001</v>
      </c>
      <c r="D92" s="81">
        <v>5300798.46</v>
      </c>
      <c r="E92" s="81">
        <v>8125260.9600000009</v>
      </c>
      <c r="F92" s="81">
        <v>8634949.6500000004</v>
      </c>
      <c r="G92" s="81"/>
      <c r="I92" s="81"/>
      <c r="J92" s="81"/>
      <c r="K92" s="507"/>
      <c r="L92" s="81"/>
      <c r="M92" s="81"/>
      <c r="N92" s="81"/>
      <c r="O92" s="81"/>
      <c r="P92" s="81"/>
      <c r="Q92" s="41"/>
      <c r="R92" s="41"/>
      <c r="S92" s="478" t="s">
        <v>538</v>
      </c>
      <c r="T92" s="647">
        <v>165860.04999999999</v>
      </c>
      <c r="U92" s="478"/>
      <c r="V92" s="478"/>
      <c r="W92" s="478"/>
      <c r="X92" s="478"/>
      <c r="Y92" s="478" t="s">
        <v>104</v>
      </c>
      <c r="Z92" s="32">
        <f>+T81+T80+T79</f>
        <v>577299.81000000006</v>
      </c>
    </row>
    <row r="93" spans="2:27" x14ac:dyDescent="0.2">
      <c r="B93" s="114" t="s">
        <v>116</v>
      </c>
      <c r="C93" s="81">
        <f>SUM(E93:P93)</f>
        <v>3562289.4299999997</v>
      </c>
      <c r="D93" s="81">
        <v>1503795.46</v>
      </c>
      <c r="E93" s="81">
        <v>1198637.1299999999</v>
      </c>
      <c r="F93" s="81">
        <v>2363652.2999999998</v>
      </c>
      <c r="G93" s="81"/>
      <c r="H93" s="81"/>
      <c r="I93" s="81"/>
      <c r="J93" s="81"/>
      <c r="K93" s="475"/>
      <c r="L93" s="81"/>
      <c r="M93" s="81"/>
      <c r="N93" s="81"/>
      <c r="O93" s="81"/>
      <c r="P93" s="81"/>
      <c r="Q93" s="41"/>
      <c r="R93" s="41"/>
      <c r="S93" s="478" t="s">
        <v>539</v>
      </c>
      <c r="T93" s="647">
        <v>23868.55</v>
      </c>
      <c r="U93" s="478"/>
      <c r="V93" s="478"/>
      <c r="W93" s="478"/>
      <c r="X93" s="478"/>
      <c r="Y93" s="478"/>
    </row>
    <row r="94" spans="2:27" x14ac:dyDescent="0.2">
      <c r="B94" s="114" t="s">
        <v>117</v>
      </c>
      <c r="C94" s="81">
        <f>SUM(E94:P94)</f>
        <v>0</v>
      </c>
      <c r="D94" s="81"/>
      <c r="E94" s="81"/>
      <c r="F94" s="81"/>
      <c r="G94" s="81"/>
      <c r="H94" s="81"/>
      <c r="I94" s="81"/>
      <c r="J94" s="81"/>
      <c r="K94" s="474"/>
      <c r="L94" s="81"/>
      <c r="M94" s="81"/>
      <c r="N94" s="81"/>
      <c r="O94" s="81"/>
      <c r="P94" s="81"/>
      <c r="S94" s="478" t="s">
        <v>527</v>
      </c>
      <c r="T94" s="646">
        <v>0</v>
      </c>
      <c r="U94" s="478"/>
      <c r="V94" s="478"/>
      <c r="W94" s="478"/>
      <c r="X94" s="478"/>
      <c r="Y94" s="478"/>
    </row>
    <row r="95" spans="2:27" x14ac:dyDescent="0.2">
      <c r="B95" s="80"/>
      <c r="C95" s="81"/>
      <c r="D95" s="81"/>
      <c r="E95" s="81"/>
      <c r="F95" s="649"/>
      <c r="G95" s="81"/>
      <c r="H95" s="81"/>
      <c r="I95" s="81"/>
      <c r="J95" s="81"/>
      <c r="K95" s="81"/>
      <c r="L95" s="81"/>
      <c r="M95" s="81"/>
      <c r="N95" s="81"/>
      <c r="O95" s="81"/>
      <c r="P95" s="81"/>
      <c r="R95" s="44"/>
      <c r="S95" s="478"/>
      <c r="T95" s="528"/>
      <c r="U95" s="478"/>
      <c r="V95" s="478"/>
      <c r="W95" s="478"/>
      <c r="X95" s="478"/>
      <c r="Y95" s="478"/>
    </row>
    <row r="96" spans="2:27" x14ac:dyDescent="0.2">
      <c r="B96" s="95" t="s">
        <v>13</v>
      </c>
      <c r="C96" s="78">
        <f>+C79-C91</f>
        <v>2693052.8300000019</v>
      </c>
      <c r="D96" s="78">
        <v>660664.46</v>
      </c>
      <c r="E96" s="78">
        <f>E79-E91</f>
        <v>1005433.2299999967</v>
      </c>
      <c r="F96" s="78">
        <f t="shared" ref="F96:P96" si="69">+F79-F91</f>
        <v>1687619.6000000034</v>
      </c>
      <c r="G96" s="78">
        <f t="shared" si="69"/>
        <v>0</v>
      </c>
      <c r="H96" s="78">
        <f t="shared" si="69"/>
        <v>0</v>
      </c>
      <c r="I96" s="78">
        <f>+I79-I91</f>
        <v>0</v>
      </c>
      <c r="J96" s="78">
        <f t="shared" si="69"/>
        <v>0</v>
      </c>
      <c r="K96" s="78">
        <f t="shared" si="69"/>
        <v>0</v>
      </c>
      <c r="L96" s="78">
        <f t="shared" si="69"/>
        <v>0</v>
      </c>
      <c r="M96" s="78">
        <f t="shared" si="69"/>
        <v>0</v>
      </c>
      <c r="N96" s="78">
        <f t="shared" si="69"/>
        <v>0</v>
      </c>
      <c r="O96" s="78">
        <f t="shared" si="69"/>
        <v>0</v>
      </c>
      <c r="P96" s="78">
        <f t="shared" si="69"/>
        <v>0</v>
      </c>
      <c r="R96" s="417"/>
      <c r="S96" s="496"/>
      <c r="T96" s="587"/>
      <c r="U96" s="478"/>
      <c r="V96" s="478"/>
      <c r="W96" s="478"/>
      <c r="X96" s="478"/>
      <c r="Y96" s="478"/>
    </row>
    <row r="97" spans="2:25" x14ac:dyDescent="0.2">
      <c r="B97" s="96" t="s">
        <v>14</v>
      </c>
      <c r="C97" s="82">
        <f t="shared" ref="C97:P97" si="70">+IFERROR(C96/C79,)</f>
        <v>0.11701012985485591</v>
      </c>
      <c r="D97" s="82">
        <v>8.8498539015068892E-2</v>
      </c>
      <c r="E97" s="82">
        <f t="shared" si="70"/>
        <v>9.7337688070208692E-2</v>
      </c>
      <c r="F97" s="82">
        <f t="shared" si="70"/>
        <v>0.13302775718905863</v>
      </c>
      <c r="G97" s="82">
        <f t="shared" si="70"/>
        <v>0</v>
      </c>
      <c r="H97" s="82">
        <f t="shared" si="70"/>
        <v>0</v>
      </c>
      <c r="I97" s="82">
        <f t="shared" si="70"/>
        <v>0</v>
      </c>
      <c r="J97" s="82">
        <f t="shared" si="70"/>
        <v>0</v>
      </c>
      <c r="K97" s="82">
        <f t="shared" si="70"/>
        <v>0</v>
      </c>
      <c r="L97" s="82">
        <f t="shared" si="70"/>
        <v>0</v>
      </c>
      <c r="M97" s="82">
        <f t="shared" si="70"/>
        <v>0</v>
      </c>
      <c r="N97" s="82">
        <f t="shared" si="70"/>
        <v>0</v>
      </c>
      <c r="O97" s="82">
        <f t="shared" si="70"/>
        <v>0</v>
      </c>
      <c r="P97" s="82">
        <f t="shared" si="70"/>
        <v>0</v>
      </c>
      <c r="R97" s="81"/>
      <c r="S97" s="496"/>
      <c r="T97" s="81">
        <v>10329331.32</v>
      </c>
      <c r="U97" s="478"/>
      <c r="V97" s="478"/>
      <c r="W97" s="478"/>
      <c r="X97" s="478"/>
      <c r="Y97" s="478"/>
    </row>
    <row r="98" spans="2:25" x14ac:dyDescent="0.2">
      <c r="B98" s="95" t="s">
        <v>15</v>
      </c>
      <c r="C98" s="78">
        <f t="shared" ref="C98:C103" si="71">SUM(E98:P98)</f>
        <v>719856.82000000007</v>
      </c>
      <c r="D98" s="78">
        <v>482172.68</v>
      </c>
      <c r="E98" s="78">
        <f>+E99+E115+E133</f>
        <v>342624.59</v>
      </c>
      <c r="F98" s="78">
        <f t="shared" ref="F98:P98" si="72">+F99+F115+F133</f>
        <v>377232.23</v>
      </c>
      <c r="G98" s="78">
        <f t="shared" si="72"/>
        <v>0</v>
      </c>
      <c r="H98" s="78">
        <f t="shared" si="72"/>
        <v>0</v>
      </c>
      <c r="I98" s="78">
        <f t="shared" si="72"/>
        <v>0</v>
      </c>
      <c r="J98" s="78">
        <f t="shared" si="72"/>
        <v>0</v>
      </c>
      <c r="K98" s="78">
        <f t="shared" si="72"/>
        <v>0</v>
      </c>
      <c r="L98" s="78">
        <f t="shared" si="72"/>
        <v>0</v>
      </c>
      <c r="M98" s="480">
        <f t="shared" si="72"/>
        <v>0</v>
      </c>
      <c r="N98" s="78">
        <f t="shared" si="72"/>
        <v>0</v>
      </c>
      <c r="O98" s="78">
        <f t="shared" si="72"/>
        <v>0</v>
      </c>
      <c r="P98" s="78">
        <f t="shared" si="72"/>
        <v>0</v>
      </c>
      <c r="S98" s="481"/>
      <c r="U98" s="478"/>
      <c r="V98" s="478"/>
      <c r="W98" s="478"/>
      <c r="X98" s="478"/>
      <c r="Y98" s="478"/>
    </row>
    <row r="99" spans="2:25" ht="16.5" hidden="1" outlineLevel="1" x14ac:dyDescent="0.2">
      <c r="B99" s="97" t="s">
        <v>16</v>
      </c>
      <c r="C99" s="98">
        <f t="shared" si="71"/>
        <v>0</v>
      </c>
      <c r="D99" s="98"/>
      <c r="E99" s="99">
        <f>SUM(E100:E113)</f>
        <v>0</v>
      </c>
      <c r="F99" s="99">
        <f t="shared" ref="F99:P99" si="73">SUM(F100:F113)</f>
        <v>0</v>
      </c>
      <c r="G99" s="98">
        <f t="shared" si="73"/>
        <v>0</v>
      </c>
      <c r="H99" s="99">
        <f t="shared" si="73"/>
        <v>0</v>
      </c>
      <c r="I99" s="99">
        <f t="shared" si="73"/>
        <v>0</v>
      </c>
      <c r="J99" s="99">
        <f t="shared" si="73"/>
        <v>0</v>
      </c>
      <c r="K99" s="99">
        <f t="shared" si="73"/>
        <v>0</v>
      </c>
      <c r="L99" s="99">
        <f t="shared" si="73"/>
        <v>0</v>
      </c>
      <c r="M99" s="99">
        <f t="shared" si="73"/>
        <v>0</v>
      </c>
      <c r="N99" s="99">
        <f t="shared" si="73"/>
        <v>0</v>
      </c>
      <c r="O99" s="99">
        <f t="shared" si="73"/>
        <v>0</v>
      </c>
      <c r="P99" s="99">
        <f t="shared" si="73"/>
        <v>0</v>
      </c>
      <c r="S99" s="478"/>
      <c r="U99" s="478"/>
      <c r="V99" s="478"/>
      <c r="W99" s="478"/>
      <c r="X99" s="478"/>
      <c r="Y99" s="478"/>
    </row>
    <row r="100" spans="2:25" hidden="1" outlineLevel="1" x14ac:dyDescent="0.2">
      <c r="B100" s="67" t="s">
        <v>19</v>
      </c>
      <c r="C100" s="81">
        <f t="shared" si="71"/>
        <v>0</v>
      </c>
      <c r="D100" s="81"/>
      <c r="E100" s="81"/>
      <c r="F100" s="81"/>
      <c r="G100" s="81"/>
      <c r="H100" s="100"/>
      <c r="I100" s="100"/>
      <c r="J100" s="100"/>
      <c r="K100" s="100"/>
      <c r="L100" s="100"/>
      <c r="M100" s="101"/>
      <c r="N100" s="101"/>
      <c r="O100" s="81"/>
      <c r="P100" s="80"/>
      <c r="S100" s="478"/>
      <c r="U100" s="478"/>
      <c r="V100" s="478"/>
      <c r="W100" s="478"/>
      <c r="X100" s="478"/>
      <c r="Y100" s="478"/>
    </row>
    <row r="101" spans="2:25" hidden="1" outlineLevel="1" x14ac:dyDescent="0.2">
      <c r="B101" s="67" t="s">
        <v>43</v>
      </c>
      <c r="C101" s="81">
        <f t="shared" si="71"/>
        <v>0</v>
      </c>
      <c r="D101" s="80"/>
      <c r="E101" s="80"/>
      <c r="F101" s="80"/>
      <c r="G101" s="80"/>
      <c r="H101" s="100"/>
      <c r="I101" s="100"/>
      <c r="J101" s="100"/>
      <c r="K101" s="100"/>
      <c r="L101" s="102"/>
      <c r="M101" s="101"/>
      <c r="N101" s="103"/>
      <c r="O101" s="80"/>
      <c r="P101" s="80"/>
      <c r="S101" s="478"/>
      <c r="U101" s="478"/>
      <c r="V101" s="478"/>
      <c r="W101" s="478"/>
      <c r="X101" s="478"/>
      <c r="Y101" s="478"/>
    </row>
    <row r="102" spans="2:25" hidden="1" outlineLevel="1" x14ac:dyDescent="0.2">
      <c r="B102" s="67" t="s">
        <v>45</v>
      </c>
      <c r="C102" s="81">
        <f t="shared" si="71"/>
        <v>0</v>
      </c>
      <c r="D102" s="80"/>
      <c r="E102" s="80"/>
      <c r="F102" s="80"/>
      <c r="G102" s="80"/>
      <c r="H102" s="102"/>
      <c r="I102" s="102"/>
      <c r="J102" s="102"/>
      <c r="K102" s="102"/>
      <c r="L102" s="102"/>
      <c r="M102" s="104"/>
      <c r="N102" s="103"/>
      <c r="O102" s="80"/>
      <c r="P102" s="80"/>
      <c r="S102" s="478"/>
      <c r="U102" s="478"/>
      <c r="V102" s="478"/>
      <c r="W102" s="478"/>
      <c r="X102" s="478"/>
      <c r="Y102" s="478"/>
    </row>
    <row r="103" spans="2:25" hidden="1" outlineLevel="1" x14ac:dyDescent="0.2">
      <c r="B103" s="67" t="s">
        <v>47</v>
      </c>
      <c r="C103" s="81">
        <f t="shared" si="71"/>
        <v>0</v>
      </c>
      <c r="D103" s="80"/>
      <c r="E103" s="80"/>
      <c r="F103" s="80"/>
      <c r="G103" s="80"/>
      <c r="H103" s="102"/>
      <c r="I103" s="102"/>
      <c r="J103" s="102"/>
      <c r="K103" s="102"/>
      <c r="L103" s="102"/>
      <c r="M103" s="104"/>
      <c r="N103" s="103"/>
      <c r="O103" s="80"/>
      <c r="P103" s="80"/>
      <c r="S103" s="478"/>
      <c r="U103" s="478"/>
      <c r="V103" s="478"/>
      <c r="W103" s="478"/>
      <c r="X103" s="478"/>
      <c r="Y103" s="478"/>
    </row>
    <row r="104" spans="2:25" hidden="1" outlineLevel="1" x14ac:dyDescent="0.2">
      <c r="B104" s="67" t="s">
        <v>48</v>
      </c>
      <c r="C104" s="81">
        <f>SUM(E104:P104)</f>
        <v>0</v>
      </c>
      <c r="D104" s="80"/>
      <c r="E104" s="80"/>
      <c r="F104" s="80"/>
      <c r="G104" s="80"/>
      <c r="H104" s="102"/>
      <c r="I104" s="102"/>
      <c r="J104" s="102"/>
      <c r="K104" s="102"/>
      <c r="L104" s="102"/>
      <c r="M104" s="104"/>
      <c r="N104" s="103"/>
      <c r="O104" s="80"/>
      <c r="P104" s="80"/>
      <c r="S104" s="478"/>
      <c r="U104" s="478"/>
      <c r="V104" s="478"/>
      <c r="W104" s="478"/>
      <c r="X104" s="478"/>
      <c r="Y104" s="478"/>
    </row>
    <row r="105" spans="2:25" hidden="1" outlineLevel="1" x14ac:dyDescent="0.2">
      <c r="B105" s="67" t="s">
        <v>49</v>
      </c>
      <c r="C105" s="81">
        <f t="shared" ref="C105:C113" si="74">SUM(E105:P105)</f>
        <v>0</v>
      </c>
      <c r="D105" s="81"/>
      <c r="E105" s="80"/>
      <c r="F105" s="80"/>
      <c r="G105" s="81"/>
      <c r="H105" s="81"/>
      <c r="I105" s="81"/>
      <c r="J105" s="81"/>
      <c r="K105" s="81"/>
      <c r="L105" s="81"/>
      <c r="M105" s="103"/>
      <c r="N105" s="103"/>
      <c r="O105" s="81"/>
      <c r="P105" s="81"/>
      <c r="S105" s="478"/>
      <c r="U105" s="478"/>
      <c r="V105" s="478"/>
      <c r="W105" s="478"/>
      <c r="X105" s="478"/>
      <c r="Y105" s="478"/>
    </row>
    <row r="106" spans="2:25" hidden="1" outlineLevel="1" x14ac:dyDescent="0.2">
      <c r="B106" s="67" t="s">
        <v>50</v>
      </c>
      <c r="C106" s="81">
        <f t="shared" si="74"/>
        <v>0</v>
      </c>
      <c r="D106" s="102"/>
      <c r="E106" s="80"/>
      <c r="F106" s="80"/>
      <c r="G106" s="81"/>
      <c r="H106" s="102"/>
      <c r="I106" s="81"/>
      <c r="J106" s="81"/>
      <c r="K106" s="81"/>
      <c r="L106" s="81"/>
      <c r="M106" s="103"/>
      <c r="N106" s="103"/>
      <c r="O106" s="80"/>
      <c r="P106" s="102"/>
      <c r="S106" s="478"/>
      <c r="U106" s="478"/>
      <c r="V106" s="478"/>
      <c r="W106" s="478"/>
      <c r="X106" s="478"/>
      <c r="Y106" s="478"/>
    </row>
    <row r="107" spans="2:25" hidden="1" outlineLevel="1" x14ac:dyDescent="0.2">
      <c r="B107" s="67" t="s">
        <v>51</v>
      </c>
      <c r="C107" s="81">
        <f t="shared" si="74"/>
        <v>0</v>
      </c>
      <c r="D107" s="80"/>
      <c r="E107" s="80"/>
      <c r="F107" s="102"/>
      <c r="G107" s="80"/>
      <c r="H107" s="102"/>
      <c r="I107" s="102"/>
      <c r="J107" s="102"/>
      <c r="K107" s="102"/>
      <c r="L107" s="102"/>
      <c r="M107" s="104"/>
      <c r="N107" s="103"/>
      <c r="O107" s="80"/>
      <c r="P107" s="80"/>
      <c r="S107" s="478"/>
      <c r="U107" s="478"/>
      <c r="V107" s="478"/>
      <c r="W107" s="478"/>
      <c r="X107" s="478"/>
      <c r="Y107" s="478"/>
    </row>
    <row r="108" spans="2:25" hidden="1" outlineLevel="1" x14ac:dyDescent="0.2">
      <c r="B108" s="67" t="s">
        <v>52</v>
      </c>
      <c r="C108" s="81">
        <f t="shared" si="74"/>
        <v>0</v>
      </c>
      <c r="D108" s="80"/>
      <c r="E108" s="80"/>
      <c r="F108" s="80"/>
      <c r="G108" s="80"/>
      <c r="H108" s="102"/>
      <c r="I108" s="102"/>
      <c r="J108" s="102"/>
      <c r="K108" s="102"/>
      <c r="L108" s="102"/>
      <c r="M108" s="104"/>
      <c r="N108" s="103"/>
      <c r="O108" s="80"/>
      <c r="P108" s="80"/>
      <c r="S108" s="478"/>
      <c r="U108" s="478"/>
      <c r="V108" s="478"/>
      <c r="W108" s="478"/>
      <c r="X108" s="478"/>
      <c r="Y108" s="478"/>
    </row>
    <row r="109" spans="2:25" hidden="1" outlineLevel="1" x14ac:dyDescent="0.2">
      <c r="B109" s="67" t="s">
        <v>53</v>
      </c>
      <c r="C109" s="81">
        <f t="shared" si="74"/>
        <v>0</v>
      </c>
      <c r="D109" s="80"/>
      <c r="E109" s="80"/>
      <c r="F109" s="80"/>
      <c r="G109" s="80"/>
      <c r="H109" s="102"/>
      <c r="I109" s="102"/>
      <c r="J109" s="102"/>
      <c r="K109" s="102"/>
      <c r="L109" s="102"/>
      <c r="M109" s="104"/>
      <c r="N109" s="103"/>
      <c r="O109" s="80"/>
      <c r="P109" s="80"/>
      <c r="S109" s="478"/>
      <c r="U109" s="478"/>
      <c r="V109" s="478"/>
      <c r="W109" s="478"/>
      <c r="X109" s="478"/>
      <c r="Y109" s="478"/>
    </row>
    <row r="110" spans="2:25" hidden="1" outlineLevel="1" x14ac:dyDescent="0.2">
      <c r="B110" s="67" t="s">
        <v>54</v>
      </c>
      <c r="C110" s="81">
        <f t="shared" si="74"/>
        <v>0</v>
      </c>
      <c r="D110" s="102"/>
      <c r="E110" s="80"/>
      <c r="F110" s="80"/>
      <c r="G110" s="81"/>
      <c r="H110" s="81"/>
      <c r="I110" s="81"/>
      <c r="J110" s="81"/>
      <c r="K110" s="81"/>
      <c r="L110" s="81"/>
      <c r="M110" s="103"/>
      <c r="N110" s="103"/>
      <c r="O110" s="81"/>
      <c r="P110" s="102"/>
      <c r="S110" s="478"/>
      <c r="U110" s="478"/>
      <c r="V110" s="478"/>
      <c r="W110" s="478"/>
      <c r="X110" s="478"/>
      <c r="Y110" s="478"/>
    </row>
    <row r="111" spans="2:25" hidden="1" outlineLevel="1" x14ac:dyDescent="0.25">
      <c r="B111" s="67" t="s">
        <v>55</v>
      </c>
      <c r="C111" s="81">
        <f t="shared" si="74"/>
        <v>0</v>
      </c>
      <c r="D111" s="81"/>
      <c r="E111" s="80"/>
      <c r="F111" s="80"/>
      <c r="G111" s="81"/>
      <c r="H111" s="81"/>
      <c r="I111" s="81"/>
      <c r="J111" s="81"/>
      <c r="K111" s="105"/>
      <c r="L111" s="81"/>
      <c r="M111" s="103"/>
      <c r="N111" s="103"/>
      <c r="O111" s="81"/>
      <c r="P111" s="81"/>
      <c r="S111" s="478"/>
      <c r="U111" s="478"/>
      <c r="V111" s="478"/>
      <c r="W111" s="478"/>
      <c r="X111" s="478"/>
      <c r="Y111" s="478"/>
    </row>
    <row r="112" spans="2:25" hidden="1" outlineLevel="1" x14ac:dyDescent="0.2">
      <c r="B112" s="67" t="s">
        <v>56</v>
      </c>
      <c r="C112" s="81">
        <f t="shared" si="74"/>
        <v>0</v>
      </c>
      <c r="D112" s="81"/>
      <c r="E112" s="80"/>
      <c r="F112" s="80"/>
      <c r="G112" s="81"/>
      <c r="H112" s="81"/>
      <c r="I112" s="81"/>
      <c r="J112" s="81"/>
      <c r="K112" s="81"/>
      <c r="L112" s="81"/>
      <c r="M112" s="103"/>
      <c r="N112" s="103"/>
      <c r="O112" s="81"/>
      <c r="P112" s="81"/>
      <c r="S112" s="478"/>
      <c r="U112" s="478"/>
      <c r="V112" s="478"/>
      <c r="W112" s="478"/>
      <c r="X112" s="478"/>
      <c r="Y112" s="478"/>
    </row>
    <row r="113" spans="2:25" hidden="1" outlineLevel="1" x14ac:dyDescent="0.2">
      <c r="B113" s="67" t="s">
        <v>57</v>
      </c>
      <c r="C113" s="81">
        <f t="shared" si="74"/>
        <v>0</v>
      </c>
      <c r="D113" s="80"/>
      <c r="E113" s="80"/>
      <c r="F113" s="80"/>
      <c r="G113" s="80"/>
      <c r="H113" s="102"/>
      <c r="I113" s="102"/>
      <c r="J113" s="102"/>
      <c r="K113" s="102"/>
      <c r="L113" s="102"/>
      <c r="M113" s="104"/>
      <c r="N113" s="103"/>
      <c r="O113" s="80"/>
      <c r="P113" s="80"/>
      <c r="S113" s="478"/>
      <c r="U113" s="478"/>
      <c r="V113" s="478"/>
      <c r="W113" s="478"/>
      <c r="X113" s="478"/>
      <c r="Y113" s="478"/>
    </row>
    <row r="114" spans="2:25" hidden="1" outlineLevel="1" x14ac:dyDescent="0.2">
      <c r="B114" s="106"/>
      <c r="C114" s="81"/>
      <c r="D114" s="81"/>
      <c r="E114" s="107"/>
      <c r="F114" s="107"/>
      <c r="G114" s="81"/>
      <c r="H114" s="81"/>
      <c r="I114" s="81"/>
      <c r="J114" s="81"/>
      <c r="K114" s="81"/>
      <c r="L114" s="81"/>
      <c r="M114" s="108"/>
      <c r="N114" s="103"/>
      <c r="O114" s="81"/>
      <c r="P114" s="81"/>
      <c r="S114" s="478"/>
      <c r="U114" s="478"/>
      <c r="V114" s="478"/>
      <c r="W114" s="478"/>
      <c r="X114" s="478"/>
      <c r="Y114" s="478"/>
    </row>
    <row r="115" spans="2:25" ht="16.5" collapsed="1" x14ac:dyDescent="0.2">
      <c r="B115" s="97" t="s">
        <v>17</v>
      </c>
      <c r="C115" s="109">
        <f t="shared" ref="C115:C135" si="75">SUM(E115:P115)</f>
        <v>719856.82000000007</v>
      </c>
      <c r="D115" s="109">
        <v>482172.68</v>
      </c>
      <c r="E115" s="110">
        <f>SUM(E116:E131)</f>
        <v>342624.59</v>
      </c>
      <c r="F115" s="110">
        <f t="shared" ref="F115:K115" si="76">SUM(F116:F131)</f>
        <v>377232.23</v>
      </c>
      <c r="G115" s="109">
        <f t="shared" si="76"/>
        <v>0</v>
      </c>
      <c r="H115" s="110">
        <f t="shared" si="76"/>
        <v>0</v>
      </c>
      <c r="I115" s="110">
        <f t="shared" si="76"/>
        <v>0</v>
      </c>
      <c r="J115" s="110">
        <f t="shared" si="76"/>
        <v>0</v>
      </c>
      <c r="K115" s="110">
        <f t="shared" si="76"/>
        <v>0</v>
      </c>
      <c r="L115" s="479">
        <f>SUM(L116:L131)</f>
        <v>0</v>
      </c>
      <c r="M115" s="111">
        <f t="shared" ref="M115:P115" si="77">SUM(M116:M131)</f>
        <v>0</v>
      </c>
      <c r="N115" s="111">
        <f t="shared" si="77"/>
        <v>0</v>
      </c>
      <c r="O115" s="110">
        <f t="shared" si="77"/>
        <v>0</v>
      </c>
      <c r="P115" s="110">
        <f t="shared" si="77"/>
        <v>0</v>
      </c>
      <c r="Q115" s="455"/>
      <c r="S115" s="478" t="s">
        <v>329</v>
      </c>
      <c r="T115" s="455">
        <v>342624.58</v>
      </c>
      <c r="U115" s="478"/>
      <c r="V115" s="478"/>
      <c r="W115" s="478"/>
      <c r="X115" s="478"/>
      <c r="Y115" s="478"/>
    </row>
    <row r="116" spans="2:25" x14ac:dyDescent="0.2">
      <c r="B116" s="112" t="s">
        <v>58</v>
      </c>
      <c r="C116" s="81">
        <f t="shared" si="75"/>
        <v>185943.61</v>
      </c>
      <c r="D116" s="80">
        <v>8495</v>
      </c>
      <c r="E116" s="123">
        <v>92901.83</v>
      </c>
      <c r="F116" s="123">
        <v>93041.78</v>
      </c>
      <c r="G116" s="123"/>
      <c r="H116" s="100"/>
      <c r="I116" s="100"/>
      <c r="J116" s="100"/>
      <c r="K116" s="100"/>
      <c r="L116" s="478"/>
      <c r="M116" s="101"/>
      <c r="N116" s="101"/>
      <c r="O116" s="80"/>
      <c r="P116" s="80"/>
      <c r="Q116" s="455"/>
      <c r="S116" s="478" t="s">
        <v>330</v>
      </c>
      <c r="T116" s="455">
        <v>92901.83</v>
      </c>
      <c r="U116" s="478"/>
      <c r="V116" s="478"/>
      <c r="W116" s="478"/>
      <c r="X116" s="478"/>
      <c r="Y116" s="478"/>
    </row>
    <row r="117" spans="2:25" x14ac:dyDescent="0.2">
      <c r="B117" s="112" t="s">
        <v>59</v>
      </c>
      <c r="C117" s="81">
        <f t="shared" si="75"/>
        <v>20907.669999999998</v>
      </c>
      <c r="D117" s="80">
        <v>7832.73</v>
      </c>
      <c r="E117" s="123">
        <v>10508.77</v>
      </c>
      <c r="F117" s="123">
        <v>10398.9</v>
      </c>
      <c r="G117" s="123"/>
      <c r="H117" s="102"/>
      <c r="I117" s="102"/>
      <c r="J117" s="102"/>
      <c r="K117" s="102"/>
      <c r="L117" s="478"/>
      <c r="M117" s="104"/>
      <c r="N117" s="104"/>
      <c r="O117" s="80"/>
      <c r="P117" s="80"/>
      <c r="Q117" s="455"/>
      <c r="S117" s="478" t="s">
        <v>331</v>
      </c>
      <c r="T117" s="455">
        <v>10508.77</v>
      </c>
      <c r="U117" s="478"/>
      <c r="V117" s="478"/>
      <c r="W117" s="478"/>
      <c r="X117" s="478"/>
      <c r="Y117" s="478"/>
    </row>
    <row r="118" spans="2:25" x14ac:dyDescent="0.2">
      <c r="B118" s="112" t="s">
        <v>60</v>
      </c>
      <c r="C118" s="81">
        <f t="shared" si="75"/>
        <v>33244.28</v>
      </c>
      <c r="D118" s="80">
        <v>18511.75</v>
      </c>
      <c r="E118" s="123">
        <v>17302.13</v>
      </c>
      <c r="F118" s="123">
        <v>15942.15</v>
      </c>
      <c r="G118" s="123"/>
      <c r="H118" s="102"/>
      <c r="I118" s="102"/>
      <c r="J118" s="102"/>
      <c r="K118" s="102"/>
      <c r="L118" s="478"/>
      <c r="M118" s="104"/>
      <c r="N118" s="104"/>
      <c r="O118" s="80"/>
      <c r="P118" s="80"/>
      <c r="Q118" s="455"/>
      <c r="S118" s="478" t="s">
        <v>332</v>
      </c>
      <c r="T118" s="455">
        <v>17302.13</v>
      </c>
      <c r="U118" s="478"/>
      <c r="V118" s="478"/>
      <c r="W118" s="478"/>
      <c r="X118" s="478"/>
      <c r="Y118" s="478"/>
    </row>
    <row r="119" spans="2:25" x14ac:dyDescent="0.2">
      <c r="B119" s="112" t="s">
        <v>61</v>
      </c>
      <c r="C119" s="81">
        <f t="shared" si="75"/>
        <v>0</v>
      </c>
      <c r="D119" s="80">
        <v>1773.63</v>
      </c>
      <c r="E119" s="123">
        <v>0</v>
      </c>
      <c r="F119" s="123">
        <v>0</v>
      </c>
      <c r="G119" s="123"/>
      <c r="H119" s="102"/>
      <c r="I119" s="102"/>
      <c r="J119" s="102"/>
      <c r="K119" s="102"/>
      <c r="L119" s="478"/>
      <c r="M119" s="104"/>
      <c r="N119" s="104"/>
      <c r="O119" s="80"/>
      <c r="P119" s="80"/>
      <c r="Q119" s="455"/>
      <c r="S119" s="478" t="s">
        <v>333</v>
      </c>
      <c r="T119" s="455">
        <v>0</v>
      </c>
      <c r="U119" s="478"/>
      <c r="V119" s="478"/>
      <c r="W119" s="478"/>
      <c r="X119" s="478"/>
      <c r="Y119" s="478"/>
    </row>
    <row r="120" spans="2:25" x14ac:dyDescent="0.2">
      <c r="B120" s="112" t="s">
        <v>62</v>
      </c>
      <c r="C120" s="81">
        <f t="shared" si="75"/>
        <v>715.36</v>
      </c>
      <c r="D120" s="80">
        <v>145.08000000000001</v>
      </c>
      <c r="E120" s="123">
        <v>421.05</v>
      </c>
      <c r="F120" s="123">
        <v>294.31</v>
      </c>
      <c r="G120" s="123"/>
      <c r="H120" s="102"/>
      <c r="I120" s="102"/>
      <c r="J120" s="102"/>
      <c r="K120" s="102"/>
      <c r="L120" s="478"/>
      <c r="M120" s="104"/>
      <c r="N120" s="108"/>
      <c r="O120" s="80"/>
      <c r="P120" s="80"/>
      <c r="Q120" s="455"/>
      <c r="S120" s="478" t="s">
        <v>334</v>
      </c>
      <c r="T120" s="455">
        <v>421.05</v>
      </c>
      <c r="U120" s="478"/>
      <c r="V120" s="478"/>
      <c r="W120" s="478"/>
      <c r="X120" s="478"/>
      <c r="Y120" s="478"/>
    </row>
    <row r="121" spans="2:25" x14ac:dyDescent="0.2">
      <c r="B121" s="112" t="s">
        <v>63</v>
      </c>
      <c r="C121" s="81">
        <f t="shared" si="75"/>
        <v>0</v>
      </c>
      <c r="D121" s="81">
        <v>0</v>
      </c>
      <c r="E121" s="123">
        <v>0</v>
      </c>
      <c r="F121" s="123">
        <v>0</v>
      </c>
      <c r="G121" s="123"/>
      <c r="H121" s="81"/>
      <c r="I121" s="81"/>
      <c r="J121" s="81"/>
      <c r="K121" s="81"/>
      <c r="L121" s="478"/>
      <c r="M121" s="103"/>
      <c r="N121" s="104"/>
      <c r="O121" s="81"/>
      <c r="P121" s="81"/>
      <c r="Q121" s="455"/>
      <c r="S121" s="478" t="s">
        <v>335</v>
      </c>
      <c r="T121" s="455">
        <v>0</v>
      </c>
      <c r="U121" s="478"/>
      <c r="V121" s="478"/>
      <c r="W121" s="478"/>
      <c r="X121" s="478"/>
      <c r="Y121" s="478"/>
    </row>
    <row r="122" spans="2:25" x14ac:dyDescent="0.2">
      <c r="B122" s="112" t="s">
        <v>64</v>
      </c>
      <c r="C122" s="81">
        <f t="shared" si="75"/>
        <v>18646.72</v>
      </c>
      <c r="D122" s="81">
        <v>7379.83</v>
      </c>
      <c r="E122" s="123">
        <v>4997.2299999999996</v>
      </c>
      <c r="F122" s="123">
        <v>13649.49</v>
      </c>
      <c r="G122" s="123"/>
      <c r="H122" s="81"/>
      <c r="I122" s="81"/>
      <c r="J122" s="81"/>
      <c r="K122" s="81"/>
      <c r="L122" s="478"/>
      <c r="M122" s="103"/>
      <c r="N122" s="104"/>
      <c r="O122" s="81"/>
      <c r="P122" s="81"/>
      <c r="Q122" s="455"/>
      <c r="S122" s="478" t="s">
        <v>336</v>
      </c>
      <c r="T122" s="455">
        <v>4997.2299999999996</v>
      </c>
      <c r="U122" s="478"/>
      <c r="V122" s="478"/>
      <c r="W122" s="478"/>
      <c r="X122" s="478"/>
      <c r="Y122" s="478"/>
    </row>
    <row r="123" spans="2:25" x14ac:dyDescent="0.2">
      <c r="B123" s="112" t="s">
        <v>65</v>
      </c>
      <c r="C123" s="81">
        <f t="shared" si="75"/>
        <v>426480.41000000003</v>
      </c>
      <c r="D123" s="80">
        <v>215328.28</v>
      </c>
      <c r="E123" s="123">
        <v>200093.95</v>
      </c>
      <c r="F123" s="123">
        <v>226386.46</v>
      </c>
      <c r="G123" s="123"/>
      <c r="H123" s="102"/>
      <c r="I123" s="102"/>
      <c r="J123" s="102"/>
      <c r="K123" s="102"/>
      <c r="L123" s="478"/>
      <c r="M123" s="104"/>
      <c r="N123" s="104"/>
      <c r="O123" s="80"/>
      <c r="P123" s="80"/>
      <c r="Q123" s="455"/>
      <c r="S123" s="478" t="s">
        <v>337</v>
      </c>
      <c r="T123" s="455">
        <v>200093.94</v>
      </c>
      <c r="U123" s="478"/>
      <c r="V123" s="478"/>
      <c r="W123" s="478"/>
      <c r="X123" s="478"/>
      <c r="Y123" s="478"/>
    </row>
    <row r="124" spans="2:25" x14ac:dyDescent="0.2">
      <c r="B124" s="112" t="s">
        <v>66</v>
      </c>
      <c r="C124" s="81">
        <f t="shared" si="75"/>
        <v>14702.45</v>
      </c>
      <c r="D124" s="80">
        <v>9389.7000000000007</v>
      </c>
      <c r="E124" s="123">
        <v>6742.17</v>
      </c>
      <c r="F124" s="123">
        <v>7960.28</v>
      </c>
      <c r="G124" s="123"/>
      <c r="H124" s="102"/>
      <c r="I124" s="102"/>
      <c r="J124" s="102"/>
      <c r="K124" s="102"/>
      <c r="L124" s="478"/>
      <c r="M124" s="104"/>
      <c r="N124" s="104"/>
      <c r="O124" s="80"/>
      <c r="P124" s="80"/>
      <c r="Q124" s="455"/>
      <c r="S124" s="478" t="s">
        <v>338</v>
      </c>
      <c r="T124" s="455">
        <v>6742.17</v>
      </c>
      <c r="U124" s="478"/>
      <c r="V124" s="478"/>
      <c r="W124" s="478"/>
      <c r="X124" s="478"/>
      <c r="Y124" s="478"/>
    </row>
    <row r="125" spans="2:25" x14ac:dyDescent="0.2">
      <c r="B125" s="112" t="s">
        <v>67</v>
      </c>
      <c r="C125" s="81">
        <f t="shared" si="75"/>
        <v>8645.6899999999987</v>
      </c>
      <c r="D125" s="80">
        <v>20474.12</v>
      </c>
      <c r="E125" s="123">
        <v>4493.28</v>
      </c>
      <c r="F125" s="123">
        <v>4152.41</v>
      </c>
      <c r="G125" s="123"/>
      <c r="H125" s="102"/>
      <c r="I125" s="102"/>
      <c r="J125" s="102"/>
      <c r="K125" s="102"/>
      <c r="L125" s="478"/>
      <c r="M125" s="104"/>
      <c r="N125" s="104"/>
      <c r="O125" s="80"/>
      <c r="P125" s="80"/>
      <c r="Q125" s="455"/>
      <c r="S125" s="478" t="s">
        <v>339</v>
      </c>
      <c r="T125" s="455">
        <v>4493.28</v>
      </c>
      <c r="U125" s="478"/>
      <c r="V125" s="478"/>
      <c r="W125" s="478"/>
      <c r="X125" s="478"/>
      <c r="Y125" s="478"/>
    </row>
    <row r="126" spans="2:25" x14ac:dyDescent="0.2">
      <c r="B126" s="112" t="s">
        <v>68</v>
      </c>
      <c r="C126" s="81">
        <f t="shared" si="75"/>
        <v>0</v>
      </c>
      <c r="D126" s="81">
        <v>0</v>
      </c>
      <c r="E126" s="123">
        <v>0</v>
      </c>
      <c r="F126" s="123">
        <v>0</v>
      </c>
      <c r="G126" s="123"/>
      <c r="H126" s="102"/>
      <c r="I126" s="102"/>
      <c r="J126" s="102"/>
      <c r="K126" s="102"/>
      <c r="L126" s="478"/>
      <c r="M126" s="104"/>
      <c r="N126" s="104"/>
      <c r="O126" s="81"/>
      <c r="P126" s="81"/>
      <c r="Q126" s="455"/>
      <c r="S126" s="478" t="s">
        <v>340</v>
      </c>
      <c r="T126" s="455">
        <v>0</v>
      </c>
      <c r="U126" s="478"/>
      <c r="V126" s="478"/>
      <c r="W126" s="478"/>
      <c r="X126" s="478"/>
      <c r="Y126" s="478"/>
    </row>
    <row r="127" spans="2:25" x14ac:dyDescent="0.2">
      <c r="B127" s="112" t="s">
        <v>69</v>
      </c>
      <c r="C127" s="81">
        <f t="shared" si="75"/>
        <v>0</v>
      </c>
      <c r="D127" s="81">
        <v>187614.51</v>
      </c>
      <c r="E127" s="123">
        <v>0</v>
      </c>
      <c r="F127" s="123">
        <v>0</v>
      </c>
      <c r="G127" s="123"/>
      <c r="H127" s="81"/>
      <c r="I127" s="81"/>
      <c r="J127" s="81"/>
      <c r="K127" s="81"/>
      <c r="L127" s="478"/>
      <c r="M127" s="103"/>
      <c r="N127" s="104"/>
      <c r="O127" s="81"/>
      <c r="P127" s="81"/>
      <c r="Q127" s="455"/>
      <c r="S127" s="478" t="s">
        <v>341</v>
      </c>
      <c r="T127" s="455">
        <v>0</v>
      </c>
      <c r="U127" s="478"/>
      <c r="V127" s="478"/>
      <c r="W127" s="478"/>
      <c r="X127" s="478"/>
      <c r="Y127" s="478"/>
    </row>
    <row r="128" spans="2:25" x14ac:dyDescent="0.2">
      <c r="B128" s="112" t="s">
        <v>70</v>
      </c>
      <c r="C128" s="81">
        <f t="shared" si="75"/>
        <v>0</v>
      </c>
      <c r="D128" s="81">
        <v>0</v>
      </c>
      <c r="E128" s="123">
        <v>0</v>
      </c>
      <c r="F128" s="123">
        <v>0</v>
      </c>
      <c r="G128" s="123"/>
      <c r="H128" s="81"/>
      <c r="I128" s="81"/>
      <c r="J128" s="81"/>
      <c r="K128" s="81"/>
      <c r="L128" s="478"/>
      <c r="M128" s="103"/>
      <c r="N128" s="104"/>
      <c r="O128" s="81"/>
      <c r="P128" s="81"/>
      <c r="Q128" s="455"/>
      <c r="S128" s="478" t="s">
        <v>342</v>
      </c>
      <c r="T128" s="455">
        <v>0</v>
      </c>
      <c r="U128" s="478"/>
      <c r="V128" s="478"/>
      <c r="W128" s="478"/>
      <c r="X128" s="478"/>
      <c r="Y128" s="478"/>
    </row>
    <row r="129" spans="2:25" x14ac:dyDescent="0.2">
      <c r="B129" s="112" t="s">
        <v>71</v>
      </c>
      <c r="C129" s="81">
        <f t="shared" si="75"/>
        <v>10570.630000000001</v>
      </c>
      <c r="D129" s="80">
        <v>5228.05</v>
      </c>
      <c r="E129" s="123">
        <v>5164.18</v>
      </c>
      <c r="F129" s="123">
        <v>5406.45</v>
      </c>
      <c r="G129" s="123"/>
      <c r="H129" s="102"/>
      <c r="I129" s="102"/>
      <c r="J129" s="102"/>
      <c r="K129" s="102"/>
      <c r="L129" s="478"/>
      <c r="M129" s="104"/>
      <c r="N129" s="104"/>
      <c r="O129" s="80"/>
      <c r="P129" s="80"/>
      <c r="Q129" s="455"/>
      <c r="S129" s="478" t="s">
        <v>343</v>
      </c>
      <c r="T129" s="455">
        <v>5164.18</v>
      </c>
      <c r="U129" s="478"/>
      <c r="V129" s="478"/>
      <c r="W129" s="478"/>
      <c r="X129" s="478"/>
      <c r="Y129" s="478"/>
    </row>
    <row r="130" spans="2:25" x14ac:dyDescent="0.2">
      <c r="B130" s="112" t="s">
        <v>72</v>
      </c>
      <c r="C130" s="81">
        <f t="shared" si="75"/>
        <v>0</v>
      </c>
      <c r="D130" s="81">
        <v>0</v>
      </c>
      <c r="E130" s="123">
        <v>0</v>
      </c>
      <c r="F130" s="123">
        <v>0</v>
      </c>
      <c r="G130" s="123"/>
      <c r="H130" s="81"/>
      <c r="I130" s="81"/>
      <c r="J130" s="81"/>
      <c r="K130" s="81"/>
      <c r="L130" s="478"/>
      <c r="M130" s="103"/>
      <c r="N130" s="104"/>
      <c r="O130" s="81"/>
      <c r="P130" s="81"/>
      <c r="Q130" s="455"/>
      <c r="S130" s="478" t="s">
        <v>344</v>
      </c>
      <c r="T130" s="455">
        <v>0</v>
      </c>
      <c r="U130" s="478"/>
      <c r="V130" s="478"/>
      <c r="W130" s="478"/>
      <c r="X130" s="478"/>
      <c r="Y130" s="478"/>
    </row>
    <row r="131" spans="2:25" hidden="1" outlineLevel="1" x14ac:dyDescent="0.2">
      <c r="B131" s="112"/>
      <c r="C131" s="81"/>
      <c r="D131" s="81"/>
      <c r="E131" s="80"/>
      <c r="F131" s="80"/>
      <c r="G131" s="81"/>
      <c r="H131" s="81"/>
      <c r="I131" s="81"/>
      <c r="J131" s="81"/>
      <c r="K131" s="81"/>
      <c r="L131" s="81"/>
      <c r="M131" s="103"/>
      <c r="N131" s="104"/>
      <c r="O131" s="81"/>
      <c r="P131" s="81"/>
      <c r="S131" s="478"/>
      <c r="T131" s="478"/>
      <c r="U131" s="478"/>
      <c r="V131" s="478"/>
      <c r="W131" s="478"/>
      <c r="X131" s="478"/>
      <c r="Y131" s="478"/>
    </row>
    <row r="132" spans="2:25" hidden="1" outlineLevel="1" x14ac:dyDescent="0.2">
      <c r="B132" s="106"/>
      <c r="C132" s="81"/>
      <c r="D132" s="81"/>
      <c r="E132" s="107"/>
      <c r="F132" s="107"/>
      <c r="G132" s="81"/>
      <c r="H132" s="81"/>
      <c r="I132" s="81"/>
      <c r="J132" s="81"/>
      <c r="K132" s="81"/>
      <c r="L132" s="81"/>
      <c r="M132" s="108"/>
      <c r="N132" s="108"/>
      <c r="O132" s="81"/>
      <c r="P132" s="81"/>
      <c r="S132" s="478"/>
      <c r="T132" s="478"/>
      <c r="U132" s="478"/>
      <c r="V132" s="478"/>
      <c r="W132" s="478"/>
      <c r="X132" s="478"/>
      <c r="Y132" s="478"/>
    </row>
    <row r="133" spans="2:25" ht="16.5" hidden="1" outlineLevel="1" x14ac:dyDescent="0.2">
      <c r="B133" s="97" t="s">
        <v>18</v>
      </c>
      <c r="C133" s="109">
        <f t="shared" si="75"/>
        <v>0</v>
      </c>
      <c r="D133" s="109"/>
      <c r="E133" s="110">
        <f>SUM(E134:E147)</f>
        <v>0</v>
      </c>
      <c r="F133" s="110">
        <f t="shared" ref="F133" si="78">SUM(F134:F147)</f>
        <v>0</v>
      </c>
      <c r="G133" s="109">
        <f>SUM(G134:G147)</f>
        <v>0</v>
      </c>
      <c r="H133" s="110">
        <f t="shared" ref="H133:K133" si="79">SUM(H134:H147)</f>
        <v>0</v>
      </c>
      <c r="I133" s="110">
        <f t="shared" si="79"/>
        <v>0</v>
      </c>
      <c r="J133" s="110">
        <f t="shared" si="79"/>
        <v>0</v>
      </c>
      <c r="K133" s="110">
        <f t="shared" si="79"/>
        <v>0</v>
      </c>
      <c r="L133" s="110">
        <f>SUM(L134:L147)</f>
        <v>0</v>
      </c>
      <c r="M133" s="111">
        <f t="shared" ref="M133:P133" si="80">SUM(M134:M147)</f>
        <v>0</v>
      </c>
      <c r="N133" s="111">
        <f t="shared" si="80"/>
        <v>0</v>
      </c>
      <c r="O133" s="110">
        <f t="shared" si="80"/>
        <v>0</v>
      </c>
      <c r="P133" s="110">
        <f t="shared" si="80"/>
        <v>0</v>
      </c>
      <c r="S133" s="478"/>
      <c r="T133" s="478"/>
      <c r="U133" s="478"/>
      <c r="V133" s="478"/>
      <c r="W133" s="478"/>
      <c r="X133" s="478"/>
      <c r="Y133" s="478"/>
    </row>
    <row r="134" spans="2:25" hidden="1" outlineLevel="1" x14ac:dyDescent="0.2">
      <c r="B134" s="112" t="s">
        <v>58</v>
      </c>
      <c r="C134" s="81">
        <f t="shared" si="75"/>
        <v>0</v>
      </c>
      <c r="D134" s="80"/>
      <c r="E134" s="80"/>
      <c r="F134" s="102"/>
      <c r="G134" s="80"/>
      <c r="H134" s="102"/>
      <c r="I134" s="102"/>
      <c r="J134" s="102"/>
      <c r="K134" s="102"/>
      <c r="L134" s="102"/>
      <c r="M134" s="104"/>
      <c r="N134" s="104"/>
      <c r="O134" s="80"/>
      <c r="P134" s="80"/>
      <c r="S134" s="478"/>
      <c r="T134" s="478"/>
      <c r="U134" s="478"/>
      <c r="V134" s="478"/>
      <c r="W134" s="478"/>
      <c r="X134" s="478"/>
      <c r="Y134" s="478"/>
    </row>
    <row r="135" spans="2:25" hidden="1" outlineLevel="1" x14ac:dyDescent="0.2">
      <c r="B135" s="112" t="s">
        <v>73</v>
      </c>
      <c r="C135" s="81">
        <f t="shared" si="75"/>
        <v>0</v>
      </c>
      <c r="D135" s="80"/>
      <c r="E135" s="80"/>
      <c r="F135" s="102"/>
      <c r="G135" s="80"/>
      <c r="H135" s="102"/>
      <c r="I135" s="102"/>
      <c r="J135" s="102"/>
      <c r="K135" s="102"/>
      <c r="L135" s="102"/>
      <c r="M135" s="104"/>
      <c r="N135" s="104"/>
      <c r="O135" s="80"/>
      <c r="P135" s="80"/>
      <c r="S135" s="478"/>
      <c r="T135" s="478"/>
      <c r="U135" s="478"/>
      <c r="V135" s="478"/>
      <c r="W135" s="478"/>
      <c r="X135" s="478"/>
      <c r="Y135" s="478"/>
    </row>
    <row r="136" spans="2:25" hidden="1" outlineLevel="1" x14ac:dyDescent="0.2">
      <c r="B136" s="112" t="s">
        <v>60</v>
      </c>
      <c r="C136" s="81">
        <f t="shared" ref="C136:C143" si="81">SUM(E136:P136)</f>
        <v>0</v>
      </c>
      <c r="D136" s="80"/>
      <c r="E136" s="80"/>
      <c r="F136" s="102"/>
      <c r="G136" s="80"/>
      <c r="H136" s="102"/>
      <c r="I136" s="102"/>
      <c r="J136" s="102"/>
      <c r="K136" s="102"/>
      <c r="L136" s="102"/>
      <c r="M136" s="104"/>
      <c r="N136" s="104"/>
      <c r="O136" s="80"/>
      <c r="P136" s="80"/>
      <c r="S136" s="478"/>
      <c r="T136" s="478"/>
      <c r="U136" s="478"/>
      <c r="V136" s="478"/>
      <c r="W136" s="478"/>
      <c r="X136" s="478"/>
      <c r="Y136" s="478"/>
    </row>
    <row r="137" spans="2:25" hidden="1" outlineLevel="1" x14ac:dyDescent="0.2">
      <c r="B137" s="112" t="s">
        <v>61</v>
      </c>
      <c r="C137" s="81">
        <f t="shared" si="81"/>
        <v>0</v>
      </c>
      <c r="D137" s="80"/>
      <c r="E137" s="80"/>
      <c r="F137" s="102"/>
      <c r="G137" s="80"/>
      <c r="H137" s="102"/>
      <c r="I137" s="102"/>
      <c r="J137" s="102"/>
      <c r="K137" s="102"/>
      <c r="L137" s="102"/>
      <c r="M137" s="104"/>
      <c r="N137" s="104"/>
      <c r="O137" s="80"/>
      <c r="P137" s="80"/>
      <c r="S137" s="478"/>
      <c r="T137" s="478"/>
      <c r="U137" s="478"/>
      <c r="V137" s="478"/>
      <c r="W137" s="478"/>
      <c r="X137" s="478"/>
      <c r="Y137" s="478"/>
    </row>
    <row r="138" spans="2:25" hidden="1" outlineLevel="1" x14ac:dyDescent="0.2">
      <c r="B138" s="112" t="s">
        <v>62</v>
      </c>
      <c r="C138" s="81">
        <f t="shared" si="81"/>
        <v>0</v>
      </c>
      <c r="D138" s="80"/>
      <c r="E138" s="80"/>
      <c r="F138" s="102"/>
      <c r="G138" s="80"/>
      <c r="H138" s="102"/>
      <c r="I138" s="102"/>
      <c r="J138" s="102"/>
      <c r="K138" s="102"/>
      <c r="L138" s="102"/>
      <c r="M138" s="104"/>
      <c r="N138" s="104"/>
      <c r="O138" s="80"/>
      <c r="P138" s="80"/>
      <c r="S138" s="478"/>
      <c r="T138" s="478"/>
      <c r="U138" s="478"/>
      <c r="V138" s="478"/>
      <c r="W138" s="478"/>
      <c r="X138" s="478"/>
      <c r="Y138" s="478"/>
    </row>
    <row r="139" spans="2:25" hidden="1" outlineLevel="1" x14ac:dyDescent="0.2">
      <c r="B139" s="112" t="s">
        <v>63</v>
      </c>
      <c r="C139" s="81">
        <f t="shared" si="81"/>
        <v>0</v>
      </c>
      <c r="D139" s="81"/>
      <c r="E139" s="80"/>
      <c r="F139" s="80"/>
      <c r="G139" s="81"/>
      <c r="H139" s="81"/>
      <c r="I139" s="81"/>
      <c r="J139" s="81"/>
      <c r="K139" s="81"/>
      <c r="L139" s="81"/>
      <c r="M139" s="103"/>
      <c r="N139" s="104"/>
      <c r="O139" s="81"/>
      <c r="P139" s="81"/>
      <c r="S139" s="478"/>
      <c r="T139" s="478"/>
      <c r="U139" s="478"/>
      <c r="V139" s="478"/>
      <c r="W139" s="478"/>
      <c r="X139" s="478"/>
      <c r="Y139" s="478"/>
    </row>
    <row r="140" spans="2:25" hidden="1" outlineLevel="1" x14ac:dyDescent="0.2">
      <c r="B140" s="112" t="s">
        <v>64</v>
      </c>
      <c r="C140" s="81">
        <f t="shared" si="81"/>
        <v>0</v>
      </c>
      <c r="D140" s="81"/>
      <c r="E140" s="80"/>
      <c r="F140" s="80"/>
      <c r="G140" s="81"/>
      <c r="H140" s="81"/>
      <c r="I140" s="81"/>
      <c r="J140" s="81"/>
      <c r="K140" s="81"/>
      <c r="L140" s="81"/>
      <c r="M140" s="103"/>
      <c r="N140" s="104"/>
      <c r="O140" s="81"/>
      <c r="P140" s="81"/>
      <c r="S140" s="478"/>
      <c r="T140" s="478"/>
      <c r="U140" s="478"/>
      <c r="V140" s="478"/>
      <c r="W140" s="478"/>
      <c r="X140" s="478"/>
      <c r="Y140" s="478"/>
    </row>
    <row r="141" spans="2:25" hidden="1" outlineLevel="1" x14ac:dyDescent="0.2">
      <c r="B141" s="112" t="s">
        <v>65</v>
      </c>
      <c r="C141" s="81">
        <f t="shared" si="81"/>
        <v>0</v>
      </c>
      <c r="D141" s="80"/>
      <c r="E141" s="80"/>
      <c r="F141" s="102"/>
      <c r="G141" s="80"/>
      <c r="H141" s="102"/>
      <c r="I141" s="102"/>
      <c r="J141" s="102"/>
      <c r="K141" s="102"/>
      <c r="L141" s="102"/>
      <c r="M141" s="104"/>
      <c r="N141" s="104"/>
      <c r="O141" s="80"/>
      <c r="P141" s="80"/>
      <c r="S141" s="478"/>
      <c r="T141" s="478"/>
      <c r="U141" s="478"/>
      <c r="V141" s="478"/>
      <c r="W141" s="478"/>
      <c r="X141" s="478"/>
      <c r="Y141" s="478"/>
    </row>
    <row r="142" spans="2:25" hidden="1" outlineLevel="1" x14ac:dyDescent="0.2">
      <c r="B142" s="112" t="s">
        <v>66</v>
      </c>
      <c r="C142" s="81">
        <f t="shared" si="81"/>
        <v>0</v>
      </c>
      <c r="D142" s="80"/>
      <c r="E142" s="80"/>
      <c r="F142" s="102"/>
      <c r="G142" s="80"/>
      <c r="H142" s="102"/>
      <c r="I142" s="102"/>
      <c r="J142" s="102"/>
      <c r="K142" s="102"/>
      <c r="L142" s="102"/>
      <c r="M142" s="104"/>
      <c r="N142" s="104"/>
      <c r="O142" s="80"/>
      <c r="P142" s="80"/>
      <c r="S142" s="478"/>
      <c r="T142" s="478"/>
      <c r="U142" s="478"/>
      <c r="V142" s="478"/>
      <c r="W142" s="478"/>
      <c r="X142" s="478"/>
      <c r="Y142" s="478"/>
    </row>
    <row r="143" spans="2:25" hidden="1" outlineLevel="1" x14ac:dyDescent="0.2">
      <c r="B143" s="112" t="s">
        <v>67</v>
      </c>
      <c r="C143" s="81">
        <f t="shared" si="81"/>
        <v>0</v>
      </c>
      <c r="D143" s="80"/>
      <c r="E143" s="80"/>
      <c r="F143" s="102"/>
      <c r="G143" s="80"/>
      <c r="H143" s="102"/>
      <c r="I143" s="102"/>
      <c r="J143" s="102"/>
      <c r="K143" s="102"/>
      <c r="L143" s="102"/>
      <c r="M143" s="104"/>
      <c r="N143" s="104"/>
      <c r="O143" s="80"/>
      <c r="P143" s="80"/>
      <c r="S143" s="478"/>
      <c r="T143" s="478"/>
      <c r="U143" s="478"/>
      <c r="V143" s="478"/>
      <c r="W143" s="478"/>
      <c r="X143" s="478"/>
      <c r="Y143" s="478"/>
    </row>
    <row r="144" spans="2:25" hidden="1" outlineLevel="1" x14ac:dyDescent="0.2">
      <c r="B144" s="112" t="s">
        <v>68</v>
      </c>
      <c r="C144" s="81">
        <f t="shared" ref="C144:C148" si="82">SUM(E144:P144)</f>
        <v>0</v>
      </c>
      <c r="D144" s="80"/>
      <c r="E144" s="80"/>
      <c r="F144" s="102"/>
      <c r="G144" s="80"/>
      <c r="H144" s="102"/>
      <c r="I144" s="102"/>
      <c r="J144" s="102"/>
      <c r="K144" s="102"/>
      <c r="L144" s="102"/>
      <c r="M144" s="104"/>
      <c r="N144" s="104"/>
      <c r="O144" s="80"/>
      <c r="P144" s="80"/>
      <c r="S144" s="478"/>
      <c r="T144" s="478"/>
      <c r="U144" s="478"/>
      <c r="V144" s="478"/>
      <c r="W144" s="478"/>
      <c r="X144" s="478"/>
      <c r="Y144" s="478"/>
    </row>
    <row r="145" spans="2:25" hidden="1" outlineLevel="1" x14ac:dyDescent="0.2">
      <c r="B145" s="112" t="s">
        <v>69</v>
      </c>
      <c r="C145" s="81">
        <f t="shared" si="82"/>
        <v>0</v>
      </c>
      <c r="D145" s="81"/>
      <c r="E145" s="80"/>
      <c r="F145" s="80"/>
      <c r="G145" s="81"/>
      <c r="H145" s="81"/>
      <c r="I145" s="81"/>
      <c r="J145" s="81"/>
      <c r="K145" s="81"/>
      <c r="L145" s="81"/>
      <c r="M145" s="103"/>
      <c r="N145" s="104"/>
      <c r="O145" s="81"/>
      <c r="P145" s="81"/>
      <c r="S145" s="478"/>
      <c r="T145" s="478"/>
      <c r="U145" s="478"/>
      <c r="V145" s="478"/>
      <c r="W145" s="478"/>
      <c r="X145" s="478"/>
      <c r="Y145" s="478"/>
    </row>
    <row r="146" spans="2:25" hidden="1" outlineLevel="1" x14ac:dyDescent="0.2">
      <c r="B146" s="112" t="s">
        <v>70</v>
      </c>
      <c r="C146" s="81">
        <f t="shared" si="82"/>
        <v>0</v>
      </c>
      <c r="D146" s="81"/>
      <c r="E146" s="80"/>
      <c r="F146" s="80"/>
      <c r="G146" s="81"/>
      <c r="H146" s="81"/>
      <c r="I146" s="81"/>
      <c r="J146" s="81"/>
      <c r="K146" s="81"/>
      <c r="L146" s="81"/>
      <c r="M146" s="103"/>
      <c r="N146" s="104"/>
      <c r="O146" s="81"/>
      <c r="P146" s="81"/>
      <c r="S146" s="478"/>
      <c r="T146" s="478"/>
      <c r="U146" s="478"/>
      <c r="V146" s="478"/>
      <c r="W146" s="478"/>
      <c r="X146" s="478"/>
      <c r="Y146" s="478"/>
    </row>
    <row r="147" spans="2:25" hidden="1" outlineLevel="1" x14ac:dyDescent="0.2">
      <c r="B147" s="112" t="s">
        <v>71</v>
      </c>
      <c r="C147" s="81">
        <f t="shared" si="82"/>
        <v>0</v>
      </c>
      <c r="D147" s="80"/>
      <c r="E147" s="80"/>
      <c r="F147" s="80"/>
      <c r="G147" s="80"/>
      <c r="H147" s="80"/>
      <c r="I147" s="102"/>
      <c r="J147" s="102"/>
      <c r="K147" s="102"/>
      <c r="L147" s="102"/>
      <c r="M147" s="104"/>
      <c r="N147" s="104"/>
      <c r="O147" s="80"/>
      <c r="P147" s="80"/>
      <c r="S147" s="478"/>
      <c r="T147" s="478"/>
      <c r="U147" s="478"/>
      <c r="V147" s="478"/>
      <c r="W147" s="478"/>
      <c r="X147" s="478"/>
      <c r="Y147" s="478"/>
    </row>
    <row r="148" spans="2:25" collapsed="1" x14ac:dyDescent="0.2">
      <c r="B148" s="94" t="s">
        <v>74</v>
      </c>
      <c r="C148" s="92">
        <f t="shared" si="82"/>
        <v>1973196.01</v>
      </c>
      <c r="D148" s="92">
        <f t="shared" ref="D148:P148" si="83">+D96-D98</f>
        <v>178491.77999999997</v>
      </c>
      <c r="E148" s="92">
        <f t="shared" si="83"/>
        <v>662808.63999999664</v>
      </c>
      <c r="F148" s="92">
        <f t="shared" si="83"/>
        <v>1310387.3700000034</v>
      </c>
      <c r="G148" s="92">
        <f t="shared" si="83"/>
        <v>0</v>
      </c>
      <c r="H148" s="92">
        <f t="shared" si="83"/>
        <v>0</v>
      </c>
      <c r="I148" s="92">
        <f t="shared" si="83"/>
        <v>0</v>
      </c>
      <c r="J148" s="92">
        <f t="shared" si="83"/>
        <v>0</v>
      </c>
      <c r="K148" s="92">
        <f t="shared" si="83"/>
        <v>0</v>
      </c>
      <c r="L148" s="92">
        <f t="shared" si="83"/>
        <v>0</v>
      </c>
      <c r="M148" s="92">
        <f t="shared" si="83"/>
        <v>0</v>
      </c>
      <c r="N148" s="92">
        <f t="shared" si="83"/>
        <v>0</v>
      </c>
      <c r="O148" s="92">
        <f t="shared" si="83"/>
        <v>0</v>
      </c>
      <c r="P148" s="92">
        <f t="shared" si="83"/>
        <v>0</v>
      </c>
      <c r="S148" s="478"/>
      <c r="T148" s="478"/>
      <c r="U148" s="478"/>
      <c r="V148" s="478"/>
      <c r="W148" s="478"/>
      <c r="X148" s="478"/>
      <c r="Y148" s="478"/>
    </row>
    <row r="149" spans="2:25" x14ac:dyDescent="0.2">
      <c r="B149" s="113" t="s">
        <v>21</v>
      </c>
      <c r="C149" s="93">
        <f>+IFERROR(C148/C79,)</f>
        <v>8.5733157102299923E-2</v>
      </c>
      <c r="D149" s="93">
        <f>+IFERROR(D148/D79,)</f>
        <v>2.3909658703601358E-2</v>
      </c>
      <c r="E149" s="93">
        <f t="shared" ref="E149:P149" si="84">+IFERROR(E148/E79,)</f>
        <v>6.4167623195186346E-2</v>
      </c>
      <c r="F149" s="93">
        <f t="shared" si="84"/>
        <v>0.10329217134001598</v>
      </c>
      <c r="G149" s="93">
        <f t="shared" si="84"/>
        <v>0</v>
      </c>
      <c r="H149" s="93">
        <f t="shared" si="84"/>
        <v>0</v>
      </c>
      <c r="I149" s="93">
        <f t="shared" si="84"/>
        <v>0</v>
      </c>
      <c r="J149" s="93">
        <f t="shared" si="84"/>
        <v>0</v>
      </c>
      <c r="K149" s="93">
        <f t="shared" si="84"/>
        <v>0</v>
      </c>
      <c r="L149" s="93">
        <f t="shared" si="84"/>
        <v>0</v>
      </c>
      <c r="M149" s="93">
        <f t="shared" si="84"/>
        <v>0</v>
      </c>
      <c r="N149" s="93">
        <f t="shared" si="84"/>
        <v>0</v>
      </c>
      <c r="O149" s="93">
        <f t="shared" si="84"/>
        <v>0</v>
      </c>
      <c r="P149" s="93">
        <f t="shared" si="84"/>
        <v>0</v>
      </c>
      <c r="S149" s="478"/>
      <c r="U149" s="478"/>
      <c r="V149" s="478"/>
      <c r="W149" s="478"/>
      <c r="X149" s="478"/>
      <c r="Y149" s="478"/>
    </row>
    <row r="150" spans="2:25" x14ac:dyDescent="0.2">
      <c r="C150" s="15" t="b">
        <f>SUM(E148:M148)=SUM(E150:M150)</f>
        <v>0</v>
      </c>
      <c r="S150" s="478"/>
      <c r="U150" s="478"/>
      <c r="V150" s="478"/>
      <c r="W150" s="478"/>
      <c r="X150" s="478"/>
      <c r="Y150" s="478"/>
    </row>
    <row r="151" spans="2:25" x14ac:dyDescent="0.2">
      <c r="S151" s="478"/>
      <c r="T151" s="32">
        <f>SUM(T152:T166)</f>
        <v>2467807.4000000004</v>
      </c>
      <c r="U151" s="478"/>
      <c r="V151" s="478"/>
      <c r="W151" s="478"/>
      <c r="X151" s="478"/>
      <c r="Y151" s="478"/>
    </row>
    <row r="152" spans="2:25" ht="17.25" x14ac:dyDescent="0.2">
      <c r="B152" s="115" t="s">
        <v>119</v>
      </c>
      <c r="E152" s="32">
        <v>2172648.5499999998</v>
      </c>
      <c r="F152" s="32">
        <v>2467807.4</v>
      </c>
      <c r="N152" s="32"/>
      <c r="P152" s="15" t="s">
        <v>118</v>
      </c>
      <c r="S152" s="478" t="s">
        <v>516</v>
      </c>
      <c r="T152" s="478">
        <v>-33459.26</v>
      </c>
      <c r="U152" s="478"/>
      <c r="V152" s="478"/>
      <c r="W152" s="478"/>
      <c r="X152" s="478"/>
      <c r="Y152" s="478"/>
    </row>
    <row r="153" spans="2:25" x14ac:dyDescent="0.2">
      <c r="B153" s="94" t="s">
        <v>75</v>
      </c>
      <c r="C153" s="92" t="s">
        <v>76</v>
      </c>
      <c r="D153" s="92" t="s">
        <v>77</v>
      </c>
      <c r="E153" s="92" t="s">
        <v>78</v>
      </c>
      <c r="F153" s="92" t="s">
        <v>79</v>
      </c>
      <c r="G153" s="92" t="s">
        <v>80</v>
      </c>
      <c r="H153" s="92" t="s">
        <v>81</v>
      </c>
      <c r="I153" s="92" t="s">
        <v>82</v>
      </c>
      <c r="J153" s="92" t="s">
        <v>83</v>
      </c>
      <c r="K153" s="92" t="s">
        <v>84</v>
      </c>
      <c r="L153" s="92" t="s">
        <v>85</v>
      </c>
      <c r="M153" s="92" t="s">
        <v>86</v>
      </c>
      <c r="N153" s="92" t="s">
        <v>87</v>
      </c>
      <c r="O153" s="92" t="s">
        <v>88</v>
      </c>
      <c r="P153" s="92" t="s">
        <v>89</v>
      </c>
      <c r="S153" s="478" t="s">
        <v>517</v>
      </c>
      <c r="T153" s="455">
        <v>2303098.4</v>
      </c>
      <c r="U153" s="478"/>
      <c r="V153" s="478" t="s">
        <v>109</v>
      </c>
      <c r="W153" s="478">
        <f>+T153+T157</f>
        <v>2303492.4</v>
      </c>
      <c r="X153" s="478"/>
      <c r="Y153" s="478"/>
    </row>
    <row r="154" spans="2:25" x14ac:dyDescent="0.2">
      <c r="B154" s="95" t="s">
        <v>11</v>
      </c>
      <c r="C154" s="78">
        <f t="shared" ref="C154" si="85">SUM(C155:C158)</f>
        <v>4640455.95</v>
      </c>
      <c r="D154" s="78">
        <v>2378275.09</v>
      </c>
      <c r="E154" s="78">
        <f>SUM(E155:E158)</f>
        <v>2172648.5499999998</v>
      </c>
      <c r="F154" s="78">
        <f t="shared" ref="F154:H154" si="86">SUM(F155:F158)</f>
        <v>2467807.4</v>
      </c>
      <c r="G154" s="78">
        <f t="shared" si="86"/>
        <v>0</v>
      </c>
      <c r="H154" s="78">
        <f t="shared" si="86"/>
        <v>0</v>
      </c>
      <c r="I154" s="78">
        <f t="shared" ref="I154:N154" si="87">SUM(I155:I158)</f>
        <v>0</v>
      </c>
      <c r="J154" s="78">
        <f t="shared" si="87"/>
        <v>0</v>
      </c>
      <c r="K154" s="78">
        <f t="shared" si="87"/>
        <v>0</v>
      </c>
      <c r="L154" s="78">
        <f t="shared" si="87"/>
        <v>0</v>
      </c>
      <c r="M154" s="78">
        <f t="shared" si="87"/>
        <v>0</v>
      </c>
      <c r="N154" s="78">
        <f t="shared" si="87"/>
        <v>0</v>
      </c>
      <c r="O154" s="509">
        <f>SUM(O155:O158)</f>
        <v>0</v>
      </c>
      <c r="P154" s="78">
        <f>SUM(P155:P158)</f>
        <v>0</v>
      </c>
      <c r="S154" s="478" t="s">
        <v>518</v>
      </c>
      <c r="T154" s="478">
        <v>0</v>
      </c>
      <c r="U154" s="478"/>
      <c r="V154" s="478" t="s">
        <v>554</v>
      </c>
      <c r="W154" s="478">
        <f>+T155+T158+T159+T160</f>
        <v>153175.97000000003</v>
      </c>
      <c r="X154" s="478"/>
      <c r="Y154" s="478"/>
    </row>
    <row r="155" spans="2:25" x14ac:dyDescent="0.2">
      <c r="B155" s="116" t="s">
        <v>109</v>
      </c>
      <c r="C155" s="81">
        <f>SUM(E155:P155)</f>
        <v>4437044</v>
      </c>
      <c r="D155" s="81">
        <v>1490012.26</v>
      </c>
      <c r="E155" s="81">
        <v>2133551.5999999996</v>
      </c>
      <c r="F155" s="81">
        <v>2303492.4</v>
      </c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455"/>
      <c r="S155" s="478" t="s">
        <v>519</v>
      </c>
      <c r="T155" s="650">
        <v>154089</v>
      </c>
      <c r="U155" s="478"/>
      <c r="V155" s="478" t="s">
        <v>555</v>
      </c>
      <c r="W155" s="478">
        <f>+T154</f>
        <v>0</v>
      </c>
      <c r="X155" s="478"/>
      <c r="Y155" s="478"/>
    </row>
    <row r="156" spans="2:25" x14ac:dyDescent="0.2">
      <c r="B156" s="112" t="s">
        <v>106</v>
      </c>
      <c r="C156" s="81">
        <f t="shared" ref="C156:C158" si="88">SUM(E156:P156)</f>
        <v>179933.86000000004</v>
      </c>
      <c r="D156" s="81">
        <v>277853.12</v>
      </c>
      <c r="E156" s="81">
        <v>26757.890000000007</v>
      </c>
      <c r="F156" s="81">
        <v>153175.97000000003</v>
      </c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455"/>
      <c r="S156" s="478" t="s">
        <v>520</v>
      </c>
      <c r="T156" s="457">
        <v>262.29000000000002</v>
      </c>
      <c r="U156" s="478"/>
      <c r="V156" s="478" t="s">
        <v>345</v>
      </c>
      <c r="W156" s="478">
        <f>+T152+T156+T161+T162+T163+T164+T165</f>
        <v>11139.029999999999</v>
      </c>
      <c r="X156" s="478"/>
      <c r="Y156" s="478"/>
    </row>
    <row r="157" spans="2:25" x14ac:dyDescent="0.2">
      <c r="B157" s="112" t="s">
        <v>107</v>
      </c>
      <c r="C157" s="81">
        <f t="shared" si="88"/>
        <v>-9997.16</v>
      </c>
      <c r="D157" s="81">
        <v>534125.88</v>
      </c>
      <c r="E157" s="81">
        <v>-9997.16</v>
      </c>
      <c r="F157" s="81">
        <v>0</v>
      </c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455"/>
      <c r="S157" s="478" t="s">
        <v>521</v>
      </c>
      <c r="T157" s="457">
        <v>394</v>
      </c>
      <c r="U157" s="478"/>
      <c r="V157" s="478"/>
      <c r="W157" s="478"/>
      <c r="X157" s="478"/>
      <c r="Y157" s="478"/>
    </row>
    <row r="158" spans="2:25" x14ac:dyDescent="0.2">
      <c r="B158" s="116" t="s">
        <v>345</v>
      </c>
      <c r="C158" s="81">
        <f t="shared" si="88"/>
        <v>33475.25</v>
      </c>
      <c r="D158" s="81">
        <v>76283.83</v>
      </c>
      <c r="E158" s="81">
        <v>22336.22</v>
      </c>
      <c r="F158" s="81">
        <v>11139.029999999999</v>
      </c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455"/>
      <c r="S158" s="478" t="s">
        <v>522</v>
      </c>
      <c r="T158" s="650">
        <v>4109.2</v>
      </c>
      <c r="U158" s="478"/>
      <c r="V158" s="478"/>
      <c r="W158" s="478"/>
      <c r="X158" s="478"/>
      <c r="Y158" s="478"/>
    </row>
    <row r="159" spans="2:25" x14ac:dyDescent="0.2">
      <c r="B159" s="67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455"/>
      <c r="S159" s="478" t="s">
        <v>523</v>
      </c>
      <c r="T159" s="650">
        <v>-6119.62</v>
      </c>
      <c r="U159" s="478"/>
      <c r="V159" s="478"/>
      <c r="W159" s="478"/>
      <c r="X159" s="478"/>
      <c r="Y159" s="478"/>
    </row>
    <row r="160" spans="2:25" x14ac:dyDescent="0.2">
      <c r="B160" s="95" t="s">
        <v>12</v>
      </c>
      <c r="C160" s="78">
        <f t="shared" ref="C160" si="89">SUM(C161:C164)</f>
        <v>5236303.9800000004</v>
      </c>
      <c r="D160" s="78">
        <v>2840384.3531110892</v>
      </c>
      <c r="E160" s="78">
        <f>SUM(E161:E163)</f>
        <v>2414616.37</v>
      </c>
      <c r="F160" s="78">
        <f t="shared" ref="F160:P160" si="90">SUM(F161:F163)</f>
        <v>2821687.61</v>
      </c>
      <c r="G160" s="78">
        <f t="shared" si="90"/>
        <v>0</v>
      </c>
      <c r="H160" s="78">
        <f t="shared" si="90"/>
        <v>0</v>
      </c>
      <c r="I160" s="78">
        <f t="shared" si="90"/>
        <v>0</v>
      </c>
      <c r="J160" s="78">
        <f t="shared" si="90"/>
        <v>0</v>
      </c>
      <c r="K160" s="78">
        <f t="shared" si="90"/>
        <v>0</v>
      </c>
      <c r="L160" s="78">
        <f t="shared" si="90"/>
        <v>0</v>
      </c>
      <c r="M160" s="78">
        <f t="shared" si="90"/>
        <v>0</v>
      </c>
      <c r="N160" s="78">
        <f t="shared" si="90"/>
        <v>0</v>
      </c>
      <c r="O160" s="78">
        <f t="shared" si="90"/>
        <v>0</v>
      </c>
      <c r="P160" s="78">
        <f t="shared" si="90"/>
        <v>0</v>
      </c>
      <c r="Q160" s="455"/>
      <c r="S160" s="478" t="s">
        <v>524</v>
      </c>
      <c r="T160" s="650">
        <v>1097.3900000000001</v>
      </c>
      <c r="U160" s="478"/>
      <c r="V160" s="478"/>
      <c r="W160" s="478"/>
      <c r="X160" s="478"/>
      <c r="Y160" s="478"/>
    </row>
    <row r="161" spans="2:25" x14ac:dyDescent="0.2">
      <c r="B161" s="114" t="s">
        <v>115</v>
      </c>
      <c r="C161" s="81">
        <f>SUM(E161:P161)</f>
        <v>5530993.9800000004</v>
      </c>
      <c r="D161" s="81">
        <v>3003041.23</v>
      </c>
      <c r="E161" s="81">
        <v>2709306.37</v>
      </c>
      <c r="F161" s="81">
        <v>2821687.61</v>
      </c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455"/>
      <c r="S161" s="478" t="s">
        <v>552</v>
      </c>
      <c r="T161" s="457">
        <v>3040</v>
      </c>
      <c r="U161" s="478"/>
      <c r="V161" s="478"/>
      <c r="W161" s="478"/>
      <c r="X161" s="478"/>
      <c r="Y161" s="478"/>
    </row>
    <row r="162" spans="2:25" x14ac:dyDescent="0.2">
      <c r="B162" s="114" t="s">
        <v>116</v>
      </c>
      <c r="C162" s="81">
        <f>SUM(E162:P162)</f>
        <v>0</v>
      </c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455"/>
      <c r="S162" s="478" t="s">
        <v>525</v>
      </c>
      <c r="T162" s="457">
        <v>20496</v>
      </c>
      <c r="U162" s="478"/>
      <c r="V162" s="478"/>
      <c r="W162" s="478"/>
      <c r="X162" s="478"/>
      <c r="Y162" s="478"/>
    </row>
    <row r="163" spans="2:25" x14ac:dyDescent="0.2">
      <c r="B163" s="114" t="s">
        <v>117</v>
      </c>
      <c r="C163" s="81">
        <f>SUM(E163:P163)</f>
        <v>-294690</v>
      </c>
      <c r="D163" s="81">
        <v>-162656.87688891101</v>
      </c>
      <c r="E163" s="637">
        <v>-294690</v>
      </c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455"/>
      <c r="S163" s="478" t="s">
        <v>526</v>
      </c>
      <c r="T163" s="457">
        <v>10000</v>
      </c>
      <c r="U163" s="478"/>
      <c r="V163" s="478"/>
      <c r="W163" s="478"/>
      <c r="X163" s="478"/>
      <c r="Y163" s="478"/>
    </row>
    <row r="164" spans="2:25" x14ac:dyDescent="0.2">
      <c r="B164" s="80"/>
      <c r="C164" s="81"/>
      <c r="D164" s="81"/>
      <c r="E164" s="81"/>
      <c r="F164" s="50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S164" s="478" t="s">
        <v>553</v>
      </c>
      <c r="T164" s="457">
        <v>10800</v>
      </c>
      <c r="U164" s="478"/>
      <c r="V164" s="478"/>
      <c r="W164" s="478"/>
      <c r="X164" s="478"/>
      <c r="Y164" s="478"/>
    </row>
    <row r="165" spans="2:25" x14ac:dyDescent="0.2">
      <c r="B165" s="95" t="s">
        <v>13</v>
      </c>
      <c r="C165" s="78">
        <f t="shared" ref="C165:P165" si="91">+C154-C160</f>
        <v>-595848.03000000026</v>
      </c>
      <c r="D165" s="78">
        <v>-462109.26311108936</v>
      </c>
      <c r="E165" s="78">
        <f>E154-E160</f>
        <v>-241967.8200000003</v>
      </c>
      <c r="F165" s="78">
        <f t="shared" si="91"/>
        <v>-353880.20999999996</v>
      </c>
      <c r="G165" s="78">
        <f t="shared" si="91"/>
        <v>0</v>
      </c>
      <c r="H165" s="78">
        <f t="shared" si="91"/>
        <v>0</v>
      </c>
      <c r="I165" s="78">
        <f t="shared" si="91"/>
        <v>0</v>
      </c>
      <c r="J165" s="78">
        <f t="shared" si="91"/>
        <v>0</v>
      </c>
      <c r="K165" s="78">
        <f t="shared" si="91"/>
        <v>0</v>
      </c>
      <c r="L165" s="78">
        <f t="shared" si="91"/>
        <v>0</v>
      </c>
      <c r="M165" s="78">
        <f t="shared" si="91"/>
        <v>0</v>
      </c>
      <c r="N165" s="78">
        <f t="shared" si="91"/>
        <v>0</v>
      </c>
      <c r="O165" s="78">
        <f t="shared" si="91"/>
        <v>0</v>
      </c>
      <c r="P165" s="78">
        <f t="shared" si="91"/>
        <v>0</v>
      </c>
      <c r="S165" s="32" t="s">
        <v>527</v>
      </c>
      <c r="T165" s="478">
        <v>0</v>
      </c>
    </row>
    <row r="166" spans="2:25" x14ac:dyDescent="0.2">
      <c r="B166" s="96" t="s">
        <v>14</v>
      </c>
      <c r="C166" s="82">
        <f t="shared" ref="C166:P166" si="92">+IFERROR(C165/C154,)</f>
        <v>-0.12840290618425118</v>
      </c>
      <c r="D166" s="82">
        <v>-0.19430437843550277</v>
      </c>
      <c r="E166" s="82">
        <f t="shared" si="92"/>
        <v>-0.11136997744066812</v>
      </c>
      <c r="F166" s="82">
        <f t="shared" si="92"/>
        <v>-0.14339863394525845</v>
      </c>
      <c r="G166" s="82">
        <f t="shared" si="92"/>
        <v>0</v>
      </c>
      <c r="H166" s="82">
        <f t="shared" si="92"/>
        <v>0</v>
      </c>
      <c r="I166" s="82">
        <f t="shared" si="92"/>
        <v>0</v>
      </c>
      <c r="J166" s="82">
        <f t="shared" si="92"/>
        <v>0</v>
      </c>
      <c r="K166" s="82">
        <f t="shared" si="92"/>
        <v>0</v>
      </c>
      <c r="L166" s="82">
        <f t="shared" si="92"/>
        <v>0</v>
      </c>
      <c r="M166" s="82">
        <f t="shared" si="92"/>
        <v>0</v>
      </c>
      <c r="N166" s="82">
        <f t="shared" si="92"/>
        <v>0</v>
      </c>
      <c r="O166" s="82">
        <f t="shared" si="92"/>
        <v>0</v>
      </c>
      <c r="P166" s="82">
        <f t="shared" si="92"/>
        <v>0</v>
      </c>
      <c r="S166" s="478"/>
      <c r="T166" s="455"/>
    </row>
    <row r="167" spans="2:25" x14ac:dyDescent="0.2">
      <c r="B167" s="95" t="s">
        <v>15</v>
      </c>
      <c r="C167" s="78">
        <f t="shared" ref="C167:C172" si="93">SUM(E167:P167)</f>
        <v>681522.29</v>
      </c>
      <c r="D167" s="78">
        <v>322530.26999999996</v>
      </c>
      <c r="E167" s="78">
        <f>+E168+E184+E202</f>
        <v>352591.57999999996</v>
      </c>
      <c r="F167" s="78">
        <f t="shared" ref="F167:P167" si="94">+F168+F184+F202</f>
        <v>328930.71000000002</v>
      </c>
      <c r="G167" s="78">
        <f t="shared" si="94"/>
        <v>0</v>
      </c>
      <c r="H167" s="78">
        <f t="shared" si="94"/>
        <v>0</v>
      </c>
      <c r="I167" s="78">
        <f t="shared" si="94"/>
        <v>0</v>
      </c>
      <c r="J167" s="78">
        <f t="shared" si="94"/>
        <v>0</v>
      </c>
      <c r="K167" s="78">
        <f t="shared" si="94"/>
        <v>0</v>
      </c>
      <c r="L167" s="78">
        <f t="shared" si="94"/>
        <v>0</v>
      </c>
      <c r="M167" s="78">
        <f t="shared" si="94"/>
        <v>0</v>
      </c>
      <c r="N167" s="78">
        <f t="shared" si="94"/>
        <v>0</v>
      </c>
      <c r="O167" s="78">
        <f t="shared" si="94"/>
        <v>0</v>
      </c>
      <c r="P167" s="78">
        <f t="shared" si="94"/>
        <v>0</v>
      </c>
      <c r="S167" s="478"/>
    </row>
    <row r="168" spans="2:25" ht="16.5" hidden="1" outlineLevel="1" x14ac:dyDescent="0.2">
      <c r="B168" s="97" t="s">
        <v>16</v>
      </c>
      <c r="C168" s="98">
        <f t="shared" si="93"/>
        <v>0</v>
      </c>
      <c r="D168" s="98">
        <v>0</v>
      </c>
      <c r="E168" s="99">
        <f>SUM(E169:E182)</f>
        <v>0</v>
      </c>
      <c r="F168" s="99">
        <f t="shared" ref="F168:P168" si="95">SUM(F169:F182)</f>
        <v>0</v>
      </c>
      <c r="G168" s="98">
        <f t="shared" si="95"/>
        <v>0</v>
      </c>
      <c r="H168" s="99">
        <f t="shared" si="95"/>
        <v>0</v>
      </c>
      <c r="I168" s="99">
        <f t="shared" si="95"/>
        <v>0</v>
      </c>
      <c r="J168" s="99">
        <f t="shared" si="95"/>
        <v>0</v>
      </c>
      <c r="K168" s="99">
        <f t="shared" si="95"/>
        <v>0</v>
      </c>
      <c r="L168" s="99">
        <f t="shared" si="95"/>
        <v>0</v>
      </c>
      <c r="M168" s="99">
        <f t="shared" si="95"/>
        <v>0</v>
      </c>
      <c r="N168" s="99">
        <f t="shared" si="95"/>
        <v>0</v>
      </c>
      <c r="O168" s="99">
        <f t="shared" si="95"/>
        <v>0</v>
      </c>
      <c r="P168" s="99">
        <f t="shared" si="95"/>
        <v>0</v>
      </c>
      <c r="S168" s="478"/>
      <c r="T168" s="32">
        <v>2172648.5499999998</v>
      </c>
    </row>
    <row r="169" spans="2:25" hidden="1" outlineLevel="1" x14ac:dyDescent="0.2">
      <c r="B169" s="67" t="s">
        <v>19</v>
      </c>
      <c r="C169" s="81">
        <f t="shared" si="93"/>
        <v>0</v>
      </c>
      <c r="D169" s="81"/>
      <c r="E169" s="81"/>
      <c r="F169" s="81"/>
      <c r="G169" s="81"/>
      <c r="H169" s="100"/>
      <c r="I169" s="100"/>
      <c r="J169" s="100"/>
      <c r="K169" s="100"/>
      <c r="L169" s="100"/>
      <c r="M169" s="101"/>
      <c r="N169" s="101"/>
      <c r="O169" s="81"/>
      <c r="P169" s="80"/>
      <c r="S169" s="478"/>
      <c r="T169" s="32">
        <v>2378275.09</v>
      </c>
    </row>
    <row r="170" spans="2:25" hidden="1" outlineLevel="1" x14ac:dyDescent="0.2">
      <c r="B170" s="67" t="s">
        <v>43</v>
      </c>
      <c r="C170" s="81">
        <f t="shared" si="93"/>
        <v>0</v>
      </c>
      <c r="D170" s="80"/>
      <c r="E170" s="80"/>
      <c r="F170" s="80"/>
      <c r="G170" s="80"/>
      <c r="H170" s="100"/>
      <c r="I170" s="100"/>
      <c r="J170" s="100"/>
      <c r="K170" s="100"/>
      <c r="L170" s="102"/>
      <c r="M170" s="101"/>
      <c r="N170" s="103"/>
      <c r="O170" s="80"/>
      <c r="P170" s="80"/>
      <c r="S170" s="478"/>
    </row>
    <row r="171" spans="2:25" hidden="1" outlineLevel="1" x14ac:dyDescent="0.2">
      <c r="B171" s="67" t="s">
        <v>45</v>
      </c>
      <c r="C171" s="81">
        <f t="shared" si="93"/>
        <v>0</v>
      </c>
      <c r="D171" s="80"/>
      <c r="E171" s="80"/>
      <c r="F171" s="80"/>
      <c r="G171" s="80"/>
      <c r="H171" s="102"/>
      <c r="I171" s="102"/>
      <c r="J171" s="102"/>
      <c r="K171" s="102"/>
      <c r="L171" s="102"/>
      <c r="M171" s="104"/>
      <c r="N171" s="103"/>
      <c r="O171" s="80"/>
      <c r="P171" s="80"/>
      <c r="S171" s="478"/>
    </row>
    <row r="172" spans="2:25" hidden="1" outlineLevel="1" x14ac:dyDescent="0.2">
      <c r="B172" s="67" t="s">
        <v>47</v>
      </c>
      <c r="C172" s="81">
        <f t="shared" si="93"/>
        <v>0</v>
      </c>
      <c r="D172" s="80"/>
      <c r="E172" s="80"/>
      <c r="F172" s="80"/>
      <c r="G172" s="80"/>
      <c r="H172" s="102"/>
      <c r="I172" s="102"/>
      <c r="J172" s="102"/>
      <c r="K172" s="102"/>
      <c r="L172" s="102"/>
      <c r="M172" s="104"/>
      <c r="N172" s="103"/>
      <c r="O172" s="80"/>
      <c r="P172" s="80"/>
      <c r="S172" s="478"/>
    </row>
    <row r="173" spans="2:25" hidden="1" outlineLevel="1" x14ac:dyDescent="0.2">
      <c r="B173" s="67" t="s">
        <v>48</v>
      </c>
      <c r="C173" s="81">
        <f>SUM(E173:P173)</f>
        <v>0</v>
      </c>
      <c r="D173" s="80"/>
      <c r="E173" s="80"/>
      <c r="F173" s="80"/>
      <c r="G173" s="80"/>
      <c r="H173" s="102"/>
      <c r="I173" s="102"/>
      <c r="J173" s="102"/>
      <c r="K173" s="102"/>
      <c r="L173" s="102"/>
      <c r="M173" s="104"/>
      <c r="N173" s="103"/>
      <c r="O173" s="80"/>
      <c r="P173" s="80"/>
      <c r="S173" s="478"/>
    </row>
    <row r="174" spans="2:25" hidden="1" outlineLevel="1" x14ac:dyDescent="0.2">
      <c r="B174" s="67" t="s">
        <v>49</v>
      </c>
      <c r="C174" s="81">
        <f t="shared" ref="C174:C182" si="96">SUM(E174:P174)</f>
        <v>0</v>
      </c>
      <c r="D174" s="81"/>
      <c r="E174" s="80"/>
      <c r="F174" s="80"/>
      <c r="G174" s="81"/>
      <c r="H174" s="81"/>
      <c r="I174" s="81"/>
      <c r="J174" s="81"/>
      <c r="K174" s="81"/>
      <c r="L174" s="81"/>
      <c r="M174" s="103"/>
      <c r="N174" s="103"/>
      <c r="O174" s="81"/>
      <c r="P174" s="81"/>
      <c r="S174" s="478"/>
    </row>
    <row r="175" spans="2:25" hidden="1" outlineLevel="1" x14ac:dyDescent="0.2">
      <c r="B175" s="67" t="s">
        <v>50</v>
      </c>
      <c r="C175" s="81">
        <f t="shared" si="96"/>
        <v>0</v>
      </c>
      <c r="D175" s="102"/>
      <c r="E175" s="80"/>
      <c r="F175" s="80"/>
      <c r="G175" s="81"/>
      <c r="H175" s="102"/>
      <c r="I175" s="81"/>
      <c r="J175" s="81"/>
      <c r="K175" s="81"/>
      <c r="L175" s="81"/>
      <c r="M175" s="103"/>
      <c r="N175" s="103"/>
      <c r="O175" s="80"/>
      <c r="P175" s="102"/>
      <c r="S175" s="478"/>
    </row>
    <row r="176" spans="2:25" hidden="1" outlineLevel="1" x14ac:dyDescent="0.2">
      <c r="B176" s="67" t="s">
        <v>51</v>
      </c>
      <c r="C176" s="81">
        <f t="shared" si="96"/>
        <v>0</v>
      </c>
      <c r="D176" s="80"/>
      <c r="E176" s="80"/>
      <c r="F176" s="102"/>
      <c r="G176" s="80"/>
      <c r="H176" s="102"/>
      <c r="I176" s="102"/>
      <c r="J176" s="102"/>
      <c r="K176" s="102"/>
      <c r="L176" s="102"/>
      <c r="M176" s="104"/>
      <c r="N176" s="103"/>
      <c r="O176" s="80"/>
      <c r="P176" s="80"/>
      <c r="S176" s="478"/>
    </row>
    <row r="177" spans="2:22" hidden="1" outlineLevel="1" x14ac:dyDescent="0.2">
      <c r="B177" s="67" t="s">
        <v>52</v>
      </c>
      <c r="C177" s="81">
        <f t="shared" si="96"/>
        <v>0</v>
      </c>
      <c r="D177" s="80"/>
      <c r="E177" s="80"/>
      <c r="F177" s="80"/>
      <c r="G177" s="80"/>
      <c r="H177" s="102"/>
      <c r="I177" s="102"/>
      <c r="J177" s="102"/>
      <c r="K177" s="102"/>
      <c r="L177" s="102"/>
      <c r="M177" s="104"/>
      <c r="N177" s="103"/>
      <c r="O177" s="80"/>
      <c r="P177" s="80"/>
      <c r="S177" s="478"/>
    </row>
    <row r="178" spans="2:22" hidden="1" outlineLevel="1" x14ac:dyDescent="0.2">
      <c r="B178" s="67" t="s">
        <v>53</v>
      </c>
      <c r="C178" s="81">
        <f t="shared" si="96"/>
        <v>0</v>
      </c>
      <c r="D178" s="80"/>
      <c r="E178" s="80"/>
      <c r="F178" s="80"/>
      <c r="G178" s="80"/>
      <c r="H178" s="102"/>
      <c r="I178" s="102"/>
      <c r="J178" s="102"/>
      <c r="K178" s="102"/>
      <c r="L178" s="102"/>
      <c r="M178" s="104"/>
      <c r="N178" s="103"/>
      <c r="O178" s="80"/>
      <c r="P178" s="80"/>
      <c r="S178" s="478"/>
    </row>
    <row r="179" spans="2:22" hidden="1" outlineLevel="1" x14ac:dyDescent="0.2">
      <c r="B179" s="67" t="s">
        <v>54</v>
      </c>
      <c r="C179" s="81">
        <f t="shared" si="96"/>
        <v>0</v>
      </c>
      <c r="D179" s="102"/>
      <c r="E179" s="80"/>
      <c r="F179" s="80"/>
      <c r="G179" s="81"/>
      <c r="H179" s="81"/>
      <c r="I179" s="81"/>
      <c r="J179" s="81"/>
      <c r="K179" s="81"/>
      <c r="L179" s="81"/>
      <c r="M179" s="103"/>
      <c r="N179" s="103"/>
      <c r="O179" s="81"/>
      <c r="P179" s="102"/>
      <c r="S179" s="478"/>
    </row>
    <row r="180" spans="2:22" hidden="1" outlineLevel="1" x14ac:dyDescent="0.25">
      <c r="B180" s="67" t="s">
        <v>55</v>
      </c>
      <c r="C180" s="81">
        <f t="shared" si="96"/>
        <v>0</v>
      </c>
      <c r="D180" s="81"/>
      <c r="E180" s="80"/>
      <c r="F180" s="80"/>
      <c r="G180" s="81"/>
      <c r="H180" s="81"/>
      <c r="I180" s="81"/>
      <c r="J180" s="81"/>
      <c r="K180" s="105"/>
      <c r="L180" s="81"/>
      <c r="M180" s="103"/>
      <c r="N180" s="103"/>
      <c r="O180" s="81"/>
      <c r="P180" s="81"/>
      <c r="S180" s="478"/>
    </row>
    <row r="181" spans="2:22" hidden="1" outlineLevel="1" x14ac:dyDescent="0.2">
      <c r="B181" s="67" t="s">
        <v>56</v>
      </c>
      <c r="C181" s="81">
        <f t="shared" si="96"/>
        <v>0</v>
      </c>
      <c r="D181" s="81"/>
      <c r="E181" s="80"/>
      <c r="F181" s="80"/>
      <c r="G181" s="81"/>
      <c r="H181" s="81"/>
      <c r="I181" s="81"/>
      <c r="J181" s="81"/>
      <c r="K181" s="81"/>
      <c r="L181" s="81"/>
      <c r="M181" s="103"/>
      <c r="N181" s="103"/>
      <c r="O181" s="81"/>
      <c r="P181" s="81"/>
      <c r="S181" s="478"/>
    </row>
    <row r="182" spans="2:22" hidden="1" outlineLevel="1" x14ac:dyDescent="0.2">
      <c r="B182" s="67" t="s">
        <v>57</v>
      </c>
      <c r="C182" s="81">
        <f t="shared" si="96"/>
        <v>0</v>
      </c>
      <c r="D182" s="80"/>
      <c r="E182" s="80"/>
      <c r="F182" s="80"/>
      <c r="G182" s="80"/>
      <c r="H182" s="102"/>
      <c r="I182" s="102"/>
      <c r="J182" s="102"/>
      <c r="K182" s="102"/>
      <c r="L182" s="102"/>
      <c r="M182" s="104"/>
      <c r="N182" s="103"/>
      <c r="O182" s="80"/>
      <c r="P182" s="80"/>
      <c r="S182" s="478"/>
    </row>
    <row r="183" spans="2:22" hidden="1" outlineLevel="1" x14ac:dyDescent="0.2">
      <c r="B183" s="106"/>
      <c r="C183" s="81"/>
      <c r="D183" s="81"/>
      <c r="E183" s="107"/>
      <c r="F183" s="107"/>
      <c r="G183" s="81"/>
      <c r="H183" s="81"/>
      <c r="I183" s="81"/>
      <c r="J183" s="81"/>
      <c r="K183" s="81"/>
      <c r="L183" s="81"/>
      <c r="M183" s="108"/>
      <c r="N183" s="103"/>
      <c r="O183" s="81"/>
      <c r="P183" s="81"/>
      <c r="S183" s="478"/>
    </row>
    <row r="184" spans="2:22" ht="16.5" collapsed="1" x14ac:dyDescent="0.2">
      <c r="B184" s="97" t="s">
        <v>17</v>
      </c>
      <c r="C184" s="109">
        <f t="shared" ref="C184:C204" si="97">SUM(E184:P184)</f>
        <v>681522.29</v>
      </c>
      <c r="D184" s="109">
        <v>322530.26999999996</v>
      </c>
      <c r="E184" s="110">
        <f>SUM(E185:E200)</f>
        <v>352591.57999999996</v>
      </c>
      <c r="F184" s="110">
        <f t="shared" ref="F184:K184" si="98">SUM(F185:F200)</f>
        <v>328930.71000000002</v>
      </c>
      <c r="G184" s="109">
        <f t="shared" si="98"/>
        <v>0</v>
      </c>
      <c r="H184" s="110">
        <f t="shared" si="98"/>
        <v>0</v>
      </c>
      <c r="I184" s="110">
        <f t="shared" si="98"/>
        <v>0</v>
      </c>
      <c r="J184" s="110">
        <f t="shared" si="98"/>
        <v>0</v>
      </c>
      <c r="K184" s="110">
        <f t="shared" si="98"/>
        <v>0</v>
      </c>
      <c r="L184" s="110">
        <f>SUM(L185:L200)</f>
        <v>0</v>
      </c>
      <c r="M184" s="111">
        <f t="shared" ref="M184:P184" si="99">SUM(M185:M200)</f>
        <v>0</v>
      </c>
      <c r="N184" s="111">
        <f t="shared" si="99"/>
        <v>0</v>
      </c>
      <c r="O184" s="110">
        <f t="shared" si="99"/>
        <v>0</v>
      </c>
      <c r="P184" s="110">
        <f t="shared" si="99"/>
        <v>0</v>
      </c>
      <c r="Q184" s="455"/>
      <c r="S184" s="478" t="s">
        <v>329</v>
      </c>
      <c r="T184" s="527">
        <v>328930.71000000002</v>
      </c>
    </row>
    <row r="185" spans="2:22" x14ac:dyDescent="0.2">
      <c r="B185" s="112" t="s">
        <v>58</v>
      </c>
      <c r="C185" s="81">
        <f t="shared" si="97"/>
        <v>460408.67</v>
      </c>
      <c r="D185" s="80">
        <v>130380.92</v>
      </c>
      <c r="E185" s="123">
        <v>232743.71</v>
      </c>
      <c r="F185" s="123">
        <v>227664.96</v>
      </c>
      <c r="G185" s="123"/>
      <c r="H185" s="32"/>
      <c r="I185" s="100"/>
      <c r="J185" s="472"/>
      <c r="K185" s="100"/>
      <c r="L185" s="100"/>
      <c r="M185" s="101"/>
      <c r="N185" s="478"/>
      <c r="O185" s="80"/>
      <c r="P185" s="80"/>
      <c r="Q185" s="455"/>
      <c r="S185" s="478" t="s">
        <v>330</v>
      </c>
      <c r="T185" s="455">
        <v>227664.96</v>
      </c>
    </row>
    <row r="186" spans="2:22" x14ac:dyDescent="0.2">
      <c r="B186" s="112" t="s">
        <v>59</v>
      </c>
      <c r="C186" s="81">
        <f t="shared" si="97"/>
        <v>4969.13</v>
      </c>
      <c r="D186" s="80">
        <v>2824.64</v>
      </c>
      <c r="E186" s="124">
        <v>2445.58</v>
      </c>
      <c r="F186" s="102">
        <v>2523.5500000000002</v>
      </c>
      <c r="G186" s="124"/>
      <c r="H186" s="32"/>
      <c r="I186" s="102"/>
      <c r="J186" s="473"/>
      <c r="K186" s="102"/>
      <c r="L186" s="102"/>
      <c r="M186" s="104"/>
      <c r="N186" s="478"/>
      <c r="O186" s="80"/>
      <c r="P186" s="80"/>
      <c r="Q186" s="455"/>
      <c r="S186" s="478" t="s">
        <v>331</v>
      </c>
      <c r="T186" s="455">
        <v>2523.5500000000002</v>
      </c>
    </row>
    <row r="187" spans="2:22" x14ac:dyDescent="0.2">
      <c r="B187" s="112" t="s">
        <v>60</v>
      </c>
      <c r="C187" s="81">
        <f t="shared" si="97"/>
        <v>28297.230000000003</v>
      </c>
      <c r="D187" s="80">
        <v>9131.59</v>
      </c>
      <c r="E187" s="124">
        <v>11334.08</v>
      </c>
      <c r="F187" s="102">
        <v>16963.150000000001</v>
      </c>
      <c r="G187" s="124"/>
      <c r="H187" s="32"/>
      <c r="I187" s="102"/>
      <c r="J187" s="473"/>
      <c r="K187" s="102"/>
      <c r="L187" s="102"/>
      <c r="M187" s="104"/>
      <c r="N187" s="478"/>
      <c r="O187" s="80"/>
      <c r="P187" s="80"/>
      <c r="Q187" s="455"/>
      <c r="S187" s="478" t="s">
        <v>332</v>
      </c>
      <c r="T187" s="455">
        <v>16963.150000000001</v>
      </c>
    </row>
    <row r="188" spans="2:22" x14ac:dyDescent="0.2">
      <c r="B188" s="112" t="s">
        <v>61</v>
      </c>
      <c r="C188" s="81">
        <f t="shared" si="97"/>
        <v>6562.53</v>
      </c>
      <c r="D188" s="80">
        <v>1447.78</v>
      </c>
      <c r="E188" s="124">
        <v>2374.41</v>
      </c>
      <c r="F188" s="102">
        <v>4188.12</v>
      </c>
      <c r="G188" s="124"/>
      <c r="H188" s="32"/>
      <c r="I188" s="102"/>
      <c r="J188" s="473"/>
      <c r="K188" s="102"/>
      <c r="L188" s="102"/>
      <c r="M188" s="104"/>
      <c r="N188" s="478"/>
      <c r="O188" s="80"/>
      <c r="P188" s="80"/>
      <c r="Q188" s="455"/>
      <c r="S188" s="478" t="s">
        <v>333</v>
      </c>
      <c r="T188" s="455">
        <v>4188.12</v>
      </c>
    </row>
    <row r="189" spans="2:22" x14ac:dyDescent="0.2">
      <c r="B189" s="112" t="s">
        <v>62</v>
      </c>
      <c r="C189" s="81">
        <f t="shared" si="97"/>
        <v>90408.320000000007</v>
      </c>
      <c r="D189" s="80">
        <v>25701.79</v>
      </c>
      <c r="E189" s="124">
        <v>57855.85</v>
      </c>
      <c r="F189" s="102">
        <v>32552.47</v>
      </c>
      <c r="G189" s="124"/>
      <c r="H189" s="32"/>
      <c r="I189" s="102"/>
      <c r="J189" s="473"/>
      <c r="K189" s="102"/>
      <c r="L189" s="102"/>
      <c r="M189" s="104"/>
      <c r="N189" s="478"/>
      <c r="O189" s="80"/>
      <c r="P189" s="80"/>
      <c r="Q189" s="455"/>
      <c r="S189" s="478" t="s">
        <v>334</v>
      </c>
      <c r="T189" s="455">
        <v>32552.47</v>
      </c>
    </row>
    <row r="190" spans="2:22" x14ac:dyDescent="0.2">
      <c r="B190" s="112" t="s">
        <v>63</v>
      </c>
      <c r="C190" s="81">
        <f t="shared" si="97"/>
        <v>0</v>
      </c>
      <c r="D190" s="81">
        <v>0</v>
      </c>
      <c r="E190" s="124">
        <v>0</v>
      </c>
      <c r="F190" s="124">
        <v>0</v>
      </c>
      <c r="G190" s="123"/>
      <c r="H190" s="32"/>
      <c r="I190" s="81"/>
      <c r="J190" s="418"/>
      <c r="K190" s="81"/>
      <c r="L190" s="81"/>
      <c r="M190" s="103"/>
      <c r="N190" s="478"/>
      <c r="O190" s="81"/>
      <c r="P190" s="81"/>
      <c r="Q190" s="455"/>
      <c r="S190" s="478" t="s">
        <v>335</v>
      </c>
      <c r="T190" s="455">
        <v>0</v>
      </c>
    </row>
    <row r="191" spans="2:22" x14ac:dyDescent="0.2">
      <c r="B191" s="112" t="s">
        <v>64</v>
      </c>
      <c r="C191" s="81">
        <f t="shared" si="97"/>
        <v>0</v>
      </c>
      <c r="D191" s="81">
        <v>0</v>
      </c>
      <c r="E191" s="124">
        <v>0</v>
      </c>
      <c r="F191" s="124">
        <v>0</v>
      </c>
      <c r="G191" s="123"/>
      <c r="H191" s="32"/>
      <c r="I191" s="81"/>
      <c r="J191" s="418"/>
      <c r="K191" s="81"/>
      <c r="L191" s="81"/>
      <c r="M191" s="103"/>
      <c r="N191" s="478"/>
      <c r="O191" s="81"/>
      <c r="P191" s="81"/>
      <c r="Q191" s="455"/>
      <c r="S191" s="478" t="s">
        <v>336</v>
      </c>
      <c r="T191" s="455">
        <v>0</v>
      </c>
      <c r="V191" s="44"/>
    </row>
    <row r="192" spans="2:22" x14ac:dyDescent="0.2">
      <c r="B192" s="112" t="s">
        <v>65</v>
      </c>
      <c r="C192" s="81">
        <f t="shared" si="97"/>
        <v>51587.64</v>
      </c>
      <c r="D192" s="80">
        <v>12659.91</v>
      </c>
      <c r="E192" s="124">
        <v>25032.21</v>
      </c>
      <c r="F192" s="102">
        <v>26555.43</v>
      </c>
      <c r="G192" s="124"/>
      <c r="H192" s="32"/>
      <c r="I192" s="102"/>
      <c r="J192" s="473"/>
      <c r="K192" s="102"/>
      <c r="L192" s="102"/>
      <c r="M192" s="104"/>
      <c r="N192" s="478"/>
      <c r="O192" s="80"/>
      <c r="P192" s="80"/>
      <c r="Q192" s="455"/>
      <c r="S192" s="478" t="s">
        <v>337</v>
      </c>
      <c r="T192" s="455">
        <v>26555.43</v>
      </c>
    </row>
    <row r="193" spans="2:20" x14ac:dyDescent="0.2">
      <c r="B193" s="112" t="s">
        <v>66</v>
      </c>
      <c r="C193" s="81">
        <f t="shared" si="97"/>
        <v>25958.12</v>
      </c>
      <c r="D193" s="80">
        <v>5769.71</v>
      </c>
      <c r="E193" s="124">
        <v>11756.8</v>
      </c>
      <c r="F193" s="102">
        <v>14201.32</v>
      </c>
      <c r="G193" s="124"/>
      <c r="H193" s="32"/>
      <c r="I193" s="102"/>
      <c r="J193" s="473"/>
      <c r="K193" s="102"/>
      <c r="L193" s="102"/>
      <c r="M193" s="104"/>
      <c r="N193" s="478"/>
      <c r="O193" s="80"/>
      <c r="P193" s="80"/>
      <c r="Q193" s="455"/>
      <c r="S193" s="478" t="s">
        <v>338</v>
      </c>
      <c r="T193" s="455">
        <v>14201.32</v>
      </c>
    </row>
    <row r="194" spans="2:20" x14ac:dyDescent="0.2">
      <c r="B194" s="112" t="s">
        <v>67</v>
      </c>
      <c r="C194" s="81">
        <f t="shared" si="97"/>
        <v>1682.62</v>
      </c>
      <c r="D194" s="80">
        <v>6232.14</v>
      </c>
      <c r="E194" s="124">
        <v>925.84</v>
      </c>
      <c r="F194" s="102">
        <v>756.78</v>
      </c>
      <c r="G194" s="124"/>
      <c r="H194" s="32"/>
      <c r="I194" s="102"/>
      <c r="J194" s="473"/>
      <c r="K194" s="102"/>
      <c r="L194" s="102"/>
      <c r="M194" s="104"/>
      <c r="N194" s="478"/>
      <c r="O194" s="80"/>
      <c r="P194" s="80"/>
      <c r="Q194" s="455"/>
      <c r="S194" s="478" t="s">
        <v>339</v>
      </c>
      <c r="T194" s="455">
        <v>756.78</v>
      </c>
    </row>
    <row r="195" spans="2:20" x14ac:dyDescent="0.2">
      <c r="B195" s="112" t="s">
        <v>68</v>
      </c>
      <c r="C195" s="81">
        <f t="shared" si="97"/>
        <v>0</v>
      </c>
      <c r="D195" s="81">
        <v>0</v>
      </c>
      <c r="E195" s="124">
        <v>0</v>
      </c>
      <c r="F195" s="124">
        <v>0</v>
      </c>
      <c r="G195" s="124"/>
      <c r="H195" s="32"/>
      <c r="I195" s="102"/>
      <c r="J195" s="473"/>
      <c r="K195" s="102"/>
      <c r="L195" s="81"/>
      <c r="M195" s="104"/>
      <c r="N195" s="478"/>
      <c r="O195" s="81"/>
      <c r="P195" s="81"/>
      <c r="Q195" s="455"/>
      <c r="S195" s="478" t="s">
        <v>340</v>
      </c>
      <c r="T195" s="455">
        <v>0</v>
      </c>
    </row>
    <row r="196" spans="2:20" x14ac:dyDescent="0.2">
      <c r="B196" s="112" t="s">
        <v>69</v>
      </c>
      <c r="C196" s="81">
        <f t="shared" si="97"/>
        <v>0</v>
      </c>
      <c r="D196" s="81">
        <v>124217</v>
      </c>
      <c r="E196" s="124">
        <v>0</v>
      </c>
      <c r="F196" s="124">
        <v>0</v>
      </c>
      <c r="G196" s="123"/>
      <c r="H196" s="32"/>
      <c r="I196" s="81"/>
      <c r="J196" s="418"/>
      <c r="K196" s="81"/>
      <c r="L196" s="81"/>
      <c r="M196" s="103"/>
      <c r="N196" s="478"/>
      <c r="O196" s="81"/>
      <c r="P196" s="81"/>
      <c r="Q196" s="455"/>
      <c r="S196" s="478" t="s">
        <v>341</v>
      </c>
      <c r="T196" s="455">
        <v>0</v>
      </c>
    </row>
    <row r="197" spans="2:20" x14ac:dyDescent="0.2">
      <c r="B197" s="112" t="s">
        <v>70</v>
      </c>
      <c r="C197" s="81">
        <f t="shared" si="97"/>
        <v>0</v>
      </c>
      <c r="D197" s="81">
        <v>0</v>
      </c>
      <c r="E197" s="124">
        <v>0</v>
      </c>
      <c r="F197" s="124">
        <v>0</v>
      </c>
      <c r="G197" s="123"/>
      <c r="H197" s="32"/>
      <c r="I197" s="81"/>
      <c r="J197" s="418"/>
      <c r="K197" s="81"/>
      <c r="L197" s="81"/>
      <c r="M197" s="103"/>
      <c r="N197" s="478"/>
      <c r="O197" s="81"/>
      <c r="P197" s="81"/>
      <c r="Q197" s="455"/>
      <c r="S197" s="478" t="s">
        <v>342</v>
      </c>
      <c r="T197" s="455">
        <v>0</v>
      </c>
    </row>
    <row r="198" spans="2:20" x14ac:dyDescent="0.2">
      <c r="B198" s="112" t="s">
        <v>71</v>
      </c>
      <c r="C198" s="81">
        <f t="shared" si="97"/>
        <v>11648.03</v>
      </c>
      <c r="D198" s="80">
        <v>4164.79</v>
      </c>
      <c r="E198" s="124">
        <v>8123.1</v>
      </c>
      <c r="F198" s="102">
        <v>3524.93</v>
      </c>
      <c r="G198" s="124"/>
      <c r="H198" s="32"/>
      <c r="I198" s="102"/>
      <c r="J198" s="473"/>
      <c r="K198" s="102"/>
      <c r="L198" s="102"/>
      <c r="M198" s="104"/>
      <c r="N198" s="478"/>
      <c r="O198" s="80"/>
      <c r="P198" s="80"/>
      <c r="Q198" s="455"/>
      <c r="S198" s="478" t="s">
        <v>343</v>
      </c>
      <c r="T198" s="455">
        <v>3524.93</v>
      </c>
    </row>
    <row r="199" spans="2:20" x14ac:dyDescent="0.2">
      <c r="B199" s="112" t="s">
        <v>72</v>
      </c>
      <c r="C199" s="81">
        <f t="shared" si="97"/>
        <v>0</v>
      </c>
      <c r="D199" s="81">
        <v>0</v>
      </c>
      <c r="E199" s="124">
        <v>0</v>
      </c>
      <c r="F199" s="124">
        <v>0</v>
      </c>
      <c r="G199" s="123"/>
      <c r="H199" s="32"/>
      <c r="I199" s="81"/>
      <c r="J199" s="418"/>
      <c r="K199" s="81"/>
      <c r="L199" s="81"/>
      <c r="M199" s="103"/>
      <c r="N199" s="478"/>
      <c r="O199" s="81"/>
      <c r="P199" s="81"/>
      <c r="Q199" s="455"/>
      <c r="S199" s="478" t="s">
        <v>344</v>
      </c>
      <c r="T199" s="455">
        <v>0</v>
      </c>
    </row>
    <row r="200" spans="2:20" hidden="1" outlineLevel="1" x14ac:dyDescent="0.2">
      <c r="B200" s="112"/>
      <c r="C200" s="81"/>
      <c r="D200" s="81"/>
      <c r="E200" s="80"/>
      <c r="F200" s="80"/>
      <c r="G200" s="81"/>
      <c r="H200" s="32">
        <v>0</v>
      </c>
      <c r="I200" s="81"/>
      <c r="J200" s="81"/>
      <c r="K200" s="81"/>
      <c r="L200" s="81"/>
      <c r="M200" s="103"/>
      <c r="N200" s="104"/>
      <c r="O200" s="81"/>
      <c r="P200" s="81"/>
      <c r="S200" s="455"/>
      <c r="T200" s="455"/>
    </row>
    <row r="201" spans="2:20" hidden="1" outlineLevel="1" x14ac:dyDescent="0.2">
      <c r="B201" s="106"/>
      <c r="C201" s="81"/>
      <c r="D201" s="81"/>
      <c r="E201" s="107"/>
      <c r="F201" s="107"/>
      <c r="G201" s="81"/>
      <c r="H201" s="81"/>
      <c r="I201" s="81"/>
      <c r="J201" s="81"/>
      <c r="K201" s="81"/>
      <c r="L201" s="81"/>
      <c r="M201" s="108"/>
      <c r="N201" s="108"/>
      <c r="O201" s="81"/>
      <c r="P201" s="81"/>
      <c r="S201" s="455"/>
      <c r="T201" s="455"/>
    </row>
    <row r="202" spans="2:20" ht="16.5" hidden="1" outlineLevel="1" x14ac:dyDescent="0.2">
      <c r="B202" s="97" t="s">
        <v>18</v>
      </c>
      <c r="C202" s="109">
        <f t="shared" si="97"/>
        <v>0</v>
      </c>
      <c r="D202" s="109"/>
      <c r="E202" s="110">
        <f>SUM(E203:E216)</f>
        <v>0</v>
      </c>
      <c r="F202" s="110">
        <f t="shared" ref="F202" si="100">SUM(F203:F216)</f>
        <v>0</v>
      </c>
      <c r="G202" s="109">
        <f>SUM(G203:G216)</f>
        <v>0</v>
      </c>
      <c r="H202" s="110">
        <f t="shared" ref="H202:K202" si="101">SUM(H203:H216)</f>
        <v>0</v>
      </c>
      <c r="I202" s="110">
        <f t="shared" si="101"/>
        <v>0</v>
      </c>
      <c r="J202" s="110">
        <f t="shared" si="101"/>
        <v>0</v>
      </c>
      <c r="K202" s="110">
        <f t="shared" si="101"/>
        <v>0</v>
      </c>
      <c r="L202" s="110">
        <f>SUM(L203:L216)</f>
        <v>0</v>
      </c>
      <c r="M202" s="111"/>
      <c r="N202" s="111">
        <f t="shared" ref="N202:P202" si="102">SUM(N203:N216)</f>
        <v>0</v>
      </c>
      <c r="O202" s="110">
        <f t="shared" si="102"/>
        <v>0</v>
      </c>
      <c r="P202" s="110">
        <f t="shared" si="102"/>
        <v>0</v>
      </c>
      <c r="S202" s="455"/>
      <c r="T202" s="455"/>
    </row>
    <row r="203" spans="2:20" hidden="1" outlineLevel="1" x14ac:dyDescent="0.2">
      <c r="B203" s="112" t="s">
        <v>58</v>
      </c>
      <c r="C203" s="81">
        <f t="shared" si="97"/>
        <v>0</v>
      </c>
      <c r="D203" s="80"/>
      <c r="E203" s="80"/>
      <c r="F203" s="102"/>
      <c r="G203" s="80"/>
      <c r="H203" s="102"/>
      <c r="I203" s="102"/>
      <c r="J203" s="102"/>
      <c r="K203" s="102"/>
      <c r="L203" s="102"/>
      <c r="M203" s="104"/>
      <c r="N203" s="104"/>
      <c r="O203" s="80"/>
      <c r="P203" s="80"/>
      <c r="S203" s="455"/>
      <c r="T203" s="455"/>
    </row>
    <row r="204" spans="2:20" hidden="1" outlineLevel="1" x14ac:dyDescent="0.2">
      <c r="B204" s="112" t="s">
        <v>73</v>
      </c>
      <c r="C204" s="81">
        <f t="shared" si="97"/>
        <v>0</v>
      </c>
      <c r="D204" s="80"/>
      <c r="E204" s="80"/>
      <c r="F204" s="102"/>
      <c r="G204" s="80"/>
      <c r="H204" s="102"/>
      <c r="I204" s="102"/>
      <c r="J204" s="102"/>
      <c r="K204" s="102"/>
      <c r="L204" s="102"/>
      <c r="M204" s="104"/>
      <c r="N204" s="104"/>
      <c r="O204" s="80"/>
      <c r="P204" s="80"/>
      <c r="S204" s="455"/>
      <c r="T204" s="455"/>
    </row>
    <row r="205" spans="2:20" hidden="1" outlineLevel="1" x14ac:dyDescent="0.2">
      <c r="B205" s="112" t="s">
        <v>60</v>
      </c>
      <c r="C205" s="81">
        <f t="shared" ref="C205:C212" si="103">SUM(E205:P205)</f>
        <v>0</v>
      </c>
      <c r="D205" s="80"/>
      <c r="E205" s="80"/>
      <c r="F205" s="102"/>
      <c r="G205" s="80"/>
      <c r="H205" s="102"/>
      <c r="I205" s="102"/>
      <c r="J205" s="102"/>
      <c r="K205" s="102"/>
      <c r="L205" s="102"/>
      <c r="M205" s="104"/>
      <c r="N205" s="104"/>
      <c r="O205" s="80"/>
      <c r="P205" s="80"/>
      <c r="S205" s="455"/>
      <c r="T205" s="455"/>
    </row>
    <row r="206" spans="2:20" hidden="1" outlineLevel="1" x14ac:dyDescent="0.2">
      <c r="B206" s="112" t="s">
        <v>61</v>
      </c>
      <c r="C206" s="81">
        <f t="shared" si="103"/>
        <v>0</v>
      </c>
      <c r="D206" s="80"/>
      <c r="E206" s="80"/>
      <c r="F206" s="102"/>
      <c r="G206" s="80"/>
      <c r="H206" s="102"/>
      <c r="I206" s="102"/>
      <c r="J206" s="102"/>
      <c r="K206" s="102"/>
      <c r="L206" s="102"/>
      <c r="M206" s="104"/>
      <c r="N206" s="104"/>
      <c r="O206" s="80"/>
      <c r="P206" s="80"/>
      <c r="S206" s="455"/>
      <c r="T206" s="455"/>
    </row>
    <row r="207" spans="2:20" hidden="1" outlineLevel="1" x14ac:dyDescent="0.2">
      <c r="B207" s="112" t="s">
        <v>62</v>
      </c>
      <c r="C207" s="81">
        <f t="shared" si="103"/>
        <v>0</v>
      </c>
      <c r="D207" s="80"/>
      <c r="E207" s="80"/>
      <c r="F207" s="102"/>
      <c r="G207" s="80"/>
      <c r="H207" s="102"/>
      <c r="I207" s="102"/>
      <c r="J207" s="102"/>
      <c r="K207" s="102"/>
      <c r="L207" s="102"/>
      <c r="M207" s="104"/>
      <c r="N207" s="104"/>
      <c r="O207" s="80"/>
      <c r="P207" s="80"/>
      <c r="S207" s="455"/>
      <c r="T207" s="455"/>
    </row>
    <row r="208" spans="2:20" hidden="1" outlineLevel="1" x14ac:dyDescent="0.2">
      <c r="B208" s="112" t="s">
        <v>63</v>
      </c>
      <c r="C208" s="81">
        <f t="shared" si="103"/>
        <v>0</v>
      </c>
      <c r="D208" s="81"/>
      <c r="E208" s="80"/>
      <c r="F208" s="80"/>
      <c r="G208" s="81"/>
      <c r="H208" s="81"/>
      <c r="I208" s="81"/>
      <c r="J208" s="81"/>
      <c r="K208" s="81"/>
      <c r="L208" s="81"/>
      <c r="M208" s="103"/>
      <c r="N208" s="104"/>
      <c r="O208" s="81"/>
      <c r="P208" s="81"/>
      <c r="S208" s="455"/>
      <c r="T208" s="455"/>
    </row>
    <row r="209" spans="2:20" hidden="1" outlineLevel="1" x14ac:dyDescent="0.2">
      <c r="B209" s="112" t="s">
        <v>64</v>
      </c>
      <c r="C209" s="81">
        <f t="shared" si="103"/>
        <v>0</v>
      </c>
      <c r="D209" s="81"/>
      <c r="E209" s="80"/>
      <c r="F209" s="80"/>
      <c r="G209" s="81"/>
      <c r="H209" s="81"/>
      <c r="I209" s="81"/>
      <c r="J209" s="81"/>
      <c r="K209" s="81"/>
      <c r="L209" s="81"/>
      <c r="M209" s="103"/>
      <c r="N209" s="104"/>
      <c r="O209" s="81"/>
      <c r="P209" s="81"/>
      <c r="S209" s="455"/>
      <c r="T209" s="455"/>
    </row>
    <row r="210" spans="2:20" hidden="1" outlineLevel="1" x14ac:dyDescent="0.2">
      <c r="B210" s="112" t="s">
        <v>65</v>
      </c>
      <c r="C210" s="81">
        <f t="shared" si="103"/>
        <v>0</v>
      </c>
      <c r="D210" s="80"/>
      <c r="E210" s="80"/>
      <c r="F210" s="102"/>
      <c r="G210" s="80"/>
      <c r="H210" s="102"/>
      <c r="I210" s="102"/>
      <c r="J210" s="102"/>
      <c r="K210" s="102"/>
      <c r="L210" s="102"/>
      <c r="M210" s="104"/>
      <c r="N210" s="104"/>
      <c r="O210" s="80"/>
      <c r="P210" s="80"/>
      <c r="S210" s="455"/>
      <c r="T210" s="455"/>
    </row>
    <row r="211" spans="2:20" hidden="1" outlineLevel="1" x14ac:dyDescent="0.2">
      <c r="B211" s="112" t="s">
        <v>66</v>
      </c>
      <c r="C211" s="81">
        <f t="shared" si="103"/>
        <v>0</v>
      </c>
      <c r="D211" s="80"/>
      <c r="E211" s="80"/>
      <c r="F211" s="102"/>
      <c r="G211" s="80"/>
      <c r="H211" s="102"/>
      <c r="I211" s="102"/>
      <c r="J211" s="102"/>
      <c r="K211" s="102"/>
      <c r="L211" s="102"/>
      <c r="M211" s="104"/>
      <c r="N211" s="104"/>
      <c r="O211" s="80"/>
      <c r="P211" s="80"/>
      <c r="S211" s="455"/>
      <c r="T211" s="455"/>
    </row>
    <row r="212" spans="2:20" hidden="1" outlineLevel="1" x14ac:dyDescent="0.2">
      <c r="B212" s="112" t="s">
        <v>67</v>
      </c>
      <c r="C212" s="81">
        <f t="shared" si="103"/>
        <v>0</v>
      </c>
      <c r="D212" s="80"/>
      <c r="E212" s="80"/>
      <c r="F212" s="102"/>
      <c r="G212" s="80"/>
      <c r="H212" s="102"/>
      <c r="I212" s="102"/>
      <c r="J212" s="102"/>
      <c r="K212" s="102"/>
      <c r="L212" s="102"/>
      <c r="M212" s="104"/>
      <c r="N212" s="104"/>
      <c r="O212" s="80"/>
      <c r="P212" s="80"/>
      <c r="S212" s="455"/>
      <c r="T212" s="455"/>
    </row>
    <row r="213" spans="2:20" hidden="1" outlineLevel="1" x14ac:dyDescent="0.2">
      <c r="B213" s="112" t="s">
        <v>68</v>
      </c>
      <c r="C213" s="81">
        <f t="shared" ref="C213:C217" si="104">SUM(E213:P213)</f>
        <v>0</v>
      </c>
      <c r="D213" s="80"/>
      <c r="E213" s="80"/>
      <c r="F213" s="102"/>
      <c r="G213" s="80"/>
      <c r="H213" s="102"/>
      <c r="I213" s="102"/>
      <c r="J213" s="102"/>
      <c r="K213" s="102"/>
      <c r="L213" s="102"/>
      <c r="M213" s="104"/>
      <c r="N213" s="104"/>
      <c r="O213" s="80"/>
      <c r="P213" s="80"/>
      <c r="S213" s="455"/>
      <c r="T213" s="455"/>
    </row>
    <row r="214" spans="2:20" hidden="1" outlineLevel="1" x14ac:dyDescent="0.2">
      <c r="B214" s="112" t="s">
        <v>69</v>
      </c>
      <c r="C214" s="81">
        <f t="shared" si="104"/>
        <v>0</v>
      </c>
      <c r="D214" s="81"/>
      <c r="E214" s="80"/>
      <c r="F214" s="80"/>
      <c r="G214" s="81"/>
      <c r="H214" s="81"/>
      <c r="I214" s="81"/>
      <c r="J214" s="81"/>
      <c r="K214" s="81"/>
      <c r="L214" s="81"/>
      <c r="M214" s="103"/>
      <c r="N214" s="104"/>
      <c r="O214" s="81"/>
      <c r="P214" s="81"/>
      <c r="S214" s="455"/>
      <c r="T214" s="455"/>
    </row>
    <row r="215" spans="2:20" hidden="1" outlineLevel="1" x14ac:dyDescent="0.2">
      <c r="B215" s="112" t="s">
        <v>70</v>
      </c>
      <c r="C215" s="81">
        <f t="shared" si="104"/>
        <v>0</v>
      </c>
      <c r="D215" s="81"/>
      <c r="E215" s="80"/>
      <c r="F215" s="80"/>
      <c r="G215" s="81"/>
      <c r="H215" s="81"/>
      <c r="I215" s="81"/>
      <c r="J215" s="81"/>
      <c r="K215" s="81"/>
      <c r="L215" s="81"/>
      <c r="M215" s="103"/>
      <c r="N215" s="104"/>
      <c r="O215" s="81"/>
      <c r="P215" s="81"/>
      <c r="S215" s="455"/>
      <c r="T215" s="455"/>
    </row>
    <row r="216" spans="2:20" hidden="1" outlineLevel="1" x14ac:dyDescent="0.2">
      <c r="B216" s="112" t="s">
        <v>71</v>
      </c>
      <c r="C216" s="81">
        <f t="shared" si="104"/>
        <v>0</v>
      </c>
      <c r="D216" s="80"/>
      <c r="E216" s="80"/>
      <c r="F216" s="80"/>
      <c r="G216" s="80"/>
      <c r="H216" s="80"/>
      <c r="I216" s="102"/>
      <c r="J216" s="102"/>
      <c r="K216" s="102"/>
      <c r="L216" s="102"/>
      <c r="M216" s="104"/>
      <c r="N216" s="104"/>
      <c r="O216" s="80"/>
      <c r="P216" s="80"/>
      <c r="S216" s="455"/>
      <c r="T216" s="455"/>
    </row>
    <row r="217" spans="2:20" collapsed="1" x14ac:dyDescent="0.2">
      <c r="B217" s="94" t="s">
        <v>74</v>
      </c>
      <c r="C217" s="92">
        <f t="shared" si="104"/>
        <v>-1277370.3200000003</v>
      </c>
      <c r="D217" s="92">
        <f t="shared" ref="D217:P217" si="105">+D165-D167</f>
        <v>-784639.53311108937</v>
      </c>
      <c r="E217" s="92">
        <f t="shared" si="105"/>
        <v>-594559.40000000026</v>
      </c>
      <c r="F217" s="92">
        <f t="shared" si="105"/>
        <v>-682810.91999999993</v>
      </c>
      <c r="G217" s="92">
        <f t="shared" si="105"/>
        <v>0</v>
      </c>
      <c r="H217" s="92">
        <f t="shared" si="105"/>
        <v>0</v>
      </c>
      <c r="I217" s="92">
        <f t="shared" si="105"/>
        <v>0</v>
      </c>
      <c r="J217" s="92">
        <f t="shared" si="105"/>
        <v>0</v>
      </c>
      <c r="K217" s="92">
        <f t="shared" si="105"/>
        <v>0</v>
      </c>
      <c r="L217" s="92">
        <f t="shared" si="105"/>
        <v>0</v>
      </c>
      <c r="M217" s="92">
        <f t="shared" si="105"/>
        <v>0</v>
      </c>
      <c r="N217" s="92">
        <f t="shared" si="105"/>
        <v>0</v>
      </c>
      <c r="O217" s="92">
        <f t="shared" si="105"/>
        <v>0</v>
      </c>
      <c r="P217" s="92">
        <f t="shared" si="105"/>
        <v>0</v>
      </c>
      <c r="S217" s="455"/>
      <c r="T217" s="455"/>
    </row>
    <row r="218" spans="2:20" x14ac:dyDescent="0.2">
      <c r="B218" s="113" t="s">
        <v>21</v>
      </c>
      <c r="C218" s="93">
        <f t="shared" ref="C218:P218" si="106">+IFERROR(C217/C154,)</f>
        <v>-0.27526827832510731</v>
      </c>
      <c r="D218" s="93">
        <f t="shared" si="106"/>
        <v>-0.32991958601016563</v>
      </c>
      <c r="E218" s="93">
        <f t="shared" si="106"/>
        <v>-0.27365650095594168</v>
      </c>
      <c r="F218" s="93">
        <f t="shared" si="106"/>
        <v>-0.27668728118734059</v>
      </c>
      <c r="G218" s="93">
        <f t="shared" si="106"/>
        <v>0</v>
      </c>
      <c r="H218" s="93">
        <f t="shared" si="106"/>
        <v>0</v>
      </c>
      <c r="I218" s="93">
        <f t="shared" si="106"/>
        <v>0</v>
      </c>
      <c r="J218" s="93">
        <f t="shared" si="106"/>
        <v>0</v>
      </c>
      <c r="K218" s="93">
        <f t="shared" si="106"/>
        <v>0</v>
      </c>
      <c r="L218" s="93">
        <f t="shared" si="106"/>
        <v>0</v>
      </c>
      <c r="M218" s="93">
        <f t="shared" si="106"/>
        <v>0</v>
      </c>
      <c r="N218" s="93">
        <f t="shared" si="106"/>
        <v>0</v>
      </c>
      <c r="O218" s="93">
        <f t="shared" si="106"/>
        <v>0</v>
      </c>
      <c r="P218" s="93">
        <f t="shared" si="106"/>
        <v>0</v>
      </c>
    </row>
    <row r="219" spans="2:20" x14ac:dyDescent="0.2">
      <c r="B219" s="526"/>
      <c r="E219" s="458"/>
      <c r="F219" s="458"/>
      <c r="G219" s="458"/>
      <c r="H219" s="458"/>
      <c r="I219" s="458"/>
      <c r="J219" s="458"/>
      <c r="K219" s="458"/>
      <c r="L219" s="123"/>
      <c r="M219" s="498"/>
    </row>
    <row r="220" spans="2:20" x14ac:dyDescent="0.2">
      <c r="E220" s="81"/>
      <c r="F220" s="81"/>
      <c r="G220" s="81"/>
    </row>
    <row r="221" spans="2:20" x14ac:dyDescent="0.2">
      <c r="B221" s="32" t="s">
        <v>346</v>
      </c>
      <c r="E221" s="15">
        <v>450000</v>
      </c>
      <c r="F221" s="15">
        <v>620412.85</v>
      </c>
      <c r="M221" s="457"/>
    </row>
    <row r="222" spans="2:20" x14ac:dyDescent="0.2">
      <c r="I222" s="456"/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180C-A80A-4310-AB74-1A1BF8AD9DF2}">
  <dimension ref="E7:G17"/>
  <sheetViews>
    <sheetView workbookViewId="0">
      <selection activeCell="G13" sqref="G13"/>
    </sheetView>
  </sheetViews>
  <sheetFormatPr defaultRowHeight="12.75" x14ac:dyDescent="0.2"/>
  <cols>
    <col min="5" max="5" width="15.5703125" customWidth="1"/>
    <col min="6" max="6" width="15.28515625" customWidth="1"/>
    <col min="7" max="7" width="11.42578125" customWidth="1"/>
  </cols>
  <sheetData>
    <row r="7" spans="5:7" ht="13.5" x14ac:dyDescent="0.2">
      <c r="E7" s="641">
        <v>15154028.949999999</v>
      </c>
      <c r="F7" s="642">
        <v>15154028.949999999</v>
      </c>
      <c r="G7" s="643">
        <f>+E7-F7</f>
        <v>0</v>
      </c>
    </row>
    <row r="8" spans="5:7" ht="13.5" x14ac:dyDescent="0.2">
      <c r="E8" s="640">
        <v>13820289.560000001</v>
      </c>
      <c r="F8" s="642">
        <v>13820291.09</v>
      </c>
      <c r="G8" s="643">
        <f>+E8-F8</f>
        <v>-1.5299999993294477</v>
      </c>
    </row>
    <row r="9" spans="5:7" ht="13.5" x14ac:dyDescent="0.2">
      <c r="E9" s="640">
        <v>706162.94</v>
      </c>
      <c r="F9" s="642">
        <v>706162.96</v>
      </c>
      <c r="G9" s="643">
        <f>+E9-F9</f>
        <v>-2.0000000018626451E-2</v>
      </c>
    </row>
    <row r="10" spans="5:7" ht="13.5" x14ac:dyDescent="0.2">
      <c r="E10" s="640">
        <f>+E7-E8-E9</f>
        <v>627576.44999999879</v>
      </c>
      <c r="F10" s="640">
        <f>+F7-F8-F9</f>
        <v>627574.89999999944</v>
      </c>
      <c r="G10" s="643">
        <f>+E10-F10</f>
        <v>1.5499999993480742</v>
      </c>
    </row>
    <row r="12" spans="5:7" x14ac:dyDescent="0.2">
      <c r="F12">
        <v>3331</v>
      </c>
      <c r="G12">
        <v>3321</v>
      </c>
    </row>
    <row r="13" spans="5:7" x14ac:dyDescent="0.2">
      <c r="E13" s="642">
        <f>SUM(F13:G13)</f>
        <v>15154028.950000001</v>
      </c>
      <c r="F13" s="642">
        <v>12686221.550000001</v>
      </c>
      <c r="G13" s="642">
        <v>2467807.4</v>
      </c>
    </row>
    <row r="14" spans="5:7" x14ac:dyDescent="0.2">
      <c r="E14" s="642">
        <f t="shared" ref="E14:E16" si="0">SUM(F14:G14)</f>
        <v>13820289.560000001</v>
      </c>
      <c r="F14" s="642">
        <f>10998603.48+G8</f>
        <v>10998601.950000001</v>
      </c>
      <c r="G14" s="642">
        <v>2821687.61</v>
      </c>
    </row>
    <row r="15" spans="5:7" x14ac:dyDescent="0.2">
      <c r="E15" s="642">
        <f t="shared" si="0"/>
        <v>706162.94</v>
      </c>
      <c r="F15" s="642">
        <f>377232.25+G9</f>
        <v>377232.23</v>
      </c>
      <c r="G15" s="642">
        <v>328930.71000000002</v>
      </c>
    </row>
    <row r="16" spans="5:7" ht="13.5" x14ac:dyDescent="0.2">
      <c r="E16" s="642">
        <f t="shared" si="0"/>
        <v>627576.44999999972</v>
      </c>
      <c r="F16" s="640">
        <f>+F13-F14-F15</f>
        <v>1310387.3699999996</v>
      </c>
      <c r="G16" s="640">
        <f>+G13-G14-G15</f>
        <v>-682810.91999999993</v>
      </c>
    </row>
    <row r="17" spans="5:5" x14ac:dyDescent="0.2">
      <c r="E17" s="644">
        <f>+E16-E10</f>
        <v>9.3132257461547852E-10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321A-C642-4F92-9371-25160F21C8AA}">
  <dimension ref="B2:Y35"/>
  <sheetViews>
    <sheetView workbookViewId="0">
      <selection activeCell="F17" sqref="F17"/>
    </sheetView>
  </sheetViews>
  <sheetFormatPr defaultRowHeight="12.75" x14ac:dyDescent="0.2"/>
  <cols>
    <col min="4" max="5" width="15.7109375" bestFit="1" customWidth="1"/>
    <col min="6" max="6" width="16.85546875" bestFit="1" customWidth="1"/>
    <col min="8" max="8" width="5.5703125" customWidth="1"/>
    <col min="10" max="10" width="18.7109375" customWidth="1"/>
    <col min="11" max="11" width="19.140625" customWidth="1"/>
    <col min="12" max="12" width="15.85546875" customWidth="1"/>
    <col min="16" max="16" width="12.28515625" bestFit="1" customWidth="1"/>
    <col min="17" max="18" width="15.7109375" bestFit="1" customWidth="1"/>
    <col min="19" max="19" width="14.5703125" bestFit="1" customWidth="1"/>
    <col min="20" max="20" width="13.28515625" bestFit="1" customWidth="1"/>
    <col min="23" max="23" width="19.28515625" customWidth="1"/>
    <col min="24" max="24" width="20.28515625" customWidth="1"/>
    <col min="25" max="25" width="18" customWidth="1"/>
  </cols>
  <sheetData>
    <row r="2" spans="2:25" ht="17.25" x14ac:dyDescent="0.25">
      <c r="B2" s="588" t="s">
        <v>540</v>
      </c>
      <c r="C2" s="589"/>
      <c r="D2" s="589"/>
      <c r="E2" s="589"/>
      <c r="F2" s="589"/>
      <c r="H2" s="499" t="s">
        <v>484</v>
      </c>
      <c r="I2" s="500"/>
      <c r="J2" s="500"/>
      <c r="K2" s="500"/>
      <c r="L2" s="500"/>
      <c r="O2" s="499" t="s">
        <v>472</v>
      </c>
      <c r="P2" s="500"/>
      <c r="Q2" s="500"/>
      <c r="R2" s="500"/>
      <c r="S2" s="500"/>
      <c r="V2" t="s">
        <v>470</v>
      </c>
    </row>
    <row r="3" spans="2:25" ht="16.5" x14ac:dyDescent="0.2">
      <c r="B3" s="589"/>
      <c r="C3" s="590" t="s">
        <v>460</v>
      </c>
      <c r="D3" s="591" t="s">
        <v>461</v>
      </c>
      <c r="E3" s="591" t="s">
        <v>462</v>
      </c>
      <c r="F3" s="591" t="s">
        <v>463</v>
      </c>
      <c r="H3" s="500"/>
      <c r="I3" s="482" t="s">
        <v>75</v>
      </c>
      <c r="J3" s="483" t="s">
        <v>481</v>
      </c>
      <c r="K3" s="483" t="s">
        <v>482</v>
      </c>
      <c r="L3" s="483" t="s">
        <v>483</v>
      </c>
      <c r="O3" s="500"/>
      <c r="P3" s="482" t="s">
        <v>460</v>
      </c>
      <c r="Q3" s="483" t="s">
        <v>461</v>
      </c>
      <c r="R3" s="483" t="s">
        <v>462</v>
      </c>
      <c r="S3" s="483" t="s">
        <v>463</v>
      </c>
      <c r="V3" s="482" t="s">
        <v>460</v>
      </c>
      <c r="W3" s="483" t="s">
        <v>461</v>
      </c>
      <c r="X3" s="483" t="s">
        <v>462</v>
      </c>
      <c r="Y3" s="483" t="s">
        <v>463</v>
      </c>
    </row>
    <row r="4" spans="2:25" ht="16.5" x14ac:dyDescent="0.2">
      <c r="B4" s="589"/>
      <c r="C4" s="590" t="s">
        <v>351</v>
      </c>
      <c r="D4" s="592">
        <v>12501979.869999999</v>
      </c>
      <c r="E4" s="592">
        <v>12501979.869999999</v>
      </c>
      <c r="F4" s="593">
        <v>0</v>
      </c>
      <c r="H4" s="500"/>
      <c r="I4" s="482" t="s">
        <v>325</v>
      </c>
      <c r="J4" s="514">
        <v>9843533.4700000007</v>
      </c>
      <c r="K4" s="514">
        <v>9843533.4700000007</v>
      </c>
      <c r="L4" s="515">
        <v>0</v>
      </c>
      <c r="O4" s="500"/>
      <c r="P4" s="482" t="s">
        <v>351</v>
      </c>
      <c r="Q4" s="501">
        <v>14550564.33</v>
      </c>
      <c r="R4" s="501">
        <v>14550564.33</v>
      </c>
      <c r="S4" s="486">
        <f>+Q4-R4</f>
        <v>0</v>
      </c>
      <c r="V4" s="482" t="s">
        <v>351</v>
      </c>
      <c r="W4" s="484">
        <v>14238050</v>
      </c>
      <c r="X4" s="484">
        <v>14238050</v>
      </c>
      <c r="Y4" s="485">
        <v>0</v>
      </c>
    </row>
    <row r="5" spans="2:25" ht="16.5" x14ac:dyDescent="0.2">
      <c r="B5" s="589"/>
      <c r="C5" s="590" t="s">
        <v>352</v>
      </c>
      <c r="D5" s="592">
        <v>12033204.460000001</v>
      </c>
      <c r="E5" s="592">
        <v>12033206.34</v>
      </c>
      <c r="F5" s="594">
        <v>-1.8799999989569187</v>
      </c>
      <c r="H5" s="500"/>
      <c r="I5" s="482" t="s">
        <v>459</v>
      </c>
      <c r="J5" s="514">
        <v>9807635.1500000004</v>
      </c>
      <c r="K5" s="514">
        <v>9807632.6500000004</v>
      </c>
      <c r="L5" s="486">
        <v>2.5</v>
      </c>
      <c r="O5" s="500"/>
      <c r="P5" s="482" t="s">
        <v>352</v>
      </c>
      <c r="Q5" s="501">
        <v>13361660.4</v>
      </c>
      <c r="R5" s="501">
        <v>13361642.75</v>
      </c>
      <c r="S5" s="486">
        <f>+Q5-R5</f>
        <v>17.650000000372529</v>
      </c>
      <c r="V5" s="482" t="s">
        <v>352</v>
      </c>
      <c r="W5" s="484">
        <v>13683144.720000001</v>
      </c>
      <c r="X5" s="484">
        <v>13683173.189999999</v>
      </c>
      <c r="Y5" s="484">
        <v>-28.469999998807907</v>
      </c>
    </row>
    <row r="6" spans="2:25" ht="16.5" x14ac:dyDescent="0.2">
      <c r="B6" s="589"/>
      <c r="C6" s="590" t="s">
        <v>354</v>
      </c>
      <c r="D6" s="592">
        <v>695216.17</v>
      </c>
      <c r="E6" s="592">
        <v>695216.16</v>
      </c>
      <c r="F6" s="592">
        <v>1.0000000009313226E-2</v>
      </c>
      <c r="H6" s="500"/>
      <c r="I6" s="482" t="s">
        <v>476</v>
      </c>
      <c r="J6" s="514">
        <v>804702.95</v>
      </c>
      <c r="K6" s="514">
        <v>804702.94</v>
      </c>
      <c r="L6" s="514">
        <v>1.0000000009313226E-2</v>
      </c>
      <c r="O6" s="500"/>
      <c r="P6" s="482" t="s">
        <v>354</v>
      </c>
      <c r="Q6" s="501">
        <v>1144317.26</v>
      </c>
      <c r="R6" s="501">
        <v>1144317.27</v>
      </c>
      <c r="S6" s="486">
        <f>+Q6-R6</f>
        <v>-1.0000000009313226E-2</v>
      </c>
      <c r="V6" s="482" t="s">
        <v>354</v>
      </c>
      <c r="W6" s="484">
        <v>845510.36</v>
      </c>
      <c r="X6" s="484">
        <v>845510.36</v>
      </c>
      <c r="Y6" s="484">
        <v>0</v>
      </c>
    </row>
    <row r="7" spans="2:25" ht="16.5" x14ac:dyDescent="0.2">
      <c r="B7" s="589"/>
      <c r="C7" s="590" t="s">
        <v>355</v>
      </c>
      <c r="D7" s="592">
        <v>-226440.76000000176</v>
      </c>
      <c r="E7" s="592">
        <v>-226442.6300000007</v>
      </c>
      <c r="F7" s="594">
        <v>1.8699999989476055</v>
      </c>
      <c r="H7" s="500"/>
      <c r="I7" s="482" t="s">
        <v>123</v>
      </c>
      <c r="J7" s="514">
        <v>-768804.62999999966</v>
      </c>
      <c r="K7" s="514">
        <v>-768802.11999999965</v>
      </c>
      <c r="L7" s="486">
        <v>-2.5100000000093132</v>
      </c>
      <c r="O7" s="500"/>
      <c r="P7" s="482" t="s">
        <v>355</v>
      </c>
      <c r="Q7" s="501">
        <f>+Q4-Q5-Q6</f>
        <v>44586.669999999693</v>
      </c>
      <c r="R7" s="501">
        <f>+R4-R5-R6</f>
        <v>44604.310000000056</v>
      </c>
      <c r="S7" s="486">
        <f>+Q7-R7</f>
        <v>-17.640000000363216</v>
      </c>
      <c r="V7" s="482" t="s">
        <v>355</v>
      </c>
      <c r="W7" s="484">
        <v>-290605.08000000066</v>
      </c>
      <c r="X7" s="486">
        <v>-290633.54999999946</v>
      </c>
      <c r="Y7" s="486">
        <v>28.469999998807907</v>
      </c>
    </row>
    <row r="8" spans="2:25" ht="16.5" x14ac:dyDescent="0.2">
      <c r="B8" s="589"/>
      <c r="C8" s="589"/>
      <c r="D8" s="595"/>
      <c r="E8" s="595"/>
      <c r="F8" s="596"/>
      <c r="H8" s="500"/>
      <c r="I8" s="500"/>
      <c r="J8" s="516"/>
      <c r="K8" s="516"/>
      <c r="L8" s="505"/>
      <c r="O8" s="500"/>
      <c r="P8" s="500"/>
      <c r="Q8" s="500"/>
      <c r="R8" s="500"/>
      <c r="S8" s="500"/>
    </row>
    <row r="9" spans="2:25" ht="17.25" x14ac:dyDescent="0.2">
      <c r="B9" s="589"/>
      <c r="C9" s="589"/>
      <c r="D9" s="589"/>
      <c r="E9" s="589"/>
      <c r="F9" s="589"/>
      <c r="H9" s="500"/>
      <c r="I9" s="500"/>
      <c r="J9" s="500"/>
      <c r="K9" s="500"/>
      <c r="L9" s="500"/>
      <c r="O9" s="499" t="s">
        <v>473</v>
      </c>
      <c r="P9" s="127"/>
      <c r="Q9" s="127"/>
      <c r="R9" s="127"/>
      <c r="S9" s="127"/>
      <c r="V9" s="487" t="s">
        <v>460</v>
      </c>
      <c r="W9" s="488" t="s">
        <v>464</v>
      </c>
      <c r="X9" s="488" t="s">
        <v>465</v>
      </c>
      <c r="Y9" s="488" t="s">
        <v>466</v>
      </c>
    </row>
    <row r="10" spans="2:25" ht="17.25" x14ac:dyDescent="0.2">
      <c r="B10" s="588" t="s">
        <v>541</v>
      </c>
      <c r="C10" s="589"/>
      <c r="D10" s="589"/>
      <c r="E10" s="589"/>
      <c r="F10" s="589"/>
      <c r="H10" s="499" t="s">
        <v>485</v>
      </c>
      <c r="I10" s="127"/>
      <c r="J10" s="127"/>
      <c r="K10" s="127"/>
      <c r="L10" s="127"/>
      <c r="O10" s="500"/>
      <c r="P10" s="487" t="s">
        <v>460</v>
      </c>
      <c r="Q10" s="488" t="s">
        <v>464</v>
      </c>
      <c r="R10" s="488" t="s">
        <v>465</v>
      </c>
      <c r="S10" s="488" t="s">
        <v>466</v>
      </c>
      <c r="V10" s="487" t="s">
        <v>351</v>
      </c>
      <c r="W10" s="489">
        <v>14238050</v>
      </c>
      <c r="X10" s="489">
        <v>9794211.2599999998</v>
      </c>
      <c r="Y10" s="490">
        <v>4443838.74</v>
      </c>
    </row>
    <row r="11" spans="2:25" ht="16.5" x14ac:dyDescent="0.2">
      <c r="B11" s="589"/>
      <c r="C11" s="597" t="s">
        <v>460</v>
      </c>
      <c r="D11" s="598" t="s">
        <v>464</v>
      </c>
      <c r="E11" s="598" t="s">
        <v>465</v>
      </c>
      <c r="F11" s="598" t="s">
        <v>466</v>
      </c>
      <c r="H11" s="500"/>
      <c r="I11" s="487" t="s">
        <v>460</v>
      </c>
      <c r="J11" s="488" t="s">
        <v>464</v>
      </c>
      <c r="K11" s="488" t="s">
        <v>465</v>
      </c>
      <c r="L11" s="488" t="s">
        <v>466</v>
      </c>
      <c r="O11" s="500"/>
      <c r="P11" s="487" t="s">
        <v>351</v>
      </c>
      <c r="Q11" s="489">
        <f>SUM(R11:S11)</f>
        <v>14550564.33</v>
      </c>
      <c r="R11" s="489">
        <v>10567433.65</v>
      </c>
      <c r="S11" s="490">
        <v>3983130.68</v>
      </c>
      <c r="T11" t="b">
        <f>Q11=Q4</f>
        <v>1</v>
      </c>
      <c r="V11" s="487" t="s">
        <v>352</v>
      </c>
      <c r="W11" s="489">
        <v>13683144.720000001</v>
      </c>
      <c r="X11" s="489">
        <v>9584290.9700000007</v>
      </c>
      <c r="Y11" s="489">
        <v>4098853.75</v>
      </c>
    </row>
    <row r="12" spans="2:25" ht="16.5" x14ac:dyDescent="0.2">
      <c r="B12" s="589"/>
      <c r="C12" s="597" t="s">
        <v>351</v>
      </c>
      <c r="D12" s="599">
        <v>12501979.870000001</v>
      </c>
      <c r="E12" s="599">
        <v>10329331.32</v>
      </c>
      <c r="F12" s="600">
        <v>2172648.5499999998</v>
      </c>
      <c r="H12" s="500"/>
      <c r="I12" s="487" t="s">
        <v>351</v>
      </c>
      <c r="J12" s="489">
        <v>9843533.4699999988</v>
      </c>
      <c r="K12" s="489">
        <v>7465258.3799999999</v>
      </c>
      <c r="L12" s="490">
        <v>2378275.09</v>
      </c>
      <c r="O12" s="500"/>
      <c r="P12" s="487" t="s">
        <v>352</v>
      </c>
      <c r="Q12" s="489">
        <f t="shared" ref="Q12:Q13" si="0">SUM(R12:S12)</f>
        <v>13361660.4</v>
      </c>
      <c r="R12" s="489">
        <f>9694521.23+S5</f>
        <v>9694538.8800000008</v>
      </c>
      <c r="S12" s="489">
        <v>3667121.52</v>
      </c>
      <c r="T12" t="b">
        <f>Q12=Q5</f>
        <v>1</v>
      </c>
      <c r="V12" s="487" t="s">
        <v>353</v>
      </c>
      <c r="W12" s="489">
        <v>554905.27999999933</v>
      </c>
      <c r="X12" s="489">
        <v>209920.28999999911</v>
      </c>
      <c r="Y12" s="489">
        <v>344984.99000000022</v>
      </c>
    </row>
    <row r="13" spans="2:25" ht="16.5" x14ac:dyDescent="0.2">
      <c r="B13" s="589"/>
      <c r="C13" s="597" t="s">
        <v>352</v>
      </c>
      <c r="D13" s="599">
        <v>12033204.460000001</v>
      </c>
      <c r="E13" s="599">
        <v>9323898.0900000017</v>
      </c>
      <c r="F13" s="599">
        <v>2709306.37</v>
      </c>
      <c r="H13" s="500"/>
      <c r="I13" s="487" t="s">
        <v>352</v>
      </c>
      <c r="J13" s="489">
        <v>9807635.1500000004</v>
      </c>
      <c r="K13" s="489">
        <v>6804593.9199999999</v>
      </c>
      <c r="L13" s="489">
        <v>3003041.23</v>
      </c>
      <c r="O13" s="500"/>
      <c r="P13" s="487" t="s">
        <v>353</v>
      </c>
      <c r="Q13" s="489">
        <f t="shared" si="0"/>
        <v>1188903.9299999997</v>
      </c>
      <c r="R13" s="489">
        <f>+R11-R12</f>
        <v>872894.76999999955</v>
      </c>
      <c r="S13" s="489">
        <f>+S11-S12</f>
        <v>316009.16000000015</v>
      </c>
      <c r="V13" s="491" t="s">
        <v>467</v>
      </c>
      <c r="W13" s="492">
        <v>3.89734043636593E-2</v>
      </c>
      <c r="X13" s="492">
        <v>2.1433098023658427E-2</v>
      </c>
      <c r="Y13" s="492">
        <v>7.7632202738301931E-2</v>
      </c>
    </row>
    <row r="14" spans="2:25" ht="16.5" x14ac:dyDescent="0.2">
      <c r="B14" s="589"/>
      <c r="C14" s="597" t="s">
        <v>353</v>
      </c>
      <c r="D14" s="599">
        <v>468775.41000000015</v>
      </c>
      <c r="E14" s="599">
        <v>1005433.2299999986</v>
      </c>
      <c r="F14" s="599">
        <v>-536657.8200000003</v>
      </c>
      <c r="H14" s="500"/>
      <c r="I14" s="487" t="s">
        <v>353</v>
      </c>
      <c r="J14" s="489">
        <v>35898.319999998435</v>
      </c>
      <c r="K14" s="489">
        <v>660664.46</v>
      </c>
      <c r="L14" s="489">
        <v>-624766.14000000013</v>
      </c>
      <c r="O14" s="500"/>
      <c r="P14" s="491" t="s">
        <v>467</v>
      </c>
      <c r="Q14" s="492">
        <f>+Q13/Q11</f>
        <v>8.1708441201056817E-2</v>
      </c>
      <c r="R14" s="492">
        <f>+R13/R11</f>
        <v>8.2602342149552976E-2</v>
      </c>
      <c r="S14" s="492">
        <f>+S13/S11</f>
        <v>7.9336879803300883E-2</v>
      </c>
      <c r="V14" s="487" t="s">
        <v>354</v>
      </c>
      <c r="W14" s="489">
        <v>845510.36</v>
      </c>
      <c r="X14" s="489">
        <v>384498.07</v>
      </c>
      <c r="Y14" s="489">
        <v>461012.29</v>
      </c>
    </row>
    <row r="15" spans="2:25" ht="16.5" x14ac:dyDescent="0.2">
      <c r="B15" s="589"/>
      <c r="C15" s="601" t="s">
        <v>467</v>
      </c>
      <c r="D15" s="602">
        <v>3.7496093808700087E-2</v>
      </c>
      <c r="E15" s="602">
        <v>9.7337688070208844E-2</v>
      </c>
      <c r="F15" s="602">
        <v>-0.24700627259756316</v>
      </c>
      <c r="H15" s="500"/>
      <c r="I15" s="491" t="s">
        <v>467</v>
      </c>
      <c r="J15" s="492">
        <v>3.6468936799377225E-3</v>
      </c>
      <c r="K15" s="492">
        <v>8.8498539015068892E-2</v>
      </c>
      <c r="L15" s="492">
        <v>-0.26269717183978081</v>
      </c>
      <c r="O15" s="500"/>
      <c r="P15" s="487" t="s">
        <v>354</v>
      </c>
      <c r="Q15" s="489">
        <f t="shared" ref="Q15:Q16" si="1">SUM(R15:S15)</f>
        <v>1144317.26</v>
      </c>
      <c r="R15" s="489">
        <f>387268.85+S6</f>
        <v>387268.83999999997</v>
      </c>
      <c r="S15" s="489">
        <v>757048.42</v>
      </c>
      <c r="T15" t="b">
        <f>Q15=Q6</f>
        <v>1</v>
      </c>
      <c r="V15" s="487" t="s">
        <v>355</v>
      </c>
      <c r="W15" s="489">
        <v>-290605.08000000066</v>
      </c>
      <c r="X15" s="489">
        <v>-174577.7800000009</v>
      </c>
      <c r="Y15" s="489">
        <v>-116027.29999999976</v>
      </c>
    </row>
    <row r="16" spans="2:25" ht="16.5" x14ac:dyDescent="0.2">
      <c r="B16" s="589"/>
      <c r="C16" s="597" t="s">
        <v>354</v>
      </c>
      <c r="D16" s="599">
        <v>695216.17</v>
      </c>
      <c r="E16" s="599">
        <v>342624.59</v>
      </c>
      <c r="F16" s="599">
        <v>352591.58</v>
      </c>
      <c r="H16" s="500"/>
      <c r="I16" s="487" t="s">
        <v>354</v>
      </c>
      <c r="J16" s="489">
        <v>804702.95</v>
      </c>
      <c r="K16" s="489">
        <v>482172.68</v>
      </c>
      <c r="L16" s="489">
        <v>322530.27</v>
      </c>
      <c r="O16" s="500"/>
      <c r="P16" s="487" t="s">
        <v>355</v>
      </c>
      <c r="Q16" s="489">
        <f t="shared" si="1"/>
        <v>44586.669999999693</v>
      </c>
      <c r="R16" s="489">
        <f>+R13-R15</f>
        <v>485625.92999999959</v>
      </c>
      <c r="S16" s="489">
        <f>+S13-S15</f>
        <v>-441039.25999999989</v>
      </c>
      <c r="T16" t="b">
        <f>Q16=Q7</f>
        <v>1</v>
      </c>
      <c r="V16" s="491" t="s">
        <v>467</v>
      </c>
      <c r="W16" s="492">
        <v>-2.0410455083385761E-2</v>
      </c>
      <c r="X16" s="492">
        <v>-1.7824587949515081E-2</v>
      </c>
      <c r="Y16" s="492">
        <v>-2.6109700821411837E-2</v>
      </c>
    </row>
    <row r="17" spans="2:23" ht="16.5" x14ac:dyDescent="0.2">
      <c r="B17" s="589"/>
      <c r="C17" s="597" t="s">
        <v>355</v>
      </c>
      <c r="D17" s="599">
        <v>-226440.75999999989</v>
      </c>
      <c r="E17" s="599">
        <v>662808.6399999985</v>
      </c>
      <c r="F17" s="599">
        <v>-889249.40000000037</v>
      </c>
      <c r="H17" s="500"/>
      <c r="I17" s="487" t="s">
        <v>355</v>
      </c>
      <c r="J17" s="489">
        <v>-768804.63000000152</v>
      </c>
      <c r="K17" s="489">
        <v>178491.77999999997</v>
      </c>
      <c r="L17" s="489">
        <v>-947296.41000000015</v>
      </c>
      <c r="O17" s="500"/>
      <c r="P17" s="491" t="s">
        <v>467</v>
      </c>
      <c r="Q17" s="492">
        <f>+Q16/Q11</f>
        <v>3.0642570960682245E-3</v>
      </c>
      <c r="R17" s="492">
        <f>+R16/R11</f>
        <v>4.5954954257034733E-2</v>
      </c>
      <c r="S17" s="492">
        <f>+S16/S11</f>
        <v>-0.11072678639808019</v>
      </c>
      <c r="W17" s="497">
        <v>-290605.08000000066</v>
      </c>
    </row>
    <row r="18" spans="2:23" ht="16.5" x14ac:dyDescent="0.2">
      <c r="B18" s="589"/>
      <c r="C18" s="601" t="s">
        <v>467</v>
      </c>
      <c r="D18" s="602">
        <v>-1.8112391985478368E-2</v>
      </c>
      <c r="E18" s="602">
        <v>6.4167623195186513E-2</v>
      </c>
      <c r="F18" s="602">
        <v>-0.40929279611283675</v>
      </c>
      <c r="H18" s="500"/>
      <c r="I18" s="491" t="s">
        <v>467</v>
      </c>
      <c r="J18" s="492">
        <v>-7.8102505806789485E-2</v>
      </c>
      <c r="K18" s="492">
        <v>2.3909658703601358E-2</v>
      </c>
      <c r="L18" s="492">
        <v>-0.3983123794144437</v>
      </c>
      <c r="Q18" s="513">
        <v>-32385.080381347332</v>
      </c>
      <c r="R18" s="461">
        <v>76971.750381346705</v>
      </c>
      <c r="S18" s="512">
        <f>+S16-R18</f>
        <v>-518011.01038134657</v>
      </c>
    </row>
    <row r="19" spans="2:23" ht="16.5" x14ac:dyDescent="0.2">
      <c r="B19" s="603"/>
      <c r="C19" s="603"/>
      <c r="D19" s="604">
        <v>-301166210.79999983</v>
      </c>
      <c r="E19" s="604">
        <v>881535491.19999802</v>
      </c>
      <c r="F19" s="604">
        <v>-1182701702.0000005</v>
      </c>
      <c r="H19" s="127"/>
      <c r="I19" s="127"/>
      <c r="J19" s="517">
        <v>-1022510157.900002</v>
      </c>
      <c r="K19" s="517">
        <v>237394067.39999995</v>
      </c>
      <c r="L19" s="517">
        <v>-1259904225.3000002</v>
      </c>
      <c r="Q19" s="513">
        <f>+Q16-R18</f>
        <v>-32385.080381347012</v>
      </c>
      <c r="R19" s="511">
        <f>+Q16-R18</f>
        <v>-32385.080381347012</v>
      </c>
    </row>
    <row r="20" spans="2:23" ht="17.25" x14ac:dyDescent="0.2">
      <c r="J20">
        <f>+'3. 손익계산서 월별실적'!P163</f>
        <v>0</v>
      </c>
      <c r="L20">
        <f>+J20</f>
        <v>0</v>
      </c>
      <c r="O20" s="499" t="s">
        <v>472</v>
      </c>
      <c r="P20" s="500"/>
      <c r="Q20" s="500"/>
      <c r="R20" s="500"/>
      <c r="S20" s="500"/>
    </row>
    <row r="21" spans="2:23" x14ac:dyDescent="0.2">
      <c r="J21" s="511">
        <f>+J17-J20</f>
        <v>-768804.63000000152</v>
      </c>
      <c r="K21" s="511">
        <f>+K17-K20</f>
        <v>178491.77999999997</v>
      </c>
      <c r="L21" s="511">
        <f>+L17-L20</f>
        <v>-947296.41000000015</v>
      </c>
      <c r="O21" s="500"/>
      <c r="P21" s="482" t="s">
        <v>460</v>
      </c>
      <c r="Q21" s="483" t="s">
        <v>461</v>
      </c>
      <c r="R21" s="483" t="s">
        <v>462</v>
      </c>
      <c r="S21" s="483" t="s">
        <v>463</v>
      </c>
    </row>
    <row r="22" spans="2:23" ht="16.5" x14ac:dyDescent="0.2">
      <c r="O22" s="500"/>
      <c r="P22" s="482" t="s">
        <v>351</v>
      </c>
      <c r="Q22" s="501">
        <v>14550564.33</v>
      </c>
      <c r="R22" s="501">
        <v>14550564.33</v>
      </c>
      <c r="S22" s="502">
        <v>0</v>
      </c>
    </row>
    <row r="23" spans="2:23" ht="16.5" x14ac:dyDescent="0.2">
      <c r="O23" s="500"/>
      <c r="P23" s="482" t="s">
        <v>352</v>
      </c>
      <c r="Q23" s="501">
        <v>13021632.939999999</v>
      </c>
      <c r="R23" s="501">
        <v>13021616.060000001</v>
      </c>
      <c r="S23" s="486">
        <v>16.879999998956919</v>
      </c>
      <c r="T23" s="511">
        <f>+S12-S30</f>
        <v>340026.70000000019</v>
      </c>
    </row>
    <row r="24" spans="2:23" ht="16.5" x14ac:dyDescent="0.2">
      <c r="O24" s="500"/>
      <c r="P24" s="482" t="s">
        <v>354</v>
      </c>
      <c r="Q24" s="501">
        <v>1144317.26</v>
      </c>
      <c r="R24" s="501">
        <v>1144317.27</v>
      </c>
      <c r="S24" s="501">
        <v>-1.0000000009313226E-2</v>
      </c>
      <c r="T24" s="461">
        <f>+T23*1330</f>
        <v>452235511.00000024</v>
      </c>
    </row>
    <row r="25" spans="2:23" ht="16.5" x14ac:dyDescent="0.2">
      <c r="O25" s="500"/>
      <c r="P25" s="482" t="s">
        <v>355</v>
      </c>
      <c r="Q25" s="501">
        <v>384614.13000000059</v>
      </c>
      <c r="R25" s="501">
        <v>384630.99999999953</v>
      </c>
      <c r="S25" s="486">
        <v>-16.869999998947605</v>
      </c>
    </row>
    <row r="26" spans="2:23" x14ac:dyDescent="0.2">
      <c r="O26" s="500"/>
      <c r="P26" s="500"/>
      <c r="Q26" s="500"/>
      <c r="R26" s="500"/>
      <c r="S26" s="500"/>
    </row>
    <row r="27" spans="2:23" ht="17.25" x14ac:dyDescent="0.2">
      <c r="O27" s="499" t="s">
        <v>473</v>
      </c>
      <c r="P27" s="127"/>
      <c r="Q27" s="127"/>
      <c r="R27" s="127"/>
      <c r="S27" s="127"/>
    </row>
    <row r="28" spans="2:23" x14ac:dyDescent="0.2">
      <c r="O28" s="500"/>
      <c r="P28" s="487" t="s">
        <v>460</v>
      </c>
      <c r="Q28" s="488" t="s">
        <v>464</v>
      </c>
      <c r="R28" s="488" t="s">
        <v>465</v>
      </c>
      <c r="S28" s="488" t="s">
        <v>466</v>
      </c>
    </row>
    <row r="29" spans="2:23" ht="16.5" x14ac:dyDescent="0.2">
      <c r="O29" s="500"/>
      <c r="P29" s="487" t="s">
        <v>351</v>
      </c>
      <c r="Q29" s="489">
        <v>14550564.33</v>
      </c>
      <c r="R29" s="489">
        <v>10567433.65</v>
      </c>
      <c r="S29" s="490">
        <v>3983130.68</v>
      </c>
    </row>
    <row r="30" spans="2:23" x14ac:dyDescent="0.2">
      <c r="O30" s="500"/>
      <c r="P30" s="487" t="s">
        <v>352</v>
      </c>
      <c r="Q30" s="489">
        <v>13021632.939999999</v>
      </c>
      <c r="R30" s="489">
        <v>9694538.1199999992</v>
      </c>
      <c r="S30" s="489">
        <v>3327094.82</v>
      </c>
    </row>
    <row r="31" spans="2:23" x14ac:dyDescent="0.2">
      <c r="O31" s="500"/>
      <c r="P31" s="487" t="s">
        <v>353</v>
      </c>
      <c r="Q31" s="489">
        <v>1528931.3900000006</v>
      </c>
      <c r="R31" s="489">
        <v>872895.53000000119</v>
      </c>
      <c r="S31" s="489">
        <v>656035.86000000034</v>
      </c>
    </row>
    <row r="32" spans="2:23" x14ac:dyDescent="0.2">
      <c r="O32" s="500"/>
      <c r="P32" s="491" t="s">
        <v>467</v>
      </c>
      <c r="Q32" s="492">
        <v>0.10507711971333558</v>
      </c>
      <c r="R32" s="492">
        <v>8.2602414068623106E-2</v>
      </c>
      <c r="S32" s="492">
        <v>0.1647035743251086</v>
      </c>
    </row>
    <row r="33" spans="15:19" x14ac:dyDescent="0.2">
      <c r="O33" s="500"/>
      <c r="P33" s="487" t="s">
        <v>354</v>
      </c>
      <c r="Q33" s="489">
        <v>1144317.26</v>
      </c>
      <c r="R33" s="489">
        <v>387268.83999999997</v>
      </c>
      <c r="S33" s="489">
        <v>757048.42</v>
      </c>
    </row>
    <row r="34" spans="15:19" x14ac:dyDescent="0.2">
      <c r="O34" s="500"/>
      <c r="P34" s="487" t="s">
        <v>355</v>
      </c>
      <c r="Q34" s="489">
        <v>384614.13000000059</v>
      </c>
      <c r="R34" s="489">
        <v>485626.69000000122</v>
      </c>
      <c r="S34" s="489">
        <v>-101012.55999999971</v>
      </c>
    </row>
    <row r="35" spans="15:19" x14ac:dyDescent="0.2">
      <c r="O35" s="500"/>
      <c r="P35" s="491" t="s">
        <v>467</v>
      </c>
      <c r="Q35" s="492">
        <v>2.6432935608346992E-2</v>
      </c>
      <c r="R35" s="492">
        <v>4.5955026176104849E-2</v>
      </c>
      <c r="S35" s="492">
        <v>-2.5360091876272486E-2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9039-0633-4EA6-87EC-CF37E2AA6076}">
  <dimension ref="B1:L18"/>
  <sheetViews>
    <sheetView showGridLines="0" zoomScale="85" zoomScaleNormal="85" workbookViewId="0">
      <selection activeCell="I43" sqref="I43"/>
    </sheetView>
  </sheetViews>
  <sheetFormatPr defaultColWidth="9.140625" defaultRowHeight="12.75" x14ac:dyDescent="0.2"/>
  <cols>
    <col min="1" max="1" width="2.42578125" style="419" customWidth="1"/>
    <col min="2" max="2" width="15.140625" style="419" customWidth="1"/>
    <col min="3" max="5" width="17" style="419" customWidth="1"/>
    <col min="6" max="6" width="16.28515625" style="419" customWidth="1"/>
    <col min="7" max="11" width="17" style="419" customWidth="1"/>
    <col min="12" max="12" width="15.28515625" style="419" customWidth="1"/>
    <col min="13" max="13" width="3.85546875" style="419" customWidth="1"/>
    <col min="14" max="16384" width="9.140625" style="419"/>
  </cols>
  <sheetData>
    <row r="1" spans="2:12" ht="7.15" customHeight="1" x14ac:dyDescent="0.2"/>
    <row r="2" spans="2:12" ht="5.45" customHeight="1" x14ac:dyDescent="0.2"/>
    <row r="3" spans="2:12" ht="21.75" customHeight="1" x14ac:dyDescent="0.2">
      <c r="B3" s="419" t="s">
        <v>304</v>
      </c>
      <c r="L3" s="420" t="s">
        <v>305</v>
      </c>
    </row>
    <row r="4" spans="2:12" ht="19.5" customHeight="1" thickBot="1" x14ac:dyDescent="0.25">
      <c r="B4" s="654" t="s">
        <v>306</v>
      </c>
      <c r="C4" s="655" t="s">
        <v>307</v>
      </c>
      <c r="D4" s="655"/>
      <c r="E4" s="655"/>
      <c r="F4" s="656"/>
      <c r="G4" s="657" t="s">
        <v>308</v>
      </c>
      <c r="H4" s="655"/>
      <c r="I4" s="656"/>
      <c r="J4" s="658" t="s">
        <v>309</v>
      </c>
      <c r="K4" s="659"/>
      <c r="L4" s="659"/>
    </row>
    <row r="5" spans="2:12" ht="19.5" customHeight="1" x14ac:dyDescent="0.2">
      <c r="B5" s="654"/>
      <c r="C5" s="421" t="s">
        <v>310</v>
      </c>
      <c r="D5" s="421" t="s">
        <v>311</v>
      </c>
      <c r="E5" s="422" t="s">
        <v>312</v>
      </c>
      <c r="F5" s="423" t="s">
        <v>313</v>
      </c>
      <c r="G5" s="421" t="s">
        <v>314</v>
      </c>
      <c r="H5" s="421" t="s">
        <v>315</v>
      </c>
      <c r="I5" s="422" t="s">
        <v>316</v>
      </c>
      <c r="J5" s="424" t="s">
        <v>307</v>
      </c>
      <c r="K5" s="425" t="s">
        <v>317</v>
      </c>
      <c r="L5" s="426" t="s">
        <v>318</v>
      </c>
    </row>
    <row r="6" spans="2:12" ht="19.5" customHeight="1" thickBot="1" x14ac:dyDescent="0.25">
      <c r="B6" s="427" t="s">
        <v>319</v>
      </c>
      <c r="C6" s="428">
        <f>+C7</f>
        <v>455287</v>
      </c>
      <c r="D6" s="428">
        <f>SUM(D7:D18)</f>
        <v>2429034.89</v>
      </c>
      <c r="E6" s="428">
        <f>SUM(E7:E18)</f>
        <v>83.843999999999994</v>
      </c>
      <c r="F6" s="429">
        <f>SUM(C6:E6)</f>
        <v>2884405.7340000002</v>
      </c>
      <c r="G6" s="428">
        <f>SUM(G7:G18)</f>
        <v>1519376.5079999999</v>
      </c>
      <c r="H6" s="428">
        <f>SUM(H7:H18)</f>
        <v>3194.16</v>
      </c>
      <c r="I6" s="429">
        <f>SUM(G6:H6)</f>
        <v>1522570.6679999998</v>
      </c>
      <c r="J6" s="428">
        <f>SUM(J7:J18)</f>
        <v>2537403.2320000003</v>
      </c>
      <c r="K6" s="428">
        <f>SUM(K7:K18)</f>
        <v>2523380.1140000001</v>
      </c>
      <c r="L6" s="430">
        <f>+K6/J6</f>
        <v>0.99447343732239712</v>
      </c>
    </row>
    <row r="7" spans="2:12" ht="18" customHeight="1" x14ac:dyDescent="0.2">
      <c r="B7" s="431" t="s">
        <v>160</v>
      </c>
      <c r="C7" s="432">
        <v>455287</v>
      </c>
      <c r="D7" s="433">
        <v>671478</v>
      </c>
      <c r="E7" s="434"/>
      <c r="F7" s="435">
        <f>SUM(C7:E7)</f>
        <v>1126765</v>
      </c>
      <c r="G7" s="433">
        <v>413063</v>
      </c>
      <c r="H7" s="434"/>
      <c r="I7" s="435">
        <f>SUM(G7:H7)</f>
        <v>413063</v>
      </c>
      <c r="J7" s="433">
        <f>SUM(C7:E7)-SUM(G7:H7)</f>
        <v>713702</v>
      </c>
      <c r="K7" s="433">
        <v>707803</v>
      </c>
      <c r="L7" s="436">
        <f>+K7/J7</f>
        <v>0.99173464555234536</v>
      </c>
    </row>
    <row r="8" spans="2:12" ht="18" customHeight="1" x14ac:dyDescent="0.2">
      <c r="B8" s="427" t="s">
        <v>79</v>
      </c>
      <c r="C8" s="437">
        <f>+G7</f>
        <v>413063</v>
      </c>
      <c r="D8" s="437">
        <v>582234</v>
      </c>
      <c r="F8" s="429">
        <f>SUM(C8:E8)</f>
        <v>995297</v>
      </c>
      <c r="G8" s="428">
        <v>422861</v>
      </c>
      <c r="H8" s="438"/>
      <c r="I8" s="429">
        <f>SUM(G8:H8)</f>
        <v>422861</v>
      </c>
      <c r="J8" s="428">
        <f>SUM(C8:E8)-SUM(G8:H8)</f>
        <v>572436</v>
      </c>
      <c r="K8" s="428">
        <v>572422</v>
      </c>
      <c r="L8" s="430">
        <f>+K8/J8</f>
        <v>0.99997554311748382</v>
      </c>
    </row>
    <row r="9" spans="2:12" ht="18" customHeight="1" x14ac:dyDescent="0.2">
      <c r="B9" s="427" t="s">
        <v>80</v>
      </c>
      <c r="C9" s="439">
        <f>+G8</f>
        <v>422861</v>
      </c>
      <c r="D9" s="439">
        <v>533590</v>
      </c>
      <c r="E9" s="439"/>
      <c r="F9" s="429">
        <f>SUM(C9:E9)</f>
        <v>956451</v>
      </c>
      <c r="G9" s="428">
        <v>340822</v>
      </c>
      <c r="H9" s="438"/>
      <c r="I9" s="429">
        <f>SUM(G9:H9)</f>
        <v>340822</v>
      </c>
      <c r="J9" s="428">
        <f>SUM(C9:E9)-SUM(G9:H9)</f>
        <v>615629</v>
      </c>
      <c r="K9" s="428">
        <v>617095</v>
      </c>
      <c r="L9" s="430">
        <f>+K9/J9</f>
        <v>1.0023813043245202</v>
      </c>
    </row>
    <row r="10" spans="2:12" ht="18" customHeight="1" x14ac:dyDescent="0.2">
      <c r="B10" s="427" t="s">
        <v>81</v>
      </c>
      <c r="C10" s="439">
        <v>339644.1660000002</v>
      </c>
      <c r="D10" s="439">
        <v>641732.89</v>
      </c>
      <c r="E10" s="439">
        <v>83.843999999999994</v>
      </c>
      <c r="F10" s="429">
        <f>SUM(C10:E10)</f>
        <v>981460.90000000026</v>
      </c>
      <c r="G10" s="428">
        <v>342630.50799999997</v>
      </c>
      <c r="H10" s="438">
        <v>3194.16</v>
      </c>
      <c r="I10" s="429">
        <f>SUM(G10:H10)</f>
        <v>345824.66799999995</v>
      </c>
      <c r="J10" s="428">
        <f>SUM(C10:E10)-SUM(G10:H10)</f>
        <v>635636.23200000031</v>
      </c>
      <c r="K10" s="428">
        <v>626060.11399999983</v>
      </c>
      <c r="L10" s="430">
        <f>+K10/J10</f>
        <v>0.98493459384801008</v>
      </c>
    </row>
    <row r="11" spans="2:12" ht="18" customHeight="1" x14ac:dyDescent="0.2">
      <c r="B11" s="427" t="s">
        <v>82</v>
      </c>
      <c r="C11" s="439"/>
      <c r="D11" s="428"/>
      <c r="E11" s="438"/>
      <c r="F11" s="429"/>
      <c r="G11" s="428"/>
      <c r="H11" s="438"/>
      <c r="I11" s="429"/>
      <c r="J11" s="428"/>
      <c r="K11" s="428"/>
      <c r="L11" s="430"/>
    </row>
    <row r="12" spans="2:12" ht="18" customHeight="1" x14ac:dyDescent="0.2">
      <c r="B12" s="427" t="s">
        <v>83</v>
      </c>
      <c r="C12" s="439"/>
      <c r="D12" s="428"/>
      <c r="E12" s="438"/>
      <c r="F12" s="429"/>
      <c r="G12" s="428"/>
      <c r="H12" s="438"/>
      <c r="I12" s="429"/>
      <c r="J12" s="428"/>
      <c r="K12" s="428"/>
      <c r="L12" s="430"/>
    </row>
    <row r="13" spans="2:12" ht="18" customHeight="1" x14ac:dyDescent="0.2">
      <c r="B13" s="427" t="s">
        <v>84</v>
      </c>
      <c r="C13" s="439"/>
      <c r="D13" s="428"/>
      <c r="E13" s="438"/>
      <c r="F13" s="429"/>
      <c r="G13" s="428"/>
      <c r="H13" s="438"/>
      <c r="I13" s="429"/>
      <c r="J13" s="428"/>
      <c r="K13" s="428"/>
      <c r="L13" s="430"/>
    </row>
    <row r="14" spans="2:12" ht="18" customHeight="1" x14ac:dyDescent="0.2">
      <c r="B14" s="427" t="s">
        <v>320</v>
      </c>
      <c r="C14" s="439"/>
      <c r="D14" s="428"/>
      <c r="E14" s="438"/>
      <c r="F14" s="429"/>
      <c r="G14" s="428"/>
      <c r="H14" s="438"/>
      <c r="I14" s="429"/>
      <c r="J14" s="428"/>
      <c r="K14" s="428"/>
      <c r="L14" s="430"/>
    </row>
    <row r="15" spans="2:12" ht="18" customHeight="1" x14ac:dyDescent="0.2">
      <c r="B15" s="427" t="s">
        <v>321</v>
      </c>
      <c r="C15" s="439"/>
      <c r="D15" s="428"/>
      <c r="E15" s="438"/>
      <c r="F15" s="429"/>
      <c r="G15" s="428"/>
      <c r="H15" s="438"/>
      <c r="I15" s="429"/>
      <c r="J15" s="428"/>
      <c r="K15" s="428"/>
      <c r="L15" s="430"/>
    </row>
    <row r="16" spans="2:12" ht="18" customHeight="1" x14ac:dyDescent="0.2">
      <c r="B16" s="427" t="s">
        <v>322</v>
      </c>
      <c r="C16" s="439"/>
      <c r="D16" s="428"/>
      <c r="E16" s="438"/>
      <c r="F16" s="429"/>
      <c r="G16" s="428"/>
      <c r="H16" s="438"/>
      <c r="I16" s="429"/>
      <c r="J16" s="428"/>
      <c r="K16" s="428"/>
      <c r="L16" s="430"/>
    </row>
    <row r="17" spans="2:12" ht="18" customHeight="1" x14ac:dyDescent="0.2">
      <c r="B17" s="427" t="s">
        <v>323</v>
      </c>
      <c r="C17" s="439"/>
      <c r="D17" s="428"/>
      <c r="E17" s="438"/>
      <c r="F17" s="429"/>
      <c r="G17" s="428"/>
      <c r="H17" s="438"/>
      <c r="I17" s="429"/>
      <c r="J17" s="428"/>
      <c r="K17" s="428"/>
      <c r="L17" s="430"/>
    </row>
    <row r="18" spans="2:12" ht="18" customHeight="1" x14ac:dyDescent="0.2">
      <c r="B18" s="440" t="s">
        <v>324</v>
      </c>
      <c r="C18" s="441"/>
      <c r="D18" s="442"/>
      <c r="E18" s="443"/>
      <c r="F18" s="444"/>
      <c r="G18" s="442"/>
      <c r="H18" s="443"/>
      <c r="I18" s="444"/>
      <c r="J18" s="442"/>
      <c r="K18" s="442"/>
      <c r="L18" s="445"/>
    </row>
  </sheetData>
  <mergeCells count="4">
    <mergeCell ref="B4:B5"/>
    <mergeCell ref="C4:F4"/>
    <mergeCell ref="G4:I4"/>
    <mergeCell ref="J4:L4"/>
  </mergeCells>
  <phoneticPr fontId="8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C984-ECE4-4FC1-BDD8-8333A26FB1F3}">
  <dimension ref="B2:Q306"/>
  <sheetViews>
    <sheetView workbookViewId="0">
      <selection activeCell="A2" sqref="A2"/>
    </sheetView>
  </sheetViews>
  <sheetFormatPr defaultRowHeight="12.75" x14ac:dyDescent="0.2"/>
  <cols>
    <col min="2" max="2" width="7.85546875" bestFit="1" customWidth="1"/>
    <col min="3" max="3" width="26.28515625" bestFit="1" customWidth="1"/>
    <col min="4" max="4" width="10.42578125" bestFit="1" customWidth="1"/>
    <col min="5" max="6" width="10.7109375" bestFit="1" customWidth="1"/>
    <col min="7" max="7" width="21.140625" bestFit="1" customWidth="1"/>
    <col min="8" max="8" width="19.7109375" bestFit="1" customWidth="1"/>
    <col min="9" max="9" width="15.7109375" bestFit="1" customWidth="1"/>
    <col min="10" max="10" width="16.28515625" bestFit="1" customWidth="1"/>
    <col min="11" max="12" width="13.7109375" bestFit="1" customWidth="1"/>
    <col min="13" max="13" width="13.5703125" bestFit="1" customWidth="1"/>
    <col min="14" max="15" width="12.42578125" bestFit="1" customWidth="1"/>
    <col min="16" max="16" width="10.7109375" bestFit="1" customWidth="1"/>
    <col min="17" max="17" width="11.5703125" bestFit="1" customWidth="1"/>
  </cols>
  <sheetData>
    <row r="2" spans="2:17" ht="16.5" x14ac:dyDescent="0.3">
      <c r="B2" s="464" t="s">
        <v>440</v>
      </c>
      <c r="C2" s="127"/>
      <c r="D2" s="127" t="s">
        <v>359</v>
      </c>
      <c r="E2" s="127"/>
      <c r="F2" s="127"/>
      <c r="I2" s="467">
        <f>SUM(I4:I306)</f>
        <v>157548364</v>
      </c>
      <c r="J2" s="467">
        <f t="shared" ref="J2:Q2" si="0">SUM(J4:J306)</f>
        <v>1171273414.7999976</v>
      </c>
      <c r="K2" s="467">
        <f t="shared" si="0"/>
        <v>12443563.599999985</v>
      </c>
      <c r="L2" s="467">
        <f t="shared" si="0"/>
        <v>11397926.449999984</v>
      </c>
      <c r="M2" s="467">
        <f t="shared" si="0"/>
        <v>10169209.449999968</v>
      </c>
      <c r="N2" s="467">
        <f t="shared" si="0"/>
        <v>1228716.9999999981</v>
      </c>
      <c r="O2" s="467">
        <f t="shared" si="0"/>
        <v>1045637.1500000086</v>
      </c>
      <c r="P2" s="467">
        <f t="shared" si="0"/>
        <v>417297.14999999839</v>
      </c>
      <c r="Q2" s="467">
        <f t="shared" si="0"/>
        <v>628340.00000000931</v>
      </c>
    </row>
    <row r="3" spans="2:17" x14ac:dyDescent="0.2">
      <c r="B3" s="468" t="s">
        <v>358</v>
      </c>
      <c r="C3" s="468" t="s">
        <v>431</v>
      </c>
      <c r="D3" s="468" t="s">
        <v>360</v>
      </c>
      <c r="E3" s="468" t="s">
        <v>361</v>
      </c>
      <c r="F3" s="468" t="s">
        <v>362</v>
      </c>
      <c r="G3" s="468" t="s">
        <v>432</v>
      </c>
      <c r="H3" s="468" t="s">
        <v>363</v>
      </c>
      <c r="I3" s="469" t="s">
        <v>364</v>
      </c>
      <c r="J3" s="469" t="s">
        <v>365</v>
      </c>
      <c r="K3" s="469" t="s">
        <v>433</v>
      </c>
      <c r="L3" s="469" t="s">
        <v>434</v>
      </c>
      <c r="M3" s="469" t="s">
        <v>435</v>
      </c>
      <c r="N3" s="469" t="s">
        <v>436</v>
      </c>
      <c r="O3" s="469" t="s">
        <v>437</v>
      </c>
      <c r="P3" s="469" t="s">
        <v>438</v>
      </c>
      <c r="Q3" s="469" t="s">
        <v>439</v>
      </c>
    </row>
    <row r="4" spans="2:17" x14ac:dyDescent="0.2">
      <c r="B4" s="463">
        <v>200469</v>
      </c>
      <c r="C4" s="463" t="s">
        <v>423</v>
      </c>
      <c r="D4" s="463" t="s">
        <v>383</v>
      </c>
      <c r="E4" s="463" t="s">
        <v>384</v>
      </c>
      <c r="F4" s="463">
        <v>11230</v>
      </c>
      <c r="G4" s="463" t="s">
        <v>386</v>
      </c>
      <c r="H4" s="463" t="s">
        <v>370</v>
      </c>
      <c r="I4" s="470">
        <v>24408350</v>
      </c>
      <c r="J4" s="470">
        <v>108202215.55</v>
      </c>
      <c r="K4" s="470">
        <v>1039732.16</v>
      </c>
      <c r="L4" s="470">
        <v>1004321.8099999989</v>
      </c>
      <c r="M4" s="470">
        <v>837995.62999999896</v>
      </c>
      <c r="N4" s="470">
        <v>166326.17999999991</v>
      </c>
      <c r="O4" s="470">
        <v>35410.350000001141</v>
      </c>
      <c r="P4" s="470">
        <v>34841.120596762899</v>
      </c>
      <c r="Q4" s="470">
        <v>569.2294032382415</v>
      </c>
    </row>
    <row r="5" spans="2:17" x14ac:dyDescent="0.2">
      <c r="B5" s="463">
        <v>200461</v>
      </c>
      <c r="C5" s="463" t="s">
        <v>412</v>
      </c>
      <c r="D5" s="463" t="s">
        <v>383</v>
      </c>
      <c r="E5" s="463" t="s">
        <v>384</v>
      </c>
      <c r="F5" s="463">
        <v>11650</v>
      </c>
      <c r="G5" s="463" t="s">
        <v>408</v>
      </c>
      <c r="H5" s="463" t="s">
        <v>370</v>
      </c>
      <c r="I5" s="470">
        <v>8556600</v>
      </c>
      <c r="J5" s="470">
        <v>39240567.600000001</v>
      </c>
      <c r="K5" s="470">
        <v>377969.51</v>
      </c>
      <c r="L5" s="470">
        <v>386411.48999999865</v>
      </c>
      <c r="M5" s="470">
        <v>306810.24999999895</v>
      </c>
      <c r="N5" s="470">
        <v>79601.2399999997</v>
      </c>
      <c r="O5" s="470">
        <v>-8441.9799999986426</v>
      </c>
      <c r="P5" s="470">
        <v>12660.365020926743</v>
      </c>
      <c r="Q5" s="470">
        <v>-21102.345020925386</v>
      </c>
    </row>
    <row r="6" spans="2:17" x14ac:dyDescent="0.2">
      <c r="B6" s="463">
        <v>200461</v>
      </c>
      <c r="C6" s="463" t="s">
        <v>412</v>
      </c>
      <c r="D6" s="463" t="s">
        <v>383</v>
      </c>
      <c r="E6" s="463" t="s">
        <v>384</v>
      </c>
      <c r="F6" s="463">
        <v>11000</v>
      </c>
      <c r="G6" s="463" t="s">
        <v>406</v>
      </c>
      <c r="H6" s="463" t="s">
        <v>370</v>
      </c>
      <c r="I6" s="470">
        <v>8244500</v>
      </c>
      <c r="J6" s="470">
        <v>32887310.5</v>
      </c>
      <c r="K6" s="470">
        <v>370829.07</v>
      </c>
      <c r="L6" s="470">
        <v>334151.42999999988</v>
      </c>
      <c r="M6" s="470">
        <v>275016.12</v>
      </c>
      <c r="N6" s="470">
        <v>59135.309999999903</v>
      </c>
      <c r="O6" s="470">
        <v>36677.64000000013</v>
      </c>
      <c r="P6" s="470">
        <v>12421.175949296261</v>
      </c>
      <c r="Q6" s="470">
        <v>24256.464050703871</v>
      </c>
    </row>
    <row r="7" spans="2:17" x14ac:dyDescent="0.2">
      <c r="B7" s="463">
        <v>200461</v>
      </c>
      <c r="C7" s="463" t="s">
        <v>412</v>
      </c>
      <c r="D7" s="463" t="s">
        <v>383</v>
      </c>
      <c r="E7" s="463" t="s">
        <v>384</v>
      </c>
      <c r="F7" s="463">
        <v>10450</v>
      </c>
      <c r="G7" s="463" t="s">
        <v>369</v>
      </c>
      <c r="H7" s="463" t="s">
        <v>370</v>
      </c>
      <c r="I7" s="470">
        <v>7515600</v>
      </c>
      <c r="J7" s="470">
        <v>39051057.600000001</v>
      </c>
      <c r="K7" s="470">
        <v>344515.08</v>
      </c>
      <c r="L7" s="470">
        <v>344101.69999999984</v>
      </c>
      <c r="M7" s="470">
        <v>293200.48999999987</v>
      </c>
      <c r="N7" s="470">
        <v>50901.209999999992</v>
      </c>
      <c r="O7" s="470">
        <v>413.38000000017928</v>
      </c>
      <c r="P7" s="470">
        <v>11549.995222745298</v>
      </c>
      <c r="Q7" s="470">
        <v>-11136.615222745118</v>
      </c>
    </row>
    <row r="8" spans="2:17" x14ac:dyDescent="0.2">
      <c r="B8" s="463">
        <v>200458</v>
      </c>
      <c r="C8" s="463" t="s">
        <v>407</v>
      </c>
      <c r="D8" s="463" t="s">
        <v>383</v>
      </c>
      <c r="E8" s="463" t="s">
        <v>384</v>
      </c>
      <c r="F8" s="463">
        <v>11650</v>
      </c>
      <c r="G8" s="463" t="s">
        <v>408</v>
      </c>
      <c r="H8" s="463" t="s">
        <v>370</v>
      </c>
      <c r="I8" s="470">
        <v>7720430</v>
      </c>
      <c r="J8" s="470">
        <v>35405891.9799999</v>
      </c>
      <c r="K8" s="470">
        <v>341033.47999999899</v>
      </c>
      <c r="L8" s="470">
        <v>348556.5499999997</v>
      </c>
      <c r="M8" s="470">
        <v>276715.3299999999</v>
      </c>
      <c r="N8" s="470">
        <v>71841.219999999797</v>
      </c>
      <c r="O8" s="470">
        <v>-7523.0700000007055</v>
      </c>
      <c r="P8" s="470">
        <v>11427.426452054855</v>
      </c>
      <c r="Q8" s="470">
        <v>-18950.496452055559</v>
      </c>
    </row>
    <row r="9" spans="2:17" x14ac:dyDescent="0.2">
      <c r="B9" s="463">
        <v>200471</v>
      </c>
      <c r="C9" s="463" t="s">
        <v>425</v>
      </c>
      <c r="D9" s="463" t="s">
        <v>383</v>
      </c>
      <c r="E9" s="463" t="s">
        <v>384</v>
      </c>
      <c r="F9" s="463">
        <v>11230</v>
      </c>
      <c r="G9" s="463" t="s">
        <v>386</v>
      </c>
      <c r="H9" s="463" t="s">
        <v>370</v>
      </c>
      <c r="I9" s="470">
        <v>7586800</v>
      </c>
      <c r="J9" s="470">
        <v>33632284.399999902</v>
      </c>
      <c r="K9" s="470">
        <v>323313.929999999</v>
      </c>
      <c r="L9" s="470">
        <v>326947.72999999876</v>
      </c>
      <c r="M9" s="470">
        <v>274980.96999999898</v>
      </c>
      <c r="N9" s="470">
        <v>51966.759999999776</v>
      </c>
      <c r="O9" s="470">
        <v>-3633.7999999997555</v>
      </c>
      <c r="P9" s="470">
        <v>10834.133263524496</v>
      </c>
      <c r="Q9" s="470">
        <v>-14467.933263524252</v>
      </c>
    </row>
    <row r="10" spans="2:17" x14ac:dyDescent="0.2">
      <c r="B10" s="463">
        <v>200461</v>
      </c>
      <c r="C10" s="463" t="s">
        <v>412</v>
      </c>
      <c r="D10" s="463" t="s">
        <v>383</v>
      </c>
      <c r="E10" s="463" t="s">
        <v>384</v>
      </c>
      <c r="F10" s="463">
        <v>11710</v>
      </c>
      <c r="G10" s="463" t="s">
        <v>409</v>
      </c>
      <c r="H10" s="463" t="s">
        <v>368</v>
      </c>
      <c r="I10" s="470">
        <v>4257340</v>
      </c>
      <c r="J10" s="470">
        <v>28439031.199999899</v>
      </c>
      <c r="K10" s="470">
        <v>307082.22999999899</v>
      </c>
      <c r="L10" s="470">
        <v>284082.01999999897</v>
      </c>
      <c r="M10" s="470">
        <v>245272.15999999898</v>
      </c>
      <c r="N10" s="470">
        <v>38809.859999999986</v>
      </c>
      <c r="O10" s="470">
        <v>23000.210000000021</v>
      </c>
      <c r="P10" s="470">
        <v>10285.94976909216</v>
      </c>
      <c r="Q10" s="470">
        <v>12714.260230907861</v>
      </c>
    </row>
    <row r="11" spans="2:17" x14ac:dyDescent="0.2">
      <c r="B11" s="463">
        <v>200461</v>
      </c>
      <c r="C11" s="463" t="s">
        <v>412</v>
      </c>
      <c r="D11" s="463" t="s">
        <v>383</v>
      </c>
      <c r="E11" s="463" t="s">
        <v>384</v>
      </c>
      <c r="F11" s="463">
        <v>11730</v>
      </c>
      <c r="G11" s="463" t="s">
        <v>409</v>
      </c>
      <c r="H11" s="463" t="s">
        <v>368</v>
      </c>
      <c r="I11" s="470">
        <v>1984850</v>
      </c>
      <c r="J11" s="470">
        <v>26404459.550000001</v>
      </c>
      <c r="K11" s="470">
        <v>283429.799999999</v>
      </c>
      <c r="L11" s="470">
        <v>267123.3799999989</v>
      </c>
      <c r="M11" s="470">
        <v>246041.63999999891</v>
      </c>
      <c r="N11" s="470">
        <v>21081.73999999998</v>
      </c>
      <c r="O11" s="470">
        <v>16306.4200000001</v>
      </c>
      <c r="P11" s="470">
        <v>9493.6884492848603</v>
      </c>
      <c r="Q11" s="470">
        <v>6812.7315507152398</v>
      </c>
    </row>
    <row r="12" spans="2:17" x14ac:dyDescent="0.2">
      <c r="B12" s="463">
        <v>200476</v>
      </c>
      <c r="C12" s="463" t="s">
        <v>427</v>
      </c>
      <c r="D12" s="463" t="s">
        <v>383</v>
      </c>
      <c r="E12" s="463" t="s">
        <v>384</v>
      </c>
      <c r="F12" s="463">
        <v>11230</v>
      </c>
      <c r="G12" s="463" t="s">
        <v>386</v>
      </c>
      <c r="H12" s="463" t="s">
        <v>370</v>
      </c>
      <c r="I12" s="470">
        <v>5772900</v>
      </c>
      <c r="J12" s="470">
        <v>25591265.699999899</v>
      </c>
      <c r="K12" s="470">
        <v>246014.01</v>
      </c>
      <c r="L12" s="470">
        <v>237637.52999999991</v>
      </c>
      <c r="M12" s="470">
        <v>198721.32000000004</v>
      </c>
      <c r="N12" s="470">
        <v>38916.209999999875</v>
      </c>
      <c r="O12" s="470">
        <v>8376.4800000000978</v>
      </c>
      <c r="P12" s="470">
        <v>8243.8407281191103</v>
      </c>
      <c r="Q12" s="470">
        <v>132.63927188098751</v>
      </c>
    </row>
    <row r="13" spans="2:17" x14ac:dyDescent="0.2">
      <c r="B13" s="463">
        <v>200461</v>
      </c>
      <c r="C13" s="463" t="s">
        <v>412</v>
      </c>
      <c r="D13" s="463" t="s">
        <v>383</v>
      </c>
      <c r="E13" s="463" t="s">
        <v>384</v>
      </c>
      <c r="F13" s="463">
        <v>11660</v>
      </c>
      <c r="G13" s="463" t="s">
        <v>408</v>
      </c>
      <c r="H13" s="463" t="s">
        <v>370</v>
      </c>
      <c r="I13" s="470">
        <v>3508000</v>
      </c>
      <c r="J13" s="470">
        <v>22580996</v>
      </c>
      <c r="K13" s="470">
        <v>233469.06</v>
      </c>
      <c r="L13" s="470">
        <v>225845.97</v>
      </c>
      <c r="M13" s="470">
        <v>200315.83000000002</v>
      </c>
      <c r="N13" s="470">
        <v>25530.139999999989</v>
      </c>
      <c r="O13" s="470">
        <v>7623.0899999999965</v>
      </c>
      <c r="P13" s="470">
        <v>7820.205542465179</v>
      </c>
      <c r="Q13" s="470">
        <v>-197.11554246518244</v>
      </c>
    </row>
    <row r="14" spans="2:17" x14ac:dyDescent="0.2">
      <c r="B14" s="463">
        <v>200454</v>
      </c>
      <c r="C14" s="463" t="s">
        <v>401</v>
      </c>
      <c r="D14" s="463" t="s">
        <v>383</v>
      </c>
      <c r="E14" s="463" t="s">
        <v>384</v>
      </c>
      <c r="F14" s="463">
        <v>10450</v>
      </c>
      <c r="G14" s="463" t="s">
        <v>369</v>
      </c>
      <c r="H14" s="463" t="s">
        <v>370</v>
      </c>
      <c r="I14" s="470">
        <v>4712300</v>
      </c>
      <c r="J14" s="470">
        <v>24485110.800000001</v>
      </c>
      <c r="K14" s="470">
        <v>231279.69</v>
      </c>
      <c r="L14" s="470">
        <v>208815.32999999996</v>
      </c>
      <c r="M14" s="470">
        <v>177234.63999999998</v>
      </c>
      <c r="N14" s="470">
        <v>31580.689999999977</v>
      </c>
      <c r="O14" s="470">
        <v>22464.360000000044</v>
      </c>
      <c r="P14" s="470">
        <v>7750.2164876092329</v>
      </c>
      <c r="Q14" s="470">
        <v>14714.143512390812</v>
      </c>
    </row>
    <row r="15" spans="2:17" x14ac:dyDescent="0.2">
      <c r="B15" s="463">
        <v>200461</v>
      </c>
      <c r="C15" s="463" t="s">
        <v>412</v>
      </c>
      <c r="D15" s="463" t="s">
        <v>383</v>
      </c>
      <c r="E15" s="463" t="s">
        <v>393</v>
      </c>
      <c r="F15" s="463">
        <v>11700</v>
      </c>
      <c r="G15" s="463" t="s">
        <v>409</v>
      </c>
      <c r="H15" s="463" t="s">
        <v>368</v>
      </c>
      <c r="I15" s="470">
        <v>4351550</v>
      </c>
      <c r="J15" s="470">
        <v>20147676.5</v>
      </c>
      <c r="K15" s="470">
        <v>223813.59</v>
      </c>
      <c r="L15" s="470">
        <v>193803.61999999901</v>
      </c>
      <c r="M15" s="470">
        <v>193803.61999999901</v>
      </c>
      <c r="N15" s="470">
        <v>0</v>
      </c>
      <c r="O15" s="470">
        <v>30009.970000000991</v>
      </c>
      <c r="P15" s="470">
        <v>7496.7566444762715</v>
      </c>
      <c r="Q15" s="470">
        <v>22513.21335552472</v>
      </c>
    </row>
    <row r="16" spans="2:17" x14ac:dyDescent="0.2">
      <c r="B16" s="463">
        <v>200461</v>
      </c>
      <c r="C16" s="463" t="s">
        <v>412</v>
      </c>
      <c r="D16" s="463" t="s">
        <v>383</v>
      </c>
      <c r="E16" s="463" t="s">
        <v>384</v>
      </c>
      <c r="F16" s="463">
        <v>11670</v>
      </c>
      <c r="G16" s="463" t="s">
        <v>408</v>
      </c>
      <c r="H16" s="463" t="s">
        <v>370</v>
      </c>
      <c r="I16" s="470">
        <v>2394000</v>
      </c>
      <c r="J16" s="470">
        <v>22084650</v>
      </c>
      <c r="K16" s="470">
        <v>218898.35</v>
      </c>
      <c r="L16" s="470">
        <v>210519.11999999898</v>
      </c>
      <c r="M16" s="470">
        <v>192356.43999999898</v>
      </c>
      <c r="N16" s="470">
        <v>18162.679999999982</v>
      </c>
      <c r="O16" s="470">
        <v>8379.2300000010291</v>
      </c>
      <c r="P16" s="470">
        <v>7332.1589286995177</v>
      </c>
      <c r="Q16" s="470">
        <v>1047.0710713015114</v>
      </c>
    </row>
    <row r="17" spans="2:17" x14ac:dyDescent="0.2">
      <c r="B17" s="463">
        <v>200461</v>
      </c>
      <c r="C17" s="463" t="s">
        <v>412</v>
      </c>
      <c r="D17" s="463" t="s">
        <v>383</v>
      </c>
      <c r="E17" s="463" t="s">
        <v>393</v>
      </c>
      <c r="F17" s="463">
        <v>11620</v>
      </c>
      <c r="G17" s="463" t="s">
        <v>399</v>
      </c>
      <c r="H17" s="463" t="s">
        <v>368</v>
      </c>
      <c r="I17" s="470">
        <v>625080</v>
      </c>
      <c r="J17" s="470">
        <v>21534006</v>
      </c>
      <c r="K17" s="470">
        <v>213682.25</v>
      </c>
      <c r="L17" s="470">
        <v>183864.84</v>
      </c>
      <c r="M17" s="470">
        <v>183864.84</v>
      </c>
      <c r="N17" s="470">
        <v>0</v>
      </c>
      <c r="O17" s="470">
        <v>29817.410000000003</v>
      </c>
      <c r="P17" s="470">
        <v>7157.4396422225309</v>
      </c>
      <c r="Q17" s="470">
        <v>22659.970357777471</v>
      </c>
    </row>
    <row r="18" spans="2:17" x14ac:dyDescent="0.2">
      <c r="B18" s="463">
        <v>200461</v>
      </c>
      <c r="C18" s="463" t="s">
        <v>412</v>
      </c>
      <c r="D18" s="463" t="s">
        <v>383</v>
      </c>
      <c r="E18" s="463" t="s">
        <v>384</v>
      </c>
      <c r="F18" s="463">
        <v>11700</v>
      </c>
      <c r="G18" s="463" t="s">
        <v>409</v>
      </c>
      <c r="H18" s="463" t="s">
        <v>368</v>
      </c>
      <c r="I18" s="470">
        <v>3937950</v>
      </c>
      <c r="J18" s="470">
        <v>18232708.5</v>
      </c>
      <c r="K18" s="470">
        <v>202541</v>
      </c>
      <c r="L18" s="470">
        <v>198240.89999999997</v>
      </c>
      <c r="M18" s="470">
        <v>152089.51999999999</v>
      </c>
      <c r="N18" s="470">
        <v>46151.379999999976</v>
      </c>
      <c r="O18" s="470">
        <v>4300.1000000000349</v>
      </c>
      <c r="P18" s="470">
        <v>6784.3035358477055</v>
      </c>
      <c r="Q18" s="470">
        <v>-2484.2035358476705</v>
      </c>
    </row>
    <row r="19" spans="2:17" x14ac:dyDescent="0.2">
      <c r="B19" s="463">
        <v>200461</v>
      </c>
      <c r="C19" s="463" t="s">
        <v>412</v>
      </c>
      <c r="D19" s="463" t="s">
        <v>383</v>
      </c>
      <c r="E19" s="463" t="s">
        <v>384</v>
      </c>
      <c r="F19" s="463">
        <v>10720</v>
      </c>
      <c r="G19" s="463" t="s">
        <v>371</v>
      </c>
      <c r="H19" s="463" t="s">
        <v>368</v>
      </c>
      <c r="I19" s="470">
        <v>3294200</v>
      </c>
      <c r="J19" s="470">
        <v>17278079</v>
      </c>
      <c r="K19" s="470">
        <v>193817.57</v>
      </c>
      <c r="L19" s="470">
        <v>179987.64999999985</v>
      </c>
      <c r="M19" s="470">
        <v>141551.99999999988</v>
      </c>
      <c r="N19" s="470">
        <v>38435.649999999965</v>
      </c>
      <c r="O19" s="470">
        <v>13829.920000000158</v>
      </c>
      <c r="P19" s="470">
        <v>6492.0616828479669</v>
      </c>
      <c r="Q19" s="470">
        <v>7337.8583171521914</v>
      </c>
    </row>
    <row r="20" spans="2:17" x14ac:dyDescent="0.2">
      <c r="B20" s="463">
        <v>200440</v>
      </c>
      <c r="C20" s="463" t="s">
        <v>382</v>
      </c>
      <c r="D20" s="463" t="s">
        <v>383</v>
      </c>
      <c r="E20" s="463" t="s">
        <v>384</v>
      </c>
      <c r="F20" s="463">
        <v>10480</v>
      </c>
      <c r="G20" s="463" t="s">
        <v>369</v>
      </c>
      <c r="H20" s="463" t="s">
        <v>370</v>
      </c>
      <c r="I20" s="470">
        <v>1148200</v>
      </c>
      <c r="J20" s="470">
        <v>16821130</v>
      </c>
      <c r="K20" s="470">
        <v>174193.429999999</v>
      </c>
      <c r="L20" s="470">
        <v>161460.68999999997</v>
      </c>
      <c r="M20" s="470">
        <v>152045.77999999997</v>
      </c>
      <c r="N20" s="470">
        <v>9414.9100000000017</v>
      </c>
      <c r="O20" s="470">
        <v>12732.73999999903</v>
      </c>
      <c r="P20" s="470">
        <v>5757.4286573836134</v>
      </c>
      <c r="Q20" s="470">
        <v>6975.3113426154168</v>
      </c>
    </row>
    <row r="21" spans="2:17" x14ac:dyDescent="0.2">
      <c r="B21" s="463">
        <v>200452</v>
      </c>
      <c r="C21" s="463" t="s">
        <v>389</v>
      </c>
      <c r="D21" s="463" t="s">
        <v>390</v>
      </c>
      <c r="E21" s="463" t="s">
        <v>393</v>
      </c>
      <c r="F21" s="463">
        <v>10550</v>
      </c>
      <c r="G21" s="463" t="s">
        <v>391</v>
      </c>
      <c r="H21" s="463" t="s">
        <v>392</v>
      </c>
      <c r="I21" s="470">
        <v>282060</v>
      </c>
      <c r="J21" s="470">
        <v>15355346.4</v>
      </c>
      <c r="K21" s="470">
        <v>171774.54</v>
      </c>
      <c r="L21" s="470">
        <v>154089.15999999898</v>
      </c>
      <c r="M21" s="470">
        <v>154089.15999999898</v>
      </c>
      <c r="N21" s="470">
        <v>0</v>
      </c>
      <c r="O21" s="470">
        <v>17685.380000001023</v>
      </c>
      <c r="P21" s="470">
        <v>5756.1876118771561</v>
      </c>
      <c r="Q21" s="470">
        <v>11929.192388123867</v>
      </c>
    </row>
    <row r="22" spans="2:17" x14ac:dyDescent="0.2">
      <c r="B22" s="463">
        <v>200458</v>
      </c>
      <c r="C22" s="463" t="s">
        <v>407</v>
      </c>
      <c r="D22" s="463" t="s">
        <v>383</v>
      </c>
      <c r="E22" s="463" t="s">
        <v>384</v>
      </c>
      <c r="F22" s="463">
        <v>11000</v>
      </c>
      <c r="G22" s="463" t="s">
        <v>406</v>
      </c>
      <c r="H22" s="463" t="s">
        <v>370</v>
      </c>
      <c r="I22" s="470">
        <v>3569000</v>
      </c>
      <c r="J22" s="470">
        <v>14236741</v>
      </c>
      <c r="K22" s="470">
        <v>160529.88</v>
      </c>
      <c r="L22" s="470">
        <v>144542.71999999895</v>
      </c>
      <c r="M22" s="470">
        <v>119040.74999999901</v>
      </c>
      <c r="N22" s="470">
        <v>25501.96999999995</v>
      </c>
      <c r="O22" s="470">
        <v>15987.160000001051</v>
      </c>
      <c r="P22" s="470">
        <v>5379.0986323184325</v>
      </c>
      <c r="Q22" s="470">
        <v>10608.061367682618</v>
      </c>
    </row>
    <row r="23" spans="2:17" x14ac:dyDescent="0.2">
      <c r="B23" s="463">
        <v>200440</v>
      </c>
      <c r="C23" s="463" t="s">
        <v>382</v>
      </c>
      <c r="D23" s="463" t="s">
        <v>383</v>
      </c>
      <c r="E23" s="463" t="s">
        <v>384</v>
      </c>
      <c r="F23" s="463">
        <v>10460</v>
      </c>
      <c r="G23" s="463" t="s">
        <v>369</v>
      </c>
      <c r="H23" s="463" t="s">
        <v>370</v>
      </c>
      <c r="I23" s="470">
        <v>2124600</v>
      </c>
      <c r="J23" s="470">
        <v>15579691.800000001</v>
      </c>
      <c r="K23" s="470">
        <v>152772.92000000001</v>
      </c>
      <c r="L23" s="470">
        <v>125132.73999999998</v>
      </c>
      <c r="M23" s="470">
        <v>112471.01</v>
      </c>
      <c r="N23" s="470">
        <v>12661.72999999998</v>
      </c>
      <c r="O23" s="470">
        <v>27640.180000000037</v>
      </c>
      <c r="P23" s="470">
        <v>6435.8041542925966</v>
      </c>
      <c r="Q23" s="470">
        <v>21204.37584570744</v>
      </c>
    </row>
    <row r="24" spans="2:17" x14ac:dyDescent="0.2">
      <c r="B24" s="463">
        <v>200461</v>
      </c>
      <c r="C24" s="463" t="s">
        <v>412</v>
      </c>
      <c r="D24" s="463" t="s">
        <v>383</v>
      </c>
      <c r="E24" s="463" t="s">
        <v>384</v>
      </c>
      <c r="F24" s="463">
        <v>10790</v>
      </c>
      <c r="G24" s="463" t="s">
        <v>371</v>
      </c>
      <c r="H24" s="463" t="s">
        <v>368</v>
      </c>
      <c r="I24" s="470">
        <v>484690</v>
      </c>
      <c r="J24" s="470">
        <v>14405471.49</v>
      </c>
      <c r="K24" s="470">
        <v>150943.91</v>
      </c>
      <c r="L24" s="470">
        <v>126418.98999999899</v>
      </c>
      <c r="M24" s="470">
        <v>118784.399999999</v>
      </c>
      <c r="N24" s="470">
        <v>7634.5899999999792</v>
      </c>
      <c r="O24" s="470">
        <v>24524.920000001017</v>
      </c>
      <c r="P24" s="470">
        <v>5055.9704381906786</v>
      </c>
      <c r="Q24" s="470">
        <v>19468.949561810339</v>
      </c>
    </row>
    <row r="25" spans="2:17" x14ac:dyDescent="0.2">
      <c r="B25" s="463">
        <v>200461</v>
      </c>
      <c r="C25" s="463" t="s">
        <v>412</v>
      </c>
      <c r="D25" s="463" t="s">
        <v>383</v>
      </c>
      <c r="E25" s="463" t="s">
        <v>384</v>
      </c>
      <c r="F25" s="463">
        <v>11740</v>
      </c>
      <c r="G25" s="463" t="s">
        <v>409</v>
      </c>
      <c r="H25" s="463" t="s">
        <v>368</v>
      </c>
      <c r="I25" s="470">
        <v>634400</v>
      </c>
      <c r="J25" s="470">
        <v>13436592</v>
      </c>
      <c r="K25" s="470">
        <v>137234.70000000001</v>
      </c>
      <c r="L25" s="470">
        <v>134921.20999999996</v>
      </c>
      <c r="M25" s="470">
        <v>125048.56</v>
      </c>
      <c r="N25" s="470">
        <v>9872.6499999999796</v>
      </c>
      <c r="O25" s="470">
        <v>2313.4900000000489</v>
      </c>
      <c r="P25" s="470">
        <v>4596.7638442290554</v>
      </c>
      <c r="Q25" s="470">
        <v>-2283.2738442290065</v>
      </c>
    </row>
    <row r="26" spans="2:17" x14ac:dyDescent="0.2">
      <c r="B26" s="463">
        <v>200470</v>
      </c>
      <c r="C26" s="463" t="s">
        <v>424</v>
      </c>
      <c r="D26" s="463" t="s">
        <v>383</v>
      </c>
      <c r="E26" s="463" t="s">
        <v>384</v>
      </c>
      <c r="F26" s="463">
        <v>11230</v>
      </c>
      <c r="G26" s="463" t="s">
        <v>386</v>
      </c>
      <c r="H26" s="463" t="s">
        <v>370</v>
      </c>
      <c r="I26" s="470">
        <v>3022000</v>
      </c>
      <c r="J26" s="470">
        <v>13396526</v>
      </c>
      <c r="K26" s="470">
        <v>128783.52</v>
      </c>
      <c r="L26" s="470">
        <v>124866.55999999997</v>
      </c>
      <c r="M26" s="470">
        <v>104528.78</v>
      </c>
      <c r="N26" s="470">
        <v>20337.779999999977</v>
      </c>
      <c r="O26" s="470">
        <v>3916.9600000000355</v>
      </c>
      <c r="P26" s="470">
        <v>4315.5145685846983</v>
      </c>
      <c r="Q26" s="470">
        <v>-398.55456858466277</v>
      </c>
    </row>
    <row r="27" spans="2:17" x14ac:dyDescent="0.2">
      <c r="B27" s="463">
        <v>200452</v>
      </c>
      <c r="C27" s="463" t="s">
        <v>389</v>
      </c>
      <c r="D27" s="463" t="s">
        <v>390</v>
      </c>
      <c r="E27" s="463" t="s">
        <v>384</v>
      </c>
      <c r="F27" s="463">
        <v>10790</v>
      </c>
      <c r="G27" s="463" t="s">
        <v>371</v>
      </c>
      <c r="H27" s="463" t="s">
        <v>368</v>
      </c>
      <c r="I27" s="470">
        <v>412850</v>
      </c>
      <c r="J27" s="470">
        <v>12270314.85</v>
      </c>
      <c r="K27" s="470">
        <v>128571.23</v>
      </c>
      <c r="L27" s="470">
        <v>106245.06999999998</v>
      </c>
      <c r="M27" s="470">
        <v>99793.87</v>
      </c>
      <c r="N27" s="470">
        <v>6451.1999999999898</v>
      </c>
      <c r="O27" s="470">
        <v>22326.160000000018</v>
      </c>
      <c r="P27" s="470">
        <v>4308.4129783302478</v>
      </c>
      <c r="Q27" s="470">
        <v>18017.747021669769</v>
      </c>
    </row>
    <row r="28" spans="2:17" x14ac:dyDescent="0.2">
      <c r="B28" s="463">
        <v>200461</v>
      </c>
      <c r="C28" s="463" t="s">
        <v>412</v>
      </c>
      <c r="D28" s="463" t="s">
        <v>383</v>
      </c>
      <c r="E28" s="463" t="s">
        <v>384</v>
      </c>
      <c r="F28" s="463">
        <v>11680</v>
      </c>
      <c r="G28" s="463" t="s">
        <v>408</v>
      </c>
      <c r="H28" s="463" t="s">
        <v>370</v>
      </c>
      <c r="I28" s="470">
        <v>904100</v>
      </c>
      <c r="J28" s="470">
        <v>11864504.300000001</v>
      </c>
      <c r="K28" s="470">
        <v>123548.31</v>
      </c>
      <c r="L28" s="470">
        <v>116018.46999999898</v>
      </c>
      <c r="M28" s="470">
        <v>109082.689999999</v>
      </c>
      <c r="N28" s="470">
        <v>6935.7799999999907</v>
      </c>
      <c r="O28" s="470">
        <v>7529.8400000010151</v>
      </c>
      <c r="P28" s="470">
        <v>4138.3153777798479</v>
      </c>
      <c r="Q28" s="470">
        <v>3391.5246222211672</v>
      </c>
    </row>
    <row r="29" spans="2:17" x14ac:dyDescent="0.2">
      <c r="B29" s="463">
        <v>200460</v>
      </c>
      <c r="C29" s="463" t="s">
        <v>410</v>
      </c>
      <c r="D29" s="463" t="s">
        <v>383</v>
      </c>
      <c r="E29" s="463" t="s">
        <v>384</v>
      </c>
      <c r="F29" s="463">
        <v>11000</v>
      </c>
      <c r="G29" s="463" t="s">
        <v>406</v>
      </c>
      <c r="H29" s="463" t="s">
        <v>370</v>
      </c>
      <c r="I29" s="470">
        <v>2737000</v>
      </c>
      <c r="J29" s="470">
        <v>10917893</v>
      </c>
      <c r="K29" s="470">
        <v>123107.42</v>
      </c>
      <c r="L29" s="470">
        <v>111156.72999999986</v>
      </c>
      <c r="M29" s="470">
        <v>91554.939999999886</v>
      </c>
      <c r="N29" s="470">
        <v>19601.789999999972</v>
      </c>
      <c r="O29" s="470">
        <v>11950.690000000133</v>
      </c>
      <c r="P29" s="470">
        <v>4124.6462349691592</v>
      </c>
      <c r="Q29" s="470">
        <v>7826.0437650309741</v>
      </c>
    </row>
    <row r="30" spans="2:17" x14ac:dyDescent="0.2">
      <c r="B30" s="463">
        <v>200452</v>
      </c>
      <c r="C30" s="463" t="s">
        <v>389</v>
      </c>
      <c r="D30" s="463" t="s">
        <v>390</v>
      </c>
      <c r="E30" s="463" t="s">
        <v>393</v>
      </c>
      <c r="F30" s="463">
        <v>11630</v>
      </c>
      <c r="G30" s="463" t="s">
        <v>399</v>
      </c>
      <c r="H30" s="463" t="s">
        <v>368</v>
      </c>
      <c r="I30" s="470">
        <v>222850</v>
      </c>
      <c r="J30" s="470">
        <v>12066658.949999901</v>
      </c>
      <c r="K30" s="470">
        <v>120709.85</v>
      </c>
      <c r="L30" s="470">
        <v>110044.44</v>
      </c>
      <c r="M30" s="470">
        <v>110044.44</v>
      </c>
      <c r="N30" s="470">
        <v>0</v>
      </c>
      <c r="O30" s="470">
        <v>10665.410000000003</v>
      </c>
      <c r="P30" s="470">
        <v>4045.0297766039771</v>
      </c>
      <c r="Q30" s="470">
        <v>6620.3802233960268</v>
      </c>
    </row>
    <row r="31" spans="2:17" x14ac:dyDescent="0.2">
      <c r="B31" s="463">
        <v>200454</v>
      </c>
      <c r="C31" s="463" t="s">
        <v>401</v>
      </c>
      <c r="D31" s="463" t="s">
        <v>383</v>
      </c>
      <c r="E31" s="463" t="s">
        <v>384</v>
      </c>
      <c r="F31" s="463">
        <v>10460</v>
      </c>
      <c r="G31" s="463" t="s">
        <v>369</v>
      </c>
      <c r="H31" s="463" t="s">
        <v>370</v>
      </c>
      <c r="I31" s="470">
        <v>1645000</v>
      </c>
      <c r="J31" s="470">
        <v>12062785</v>
      </c>
      <c r="K31" s="470">
        <v>114656.5</v>
      </c>
      <c r="L31" s="470">
        <v>96521.229999999865</v>
      </c>
      <c r="M31" s="470">
        <v>86347.759999999893</v>
      </c>
      <c r="N31" s="470">
        <v>10173.469999999972</v>
      </c>
      <c r="O31" s="470">
        <v>18135.270000000135</v>
      </c>
      <c r="P31" s="470">
        <v>3842.1510396557755</v>
      </c>
      <c r="Q31" s="470">
        <v>14293.11896034436</v>
      </c>
    </row>
    <row r="32" spans="2:17" x14ac:dyDescent="0.2">
      <c r="B32" s="463">
        <v>200461</v>
      </c>
      <c r="C32" s="463" t="s">
        <v>412</v>
      </c>
      <c r="D32" s="463" t="s">
        <v>383</v>
      </c>
      <c r="E32" s="463" t="s">
        <v>384</v>
      </c>
      <c r="F32" s="463">
        <v>10800</v>
      </c>
      <c r="G32" s="463" t="s">
        <v>371</v>
      </c>
      <c r="H32" s="463" t="s">
        <v>368</v>
      </c>
      <c r="I32" s="470">
        <v>459390</v>
      </c>
      <c r="J32" s="470">
        <v>10643606.91</v>
      </c>
      <c r="K32" s="470">
        <v>109028.46</v>
      </c>
      <c r="L32" s="470">
        <v>98683.539999999906</v>
      </c>
      <c r="M32" s="470">
        <v>90919.4399999999</v>
      </c>
      <c r="N32" s="470">
        <v>7764.1000000000013</v>
      </c>
      <c r="O32" s="470">
        <v>10344.9200000001</v>
      </c>
      <c r="P32" s="470">
        <v>3651.996939530417</v>
      </c>
      <c r="Q32" s="470">
        <v>6692.9230604696832</v>
      </c>
    </row>
    <row r="33" spans="2:17" x14ac:dyDescent="0.2">
      <c r="B33" s="463">
        <v>200482</v>
      </c>
      <c r="C33" s="463" t="s">
        <v>428</v>
      </c>
      <c r="D33" s="463" t="s">
        <v>383</v>
      </c>
      <c r="E33" s="463" t="s">
        <v>384</v>
      </c>
      <c r="F33" s="463">
        <v>11000</v>
      </c>
      <c r="G33" s="463" t="s">
        <v>406</v>
      </c>
      <c r="H33" s="463" t="s">
        <v>370</v>
      </c>
      <c r="I33" s="470">
        <v>2307000</v>
      </c>
      <c r="J33" s="470">
        <v>9202623</v>
      </c>
      <c r="K33" s="470">
        <v>108936.539999999</v>
      </c>
      <c r="L33" s="470">
        <v>93247.739999999991</v>
      </c>
      <c r="M33" s="470">
        <v>76763.16</v>
      </c>
      <c r="N33" s="470">
        <v>16484.57999999998</v>
      </c>
      <c r="O33" s="470">
        <v>15688.799999999013</v>
      </c>
      <c r="P33" s="470">
        <v>3642.9143855891375</v>
      </c>
      <c r="Q33" s="470">
        <v>12045.885614409875</v>
      </c>
    </row>
    <row r="34" spans="2:17" x14ac:dyDescent="0.2">
      <c r="B34" s="463">
        <v>200473</v>
      </c>
      <c r="C34" s="463" t="s">
        <v>426</v>
      </c>
      <c r="D34" s="463" t="s">
        <v>383</v>
      </c>
      <c r="E34" s="463" t="s">
        <v>384</v>
      </c>
      <c r="F34" s="463">
        <v>11230</v>
      </c>
      <c r="G34" s="463" t="s">
        <v>386</v>
      </c>
      <c r="H34" s="463" t="s">
        <v>370</v>
      </c>
      <c r="I34" s="470">
        <v>2499600</v>
      </c>
      <c r="J34" s="470">
        <v>11080726.800000001</v>
      </c>
      <c r="K34" s="470">
        <v>106521.27</v>
      </c>
      <c r="L34" s="470">
        <v>102761.56999999988</v>
      </c>
      <c r="M34" s="470">
        <v>85782.639999999898</v>
      </c>
      <c r="N34" s="470">
        <v>16978.929999999978</v>
      </c>
      <c r="O34" s="470">
        <v>3759.7000000001281</v>
      </c>
      <c r="P34" s="470">
        <v>3569.5001508449568</v>
      </c>
      <c r="Q34" s="470">
        <v>190.19984915517125</v>
      </c>
    </row>
    <row r="35" spans="2:17" x14ac:dyDescent="0.2">
      <c r="B35" s="463">
        <v>200460</v>
      </c>
      <c r="C35" s="463" t="s">
        <v>410</v>
      </c>
      <c r="D35" s="463" t="s">
        <v>383</v>
      </c>
      <c r="E35" s="463" t="s">
        <v>384</v>
      </c>
      <c r="F35" s="463">
        <v>11650</v>
      </c>
      <c r="G35" s="463" t="s">
        <v>408</v>
      </c>
      <c r="H35" s="463" t="s">
        <v>370</v>
      </c>
      <c r="I35" s="470">
        <v>2377500</v>
      </c>
      <c r="J35" s="470">
        <v>10903215</v>
      </c>
      <c r="K35" s="470">
        <v>105020.97</v>
      </c>
      <c r="L35" s="470">
        <v>107806.73999999999</v>
      </c>
      <c r="M35" s="470">
        <v>85527.219999999987</v>
      </c>
      <c r="N35" s="470">
        <v>22279.52</v>
      </c>
      <c r="O35" s="470">
        <v>-2785.7699999999895</v>
      </c>
      <c r="P35" s="470">
        <v>3518.6650716667432</v>
      </c>
      <c r="Q35" s="470">
        <v>-6304.4350716667323</v>
      </c>
    </row>
    <row r="36" spans="2:17" x14ac:dyDescent="0.2">
      <c r="B36" s="463">
        <v>200461</v>
      </c>
      <c r="C36" s="463" t="s">
        <v>412</v>
      </c>
      <c r="D36" s="463" t="s">
        <v>383</v>
      </c>
      <c r="E36" s="463" t="s">
        <v>384</v>
      </c>
      <c r="F36" s="463">
        <v>11720</v>
      </c>
      <c r="G36" s="463" t="s">
        <v>409</v>
      </c>
      <c r="H36" s="463" t="s">
        <v>368</v>
      </c>
      <c r="I36" s="470">
        <v>1048750</v>
      </c>
      <c r="J36" s="470">
        <v>9696742.5</v>
      </c>
      <c r="K36" s="470">
        <v>102506.929999999</v>
      </c>
      <c r="L36" s="470">
        <v>98767.419999999969</v>
      </c>
      <c r="M36" s="470">
        <v>88104.36</v>
      </c>
      <c r="N36" s="470">
        <v>10663.059999999969</v>
      </c>
      <c r="O36" s="470">
        <v>3739.5099999990343</v>
      </c>
      <c r="P36" s="470">
        <v>3433.5407819532343</v>
      </c>
      <c r="Q36" s="470">
        <v>305.96921804580006</v>
      </c>
    </row>
    <row r="37" spans="2:17" x14ac:dyDescent="0.2">
      <c r="B37" s="463">
        <v>200452</v>
      </c>
      <c r="C37" s="463" t="s">
        <v>389</v>
      </c>
      <c r="D37" s="463" t="s">
        <v>390</v>
      </c>
      <c r="E37" s="463" t="s">
        <v>384</v>
      </c>
      <c r="F37" s="463">
        <v>10890</v>
      </c>
      <c r="G37" s="463" t="s">
        <v>400</v>
      </c>
      <c r="H37" s="463" t="s">
        <v>370</v>
      </c>
      <c r="I37" s="470">
        <v>26400</v>
      </c>
      <c r="J37" s="470">
        <v>7921320</v>
      </c>
      <c r="K37" s="470">
        <v>93033.600000000006</v>
      </c>
      <c r="L37" s="470">
        <v>70663.569999999905</v>
      </c>
      <c r="M37" s="470">
        <v>66310.209999999905</v>
      </c>
      <c r="N37" s="470">
        <v>4353.3599999999997</v>
      </c>
      <c r="O37" s="470">
        <v>22370.030000000101</v>
      </c>
      <c r="P37" s="470">
        <v>3117.580312759585</v>
      </c>
      <c r="Q37" s="470">
        <v>19252.449687240514</v>
      </c>
    </row>
    <row r="38" spans="2:17" x14ac:dyDescent="0.2">
      <c r="B38" s="463">
        <v>200452</v>
      </c>
      <c r="C38" s="463" t="s">
        <v>389</v>
      </c>
      <c r="D38" s="463" t="s">
        <v>390</v>
      </c>
      <c r="E38" s="463" t="s">
        <v>384</v>
      </c>
      <c r="F38" s="463">
        <v>10870</v>
      </c>
      <c r="G38" s="463" t="s">
        <v>400</v>
      </c>
      <c r="H38" s="463" t="s">
        <v>370</v>
      </c>
      <c r="I38" s="470">
        <v>45600</v>
      </c>
      <c r="J38" s="470">
        <v>7778904</v>
      </c>
      <c r="K38" s="470">
        <v>92082.57</v>
      </c>
      <c r="L38" s="470">
        <v>78003.20999999989</v>
      </c>
      <c r="M38" s="470">
        <v>72730.089999999895</v>
      </c>
      <c r="N38" s="470">
        <v>5273.119999999999</v>
      </c>
      <c r="O38" s="470">
        <v>14079.360000000117</v>
      </c>
      <c r="P38" s="470">
        <v>3085.6952466722387</v>
      </c>
      <c r="Q38" s="470">
        <v>10993.664753327877</v>
      </c>
    </row>
    <row r="39" spans="2:17" x14ac:dyDescent="0.2">
      <c r="B39" s="463">
        <v>200482</v>
      </c>
      <c r="C39" s="463" t="s">
        <v>428</v>
      </c>
      <c r="D39" s="463" t="s">
        <v>383</v>
      </c>
      <c r="E39" s="463" t="s">
        <v>384</v>
      </c>
      <c r="F39" s="463">
        <v>10630</v>
      </c>
      <c r="G39" s="463" t="s">
        <v>430</v>
      </c>
      <c r="H39" s="463" t="s">
        <v>370</v>
      </c>
      <c r="I39" s="470">
        <v>1626349</v>
      </c>
      <c r="J39" s="470">
        <v>8351302.1150000002</v>
      </c>
      <c r="K39" s="470">
        <v>92067.639999999898</v>
      </c>
      <c r="L39" s="470">
        <v>85074.919999999969</v>
      </c>
      <c r="M39" s="470">
        <v>69334.079999999987</v>
      </c>
      <c r="N39" s="470">
        <v>15740.83999999998</v>
      </c>
      <c r="O39" s="470">
        <v>6992.7199999999284</v>
      </c>
      <c r="P39" s="470">
        <v>3090.8509415118588</v>
      </c>
      <c r="Q39" s="470">
        <v>3901.8690584880696</v>
      </c>
    </row>
    <row r="40" spans="2:17" x14ac:dyDescent="0.2">
      <c r="B40" s="463">
        <v>200461</v>
      </c>
      <c r="C40" s="463" t="s">
        <v>412</v>
      </c>
      <c r="D40" s="463" t="s">
        <v>383</v>
      </c>
      <c r="E40" s="463" t="s">
        <v>393</v>
      </c>
      <c r="F40" s="463">
        <v>10380</v>
      </c>
      <c r="G40" s="463" t="s">
        <v>416</v>
      </c>
      <c r="H40" s="463" t="s">
        <v>368</v>
      </c>
      <c r="I40" s="470">
        <v>38835</v>
      </c>
      <c r="J40" s="470">
        <v>4829132.25</v>
      </c>
      <c r="K40" s="470">
        <v>87163.589999999895</v>
      </c>
      <c r="L40" s="470">
        <v>71250.27</v>
      </c>
      <c r="M40" s="470">
        <v>71250.27</v>
      </c>
      <c r="N40" s="470">
        <v>0</v>
      </c>
      <c r="O40" s="470">
        <v>15913.319999999891</v>
      </c>
      <c r="P40" s="470">
        <v>2919.5788369035386</v>
      </c>
      <c r="Q40" s="470">
        <v>12993.741163096352</v>
      </c>
    </row>
    <row r="41" spans="2:17" x14ac:dyDescent="0.2">
      <c r="B41" s="463">
        <v>200461</v>
      </c>
      <c r="C41" s="463" t="s">
        <v>412</v>
      </c>
      <c r="D41" s="463" t="s">
        <v>383</v>
      </c>
      <c r="E41" s="463" t="s">
        <v>393</v>
      </c>
      <c r="F41" s="463">
        <v>11630</v>
      </c>
      <c r="G41" s="463" t="s">
        <v>399</v>
      </c>
      <c r="H41" s="463" t="s">
        <v>368</v>
      </c>
      <c r="I41" s="470">
        <v>156650</v>
      </c>
      <c r="J41" s="470">
        <v>8482127.5500000007</v>
      </c>
      <c r="K41" s="470">
        <v>84851.71</v>
      </c>
      <c r="L41" s="470">
        <v>77297.45</v>
      </c>
      <c r="M41" s="470">
        <v>77297.45</v>
      </c>
      <c r="N41" s="470">
        <v>0</v>
      </c>
      <c r="O41" s="470">
        <v>7554.2600000000093</v>
      </c>
      <c r="P41" s="470">
        <v>2842.1671614716247</v>
      </c>
      <c r="Q41" s="470">
        <v>4712.0928385283842</v>
      </c>
    </row>
    <row r="42" spans="2:17" x14ac:dyDescent="0.2">
      <c r="B42" s="463">
        <v>200482</v>
      </c>
      <c r="C42" s="463" t="s">
        <v>428</v>
      </c>
      <c r="D42" s="463" t="s">
        <v>383</v>
      </c>
      <c r="E42" s="463" t="s">
        <v>384</v>
      </c>
      <c r="F42" s="463">
        <v>10640</v>
      </c>
      <c r="G42" s="463" t="s">
        <v>430</v>
      </c>
      <c r="H42" s="463" t="s">
        <v>370</v>
      </c>
      <c r="I42" s="470">
        <v>1024800</v>
      </c>
      <c r="J42" s="470">
        <v>7226889.5999999903</v>
      </c>
      <c r="K42" s="470">
        <v>75988.960000000006</v>
      </c>
      <c r="L42" s="470">
        <v>64280.329999999965</v>
      </c>
      <c r="M42" s="470">
        <v>55196.17</v>
      </c>
      <c r="N42" s="470">
        <v>9084.1599999999689</v>
      </c>
      <c r="O42" s="470">
        <v>11708.630000000041</v>
      </c>
      <c r="P42" s="470">
        <v>2541.1088788037478</v>
      </c>
      <c r="Q42" s="470">
        <v>9167.5211211962924</v>
      </c>
    </row>
    <row r="43" spans="2:17" x14ac:dyDescent="0.2">
      <c r="B43" s="463">
        <v>200461</v>
      </c>
      <c r="C43" s="463" t="s">
        <v>412</v>
      </c>
      <c r="D43" s="463" t="s">
        <v>383</v>
      </c>
      <c r="E43" s="463" t="s">
        <v>384</v>
      </c>
      <c r="F43" s="463">
        <v>10770</v>
      </c>
      <c r="G43" s="463" t="s">
        <v>371</v>
      </c>
      <c r="H43" s="463" t="s">
        <v>368</v>
      </c>
      <c r="I43" s="470">
        <v>385450</v>
      </c>
      <c r="J43" s="470">
        <v>6691412</v>
      </c>
      <c r="K43" s="470">
        <v>73261.72</v>
      </c>
      <c r="L43" s="470">
        <v>69702.9399999999</v>
      </c>
      <c r="M43" s="470">
        <v>64783.769999999909</v>
      </c>
      <c r="N43" s="470">
        <v>4919.1699999999873</v>
      </c>
      <c r="O43" s="470">
        <v>3558.7800000001007</v>
      </c>
      <c r="P43" s="470">
        <v>2453.9487176773328</v>
      </c>
      <c r="Q43" s="470">
        <v>1104.8312823227679</v>
      </c>
    </row>
    <row r="44" spans="2:17" x14ac:dyDescent="0.2">
      <c r="B44" s="463">
        <v>200461</v>
      </c>
      <c r="C44" s="463" t="s">
        <v>412</v>
      </c>
      <c r="D44" s="463" t="s">
        <v>383</v>
      </c>
      <c r="E44" s="463" t="s">
        <v>393</v>
      </c>
      <c r="F44" s="463">
        <v>10990</v>
      </c>
      <c r="G44" s="463" t="s">
        <v>402</v>
      </c>
      <c r="H44" s="463" t="s">
        <v>370</v>
      </c>
      <c r="I44" s="470">
        <v>1520000</v>
      </c>
      <c r="J44" s="470">
        <v>6394040</v>
      </c>
      <c r="K44" s="470">
        <v>73151.520000000004</v>
      </c>
      <c r="L44" s="470">
        <v>56272.239999999896</v>
      </c>
      <c r="M44" s="470">
        <v>56272.239999999896</v>
      </c>
      <c r="N44" s="470">
        <v>0</v>
      </c>
      <c r="O44" s="470">
        <v>16879.280000000108</v>
      </c>
      <c r="P44" s="470">
        <v>2450.2492850802259</v>
      </c>
      <c r="Q44" s="470">
        <v>14429.030714919882</v>
      </c>
    </row>
    <row r="45" spans="2:17" x14ac:dyDescent="0.2">
      <c r="B45" s="463">
        <v>200462</v>
      </c>
      <c r="C45" s="463" t="s">
        <v>419</v>
      </c>
      <c r="D45" s="463" t="s">
        <v>383</v>
      </c>
      <c r="E45" s="463" t="s">
        <v>366</v>
      </c>
      <c r="F45" s="463">
        <v>11400</v>
      </c>
      <c r="G45" s="463" t="s">
        <v>421</v>
      </c>
      <c r="H45" s="463" t="s">
        <v>370</v>
      </c>
      <c r="I45" s="470">
        <v>0</v>
      </c>
      <c r="J45" s="470">
        <v>0</v>
      </c>
      <c r="K45" s="470">
        <v>69753.699999999895</v>
      </c>
      <c r="L45" s="470">
        <v>7.53</v>
      </c>
      <c r="M45" s="470">
        <v>7.53</v>
      </c>
      <c r="N45" s="470">
        <v>0</v>
      </c>
      <c r="O45" s="470">
        <v>69746.169999999896</v>
      </c>
      <c r="P45" s="470">
        <v>2335.8953225838709</v>
      </c>
      <c r="Q45" s="470">
        <v>67410.274677416019</v>
      </c>
    </row>
    <row r="46" spans="2:17" x14ac:dyDescent="0.2">
      <c r="B46" s="463">
        <v>200461</v>
      </c>
      <c r="C46" s="463" t="s">
        <v>412</v>
      </c>
      <c r="D46" s="463" t="s">
        <v>383</v>
      </c>
      <c r="E46" s="463" t="s">
        <v>384</v>
      </c>
      <c r="F46" s="463">
        <v>10050</v>
      </c>
      <c r="G46" s="463" t="s">
        <v>385</v>
      </c>
      <c r="H46" s="463" t="s">
        <v>368</v>
      </c>
      <c r="I46" s="470">
        <v>217140</v>
      </c>
      <c r="J46" s="470">
        <v>6375447.54</v>
      </c>
      <c r="K46" s="470">
        <v>67892.960000000006</v>
      </c>
      <c r="L46" s="470">
        <v>56429.810000000005</v>
      </c>
      <c r="M46" s="470">
        <v>53244.280000000006</v>
      </c>
      <c r="N46" s="470">
        <v>3185.5299999999961</v>
      </c>
      <c r="O46" s="470">
        <v>11463.150000000001</v>
      </c>
      <c r="P46" s="470">
        <v>2274.1336491651905</v>
      </c>
      <c r="Q46" s="470">
        <v>9189.0163508348105</v>
      </c>
    </row>
    <row r="47" spans="2:17" x14ac:dyDescent="0.2">
      <c r="B47" s="463">
        <v>200461</v>
      </c>
      <c r="C47" s="463" t="s">
        <v>412</v>
      </c>
      <c r="D47" s="463" t="s">
        <v>383</v>
      </c>
      <c r="E47" s="463" t="s">
        <v>393</v>
      </c>
      <c r="F47" s="463">
        <v>10960</v>
      </c>
      <c r="G47" s="463" t="s">
        <v>397</v>
      </c>
      <c r="H47" s="463" t="s">
        <v>368</v>
      </c>
      <c r="I47" s="470">
        <v>98830</v>
      </c>
      <c r="J47" s="470">
        <v>6294186.21</v>
      </c>
      <c r="K47" s="470">
        <v>67035.41</v>
      </c>
      <c r="L47" s="470">
        <v>57076.4</v>
      </c>
      <c r="M47" s="470">
        <v>57076.4</v>
      </c>
      <c r="N47" s="470">
        <v>0</v>
      </c>
      <c r="O47" s="470">
        <v>9959.010000000002</v>
      </c>
      <c r="P47" s="470">
        <v>2245.4056190050446</v>
      </c>
      <c r="Q47" s="470">
        <v>7713.604380994957</v>
      </c>
    </row>
    <row r="48" spans="2:17" x14ac:dyDescent="0.2">
      <c r="B48" s="463">
        <v>200458</v>
      </c>
      <c r="C48" s="463" t="s">
        <v>407</v>
      </c>
      <c r="D48" s="463" t="s">
        <v>383</v>
      </c>
      <c r="E48" s="463" t="s">
        <v>384</v>
      </c>
      <c r="F48" s="463">
        <v>11660</v>
      </c>
      <c r="G48" s="463" t="s">
        <v>408</v>
      </c>
      <c r="H48" s="463" t="s">
        <v>370</v>
      </c>
      <c r="I48" s="470">
        <v>1001600</v>
      </c>
      <c r="J48" s="470">
        <v>6447299.2000000002</v>
      </c>
      <c r="K48" s="470">
        <v>66659.8</v>
      </c>
      <c r="L48" s="470">
        <v>64048.21</v>
      </c>
      <c r="M48" s="470">
        <v>56798.92</v>
      </c>
      <c r="N48" s="470">
        <v>7249.29</v>
      </c>
      <c r="O48" s="470">
        <v>2611.5900000000038</v>
      </c>
      <c r="P48" s="470">
        <v>2233.6509531447991</v>
      </c>
      <c r="Q48" s="470">
        <v>377.93904685520465</v>
      </c>
    </row>
    <row r="49" spans="2:17" x14ac:dyDescent="0.2">
      <c r="B49" s="463">
        <v>200461</v>
      </c>
      <c r="C49" s="463" t="s">
        <v>412</v>
      </c>
      <c r="D49" s="463" t="s">
        <v>383</v>
      </c>
      <c r="E49" s="463" t="s">
        <v>384</v>
      </c>
      <c r="F49" s="463">
        <v>10490</v>
      </c>
      <c r="G49" s="463" t="s">
        <v>369</v>
      </c>
      <c r="H49" s="463" t="s">
        <v>370</v>
      </c>
      <c r="I49" s="470">
        <v>287500</v>
      </c>
      <c r="J49" s="470">
        <v>6692137.5</v>
      </c>
      <c r="K49" s="470">
        <v>65498.26</v>
      </c>
      <c r="L49" s="470">
        <v>58810.289999999899</v>
      </c>
      <c r="M49" s="470">
        <v>54884.859999999899</v>
      </c>
      <c r="N49" s="470">
        <v>3925.4299999999994</v>
      </c>
      <c r="O49" s="470">
        <v>6687.970000000103</v>
      </c>
      <c r="P49" s="470">
        <v>2193.8922313767207</v>
      </c>
      <c r="Q49" s="470">
        <v>4494.0777686233823</v>
      </c>
    </row>
    <row r="50" spans="2:17" x14ac:dyDescent="0.2">
      <c r="B50" s="463">
        <v>200458</v>
      </c>
      <c r="C50" s="463" t="s">
        <v>407</v>
      </c>
      <c r="D50" s="463" t="s">
        <v>383</v>
      </c>
      <c r="E50" s="463" t="s">
        <v>393</v>
      </c>
      <c r="F50" s="463">
        <v>10990</v>
      </c>
      <c r="G50" s="463" t="s">
        <v>402</v>
      </c>
      <c r="H50" s="463" t="s">
        <v>370</v>
      </c>
      <c r="I50" s="470">
        <v>1360000</v>
      </c>
      <c r="J50" s="470">
        <v>4968080</v>
      </c>
      <c r="K50" s="470">
        <v>65451.360000000001</v>
      </c>
      <c r="L50" s="470">
        <v>50345.5099999999</v>
      </c>
      <c r="M50" s="470">
        <v>50345.5099999999</v>
      </c>
      <c r="N50" s="470">
        <v>0</v>
      </c>
      <c r="O50" s="470">
        <v>15105.8500000001</v>
      </c>
      <c r="P50" s="470">
        <v>2193.1562024402033</v>
      </c>
      <c r="Q50" s="470">
        <v>12912.693797559898</v>
      </c>
    </row>
    <row r="51" spans="2:17" x14ac:dyDescent="0.2">
      <c r="B51" s="463">
        <v>200461</v>
      </c>
      <c r="C51" s="463" t="s">
        <v>412</v>
      </c>
      <c r="D51" s="463" t="s">
        <v>383</v>
      </c>
      <c r="E51" s="463" t="s">
        <v>393</v>
      </c>
      <c r="F51" s="463">
        <v>10270</v>
      </c>
      <c r="G51" s="463" t="s">
        <v>367</v>
      </c>
      <c r="H51" s="463" t="s">
        <v>368</v>
      </c>
      <c r="I51" s="470">
        <v>92830</v>
      </c>
      <c r="J51" s="470">
        <v>5813664.4100000001</v>
      </c>
      <c r="K51" s="470">
        <v>64500.139999999898</v>
      </c>
      <c r="L51" s="470">
        <v>56987.03</v>
      </c>
      <c r="M51" s="470">
        <v>56987.03</v>
      </c>
      <c r="N51" s="470">
        <v>0</v>
      </c>
      <c r="O51" s="470">
        <v>7513.1099999998987</v>
      </c>
      <c r="P51" s="470">
        <v>2160.4481545725134</v>
      </c>
      <c r="Q51" s="470">
        <v>5352.6618454273848</v>
      </c>
    </row>
    <row r="52" spans="2:17" x14ac:dyDescent="0.2">
      <c r="B52" s="463">
        <v>200461</v>
      </c>
      <c r="C52" s="463" t="s">
        <v>412</v>
      </c>
      <c r="D52" s="463" t="s">
        <v>383</v>
      </c>
      <c r="E52" s="463" t="s">
        <v>384</v>
      </c>
      <c r="F52" s="463">
        <v>10460</v>
      </c>
      <c r="G52" s="463" t="s">
        <v>369</v>
      </c>
      <c r="H52" s="463" t="s">
        <v>370</v>
      </c>
      <c r="I52" s="470">
        <v>948000</v>
      </c>
      <c r="J52" s="470">
        <v>6951684</v>
      </c>
      <c r="K52" s="470">
        <v>64417.55</v>
      </c>
      <c r="L52" s="470">
        <v>56258.549999999865</v>
      </c>
      <c r="M52" s="470">
        <v>50355.559999999889</v>
      </c>
      <c r="N52" s="470">
        <v>5902.989999999978</v>
      </c>
      <c r="O52" s="470">
        <v>8159.0000000001382</v>
      </c>
      <c r="P52" s="470">
        <v>2157.71202173953</v>
      </c>
      <c r="Q52" s="470">
        <v>6001.2879782606087</v>
      </c>
    </row>
    <row r="53" spans="2:17" x14ac:dyDescent="0.2">
      <c r="B53" s="463">
        <v>200458</v>
      </c>
      <c r="C53" s="463" t="s">
        <v>407</v>
      </c>
      <c r="D53" s="463" t="s">
        <v>383</v>
      </c>
      <c r="E53" s="463" t="s">
        <v>384</v>
      </c>
      <c r="F53" s="463">
        <v>11670</v>
      </c>
      <c r="G53" s="463" t="s">
        <v>408</v>
      </c>
      <c r="H53" s="463" t="s">
        <v>370</v>
      </c>
      <c r="I53" s="470">
        <v>676700</v>
      </c>
      <c r="J53" s="470">
        <v>6242557.5</v>
      </c>
      <c r="K53" s="470">
        <v>61874.889999999898</v>
      </c>
      <c r="L53" s="470">
        <v>59431.109999999899</v>
      </c>
      <c r="M53" s="470">
        <v>54300.3299999999</v>
      </c>
      <c r="N53" s="470">
        <v>5130.7800000000007</v>
      </c>
      <c r="O53" s="470">
        <v>2443.7799999999988</v>
      </c>
      <c r="P53" s="470">
        <v>2073.3385817453627</v>
      </c>
      <c r="Q53" s="470">
        <v>370.44141825463612</v>
      </c>
    </row>
    <row r="54" spans="2:17" x14ac:dyDescent="0.2">
      <c r="B54" s="463">
        <v>200461</v>
      </c>
      <c r="C54" s="463" t="s">
        <v>412</v>
      </c>
      <c r="D54" s="463" t="s">
        <v>383</v>
      </c>
      <c r="E54" s="463" t="s">
        <v>393</v>
      </c>
      <c r="F54" s="463">
        <v>11220</v>
      </c>
      <c r="G54" s="463" t="s">
        <v>387</v>
      </c>
      <c r="H54" s="463" t="s">
        <v>368</v>
      </c>
      <c r="I54" s="470">
        <v>124800</v>
      </c>
      <c r="J54" s="470">
        <v>4255680</v>
      </c>
      <c r="K54" s="470">
        <v>61713.599999999897</v>
      </c>
      <c r="L54" s="470">
        <v>54379.249999999905</v>
      </c>
      <c r="M54" s="470">
        <v>54379.249999999905</v>
      </c>
      <c r="N54" s="470">
        <v>0</v>
      </c>
      <c r="O54" s="470">
        <v>7334.3499999999913</v>
      </c>
      <c r="P54" s="470">
        <v>2067.1373641084547</v>
      </c>
      <c r="Q54" s="470">
        <v>5267.2126358915366</v>
      </c>
    </row>
    <row r="55" spans="2:17" x14ac:dyDescent="0.2">
      <c r="B55" s="463">
        <v>200454</v>
      </c>
      <c r="C55" s="463" t="s">
        <v>401</v>
      </c>
      <c r="D55" s="463" t="s">
        <v>383</v>
      </c>
      <c r="E55" s="463" t="s">
        <v>384</v>
      </c>
      <c r="F55" s="463">
        <v>10890</v>
      </c>
      <c r="G55" s="463" t="s">
        <v>400</v>
      </c>
      <c r="H55" s="463" t="s">
        <v>370</v>
      </c>
      <c r="I55" s="470">
        <v>17970</v>
      </c>
      <c r="J55" s="470">
        <v>5391898.5</v>
      </c>
      <c r="K55" s="470">
        <v>61661</v>
      </c>
      <c r="L55" s="470">
        <v>48099.239999999983</v>
      </c>
      <c r="M55" s="470">
        <v>45135.979999999996</v>
      </c>
      <c r="N55" s="470">
        <v>2963.2599999999884</v>
      </c>
      <c r="O55" s="470">
        <v>13561.760000000017</v>
      </c>
      <c r="P55" s="470">
        <v>2066.2818817617444</v>
      </c>
      <c r="Q55" s="470">
        <v>11495.478118238272</v>
      </c>
    </row>
    <row r="56" spans="2:17" x14ac:dyDescent="0.2">
      <c r="B56" s="463">
        <v>200461</v>
      </c>
      <c r="C56" s="463" t="s">
        <v>412</v>
      </c>
      <c r="D56" s="463" t="s">
        <v>383</v>
      </c>
      <c r="E56" s="463" t="s">
        <v>384</v>
      </c>
      <c r="F56" s="463">
        <v>10870</v>
      </c>
      <c r="G56" s="463" t="s">
        <v>400</v>
      </c>
      <c r="H56" s="463" t="s">
        <v>370</v>
      </c>
      <c r="I56" s="470">
        <v>29800</v>
      </c>
      <c r="J56" s="470">
        <v>5083582</v>
      </c>
      <c r="K56" s="470">
        <v>60176.779999999897</v>
      </c>
      <c r="L56" s="470">
        <v>50975.809999999889</v>
      </c>
      <c r="M56" s="470">
        <v>47529.739999999896</v>
      </c>
      <c r="N56" s="470">
        <v>3446.0699999999902</v>
      </c>
      <c r="O56" s="470">
        <v>9200.9700000000084</v>
      </c>
      <c r="P56" s="470">
        <v>2015.6591553617741</v>
      </c>
      <c r="Q56" s="470">
        <v>7185.3108446382339</v>
      </c>
    </row>
    <row r="57" spans="2:17" x14ac:dyDescent="0.2">
      <c r="B57" s="463">
        <v>200452</v>
      </c>
      <c r="C57" s="463" t="s">
        <v>389</v>
      </c>
      <c r="D57" s="463" t="s">
        <v>390</v>
      </c>
      <c r="E57" s="463" t="s">
        <v>384</v>
      </c>
      <c r="F57" s="463">
        <v>10900</v>
      </c>
      <c r="G57" s="463" t="s">
        <v>400</v>
      </c>
      <c r="H57" s="463" t="s">
        <v>370</v>
      </c>
      <c r="I57" s="470">
        <v>15000</v>
      </c>
      <c r="J57" s="470">
        <v>5125350</v>
      </c>
      <c r="K57" s="470">
        <v>59647.949999999903</v>
      </c>
      <c r="L57" s="470">
        <v>48071.249999999985</v>
      </c>
      <c r="M57" s="470">
        <v>45122.849999999991</v>
      </c>
      <c r="N57" s="470">
        <v>2948.3999999999974</v>
      </c>
      <c r="O57" s="470">
        <v>11576.699999999917</v>
      </c>
      <c r="P57" s="470">
        <v>1998.8299190611626</v>
      </c>
      <c r="Q57" s="470">
        <v>9577.8700809387537</v>
      </c>
    </row>
    <row r="58" spans="2:17" x14ac:dyDescent="0.2">
      <c r="B58" s="463">
        <v>200461</v>
      </c>
      <c r="C58" s="463" t="s">
        <v>412</v>
      </c>
      <c r="D58" s="463" t="s">
        <v>383</v>
      </c>
      <c r="E58" s="463" t="s">
        <v>393</v>
      </c>
      <c r="F58" s="463">
        <v>10720</v>
      </c>
      <c r="G58" s="463" t="s">
        <v>371</v>
      </c>
      <c r="H58" s="463" t="s">
        <v>368</v>
      </c>
      <c r="I58" s="470">
        <v>995500</v>
      </c>
      <c r="J58" s="470">
        <v>5221397.5</v>
      </c>
      <c r="K58" s="470">
        <v>58571.07</v>
      </c>
      <c r="L58" s="470">
        <v>47520.68</v>
      </c>
      <c r="M58" s="470">
        <v>47520.68</v>
      </c>
      <c r="N58" s="470">
        <v>0</v>
      </c>
      <c r="O58" s="470">
        <v>11050.39</v>
      </c>
      <c r="P58" s="470">
        <v>1961.8698158381924</v>
      </c>
      <c r="Q58" s="470">
        <v>9088.5201841618073</v>
      </c>
    </row>
    <row r="59" spans="2:17" x14ac:dyDescent="0.2">
      <c r="B59" s="463">
        <v>200461</v>
      </c>
      <c r="C59" s="463" t="s">
        <v>412</v>
      </c>
      <c r="D59" s="463" t="s">
        <v>383</v>
      </c>
      <c r="E59" s="463" t="s">
        <v>384</v>
      </c>
      <c r="F59" s="463">
        <v>10010</v>
      </c>
      <c r="G59" s="463" t="s">
        <v>385</v>
      </c>
      <c r="H59" s="463" t="s">
        <v>368</v>
      </c>
      <c r="I59" s="470">
        <v>985210</v>
      </c>
      <c r="J59" s="470">
        <v>5049201.25</v>
      </c>
      <c r="K59" s="470">
        <v>58028.04</v>
      </c>
      <c r="L59" s="470">
        <v>53261.389999999883</v>
      </c>
      <c r="M59" s="470">
        <v>42296.769999999895</v>
      </c>
      <c r="N59" s="470">
        <v>10964.619999999992</v>
      </c>
      <c r="O59" s="470">
        <v>4766.6500000001179</v>
      </c>
      <c r="P59" s="470">
        <v>1943.6777306911301</v>
      </c>
      <c r="Q59" s="470">
        <v>2822.972269308988</v>
      </c>
    </row>
    <row r="60" spans="2:17" x14ac:dyDescent="0.2">
      <c r="B60" s="463">
        <v>200460</v>
      </c>
      <c r="C60" s="463" t="s">
        <v>410</v>
      </c>
      <c r="D60" s="463" t="s">
        <v>383</v>
      </c>
      <c r="E60" s="463" t="s">
        <v>384</v>
      </c>
      <c r="F60" s="463">
        <v>11660</v>
      </c>
      <c r="G60" s="463" t="s">
        <v>408</v>
      </c>
      <c r="H60" s="463" t="s">
        <v>370</v>
      </c>
      <c r="I60" s="470">
        <v>861000</v>
      </c>
      <c r="J60" s="470">
        <v>5542257</v>
      </c>
      <c r="K60" s="470">
        <v>57302.41</v>
      </c>
      <c r="L60" s="470">
        <v>54391.359999999899</v>
      </c>
      <c r="M60" s="470">
        <v>48133.589999999902</v>
      </c>
      <c r="N60" s="470">
        <v>6257.7699999999968</v>
      </c>
      <c r="O60" s="470">
        <v>2911.0500000001048</v>
      </c>
      <c r="P60" s="470">
        <v>1919.889997701674</v>
      </c>
      <c r="Q60" s="470">
        <v>991.16000229843075</v>
      </c>
    </row>
    <row r="61" spans="2:17" x14ac:dyDescent="0.2">
      <c r="B61" s="463">
        <v>200461</v>
      </c>
      <c r="C61" s="463" t="s">
        <v>412</v>
      </c>
      <c r="D61" s="463" t="s">
        <v>383</v>
      </c>
      <c r="E61" s="463" t="s">
        <v>384</v>
      </c>
      <c r="F61" s="463">
        <v>10430</v>
      </c>
      <c r="G61" s="463" t="s">
        <v>405</v>
      </c>
      <c r="H61" s="463" t="s">
        <v>370</v>
      </c>
      <c r="I61" s="470">
        <v>89260</v>
      </c>
      <c r="J61" s="470">
        <v>5464318.6799999904</v>
      </c>
      <c r="K61" s="470">
        <v>54812.33</v>
      </c>
      <c r="L61" s="470">
        <v>69814.03</v>
      </c>
      <c r="M61" s="470">
        <v>68498.77</v>
      </c>
      <c r="N61" s="470">
        <v>1315.2599999999979</v>
      </c>
      <c r="O61" s="470">
        <v>-15001.699999999997</v>
      </c>
      <c r="P61" s="470">
        <v>1835.9717261826065</v>
      </c>
      <c r="Q61" s="470">
        <v>-16837.671726182605</v>
      </c>
    </row>
    <row r="62" spans="2:17" x14ac:dyDescent="0.2">
      <c r="B62" s="463">
        <v>200454</v>
      </c>
      <c r="C62" s="463" t="s">
        <v>401</v>
      </c>
      <c r="D62" s="463" t="s">
        <v>383</v>
      </c>
      <c r="E62" s="463" t="s">
        <v>384</v>
      </c>
      <c r="F62" s="463">
        <v>10490</v>
      </c>
      <c r="G62" s="463" t="s">
        <v>369</v>
      </c>
      <c r="H62" s="463" t="s">
        <v>370</v>
      </c>
      <c r="I62" s="470">
        <v>238777</v>
      </c>
      <c r="J62" s="470">
        <v>5558012.2290000003</v>
      </c>
      <c r="K62" s="470">
        <v>54398.18</v>
      </c>
      <c r="L62" s="470">
        <v>48645.099999999904</v>
      </c>
      <c r="M62" s="470">
        <v>45370.689999999908</v>
      </c>
      <c r="N62" s="470">
        <v>3274.4099999999989</v>
      </c>
      <c r="O62" s="470">
        <v>5753.0800000000963</v>
      </c>
      <c r="P62" s="470">
        <v>1822.8822297207964</v>
      </c>
      <c r="Q62" s="470">
        <v>3930.1977702793001</v>
      </c>
    </row>
    <row r="63" spans="2:17" x14ac:dyDescent="0.2">
      <c r="B63" s="463">
        <v>200454</v>
      </c>
      <c r="C63" s="463" t="s">
        <v>401</v>
      </c>
      <c r="D63" s="463" t="s">
        <v>383</v>
      </c>
      <c r="E63" s="463" t="s">
        <v>384</v>
      </c>
      <c r="F63" s="463">
        <v>11000</v>
      </c>
      <c r="G63" s="463" t="s">
        <v>406</v>
      </c>
      <c r="H63" s="463" t="s">
        <v>370</v>
      </c>
      <c r="I63" s="470">
        <v>1036000</v>
      </c>
      <c r="J63" s="470">
        <v>4132604</v>
      </c>
      <c r="K63" s="470">
        <v>51054.080000000002</v>
      </c>
      <c r="L63" s="470">
        <v>41809.229999999989</v>
      </c>
      <c r="M63" s="470">
        <v>34338.390000000007</v>
      </c>
      <c r="N63" s="470">
        <v>7470.8399999999801</v>
      </c>
      <c r="O63" s="470">
        <v>9244.8500000000131</v>
      </c>
      <c r="P63" s="470">
        <v>1710.8213263815803</v>
      </c>
      <c r="Q63" s="470">
        <v>7534.0286736184325</v>
      </c>
    </row>
    <row r="64" spans="2:17" x14ac:dyDescent="0.2">
      <c r="B64" s="463">
        <v>200482</v>
      </c>
      <c r="C64" s="463" t="s">
        <v>428</v>
      </c>
      <c r="D64" s="463" t="s">
        <v>383</v>
      </c>
      <c r="E64" s="463" t="s">
        <v>384</v>
      </c>
      <c r="F64" s="463">
        <v>10010</v>
      </c>
      <c r="G64" s="463" t="s">
        <v>385</v>
      </c>
      <c r="H64" s="463" t="s">
        <v>368</v>
      </c>
      <c r="I64" s="470">
        <v>798150</v>
      </c>
      <c r="J64" s="470">
        <v>4090518.75</v>
      </c>
      <c r="K64" s="470">
        <v>49940.29</v>
      </c>
      <c r="L64" s="470">
        <v>59827.309999999889</v>
      </c>
      <c r="M64" s="470">
        <v>50103.429999999898</v>
      </c>
      <c r="N64" s="470">
        <v>9723.8799999999901</v>
      </c>
      <c r="O64" s="470">
        <v>-9887.0199999998877</v>
      </c>
      <c r="P64" s="470">
        <v>1670.0419730936446</v>
      </c>
      <c r="Q64" s="470">
        <v>-11557.061973093532</v>
      </c>
    </row>
    <row r="65" spans="2:17" x14ac:dyDescent="0.2">
      <c r="B65" s="463">
        <v>200452</v>
      </c>
      <c r="C65" s="463" t="s">
        <v>389</v>
      </c>
      <c r="D65" s="463" t="s">
        <v>390</v>
      </c>
      <c r="E65" s="463" t="s">
        <v>384</v>
      </c>
      <c r="F65" s="463">
        <v>10720</v>
      </c>
      <c r="G65" s="463" t="s">
        <v>371</v>
      </c>
      <c r="H65" s="463" t="s">
        <v>368</v>
      </c>
      <c r="I65" s="470">
        <v>841450</v>
      </c>
      <c r="J65" s="470">
        <v>4413405.25</v>
      </c>
      <c r="K65" s="470">
        <v>49507.54</v>
      </c>
      <c r="L65" s="470">
        <v>44398.649999999892</v>
      </c>
      <c r="M65" s="470">
        <v>34647.509999999893</v>
      </c>
      <c r="N65" s="470">
        <v>9751.1400000000012</v>
      </c>
      <c r="O65" s="470">
        <v>5108.8900000001086</v>
      </c>
      <c r="P65" s="470">
        <v>1658.9505760301458</v>
      </c>
      <c r="Q65" s="470">
        <v>3449.9394239699627</v>
      </c>
    </row>
    <row r="66" spans="2:17" x14ac:dyDescent="0.2">
      <c r="B66" s="463">
        <v>200452</v>
      </c>
      <c r="C66" s="463" t="s">
        <v>389</v>
      </c>
      <c r="D66" s="463" t="s">
        <v>390</v>
      </c>
      <c r="E66" s="463" t="s">
        <v>384</v>
      </c>
      <c r="F66" s="463">
        <v>10010</v>
      </c>
      <c r="G66" s="463" t="s">
        <v>385</v>
      </c>
      <c r="H66" s="463" t="s">
        <v>368</v>
      </c>
      <c r="I66" s="470">
        <v>835900</v>
      </c>
      <c r="J66" s="470">
        <v>4283987.5</v>
      </c>
      <c r="K66" s="470">
        <v>49233.809999999903</v>
      </c>
      <c r="L66" s="470">
        <v>50239.779999999904</v>
      </c>
      <c r="M66" s="470">
        <v>40865.449999999903</v>
      </c>
      <c r="N66" s="470">
        <v>9374.33</v>
      </c>
      <c r="O66" s="470">
        <v>-1005.9700000000012</v>
      </c>
      <c r="P66" s="470">
        <v>1649.8047721752819</v>
      </c>
      <c r="Q66" s="470">
        <v>-2655.774772175283</v>
      </c>
    </row>
    <row r="67" spans="2:17" x14ac:dyDescent="0.2">
      <c r="B67" s="463">
        <v>200454</v>
      </c>
      <c r="C67" s="463" t="s">
        <v>401</v>
      </c>
      <c r="D67" s="463" t="s">
        <v>383</v>
      </c>
      <c r="E67" s="463" t="s">
        <v>384</v>
      </c>
      <c r="F67" s="463">
        <v>10480</v>
      </c>
      <c r="G67" s="463" t="s">
        <v>369</v>
      </c>
      <c r="H67" s="463" t="s">
        <v>370</v>
      </c>
      <c r="I67" s="470">
        <v>334000</v>
      </c>
      <c r="J67" s="470">
        <v>4893100</v>
      </c>
      <c r="K67" s="470">
        <v>48109.36</v>
      </c>
      <c r="L67" s="470">
        <v>47235.539999999986</v>
      </c>
      <c r="M67" s="470">
        <v>44412.49</v>
      </c>
      <c r="N67" s="470">
        <v>2823.0499999999874</v>
      </c>
      <c r="O67" s="470">
        <v>873.82000000001426</v>
      </c>
      <c r="P67" s="470">
        <v>1612.1581253167024</v>
      </c>
      <c r="Q67" s="470">
        <v>-738.33812531668809</v>
      </c>
    </row>
    <row r="68" spans="2:17" x14ac:dyDescent="0.2">
      <c r="B68" s="463">
        <v>200461</v>
      </c>
      <c r="C68" s="463" t="s">
        <v>412</v>
      </c>
      <c r="D68" s="463" t="s">
        <v>383</v>
      </c>
      <c r="E68" s="463" t="s">
        <v>393</v>
      </c>
      <c r="F68" s="463">
        <v>10160</v>
      </c>
      <c r="G68" s="463" t="s">
        <v>394</v>
      </c>
      <c r="H68" s="463" t="s">
        <v>392</v>
      </c>
      <c r="I68" s="470">
        <v>35100</v>
      </c>
      <c r="J68" s="470">
        <v>3706560</v>
      </c>
      <c r="K68" s="470">
        <v>47235.239999999903</v>
      </c>
      <c r="L68" s="470">
        <v>36268.080000000002</v>
      </c>
      <c r="M68" s="470">
        <v>36268.080000000002</v>
      </c>
      <c r="N68" s="470">
        <v>0</v>
      </c>
      <c r="O68" s="470">
        <v>10967.159999999902</v>
      </c>
      <c r="P68" s="470">
        <v>1582.1800525237581</v>
      </c>
      <c r="Q68" s="470">
        <v>9384.9799474761439</v>
      </c>
    </row>
    <row r="69" spans="2:17" x14ac:dyDescent="0.2">
      <c r="B69" s="463">
        <v>200452</v>
      </c>
      <c r="C69" s="463" t="s">
        <v>389</v>
      </c>
      <c r="D69" s="463" t="s">
        <v>390</v>
      </c>
      <c r="E69" s="463" t="s">
        <v>393</v>
      </c>
      <c r="F69" s="463">
        <v>11620</v>
      </c>
      <c r="G69" s="463" t="s">
        <v>399</v>
      </c>
      <c r="H69" s="463" t="s">
        <v>368</v>
      </c>
      <c r="I69" s="470">
        <v>135700</v>
      </c>
      <c r="J69" s="470">
        <v>4674865</v>
      </c>
      <c r="K69" s="470">
        <v>46388.75</v>
      </c>
      <c r="L69" s="470">
        <v>39804.490000000005</v>
      </c>
      <c r="M69" s="470">
        <v>39804.490000000005</v>
      </c>
      <c r="N69" s="470">
        <v>0</v>
      </c>
      <c r="O69" s="470">
        <v>6584.2599999999948</v>
      </c>
      <c r="P69" s="470">
        <v>1554.4855933665538</v>
      </c>
      <c r="Q69" s="470">
        <v>5029.7744066334408</v>
      </c>
    </row>
    <row r="70" spans="2:17" x14ac:dyDescent="0.2">
      <c r="B70" s="463">
        <v>200460</v>
      </c>
      <c r="C70" s="463" t="s">
        <v>410</v>
      </c>
      <c r="D70" s="463" t="s">
        <v>383</v>
      </c>
      <c r="E70" s="463" t="s">
        <v>393</v>
      </c>
      <c r="F70" s="463">
        <v>10530</v>
      </c>
      <c r="G70" s="463" t="s">
        <v>391</v>
      </c>
      <c r="H70" s="463" t="s">
        <v>392</v>
      </c>
      <c r="I70" s="470">
        <v>141320</v>
      </c>
      <c r="J70" s="470">
        <v>4030446.3999999901</v>
      </c>
      <c r="K70" s="470">
        <v>46013.79</v>
      </c>
      <c r="L70" s="470">
        <v>36089.559999999896</v>
      </c>
      <c r="M70" s="470">
        <v>36089.559999999896</v>
      </c>
      <c r="N70" s="470">
        <v>0</v>
      </c>
      <c r="O70" s="470">
        <v>9924.2300000001051</v>
      </c>
      <c r="P70" s="470">
        <v>1541.6711283337872</v>
      </c>
      <c r="Q70" s="470">
        <v>8382.5588716663187</v>
      </c>
    </row>
    <row r="71" spans="2:17" x14ac:dyDescent="0.2">
      <c r="B71" s="463">
        <v>200447</v>
      </c>
      <c r="C71" s="463" t="s">
        <v>349</v>
      </c>
      <c r="D71" s="463" t="s">
        <v>383</v>
      </c>
      <c r="E71" s="463" t="s">
        <v>384</v>
      </c>
      <c r="F71" s="463">
        <v>11170</v>
      </c>
      <c r="G71" s="463" t="s">
        <v>388</v>
      </c>
      <c r="H71" s="463" t="s">
        <v>368</v>
      </c>
      <c r="I71" s="470">
        <v>653650</v>
      </c>
      <c r="J71" s="470">
        <v>4114073.1</v>
      </c>
      <c r="K71" s="470">
        <v>45056.160000000003</v>
      </c>
      <c r="L71" s="470">
        <v>49756.999999999876</v>
      </c>
      <c r="M71" s="470">
        <v>40481.739999999896</v>
      </c>
      <c r="N71" s="470">
        <v>9275.2599999999802</v>
      </c>
      <c r="O71" s="470">
        <v>-4700.8399999998728</v>
      </c>
      <c r="P71" s="470">
        <v>1525.4224846135837</v>
      </c>
      <c r="Q71" s="470">
        <v>-6226.2624846134568</v>
      </c>
    </row>
    <row r="72" spans="2:17" x14ac:dyDescent="0.2">
      <c r="B72" s="463">
        <v>200452</v>
      </c>
      <c r="C72" s="463" t="s">
        <v>389</v>
      </c>
      <c r="D72" s="463" t="s">
        <v>390</v>
      </c>
      <c r="E72" s="463" t="s">
        <v>384</v>
      </c>
      <c r="F72" s="463">
        <v>10050</v>
      </c>
      <c r="G72" s="463" t="s">
        <v>385</v>
      </c>
      <c r="H72" s="463" t="s">
        <v>368</v>
      </c>
      <c r="I72" s="470">
        <v>141590</v>
      </c>
      <c r="J72" s="470">
        <v>4157223.99</v>
      </c>
      <c r="K72" s="470">
        <v>44270.83</v>
      </c>
      <c r="L72" s="470">
        <v>36631.639999999898</v>
      </c>
      <c r="M72" s="470">
        <v>34532.219999999899</v>
      </c>
      <c r="N72" s="470">
        <v>2099.419999999996</v>
      </c>
      <c r="O72" s="470">
        <v>7639.1900000001042</v>
      </c>
      <c r="P72" s="470">
        <v>1483.5278448541912</v>
      </c>
      <c r="Q72" s="470">
        <v>6155.6621551459129</v>
      </c>
    </row>
    <row r="73" spans="2:17" x14ac:dyDescent="0.2">
      <c r="B73" s="463">
        <v>200452</v>
      </c>
      <c r="C73" s="463" t="s">
        <v>389</v>
      </c>
      <c r="D73" s="463" t="s">
        <v>390</v>
      </c>
      <c r="E73" s="463" t="s">
        <v>384</v>
      </c>
      <c r="F73" s="463">
        <v>10800</v>
      </c>
      <c r="G73" s="463" t="s">
        <v>371</v>
      </c>
      <c r="H73" s="463" t="s">
        <v>368</v>
      </c>
      <c r="I73" s="470">
        <v>186150</v>
      </c>
      <c r="J73" s="470">
        <v>4312909.3499999903</v>
      </c>
      <c r="K73" s="470">
        <v>44179.559999999903</v>
      </c>
      <c r="L73" s="470">
        <v>40619.849999999882</v>
      </c>
      <c r="M73" s="470">
        <v>37421.649999999885</v>
      </c>
      <c r="N73" s="470">
        <v>3198.1999999999985</v>
      </c>
      <c r="O73" s="470">
        <v>3559.710000000021</v>
      </c>
      <c r="P73" s="470">
        <v>1480.4954917404159</v>
      </c>
      <c r="Q73" s="470">
        <v>2079.2145082596053</v>
      </c>
    </row>
    <row r="74" spans="2:17" x14ac:dyDescent="0.2">
      <c r="B74" s="463">
        <v>200461</v>
      </c>
      <c r="C74" s="463" t="s">
        <v>412</v>
      </c>
      <c r="D74" s="463" t="s">
        <v>383</v>
      </c>
      <c r="E74" s="463" t="s">
        <v>393</v>
      </c>
      <c r="F74" s="463">
        <v>10860</v>
      </c>
      <c r="G74" s="463" t="s">
        <v>400</v>
      </c>
      <c r="H74" s="463" t="s">
        <v>370</v>
      </c>
      <c r="I74" s="470">
        <v>28000</v>
      </c>
      <c r="J74" s="470">
        <v>2783200</v>
      </c>
      <c r="K74" s="470">
        <v>41707.82</v>
      </c>
      <c r="L74" s="470">
        <v>36085.82</v>
      </c>
      <c r="M74" s="470">
        <v>36085.82</v>
      </c>
      <c r="N74" s="470">
        <v>0</v>
      </c>
      <c r="O74" s="470">
        <v>5622</v>
      </c>
      <c r="P74" s="470">
        <v>1397.0250404920469</v>
      </c>
      <c r="Q74" s="470">
        <v>4224.9749595079529</v>
      </c>
    </row>
    <row r="75" spans="2:17" x14ac:dyDescent="0.2">
      <c r="B75" s="463">
        <v>200461</v>
      </c>
      <c r="C75" s="463" t="s">
        <v>412</v>
      </c>
      <c r="D75" s="463" t="s">
        <v>383</v>
      </c>
      <c r="E75" s="463" t="s">
        <v>393</v>
      </c>
      <c r="F75" s="463">
        <v>10230</v>
      </c>
      <c r="G75" s="463" t="s">
        <v>367</v>
      </c>
      <c r="H75" s="463" t="s">
        <v>368</v>
      </c>
      <c r="I75" s="470">
        <v>30000</v>
      </c>
      <c r="J75" s="470">
        <v>2977200</v>
      </c>
      <c r="K75" s="470">
        <v>41571</v>
      </c>
      <c r="L75" s="470">
        <v>33325.53</v>
      </c>
      <c r="M75" s="470">
        <v>33325.53</v>
      </c>
      <c r="N75" s="470">
        <v>0</v>
      </c>
      <c r="O75" s="470">
        <v>8245.4700000000012</v>
      </c>
      <c r="P75" s="470">
        <v>1392.4678447757494</v>
      </c>
      <c r="Q75" s="470">
        <v>6853.0021552242515</v>
      </c>
    </row>
    <row r="76" spans="2:17" x14ac:dyDescent="0.2">
      <c r="B76" s="463">
        <v>200461</v>
      </c>
      <c r="C76" s="463" t="s">
        <v>412</v>
      </c>
      <c r="D76" s="463" t="s">
        <v>383</v>
      </c>
      <c r="E76" s="463" t="s">
        <v>384</v>
      </c>
      <c r="F76" s="463">
        <v>10280</v>
      </c>
      <c r="G76" s="463" t="s">
        <v>367</v>
      </c>
      <c r="H76" s="463" t="s">
        <v>368</v>
      </c>
      <c r="I76" s="470">
        <v>39410</v>
      </c>
      <c r="J76" s="470">
        <v>3570033.6699999901</v>
      </c>
      <c r="K76" s="470">
        <v>41548.83</v>
      </c>
      <c r="L76" s="470">
        <v>38222.640000000007</v>
      </c>
      <c r="M76" s="470">
        <v>34288.960000000006</v>
      </c>
      <c r="N76" s="470">
        <v>3933.68</v>
      </c>
      <c r="O76" s="470">
        <v>3326.1899999999951</v>
      </c>
      <c r="P76" s="470">
        <v>1391.6799180908311</v>
      </c>
      <c r="Q76" s="470">
        <v>1934.510081909164</v>
      </c>
    </row>
    <row r="77" spans="2:17" x14ac:dyDescent="0.2">
      <c r="B77" s="463">
        <v>200461</v>
      </c>
      <c r="C77" s="463" t="s">
        <v>412</v>
      </c>
      <c r="D77" s="463" t="s">
        <v>383</v>
      </c>
      <c r="E77" s="463" t="s">
        <v>384</v>
      </c>
      <c r="F77" s="463">
        <v>10420</v>
      </c>
      <c r="G77" s="463" t="s">
        <v>405</v>
      </c>
      <c r="H77" s="463" t="s">
        <v>370</v>
      </c>
      <c r="I77" s="470">
        <v>117340</v>
      </c>
      <c r="J77" s="470">
        <v>4639271.58</v>
      </c>
      <c r="K77" s="470">
        <v>41022.739999999903</v>
      </c>
      <c r="L77" s="470">
        <v>53914.599999999897</v>
      </c>
      <c r="M77" s="470">
        <v>51927.789999999899</v>
      </c>
      <c r="N77" s="470">
        <v>1986.809999999997</v>
      </c>
      <c r="O77" s="470">
        <v>-12891.859999999993</v>
      </c>
      <c r="P77" s="470">
        <v>1374.1036822014337</v>
      </c>
      <c r="Q77" s="470">
        <v>-14265.963682201427</v>
      </c>
    </row>
    <row r="78" spans="2:17" x14ac:dyDescent="0.2">
      <c r="B78" s="463">
        <v>200452</v>
      </c>
      <c r="C78" s="463" t="s">
        <v>389</v>
      </c>
      <c r="D78" s="463" t="s">
        <v>390</v>
      </c>
      <c r="E78" s="463" t="s">
        <v>393</v>
      </c>
      <c r="F78" s="463">
        <v>11220</v>
      </c>
      <c r="G78" s="463" t="s">
        <v>387</v>
      </c>
      <c r="H78" s="463" t="s">
        <v>368</v>
      </c>
      <c r="I78" s="470">
        <v>82500</v>
      </c>
      <c r="J78" s="470">
        <v>2813250</v>
      </c>
      <c r="K78" s="470">
        <v>40796.25</v>
      </c>
      <c r="L78" s="470">
        <v>35923.719999999907</v>
      </c>
      <c r="M78" s="470">
        <v>35923.719999999907</v>
      </c>
      <c r="N78" s="470">
        <v>0</v>
      </c>
      <c r="O78" s="470">
        <v>4872.5300000000934</v>
      </c>
      <c r="P78" s="470">
        <v>1367.0492431005425</v>
      </c>
      <c r="Q78" s="470">
        <v>3505.4807568995511</v>
      </c>
    </row>
    <row r="79" spans="2:17" x14ac:dyDescent="0.2">
      <c r="B79" s="463">
        <v>200461</v>
      </c>
      <c r="C79" s="463" t="s">
        <v>412</v>
      </c>
      <c r="D79" s="463" t="s">
        <v>383</v>
      </c>
      <c r="E79" s="463" t="s">
        <v>384</v>
      </c>
      <c r="F79" s="463">
        <v>10760</v>
      </c>
      <c r="G79" s="463" t="s">
        <v>371</v>
      </c>
      <c r="H79" s="463" t="s">
        <v>368</v>
      </c>
      <c r="I79" s="470">
        <v>252950</v>
      </c>
      <c r="J79" s="470">
        <v>3796779.5</v>
      </c>
      <c r="K79" s="470">
        <v>40532.059999999903</v>
      </c>
      <c r="L79" s="470">
        <v>40209.479999999887</v>
      </c>
      <c r="M79" s="470">
        <v>35796.219999999899</v>
      </c>
      <c r="N79" s="470">
        <v>4413.2599999999875</v>
      </c>
      <c r="O79" s="470">
        <v>322.5800000000163</v>
      </c>
      <c r="P79" s="470">
        <v>1357.6531560059002</v>
      </c>
      <c r="Q79" s="470">
        <v>-1035.0731560058839</v>
      </c>
    </row>
    <row r="80" spans="2:17" x14ac:dyDescent="0.2">
      <c r="B80" s="463">
        <v>200452</v>
      </c>
      <c r="C80" s="463" t="s">
        <v>389</v>
      </c>
      <c r="D80" s="463" t="s">
        <v>390</v>
      </c>
      <c r="E80" s="463" t="s">
        <v>393</v>
      </c>
      <c r="F80" s="463">
        <v>10530</v>
      </c>
      <c r="G80" s="463" t="s">
        <v>391</v>
      </c>
      <c r="H80" s="463" t="s">
        <v>392</v>
      </c>
      <c r="I80" s="470">
        <v>124450</v>
      </c>
      <c r="J80" s="470">
        <v>3549314</v>
      </c>
      <c r="K80" s="470">
        <v>40520.919999999896</v>
      </c>
      <c r="L80" s="470">
        <v>31814.66</v>
      </c>
      <c r="M80" s="470">
        <v>31814.66</v>
      </c>
      <c r="N80" s="470">
        <v>0</v>
      </c>
      <c r="O80" s="470">
        <v>8706.2599999998965</v>
      </c>
      <c r="P80" s="470">
        <v>1357.8783295165003</v>
      </c>
      <c r="Q80" s="470">
        <v>7348.3816704833962</v>
      </c>
    </row>
    <row r="81" spans="2:17" x14ac:dyDescent="0.2">
      <c r="B81" s="463">
        <v>200461</v>
      </c>
      <c r="C81" s="463" t="s">
        <v>412</v>
      </c>
      <c r="D81" s="463" t="s">
        <v>383</v>
      </c>
      <c r="E81" s="463" t="s">
        <v>384</v>
      </c>
      <c r="F81" s="463">
        <v>10480</v>
      </c>
      <c r="G81" s="463" t="s">
        <v>369</v>
      </c>
      <c r="H81" s="463" t="s">
        <v>370</v>
      </c>
      <c r="I81" s="470">
        <v>286030</v>
      </c>
      <c r="J81" s="470">
        <v>4190339.5</v>
      </c>
      <c r="K81" s="470">
        <v>40514.419999999896</v>
      </c>
      <c r="L81" s="470">
        <v>40380.259999999893</v>
      </c>
      <c r="M81" s="470">
        <v>38025.199999999895</v>
      </c>
      <c r="N81" s="470">
        <v>2355.0599999999977</v>
      </c>
      <c r="O81" s="470">
        <v>134.16000000000349</v>
      </c>
      <c r="P81" s="470">
        <v>1357.0663212417173</v>
      </c>
      <c r="Q81" s="470">
        <v>-1222.9063212417138</v>
      </c>
    </row>
    <row r="82" spans="2:17" x14ac:dyDescent="0.2">
      <c r="B82" s="463">
        <v>200452</v>
      </c>
      <c r="C82" s="463" t="s">
        <v>389</v>
      </c>
      <c r="D82" s="463" t="s">
        <v>390</v>
      </c>
      <c r="E82" s="463" t="s">
        <v>384</v>
      </c>
      <c r="F82" s="463">
        <v>10770</v>
      </c>
      <c r="G82" s="463" t="s">
        <v>371</v>
      </c>
      <c r="H82" s="463" t="s">
        <v>368</v>
      </c>
      <c r="I82" s="470">
        <v>210350</v>
      </c>
      <c r="J82" s="470">
        <v>3651676</v>
      </c>
      <c r="K82" s="470">
        <v>39980.769999999902</v>
      </c>
      <c r="L82" s="470">
        <v>37687.949999999997</v>
      </c>
      <c r="M82" s="470">
        <v>35023.39</v>
      </c>
      <c r="N82" s="470">
        <v>2664.5599999999995</v>
      </c>
      <c r="O82" s="470">
        <v>2292.8199999999051</v>
      </c>
      <c r="P82" s="470">
        <v>1339.7814418819576</v>
      </c>
      <c r="Q82" s="470">
        <v>953.03855811794756</v>
      </c>
    </row>
    <row r="83" spans="2:17" x14ac:dyDescent="0.2">
      <c r="B83" s="463">
        <v>200452</v>
      </c>
      <c r="C83" s="463" t="s">
        <v>389</v>
      </c>
      <c r="D83" s="463" t="s">
        <v>390</v>
      </c>
      <c r="E83" s="463" t="s">
        <v>384</v>
      </c>
      <c r="F83" s="463">
        <v>10060</v>
      </c>
      <c r="G83" s="463" t="s">
        <v>385</v>
      </c>
      <c r="H83" s="463" t="s">
        <v>368</v>
      </c>
      <c r="I83" s="470">
        <v>166050</v>
      </c>
      <c r="J83" s="470">
        <v>3794076.45</v>
      </c>
      <c r="K83" s="470">
        <v>39616.07</v>
      </c>
      <c r="L83" s="470">
        <v>44532.799999999988</v>
      </c>
      <c r="M83" s="470">
        <v>40837.919999999998</v>
      </c>
      <c r="N83" s="470">
        <v>3694.8799999999883</v>
      </c>
      <c r="O83" s="470">
        <v>-4916.7299999999886</v>
      </c>
      <c r="P83" s="470">
        <v>1327.5279929875446</v>
      </c>
      <c r="Q83" s="470">
        <v>-6244.2579929875337</v>
      </c>
    </row>
    <row r="84" spans="2:17" x14ac:dyDescent="0.2">
      <c r="B84" s="463">
        <v>200461</v>
      </c>
      <c r="C84" s="463" t="s">
        <v>412</v>
      </c>
      <c r="D84" s="463" t="s">
        <v>383</v>
      </c>
      <c r="E84" s="463" t="s">
        <v>393</v>
      </c>
      <c r="F84" s="463">
        <v>10140</v>
      </c>
      <c r="G84" s="463" t="s">
        <v>394</v>
      </c>
      <c r="H84" s="463" t="s">
        <v>392</v>
      </c>
      <c r="I84" s="470">
        <v>69000</v>
      </c>
      <c r="J84" s="470">
        <v>2886960</v>
      </c>
      <c r="K84" s="470">
        <v>39182.800000000003</v>
      </c>
      <c r="L84" s="470">
        <v>28038.93</v>
      </c>
      <c r="M84" s="470">
        <v>28038.93</v>
      </c>
      <c r="N84" s="470">
        <v>0</v>
      </c>
      <c r="O84" s="470">
        <v>11143.870000000003</v>
      </c>
      <c r="P84" s="470">
        <v>1312.458435262062</v>
      </c>
      <c r="Q84" s="470">
        <v>9831.4115647379404</v>
      </c>
    </row>
    <row r="85" spans="2:17" x14ac:dyDescent="0.2">
      <c r="B85" s="463">
        <v>200452</v>
      </c>
      <c r="C85" s="463" t="s">
        <v>389</v>
      </c>
      <c r="D85" s="463" t="s">
        <v>390</v>
      </c>
      <c r="E85" s="463" t="s">
        <v>384</v>
      </c>
      <c r="F85" s="463">
        <v>10020</v>
      </c>
      <c r="G85" s="463" t="s">
        <v>385</v>
      </c>
      <c r="H85" s="463" t="s">
        <v>368</v>
      </c>
      <c r="I85" s="470">
        <v>504050</v>
      </c>
      <c r="J85" s="470">
        <v>3544479.6</v>
      </c>
      <c r="K85" s="470">
        <v>38961.86</v>
      </c>
      <c r="L85" s="470">
        <v>35297.369999999879</v>
      </c>
      <c r="M85" s="470">
        <v>29857.339999999891</v>
      </c>
      <c r="N85" s="470">
        <v>5440.0299999999888</v>
      </c>
      <c r="O85" s="470">
        <v>3664.4900000001217</v>
      </c>
      <c r="P85" s="470">
        <v>1305.6110955342542</v>
      </c>
      <c r="Q85" s="470">
        <v>2358.8789044658674</v>
      </c>
    </row>
    <row r="86" spans="2:17" x14ac:dyDescent="0.2">
      <c r="B86" s="463">
        <v>200461</v>
      </c>
      <c r="C86" s="463" t="s">
        <v>412</v>
      </c>
      <c r="D86" s="463" t="s">
        <v>383</v>
      </c>
      <c r="E86" s="463" t="s">
        <v>384</v>
      </c>
      <c r="F86" s="463">
        <v>10740</v>
      </c>
      <c r="G86" s="463" t="s">
        <v>371</v>
      </c>
      <c r="H86" s="463" t="s">
        <v>368</v>
      </c>
      <c r="I86" s="470">
        <v>382050</v>
      </c>
      <c r="J86" s="470">
        <v>3756697.6499999901</v>
      </c>
      <c r="K86" s="470">
        <v>38852.65</v>
      </c>
      <c r="L86" s="470">
        <v>36532.279999999897</v>
      </c>
      <c r="M86" s="470">
        <v>32744.219999999899</v>
      </c>
      <c r="N86" s="470">
        <v>3788.0600000000004</v>
      </c>
      <c r="O86" s="470">
        <v>2320.3700000001045</v>
      </c>
      <c r="P86" s="470">
        <v>1301.3571995820757</v>
      </c>
      <c r="Q86" s="470">
        <v>1019.0128004180287</v>
      </c>
    </row>
    <row r="87" spans="2:17" x14ac:dyDescent="0.2">
      <c r="B87" s="463">
        <v>200482</v>
      </c>
      <c r="C87" s="463" t="s">
        <v>428</v>
      </c>
      <c r="D87" s="463" t="s">
        <v>383</v>
      </c>
      <c r="E87" s="463" t="s">
        <v>384</v>
      </c>
      <c r="F87" s="463">
        <v>10650</v>
      </c>
      <c r="G87" s="463" t="s">
        <v>430</v>
      </c>
      <c r="H87" s="463" t="s">
        <v>370</v>
      </c>
      <c r="I87" s="470">
        <v>382850</v>
      </c>
      <c r="J87" s="470">
        <v>3699479.54999999</v>
      </c>
      <c r="K87" s="470">
        <v>38426.889999999898</v>
      </c>
      <c r="L87" s="470">
        <v>35470.339999999887</v>
      </c>
      <c r="M87" s="470">
        <v>32313.0999999999</v>
      </c>
      <c r="N87" s="470">
        <v>3157.239999999988</v>
      </c>
      <c r="O87" s="470">
        <v>2956.5500000000102</v>
      </c>
      <c r="P87" s="470">
        <v>1285.0055006479211</v>
      </c>
      <c r="Q87" s="470">
        <v>1671.5444993520891</v>
      </c>
    </row>
    <row r="88" spans="2:17" x14ac:dyDescent="0.2">
      <c r="B88" s="463">
        <v>200482</v>
      </c>
      <c r="C88" s="463" t="s">
        <v>428</v>
      </c>
      <c r="D88" s="463" t="s">
        <v>383</v>
      </c>
      <c r="E88" s="463" t="s">
        <v>384</v>
      </c>
      <c r="F88" s="463">
        <v>10690</v>
      </c>
      <c r="G88" s="463" t="s">
        <v>430</v>
      </c>
      <c r="H88" s="463" t="s">
        <v>370</v>
      </c>
      <c r="I88" s="470">
        <v>159060</v>
      </c>
      <c r="J88" s="470">
        <v>3639133.74</v>
      </c>
      <c r="K88" s="470">
        <v>37966.07</v>
      </c>
      <c r="L88" s="470">
        <v>32021.01</v>
      </c>
      <c r="M88" s="470">
        <v>29755.190000000002</v>
      </c>
      <c r="N88" s="470">
        <v>2265.8199999999961</v>
      </c>
      <c r="O88" s="470">
        <v>5945.0600000000013</v>
      </c>
      <c r="P88" s="470">
        <v>1269.6035847731646</v>
      </c>
      <c r="Q88" s="470">
        <v>4675.4564152268367</v>
      </c>
    </row>
    <row r="89" spans="2:17" x14ac:dyDescent="0.2">
      <c r="B89" s="463">
        <v>200461</v>
      </c>
      <c r="C89" s="463" t="s">
        <v>412</v>
      </c>
      <c r="D89" s="463" t="s">
        <v>383</v>
      </c>
      <c r="E89" s="463" t="s">
        <v>384</v>
      </c>
      <c r="F89" s="463">
        <v>11690</v>
      </c>
      <c r="G89" s="463" t="s">
        <v>408</v>
      </c>
      <c r="H89" s="463" t="s">
        <v>370</v>
      </c>
      <c r="I89" s="470">
        <v>180000</v>
      </c>
      <c r="J89" s="470">
        <v>3709800</v>
      </c>
      <c r="K89" s="470">
        <v>37845.9</v>
      </c>
      <c r="L89" s="470">
        <v>36638.459999999897</v>
      </c>
      <c r="M89" s="470">
        <v>34360.0099999999</v>
      </c>
      <c r="N89" s="470">
        <v>2278.4499999999962</v>
      </c>
      <c r="O89" s="470">
        <v>1207.4400000001042</v>
      </c>
      <c r="P89" s="470">
        <v>1267.6876871761199</v>
      </c>
      <c r="Q89" s="470">
        <v>-60.247687176015688</v>
      </c>
    </row>
    <row r="90" spans="2:17" x14ac:dyDescent="0.2">
      <c r="B90" s="463">
        <v>200461</v>
      </c>
      <c r="C90" s="463" t="s">
        <v>412</v>
      </c>
      <c r="D90" s="463" t="s">
        <v>383</v>
      </c>
      <c r="E90" s="463" t="s">
        <v>393</v>
      </c>
      <c r="F90" s="463">
        <v>11640</v>
      </c>
      <c r="G90" s="463" t="s">
        <v>399</v>
      </c>
      <c r="H90" s="463" t="s">
        <v>368</v>
      </c>
      <c r="I90" s="470">
        <v>36700</v>
      </c>
      <c r="J90" s="470">
        <v>3126106</v>
      </c>
      <c r="K90" s="470">
        <v>37584.01</v>
      </c>
      <c r="L90" s="470">
        <v>32813.1</v>
      </c>
      <c r="M90" s="470">
        <v>32813.1</v>
      </c>
      <c r="N90" s="470">
        <v>0</v>
      </c>
      <c r="O90" s="470">
        <v>4770.9100000000035</v>
      </c>
      <c r="P90" s="470">
        <v>1258.8776953171723</v>
      </c>
      <c r="Q90" s="470">
        <v>3512.0323046828312</v>
      </c>
    </row>
    <row r="91" spans="2:17" x14ac:dyDescent="0.2">
      <c r="B91" s="463">
        <v>200461</v>
      </c>
      <c r="C91" s="463" t="s">
        <v>412</v>
      </c>
      <c r="D91" s="463" t="s">
        <v>383</v>
      </c>
      <c r="E91" s="463" t="s">
        <v>393</v>
      </c>
      <c r="F91" s="463">
        <v>10390</v>
      </c>
      <c r="G91" s="463" t="s">
        <v>416</v>
      </c>
      <c r="H91" s="463" t="s">
        <v>368</v>
      </c>
      <c r="I91" s="470">
        <v>10894</v>
      </c>
      <c r="J91" s="470">
        <v>2258653.02</v>
      </c>
      <c r="K91" s="470">
        <v>37104.75</v>
      </c>
      <c r="L91" s="470">
        <v>30971.5</v>
      </c>
      <c r="M91" s="470">
        <v>30971.5</v>
      </c>
      <c r="N91" s="470">
        <v>0</v>
      </c>
      <c r="O91" s="470">
        <v>6133.25</v>
      </c>
      <c r="P91" s="470">
        <v>1242.8463898136438</v>
      </c>
      <c r="Q91" s="470">
        <v>4890.4036101863567</v>
      </c>
    </row>
    <row r="92" spans="2:17" x14ac:dyDescent="0.2">
      <c r="B92" s="463">
        <v>200482</v>
      </c>
      <c r="C92" s="463" t="s">
        <v>428</v>
      </c>
      <c r="D92" s="463" t="s">
        <v>383</v>
      </c>
      <c r="E92" s="463" t="s">
        <v>384</v>
      </c>
      <c r="F92" s="463">
        <v>10420</v>
      </c>
      <c r="G92" s="463" t="s">
        <v>405</v>
      </c>
      <c r="H92" s="463" t="s">
        <v>370</v>
      </c>
      <c r="I92" s="470">
        <v>99320</v>
      </c>
      <c r="J92" s="470">
        <v>3926814.8399999901</v>
      </c>
      <c r="K92" s="470">
        <v>36874.599999999897</v>
      </c>
      <c r="L92" s="470">
        <v>45257.709999999883</v>
      </c>
      <c r="M92" s="470">
        <v>43748.059999999889</v>
      </c>
      <c r="N92" s="470">
        <v>1509.6499999999971</v>
      </c>
      <c r="O92" s="470">
        <v>-8383.109999999986</v>
      </c>
      <c r="P92" s="470">
        <v>1233.1145122072542</v>
      </c>
      <c r="Q92" s="470">
        <v>-9616.22451220724</v>
      </c>
    </row>
    <row r="93" spans="2:17" x14ac:dyDescent="0.2">
      <c r="B93" s="463">
        <v>200482</v>
      </c>
      <c r="C93" s="463" t="s">
        <v>428</v>
      </c>
      <c r="D93" s="463" t="s">
        <v>383</v>
      </c>
      <c r="E93" s="463" t="s">
        <v>384</v>
      </c>
      <c r="F93" s="463">
        <v>10040</v>
      </c>
      <c r="G93" s="463" t="s">
        <v>385</v>
      </c>
      <c r="H93" s="463" t="s">
        <v>368</v>
      </c>
      <c r="I93" s="470">
        <v>211250</v>
      </c>
      <c r="J93" s="470">
        <v>3126500</v>
      </c>
      <c r="K93" s="470">
        <v>36580.089999999902</v>
      </c>
      <c r="L93" s="470">
        <v>33345.089999999895</v>
      </c>
      <c r="M93" s="470">
        <v>29749.7599999999</v>
      </c>
      <c r="N93" s="470">
        <v>3595.3299999999981</v>
      </c>
      <c r="O93" s="470">
        <v>3235.0000000000073</v>
      </c>
      <c r="P93" s="470">
        <v>1223.2625957446987</v>
      </c>
      <c r="Q93" s="470">
        <v>2011.7374042553085</v>
      </c>
    </row>
    <row r="94" spans="2:17" x14ac:dyDescent="0.2">
      <c r="B94" s="463">
        <v>200452</v>
      </c>
      <c r="C94" s="463" t="s">
        <v>389</v>
      </c>
      <c r="D94" s="463" t="s">
        <v>390</v>
      </c>
      <c r="E94" s="463" t="s">
        <v>384</v>
      </c>
      <c r="F94" s="463">
        <v>10760</v>
      </c>
      <c r="G94" s="463" t="s">
        <v>371</v>
      </c>
      <c r="H94" s="463" t="s">
        <v>368</v>
      </c>
      <c r="I94" s="470">
        <v>226900</v>
      </c>
      <c r="J94" s="470">
        <v>3405769</v>
      </c>
      <c r="K94" s="470">
        <v>36357.839999999902</v>
      </c>
      <c r="L94" s="470">
        <v>34794.569999999985</v>
      </c>
      <c r="M94" s="470">
        <v>30838.439999999988</v>
      </c>
      <c r="N94" s="470">
        <v>3956.1299999999974</v>
      </c>
      <c r="O94" s="470">
        <v>1563.2699999999168</v>
      </c>
      <c r="P94" s="470">
        <v>1218.3546974261242</v>
      </c>
      <c r="Q94" s="470">
        <v>344.91530257379259</v>
      </c>
    </row>
    <row r="95" spans="2:17" x14ac:dyDescent="0.2">
      <c r="B95" s="463">
        <v>200452</v>
      </c>
      <c r="C95" s="463" t="s">
        <v>389</v>
      </c>
      <c r="D95" s="463" t="s">
        <v>390</v>
      </c>
      <c r="E95" s="463" t="s">
        <v>384</v>
      </c>
      <c r="F95" s="463">
        <v>10040</v>
      </c>
      <c r="G95" s="463" t="s">
        <v>385</v>
      </c>
      <c r="H95" s="463" t="s">
        <v>368</v>
      </c>
      <c r="I95" s="470">
        <v>224570</v>
      </c>
      <c r="J95" s="470">
        <v>3323636</v>
      </c>
      <c r="K95" s="470">
        <v>36331.209999999897</v>
      </c>
      <c r="L95" s="470">
        <v>34554.739999999991</v>
      </c>
      <c r="M95" s="470">
        <v>30691.52</v>
      </c>
      <c r="N95" s="470">
        <v>3863.2199999999866</v>
      </c>
      <c r="O95" s="470">
        <v>1776.4699999999066</v>
      </c>
      <c r="P95" s="470">
        <v>1217.4767773711249</v>
      </c>
      <c r="Q95" s="470">
        <v>558.99322262878172</v>
      </c>
    </row>
    <row r="96" spans="2:17" x14ac:dyDescent="0.2">
      <c r="B96" s="463">
        <v>200460</v>
      </c>
      <c r="C96" s="463" t="s">
        <v>410</v>
      </c>
      <c r="D96" s="463" t="s">
        <v>383</v>
      </c>
      <c r="E96" s="463" t="s">
        <v>393</v>
      </c>
      <c r="F96" s="463">
        <v>11040</v>
      </c>
      <c r="G96" s="463" t="s">
        <v>411</v>
      </c>
      <c r="H96" s="463" t="s">
        <v>392</v>
      </c>
      <c r="I96" s="470">
        <v>79000</v>
      </c>
      <c r="J96" s="470">
        <v>1176984</v>
      </c>
      <c r="K96" s="470">
        <v>35987.660000000003</v>
      </c>
      <c r="L96" s="470">
        <v>31410.120000000003</v>
      </c>
      <c r="M96" s="470">
        <v>31410.120000000003</v>
      </c>
      <c r="N96" s="470">
        <v>0</v>
      </c>
      <c r="O96" s="470">
        <v>4577.5400000000009</v>
      </c>
      <c r="P96" s="470">
        <v>1205.7252477092779</v>
      </c>
      <c r="Q96" s="470">
        <v>3371.8147522907229</v>
      </c>
    </row>
    <row r="97" spans="2:17" x14ac:dyDescent="0.2">
      <c r="B97" s="463">
        <v>200461</v>
      </c>
      <c r="C97" s="463" t="s">
        <v>412</v>
      </c>
      <c r="D97" s="463" t="s">
        <v>383</v>
      </c>
      <c r="E97" s="463" t="s">
        <v>393</v>
      </c>
      <c r="F97" s="463">
        <v>10120</v>
      </c>
      <c r="G97" s="463" t="s">
        <v>394</v>
      </c>
      <c r="H97" s="463" t="s">
        <v>392</v>
      </c>
      <c r="I97" s="470">
        <v>80760</v>
      </c>
      <c r="J97" s="470">
        <v>2631968.3999999901</v>
      </c>
      <c r="K97" s="470">
        <v>35825.15</v>
      </c>
      <c r="L97" s="470">
        <v>28495.93</v>
      </c>
      <c r="M97" s="470">
        <v>28495.93</v>
      </c>
      <c r="N97" s="470">
        <v>0</v>
      </c>
      <c r="O97" s="470">
        <v>7329.2200000000012</v>
      </c>
      <c r="P97" s="470">
        <v>1199.9748839038728</v>
      </c>
      <c r="Q97" s="470">
        <v>6129.2451160961282</v>
      </c>
    </row>
    <row r="98" spans="2:17" x14ac:dyDescent="0.2">
      <c r="B98" s="463">
        <v>200482</v>
      </c>
      <c r="C98" s="463" t="s">
        <v>428</v>
      </c>
      <c r="D98" s="463" t="s">
        <v>383</v>
      </c>
      <c r="E98" s="463" t="s">
        <v>384</v>
      </c>
      <c r="F98" s="463">
        <v>10660</v>
      </c>
      <c r="G98" s="463" t="s">
        <v>430</v>
      </c>
      <c r="H98" s="463" t="s">
        <v>370</v>
      </c>
      <c r="I98" s="470">
        <v>216120</v>
      </c>
      <c r="J98" s="470">
        <v>3202898.3999999901</v>
      </c>
      <c r="K98" s="470">
        <v>34736.980000000003</v>
      </c>
      <c r="L98" s="470">
        <v>31164.44999999999</v>
      </c>
      <c r="M98" s="470">
        <v>27880.91</v>
      </c>
      <c r="N98" s="470">
        <v>3283.5399999999895</v>
      </c>
      <c r="O98" s="470">
        <v>3572.5300000000134</v>
      </c>
      <c r="P98" s="470">
        <v>1161.627600154394</v>
      </c>
      <c r="Q98" s="470">
        <v>2410.9023998456196</v>
      </c>
    </row>
    <row r="99" spans="2:17" x14ac:dyDescent="0.2">
      <c r="B99" s="463">
        <v>200461</v>
      </c>
      <c r="C99" s="463" t="s">
        <v>412</v>
      </c>
      <c r="D99" s="463" t="s">
        <v>383</v>
      </c>
      <c r="E99" s="463" t="s">
        <v>393</v>
      </c>
      <c r="F99" s="463">
        <v>11080</v>
      </c>
      <c r="G99" s="463" t="s">
        <v>403</v>
      </c>
      <c r="H99" s="463" t="s">
        <v>392</v>
      </c>
      <c r="I99" s="470">
        <v>29170</v>
      </c>
      <c r="J99" s="470">
        <v>1278229.3999999899</v>
      </c>
      <c r="K99" s="470">
        <v>34471.19</v>
      </c>
      <c r="L99" s="470">
        <v>28028.300000000003</v>
      </c>
      <c r="M99" s="470">
        <v>28028.300000000003</v>
      </c>
      <c r="N99" s="470">
        <v>0</v>
      </c>
      <c r="O99" s="470">
        <v>6442.8899999999994</v>
      </c>
      <c r="P99" s="470">
        <v>1154.6264033305756</v>
      </c>
      <c r="Q99" s="470">
        <v>5288.2635966694234</v>
      </c>
    </row>
    <row r="100" spans="2:17" x14ac:dyDescent="0.2">
      <c r="B100" s="463">
        <v>200462</v>
      </c>
      <c r="C100" s="463" t="s">
        <v>419</v>
      </c>
      <c r="D100" s="463" t="s">
        <v>383</v>
      </c>
      <c r="E100" s="463" t="s">
        <v>384</v>
      </c>
      <c r="F100" s="463">
        <v>11400</v>
      </c>
      <c r="G100" s="463" t="s">
        <v>421</v>
      </c>
      <c r="H100" s="463" t="s">
        <v>370</v>
      </c>
      <c r="I100" s="470">
        <v>1041100</v>
      </c>
      <c r="J100" s="470">
        <v>12899229</v>
      </c>
      <c r="K100" s="470">
        <v>34345.889999999898</v>
      </c>
      <c r="L100" s="470">
        <v>99670.779999999984</v>
      </c>
      <c r="M100" s="470">
        <v>89682.409999999989</v>
      </c>
      <c r="N100" s="470">
        <v>9988.3699999999899</v>
      </c>
      <c r="O100" s="470">
        <v>-65324.890000000087</v>
      </c>
      <c r="P100" s="470">
        <v>1150.1999976643547</v>
      </c>
      <c r="Q100" s="470">
        <v>-66475.089997664443</v>
      </c>
    </row>
    <row r="101" spans="2:17" x14ac:dyDescent="0.2">
      <c r="B101" s="463">
        <v>200452</v>
      </c>
      <c r="C101" s="463" t="s">
        <v>389</v>
      </c>
      <c r="D101" s="463" t="s">
        <v>390</v>
      </c>
      <c r="E101" s="463" t="s">
        <v>393</v>
      </c>
      <c r="F101" s="463">
        <v>10280</v>
      </c>
      <c r="G101" s="463" t="s">
        <v>367</v>
      </c>
      <c r="H101" s="463" t="s">
        <v>368</v>
      </c>
      <c r="I101" s="470">
        <v>32200</v>
      </c>
      <c r="J101" s="470">
        <v>2916901.3999999901</v>
      </c>
      <c r="K101" s="470">
        <v>33947.54</v>
      </c>
      <c r="L101" s="470">
        <v>30493.089999999898</v>
      </c>
      <c r="M101" s="470">
        <v>30493.089999999898</v>
      </c>
      <c r="N101" s="470">
        <v>0</v>
      </c>
      <c r="O101" s="470">
        <v>3454.4500000001026</v>
      </c>
      <c r="P101" s="470">
        <v>1137.6084597781755</v>
      </c>
      <c r="Q101" s="470">
        <v>2316.8415402219271</v>
      </c>
    </row>
    <row r="102" spans="2:17" x14ac:dyDescent="0.2">
      <c r="B102" s="463">
        <v>200461</v>
      </c>
      <c r="C102" s="463" t="s">
        <v>412</v>
      </c>
      <c r="D102" s="463" t="s">
        <v>383</v>
      </c>
      <c r="E102" s="463" t="s">
        <v>393</v>
      </c>
      <c r="F102" s="463">
        <v>10550</v>
      </c>
      <c r="G102" s="463" t="s">
        <v>391</v>
      </c>
      <c r="H102" s="463" t="s">
        <v>392</v>
      </c>
      <c r="I102" s="470">
        <v>55610</v>
      </c>
      <c r="J102" s="470">
        <v>3027408.3999999901</v>
      </c>
      <c r="K102" s="470">
        <v>33866.489999999903</v>
      </c>
      <c r="L102" s="470">
        <v>30379.6899999999</v>
      </c>
      <c r="M102" s="470">
        <v>30379.6899999999</v>
      </c>
      <c r="N102" s="470">
        <v>0</v>
      </c>
      <c r="O102" s="470">
        <v>3486.8000000000029</v>
      </c>
      <c r="P102" s="470">
        <v>1134.3664950595223</v>
      </c>
      <c r="Q102" s="470">
        <v>2352.4335049404808</v>
      </c>
    </row>
    <row r="103" spans="2:17" x14ac:dyDescent="0.2">
      <c r="B103" s="463">
        <v>200461</v>
      </c>
      <c r="C103" s="463" t="s">
        <v>412</v>
      </c>
      <c r="D103" s="463" t="s">
        <v>383</v>
      </c>
      <c r="E103" s="463" t="s">
        <v>384</v>
      </c>
      <c r="F103" s="463">
        <v>10890</v>
      </c>
      <c r="G103" s="463" t="s">
        <v>400</v>
      </c>
      <c r="H103" s="463" t="s">
        <v>370</v>
      </c>
      <c r="I103" s="470">
        <v>9000</v>
      </c>
      <c r="J103" s="470">
        <v>2700450</v>
      </c>
      <c r="K103" s="470">
        <v>31716</v>
      </c>
      <c r="L103" s="470">
        <v>24089.849999999984</v>
      </c>
      <c r="M103" s="470">
        <v>22605.749999999989</v>
      </c>
      <c r="N103" s="470">
        <v>1484.0999999999958</v>
      </c>
      <c r="O103" s="470">
        <v>7626.150000000016</v>
      </c>
      <c r="P103" s="470">
        <v>1062.3676066225894</v>
      </c>
      <c r="Q103" s="470">
        <v>6563.7823933774271</v>
      </c>
    </row>
    <row r="104" spans="2:17" x14ac:dyDescent="0.2">
      <c r="B104" s="463">
        <v>200461</v>
      </c>
      <c r="C104" s="463" t="s">
        <v>412</v>
      </c>
      <c r="D104" s="463" t="s">
        <v>383</v>
      </c>
      <c r="E104" s="463" t="s">
        <v>393</v>
      </c>
      <c r="F104" s="463">
        <v>10280</v>
      </c>
      <c r="G104" s="463" t="s">
        <v>367</v>
      </c>
      <c r="H104" s="463" t="s">
        <v>368</v>
      </c>
      <c r="I104" s="470">
        <v>29350</v>
      </c>
      <c r="J104" s="470">
        <v>2658728.4500000002</v>
      </c>
      <c r="K104" s="470">
        <v>30942.869999999901</v>
      </c>
      <c r="L104" s="470">
        <v>27845.84</v>
      </c>
      <c r="M104" s="470">
        <v>27845.84</v>
      </c>
      <c r="N104" s="470">
        <v>0</v>
      </c>
      <c r="O104" s="470">
        <v>3097.0299999999006</v>
      </c>
      <c r="P104" s="470">
        <v>1036.4644285481736</v>
      </c>
      <c r="Q104" s="470">
        <v>2060.565571451727</v>
      </c>
    </row>
    <row r="105" spans="2:17" x14ac:dyDescent="0.2">
      <c r="B105" s="463">
        <v>200452</v>
      </c>
      <c r="C105" s="463" t="s">
        <v>389</v>
      </c>
      <c r="D105" s="463" t="s">
        <v>390</v>
      </c>
      <c r="E105" s="463" t="s">
        <v>393</v>
      </c>
      <c r="F105" s="463">
        <v>10120</v>
      </c>
      <c r="G105" s="463" t="s">
        <v>394</v>
      </c>
      <c r="H105" s="463" t="s">
        <v>392</v>
      </c>
      <c r="I105" s="470">
        <v>69670</v>
      </c>
      <c r="J105" s="470">
        <v>2270545.29999999</v>
      </c>
      <c r="K105" s="470">
        <v>30905.639999999901</v>
      </c>
      <c r="L105" s="470">
        <v>24576.84</v>
      </c>
      <c r="M105" s="470">
        <v>24576.84</v>
      </c>
      <c r="N105" s="470">
        <v>0</v>
      </c>
      <c r="O105" s="470">
        <v>6328.799999999901</v>
      </c>
      <c r="P105" s="470">
        <v>1035.6701565373717</v>
      </c>
      <c r="Q105" s="470">
        <v>5293.1298434625296</v>
      </c>
    </row>
    <row r="106" spans="2:17" x14ac:dyDescent="0.2">
      <c r="B106" s="463">
        <v>200460</v>
      </c>
      <c r="C106" s="463" t="s">
        <v>410</v>
      </c>
      <c r="D106" s="463" t="s">
        <v>383</v>
      </c>
      <c r="E106" s="463" t="s">
        <v>393</v>
      </c>
      <c r="F106" s="463">
        <v>10990</v>
      </c>
      <c r="G106" s="463" t="s">
        <v>402</v>
      </c>
      <c r="H106" s="463" t="s">
        <v>370</v>
      </c>
      <c r="I106" s="470">
        <v>640000</v>
      </c>
      <c r="J106" s="470">
        <v>3179960</v>
      </c>
      <c r="K106" s="470">
        <v>30800.639999999901</v>
      </c>
      <c r="L106" s="470">
        <v>23692.7599999999</v>
      </c>
      <c r="M106" s="470">
        <v>23692.7599999999</v>
      </c>
      <c r="N106" s="470">
        <v>0</v>
      </c>
      <c r="O106" s="470">
        <v>7107.880000000001</v>
      </c>
      <c r="P106" s="470">
        <v>1031.9523305600928</v>
      </c>
      <c r="Q106" s="470">
        <v>6075.9276694399086</v>
      </c>
    </row>
    <row r="107" spans="2:17" x14ac:dyDescent="0.2">
      <c r="B107" s="463">
        <v>200461</v>
      </c>
      <c r="C107" s="463" t="s">
        <v>412</v>
      </c>
      <c r="D107" s="463" t="s">
        <v>383</v>
      </c>
      <c r="E107" s="463" t="s">
        <v>384</v>
      </c>
      <c r="F107" s="463">
        <v>11010</v>
      </c>
      <c r="G107" s="463" t="s">
        <v>406</v>
      </c>
      <c r="H107" s="463" t="s">
        <v>370</v>
      </c>
      <c r="I107" s="470">
        <v>472100</v>
      </c>
      <c r="J107" s="470">
        <v>2710798.2</v>
      </c>
      <c r="K107" s="470">
        <v>29678.11</v>
      </c>
      <c r="L107" s="470">
        <v>32203.15</v>
      </c>
      <c r="M107" s="470">
        <v>29232.639999999999</v>
      </c>
      <c r="N107" s="470">
        <v>2970.51</v>
      </c>
      <c r="O107" s="470">
        <v>-2525.0400000000009</v>
      </c>
      <c r="P107" s="470">
        <v>994.09581537652628</v>
      </c>
      <c r="Q107" s="470">
        <v>-3519.1358153765273</v>
      </c>
    </row>
    <row r="108" spans="2:17" x14ac:dyDescent="0.2">
      <c r="B108" s="463">
        <v>200454</v>
      </c>
      <c r="C108" s="463" t="s">
        <v>401</v>
      </c>
      <c r="D108" s="463" t="s">
        <v>383</v>
      </c>
      <c r="E108" s="463" t="s">
        <v>393</v>
      </c>
      <c r="F108" s="463">
        <v>11080</v>
      </c>
      <c r="G108" s="463" t="s">
        <v>403</v>
      </c>
      <c r="H108" s="463" t="s">
        <v>392</v>
      </c>
      <c r="I108" s="470">
        <v>24720</v>
      </c>
      <c r="J108" s="470">
        <v>1083230.3999999899</v>
      </c>
      <c r="K108" s="470">
        <v>29095.4399999999</v>
      </c>
      <c r="L108" s="470">
        <v>23752.47</v>
      </c>
      <c r="M108" s="470">
        <v>23752.47</v>
      </c>
      <c r="N108" s="470">
        <v>0</v>
      </c>
      <c r="O108" s="470">
        <v>5342.9699999998993</v>
      </c>
      <c r="P108" s="470">
        <v>974.97163668908752</v>
      </c>
      <c r="Q108" s="470">
        <v>4367.9983633108113</v>
      </c>
    </row>
    <row r="109" spans="2:17" x14ac:dyDescent="0.2">
      <c r="B109" s="463">
        <v>200461</v>
      </c>
      <c r="C109" s="463" t="s">
        <v>412</v>
      </c>
      <c r="D109" s="463" t="s">
        <v>383</v>
      </c>
      <c r="E109" s="463" t="s">
        <v>384</v>
      </c>
      <c r="F109" s="463">
        <v>10900</v>
      </c>
      <c r="G109" s="463" t="s">
        <v>400</v>
      </c>
      <c r="H109" s="463" t="s">
        <v>370</v>
      </c>
      <c r="I109" s="470">
        <v>7000</v>
      </c>
      <c r="J109" s="470">
        <v>2391830</v>
      </c>
      <c r="K109" s="470">
        <v>27835.709999999901</v>
      </c>
      <c r="L109" s="470">
        <v>22433.25</v>
      </c>
      <c r="M109" s="470">
        <v>21057.33</v>
      </c>
      <c r="N109" s="470">
        <v>1375.9199999999992</v>
      </c>
      <c r="O109" s="470">
        <v>5402.4599999999009</v>
      </c>
      <c r="P109" s="470">
        <v>932.36196222854039</v>
      </c>
      <c r="Q109" s="470">
        <v>4470.0980377713604</v>
      </c>
    </row>
    <row r="110" spans="2:17" x14ac:dyDescent="0.2">
      <c r="B110" s="463">
        <v>200482</v>
      </c>
      <c r="C110" s="463" t="s">
        <v>428</v>
      </c>
      <c r="D110" s="463" t="s">
        <v>383</v>
      </c>
      <c r="E110" s="463" t="s">
        <v>384</v>
      </c>
      <c r="F110" s="463">
        <v>11010</v>
      </c>
      <c r="G110" s="463" t="s">
        <v>406</v>
      </c>
      <c r="H110" s="463" t="s">
        <v>370</v>
      </c>
      <c r="I110" s="470">
        <v>424000</v>
      </c>
      <c r="J110" s="470">
        <v>2434608</v>
      </c>
      <c r="K110" s="470">
        <v>27793.200000000001</v>
      </c>
      <c r="L110" s="470">
        <v>26324.980000000003</v>
      </c>
      <c r="M110" s="470">
        <v>23782.850000000002</v>
      </c>
      <c r="N110" s="470">
        <v>2542.1299999999992</v>
      </c>
      <c r="O110" s="470">
        <v>1468.2199999999975</v>
      </c>
      <c r="P110" s="470">
        <v>929.40482811145534</v>
      </c>
      <c r="Q110" s="470">
        <v>538.81517188854218</v>
      </c>
    </row>
    <row r="111" spans="2:17" x14ac:dyDescent="0.2">
      <c r="B111" s="463">
        <v>200482</v>
      </c>
      <c r="C111" s="463" t="s">
        <v>428</v>
      </c>
      <c r="D111" s="463" t="s">
        <v>383</v>
      </c>
      <c r="E111" s="463" t="s">
        <v>384</v>
      </c>
      <c r="F111" s="463">
        <v>10890</v>
      </c>
      <c r="G111" s="463" t="s">
        <v>400</v>
      </c>
      <c r="H111" s="463" t="s">
        <v>370</v>
      </c>
      <c r="I111" s="470">
        <v>8000</v>
      </c>
      <c r="J111" s="470">
        <v>2400400</v>
      </c>
      <c r="K111" s="470">
        <v>27728.880000000001</v>
      </c>
      <c r="L111" s="470">
        <v>21413.14</v>
      </c>
      <c r="M111" s="470">
        <v>20093.939999999999</v>
      </c>
      <c r="N111" s="470">
        <v>1319.2</v>
      </c>
      <c r="O111" s="470">
        <v>6315.7400000000016</v>
      </c>
      <c r="P111" s="470">
        <v>927.26541699851759</v>
      </c>
      <c r="Q111" s="470">
        <v>5388.4745830014836</v>
      </c>
    </row>
    <row r="112" spans="2:17" x14ac:dyDescent="0.2">
      <c r="B112" s="463">
        <v>200454</v>
      </c>
      <c r="C112" s="463" t="s">
        <v>401</v>
      </c>
      <c r="D112" s="463" t="s">
        <v>383</v>
      </c>
      <c r="E112" s="463" t="s">
        <v>384</v>
      </c>
      <c r="F112" s="463">
        <v>10470</v>
      </c>
      <c r="G112" s="463" t="s">
        <v>369</v>
      </c>
      <c r="H112" s="463" t="s">
        <v>370</v>
      </c>
      <c r="I112" s="470">
        <v>268100</v>
      </c>
      <c r="J112" s="470">
        <v>2748025</v>
      </c>
      <c r="K112" s="470">
        <v>27102.400000000001</v>
      </c>
      <c r="L112" s="470">
        <v>25170.559999999892</v>
      </c>
      <c r="M112" s="470">
        <v>23050.569999999898</v>
      </c>
      <c r="N112" s="470">
        <v>2119.9899999999957</v>
      </c>
      <c r="O112" s="470">
        <v>1931.8400000001093</v>
      </c>
      <c r="P112" s="470">
        <v>908.20370253903479</v>
      </c>
      <c r="Q112" s="470">
        <v>1023.6362974610745</v>
      </c>
    </row>
    <row r="113" spans="2:17" x14ac:dyDescent="0.2">
      <c r="B113" s="463">
        <v>200461</v>
      </c>
      <c r="C113" s="463" t="s">
        <v>412</v>
      </c>
      <c r="D113" s="463" t="s">
        <v>383</v>
      </c>
      <c r="E113" s="463" t="s">
        <v>384</v>
      </c>
      <c r="F113" s="463">
        <v>10960</v>
      </c>
      <c r="G113" s="463" t="s">
        <v>397</v>
      </c>
      <c r="H113" s="463" t="s">
        <v>368</v>
      </c>
      <c r="I113" s="470">
        <v>39370</v>
      </c>
      <c r="J113" s="470">
        <v>2507357.1899999902</v>
      </c>
      <c r="K113" s="470">
        <v>26704.32</v>
      </c>
      <c r="L113" s="470">
        <v>25576.05</v>
      </c>
      <c r="M113" s="470">
        <v>21911.8</v>
      </c>
      <c r="N113" s="470">
        <v>3664.25</v>
      </c>
      <c r="O113" s="470">
        <v>1128.2700000000004</v>
      </c>
      <c r="P113" s="470">
        <v>894.48640191965376</v>
      </c>
      <c r="Q113" s="470">
        <v>233.78359808034668</v>
      </c>
    </row>
    <row r="114" spans="2:17" x14ac:dyDescent="0.2">
      <c r="B114" s="463">
        <v>200461</v>
      </c>
      <c r="C114" s="463" t="s">
        <v>412</v>
      </c>
      <c r="D114" s="463" t="s">
        <v>383</v>
      </c>
      <c r="E114" s="463" t="s">
        <v>393</v>
      </c>
      <c r="F114" s="463">
        <v>10950</v>
      </c>
      <c r="G114" s="463" t="s">
        <v>397</v>
      </c>
      <c r="H114" s="463" t="s">
        <v>368</v>
      </c>
      <c r="I114" s="470">
        <v>66600</v>
      </c>
      <c r="J114" s="470">
        <v>2550979.79999999</v>
      </c>
      <c r="K114" s="470">
        <v>26556.38</v>
      </c>
      <c r="L114" s="470">
        <v>22335.4199999999</v>
      </c>
      <c r="M114" s="470">
        <v>22335.4199999999</v>
      </c>
      <c r="N114" s="470">
        <v>0</v>
      </c>
      <c r="O114" s="470">
        <v>4220.960000000101</v>
      </c>
      <c r="P114" s="470">
        <v>889.50469358557075</v>
      </c>
      <c r="Q114" s="470">
        <v>3331.4553064145302</v>
      </c>
    </row>
    <row r="115" spans="2:17" x14ac:dyDescent="0.2">
      <c r="B115" s="463">
        <v>200454</v>
      </c>
      <c r="C115" s="463" t="s">
        <v>401</v>
      </c>
      <c r="D115" s="463" t="s">
        <v>122</v>
      </c>
      <c r="E115" s="463" t="s">
        <v>366</v>
      </c>
      <c r="F115" s="463" t="s">
        <v>122</v>
      </c>
      <c r="G115" s="463"/>
      <c r="H115" s="463" t="s">
        <v>122</v>
      </c>
      <c r="I115" s="470">
        <v>0</v>
      </c>
      <c r="J115" s="470">
        <v>0</v>
      </c>
      <c r="K115" s="470">
        <v>25897</v>
      </c>
      <c r="L115" s="470">
        <v>0</v>
      </c>
      <c r="M115" s="470">
        <v>0</v>
      </c>
      <c r="N115" s="470">
        <v>0</v>
      </c>
      <c r="O115" s="470">
        <v>25897</v>
      </c>
      <c r="P115" s="470">
        <v>406.41666031987637</v>
      </c>
      <c r="Q115" s="470">
        <v>25490.583339680124</v>
      </c>
    </row>
    <row r="116" spans="2:17" x14ac:dyDescent="0.2">
      <c r="B116" s="463">
        <v>200461</v>
      </c>
      <c r="C116" s="463" t="s">
        <v>412</v>
      </c>
      <c r="D116" s="463" t="s">
        <v>383</v>
      </c>
      <c r="E116" s="463" t="s">
        <v>393</v>
      </c>
      <c r="F116" s="463">
        <v>10260</v>
      </c>
      <c r="G116" s="463" t="s">
        <v>367</v>
      </c>
      <c r="H116" s="463" t="s">
        <v>368</v>
      </c>
      <c r="I116" s="470">
        <v>61200</v>
      </c>
      <c r="J116" s="470">
        <v>2298855.6</v>
      </c>
      <c r="K116" s="470">
        <v>25670</v>
      </c>
      <c r="L116" s="470">
        <v>22348.409999999902</v>
      </c>
      <c r="M116" s="470">
        <v>22348.409999999902</v>
      </c>
      <c r="N116" s="470">
        <v>0</v>
      </c>
      <c r="O116" s="470">
        <v>3321.5900000000984</v>
      </c>
      <c r="P116" s="470">
        <v>859.83421749280603</v>
      </c>
      <c r="Q116" s="470">
        <v>2461.7557825072922</v>
      </c>
    </row>
    <row r="117" spans="2:17" x14ac:dyDescent="0.2">
      <c r="B117" s="463">
        <v>200452</v>
      </c>
      <c r="C117" s="463" t="s">
        <v>389</v>
      </c>
      <c r="D117" s="463" t="s">
        <v>390</v>
      </c>
      <c r="E117" s="463" t="s">
        <v>384</v>
      </c>
      <c r="F117" s="463">
        <v>10780</v>
      </c>
      <c r="G117" s="463" t="s">
        <v>371</v>
      </c>
      <c r="H117" s="463" t="s">
        <v>368</v>
      </c>
      <c r="I117" s="470">
        <v>192150</v>
      </c>
      <c r="J117" s="470">
        <v>2276401.04999999</v>
      </c>
      <c r="K117" s="470">
        <v>25364.75</v>
      </c>
      <c r="L117" s="470">
        <v>22146.46</v>
      </c>
      <c r="M117" s="470">
        <v>19942.22</v>
      </c>
      <c r="N117" s="470">
        <v>2204.2399999999971</v>
      </c>
      <c r="O117" s="470">
        <v>3218.2900000000009</v>
      </c>
      <c r="P117" s="470">
        <v>849.98375197314692</v>
      </c>
      <c r="Q117" s="470">
        <v>2368.3062480268541</v>
      </c>
    </row>
    <row r="118" spans="2:17" x14ac:dyDescent="0.2">
      <c r="B118" s="463">
        <v>200452</v>
      </c>
      <c r="C118" s="463" t="s">
        <v>389</v>
      </c>
      <c r="D118" s="463" t="s">
        <v>390</v>
      </c>
      <c r="E118" s="463" t="s">
        <v>393</v>
      </c>
      <c r="F118" s="463">
        <v>10830</v>
      </c>
      <c r="G118" s="463" t="s">
        <v>396</v>
      </c>
      <c r="H118" s="463" t="s">
        <v>392</v>
      </c>
      <c r="I118" s="470">
        <v>81900</v>
      </c>
      <c r="J118" s="470">
        <v>2179359</v>
      </c>
      <c r="K118" s="470">
        <v>25255.23</v>
      </c>
      <c r="L118" s="470">
        <v>22358.7</v>
      </c>
      <c r="M118" s="470">
        <v>22358.7</v>
      </c>
      <c r="N118" s="470">
        <v>0</v>
      </c>
      <c r="O118" s="470">
        <v>2896.5299999999988</v>
      </c>
      <c r="P118" s="470">
        <v>846.3249910109414</v>
      </c>
      <c r="Q118" s="470">
        <v>2050.2050089890572</v>
      </c>
    </row>
    <row r="119" spans="2:17" x14ac:dyDescent="0.2">
      <c r="B119" s="463">
        <v>200482</v>
      </c>
      <c r="C119" s="463" t="s">
        <v>428</v>
      </c>
      <c r="D119" s="463" t="s">
        <v>383</v>
      </c>
      <c r="E119" s="463" t="s">
        <v>384</v>
      </c>
      <c r="F119" s="463">
        <v>10020</v>
      </c>
      <c r="G119" s="463" t="s">
        <v>385</v>
      </c>
      <c r="H119" s="463" t="s">
        <v>368</v>
      </c>
      <c r="I119" s="470">
        <v>305800</v>
      </c>
      <c r="J119" s="470">
        <v>2150385.6</v>
      </c>
      <c r="K119" s="470">
        <v>25100.0999999999</v>
      </c>
      <c r="L119" s="470">
        <v>21163.03</v>
      </c>
      <c r="M119" s="470">
        <v>17927.940000000002</v>
      </c>
      <c r="N119" s="470">
        <v>3235.0899999999979</v>
      </c>
      <c r="O119" s="470">
        <v>3937.0699999999015</v>
      </c>
      <c r="P119" s="470">
        <v>839.35044583136607</v>
      </c>
      <c r="Q119" s="470">
        <v>3097.7195541685355</v>
      </c>
    </row>
    <row r="120" spans="2:17" x14ac:dyDescent="0.2">
      <c r="B120" s="463">
        <v>200458</v>
      </c>
      <c r="C120" s="463" t="s">
        <v>407</v>
      </c>
      <c r="D120" s="463" t="s">
        <v>383</v>
      </c>
      <c r="E120" s="463" t="s">
        <v>393</v>
      </c>
      <c r="F120" s="463">
        <v>10280</v>
      </c>
      <c r="G120" s="463" t="s">
        <v>367</v>
      </c>
      <c r="H120" s="463" t="s">
        <v>368</v>
      </c>
      <c r="I120" s="470">
        <v>23800</v>
      </c>
      <c r="J120" s="470">
        <v>2155970.6</v>
      </c>
      <c r="K120" s="470">
        <v>25091.66</v>
      </c>
      <c r="L120" s="470">
        <v>22506.4899999999</v>
      </c>
      <c r="M120" s="470">
        <v>22506.4899999999</v>
      </c>
      <c r="N120" s="470">
        <v>0</v>
      </c>
      <c r="O120" s="470">
        <v>2585.1700000001001</v>
      </c>
      <c r="P120" s="470">
        <v>840.78799200995604</v>
      </c>
      <c r="Q120" s="470">
        <v>1744.3820079901441</v>
      </c>
    </row>
    <row r="121" spans="2:17" x14ac:dyDescent="0.2">
      <c r="B121" s="463">
        <v>200452</v>
      </c>
      <c r="C121" s="463" t="s">
        <v>389</v>
      </c>
      <c r="D121" s="463" t="s">
        <v>390</v>
      </c>
      <c r="E121" s="463" t="s">
        <v>393</v>
      </c>
      <c r="F121" s="463">
        <v>10160</v>
      </c>
      <c r="G121" s="463" t="s">
        <v>394</v>
      </c>
      <c r="H121" s="463" t="s">
        <v>392</v>
      </c>
      <c r="I121" s="470">
        <v>17700</v>
      </c>
      <c r="J121" s="470">
        <v>1869120</v>
      </c>
      <c r="K121" s="470">
        <v>23819.48</v>
      </c>
      <c r="L121" s="470">
        <v>18289.029999999901</v>
      </c>
      <c r="M121" s="470">
        <v>18289.029999999901</v>
      </c>
      <c r="N121" s="470">
        <v>0</v>
      </c>
      <c r="O121" s="470">
        <v>5530.450000000099</v>
      </c>
      <c r="P121" s="470">
        <v>798.20293246924587</v>
      </c>
      <c r="Q121" s="470">
        <v>4732.2470675308532</v>
      </c>
    </row>
    <row r="122" spans="2:17" x14ac:dyDescent="0.2">
      <c r="B122" s="463">
        <v>200454</v>
      </c>
      <c r="C122" s="463" t="s">
        <v>401</v>
      </c>
      <c r="D122" s="463" t="s">
        <v>383</v>
      </c>
      <c r="E122" s="463" t="s">
        <v>393</v>
      </c>
      <c r="F122" s="463">
        <v>10990</v>
      </c>
      <c r="G122" s="463" t="s">
        <v>402</v>
      </c>
      <c r="H122" s="463" t="s">
        <v>370</v>
      </c>
      <c r="I122" s="470">
        <v>480000</v>
      </c>
      <c r="J122" s="470">
        <v>1513920</v>
      </c>
      <c r="K122" s="470">
        <v>23102.400000000001</v>
      </c>
      <c r="L122" s="470">
        <v>17786.670000000002</v>
      </c>
      <c r="M122" s="470">
        <v>17786.670000000002</v>
      </c>
      <c r="N122" s="470">
        <v>0</v>
      </c>
      <c r="O122" s="470">
        <v>5315.73</v>
      </c>
      <c r="P122" s="470">
        <v>774.17937959508367</v>
      </c>
      <c r="Q122" s="470">
        <v>4541.5506204049161</v>
      </c>
    </row>
    <row r="123" spans="2:17" x14ac:dyDescent="0.2">
      <c r="B123" s="463">
        <v>200461</v>
      </c>
      <c r="C123" s="463" t="s">
        <v>412</v>
      </c>
      <c r="D123" s="463" t="s">
        <v>383</v>
      </c>
      <c r="E123" s="463" t="s">
        <v>384</v>
      </c>
      <c r="F123" s="463">
        <v>10780</v>
      </c>
      <c r="G123" s="463" t="s">
        <v>371</v>
      </c>
      <c r="H123" s="463" t="s">
        <v>368</v>
      </c>
      <c r="I123" s="470">
        <v>173650</v>
      </c>
      <c r="J123" s="470">
        <v>2057231.55</v>
      </c>
      <c r="K123" s="470">
        <v>22922.6699999999</v>
      </c>
      <c r="L123" s="470">
        <v>19991.43</v>
      </c>
      <c r="M123" s="470">
        <v>18016.66</v>
      </c>
      <c r="N123" s="470">
        <v>1974.7699999999991</v>
      </c>
      <c r="O123" s="470">
        <v>2931.2399999998997</v>
      </c>
      <c r="P123" s="470">
        <v>767.79877232940385</v>
      </c>
      <c r="Q123" s="470">
        <v>2163.4412276704961</v>
      </c>
    </row>
    <row r="124" spans="2:17" x14ac:dyDescent="0.2">
      <c r="B124" s="463">
        <v>200461</v>
      </c>
      <c r="C124" s="463" t="s">
        <v>412</v>
      </c>
      <c r="D124" s="463" t="s">
        <v>383</v>
      </c>
      <c r="E124" s="463" t="s">
        <v>384</v>
      </c>
      <c r="F124" s="463">
        <v>10970</v>
      </c>
      <c r="G124" s="463" t="s">
        <v>397</v>
      </c>
      <c r="H124" s="463" t="s">
        <v>368</v>
      </c>
      <c r="I124" s="470">
        <v>21350</v>
      </c>
      <c r="J124" s="470">
        <v>1960933.45</v>
      </c>
      <c r="K124" s="470">
        <v>22628.29</v>
      </c>
      <c r="L124" s="470">
        <v>22554.68</v>
      </c>
      <c r="M124" s="470">
        <v>20255.97</v>
      </c>
      <c r="N124" s="470">
        <v>2298.71</v>
      </c>
      <c r="O124" s="470">
        <v>73.610000000000582</v>
      </c>
      <c r="P124" s="470">
        <v>757.94889603234549</v>
      </c>
      <c r="Q124" s="470">
        <v>-684.33889603234491</v>
      </c>
    </row>
    <row r="125" spans="2:17" x14ac:dyDescent="0.2">
      <c r="B125" s="463">
        <v>200461</v>
      </c>
      <c r="C125" s="463" t="s">
        <v>412</v>
      </c>
      <c r="D125" s="463" t="s">
        <v>383</v>
      </c>
      <c r="E125" s="463" t="s">
        <v>384</v>
      </c>
      <c r="F125" s="463">
        <v>10470</v>
      </c>
      <c r="G125" s="463" t="s">
        <v>369</v>
      </c>
      <c r="H125" s="463" t="s">
        <v>370</v>
      </c>
      <c r="I125" s="470">
        <v>231000</v>
      </c>
      <c r="J125" s="470">
        <v>2367750</v>
      </c>
      <c r="K125" s="470">
        <v>22587.18</v>
      </c>
      <c r="L125" s="470">
        <v>24126.659999999898</v>
      </c>
      <c r="M125" s="470">
        <v>22119.449999999899</v>
      </c>
      <c r="N125" s="470">
        <v>2007.2099999999982</v>
      </c>
      <c r="O125" s="470">
        <v>-1539.4799999998977</v>
      </c>
      <c r="P125" s="470">
        <v>756.57373292828902</v>
      </c>
      <c r="Q125" s="470">
        <v>-2296.0537329281869</v>
      </c>
    </row>
    <row r="126" spans="2:17" x14ac:dyDescent="0.2">
      <c r="B126" s="463">
        <v>200461</v>
      </c>
      <c r="C126" s="463" t="s">
        <v>412</v>
      </c>
      <c r="D126" s="463" t="s">
        <v>383</v>
      </c>
      <c r="E126" s="463" t="s">
        <v>393</v>
      </c>
      <c r="F126" s="463">
        <v>10110</v>
      </c>
      <c r="G126" s="463" t="s">
        <v>394</v>
      </c>
      <c r="H126" s="463" t="s">
        <v>392</v>
      </c>
      <c r="I126" s="470">
        <v>54250</v>
      </c>
      <c r="J126" s="470">
        <v>1430030</v>
      </c>
      <c r="K126" s="470">
        <v>20049.72</v>
      </c>
      <c r="L126" s="470">
        <v>15598.549999999899</v>
      </c>
      <c r="M126" s="470">
        <v>15598.549999999899</v>
      </c>
      <c r="N126" s="470">
        <v>0</v>
      </c>
      <c r="O126" s="470">
        <v>4451.1700000001019</v>
      </c>
      <c r="P126" s="470">
        <v>671.57189955394927</v>
      </c>
      <c r="Q126" s="470">
        <v>3779.5981004461528</v>
      </c>
    </row>
    <row r="127" spans="2:17" x14ac:dyDescent="0.2">
      <c r="B127" s="463">
        <v>200452</v>
      </c>
      <c r="C127" s="463" t="s">
        <v>389</v>
      </c>
      <c r="D127" s="463" t="s">
        <v>390</v>
      </c>
      <c r="E127" s="463" t="s">
        <v>393</v>
      </c>
      <c r="F127" s="463">
        <v>11640</v>
      </c>
      <c r="G127" s="463" t="s">
        <v>399</v>
      </c>
      <c r="H127" s="463" t="s">
        <v>368</v>
      </c>
      <c r="I127" s="470">
        <v>19200</v>
      </c>
      <c r="J127" s="470">
        <v>1635456</v>
      </c>
      <c r="K127" s="470">
        <v>19662.48</v>
      </c>
      <c r="L127" s="470">
        <v>17186.36</v>
      </c>
      <c r="M127" s="470">
        <v>17186.36</v>
      </c>
      <c r="N127" s="470">
        <v>0</v>
      </c>
      <c r="O127" s="470">
        <v>2476.119999999999</v>
      </c>
      <c r="P127" s="470">
        <v>658.89471734974541</v>
      </c>
      <c r="Q127" s="470">
        <v>1817.2252826502536</v>
      </c>
    </row>
    <row r="128" spans="2:17" x14ac:dyDescent="0.2">
      <c r="B128" s="463">
        <v>200482</v>
      </c>
      <c r="C128" s="463" t="s">
        <v>428</v>
      </c>
      <c r="D128" s="463" t="s">
        <v>383</v>
      </c>
      <c r="E128" s="463" t="s">
        <v>384</v>
      </c>
      <c r="F128" s="463">
        <v>10030</v>
      </c>
      <c r="G128" s="463" t="s">
        <v>385</v>
      </c>
      <c r="H128" s="463" t="s">
        <v>368</v>
      </c>
      <c r="I128" s="470">
        <v>177350</v>
      </c>
      <c r="J128" s="470">
        <v>1711959.55</v>
      </c>
      <c r="K128" s="470">
        <v>19528.02</v>
      </c>
      <c r="L128" s="470">
        <v>17519.080000000002</v>
      </c>
      <c r="M128" s="470">
        <v>15782.000000000002</v>
      </c>
      <c r="N128" s="470">
        <v>1737.0799999999992</v>
      </c>
      <c r="O128" s="470">
        <v>2008.9399999999987</v>
      </c>
      <c r="P128" s="470">
        <v>653.02455848398381</v>
      </c>
      <c r="Q128" s="470">
        <v>1355.9154415160149</v>
      </c>
    </row>
    <row r="129" spans="2:17" x14ac:dyDescent="0.2">
      <c r="B129" s="463">
        <v>200460</v>
      </c>
      <c r="C129" s="463" t="s">
        <v>410</v>
      </c>
      <c r="D129" s="463" t="s">
        <v>383</v>
      </c>
      <c r="E129" s="463" t="s">
        <v>384</v>
      </c>
      <c r="F129" s="463">
        <v>11680</v>
      </c>
      <c r="G129" s="463" t="s">
        <v>408</v>
      </c>
      <c r="H129" s="463" t="s">
        <v>370</v>
      </c>
      <c r="I129" s="470">
        <v>140700</v>
      </c>
      <c r="J129" s="470">
        <v>1846406.1</v>
      </c>
      <c r="K129" s="470">
        <v>19227.13</v>
      </c>
      <c r="L129" s="470">
        <v>18551.069999999996</v>
      </c>
      <c r="M129" s="470">
        <v>17381.62</v>
      </c>
      <c r="N129" s="470">
        <v>1169.4499999999982</v>
      </c>
      <c r="O129" s="470">
        <v>676.06000000000495</v>
      </c>
      <c r="P129" s="470">
        <v>644.1925169763332</v>
      </c>
      <c r="Q129" s="470">
        <v>31.867483023671753</v>
      </c>
    </row>
    <row r="130" spans="2:17" x14ac:dyDescent="0.2">
      <c r="B130" s="463">
        <v>200447</v>
      </c>
      <c r="C130" s="463" t="s">
        <v>349</v>
      </c>
      <c r="D130" s="463" t="s">
        <v>383</v>
      </c>
      <c r="E130" s="463" t="s">
        <v>384</v>
      </c>
      <c r="F130" s="463">
        <v>11180</v>
      </c>
      <c r="G130" s="463" t="s">
        <v>388</v>
      </c>
      <c r="H130" s="463" t="s">
        <v>368</v>
      </c>
      <c r="I130" s="470">
        <v>191450</v>
      </c>
      <c r="J130" s="470">
        <v>1725921.75</v>
      </c>
      <c r="K130" s="470">
        <v>18896.119999999901</v>
      </c>
      <c r="L130" s="470">
        <v>19852.399999999998</v>
      </c>
      <c r="M130" s="470">
        <v>17844.759999999998</v>
      </c>
      <c r="N130" s="470">
        <v>2007.6399999999981</v>
      </c>
      <c r="O130" s="470">
        <v>-956.28000000009706</v>
      </c>
      <c r="P130" s="470">
        <v>636.76778481691235</v>
      </c>
      <c r="Q130" s="470">
        <v>-1593.0477848170094</v>
      </c>
    </row>
    <row r="131" spans="2:17" x14ac:dyDescent="0.2">
      <c r="B131" s="463">
        <v>200461</v>
      </c>
      <c r="C131" s="463" t="s">
        <v>412</v>
      </c>
      <c r="D131" s="463" t="s">
        <v>383</v>
      </c>
      <c r="E131" s="463" t="s">
        <v>393</v>
      </c>
      <c r="F131" s="463">
        <v>11710</v>
      </c>
      <c r="G131" s="463" t="s">
        <v>409</v>
      </c>
      <c r="H131" s="463" t="s">
        <v>368</v>
      </c>
      <c r="I131" s="470">
        <v>259500</v>
      </c>
      <c r="J131" s="470">
        <v>1733460</v>
      </c>
      <c r="K131" s="470">
        <v>18717.740000000002</v>
      </c>
      <c r="L131" s="470">
        <v>16229.95</v>
      </c>
      <c r="M131" s="470">
        <v>16229.95</v>
      </c>
      <c r="N131" s="470">
        <v>0</v>
      </c>
      <c r="O131" s="470">
        <v>2487.7900000000009</v>
      </c>
      <c r="P131" s="470">
        <v>626.96836388522809</v>
      </c>
      <c r="Q131" s="470">
        <v>1860.8216361147729</v>
      </c>
    </row>
    <row r="132" spans="2:17" x14ac:dyDescent="0.2">
      <c r="B132" s="463">
        <v>200458</v>
      </c>
      <c r="C132" s="463" t="s">
        <v>407</v>
      </c>
      <c r="D132" s="463" t="s">
        <v>383</v>
      </c>
      <c r="E132" s="463" t="s">
        <v>384</v>
      </c>
      <c r="F132" s="463">
        <v>11010</v>
      </c>
      <c r="G132" s="463" t="s">
        <v>406</v>
      </c>
      <c r="H132" s="463" t="s">
        <v>370</v>
      </c>
      <c r="I132" s="470">
        <v>292400</v>
      </c>
      <c r="J132" s="470">
        <v>1678960.8</v>
      </c>
      <c r="K132" s="470">
        <v>18381.4399999999</v>
      </c>
      <c r="L132" s="470">
        <v>20692.199999999997</v>
      </c>
      <c r="M132" s="470">
        <v>19004.189999999999</v>
      </c>
      <c r="N132" s="470">
        <v>1688.0099999999982</v>
      </c>
      <c r="O132" s="470">
        <v>-2310.7600000000966</v>
      </c>
      <c r="P132" s="470">
        <v>615.9206126837131</v>
      </c>
      <c r="Q132" s="470">
        <v>-2926.6806126838096</v>
      </c>
    </row>
    <row r="133" spans="2:17" x14ac:dyDescent="0.2">
      <c r="B133" s="463">
        <v>200460</v>
      </c>
      <c r="C133" s="463" t="s">
        <v>410</v>
      </c>
      <c r="D133" s="463" t="s">
        <v>383</v>
      </c>
      <c r="E133" s="463" t="s">
        <v>384</v>
      </c>
      <c r="F133" s="463">
        <v>11670</v>
      </c>
      <c r="G133" s="463" t="s">
        <v>408</v>
      </c>
      <c r="H133" s="463" t="s">
        <v>370</v>
      </c>
      <c r="I133" s="470">
        <v>193200</v>
      </c>
      <c r="J133" s="470">
        <v>1782270</v>
      </c>
      <c r="K133" s="470">
        <v>17665.47</v>
      </c>
      <c r="L133" s="470">
        <v>16951.719999999896</v>
      </c>
      <c r="M133" s="470">
        <v>15483.679999999898</v>
      </c>
      <c r="N133" s="470">
        <v>1468.0399999999961</v>
      </c>
      <c r="O133" s="470">
        <v>713.7500000001055</v>
      </c>
      <c r="P133" s="470">
        <v>591.86447968417053</v>
      </c>
      <c r="Q133" s="470">
        <v>121.88552031593497</v>
      </c>
    </row>
    <row r="134" spans="2:17" x14ac:dyDescent="0.2">
      <c r="B134" s="463">
        <v>200461</v>
      </c>
      <c r="C134" s="463" t="s">
        <v>412</v>
      </c>
      <c r="D134" s="463" t="s">
        <v>383</v>
      </c>
      <c r="E134" s="463" t="s">
        <v>393</v>
      </c>
      <c r="F134" s="463">
        <v>10350</v>
      </c>
      <c r="G134" s="463" t="s">
        <v>414</v>
      </c>
      <c r="H134" s="463" t="s">
        <v>392</v>
      </c>
      <c r="I134" s="470">
        <v>6240</v>
      </c>
      <c r="J134" s="470">
        <v>703747.19999999902</v>
      </c>
      <c r="K134" s="470">
        <v>17478.11</v>
      </c>
      <c r="L134" s="470">
        <v>14882.9</v>
      </c>
      <c r="M134" s="470">
        <v>14882.9</v>
      </c>
      <c r="N134" s="470">
        <v>0</v>
      </c>
      <c r="O134" s="470">
        <v>2595.2100000000009</v>
      </c>
      <c r="P134" s="470">
        <v>585.46413039747563</v>
      </c>
      <c r="Q134" s="470">
        <v>2009.7458696025253</v>
      </c>
    </row>
    <row r="135" spans="2:17" x14ac:dyDescent="0.2">
      <c r="B135" s="463">
        <v>200452</v>
      </c>
      <c r="C135" s="463" t="s">
        <v>389</v>
      </c>
      <c r="D135" s="463" t="s">
        <v>390</v>
      </c>
      <c r="E135" s="463" t="s">
        <v>393</v>
      </c>
      <c r="F135" s="463">
        <v>10150</v>
      </c>
      <c r="G135" s="463" t="s">
        <v>394</v>
      </c>
      <c r="H135" s="463" t="s">
        <v>392</v>
      </c>
      <c r="I135" s="470">
        <v>25840</v>
      </c>
      <c r="J135" s="470">
        <v>1379080.8</v>
      </c>
      <c r="K135" s="470">
        <v>17126.75</v>
      </c>
      <c r="L135" s="470">
        <v>12875.34</v>
      </c>
      <c r="M135" s="470">
        <v>12875.34</v>
      </c>
      <c r="N135" s="470">
        <v>0</v>
      </c>
      <c r="O135" s="470">
        <v>4251.41</v>
      </c>
      <c r="P135" s="470">
        <v>573.91003387007913</v>
      </c>
      <c r="Q135" s="470">
        <v>3677.4999661299207</v>
      </c>
    </row>
    <row r="136" spans="2:17" x14ac:dyDescent="0.2">
      <c r="B136" s="463">
        <v>200461</v>
      </c>
      <c r="C136" s="463" t="s">
        <v>412</v>
      </c>
      <c r="D136" s="463" t="s">
        <v>383</v>
      </c>
      <c r="E136" s="463" t="s">
        <v>393</v>
      </c>
      <c r="F136" s="463">
        <v>11130</v>
      </c>
      <c r="G136" s="463" t="s">
        <v>418</v>
      </c>
      <c r="H136" s="463" t="s">
        <v>392</v>
      </c>
      <c r="I136" s="470">
        <v>3500</v>
      </c>
      <c r="J136" s="470">
        <v>687715</v>
      </c>
      <c r="K136" s="470">
        <v>16622.34</v>
      </c>
      <c r="L136" s="470">
        <v>13677.410000000002</v>
      </c>
      <c r="M136" s="470">
        <v>13677.410000000002</v>
      </c>
      <c r="N136" s="470">
        <v>0</v>
      </c>
      <c r="O136" s="470">
        <v>2944.9299999999985</v>
      </c>
      <c r="P136" s="470">
        <v>556.78403481103953</v>
      </c>
      <c r="Q136" s="470">
        <v>2388.1459651889591</v>
      </c>
    </row>
    <row r="137" spans="2:17" x14ac:dyDescent="0.2">
      <c r="B137" s="463">
        <v>200482</v>
      </c>
      <c r="C137" s="463" t="s">
        <v>428</v>
      </c>
      <c r="D137" s="463" t="s">
        <v>383</v>
      </c>
      <c r="E137" s="463" t="s">
        <v>384</v>
      </c>
      <c r="F137" s="463">
        <v>10430</v>
      </c>
      <c r="G137" s="463" t="s">
        <v>405</v>
      </c>
      <c r="H137" s="463" t="s">
        <v>370</v>
      </c>
      <c r="I137" s="470">
        <v>28320</v>
      </c>
      <c r="J137" s="470">
        <v>1733693.76</v>
      </c>
      <c r="K137" s="470">
        <v>16493.560000000001</v>
      </c>
      <c r="L137" s="470">
        <v>19034.119999999901</v>
      </c>
      <c r="M137" s="470">
        <v>18543.219999999903</v>
      </c>
      <c r="N137" s="470">
        <v>490.89999999999878</v>
      </c>
      <c r="O137" s="470">
        <v>-2540.5599999998994</v>
      </c>
      <c r="P137" s="470">
        <v>551.55301548385808</v>
      </c>
      <c r="Q137" s="470">
        <v>-3092.1130154837574</v>
      </c>
    </row>
    <row r="138" spans="2:17" x14ac:dyDescent="0.2">
      <c r="B138" s="463">
        <v>200461</v>
      </c>
      <c r="C138" s="463" t="s">
        <v>412</v>
      </c>
      <c r="D138" s="463" t="s">
        <v>383</v>
      </c>
      <c r="E138" s="463" t="s">
        <v>393</v>
      </c>
      <c r="F138" s="463">
        <v>11110</v>
      </c>
      <c r="G138" s="463" t="s">
        <v>417</v>
      </c>
      <c r="H138" s="463" t="s">
        <v>392</v>
      </c>
      <c r="I138" s="470">
        <v>18600</v>
      </c>
      <c r="J138" s="470">
        <v>543138.59999999905</v>
      </c>
      <c r="K138" s="470">
        <v>16424.73</v>
      </c>
      <c r="L138" s="470">
        <v>13443.9899999999</v>
      </c>
      <c r="M138" s="470">
        <v>13443.9899999999</v>
      </c>
      <c r="N138" s="470">
        <v>0</v>
      </c>
      <c r="O138" s="470">
        <v>2980.7400000000998</v>
      </c>
      <c r="P138" s="470">
        <v>550.17282632180104</v>
      </c>
      <c r="Q138" s="470">
        <v>2430.5671736782988</v>
      </c>
    </row>
    <row r="139" spans="2:17" x14ac:dyDescent="0.2">
      <c r="B139" s="463">
        <v>200452</v>
      </c>
      <c r="C139" s="463" t="s">
        <v>389</v>
      </c>
      <c r="D139" s="463" t="s">
        <v>390</v>
      </c>
      <c r="E139" s="463" t="s">
        <v>384</v>
      </c>
      <c r="F139" s="463">
        <v>10740</v>
      </c>
      <c r="G139" s="463" t="s">
        <v>371</v>
      </c>
      <c r="H139" s="463" t="s">
        <v>368</v>
      </c>
      <c r="I139" s="470">
        <v>159550</v>
      </c>
      <c r="J139" s="470">
        <v>1568855.1499999899</v>
      </c>
      <c r="K139" s="470">
        <v>16225.44</v>
      </c>
      <c r="L139" s="470">
        <v>15286.739999999998</v>
      </c>
      <c r="M139" s="470">
        <v>13719.619999999999</v>
      </c>
      <c r="N139" s="470">
        <v>1567.1199999999988</v>
      </c>
      <c r="O139" s="470">
        <v>938.70000000000255</v>
      </c>
      <c r="P139" s="470">
        <v>543.72525261692488</v>
      </c>
      <c r="Q139" s="470">
        <v>394.97474738307767</v>
      </c>
    </row>
    <row r="140" spans="2:17" x14ac:dyDescent="0.2">
      <c r="B140" s="463">
        <v>200452</v>
      </c>
      <c r="C140" s="463" t="s">
        <v>389</v>
      </c>
      <c r="D140" s="463" t="s">
        <v>390</v>
      </c>
      <c r="E140" s="463" t="s">
        <v>393</v>
      </c>
      <c r="F140" s="463">
        <v>10270</v>
      </c>
      <c r="G140" s="463" t="s">
        <v>367</v>
      </c>
      <c r="H140" s="463" t="s">
        <v>368</v>
      </c>
      <c r="I140" s="470">
        <v>23000</v>
      </c>
      <c r="J140" s="470">
        <v>1440421</v>
      </c>
      <c r="K140" s="470">
        <v>15980.86</v>
      </c>
      <c r="L140" s="470">
        <v>14097.47</v>
      </c>
      <c r="M140" s="470">
        <v>14097.47</v>
      </c>
      <c r="N140" s="470">
        <v>0</v>
      </c>
      <c r="O140" s="470">
        <v>1883.3900000000012</v>
      </c>
      <c r="P140" s="470">
        <v>535.53691664051701</v>
      </c>
      <c r="Q140" s="470">
        <v>1347.8530833594841</v>
      </c>
    </row>
    <row r="141" spans="2:17" x14ac:dyDescent="0.2">
      <c r="B141" s="463">
        <v>200482</v>
      </c>
      <c r="C141" s="463" t="s">
        <v>428</v>
      </c>
      <c r="D141" s="463" t="s">
        <v>383</v>
      </c>
      <c r="E141" s="463" t="s">
        <v>384</v>
      </c>
      <c r="F141" s="463">
        <v>10910</v>
      </c>
      <c r="G141" s="463" t="s">
        <v>400</v>
      </c>
      <c r="H141" s="463" t="s">
        <v>370</v>
      </c>
      <c r="I141" s="470">
        <v>15000</v>
      </c>
      <c r="J141" s="470">
        <v>1387950</v>
      </c>
      <c r="K141" s="470">
        <v>15602.7</v>
      </c>
      <c r="L141" s="470">
        <v>16754.389999999978</v>
      </c>
      <c r="M141" s="470">
        <v>15497.15999999998</v>
      </c>
      <c r="N141" s="470">
        <v>1257.2299999999971</v>
      </c>
      <c r="O141" s="470">
        <v>-1151.6899999999769</v>
      </c>
      <c r="P141" s="470">
        <v>521.78223214939692</v>
      </c>
      <c r="Q141" s="470">
        <v>-1673.4722321493737</v>
      </c>
    </row>
    <row r="142" spans="2:17" x14ac:dyDescent="0.2">
      <c r="B142" s="463">
        <v>200452</v>
      </c>
      <c r="C142" s="463" t="s">
        <v>389</v>
      </c>
      <c r="D142" s="463" t="s">
        <v>390</v>
      </c>
      <c r="E142" s="463" t="s">
        <v>393</v>
      </c>
      <c r="F142" s="463">
        <v>10720</v>
      </c>
      <c r="G142" s="463" t="s">
        <v>371</v>
      </c>
      <c r="H142" s="463" t="s">
        <v>368</v>
      </c>
      <c r="I142" s="470">
        <v>264000</v>
      </c>
      <c r="J142" s="470">
        <v>1384680</v>
      </c>
      <c r="K142" s="470">
        <v>15532.66</v>
      </c>
      <c r="L142" s="470">
        <v>12629.28</v>
      </c>
      <c r="M142" s="470">
        <v>12629.28</v>
      </c>
      <c r="N142" s="470">
        <v>0</v>
      </c>
      <c r="O142" s="470">
        <v>2903.3799999999992</v>
      </c>
      <c r="P142" s="470">
        <v>520.5330537546472</v>
      </c>
      <c r="Q142" s="470">
        <v>2382.8469462453522</v>
      </c>
    </row>
    <row r="143" spans="2:17" x14ac:dyDescent="0.2">
      <c r="B143" s="463">
        <v>200452</v>
      </c>
      <c r="C143" s="463" t="s">
        <v>389</v>
      </c>
      <c r="D143" s="463" t="s">
        <v>390</v>
      </c>
      <c r="E143" s="463" t="s">
        <v>384</v>
      </c>
      <c r="F143" s="463">
        <v>10960</v>
      </c>
      <c r="G143" s="463" t="s">
        <v>397</v>
      </c>
      <c r="H143" s="463" t="s">
        <v>368</v>
      </c>
      <c r="I143" s="470">
        <v>22860</v>
      </c>
      <c r="J143" s="470">
        <v>1455884.82</v>
      </c>
      <c r="K143" s="470">
        <v>15505.7</v>
      </c>
      <c r="L143" s="470">
        <v>15151.929999999997</v>
      </c>
      <c r="M143" s="470">
        <v>12986.61</v>
      </c>
      <c r="N143" s="470">
        <v>2165.3199999999961</v>
      </c>
      <c r="O143" s="470">
        <v>353.77000000000407</v>
      </c>
      <c r="P143" s="470">
        <v>519.59995481800513</v>
      </c>
      <c r="Q143" s="470">
        <v>-165.82995481800106</v>
      </c>
    </row>
    <row r="144" spans="2:17" x14ac:dyDescent="0.2">
      <c r="B144" s="463">
        <v>200461</v>
      </c>
      <c r="C144" s="463" t="s">
        <v>412</v>
      </c>
      <c r="D144" s="463" t="s">
        <v>383</v>
      </c>
      <c r="E144" s="463" t="s">
        <v>384</v>
      </c>
      <c r="F144" s="463">
        <v>10040</v>
      </c>
      <c r="G144" s="463" t="s">
        <v>385</v>
      </c>
      <c r="H144" s="463" t="s">
        <v>368</v>
      </c>
      <c r="I144" s="470">
        <v>95388</v>
      </c>
      <c r="J144" s="470">
        <v>1411742.3999999899</v>
      </c>
      <c r="K144" s="470">
        <v>15432.01</v>
      </c>
      <c r="L144" s="470">
        <v>14181.559999999998</v>
      </c>
      <c r="M144" s="470">
        <v>12579.58</v>
      </c>
      <c r="N144" s="470">
        <v>1601.979999999998</v>
      </c>
      <c r="O144" s="470">
        <v>1250.4500000000025</v>
      </c>
      <c r="P144" s="470">
        <v>516.92349485357022</v>
      </c>
      <c r="Q144" s="470">
        <v>733.52650514643233</v>
      </c>
    </row>
    <row r="145" spans="2:17" x14ac:dyDescent="0.2">
      <c r="B145" s="463">
        <v>200482</v>
      </c>
      <c r="C145" s="463" t="s">
        <v>428</v>
      </c>
      <c r="D145" s="463" t="s">
        <v>383</v>
      </c>
      <c r="E145" s="463" t="s">
        <v>393</v>
      </c>
      <c r="F145" s="463">
        <v>10950</v>
      </c>
      <c r="G145" s="463" t="s">
        <v>397</v>
      </c>
      <c r="H145" s="463" t="s">
        <v>368</v>
      </c>
      <c r="I145" s="470">
        <v>39600</v>
      </c>
      <c r="J145" s="470">
        <v>1516798.8</v>
      </c>
      <c r="K145" s="470">
        <v>15398.459999999901</v>
      </c>
      <c r="L145" s="470">
        <v>13198.879999999899</v>
      </c>
      <c r="M145" s="470">
        <v>13198.879999999899</v>
      </c>
      <c r="N145" s="470">
        <v>0</v>
      </c>
      <c r="O145" s="470">
        <v>2199.5800000000017</v>
      </c>
      <c r="P145" s="470">
        <v>514.93697521987701</v>
      </c>
      <c r="Q145" s="470">
        <v>1684.6430247801247</v>
      </c>
    </row>
    <row r="146" spans="2:17" x14ac:dyDescent="0.2">
      <c r="B146" s="463">
        <v>200452</v>
      </c>
      <c r="C146" s="463" t="s">
        <v>389</v>
      </c>
      <c r="D146" s="463" t="s">
        <v>390</v>
      </c>
      <c r="E146" s="463" t="s">
        <v>393</v>
      </c>
      <c r="F146" s="463">
        <v>10090</v>
      </c>
      <c r="G146" s="463" t="s">
        <v>394</v>
      </c>
      <c r="H146" s="463" t="s">
        <v>392</v>
      </c>
      <c r="I146" s="470">
        <v>57230</v>
      </c>
      <c r="J146" s="470">
        <v>1239601.8</v>
      </c>
      <c r="K146" s="470">
        <v>15100.7</v>
      </c>
      <c r="L146" s="470">
        <v>11953.49</v>
      </c>
      <c r="M146" s="470">
        <v>11953.49</v>
      </c>
      <c r="N146" s="470">
        <v>0</v>
      </c>
      <c r="O146" s="470">
        <v>3147.2100000000009</v>
      </c>
      <c r="P146" s="470">
        <v>506.02405461993004</v>
      </c>
      <c r="Q146" s="470">
        <v>2641.1859453800707</v>
      </c>
    </row>
    <row r="147" spans="2:17" x14ac:dyDescent="0.2">
      <c r="B147" s="463">
        <v>200440</v>
      </c>
      <c r="C147" s="463" t="s">
        <v>382</v>
      </c>
      <c r="D147" s="463" t="s">
        <v>383</v>
      </c>
      <c r="E147" s="463" t="s">
        <v>384</v>
      </c>
      <c r="F147" s="463">
        <v>10490</v>
      </c>
      <c r="G147" s="463" t="s">
        <v>369</v>
      </c>
      <c r="H147" s="463" t="s">
        <v>370</v>
      </c>
      <c r="I147" s="470">
        <v>59500</v>
      </c>
      <c r="J147" s="470">
        <v>1384981.5</v>
      </c>
      <c r="K147" s="470">
        <v>14829.78</v>
      </c>
      <c r="L147" s="470">
        <v>12336.319999999998</v>
      </c>
      <c r="M147" s="470">
        <v>11566.009999999998</v>
      </c>
      <c r="N147" s="470">
        <v>770.31</v>
      </c>
      <c r="O147" s="470">
        <v>2493.4600000000028</v>
      </c>
      <c r="P147" s="470">
        <v>419.52234972693725</v>
      </c>
      <c r="Q147" s="470">
        <v>2073.9376502730656</v>
      </c>
    </row>
    <row r="148" spans="2:17" x14ac:dyDescent="0.2">
      <c r="B148" s="463">
        <v>200461</v>
      </c>
      <c r="C148" s="463" t="s">
        <v>412</v>
      </c>
      <c r="D148" s="463" t="s">
        <v>383</v>
      </c>
      <c r="E148" s="463" t="s">
        <v>393</v>
      </c>
      <c r="F148" s="463">
        <v>10170</v>
      </c>
      <c r="G148" s="463" t="s">
        <v>394</v>
      </c>
      <c r="H148" s="463" t="s">
        <v>392</v>
      </c>
      <c r="I148" s="470">
        <v>29400</v>
      </c>
      <c r="J148" s="470">
        <v>660618</v>
      </c>
      <c r="K148" s="470">
        <v>14435.4</v>
      </c>
      <c r="L148" s="470">
        <v>16337.66</v>
      </c>
      <c r="M148" s="470">
        <v>16337.66</v>
      </c>
      <c r="N148" s="470">
        <v>0</v>
      </c>
      <c r="O148" s="470">
        <v>-1902.2600000000002</v>
      </c>
      <c r="P148" s="470">
        <v>483.54311535627835</v>
      </c>
      <c r="Q148" s="470">
        <v>-2385.8031153562788</v>
      </c>
    </row>
    <row r="149" spans="2:17" x14ac:dyDescent="0.2">
      <c r="B149" s="463">
        <v>200482</v>
      </c>
      <c r="C149" s="463" t="s">
        <v>428</v>
      </c>
      <c r="D149" s="463" t="s">
        <v>383</v>
      </c>
      <c r="E149" s="463" t="s">
        <v>393</v>
      </c>
      <c r="F149" s="463">
        <v>10190</v>
      </c>
      <c r="G149" s="463" t="s">
        <v>394</v>
      </c>
      <c r="H149" s="463" t="s">
        <v>392</v>
      </c>
      <c r="I149" s="470">
        <v>18150</v>
      </c>
      <c r="J149" s="470">
        <v>1203163.5</v>
      </c>
      <c r="K149" s="470">
        <v>13954.62</v>
      </c>
      <c r="L149" s="470">
        <v>12267.26</v>
      </c>
      <c r="M149" s="470">
        <v>12267.26</v>
      </c>
      <c r="N149" s="470">
        <v>0</v>
      </c>
      <c r="O149" s="470">
        <v>1687.3600000000006</v>
      </c>
      <c r="P149" s="470">
        <v>466.62795561003026</v>
      </c>
      <c r="Q149" s="470">
        <v>1220.7320443899703</v>
      </c>
    </row>
    <row r="150" spans="2:17" x14ac:dyDescent="0.2">
      <c r="B150" s="463">
        <v>200461</v>
      </c>
      <c r="C150" s="463" t="s">
        <v>412</v>
      </c>
      <c r="D150" s="463" t="s">
        <v>383</v>
      </c>
      <c r="E150" s="463" t="s">
        <v>393</v>
      </c>
      <c r="F150" s="463">
        <v>10540</v>
      </c>
      <c r="G150" s="463" t="s">
        <v>391</v>
      </c>
      <c r="H150" s="463" t="s">
        <v>392</v>
      </c>
      <c r="I150" s="470">
        <v>34200</v>
      </c>
      <c r="J150" s="470">
        <v>1213758</v>
      </c>
      <c r="K150" s="470">
        <v>13823.639999999899</v>
      </c>
      <c r="L150" s="470">
        <v>11803.969999999899</v>
      </c>
      <c r="M150" s="470">
        <v>11803.969999999899</v>
      </c>
      <c r="N150" s="470">
        <v>0</v>
      </c>
      <c r="O150" s="470">
        <v>2019.67</v>
      </c>
      <c r="P150" s="470">
        <v>463.05241040522901</v>
      </c>
      <c r="Q150" s="470">
        <v>1556.6175895947711</v>
      </c>
    </row>
    <row r="151" spans="2:17" x14ac:dyDescent="0.2">
      <c r="B151" s="463">
        <v>200452</v>
      </c>
      <c r="C151" s="463" t="s">
        <v>389</v>
      </c>
      <c r="D151" s="463" t="s">
        <v>390</v>
      </c>
      <c r="E151" s="463" t="s">
        <v>393</v>
      </c>
      <c r="F151" s="463">
        <v>10260</v>
      </c>
      <c r="G151" s="463" t="s">
        <v>367</v>
      </c>
      <c r="H151" s="463" t="s">
        <v>368</v>
      </c>
      <c r="I151" s="470">
        <v>32400</v>
      </c>
      <c r="J151" s="470">
        <v>1217041.2</v>
      </c>
      <c r="K151" s="470">
        <v>13590</v>
      </c>
      <c r="L151" s="470">
        <v>11856.05</v>
      </c>
      <c r="M151" s="470">
        <v>11856.05</v>
      </c>
      <c r="N151" s="470">
        <v>0</v>
      </c>
      <c r="O151" s="470">
        <v>1733.9500000000007</v>
      </c>
      <c r="P151" s="470">
        <v>455.40576220207441</v>
      </c>
      <c r="Q151" s="470">
        <v>1278.5442377979264</v>
      </c>
    </row>
    <row r="152" spans="2:17" x14ac:dyDescent="0.2">
      <c r="B152" s="463">
        <v>200458</v>
      </c>
      <c r="C152" s="463" t="s">
        <v>407</v>
      </c>
      <c r="D152" s="463" t="s">
        <v>383</v>
      </c>
      <c r="E152" s="463" t="s">
        <v>384</v>
      </c>
      <c r="F152" s="463">
        <v>11680</v>
      </c>
      <c r="G152" s="463" t="s">
        <v>408</v>
      </c>
      <c r="H152" s="463" t="s">
        <v>370</v>
      </c>
      <c r="I152" s="470">
        <v>99400</v>
      </c>
      <c r="J152" s="470">
        <v>1304426.2</v>
      </c>
      <c r="K152" s="470">
        <v>13583.34</v>
      </c>
      <c r="L152" s="470">
        <v>13113.32</v>
      </c>
      <c r="M152" s="470">
        <v>12315.119999999999</v>
      </c>
      <c r="N152" s="470">
        <v>798.19999999999982</v>
      </c>
      <c r="O152" s="470">
        <v>470.02000000000044</v>
      </c>
      <c r="P152" s="470">
        <v>455.16124295437174</v>
      </c>
      <c r="Q152" s="470">
        <v>14.858757045628693</v>
      </c>
    </row>
    <row r="153" spans="2:17" x14ac:dyDescent="0.2">
      <c r="B153" s="463">
        <v>200460</v>
      </c>
      <c r="C153" s="463" t="s">
        <v>410</v>
      </c>
      <c r="D153" s="463" t="s">
        <v>383</v>
      </c>
      <c r="E153" s="463" t="s">
        <v>393</v>
      </c>
      <c r="F153" s="463">
        <v>11620</v>
      </c>
      <c r="G153" s="463" t="s">
        <v>399</v>
      </c>
      <c r="H153" s="463" t="s">
        <v>368</v>
      </c>
      <c r="I153" s="470">
        <v>39100</v>
      </c>
      <c r="J153" s="470">
        <v>1346995</v>
      </c>
      <c r="K153" s="470">
        <v>13366.25</v>
      </c>
      <c r="L153" s="470">
        <v>11466.78</v>
      </c>
      <c r="M153" s="470">
        <v>11466.78</v>
      </c>
      <c r="N153" s="470">
        <v>0</v>
      </c>
      <c r="O153" s="470">
        <v>1899.4699999999993</v>
      </c>
      <c r="P153" s="470">
        <v>447.82432351239697</v>
      </c>
      <c r="Q153" s="470">
        <v>1451.6456764876025</v>
      </c>
    </row>
    <row r="154" spans="2:17" x14ac:dyDescent="0.2">
      <c r="B154" s="463">
        <v>200482</v>
      </c>
      <c r="C154" s="463" t="s">
        <v>428</v>
      </c>
      <c r="D154" s="463" t="s">
        <v>383</v>
      </c>
      <c r="E154" s="463" t="s">
        <v>384</v>
      </c>
      <c r="F154" s="463">
        <v>10060</v>
      </c>
      <c r="G154" s="463" t="s">
        <v>385</v>
      </c>
      <c r="H154" s="463" t="s">
        <v>368</v>
      </c>
      <c r="I154" s="470">
        <v>52000</v>
      </c>
      <c r="J154" s="470">
        <v>1188148</v>
      </c>
      <c r="K154" s="470">
        <v>13278.73</v>
      </c>
      <c r="L154" s="470">
        <v>13921.489999999998</v>
      </c>
      <c r="M154" s="470">
        <v>12771.529999999999</v>
      </c>
      <c r="N154" s="470">
        <v>1149.9599999999989</v>
      </c>
      <c r="O154" s="470">
        <v>-642.7599999999984</v>
      </c>
      <c r="P154" s="470">
        <v>444.04082132638212</v>
      </c>
      <c r="Q154" s="470">
        <v>-1086.8008213263806</v>
      </c>
    </row>
    <row r="155" spans="2:17" x14ac:dyDescent="0.2">
      <c r="B155" s="463">
        <v>200447</v>
      </c>
      <c r="C155" s="463" t="s">
        <v>349</v>
      </c>
      <c r="D155" s="463" t="s">
        <v>383</v>
      </c>
      <c r="E155" s="463" t="s">
        <v>384</v>
      </c>
      <c r="F155" s="463">
        <v>11210</v>
      </c>
      <c r="G155" s="463" t="s">
        <v>387</v>
      </c>
      <c r="H155" s="463" t="s">
        <v>368</v>
      </c>
      <c r="I155" s="470">
        <v>44000</v>
      </c>
      <c r="J155" s="470">
        <v>1178936</v>
      </c>
      <c r="K155" s="470">
        <v>13160.9</v>
      </c>
      <c r="L155" s="470">
        <v>11621.749999999998</v>
      </c>
      <c r="M155" s="470">
        <v>10917.609999999999</v>
      </c>
      <c r="N155" s="470">
        <v>704.13999999999976</v>
      </c>
      <c r="O155" s="470">
        <v>1539.1500000000015</v>
      </c>
      <c r="P155" s="470">
        <v>435.15164670826084</v>
      </c>
      <c r="Q155" s="470">
        <v>1103.9983532917406</v>
      </c>
    </row>
    <row r="156" spans="2:17" x14ac:dyDescent="0.2">
      <c r="B156" s="463">
        <v>200452</v>
      </c>
      <c r="C156" s="463" t="s">
        <v>389</v>
      </c>
      <c r="D156" s="463" t="s">
        <v>390</v>
      </c>
      <c r="E156" s="463" t="s">
        <v>393</v>
      </c>
      <c r="F156" s="463">
        <v>10950</v>
      </c>
      <c r="G156" s="463" t="s">
        <v>397</v>
      </c>
      <c r="H156" s="463" t="s">
        <v>368</v>
      </c>
      <c r="I156" s="470">
        <v>32400</v>
      </c>
      <c r="J156" s="470">
        <v>1241017.2</v>
      </c>
      <c r="K156" s="470">
        <v>12919.32</v>
      </c>
      <c r="L156" s="470">
        <v>10879.88</v>
      </c>
      <c r="M156" s="470">
        <v>10879.88</v>
      </c>
      <c r="N156" s="470">
        <v>0</v>
      </c>
      <c r="O156" s="470">
        <v>2039.4400000000005</v>
      </c>
      <c r="P156" s="470">
        <v>432.91039147406195</v>
      </c>
      <c r="Q156" s="470">
        <v>1606.5296085259386</v>
      </c>
    </row>
    <row r="157" spans="2:17" x14ac:dyDescent="0.2">
      <c r="B157" s="463">
        <v>200461</v>
      </c>
      <c r="C157" s="463" t="s">
        <v>412</v>
      </c>
      <c r="D157" s="463" t="s">
        <v>383</v>
      </c>
      <c r="E157" s="463" t="s">
        <v>393</v>
      </c>
      <c r="F157" s="463">
        <v>10590</v>
      </c>
      <c r="G157" s="463" t="s">
        <v>391</v>
      </c>
      <c r="H157" s="463" t="s">
        <v>392</v>
      </c>
      <c r="I157" s="470">
        <v>10200</v>
      </c>
      <c r="J157" s="470">
        <v>706146</v>
      </c>
      <c r="K157" s="470">
        <v>12051.299999999899</v>
      </c>
      <c r="L157" s="470">
        <v>10193.65</v>
      </c>
      <c r="M157" s="470">
        <v>10193.65</v>
      </c>
      <c r="N157" s="470">
        <v>0</v>
      </c>
      <c r="O157" s="470">
        <v>1857.6499999998996</v>
      </c>
      <c r="P157" s="470">
        <v>403.6580495236073</v>
      </c>
      <c r="Q157" s="470">
        <v>1453.9919504762922</v>
      </c>
    </row>
    <row r="158" spans="2:17" x14ac:dyDescent="0.2">
      <c r="B158" s="463">
        <v>200461</v>
      </c>
      <c r="C158" s="463" t="s">
        <v>412</v>
      </c>
      <c r="D158" s="463" t="s">
        <v>383</v>
      </c>
      <c r="E158" s="463" t="s">
        <v>393</v>
      </c>
      <c r="F158" s="463">
        <v>10370</v>
      </c>
      <c r="G158" s="463" t="s">
        <v>415</v>
      </c>
      <c r="H158" s="463" t="s">
        <v>392</v>
      </c>
      <c r="I158" s="470">
        <v>12155</v>
      </c>
      <c r="J158" s="470">
        <v>574445.30000000005</v>
      </c>
      <c r="K158" s="470">
        <v>11849.49</v>
      </c>
      <c r="L158" s="470">
        <v>10137.730000000001</v>
      </c>
      <c r="M158" s="470">
        <v>10137.730000000001</v>
      </c>
      <c r="N158" s="470">
        <v>0</v>
      </c>
      <c r="O158" s="470">
        <v>1711.7599999999984</v>
      </c>
      <c r="P158" s="470">
        <v>396.91092799527911</v>
      </c>
      <c r="Q158" s="470">
        <v>1314.8490720047193</v>
      </c>
    </row>
    <row r="159" spans="2:17" x14ac:dyDescent="0.2">
      <c r="B159" s="463">
        <v>200461</v>
      </c>
      <c r="C159" s="463" t="s">
        <v>412</v>
      </c>
      <c r="D159" s="463" t="s">
        <v>383</v>
      </c>
      <c r="E159" s="463" t="s">
        <v>393</v>
      </c>
      <c r="F159" s="463">
        <v>10970</v>
      </c>
      <c r="G159" s="463" t="s">
        <v>397</v>
      </c>
      <c r="H159" s="463" t="s">
        <v>368</v>
      </c>
      <c r="I159" s="470">
        <v>11180</v>
      </c>
      <c r="J159" s="470">
        <v>1026849.46</v>
      </c>
      <c r="K159" s="470">
        <v>11849.36</v>
      </c>
      <c r="L159" s="470">
        <v>10673.12</v>
      </c>
      <c r="M159" s="470">
        <v>10673.12</v>
      </c>
      <c r="N159" s="470">
        <v>0</v>
      </c>
      <c r="O159" s="470">
        <v>1176.2399999999998</v>
      </c>
      <c r="P159" s="470">
        <v>396.90888782978442</v>
      </c>
      <c r="Q159" s="470">
        <v>779.33111217021542</v>
      </c>
    </row>
    <row r="160" spans="2:17" x14ac:dyDescent="0.2">
      <c r="B160" s="463">
        <v>200452</v>
      </c>
      <c r="C160" s="463" t="s">
        <v>389</v>
      </c>
      <c r="D160" s="463" t="s">
        <v>390</v>
      </c>
      <c r="E160" s="463" t="s">
        <v>384</v>
      </c>
      <c r="F160" s="463">
        <v>10730</v>
      </c>
      <c r="G160" s="463" t="s">
        <v>371</v>
      </c>
      <c r="H160" s="463" t="s">
        <v>368</v>
      </c>
      <c r="I160" s="470">
        <v>150100</v>
      </c>
      <c r="J160" s="470">
        <v>1079519.2</v>
      </c>
      <c r="K160" s="470">
        <v>11444.83</v>
      </c>
      <c r="L160" s="470">
        <v>11248.809999999996</v>
      </c>
      <c r="M160" s="470">
        <v>9501.7499999999982</v>
      </c>
      <c r="N160" s="470">
        <v>1747.0599999999979</v>
      </c>
      <c r="O160" s="470">
        <v>196.02000000000407</v>
      </c>
      <c r="P160" s="470">
        <v>383.51036361465538</v>
      </c>
      <c r="Q160" s="470">
        <v>-187.4903636146513</v>
      </c>
    </row>
    <row r="161" spans="2:17" x14ac:dyDescent="0.2">
      <c r="B161" s="463">
        <v>200454</v>
      </c>
      <c r="C161" s="463" t="s">
        <v>401</v>
      </c>
      <c r="D161" s="463" t="s">
        <v>383</v>
      </c>
      <c r="E161" s="463" t="s">
        <v>384</v>
      </c>
      <c r="F161" s="463">
        <v>10040</v>
      </c>
      <c r="G161" s="463" t="s">
        <v>385</v>
      </c>
      <c r="H161" s="463" t="s">
        <v>368</v>
      </c>
      <c r="I161" s="470">
        <v>62200</v>
      </c>
      <c r="J161" s="470">
        <v>920560</v>
      </c>
      <c r="K161" s="470">
        <v>11363.34</v>
      </c>
      <c r="L161" s="470">
        <v>9499.7299999999977</v>
      </c>
      <c r="M161" s="470">
        <v>8446.64</v>
      </c>
      <c r="N161" s="470">
        <v>1053.0899999999981</v>
      </c>
      <c r="O161" s="470">
        <v>1863.6100000000024</v>
      </c>
      <c r="P161" s="470">
        <v>380.7614937204786</v>
      </c>
      <c r="Q161" s="470">
        <v>1482.8485062795239</v>
      </c>
    </row>
    <row r="162" spans="2:17" x14ac:dyDescent="0.2">
      <c r="B162" s="463">
        <v>200447</v>
      </c>
      <c r="C162" s="463" t="s">
        <v>349</v>
      </c>
      <c r="D162" s="463" t="s">
        <v>383</v>
      </c>
      <c r="E162" s="463" t="s">
        <v>384</v>
      </c>
      <c r="F162" s="463">
        <v>11160</v>
      </c>
      <c r="G162" s="463" t="s">
        <v>388</v>
      </c>
      <c r="H162" s="463" t="s">
        <v>368</v>
      </c>
      <c r="I162" s="470">
        <v>227350</v>
      </c>
      <c r="J162" s="470">
        <v>1012389.55</v>
      </c>
      <c r="K162" s="470">
        <v>11260.66</v>
      </c>
      <c r="L162" s="470">
        <v>15972.529999999988</v>
      </c>
      <c r="M162" s="470">
        <v>13022.68</v>
      </c>
      <c r="N162" s="470">
        <v>2949.8499999999876</v>
      </c>
      <c r="O162" s="470">
        <v>-4711.8699999999881</v>
      </c>
      <c r="P162" s="470">
        <v>372.33007685050848</v>
      </c>
      <c r="Q162" s="470">
        <v>-5084.2000768504968</v>
      </c>
    </row>
    <row r="163" spans="2:17" x14ac:dyDescent="0.2">
      <c r="B163" s="463">
        <v>200452</v>
      </c>
      <c r="C163" s="463" t="s">
        <v>389</v>
      </c>
      <c r="D163" s="463" t="s">
        <v>390</v>
      </c>
      <c r="E163" s="463" t="s">
        <v>393</v>
      </c>
      <c r="F163" s="463">
        <v>10580</v>
      </c>
      <c r="G163" s="463" t="s">
        <v>391</v>
      </c>
      <c r="H163" s="463" t="s">
        <v>392</v>
      </c>
      <c r="I163" s="470">
        <v>14100</v>
      </c>
      <c r="J163" s="470">
        <v>650433</v>
      </c>
      <c r="K163" s="470">
        <v>11093.41</v>
      </c>
      <c r="L163" s="470">
        <v>9074.0699999999906</v>
      </c>
      <c r="M163" s="470">
        <v>9074.0699999999906</v>
      </c>
      <c r="N163" s="470">
        <v>0</v>
      </c>
      <c r="O163" s="470">
        <v>2019.3400000000092</v>
      </c>
      <c r="P163" s="470">
        <v>371.73532547241359</v>
      </c>
      <c r="Q163" s="470">
        <v>1647.6046745275958</v>
      </c>
    </row>
    <row r="164" spans="2:17" x14ac:dyDescent="0.2">
      <c r="B164" s="463">
        <v>200458</v>
      </c>
      <c r="C164" s="463" t="s">
        <v>407</v>
      </c>
      <c r="D164" s="463" t="s">
        <v>383</v>
      </c>
      <c r="E164" s="463" t="s">
        <v>393</v>
      </c>
      <c r="F164" s="463">
        <v>11620</v>
      </c>
      <c r="G164" s="463" t="s">
        <v>399</v>
      </c>
      <c r="H164" s="463" t="s">
        <v>368</v>
      </c>
      <c r="I164" s="470">
        <v>32200</v>
      </c>
      <c r="J164" s="470">
        <v>1109290</v>
      </c>
      <c r="K164" s="470">
        <v>11007.5</v>
      </c>
      <c r="L164" s="470">
        <v>9469.5099999999911</v>
      </c>
      <c r="M164" s="470">
        <v>9469.5099999999911</v>
      </c>
      <c r="N164" s="470">
        <v>0</v>
      </c>
      <c r="O164" s="470">
        <v>1537.9900000000089</v>
      </c>
      <c r="P164" s="470">
        <v>368.84708995138595</v>
      </c>
      <c r="Q164" s="470">
        <v>1169.142910048623</v>
      </c>
    </row>
    <row r="165" spans="2:17" x14ac:dyDescent="0.2">
      <c r="B165" s="463">
        <v>200454</v>
      </c>
      <c r="C165" s="463" t="s">
        <v>401</v>
      </c>
      <c r="D165" s="463" t="s">
        <v>383</v>
      </c>
      <c r="E165" s="463" t="s">
        <v>384</v>
      </c>
      <c r="F165" s="463">
        <v>10770</v>
      </c>
      <c r="G165" s="463" t="s">
        <v>371</v>
      </c>
      <c r="H165" s="463" t="s">
        <v>368</v>
      </c>
      <c r="I165" s="470">
        <v>54600</v>
      </c>
      <c r="J165" s="470">
        <v>947856</v>
      </c>
      <c r="K165" s="470">
        <v>10828.28</v>
      </c>
      <c r="L165" s="470">
        <v>9520.1799999999876</v>
      </c>
      <c r="M165" s="470">
        <v>8846.4199999999892</v>
      </c>
      <c r="N165" s="470">
        <v>673.75999999999897</v>
      </c>
      <c r="O165" s="470">
        <v>1308.1000000000131</v>
      </c>
      <c r="P165" s="470">
        <v>362.86448641188201</v>
      </c>
      <c r="Q165" s="470">
        <v>945.23551358813108</v>
      </c>
    </row>
    <row r="166" spans="2:17" x14ac:dyDescent="0.2">
      <c r="B166" s="463">
        <v>200452</v>
      </c>
      <c r="C166" s="463" t="s">
        <v>389</v>
      </c>
      <c r="D166" s="463" t="s">
        <v>390</v>
      </c>
      <c r="E166" s="463" t="s">
        <v>384</v>
      </c>
      <c r="F166" s="463">
        <v>10280</v>
      </c>
      <c r="G166" s="463" t="s">
        <v>367</v>
      </c>
      <c r="H166" s="463" t="s">
        <v>368</v>
      </c>
      <c r="I166" s="470">
        <v>10000</v>
      </c>
      <c r="J166" s="470">
        <v>905870</v>
      </c>
      <c r="K166" s="470">
        <v>10542.719999999899</v>
      </c>
      <c r="L166" s="470">
        <v>9531.1399999999867</v>
      </c>
      <c r="M166" s="470">
        <v>8548.3699999999881</v>
      </c>
      <c r="N166" s="470">
        <v>982.76999999999794</v>
      </c>
      <c r="O166" s="470">
        <v>1011.5799999999126</v>
      </c>
      <c r="P166" s="470">
        <v>353.28302749691176</v>
      </c>
      <c r="Q166" s="470">
        <v>658.29697250300092</v>
      </c>
    </row>
    <row r="167" spans="2:17" x14ac:dyDescent="0.2">
      <c r="B167" s="463">
        <v>200447</v>
      </c>
      <c r="C167" s="463" t="s">
        <v>349</v>
      </c>
      <c r="D167" s="463" t="s">
        <v>383</v>
      </c>
      <c r="E167" s="463" t="s">
        <v>384</v>
      </c>
      <c r="F167" s="463">
        <v>11190</v>
      </c>
      <c r="G167" s="463" t="s">
        <v>388</v>
      </c>
      <c r="H167" s="463" t="s">
        <v>368</v>
      </c>
      <c r="I167" s="470">
        <v>54300</v>
      </c>
      <c r="J167" s="470">
        <v>886556.09999999905</v>
      </c>
      <c r="K167" s="470">
        <v>10178</v>
      </c>
      <c r="L167" s="470">
        <v>6199.2799999999897</v>
      </c>
      <c r="M167" s="470">
        <v>5717.3299999999899</v>
      </c>
      <c r="N167" s="470">
        <v>481.94999999999976</v>
      </c>
      <c r="O167" s="470">
        <v>3978.7200000000103</v>
      </c>
      <c r="P167" s="470">
        <v>336.54926473088386</v>
      </c>
      <c r="Q167" s="470">
        <v>3642.1707352691265</v>
      </c>
    </row>
    <row r="168" spans="2:17" x14ac:dyDescent="0.2">
      <c r="B168" s="463">
        <v>200452</v>
      </c>
      <c r="C168" s="463" t="s">
        <v>389</v>
      </c>
      <c r="D168" s="463" t="s">
        <v>390</v>
      </c>
      <c r="E168" s="463" t="s">
        <v>393</v>
      </c>
      <c r="F168" s="463">
        <v>10840</v>
      </c>
      <c r="G168" s="463" t="s">
        <v>396</v>
      </c>
      <c r="H168" s="463" t="s">
        <v>392</v>
      </c>
      <c r="I168" s="470">
        <v>27050</v>
      </c>
      <c r="J168" s="470">
        <v>889945</v>
      </c>
      <c r="K168" s="470">
        <v>10104.99</v>
      </c>
      <c r="L168" s="470">
        <v>8951.0400000000009</v>
      </c>
      <c r="M168" s="470">
        <v>8951.0400000000009</v>
      </c>
      <c r="N168" s="470">
        <v>0</v>
      </c>
      <c r="O168" s="470">
        <v>1153.9499999999989</v>
      </c>
      <c r="P168" s="470">
        <v>338.62347640134942</v>
      </c>
      <c r="Q168" s="470">
        <v>815.32652359864949</v>
      </c>
    </row>
    <row r="169" spans="2:17" x14ac:dyDescent="0.2">
      <c r="B169" s="463">
        <v>200482</v>
      </c>
      <c r="C169" s="463" t="s">
        <v>428</v>
      </c>
      <c r="D169" s="463" t="s">
        <v>383</v>
      </c>
      <c r="E169" s="463" t="s">
        <v>393</v>
      </c>
      <c r="F169" s="463">
        <v>10260</v>
      </c>
      <c r="G169" s="463" t="s">
        <v>367</v>
      </c>
      <c r="H169" s="463" t="s">
        <v>368</v>
      </c>
      <c r="I169" s="470">
        <v>23400</v>
      </c>
      <c r="J169" s="470">
        <v>878974.19999999902</v>
      </c>
      <c r="K169" s="470">
        <v>9733.75</v>
      </c>
      <c r="L169" s="470">
        <v>8548.3599999999915</v>
      </c>
      <c r="M169" s="470">
        <v>8548.3599999999915</v>
      </c>
      <c r="N169" s="470">
        <v>0</v>
      </c>
      <c r="O169" s="470">
        <v>1185.3900000000085</v>
      </c>
      <c r="P169" s="470">
        <v>325.48739148892139</v>
      </c>
      <c r="Q169" s="470">
        <v>859.90260851108712</v>
      </c>
    </row>
    <row r="170" spans="2:17" x14ac:dyDescent="0.2">
      <c r="B170" s="463">
        <v>200452</v>
      </c>
      <c r="C170" s="463" t="s">
        <v>389</v>
      </c>
      <c r="D170" s="463" t="s">
        <v>390</v>
      </c>
      <c r="E170" s="463" t="s">
        <v>393</v>
      </c>
      <c r="F170" s="463">
        <v>10140</v>
      </c>
      <c r="G170" s="463" t="s">
        <v>394</v>
      </c>
      <c r="H170" s="463" t="s">
        <v>392</v>
      </c>
      <c r="I170" s="470">
        <v>17100</v>
      </c>
      <c r="J170" s="470">
        <v>715464</v>
      </c>
      <c r="K170" s="470">
        <v>9710.52</v>
      </c>
      <c r="L170" s="470">
        <v>6948.7799999999897</v>
      </c>
      <c r="M170" s="470">
        <v>6948.7799999999897</v>
      </c>
      <c r="N170" s="470">
        <v>0</v>
      </c>
      <c r="O170" s="470">
        <v>2761.7400000000107</v>
      </c>
      <c r="P170" s="470">
        <v>325.40282960842421</v>
      </c>
      <c r="Q170" s="470">
        <v>2436.3371703915864</v>
      </c>
    </row>
    <row r="171" spans="2:17" x14ac:dyDescent="0.2">
      <c r="B171" s="463">
        <v>200460</v>
      </c>
      <c r="C171" s="463" t="s">
        <v>410</v>
      </c>
      <c r="D171" s="463" t="s">
        <v>383</v>
      </c>
      <c r="E171" s="463" t="s">
        <v>384</v>
      </c>
      <c r="F171" s="463">
        <v>11010</v>
      </c>
      <c r="G171" s="463" t="s">
        <v>406</v>
      </c>
      <c r="H171" s="463" t="s">
        <v>370</v>
      </c>
      <c r="I171" s="470">
        <v>152000</v>
      </c>
      <c r="J171" s="470">
        <v>872784</v>
      </c>
      <c r="K171" s="470">
        <v>9555.3299999999908</v>
      </c>
      <c r="L171" s="470">
        <v>10579.659999999998</v>
      </c>
      <c r="M171" s="470">
        <v>9548.9</v>
      </c>
      <c r="N171" s="470">
        <v>1030.7599999999991</v>
      </c>
      <c r="O171" s="470">
        <v>-1024.3300000000072</v>
      </c>
      <c r="P171" s="470">
        <v>320.14734281400513</v>
      </c>
      <c r="Q171" s="470">
        <v>-1344.4773428140124</v>
      </c>
    </row>
    <row r="172" spans="2:17" x14ac:dyDescent="0.2">
      <c r="B172" s="463">
        <v>200452</v>
      </c>
      <c r="C172" s="463" t="s">
        <v>389</v>
      </c>
      <c r="D172" s="463" t="s">
        <v>390</v>
      </c>
      <c r="E172" s="463" t="s">
        <v>384</v>
      </c>
      <c r="F172" s="463">
        <v>10030</v>
      </c>
      <c r="G172" s="463" t="s">
        <v>385</v>
      </c>
      <c r="H172" s="463" t="s">
        <v>368</v>
      </c>
      <c r="I172" s="470">
        <v>92200</v>
      </c>
      <c r="J172" s="470">
        <v>890006.59999999905</v>
      </c>
      <c r="K172" s="470">
        <v>9454.84</v>
      </c>
      <c r="L172" s="470">
        <v>9102.3899999999885</v>
      </c>
      <c r="M172" s="470">
        <v>8209.0599999999886</v>
      </c>
      <c r="N172" s="470">
        <v>893.32999999999902</v>
      </c>
      <c r="O172" s="470">
        <v>352.45000000001164</v>
      </c>
      <c r="P172" s="470">
        <v>316.83029488584691</v>
      </c>
      <c r="Q172" s="470">
        <v>35.619705114164731</v>
      </c>
    </row>
    <row r="173" spans="2:17" x14ac:dyDescent="0.2">
      <c r="B173" s="463">
        <v>200454</v>
      </c>
      <c r="C173" s="463" t="s">
        <v>401</v>
      </c>
      <c r="D173" s="463" t="s">
        <v>383</v>
      </c>
      <c r="E173" s="463" t="s">
        <v>393</v>
      </c>
      <c r="F173" s="463">
        <v>10270</v>
      </c>
      <c r="G173" s="463" t="s">
        <v>367</v>
      </c>
      <c r="H173" s="463" t="s">
        <v>368</v>
      </c>
      <c r="I173" s="470">
        <v>14000</v>
      </c>
      <c r="J173" s="470">
        <v>876778</v>
      </c>
      <c r="K173" s="470">
        <v>9219.84</v>
      </c>
      <c r="L173" s="470">
        <v>8585.7999999999902</v>
      </c>
      <c r="M173" s="470">
        <v>8585.7999999999902</v>
      </c>
      <c r="N173" s="470">
        <v>0</v>
      </c>
      <c r="O173" s="470">
        <v>634.04000000000997</v>
      </c>
      <c r="P173" s="470">
        <v>308.95230341288885</v>
      </c>
      <c r="Q173" s="470">
        <v>325.08769658712112</v>
      </c>
    </row>
    <row r="174" spans="2:17" x14ac:dyDescent="0.2">
      <c r="B174" s="463">
        <v>200460</v>
      </c>
      <c r="C174" s="463" t="s">
        <v>410</v>
      </c>
      <c r="D174" s="463" t="s">
        <v>383</v>
      </c>
      <c r="E174" s="463" t="s">
        <v>393</v>
      </c>
      <c r="F174" s="463">
        <v>11640</v>
      </c>
      <c r="G174" s="463" t="s">
        <v>399</v>
      </c>
      <c r="H174" s="463" t="s">
        <v>368</v>
      </c>
      <c r="I174" s="470">
        <v>8750</v>
      </c>
      <c r="J174" s="470">
        <v>745325</v>
      </c>
      <c r="K174" s="470">
        <v>8960.77</v>
      </c>
      <c r="L174" s="470">
        <v>7803.89</v>
      </c>
      <c r="M174" s="470">
        <v>7803.89</v>
      </c>
      <c r="N174" s="470">
        <v>0</v>
      </c>
      <c r="O174" s="470">
        <v>1156.8800000000001</v>
      </c>
      <c r="P174" s="470">
        <v>300.2065674516175</v>
      </c>
      <c r="Q174" s="470">
        <v>856.67343254838261</v>
      </c>
    </row>
    <row r="175" spans="2:17" x14ac:dyDescent="0.2">
      <c r="B175" s="463">
        <v>200452</v>
      </c>
      <c r="C175" s="463" t="s">
        <v>389</v>
      </c>
      <c r="D175" s="463" t="s">
        <v>390</v>
      </c>
      <c r="E175" s="463" t="s">
        <v>393</v>
      </c>
      <c r="F175" s="463">
        <v>10960</v>
      </c>
      <c r="G175" s="463" t="s">
        <v>397</v>
      </c>
      <c r="H175" s="463" t="s">
        <v>368</v>
      </c>
      <c r="I175" s="470">
        <v>13000</v>
      </c>
      <c r="J175" s="470">
        <v>827931</v>
      </c>
      <c r="K175" s="470">
        <v>8817.77</v>
      </c>
      <c r="L175" s="470">
        <v>7616.87</v>
      </c>
      <c r="M175" s="470">
        <v>7616.87</v>
      </c>
      <c r="N175" s="470">
        <v>0</v>
      </c>
      <c r="O175" s="470">
        <v>1200.9000000000005</v>
      </c>
      <c r="P175" s="470">
        <v>295.5123854063711</v>
      </c>
      <c r="Q175" s="470">
        <v>905.38761459362945</v>
      </c>
    </row>
    <row r="176" spans="2:17" x14ac:dyDescent="0.2">
      <c r="B176" s="463">
        <v>200454</v>
      </c>
      <c r="C176" s="463" t="s">
        <v>401</v>
      </c>
      <c r="D176" s="463" t="s">
        <v>383</v>
      </c>
      <c r="E176" s="463" t="s">
        <v>384</v>
      </c>
      <c r="F176" s="463">
        <v>10420</v>
      </c>
      <c r="G176" s="463" t="s">
        <v>405</v>
      </c>
      <c r="H176" s="463" t="s">
        <v>370</v>
      </c>
      <c r="I176" s="470">
        <v>23400</v>
      </c>
      <c r="J176" s="470">
        <v>925165.8</v>
      </c>
      <c r="K176" s="470">
        <v>8589.7199999999903</v>
      </c>
      <c r="L176" s="470">
        <v>6926.619999999999</v>
      </c>
      <c r="M176" s="470">
        <v>6678.9199999999992</v>
      </c>
      <c r="N176" s="470">
        <v>247.6999999999997</v>
      </c>
      <c r="O176" s="470">
        <v>1663.0999999999913</v>
      </c>
      <c r="P176" s="470">
        <v>287.83346431952901</v>
      </c>
      <c r="Q176" s="470">
        <v>1375.2665356804623</v>
      </c>
    </row>
    <row r="177" spans="2:17" x14ac:dyDescent="0.2">
      <c r="B177" s="463">
        <v>200461</v>
      </c>
      <c r="C177" s="463" t="s">
        <v>412</v>
      </c>
      <c r="D177" s="463" t="s">
        <v>383</v>
      </c>
      <c r="E177" s="463" t="s">
        <v>384</v>
      </c>
      <c r="F177" s="463">
        <v>10030</v>
      </c>
      <c r="G177" s="463" t="s">
        <v>385</v>
      </c>
      <c r="H177" s="463" t="s">
        <v>368</v>
      </c>
      <c r="I177" s="470">
        <v>83500</v>
      </c>
      <c r="J177" s="470">
        <v>806025.5</v>
      </c>
      <c r="K177" s="470">
        <v>8562.68</v>
      </c>
      <c r="L177" s="470">
        <v>8099.0699999999879</v>
      </c>
      <c r="M177" s="470">
        <v>7276.6099999999888</v>
      </c>
      <c r="N177" s="470">
        <v>822.45999999999901</v>
      </c>
      <c r="O177" s="470">
        <v>463.61000000001241</v>
      </c>
      <c r="P177" s="470">
        <v>286.82910989642818</v>
      </c>
      <c r="Q177" s="470">
        <v>176.78089010358423</v>
      </c>
    </row>
    <row r="178" spans="2:17" x14ac:dyDescent="0.2">
      <c r="B178" s="463">
        <v>200452</v>
      </c>
      <c r="C178" s="463" t="s">
        <v>389</v>
      </c>
      <c r="D178" s="463" t="s">
        <v>390</v>
      </c>
      <c r="E178" s="463" t="s">
        <v>393</v>
      </c>
      <c r="F178" s="463">
        <v>11150</v>
      </c>
      <c r="G178" s="463" t="s">
        <v>398</v>
      </c>
      <c r="H178" s="463" t="s">
        <v>370</v>
      </c>
      <c r="I178" s="470">
        <v>123200</v>
      </c>
      <c r="J178" s="470">
        <v>602448</v>
      </c>
      <c r="K178" s="470">
        <v>8261.44</v>
      </c>
      <c r="L178" s="470">
        <v>6974.0099999999902</v>
      </c>
      <c r="M178" s="470">
        <v>6974.0099999999902</v>
      </c>
      <c r="N178" s="470">
        <v>0</v>
      </c>
      <c r="O178" s="470">
        <v>1287.4300000000103</v>
      </c>
      <c r="P178" s="470">
        <v>276.84157563551923</v>
      </c>
      <c r="Q178" s="470">
        <v>1010.5884243644911</v>
      </c>
    </row>
    <row r="179" spans="2:17" x14ac:dyDescent="0.2">
      <c r="B179" s="463">
        <v>200461</v>
      </c>
      <c r="C179" s="463" t="s">
        <v>412</v>
      </c>
      <c r="D179" s="463" t="s">
        <v>383</v>
      </c>
      <c r="E179" s="463" t="s">
        <v>384</v>
      </c>
      <c r="F179" s="463">
        <v>10020</v>
      </c>
      <c r="G179" s="463" t="s">
        <v>385</v>
      </c>
      <c r="H179" s="463" t="s">
        <v>368</v>
      </c>
      <c r="I179" s="470">
        <v>106450</v>
      </c>
      <c r="J179" s="470">
        <v>748556.4</v>
      </c>
      <c r="K179" s="470">
        <v>8228.3299999999908</v>
      </c>
      <c r="L179" s="470">
        <v>7512.409999999998</v>
      </c>
      <c r="M179" s="470">
        <v>6376.1</v>
      </c>
      <c r="N179" s="470">
        <v>1136.3099999999972</v>
      </c>
      <c r="O179" s="470">
        <v>715.9199999999928</v>
      </c>
      <c r="P179" s="470">
        <v>275.59196117735036</v>
      </c>
      <c r="Q179" s="470">
        <v>440.32803882264244</v>
      </c>
    </row>
    <row r="180" spans="2:17" x14ac:dyDescent="0.2">
      <c r="B180" s="463">
        <v>200454</v>
      </c>
      <c r="C180" s="463" t="s">
        <v>401</v>
      </c>
      <c r="D180" s="463" t="s">
        <v>383</v>
      </c>
      <c r="E180" s="463" t="s">
        <v>393</v>
      </c>
      <c r="F180" s="463">
        <v>10950</v>
      </c>
      <c r="G180" s="463" t="s">
        <v>397</v>
      </c>
      <c r="H180" s="463" t="s">
        <v>368</v>
      </c>
      <c r="I180" s="470">
        <v>21600</v>
      </c>
      <c r="J180" s="470">
        <v>827344.8</v>
      </c>
      <c r="K180" s="470">
        <v>8014.4399999999896</v>
      </c>
      <c r="L180" s="470">
        <v>7124.62</v>
      </c>
      <c r="M180" s="470">
        <v>7124.62</v>
      </c>
      <c r="N180" s="470">
        <v>0</v>
      </c>
      <c r="O180" s="470">
        <v>889.8199999999897</v>
      </c>
      <c r="P180" s="470">
        <v>268.57526119372994</v>
      </c>
      <c r="Q180" s="470">
        <v>621.24473880625976</v>
      </c>
    </row>
    <row r="181" spans="2:17" x14ac:dyDescent="0.2">
      <c r="B181" s="463">
        <v>200454</v>
      </c>
      <c r="C181" s="463" t="s">
        <v>401</v>
      </c>
      <c r="D181" s="463" t="s">
        <v>383</v>
      </c>
      <c r="E181" s="463" t="s">
        <v>384</v>
      </c>
      <c r="F181" s="463">
        <v>10880</v>
      </c>
      <c r="G181" s="463" t="s">
        <v>400</v>
      </c>
      <c r="H181" s="463" t="s">
        <v>370</v>
      </c>
      <c r="I181" s="470">
        <v>3000</v>
      </c>
      <c r="J181" s="470">
        <v>702030</v>
      </c>
      <c r="K181" s="470">
        <v>8012.14</v>
      </c>
      <c r="L181" s="470">
        <v>6263.369999999999</v>
      </c>
      <c r="M181" s="470">
        <v>5723.5499999999993</v>
      </c>
      <c r="N181" s="470">
        <v>539.81999999999994</v>
      </c>
      <c r="O181" s="470">
        <v>1748.7700000000013</v>
      </c>
      <c r="P181" s="470">
        <v>268.46916595803737</v>
      </c>
      <c r="Q181" s="470">
        <v>1480.300834041964</v>
      </c>
    </row>
    <row r="182" spans="2:17" x14ac:dyDescent="0.2">
      <c r="B182" s="463">
        <v>200482</v>
      </c>
      <c r="C182" s="463" t="s">
        <v>428</v>
      </c>
      <c r="D182" s="463" t="s">
        <v>383</v>
      </c>
      <c r="E182" s="463" t="s">
        <v>393</v>
      </c>
      <c r="F182" s="463">
        <v>10960</v>
      </c>
      <c r="G182" s="463" t="s">
        <v>397</v>
      </c>
      <c r="H182" s="463" t="s">
        <v>368</v>
      </c>
      <c r="I182" s="470">
        <v>12000</v>
      </c>
      <c r="J182" s="470">
        <v>764244</v>
      </c>
      <c r="K182" s="470">
        <v>8002.4399999999896</v>
      </c>
      <c r="L182" s="470">
        <v>6830.9799999999896</v>
      </c>
      <c r="M182" s="470">
        <v>6830.9799999999896</v>
      </c>
      <c r="N182" s="470">
        <v>0</v>
      </c>
      <c r="O182" s="470">
        <v>1171.46</v>
      </c>
      <c r="P182" s="470">
        <v>267.58693822489812</v>
      </c>
      <c r="Q182" s="470">
        <v>903.87306177510186</v>
      </c>
    </row>
    <row r="183" spans="2:17" x14ac:dyDescent="0.2">
      <c r="B183" s="463">
        <v>200482</v>
      </c>
      <c r="C183" s="463" t="s">
        <v>428</v>
      </c>
      <c r="D183" s="463" t="s">
        <v>383</v>
      </c>
      <c r="E183" s="463" t="s">
        <v>384</v>
      </c>
      <c r="F183" s="463">
        <v>10680</v>
      </c>
      <c r="G183" s="463" t="s">
        <v>430</v>
      </c>
      <c r="H183" s="463" t="s">
        <v>370</v>
      </c>
      <c r="I183" s="470">
        <v>24600</v>
      </c>
      <c r="J183" s="470">
        <v>723018.59999999905</v>
      </c>
      <c r="K183" s="470">
        <v>7957.6</v>
      </c>
      <c r="L183" s="470">
        <v>8931.8699999999899</v>
      </c>
      <c r="M183" s="470">
        <v>8510.9899999999907</v>
      </c>
      <c r="N183" s="470">
        <v>420.87999999999977</v>
      </c>
      <c r="O183" s="470">
        <v>-974.26999999998952</v>
      </c>
      <c r="P183" s="470">
        <v>306.87323806469652</v>
      </c>
      <c r="Q183" s="470">
        <v>-1281.1432380646861</v>
      </c>
    </row>
    <row r="184" spans="2:17" x14ac:dyDescent="0.2">
      <c r="B184" s="463">
        <v>200461</v>
      </c>
      <c r="C184" s="463" t="s">
        <v>412</v>
      </c>
      <c r="D184" s="463" t="s">
        <v>383</v>
      </c>
      <c r="E184" s="463" t="s">
        <v>384</v>
      </c>
      <c r="F184" s="463">
        <v>10730</v>
      </c>
      <c r="G184" s="463" t="s">
        <v>371</v>
      </c>
      <c r="H184" s="463" t="s">
        <v>368</v>
      </c>
      <c r="I184" s="470">
        <v>104300</v>
      </c>
      <c r="J184" s="470">
        <v>750125.59999999905</v>
      </c>
      <c r="K184" s="470">
        <v>7952.6499999999896</v>
      </c>
      <c r="L184" s="470">
        <v>7402.7799999999988</v>
      </c>
      <c r="M184" s="470">
        <v>6254.9100000000008</v>
      </c>
      <c r="N184" s="470">
        <v>1147.8699999999981</v>
      </c>
      <c r="O184" s="470">
        <v>549.8699999999908</v>
      </c>
      <c r="P184" s="470">
        <v>266.42555484005317</v>
      </c>
      <c r="Q184" s="470">
        <v>283.44444515993763</v>
      </c>
    </row>
    <row r="185" spans="2:17" x14ac:dyDescent="0.2">
      <c r="B185" s="463">
        <v>200482</v>
      </c>
      <c r="C185" s="463" t="s">
        <v>428</v>
      </c>
      <c r="D185" s="463" t="s">
        <v>383</v>
      </c>
      <c r="E185" s="463" t="s">
        <v>384</v>
      </c>
      <c r="F185" s="463">
        <v>10880</v>
      </c>
      <c r="G185" s="463" t="s">
        <v>400</v>
      </c>
      <c r="H185" s="463" t="s">
        <v>370</v>
      </c>
      <c r="I185" s="470">
        <v>3000</v>
      </c>
      <c r="J185" s="470">
        <v>702030</v>
      </c>
      <c r="K185" s="470">
        <v>7810.96</v>
      </c>
      <c r="L185" s="470">
        <v>6263.3399999999992</v>
      </c>
      <c r="M185" s="470">
        <v>5723.5199999999995</v>
      </c>
      <c r="N185" s="470">
        <v>539.81999999999994</v>
      </c>
      <c r="O185" s="470">
        <v>1547.6200000000008</v>
      </c>
      <c r="P185" s="470">
        <v>261.2019313855713</v>
      </c>
      <c r="Q185" s="470">
        <v>1286.4180686144296</v>
      </c>
    </row>
    <row r="186" spans="2:17" x14ac:dyDescent="0.2">
      <c r="B186" s="463">
        <v>200461</v>
      </c>
      <c r="C186" s="463" t="s">
        <v>412</v>
      </c>
      <c r="D186" s="463" t="s">
        <v>383</v>
      </c>
      <c r="E186" s="463" t="s">
        <v>393</v>
      </c>
      <c r="F186" s="463">
        <v>10830</v>
      </c>
      <c r="G186" s="463" t="s">
        <v>396</v>
      </c>
      <c r="H186" s="463" t="s">
        <v>392</v>
      </c>
      <c r="I186" s="470">
        <v>25200</v>
      </c>
      <c r="J186" s="470">
        <v>670572</v>
      </c>
      <c r="K186" s="470">
        <v>7770.81</v>
      </c>
      <c r="L186" s="470">
        <v>6865.88</v>
      </c>
      <c r="M186" s="470">
        <v>6865.88</v>
      </c>
      <c r="N186" s="470">
        <v>0</v>
      </c>
      <c r="O186" s="470">
        <v>904.93000000000029</v>
      </c>
      <c r="P186" s="470">
        <v>260.28183411902143</v>
      </c>
      <c r="Q186" s="470">
        <v>644.64816588097892</v>
      </c>
    </row>
    <row r="187" spans="2:17" x14ac:dyDescent="0.2">
      <c r="B187" s="463">
        <v>200454</v>
      </c>
      <c r="C187" s="463" t="s">
        <v>401</v>
      </c>
      <c r="D187" s="463" t="s">
        <v>383</v>
      </c>
      <c r="E187" s="463" t="s">
        <v>384</v>
      </c>
      <c r="F187" s="463">
        <v>10050</v>
      </c>
      <c r="G187" s="463" t="s">
        <v>385</v>
      </c>
      <c r="H187" s="463" t="s">
        <v>368</v>
      </c>
      <c r="I187" s="470">
        <v>20300</v>
      </c>
      <c r="J187" s="470">
        <v>596028.30000000005</v>
      </c>
      <c r="K187" s="470">
        <v>7557.1</v>
      </c>
      <c r="L187" s="470">
        <v>5228.170000000001</v>
      </c>
      <c r="M187" s="470">
        <v>4935.0300000000007</v>
      </c>
      <c r="N187" s="470">
        <v>293.13999999999993</v>
      </c>
      <c r="O187" s="470">
        <v>2328.9299999999994</v>
      </c>
      <c r="P187" s="470">
        <v>253.2479589799334</v>
      </c>
      <c r="Q187" s="470">
        <v>2075.6820410200662</v>
      </c>
    </row>
    <row r="188" spans="2:17" x14ac:dyDescent="0.2">
      <c r="B188" s="463">
        <v>200482</v>
      </c>
      <c r="C188" s="463" t="s">
        <v>428</v>
      </c>
      <c r="D188" s="463" t="s">
        <v>383</v>
      </c>
      <c r="E188" s="463" t="s">
        <v>393</v>
      </c>
      <c r="F188" s="463">
        <v>10530</v>
      </c>
      <c r="G188" s="463" t="s">
        <v>391</v>
      </c>
      <c r="H188" s="463" t="s">
        <v>392</v>
      </c>
      <c r="I188" s="470">
        <v>26430</v>
      </c>
      <c r="J188" s="470">
        <v>753783.59999999905</v>
      </c>
      <c r="K188" s="470">
        <v>7441.1</v>
      </c>
      <c r="L188" s="470">
        <v>6750.8699999999899</v>
      </c>
      <c r="M188" s="470">
        <v>6750.8699999999899</v>
      </c>
      <c r="N188" s="470">
        <v>0</v>
      </c>
      <c r="O188" s="470">
        <v>690.23000000001048</v>
      </c>
      <c r="P188" s="470">
        <v>248.83750361455887</v>
      </c>
      <c r="Q188" s="470">
        <v>441.39249638545164</v>
      </c>
    </row>
    <row r="189" spans="2:17" x14ac:dyDescent="0.2">
      <c r="B189" s="463">
        <v>200440</v>
      </c>
      <c r="C189" s="463" t="s">
        <v>382</v>
      </c>
      <c r="D189" s="463" t="s">
        <v>383</v>
      </c>
      <c r="E189" s="463" t="s">
        <v>384</v>
      </c>
      <c r="F189" s="463">
        <v>10040</v>
      </c>
      <c r="G189" s="463" t="s">
        <v>385</v>
      </c>
      <c r="H189" s="463" t="s">
        <v>368</v>
      </c>
      <c r="I189" s="470">
        <v>40850</v>
      </c>
      <c r="J189" s="470">
        <v>604580</v>
      </c>
      <c r="K189" s="470">
        <v>7325.22</v>
      </c>
      <c r="L189" s="470">
        <v>5997.4599999999982</v>
      </c>
      <c r="M189" s="470">
        <v>5389.0099999999993</v>
      </c>
      <c r="N189" s="470">
        <v>608.44999999999891</v>
      </c>
      <c r="O189" s="470">
        <v>1327.760000000002</v>
      </c>
      <c r="P189" s="470">
        <v>224.84893147887266</v>
      </c>
      <c r="Q189" s="470">
        <v>1102.9110685211294</v>
      </c>
    </row>
    <row r="190" spans="2:17" x14ac:dyDescent="0.2">
      <c r="B190" s="463">
        <v>200458</v>
      </c>
      <c r="C190" s="463" t="s">
        <v>407</v>
      </c>
      <c r="D190" s="463" t="s">
        <v>383</v>
      </c>
      <c r="E190" s="463" t="s">
        <v>393</v>
      </c>
      <c r="F190" s="463">
        <v>10530</v>
      </c>
      <c r="G190" s="463" t="s">
        <v>391</v>
      </c>
      <c r="H190" s="463" t="s">
        <v>392</v>
      </c>
      <c r="I190" s="470">
        <v>22490</v>
      </c>
      <c r="J190" s="470">
        <v>641414.80000000005</v>
      </c>
      <c r="K190" s="470">
        <v>7322.75</v>
      </c>
      <c r="L190" s="470">
        <v>5752.1199999999899</v>
      </c>
      <c r="M190" s="470">
        <v>5752.1199999999899</v>
      </c>
      <c r="N190" s="470">
        <v>0</v>
      </c>
      <c r="O190" s="470">
        <v>1570.6300000000101</v>
      </c>
      <c r="P190" s="470">
        <v>245.3601683344547</v>
      </c>
      <c r="Q190" s="470">
        <v>1325.2698316655553</v>
      </c>
    </row>
    <row r="191" spans="2:17" x14ac:dyDescent="0.2">
      <c r="B191" s="463">
        <v>200454</v>
      </c>
      <c r="C191" s="463" t="s">
        <v>401</v>
      </c>
      <c r="D191" s="463" t="s">
        <v>383</v>
      </c>
      <c r="E191" s="463" t="s">
        <v>384</v>
      </c>
      <c r="F191" s="463">
        <v>10010</v>
      </c>
      <c r="G191" s="463" t="s">
        <v>385</v>
      </c>
      <c r="H191" s="463" t="s">
        <v>368</v>
      </c>
      <c r="I191" s="470">
        <v>94250</v>
      </c>
      <c r="J191" s="470">
        <v>483031.25</v>
      </c>
      <c r="K191" s="470">
        <v>7029.1599999999899</v>
      </c>
      <c r="L191" s="470">
        <v>5140.2800000000007</v>
      </c>
      <c r="M191" s="470">
        <v>4110.0200000000004</v>
      </c>
      <c r="N191" s="470">
        <v>1030.26</v>
      </c>
      <c r="O191" s="470">
        <v>1888.8799999999892</v>
      </c>
      <c r="P191" s="470">
        <v>235.53268996617589</v>
      </c>
      <c r="Q191" s="470">
        <v>1653.3473100338133</v>
      </c>
    </row>
    <row r="192" spans="2:17" x14ac:dyDescent="0.2">
      <c r="B192" s="463">
        <v>200482</v>
      </c>
      <c r="C192" s="463" t="s">
        <v>428</v>
      </c>
      <c r="D192" s="463" t="s">
        <v>383</v>
      </c>
      <c r="E192" s="463" t="s">
        <v>384</v>
      </c>
      <c r="F192" s="463">
        <v>11230</v>
      </c>
      <c r="G192" s="463" t="s">
        <v>386</v>
      </c>
      <c r="H192" s="463" t="s">
        <v>370</v>
      </c>
      <c r="I192" s="470">
        <v>165000</v>
      </c>
      <c r="J192" s="470">
        <v>731445</v>
      </c>
      <c r="K192" s="470">
        <v>6915.1499999999896</v>
      </c>
      <c r="L192" s="470">
        <v>6807.8499999999867</v>
      </c>
      <c r="M192" s="470">
        <v>5697.0799999999899</v>
      </c>
      <c r="N192" s="470">
        <v>1110.7699999999968</v>
      </c>
      <c r="O192" s="470">
        <v>107.30000000000291</v>
      </c>
      <c r="P192" s="470">
        <v>231.23346482646591</v>
      </c>
      <c r="Q192" s="470">
        <v>-123.93346482646299</v>
      </c>
    </row>
    <row r="193" spans="2:17" x14ac:dyDescent="0.2">
      <c r="B193" s="463">
        <v>200458</v>
      </c>
      <c r="C193" s="463" t="s">
        <v>407</v>
      </c>
      <c r="D193" s="463" t="s">
        <v>383</v>
      </c>
      <c r="E193" s="463" t="s">
        <v>384</v>
      </c>
      <c r="F193" s="463">
        <v>11690</v>
      </c>
      <c r="G193" s="463" t="s">
        <v>408</v>
      </c>
      <c r="H193" s="463" t="s">
        <v>370</v>
      </c>
      <c r="I193" s="470">
        <v>32000</v>
      </c>
      <c r="J193" s="470">
        <v>659520</v>
      </c>
      <c r="K193" s="470">
        <v>6728.1599999999899</v>
      </c>
      <c r="L193" s="470">
        <v>6499.9299999999985</v>
      </c>
      <c r="M193" s="470">
        <v>6080.95</v>
      </c>
      <c r="N193" s="470">
        <v>418.97999999999888</v>
      </c>
      <c r="O193" s="470">
        <v>228.22999999999138</v>
      </c>
      <c r="P193" s="470">
        <v>225.42892216464358</v>
      </c>
      <c r="Q193" s="470">
        <v>2.8010778353477974</v>
      </c>
    </row>
    <row r="194" spans="2:17" x14ac:dyDescent="0.2">
      <c r="B194" s="463">
        <v>200461</v>
      </c>
      <c r="C194" s="463" t="s">
        <v>412</v>
      </c>
      <c r="D194" s="463" t="s">
        <v>383</v>
      </c>
      <c r="E194" s="463" t="s">
        <v>393</v>
      </c>
      <c r="F194" s="463">
        <v>11020</v>
      </c>
      <c r="G194" s="463" t="s">
        <v>406</v>
      </c>
      <c r="H194" s="463" t="s">
        <v>370</v>
      </c>
      <c r="I194" s="470">
        <v>66000</v>
      </c>
      <c r="J194" s="470">
        <v>430320</v>
      </c>
      <c r="K194" s="470">
        <v>6425.76</v>
      </c>
      <c r="L194" s="470">
        <v>5554.7299999999896</v>
      </c>
      <c r="M194" s="470">
        <v>5554.7299999999896</v>
      </c>
      <c r="N194" s="470">
        <v>0</v>
      </c>
      <c r="O194" s="470">
        <v>871.03000000001066</v>
      </c>
      <c r="P194" s="470">
        <v>215.23318335008102</v>
      </c>
      <c r="Q194" s="470">
        <v>655.79681664992961</v>
      </c>
    </row>
    <row r="195" spans="2:17" x14ac:dyDescent="0.2">
      <c r="B195" s="463">
        <v>200482</v>
      </c>
      <c r="C195" s="463" t="s">
        <v>428</v>
      </c>
      <c r="D195" s="463" t="s">
        <v>383</v>
      </c>
      <c r="E195" s="463" t="s">
        <v>393</v>
      </c>
      <c r="F195" s="463">
        <v>10270</v>
      </c>
      <c r="G195" s="463" t="s">
        <v>367</v>
      </c>
      <c r="H195" s="463" t="s">
        <v>368</v>
      </c>
      <c r="I195" s="470">
        <v>8850</v>
      </c>
      <c r="J195" s="470">
        <v>554248.94999999902</v>
      </c>
      <c r="K195" s="470">
        <v>6272.4399999999896</v>
      </c>
      <c r="L195" s="470">
        <v>5480.6900000000005</v>
      </c>
      <c r="M195" s="470">
        <v>5480.6900000000005</v>
      </c>
      <c r="N195" s="470">
        <v>0</v>
      </c>
      <c r="O195" s="470">
        <v>791.74999999998909</v>
      </c>
      <c r="P195" s="470">
        <v>209.75704355163921</v>
      </c>
      <c r="Q195" s="470">
        <v>581.9929564483499</v>
      </c>
    </row>
    <row r="196" spans="2:17" x14ac:dyDescent="0.2">
      <c r="B196" s="463">
        <v>200452</v>
      </c>
      <c r="C196" s="463" t="s">
        <v>389</v>
      </c>
      <c r="D196" s="463" t="s">
        <v>390</v>
      </c>
      <c r="E196" s="463" t="s">
        <v>393</v>
      </c>
      <c r="F196" s="463">
        <v>10320</v>
      </c>
      <c r="G196" s="463" t="s">
        <v>395</v>
      </c>
      <c r="H196" s="463" t="s">
        <v>368</v>
      </c>
      <c r="I196" s="470">
        <v>13200</v>
      </c>
      <c r="J196" s="470">
        <v>496848</v>
      </c>
      <c r="K196" s="470">
        <v>6189.92</v>
      </c>
      <c r="L196" s="470">
        <v>5706.59</v>
      </c>
      <c r="M196" s="470">
        <v>5706.59</v>
      </c>
      <c r="N196" s="470">
        <v>0</v>
      </c>
      <c r="O196" s="470">
        <v>483.32999999999993</v>
      </c>
      <c r="P196" s="470">
        <v>207.40200926930552</v>
      </c>
      <c r="Q196" s="470">
        <v>275.92799073069443</v>
      </c>
    </row>
    <row r="197" spans="2:17" x14ac:dyDescent="0.2">
      <c r="B197" s="463">
        <v>200482</v>
      </c>
      <c r="C197" s="463" t="s">
        <v>428</v>
      </c>
      <c r="D197" s="463" t="s">
        <v>383</v>
      </c>
      <c r="E197" s="463" t="s">
        <v>384</v>
      </c>
      <c r="F197" s="463">
        <v>10050</v>
      </c>
      <c r="G197" s="463" t="s">
        <v>385</v>
      </c>
      <c r="H197" s="463" t="s">
        <v>368</v>
      </c>
      <c r="I197" s="470">
        <v>17800</v>
      </c>
      <c r="J197" s="470">
        <v>522625.799999999</v>
      </c>
      <c r="K197" s="470">
        <v>6156.29</v>
      </c>
      <c r="L197" s="470">
        <v>4550.5599999999986</v>
      </c>
      <c r="M197" s="470">
        <v>4290.0499999999993</v>
      </c>
      <c r="N197" s="470">
        <v>260.50999999999971</v>
      </c>
      <c r="O197" s="470">
        <v>1605.7300000000014</v>
      </c>
      <c r="P197" s="470">
        <v>205.86423414915427</v>
      </c>
      <c r="Q197" s="470">
        <v>1399.8657658508471</v>
      </c>
    </row>
    <row r="198" spans="2:17" x14ac:dyDescent="0.2">
      <c r="B198" s="463">
        <v>200440</v>
      </c>
      <c r="C198" s="463" t="s">
        <v>382</v>
      </c>
      <c r="D198" s="463" t="s">
        <v>383</v>
      </c>
      <c r="E198" s="463" t="s">
        <v>384</v>
      </c>
      <c r="F198" s="463">
        <v>11230</v>
      </c>
      <c r="G198" s="463" t="s">
        <v>386</v>
      </c>
      <c r="H198" s="463" t="s">
        <v>370</v>
      </c>
      <c r="I198" s="470">
        <v>133500</v>
      </c>
      <c r="J198" s="470">
        <v>591805.5</v>
      </c>
      <c r="K198" s="470">
        <v>5936.75</v>
      </c>
      <c r="L198" s="470">
        <v>5518.0899999999874</v>
      </c>
      <c r="M198" s="470">
        <v>4645.6099999999888</v>
      </c>
      <c r="N198" s="470">
        <v>872.479999999999</v>
      </c>
      <c r="O198" s="470">
        <v>418.66000000001259</v>
      </c>
      <c r="P198" s="470">
        <v>164.37886543437554</v>
      </c>
      <c r="Q198" s="470">
        <v>254.28113456563705</v>
      </c>
    </row>
    <row r="199" spans="2:17" x14ac:dyDescent="0.2">
      <c r="B199" s="463">
        <v>200461</v>
      </c>
      <c r="C199" s="463" t="s">
        <v>412</v>
      </c>
      <c r="D199" s="463" t="s">
        <v>383</v>
      </c>
      <c r="E199" s="463" t="s">
        <v>393</v>
      </c>
      <c r="F199" s="463">
        <v>10570</v>
      </c>
      <c r="G199" s="463" t="s">
        <v>391</v>
      </c>
      <c r="H199" s="463" t="s">
        <v>392</v>
      </c>
      <c r="I199" s="470">
        <v>11100</v>
      </c>
      <c r="J199" s="470">
        <v>488400</v>
      </c>
      <c r="K199" s="470">
        <v>5837.1199999999899</v>
      </c>
      <c r="L199" s="470">
        <v>4724.99999999999</v>
      </c>
      <c r="M199" s="470">
        <v>4724.99999999999</v>
      </c>
      <c r="N199" s="470">
        <v>0</v>
      </c>
      <c r="O199" s="470">
        <v>1112.1199999999999</v>
      </c>
      <c r="P199" s="470">
        <v>195.52531398564889</v>
      </c>
      <c r="Q199" s="470">
        <v>916.59468601435105</v>
      </c>
    </row>
    <row r="200" spans="2:17" x14ac:dyDescent="0.2">
      <c r="B200" s="463">
        <v>200452</v>
      </c>
      <c r="C200" s="463" t="s">
        <v>389</v>
      </c>
      <c r="D200" s="463" t="s">
        <v>122</v>
      </c>
      <c r="E200" s="463" t="s">
        <v>366</v>
      </c>
      <c r="F200" s="463" t="s">
        <v>122</v>
      </c>
      <c r="G200" s="463"/>
      <c r="H200" s="463" t="s">
        <v>122</v>
      </c>
      <c r="I200" s="470">
        <v>0</v>
      </c>
      <c r="J200" s="470">
        <v>0</v>
      </c>
      <c r="K200" s="470">
        <v>5816</v>
      </c>
      <c r="L200" s="470">
        <v>0</v>
      </c>
      <c r="M200" s="470">
        <v>0</v>
      </c>
      <c r="N200" s="470">
        <v>0</v>
      </c>
      <c r="O200" s="470">
        <v>5816</v>
      </c>
      <c r="P200" s="470">
        <v>91.273865560505115</v>
      </c>
      <c r="Q200" s="470">
        <v>5724.7261344394947</v>
      </c>
    </row>
    <row r="201" spans="2:17" x14ac:dyDescent="0.2">
      <c r="B201" s="463">
        <v>200462</v>
      </c>
      <c r="C201" s="463" t="s">
        <v>419</v>
      </c>
      <c r="D201" s="463" t="s">
        <v>383</v>
      </c>
      <c r="E201" s="463" t="s">
        <v>366</v>
      </c>
      <c r="F201" s="463">
        <v>11320</v>
      </c>
      <c r="G201" s="463" t="s">
        <v>420</v>
      </c>
      <c r="H201" s="463" t="s">
        <v>370</v>
      </c>
      <c r="I201" s="470">
        <v>0</v>
      </c>
      <c r="J201" s="470">
        <v>0</v>
      </c>
      <c r="K201" s="470">
        <v>5732.52</v>
      </c>
      <c r="L201" s="470">
        <v>0.62</v>
      </c>
      <c r="M201" s="470">
        <v>0.62</v>
      </c>
      <c r="N201" s="470">
        <v>0</v>
      </c>
      <c r="O201" s="470">
        <v>5731.9000000000005</v>
      </c>
      <c r="P201" s="470">
        <v>191.97376544066475</v>
      </c>
      <c r="Q201" s="470">
        <v>5539.9262345593361</v>
      </c>
    </row>
    <row r="202" spans="2:17" x14ac:dyDescent="0.2">
      <c r="B202" s="463">
        <v>200458</v>
      </c>
      <c r="C202" s="463" t="s">
        <v>407</v>
      </c>
      <c r="D202" s="463" t="s">
        <v>383</v>
      </c>
      <c r="E202" s="463" t="s">
        <v>384</v>
      </c>
      <c r="F202" s="463">
        <v>10780</v>
      </c>
      <c r="G202" s="463" t="s">
        <v>371</v>
      </c>
      <c r="H202" s="463" t="s">
        <v>368</v>
      </c>
      <c r="I202" s="470">
        <v>41750</v>
      </c>
      <c r="J202" s="470">
        <v>494612.25</v>
      </c>
      <c r="K202" s="470">
        <v>5511.21</v>
      </c>
      <c r="L202" s="470">
        <v>4939.25</v>
      </c>
      <c r="M202" s="470">
        <v>4480.76</v>
      </c>
      <c r="N202" s="470">
        <v>458.48999999999984</v>
      </c>
      <c r="O202" s="470">
        <v>571.96</v>
      </c>
      <c r="P202" s="470">
        <v>184.66061908798329</v>
      </c>
      <c r="Q202" s="470">
        <v>387.29938091201677</v>
      </c>
    </row>
    <row r="203" spans="2:17" x14ac:dyDescent="0.2">
      <c r="B203" s="463">
        <v>200454</v>
      </c>
      <c r="C203" s="463" t="s">
        <v>401</v>
      </c>
      <c r="D203" s="463" t="s">
        <v>383</v>
      </c>
      <c r="E203" s="463" t="s">
        <v>384</v>
      </c>
      <c r="F203" s="463">
        <v>10780</v>
      </c>
      <c r="G203" s="463" t="s">
        <v>371</v>
      </c>
      <c r="H203" s="463" t="s">
        <v>368</v>
      </c>
      <c r="I203" s="470">
        <v>39800</v>
      </c>
      <c r="J203" s="470">
        <v>471510.59999999899</v>
      </c>
      <c r="K203" s="470">
        <v>5486.4499999999898</v>
      </c>
      <c r="L203" s="470">
        <v>4594.1399999999994</v>
      </c>
      <c r="M203" s="470">
        <v>4151.6600000000008</v>
      </c>
      <c r="N203" s="470">
        <v>442.47999999999882</v>
      </c>
      <c r="O203" s="470">
        <v>892.3099999999904</v>
      </c>
      <c r="P203" s="470">
        <v>183.86204602896015</v>
      </c>
      <c r="Q203" s="470">
        <v>708.4479539710303</v>
      </c>
    </row>
    <row r="204" spans="2:17" x14ac:dyDescent="0.2">
      <c r="B204" s="463">
        <v>200447</v>
      </c>
      <c r="C204" s="463" t="s">
        <v>349</v>
      </c>
      <c r="D204" s="463" t="s">
        <v>383</v>
      </c>
      <c r="E204" s="463" t="s">
        <v>384</v>
      </c>
      <c r="F204" s="463">
        <v>11200</v>
      </c>
      <c r="G204" s="463" t="s">
        <v>388</v>
      </c>
      <c r="H204" s="463" t="s">
        <v>368</v>
      </c>
      <c r="I204" s="470">
        <v>41300</v>
      </c>
      <c r="J204" s="470">
        <v>480773.299999999</v>
      </c>
      <c r="K204" s="470">
        <v>5346.6899999999896</v>
      </c>
      <c r="L204" s="470">
        <v>9186.91</v>
      </c>
      <c r="M204" s="470">
        <v>8687.35</v>
      </c>
      <c r="N204" s="470">
        <v>499.55999999999972</v>
      </c>
      <c r="O204" s="470">
        <v>-3840.2200000000103</v>
      </c>
      <c r="P204" s="470">
        <v>176.79871118529834</v>
      </c>
      <c r="Q204" s="470">
        <v>-4017.0187111853088</v>
      </c>
    </row>
    <row r="205" spans="2:17" x14ac:dyDescent="0.2">
      <c r="B205" s="463">
        <v>200454</v>
      </c>
      <c r="C205" s="463" t="s">
        <v>401</v>
      </c>
      <c r="D205" s="463" t="s">
        <v>383</v>
      </c>
      <c r="E205" s="463" t="s">
        <v>384</v>
      </c>
      <c r="F205" s="463">
        <v>10060</v>
      </c>
      <c r="G205" s="463" t="s">
        <v>385</v>
      </c>
      <c r="H205" s="463" t="s">
        <v>368</v>
      </c>
      <c r="I205" s="470">
        <v>20250</v>
      </c>
      <c r="J205" s="470">
        <v>462692.25</v>
      </c>
      <c r="K205" s="470">
        <v>5285.46</v>
      </c>
      <c r="L205" s="470">
        <v>6493.9199999999992</v>
      </c>
      <c r="M205" s="470">
        <v>5967.9</v>
      </c>
      <c r="N205" s="470">
        <v>526.01999999999975</v>
      </c>
      <c r="O205" s="470">
        <v>-1208.4599999999991</v>
      </c>
      <c r="P205" s="470">
        <v>177.11779323683405</v>
      </c>
      <c r="Q205" s="470">
        <v>-1385.5777932368333</v>
      </c>
    </row>
    <row r="206" spans="2:17" x14ac:dyDescent="0.2">
      <c r="B206" s="463">
        <v>200458</v>
      </c>
      <c r="C206" s="463" t="s">
        <v>407</v>
      </c>
      <c r="D206" s="463" t="s">
        <v>383</v>
      </c>
      <c r="E206" s="463" t="s">
        <v>393</v>
      </c>
      <c r="F206" s="463">
        <v>11020</v>
      </c>
      <c r="G206" s="463" t="s">
        <v>406</v>
      </c>
      <c r="H206" s="463" t="s">
        <v>370</v>
      </c>
      <c r="I206" s="470">
        <v>54000</v>
      </c>
      <c r="J206" s="470">
        <v>352080</v>
      </c>
      <c r="K206" s="470">
        <v>5257.4399999999896</v>
      </c>
      <c r="L206" s="470">
        <v>4473.7</v>
      </c>
      <c r="M206" s="470">
        <v>4473.7</v>
      </c>
      <c r="N206" s="470">
        <v>0</v>
      </c>
      <c r="O206" s="470">
        <v>783.73999999998978</v>
      </c>
      <c r="P206" s="470">
        <v>176.1480591046116</v>
      </c>
      <c r="Q206" s="470">
        <v>607.59194089537823</v>
      </c>
    </row>
    <row r="207" spans="2:17" x14ac:dyDescent="0.2">
      <c r="B207" s="463">
        <v>200460</v>
      </c>
      <c r="C207" s="463" t="s">
        <v>410</v>
      </c>
      <c r="D207" s="463" t="s">
        <v>383</v>
      </c>
      <c r="E207" s="463" t="s">
        <v>384</v>
      </c>
      <c r="F207" s="463">
        <v>10720</v>
      </c>
      <c r="G207" s="463" t="s">
        <v>371</v>
      </c>
      <c r="H207" s="463" t="s">
        <v>368</v>
      </c>
      <c r="I207" s="470">
        <v>82800</v>
      </c>
      <c r="J207" s="470">
        <v>434286</v>
      </c>
      <c r="K207" s="470">
        <v>4871.6099999999897</v>
      </c>
      <c r="L207" s="470">
        <v>4367.7499999999982</v>
      </c>
      <c r="M207" s="470">
        <v>3403.52</v>
      </c>
      <c r="N207" s="470">
        <v>964.22999999999809</v>
      </c>
      <c r="O207" s="470">
        <v>503.85999999999149</v>
      </c>
      <c r="P207" s="470">
        <v>163.23300484924536</v>
      </c>
      <c r="Q207" s="470">
        <v>340.6269951507461</v>
      </c>
    </row>
    <row r="208" spans="2:17" x14ac:dyDescent="0.2">
      <c r="B208" s="463">
        <v>200458</v>
      </c>
      <c r="C208" s="463" t="s">
        <v>407</v>
      </c>
      <c r="D208" s="463" t="s">
        <v>383</v>
      </c>
      <c r="E208" s="463" t="s">
        <v>384</v>
      </c>
      <c r="F208" s="463">
        <v>10420</v>
      </c>
      <c r="G208" s="463" t="s">
        <v>405</v>
      </c>
      <c r="H208" s="463" t="s">
        <v>370</v>
      </c>
      <c r="I208" s="470">
        <v>13300</v>
      </c>
      <c r="J208" s="470">
        <v>525842.09999999905</v>
      </c>
      <c r="K208" s="470">
        <v>4649.76</v>
      </c>
      <c r="L208" s="470">
        <v>6286.2000000000007</v>
      </c>
      <c r="M208" s="470">
        <v>6079.6600000000008</v>
      </c>
      <c r="N208" s="470">
        <v>206.53999999999991</v>
      </c>
      <c r="O208" s="470">
        <v>-1636.4400000000005</v>
      </c>
      <c r="P208" s="470">
        <v>155.81138396296666</v>
      </c>
      <c r="Q208" s="470">
        <v>-1792.2513839629671</v>
      </c>
    </row>
    <row r="209" spans="2:17" x14ac:dyDescent="0.2">
      <c r="B209" s="463">
        <v>200454</v>
      </c>
      <c r="C209" s="463" t="s">
        <v>401</v>
      </c>
      <c r="D209" s="463" t="s">
        <v>383</v>
      </c>
      <c r="E209" s="463" t="s">
        <v>384</v>
      </c>
      <c r="F209" s="463">
        <v>10970</v>
      </c>
      <c r="G209" s="463" t="s">
        <v>397</v>
      </c>
      <c r="H209" s="463" t="s">
        <v>368</v>
      </c>
      <c r="I209" s="470">
        <v>4290</v>
      </c>
      <c r="J209" s="470">
        <v>394023.63</v>
      </c>
      <c r="K209" s="470">
        <v>4230.2399999999898</v>
      </c>
      <c r="L209" s="470">
        <v>4112.2</v>
      </c>
      <c r="M209" s="470">
        <v>3672.4</v>
      </c>
      <c r="N209" s="470">
        <v>439.79999999999967</v>
      </c>
      <c r="O209" s="470">
        <v>118.03999999998996</v>
      </c>
      <c r="P209" s="470">
        <v>141.74761297260488</v>
      </c>
      <c r="Q209" s="470">
        <v>-23.707612972614925</v>
      </c>
    </row>
    <row r="210" spans="2:17" x14ac:dyDescent="0.2">
      <c r="B210" s="463">
        <v>200452</v>
      </c>
      <c r="C210" s="463" t="s">
        <v>389</v>
      </c>
      <c r="D210" s="463" t="s">
        <v>390</v>
      </c>
      <c r="E210" s="463" t="s">
        <v>393</v>
      </c>
      <c r="F210" s="463">
        <v>10130</v>
      </c>
      <c r="G210" s="463" t="s">
        <v>394</v>
      </c>
      <c r="H210" s="463" t="s">
        <v>392</v>
      </c>
      <c r="I210" s="470">
        <v>6600</v>
      </c>
      <c r="J210" s="470">
        <v>227832</v>
      </c>
      <c r="K210" s="470">
        <v>4088.3699999999899</v>
      </c>
      <c r="L210" s="470">
        <v>3741.32</v>
      </c>
      <c r="M210" s="470">
        <v>3741.32</v>
      </c>
      <c r="N210" s="470">
        <v>0</v>
      </c>
      <c r="O210" s="470">
        <v>347.04999999998972</v>
      </c>
      <c r="P210" s="470">
        <v>136.9811646735902</v>
      </c>
      <c r="Q210" s="470">
        <v>210.06883532639952</v>
      </c>
    </row>
    <row r="211" spans="2:17" x14ac:dyDescent="0.2">
      <c r="B211" s="463">
        <v>200452</v>
      </c>
      <c r="C211" s="463" t="s">
        <v>389</v>
      </c>
      <c r="D211" s="463" t="s">
        <v>390</v>
      </c>
      <c r="E211" s="463" t="s">
        <v>393</v>
      </c>
      <c r="F211" s="463">
        <v>10080</v>
      </c>
      <c r="G211" s="463" t="s">
        <v>394</v>
      </c>
      <c r="H211" s="463" t="s">
        <v>392</v>
      </c>
      <c r="I211" s="470">
        <v>16570</v>
      </c>
      <c r="J211" s="470">
        <v>309693.299999999</v>
      </c>
      <c r="K211" s="470">
        <v>4024.8499999999899</v>
      </c>
      <c r="L211" s="470">
        <v>3315.6799999999898</v>
      </c>
      <c r="M211" s="470">
        <v>3315.6799999999898</v>
      </c>
      <c r="N211" s="470">
        <v>0</v>
      </c>
      <c r="O211" s="470">
        <v>709.17000000000007</v>
      </c>
      <c r="P211" s="470">
        <v>134.85430842524033</v>
      </c>
      <c r="Q211" s="470">
        <v>574.31569157475974</v>
      </c>
    </row>
    <row r="212" spans="2:17" x14ac:dyDescent="0.2">
      <c r="B212" s="463">
        <v>200462</v>
      </c>
      <c r="C212" s="463" t="s">
        <v>419</v>
      </c>
      <c r="D212" s="463" t="s">
        <v>383</v>
      </c>
      <c r="E212" s="463" t="s">
        <v>366</v>
      </c>
      <c r="F212" s="463">
        <v>11560</v>
      </c>
      <c r="G212" s="463" t="s">
        <v>399</v>
      </c>
      <c r="H212" s="463" t="s">
        <v>368</v>
      </c>
      <c r="I212" s="470">
        <v>0</v>
      </c>
      <c r="J212" s="470">
        <v>0</v>
      </c>
      <c r="K212" s="470">
        <v>3900.4699999999898</v>
      </c>
      <c r="L212" s="470">
        <v>0.41999999999999899</v>
      </c>
      <c r="M212" s="470">
        <v>0.41999999999999899</v>
      </c>
      <c r="N212" s="470">
        <v>0</v>
      </c>
      <c r="O212" s="470">
        <v>3900.0499999999897</v>
      </c>
      <c r="P212" s="470">
        <v>130.61234085329821</v>
      </c>
      <c r="Q212" s="470">
        <v>3769.4376591466917</v>
      </c>
    </row>
    <row r="213" spans="2:17" x14ac:dyDescent="0.2">
      <c r="B213" s="463">
        <v>200462</v>
      </c>
      <c r="C213" s="463" t="s">
        <v>419</v>
      </c>
      <c r="D213" s="463" t="s">
        <v>383</v>
      </c>
      <c r="E213" s="463" t="s">
        <v>384</v>
      </c>
      <c r="F213" s="463">
        <v>11530</v>
      </c>
      <c r="G213" s="463" t="s">
        <v>422</v>
      </c>
      <c r="H213" s="463" t="s">
        <v>370</v>
      </c>
      <c r="I213" s="470">
        <v>38406</v>
      </c>
      <c r="J213" s="470">
        <v>395428.17599999899</v>
      </c>
      <c r="K213" s="470">
        <v>3868.6199999999899</v>
      </c>
      <c r="L213" s="470">
        <v>3453.9000000000005</v>
      </c>
      <c r="M213" s="470">
        <v>3152.9400000000005</v>
      </c>
      <c r="N213" s="470">
        <v>300.95999999999998</v>
      </c>
      <c r="O213" s="470">
        <v>414.71999999998934</v>
      </c>
      <c r="P213" s="470">
        <v>129.54250030685688</v>
      </c>
      <c r="Q213" s="470">
        <v>285.17749969313246</v>
      </c>
    </row>
    <row r="214" spans="2:17" x14ac:dyDescent="0.2">
      <c r="B214" s="463">
        <v>200454</v>
      </c>
      <c r="C214" s="463" t="s">
        <v>401</v>
      </c>
      <c r="D214" s="463" t="s">
        <v>383</v>
      </c>
      <c r="E214" s="463" t="s">
        <v>393</v>
      </c>
      <c r="F214" s="463">
        <v>10960</v>
      </c>
      <c r="G214" s="463" t="s">
        <v>397</v>
      </c>
      <c r="H214" s="463" t="s">
        <v>368</v>
      </c>
      <c r="I214" s="470">
        <v>6000</v>
      </c>
      <c r="J214" s="470">
        <v>382122</v>
      </c>
      <c r="K214" s="470">
        <v>3787.92</v>
      </c>
      <c r="L214" s="470">
        <v>3443.69</v>
      </c>
      <c r="M214" s="470">
        <v>3443.69</v>
      </c>
      <c r="N214" s="470">
        <v>0</v>
      </c>
      <c r="O214" s="470">
        <v>344.23</v>
      </c>
      <c r="P214" s="470">
        <v>126.93602834146284</v>
      </c>
      <c r="Q214" s="470">
        <v>217.29397165853717</v>
      </c>
    </row>
    <row r="215" spans="2:17" x14ac:dyDescent="0.2">
      <c r="B215" s="463">
        <v>200461</v>
      </c>
      <c r="C215" s="463" t="s">
        <v>412</v>
      </c>
      <c r="D215" s="463" t="s">
        <v>383</v>
      </c>
      <c r="E215" s="463" t="s">
        <v>393</v>
      </c>
      <c r="F215" s="463">
        <v>11890</v>
      </c>
      <c r="G215" s="463" t="s">
        <v>413</v>
      </c>
      <c r="H215" s="463" t="s">
        <v>368</v>
      </c>
      <c r="I215" s="470">
        <v>550</v>
      </c>
      <c r="J215" s="470">
        <v>36014</v>
      </c>
      <c r="K215" s="470">
        <v>3763.28</v>
      </c>
      <c r="L215" s="470">
        <v>509.48</v>
      </c>
      <c r="M215" s="470">
        <v>509.48</v>
      </c>
      <c r="N215" s="470">
        <v>0</v>
      </c>
      <c r="O215" s="470">
        <v>3253.8</v>
      </c>
      <c r="P215" s="470">
        <v>59.059338512128214</v>
      </c>
      <c r="Q215" s="470">
        <v>3194.7406614878719</v>
      </c>
    </row>
    <row r="216" spans="2:17" x14ac:dyDescent="0.2">
      <c r="B216" s="463">
        <v>200482</v>
      </c>
      <c r="C216" s="463" t="s">
        <v>428</v>
      </c>
      <c r="D216" s="463" t="s">
        <v>383</v>
      </c>
      <c r="E216" s="463" t="s">
        <v>393</v>
      </c>
      <c r="F216" s="463">
        <v>10120</v>
      </c>
      <c r="G216" s="463" t="s">
        <v>394</v>
      </c>
      <c r="H216" s="463" t="s">
        <v>392</v>
      </c>
      <c r="I216" s="470">
        <v>8790</v>
      </c>
      <c r="J216" s="470">
        <v>286466.09999999899</v>
      </c>
      <c r="K216" s="470">
        <v>3461.5</v>
      </c>
      <c r="L216" s="470">
        <v>3090.63</v>
      </c>
      <c r="M216" s="470">
        <v>3090.63</v>
      </c>
      <c r="N216" s="470">
        <v>0</v>
      </c>
      <c r="O216" s="470">
        <v>370.86999999999989</v>
      </c>
      <c r="P216" s="470">
        <v>115.77332971762179</v>
      </c>
      <c r="Q216" s="470">
        <v>255.09667028237811</v>
      </c>
    </row>
    <row r="217" spans="2:17" x14ac:dyDescent="0.2">
      <c r="B217" s="463">
        <v>200460</v>
      </c>
      <c r="C217" s="463" t="s">
        <v>410</v>
      </c>
      <c r="D217" s="463" t="s">
        <v>383</v>
      </c>
      <c r="E217" s="463" t="s">
        <v>384</v>
      </c>
      <c r="F217" s="463">
        <v>10770</v>
      </c>
      <c r="G217" s="463" t="s">
        <v>371</v>
      </c>
      <c r="H217" s="463" t="s">
        <v>368</v>
      </c>
      <c r="I217" s="470">
        <v>17950</v>
      </c>
      <c r="J217" s="470">
        <v>311612</v>
      </c>
      <c r="K217" s="470">
        <v>3411.73</v>
      </c>
      <c r="L217" s="470">
        <v>3171.6699999999996</v>
      </c>
      <c r="M217" s="470">
        <v>2944.29</v>
      </c>
      <c r="N217" s="470">
        <v>227.3799999999996</v>
      </c>
      <c r="O217" s="470">
        <v>240.0600000000004</v>
      </c>
      <c r="P217" s="470">
        <v>114.30226020439159</v>
      </c>
      <c r="Q217" s="470">
        <v>125.75773979560881</v>
      </c>
    </row>
    <row r="218" spans="2:17" x14ac:dyDescent="0.2">
      <c r="B218" s="463">
        <v>200458</v>
      </c>
      <c r="C218" s="463" t="s">
        <v>407</v>
      </c>
      <c r="D218" s="463" t="s">
        <v>122</v>
      </c>
      <c r="E218" s="463" t="s">
        <v>366</v>
      </c>
      <c r="F218" s="463" t="s">
        <v>122</v>
      </c>
      <c r="G218" s="463"/>
      <c r="H218" s="463" t="s">
        <v>122</v>
      </c>
      <c r="I218" s="470">
        <v>0</v>
      </c>
      <c r="J218" s="470">
        <v>0</v>
      </c>
      <c r="K218" s="470">
        <v>3311</v>
      </c>
      <c r="L218" s="470">
        <v>0</v>
      </c>
      <c r="M218" s="470">
        <v>0</v>
      </c>
      <c r="N218" s="470">
        <v>0</v>
      </c>
      <c r="O218" s="470">
        <v>3311</v>
      </c>
      <c r="P218" s="470">
        <v>51.961445816855644</v>
      </c>
      <c r="Q218" s="470">
        <v>3259.0385541831442</v>
      </c>
    </row>
    <row r="219" spans="2:17" x14ac:dyDescent="0.2">
      <c r="B219" s="463">
        <v>200461</v>
      </c>
      <c r="C219" s="463" t="s">
        <v>412</v>
      </c>
      <c r="D219" s="463" t="s">
        <v>383</v>
      </c>
      <c r="E219" s="463" t="s">
        <v>393</v>
      </c>
      <c r="F219" s="463">
        <v>10840</v>
      </c>
      <c r="G219" s="463" t="s">
        <v>396</v>
      </c>
      <c r="H219" s="463" t="s">
        <v>392</v>
      </c>
      <c r="I219" s="470">
        <v>8700</v>
      </c>
      <c r="J219" s="470">
        <v>286230</v>
      </c>
      <c r="K219" s="470">
        <v>3250.03</v>
      </c>
      <c r="L219" s="470">
        <v>2883.20999999999</v>
      </c>
      <c r="M219" s="470">
        <v>2883.20999999999</v>
      </c>
      <c r="N219" s="470">
        <v>0</v>
      </c>
      <c r="O219" s="470">
        <v>366.82000000001017</v>
      </c>
      <c r="P219" s="470">
        <v>108.85460819938247</v>
      </c>
      <c r="Q219" s="470">
        <v>257.96539180062769</v>
      </c>
    </row>
    <row r="220" spans="2:17" x14ac:dyDescent="0.2">
      <c r="B220" s="463">
        <v>200452</v>
      </c>
      <c r="C220" s="463" t="s">
        <v>389</v>
      </c>
      <c r="D220" s="463" t="s">
        <v>390</v>
      </c>
      <c r="E220" s="463" t="s">
        <v>393</v>
      </c>
      <c r="F220" s="463">
        <v>10110</v>
      </c>
      <c r="G220" s="463" t="s">
        <v>394</v>
      </c>
      <c r="H220" s="463" t="s">
        <v>392</v>
      </c>
      <c r="I220" s="470">
        <v>8500</v>
      </c>
      <c r="J220" s="470">
        <v>224060</v>
      </c>
      <c r="K220" s="470">
        <v>3141.4299999999898</v>
      </c>
      <c r="L220" s="470">
        <v>2446.8099999999899</v>
      </c>
      <c r="M220" s="470">
        <v>2446.8099999999899</v>
      </c>
      <c r="N220" s="470">
        <v>0</v>
      </c>
      <c r="O220" s="470">
        <v>694.61999999999989</v>
      </c>
      <c r="P220" s="470">
        <v>105.28028533145404</v>
      </c>
      <c r="Q220" s="470">
        <v>589.33971466854587</v>
      </c>
    </row>
    <row r="221" spans="2:17" x14ac:dyDescent="0.2">
      <c r="B221" s="463">
        <v>200447</v>
      </c>
      <c r="C221" s="463" t="s">
        <v>349</v>
      </c>
      <c r="D221" s="463" t="s">
        <v>383</v>
      </c>
      <c r="E221" s="463" t="s">
        <v>384</v>
      </c>
      <c r="F221" s="463">
        <v>11770</v>
      </c>
      <c r="G221" s="463" t="s">
        <v>388</v>
      </c>
      <c r="H221" s="463" t="s">
        <v>368</v>
      </c>
      <c r="I221" s="470">
        <v>10300</v>
      </c>
      <c r="J221" s="470">
        <v>276349</v>
      </c>
      <c r="K221" s="470">
        <v>3080.8499999999899</v>
      </c>
      <c r="L221" s="470">
        <v>1376.7999999999897</v>
      </c>
      <c r="M221" s="470">
        <v>1278.1199999999899</v>
      </c>
      <c r="N221" s="470">
        <v>98.679999999999907</v>
      </c>
      <c r="O221" s="470">
        <v>1704.0500000000002</v>
      </c>
      <c r="P221" s="470">
        <v>101.87956821046778</v>
      </c>
      <c r="Q221" s="470">
        <v>1602.1704317895324</v>
      </c>
    </row>
    <row r="222" spans="2:17" x14ac:dyDescent="0.2">
      <c r="B222" s="463">
        <v>200469</v>
      </c>
      <c r="C222" s="463" t="s">
        <v>423</v>
      </c>
      <c r="D222" s="463" t="s">
        <v>122</v>
      </c>
      <c r="E222" s="463" t="s">
        <v>366</v>
      </c>
      <c r="F222" s="463" t="s">
        <v>122</v>
      </c>
      <c r="G222" s="463"/>
      <c r="H222" s="463" t="s">
        <v>122</v>
      </c>
      <c r="I222" s="470">
        <v>0</v>
      </c>
      <c r="J222" s="470">
        <v>0</v>
      </c>
      <c r="K222" s="470">
        <v>3014</v>
      </c>
      <c r="L222" s="470">
        <v>0</v>
      </c>
      <c r="M222" s="470">
        <v>0</v>
      </c>
      <c r="N222" s="470">
        <v>0</v>
      </c>
      <c r="O222" s="470">
        <v>3014</v>
      </c>
      <c r="P222" s="470">
        <v>47.300452338267263</v>
      </c>
      <c r="Q222" s="470">
        <v>2966.6995476617326</v>
      </c>
    </row>
    <row r="223" spans="2:17" x14ac:dyDescent="0.2">
      <c r="B223" s="463">
        <v>200461</v>
      </c>
      <c r="C223" s="463" t="s">
        <v>412</v>
      </c>
      <c r="D223" s="463" t="s">
        <v>383</v>
      </c>
      <c r="E223" s="463" t="s">
        <v>384</v>
      </c>
      <c r="F223" s="463">
        <v>10060</v>
      </c>
      <c r="G223" s="463" t="s">
        <v>385</v>
      </c>
      <c r="H223" s="463" t="s">
        <v>368</v>
      </c>
      <c r="I223" s="470">
        <v>12150</v>
      </c>
      <c r="J223" s="470">
        <v>277615.34999999899</v>
      </c>
      <c r="K223" s="470">
        <v>2898.7399999999898</v>
      </c>
      <c r="L223" s="470">
        <v>3896.3199999999988</v>
      </c>
      <c r="M223" s="470">
        <v>3580.7</v>
      </c>
      <c r="N223" s="470">
        <v>315.61999999999875</v>
      </c>
      <c r="O223" s="470">
        <v>-997.58000000000902</v>
      </c>
      <c r="P223" s="470">
        <v>97.10161022263712</v>
      </c>
      <c r="Q223" s="470">
        <v>-1094.6816102226462</v>
      </c>
    </row>
    <row r="224" spans="2:17" x14ac:dyDescent="0.2">
      <c r="B224" s="463">
        <v>200440</v>
      </c>
      <c r="C224" s="463" t="s">
        <v>382</v>
      </c>
      <c r="D224" s="463" t="s">
        <v>383</v>
      </c>
      <c r="E224" s="463" t="s">
        <v>366</v>
      </c>
      <c r="F224" s="463">
        <v>10480</v>
      </c>
      <c r="G224" s="463" t="s">
        <v>369</v>
      </c>
      <c r="H224" s="463" t="s">
        <v>370</v>
      </c>
      <c r="I224" s="470">
        <v>0</v>
      </c>
      <c r="J224" s="470">
        <v>0</v>
      </c>
      <c r="K224" s="470">
        <v>2892.03</v>
      </c>
      <c r="L224" s="470">
        <v>0.20999999999999899</v>
      </c>
      <c r="M224" s="470">
        <v>0.20999999999999899</v>
      </c>
      <c r="N224" s="470">
        <v>0</v>
      </c>
      <c r="O224" s="470">
        <v>2891.82</v>
      </c>
      <c r="P224" s="470">
        <v>80.066306295898812</v>
      </c>
      <c r="Q224" s="470">
        <v>2811.7536937041014</v>
      </c>
    </row>
    <row r="225" spans="2:17" x14ac:dyDescent="0.2">
      <c r="B225" s="463">
        <v>200458</v>
      </c>
      <c r="C225" s="463" t="s">
        <v>407</v>
      </c>
      <c r="D225" s="463" t="s">
        <v>383</v>
      </c>
      <c r="E225" s="463" t="s">
        <v>384</v>
      </c>
      <c r="F225" s="463">
        <v>10280</v>
      </c>
      <c r="G225" s="463" t="s">
        <v>367</v>
      </c>
      <c r="H225" s="463" t="s">
        <v>368</v>
      </c>
      <c r="I225" s="470">
        <v>2730</v>
      </c>
      <c r="J225" s="470">
        <v>247302.51</v>
      </c>
      <c r="K225" s="470">
        <v>2878.1599999999899</v>
      </c>
      <c r="L225" s="470">
        <v>2647.7599999999884</v>
      </c>
      <c r="M225" s="470">
        <v>2375.2599999999884</v>
      </c>
      <c r="N225" s="470">
        <v>272.49999999999994</v>
      </c>
      <c r="O225" s="470">
        <v>230.40000000000146</v>
      </c>
      <c r="P225" s="470">
        <v>96.438636331090422</v>
      </c>
      <c r="Q225" s="470">
        <v>133.96136366891102</v>
      </c>
    </row>
    <row r="226" spans="2:17" x14ac:dyDescent="0.2">
      <c r="B226" s="463">
        <v>200460</v>
      </c>
      <c r="C226" s="463" t="s">
        <v>410</v>
      </c>
      <c r="D226" s="463" t="s">
        <v>383</v>
      </c>
      <c r="E226" s="463" t="s">
        <v>384</v>
      </c>
      <c r="F226" s="463">
        <v>10470</v>
      </c>
      <c r="G226" s="463" t="s">
        <v>369</v>
      </c>
      <c r="H226" s="463" t="s">
        <v>370</v>
      </c>
      <c r="I226" s="470">
        <v>29000</v>
      </c>
      <c r="J226" s="470">
        <v>297250</v>
      </c>
      <c r="K226" s="470">
        <v>2835.6199999999899</v>
      </c>
      <c r="L226" s="470">
        <v>2710.8199999999997</v>
      </c>
      <c r="M226" s="470">
        <v>2479</v>
      </c>
      <c r="N226" s="470">
        <v>231.81999999999968</v>
      </c>
      <c r="O226" s="470">
        <v>124.79999999999018</v>
      </c>
      <c r="P226" s="470">
        <v>95.001031406581603</v>
      </c>
      <c r="Q226" s="470">
        <v>29.798968593408574</v>
      </c>
    </row>
    <row r="227" spans="2:17" x14ac:dyDescent="0.2">
      <c r="B227" s="463">
        <v>200482</v>
      </c>
      <c r="C227" s="463" t="s">
        <v>428</v>
      </c>
      <c r="D227" s="463" t="s">
        <v>383</v>
      </c>
      <c r="E227" s="463" t="s">
        <v>393</v>
      </c>
      <c r="F227" s="463">
        <v>11470</v>
      </c>
      <c r="G227" s="463" t="s">
        <v>429</v>
      </c>
      <c r="H227" s="463" t="s">
        <v>370</v>
      </c>
      <c r="I227" s="470">
        <v>14000</v>
      </c>
      <c r="J227" s="470">
        <v>199920</v>
      </c>
      <c r="K227" s="470">
        <v>2787.5999999999899</v>
      </c>
      <c r="L227" s="470">
        <v>2413.8999999999901</v>
      </c>
      <c r="M227" s="470">
        <v>2413.8999999999901</v>
      </c>
      <c r="N227" s="470">
        <v>0</v>
      </c>
      <c r="O227" s="470">
        <v>373.69999999999982</v>
      </c>
      <c r="P227" s="470">
        <v>93.227425659639451</v>
      </c>
      <c r="Q227" s="470">
        <v>280.47257434036038</v>
      </c>
    </row>
    <row r="228" spans="2:17" x14ac:dyDescent="0.2">
      <c r="B228" s="463">
        <v>200460</v>
      </c>
      <c r="C228" s="463" t="s">
        <v>410</v>
      </c>
      <c r="D228" s="463" t="s">
        <v>383</v>
      </c>
      <c r="E228" s="463" t="s">
        <v>393</v>
      </c>
      <c r="F228" s="463">
        <v>10720</v>
      </c>
      <c r="G228" s="463" t="s">
        <v>371</v>
      </c>
      <c r="H228" s="463" t="s">
        <v>368</v>
      </c>
      <c r="I228" s="470">
        <v>47200</v>
      </c>
      <c r="J228" s="470">
        <v>247564</v>
      </c>
      <c r="K228" s="470">
        <v>2777.05</v>
      </c>
      <c r="L228" s="470">
        <v>2236.98</v>
      </c>
      <c r="M228" s="470">
        <v>2236.98</v>
      </c>
      <c r="N228" s="470">
        <v>0</v>
      </c>
      <c r="O228" s="470">
        <v>540.07000000000016</v>
      </c>
      <c r="P228" s="470">
        <v>93.061858382874945</v>
      </c>
      <c r="Q228" s="470">
        <v>447.0081416171252</v>
      </c>
    </row>
    <row r="229" spans="2:17" x14ac:dyDescent="0.2">
      <c r="B229" s="463">
        <v>200482</v>
      </c>
      <c r="C229" s="463" t="s">
        <v>428</v>
      </c>
      <c r="D229" s="463" t="s">
        <v>383</v>
      </c>
      <c r="E229" s="463" t="s">
        <v>393</v>
      </c>
      <c r="F229" s="463">
        <v>11480</v>
      </c>
      <c r="G229" s="463" t="s">
        <v>404</v>
      </c>
      <c r="H229" s="463" t="s">
        <v>370</v>
      </c>
      <c r="I229" s="470">
        <v>1600</v>
      </c>
      <c r="J229" s="470">
        <v>158288</v>
      </c>
      <c r="K229" s="470">
        <v>2723.1999999999898</v>
      </c>
      <c r="L229" s="470">
        <v>2409.4099999999899</v>
      </c>
      <c r="M229" s="470">
        <v>2409.4099999999899</v>
      </c>
      <c r="N229" s="470">
        <v>0</v>
      </c>
      <c r="O229" s="470">
        <v>313.78999999999996</v>
      </c>
      <c r="P229" s="470">
        <v>91.06675906024175</v>
      </c>
      <c r="Q229" s="470">
        <v>222.72324093975823</v>
      </c>
    </row>
    <row r="230" spans="2:17" x14ac:dyDescent="0.2">
      <c r="B230" s="463">
        <v>200452</v>
      </c>
      <c r="C230" s="463" t="s">
        <v>389</v>
      </c>
      <c r="D230" s="463" t="s">
        <v>390</v>
      </c>
      <c r="E230" s="463" t="s">
        <v>384</v>
      </c>
      <c r="F230" s="463">
        <v>10260</v>
      </c>
      <c r="G230" s="463" t="s">
        <v>367</v>
      </c>
      <c r="H230" s="463" t="s">
        <v>368</v>
      </c>
      <c r="I230" s="470">
        <v>6350</v>
      </c>
      <c r="J230" s="470">
        <v>238525.049999999</v>
      </c>
      <c r="K230" s="470">
        <v>2663.4899999999898</v>
      </c>
      <c r="L230" s="470">
        <v>2025.9399999999998</v>
      </c>
      <c r="M230" s="470">
        <v>1922.3600000000001</v>
      </c>
      <c r="N230" s="470">
        <v>103.57999999999979</v>
      </c>
      <c r="O230" s="470">
        <v>637.54999999998995</v>
      </c>
      <c r="P230" s="470">
        <v>89.249695354495927</v>
      </c>
      <c r="Q230" s="470">
        <v>548.30030464549407</v>
      </c>
    </row>
    <row r="231" spans="2:17" x14ac:dyDescent="0.2">
      <c r="B231" s="463">
        <v>200462</v>
      </c>
      <c r="C231" s="463" t="s">
        <v>419</v>
      </c>
      <c r="D231" s="463" t="s">
        <v>383</v>
      </c>
      <c r="E231" s="463" t="s">
        <v>384</v>
      </c>
      <c r="F231" s="463">
        <v>11560</v>
      </c>
      <c r="G231" s="463" t="s">
        <v>399</v>
      </c>
      <c r="H231" s="463" t="s">
        <v>368</v>
      </c>
      <c r="I231" s="470">
        <v>129800</v>
      </c>
      <c r="J231" s="470">
        <v>722986</v>
      </c>
      <c r="K231" s="470">
        <v>2593.42</v>
      </c>
      <c r="L231" s="470">
        <v>6637.7299999999868</v>
      </c>
      <c r="M231" s="470">
        <v>5088.1699999999892</v>
      </c>
      <c r="N231" s="470">
        <v>1549.5599999999972</v>
      </c>
      <c r="O231" s="470">
        <v>-4044.3099999999868</v>
      </c>
      <c r="P231" s="470">
        <v>86.850046152325504</v>
      </c>
      <c r="Q231" s="470">
        <v>-4131.1600461523121</v>
      </c>
    </row>
    <row r="232" spans="2:17" x14ac:dyDescent="0.2">
      <c r="B232" s="463">
        <v>200440</v>
      </c>
      <c r="C232" s="463" t="s">
        <v>382</v>
      </c>
      <c r="D232" s="463" t="s">
        <v>383</v>
      </c>
      <c r="E232" s="463" t="s">
        <v>384</v>
      </c>
      <c r="F232" s="463">
        <v>10020</v>
      </c>
      <c r="G232" s="463" t="s">
        <v>385</v>
      </c>
      <c r="H232" s="463" t="s">
        <v>368</v>
      </c>
      <c r="I232" s="470">
        <v>30500</v>
      </c>
      <c r="J232" s="470">
        <v>214476</v>
      </c>
      <c r="K232" s="470">
        <v>2568.4099999999899</v>
      </c>
      <c r="L232" s="470">
        <v>2037.1999999999898</v>
      </c>
      <c r="M232" s="470">
        <v>1713.03999999999</v>
      </c>
      <c r="N232" s="470">
        <v>324.15999999999991</v>
      </c>
      <c r="O232" s="470">
        <v>531.21</v>
      </c>
      <c r="P232" s="470">
        <v>71.087549698118295</v>
      </c>
      <c r="Q232" s="470">
        <v>460.12245030188171</v>
      </c>
    </row>
    <row r="233" spans="2:17" x14ac:dyDescent="0.2">
      <c r="B233" s="463">
        <v>200460</v>
      </c>
      <c r="C233" s="463" t="s">
        <v>410</v>
      </c>
      <c r="D233" s="463" t="s">
        <v>383</v>
      </c>
      <c r="E233" s="463" t="s">
        <v>384</v>
      </c>
      <c r="F233" s="463">
        <v>11730</v>
      </c>
      <c r="G233" s="463" t="s">
        <v>409</v>
      </c>
      <c r="H233" s="463" t="s">
        <v>368</v>
      </c>
      <c r="I233" s="470">
        <v>17700</v>
      </c>
      <c r="J233" s="470">
        <v>235463.1</v>
      </c>
      <c r="K233" s="470">
        <v>2527.5</v>
      </c>
      <c r="L233" s="470">
        <v>2381.9699999999884</v>
      </c>
      <c r="M233" s="470">
        <v>2193.7899999999886</v>
      </c>
      <c r="N233" s="470">
        <v>188.17999999999961</v>
      </c>
      <c r="O233" s="470">
        <v>145.53000000001157</v>
      </c>
      <c r="P233" s="470">
        <v>84.705525310209069</v>
      </c>
      <c r="Q233" s="470">
        <v>60.8244746898025</v>
      </c>
    </row>
    <row r="234" spans="2:17" x14ac:dyDescent="0.2">
      <c r="B234" s="463">
        <v>200461</v>
      </c>
      <c r="C234" s="463" t="s">
        <v>412</v>
      </c>
      <c r="D234" s="463" t="s">
        <v>122</v>
      </c>
      <c r="E234" s="463" t="s">
        <v>366</v>
      </c>
      <c r="F234" s="463" t="s">
        <v>122</v>
      </c>
      <c r="G234" s="463"/>
      <c r="H234" s="463" t="s">
        <v>122</v>
      </c>
      <c r="I234" s="470">
        <v>0</v>
      </c>
      <c r="J234" s="470">
        <v>0</v>
      </c>
      <c r="K234" s="470">
        <v>2376</v>
      </c>
      <c r="L234" s="470">
        <v>0</v>
      </c>
      <c r="M234" s="470">
        <v>0</v>
      </c>
      <c r="N234" s="470">
        <v>0</v>
      </c>
      <c r="O234" s="470">
        <v>2376</v>
      </c>
      <c r="P234" s="470">
        <v>37.28794782870704</v>
      </c>
      <c r="Q234" s="470">
        <v>2338.7120521712932</v>
      </c>
    </row>
    <row r="235" spans="2:17" x14ac:dyDescent="0.2">
      <c r="B235" s="463">
        <v>200482</v>
      </c>
      <c r="C235" s="463" t="s">
        <v>428</v>
      </c>
      <c r="D235" s="463" t="s">
        <v>383</v>
      </c>
      <c r="E235" s="463" t="s">
        <v>393</v>
      </c>
      <c r="F235" s="463">
        <v>10100</v>
      </c>
      <c r="G235" s="463" t="s">
        <v>394</v>
      </c>
      <c r="H235" s="463" t="s">
        <v>392</v>
      </c>
      <c r="I235" s="470">
        <v>7130</v>
      </c>
      <c r="J235" s="470">
        <v>207340.399999999</v>
      </c>
      <c r="K235" s="470">
        <v>2257.8299999999899</v>
      </c>
      <c r="L235" s="470">
        <v>1989.9</v>
      </c>
      <c r="M235" s="470">
        <v>1989.9</v>
      </c>
      <c r="N235" s="470">
        <v>0</v>
      </c>
      <c r="O235" s="470">
        <v>267.92999999998983</v>
      </c>
      <c r="P235" s="470">
        <v>75.523437393135183</v>
      </c>
      <c r="Q235" s="470">
        <v>192.40656260685466</v>
      </c>
    </row>
    <row r="236" spans="2:17" x14ac:dyDescent="0.2">
      <c r="B236" s="463">
        <v>200461</v>
      </c>
      <c r="C236" s="463" t="s">
        <v>412</v>
      </c>
      <c r="D236" s="463" t="s">
        <v>383</v>
      </c>
      <c r="E236" s="463" t="s">
        <v>393</v>
      </c>
      <c r="F236" s="463">
        <v>10130</v>
      </c>
      <c r="G236" s="463" t="s">
        <v>394</v>
      </c>
      <c r="H236" s="463" t="s">
        <v>392</v>
      </c>
      <c r="I236" s="470">
        <v>3600</v>
      </c>
      <c r="J236" s="470">
        <v>124272</v>
      </c>
      <c r="K236" s="470">
        <v>2230.02</v>
      </c>
      <c r="L236" s="470">
        <v>2040.72</v>
      </c>
      <c r="M236" s="470">
        <v>2040.72</v>
      </c>
      <c r="N236" s="470">
        <v>0</v>
      </c>
      <c r="O236" s="470">
        <v>189.29999999999995</v>
      </c>
      <c r="P236" s="470">
        <v>74.686998912867523</v>
      </c>
      <c r="Q236" s="470">
        <v>114.61300108713243</v>
      </c>
    </row>
    <row r="237" spans="2:17" x14ac:dyDescent="0.2">
      <c r="B237" s="463">
        <v>200461</v>
      </c>
      <c r="C237" s="463" t="s">
        <v>412</v>
      </c>
      <c r="D237" s="463" t="s">
        <v>383</v>
      </c>
      <c r="E237" s="463" t="s">
        <v>393</v>
      </c>
      <c r="F237" s="463">
        <v>10080</v>
      </c>
      <c r="G237" s="463" t="s">
        <v>394</v>
      </c>
      <c r="H237" s="463" t="s">
        <v>392</v>
      </c>
      <c r="I237" s="470">
        <v>9000</v>
      </c>
      <c r="J237" s="470">
        <v>168210</v>
      </c>
      <c r="K237" s="470">
        <v>2186.0999999999899</v>
      </c>
      <c r="L237" s="470">
        <v>1782.96</v>
      </c>
      <c r="M237" s="470">
        <v>1782.96</v>
      </c>
      <c r="N237" s="470">
        <v>0</v>
      </c>
      <c r="O237" s="470">
        <v>403.13999999998987</v>
      </c>
      <c r="P237" s="470">
        <v>73.227736846942747</v>
      </c>
      <c r="Q237" s="470">
        <v>329.91226315304709</v>
      </c>
    </row>
    <row r="238" spans="2:17" x14ac:dyDescent="0.2">
      <c r="B238" s="463">
        <v>200461</v>
      </c>
      <c r="C238" s="463" t="s">
        <v>412</v>
      </c>
      <c r="D238" s="463" t="s">
        <v>383</v>
      </c>
      <c r="E238" s="463" t="s">
        <v>384</v>
      </c>
      <c r="F238" s="463">
        <v>10260</v>
      </c>
      <c r="G238" s="463" t="s">
        <v>367</v>
      </c>
      <c r="H238" s="463" t="s">
        <v>368</v>
      </c>
      <c r="I238" s="470">
        <v>5200</v>
      </c>
      <c r="J238" s="470">
        <v>195327.6</v>
      </c>
      <c r="K238" s="470">
        <v>2181.1199999999899</v>
      </c>
      <c r="L238" s="470">
        <v>1653.2899999999884</v>
      </c>
      <c r="M238" s="470">
        <v>1568.5399999999888</v>
      </c>
      <c r="N238" s="470">
        <v>84.749999999999588</v>
      </c>
      <c r="O238" s="470">
        <v>527.83000000000152</v>
      </c>
      <c r="P238" s="470">
        <v>73.049582814877525</v>
      </c>
      <c r="Q238" s="470">
        <v>454.78041718512401</v>
      </c>
    </row>
    <row r="239" spans="2:17" x14ac:dyDescent="0.2">
      <c r="B239" s="463">
        <v>200454</v>
      </c>
      <c r="C239" s="463" t="s">
        <v>401</v>
      </c>
      <c r="D239" s="463" t="s">
        <v>383</v>
      </c>
      <c r="E239" s="463" t="s">
        <v>384</v>
      </c>
      <c r="F239" s="463">
        <v>11010</v>
      </c>
      <c r="G239" s="463" t="s">
        <v>406</v>
      </c>
      <c r="H239" s="463" t="s">
        <v>370</v>
      </c>
      <c r="I239" s="470">
        <v>30000</v>
      </c>
      <c r="J239" s="470">
        <v>172260</v>
      </c>
      <c r="K239" s="470">
        <v>2096.4</v>
      </c>
      <c r="L239" s="470">
        <v>1888.9299999999996</v>
      </c>
      <c r="M239" s="470">
        <v>1700.6299999999999</v>
      </c>
      <c r="N239" s="470">
        <v>188.29999999999981</v>
      </c>
      <c r="O239" s="470">
        <v>207.47000000000048</v>
      </c>
      <c r="P239" s="470">
        <v>70.260022654924839</v>
      </c>
      <c r="Q239" s="470">
        <v>137.20997734507563</v>
      </c>
    </row>
    <row r="240" spans="2:17" x14ac:dyDescent="0.2">
      <c r="B240" s="463">
        <v>200462</v>
      </c>
      <c r="C240" s="463" t="s">
        <v>419</v>
      </c>
      <c r="D240" s="463" t="s">
        <v>383</v>
      </c>
      <c r="E240" s="463" t="s">
        <v>384</v>
      </c>
      <c r="F240" s="463">
        <v>11320</v>
      </c>
      <c r="G240" s="463" t="s">
        <v>420</v>
      </c>
      <c r="H240" s="463" t="s">
        <v>370</v>
      </c>
      <c r="I240" s="470">
        <v>138000</v>
      </c>
      <c r="J240" s="470">
        <v>848700</v>
      </c>
      <c r="K240" s="470">
        <v>1930.6199999999899</v>
      </c>
      <c r="L240" s="470">
        <v>7875.6399999999985</v>
      </c>
      <c r="M240" s="470">
        <v>6625.2199999999993</v>
      </c>
      <c r="N240" s="470">
        <v>1250.4199999999989</v>
      </c>
      <c r="O240" s="470">
        <v>-5945.0200000000086</v>
      </c>
      <c r="P240" s="470">
        <v>64.648340840512603</v>
      </c>
      <c r="Q240" s="470">
        <v>-6009.6683408405215</v>
      </c>
    </row>
    <row r="241" spans="2:17" x14ac:dyDescent="0.2">
      <c r="B241" s="463">
        <v>200454</v>
      </c>
      <c r="C241" s="463" t="s">
        <v>401</v>
      </c>
      <c r="D241" s="463" t="s">
        <v>383</v>
      </c>
      <c r="E241" s="463" t="s">
        <v>393</v>
      </c>
      <c r="F241" s="463">
        <v>10590</v>
      </c>
      <c r="G241" s="463" t="s">
        <v>391</v>
      </c>
      <c r="H241" s="463" t="s">
        <v>392</v>
      </c>
      <c r="I241" s="470">
        <v>1600</v>
      </c>
      <c r="J241" s="470">
        <v>110768</v>
      </c>
      <c r="K241" s="470">
        <v>1890.4</v>
      </c>
      <c r="L241" s="470">
        <v>1599.01</v>
      </c>
      <c r="M241" s="470">
        <v>1599.01</v>
      </c>
      <c r="N241" s="470">
        <v>0</v>
      </c>
      <c r="O241" s="470">
        <v>291.3900000000001</v>
      </c>
      <c r="P241" s="470">
        <v>63.337145023311336</v>
      </c>
      <c r="Q241" s="470">
        <v>228.05285497668876</v>
      </c>
    </row>
    <row r="242" spans="2:17" x14ac:dyDescent="0.2">
      <c r="B242" s="463">
        <v>200458</v>
      </c>
      <c r="C242" s="463" t="s">
        <v>407</v>
      </c>
      <c r="D242" s="463" t="s">
        <v>383</v>
      </c>
      <c r="E242" s="463" t="s">
        <v>384</v>
      </c>
      <c r="F242" s="463">
        <v>10020</v>
      </c>
      <c r="G242" s="463" t="s">
        <v>385</v>
      </c>
      <c r="H242" s="463" t="s">
        <v>368</v>
      </c>
      <c r="I242" s="470">
        <v>24350</v>
      </c>
      <c r="J242" s="470">
        <v>171229.2</v>
      </c>
      <c r="K242" s="470">
        <v>1882.21</v>
      </c>
      <c r="L242" s="470">
        <v>1690.8399999999899</v>
      </c>
      <c r="M242" s="470">
        <v>1439.8199999999899</v>
      </c>
      <c r="N242" s="470">
        <v>251.0199999999999</v>
      </c>
      <c r="O242" s="470">
        <v>191.37000000001012</v>
      </c>
      <c r="P242" s="470">
        <v>63.078614597083487</v>
      </c>
      <c r="Q242" s="470">
        <v>128.29138540292664</v>
      </c>
    </row>
    <row r="243" spans="2:17" x14ac:dyDescent="0.2">
      <c r="B243" s="463">
        <v>200460</v>
      </c>
      <c r="C243" s="463" t="s">
        <v>410</v>
      </c>
      <c r="D243" s="463" t="s">
        <v>122</v>
      </c>
      <c r="E243" s="463" t="s">
        <v>366</v>
      </c>
      <c r="F243" s="463" t="s">
        <v>122</v>
      </c>
      <c r="G243" s="463"/>
      <c r="H243" s="463" t="s">
        <v>122</v>
      </c>
      <c r="I243" s="470">
        <v>0</v>
      </c>
      <c r="J243" s="470">
        <v>0</v>
      </c>
      <c r="K243" s="470">
        <v>1862</v>
      </c>
      <c r="L243" s="470">
        <v>0</v>
      </c>
      <c r="M243" s="470">
        <v>0</v>
      </c>
      <c r="N243" s="470">
        <v>0</v>
      </c>
      <c r="O243" s="470">
        <v>1862</v>
      </c>
      <c r="P243" s="470">
        <v>29.221447330409308</v>
      </c>
      <c r="Q243" s="470">
        <v>1832.7785526695907</v>
      </c>
    </row>
    <row r="244" spans="2:17" x14ac:dyDescent="0.2">
      <c r="B244" s="463">
        <v>200454</v>
      </c>
      <c r="C244" s="463" t="s">
        <v>401</v>
      </c>
      <c r="D244" s="463" t="s">
        <v>383</v>
      </c>
      <c r="E244" s="463" t="s">
        <v>384</v>
      </c>
      <c r="F244" s="463">
        <v>10030</v>
      </c>
      <c r="G244" s="463" t="s">
        <v>385</v>
      </c>
      <c r="H244" s="463" t="s">
        <v>368</v>
      </c>
      <c r="I244" s="470">
        <v>13600</v>
      </c>
      <c r="J244" s="470">
        <v>131280.799999999</v>
      </c>
      <c r="K244" s="470">
        <v>1779.96</v>
      </c>
      <c r="L244" s="470">
        <v>1221.5499999999997</v>
      </c>
      <c r="M244" s="470">
        <v>1114.6300000000001</v>
      </c>
      <c r="N244" s="470">
        <v>106.9199999999997</v>
      </c>
      <c r="O244" s="470">
        <v>558.41000000000031</v>
      </c>
      <c r="P244" s="470">
        <v>59.673945966828839</v>
      </c>
      <c r="Q244" s="470">
        <v>498.73605403317146</v>
      </c>
    </row>
    <row r="245" spans="2:17" x14ac:dyDescent="0.2">
      <c r="B245" s="463">
        <v>200454</v>
      </c>
      <c r="C245" s="463" t="s">
        <v>401</v>
      </c>
      <c r="D245" s="463" t="s">
        <v>383</v>
      </c>
      <c r="E245" s="463" t="s">
        <v>393</v>
      </c>
      <c r="F245" s="463">
        <v>11500</v>
      </c>
      <c r="G245" s="463" t="s">
        <v>404</v>
      </c>
      <c r="H245" s="463" t="s">
        <v>370</v>
      </c>
      <c r="I245" s="470">
        <v>600</v>
      </c>
      <c r="J245" s="470">
        <v>115584</v>
      </c>
      <c r="K245" s="470">
        <v>1763.64</v>
      </c>
      <c r="L245" s="470">
        <v>1484.39</v>
      </c>
      <c r="M245" s="470">
        <v>1484.39</v>
      </c>
      <c r="N245" s="470">
        <v>0</v>
      </c>
      <c r="O245" s="470">
        <v>279.25</v>
      </c>
      <c r="P245" s="470">
        <v>59.107826729217521</v>
      </c>
      <c r="Q245" s="470">
        <v>220.14217327078248</v>
      </c>
    </row>
    <row r="246" spans="2:17" x14ac:dyDescent="0.2">
      <c r="B246" s="463">
        <v>200460</v>
      </c>
      <c r="C246" s="463" t="s">
        <v>410</v>
      </c>
      <c r="D246" s="463" t="s">
        <v>383</v>
      </c>
      <c r="E246" s="463" t="s">
        <v>384</v>
      </c>
      <c r="F246" s="463">
        <v>10450</v>
      </c>
      <c r="G246" s="463" t="s">
        <v>369</v>
      </c>
      <c r="H246" s="463" t="s">
        <v>370</v>
      </c>
      <c r="I246" s="470">
        <v>36000</v>
      </c>
      <c r="J246" s="470">
        <v>187056</v>
      </c>
      <c r="K246" s="470">
        <v>1650.24</v>
      </c>
      <c r="L246" s="470">
        <v>1569.39</v>
      </c>
      <c r="M246" s="470">
        <v>1330.5400000000002</v>
      </c>
      <c r="N246" s="470">
        <v>238.84999999999982</v>
      </c>
      <c r="O246" s="470">
        <v>80.849999999999909</v>
      </c>
      <c r="P246" s="470">
        <v>55.298174673756513</v>
      </c>
      <c r="Q246" s="470">
        <v>25.551825326243396</v>
      </c>
    </row>
    <row r="247" spans="2:17" x14ac:dyDescent="0.2">
      <c r="B247" s="463">
        <v>200454</v>
      </c>
      <c r="C247" s="463" t="s">
        <v>401</v>
      </c>
      <c r="D247" s="463" t="s">
        <v>383</v>
      </c>
      <c r="E247" s="463" t="s">
        <v>384</v>
      </c>
      <c r="F247" s="463">
        <v>10790</v>
      </c>
      <c r="G247" s="463" t="s">
        <v>371</v>
      </c>
      <c r="H247" s="463" t="s">
        <v>368</v>
      </c>
      <c r="I247" s="470">
        <v>4800</v>
      </c>
      <c r="J247" s="470">
        <v>142660.799999999</v>
      </c>
      <c r="K247" s="470">
        <v>1545.8</v>
      </c>
      <c r="L247" s="470">
        <v>1211.3200000000002</v>
      </c>
      <c r="M247" s="470">
        <v>1136.8400000000001</v>
      </c>
      <c r="N247" s="470">
        <v>74.48</v>
      </c>
      <c r="O247" s="470">
        <v>334.47999999999979</v>
      </c>
      <c r="P247" s="470">
        <v>51.799137101689929</v>
      </c>
      <c r="Q247" s="470">
        <v>282.68086289830984</v>
      </c>
    </row>
    <row r="248" spans="2:17" x14ac:dyDescent="0.2">
      <c r="B248" s="463">
        <v>200461</v>
      </c>
      <c r="C248" s="463" t="s">
        <v>412</v>
      </c>
      <c r="D248" s="463" t="s">
        <v>383</v>
      </c>
      <c r="E248" s="463" t="s">
        <v>384</v>
      </c>
      <c r="F248" s="463">
        <v>10950</v>
      </c>
      <c r="G248" s="463" t="s">
        <v>397</v>
      </c>
      <c r="H248" s="463" t="s">
        <v>368</v>
      </c>
      <c r="I248" s="470">
        <v>3600</v>
      </c>
      <c r="J248" s="470">
        <v>137890.799999999</v>
      </c>
      <c r="K248" s="470">
        <v>1435.48</v>
      </c>
      <c r="L248" s="470">
        <v>1206.1699999999901</v>
      </c>
      <c r="M248" s="470">
        <v>1143.1099999999901</v>
      </c>
      <c r="N248" s="470">
        <v>63.059999999999896</v>
      </c>
      <c r="O248" s="470">
        <v>229.31000000000995</v>
      </c>
      <c r="P248" s="470">
        <v>48.077821274895776</v>
      </c>
      <c r="Q248" s="470">
        <v>181.23217872511418</v>
      </c>
    </row>
    <row r="249" spans="2:17" x14ac:dyDescent="0.2">
      <c r="B249" s="463">
        <v>200458</v>
      </c>
      <c r="C249" s="463" t="s">
        <v>407</v>
      </c>
      <c r="D249" s="463" t="s">
        <v>383</v>
      </c>
      <c r="E249" s="463" t="s">
        <v>384</v>
      </c>
      <c r="F249" s="463">
        <v>11710</v>
      </c>
      <c r="G249" s="463" t="s">
        <v>409</v>
      </c>
      <c r="H249" s="463" t="s">
        <v>368</v>
      </c>
      <c r="I249" s="470">
        <v>19900</v>
      </c>
      <c r="J249" s="470">
        <v>132932</v>
      </c>
      <c r="K249" s="470">
        <v>1435.39</v>
      </c>
      <c r="L249" s="470">
        <v>4831.619999999989</v>
      </c>
      <c r="M249" s="470">
        <v>4300.2599999999893</v>
      </c>
      <c r="N249" s="470">
        <v>531.35999999999979</v>
      </c>
      <c r="O249" s="470">
        <v>-3396.2299999999886</v>
      </c>
      <c r="P249" s="470">
        <v>48.116408852629547</v>
      </c>
      <c r="Q249" s="470">
        <v>-3444.346408852618</v>
      </c>
    </row>
    <row r="250" spans="2:17" x14ac:dyDescent="0.2">
      <c r="B250" s="463">
        <v>200440</v>
      </c>
      <c r="C250" s="463" t="s">
        <v>382</v>
      </c>
      <c r="D250" s="463" t="s">
        <v>122</v>
      </c>
      <c r="E250" s="463" t="s">
        <v>366</v>
      </c>
      <c r="F250" s="463" t="s">
        <v>122</v>
      </c>
      <c r="G250" s="463"/>
      <c r="H250" s="463" t="s">
        <v>122</v>
      </c>
      <c r="I250" s="470">
        <v>0</v>
      </c>
      <c r="J250" s="470">
        <v>0</v>
      </c>
      <c r="K250" s="470">
        <v>1390</v>
      </c>
      <c r="L250" s="470">
        <v>0</v>
      </c>
      <c r="M250" s="470">
        <v>0</v>
      </c>
      <c r="N250" s="470">
        <v>0</v>
      </c>
      <c r="O250" s="470">
        <v>1390</v>
      </c>
      <c r="P250" s="470">
        <v>21.814077223023059</v>
      </c>
      <c r="Q250" s="470">
        <v>1368.1859227769769</v>
      </c>
    </row>
    <row r="251" spans="2:17" x14ac:dyDescent="0.2">
      <c r="B251" s="463">
        <v>200452</v>
      </c>
      <c r="C251" s="463" t="s">
        <v>389</v>
      </c>
      <c r="D251" s="463" t="s">
        <v>390</v>
      </c>
      <c r="E251" s="463" t="s">
        <v>384</v>
      </c>
      <c r="F251" s="463">
        <v>10270</v>
      </c>
      <c r="G251" s="463" t="s">
        <v>367</v>
      </c>
      <c r="H251" s="463" t="s">
        <v>368</v>
      </c>
      <c r="I251" s="470">
        <v>2000</v>
      </c>
      <c r="J251" s="470">
        <v>125254</v>
      </c>
      <c r="K251" s="470">
        <v>1389.64</v>
      </c>
      <c r="L251" s="470">
        <v>1258.5099999999998</v>
      </c>
      <c r="M251" s="470">
        <v>1080.6100000000001</v>
      </c>
      <c r="N251" s="470">
        <v>177.89999999999969</v>
      </c>
      <c r="O251" s="470">
        <v>131.13000000000034</v>
      </c>
      <c r="P251" s="470">
        <v>46.558427533957996</v>
      </c>
      <c r="Q251" s="470">
        <v>84.57157246604234</v>
      </c>
    </row>
    <row r="252" spans="2:17" x14ac:dyDescent="0.2">
      <c r="B252" s="463">
        <v>200458</v>
      </c>
      <c r="C252" s="463" t="s">
        <v>407</v>
      </c>
      <c r="D252" s="463" t="s">
        <v>383</v>
      </c>
      <c r="E252" s="463" t="s">
        <v>393</v>
      </c>
      <c r="F252" s="463">
        <v>11700</v>
      </c>
      <c r="G252" s="463" t="s">
        <v>409</v>
      </c>
      <c r="H252" s="463" t="s">
        <v>368</v>
      </c>
      <c r="I252" s="470">
        <v>26000</v>
      </c>
      <c r="J252" s="470">
        <v>120380</v>
      </c>
      <c r="K252" s="470">
        <v>1337.26</v>
      </c>
      <c r="L252" s="470">
        <v>1161.3800000000001</v>
      </c>
      <c r="M252" s="470">
        <v>1161.3800000000001</v>
      </c>
      <c r="N252" s="470">
        <v>0</v>
      </c>
      <c r="O252" s="470">
        <v>175.87999999999988</v>
      </c>
      <c r="P252" s="470">
        <v>44.816397775006934</v>
      </c>
      <c r="Q252" s="470">
        <v>131.06360222499296</v>
      </c>
    </row>
    <row r="253" spans="2:17" x14ac:dyDescent="0.2">
      <c r="B253" s="463">
        <v>200454</v>
      </c>
      <c r="C253" s="463" t="s">
        <v>401</v>
      </c>
      <c r="D253" s="463" t="s">
        <v>383</v>
      </c>
      <c r="E253" s="463" t="s">
        <v>384</v>
      </c>
      <c r="F253" s="463">
        <v>10950</v>
      </c>
      <c r="G253" s="463" t="s">
        <v>397</v>
      </c>
      <c r="H253" s="463" t="s">
        <v>368</v>
      </c>
      <c r="I253" s="470">
        <v>3600</v>
      </c>
      <c r="J253" s="470">
        <v>137890.799999999</v>
      </c>
      <c r="K253" s="470">
        <v>1335.74</v>
      </c>
      <c r="L253" s="470">
        <v>1206.1699999999901</v>
      </c>
      <c r="M253" s="470">
        <v>1143.1099999999901</v>
      </c>
      <c r="N253" s="470">
        <v>63.059999999999896</v>
      </c>
      <c r="O253" s="470">
        <v>129.57000000000994</v>
      </c>
      <c r="P253" s="470">
        <v>44.742543532288238</v>
      </c>
      <c r="Q253" s="470">
        <v>84.827456467721703</v>
      </c>
    </row>
    <row r="254" spans="2:17" x14ac:dyDescent="0.2">
      <c r="B254" s="463">
        <v>200460</v>
      </c>
      <c r="C254" s="463" t="s">
        <v>410</v>
      </c>
      <c r="D254" s="463" t="s">
        <v>383</v>
      </c>
      <c r="E254" s="463" t="s">
        <v>384</v>
      </c>
      <c r="F254" s="463">
        <v>10730</v>
      </c>
      <c r="G254" s="463" t="s">
        <v>371</v>
      </c>
      <c r="H254" s="463" t="s">
        <v>368</v>
      </c>
      <c r="I254" s="470">
        <v>17050</v>
      </c>
      <c r="J254" s="470">
        <v>122623.6</v>
      </c>
      <c r="K254" s="470">
        <v>1300.03</v>
      </c>
      <c r="L254" s="470">
        <v>1280.5899999999997</v>
      </c>
      <c r="M254" s="470">
        <v>1079.27</v>
      </c>
      <c r="N254" s="470">
        <v>201.31999999999971</v>
      </c>
      <c r="O254" s="470">
        <v>19.440000000000282</v>
      </c>
      <c r="P254" s="470">
        <v>43.542125764206205</v>
      </c>
      <c r="Q254" s="470">
        <v>-24.102125764205923</v>
      </c>
    </row>
    <row r="255" spans="2:17" x14ac:dyDescent="0.2">
      <c r="B255" s="463">
        <v>200454</v>
      </c>
      <c r="C255" s="463" t="s">
        <v>401</v>
      </c>
      <c r="D255" s="463" t="s">
        <v>383</v>
      </c>
      <c r="E255" s="463" t="s">
        <v>393</v>
      </c>
      <c r="F255" s="463">
        <v>10570</v>
      </c>
      <c r="G255" s="463" t="s">
        <v>391</v>
      </c>
      <c r="H255" s="463" t="s">
        <v>392</v>
      </c>
      <c r="I255" s="470">
        <v>2700</v>
      </c>
      <c r="J255" s="470">
        <v>118800</v>
      </c>
      <c r="K255" s="470">
        <v>1201.95</v>
      </c>
      <c r="L255" s="470">
        <v>1152.6100000000001</v>
      </c>
      <c r="M255" s="470">
        <v>1152.6100000000001</v>
      </c>
      <c r="N255" s="470">
        <v>0</v>
      </c>
      <c r="O255" s="470">
        <v>49.339999999999918</v>
      </c>
      <c r="P255" s="470">
        <v>40.272899365620553</v>
      </c>
      <c r="Q255" s="470">
        <v>9.067100634379365</v>
      </c>
    </row>
    <row r="256" spans="2:17" x14ac:dyDescent="0.2">
      <c r="B256" s="463">
        <v>200458</v>
      </c>
      <c r="C256" s="463" t="s">
        <v>407</v>
      </c>
      <c r="D256" s="463" t="s">
        <v>383</v>
      </c>
      <c r="E256" s="463" t="s">
        <v>393</v>
      </c>
      <c r="F256" s="463">
        <v>11220</v>
      </c>
      <c r="G256" s="463" t="s">
        <v>387</v>
      </c>
      <c r="H256" s="463" t="s">
        <v>368</v>
      </c>
      <c r="I256" s="470">
        <v>2100</v>
      </c>
      <c r="J256" s="470">
        <v>71610</v>
      </c>
      <c r="K256" s="470">
        <v>1038.45</v>
      </c>
      <c r="L256" s="470">
        <v>915.00999999999897</v>
      </c>
      <c r="M256" s="470">
        <v>915.00999999999897</v>
      </c>
      <c r="N256" s="470">
        <v>0</v>
      </c>
      <c r="O256" s="470">
        <v>123.44000000000108</v>
      </c>
      <c r="P256" s="470">
        <v>34.786998915286546</v>
      </c>
      <c r="Q256" s="470">
        <v>88.653001084714532</v>
      </c>
    </row>
    <row r="257" spans="2:17" x14ac:dyDescent="0.2">
      <c r="B257" s="463">
        <v>200471</v>
      </c>
      <c r="C257" s="463" t="s">
        <v>425</v>
      </c>
      <c r="D257" s="463" t="s">
        <v>122</v>
      </c>
      <c r="E257" s="463" t="s">
        <v>366</v>
      </c>
      <c r="F257" s="463" t="s">
        <v>122</v>
      </c>
      <c r="G257" s="463"/>
      <c r="H257" s="463" t="s">
        <v>122</v>
      </c>
      <c r="I257" s="470">
        <v>0</v>
      </c>
      <c r="J257" s="470">
        <v>0</v>
      </c>
      <c r="K257" s="470">
        <v>968</v>
      </c>
      <c r="L257" s="470">
        <v>0</v>
      </c>
      <c r="M257" s="470">
        <v>0</v>
      </c>
      <c r="N257" s="470">
        <v>0</v>
      </c>
      <c r="O257" s="470">
        <v>968</v>
      </c>
      <c r="P257" s="470">
        <v>15.191386152436202</v>
      </c>
      <c r="Q257" s="470">
        <v>952.80861384756383</v>
      </c>
    </row>
    <row r="258" spans="2:17" x14ac:dyDescent="0.2">
      <c r="B258" s="463">
        <v>200482</v>
      </c>
      <c r="C258" s="463" t="s">
        <v>428</v>
      </c>
      <c r="D258" s="463" t="s">
        <v>122</v>
      </c>
      <c r="E258" s="463" t="s">
        <v>366</v>
      </c>
      <c r="F258" s="463" t="s">
        <v>122</v>
      </c>
      <c r="G258" s="463"/>
      <c r="H258" s="463" t="s">
        <v>122</v>
      </c>
      <c r="I258" s="470">
        <v>0</v>
      </c>
      <c r="J258" s="470">
        <v>0</v>
      </c>
      <c r="K258" s="470">
        <v>945</v>
      </c>
      <c r="L258" s="470">
        <v>0</v>
      </c>
      <c r="M258" s="470">
        <v>0</v>
      </c>
      <c r="N258" s="470">
        <v>0</v>
      </c>
      <c r="O258" s="470">
        <v>945</v>
      </c>
      <c r="P258" s="470">
        <v>14.830433795508482</v>
      </c>
      <c r="Q258" s="470">
        <v>930.1695662044915</v>
      </c>
    </row>
    <row r="259" spans="2:17" x14ac:dyDescent="0.2">
      <c r="B259" s="463">
        <v>200454</v>
      </c>
      <c r="C259" s="463" t="s">
        <v>401</v>
      </c>
      <c r="D259" s="463" t="s">
        <v>383</v>
      </c>
      <c r="E259" s="463" t="s">
        <v>384</v>
      </c>
      <c r="F259" s="463">
        <v>10020</v>
      </c>
      <c r="G259" s="463" t="s">
        <v>385</v>
      </c>
      <c r="H259" s="463" t="s">
        <v>368</v>
      </c>
      <c r="I259" s="470">
        <v>8000</v>
      </c>
      <c r="J259" s="470">
        <v>56256</v>
      </c>
      <c r="K259" s="470">
        <v>744.08</v>
      </c>
      <c r="L259" s="470">
        <v>546.95999999999981</v>
      </c>
      <c r="M259" s="470">
        <v>466.31999999999988</v>
      </c>
      <c r="N259" s="470">
        <v>80.639999999999901</v>
      </c>
      <c r="O259" s="470">
        <v>197.12000000000023</v>
      </c>
      <c r="P259" s="470">
        <v>24.947279554033805</v>
      </c>
      <c r="Q259" s="470">
        <v>172.17272044596643</v>
      </c>
    </row>
    <row r="260" spans="2:17" x14ac:dyDescent="0.2">
      <c r="B260" s="463">
        <v>200461</v>
      </c>
      <c r="C260" s="463" t="s">
        <v>412</v>
      </c>
      <c r="D260" s="463" t="s">
        <v>383</v>
      </c>
      <c r="E260" s="463" t="s">
        <v>384</v>
      </c>
      <c r="F260" s="463">
        <v>11620</v>
      </c>
      <c r="G260" s="463" t="s">
        <v>399</v>
      </c>
      <c r="H260" s="463" t="s">
        <v>368</v>
      </c>
      <c r="I260" s="470">
        <v>2170</v>
      </c>
      <c r="J260" s="470">
        <v>74756.5</v>
      </c>
      <c r="K260" s="470">
        <v>741.80999999999904</v>
      </c>
      <c r="L260" s="470">
        <v>822.93999999999983</v>
      </c>
      <c r="M260" s="470">
        <v>786.49999999999989</v>
      </c>
      <c r="N260" s="470">
        <v>36.44</v>
      </c>
      <c r="O260" s="470">
        <v>-81.130000000000791</v>
      </c>
      <c r="P260" s="470">
        <v>24.861655125763104</v>
      </c>
      <c r="Q260" s="470">
        <v>-105.9916551257639</v>
      </c>
    </row>
    <row r="261" spans="2:17" x14ac:dyDescent="0.2">
      <c r="B261" s="463">
        <v>200458</v>
      </c>
      <c r="C261" s="463" t="s">
        <v>407</v>
      </c>
      <c r="D261" s="463" t="s">
        <v>383</v>
      </c>
      <c r="E261" s="463" t="s">
        <v>384</v>
      </c>
      <c r="F261" s="463">
        <v>10430</v>
      </c>
      <c r="G261" s="463" t="s">
        <v>405</v>
      </c>
      <c r="H261" s="463" t="s">
        <v>370</v>
      </c>
      <c r="I261" s="470">
        <v>1200</v>
      </c>
      <c r="J261" s="470">
        <v>73461.600000000006</v>
      </c>
      <c r="K261" s="470">
        <v>736.88999999999896</v>
      </c>
      <c r="L261" s="470">
        <v>904.46999999999889</v>
      </c>
      <c r="M261" s="470">
        <v>887.02999999999895</v>
      </c>
      <c r="N261" s="470">
        <v>17.43999999999998</v>
      </c>
      <c r="O261" s="470">
        <v>-167.57999999999993</v>
      </c>
      <c r="P261" s="470">
        <v>24.674442708542031</v>
      </c>
      <c r="Q261" s="470">
        <v>-192.25444270854194</v>
      </c>
    </row>
    <row r="262" spans="2:17" x14ac:dyDescent="0.2">
      <c r="B262" s="463">
        <v>200476</v>
      </c>
      <c r="C262" s="463" t="s">
        <v>427</v>
      </c>
      <c r="D262" s="463" t="s">
        <v>122</v>
      </c>
      <c r="E262" s="463" t="s">
        <v>366</v>
      </c>
      <c r="F262" s="463" t="s">
        <v>122</v>
      </c>
      <c r="G262" s="463"/>
      <c r="H262" s="463" t="s">
        <v>122</v>
      </c>
      <c r="I262" s="470">
        <v>0</v>
      </c>
      <c r="J262" s="470">
        <v>0</v>
      </c>
      <c r="K262" s="470">
        <v>704</v>
      </c>
      <c r="L262" s="470">
        <v>0</v>
      </c>
      <c r="M262" s="470">
        <v>0</v>
      </c>
      <c r="N262" s="470">
        <v>0</v>
      </c>
      <c r="O262" s="470">
        <v>704</v>
      </c>
      <c r="P262" s="470">
        <v>11.048280838135419</v>
      </c>
      <c r="Q262" s="470">
        <v>692.95171916186462</v>
      </c>
    </row>
    <row r="263" spans="2:17" x14ac:dyDescent="0.2">
      <c r="B263" s="463">
        <v>200458</v>
      </c>
      <c r="C263" s="463" t="s">
        <v>407</v>
      </c>
      <c r="D263" s="463" t="s">
        <v>383</v>
      </c>
      <c r="E263" s="463" t="s">
        <v>384</v>
      </c>
      <c r="F263" s="463">
        <v>11700</v>
      </c>
      <c r="G263" s="463" t="s">
        <v>409</v>
      </c>
      <c r="H263" s="463" t="s">
        <v>368</v>
      </c>
      <c r="I263" s="470">
        <v>13000</v>
      </c>
      <c r="J263" s="470">
        <v>60190</v>
      </c>
      <c r="K263" s="470">
        <v>668.63</v>
      </c>
      <c r="L263" s="470">
        <v>614.86999999999864</v>
      </c>
      <c r="M263" s="470">
        <v>467.93999999999903</v>
      </c>
      <c r="N263" s="470">
        <v>146.92999999999961</v>
      </c>
      <c r="O263" s="470">
        <v>53.760000000001355</v>
      </c>
      <c r="P263" s="470">
        <v>22.403198887503514</v>
      </c>
      <c r="Q263" s="470">
        <v>31.356801112497841</v>
      </c>
    </row>
    <row r="264" spans="2:17" x14ac:dyDescent="0.2">
      <c r="B264" s="463">
        <v>200461</v>
      </c>
      <c r="C264" s="463" t="s">
        <v>412</v>
      </c>
      <c r="D264" s="463" t="s">
        <v>383</v>
      </c>
      <c r="E264" s="463" t="s">
        <v>393</v>
      </c>
      <c r="F264" s="463">
        <v>11500</v>
      </c>
      <c r="G264" s="463" t="s">
        <v>404</v>
      </c>
      <c r="H264" s="463" t="s">
        <v>370</v>
      </c>
      <c r="I264" s="470">
        <v>150</v>
      </c>
      <c r="J264" s="470">
        <v>28896</v>
      </c>
      <c r="K264" s="470">
        <v>461.22</v>
      </c>
      <c r="L264" s="470">
        <v>371.1</v>
      </c>
      <c r="M264" s="470">
        <v>371.1</v>
      </c>
      <c r="N264" s="470">
        <v>0</v>
      </c>
      <c r="O264" s="470">
        <v>90.12</v>
      </c>
      <c r="P264" s="470">
        <v>15.438193307052286</v>
      </c>
      <c r="Q264" s="470">
        <v>74.681806692947717</v>
      </c>
    </row>
    <row r="265" spans="2:17" x14ac:dyDescent="0.2">
      <c r="B265" s="463">
        <v>200482</v>
      </c>
      <c r="C265" s="463" t="s">
        <v>428</v>
      </c>
      <c r="D265" s="463" t="s">
        <v>383</v>
      </c>
      <c r="E265" s="463" t="s">
        <v>393</v>
      </c>
      <c r="F265" s="463">
        <v>11490</v>
      </c>
      <c r="G265" s="463" t="s">
        <v>404</v>
      </c>
      <c r="H265" s="463" t="s">
        <v>370</v>
      </c>
      <c r="I265" s="470">
        <v>200</v>
      </c>
      <c r="J265" s="470">
        <v>28778</v>
      </c>
      <c r="K265" s="470">
        <v>459.50999999999902</v>
      </c>
      <c r="L265" s="470">
        <v>415.46000000000004</v>
      </c>
      <c r="M265" s="470">
        <v>415.46000000000004</v>
      </c>
      <c r="N265" s="470">
        <v>0</v>
      </c>
      <c r="O265" s="470">
        <v>44.049999999998988</v>
      </c>
      <c r="P265" s="470">
        <v>15.361357283993728</v>
      </c>
      <c r="Q265" s="470">
        <v>28.688642716005262</v>
      </c>
    </row>
    <row r="266" spans="2:17" x14ac:dyDescent="0.2">
      <c r="B266" s="463">
        <v>200454</v>
      </c>
      <c r="C266" s="463" t="s">
        <v>401</v>
      </c>
      <c r="D266" s="463" t="s">
        <v>383</v>
      </c>
      <c r="E266" s="463" t="s">
        <v>393</v>
      </c>
      <c r="F266" s="463">
        <v>10540</v>
      </c>
      <c r="G266" s="463" t="s">
        <v>391</v>
      </c>
      <c r="H266" s="463" t="s">
        <v>392</v>
      </c>
      <c r="I266" s="470">
        <v>1200</v>
      </c>
      <c r="J266" s="470">
        <v>42588</v>
      </c>
      <c r="K266" s="470">
        <v>431.95999999999901</v>
      </c>
      <c r="L266" s="470">
        <v>413.36999999999904</v>
      </c>
      <c r="M266" s="470">
        <v>413.36999999999904</v>
      </c>
      <c r="N266" s="470">
        <v>0</v>
      </c>
      <c r="O266" s="470">
        <v>18.589999999999975</v>
      </c>
      <c r="P266" s="470">
        <v>14.468999134717279</v>
      </c>
      <c r="Q266" s="470">
        <v>4.1210008652826957</v>
      </c>
    </row>
    <row r="267" spans="2:17" x14ac:dyDescent="0.2">
      <c r="B267" s="463">
        <v>200470</v>
      </c>
      <c r="C267" s="463" t="s">
        <v>424</v>
      </c>
      <c r="D267" s="463" t="s">
        <v>122</v>
      </c>
      <c r="E267" s="463" t="s">
        <v>366</v>
      </c>
      <c r="F267" s="463" t="s">
        <v>122</v>
      </c>
      <c r="G267" s="463"/>
      <c r="H267" s="463" t="s">
        <v>122</v>
      </c>
      <c r="I267" s="470">
        <v>0</v>
      </c>
      <c r="J267" s="470">
        <v>0</v>
      </c>
      <c r="K267" s="470">
        <v>407</v>
      </c>
      <c r="L267" s="470">
        <v>0</v>
      </c>
      <c r="M267" s="470">
        <v>0</v>
      </c>
      <c r="N267" s="470">
        <v>0</v>
      </c>
      <c r="O267" s="470">
        <v>407</v>
      </c>
      <c r="P267" s="470">
        <v>6.3872873595470399</v>
      </c>
      <c r="Q267" s="470">
        <v>400.61271264045297</v>
      </c>
    </row>
    <row r="268" spans="2:17" x14ac:dyDescent="0.2">
      <c r="B268" s="463">
        <v>200482</v>
      </c>
      <c r="C268" s="463" t="s">
        <v>428</v>
      </c>
      <c r="D268" s="463" t="s">
        <v>383</v>
      </c>
      <c r="E268" s="463" t="s">
        <v>393</v>
      </c>
      <c r="F268" s="463">
        <v>10200</v>
      </c>
      <c r="G268" s="463" t="s">
        <v>394</v>
      </c>
      <c r="H268" s="463" t="s">
        <v>392</v>
      </c>
      <c r="I268" s="470">
        <v>400</v>
      </c>
      <c r="J268" s="470">
        <v>36060</v>
      </c>
      <c r="K268" s="470">
        <v>396.77999999999901</v>
      </c>
      <c r="L268" s="470">
        <v>355.70000000000005</v>
      </c>
      <c r="M268" s="470">
        <v>355.70000000000005</v>
      </c>
      <c r="N268" s="470">
        <v>0</v>
      </c>
      <c r="O268" s="470">
        <v>41.079999999998961</v>
      </c>
      <c r="P268" s="470">
        <v>13.276898964425213</v>
      </c>
      <c r="Q268" s="470">
        <v>27.803101035573746</v>
      </c>
    </row>
    <row r="269" spans="2:17" x14ac:dyDescent="0.2">
      <c r="B269" s="463">
        <v>200473</v>
      </c>
      <c r="C269" s="463" t="s">
        <v>426</v>
      </c>
      <c r="D269" s="463" t="s">
        <v>122</v>
      </c>
      <c r="E269" s="463" t="s">
        <v>366</v>
      </c>
      <c r="F269" s="463" t="s">
        <v>122</v>
      </c>
      <c r="G269" s="463"/>
      <c r="H269" s="463" t="s">
        <v>122</v>
      </c>
      <c r="I269" s="470">
        <v>0</v>
      </c>
      <c r="J269" s="470">
        <v>0</v>
      </c>
      <c r="K269" s="470">
        <v>341</v>
      </c>
      <c r="L269" s="470">
        <v>0</v>
      </c>
      <c r="M269" s="470">
        <v>0</v>
      </c>
      <c r="N269" s="470">
        <v>0</v>
      </c>
      <c r="O269" s="470">
        <v>341</v>
      </c>
      <c r="P269" s="470">
        <v>5.351511030971845</v>
      </c>
      <c r="Q269" s="470">
        <v>335.64848896902816</v>
      </c>
    </row>
    <row r="270" spans="2:17" x14ac:dyDescent="0.2">
      <c r="B270" s="463">
        <v>200454</v>
      </c>
      <c r="C270" s="463" t="s">
        <v>401</v>
      </c>
      <c r="D270" s="463" t="s">
        <v>383</v>
      </c>
      <c r="E270" s="463" t="s">
        <v>393</v>
      </c>
      <c r="F270" s="463">
        <v>11150</v>
      </c>
      <c r="G270" s="463" t="s">
        <v>398</v>
      </c>
      <c r="H270" s="463" t="s">
        <v>370</v>
      </c>
      <c r="I270" s="470">
        <v>4900</v>
      </c>
      <c r="J270" s="470">
        <v>23961</v>
      </c>
      <c r="K270" s="470">
        <v>297.70999999999901</v>
      </c>
      <c r="L270" s="470">
        <v>277.36999999999898</v>
      </c>
      <c r="M270" s="470">
        <v>277.36999999999898</v>
      </c>
      <c r="N270" s="470">
        <v>0</v>
      </c>
      <c r="O270" s="470">
        <v>20.340000000000032</v>
      </c>
      <c r="P270" s="470">
        <v>9.9921359209109042</v>
      </c>
      <c r="Q270" s="470">
        <v>10.347864079089128</v>
      </c>
    </row>
    <row r="271" spans="2:17" x14ac:dyDescent="0.2">
      <c r="B271" s="463">
        <v>200462</v>
      </c>
      <c r="C271" s="463" t="s">
        <v>419</v>
      </c>
      <c r="D271" s="463" t="s">
        <v>122</v>
      </c>
      <c r="E271" s="463" t="s">
        <v>366</v>
      </c>
      <c r="F271" s="463" t="s">
        <v>122</v>
      </c>
      <c r="G271" s="463"/>
      <c r="H271" s="463" t="s">
        <v>122</v>
      </c>
      <c r="I271" s="470">
        <v>0</v>
      </c>
      <c r="J271" s="470">
        <v>0</v>
      </c>
      <c r="K271" s="470">
        <v>294</v>
      </c>
      <c r="L271" s="470">
        <v>0</v>
      </c>
      <c r="M271" s="470">
        <v>0</v>
      </c>
      <c r="N271" s="470">
        <v>0</v>
      </c>
      <c r="O271" s="470">
        <v>294</v>
      </c>
      <c r="P271" s="470">
        <v>4.6139127363804171</v>
      </c>
      <c r="Q271" s="470">
        <v>289.38608726361957</v>
      </c>
    </row>
    <row r="272" spans="2:17" x14ac:dyDescent="0.2">
      <c r="B272" s="463">
        <v>200458</v>
      </c>
      <c r="C272" s="463" t="s">
        <v>407</v>
      </c>
      <c r="D272" s="463" t="s">
        <v>383</v>
      </c>
      <c r="E272" s="463" t="s">
        <v>393</v>
      </c>
      <c r="F272" s="463">
        <v>10980</v>
      </c>
      <c r="G272" s="463" t="s">
        <v>402</v>
      </c>
      <c r="H272" s="463" t="s">
        <v>370</v>
      </c>
      <c r="I272" s="470">
        <v>3000</v>
      </c>
      <c r="J272" s="470">
        <v>6420</v>
      </c>
      <c r="K272" s="470">
        <v>122.01</v>
      </c>
      <c r="L272" s="470">
        <v>106.78</v>
      </c>
      <c r="M272" s="470">
        <v>106.78</v>
      </c>
      <c r="N272" s="470">
        <v>0</v>
      </c>
      <c r="O272" s="470">
        <v>15.230000000000004</v>
      </c>
      <c r="P272" s="470">
        <v>4.0747737855978734</v>
      </c>
      <c r="Q272" s="470">
        <v>11.155226214402131</v>
      </c>
    </row>
    <row r="273" spans="2:17" x14ac:dyDescent="0.2">
      <c r="B273" s="463">
        <v>200482</v>
      </c>
      <c r="C273" s="463" t="s">
        <v>428</v>
      </c>
      <c r="D273" s="463" t="s">
        <v>383</v>
      </c>
      <c r="E273" s="463" t="s">
        <v>393</v>
      </c>
      <c r="F273" s="463">
        <v>10180</v>
      </c>
      <c r="G273" s="463" t="s">
        <v>394</v>
      </c>
      <c r="H273" s="463" t="s">
        <v>392</v>
      </c>
      <c r="I273" s="470">
        <v>200</v>
      </c>
      <c r="J273" s="470">
        <v>10286</v>
      </c>
      <c r="K273" s="470">
        <v>108.97</v>
      </c>
      <c r="L273" s="470">
        <v>110.95</v>
      </c>
      <c r="M273" s="470">
        <v>110.95</v>
      </c>
      <c r="N273" s="470">
        <v>0</v>
      </c>
      <c r="O273" s="470">
        <v>-1.980000000000004</v>
      </c>
      <c r="P273" s="470">
        <v>3.6201294928005923</v>
      </c>
      <c r="Q273" s="470">
        <v>-5.6001294928005958</v>
      </c>
    </row>
    <row r="274" spans="2:17" x14ac:dyDescent="0.2">
      <c r="B274" s="463">
        <v>200452</v>
      </c>
      <c r="C274" s="463" t="s">
        <v>389</v>
      </c>
      <c r="D274" s="463" t="s">
        <v>390</v>
      </c>
      <c r="E274" s="463" t="s">
        <v>366</v>
      </c>
      <c r="F274" s="463">
        <v>10550</v>
      </c>
      <c r="G274" s="463" t="s">
        <v>391</v>
      </c>
      <c r="H274" s="463" t="s">
        <v>392</v>
      </c>
      <c r="I274" s="470">
        <v>0</v>
      </c>
      <c r="J274" s="470">
        <v>0</v>
      </c>
      <c r="K274" s="470">
        <v>0.76</v>
      </c>
      <c r="L274" s="470">
        <v>0</v>
      </c>
      <c r="M274" s="470">
        <v>0</v>
      </c>
      <c r="N274" s="470">
        <v>0</v>
      </c>
      <c r="O274" s="470">
        <v>0.76</v>
      </c>
      <c r="P274" s="470">
        <v>1.1927121359350737E-2</v>
      </c>
      <c r="Q274" s="470">
        <v>0.74807287864064931</v>
      </c>
    </row>
    <row r="275" spans="2:17" x14ac:dyDescent="0.2">
      <c r="B275" s="463">
        <v>200447</v>
      </c>
      <c r="C275" s="463" t="s">
        <v>349</v>
      </c>
      <c r="D275" s="463" t="s">
        <v>383</v>
      </c>
      <c r="E275" s="463" t="s">
        <v>366</v>
      </c>
      <c r="F275" s="463">
        <v>11210</v>
      </c>
      <c r="G275" s="463" t="s">
        <v>387</v>
      </c>
      <c r="H275" s="463" t="s">
        <v>368</v>
      </c>
      <c r="I275" s="470">
        <v>0</v>
      </c>
      <c r="J275" s="470">
        <v>0</v>
      </c>
      <c r="K275" s="470">
        <v>0.70999999999999897</v>
      </c>
      <c r="L275" s="470">
        <v>0</v>
      </c>
      <c r="M275" s="470">
        <v>0</v>
      </c>
      <c r="N275" s="470">
        <v>0</v>
      </c>
      <c r="O275" s="470">
        <v>0.70999999999999897</v>
      </c>
      <c r="P275" s="470">
        <v>3.1142442322551329E-2</v>
      </c>
      <c r="Q275" s="470">
        <v>0.6788575576774476</v>
      </c>
    </row>
    <row r="276" spans="2:17" x14ac:dyDescent="0.2">
      <c r="B276" s="463" t="s">
        <v>122</v>
      </c>
      <c r="C276" s="463"/>
      <c r="D276" s="463" t="s">
        <v>122</v>
      </c>
      <c r="E276" s="463" t="s">
        <v>366</v>
      </c>
      <c r="F276" s="463" t="s">
        <v>122</v>
      </c>
      <c r="G276" s="463"/>
      <c r="H276" s="463" t="s">
        <v>122</v>
      </c>
      <c r="I276" s="470">
        <v>0</v>
      </c>
      <c r="J276" s="470">
        <v>0</v>
      </c>
      <c r="K276" s="470">
        <v>0</v>
      </c>
      <c r="L276" s="470">
        <v>0</v>
      </c>
      <c r="M276" s="470">
        <v>0</v>
      </c>
      <c r="N276" s="470">
        <v>0</v>
      </c>
      <c r="O276" s="470">
        <v>0</v>
      </c>
      <c r="P276" s="470">
        <v>0</v>
      </c>
      <c r="Q276" s="470">
        <v>0</v>
      </c>
    </row>
    <row r="277" spans="2:17" x14ac:dyDescent="0.2">
      <c r="B277" s="463" t="s">
        <v>122</v>
      </c>
      <c r="C277" s="463"/>
      <c r="D277" s="463" t="s">
        <v>122</v>
      </c>
      <c r="E277" s="463" t="s">
        <v>366</v>
      </c>
      <c r="F277" s="463">
        <v>10260</v>
      </c>
      <c r="G277" s="463" t="s">
        <v>367</v>
      </c>
      <c r="H277" s="463" t="s">
        <v>368</v>
      </c>
      <c r="I277" s="470">
        <v>0</v>
      </c>
      <c r="J277" s="470">
        <v>0</v>
      </c>
      <c r="K277" s="470">
        <v>0</v>
      </c>
      <c r="L277" s="470">
        <v>-0.01</v>
      </c>
      <c r="M277" s="470">
        <v>-0.01</v>
      </c>
      <c r="N277" s="470">
        <v>0</v>
      </c>
      <c r="O277" s="470">
        <v>0.01</v>
      </c>
      <c r="P277" s="470">
        <v>0</v>
      </c>
      <c r="Q277" s="470">
        <v>0.01</v>
      </c>
    </row>
    <row r="278" spans="2:17" x14ac:dyDescent="0.2">
      <c r="B278" s="463" t="s">
        <v>122</v>
      </c>
      <c r="C278" s="463"/>
      <c r="D278" s="463" t="s">
        <v>122</v>
      </c>
      <c r="E278" s="463" t="s">
        <v>366</v>
      </c>
      <c r="F278" s="463">
        <v>10490</v>
      </c>
      <c r="G278" s="463" t="s">
        <v>369</v>
      </c>
      <c r="H278" s="463" t="s">
        <v>370</v>
      </c>
      <c r="I278" s="470">
        <v>0</v>
      </c>
      <c r="J278" s="470">
        <v>0</v>
      </c>
      <c r="K278" s="470">
        <v>0</v>
      </c>
      <c r="L278" s="470">
        <v>-13706.49</v>
      </c>
      <c r="M278" s="470">
        <v>-13706.49</v>
      </c>
      <c r="N278" s="470">
        <v>0</v>
      </c>
      <c r="O278" s="470">
        <v>13706.49</v>
      </c>
      <c r="P278" s="470">
        <v>0</v>
      </c>
      <c r="Q278" s="470">
        <v>13706.49</v>
      </c>
    </row>
    <row r="279" spans="2:17" x14ac:dyDescent="0.2">
      <c r="B279" s="463" t="s">
        <v>122</v>
      </c>
      <c r="C279" s="463"/>
      <c r="D279" s="463" t="s">
        <v>122</v>
      </c>
      <c r="E279" s="463" t="s">
        <v>366</v>
      </c>
      <c r="F279" s="463">
        <v>10730</v>
      </c>
      <c r="G279" s="463" t="s">
        <v>371</v>
      </c>
      <c r="H279" s="463" t="s">
        <v>368</v>
      </c>
      <c r="I279" s="470">
        <v>0</v>
      </c>
      <c r="J279" s="470">
        <v>0</v>
      </c>
      <c r="K279" s="470">
        <v>0</v>
      </c>
      <c r="L279" s="470">
        <v>-0.01</v>
      </c>
      <c r="M279" s="470">
        <v>-0.01</v>
      </c>
      <c r="N279" s="470">
        <v>0</v>
      </c>
      <c r="O279" s="470">
        <v>0.01</v>
      </c>
      <c r="P279" s="470">
        <v>0</v>
      </c>
      <c r="Q279" s="470">
        <v>0.01</v>
      </c>
    </row>
    <row r="280" spans="2:17" x14ac:dyDescent="0.2">
      <c r="B280" s="463" t="s">
        <v>122</v>
      </c>
      <c r="C280" s="463"/>
      <c r="D280" s="463" t="s">
        <v>122</v>
      </c>
      <c r="E280" s="463" t="s">
        <v>366</v>
      </c>
      <c r="F280" s="463">
        <v>20001</v>
      </c>
      <c r="G280" s="463" t="s">
        <v>372</v>
      </c>
      <c r="H280" s="463" t="s">
        <v>373</v>
      </c>
      <c r="I280" s="470">
        <v>0</v>
      </c>
      <c r="J280" s="470">
        <v>0</v>
      </c>
      <c r="K280" s="470">
        <v>0</v>
      </c>
      <c r="L280" s="470">
        <v>0.02</v>
      </c>
      <c r="M280" s="470">
        <v>0.02</v>
      </c>
      <c r="N280" s="470">
        <v>0</v>
      </c>
      <c r="O280" s="470">
        <v>-0.02</v>
      </c>
      <c r="P280" s="470">
        <v>0</v>
      </c>
      <c r="Q280" s="470">
        <v>-0.02</v>
      </c>
    </row>
    <row r="281" spans="2:17" x14ac:dyDescent="0.2">
      <c r="B281" s="463" t="s">
        <v>122</v>
      </c>
      <c r="C281" s="463"/>
      <c r="D281" s="463" t="s">
        <v>122</v>
      </c>
      <c r="E281" s="463" t="s">
        <v>366</v>
      </c>
      <c r="F281" s="463">
        <v>20002</v>
      </c>
      <c r="G281" s="463" t="s">
        <v>374</v>
      </c>
      <c r="H281" s="463" t="s">
        <v>373</v>
      </c>
      <c r="I281" s="470">
        <v>0</v>
      </c>
      <c r="J281" s="470">
        <v>0</v>
      </c>
      <c r="K281" s="470">
        <v>0</v>
      </c>
      <c r="L281" s="470">
        <v>-37330.86</v>
      </c>
      <c r="M281" s="470">
        <v>-37330.86</v>
      </c>
      <c r="N281" s="470">
        <v>0</v>
      </c>
      <c r="O281" s="470">
        <v>37330.86</v>
      </c>
      <c r="P281" s="470">
        <v>0</v>
      </c>
      <c r="Q281" s="470">
        <v>37330.86</v>
      </c>
    </row>
    <row r="282" spans="2:17" x14ac:dyDescent="0.2">
      <c r="B282" s="463" t="s">
        <v>122</v>
      </c>
      <c r="C282" s="463"/>
      <c r="D282" s="463" t="s">
        <v>122</v>
      </c>
      <c r="E282" s="463" t="s">
        <v>366</v>
      </c>
      <c r="F282" s="463">
        <v>20004</v>
      </c>
      <c r="G282" s="463" t="s">
        <v>375</v>
      </c>
      <c r="H282" s="463" t="s">
        <v>373</v>
      </c>
      <c r="I282" s="470">
        <v>0</v>
      </c>
      <c r="J282" s="470">
        <v>0</v>
      </c>
      <c r="K282" s="470">
        <v>0</v>
      </c>
      <c r="L282" s="470">
        <v>-18342.32</v>
      </c>
      <c r="M282" s="470">
        <v>-18342.32</v>
      </c>
      <c r="N282" s="470">
        <v>0</v>
      </c>
      <c r="O282" s="470">
        <v>18342.32</v>
      </c>
      <c r="P282" s="470">
        <v>0</v>
      </c>
      <c r="Q282" s="470">
        <v>18342.32</v>
      </c>
    </row>
    <row r="283" spans="2:17" x14ac:dyDescent="0.2">
      <c r="B283" s="463" t="s">
        <v>122</v>
      </c>
      <c r="C283" s="463"/>
      <c r="D283" s="463" t="s">
        <v>122</v>
      </c>
      <c r="E283" s="463" t="s">
        <v>366</v>
      </c>
      <c r="F283" s="463">
        <v>20008</v>
      </c>
      <c r="G283" s="463" t="s">
        <v>376</v>
      </c>
      <c r="H283" s="463" t="s">
        <v>373</v>
      </c>
      <c r="I283" s="470">
        <v>0</v>
      </c>
      <c r="J283" s="470">
        <v>0</v>
      </c>
      <c r="K283" s="470">
        <v>0</v>
      </c>
      <c r="L283" s="470">
        <v>-0.01</v>
      </c>
      <c r="M283" s="470">
        <v>-0.01</v>
      </c>
      <c r="N283" s="470">
        <v>0</v>
      </c>
      <c r="O283" s="470">
        <v>0.01</v>
      </c>
      <c r="P283" s="470">
        <v>0</v>
      </c>
      <c r="Q283" s="470">
        <v>0.01</v>
      </c>
    </row>
    <row r="284" spans="2:17" x14ac:dyDescent="0.2">
      <c r="B284" s="463" t="s">
        <v>122</v>
      </c>
      <c r="C284" s="463"/>
      <c r="D284" s="463" t="s">
        <v>122</v>
      </c>
      <c r="E284" s="463" t="s">
        <v>366</v>
      </c>
      <c r="F284" s="463">
        <v>20012</v>
      </c>
      <c r="G284" s="463" t="s">
        <v>377</v>
      </c>
      <c r="H284" s="463" t="s">
        <v>373</v>
      </c>
      <c r="I284" s="470">
        <v>0</v>
      </c>
      <c r="J284" s="470">
        <v>0</v>
      </c>
      <c r="K284" s="470">
        <v>0</v>
      </c>
      <c r="L284" s="470">
        <v>-2886.4299999999898</v>
      </c>
      <c r="M284" s="470">
        <v>-2886.4299999999898</v>
      </c>
      <c r="N284" s="470">
        <v>0</v>
      </c>
      <c r="O284" s="470">
        <v>2886.4299999999898</v>
      </c>
      <c r="P284" s="470">
        <v>0</v>
      </c>
      <c r="Q284" s="470">
        <v>2886.4299999999898</v>
      </c>
    </row>
    <row r="285" spans="2:17" x14ac:dyDescent="0.2">
      <c r="B285" s="463" t="s">
        <v>122</v>
      </c>
      <c r="C285" s="463"/>
      <c r="D285" s="463" t="s">
        <v>122</v>
      </c>
      <c r="E285" s="463" t="s">
        <v>366</v>
      </c>
      <c r="F285" s="463">
        <v>20023</v>
      </c>
      <c r="G285" s="463" t="s">
        <v>378</v>
      </c>
      <c r="H285" s="463" t="s">
        <v>373</v>
      </c>
      <c r="I285" s="470">
        <v>0</v>
      </c>
      <c r="J285" s="470">
        <v>0</v>
      </c>
      <c r="K285" s="470">
        <v>0</v>
      </c>
      <c r="L285" s="470">
        <v>0</v>
      </c>
      <c r="M285" s="470">
        <v>0</v>
      </c>
      <c r="N285" s="470">
        <v>0</v>
      </c>
      <c r="O285" s="470">
        <v>0</v>
      </c>
      <c r="P285" s="470">
        <v>0</v>
      </c>
      <c r="Q285" s="470">
        <v>0</v>
      </c>
    </row>
    <row r="286" spans="2:17" x14ac:dyDescent="0.2">
      <c r="B286" s="463" t="s">
        <v>122</v>
      </c>
      <c r="C286" s="463"/>
      <c r="D286" s="463" t="s">
        <v>122</v>
      </c>
      <c r="E286" s="463" t="s">
        <v>366</v>
      </c>
      <c r="F286" s="463">
        <v>30003</v>
      </c>
      <c r="G286" s="463" t="s">
        <v>379</v>
      </c>
      <c r="H286" s="463" t="s">
        <v>122</v>
      </c>
      <c r="I286" s="470">
        <v>0</v>
      </c>
      <c r="J286" s="470">
        <v>0</v>
      </c>
      <c r="K286" s="470">
        <v>0</v>
      </c>
      <c r="L286" s="470">
        <v>-0.08</v>
      </c>
      <c r="M286" s="470">
        <v>-0.08</v>
      </c>
      <c r="N286" s="470">
        <v>0</v>
      </c>
      <c r="O286" s="470">
        <v>0.08</v>
      </c>
      <c r="P286" s="470">
        <v>0</v>
      </c>
      <c r="Q286" s="470">
        <v>0.08</v>
      </c>
    </row>
    <row r="287" spans="2:17" x14ac:dyDescent="0.2">
      <c r="B287" s="463" t="s">
        <v>122</v>
      </c>
      <c r="C287" s="463"/>
      <c r="D287" s="463" t="s">
        <v>122</v>
      </c>
      <c r="E287" s="463" t="s">
        <v>366</v>
      </c>
      <c r="F287" s="463">
        <v>30006</v>
      </c>
      <c r="G287" s="463" t="s">
        <v>380</v>
      </c>
      <c r="H287" s="463" t="s">
        <v>122</v>
      </c>
      <c r="I287" s="470">
        <v>0</v>
      </c>
      <c r="J287" s="470">
        <v>0</v>
      </c>
      <c r="K287" s="470">
        <v>0</v>
      </c>
      <c r="L287" s="470">
        <v>-7.3399999999999901</v>
      </c>
      <c r="M287" s="470">
        <v>-7.3399999999999901</v>
      </c>
      <c r="N287" s="470">
        <v>0</v>
      </c>
      <c r="O287" s="470">
        <v>7.3399999999999901</v>
      </c>
      <c r="P287" s="470">
        <v>0</v>
      </c>
      <c r="Q287" s="470">
        <v>7.3399999999999901</v>
      </c>
    </row>
    <row r="288" spans="2:17" x14ac:dyDescent="0.2">
      <c r="B288" s="463" t="s">
        <v>122</v>
      </c>
      <c r="C288" s="463"/>
      <c r="D288" s="463" t="s">
        <v>122</v>
      </c>
      <c r="E288" s="463" t="s">
        <v>366</v>
      </c>
      <c r="F288" s="463">
        <v>30011</v>
      </c>
      <c r="G288" s="463" t="s">
        <v>381</v>
      </c>
      <c r="H288" s="463" t="s">
        <v>122</v>
      </c>
      <c r="I288" s="470">
        <v>0</v>
      </c>
      <c r="J288" s="470">
        <v>0</v>
      </c>
      <c r="K288" s="470">
        <v>0</v>
      </c>
      <c r="L288" s="470">
        <v>0.04</v>
      </c>
      <c r="M288" s="470">
        <v>0.04</v>
      </c>
      <c r="N288" s="470">
        <v>0</v>
      </c>
      <c r="O288" s="470">
        <v>-0.04</v>
      </c>
      <c r="P288" s="470">
        <v>0</v>
      </c>
      <c r="Q288" s="470">
        <v>-0.04</v>
      </c>
    </row>
    <row r="289" spans="2:17" x14ac:dyDescent="0.2">
      <c r="B289" s="463">
        <v>200440</v>
      </c>
      <c r="C289" s="463" t="s">
        <v>382</v>
      </c>
      <c r="D289" s="463" t="s">
        <v>383</v>
      </c>
      <c r="E289" s="463" t="s">
        <v>384</v>
      </c>
      <c r="F289" s="463">
        <v>10450</v>
      </c>
      <c r="G289" s="463" t="s">
        <v>369</v>
      </c>
      <c r="H289" s="463" t="s">
        <v>370</v>
      </c>
      <c r="I289" s="470">
        <v>0</v>
      </c>
      <c r="J289" s="470">
        <v>0</v>
      </c>
      <c r="K289" s="470">
        <v>0</v>
      </c>
      <c r="L289" s="470">
        <v>0.39</v>
      </c>
      <c r="M289" s="470">
        <v>0.36</v>
      </c>
      <c r="N289" s="470">
        <v>0.03</v>
      </c>
      <c r="O289" s="470">
        <v>-0.39</v>
      </c>
      <c r="P289" s="470">
        <v>52.37999999999986</v>
      </c>
      <c r="Q289" s="470">
        <v>-52.769999999999861</v>
      </c>
    </row>
    <row r="290" spans="2:17" x14ac:dyDescent="0.2">
      <c r="B290" s="463">
        <v>200447</v>
      </c>
      <c r="C290" s="463" t="s">
        <v>349</v>
      </c>
      <c r="D290" s="463" t="s">
        <v>122</v>
      </c>
      <c r="E290" s="463" t="s">
        <v>366</v>
      </c>
      <c r="F290" s="463" t="s">
        <v>122</v>
      </c>
      <c r="G290" s="463"/>
      <c r="H290" s="463" t="s">
        <v>122</v>
      </c>
      <c r="I290" s="470">
        <v>0</v>
      </c>
      <c r="J290" s="470">
        <v>0</v>
      </c>
      <c r="K290" s="470">
        <v>0</v>
      </c>
      <c r="L290" s="470">
        <v>0</v>
      </c>
      <c r="M290" s="470">
        <v>0</v>
      </c>
      <c r="N290" s="470">
        <v>0</v>
      </c>
      <c r="O290" s="470">
        <v>0</v>
      </c>
      <c r="P290" s="470">
        <v>0</v>
      </c>
      <c r="Q290" s="470">
        <v>0</v>
      </c>
    </row>
    <row r="291" spans="2:17" x14ac:dyDescent="0.2">
      <c r="B291" s="463">
        <v>200461</v>
      </c>
      <c r="C291" s="463" t="s">
        <v>412</v>
      </c>
      <c r="D291" s="463" t="s">
        <v>383</v>
      </c>
      <c r="E291" s="463" t="s">
        <v>393</v>
      </c>
      <c r="F291" s="463">
        <v>12030</v>
      </c>
      <c r="G291" s="463" t="s">
        <v>413</v>
      </c>
      <c r="H291" s="463" t="s">
        <v>368</v>
      </c>
      <c r="I291" s="470">
        <v>0</v>
      </c>
      <c r="J291" s="470">
        <v>0</v>
      </c>
      <c r="K291" s="470">
        <v>0</v>
      </c>
      <c r="L291" s="470">
        <v>0.40999999999999898</v>
      </c>
      <c r="M291" s="470">
        <v>0.40999999999999898</v>
      </c>
      <c r="N291" s="470">
        <v>0</v>
      </c>
      <c r="O291" s="470">
        <v>-0.40999999999999898</v>
      </c>
      <c r="P291" s="470">
        <v>66.989999999999881</v>
      </c>
      <c r="Q291" s="470">
        <v>-67.399999999999878</v>
      </c>
    </row>
    <row r="292" spans="2:17" x14ac:dyDescent="0.2">
      <c r="B292" s="463">
        <v>200454</v>
      </c>
      <c r="C292" s="463" t="s">
        <v>401</v>
      </c>
      <c r="D292" s="463" t="s">
        <v>383</v>
      </c>
      <c r="E292" s="463" t="s">
        <v>366</v>
      </c>
      <c r="F292" s="463">
        <v>10890</v>
      </c>
      <c r="G292" s="463" t="s">
        <v>400</v>
      </c>
      <c r="H292" s="463" t="s">
        <v>370</v>
      </c>
      <c r="I292" s="470">
        <v>0</v>
      </c>
      <c r="J292" s="470">
        <v>0</v>
      </c>
      <c r="K292" s="470">
        <v>-0.12</v>
      </c>
      <c r="L292" s="470">
        <v>0</v>
      </c>
      <c r="M292" s="470">
        <v>0</v>
      </c>
      <c r="N292" s="470">
        <v>0</v>
      </c>
      <c r="O292" s="470">
        <v>-0.12</v>
      </c>
      <c r="P292" s="470">
        <v>-1.8832296883185375E-3</v>
      </c>
      <c r="Q292" s="470">
        <v>-0.11811677031168145</v>
      </c>
    </row>
    <row r="293" spans="2:17" x14ac:dyDescent="0.2">
      <c r="B293" s="463">
        <v>200482</v>
      </c>
      <c r="C293" s="463" t="s">
        <v>428</v>
      </c>
      <c r="D293" s="463" t="s">
        <v>383</v>
      </c>
      <c r="E293" s="463" t="s">
        <v>366</v>
      </c>
      <c r="F293" s="463">
        <v>10890</v>
      </c>
      <c r="G293" s="463" t="s">
        <v>400</v>
      </c>
      <c r="H293" s="463" t="s">
        <v>370</v>
      </c>
      <c r="I293" s="470">
        <v>0</v>
      </c>
      <c r="J293" s="470">
        <v>0</v>
      </c>
      <c r="K293" s="470">
        <v>-0.67</v>
      </c>
      <c r="L293" s="470">
        <v>0</v>
      </c>
      <c r="M293" s="470">
        <v>0</v>
      </c>
      <c r="N293" s="470">
        <v>0</v>
      </c>
      <c r="O293" s="470">
        <v>-0.67</v>
      </c>
      <c r="P293" s="470">
        <v>-1.0514699093111835E-2</v>
      </c>
      <c r="Q293" s="470">
        <v>-0.65948530090688817</v>
      </c>
    </row>
    <row r="294" spans="2:17" x14ac:dyDescent="0.2">
      <c r="B294" s="463">
        <v>200473</v>
      </c>
      <c r="C294" s="463" t="s">
        <v>426</v>
      </c>
      <c r="D294" s="463" t="s">
        <v>383</v>
      </c>
      <c r="E294" s="463" t="s">
        <v>366</v>
      </c>
      <c r="F294" s="463">
        <v>11230</v>
      </c>
      <c r="G294" s="463" t="s">
        <v>386</v>
      </c>
      <c r="H294" s="463" t="s">
        <v>370</v>
      </c>
      <c r="I294" s="470">
        <v>0</v>
      </c>
      <c r="J294" s="470">
        <v>0</v>
      </c>
      <c r="K294" s="470">
        <v>-2.50999999999999</v>
      </c>
      <c r="L294" s="470">
        <v>0</v>
      </c>
      <c r="M294" s="470">
        <v>0</v>
      </c>
      <c r="N294" s="470">
        <v>0</v>
      </c>
      <c r="O294" s="470">
        <v>-2.50999999999999</v>
      </c>
      <c r="P294" s="470">
        <v>-3.9390887647329259E-2</v>
      </c>
      <c r="Q294" s="470">
        <v>-2.4706091123526606</v>
      </c>
    </row>
    <row r="295" spans="2:17" x14ac:dyDescent="0.2">
      <c r="B295" s="463">
        <v>200470</v>
      </c>
      <c r="C295" s="463" t="s">
        <v>424</v>
      </c>
      <c r="D295" s="463" t="s">
        <v>383</v>
      </c>
      <c r="E295" s="463" t="s">
        <v>366</v>
      </c>
      <c r="F295" s="463">
        <v>11230</v>
      </c>
      <c r="G295" s="463" t="s">
        <v>386</v>
      </c>
      <c r="H295" s="463" t="s">
        <v>370</v>
      </c>
      <c r="I295" s="470">
        <v>0</v>
      </c>
      <c r="J295" s="470">
        <v>0</v>
      </c>
      <c r="K295" s="470">
        <v>-3.8599999999999901</v>
      </c>
      <c r="L295" s="470">
        <v>0</v>
      </c>
      <c r="M295" s="470">
        <v>0</v>
      </c>
      <c r="N295" s="470">
        <v>0</v>
      </c>
      <c r="O295" s="470">
        <v>-3.8599999999999901</v>
      </c>
      <c r="P295" s="470">
        <v>-6.0577221640912803E-2</v>
      </c>
      <c r="Q295" s="470">
        <v>-3.7994227783590775</v>
      </c>
    </row>
    <row r="296" spans="2:17" x14ac:dyDescent="0.2">
      <c r="B296" s="463">
        <v>200476</v>
      </c>
      <c r="C296" s="463" t="s">
        <v>427</v>
      </c>
      <c r="D296" s="463" t="s">
        <v>383</v>
      </c>
      <c r="E296" s="463" t="s">
        <v>366</v>
      </c>
      <c r="F296" s="463">
        <v>11230</v>
      </c>
      <c r="G296" s="463" t="s">
        <v>386</v>
      </c>
      <c r="H296" s="463" t="s">
        <v>370</v>
      </c>
      <c r="I296" s="470">
        <v>0</v>
      </c>
      <c r="J296" s="470">
        <v>0</v>
      </c>
      <c r="K296" s="470">
        <v>-6.45</v>
      </c>
      <c r="L296" s="470">
        <v>0</v>
      </c>
      <c r="M296" s="470">
        <v>0</v>
      </c>
      <c r="N296" s="470">
        <v>0</v>
      </c>
      <c r="O296" s="470">
        <v>-6.45</v>
      </c>
      <c r="P296" s="470">
        <v>-0.10122359574712139</v>
      </c>
      <c r="Q296" s="470">
        <v>-6.3487764042528791</v>
      </c>
    </row>
    <row r="297" spans="2:17" x14ac:dyDescent="0.2">
      <c r="B297" s="463">
        <v>200471</v>
      </c>
      <c r="C297" s="463" t="s">
        <v>425</v>
      </c>
      <c r="D297" s="463" t="s">
        <v>383</v>
      </c>
      <c r="E297" s="463" t="s">
        <v>366</v>
      </c>
      <c r="F297" s="463">
        <v>11230</v>
      </c>
      <c r="G297" s="463" t="s">
        <v>386</v>
      </c>
      <c r="H297" s="463" t="s">
        <v>370</v>
      </c>
      <c r="I297" s="470">
        <v>0</v>
      </c>
      <c r="J297" s="470">
        <v>0</v>
      </c>
      <c r="K297" s="470">
        <v>-8.7699999999999907</v>
      </c>
      <c r="L297" s="470">
        <v>0</v>
      </c>
      <c r="M297" s="470">
        <v>0</v>
      </c>
      <c r="N297" s="470">
        <v>0</v>
      </c>
      <c r="O297" s="470">
        <v>-8.7699999999999907</v>
      </c>
      <c r="P297" s="470">
        <v>-0.137632703054613</v>
      </c>
      <c r="Q297" s="470">
        <v>-8.6323672969453771</v>
      </c>
    </row>
    <row r="298" spans="2:17" x14ac:dyDescent="0.2">
      <c r="B298" s="463">
        <v>200469</v>
      </c>
      <c r="C298" s="463" t="s">
        <v>423</v>
      </c>
      <c r="D298" s="463" t="s">
        <v>383</v>
      </c>
      <c r="E298" s="463" t="s">
        <v>366</v>
      </c>
      <c r="F298" s="463">
        <v>11230</v>
      </c>
      <c r="G298" s="463" t="s">
        <v>386</v>
      </c>
      <c r="H298" s="463" t="s">
        <v>370</v>
      </c>
      <c r="I298" s="470">
        <v>0</v>
      </c>
      <c r="J298" s="470">
        <v>0</v>
      </c>
      <c r="K298" s="470">
        <v>-24.59</v>
      </c>
      <c r="L298" s="470">
        <v>0</v>
      </c>
      <c r="M298" s="470">
        <v>0</v>
      </c>
      <c r="N298" s="470">
        <v>0</v>
      </c>
      <c r="O298" s="470">
        <v>-24.59</v>
      </c>
      <c r="P298" s="470">
        <v>-0.38590515029794031</v>
      </c>
      <c r="Q298" s="470">
        <v>-24.204094849702059</v>
      </c>
    </row>
    <row r="299" spans="2:17" x14ac:dyDescent="0.2">
      <c r="B299" s="463">
        <v>200458</v>
      </c>
      <c r="C299" s="463" t="s">
        <v>407</v>
      </c>
      <c r="D299" s="463" t="s">
        <v>383</v>
      </c>
      <c r="E299" s="463" t="s">
        <v>366</v>
      </c>
      <c r="F299" s="463">
        <v>11650</v>
      </c>
      <c r="G299" s="463" t="s">
        <v>408</v>
      </c>
      <c r="H299" s="463" t="s">
        <v>370</v>
      </c>
      <c r="I299" s="470">
        <v>0</v>
      </c>
      <c r="J299" s="470">
        <v>0</v>
      </c>
      <c r="K299" s="470">
        <v>-85.989999999999895</v>
      </c>
      <c r="L299" s="470">
        <v>0</v>
      </c>
      <c r="M299" s="470">
        <v>0</v>
      </c>
      <c r="N299" s="470">
        <v>0</v>
      </c>
      <c r="O299" s="470">
        <v>-85.989999999999895</v>
      </c>
      <c r="P299" s="470">
        <v>-1.3494910074875903</v>
      </c>
      <c r="Q299" s="470">
        <v>-84.640508992512309</v>
      </c>
    </row>
    <row r="300" spans="2:17" x14ac:dyDescent="0.2">
      <c r="B300" s="463">
        <v>200462</v>
      </c>
      <c r="C300" s="463" t="s">
        <v>419</v>
      </c>
      <c r="D300" s="463" t="s">
        <v>383</v>
      </c>
      <c r="E300" s="463" t="s">
        <v>366</v>
      </c>
      <c r="F300" s="463">
        <v>11530</v>
      </c>
      <c r="G300" s="463" t="s">
        <v>422</v>
      </c>
      <c r="H300" s="463" t="s">
        <v>370</v>
      </c>
      <c r="I300" s="470">
        <v>0</v>
      </c>
      <c r="J300" s="470">
        <v>0</v>
      </c>
      <c r="K300" s="470">
        <v>-150.91999999999899</v>
      </c>
      <c r="L300" s="470">
        <v>0</v>
      </c>
      <c r="M300" s="470">
        <v>0</v>
      </c>
      <c r="N300" s="470">
        <v>0</v>
      </c>
      <c r="O300" s="470">
        <v>-150.91999999999899</v>
      </c>
      <c r="P300" s="470">
        <v>-2.3684752046752648</v>
      </c>
      <c r="Q300" s="470">
        <v>-148.55152479532373</v>
      </c>
    </row>
    <row r="301" spans="2:17" x14ac:dyDescent="0.2">
      <c r="B301" s="463">
        <v>200460</v>
      </c>
      <c r="C301" s="463" t="s">
        <v>410</v>
      </c>
      <c r="D301" s="463" t="s">
        <v>383</v>
      </c>
      <c r="E301" s="463" t="s">
        <v>366</v>
      </c>
      <c r="F301" s="463">
        <v>10530</v>
      </c>
      <c r="G301" s="463" t="s">
        <v>391</v>
      </c>
      <c r="H301" s="463" t="s">
        <v>392</v>
      </c>
      <c r="I301" s="470">
        <v>0</v>
      </c>
      <c r="J301" s="470">
        <v>0</v>
      </c>
      <c r="K301" s="470">
        <v>-155.21</v>
      </c>
      <c r="L301" s="470">
        <v>0</v>
      </c>
      <c r="M301" s="470">
        <v>0</v>
      </c>
      <c r="N301" s="470">
        <v>0</v>
      </c>
      <c r="O301" s="470">
        <v>-155.21</v>
      </c>
      <c r="P301" s="470">
        <v>-2.4358006660326685</v>
      </c>
      <c r="Q301" s="470">
        <v>-152.77419933396735</v>
      </c>
    </row>
    <row r="302" spans="2:17" x14ac:dyDescent="0.2">
      <c r="B302" s="463">
        <v>200440</v>
      </c>
      <c r="C302" s="463" t="s">
        <v>382</v>
      </c>
      <c r="D302" s="463" t="s">
        <v>383</v>
      </c>
      <c r="E302" s="463" t="s">
        <v>366</v>
      </c>
      <c r="F302" s="463" t="s">
        <v>122</v>
      </c>
      <c r="G302" s="463"/>
      <c r="H302" s="463" t="s">
        <v>122</v>
      </c>
      <c r="I302" s="470">
        <v>0</v>
      </c>
      <c r="J302" s="470">
        <v>0</v>
      </c>
      <c r="K302" s="470">
        <v>-251</v>
      </c>
      <c r="L302" s="470">
        <v>0</v>
      </c>
      <c r="M302" s="470">
        <v>0</v>
      </c>
      <c r="N302" s="470">
        <v>0</v>
      </c>
      <c r="O302" s="470">
        <v>-251</v>
      </c>
      <c r="P302" s="470">
        <v>-3.9390887647329409</v>
      </c>
      <c r="Q302" s="470">
        <v>-247.06091123526707</v>
      </c>
    </row>
    <row r="303" spans="2:17" x14ac:dyDescent="0.2">
      <c r="B303" s="463">
        <v>200461</v>
      </c>
      <c r="C303" s="463" t="s">
        <v>412</v>
      </c>
      <c r="D303" s="463" t="s">
        <v>383</v>
      </c>
      <c r="E303" s="463" t="s">
        <v>366</v>
      </c>
      <c r="F303" s="463">
        <v>11080</v>
      </c>
      <c r="G303" s="463" t="s">
        <v>403</v>
      </c>
      <c r="H303" s="463" t="s">
        <v>392</v>
      </c>
      <c r="I303" s="470">
        <v>0</v>
      </c>
      <c r="J303" s="470">
        <v>0</v>
      </c>
      <c r="K303" s="470">
        <v>-264.41000000000003</v>
      </c>
      <c r="L303" s="470">
        <v>0</v>
      </c>
      <c r="M303" s="470">
        <v>0</v>
      </c>
      <c r="N303" s="470">
        <v>0</v>
      </c>
      <c r="O303" s="470">
        <v>-264.41000000000003</v>
      </c>
      <c r="P303" s="470">
        <v>-4.1495396824025379</v>
      </c>
      <c r="Q303" s="470">
        <v>-260.26046031759751</v>
      </c>
    </row>
    <row r="304" spans="2:17" x14ac:dyDescent="0.2">
      <c r="B304" s="463">
        <v>200461</v>
      </c>
      <c r="C304" s="463" t="s">
        <v>412</v>
      </c>
      <c r="D304" s="463" t="s">
        <v>383</v>
      </c>
      <c r="E304" s="463" t="s">
        <v>366</v>
      </c>
      <c r="F304" s="463">
        <v>11000</v>
      </c>
      <c r="G304" s="463" t="s">
        <v>406</v>
      </c>
      <c r="H304" s="463" t="s">
        <v>370</v>
      </c>
      <c r="I304" s="470">
        <v>0</v>
      </c>
      <c r="J304" s="470">
        <v>0</v>
      </c>
      <c r="K304" s="470">
        <v>-574.5</v>
      </c>
      <c r="L304" s="470">
        <v>0</v>
      </c>
      <c r="M304" s="470">
        <v>0</v>
      </c>
      <c r="N304" s="470">
        <v>0</v>
      </c>
      <c r="O304" s="470">
        <v>-574.5</v>
      </c>
      <c r="P304" s="470">
        <v>-9.0159621328249973</v>
      </c>
      <c r="Q304" s="470">
        <v>-565.48403786717495</v>
      </c>
    </row>
    <row r="305" spans="2:17" x14ac:dyDescent="0.2">
      <c r="B305" s="463">
        <v>200440</v>
      </c>
      <c r="C305" s="463" t="s">
        <v>382</v>
      </c>
      <c r="D305" s="463" t="s">
        <v>383</v>
      </c>
      <c r="E305" s="463" t="s">
        <v>366</v>
      </c>
      <c r="F305" s="463">
        <v>10460</v>
      </c>
      <c r="G305" s="463" t="s">
        <v>369</v>
      </c>
      <c r="H305" s="463" t="s">
        <v>370</v>
      </c>
      <c r="I305" s="470">
        <v>0</v>
      </c>
      <c r="J305" s="470">
        <v>0</v>
      </c>
      <c r="K305" s="470">
        <v>-1451.8</v>
      </c>
      <c r="L305" s="470">
        <v>0</v>
      </c>
      <c r="M305" s="470">
        <v>0</v>
      </c>
      <c r="N305" s="470">
        <v>0</v>
      </c>
      <c r="O305" s="470">
        <v>-1451.8</v>
      </c>
      <c r="P305" s="470">
        <v>-22.783940512507105</v>
      </c>
      <c r="Q305" s="470">
        <v>-1429.0160594874928</v>
      </c>
    </row>
    <row r="306" spans="2:17" x14ac:dyDescent="0.2">
      <c r="B306" s="463">
        <v>200461</v>
      </c>
      <c r="C306" s="463" t="s">
        <v>412</v>
      </c>
      <c r="D306" s="463" t="s">
        <v>383</v>
      </c>
      <c r="E306" s="463" t="s">
        <v>366</v>
      </c>
      <c r="F306" s="463">
        <v>11890</v>
      </c>
      <c r="G306" s="463" t="s">
        <v>413</v>
      </c>
      <c r="H306" s="463" t="s">
        <v>368</v>
      </c>
      <c r="I306" s="470">
        <v>0</v>
      </c>
      <c r="J306" s="470">
        <v>0</v>
      </c>
      <c r="K306" s="470">
        <v>-3145.63</v>
      </c>
      <c r="L306" s="470">
        <v>0</v>
      </c>
      <c r="M306" s="470">
        <v>0</v>
      </c>
      <c r="N306" s="470">
        <v>0</v>
      </c>
      <c r="O306" s="470">
        <v>-3145.63</v>
      </c>
      <c r="P306" s="470">
        <v>-49.366198370545341</v>
      </c>
      <c r="Q306" s="470">
        <v>-3096.263801629455</v>
      </c>
    </row>
  </sheetData>
  <autoFilter ref="B3:Q3" xr:uid="{A7C3C984-ECE4-4FC1-BDD8-8333A26FB1F3}">
    <sortState xmlns:xlrd2="http://schemas.microsoft.com/office/spreadsheetml/2017/richdata2" ref="B4:Q306">
      <sortCondition descending="1" ref="K3"/>
    </sortState>
  </autoFilter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0D09-EBC8-4DED-907F-EE814F6B7792}">
  <dimension ref="B1:L32"/>
  <sheetViews>
    <sheetView workbookViewId="0">
      <selection activeCell="G28" sqref="G28"/>
    </sheetView>
  </sheetViews>
  <sheetFormatPr defaultRowHeight="12.75" x14ac:dyDescent="0.2"/>
  <cols>
    <col min="2" max="2" width="28.140625" customWidth="1"/>
    <col min="3" max="12" width="10.28515625" customWidth="1"/>
  </cols>
  <sheetData>
    <row r="1" spans="2:12" x14ac:dyDescent="0.2"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2:12" ht="16.5" x14ac:dyDescent="0.2">
      <c r="B2" s="605" t="s">
        <v>542</v>
      </c>
      <c r="C2" s="127"/>
      <c r="D2" s="127"/>
      <c r="E2" s="127"/>
      <c r="F2" s="127"/>
      <c r="G2" s="127"/>
      <c r="H2" s="127"/>
      <c r="I2" s="127"/>
      <c r="J2" s="127"/>
      <c r="K2" s="606" t="s">
        <v>556</v>
      </c>
      <c r="L2" s="607" t="s">
        <v>543</v>
      </c>
    </row>
    <row r="3" spans="2:12" ht="13.5" x14ac:dyDescent="0.2">
      <c r="B3" s="608" t="s">
        <v>557</v>
      </c>
      <c r="C3" s="608" t="s">
        <v>325</v>
      </c>
      <c r="D3" s="609" t="s">
        <v>459</v>
      </c>
      <c r="E3" s="610" t="s">
        <v>548</v>
      </c>
      <c r="F3" s="610" t="s">
        <v>558</v>
      </c>
      <c r="G3" s="608" t="s">
        <v>549</v>
      </c>
      <c r="H3" s="610" t="s">
        <v>550</v>
      </c>
      <c r="I3" s="608" t="s">
        <v>551</v>
      </c>
      <c r="J3" s="609" t="s">
        <v>476</v>
      </c>
      <c r="K3" s="610" t="s">
        <v>123</v>
      </c>
      <c r="L3" s="610" t="s">
        <v>551</v>
      </c>
    </row>
    <row r="4" spans="2:12" ht="13.5" x14ac:dyDescent="0.2">
      <c r="B4" s="611" t="s">
        <v>347</v>
      </c>
      <c r="C4" s="612">
        <v>2303098.399999999</v>
      </c>
      <c r="D4" s="613">
        <v>2814893.0664213621</v>
      </c>
      <c r="E4" s="614">
        <v>1880008.4364213622</v>
      </c>
      <c r="F4" s="615">
        <v>0.81629531609303496</v>
      </c>
      <c r="G4" s="612">
        <v>934884.62999999907</v>
      </c>
      <c r="H4" s="614">
        <v>-511794.66642136237</v>
      </c>
      <c r="I4" s="616">
        <v>-0.2222200607761104</v>
      </c>
      <c r="J4" s="613">
        <v>290546.98999999982</v>
      </c>
      <c r="K4" s="614">
        <v>-802341.65642136184</v>
      </c>
      <c r="L4" s="617">
        <v>-0.34837489202431049</v>
      </c>
    </row>
    <row r="5" spans="2:12" ht="13.5" x14ac:dyDescent="0.2">
      <c r="B5" s="611" t="s">
        <v>478</v>
      </c>
      <c r="C5" s="612">
        <v>154089</v>
      </c>
      <c r="D5" s="613">
        <v>0</v>
      </c>
      <c r="E5" s="614">
        <v>0</v>
      </c>
      <c r="F5" s="617">
        <v>0</v>
      </c>
      <c r="G5" s="612">
        <v>0</v>
      </c>
      <c r="H5" s="614">
        <v>154089</v>
      </c>
      <c r="I5" s="616">
        <v>1</v>
      </c>
      <c r="J5" s="613">
        <v>29904.119999999901</v>
      </c>
      <c r="K5" s="614">
        <v>124184.88000000009</v>
      </c>
      <c r="L5" s="617">
        <v>0.80592956018924189</v>
      </c>
    </row>
    <row r="6" spans="2:12" ht="13.5" x14ac:dyDescent="0.2">
      <c r="B6" s="611" t="s">
        <v>479</v>
      </c>
      <c r="C6" s="612">
        <v>20496</v>
      </c>
      <c r="D6" s="613">
        <v>0</v>
      </c>
      <c r="E6" s="614">
        <v>0</v>
      </c>
      <c r="F6" s="617">
        <v>0</v>
      </c>
      <c r="G6" s="612">
        <v>0</v>
      </c>
      <c r="H6" s="614">
        <v>20496</v>
      </c>
      <c r="I6" s="616">
        <v>1</v>
      </c>
      <c r="J6" s="613">
        <v>0</v>
      </c>
      <c r="K6" s="614">
        <v>20496</v>
      </c>
      <c r="L6" s="617">
        <v>1</v>
      </c>
    </row>
    <row r="7" spans="2:12" ht="13.5" x14ac:dyDescent="0.2">
      <c r="B7" s="611" t="s">
        <v>559</v>
      </c>
      <c r="C7" s="612">
        <v>10800</v>
      </c>
      <c r="D7" s="613">
        <v>0</v>
      </c>
      <c r="E7" s="614">
        <v>0</v>
      </c>
      <c r="F7" s="617">
        <v>0</v>
      </c>
      <c r="G7" s="612">
        <v>0</v>
      </c>
      <c r="H7" s="614">
        <v>10800</v>
      </c>
      <c r="I7" s="616">
        <v>1</v>
      </c>
      <c r="J7" s="613">
        <v>0</v>
      </c>
      <c r="K7" s="614">
        <v>10800</v>
      </c>
      <c r="L7" s="617">
        <v>1</v>
      </c>
    </row>
    <row r="8" spans="2:12" ht="13.5" x14ac:dyDescent="0.2">
      <c r="B8" s="611" t="s">
        <v>480</v>
      </c>
      <c r="C8" s="612">
        <v>10000</v>
      </c>
      <c r="D8" s="613">
        <v>0</v>
      </c>
      <c r="E8" s="614">
        <v>0</v>
      </c>
      <c r="F8" s="617">
        <v>0</v>
      </c>
      <c r="G8" s="612">
        <v>0</v>
      </c>
      <c r="H8" s="614">
        <v>10000</v>
      </c>
      <c r="I8" s="616">
        <v>1</v>
      </c>
      <c r="J8" s="613">
        <v>0</v>
      </c>
      <c r="K8" s="614">
        <v>10000</v>
      </c>
      <c r="L8" s="617">
        <v>1</v>
      </c>
    </row>
    <row r="9" spans="2:12" ht="13.5" x14ac:dyDescent="0.2">
      <c r="B9" s="611" t="s">
        <v>356</v>
      </c>
      <c r="C9" s="612">
        <v>4109.1999999999871</v>
      </c>
      <c r="D9" s="613">
        <v>5627.7310719241732</v>
      </c>
      <c r="E9" s="614">
        <v>4318.9510719241744</v>
      </c>
      <c r="F9" s="617">
        <v>1.0510442596914698</v>
      </c>
      <c r="G9" s="612">
        <v>1308.7799999999977</v>
      </c>
      <c r="H9" s="614">
        <v>-1518.5310719241845</v>
      </c>
      <c r="I9" s="616">
        <v>-0.36954421102019597</v>
      </c>
      <c r="J9" s="613">
        <v>518.38999999999976</v>
      </c>
      <c r="K9" s="614">
        <v>-2036.9210719241844</v>
      </c>
      <c r="L9" s="617">
        <v>-0.49569772021906716</v>
      </c>
    </row>
    <row r="10" spans="2:12" ht="13.5" x14ac:dyDescent="0.2">
      <c r="B10" s="611" t="s">
        <v>560</v>
      </c>
      <c r="C10" s="612">
        <v>3040</v>
      </c>
      <c r="D10" s="613">
        <v>0</v>
      </c>
      <c r="E10" s="614">
        <v>0</v>
      </c>
      <c r="F10" s="617">
        <v>0</v>
      </c>
      <c r="G10" s="612">
        <v>0</v>
      </c>
      <c r="H10" s="614">
        <v>3040</v>
      </c>
      <c r="I10" s="616">
        <v>1</v>
      </c>
      <c r="J10" s="613">
        <v>0</v>
      </c>
      <c r="K10" s="614">
        <v>3040</v>
      </c>
      <c r="L10" s="617">
        <v>1</v>
      </c>
    </row>
    <row r="11" spans="2:12" ht="13.5" x14ac:dyDescent="0.2">
      <c r="B11" s="611" t="s">
        <v>486</v>
      </c>
      <c r="C11" s="612">
        <v>1097.3899999999974</v>
      </c>
      <c r="D11" s="613">
        <v>523.91600980269141</v>
      </c>
      <c r="E11" s="614">
        <v>399.66600980269158</v>
      </c>
      <c r="F11" s="617">
        <v>0.36419687604469925</v>
      </c>
      <c r="G11" s="612">
        <v>124.24999999999982</v>
      </c>
      <c r="H11" s="614">
        <v>573.47399019730585</v>
      </c>
      <c r="I11" s="616">
        <v>0.52257993074231335</v>
      </c>
      <c r="J11" s="613">
        <v>138.4099999999998</v>
      </c>
      <c r="K11" s="614">
        <v>435.06399019730611</v>
      </c>
      <c r="L11" s="617">
        <v>0.39645339414183395</v>
      </c>
    </row>
    <row r="12" spans="2:12" ht="13.5" x14ac:dyDescent="0.2">
      <c r="B12" s="611" t="s">
        <v>412</v>
      </c>
      <c r="C12" s="612">
        <v>394</v>
      </c>
      <c r="D12" s="613">
        <v>393.6292774521695</v>
      </c>
      <c r="E12" s="614">
        <v>393.6292774521695</v>
      </c>
      <c r="F12" s="617">
        <v>0.99905907982784137</v>
      </c>
      <c r="G12" s="612">
        <v>0</v>
      </c>
      <c r="H12" s="614">
        <v>0.3707225478304963</v>
      </c>
      <c r="I12" s="616">
        <v>9.4092017215862008E-4</v>
      </c>
      <c r="J12" s="613">
        <v>49.729999999999897</v>
      </c>
      <c r="K12" s="614">
        <v>-49.359277452169401</v>
      </c>
      <c r="L12" s="617">
        <v>-0.12527735393951625</v>
      </c>
    </row>
    <row r="13" spans="2:12" ht="13.5" x14ac:dyDescent="0.2">
      <c r="B13" s="611" t="s">
        <v>389</v>
      </c>
      <c r="C13" s="612">
        <v>262.29000000000002</v>
      </c>
      <c r="D13" s="613">
        <v>249.26721945524764</v>
      </c>
      <c r="E13" s="614">
        <v>249.26721945524764</v>
      </c>
      <c r="F13" s="617">
        <v>0.95034968719832102</v>
      </c>
      <c r="G13" s="612">
        <v>0</v>
      </c>
      <c r="H13" s="614">
        <v>13.022780544752379</v>
      </c>
      <c r="I13" s="616">
        <v>4.9650312801678975E-2</v>
      </c>
      <c r="J13" s="613">
        <v>33.079999999999899</v>
      </c>
      <c r="K13" s="614">
        <v>-20.05721945524752</v>
      </c>
      <c r="L13" s="617">
        <v>-7.6469630772227376E-2</v>
      </c>
    </row>
    <row r="14" spans="2:12" ht="13.5" x14ac:dyDescent="0.2">
      <c r="B14" s="611" t="s">
        <v>477</v>
      </c>
      <c r="C14" s="612">
        <v>0</v>
      </c>
      <c r="D14" s="613">
        <v>0</v>
      </c>
      <c r="E14" s="614">
        <v>0</v>
      </c>
      <c r="F14" s="617" t="s">
        <v>547</v>
      </c>
      <c r="G14" s="612">
        <v>0</v>
      </c>
      <c r="H14" s="614">
        <v>0</v>
      </c>
      <c r="I14" s="616" t="s">
        <v>547</v>
      </c>
      <c r="J14" s="613">
        <v>8512</v>
      </c>
      <c r="K14" s="614">
        <v>-8512</v>
      </c>
      <c r="L14" s="617" t="s">
        <v>547</v>
      </c>
    </row>
    <row r="15" spans="2:12" ht="13.5" x14ac:dyDescent="0.2">
      <c r="B15" s="611" t="s">
        <v>348</v>
      </c>
      <c r="C15" s="612">
        <v>-6119.6199999999963</v>
      </c>
      <c r="D15" s="613">
        <v>0</v>
      </c>
      <c r="E15" s="614">
        <v>0</v>
      </c>
      <c r="F15" s="617" t="s">
        <v>547</v>
      </c>
      <c r="G15" s="612">
        <v>0</v>
      </c>
      <c r="H15" s="614">
        <v>-6119.6199999999963</v>
      </c>
      <c r="I15" s="616" t="s">
        <v>547</v>
      </c>
      <c r="J15" s="613">
        <v>-772.01</v>
      </c>
      <c r="K15" s="614">
        <v>-5347.6099999999969</v>
      </c>
      <c r="L15" s="617" t="s">
        <v>547</v>
      </c>
    </row>
    <row r="16" spans="2:12" ht="13.5" x14ac:dyDescent="0.2">
      <c r="B16" s="611" t="s">
        <v>475</v>
      </c>
      <c r="C16" s="612">
        <v>-33459.26</v>
      </c>
      <c r="D16" s="613">
        <v>0</v>
      </c>
      <c r="E16" s="614">
        <v>0</v>
      </c>
      <c r="F16" s="617" t="s">
        <v>547</v>
      </c>
      <c r="G16" s="612">
        <v>0</v>
      </c>
      <c r="H16" s="614">
        <v>-33459.26</v>
      </c>
      <c r="I16" s="616" t="s">
        <v>547</v>
      </c>
      <c r="J16" s="613">
        <v>0</v>
      </c>
      <c r="K16" s="614">
        <v>-33459.26</v>
      </c>
      <c r="L16" s="617" t="s">
        <v>547</v>
      </c>
    </row>
    <row r="17" spans="2:12" ht="13.5" x14ac:dyDescent="0.2">
      <c r="B17" s="623" t="s">
        <v>544</v>
      </c>
      <c r="C17" s="624">
        <f>SUM(C4:C16)</f>
        <v>2467807.3999999994</v>
      </c>
      <c r="D17" s="624">
        <f>SUM(D4:D16)</f>
        <v>2821687.6099999971</v>
      </c>
      <c r="E17" s="638">
        <f>SUM(E4:E16)</f>
        <v>1885369.9499999962</v>
      </c>
      <c r="F17" s="627">
        <f>IF(D17&gt;0,E17/D17,"(-)")</f>
        <v>0.66817104179721654</v>
      </c>
      <c r="G17" s="624">
        <f>SUM(G4:G16)</f>
        <v>936317.6599999991</v>
      </c>
      <c r="H17" s="638">
        <f>SUM(H4:H16)</f>
        <v>-353880.2099999967</v>
      </c>
      <c r="I17" s="627">
        <f>IF(C17&gt;0,H17/C17,"(-)")</f>
        <v>-0.14339863394525715</v>
      </c>
      <c r="J17" s="625">
        <f>SUM(J4:J16)</f>
        <v>328930.70999999967</v>
      </c>
      <c r="K17" s="638">
        <f>SUM(K4:K16)</f>
        <v>-682810.91999999608</v>
      </c>
      <c r="L17" s="627">
        <f>IF(C17&gt;0,K17/C17,"(-)")</f>
        <v>-0.2766872811873391</v>
      </c>
    </row>
    <row r="18" spans="2:12" x14ac:dyDescent="0.2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</row>
    <row r="19" spans="2:12" ht="13.5" x14ac:dyDescent="0.2"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</row>
    <row r="20" spans="2:12" ht="16.5" x14ac:dyDescent="0.2">
      <c r="B20" s="605" t="s">
        <v>545</v>
      </c>
      <c r="C20" s="628"/>
      <c r="D20" s="628"/>
      <c r="E20" s="628"/>
      <c r="F20" s="628"/>
      <c r="G20" s="628"/>
      <c r="H20" s="628"/>
      <c r="I20" s="628"/>
      <c r="J20" s="628"/>
      <c r="K20" s="606" t="s">
        <v>556</v>
      </c>
      <c r="L20" s="607" t="s">
        <v>543</v>
      </c>
    </row>
    <row r="21" spans="2:12" ht="13.5" x14ac:dyDescent="0.2">
      <c r="B21" s="608" t="s">
        <v>557</v>
      </c>
      <c r="C21" s="609" t="s">
        <v>325</v>
      </c>
      <c r="D21" s="609" t="s">
        <v>459</v>
      </c>
      <c r="E21" s="610" t="s">
        <v>548</v>
      </c>
      <c r="F21" s="610" t="s">
        <v>558</v>
      </c>
      <c r="G21" s="608" t="s">
        <v>549</v>
      </c>
      <c r="H21" s="610" t="s">
        <v>550</v>
      </c>
      <c r="I21" s="608" t="s">
        <v>551</v>
      </c>
      <c r="J21" s="609" t="s">
        <v>476</v>
      </c>
      <c r="K21" s="610" t="s">
        <v>123</v>
      </c>
      <c r="L21" s="610" t="s">
        <v>551</v>
      </c>
    </row>
    <row r="22" spans="2:12" ht="13.5" x14ac:dyDescent="0.2">
      <c r="B22" s="611" t="s">
        <v>350</v>
      </c>
      <c r="C22" s="613">
        <v>2303098.399999999</v>
      </c>
      <c r="D22" s="613">
        <v>2814893.0664213621</v>
      </c>
      <c r="E22" s="614">
        <v>1880008.4364213622</v>
      </c>
      <c r="F22" s="617">
        <v>0.81629531609303496</v>
      </c>
      <c r="G22" s="612">
        <v>934884.62999999907</v>
      </c>
      <c r="H22" s="614">
        <v>-511794.66642136237</v>
      </c>
      <c r="I22" s="629">
        <v>-0.2222200607761104</v>
      </c>
      <c r="J22" s="613">
        <v>290546.98999999982</v>
      </c>
      <c r="K22" s="614">
        <v>-802341.65642136184</v>
      </c>
      <c r="L22" s="630">
        <v>-0.34837489202431049</v>
      </c>
    </row>
    <row r="23" spans="2:12" ht="13.5" x14ac:dyDescent="0.2">
      <c r="B23" s="611" t="s">
        <v>357</v>
      </c>
      <c r="C23" s="613">
        <v>-993.03000000001157</v>
      </c>
      <c r="D23" s="613">
        <v>6151.6470817268655</v>
      </c>
      <c r="E23" s="631">
        <v>4718.6170817268667</v>
      </c>
      <c r="F23" s="617" t="s">
        <v>547</v>
      </c>
      <c r="G23" s="612">
        <v>1433.0299999999972</v>
      </c>
      <c r="H23" s="614">
        <v>-7144.6770817268743</v>
      </c>
      <c r="I23" s="616" t="s">
        <v>547</v>
      </c>
      <c r="J23" s="613">
        <v>170.47999999999951</v>
      </c>
      <c r="K23" s="614">
        <v>-7315.157081726873</v>
      </c>
      <c r="L23" s="617" t="s">
        <v>547</v>
      </c>
    </row>
    <row r="24" spans="2:12" ht="13.5" x14ac:dyDescent="0.2">
      <c r="B24" s="618" t="s">
        <v>546</v>
      </c>
      <c r="C24" s="620">
        <v>165702.02999999997</v>
      </c>
      <c r="D24" s="620">
        <v>642.89649690741714</v>
      </c>
      <c r="E24" s="621">
        <v>642.89649690741714</v>
      </c>
      <c r="F24" s="622">
        <v>3.8798347667039278E-3</v>
      </c>
      <c r="G24" s="619">
        <v>0</v>
      </c>
      <c r="H24" s="621">
        <v>165059.13350309257</v>
      </c>
      <c r="I24" s="632">
        <v>0.99612016523329616</v>
      </c>
      <c r="J24" s="620">
        <v>38213.239999999903</v>
      </c>
      <c r="K24" s="621">
        <v>126845.89350309267</v>
      </c>
      <c r="L24" s="633">
        <v>0.76550597179221458</v>
      </c>
    </row>
    <row r="25" spans="2:12" ht="13.5" x14ac:dyDescent="0.2">
      <c r="B25" s="623" t="s">
        <v>544</v>
      </c>
      <c r="C25" s="625">
        <v>2467807.399999999</v>
      </c>
      <c r="D25" s="625">
        <v>2821687.6099999961</v>
      </c>
      <c r="E25" s="626">
        <v>1885369.9499999965</v>
      </c>
      <c r="F25" s="627">
        <v>0.76398585643271721</v>
      </c>
      <c r="G25" s="624">
        <v>936317.6599999991</v>
      </c>
      <c r="H25" s="626">
        <v>-353880.2099999967</v>
      </c>
      <c r="I25" s="634">
        <v>-0.14339863394525718</v>
      </c>
      <c r="J25" s="625">
        <v>328930.70999999973</v>
      </c>
      <c r="K25" s="626">
        <v>-682810.91999999597</v>
      </c>
      <c r="L25" s="635">
        <v>-0.2766872811873391</v>
      </c>
    </row>
    <row r="26" spans="2:12" ht="13.5" x14ac:dyDescent="0.2">
      <c r="B26" s="628"/>
      <c r="C26" s="628"/>
      <c r="D26" s="628"/>
      <c r="E26" s="628"/>
      <c r="F26" s="628"/>
      <c r="G26" s="628"/>
      <c r="H26" s="628"/>
      <c r="I26" s="628"/>
      <c r="J26" s="628"/>
      <c r="K26" s="628"/>
      <c r="L26" s="628"/>
    </row>
    <row r="27" spans="2:12" x14ac:dyDescent="0.2">
      <c r="B27" s="651" t="s">
        <v>563</v>
      </c>
      <c r="C27" s="651">
        <v>2467807.4</v>
      </c>
    </row>
    <row r="28" spans="2:12" x14ac:dyDescent="0.2">
      <c r="B28" s="651" t="s">
        <v>352</v>
      </c>
      <c r="C28" s="651">
        <v>2821687.609999998</v>
      </c>
    </row>
    <row r="29" spans="2:12" x14ac:dyDescent="0.2">
      <c r="B29" s="651" t="s">
        <v>564</v>
      </c>
      <c r="C29" s="651">
        <v>1885369.9499999962</v>
      </c>
    </row>
    <row r="30" spans="2:12" x14ac:dyDescent="0.2">
      <c r="B30" s="651" t="s">
        <v>565</v>
      </c>
      <c r="C30" s="651">
        <v>936317.65999999852</v>
      </c>
    </row>
    <row r="31" spans="2:12" x14ac:dyDescent="0.2">
      <c r="B31" s="651" t="s">
        <v>566</v>
      </c>
      <c r="C31" s="651">
        <v>408713.60999999964</v>
      </c>
    </row>
    <row r="32" spans="2:12" x14ac:dyDescent="0.2">
      <c r="B32" s="651" t="s">
        <v>567</v>
      </c>
      <c r="C32" s="651">
        <v>527604.04999999958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6928-32F8-4AB9-9380-DFCF2CA009CA}">
  <dimension ref="B1:U218"/>
  <sheetViews>
    <sheetView showGridLines="0" zoomScale="70" zoomScaleNormal="70" workbookViewId="0">
      <pane xSplit="4" ySplit="5" topLeftCell="E6" activePane="bottomRight" state="frozen"/>
      <selection pane="topRight"/>
      <selection pane="bottomLeft"/>
      <selection pane="bottomRight"/>
    </sheetView>
  </sheetViews>
  <sheetFormatPr defaultColWidth="8.85546875" defaultRowHeight="12.75" outlineLevelRow="1" x14ac:dyDescent="0.2"/>
  <cols>
    <col min="1" max="1" width="1.42578125" style="117" customWidth="1"/>
    <col min="2" max="2" width="21.42578125" style="117" customWidth="1"/>
    <col min="3" max="3" width="17.28515625" style="118" bestFit="1" customWidth="1"/>
    <col min="4" max="4" width="7.85546875" style="118" customWidth="1"/>
    <col min="5" max="6" width="16.42578125" style="118" bestFit="1" customWidth="1"/>
    <col min="7" max="7" width="16.7109375" style="118" bestFit="1" customWidth="1"/>
    <col min="8" max="8" width="16.42578125" style="118" bestFit="1" customWidth="1"/>
    <col min="9" max="9" width="13.85546875" style="118" customWidth="1"/>
    <col min="10" max="11" width="16.7109375" style="118" bestFit="1" customWidth="1"/>
    <col min="12" max="12" width="16.42578125" style="118" bestFit="1" customWidth="1"/>
    <col min="13" max="15" width="16.7109375" style="118" bestFit="1" customWidth="1"/>
    <col min="16" max="16" width="16.42578125" style="118" customWidth="1"/>
    <col min="17" max="19" width="8.85546875" style="117"/>
    <col min="20" max="20" width="16.28515625" style="117" bestFit="1" customWidth="1"/>
    <col min="21" max="16384" width="8.85546875" style="117"/>
  </cols>
  <sheetData>
    <row r="1" spans="2:20" ht="13.5" x14ac:dyDescent="0.2">
      <c r="F1" s="129"/>
      <c r="G1" s="130"/>
    </row>
    <row r="2" spans="2:20" ht="6" customHeight="1" x14ac:dyDescent="0.2"/>
    <row r="3" spans="2:20" ht="27.6" customHeight="1" x14ac:dyDescent="0.2">
      <c r="B3" s="36" t="s">
        <v>490</v>
      </c>
      <c r="G3" s="130"/>
      <c r="P3" s="119"/>
    </row>
    <row r="4" spans="2:20" ht="14.45" customHeight="1" x14ac:dyDescent="0.2">
      <c r="B4" s="115" t="s">
        <v>98</v>
      </c>
      <c r="C4" s="15"/>
      <c r="D4" s="15"/>
      <c r="E4" s="32"/>
      <c r="F4" s="32"/>
      <c r="G4" s="15"/>
      <c r="H4" s="15"/>
      <c r="I4" s="15"/>
      <c r="J4" s="15"/>
      <c r="K4" s="15"/>
      <c r="L4" s="15"/>
      <c r="M4" s="15"/>
      <c r="N4" s="32"/>
      <c r="O4" s="15"/>
      <c r="P4" s="15" t="s">
        <v>118</v>
      </c>
    </row>
    <row r="5" spans="2:20" ht="27.6" customHeight="1" x14ac:dyDescent="0.2">
      <c r="B5" s="94" t="s">
        <v>75</v>
      </c>
      <c r="C5" s="92" t="s">
        <v>76</v>
      </c>
      <c r="D5" s="92" t="s">
        <v>77</v>
      </c>
      <c r="E5" s="92" t="s">
        <v>78</v>
      </c>
      <c r="F5" s="92" t="s">
        <v>79</v>
      </c>
      <c r="G5" s="92" t="s">
        <v>80</v>
      </c>
      <c r="H5" s="92" t="s">
        <v>81</v>
      </c>
      <c r="I5" s="92" t="s">
        <v>82</v>
      </c>
      <c r="J5" s="92" t="s">
        <v>83</v>
      </c>
      <c r="K5" s="92" t="s">
        <v>84</v>
      </c>
      <c r="L5" s="92" t="s">
        <v>85</v>
      </c>
      <c r="M5" s="92" t="s">
        <v>86</v>
      </c>
      <c r="N5" s="92" t="s">
        <v>87</v>
      </c>
      <c r="O5" s="92" t="s">
        <v>88</v>
      </c>
      <c r="P5" s="92" t="s">
        <v>89</v>
      </c>
    </row>
    <row r="6" spans="2:20" s="120" customFormat="1" ht="20.45" customHeight="1" x14ac:dyDescent="0.2">
      <c r="B6" s="95" t="s">
        <v>11</v>
      </c>
      <c r="C6" s="78">
        <f t="shared" ref="C6" si="0">SUM(C7:C10)</f>
        <v>173583281.75543711</v>
      </c>
      <c r="D6" s="78"/>
      <c r="E6" s="78">
        <f>SUM(E7,E9:E10)</f>
        <v>14214303.612306679</v>
      </c>
      <c r="F6" s="78">
        <f t="shared" ref="F6:P6" si="1">SUM(F7,F9:F10)</f>
        <v>14768324.959521633</v>
      </c>
      <c r="G6" s="78">
        <f t="shared" si="1"/>
        <v>16579126.660523755</v>
      </c>
      <c r="H6" s="78">
        <f t="shared" si="1"/>
        <v>14239180.996866679</v>
      </c>
      <c r="I6" s="78">
        <f t="shared" si="1"/>
        <v>15251090.706515513</v>
      </c>
      <c r="J6" s="78">
        <f t="shared" si="1"/>
        <v>15931822.236222573</v>
      </c>
      <c r="K6" s="78">
        <f t="shared" si="1"/>
        <v>10784558.176472254</v>
      </c>
      <c r="L6" s="78">
        <f t="shared" si="1"/>
        <v>16789202.913446352</v>
      </c>
      <c r="M6" s="78">
        <f t="shared" si="1"/>
        <v>15142654.094051329</v>
      </c>
      <c r="N6" s="78">
        <f t="shared" si="1"/>
        <v>15966479.062686542</v>
      </c>
      <c r="O6" s="78">
        <f t="shared" si="1"/>
        <v>13662010.166692384</v>
      </c>
      <c r="P6" s="78">
        <f t="shared" si="1"/>
        <v>10254528.170131423</v>
      </c>
    </row>
    <row r="7" spans="2:20" ht="13.5" x14ac:dyDescent="0.2">
      <c r="B7" s="114" t="s">
        <v>97</v>
      </c>
      <c r="C7" s="81">
        <f>SUM(E7:P7)</f>
        <v>147645192.97445321</v>
      </c>
      <c r="D7" s="81"/>
      <c r="E7" s="81">
        <f>E79</f>
        <v>11857864.729361806</v>
      </c>
      <c r="F7" s="81">
        <f t="shared" ref="F7:P7" si="2">F79</f>
        <v>11901933.70057676</v>
      </c>
      <c r="G7" s="81">
        <f t="shared" si="2"/>
        <v>13597677.945578882</v>
      </c>
      <c r="H7" s="81">
        <f t="shared" si="2"/>
        <v>11869832.121921806</v>
      </c>
      <c r="I7" s="81">
        <f t="shared" si="2"/>
        <v>12914932.06417064</v>
      </c>
      <c r="J7" s="81">
        <f t="shared" si="2"/>
        <v>12596354.699310998</v>
      </c>
      <c r="K7" s="81">
        <f t="shared" si="2"/>
        <v>8489582.1530050002</v>
      </c>
      <c r="L7" s="81">
        <f t="shared" si="2"/>
        <v>14559492.621179096</v>
      </c>
      <c r="M7" s="81">
        <f t="shared" si="2"/>
        <v>12705308.550584076</v>
      </c>
      <c r="N7" s="81">
        <f t="shared" si="2"/>
        <v>14234960.469219288</v>
      </c>
      <c r="O7" s="81">
        <f t="shared" si="2"/>
        <v>13001493.56822513</v>
      </c>
      <c r="P7" s="81">
        <f t="shared" si="2"/>
        <v>9915760.3513197359</v>
      </c>
    </row>
    <row r="8" spans="2:20" ht="13.5" x14ac:dyDescent="0.2">
      <c r="B8" s="80" t="s">
        <v>113</v>
      </c>
      <c r="C8" s="81">
        <f>SUM(E8:P8)</f>
        <v>0</v>
      </c>
      <c r="D8" s="81"/>
      <c r="E8" s="81">
        <f>E89</f>
        <v>0</v>
      </c>
      <c r="F8" s="81">
        <f t="shared" ref="F8:P8" si="3">F89</f>
        <v>0</v>
      </c>
      <c r="G8" s="81">
        <f t="shared" si="3"/>
        <v>0</v>
      </c>
      <c r="H8" s="81">
        <f t="shared" si="3"/>
        <v>0</v>
      </c>
      <c r="I8" s="81">
        <f t="shared" si="3"/>
        <v>0</v>
      </c>
      <c r="J8" s="81">
        <f t="shared" si="3"/>
        <v>0</v>
      </c>
      <c r="K8" s="81">
        <f t="shared" si="3"/>
        <v>0</v>
      </c>
      <c r="L8" s="81">
        <f t="shared" si="3"/>
        <v>0</v>
      </c>
      <c r="M8" s="81">
        <f t="shared" si="3"/>
        <v>0</v>
      </c>
      <c r="N8" s="81">
        <f t="shared" si="3"/>
        <v>0</v>
      </c>
      <c r="O8" s="81">
        <f t="shared" si="3"/>
        <v>0</v>
      </c>
      <c r="P8" s="81">
        <f t="shared" si="3"/>
        <v>0</v>
      </c>
    </row>
    <row r="9" spans="2:20" ht="13.5" x14ac:dyDescent="0.2">
      <c r="B9" s="114" t="s">
        <v>96</v>
      </c>
      <c r="C9" s="81">
        <f>SUM(E9:P9)</f>
        <v>25938088.780983891</v>
      </c>
      <c r="D9" s="81"/>
      <c r="E9" s="81">
        <f>E154</f>
        <v>2356438.8829448726</v>
      </c>
      <c r="F9" s="81">
        <f t="shared" ref="F9:P9" si="4">F154</f>
        <v>2866391.2589448723</v>
      </c>
      <c r="G9" s="81">
        <f t="shared" si="4"/>
        <v>2981448.7149448725</v>
      </c>
      <c r="H9" s="81">
        <f t="shared" si="4"/>
        <v>2369348.8749448727</v>
      </c>
      <c r="I9" s="81">
        <f t="shared" si="4"/>
        <v>2336158.6423448725</v>
      </c>
      <c r="J9" s="81">
        <f t="shared" si="4"/>
        <v>3335467.5369115761</v>
      </c>
      <c r="K9" s="81">
        <f t="shared" si="4"/>
        <v>2294976.0234672534</v>
      </c>
      <c r="L9" s="81">
        <f t="shared" si="4"/>
        <v>2229710.2922672536</v>
      </c>
      <c r="M9" s="81">
        <f t="shared" si="4"/>
        <v>2437345.5434672534</v>
      </c>
      <c r="N9" s="81">
        <f t="shared" si="4"/>
        <v>1731518.593467254</v>
      </c>
      <c r="O9" s="81">
        <f t="shared" si="4"/>
        <v>660516.59846725373</v>
      </c>
      <c r="P9" s="81">
        <f t="shared" si="4"/>
        <v>338767.81881168589</v>
      </c>
    </row>
    <row r="10" spans="2:20" ht="13.5" x14ac:dyDescent="0.2">
      <c r="B10" s="114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</row>
    <row r="11" spans="2:20" ht="19.149999999999999" customHeight="1" x14ac:dyDescent="0.2">
      <c r="B11" s="95" t="s">
        <v>12</v>
      </c>
      <c r="C11" s="78">
        <f t="shared" ref="C11" si="5">SUM(C12:C15)</f>
        <v>162737460.49294993</v>
      </c>
      <c r="D11" s="78"/>
      <c r="E11" s="78">
        <f>SUM(E12:E15)</f>
        <v>13207070.913446572</v>
      </c>
      <c r="F11" s="78">
        <f t="shared" ref="F11:O11" si="6">SUM(F12:F15)</f>
        <v>13263500.345676195</v>
      </c>
      <c r="G11" s="78">
        <f t="shared" si="6"/>
        <v>15015043.649165353</v>
      </c>
      <c r="H11" s="78">
        <f>SUM(H12:H15)</f>
        <v>13305347.426961709</v>
      </c>
      <c r="I11" s="78">
        <f t="shared" si="6"/>
        <v>14609996.24704295</v>
      </c>
      <c r="J11" s="78">
        <f t="shared" si="6"/>
        <v>14720907.708946705</v>
      </c>
      <c r="K11" s="78">
        <f t="shared" si="6"/>
        <v>11039280.800251361</v>
      </c>
      <c r="L11" s="78">
        <f t="shared" si="6"/>
        <v>15567946.310937205</v>
      </c>
      <c r="M11" s="78">
        <f t="shared" si="6"/>
        <v>14059920.884642165</v>
      </c>
      <c r="N11" s="78">
        <f t="shared" si="6"/>
        <v>14990849.953232091</v>
      </c>
      <c r="O11" s="78">
        <f t="shared" si="6"/>
        <v>12790423.035745684</v>
      </c>
      <c r="P11" s="78">
        <f>SUM(P12:P15)</f>
        <v>10167173.216901949</v>
      </c>
    </row>
    <row r="12" spans="2:20" ht="13.5" x14ac:dyDescent="0.2">
      <c r="B12" s="114" t="s">
        <v>115</v>
      </c>
      <c r="C12" s="81">
        <f>SUM(E12:P12)</f>
        <v>135158268.23264986</v>
      </c>
      <c r="D12" s="81"/>
      <c r="E12" s="123">
        <f>SUM(E92,E161)</f>
        <v>10754805.15040921</v>
      </c>
      <c r="F12" s="123">
        <f t="shared" ref="F12:P14" si="7">SUM(F92,F161)</f>
        <v>11010316.634867433</v>
      </c>
      <c r="G12" s="123">
        <f t="shared" si="7"/>
        <v>12437300.193892695</v>
      </c>
      <c r="H12" s="100">
        <f t="shared" si="7"/>
        <v>10847650.02532435</v>
      </c>
      <c r="I12" s="100">
        <f t="shared" si="7"/>
        <v>12169133.859999131</v>
      </c>
      <c r="J12" s="100">
        <f t="shared" si="7"/>
        <v>12337568.946224105</v>
      </c>
      <c r="K12" s="100">
        <f t="shared" si="7"/>
        <v>9318658.0315170065</v>
      </c>
      <c r="L12" s="100">
        <f t="shared" si="7"/>
        <v>13049853.917978749</v>
      </c>
      <c r="M12" s="101">
        <f t="shared" si="7"/>
        <v>11854408.144562574</v>
      </c>
      <c r="N12" s="101">
        <f t="shared" si="7"/>
        <v>12362202.104296716</v>
      </c>
      <c r="O12" s="123">
        <f t="shared" si="7"/>
        <v>10548560.295666093</v>
      </c>
      <c r="P12" s="124">
        <f t="shared" si="7"/>
        <v>8467810.9279118124</v>
      </c>
    </row>
    <row r="13" spans="2:20" ht="13.5" x14ac:dyDescent="0.2">
      <c r="B13" s="114" t="s">
        <v>116</v>
      </c>
      <c r="C13" s="81">
        <f>SUM(E13:P13)</f>
        <v>25798606.886115849</v>
      </c>
      <c r="D13" s="81"/>
      <c r="E13" s="123">
        <f>SUM(E93,E162)</f>
        <v>2171256.5651886752</v>
      </c>
      <c r="F13" s="123">
        <f t="shared" si="7"/>
        <v>2180374.5129600773</v>
      </c>
      <c r="G13" s="123">
        <f t="shared" si="7"/>
        <v>2492909.2574239727</v>
      </c>
      <c r="H13" s="100">
        <f t="shared" si="7"/>
        <v>2176688.2037886749</v>
      </c>
      <c r="I13" s="100">
        <f t="shared" si="7"/>
        <v>2368053.1891951337</v>
      </c>
      <c r="J13" s="100">
        <f t="shared" si="7"/>
        <v>2310529.5648739161</v>
      </c>
      <c r="K13" s="100">
        <f t="shared" si="7"/>
        <v>1426763.5708856685</v>
      </c>
      <c r="L13" s="100">
        <f t="shared" si="7"/>
        <v>2445283.195109772</v>
      </c>
      <c r="M13" s="101">
        <f t="shared" si="7"/>
        <v>2132703.5422309064</v>
      </c>
      <c r="N13" s="101">
        <f t="shared" si="7"/>
        <v>2334788.651086689</v>
      </c>
      <c r="O13" s="123">
        <f t="shared" si="7"/>
        <v>2132703.5422309064</v>
      </c>
      <c r="P13" s="124">
        <f t="shared" si="7"/>
        <v>1626553.0911414507</v>
      </c>
      <c r="T13" s="121"/>
    </row>
    <row r="14" spans="2:20" ht="13.5" x14ac:dyDescent="0.2">
      <c r="B14" s="114" t="s">
        <v>117</v>
      </c>
      <c r="C14" s="81">
        <f>SUM(E14:P14)</f>
        <v>1780585.3741842103</v>
      </c>
      <c r="D14" s="81"/>
      <c r="E14" s="123">
        <f>SUM(E94,E163)</f>
        <v>281009.19784868415</v>
      </c>
      <c r="F14" s="123">
        <f t="shared" si="7"/>
        <v>72809.197848684227</v>
      </c>
      <c r="G14" s="123">
        <f t="shared" si="7"/>
        <v>84834.197848684227</v>
      </c>
      <c r="H14" s="100">
        <f t="shared" si="7"/>
        <v>281009.19784868415</v>
      </c>
      <c r="I14" s="100">
        <f t="shared" si="7"/>
        <v>72809.197848684227</v>
      </c>
      <c r="J14" s="100">
        <f t="shared" si="7"/>
        <v>72809.197848684227</v>
      </c>
      <c r="K14" s="100">
        <f t="shared" si="7"/>
        <v>293859.19784868415</v>
      </c>
      <c r="L14" s="100">
        <f t="shared" si="7"/>
        <v>72809.197848684227</v>
      </c>
      <c r="M14" s="101">
        <f t="shared" si="7"/>
        <v>72809.197848684227</v>
      </c>
      <c r="N14" s="101">
        <f t="shared" si="7"/>
        <v>293859.19784868415</v>
      </c>
      <c r="O14" s="123">
        <f t="shared" si="7"/>
        <v>109159.19784868423</v>
      </c>
      <c r="P14" s="124">
        <f t="shared" si="7"/>
        <v>72809.197848684227</v>
      </c>
    </row>
    <row r="15" spans="2:20" ht="13.5" x14ac:dyDescent="0.2">
      <c r="B15" s="80"/>
      <c r="C15" s="81">
        <f>SUM(E15:P15)</f>
        <v>0</v>
      </c>
      <c r="D15" s="81"/>
      <c r="E15" s="81"/>
      <c r="F15" s="50"/>
      <c r="G15" s="81"/>
      <c r="H15" s="81"/>
      <c r="I15" s="81"/>
      <c r="J15" s="81"/>
      <c r="K15" s="81"/>
      <c r="L15" s="81"/>
      <c r="M15" s="81"/>
      <c r="N15" s="81"/>
      <c r="O15" s="81"/>
      <c r="P15" s="81"/>
    </row>
    <row r="16" spans="2:20" s="120" customFormat="1" ht="21.6" customHeight="1" x14ac:dyDescent="0.2">
      <c r="B16" s="95" t="s">
        <v>13</v>
      </c>
      <c r="C16" s="78">
        <f>+C6-C11</f>
        <v>10845821.262487173</v>
      </c>
      <c r="D16" s="78"/>
      <c r="E16" s="78">
        <f t="shared" ref="E16:P16" si="8">+E6-E11</f>
        <v>1007232.698860107</v>
      </c>
      <c r="F16" s="78">
        <f t="shared" si="8"/>
        <v>1504824.6138454378</v>
      </c>
      <c r="G16" s="78">
        <f t="shared" si="8"/>
        <v>1564083.0113584027</v>
      </c>
      <c r="H16" s="78">
        <f t="shared" si="8"/>
        <v>933833.56990497001</v>
      </c>
      <c r="I16" s="78">
        <f t="shared" si="8"/>
        <v>641094.45947256312</v>
      </c>
      <c r="J16" s="78">
        <f t="shared" si="8"/>
        <v>1210914.5272758678</v>
      </c>
      <c r="K16" s="78">
        <f t="shared" si="8"/>
        <v>-254722.62377910689</v>
      </c>
      <c r="L16" s="78">
        <f t="shared" si="8"/>
        <v>1221256.6025091466</v>
      </c>
      <c r="M16" s="78">
        <f t="shared" si="8"/>
        <v>1082733.2094091643</v>
      </c>
      <c r="N16" s="78">
        <f t="shared" si="8"/>
        <v>975629.10945445113</v>
      </c>
      <c r="O16" s="78">
        <f t="shared" si="8"/>
        <v>871587.13094669953</v>
      </c>
      <c r="P16" s="78">
        <f t="shared" si="8"/>
        <v>87354.953229473904</v>
      </c>
    </row>
    <row r="17" spans="2:16" s="120" customFormat="1" ht="21.6" customHeight="1" x14ac:dyDescent="0.2">
      <c r="B17" s="96" t="s">
        <v>14</v>
      </c>
      <c r="C17" s="82">
        <f t="shared" ref="C17:P17" si="9">+IFERROR(C16/C6,)</f>
        <v>6.2481946145988523E-2</v>
      </c>
      <c r="D17" s="82">
        <f t="shared" si="9"/>
        <v>0</v>
      </c>
      <c r="E17" s="82">
        <f t="shared" si="9"/>
        <v>7.0860502655089599E-2</v>
      </c>
      <c r="F17" s="82">
        <f t="shared" si="9"/>
        <v>0.10189541589652164</v>
      </c>
      <c r="G17" s="82">
        <f t="shared" si="9"/>
        <v>9.4340494730799723E-2</v>
      </c>
      <c r="H17" s="82">
        <f t="shared" si="9"/>
        <v>6.5581972032693406E-2</v>
      </c>
      <c r="I17" s="82">
        <f t="shared" si="9"/>
        <v>4.2035974463038056E-2</v>
      </c>
      <c r="J17" s="82">
        <f t="shared" si="9"/>
        <v>7.6006028018736863E-2</v>
      </c>
      <c r="K17" s="82">
        <f t="shared" si="9"/>
        <v>-2.3619198822146779E-2</v>
      </c>
      <c r="L17" s="82">
        <f t="shared" si="9"/>
        <v>7.2740594583620824E-2</v>
      </c>
      <c r="M17" s="82">
        <f t="shared" si="9"/>
        <v>7.1502208442739731E-2</v>
      </c>
      <c r="N17" s="82">
        <f t="shared" si="9"/>
        <v>6.1104837555230565E-2</v>
      </c>
      <c r="O17" s="82">
        <f t="shared" si="9"/>
        <v>6.3796404797853659E-2</v>
      </c>
      <c r="P17" s="82">
        <f t="shared" si="9"/>
        <v>8.5186711450961246E-3</v>
      </c>
    </row>
    <row r="18" spans="2:16" ht="13.5" x14ac:dyDescent="0.2">
      <c r="B18" s="95" t="s">
        <v>15</v>
      </c>
      <c r="C18" s="78">
        <f t="shared" ref="C18:C68" si="10">SUM(E18:P18)</f>
        <v>9264881.117067134</v>
      </c>
      <c r="D18" s="78"/>
      <c r="E18" s="78">
        <f>+E19+E35+E53</f>
        <v>803460.50618084788</v>
      </c>
      <c r="F18" s="78">
        <f t="shared" ref="F18:P18" si="11">+F19+F35+F53</f>
        <v>760648.13334684097</v>
      </c>
      <c r="G18" s="78">
        <f t="shared" si="11"/>
        <v>799369.33527854923</v>
      </c>
      <c r="H18" s="78">
        <f t="shared" si="11"/>
        <v>743730.68308484799</v>
      </c>
      <c r="I18" s="78">
        <f t="shared" si="11"/>
        <v>800675.90056466742</v>
      </c>
      <c r="J18" s="78">
        <f t="shared" si="11"/>
        <v>862545.01427072356</v>
      </c>
      <c r="K18" s="78">
        <f t="shared" si="11"/>
        <v>708733.07861863158</v>
      </c>
      <c r="L18" s="78">
        <f t="shared" si="11"/>
        <v>832884.08101228857</v>
      </c>
      <c r="M18" s="78">
        <f t="shared" si="11"/>
        <v>775064.16522481688</v>
      </c>
      <c r="N18" s="78">
        <f t="shared" si="11"/>
        <v>812233.43018089375</v>
      </c>
      <c r="O18" s="78">
        <f t="shared" si="11"/>
        <v>783795.75557763805</v>
      </c>
      <c r="P18" s="78">
        <f t="shared" si="11"/>
        <v>581741.03372638742</v>
      </c>
    </row>
    <row r="19" spans="2:16" ht="16.5" hidden="1" outlineLevel="1" x14ac:dyDescent="0.2">
      <c r="B19" s="97" t="s">
        <v>16</v>
      </c>
      <c r="C19" s="98">
        <f t="shared" si="10"/>
        <v>0</v>
      </c>
      <c r="D19" s="98"/>
      <c r="E19" s="99">
        <f>SUM(E20:E33)</f>
        <v>0</v>
      </c>
      <c r="F19" s="99">
        <f t="shared" ref="F19:P19" si="12">SUM(F20:F33)</f>
        <v>0</v>
      </c>
      <c r="G19" s="98">
        <f t="shared" si="12"/>
        <v>0</v>
      </c>
      <c r="H19" s="99">
        <f t="shared" si="12"/>
        <v>0</v>
      </c>
      <c r="I19" s="99">
        <f t="shared" si="12"/>
        <v>0</v>
      </c>
      <c r="J19" s="99">
        <f t="shared" si="12"/>
        <v>0</v>
      </c>
      <c r="K19" s="99">
        <f t="shared" si="12"/>
        <v>0</v>
      </c>
      <c r="L19" s="99">
        <f t="shared" si="12"/>
        <v>0</v>
      </c>
      <c r="M19" s="99">
        <f t="shared" si="12"/>
        <v>0</v>
      </c>
      <c r="N19" s="99">
        <f t="shared" si="12"/>
        <v>0</v>
      </c>
      <c r="O19" s="99">
        <f t="shared" si="12"/>
        <v>0</v>
      </c>
      <c r="P19" s="99">
        <f t="shared" si="12"/>
        <v>0</v>
      </c>
    </row>
    <row r="20" spans="2:16" ht="13.5" hidden="1" outlineLevel="1" x14ac:dyDescent="0.2">
      <c r="B20" s="67" t="s">
        <v>19</v>
      </c>
      <c r="C20" s="81">
        <f t="shared" si="10"/>
        <v>0</v>
      </c>
      <c r="D20" s="81"/>
      <c r="E20" s="123">
        <f>SUM(E100,E169)</f>
        <v>0</v>
      </c>
      <c r="F20" s="123">
        <f t="shared" ref="F20:P20" si="13">SUM(F100,F169)</f>
        <v>0</v>
      </c>
      <c r="G20" s="123">
        <f t="shared" si="13"/>
        <v>0</v>
      </c>
      <c r="H20" s="100">
        <f t="shared" si="13"/>
        <v>0</v>
      </c>
      <c r="I20" s="100">
        <f t="shared" si="13"/>
        <v>0</v>
      </c>
      <c r="J20" s="100">
        <f t="shared" si="13"/>
        <v>0</v>
      </c>
      <c r="K20" s="100">
        <f t="shared" si="13"/>
        <v>0</v>
      </c>
      <c r="L20" s="100">
        <f t="shared" si="13"/>
        <v>0</v>
      </c>
      <c r="M20" s="101">
        <f t="shared" si="13"/>
        <v>0</v>
      </c>
      <c r="N20" s="101">
        <f t="shared" si="13"/>
        <v>0</v>
      </c>
      <c r="O20" s="123">
        <f t="shared" si="13"/>
        <v>0</v>
      </c>
      <c r="P20" s="124">
        <f t="shared" si="13"/>
        <v>0</v>
      </c>
    </row>
    <row r="21" spans="2:16" ht="13.5" hidden="1" outlineLevel="1" x14ac:dyDescent="0.2">
      <c r="B21" s="67" t="s">
        <v>43</v>
      </c>
      <c r="C21" s="81">
        <f t="shared" si="10"/>
        <v>0</v>
      </c>
      <c r="D21" s="80"/>
      <c r="E21" s="123">
        <f t="shared" ref="E21:P21" si="14">SUM(E101,E170)</f>
        <v>0</v>
      </c>
      <c r="F21" s="123">
        <f t="shared" si="14"/>
        <v>0</v>
      </c>
      <c r="G21" s="123">
        <f t="shared" si="14"/>
        <v>0</v>
      </c>
      <c r="H21" s="100">
        <f t="shared" si="14"/>
        <v>0</v>
      </c>
      <c r="I21" s="100">
        <f t="shared" si="14"/>
        <v>0</v>
      </c>
      <c r="J21" s="100">
        <f t="shared" si="14"/>
        <v>0</v>
      </c>
      <c r="K21" s="100">
        <f t="shared" si="14"/>
        <v>0</v>
      </c>
      <c r="L21" s="100">
        <f t="shared" si="14"/>
        <v>0</v>
      </c>
      <c r="M21" s="101">
        <f t="shared" si="14"/>
        <v>0</v>
      </c>
      <c r="N21" s="101">
        <f t="shared" si="14"/>
        <v>0</v>
      </c>
      <c r="O21" s="123">
        <f t="shared" si="14"/>
        <v>0</v>
      </c>
      <c r="P21" s="124">
        <f t="shared" si="14"/>
        <v>0</v>
      </c>
    </row>
    <row r="22" spans="2:16" ht="13.5" hidden="1" outlineLevel="1" x14ac:dyDescent="0.2">
      <c r="B22" s="67" t="s">
        <v>45</v>
      </c>
      <c r="C22" s="81">
        <f t="shared" si="10"/>
        <v>0</v>
      </c>
      <c r="D22" s="80"/>
      <c r="E22" s="123">
        <f t="shared" ref="E22:P22" si="15">SUM(E102,E171)</f>
        <v>0</v>
      </c>
      <c r="F22" s="123">
        <f t="shared" si="15"/>
        <v>0</v>
      </c>
      <c r="G22" s="123">
        <f t="shared" si="15"/>
        <v>0</v>
      </c>
      <c r="H22" s="100">
        <f t="shared" si="15"/>
        <v>0</v>
      </c>
      <c r="I22" s="100">
        <f t="shared" si="15"/>
        <v>0</v>
      </c>
      <c r="J22" s="100">
        <f t="shared" si="15"/>
        <v>0</v>
      </c>
      <c r="K22" s="100">
        <f t="shared" si="15"/>
        <v>0</v>
      </c>
      <c r="L22" s="100">
        <f t="shared" si="15"/>
        <v>0</v>
      </c>
      <c r="M22" s="101">
        <f t="shared" si="15"/>
        <v>0</v>
      </c>
      <c r="N22" s="101">
        <f t="shared" si="15"/>
        <v>0</v>
      </c>
      <c r="O22" s="123">
        <f t="shared" si="15"/>
        <v>0</v>
      </c>
      <c r="P22" s="124">
        <f t="shared" si="15"/>
        <v>0</v>
      </c>
    </row>
    <row r="23" spans="2:16" ht="13.5" hidden="1" outlineLevel="1" x14ac:dyDescent="0.2">
      <c r="B23" s="67" t="s">
        <v>47</v>
      </c>
      <c r="C23" s="81">
        <f t="shared" si="10"/>
        <v>0</v>
      </c>
      <c r="D23" s="80"/>
      <c r="E23" s="123">
        <f t="shared" ref="E23:P23" si="16">SUM(E103,E172)</f>
        <v>0</v>
      </c>
      <c r="F23" s="123">
        <f t="shared" si="16"/>
        <v>0</v>
      </c>
      <c r="G23" s="123">
        <f t="shared" si="16"/>
        <v>0</v>
      </c>
      <c r="H23" s="100">
        <f t="shared" si="16"/>
        <v>0</v>
      </c>
      <c r="I23" s="100">
        <f t="shared" si="16"/>
        <v>0</v>
      </c>
      <c r="J23" s="100">
        <f t="shared" si="16"/>
        <v>0</v>
      </c>
      <c r="K23" s="100">
        <f t="shared" si="16"/>
        <v>0</v>
      </c>
      <c r="L23" s="100">
        <f t="shared" si="16"/>
        <v>0</v>
      </c>
      <c r="M23" s="101">
        <f t="shared" si="16"/>
        <v>0</v>
      </c>
      <c r="N23" s="101">
        <f t="shared" si="16"/>
        <v>0</v>
      </c>
      <c r="O23" s="123">
        <f t="shared" si="16"/>
        <v>0</v>
      </c>
      <c r="P23" s="124">
        <f t="shared" si="16"/>
        <v>0</v>
      </c>
    </row>
    <row r="24" spans="2:16" ht="13.5" hidden="1" outlineLevel="1" x14ac:dyDescent="0.2">
      <c r="B24" s="67" t="s">
        <v>48</v>
      </c>
      <c r="C24" s="81">
        <f>SUM(E24:P24)</f>
        <v>0</v>
      </c>
      <c r="D24" s="80"/>
      <c r="E24" s="123">
        <f t="shared" ref="E24:P24" si="17">SUM(E104,E173)</f>
        <v>0</v>
      </c>
      <c r="F24" s="123">
        <f t="shared" si="17"/>
        <v>0</v>
      </c>
      <c r="G24" s="123">
        <f t="shared" si="17"/>
        <v>0</v>
      </c>
      <c r="H24" s="100">
        <f t="shared" si="17"/>
        <v>0</v>
      </c>
      <c r="I24" s="100">
        <f t="shared" si="17"/>
        <v>0</v>
      </c>
      <c r="J24" s="100">
        <f t="shared" si="17"/>
        <v>0</v>
      </c>
      <c r="K24" s="100">
        <f t="shared" si="17"/>
        <v>0</v>
      </c>
      <c r="L24" s="100">
        <f t="shared" si="17"/>
        <v>0</v>
      </c>
      <c r="M24" s="101">
        <f t="shared" si="17"/>
        <v>0</v>
      </c>
      <c r="N24" s="101">
        <f t="shared" si="17"/>
        <v>0</v>
      </c>
      <c r="O24" s="123">
        <f t="shared" si="17"/>
        <v>0</v>
      </c>
      <c r="P24" s="124">
        <f t="shared" si="17"/>
        <v>0</v>
      </c>
    </row>
    <row r="25" spans="2:16" ht="13.5" hidden="1" outlineLevel="1" x14ac:dyDescent="0.2">
      <c r="B25" s="67" t="s">
        <v>49</v>
      </c>
      <c r="C25" s="81">
        <f t="shared" si="10"/>
        <v>0</v>
      </c>
      <c r="D25" s="81"/>
      <c r="E25" s="123">
        <f t="shared" ref="E25:P25" si="18">SUM(E105,E174)</f>
        <v>0</v>
      </c>
      <c r="F25" s="123">
        <f t="shared" si="18"/>
        <v>0</v>
      </c>
      <c r="G25" s="123">
        <f t="shared" si="18"/>
        <v>0</v>
      </c>
      <c r="H25" s="100">
        <f t="shared" si="18"/>
        <v>0</v>
      </c>
      <c r="I25" s="100">
        <f t="shared" si="18"/>
        <v>0</v>
      </c>
      <c r="J25" s="100">
        <f t="shared" si="18"/>
        <v>0</v>
      </c>
      <c r="K25" s="100">
        <f t="shared" si="18"/>
        <v>0</v>
      </c>
      <c r="L25" s="100">
        <f t="shared" si="18"/>
        <v>0</v>
      </c>
      <c r="M25" s="101">
        <f t="shared" si="18"/>
        <v>0</v>
      </c>
      <c r="N25" s="101">
        <f t="shared" si="18"/>
        <v>0</v>
      </c>
      <c r="O25" s="123">
        <f t="shared" si="18"/>
        <v>0</v>
      </c>
      <c r="P25" s="124">
        <f t="shared" si="18"/>
        <v>0</v>
      </c>
    </row>
    <row r="26" spans="2:16" ht="13.5" hidden="1" outlineLevel="1" x14ac:dyDescent="0.2">
      <c r="B26" s="67" t="s">
        <v>50</v>
      </c>
      <c r="C26" s="81">
        <f t="shared" si="10"/>
        <v>0</v>
      </c>
      <c r="D26" s="102"/>
      <c r="E26" s="123">
        <f t="shared" ref="E26:P26" si="19">SUM(E106,E175)</f>
        <v>0</v>
      </c>
      <c r="F26" s="123">
        <f t="shared" si="19"/>
        <v>0</v>
      </c>
      <c r="G26" s="123">
        <f t="shared" si="19"/>
        <v>0</v>
      </c>
      <c r="H26" s="100">
        <f t="shared" si="19"/>
        <v>0</v>
      </c>
      <c r="I26" s="100">
        <f t="shared" si="19"/>
        <v>0</v>
      </c>
      <c r="J26" s="100">
        <f t="shared" si="19"/>
        <v>0</v>
      </c>
      <c r="K26" s="100">
        <f t="shared" si="19"/>
        <v>0</v>
      </c>
      <c r="L26" s="100">
        <f t="shared" si="19"/>
        <v>0</v>
      </c>
      <c r="M26" s="101">
        <f t="shared" si="19"/>
        <v>0</v>
      </c>
      <c r="N26" s="101">
        <f t="shared" si="19"/>
        <v>0</v>
      </c>
      <c r="O26" s="123">
        <f t="shared" si="19"/>
        <v>0</v>
      </c>
      <c r="P26" s="124">
        <f t="shared" si="19"/>
        <v>0</v>
      </c>
    </row>
    <row r="27" spans="2:16" ht="13.5" hidden="1" outlineLevel="1" x14ac:dyDescent="0.2">
      <c r="B27" s="67" t="s">
        <v>51</v>
      </c>
      <c r="C27" s="81">
        <f t="shared" si="10"/>
        <v>0</v>
      </c>
      <c r="D27" s="80"/>
      <c r="E27" s="123">
        <f t="shared" ref="E27:P27" si="20">SUM(E107,E176)</f>
        <v>0</v>
      </c>
      <c r="F27" s="123">
        <f t="shared" si="20"/>
        <v>0</v>
      </c>
      <c r="G27" s="123">
        <f t="shared" si="20"/>
        <v>0</v>
      </c>
      <c r="H27" s="100">
        <f t="shared" si="20"/>
        <v>0</v>
      </c>
      <c r="I27" s="100">
        <f t="shared" si="20"/>
        <v>0</v>
      </c>
      <c r="J27" s="100">
        <f t="shared" si="20"/>
        <v>0</v>
      </c>
      <c r="K27" s="100">
        <f t="shared" si="20"/>
        <v>0</v>
      </c>
      <c r="L27" s="100">
        <f t="shared" si="20"/>
        <v>0</v>
      </c>
      <c r="M27" s="101">
        <f t="shared" si="20"/>
        <v>0</v>
      </c>
      <c r="N27" s="101">
        <f t="shared" si="20"/>
        <v>0</v>
      </c>
      <c r="O27" s="123">
        <f t="shared" si="20"/>
        <v>0</v>
      </c>
      <c r="P27" s="124">
        <f t="shared" si="20"/>
        <v>0</v>
      </c>
    </row>
    <row r="28" spans="2:16" ht="13.5" hidden="1" outlineLevel="1" x14ac:dyDescent="0.2">
      <c r="B28" s="67" t="s">
        <v>52</v>
      </c>
      <c r="C28" s="81">
        <f t="shared" si="10"/>
        <v>0</v>
      </c>
      <c r="D28" s="80"/>
      <c r="E28" s="123">
        <f t="shared" ref="E28:P28" si="21">SUM(E108,E177)</f>
        <v>0</v>
      </c>
      <c r="F28" s="123">
        <f t="shared" si="21"/>
        <v>0</v>
      </c>
      <c r="G28" s="123">
        <f t="shared" si="21"/>
        <v>0</v>
      </c>
      <c r="H28" s="100">
        <f t="shared" si="21"/>
        <v>0</v>
      </c>
      <c r="I28" s="100">
        <f t="shared" si="21"/>
        <v>0</v>
      </c>
      <c r="J28" s="100">
        <f t="shared" si="21"/>
        <v>0</v>
      </c>
      <c r="K28" s="100">
        <f t="shared" si="21"/>
        <v>0</v>
      </c>
      <c r="L28" s="100">
        <f t="shared" si="21"/>
        <v>0</v>
      </c>
      <c r="M28" s="101">
        <f t="shared" si="21"/>
        <v>0</v>
      </c>
      <c r="N28" s="101">
        <f t="shared" si="21"/>
        <v>0</v>
      </c>
      <c r="O28" s="123">
        <f t="shared" si="21"/>
        <v>0</v>
      </c>
      <c r="P28" s="124">
        <f t="shared" si="21"/>
        <v>0</v>
      </c>
    </row>
    <row r="29" spans="2:16" ht="13.5" hidden="1" outlineLevel="1" x14ac:dyDescent="0.2">
      <c r="B29" s="67" t="s">
        <v>53</v>
      </c>
      <c r="C29" s="81">
        <f t="shared" si="10"/>
        <v>0</v>
      </c>
      <c r="D29" s="80"/>
      <c r="E29" s="123">
        <f t="shared" ref="E29:P29" si="22">SUM(E109,E178)</f>
        <v>0</v>
      </c>
      <c r="F29" s="123">
        <f t="shared" si="22"/>
        <v>0</v>
      </c>
      <c r="G29" s="123">
        <f t="shared" si="22"/>
        <v>0</v>
      </c>
      <c r="H29" s="100">
        <f t="shared" si="22"/>
        <v>0</v>
      </c>
      <c r="I29" s="100">
        <f t="shared" si="22"/>
        <v>0</v>
      </c>
      <c r="J29" s="100">
        <f t="shared" si="22"/>
        <v>0</v>
      </c>
      <c r="K29" s="100">
        <f t="shared" si="22"/>
        <v>0</v>
      </c>
      <c r="L29" s="100">
        <f t="shared" si="22"/>
        <v>0</v>
      </c>
      <c r="M29" s="101">
        <f t="shared" si="22"/>
        <v>0</v>
      </c>
      <c r="N29" s="101">
        <f t="shared" si="22"/>
        <v>0</v>
      </c>
      <c r="O29" s="123">
        <f t="shared" si="22"/>
        <v>0</v>
      </c>
      <c r="P29" s="124">
        <f t="shared" si="22"/>
        <v>0</v>
      </c>
    </row>
    <row r="30" spans="2:16" ht="13.5" hidden="1" outlineLevel="1" x14ac:dyDescent="0.2">
      <c r="B30" s="67" t="s">
        <v>54</v>
      </c>
      <c r="C30" s="81">
        <f t="shared" si="10"/>
        <v>0</v>
      </c>
      <c r="D30" s="102"/>
      <c r="E30" s="123">
        <f t="shared" ref="E30:P30" si="23">SUM(E110,E179)</f>
        <v>0</v>
      </c>
      <c r="F30" s="123">
        <f t="shared" si="23"/>
        <v>0</v>
      </c>
      <c r="G30" s="123">
        <f t="shared" si="23"/>
        <v>0</v>
      </c>
      <c r="H30" s="100">
        <f t="shared" si="23"/>
        <v>0</v>
      </c>
      <c r="I30" s="100">
        <f t="shared" si="23"/>
        <v>0</v>
      </c>
      <c r="J30" s="100">
        <f t="shared" si="23"/>
        <v>0</v>
      </c>
      <c r="K30" s="100">
        <f t="shared" si="23"/>
        <v>0</v>
      </c>
      <c r="L30" s="100">
        <f t="shared" si="23"/>
        <v>0</v>
      </c>
      <c r="M30" s="101">
        <f t="shared" si="23"/>
        <v>0</v>
      </c>
      <c r="N30" s="101">
        <f t="shared" si="23"/>
        <v>0</v>
      </c>
      <c r="O30" s="123">
        <f t="shared" si="23"/>
        <v>0</v>
      </c>
      <c r="P30" s="124">
        <f t="shared" si="23"/>
        <v>0</v>
      </c>
    </row>
    <row r="31" spans="2:16" ht="13.5" hidden="1" outlineLevel="1" x14ac:dyDescent="0.2">
      <c r="B31" s="67" t="s">
        <v>55</v>
      </c>
      <c r="C31" s="81">
        <f t="shared" si="10"/>
        <v>0</v>
      </c>
      <c r="D31" s="81"/>
      <c r="E31" s="123">
        <f t="shared" ref="E31:P31" si="24">SUM(E111,E180)</f>
        <v>0</v>
      </c>
      <c r="F31" s="123">
        <f t="shared" si="24"/>
        <v>0</v>
      </c>
      <c r="G31" s="123">
        <f t="shared" si="24"/>
        <v>0</v>
      </c>
      <c r="H31" s="100">
        <f t="shared" si="24"/>
        <v>0</v>
      </c>
      <c r="I31" s="100">
        <f t="shared" si="24"/>
        <v>0</v>
      </c>
      <c r="J31" s="100">
        <f t="shared" si="24"/>
        <v>0</v>
      </c>
      <c r="K31" s="100">
        <f t="shared" si="24"/>
        <v>0</v>
      </c>
      <c r="L31" s="100">
        <f t="shared" si="24"/>
        <v>0</v>
      </c>
      <c r="M31" s="101">
        <f t="shared" si="24"/>
        <v>0</v>
      </c>
      <c r="N31" s="101">
        <f t="shared" si="24"/>
        <v>0</v>
      </c>
      <c r="O31" s="123">
        <f t="shared" si="24"/>
        <v>0</v>
      </c>
      <c r="P31" s="124">
        <f t="shared" si="24"/>
        <v>0</v>
      </c>
    </row>
    <row r="32" spans="2:16" ht="13.5" hidden="1" outlineLevel="1" x14ac:dyDescent="0.2">
      <c r="B32" s="67" t="s">
        <v>56</v>
      </c>
      <c r="C32" s="81">
        <f t="shared" si="10"/>
        <v>0</v>
      </c>
      <c r="D32" s="81"/>
      <c r="E32" s="123">
        <f t="shared" ref="E32:P32" si="25">SUM(E112,E181)</f>
        <v>0</v>
      </c>
      <c r="F32" s="123">
        <f t="shared" si="25"/>
        <v>0</v>
      </c>
      <c r="G32" s="123">
        <f t="shared" si="25"/>
        <v>0</v>
      </c>
      <c r="H32" s="100">
        <f t="shared" si="25"/>
        <v>0</v>
      </c>
      <c r="I32" s="100">
        <f t="shared" si="25"/>
        <v>0</v>
      </c>
      <c r="J32" s="100">
        <f t="shared" si="25"/>
        <v>0</v>
      </c>
      <c r="K32" s="100">
        <f t="shared" si="25"/>
        <v>0</v>
      </c>
      <c r="L32" s="100">
        <f t="shared" si="25"/>
        <v>0</v>
      </c>
      <c r="M32" s="101">
        <f t="shared" si="25"/>
        <v>0</v>
      </c>
      <c r="N32" s="101">
        <f t="shared" si="25"/>
        <v>0</v>
      </c>
      <c r="O32" s="123">
        <f t="shared" si="25"/>
        <v>0</v>
      </c>
      <c r="P32" s="124">
        <f t="shared" si="25"/>
        <v>0</v>
      </c>
    </row>
    <row r="33" spans="2:18" s="120" customFormat="1" ht="17.45" hidden="1" customHeight="1" outlineLevel="1" x14ac:dyDescent="0.2">
      <c r="B33" s="67" t="s">
        <v>57</v>
      </c>
      <c r="C33" s="81">
        <f t="shared" si="10"/>
        <v>0</v>
      </c>
      <c r="D33" s="80"/>
      <c r="E33" s="123">
        <f t="shared" ref="E33:P33" si="26">SUM(E113,E182)</f>
        <v>0</v>
      </c>
      <c r="F33" s="123">
        <f t="shared" si="26"/>
        <v>0</v>
      </c>
      <c r="G33" s="123">
        <f t="shared" si="26"/>
        <v>0</v>
      </c>
      <c r="H33" s="100">
        <f t="shared" si="26"/>
        <v>0</v>
      </c>
      <c r="I33" s="100">
        <f t="shared" si="26"/>
        <v>0</v>
      </c>
      <c r="J33" s="100">
        <f t="shared" si="26"/>
        <v>0</v>
      </c>
      <c r="K33" s="100">
        <f t="shared" si="26"/>
        <v>0</v>
      </c>
      <c r="L33" s="100">
        <f t="shared" si="26"/>
        <v>0</v>
      </c>
      <c r="M33" s="101">
        <f t="shared" si="26"/>
        <v>0</v>
      </c>
      <c r="N33" s="101">
        <f t="shared" si="26"/>
        <v>0</v>
      </c>
      <c r="O33" s="123">
        <f t="shared" si="26"/>
        <v>0</v>
      </c>
      <c r="P33" s="124">
        <f t="shared" si="26"/>
        <v>0</v>
      </c>
    </row>
    <row r="34" spans="2:18" s="121" customFormat="1" ht="9.6" hidden="1" customHeight="1" outlineLevel="1" x14ac:dyDescent="0.2">
      <c r="B34" s="106"/>
      <c r="C34" s="81"/>
      <c r="D34" s="81"/>
      <c r="E34" s="107"/>
      <c r="F34" s="107"/>
      <c r="G34" s="81"/>
      <c r="H34" s="81"/>
      <c r="I34" s="81"/>
      <c r="J34" s="81"/>
      <c r="K34" s="81"/>
      <c r="L34" s="81"/>
      <c r="M34" s="108"/>
      <c r="N34" s="103"/>
      <c r="O34" s="81"/>
      <c r="P34" s="81"/>
    </row>
    <row r="35" spans="2:18" s="120" customFormat="1" ht="18.600000000000001" customHeight="1" collapsed="1" x14ac:dyDescent="0.2">
      <c r="B35" s="97" t="s">
        <v>17</v>
      </c>
      <c r="C35" s="109">
        <f t="shared" si="10"/>
        <v>9264881.117067134</v>
      </c>
      <c r="D35" s="109"/>
      <c r="E35" s="110">
        <f>SUM(E36:E51)</f>
        <v>803460.50618084788</v>
      </c>
      <c r="F35" s="110">
        <f t="shared" ref="F35:P35" si="27">SUM(F36:F51)</f>
        <v>760648.13334684097</v>
      </c>
      <c r="G35" s="109">
        <f t="shared" si="27"/>
        <v>799369.33527854923</v>
      </c>
      <c r="H35" s="110">
        <f t="shared" si="27"/>
        <v>743730.68308484799</v>
      </c>
      <c r="I35" s="110">
        <f t="shared" si="27"/>
        <v>800675.90056466742</v>
      </c>
      <c r="J35" s="110">
        <f t="shared" si="27"/>
        <v>862545.01427072356</v>
      </c>
      <c r="K35" s="110">
        <f t="shared" si="27"/>
        <v>708733.07861863158</v>
      </c>
      <c r="L35" s="110">
        <f>SUM(L36:L51)</f>
        <v>832884.08101228857</v>
      </c>
      <c r="M35" s="111">
        <f t="shared" si="27"/>
        <v>775064.16522481688</v>
      </c>
      <c r="N35" s="111">
        <f t="shared" si="27"/>
        <v>812233.43018089375</v>
      </c>
      <c r="O35" s="110">
        <f t="shared" si="27"/>
        <v>783795.75557763805</v>
      </c>
      <c r="P35" s="110">
        <f t="shared" si="27"/>
        <v>581741.03372638742</v>
      </c>
    </row>
    <row r="36" spans="2:18" ht="13.5" x14ac:dyDescent="0.2">
      <c r="B36" s="112" t="s">
        <v>58</v>
      </c>
      <c r="C36" s="81">
        <f t="shared" si="10"/>
        <v>4201174.0856666658</v>
      </c>
      <c r="D36" s="80"/>
      <c r="E36" s="123">
        <f t="shared" ref="E36:P36" si="28">SUM(E116,E185)</f>
        <v>347317.40366666671</v>
      </c>
      <c r="F36" s="123">
        <f t="shared" si="28"/>
        <v>347317.40366666671</v>
      </c>
      <c r="G36" s="123">
        <f t="shared" si="28"/>
        <v>357452.40366666671</v>
      </c>
      <c r="H36" s="100">
        <f t="shared" si="28"/>
        <v>357452.40366666671</v>
      </c>
      <c r="I36" s="100">
        <f t="shared" si="28"/>
        <v>357452.40366666671</v>
      </c>
      <c r="J36" s="100">
        <f t="shared" si="28"/>
        <v>369119.07033333339</v>
      </c>
      <c r="K36" s="100">
        <f t="shared" si="28"/>
        <v>369119.07033333339</v>
      </c>
      <c r="L36" s="100">
        <f t="shared" si="28"/>
        <v>393919.07033333339</v>
      </c>
      <c r="M36" s="101">
        <f t="shared" si="28"/>
        <v>369119.07033333339</v>
      </c>
      <c r="N36" s="101">
        <f t="shared" si="28"/>
        <v>369119.07033333339</v>
      </c>
      <c r="O36" s="123">
        <f t="shared" si="28"/>
        <v>369119.07033333339</v>
      </c>
      <c r="P36" s="124">
        <f t="shared" si="28"/>
        <v>194667.64533333329</v>
      </c>
      <c r="Q36"/>
      <c r="R36" s="120"/>
    </row>
    <row r="37" spans="2:18" ht="13.5" x14ac:dyDescent="0.2">
      <c r="B37" s="112" t="s">
        <v>59</v>
      </c>
      <c r="C37" s="81">
        <f t="shared" si="10"/>
        <v>132669.69735</v>
      </c>
      <c r="D37" s="80"/>
      <c r="E37" s="123">
        <f t="shared" ref="E37:P37" si="29">SUM(E117,E186)</f>
        <v>11055.808112499997</v>
      </c>
      <c r="F37" s="123">
        <f t="shared" si="29"/>
        <v>11055.808112499999</v>
      </c>
      <c r="G37" s="123">
        <f t="shared" si="29"/>
        <v>11055.808112499997</v>
      </c>
      <c r="H37" s="100">
        <f t="shared" si="29"/>
        <v>11055.808112499997</v>
      </c>
      <c r="I37" s="100">
        <f t="shared" si="29"/>
        <v>11055.808112499997</v>
      </c>
      <c r="J37" s="100">
        <f t="shared" si="29"/>
        <v>11055.808112499997</v>
      </c>
      <c r="K37" s="100">
        <f t="shared" si="29"/>
        <v>11055.808112499997</v>
      </c>
      <c r="L37" s="100">
        <f t="shared" si="29"/>
        <v>11055.808112499997</v>
      </c>
      <c r="M37" s="101">
        <f t="shared" si="29"/>
        <v>11055.808112499997</v>
      </c>
      <c r="N37" s="101">
        <f t="shared" si="29"/>
        <v>11055.808112499999</v>
      </c>
      <c r="O37" s="123">
        <f t="shared" si="29"/>
        <v>11055.808112499999</v>
      </c>
      <c r="P37" s="124">
        <f t="shared" si="29"/>
        <v>11055.808112499999</v>
      </c>
      <c r="Q37"/>
    </row>
    <row r="38" spans="2:18" ht="13.5" x14ac:dyDescent="0.2">
      <c r="B38" s="112" t="s">
        <v>60</v>
      </c>
      <c r="C38" s="81">
        <f t="shared" si="10"/>
        <v>976247.63005399983</v>
      </c>
      <c r="D38" s="80"/>
      <c r="E38" s="123">
        <f t="shared" ref="E38:P38" si="30">SUM(E118,E187)</f>
        <v>78054.84647983333</v>
      </c>
      <c r="F38" s="123">
        <f t="shared" si="30"/>
        <v>79287.119415833324</v>
      </c>
      <c r="G38" s="123">
        <f t="shared" si="30"/>
        <v>78415.821087833319</v>
      </c>
      <c r="H38" s="100">
        <f t="shared" si="30"/>
        <v>80978.733383833329</v>
      </c>
      <c r="I38" s="100">
        <f t="shared" si="30"/>
        <v>80542.033383833332</v>
      </c>
      <c r="J38" s="100">
        <f t="shared" si="30"/>
        <v>81502.808383833326</v>
      </c>
      <c r="K38" s="100">
        <f t="shared" si="30"/>
        <v>82735.08131983332</v>
      </c>
      <c r="L38" s="100">
        <f t="shared" si="30"/>
        <v>82735.08131983332</v>
      </c>
      <c r="M38" s="101">
        <f t="shared" si="30"/>
        <v>82735.08131983332</v>
      </c>
      <c r="N38" s="101">
        <f t="shared" si="30"/>
        <v>82735.081319833334</v>
      </c>
      <c r="O38" s="123">
        <f t="shared" si="30"/>
        <v>83262.971319833334</v>
      </c>
      <c r="P38" s="124">
        <f t="shared" si="30"/>
        <v>83262.971319833319</v>
      </c>
      <c r="Q38"/>
    </row>
    <row r="39" spans="2:18" ht="13.5" x14ac:dyDescent="0.2">
      <c r="B39" s="112" t="s">
        <v>61</v>
      </c>
      <c r="C39" s="81">
        <f t="shared" si="10"/>
        <v>262838.82915499998</v>
      </c>
      <c r="D39" s="80"/>
      <c r="E39" s="123">
        <f t="shared" ref="E39:P39" si="31">SUM(E119,E188)</f>
        <v>21427.875962916663</v>
      </c>
      <c r="F39" s="123">
        <f t="shared" si="31"/>
        <v>20279.415662916661</v>
      </c>
      <c r="G39" s="123">
        <f t="shared" si="31"/>
        <v>21401.115662916665</v>
      </c>
      <c r="H39" s="100">
        <f t="shared" si="31"/>
        <v>22549.575962916664</v>
      </c>
      <c r="I39" s="100">
        <f t="shared" si="31"/>
        <v>21401.115662916665</v>
      </c>
      <c r="J39" s="100">
        <f t="shared" si="31"/>
        <v>21926.115662916665</v>
      </c>
      <c r="K39" s="100">
        <f t="shared" si="31"/>
        <v>23074.575962916664</v>
      </c>
      <c r="L39" s="100">
        <f t="shared" si="31"/>
        <v>21926.115662916665</v>
      </c>
      <c r="M39" s="101">
        <f t="shared" si="31"/>
        <v>21926.115662916665</v>
      </c>
      <c r="N39" s="101">
        <f t="shared" si="31"/>
        <v>23074.575962916668</v>
      </c>
      <c r="O39" s="123">
        <f t="shared" si="31"/>
        <v>21926.115662916665</v>
      </c>
      <c r="P39" s="124">
        <f t="shared" si="31"/>
        <v>21926.115662916665</v>
      </c>
      <c r="Q39"/>
    </row>
    <row r="40" spans="2:18" ht="13.5" x14ac:dyDescent="0.2">
      <c r="B40" s="112" t="s">
        <v>62</v>
      </c>
      <c r="C40" s="81">
        <f t="shared" si="10"/>
        <v>0</v>
      </c>
      <c r="D40" s="80"/>
      <c r="E40" s="123">
        <f t="shared" ref="E40:P40" si="32">SUM(E120,E189)</f>
        <v>0</v>
      </c>
      <c r="F40" s="123">
        <f t="shared" si="32"/>
        <v>0</v>
      </c>
      <c r="G40" s="123">
        <f t="shared" si="32"/>
        <v>0</v>
      </c>
      <c r="H40" s="100">
        <f t="shared" si="32"/>
        <v>0</v>
      </c>
      <c r="I40" s="100">
        <f t="shared" si="32"/>
        <v>0</v>
      </c>
      <c r="J40" s="100">
        <f t="shared" si="32"/>
        <v>0</v>
      </c>
      <c r="K40" s="100">
        <f t="shared" si="32"/>
        <v>0</v>
      </c>
      <c r="L40" s="100">
        <f t="shared" si="32"/>
        <v>0</v>
      </c>
      <c r="M40" s="101">
        <f t="shared" si="32"/>
        <v>0</v>
      </c>
      <c r="N40" s="101">
        <f t="shared" si="32"/>
        <v>0</v>
      </c>
      <c r="O40" s="123">
        <f t="shared" si="32"/>
        <v>0</v>
      </c>
      <c r="P40" s="124">
        <f t="shared" si="32"/>
        <v>0</v>
      </c>
      <c r="Q40"/>
    </row>
    <row r="41" spans="2:18" ht="13.5" x14ac:dyDescent="0.2">
      <c r="B41" s="112" t="s">
        <v>63</v>
      </c>
      <c r="C41" s="81">
        <f t="shared" si="10"/>
        <v>0</v>
      </c>
      <c r="D41" s="81"/>
      <c r="E41" s="123">
        <f t="shared" ref="E41:P41" si="33">SUM(E121,E190)</f>
        <v>0</v>
      </c>
      <c r="F41" s="123">
        <f t="shared" si="33"/>
        <v>0</v>
      </c>
      <c r="G41" s="123">
        <f t="shared" si="33"/>
        <v>0</v>
      </c>
      <c r="H41" s="100">
        <f t="shared" si="33"/>
        <v>0</v>
      </c>
      <c r="I41" s="100">
        <f t="shared" si="33"/>
        <v>0</v>
      </c>
      <c r="J41" s="100">
        <f t="shared" si="33"/>
        <v>0</v>
      </c>
      <c r="K41" s="100">
        <f t="shared" si="33"/>
        <v>0</v>
      </c>
      <c r="L41" s="100">
        <f t="shared" si="33"/>
        <v>0</v>
      </c>
      <c r="M41" s="101">
        <f t="shared" si="33"/>
        <v>0</v>
      </c>
      <c r="N41" s="101">
        <f t="shared" si="33"/>
        <v>0</v>
      </c>
      <c r="O41" s="123">
        <f t="shared" si="33"/>
        <v>0</v>
      </c>
      <c r="P41" s="124">
        <f t="shared" si="33"/>
        <v>0</v>
      </c>
      <c r="Q41"/>
    </row>
    <row r="42" spans="2:18" ht="13.5" x14ac:dyDescent="0.2">
      <c r="B42" s="112" t="s">
        <v>64</v>
      </c>
      <c r="C42" s="81">
        <f t="shared" si="10"/>
        <v>0</v>
      </c>
      <c r="D42" s="81"/>
      <c r="E42" s="123">
        <f t="shared" ref="E42:P42" si="34">SUM(E122,E191)</f>
        <v>0</v>
      </c>
      <c r="F42" s="123">
        <f t="shared" si="34"/>
        <v>0</v>
      </c>
      <c r="G42" s="123">
        <f t="shared" si="34"/>
        <v>0</v>
      </c>
      <c r="H42" s="100">
        <f t="shared" si="34"/>
        <v>0</v>
      </c>
      <c r="I42" s="100">
        <f t="shared" si="34"/>
        <v>0</v>
      </c>
      <c r="J42" s="100">
        <f t="shared" si="34"/>
        <v>0</v>
      </c>
      <c r="K42" s="100">
        <f t="shared" si="34"/>
        <v>0</v>
      </c>
      <c r="L42" s="100">
        <f t="shared" si="34"/>
        <v>0</v>
      </c>
      <c r="M42" s="101">
        <f t="shared" si="34"/>
        <v>0</v>
      </c>
      <c r="N42" s="101">
        <f t="shared" si="34"/>
        <v>0</v>
      </c>
      <c r="O42" s="123">
        <f t="shared" si="34"/>
        <v>0</v>
      </c>
      <c r="P42" s="124">
        <f t="shared" si="34"/>
        <v>0</v>
      </c>
      <c r="Q42"/>
    </row>
    <row r="43" spans="2:18" ht="13.5" x14ac:dyDescent="0.2">
      <c r="B43" s="112" t="s">
        <v>65</v>
      </c>
      <c r="C43" s="81">
        <f t="shared" si="10"/>
        <v>3243763.7468164661</v>
      </c>
      <c r="D43" s="80"/>
      <c r="E43" s="123">
        <f t="shared" ref="E43:P43" si="35">SUM(E123,E192)</f>
        <v>308110.75795684796</v>
      </c>
      <c r="F43" s="123">
        <f t="shared" si="35"/>
        <v>265214.572486841</v>
      </c>
      <c r="G43" s="123">
        <f t="shared" si="35"/>
        <v>292926.78274654917</v>
      </c>
      <c r="H43" s="100">
        <f t="shared" si="35"/>
        <v>233576.75795684796</v>
      </c>
      <c r="I43" s="100">
        <f t="shared" si="35"/>
        <v>292107.13573666732</v>
      </c>
      <c r="J43" s="100">
        <f t="shared" si="35"/>
        <v>341963.02777605684</v>
      </c>
      <c r="K43" s="100">
        <f t="shared" si="35"/>
        <v>185770.35888796495</v>
      </c>
      <c r="L43" s="100">
        <f t="shared" si="35"/>
        <v>286269.82158162183</v>
      </c>
      <c r="M43" s="101">
        <f t="shared" si="35"/>
        <v>253249.90579415025</v>
      </c>
      <c r="N43" s="101">
        <f t="shared" si="35"/>
        <v>289270.71045022702</v>
      </c>
      <c r="O43" s="123">
        <f t="shared" si="35"/>
        <v>261453.60614697135</v>
      </c>
      <c r="P43" s="124">
        <f t="shared" si="35"/>
        <v>233850.30929572083</v>
      </c>
      <c r="Q43"/>
    </row>
    <row r="44" spans="2:18" ht="13.5" x14ac:dyDescent="0.2">
      <c r="B44" s="112" t="s">
        <v>66</v>
      </c>
      <c r="C44" s="81">
        <f t="shared" si="10"/>
        <v>191128.12870000003</v>
      </c>
      <c r="D44" s="80"/>
      <c r="E44" s="123">
        <f t="shared" ref="E44:P44" si="36">SUM(E124,E193)</f>
        <v>15927.344058333334</v>
      </c>
      <c r="F44" s="123">
        <f t="shared" si="36"/>
        <v>15927.344058333334</v>
      </c>
      <c r="G44" s="123">
        <f t="shared" si="36"/>
        <v>15927.344058333334</v>
      </c>
      <c r="H44" s="100">
        <f t="shared" si="36"/>
        <v>15927.344058333334</v>
      </c>
      <c r="I44" s="100">
        <f t="shared" si="36"/>
        <v>15927.344058333334</v>
      </c>
      <c r="J44" s="100">
        <f t="shared" si="36"/>
        <v>15927.344058333334</v>
      </c>
      <c r="K44" s="100">
        <f t="shared" si="36"/>
        <v>15927.344058333334</v>
      </c>
      <c r="L44" s="100">
        <f t="shared" si="36"/>
        <v>15927.344058333334</v>
      </c>
      <c r="M44" s="101">
        <f t="shared" si="36"/>
        <v>15927.344058333334</v>
      </c>
      <c r="N44" s="101">
        <f t="shared" si="36"/>
        <v>15927.344058333334</v>
      </c>
      <c r="O44" s="123">
        <f t="shared" si="36"/>
        <v>15927.344058333334</v>
      </c>
      <c r="P44" s="124">
        <f t="shared" si="36"/>
        <v>15927.344058333334</v>
      </c>
      <c r="Q44"/>
    </row>
    <row r="45" spans="2:18" ht="13.5" x14ac:dyDescent="0.2">
      <c r="B45" s="112" t="s">
        <v>67</v>
      </c>
      <c r="C45" s="81">
        <f t="shared" si="10"/>
        <v>0</v>
      </c>
      <c r="D45" s="80"/>
      <c r="E45" s="123">
        <f t="shared" ref="E45:P45" si="37">SUM(E125,E194)</f>
        <v>0</v>
      </c>
      <c r="F45" s="123">
        <f t="shared" si="37"/>
        <v>0</v>
      </c>
      <c r="G45" s="123">
        <f t="shared" si="37"/>
        <v>0</v>
      </c>
      <c r="H45" s="100">
        <f t="shared" si="37"/>
        <v>0</v>
      </c>
      <c r="I45" s="100">
        <f t="shared" si="37"/>
        <v>0</v>
      </c>
      <c r="J45" s="100">
        <f t="shared" si="37"/>
        <v>0</v>
      </c>
      <c r="K45" s="100">
        <f t="shared" si="37"/>
        <v>0</v>
      </c>
      <c r="L45" s="100">
        <f t="shared" si="37"/>
        <v>0</v>
      </c>
      <c r="M45" s="101">
        <f t="shared" si="37"/>
        <v>0</v>
      </c>
      <c r="N45" s="101">
        <f t="shared" si="37"/>
        <v>0</v>
      </c>
      <c r="O45" s="123">
        <f t="shared" si="37"/>
        <v>0</v>
      </c>
      <c r="P45" s="124">
        <f t="shared" si="37"/>
        <v>0</v>
      </c>
      <c r="Q45"/>
    </row>
    <row r="46" spans="2:18" ht="13.5" x14ac:dyDescent="0.2">
      <c r="B46" s="112" t="s">
        <v>68</v>
      </c>
      <c r="C46" s="81">
        <f t="shared" si="10"/>
        <v>0</v>
      </c>
      <c r="D46" s="81"/>
      <c r="E46" s="123">
        <f t="shared" ref="E46:P46" si="38">SUM(E126,E195)</f>
        <v>0</v>
      </c>
      <c r="F46" s="123">
        <f t="shared" si="38"/>
        <v>0</v>
      </c>
      <c r="G46" s="123">
        <f t="shared" si="38"/>
        <v>0</v>
      </c>
      <c r="H46" s="100">
        <f t="shared" si="38"/>
        <v>0</v>
      </c>
      <c r="I46" s="100">
        <f t="shared" si="38"/>
        <v>0</v>
      </c>
      <c r="J46" s="100">
        <f t="shared" si="38"/>
        <v>0</v>
      </c>
      <c r="K46" s="100">
        <f t="shared" si="38"/>
        <v>0</v>
      </c>
      <c r="L46" s="100">
        <f t="shared" si="38"/>
        <v>0</v>
      </c>
      <c r="M46" s="101">
        <f t="shared" si="38"/>
        <v>0</v>
      </c>
      <c r="N46" s="101">
        <f t="shared" si="38"/>
        <v>0</v>
      </c>
      <c r="O46" s="123">
        <f t="shared" si="38"/>
        <v>0</v>
      </c>
      <c r="P46" s="124">
        <f t="shared" si="38"/>
        <v>0</v>
      </c>
      <c r="Q46"/>
    </row>
    <row r="47" spans="2:18" ht="13.5" x14ac:dyDescent="0.2">
      <c r="B47" s="112" t="s">
        <v>69</v>
      </c>
      <c r="C47" s="81">
        <f t="shared" si="10"/>
        <v>0</v>
      </c>
      <c r="D47" s="81"/>
      <c r="E47" s="123">
        <f t="shared" ref="E47:P47" si="39">SUM(E127,E196)</f>
        <v>0</v>
      </c>
      <c r="F47" s="123">
        <f t="shared" si="39"/>
        <v>0</v>
      </c>
      <c r="G47" s="123">
        <f t="shared" si="39"/>
        <v>0</v>
      </c>
      <c r="H47" s="100">
        <f t="shared" si="39"/>
        <v>0</v>
      </c>
      <c r="I47" s="100">
        <f t="shared" si="39"/>
        <v>0</v>
      </c>
      <c r="J47" s="100">
        <f t="shared" si="39"/>
        <v>0</v>
      </c>
      <c r="K47" s="100">
        <f t="shared" si="39"/>
        <v>0</v>
      </c>
      <c r="L47" s="100">
        <f t="shared" si="39"/>
        <v>0</v>
      </c>
      <c r="M47" s="101">
        <f t="shared" si="39"/>
        <v>0</v>
      </c>
      <c r="N47" s="101">
        <f t="shared" si="39"/>
        <v>0</v>
      </c>
      <c r="O47" s="123">
        <f t="shared" si="39"/>
        <v>0</v>
      </c>
      <c r="P47" s="124">
        <f t="shared" si="39"/>
        <v>0</v>
      </c>
      <c r="Q47"/>
    </row>
    <row r="48" spans="2:18" ht="13.5" x14ac:dyDescent="0.2">
      <c r="B48" s="112" t="s">
        <v>70</v>
      </c>
      <c r="C48" s="81">
        <f t="shared" si="10"/>
        <v>0</v>
      </c>
      <c r="D48" s="81"/>
      <c r="E48" s="123">
        <f t="shared" ref="E48:P48" si="40">SUM(E128,E197)</f>
        <v>0</v>
      </c>
      <c r="F48" s="123">
        <f t="shared" si="40"/>
        <v>0</v>
      </c>
      <c r="G48" s="123">
        <f t="shared" si="40"/>
        <v>0</v>
      </c>
      <c r="H48" s="100">
        <f t="shared" si="40"/>
        <v>0</v>
      </c>
      <c r="I48" s="100">
        <f t="shared" si="40"/>
        <v>0</v>
      </c>
      <c r="J48" s="100">
        <f t="shared" si="40"/>
        <v>0</v>
      </c>
      <c r="K48" s="100">
        <f t="shared" si="40"/>
        <v>0</v>
      </c>
      <c r="L48" s="100">
        <f t="shared" si="40"/>
        <v>0</v>
      </c>
      <c r="M48" s="101">
        <f t="shared" si="40"/>
        <v>0</v>
      </c>
      <c r="N48" s="101">
        <f t="shared" si="40"/>
        <v>0</v>
      </c>
      <c r="O48" s="123">
        <f t="shared" si="40"/>
        <v>0</v>
      </c>
      <c r="P48" s="124">
        <f t="shared" si="40"/>
        <v>0</v>
      </c>
      <c r="Q48"/>
    </row>
    <row r="49" spans="2:17" ht="13.5" x14ac:dyDescent="0.2">
      <c r="B49" s="112" t="s">
        <v>71</v>
      </c>
      <c r="C49" s="81">
        <f t="shared" si="10"/>
        <v>257058.99932500004</v>
      </c>
      <c r="D49" s="80"/>
      <c r="E49" s="123">
        <f t="shared" ref="E49:P49" si="41">SUM(E129,E198)</f>
        <v>21566.469943749998</v>
      </c>
      <c r="F49" s="123">
        <f t="shared" si="41"/>
        <v>21566.469943749998</v>
      </c>
      <c r="G49" s="123">
        <f t="shared" si="41"/>
        <v>22190.059943749999</v>
      </c>
      <c r="H49" s="100">
        <f t="shared" si="41"/>
        <v>22190.059943749999</v>
      </c>
      <c r="I49" s="100">
        <f t="shared" si="41"/>
        <v>22190.059943749999</v>
      </c>
      <c r="J49" s="100">
        <f t="shared" si="41"/>
        <v>21050.839943749997</v>
      </c>
      <c r="K49" s="100">
        <f t="shared" si="41"/>
        <v>21050.839943750001</v>
      </c>
      <c r="L49" s="100">
        <f t="shared" si="41"/>
        <v>21050.839943750001</v>
      </c>
      <c r="M49" s="101">
        <f t="shared" si="41"/>
        <v>21050.839943750001</v>
      </c>
      <c r="N49" s="101">
        <f t="shared" si="41"/>
        <v>21050.839943749997</v>
      </c>
      <c r="O49" s="123">
        <f t="shared" si="41"/>
        <v>21050.839943750001</v>
      </c>
      <c r="P49" s="124">
        <f t="shared" si="41"/>
        <v>21050.839943750001</v>
      </c>
      <c r="Q49"/>
    </row>
    <row r="50" spans="2:17" ht="13.5" x14ac:dyDescent="0.2">
      <c r="B50" s="112" t="s">
        <v>72</v>
      </c>
      <c r="C50" s="81">
        <f t="shared" si="10"/>
        <v>0</v>
      </c>
      <c r="D50" s="81"/>
      <c r="E50" s="123">
        <f t="shared" ref="E50:P50" si="42">SUM(E130,E199)</f>
        <v>0</v>
      </c>
      <c r="F50" s="123">
        <f t="shared" si="42"/>
        <v>0</v>
      </c>
      <c r="G50" s="123">
        <f t="shared" si="42"/>
        <v>0</v>
      </c>
      <c r="H50" s="100">
        <f t="shared" si="42"/>
        <v>0</v>
      </c>
      <c r="I50" s="100">
        <f t="shared" si="42"/>
        <v>0</v>
      </c>
      <c r="J50" s="100">
        <f t="shared" si="42"/>
        <v>0</v>
      </c>
      <c r="K50" s="100">
        <f t="shared" si="42"/>
        <v>0</v>
      </c>
      <c r="L50" s="100">
        <f t="shared" si="42"/>
        <v>0</v>
      </c>
      <c r="M50" s="101">
        <f t="shared" si="42"/>
        <v>0</v>
      </c>
      <c r="N50" s="101">
        <f t="shared" si="42"/>
        <v>0</v>
      </c>
      <c r="O50" s="123">
        <f t="shared" si="42"/>
        <v>0</v>
      </c>
      <c r="P50" s="124">
        <f t="shared" si="42"/>
        <v>0</v>
      </c>
      <c r="Q50"/>
    </row>
    <row r="51" spans="2:17" ht="13.5" hidden="1" outlineLevel="1" x14ac:dyDescent="0.2">
      <c r="B51" s="112"/>
      <c r="C51" s="81"/>
      <c r="D51" s="81"/>
      <c r="E51" s="123"/>
      <c r="F51" s="123"/>
      <c r="G51" s="123"/>
      <c r="H51" s="100"/>
      <c r="I51" s="100"/>
      <c r="J51" s="100"/>
      <c r="K51" s="100"/>
      <c r="L51" s="100"/>
      <c r="M51" s="101"/>
      <c r="N51" s="101"/>
      <c r="O51" s="123"/>
      <c r="P51" s="124"/>
    </row>
    <row r="52" spans="2:17" ht="9.6" hidden="1" customHeight="1" outlineLevel="1" x14ac:dyDescent="0.2">
      <c r="B52" s="106"/>
      <c r="C52" s="81"/>
      <c r="D52" s="81"/>
      <c r="E52" s="107"/>
      <c r="F52" s="107"/>
      <c r="G52" s="81"/>
      <c r="H52" s="81"/>
      <c r="I52" s="81"/>
      <c r="J52" s="81"/>
      <c r="K52" s="81"/>
      <c r="L52" s="81"/>
      <c r="M52" s="108"/>
      <c r="N52" s="108"/>
      <c r="O52" s="81"/>
      <c r="P52" s="81"/>
    </row>
    <row r="53" spans="2:17" ht="16.5" hidden="1" outlineLevel="1" x14ac:dyDescent="0.2">
      <c r="B53" s="97" t="s">
        <v>18</v>
      </c>
      <c r="C53" s="109">
        <f t="shared" si="10"/>
        <v>0</v>
      </c>
      <c r="D53" s="109"/>
      <c r="E53" s="110">
        <f>SUM(E54:E67)</f>
        <v>0</v>
      </c>
      <c r="F53" s="110">
        <f t="shared" ref="F53:P53" si="43">SUM(F54:F67)</f>
        <v>0</v>
      </c>
      <c r="G53" s="109">
        <f>SUM(G54:G67)</f>
        <v>0</v>
      </c>
      <c r="H53" s="110">
        <f t="shared" si="43"/>
        <v>0</v>
      </c>
      <c r="I53" s="110">
        <f t="shared" si="43"/>
        <v>0</v>
      </c>
      <c r="J53" s="110">
        <f t="shared" si="43"/>
        <v>0</v>
      </c>
      <c r="K53" s="110">
        <f t="shared" si="43"/>
        <v>0</v>
      </c>
      <c r="L53" s="110">
        <f>SUM(L54:L67)</f>
        <v>0</v>
      </c>
      <c r="M53" s="111">
        <f t="shared" si="43"/>
        <v>0</v>
      </c>
      <c r="N53" s="111">
        <f t="shared" si="43"/>
        <v>0</v>
      </c>
      <c r="O53" s="110">
        <f t="shared" si="43"/>
        <v>0</v>
      </c>
      <c r="P53" s="110">
        <f t="shared" si="43"/>
        <v>0</v>
      </c>
    </row>
    <row r="54" spans="2:17" ht="13.5" hidden="1" outlineLevel="1" x14ac:dyDescent="0.2">
      <c r="B54" s="112" t="s">
        <v>58</v>
      </c>
      <c r="C54" s="81">
        <f t="shared" si="10"/>
        <v>0</v>
      </c>
      <c r="D54" s="80"/>
      <c r="E54" s="123">
        <f t="shared" ref="E54:P54" si="44">SUM(E134,E203)</f>
        <v>0</v>
      </c>
      <c r="F54" s="123">
        <f t="shared" si="44"/>
        <v>0</v>
      </c>
      <c r="G54" s="123">
        <f t="shared" si="44"/>
        <v>0</v>
      </c>
      <c r="H54" s="100">
        <f t="shared" si="44"/>
        <v>0</v>
      </c>
      <c r="I54" s="100">
        <f t="shared" si="44"/>
        <v>0</v>
      </c>
      <c r="J54" s="100">
        <f t="shared" si="44"/>
        <v>0</v>
      </c>
      <c r="K54" s="100">
        <f t="shared" si="44"/>
        <v>0</v>
      </c>
      <c r="L54" s="100">
        <f t="shared" si="44"/>
        <v>0</v>
      </c>
      <c r="M54" s="101">
        <f t="shared" si="44"/>
        <v>0</v>
      </c>
      <c r="N54" s="101">
        <f t="shared" si="44"/>
        <v>0</v>
      </c>
      <c r="O54" s="123">
        <f t="shared" si="44"/>
        <v>0</v>
      </c>
      <c r="P54" s="124">
        <f t="shared" si="44"/>
        <v>0</v>
      </c>
    </row>
    <row r="55" spans="2:17" ht="13.5" hidden="1" outlineLevel="1" x14ac:dyDescent="0.2">
      <c r="B55" s="112" t="s">
        <v>73</v>
      </c>
      <c r="C55" s="81">
        <f t="shared" si="10"/>
        <v>0</v>
      </c>
      <c r="D55" s="80"/>
      <c r="E55" s="123">
        <f t="shared" ref="E55:P55" si="45">SUM(E135,E204)</f>
        <v>0</v>
      </c>
      <c r="F55" s="123">
        <f t="shared" si="45"/>
        <v>0</v>
      </c>
      <c r="G55" s="123">
        <f t="shared" si="45"/>
        <v>0</v>
      </c>
      <c r="H55" s="100">
        <f t="shared" si="45"/>
        <v>0</v>
      </c>
      <c r="I55" s="100">
        <f t="shared" si="45"/>
        <v>0</v>
      </c>
      <c r="J55" s="100">
        <f t="shared" si="45"/>
        <v>0</v>
      </c>
      <c r="K55" s="100">
        <f t="shared" si="45"/>
        <v>0</v>
      </c>
      <c r="L55" s="100">
        <f t="shared" si="45"/>
        <v>0</v>
      </c>
      <c r="M55" s="101">
        <f t="shared" si="45"/>
        <v>0</v>
      </c>
      <c r="N55" s="101">
        <f t="shared" si="45"/>
        <v>0</v>
      </c>
      <c r="O55" s="123">
        <f t="shared" si="45"/>
        <v>0</v>
      </c>
      <c r="P55" s="124">
        <f t="shared" si="45"/>
        <v>0</v>
      </c>
    </row>
    <row r="56" spans="2:17" ht="13.5" hidden="1" outlineLevel="1" x14ac:dyDescent="0.2">
      <c r="B56" s="112" t="s">
        <v>60</v>
      </c>
      <c r="C56" s="81">
        <f t="shared" ref="C56:C63" si="46">SUM(E56:P56)</f>
        <v>0</v>
      </c>
      <c r="D56" s="80"/>
      <c r="E56" s="123">
        <f t="shared" ref="E56:P56" si="47">SUM(E136,E205)</f>
        <v>0</v>
      </c>
      <c r="F56" s="123">
        <f t="shared" si="47"/>
        <v>0</v>
      </c>
      <c r="G56" s="123">
        <f t="shared" si="47"/>
        <v>0</v>
      </c>
      <c r="H56" s="100">
        <f t="shared" si="47"/>
        <v>0</v>
      </c>
      <c r="I56" s="100">
        <f t="shared" si="47"/>
        <v>0</v>
      </c>
      <c r="J56" s="100">
        <f t="shared" si="47"/>
        <v>0</v>
      </c>
      <c r="K56" s="100">
        <f t="shared" si="47"/>
        <v>0</v>
      </c>
      <c r="L56" s="100">
        <f t="shared" si="47"/>
        <v>0</v>
      </c>
      <c r="M56" s="101">
        <f t="shared" si="47"/>
        <v>0</v>
      </c>
      <c r="N56" s="101">
        <f t="shared" si="47"/>
        <v>0</v>
      </c>
      <c r="O56" s="123">
        <f t="shared" si="47"/>
        <v>0</v>
      </c>
      <c r="P56" s="124">
        <f t="shared" si="47"/>
        <v>0</v>
      </c>
    </row>
    <row r="57" spans="2:17" ht="13.5" hidden="1" outlineLevel="1" x14ac:dyDescent="0.2">
      <c r="B57" s="112" t="s">
        <v>61</v>
      </c>
      <c r="C57" s="81">
        <f t="shared" si="46"/>
        <v>0</v>
      </c>
      <c r="D57" s="80"/>
      <c r="E57" s="123">
        <f t="shared" ref="E57:P57" si="48">SUM(E137,E206)</f>
        <v>0</v>
      </c>
      <c r="F57" s="123">
        <f t="shared" si="48"/>
        <v>0</v>
      </c>
      <c r="G57" s="123">
        <f t="shared" si="48"/>
        <v>0</v>
      </c>
      <c r="H57" s="100">
        <f t="shared" si="48"/>
        <v>0</v>
      </c>
      <c r="I57" s="100">
        <f t="shared" si="48"/>
        <v>0</v>
      </c>
      <c r="J57" s="100">
        <f t="shared" si="48"/>
        <v>0</v>
      </c>
      <c r="K57" s="100">
        <f t="shared" si="48"/>
        <v>0</v>
      </c>
      <c r="L57" s="100">
        <f t="shared" si="48"/>
        <v>0</v>
      </c>
      <c r="M57" s="101">
        <f t="shared" si="48"/>
        <v>0</v>
      </c>
      <c r="N57" s="101">
        <f t="shared" si="48"/>
        <v>0</v>
      </c>
      <c r="O57" s="123">
        <f t="shared" si="48"/>
        <v>0</v>
      </c>
      <c r="P57" s="124">
        <f t="shared" si="48"/>
        <v>0</v>
      </c>
    </row>
    <row r="58" spans="2:17" ht="13.5" hidden="1" outlineLevel="1" x14ac:dyDescent="0.2">
      <c r="B58" s="112" t="s">
        <v>62</v>
      </c>
      <c r="C58" s="81">
        <f t="shared" si="46"/>
        <v>0</v>
      </c>
      <c r="D58" s="80"/>
      <c r="E58" s="123">
        <f t="shared" ref="E58:P58" si="49">SUM(E138,E207)</f>
        <v>0</v>
      </c>
      <c r="F58" s="123">
        <f t="shared" si="49"/>
        <v>0</v>
      </c>
      <c r="G58" s="123">
        <f t="shared" si="49"/>
        <v>0</v>
      </c>
      <c r="H58" s="100">
        <f t="shared" si="49"/>
        <v>0</v>
      </c>
      <c r="I58" s="100">
        <f t="shared" si="49"/>
        <v>0</v>
      </c>
      <c r="J58" s="100">
        <f t="shared" si="49"/>
        <v>0</v>
      </c>
      <c r="K58" s="100">
        <f t="shared" si="49"/>
        <v>0</v>
      </c>
      <c r="L58" s="100">
        <f t="shared" si="49"/>
        <v>0</v>
      </c>
      <c r="M58" s="101">
        <f t="shared" si="49"/>
        <v>0</v>
      </c>
      <c r="N58" s="101">
        <f t="shared" si="49"/>
        <v>0</v>
      </c>
      <c r="O58" s="123">
        <f t="shared" si="49"/>
        <v>0</v>
      </c>
      <c r="P58" s="124">
        <f t="shared" si="49"/>
        <v>0</v>
      </c>
    </row>
    <row r="59" spans="2:17" ht="13.5" hidden="1" outlineLevel="1" x14ac:dyDescent="0.2">
      <c r="B59" s="112" t="s">
        <v>63</v>
      </c>
      <c r="C59" s="81">
        <f t="shared" si="46"/>
        <v>0</v>
      </c>
      <c r="D59" s="81"/>
      <c r="E59" s="123">
        <f t="shared" ref="E59:P59" si="50">SUM(E139,E208)</f>
        <v>0</v>
      </c>
      <c r="F59" s="123">
        <f t="shared" si="50"/>
        <v>0</v>
      </c>
      <c r="G59" s="123">
        <f t="shared" si="50"/>
        <v>0</v>
      </c>
      <c r="H59" s="100">
        <f t="shared" si="50"/>
        <v>0</v>
      </c>
      <c r="I59" s="100">
        <f t="shared" si="50"/>
        <v>0</v>
      </c>
      <c r="J59" s="100">
        <f t="shared" si="50"/>
        <v>0</v>
      </c>
      <c r="K59" s="100">
        <f t="shared" si="50"/>
        <v>0</v>
      </c>
      <c r="L59" s="100">
        <f t="shared" si="50"/>
        <v>0</v>
      </c>
      <c r="M59" s="101">
        <f t="shared" si="50"/>
        <v>0</v>
      </c>
      <c r="N59" s="101">
        <f t="shared" si="50"/>
        <v>0</v>
      </c>
      <c r="O59" s="123">
        <f t="shared" si="50"/>
        <v>0</v>
      </c>
      <c r="P59" s="124">
        <f t="shared" si="50"/>
        <v>0</v>
      </c>
    </row>
    <row r="60" spans="2:17" ht="13.5" hidden="1" outlineLevel="1" x14ac:dyDescent="0.2">
      <c r="B60" s="112" t="s">
        <v>64</v>
      </c>
      <c r="C60" s="81">
        <f t="shared" si="46"/>
        <v>0</v>
      </c>
      <c r="D60" s="81"/>
      <c r="E60" s="123">
        <f t="shared" ref="E60:P60" si="51">SUM(E140,E209)</f>
        <v>0</v>
      </c>
      <c r="F60" s="123">
        <f t="shared" si="51"/>
        <v>0</v>
      </c>
      <c r="G60" s="123">
        <f t="shared" si="51"/>
        <v>0</v>
      </c>
      <c r="H60" s="100">
        <f t="shared" si="51"/>
        <v>0</v>
      </c>
      <c r="I60" s="100">
        <f t="shared" si="51"/>
        <v>0</v>
      </c>
      <c r="J60" s="100">
        <f t="shared" si="51"/>
        <v>0</v>
      </c>
      <c r="K60" s="100">
        <f t="shared" si="51"/>
        <v>0</v>
      </c>
      <c r="L60" s="100">
        <f t="shared" si="51"/>
        <v>0</v>
      </c>
      <c r="M60" s="101">
        <f t="shared" si="51"/>
        <v>0</v>
      </c>
      <c r="N60" s="101">
        <f t="shared" si="51"/>
        <v>0</v>
      </c>
      <c r="O60" s="123">
        <f t="shared" si="51"/>
        <v>0</v>
      </c>
      <c r="P60" s="124">
        <f t="shared" si="51"/>
        <v>0</v>
      </c>
    </row>
    <row r="61" spans="2:17" ht="13.5" hidden="1" outlineLevel="1" x14ac:dyDescent="0.2">
      <c r="B61" s="112" t="s">
        <v>65</v>
      </c>
      <c r="C61" s="81">
        <f t="shared" si="46"/>
        <v>0</v>
      </c>
      <c r="D61" s="80"/>
      <c r="E61" s="123">
        <f t="shared" ref="E61:P61" si="52">SUM(E141,E210)</f>
        <v>0</v>
      </c>
      <c r="F61" s="123">
        <f t="shared" si="52"/>
        <v>0</v>
      </c>
      <c r="G61" s="123">
        <f t="shared" si="52"/>
        <v>0</v>
      </c>
      <c r="H61" s="100">
        <f t="shared" si="52"/>
        <v>0</v>
      </c>
      <c r="I61" s="100">
        <f t="shared" si="52"/>
        <v>0</v>
      </c>
      <c r="J61" s="100">
        <f t="shared" si="52"/>
        <v>0</v>
      </c>
      <c r="K61" s="100">
        <f t="shared" si="52"/>
        <v>0</v>
      </c>
      <c r="L61" s="100">
        <f t="shared" si="52"/>
        <v>0</v>
      </c>
      <c r="M61" s="101">
        <f t="shared" si="52"/>
        <v>0</v>
      </c>
      <c r="N61" s="101">
        <f t="shared" si="52"/>
        <v>0</v>
      </c>
      <c r="O61" s="123">
        <f t="shared" si="52"/>
        <v>0</v>
      </c>
      <c r="P61" s="124">
        <f t="shared" si="52"/>
        <v>0</v>
      </c>
    </row>
    <row r="62" spans="2:17" ht="13.5" hidden="1" outlineLevel="1" x14ac:dyDescent="0.2">
      <c r="B62" s="112" t="s">
        <v>66</v>
      </c>
      <c r="C62" s="81">
        <f t="shared" si="46"/>
        <v>0</v>
      </c>
      <c r="D62" s="80"/>
      <c r="E62" s="123">
        <f t="shared" ref="E62:P62" si="53">SUM(E142,E211)</f>
        <v>0</v>
      </c>
      <c r="F62" s="123">
        <f t="shared" si="53"/>
        <v>0</v>
      </c>
      <c r="G62" s="123">
        <f t="shared" si="53"/>
        <v>0</v>
      </c>
      <c r="H62" s="100">
        <f t="shared" si="53"/>
        <v>0</v>
      </c>
      <c r="I62" s="100">
        <f t="shared" si="53"/>
        <v>0</v>
      </c>
      <c r="J62" s="100">
        <f t="shared" si="53"/>
        <v>0</v>
      </c>
      <c r="K62" s="100">
        <f t="shared" si="53"/>
        <v>0</v>
      </c>
      <c r="L62" s="100">
        <f t="shared" si="53"/>
        <v>0</v>
      </c>
      <c r="M62" s="101">
        <f t="shared" si="53"/>
        <v>0</v>
      </c>
      <c r="N62" s="101">
        <f t="shared" si="53"/>
        <v>0</v>
      </c>
      <c r="O62" s="123">
        <f t="shared" si="53"/>
        <v>0</v>
      </c>
      <c r="P62" s="124">
        <f t="shared" si="53"/>
        <v>0</v>
      </c>
    </row>
    <row r="63" spans="2:17" ht="13.5" hidden="1" outlineLevel="1" x14ac:dyDescent="0.2">
      <c r="B63" s="112" t="s">
        <v>67</v>
      </c>
      <c r="C63" s="81">
        <f t="shared" si="46"/>
        <v>0</v>
      </c>
      <c r="D63" s="80"/>
      <c r="E63" s="123">
        <f t="shared" ref="E63:P63" si="54">SUM(E143,E212)</f>
        <v>0</v>
      </c>
      <c r="F63" s="123">
        <f t="shared" si="54"/>
        <v>0</v>
      </c>
      <c r="G63" s="123">
        <f t="shared" si="54"/>
        <v>0</v>
      </c>
      <c r="H63" s="100">
        <f t="shared" si="54"/>
        <v>0</v>
      </c>
      <c r="I63" s="100">
        <f t="shared" si="54"/>
        <v>0</v>
      </c>
      <c r="J63" s="100">
        <f t="shared" si="54"/>
        <v>0</v>
      </c>
      <c r="K63" s="100">
        <f t="shared" si="54"/>
        <v>0</v>
      </c>
      <c r="L63" s="100">
        <f t="shared" si="54"/>
        <v>0</v>
      </c>
      <c r="M63" s="101">
        <f t="shared" si="54"/>
        <v>0</v>
      </c>
      <c r="N63" s="101">
        <f t="shared" si="54"/>
        <v>0</v>
      </c>
      <c r="O63" s="123">
        <f t="shared" si="54"/>
        <v>0</v>
      </c>
      <c r="P63" s="124">
        <f t="shared" si="54"/>
        <v>0</v>
      </c>
    </row>
    <row r="64" spans="2:17" ht="13.5" hidden="1" outlineLevel="1" x14ac:dyDescent="0.2">
      <c r="B64" s="112" t="s">
        <v>68</v>
      </c>
      <c r="C64" s="81">
        <f t="shared" si="10"/>
        <v>0</v>
      </c>
      <c r="D64" s="80"/>
      <c r="E64" s="123">
        <f t="shared" ref="E64:P64" si="55">SUM(E144,E213)</f>
        <v>0</v>
      </c>
      <c r="F64" s="123">
        <f t="shared" si="55"/>
        <v>0</v>
      </c>
      <c r="G64" s="123">
        <f t="shared" si="55"/>
        <v>0</v>
      </c>
      <c r="H64" s="100">
        <f t="shared" si="55"/>
        <v>0</v>
      </c>
      <c r="I64" s="100">
        <f t="shared" si="55"/>
        <v>0</v>
      </c>
      <c r="J64" s="100">
        <f t="shared" si="55"/>
        <v>0</v>
      </c>
      <c r="K64" s="100">
        <f t="shared" si="55"/>
        <v>0</v>
      </c>
      <c r="L64" s="100">
        <f t="shared" si="55"/>
        <v>0</v>
      </c>
      <c r="M64" s="101">
        <f t="shared" si="55"/>
        <v>0</v>
      </c>
      <c r="N64" s="101">
        <f t="shared" si="55"/>
        <v>0</v>
      </c>
      <c r="O64" s="123">
        <f t="shared" si="55"/>
        <v>0</v>
      </c>
      <c r="P64" s="124">
        <f t="shared" si="55"/>
        <v>0</v>
      </c>
    </row>
    <row r="65" spans="2:21" ht="13.5" hidden="1" outlineLevel="1" x14ac:dyDescent="0.2">
      <c r="B65" s="112" t="s">
        <v>69</v>
      </c>
      <c r="C65" s="81">
        <f t="shared" si="10"/>
        <v>0</v>
      </c>
      <c r="D65" s="81"/>
      <c r="E65" s="123">
        <f t="shared" ref="E65:P65" si="56">SUM(E145,E214)</f>
        <v>0</v>
      </c>
      <c r="F65" s="123">
        <f t="shared" si="56"/>
        <v>0</v>
      </c>
      <c r="G65" s="123">
        <f t="shared" si="56"/>
        <v>0</v>
      </c>
      <c r="H65" s="100">
        <f t="shared" si="56"/>
        <v>0</v>
      </c>
      <c r="I65" s="100">
        <f t="shared" si="56"/>
        <v>0</v>
      </c>
      <c r="J65" s="100">
        <f t="shared" si="56"/>
        <v>0</v>
      </c>
      <c r="K65" s="100">
        <f t="shared" si="56"/>
        <v>0</v>
      </c>
      <c r="L65" s="100">
        <f t="shared" si="56"/>
        <v>0</v>
      </c>
      <c r="M65" s="101">
        <f t="shared" si="56"/>
        <v>0</v>
      </c>
      <c r="N65" s="101">
        <f t="shared" si="56"/>
        <v>0</v>
      </c>
      <c r="O65" s="123">
        <f t="shared" si="56"/>
        <v>0</v>
      </c>
      <c r="P65" s="124">
        <f t="shared" si="56"/>
        <v>0</v>
      </c>
    </row>
    <row r="66" spans="2:21" ht="13.5" hidden="1" outlineLevel="1" x14ac:dyDescent="0.2">
      <c r="B66" s="112" t="s">
        <v>70</v>
      </c>
      <c r="C66" s="81">
        <f t="shared" si="10"/>
        <v>0</v>
      </c>
      <c r="D66" s="81"/>
      <c r="E66" s="123">
        <f t="shared" ref="E66:P66" si="57">SUM(E146,E215)</f>
        <v>0</v>
      </c>
      <c r="F66" s="123">
        <f t="shared" si="57"/>
        <v>0</v>
      </c>
      <c r="G66" s="123">
        <f t="shared" si="57"/>
        <v>0</v>
      </c>
      <c r="H66" s="100">
        <f t="shared" si="57"/>
        <v>0</v>
      </c>
      <c r="I66" s="100">
        <f t="shared" si="57"/>
        <v>0</v>
      </c>
      <c r="J66" s="100">
        <f t="shared" si="57"/>
        <v>0</v>
      </c>
      <c r="K66" s="100">
        <f t="shared" si="57"/>
        <v>0</v>
      </c>
      <c r="L66" s="100">
        <f t="shared" si="57"/>
        <v>0</v>
      </c>
      <c r="M66" s="101">
        <f t="shared" si="57"/>
        <v>0</v>
      </c>
      <c r="N66" s="101">
        <f t="shared" si="57"/>
        <v>0</v>
      </c>
      <c r="O66" s="123">
        <f t="shared" si="57"/>
        <v>0</v>
      </c>
      <c r="P66" s="124">
        <f t="shared" si="57"/>
        <v>0</v>
      </c>
    </row>
    <row r="67" spans="2:21" ht="13.5" hidden="1" outlineLevel="1" x14ac:dyDescent="0.2">
      <c r="B67" s="112" t="s">
        <v>71</v>
      </c>
      <c r="C67" s="81">
        <f t="shared" si="10"/>
        <v>0</v>
      </c>
      <c r="D67" s="80"/>
      <c r="E67" s="123">
        <f t="shared" ref="E67:P67" si="58">SUM(E147,E216)</f>
        <v>0</v>
      </c>
      <c r="F67" s="123">
        <f t="shared" si="58"/>
        <v>0</v>
      </c>
      <c r="G67" s="123">
        <f t="shared" si="58"/>
        <v>0</v>
      </c>
      <c r="H67" s="100">
        <f t="shared" si="58"/>
        <v>0</v>
      </c>
      <c r="I67" s="100">
        <f t="shared" si="58"/>
        <v>0</v>
      </c>
      <c r="J67" s="100">
        <f t="shared" si="58"/>
        <v>0</v>
      </c>
      <c r="K67" s="100">
        <f t="shared" si="58"/>
        <v>0</v>
      </c>
      <c r="L67" s="100">
        <f t="shared" si="58"/>
        <v>0</v>
      </c>
      <c r="M67" s="101">
        <f t="shared" si="58"/>
        <v>0</v>
      </c>
      <c r="N67" s="101">
        <f t="shared" si="58"/>
        <v>0</v>
      </c>
      <c r="O67" s="123">
        <f t="shared" si="58"/>
        <v>0</v>
      </c>
      <c r="P67" s="124">
        <f t="shared" si="58"/>
        <v>0</v>
      </c>
    </row>
    <row r="68" spans="2:21" ht="13.5" collapsed="1" x14ac:dyDescent="0.2">
      <c r="B68" s="94" t="s">
        <v>74</v>
      </c>
      <c r="C68" s="92">
        <f t="shared" si="10"/>
        <v>1580940.145420044</v>
      </c>
      <c r="D68" s="92">
        <f t="shared" ref="D68:P68" si="59">+D16-D18</f>
        <v>0</v>
      </c>
      <c r="E68" s="92">
        <f t="shared" si="59"/>
        <v>203772.19267925911</v>
      </c>
      <c r="F68" s="92">
        <f t="shared" si="59"/>
        <v>744176.48049859679</v>
      </c>
      <c r="G68" s="92">
        <f t="shared" si="59"/>
        <v>764713.67607985344</v>
      </c>
      <c r="H68" s="92">
        <f t="shared" si="59"/>
        <v>190102.88682012202</v>
      </c>
      <c r="I68" s="92">
        <f t="shared" si="59"/>
        <v>-159581.4410921043</v>
      </c>
      <c r="J68" s="92">
        <f t="shared" si="59"/>
        <v>348369.5130051442</v>
      </c>
      <c r="K68" s="92">
        <f t="shared" si="59"/>
        <v>-963455.70239773847</v>
      </c>
      <c r="L68" s="92">
        <f t="shared" si="59"/>
        <v>388372.52149685798</v>
      </c>
      <c r="M68" s="92">
        <f t="shared" si="59"/>
        <v>307669.04418434738</v>
      </c>
      <c r="N68" s="92">
        <f t="shared" si="59"/>
        <v>163395.67927355738</v>
      </c>
      <c r="O68" s="92">
        <f t="shared" si="59"/>
        <v>87791.375369061483</v>
      </c>
      <c r="P68" s="92">
        <f t="shared" si="59"/>
        <v>-494386.08049691352</v>
      </c>
    </row>
    <row r="69" spans="2:21" ht="13.5" x14ac:dyDescent="0.2">
      <c r="B69" s="113" t="s">
        <v>21</v>
      </c>
      <c r="C69" s="93">
        <f>+IFERROR(C68/C6,)</f>
        <v>9.1076751714340987E-3</v>
      </c>
      <c r="D69" s="93">
        <f>+IFERROR(D68/D6,)</f>
        <v>0</v>
      </c>
      <c r="E69" s="93">
        <f t="shared" ref="E69:P69" si="60">+IFERROR(E68/E6,)</f>
        <v>1.4335714097371192E-2</v>
      </c>
      <c r="F69" s="93">
        <f t="shared" si="60"/>
        <v>5.0390039665182296E-2</v>
      </c>
      <c r="G69" s="93">
        <f t="shared" si="60"/>
        <v>4.6125087993971282E-2</v>
      </c>
      <c r="H69" s="93">
        <f t="shared" si="60"/>
        <v>1.3350689682359822E-2</v>
      </c>
      <c r="I69" s="93">
        <f t="shared" si="60"/>
        <v>-1.0463608417457547E-2</v>
      </c>
      <c r="J69" s="93">
        <f t="shared" si="60"/>
        <v>2.1866269146105063E-2</v>
      </c>
      <c r="K69" s="93">
        <f t="shared" si="60"/>
        <v>-8.9336594659911728E-2</v>
      </c>
      <c r="L69" s="93">
        <f t="shared" si="60"/>
        <v>2.31322787328881E-2</v>
      </c>
      <c r="M69" s="93">
        <f t="shared" si="60"/>
        <v>2.0318039511000432E-2</v>
      </c>
      <c r="N69" s="93">
        <f t="shared" si="60"/>
        <v>1.0233670092951865E-2</v>
      </c>
      <c r="O69" s="93">
        <f t="shared" si="60"/>
        <v>6.4259486194128673E-3</v>
      </c>
      <c r="P69" s="93">
        <f t="shared" si="60"/>
        <v>-4.8211489821337869E-2</v>
      </c>
    </row>
    <row r="70" spans="2:21" ht="13.5" hidden="1" x14ac:dyDescent="0.2">
      <c r="B70" s="57" t="s">
        <v>90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U70" s="122"/>
    </row>
    <row r="71" spans="2:21" ht="13.5" hidden="1" x14ac:dyDescent="0.2">
      <c r="B71" s="57" t="s">
        <v>91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U71" s="122"/>
    </row>
    <row r="72" spans="2:21" ht="13.5" hidden="1" x14ac:dyDescent="0.2">
      <c r="B72" s="57" t="s">
        <v>92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U72" s="122"/>
    </row>
    <row r="73" spans="2:21" ht="13.5" hidden="1" x14ac:dyDescent="0.2">
      <c r="B73" s="57" t="s">
        <v>93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</row>
    <row r="74" spans="2:21" ht="13.5" hidden="1" x14ac:dyDescent="0.2">
      <c r="B74" s="60" t="s">
        <v>94</v>
      </c>
      <c r="C74" s="61"/>
      <c r="D74" s="61"/>
      <c r="E74" s="62"/>
      <c r="F74" s="62"/>
      <c r="G74" s="62"/>
      <c r="H74" s="62"/>
      <c r="I74" s="61"/>
      <c r="J74" s="61"/>
      <c r="K74" s="61"/>
      <c r="L74" s="61"/>
      <c r="M74" s="61"/>
      <c r="N74" s="61"/>
      <c r="O74" s="61"/>
      <c r="P74" s="61"/>
    </row>
    <row r="75" spans="2:21" ht="13.5" x14ac:dyDescent="0.2">
      <c r="B75" s="32"/>
      <c r="C75" s="15"/>
      <c r="D75" s="15"/>
      <c r="E75" s="15">
        <f>E148+E217-E68</f>
        <v>8.7311491370201111E-10</v>
      </c>
      <c r="F75" s="15">
        <f t="shared" ref="F75:P75" si="61">F148+F217-F68</f>
        <v>0</v>
      </c>
      <c r="G75" s="15">
        <f t="shared" si="61"/>
        <v>0</v>
      </c>
      <c r="H75" s="15">
        <f t="shared" si="61"/>
        <v>-1.3387762010097504E-9</v>
      </c>
      <c r="I75" s="15">
        <f t="shared" si="61"/>
        <v>-8.149072527885437E-10</v>
      </c>
      <c r="J75" s="15">
        <f t="shared" si="61"/>
        <v>1.862645149230957E-9</v>
      </c>
      <c r="K75" s="15">
        <f t="shared" si="61"/>
        <v>1.280568540096283E-9</v>
      </c>
      <c r="L75" s="15">
        <f t="shared" si="61"/>
        <v>-1.280568540096283E-9</v>
      </c>
      <c r="M75" s="15">
        <f t="shared" si="61"/>
        <v>1.3969838619232178E-9</v>
      </c>
      <c r="N75" s="15">
        <f t="shared" si="61"/>
        <v>2.5611370801925659E-9</v>
      </c>
      <c r="O75" s="15">
        <f t="shared" si="61"/>
        <v>1.7462298274040222E-9</v>
      </c>
      <c r="P75" s="15">
        <f t="shared" si="61"/>
        <v>0</v>
      </c>
    </row>
    <row r="76" spans="2:21" ht="13.5" x14ac:dyDescent="0.2">
      <c r="B76" s="3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2:21" ht="17.25" x14ac:dyDescent="0.2">
      <c r="B77" s="115" t="s">
        <v>126</v>
      </c>
      <c r="C77" s="15"/>
      <c r="D77" s="15"/>
      <c r="E77" s="32"/>
      <c r="F77" s="32"/>
      <c r="G77" s="15"/>
      <c r="H77" s="15"/>
      <c r="I77" s="15"/>
      <c r="J77" s="15"/>
      <c r="K77" s="15"/>
      <c r="L77" s="15"/>
      <c r="M77" s="15"/>
      <c r="N77" s="32"/>
      <c r="O77" s="15"/>
      <c r="P77" s="15" t="s">
        <v>118</v>
      </c>
    </row>
    <row r="78" spans="2:21" ht="13.5" x14ac:dyDescent="0.2">
      <c r="B78" s="94" t="s">
        <v>75</v>
      </c>
      <c r="C78" s="92" t="s">
        <v>76</v>
      </c>
      <c r="D78" s="92" t="s">
        <v>77</v>
      </c>
      <c r="E78" s="92" t="s">
        <v>78</v>
      </c>
      <c r="F78" s="92" t="s">
        <v>79</v>
      </c>
      <c r="G78" s="92" t="s">
        <v>80</v>
      </c>
      <c r="H78" s="92" t="s">
        <v>81</v>
      </c>
      <c r="I78" s="92" t="s">
        <v>82</v>
      </c>
      <c r="J78" s="92" t="s">
        <v>83</v>
      </c>
      <c r="K78" s="92" t="s">
        <v>84</v>
      </c>
      <c r="L78" s="92" t="s">
        <v>85</v>
      </c>
      <c r="M78" s="92" t="s">
        <v>86</v>
      </c>
      <c r="N78" s="92" t="s">
        <v>87</v>
      </c>
      <c r="O78" s="92" t="s">
        <v>88</v>
      </c>
      <c r="P78" s="92" t="s">
        <v>89</v>
      </c>
    </row>
    <row r="79" spans="2:21" ht="13.5" x14ac:dyDescent="0.2">
      <c r="B79" s="95" t="s">
        <v>11</v>
      </c>
      <c r="C79" s="78">
        <f>SUM(C80:C81)</f>
        <v>147645192.97445321</v>
      </c>
      <c r="D79" s="78"/>
      <c r="E79" s="78">
        <f t="shared" ref="E79:P79" si="62">SUM(E80:E81)</f>
        <v>11857864.729361806</v>
      </c>
      <c r="F79" s="78">
        <f t="shared" si="62"/>
        <v>11901933.70057676</v>
      </c>
      <c r="G79" s="78">
        <f t="shared" si="62"/>
        <v>13597677.945578882</v>
      </c>
      <c r="H79" s="78">
        <f t="shared" si="62"/>
        <v>11869832.121921806</v>
      </c>
      <c r="I79" s="78">
        <f t="shared" si="62"/>
        <v>12914932.06417064</v>
      </c>
      <c r="J79" s="78">
        <f t="shared" si="62"/>
        <v>12596354.699310998</v>
      </c>
      <c r="K79" s="78">
        <f t="shared" si="62"/>
        <v>8489582.1530050002</v>
      </c>
      <c r="L79" s="78">
        <f t="shared" si="62"/>
        <v>14559492.621179096</v>
      </c>
      <c r="M79" s="78">
        <f t="shared" si="62"/>
        <v>12705308.550584076</v>
      </c>
      <c r="N79" s="78">
        <f t="shared" si="62"/>
        <v>14234960.469219288</v>
      </c>
      <c r="O79" s="78">
        <f t="shared" si="62"/>
        <v>13001493.56822513</v>
      </c>
      <c r="P79" s="78">
        <f t="shared" si="62"/>
        <v>9915760.3513197359</v>
      </c>
    </row>
    <row r="80" spans="2:21" ht="13.5" x14ac:dyDescent="0.2">
      <c r="B80" s="114" t="s">
        <v>115</v>
      </c>
      <c r="C80" s="81">
        <f t="shared" ref="C80:C81" si="63">SUM(E80:P80)</f>
        <v>120693183.5952615</v>
      </c>
      <c r="D80" s="176"/>
      <c r="E80" s="81">
        <v>9599278.6077278014</v>
      </c>
      <c r="F80" s="81">
        <v>9631818.5352116246</v>
      </c>
      <c r="G80" s="81">
        <v>10998495.489532193</v>
      </c>
      <c r="H80" s="81">
        <v>9599278.6077278014</v>
      </c>
      <c r="I80" s="81">
        <v>10445316.7223072</v>
      </c>
      <c r="J80" s="81">
        <v>10184997.302436614</v>
      </c>
      <c r="K80" s="81">
        <v>6992627.3110909555</v>
      </c>
      <c r="L80" s="81">
        <v>11996829.794383533</v>
      </c>
      <c r="M80" s="81">
        <v>10472370.759738114</v>
      </c>
      <c r="N80" s="81">
        <v>11790887.022067064</v>
      </c>
      <c r="O80" s="81">
        <v>10768555.777379168</v>
      </c>
      <c r="P80" s="81">
        <v>8212727.6656594295</v>
      </c>
    </row>
    <row r="81" spans="2:16" ht="13.5" x14ac:dyDescent="0.2">
      <c r="B81" s="114" t="s">
        <v>116</v>
      </c>
      <c r="C81" s="81">
        <f t="shared" si="63"/>
        <v>26952009.379191715</v>
      </c>
      <c r="D81" s="176"/>
      <c r="E81" s="81">
        <v>2258586.1216340037</v>
      </c>
      <c r="F81" s="81">
        <v>2270115.1653651358</v>
      </c>
      <c r="G81" s="81">
        <v>2599182.4560466888</v>
      </c>
      <c r="H81" s="81">
        <v>2270553.5141940038</v>
      </c>
      <c r="I81" s="81">
        <v>2469615.3418634413</v>
      </c>
      <c r="J81" s="81">
        <v>2411357.3968743836</v>
      </c>
      <c r="K81" s="81">
        <v>1496954.8419140438</v>
      </c>
      <c r="L81" s="81">
        <v>2562662.826795564</v>
      </c>
      <c r="M81" s="81">
        <v>2232937.7908459618</v>
      </c>
      <c r="N81" s="81">
        <v>2444073.4471522239</v>
      </c>
      <c r="O81" s="81">
        <v>2232937.7908459618</v>
      </c>
      <c r="P81" s="81">
        <v>1703032.6856603064</v>
      </c>
    </row>
    <row r="82" spans="2:16" ht="13.5" x14ac:dyDescent="0.2">
      <c r="B82" s="177" t="s">
        <v>99</v>
      </c>
      <c r="C82" s="81">
        <f>SUM(E82:P82)</f>
        <v>65701562.934899852</v>
      </c>
      <c r="D82" s="81"/>
      <c r="E82" s="81">
        <v>5310126.3193960153</v>
      </c>
      <c r="F82" s="81">
        <v>5328126.7475973573</v>
      </c>
      <c r="G82" s="81">
        <v>6084144.73205374</v>
      </c>
      <c r="H82" s="81">
        <v>5310126.3193960153</v>
      </c>
      <c r="I82" s="81">
        <v>5778137.4526309185</v>
      </c>
      <c r="J82" s="81">
        <v>5634134.0270201787</v>
      </c>
      <c r="K82" s="81">
        <v>3798090.3504832513</v>
      </c>
      <c r="L82" s="81">
        <v>6516155.0088859564</v>
      </c>
      <c r="M82" s="81">
        <v>5688135.3116242066</v>
      </c>
      <c r="N82" s="81">
        <v>6228148.1576644788</v>
      </c>
      <c r="O82" s="81">
        <v>5688135.3116242066</v>
      </c>
      <c r="P82" s="81">
        <v>4338103.1965235239</v>
      </c>
    </row>
    <row r="83" spans="2:16" ht="13.5" x14ac:dyDescent="0.2">
      <c r="B83" s="178" t="s">
        <v>100</v>
      </c>
      <c r="C83" s="81">
        <f>SUM(E83:P83)</f>
        <v>13540165.429702908</v>
      </c>
      <c r="D83" s="81"/>
      <c r="E83" s="81">
        <v>1497523.2497738339</v>
      </c>
      <c r="F83" s="81">
        <v>1502599.599773067</v>
      </c>
      <c r="G83" s="81">
        <v>1715806.2997408672</v>
      </c>
      <c r="H83" s="81">
        <v>1497523.2497738339</v>
      </c>
      <c r="I83" s="81">
        <v>1629508.3497539007</v>
      </c>
      <c r="J83" s="81">
        <v>1588897.5497600336</v>
      </c>
      <c r="K83" s="81">
        <v>483734.82403341285</v>
      </c>
      <c r="L83" s="81">
        <v>829914.72180140042</v>
      </c>
      <c r="M83" s="81">
        <v>724455.9449979075</v>
      </c>
      <c r="N83" s="81">
        <v>793233.40813062014</v>
      </c>
      <c r="O83" s="81">
        <v>724455.9449979075</v>
      </c>
      <c r="P83" s="81">
        <v>552512.28716612561</v>
      </c>
    </row>
    <row r="84" spans="2:16" ht="13.5" x14ac:dyDescent="0.2">
      <c r="B84" s="178" t="s">
        <v>101</v>
      </c>
      <c r="C84" s="81">
        <f t="shared" ref="C84:C89" si="64">SUM(E84:P84)</f>
        <v>19818597.192495633</v>
      </c>
      <c r="D84" s="81"/>
      <c r="E84" s="81">
        <v>1601777.0333660855</v>
      </c>
      <c r="F84" s="81">
        <v>1607206.7860215639</v>
      </c>
      <c r="G84" s="81">
        <v>1835256.3975516504</v>
      </c>
      <c r="H84" s="81">
        <v>1601777.0333660855</v>
      </c>
      <c r="I84" s="81">
        <v>1742950.6024085206</v>
      </c>
      <c r="J84" s="81">
        <v>1699512.5811646942</v>
      </c>
      <c r="K84" s="81">
        <v>1145677.810305912</v>
      </c>
      <c r="L84" s="81">
        <v>1965570.4612831287</v>
      </c>
      <c r="M84" s="81">
        <v>1715801.839131129</v>
      </c>
      <c r="N84" s="81">
        <v>1878694.4187954769</v>
      </c>
      <c r="O84" s="81">
        <v>1715801.839131129</v>
      </c>
      <c r="P84" s="81">
        <v>1308570.3899702595</v>
      </c>
    </row>
    <row r="85" spans="2:16" ht="13.5" x14ac:dyDescent="0.2">
      <c r="B85" s="177" t="s">
        <v>102</v>
      </c>
      <c r="C85" s="81">
        <f t="shared" si="64"/>
        <v>17036351.944560003</v>
      </c>
      <c r="D85" s="81"/>
      <c r="E85" s="81">
        <v>1376910.6366151236</v>
      </c>
      <c r="F85" s="81">
        <v>1381578.1302985644</v>
      </c>
      <c r="G85" s="81">
        <v>1577612.8650030906</v>
      </c>
      <c r="H85" s="81">
        <v>1376910.6366151236</v>
      </c>
      <c r="I85" s="81">
        <v>1498265.4723845921</v>
      </c>
      <c r="J85" s="81">
        <v>1460925.5229170632</v>
      </c>
      <c r="K85" s="81">
        <v>984841.16720607143</v>
      </c>
      <c r="L85" s="81">
        <v>1689632.7134056771</v>
      </c>
      <c r="M85" s="81">
        <v>1474928.0039673867</v>
      </c>
      <c r="N85" s="81">
        <v>1614952.8144706194</v>
      </c>
      <c r="O85" s="81">
        <v>1474928.0039673867</v>
      </c>
      <c r="P85" s="81">
        <v>1124865.9777093043</v>
      </c>
    </row>
    <row r="86" spans="2:16" ht="13.5" x14ac:dyDescent="0.2">
      <c r="B86" s="177" t="s">
        <v>105</v>
      </c>
      <c r="C86" s="81">
        <f t="shared" si="64"/>
        <v>11446560.688808788</v>
      </c>
      <c r="D86" s="81"/>
      <c r="E86" s="81">
        <v>925132.98717769631</v>
      </c>
      <c r="F86" s="81">
        <v>928269.03120202781</v>
      </c>
      <c r="G86" s="81">
        <v>1059982.8802239369</v>
      </c>
      <c r="H86" s="81">
        <v>925132.98717769631</v>
      </c>
      <c r="I86" s="81">
        <v>1006670.131810307</v>
      </c>
      <c r="J86" s="81">
        <v>981581.77961565752</v>
      </c>
      <c r="K86" s="81">
        <v>661705.28913387773</v>
      </c>
      <c r="L86" s="81">
        <v>1135247.9368078853</v>
      </c>
      <c r="M86" s="81">
        <v>990989.91168865096</v>
      </c>
      <c r="N86" s="81">
        <v>1085071.2324185863</v>
      </c>
      <c r="O86" s="81">
        <v>990989.91168865096</v>
      </c>
      <c r="P86" s="81">
        <v>755786.60986381315</v>
      </c>
    </row>
    <row r="87" spans="2:16" ht="13.5" x14ac:dyDescent="0.2">
      <c r="B87" s="177" t="s">
        <v>489</v>
      </c>
      <c r="C87" s="81">
        <f t="shared" si="64"/>
        <v>14470562.642430523</v>
      </c>
      <c r="D87" s="81"/>
      <c r="E87" s="81">
        <v>691254.59022239968</v>
      </c>
      <c r="F87" s="81">
        <v>697470.64571145875</v>
      </c>
      <c r="G87" s="81">
        <v>803392.430225936</v>
      </c>
      <c r="H87" s="81">
        <v>703221.98278239963</v>
      </c>
      <c r="I87" s="81">
        <v>764146.11615793314</v>
      </c>
      <c r="J87" s="81">
        <v>748392.07710546127</v>
      </c>
      <c r="K87" s="81">
        <v>1089991.9606457031</v>
      </c>
      <c r="L87" s="81">
        <v>1864461.1063257086</v>
      </c>
      <c r="M87" s="81">
        <v>1623457.8359606739</v>
      </c>
      <c r="N87" s="81">
        <v>2101035.3196632857</v>
      </c>
      <c r="O87" s="81">
        <v>1919642.8536017286</v>
      </c>
      <c r="P87" s="81">
        <v>1464095.7240278374</v>
      </c>
    </row>
    <row r="88" spans="2:16" ht="13.5" x14ac:dyDescent="0.2">
      <c r="B88" s="177" t="s">
        <v>104</v>
      </c>
      <c r="C88" s="81">
        <f t="shared" si="64"/>
        <v>5631392.1415555105</v>
      </c>
      <c r="D88" s="81"/>
      <c r="E88" s="81">
        <v>455139.91281065083</v>
      </c>
      <c r="F88" s="81">
        <v>456682.75997272087</v>
      </c>
      <c r="G88" s="81">
        <v>521482.34077966097</v>
      </c>
      <c r="H88" s="81">
        <v>455139.91281065083</v>
      </c>
      <c r="I88" s="81">
        <v>495253.93902447086</v>
      </c>
      <c r="J88" s="81">
        <v>482911.16172791086</v>
      </c>
      <c r="K88" s="81">
        <v>325540.75119677058</v>
      </c>
      <c r="L88" s="81">
        <v>558510.67266934097</v>
      </c>
      <c r="M88" s="81">
        <v>487539.70321412082</v>
      </c>
      <c r="N88" s="81">
        <v>533825.11807622097</v>
      </c>
      <c r="O88" s="81">
        <v>487539.70321412082</v>
      </c>
      <c r="P88" s="81">
        <v>371826.16605887073</v>
      </c>
    </row>
    <row r="89" spans="2:16" ht="13.5" x14ac:dyDescent="0.2">
      <c r="B89" s="178" t="s">
        <v>114</v>
      </c>
      <c r="C89" s="81">
        <f t="shared" si="64"/>
        <v>0</v>
      </c>
      <c r="D89" s="81"/>
      <c r="E89" s="81">
        <v>0</v>
      </c>
      <c r="F89" s="81">
        <v>0</v>
      </c>
      <c r="G89" s="81">
        <v>0</v>
      </c>
      <c r="H89" s="81">
        <v>0</v>
      </c>
      <c r="I89" s="81">
        <v>0</v>
      </c>
      <c r="J89" s="81">
        <v>0</v>
      </c>
      <c r="K89" s="81">
        <v>0</v>
      </c>
      <c r="L89" s="81">
        <v>0</v>
      </c>
      <c r="M89" s="81">
        <v>0</v>
      </c>
      <c r="N89" s="81">
        <v>0</v>
      </c>
      <c r="O89" s="81">
        <v>0</v>
      </c>
      <c r="P89" s="81">
        <v>0</v>
      </c>
    </row>
    <row r="90" spans="2:16" ht="13.5" x14ac:dyDescent="0.2">
      <c r="B90" s="67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</row>
    <row r="91" spans="2:16" ht="13.5" x14ac:dyDescent="0.2">
      <c r="B91" s="95" t="s">
        <v>12</v>
      </c>
      <c r="C91" s="78">
        <f t="shared" ref="C91" si="65">SUM(C92:C95)</f>
        <v>132438916.62049095</v>
      </c>
      <c r="D91" s="78"/>
      <c r="E91" s="78">
        <f>SUM(E92:E95)</f>
        <v>10670570.499924697</v>
      </c>
      <c r="F91" s="78">
        <f t="shared" ref="F91:G91" si="66">SUM(F92:F95)</f>
        <v>10600900.407257061</v>
      </c>
      <c r="G91" s="78">
        <f t="shared" si="66"/>
        <v>12116967.479393568</v>
      </c>
      <c r="H91" s="78">
        <f>SUM(H92:H95)</f>
        <v>10602679.91856573</v>
      </c>
      <c r="I91" s="78">
        <f t="shared" ref="I91:O91" si="67">SUM(I92:I95)</f>
        <v>11592107.052623933</v>
      </c>
      <c r="J91" s="78">
        <f t="shared" si="67"/>
        <v>11249462.741898604</v>
      </c>
      <c r="K91" s="78">
        <f t="shared" si="67"/>
        <v>7984989.6014884841</v>
      </c>
      <c r="L91" s="78">
        <f t="shared" si="67"/>
        <v>12895431.757750444</v>
      </c>
      <c r="M91" s="78">
        <f t="shared" si="67"/>
        <v>11426431.110857842</v>
      </c>
      <c r="N91" s="78">
        <f t="shared" si="67"/>
        <v>12634008.99463281</v>
      </c>
      <c r="O91" s="78">
        <f t="shared" si="67"/>
        <v>11586414.197751962</v>
      </c>
      <c r="P91" s="78">
        <f>SUM(P92:P95)</f>
        <v>9078952.8583458234</v>
      </c>
    </row>
    <row r="92" spans="2:16" ht="13.5" x14ac:dyDescent="0.2">
      <c r="B92" s="114" t="s">
        <v>115</v>
      </c>
      <c r="C92" s="81">
        <f>SUM(E92:P92)</f>
        <v>106640309.7343751</v>
      </c>
      <c r="D92" s="81"/>
      <c r="E92" s="81">
        <v>8499313.9347360209</v>
      </c>
      <c r="F92" s="81">
        <v>8420525.8942969851</v>
      </c>
      <c r="G92" s="81">
        <v>9624058.2219695952</v>
      </c>
      <c r="H92" s="81">
        <v>8425991.7147770543</v>
      </c>
      <c r="I92" s="81">
        <v>9224053.8634287994</v>
      </c>
      <c r="J92" s="81">
        <v>8938933.1770246886</v>
      </c>
      <c r="K92" s="81">
        <v>6558226.0306028156</v>
      </c>
      <c r="L92" s="81">
        <v>10450148.562640673</v>
      </c>
      <c r="M92" s="81">
        <v>9293727.5686269365</v>
      </c>
      <c r="N92" s="81">
        <v>10299220.343546122</v>
      </c>
      <c r="O92" s="81">
        <v>9453710.6555210557</v>
      </c>
      <c r="P92" s="81">
        <v>7452399.7672043722</v>
      </c>
    </row>
    <row r="93" spans="2:16" ht="13.5" x14ac:dyDescent="0.2">
      <c r="B93" s="114" t="s">
        <v>116</v>
      </c>
      <c r="C93" s="81">
        <f>SUM(E93:P93)</f>
        <v>25798606.886115849</v>
      </c>
      <c r="D93" s="81"/>
      <c r="E93" s="81">
        <v>2171256.5651886752</v>
      </c>
      <c r="F93" s="81">
        <v>2180374.5129600773</v>
      </c>
      <c r="G93" s="81">
        <v>2492909.2574239727</v>
      </c>
      <c r="H93" s="81">
        <v>2176688.2037886749</v>
      </c>
      <c r="I93" s="81">
        <v>2368053.1891951337</v>
      </c>
      <c r="J93" s="81">
        <v>2310529.5648739161</v>
      </c>
      <c r="K93" s="81">
        <v>1426763.5708856685</v>
      </c>
      <c r="L93" s="81">
        <v>2445283.195109772</v>
      </c>
      <c r="M93" s="81">
        <v>2132703.5422309064</v>
      </c>
      <c r="N93" s="81">
        <v>2334788.651086689</v>
      </c>
      <c r="O93" s="81">
        <v>2132703.5422309064</v>
      </c>
      <c r="P93" s="81">
        <v>1626553.0911414507</v>
      </c>
    </row>
    <row r="94" spans="2:16" ht="13.5" x14ac:dyDescent="0.2">
      <c r="B94" s="114" t="s">
        <v>117</v>
      </c>
      <c r="C94" s="81">
        <f>SUM(E94:P94)</f>
        <v>0</v>
      </c>
      <c r="D94" s="81"/>
      <c r="E94" s="81">
        <v>0</v>
      </c>
      <c r="F94" s="81">
        <v>0</v>
      </c>
      <c r="G94" s="81">
        <v>0</v>
      </c>
      <c r="H94" s="81">
        <v>0</v>
      </c>
      <c r="I94" s="81">
        <v>0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</row>
    <row r="95" spans="2:16" ht="13.5" x14ac:dyDescent="0.2">
      <c r="B95" s="80"/>
      <c r="C95" s="81"/>
      <c r="D95" s="81"/>
      <c r="E95" s="81"/>
      <c r="F95" s="50"/>
      <c r="G95" s="81"/>
      <c r="H95" s="81"/>
      <c r="I95" s="81"/>
      <c r="J95" s="81"/>
      <c r="K95" s="81"/>
      <c r="L95" s="81"/>
      <c r="M95" s="81"/>
      <c r="N95" s="81"/>
      <c r="O95" s="81"/>
      <c r="P95" s="81"/>
    </row>
    <row r="96" spans="2:16" ht="13.5" x14ac:dyDescent="0.2">
      <c r="B96" s="95" t="s">
        <v>13</v>
      </c>
      <c r="C96" s="78">
        <f>+C79-C91</f>
        <v>15206276.353962258</v>
      </c>
      <c r="D96" s="78">
        <f>+D79-D91</f>
        <v>0</v>
      </c>
      <c r="E96" s="78">
        <f t="shared" ref="E96:P96" si="68">+E79-E91</f>
        <v>1187294.2294371091</v>
      </c>
      <c r="F96" s="78">
        <f t="shared" si="68"/>
        <v>1301033.2933196984</v>
      </c>
      <c r="G96" s="78">
        <f t="shared" si="68"/>
        <v>1480710.4661853146</v>
      </c>
      <c r="H96" s="78">
        <f t="shared" si="68"/>
        <v>1267152.203356076</v>
      </c>
      <c r="I96" s="78">
        <f t="shared" si="68"/>
        <v>1322825.0115467068</v>
      </c>
      <c r="J96" s="78">
        <f t="shared" si="68"/>
        <v>1346891.9574123938</v>
      </c>
      <c r="K96" s="78">
        <f t="shared" si="68"/>
        <v>504592.55151651613</v>
      </c>
      <c r="L96" s="78">
        <f t="shared" si="68"/>
        <v>1664060.8634286523</v>
      </c>
      <c r="M96" s="78">
        <f t="shared" si="68"/>
        <v>1278877.4397262335</v>
      </c>
      <c r="N96" s="78">
        <f t="shared" si="68"/>
        <v>1600951.4745864775</v>
      </c>
      <c r="O96" s="78">
        <f t="shared" si="68"/>
        <v>1415079.3704731688</v>
      </c>
      <c r="P96" s="78">
        <f t="shared" si="68"/>
        <v>836807.49297391251</v>
      </c>
    </row>
    <row r="97" spans="2:16" ht="13.5" x14ac:dyDescent="0.2">
      <c r="B97" s="96" t="s">
        <v>14</v>
      </c>
      <c r="C97" s="82">
        <f t="shared" ref="C97:P97" si="69">+IFERROR(C96/C79,)</f>
        <v>0.10299201787486148</v>
      </c>
      <c r="D97" s="82">
        <f t="shared" si="69"/>
        <v>0</v>
      </c>
      <c r="E97" s="82">
        <f t="shared" si="69"/>
        <v>0.100127152445684</v>
      </c>
      <c r="F97" s="82">
        <f t="shared" si="69"/>
        <v>0.10931276597992234</v>
      </c>
      <c r="G97" s="82">
        <f t="shared" si="69"/>
        <v>0.1088943621191403</v>
      </c>
      <c r="H97" s="82">
        <f t="shared" si="69"/>
        <v>0.10675401221689018</v>
      </c>
      <c r="I97" s="82">
        <f t="shared" si="69"/>
        <v>0.1024260139328619</v>
      </c>
      <c r="J97" s="82">
        <f t="shared" si="69"/>
        <v>0.10692712213685653</v>
      </c>
      <c r="K97" s="82">
        <f t="shared" si="69"/>
        <v>5.9436676908522397E-2</v>
      </c>
      <c r="L97" s="82">
        <f t="shared" si="69"/>
        <v>0.11429387731602757</v>
      </c>
      <c r="M97" s="82">
        <f t="shared" si="69"/>
        <v>0.10065693679414359</v>
      </c>
      <c r="N97" s="82">
        <f t="shared" si="69"/>
        <v>0.11246616933347067</v>
      </c>
      <c r="O97" s="82">
        <f t="shared" si="69"/>
        <v>0.10883975468261106</v>
      </c>
      <c r="P97" s="82">
        <f t="shared" si="69"/>
        <v>8.4391661690627465E-2</v>
      </c>
    </row>
    <row r="98" spans="2:16" ht="13.5" x14ac:dyDescent="0.2">
      <c r="B98" s="95" t="s">
        <v>15</v>
      </c>
      <c r="C98" s="78">
        <f t="shared" ref="C98:C103" si="70">SUM(E98:P98)</f>
        <v>7018954.5251176823</v>
      </c>
      <c r="D98" s="78"/>
      <c r="E98" s="78">
        <f>+E99+E115+E133</f>
        <v>622857.48173072503</v>
      </c>
      <c r="F98" s="78">
        <f t="shared" ref="F98:P98" si="71">+F99+F115+F133</f>
        <v>586668.69737373048</v>
      </c>
      <c r="G98" s="78">
        <f t="shared" si="71"/>
        <v>621719.54896457831</v>
      </c>
      <c r="H98" s="78">
        <f t="shared" si="71"/>
        <v>569859.70920097234</v>
      </c>
      <c r="I98" s="78">
        <f t="shared" si="71"/>
        <v>620885.49920859933</v>
      </c>
      <c r="J98" s="78">
        <f t="shared" si="71"/>
        <v>660691.12612519169</v>
      </c>
      <c r="K98" s="78">
        <f t="shared" si="71"/>
        <v>518576.80371348956</v>
      </c>
      <c r="L98" s="78">
        <f t="shared" si="71"/>
        <v>640871.41747963324</v>
      </c>
      <c r="M98" s="78">
        <f t="shared" si="71"/>
        <v>592971.50169216166</v>
      </c>
      <c r="N98" s="78">
        <f t="shared" si="71"/>
        <v>628773.73652257794</v>
      </c>
      <c r="O98" s="78">
        <f t="shared" si="71"/>
        <v>599344.21084428125</v>
      </c>
      <c r="P98" s="78">
        <f t="shared" si="71"/>
        <v>355734.79226174101</v>
      </c>
    </row>
    <row r="99" spans="2:16" ht="16.5" hidden="1" outlineLevel="1" x14ac:dyDescent="0.2">
      <c r="B99" s="97" t="s">
        <v>16</v>
      </c>
      <c r="C99" s="98">
        <f t="shared" si="70"/>
        <v>0</v>
      </c>
      <c r="D99" s="98"/>
      <c r="E99" s="99">
        <f>SUM(E100:E113)</f>
        <v>0</v>
      </c>
      <c r="F99" s="99">
        <f t="shared" ref="F99:P99" si="72">SUM(F100:F113)</f>
        <v>0</v>
      </c>
      <c r="G99" s="98">
        <f t="shared" si="72"/>
        <v>0</v>
      </c>
      <c r="H99" s="99">
        <f t="shared" si="72"/>
        <v>0</v>
      </c>
      <c r="I99" s="99">
        <f t="shared" si="72"/>
        <v>0</v>
      </c>
      <c r="J99" s="99">
        <f t="shared" si="72"/>
        <v>0</v>
      </c>
      <c r="K99" s="99">
        <f t="shared" si="72"/>
        <v>0</v>
      </c>
      <c r="L99" s="99">
        <f t="shared" si="72"/>
        <v>0</v>
      </c>
      <c r="M99" s="99">
        <f t="shared" si="72"/>
        <v>0</v>
      </c>
      <c r="N99" s="99">
        <f t="shared" si="72"/>
        <v>0</v>
      </c>
      <c r="O99" s="99">
        <f t="shared" si="72"/>
        <v>0</v>
      </c>
      <c r="P99" s="99">
        <f t="shared" si="72"/>
        <v>0</v>
      </c>
    </row>
    <row r="100" spans="2:16" ht="13.5" hidden="1" outlineLevel="1" x14ac:dyDescent="0.2">
      <c r="B100" s="67" t="s">
        <v>19</v>
      </c>
      <c r="C100" s="81">
        <f t="shared" si="70"/>
        <v>0</v>
      </c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</row>
    <row r="101" spans="2:16" ht="13.5" hidden="1" outlineLevel="1" x14ac:dyDescent="0.2">
      <c r="B101" s="67" t="s">
        <v>43</v>
      </c>
      <c r="C101" s="81">
        <f t="shared" si="70"/>
        <v>0</v>
      </c>
      <c r="D101" s="80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</row>
    <row r="102" spans="2:16" ht="13.5" hidden="1" outlineLevel="1" x14ac:dyDescent="0.2">
      <c r="B102" s="67" t="s">
        <v>45</v>
      </c>
      <c r="C102" s="81">
        <f t="shared" si="70"/>
        <v>0</v>
      </c>
      <c r="D102" s="80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</row>
    <row r="103" spans="2:16" ht="13.5" hidden="1" outlineLevel="1" x14ac:dyDescent="0.2">
      <c r="B103" s="67" t="s">
        <v>47</v>
      </c>
      <c r="C103" s="81">
        <f t="shared" si="70"/>
        <v>0</v>
      </c>
      <c r="D103" s="80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</row>
    <row r="104" spans="2:16" ht="13.5" hidden="1" outlineLevel="1" x14ac:dyDescent="0.2">
      <c r="B104" s="67" t="s">
        <v>48</v>
      </c>
      <c r="C104" s="81">
        <f>SUM(E104:P104)</f>
        <v>0</v>
      </c>
      <c r="D104" s="80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</row>
    <row r="105" spans="2:16" ht="13.5" hidden="1" outlineLevel="1" x14ac:dyDescent="0.2">
      <c r="B105" s="67" t="s">
        <v>49</v>
      </c>
      <c r="C105" s="81">
        <f t="shared" ref="C105:C113" si="73">SUM(E105:P105)</f>
        <v>0</v>
      </c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</row>
    <row r="106" spans="2:16" ht="13.5" hidden="1" outlineLevel="1" x14ac:dyDescent="0.2">
      <c r="B106" s="67" t="s">
        <v>50</v>
      </c>
      <c r="C106" s="81">
        <f t="shared" si="73"/>
        <v>0</v>
      </c>
      <c r="D106" s="102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</row>
    <row r="107" spans="2:16" ht="13.5" hidden="1" outlineLevel="1" x14ac:dyDescent="0.2">
      <c r="B107" s="67" t="s">
        <v>51</v>
      </c>
      <c r="C107" s="81">
        <f t="shared" si="73"/>
        <v>0</v>
      </c>
      <c r="D107" s="80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</row>
    <row r="108" spans="2:16" ht="13.5" hidden="1" outlineLevel="1" x14ac:dyDescent="0.2">
      <c r="B108" s="67" t="s">
        <v>52</v>
      </c>
      <c r="C108" s="81">
        <f t="shared" si="73"/>
        <v>0</v>
      </c>
      <c r="D108" s="80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</row>
    <row r="109" spans="2:16" ht="13.5" hidden="1" outlineLevel="1" x14ac:dyDescent="0.2">
      <c r="B109" s="67" t="s">
        <v>53</v>
      </c>
      <c r="C109" s="81">
        <f t="shared" si="73"/>
        <v>0</v>
      </c>
      <c r="D109" s="80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</row>
    <row r="110" spans="2:16" ht="13.5" hidden="1" outlineLevel="1" x14ac:dyDescent="0.2">
      <c r="B110" s="67" t="s">
        <v>54</v>
      </c>
      <c r="C110" s="81">
        <f t="shared" si="73"/>
        <v>0</v>
      </c>
      <c r="D110" s="102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</row>
    <row r="111" spans="2:16" ht="13.5" hidden="1" outlineLevel="1" x14ac:dyDescent="0.2">
      <c r="B111" s="67" t="s">
        <v>55</v>
      </c>
      <c r="C111" s="81">
        <f t="shared" si="73"/>
        <v>0</v>
      </c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</row>
    <row r="112" spans="2:16" ht="13.5" hidden="1" outlineLevel="1" x14ac:dyDescent="0.2">
      <c r="B112" s="67" t="s">
        <v>56</v>
      </c>
      <c r="C112" s="81">
        <f t="shared" si="73"/>
        <v>0</v>
      </c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</row>
    <row r="113" spans="2:16" ht="13.5" hidden="1" outlineLevel="1" x14ac:dyDescent="0.2">
      <c r="B113" s="67" t="s">
        <v>57</v>
      </c>
      <c r="C113" s="81">
        <f t="shared" si="73"/>
        <v>0</v>
      </c>
      <c r="D113" s="80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</row>
    <row r="114" spans="2:16" ht="13.5" hidden="1" outlineLevel="1" x14ac:dyDescent="0.2">
      <c r="B114" s="106"/>
      <c r="C114" s="81"/>
      <c r="D114" s="81"/>
      <c r="E114" s="107"/>
      <c r="F114" s="107"/>
      <c r="G114" s="81"/>
      <c r="H114" s="81"/>
      <c r="I114" s="81"/>
      <c r="J114" s="81"/>
      <c r="K114" s="81"/>
      <c r="L114" s="81"/>
      <c r="M114" s="108"/>
      <c r="N114" s="103"/>
      <c r="O114" s="81"/>
      <c r="P114" s="81"/>
    </row>
    <row r="115" spans="2:16" ht="16.5" collapsed="1" x14ac:dyDescent="0.2">
      <c r="B115" s="97" t="s">
        <v>17</v>
      </c>
      <c r="C115" s="109">
        <f t="shared" ref="C115:C135" si="74">SUM(E115:P115)</f>
        <v>7018954.5251176823</v>
      </c>
      <c r="D115" s="109"/>
      <c r="E115" s="110">
        <f>SUM(E116:E131)</f>
        <v>622857.48173072503</v>
      </c>
      <c r="F115" s="110">
        <f t="shared" ref="F115:K115" si="75">SUM(F116:F131)</f>
        <v>586668.69737373048</v>
      </c>
      <c r="G115" s="109">
        <f t="shared" si="75"/>
        <v>621719.54896457831</v>
      </c>
      <c r="H115" s="110">
        <f t="shared" si="75"/>
        <v>569859.70920097234</v>
      </c>
      <c r="I115" s="110">
        <f t="shared" si="75"/>
        <v>620885.49920859933</v>
      </c>
      <c r="J115" s="110">
        <f t="shared" si="75"/>
        <v>660691.12612519169</v>
      </c>
      <c r="K115" s="110">
        <f t="shared" si="75"/>
        <v>518576.80371348956</v>
      </c>
      <c r="L115" s="110">
        <f>SUM(L116:L131)</f>
        <v>640871.41747963324</v>
      </c>
      <c r="M115" s="111">
        <f t="shared" ref="M115:P115" si="76">SUM(M116:M131)</f>
        <v>592971.50169216166</v>
      </c>
      <c r="N115" s="111">
        <f t="shared" si="76"/>
        <v>628773.73652257794</v>
      </c>
      <c r="O115" s="110">
        <f t="shared" si="76"/>
        <v>599344.21084428125</v>
      </c>
      <c r="P115" s="110">
        <f t="shared" si="76"/>
        <v>355734.79226174101</v>
      </c>
    </row>
    <row r="116" spans="2:16" ht="13.5" x14ac:dyDescent="0.2">
      <c r="B116" s="112" t="s">
        <v>58</v>
      </c>
      <c r="C116" s="81">
        <f t="shared" si="74"/>
        <v>2387908.3655666676</v>
      </c>
      <c r="D116" s="80"/>
      <c r="E116" s="124">
        <v>214735.46136666668</v>
      </c>
      <c r="F116" s="124">
        <v>214735.46136666668</v>
      </c>
      <c r="G116" s="124">
        <v>212594.12803333334</v>
      </c>
      <c r="H116" s="124">
        <v>212594.12803333334</v>
      </c>
      <c r="I116" s="124">
        <v>212594.12803333334</v>
      </c>
      <c r="J116" s="124">
        <v>217094.12803333334</v>
      </c>
      <c r="K116" s="124">
        <v>217094.12803333334</v>
      </c>
      <c r="L116" s="124">
        <v>231974.12803333334</v>
      </c>
      <c r="M116" s="124">
        <v>217094.12803333334</v>
      </c>
      <c r="N116" s="124">
        <v>217094.12803333334</v>
      </c>
      <c r="O116" s="124">
        <v>217094.12803333334</v>
      </c>
      <c r="P116" s="124">
        <v>3210.290533333331</v>
      </c>
    </row>
    <row r="117" spans="2:16" ht="13.5" x14ac:dyDescent="0.2">
      <c r="B117" s="112" t="s">
        <v>59</v>
      </c>
      <c r="C117" s="81">
        <f t="shared" si="74"/>
        <v>112845.21682624255</v>
      </c>
      <c r="D117" s="80"/>
      <c r="E117" s="124">
        <v>9403.7680688535438</v>
      </c>
      <c r="F117" s="102">
        <v>9403.7680688535474</v>
      </c>
      <c r="G117" s="124">
        <v>9403.7680688535438</v>
      </c>
      <c r="H117" s="102">
        <v>9403.7680688535438</v>
      </c>
      <c r="I117" s="102">
        <v>9403.7680688535438</v>
      </c>
      <c r="J117" s="102">
        <v>9403.7680688535438</v>
      </c>
      <c r="K117" s="102">
        <v>9403.7680688535456</v>
      </c>
      <c r="L117" s="102">
        <v>9403.7680688535438</v>
      </c>
      <c r="M117" s="104">
        <v>9403.7680688535438</v>
      </c>
      <c r="N117" s="104">
        <v>9403.7680688535456</v>
      </c>
      <c r="O117" s="124">
        <v>9403.7680688535438</v>
      </c>
      <c r="P117" s="124">
        <v>9403.7680688535456</v>
      </c>
    </row>
    <row r="118" spans="2:16" ht="13.5" x14ac:dyDescent="0.2">
      <c r="B118" s="112" t="s">
        <v>60</v>
      </c>
      <c r="C118" s="81">
        <f t="shared" si="74"/>
        <v>830369.53946551727</v>
      </c>
      <c r="D118" s="80"/>
      <c r="E118" s="124">
        <v>66391.31807257318</v>
      </c>
      <c r="F118" s="102">
        <v>67439.455736482836</v>
      </c>
      <c r="G118" s="124">
        <v>66698.353203595325</v>
      </c>
      <c r="H118" s="102">
        <v>68878.296321923117</v>
      </c>
      <c r="I118" s="102">
        <v>68506.851243111989</v>
      </c>
      <c r="J118" s="102">
        <v>69324.060186539442</v>
      </c>
      <c r="K118" s="102">
        <v>70372.197850449098</v>
      </c>
      <c r="L118" s="102">
        <v>70372.197850449083</v>
      </c>
      <c r="M118" s="104">
        <v>70372.197850449083</v>
      </c>
      <c r="N118" s="104">
        <v>70372.197850449098</v>
      </c>
      <c r="O118" s="124">
        <v>70821.206649747488</v>
      </c>
      <c r="P118" s="124">
        <v>70821.206649747488</v>
      </c>
    </row>
    <row r="119" spans="2:16" ht="13.5" x14ac:dyDescent="0.2">
      <c r="B119" s="112" t="s">
        <v>61</v>
      </c>
      <c r="C119" s="81">
        <f t="shared" si="74"/>
        <v>223563.52097573923</v>
      </c>
      <c r="D119" s="80"/>
      <c r="E119" s="124">
        <v>18225.96536707304</v>
      </c>
      <c r="F119" s="102">
        <v>17249.11643955997</v>
      </c>
      <c r="G119" s="124">
        <v>18203.203787630609</v>
      </c>
      <c r="H119" s="102">
        <v>19180.052715143684</v>
      </c>
      <c r="I119" s="102">
        <v>18203.203787630609</v>
      </c>
      <c r="J119" s="102">
        <v>18649.754431953588</v>
      </c>
      <c r="K119" s="102">
        <v>19626.603359466666</v>
      </c>
      <c r="L119" s="102">
        <v>18649.754431953588</v>
      </c>
      <c r="M119" s="104">
        <v>18649.754431953588</v>
      </c>
      <c r="N119" s="104">
        <v>19626.603359466666</v>
      </c>
      <c r="O119" s="124">
        <v>18649.754431953588</v>
      </c>
      <c r="P119" s="124">
        <v>18649.754431953595</v>
      </c>
    </row>
    <row r="120" spans="2:16" ht="13.5" x14ac:dyDescent="0.2">
      <c r="B120" s="112" t="s">
        <v>62</v>
      </c>
      <c r="C120" s="81">
        <f t="shared" si="74"/>
        <v>0</v>
      </c>
      <c r="D120" s="80"/>
      <c r="E120" s="124">
        <v>0</v>
      </c>
      <c r="F120" s="102">
        <v>0</v>
      </c>
      <c r="G120" s="124">
        <v>0</v>
      </c>
      <c r="H120" s="102">
        <v>0</v>
      </c>
      <c r="I120" s="102">
        <v>0</v>
      </c>
      <c r="J120" s="102">
        <v>0</v>
      </c>
      <c r="K120" s="102">
        <v>0</v>
      </c>
      <c r="L120" s="102">
        <v>0</v>
      </c>
      <c r="M120" s="104">
        <v>0</v>
      </c>
      <c r="N120" s="175">
        <v>0</v>
      </c>
      <c r="O120" s="124">
        <v>0</v>
      </c>
      <c r="P120" s="124">
        <v>0</v>
      </c>
    </row>
    <row r="121" spans="2:16" ht="13.5" x14ac:dyDescent="0.2">
      <c r="B121" s="112" t="s">
        <v>63</v>
      </c>
      <c r="C121" s="81">
        <f t="shared" si="74"/>
        <v>0</v>
      </c>
      <c r="D121" s="81"/>
      <c r="E121" s="124">
        <v>0</v>
      </c>
      <c r="F121" s="124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5">
        <v>0</v>
      </c>
      <c r="N121" s="104">
        <v>0</v>
      </c>
      <c r="O121" s="123">
        <v>0</v>
      </c>
      <c r="P121" s="123">
        <v>0</v>
      </c>
    </row>
    <row r="122" spans="2:16" ht="13.5" x14ac:dyDescent="0.2">
      <c r="B122" s="112" t="s">
        <v>64</v>
      </c>
      <c r="C122" s="81">
        <f t="shared" si="74"/>
        <v>0</v>
      </c>
      <c r="D122" s="81"/>
      <c r="E122" s="124">
        <v>0</v>
      </c>
      <c r="F122" s="124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5">
        <v>0</v>
      </c>
      <c r="N122" s="104">
        <v>0</v>
      </c>
      <c r="O122" s="123">
        <v>0</v>
      </c>
      <c r="P122" s="123">
        <v>0</v>
      </c>
    </row>
    <row r="123" spans="2:16" ht="13.5" x14ac:dyDescent="0.2">
      <c r="B123" s="112" t="s">
        <v>65</v>
      </c>
      <c r="C123" s="81">
        <f t="shared" si="74"/>
        <v>3083052.1664800309</v>
      </c>
      <c r="D123" s="80"/>
      <c r="E123" s="124">
        <v>282209.75590173708</v>
      </c>
      <c r="F123" s="102">
        <v>245949.68280834591</v>
      </c>
      <c r="G123" s="124">
        <v>282398.47431488044</v>
      </c>
      <c r="H123" s="102">
        <v>227381.8425054336</v>
      </c>
      <c r="I123" s="102">
        <v>279755.92651938484</v>
      </c>
      <c r="J123" s="102">
        <v>314766.78322922788</v>
      </c>
      <c r="K123" s="102">
        <v>170627.47422610299</v>
      </c>
      <c r="L123" s="102">
        <v>279018.93691975984</v>
      </c>
      <c r="M123" s="104">
        <v>245999.02113228827</v>
      </c>
      <c r="N123" s="104">
        <v>280824.40703519143</v>
      </c>
      <c r="O123" s="124">
        <v>251922.72148510936</v>
      </c>
      <c r="P123" s="124">
        <v>222197.14040256912</v>
      </c>
    </row>
    <row r="124" spans="2:16" ht="13.5" x14ac:dyDescent="0.2">
      <c r="B124" s="112" t="s">
        <v>66</v>
      </c>
      <c r="C124" s="81">
        <f t="shared" si="74"/>
        <v>162568.36003662969</v>
      </c>
      <c r="D124" s="80"/>
      <c r="E124" s="124">
        <v>13547.363336385808</v>
      </c>
      <c r="F124" s="102">
        <v>13547.363336385808</v>
      </c>
      <c r="G124" s="124">
        <v>13547.363336385804</v>
      </c>
      <c r="H124" s="102">
        <v>13547.363336385806</v>
      </c>
      <c r="I124" s="102">
        <v>13547.363336385806</v>
      </c>
      <c r="J124" s="102">
        <v>13547.363336385806</v>
      </c>
      <c r="K124" s="102">
        <v>13547.363336385808</v>
      </c>
      <c r="L124" s="102">
        <v>13547.363336385806</v>
      </c>
      <c r="M124" s="104">
        <v>13547.363336385806</v>
      </c>
      <c r="N124" s="104">
        <v>13547.363336385808</v>
      </c>
      <c r="O124" s="124">
        <v>13547.363336385804</v>
      </c>
      <c r="P124" s="124">
        <v>13547.363336385806</v>
      </c>
    </row>
    <row r="125" spans="2:16" ht="13.5" x14ac:dyDescent="0.2">
      <c r="B125" s="112" t="s">
        <v>67</v>
      </c>
      <c r="C125" s="81">
        <f t="shared" si="74"/>
        <v>0</v>
      </c>
      <c r="D125" s="80"/>
      <c r="E125" s="124">
        <v>0</v>
      </c>
      <c r="F125" s="102">
        <v>0</v>
      </c>
      <c r="G125" s="124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4">
        <v>0</v>
      </c>
      <c r="N125" s="104">
        <v>0</v>
      </c>
      <c r="O125" s="124">
        <v>0</v>
      </c>
      <c r="P125" s="124">
        <v>0</v>
      </c>
    </row>
    <row r="126" spans="2:16" ht="13.5" x14ac:dyDescent="0.2">
      <c r="B126" s="112" t="s">
        <v>68</v>
      </c>
      <c r="C126" s="81">
        <f t="shared" si="74"/>
        <v>0</v>
      </c>
      <c r="D126" s="81"/>
      <c r="E126" s="124">
        <v>0</v>
      </c>
      <c r="F126" s="124">
        <v>0</v>
      </c>
      <c r="G126" s="124">
        <v>0</v>
      </c>
      <c r="H126" s="102">
        <v>0</v>
      </c>
      <c r="I126" s="102">
        <v>0</v>
      </c>
      <c r="J126" s="102">
        <v>0</v>
      </c>
      <c r="K126" s="102">
        <v>0</v>
      </c>
      <c r="L126" s="123">
        <v>0</v>
      </c>
      <c r="M126" s="104">
        <v>0</v>
      </c>
      <c r="N126" s="104">
        <v>0</v>
      </c>
      <c r="O126" s="123">
        <v>0</v>
      </c>
      <c r="P126" s="123">
        <v>0</v>
      </c>
    </row>
    <row r="127" spans="2:16" ht="13.5" x14ac:dyDescent="0.2">
      <c r="B127" s="112" t="s">
        <v>69</v>
      </c>
      <c r="C127" s="81">
        <f t="shared" si="74"/>
        <v>0</v>
      </c>
      <c r="D127" s="81"/>
      <c r="E127" s="124">
        <v>0</v>
      </c>
      <c r="F127" s="124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5">
        <v>0</v>
      </c>
      <c r="N127" s="104">
        <v>0</v>
      </c>
      <c r="O127" s="123">
        <v>0</v>
      </c>
      <c r="P127" s="123">
        <v>0</v>
      </c>
    </row>
    <row r="128" spans="2:16" ht="13.5" x14ac:dyDescent="0.2">
      <c r="B128" s="112" t="s">
        <v>70</v>
      </c>
      <c r="C128" s="81">
        <f t="shared" si="74"/>
        <v>0</v>
      </c>
      <c r="D128" s="81"/>
      <c r="E128" s="124">
        <v>0</v>
      </c>
      <c r="F128" s="124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5">
        <v>0</v>
      </c>
      <c r="N128" s="104">
        <v>0</v>
      </c>
      <c r="O128" s="123">
        <v>0</v>
      </c>
      <c r="P128" s="123">
        <v>0</v>
      </c>
    </row>
    <row r="129" spans="2:16" ht="13.5" x14ac:dyDescent="0.2">
      <c r="B129" s="112" t="s">
        <v>71</v>
      </c>
      <c r="C129" s="81">
        <f t="shared" si="74"/>
        <v>218647.35576685605</v>
      </c>
      <c r="D129" s="80"/>
      <c r="E129" s="124">
        <v>18343.849617435731</v>
      </c>
      <c r="F129" s="102">
        <v>18343.849617435735</v>
      </c>
      <c r="G129" s="124">
        <v>18874.25821989929</v>
      </c>
      <c r="H129" s="102">
        <v>18874.258219899286</v>
      </c>
      <c r="I129" s="102">
        <v>18874.258219899286</v>
      </c>
      <c r="J129" s="102">
        <v>17905.268838898097</v>
      </c>
      <c r="K129" s="102">
        <v>17905.268838898101</v>
      </c>
      <c r="L129" s="102">
        <v>17905.268838898097</v>
      </c>
      <c r="M129" s="104">
        <v>17905.268838898097</v>
      </c>
      <c r="N129" s="104">
        <v>17905.268838898097</v>
      </c>
      <c r="O129" s="124">
        <v>17905.268838898097</v>
      </c>
      <c r="P129" s="124">
        <v>17905.268838898097</v>
      </c>
    </row>
    <row r="130" spans="2:16" ht="13.5" x14ac:dyDescent="0.2">
      <c r="B130" s="112" t="s">
        <v>72</v>
      </c>
      <c r="C130" s="81">
        <f t="shared" si="74"/>
        <v>0</v>
      </c>
      <c r="D130" s="81"/>
      <c r="E130" s="124">
        <v>0</v>
      </c>
      <c r="F130" s="124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5">
        <v>0</v>
      </c>
      <c r="N130" s="104">
        <v>0</v>
      </c>
      <c r="O130" s="123">
        <v>0</v>
      </c>
      <c r="P130" s="123">
        <v>0</v>
      </c>
    </row>
    <row r="131" spans="2:16" ht="13.5" hidden="1" outlineLevel="1" x14ac:dyDescent="0.2">
      <c r="B131" s="112"/>
      <c r="C131" s="81"/>
      <c r="D131" s="81"/>
      <c r="E131" s="80"/>
      <c r="F131" s="80"/>
      <c r="G131" s="81"/>
      <c r="H131" s="81"/>
      <c r="I131" s="81"/>
      <c r="J131" s="81"/>
      <c r="K131" s="81"/>
      <c r="L131" s="81"/>
      <c r="M131" s="103"/>
      <c r="N131" s="104"/>
      <c r="O131" s="81"/>
      <c r="P131" s="81"/>
    </row>
    <row r="132" spans="2:16" ht="13.5" hidden="1" outlineLevel="1" x14ac:dyDescent="0.2">
      <c r="B132" s="106"/>
      <c r="C132" s="81"/>
      <c r="D132" s="81"/>
      <c r="E132" s="107"/>
      <c r="F132" s="107"/>
      <c r="G132" s="81"/>
      <c r="H132" s="81"/>
      <c r="I132" s="81"/>
      <c r="J132" s="81"/>
      <c r="K132" s="81"/>
      <c r="L132" s="81"/>
      <c r="M132" s="108"/>
      <c r="N132" s="108"/>
      <c r="O132" s="81"/>
      <c r="P132" s="81"/>
    </row>
    <row r="133" spans="2:16" ht="16.5" hidden="1" outlineLevel="1" x14ac:dyDescent="0.2">
      <c r="B133" s="97" t="s">
        <v>18</v>
      </c>
      <c r="C133" s="109">
        <f t="shared" si="74"/>
        <v>0</v>
      </c>
      <c r="D133" s="109"/>
      <c r="E133" s="110">
        <f>SUM(E134:E147)</f>
        <v>0</v>
      </c>
      <c r="F133" s="110">
        <f t="shared" ref="F133" si="77">SUM(F134:F147)</f>
        <v>0</v>
      </c>
      <c r="G133" s="109">
        <f>SUM(G134:G147)</f>
        <v>0</v>
      </c>
      <c r="H133" s="110">
        <f t="shared" ref="H133:K133" si="78">SUM(H134:H147)</f>
        <v>0</v>
      </c>
      <c r="I133" s="110">
        <f t="shared" si="78"/>
        <v>0</v>
      </c>
      <c r="J133" s="110">
        <f t="shared" si="78"/>
        <v>0</v>
      </c>
      <c r="K133" s="110">
        <f t="shared" si="78"/>
        <v>0</v>
      </c>
      <c r="L133" s="110">
        <f>SUM(L134:L147)</f>
        <v>0</v>
      </c>
      <c r="M133" s="111">
        <f t="shared" ref="M133:P133" si="79">SUM(M134:M147)</f>
        <v>0</v>
      </c>
      <c r="N133" s="111">
        <f t="shared" si="79"/>
        <v>0</v>
      </c>
      <c r="O133" s="110">
        <f t="shared" si="79"/>
        <v>0</v>
      </c>
      <c r="P133" s="110">
        <f t="shared" si="79"/>
        <v>0</v>
      </c>
    </row>
    <row r="134" spans="2:16" ht="13.5" hidden="1" outlineLevel="1" x14ac:dyDescent="0.2">
      <c r="B134" s="112" t="s">
        <v>58</v>
      </c>
      <c r="C134" s="81">
        <f t="shared" si="74"/>
        <v>0</v>
      </c>
      <c r="D134" s="80"/>
      <c r="E134" s="80"/>
      <c r="F134" s="102"/>
      <c r="G134" s="80"/>
      <c r="H134" s="102"/>
      <c r="I134" s="102"/>
      <c r="J134" s="102"/>
      <c r="K134" s="102"/>
      <c r="L134" s="102"/>
      <c r="M134" s="104"/>
      <c r="N134" s="104"/>
      <c r="O134" s="80"/>
      <c r="P134" s="80"/>
    </row>
    <row r="135" spans="2:16" ht="13.5" hidden="1" outlineLevel="1" x14ac:dyDescent="0.2">
      <c r="B135" s="112" t="s">
        <v>73</v>
      </c>
      <c r="C135" s="81">
        <f t="shared" si="74"/>
        <v>0</v>
      </c>
      <c r="D135" s="80"/>
      <c r="E135" s="80"/>
      <c r="F135" s="102"/>
      <c r="G135" s="80"/>
      <c r="H135" s="102"/>
      <c r="I135" s="102"/>
      <c r="J135" s="102"/>
      <c r="K135" s="102"/>
      <c r="L135" s="102"/>
      <c r="M135" s="104"/>
      <c r="N135" s="104"/>
      <c r="O135" s="80"/>
      <c r="P135" s="80"/>
    </row>
    <row r="136" spans="2:16" ht="13.5" hidden="1" outlineLevel="1" x14ac:dyDescent="0.2">
      <c r="B136" s="112" t="s">
        <v>60</v>
      </c>
      <c r="C136" s="81">
        <f t="shared" ref="C136:C143" si="80">SUM(E136:P136)</f>
        <v>0</v>
      </c>
      <c r="D136" s="80"/>
      <c r="E136" s="80"/>
      <c r="F136" s="102"/>
      <c r="G136" s="80"/>
      <c r="H136" s="102"/>
      <c r="I136" s="102"/>
      <c r="J136" s="102"/>
      <c r="K136" s="102"/>
      <c r="L136" s="102"/>
      <c r="M136" s="104"/>
      <c r="N136" s="104"/>
      <c r="O136" s="80"/>
      <c r="P136" s="80"/>
    </row>
    <row r="137" spans="2:16" ht="13.5" hidden="1" outlineLevel="1" x14ac:dyDescent="0.2">
      <c r="B137" s="112" t="s">
        <v>61</v>
      </c>
      <c r="C137" s="81">
        <f t="shared" si="80"/>
        <v>0</v>
      </c>
      <c r="D137" s="80"/>
      <c r="E137" s="80"/>
      <c r="F137" s="102"/>
      <c r="G137" s="80"/>
      <c r="H137" s="102"/>
      <c r="I137" s="102"/>
      <c r="J137" s="102"/>
      <c r="K137" s="102"/>
      <c r="L137" s="102"/>
      <c r="M137" s="104"/>
      <c r="N137" s="104"/>
      <c r="O137" s="80"/>
      <c r="P137" s="80"/>
    </row>
    <row r="138" spans="2:16" ht="13.5" hidden="1" outlineLevel="1" x14ac:dyDescent="0.2">
      <c r="B138" s="112" t="s">
        <v>62</v>
      </c>
      <c r="C138" s="81">
        <f t="shared" si="80"/>
        <v>0</v>
      </c>
      <c r="D138" s="80"/>
      <c r="E138" s="80"/>
      <c r="F138" s="102"/>
      <c r="G138" s="80"/>
      <c r="H138" s="102"/>
      <c r="I138" s="102"/>
      <c r="J138" s="102"/>
      <c r="K138" s="102"/>
      <c r="L138" s="102"/>
      <c r="M138" s="104"/>
      <c r="N138" s="104"/>
      <c r="O138" s="80"/>
      <c r="P138" s="80"/>
    </row>
    <row r="139" spans="2:16" ht="13.5" hidden="1" outlineLevel="1" x14ac:dyDescent="0.2">
      <c r="B139" s="112" t="s">
        <v>63</v>
      </c>
      <c r="C139" s="81">
        <f t="shared" si="80"/>
        <v>0</v>
      </c>
      <c r="D139" s="81"/>
      <c r="E139" s="80"/>
      <c r="F139" s="80"/>
      <c r="G139" s="81"/>
      <c r="H139" s="81"/>
      <c r="I139" s="81"/>
      <c r="J139" s="81"/>
      <c r="K139" s="81"/>
      <c r="L139" s="81"/>
      <c r="M139" s="103"/>
      <c r="N139" s="104"/>
      <c r="O139" s="81"/>
      <c r="P139" s="81"/>
    </row>
    <row r="140" spans="2:16" ht="13.5" hidden="1" outlineLevel="1" x14ac:dyDescent="0.2">
      <c r="B140" s="112" t="s">
        <v>64</v>
      </c>
      <c r="C140" s="81">
        <f t="shared" si="80"/>
        <v>0</v>
      </c>
      <c r="D140" s="81"/>
      <c r="E140" s="80"/>
      <c r="F140" s="80"/>
      <c r="G140" s="81"/>
      <c r="H140" s="81"/>
      <c r="I140" s="81"/>
      <c r="J140" s="81"/>
      <c r="K140" s="81"/>
      <c r="L140" s="81"/>
      <c r="M140" s="103"/>
      <c r="N140" s="104"/>
      <c r="O140" s="81"/>
      <c r="P140" s="81"/>
    </row>
    <row r="141" spans="2:16" ht="13.5" hidden="1" outlineLevel="1" x14ac:dyDescent="0.2">
      <c r="B141" s="112" t="s">
        <v>65</v>
      </c>
      <c r="C141" s="81">
        <f t="shared" si="80"/>
        <v>0</v>
      </c>
      <c r="D141" s="80"/>
      <c r="E141" s="80"/>
      <c r="F141" s="102"/>
      <c r="G141" s="80"/>
      <c r="H141" s="102"/>
      <c r="I141" s="102"/>
      <c r="J141" s="102"/>
      <c r="K141" s="102"/>
      <c r="L141" s="102"/>
      <c r="M141" s="104"/>
      <c r="N141" s="104"/>
      <c r="O141" s="80"/>
      <c r="P141" s="80"/>
    </row>
    <row r="142" spans="2:16" ht="13.5" hidden="1" outlineLevel="1" x14ac:dyDescent="0.2">
      <c r="B142" s="112" t="s">
        <v>66</v>
      </c>
      <c r="C142" s="81">
        <f t="shared" si="80"/>
        <v>0</v>
      </c>
      <c r="D142" s="80"/>
      <c r="E142" s="80"/>
      <c r="F142" s="102"/>
      <c r="G142" s="80"/>
      <c r="H142" s="102"/>
      <c r="I142" s="102"/>
      <c r="J142" s="102"/>
      <c r="K142" s="102"/>
      <c r="L142" s="102"/>
      <c r="M142" s="104"/>
      <c r="N142" s="104"/>
      <c r="O142" s="80"/>
      <c r="P142" s="80"/>
    </row>
    <row r="143" spans="2:16" ht="13.5" hidden="1" outlineLevel="1" x14ac:dyDescent="0.2">
      <c r="B143" s="112" t="s">
        <v>67</v>
      </c>
      <c r="C143" s="81">
        <f t="shared" si="80"/>
        <v>0</v>
      </c>
      <c r="D143" s="80"/>
      <c r="E143" s="80"/>
      <c r="F143" s="102"/>
      <c r="G143" s="80"/>
      <c r="H143" s="102"/>
      <c r="I143" s="102"/>
      <c r="J143" s="102"/>
      <c r="K143" s="102"/>
      <c r="L143" s="102"/>
      <c r="M143" s="104"/>
      <c r="N143" s="104"/>
      <c r="O143" s="80"/>
      <c r="P143" s="80"/>
    </row>
    <row r="144" spans="2:16" ht="13.5" hidden="1" outlineLevel="1" x14ac:dyDescent="0.2">
      <c r="B144" s="112" t="s">
        <v>68</v>
      </c>
      <c r="C144" s="81">
        <f t="shared" ref="C144:C148" si="81">SUM(E144:P144)</f>
        <v>0</v>
      </c>
      <c r="D144" s="80"/>
      <c r="E144" s="80"/>
      <c r="F144" s="102"/>
      <c r="G144" s="80"/>
      <c r="H144" s="102"/>
      <c r="I144" s="102"/>
      <c r="J144" s="102"/>
      <c r="K144" s="102"/>
      <c r="L144" s="102"/>
      <c r="M144" s="104"/>
      <c r="N144" s="104"/>
      <c r="O144" s="80"/>
      <c r="P144" s="80"/>
    </row>
    <row r="145" spans="2:16" ht="13.5" hidden="1" outlineLevel="1" x14ac:dyDescent="0.2">
      <c r="B145" s="112" t="s">
        <v>69</v>
      </c>
      <c r="C145" s="81">
        <f t="shared" si="81"/>
        <v>0</v>
      </c>
      <c r="D145" s="81"/>
      <c r="E145" s="80"/>
      <c r="F145" s="80"/>
      <c r="G145" s="81"/>
      <c r="H145" s="81"/>
      <c r="I145" s="81"/>
      <c r="J145" s="81"/>
      <c r="K145" s="81"/>
      <c r="L145" s="81"/>
      <c r="M145" s="103"/>
      <c r="N145" s="104"/>
      <c r="O145" s="81"/>
      <c r="P145" s="81"/>
    </row>
    <row r="146" spans="2:16" ht="13.5" hidden="1" outlineLevel="1" x14ac:dyDescent="0.2">
      <c r="B146" s="112" t="s">
        <v>70</v>
      </c>
      <c r="C146" s="81">
        <f t="shared" si="81"/>
        <v>0</v>
      </c>
      <c r="D146" s="81"/>
      <c r="E146" s="80"/>
      <c r="F146" s="80"/>
      <c r="G146" s="81"/>
      <c r="H146" s="81"/>
      <c r="I146" s="81"/>
      <c r="J146" s="81"/>
      <c r="K146" s="81"/>
      <c r="L146" s="81"/>
      <c r="M146" s="103"/>
      <c r="N146" s="104"/>
      <c r="O146" s="81"/>
      <c r="P146" s="81"/>
    </row>
    <row r="147" spans="2:16" ht="13.5" hidden="1" outlineLevel="1" x14ac:dyDescent="0.2">
      <c r="B147" s="112" t="s">
        <v>71</v>
      </c>
      <c r="C147" s="132">
        <f t="shared" ref="C147" si="82">+IFERROR(A147/#REF!,)</f>
        <v>0</v>
      </c>
      <c r="D147" s="136">
        <f t="shared" ref="D147" si="83">+IFERROR(A147/#REF!,)</f>
        <v>0</v>
      </c>
      <c r="E147" s="80"/>
      <c r="F147" s="80"/>
      <c r="G147" s="80"/>
      <c r="H147" s="80"/>
      <c r="I147" s="102"/>
      <c r="J147" s="102"/>
      <c r="K147" s="102"/>
      <c r="L147" s="102"/>
      <c r="M147" s="104"/>
      <c r="N147" s="104"/>
      <c r="O147" s="80"/>
      <c r="P147" s="80"/>
    </row>
    <row r="148" spans="2:16" ht="13.5" collapsed="1" x14ac:dyDescent="0.2">
      <c r="B148" s="94" t="s">
        <v>74</v>
      </c>
      <c r="C148" s="92">
        <f t="shared" si="81"/>
        <v>8187321.828844578</v>
      </c>
      <c r="D148" s="92">
        <f t="shared" ref="D148:P148" si="84">+D96-D98</f>
        <v>0</v>
      </c>
      <c r="E148" s="92">
        <f t="shared" si="84"/>
        <v>564436.74770638405</v>
      </c>
      <c r="F148" s="92">
        <f t="shared" si="84"/>
        <v>714364.59594596794</v>
      </c>
      <c r="G148" s="92">
        <f t="shared" si="84"/>
        <v>858990.91722073627</v>
      </c>
      <c r="H148" s="92">
        <f t="shared" si="84"/>
        <v>697292.49415510369</v>
      </c>
      <c r="I148" s="92">
        <f t="shared" si="84"/>
        <v>701939.51233810745</v>
      </c>
      <c r="J148" s="92">
        <f t="shared" si="84"/>
        <v>686200.83128720208</v>
      </c>
      <c r="K148" s="92">
        <f t="shared" si="84"/>
        <v>-13984.252196973423</v>
      </c>
      <c r="L148" s="92">
        <f t="shared" si="84"/>
        <v>1023189.445949019</v>
      </c>
      <c r="M148" s="92">
        <f t="shared" si="84"/>
        <v>685905.93803407182</v>
      </c>
      <c r="N148" s="92">
        <f t="shared" si="84"/>
        <v>972177.73806389957</v>
      </c>
      <c r="O148" s="92">
        <f t="shared" si="84"/>
        <v>815735.15962888754</v>
      </c>
      <c r="P148" s="92">
        <f t="shared" si="84"/>
        <v>481072.7007121715</v>
      </c>
    </row>
    <row r="149" spans="2:16" ht="13.5" x14ac:dyDescent="0.2">
      <c r="B149" s="113" t="s">
        <v>21</v>
      </c>
      <c r="C149" s="93">
        <f>+IFERROR(C148/C79,)</f>
        <v>5.5452681282086955E-2</v>
      </c>
      <c r="D149" s="93">
        <f>+IFERROR(D148/D79,)</f>
        <v>0</v>
      </c>
      <c r="E149" s="93">
        <f t="shared" ref="E149:P149" si="85">+IFERROR(E148/E79,)</f>
        <v>4.7600201266317047E-2</v>
      </c>
      <c r="F149" s="93">
        <f t="shared" si="85"/>
        <v>6.0020885170226607E-2</v>
      </c>
      <c r="G149" s="93">
        <f t="shared" si="85"/>
        <v>6.3171882777237467E-2</v>
      </c>
      <c r="H149" s="93">
        <f t="shared" si="85"/>
        <v>5.8744933120604859E-2</v>
      </c>
      <c r="I149" s="93">
        <f t="shared" si="85"/>
        <v>5.43510030753835E-2</v>
      </c>
      <c r="J149" s="93">
        <f t="shared" si="85"/>
        <v>5.447614390572348E-2</v>
      </c>
      <c r="K149" s="93">
        <f t="shared" si="85"/>
        <v>-1.6472250276797795E-3</v>
      </c>
      <c r="L149" s="93">
        <f t="shared" si="85"/>
        <v>7.0276449363395221E-2</v>
      </c>
      <c r="M149" s="93">
        <f t="shared" si="85"/>
        <v>5.3985775733289061E-2</v>
      </c>
      <c r="N149" s="93">
        <f t="shared" si="85"/>
        <v>6.8295078175037494E-2</v>
      </c>
      <c r="O149" s="93">
        <f t="shared" si="85"/>
        <v>6.2741650053382739E-2</v>
      </c>
      <c r="P149" s="93">
        <f t="shared" si="85"/>
        <v>4.8515966871682539E-2</v>
      </c>
    </row>
    <row r="150" spans="2:16" ht="13.5" x14ac:dyDescent="0.2">
      <c r="B150" s="3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2:16" ht="13.5" x14ac:dyDescent="0.2">
      <c r="B151" s="3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2:16" ht="17.25" x14ac:dyDescent="0.2">
      <c r="B152" s="115" t="s">
        <v>119</v>
      </c>
      <c r="C152" s="15"/>
      <c r="D152" s="15"/>
      <c r="E152" s="32"/>
      <c r="F152" s="32"/>
      <c r="G152" s="15"/>
      <c r="H152" s="15"/>
      <c r="I152" s="15"/>
      <c r="J152" s="15"/>
      <c r="K152" s="15"/>
      <c r="L152" s="15"/>
      <c r="M152" s="15"/>
      <c r="N152" s="32"/>
      <c r="O152" s="15"/>
      <c r="P152" s="15" t="s">
        <v>118</v>
      </c>
    </row>
    <row r="153" spans="2:16" ht="13.5" x14ac:dyDescent="0.2">
      <c r="B153" s="94" t="s">
        <v>75</v>
      </c>
      <c r="C153" s="92" t="s">
        <v>76</v>
      </c>
      <c r="D153" s="92" t="s">
        <v>77</v>
      </c>
      <c r="E153" s="92" t="s">
        <v>78</v>
      </c>
      <c r="F153" s="92" t="s">
        <v>79</v>
      </c>
      <c r="G153" s="92" t="s">
        <v>80</v>
      </c>
      <c r="H153" s="92" t="s">
        <v>81</v>
      </c>
      <c r="I153" s="92" t="s">
        <v>82</v>
      </c>
      <c r="J153" s="92" t="s">
        <v>83</v>
      </c>
      <c r="K153" s="92" t="s">
        <v>84</v>
      </c>
      <c r="L153" s="92" t="s">
        <v>85</v>
      </c>
      <c r="M153" s="92" t="s">
        <v>86</v>
      </c>
      <c r="N153" s="92" t="s">
        <v>87</v>
      </c>
      <c r="O153" s="92" t="s">
        <v>88</v>
      </c>
      <c r="P153" s="92" t="s">
        <v>89</v>
      </c>
    </row>
    <row r="154" spans="2:16" ht="13.5" x14ac:dyDescent="0.2">
      <c r="B154" s="95" t="s">
        <v>11</v>
      </c>
      <c r="C154" s="78">
        <f t="shared" ref="C154" si="86">SUM(C155:C158)</f>
        <v>25938088.780983888</v>
      </c>
      <c r="D154" s="78"/>
      <c r="E154" s="78">
        <f>SUM(E155:E158)</f>
        <v>2356438.8829448726</v>
      </c>
      <c r="F154" s="78">
        <f t="shared" ref="F154:G154" si="87">SUM(F155:F158)</f>
        <v>2866391.2589448723</v>
      </c>
      <c r="G154" s="78">
        <f t="shared" si="87"/>
        <v>2981448.7149448725</v>
      </c>
      <c r="H154" s="78">
        <f>SUM(H155:H158)</f>
        <v>2369348.8749448727</v>
      </c>
      <c r="I154" s="78">
        <f t="shared" ref="I154:O154" si="88">SUM(I155:I158)</f>
        <v>2336158.6423448725</v>
      </c>
      <c r="J154" s="78">
        <f t="shared" si="88"/>
        <v>3335467.5369115761</v>
      </c>
      <c r="K154" s="78">
        <f t="shared" si="88"/>
        <v>2294976.0234672534</v>
      </c>
      <c r="L154" s="78">
        <f t="shared" si="88"/>
        <v>2229710.2922672536</v>
      </c>
      <c r="M154" s="78">
        <f t="shared" si="88"/>
        <v>2437345.5434672534</v>
      </c>
      <c r="N154" s="78">
        <f t="shared" si="88"/>
        <v>1731518.593467254</v>
      </c>
      <c r="O154" s="78">
        <f t="shared" si="88"/>
        <v>660516.59846725373</v>
      </c>
      <c r="P154" s="78">
        <f>SUM(P155:P158)</f>
        <v>338767.81881168589</v>
      </c>
    </row>
    <row r="155" spans="2:16" ht="13.5" x14ac:dyDescent="0.2">
      <c r="B155" s="116" t="s">
        <v>109</v>
      </c>
      <c r="C155" s="81">
        <f>SUM(E155:P155)</f>
        <v>22016726.453199998</v>
      </c>
      <c r="D155" s="81"/>
      <c r="E155" s="81">
        <v>1711350.72</v>
      </c>
      <c r="F155" s="81">
        <v>2228403.0959999999</v>
      </c>
      <c r="G155" s="81">
        <v>2840060.5520000001</v>
      </c>
      <c r="H155" s="81">
        <v>2227960.7120000003</v>
      </c>
      <c r="I155" s="81">
        <v>2185810.4794000001</v>
      </c>
      <c r="J155" s="81">
        <v>2799998.96</v>
      </c>
      <c r="K155" s="81">
        <v>1706189.4</v>
      </c>
      <c r="L155" s="81">
        <v>2035523.6687999999</v>
      </c>
      <c r="M155" s="81">
        <v>2243158.92</v>
      </c>
      <c r="N155" s="81">
        <v>1537331.9700000002</v>
      </c>
      <c r="O155" s="81">
        <v>352329.97500000003</v>
      </c>
      <c r="P155" s="81">
        <v>148608</v>
      </c>
    </row>
    <row r="156" spans="2:16" ht="13.5" x14ac:dyDescent="0.2">
      <c r="B156" s="112" t="s">
        <v>106</v>
      </c>
      <c r="C156" s="81">
        <f t="shared" ref="C156:C158" si="89">SUM(E156:P156)</f>
        <v>3921362.3277838919</v>
      </c>
      <c r="D156" s="81"/>
      <c r="E156" s="81">
        <v>645088.16294487263</v>
      </c>
      <c r="F156" s="81">
        <v>637988.16294487251</v>
      </c>
      <c r="G156" s="81">
        <v>141388.16294487251</v>
      </c>
      <c r="H156" s="81">
        <v>141388.16294487251</v>
      </c>
      <c r="I156" s="81">
        <v>150348.16294487251</v>
      </c>
      <c r="J156" s="81">
        <v>535468.57691157586</v>
      </c>
      <c r="K156" s="81">
        <v>588786.62346725364</v>
      </c>
      <c r="L156" s="81">
        <v>194186.6234672537</v>
      </c>
      <c r="M156" s="81">
        <v>194186.6234672537</v>
      </c>
      <c r="N156" s="81">
        <v>194186.6234672537</v>
      </c>
      <c r="O156" s="81">
        <v>308186.6234672537</v>
      </c>
      <c r="P156" s="81">
        <v>190159.81881168589</v>
      </c>
    </row>
    <row r="157" spans="2:16" ht="13.5" x14ac:dyDescent="0.2">
      <c r="B157" s="112" t="s">
        <v>107</v>
      </c>
      <c r="C157" s="81">
        <f t="shared" si="89"/>
        <v>0</v>
      </c>
      <c r="D157" s="81"/>
      <c r="E157" s="81">
        <v>0</v>
      </c>
      <c r="F157" s="81">
        <v>0</v>
      </c>
      <c r="G157" s="81">
        <v>0</v>
      </c>
      <c r="H157" s="81">
        <v>0</v>
      </c>
      <c r="I157" s="81">
        <v>0</v>
      </c>
      <c r="J157" s="81">
        <v>0</v>
      </c>
      <c r="K157" s="81">
        <v>0</v>
      </c>
      <c r="L157" s="81">
        <v>0</v>
      </c>
      <c r="M157" s="81">
        <v>0</v>
      </c>
      <c r="N157" s="81">
        <v>0</v>
      </c>
      <c r="O157" s="81">
        <v>0</v>
      </c>
      <c r="P157" s="81">
        <v>0</v>
      </c>
    </row>
    <row r="158" spans="2:16" ht="13.5" x14ac:dyDescent="0.2">
      <c r="B158" s="116" t="s">
        <v>108</v>
      </c>
      <c r="C158" s="81">
        <f t="shared" si="89"/>
        <v>0</v>
      </c>
      <c r="D158" s="81"/>
      <c r="E158" s="81">
        <v>0</v>
      </c>
      <c r="F158" s="81">
        <v>0</v>
      </c>
      <c r="G158" s="81">
        <v>0</v>
      </c>
      <c r="H158" s="81">
        <v>0</v>
      </c>
      <c r="I158" s="81">
        <v>0</v>
      </c>
      <c r="J158" s="81">
        <v>0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</row>
    <row r="159" spans="2:16" ht="13.5" x14ac:dyDescent="0.2">
      <c r="B159" s="67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</row>
    <row r="160" spans="2:16" ht="13.5" x14ac:dyDescent="0.2">
      <c r="B160" s="95" t="s">
        <v>12</v>
      </c>
      <c r="C160" s="78">
        <f t="shared" ref="C160" si="90">SUM(C161:C164)</f>
        <v>30298543.872458965</v>
      </c>
      <c r="D160" s="78"/>
      <c r="E160" s="78">
        <f>SUM(E161:E164)</f>
        <v>2536500.4135218738</v>
      </c>
      <c r="F160" s="78">
        <f t="shared" ref="F160:G160" si="91">SUM(F161:F164)</f>
        <v>2662599.9384191325</v>
      </c>
      <c r="G160" s="78">
        <f t="shared" si="91"/>
        <v>2898076.169771784</v>
      </c>
      <c r="H160" s="78">
        <f>SUM(H161:H164)</f>
        <v>2702667.5083959801</v>
      </c>
      <c r="I160" s="78">
        <f t="shared" ref="I160:O160" si="92">SUM(I161:I164)</f>
        <v>3017889.1944190171</v>
      </c>
      <c r="J160" s="78">
        <f t="shared" si="92"/>
        <v>3471444.9670481002</v>
      </c>
      <c r="K160" s="78">
        <f t="shared" si="92"/>
        <v>3054291.1987628751</v>
      </c>
      <c r="L160" s="78">
        <f t="shared" si="92"/>
        <v>2672514.5531867607</v>
      </c>
      <c r="M160" s="78">
        <f t="shared" si="92"/>
        <v>2633489.7737843213</v>
      </c>
      <c r="N160" s="78">
        <f t="shared" si="92"/>
        <v>2356840.9585992778</v>
      </c>
      <c r="O160" s="78">
        <f t="shared" si="92"/>
        <v>1204008.8379937212</v>
      </c>
      <c r="P160" s="78">
        <f>SUM(P161:P164)</f>
        <v>1088220.3585561248</v>
      </c>
    </row>
    <row r="161" spans="2:16" ht="13.5" x14ac:dyDescent="0.2">
      <c r="B161" s="114" t="s">
        <v>115</v>
      </c>
      <c r="C161" s="81">
        <f>SUM(E161:P161)</f>
        <v>28517958.498274755</v>
      </c>
      <c r="D161" s="81"/>
      <c r="E161" s="81">
        <v>2255491.2156731896</v>
      </c>
      <c r="F161" s="81">
        <v>2589790.7405704483</v>
      </c>
      <c r="G161" s="81">
        <v>2813241.9719230998</v>
      </c>
      <c r="H161" s="81">
        <v>2421658.310547296</v>
      </c>
      <c r="I161" s="81">
        <v>2945079.9965703329</v>
      </c>
      <c r="J161" s="81">
        <v>3398635.769199416</v>
      </c>
      <c r="K161" s="81">
        <v>2760432.0009141909</v>
      </c>
      <c r="L161" s="81">
        <v>2599705.3553380766</v>
      </c>
      <c r="M161" s="81">
        <v>2560680.5759356371</v>
      </c>
      <c r="N161" s="81">
        <v>2062981.7607505934</v>
      </c>
      <c r="O161" s="81">
        <v>1094849.6401450371</v>
      </c>
      <c r="P161" s="81">
        <v>1015411.1607074407</v>
      </c>
    </row>
    <row r="162" spans="2:16" ht="13.5" x14ac:dyDescent="0.2">
      <c r="B162" s="114" t="s">
        <v>116</v>
      </c>
      <c r="C162" s="81">
        <f>SUM(E162:P162)</f>
        <v>0</v>
      </c>
      <c r="D162" s="81"/>
      <c r="E162" s="81">
        <v>0</v>
      </c>
      <c r="F162" s="81">
        <v>0</v>
      </c>
      <c r="G162" s="81">
        <v>0</v>
      </c>
      <c r="H162" s="81">
        <v>0</v>
      </c>
      <c r="I162" s="81">
        <v>0</v>
      </c>
      <c r="J162" s="81">
        <v>0</v>
      </c>
      <c r="K162" s="81">
        <v>0</v>
      </c>
      <c r="L162" s="81">
        <v>0</v>
      </c>
      <c r="M162" s="81">
        <v>0</v>
      </c>
      <c r="N162" s="81">
        <v>0</v>
      </c>
      <c r="O162" s="81">
        <v>0</v>
      </c>
      <c r="P162" s="81">
        <v>0</v>
      </c>
    </row>
    <row r="163" spans="2:16" ht="13.5" x14ac:dyDescent="0.2">
      <c r="B163" s="114" t="s">
        <v>117</v>
      </c>
      <c r="C163" s="81">
        <f>SUM(E163:P163)</f>
        <v>1780585.3741842103</v>
      </c>
      <c r="D163" s="81"/>
      <c r="E163" s="81">
        <v>281009.19784868415</v>
      </c>
      <c r="F163" s="81">
        <v>72809.197848684227</v>
      </c>
      <c r="G163" s="81">
        <v>84834.197848684227</v>
      </c>
      <c r="H163" s="81">
        <v>281009.19784868415</v>
      </c>
      <c r="I163" s="81">
        <v>72809.197848684227</v>
      </c>
      <c r="J163" s="81">
        <v>72809.197848684227</v>
      </c>
      <c r="K163" s="81">
        <v>293859.19784868415</v>
      </c>
      <c r="L163" s="81">
        <v>72809.197848684227</v>
      </c>
      <c r="M163" s="81">
        <v>72809.197848684227</v>
      </c>
      <c r="N163" s="81">
        <v>293859.19784868415</v>
      </c>
      <c r="O163" s="81">
        <v>109159.19784868423</v>
      </c>
      <c r="P163" s="81">
        <v>72809.197848684227</v>
      </c>
    </row>
    <row r="164" spans="2:16" ht="13.5" x14ac:dyDescent="0.2">
      <c r="B164" s="80"/>
      <c r="C164" s="81"/>
      <c r="D164" s="81"/>
      <c r="E164" s="81"/>
      <c r="F164" s="50"/>
      <c r="G164" s="81"/>
      <c r="H164" s="81"/>
      <c r="I164" s="81"/>
      <c r="J164" s="81"/>
      <c r="K164" s="81"/>
      <c r="L164" s="81"/>
      <c r="M164" s="81"/>
      <c r="N164" s="81"/>
      <c r="O164" s="81"/>
      <c r="P164" s="81"/>
    </row>
    <row r="165" spans="2:16" ht="13.5" x14ac:dyDescent="0.2">
      <c r="B165" s="95" t="s">
        <v>13</v>
      </c>
      <c r="C165" s="78">
        <f t="shared" ref="C165:P165" si="93">+C154-C160</f>
        <v>-4360455.091475077</v>
      </c>
      <c r="D165" s="78">
        <f t="shared" si="93"/>
        <v>0</v>
      </c>
      <c r="E165" s="78">
        <f t="shared" si="93"/>
        <v>-180061.53057700116</v>
      </c>
      <c r="F165" s="78">
        <f t="shared" si="93"/>
        <v>203791.32052573981</v>
      </c>
      <c r="G165" s="78">
        <f t="shared" si="93"/>
        <v>83372.545173088554</v>
      </c>
      <c r="H165" s="78">
        <f t="shared" si="93"/>
        <v>-333318.63345110742</v>
      </c>
      <c r="I165" s="78">
        <f t="shared" si="93"/>
        <v>-681730.55207414459</v>
      </c>
      <c r="J165" s="78">
        <f t="shared" si="93"/>
        <v>-135977.43013652414</v>
      </c>
      <c r="K165" s="78">
        <f t="shared" si="93"/>
        <v>-759315.17529562162</v>
      </c>
      <c r="L165" s="78">
        <f t="shared" si="93"/>
        <v>-442804.26091950713</v>
      </c>
      <c r="M165" s="78">
        <f t="shared" si="93"/>
        <v>-196144.23031706782</v>
      </c>
      <c r="N165" s="78">
        <f t="shared" si="93"/>
        <v>-625322.36513202381</v>
      </c>
      <c r="O165" s="78">
        <f t="shared" si="93"/>
        <v>-543492.23952646751</v>
      </c>
      <c r="P165" s="78">
        <f t="shared" si="93"/>
        <v>-749452.53974443895</v>
      </c>
    </row>
    <row r="166" spans="2:16" ht="13.5" x14ac:dyDescent="0.2">
      <c r="B166" s="96" t="s">
        <v>14</v>
      </c>
      <c r="C166" s="82">
        <f t="shared" ref="C166:P166" si="94">+IFERROR(C165/C154,)</f>
        <v>-0.16811011513970442</v>
      </c>
      <c r="D166" s="82">
        <f t="shared" si="94"/>
        <v>0</v>
      </c>
      <c r="E166" s="82">
        <f t="shared" si="94"/>
        <v>-7.6412561293325756E-2</v>
      </c>
      <c r="F166" s="82">
        <f t="shared" si="94"/>
        <v>7.1096825979282408E-2</v>
      </c>
      <c r="G166" s="82">
        <f t="shared" si="94"/>
        <v>2.7963769678537007E-2</v>
      </c>
      <c r="H166" s="82">
        <f t="shared" si="94"/>
        <v>-0.14067942335375272</v>
      </c>
      <c r="I166" s="82">
        <f t="shared" si="94"/>
        <v>-0.29181689107802677</v>
      </c>
      <c r="J166" s="82">
        <f t="shared" si="94"/>
        <v>-4.0767127436182549E-2</v>
      </c>
      <c r="K166" s="82">
        <f t="shared" si="94"/>
        <v>-0.3308597421198532</v>
      </c>
      <c r="L166" s="82">
        <f t="shared" si="94"/>
        <v>-0.19859273308069411</v>
      </c>
      <c r="M166" s="82">
        <f t="shared" si="94"/>
        <v>-8.047452723426414E-2</v>
      </c>
      <c r="N166" s="82">
        <f t="shared" si="94"/>
        <v>-0.36114100506414792</v>
      </c>
      <c r="O166" s="82">
        <f t="shared" si="94"/>
        <v>-0.82282904137103541</v>
      </c>
      <c r="P166" s="82">
        <f t="shared" si="94"/>
        <v>-2.212289651281913</v>
      </c>
    </row>
    <row r="167" spans="2:16" ht="13.5" x14ac:dyDescent="0.2">
      <c r="B167" s="95" t="s">
        <v>15</v>
      </c>
      <c r="C167" s="78">
        <f t="shared" ref="C167:C172" si="95">SUM(E167:P167)</f>
        <v>2245926.5919494512</v>
      </c>
      <c r="D167" s="78"/>
      <c r="E167" s="78">
        <f>+E168+E184+E202</f>
        <v>180603.0244501229</v>
      </c>
      <c r="F167" s="78">
        <f t="shared" ref="F167:P167" si="96">+F168+F184+F202</f>
        <v>173979.43597311058</v>
      </c>
      <c r="G167" s="78">
        <f t="shared" si="96"/>
        <v>177649.78631397086</v>
      </c>
      <c r="H167" s="78">
        <f t="shared" si="96"/>
        <v>173870.97388387559</v>
      </c>
      <c r="I167" s="78">
        <f t="shared" si="96"/>
        <v>179790.40135606792</v>
      </c>
      <c r="J167" s="78">
        <f t="shared" si="96"/>
        <v>201853.88814553185</v>
      </c>
      <c r="K167" s="78">
        <f t="shared" si="96"/>
        <v>190156.27490514211</v>
      </c>
      <c r="L167" s="78">
        <f t="shared" si="96"/>
        <v>192012.66353265525</v>
      </c>
      <c r="M167" s="78">
        <f t="shared" si="96"/>
        <v>182092.66353265525</v>
      </c>
      <c r="N167" s="78">
        <f t="shared" si="96"/>
        <v>183459.69365831575</v>
      </c>
      <c r="O167" s="78">
        <f t="shared" si="96"/>
        <v>184451.54473335683</v>
      </c>
      <c r="P167" s="78">
        <f t="shared" si="96"/>
        <v>226006.24146464647</v>
      </c>
    </row>
    <row r="168" spans="2:16" ht="16.5" hidden="1" outlineLevel="1" x14ac:dyDescent="0.2">
      <c r="B168" s="97" t="s">
        <v>16</v>
      </c>
      <c r="C168" s="98">
        <f t="shared" si="95"/>
        <v>0</v>
      </c>
      <c r="D168" s="98"/>
      <c r="E168" s="99">
        <f>SUM(E169:E182)</f>
        <v>0</v>
      </c>
      <c r="F168" s="99">
        <f t="shared" ref="F168:P168" si="97">SUM(F169:F182)</f>
        <v>0</v>
      </c>
      <c r="G168" s="98">
        <f t="shared" si="97"/>
        <v>0</v>
      </c>
      <c r="H168" s="99">
        <f t="shared" si="97"/>
        <v>0</v>
      </c>
      <c r="I168" s="99">
        <f t="shared" si="97"/>
        <v>0</v>
      </c>
      <c r="J168" s="99">
        <f t="shared" si="97"/>
        <v>0</v>
      </c>
      <c r="K168" s="99">
        <f t="shared" si="97"/>
        <v>0</v>
      </c>
      <c r="L168" s="99">
        <f t="shared" si="97"/>
        <v>0</v>
      </c>
      <c r="M168" s="99">
        <f t="shared" si="97"/>
        <v>0</v>
      </c>
      <c r="N168" s="99">
        <f t="shared" si="97"/>
        <v>0</v>
      </c>
      <c r="O168" s="99">
        <f t="shared" si="97"/>
        <v>0</v>
      </c>
      <c r="P168" s="99">
        <f t="shared" si="97"/>
        <v>0</v>
      </c>
    </row>
    <row r="169" spans="2:16" ht="13.5" hidden="1" outlineLevel="1" x14ac:dyDescent="0.2">
      <c r="B169" s="67" t="s">
        <v>19</v>
      </c>
      <c r="C169" s="81">
        <f t="shared" si="95"/>
        <v>0</v>
      </c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</row>
    <row r="170" spans="2:16" ht="13.5" hidden="1" outlineLevel="1" x14ac:dyDescent="0.2">
      <c r="B170" s="67" t="s">
        <v>43</v>
      </c>
      <c r="C170" s="81">
        <f t="shared" si="95"/>
        <v>0</v>
      </c>
      <c r="D170" s="80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</row>
    <row r="171" spans="2:16" ht="13.5" hidden="1" outlineLevel="1" x14ac:dyDescent="0.2">
      <c r="B171" s="67" t="s">
        <v>45</v>
      </c>
      <c r="C171" s="81">
        <f t="shared" si="95"/>
        <v>0</v>
      </c>
      <c r="D171" s="80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</row>
    <row r="172" spans="2:16" ht="13.5" hidden="1" outlineLevel="1" x14ac:dyDescent="0.2">
      <c r="B172" s="67" t="s">
        <v>47</v>
      </c>
      <c r="C172" s="81">
        <f t="shared" si="95"/>
        <v>0</v>
      </c>
      <c r="D172" s="80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</row>
    <row r="173" spans="2:16" ht="13.5" hidden="1" outlineLevel="1" x14ac:dyDescent="0.2">
      <c r="B173" s="67" t="s">
        <v>48</v>
      </c>
      <c r="C173" s="81">
        <f>SUM(E173:P173)</f>
        <v>0</v>
      </c>
      <c r="D173" s="80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</row>
    <row r="174" spans="2:16" ht="13.5" hidden="1" outlineLevel="1" x14ac:dyDescent="0.2">
      <c r="B174" s="67" t="s">
        <v>49</v>
      </c>
      <c r="C174" s="81">
        <f t="shared" ref="C174:C182" si="98">SUM(E174:P174)</f>
        <v>0</v>
      </c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</row>
    <row r="175" spans="2:16" ht="13.5" hidden="1" outlineLevel="1" x14ac:dyDescent="0.2">
      <c r="B175" s="67" t="s">
        <v>50</v>
      </c>
      <c r="C175" s="81">
        <f t="shared" si="98"/>
        <v>0</v>
      </c>
      <c r="D175" s="102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</row>
    <row r="176" spans="2:16" ht="13.5" hidden="1" outlineLevel="1" x14ac:dyDescent="0.2">
      <c r="B176" s="67" t="s">
        <v>51</v>
      </c>
      <c r="C176" s="81">
        <f t="shared" si="98"/>
        <v>0</v>
      </c>
      <c r="D176" s="80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</row>
    <row r="177" spans="2:16" ht="13.5" hidden="1" outlineLevel="1" x14ac:dyDescent="0.2">
      <c r="B177" s="67" t="s">
        <v>52</v>
      </c>
      <c r="C177" s="81">
        <f t="shared" si="98"/>
        <v>0</v>
      </c>
      <c r="D177" s="80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</row>
    <row r="178" spans="2:16" ht="13.5" hidden="1" outlineLevel="1" x14ac:dyDescent="0.2">
      <c r="B178" s="67" t="s">
        <v>53</v>
      </c>
      <c r="C178" s="81">
        <f t="shared" si="98"/>
        <v>0</v>
      </c>
      <c r="D178" s="80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</row>
    <row r="179" spans="2:16" ht="13.5" hidden="1" outlineLevel="1" x14ac:dyDescent="0.2">
      <c r="B179" s="67" t="s">
        <v>54</v>
      </c>
      <c r="C179" s="81">
        <f t="shared" si="98"/>
        <v>0</v>
      </c>
      <c r="D179" s="102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</row>
    <row r="180" spans="2:16" ht="13.5" hidden="1" outlineLevel="1" x14ac:dyDescent="0.2">
      <c r="B180" s="67" t="s">
        <v>55</v>
      </c>
      <c r="C180" s="81">
        <f t="shared" si="98"/>
        <v>0</v>
      </c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</row>
    <row r="181" spans="2:16" ht="13.5" hidden="1" outlineLevel="1" x14ac:dyDescent="0.2">
      <c r="B181" s="67" t="s">
        <v>56</v>
      </c>
      <c r="C181" s="81">
        <f t="shared" si="98"/>
        <v>0</v>
      </c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</row>
    <row r="182" spans="2:16" ht="13.5" hidden="1" outlineLevel="1" x14ac:dyDescent="0.2">
      <c r="B182" s="67" t="s">
        <v>57</v>
      </c>
      <c r="C182" s="81">
        <f t="shared" si="98"/>
        <v>0</v>
      </c>
      <c r="D182" s="80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</row>
    <row r="183" spans="2:16" ht="13.5" hidden="1" outlineLevel="1" x14ac:dyDescent="0.2">
      <c r="B183" s="106"/>
      <c r="C183" s="81"/>
      <c r="D183" s="81"/>
      <c r="E183" s="107"/>
      <c r="F183" s="107"/>
      <c r="G183" s="81"/>
      <c r="H183" s="81"/>
      <c r="I183" s="81"/>
      <c r="J183" s="81"/>
      <c r="K183" s="81"/>
      <c r="L183" s="81"/>
      <c r="M183" s="108"/>
      <c r="N183" s="103"/>
      <c r="O183" s="81"/>
      <c r="P183" s="81"/>
    </row>
    <row r="184" spans="2:16" ht="16.5" collapsed="1" x14ac:dyDescent="0.2">
      <c r="B184" s="97" t="s">
        <v>17</v>
      </c>
      <c r="C184" s="109">
        <f t="shared" ref="C184:C204" si="99">SUM(E184:P184)</f>
        <v>2245926.5919494512</v>
      </c>
      <c r="D184" s="109"/>
      <c r="E184" s="110">
        <f>SUM(E185:E200)</f>
        <v>180603.0244501229</v>
      </c>
      <c r="F184" s="110">
        <f t="shared" ref="F184:K184" si="100">SUM(F185:F200)</f>
        <v>173979.43597311058</v>
      </c>
      <c r="G184" s="109">
        <f t="shared" si="100"/>
        <v>177649.78631397086</v>
      </c>
      <c r="H184" s="110">
        <f t="shared" si="100"/>
        <v>173870.97388387559</v>
      </c>
      <c r="I184" s="110">
        <f t="shared" si="100"/>
        <v>179790.40135606792</v>
      </c>
      <c r="J184" s="110">
        <f t="shared" si="100"/>
        <v>201853.88814553185</v>
      </c>
      <c r="K184" s="110">
        <f t="shared" si="100"/>
        <v>190156.27490514211</v>
      </c>
      <c r="L184" s="110">
        <f>SUM(L185:L200)</f>
        <v>192012.66353265525</v>
      </c>
      <c r="M184" s="111">
        <f t="shared" ref="M184:P184" si="101">SUM(M185:M200)</f>
        <v>182092.66353265525</v>
      </c>
      <c r="N184" s="111">
        <f t="shared" si="101"/>
        <v>183459.69365831575</v>
      </c>
      <c r="O184" s="110">
        <f t="shared" si="101"/>
        <v>184451.54473335683</v>
      </c>
      <c r="P184" s="110">
        <f t="shared" si="101"/>
        <v>226006.24146464647</v>
      </c>
    </row>
    <row r="185" spans="2:16" ht="13.5" x14ac:dyDescent="0.2">
      <c r="B185" s="112" t="s">
        <v>58</v>
      </c>
      <c r="C185" s="81">
        <f t="shared" si="99"/>
        <v>1813265.7201</v>
      </c>
      <c r="D185" s="80"/>
      <c r="E185" s="81">
        <v>132581.94230000002</v>
      </c>
      <c r="F185" s="81">
        <v>132581.94230000002</v>
      </c>
      <c r="G185" s="81">
        <v>144858.27563333337</v>
      </c>
      <c r="H185" s="81">
        <v>144858.27563333337</v>
      </c>
      <c r="I185" s="81">
        <v>144858.27563333337</v>
      </c>
      <c r="J185" s="81">
        <v>152024.94230000005</v>
      </c>
      <c r="K185" s="81">
        <v>152024.94230000005</v>
      </c>
      <c r="L185" s="81">
        <v>161944.94230000005</v>
      </c>
      <c r="M185" s="81">
        <v>152024.94230000005</v>
      </c>
      <c r="N185" s="81">
        <v>152024.94230000005</v>
      </c>
      <c r="O185" s="81">
        <v>152024.94230000005</v>
      </c>
      <c r="P185" s="81">
        <v>191457.35479999997</v>
      </c>
    </row>
    <row r="186" spans="2:16" ht="13.5" x14ac:dyDescent="0.2">
      <c r="B186" s="112" t="s">
        <v>59</v>
      </c>
      <c r="C186" s="81">
        <f t="shared" si="99"/>
        <v>19824.480523757436</v>
      </c>
      <c r="D186" s="80"/>
      <c r="E186" s="81">
        <v>1652.0400436464533</v>
      </c>
      <c r="F186" s="81">
        <v>1652.0400436464511</v>
      </c>
      <c r="G186" s="81">
        <v>1652.0400436464533</v>
      </c>
      <c r="H186" s="81">
        <v>1652.0400436464533</v>
      </c>
      <c r="I186" s="81">
        <v>1652.0400436464533</v>
      </c>
      <c r="J186" s="81">
        <v>1652.0400436464533</v>
      </c>
      <c r="K186" s="81">
        <v>1652.040043646452</v>
      </c>
      <c r="L186" s="81">
        <v>1652.0400436464533</v>
      </c>
      <c r="M186" s="81">
        <v>1652.0400436464533</v>
      </c>
      <c r="N186" s="81">
        <v>1652.0400436464529</v>
      </c>
      <c r="O186" s="81">
        <v>1652.0400436464543</v>
      </c>
      <c r="P186" s="81">
        <v>1652.0400436464529</v>
      </c>
    </row>
    <row r="187" spans="2:16" ht="13.5" x14ac:dyDescent="0.2">
      <c r="B187" s="112" t="s">
        <v>60</v>
      </c>
      <c r="C187" s="81">
        <f t="shared" si="99"/>
        <v>145878.09058848268</v>
      </c>
      <c r="D187" s="80"/>
      <c r="E187" s="81">
        <v>11663.528407260157</v>
      </c>
      <c r="F187" s="81">
        <v>11847.663679350484</v>
      </c>
      <c r="G187" s="81">
        <v>11717.467884238002</v>
      </c>
      <c r="H187" s="81">
        <v>12100.437061910208</v>
      </c>
      <c r="I187" s="81">
        <v>12035.182140721343</v>
      </c>
      <c r="J187" s="81">
        <v>12178.748197293884</v>
      </c>
      <c r="K187" s="81">
        <v>12362.883469384222</v>
      </c>
      <c r="L187" s="81">
        <v>12362.88346938424</v>
      </c>
      <c r="M187" s="81">
        <v>12362.88346938424</v>
      </c>
      <c r="N187" s="81">
        <v>12362.883469384233</v>
      </c>
      <c r="O187" s="81">
        <v>12441.764670085842</v>
      </c>
      <c r="P187" s="81">
        <v>12441.764670085831</v>
      </c>
    </row>
    <row r="188" spans="2:16" ht="13.5" x14ac:dyDescent="0.2">
      <c r="B188" s="112" t="s">
        <v>61</v>
      </c>
      <c r="C188" s="81">
        <f t="shared" si="99"/>
        <v>39275.308179260785</v>
      </c>
      <c r="D188" s="80"/>
      <c r="E188" s="81">
        <v>3201.910595843623</v>
      </c>
      <c r="F188" s="81">
        <v>3030.2992233566929</v>
      </c>
      <c r="G188" s="81">
        <v>3197.9118752860559</v>
      </c>
      <c r="H188" s="81">
        <v>3369.5232477729805</v>
      </c>
      <c r="I188" s="81">
        <v>3197.9118752860559</v>
      </c>
      <c r="J188" s="81">
        <v>3276.3612309630753</v>
      </c>
      <c r="K188" s="81">
        <v>3447.9726034499981</v>
      </c>
      <c r="L188" s="81">
        <v>3276.3612309630753</v>
      </c>
      <c r="M188" s="81">
        <v>3276.3612309630753</v>
      </c>
      <c r="N188" s="81">
        <v>3447.9726034500018</v>
      </c>
      <c r="O188" s="81">
        <v>3276.3612309630771</v>
      </c>
      <c r="P188" s="81">
        <v>3276.3612309630716</v>
      </c>
    </row>
    <row r="189" spans="2:16" ht="13.5" x14ac:dyDescent="0.2">
      <c r="B189" s="112" t="s">
        <v>62</v>
      </c>
      <c r="C189" s="81">
        <f t="shared" si="99"/>
        <v>0</v>
      </c>
      <c r="D189" s="80"/>
      <c r="E189" s="81">
        <v>0</v>
      </c>
      <c r="F189" s="81">
        <v>0</v>
      </c>
      <c r="G189" s="81">
        <v>0</v>
      </c>
      <c r="H189" s="81">
        <v>0</v>
      </c>
      <c r="I189" s="81">
        <v>0</v>
      </c>
      <c r="J189" s="81">
        <v>0</v>
      </c>
      <c r="K189" s="81">
        <v>0</v>
      </c>
      <c r="L189" s="81">
        <v>0</v>
      </c>
      <c r="M189" s="81">
        <v>0</v>
      </c>
      <c r="N189" s="81">
        <v>0</v>
      </c>
      <c r="O189" s="81">
        <v>0</v>
      </c>
      <c r="P189" s="81">
        <v>0</v>
      </c>
    </row>
    <row r="190" spans="2:16" ht="13.5" x14ac:dyDescent="0.2">
      <c r="B190" s="112" t="s">
        <v>63</v>
      </c>
      <c r="C190" s="81">
        <f t="shared" si="99"/>
        <v>0</v>
      </c>
      <c r="D190" s="81"/>
      <c r="E190" s="81">
        <v>0</v>
      </c>
      <c r="F190" s="81">
        <v>0</v>
      </c>
      <c r="G190" s="81">
        <v>0</v>
      </c>
      <c r="H190" s="81">
        <v>0</v>
      </c>
      <c r="I190" s="81">
        <v>0</v>
      </c>
      <c r="J190" s="81">
        <v>0</v>
      </c>
      <c r="K190" s="81">
        <v>0</v>
      </c>
      <c r="L190" s="81">
        <v>0</v>
      </c>
      <c r="M190" s="81">
        <v>0</v>
      </c>
      <c r="N190" s="81">
        <v>0</v>
      </c>
      <c r="O190" s="81">
        <v>0</v>
      </c>
      <c r="P190" s="81">
        <v>0</v>
      </c>
    </row>
    <row r="191" spans="2:16" ht="13.5" x14ac:dyDescent="0.2">
      <c r="B191" s="112" t="s">
        <v>64</v>
      </c>
      <c r="C191" s="81">
        <f t="shared" si="99"/>
        <v>0</v>
      </c>
      <c r="D191" s="81"/>
      <c r="E191" s="81">
        <v>0</v>
      </c>
      <c r="F191" s="81">
        <v>0</v>
      </c>
      <c r="G191" s="81">
        <v>0</v>
      </c>
      <c r="H191" s="81">
        <v>0</v>
      </c>
      <c r="I191" s="81">
        <v>0</v>
      </c>
      <c r="J191" s="81">
        <v>0</v>
      </c>
      <c r="K191" s="81">
        <v>0</v>
      </c>
      <c r="L191" s="81">
        <v>0</v>
      </c>
      <c r="M191" s="81">
        <v>0</v>
      </c>
      <c r="N191" s="81">
        <v>0</v>
      </c>
      <c r="O191" s="81">
        <v>0</v>
      </c>
      <c r="P191" s="81">
        <v>0</v>
      </c>
    </row>
    <row r="192" spans="2:16" ht="13.5" x14ac:dyDescent="0.2">
      <c r="B192" s="112" t="s">
        <v>65</v>
      </c>
      <c r="C192" s="81">
        <f t="shared" si="99"/>
        <v>160711.58033643576</v>
      </c>
      <c r="D192" s="80"/>
      <c r="E192" s="81">
        <v>25901.002055110854</v>
      </c>
      <c r="F192" s="81">
        <v>19264.889678495114</v>
      </c>
      <c r="G192" s="81">
        <v>10528.308431668747</v>
      </c>
      <c r="H192" s="81">
        <v>6194.9154514143502</v>
      </c>
      <c r="I192" s="81">
        <v>12351.209217282483</v>
      </c>
      <c r="J192" s="81">
        <v>27196.244546828977</v>
      </c>
      <c r="K192" s="81">
        <v>15142.884661861968</v>
      </c>
      <c r="L192" s="81">
        <v>7250.8846618619737</v>
      </c>
      <c r="M192" s="81">
        <v>7250.8846618619737</v>
      </c>
      <c r="N192" s="81">
        <v>8446.3034150355961</v>
      </c>
      <c r="O192" s="81">
        <v>9530.8846618619737</v>
      </c>
      <c r="P192" s="81">
        <v>11653.168893151716</v>
      </c>
    </row>
    <row r="193" spans="2:16" ht="13.5" x14ac:dyDescent="0.2">
      <c r="B193" s="112" t="s">
        <v>66</v>
      </c>
      <c r="C193" s="81">
        <f t="shared" si="99"/>
        <v>28559.768663370327</v>
      </c>
      <c r="D193" s="80"/>
      <c r="E193" s="81">
        <v>2379.980721947526</v>
      </c>
      <c r="F193" s="81">
        <v>2379.980721947526</v>
      </c>
      <c r="G193" s="81">
        <v>2379.9807219475297</v>
      </c>
      <c r="H193" s="81">
        <v>2379.9807219475279</v>
      </c>
      <c r="I193" s="81">
        <v>2379.9807219475279</v>
      </c>
      <c r="J193" s="81">
        <v>2379.9807219475279</v>
      </c>
      <c r="K193" s="81">
        <v>2379.980721947526</v>
      </c>
      <c r="L193" s="81">
        <v>2379.9807219475279</v>
      </c>
      <c r="M193" s="81">
        <v>2379.9807219475279</v>
      </c>
      <c r="N193" s="81">
        <v>2379.980721947526</v>
      </c>
      <c r="O193" s="81">
        <v>2379.9807219475297</v>
      </c>
      <c r="P193" s="81">
        <v>2379.9807219475279</v>
      </c>
    </row>
    <row r="194" spans="2:16" ht="13.5" x14ac:dyDescent="0.2">
      <c r="B194" s="112" t="s">
        <v>67</v>
      </c>
      <c r="C194" s="81">
        <f t="shared" si="99"/>
        <v>0</v>
      </c>
      <c r="D194" s="80"/>
      <c r="E194" s="81">
        <v>0</v>
      </c>
      <c r="F194" s="81">
        <v>0</v>
      </c>
      <c r="G194" s="81">
        <v>0</v>
      </c>
      <c r="H194" s="81">
        <v>0</v>
      </c>
      <c r="I194" s="81">
        <v>0</v>
      </c>
      <c r="J194" s="81">
        <v>0</v>
      </c>
      <c r="K194" s="81">
        <v>0</v>
      </c>
      <c r="L194" s="81">
        <v>0</v>
      </c>
      <c r="M194" s="81">
        <v>0</v>
      </c>
      <c r="N194" s="81">
        <v>0</v>
      </c>
      <c r="O194" s="81">
        <v>0</v>
      </c>
      <c r="P194" s="81">
        <v>0</v>
      </c>
    </row>
    <row r="195" spans="2:16" ht="13.5" x14ac:dyDescent="0.2">
      <c r="B195" s="112" t="s">
        <v>68</v>
      </c>
      <c r="C195" s="81">
        <f t="shared" si="99"/>
        <v>0</v>
      </c>
      <c r="D195" s="81"/>
      <c r="E195" s="81">
        <v>0</v>
      </c>
      <c r="F195" s="81">
        <v>0</v>
      </c>
      <c r="G195" s="81">
        <v>0</v>
      </c>
      <c r="H195" s="81">
        <v>0</v>
      </c>
      <c r="I195" s="81">
        <v>0</v>
      </c>
      <c r="J195" s="81">
        <v>0</v>
      </c>
      <c r="K195" s="81">
        <v>0</v>
      </c>
      <c r="L195" s="81">
        <v>0</v>
      </c>
      <c r="M195" s="81">
        <v>0</v>
      </c>
      <c r="N195" s="81">
        <v>0</v>
      </c>
      <c r="O195" s="81">
        <v>0</v>
      </c>
      <c r="P195" s="81">
        <v>0</v>
      </c>
    </row>
    <row r="196" spans="2:16" ht="13.5" x14ac:dyDescent="0.2">
      <c r="B196" s="112" t="s">
        <v>69</v>
      </c>
      <c r="C196" s="81">
        <f t="shared" si="99"/>
        <v>0</v>
      </c>
      <c r="D196" s="81"/>
      <c r="E196" s="81">
        <v>0</v>
      </c>
      <c r="F196" s="81">
        <v>0</v>
      </c>
      <c r="G196" s="81">
        <v>0</v>
      </c>
      <c r="H196" s="81">
        <v>0</v>
      </c>
      <c r="I196" s="81">
        <v>0</v>
      </c>
      <c r="J196" s="81">
        <v>0</v>
      </c>
      <c r="K196" s="81">
        <v>0</v>
      </c>
      <c r="L196" s="81">
        <v>0</v>
      </c>
      <c r="M196" s="81">
        <v>0</v>
      </c>
      <c r="N196" s="81">
        <v>0</v>
      </c>
      <c r="O196" s="81">
        <v>0</v>
      </c>
      <c r="P196" s="81">
        <v>0</v>
      </c>
    </row>
    <row r="197" spans="2:16" ht="13.5" x14ac:dyDescent="0.2">
      <c r="B197" s="112" t="s">
        <v>70</v>
      </c>
      <c r="C197" s="81">
        <f t="shared" si="99"/>
        <v>0</v>
      </c>
      <c r="D197" s="81"/>
      <c r="E197" s="81">
        <v>0</v>
      </c>
      <c r="F197" s="81">
        <v>0</v>
      </c>
      <c r="G197" s="81">
        <v>0</v>
      </c>
      <c r="H197" s="81">
        <v>0</v>
      </c>
      <c r="I197" s="81">
        <v>0</v>
      </c>
      <c r="J197" s="81">
        <v>0</v>
      </c>
      <c r="K197" s="81">
        <v>0</v>
      </c>
      <c r="L197" s="81">
        <v>0</v>
      </c>
      <c r="M197" s="81">
        <v>0</v>
      </c>
      <c r="N197" s="81">
        <v>0</v>
      </c>
      <c r="O197" s="81">
        <v>0</v>
      </c>
      <c r="P197" s="81">
        <v>0</v>
      </c>
    </row>
    <row r="198" spans="2:16" ht="13.5" x14ac:dyDescent="0.2">
      <c r="B198" s="112" t="s">
        <v>71</v>
      </c>
      <c r="C198" s="81">
        <f t="shared" si="99"/>
        <v>38411.643558143987</v>
      </c>
      <c r="D198" s="80"/>
      <c r="E198" s="81">
        <v>3222.6203263142679</v>
      </c>
      <c r="F198" s="81">
        <v>3222.6203263142634</v>
      </c>
      <c r="G198" s="81">
        <v>3315.8017238507109</v>
      </c>
      <c r="H198" s="81">
        <v>3315.8017238507127</v>
      </c>
      <c r="I198" s="81">
        <v>3315.8017238507127</v>
      </c>
      <c r="J198" s="81">
        <v>3145.571104851902</v>
      </c>
      <c r="K198" s="81">
        <v>3145.5711048518997</v>
      </c>
      <c r="L198" s="81">
        <v>3145.5711048519033</v>
      </c>
      <c r="M198" s="81">
        <v>3145.5711048519033</v>
      </c>
      <c r="N198" s="81">
        <v>3145.571104851902</v>
      </c>
      <c r="O198" s="81">
        <v>3145.5711048519051</v>
      </c>
      <c r="P198" s="81">
        <v>3145.5711048519029</v>
      </c>
    </row>
    <row r="199" spans="2:16" ht="13.5" x14ac:dyDescent="0.2">
      <c r="B199" s="112" t="s">
        <v>72</v>
      </c>
      <c r="C199" s="81">
        <f t="shared" si="99"/>
        <v>0</v>
      </c>
      <c r="D199" s="81"/>
      <c r="E199" s="81">
        <v>0</v>
      </c>
      <c r="F199" s="81">
        <v>0</v>
      </c>
      <c r="G199" s="81">
        <v>0</v>
      </c>
      <c r="H199" s="81">
        <v>0</v>
      </c>
      <c r="I199" s="81">
        <v>0</v>
      </c>
      <c r="J199" s="81">
        <v>0</v>
      </c>
      <c r="K199" s="81">
        <v>0</v>
      </c>
      <c r="L199" s="81">
        <v>0</v>
      </c>
      <c r="M199" s="81">
        <v>0</v>
      </c>
      <c r="N199" s="81">
        <v>0</v>
      </c>
      <c r="O199" s="81">
        <v>0</v>
      </c>
      <c r="P199" s="81">
        <v>0</v>
      </c>
    </row>
    <row r="200" spans="2:16" ht="13.5" hidden="1" outlineLevel="1" x14ac:dyDescent="0.2">
      <c r="B200" s="112"/>
      <c r="C200" s="81"/>
      <c r="D200" s="81"/>
      <c r="E200" s="80"/>
      <c r="F200" s="80"/>
      <c r="G200" s="81"/>
      <c r="H200" s="81"/>
      <c r="I200" s="81"/>
      <c r="J200" s="81"/>
      <c r="K200" s="81"/>
      <c r="L200" s="81"/>
      <c r="M200" s="103"/>
      <c r="N200" s="104"/>
      <c r="O200" s="81"/>
      <c r="P200" s="81"/>
    </row>
    <row r="201" spans="2:16" ht="13.5" hidden="1" outlineLevel="1" x14ac:dyDescent="0.2">
      <c r="B201" s="106"/>
      <c r="C201" s="81"/>
      <c r="D201" s="81"/>
      <c r="E201" s="107"/>
      <c r="F201" s="107"/>
      <c r="G201" s="81"/>
      <c r="H201" s="81"/>
      <c r="I201" s="81"/>
      <c r="J201" s="81"/>
      <c r="K201" s="81"/>
      <c r="L201" s="81"/>
      <c r="M201" s="108"/>
      <c r="N201" s="108"/>
      <c r="O201" s="81"/>
      <c r="P201" s="81"/>
    </row>
    <row r="202" spans="2:16" ht="16.5" hidden="1" outlineLevel="1" x14ac:dyDescent="0.2">
      <c r="B202" s="97" t="s">
        <v>18</v>
      </c>
      <c r="C202" s="109">
        <f t="shared" si="99"/>
        <v>0</v>
      </c>
      <c r="D202" s="109"/>
      <c r="E202" s="110">
        <f>SUM(E203:E216)</f>
        <v>0</v>
      </c>
      <c r="F202" s="110">
        <f t="shared" ref="F202" si="102">SUM(F203:F216)</f>
        <v>0</v>
      </c>
      <c r="G202" s="109">
        <f>SUM(G203:G216)</f>
        <v>0</v>
      </c>
      <c r="H202" s="110">
        <f t="shared" ref="H202:K202" si="103">SUM(H203:H216)</f>
        <v>0</v>
      </c>
      <c r="I202" s="110">
        <f t="shared" si="103"/>
        <v>0</v>
      </c>
      <c r="J202" s="110">
        <f t="shared" si="103"/>
        <v>0</v>
      </c>
      <c r="K202" s="110">
        <f t="shared" si="103"/>
        <v>0</v>
      </c>
      <c r="L202" s="110">
        <f>SUM(L203:L216)</f>
        <v>0</v>
      </c>
      <c r="M202" s="111">
        <f t="shared" ref="M202:P202" si="104">SUM(M203:M216)</f>
        <v>0</v>
      </c>
      <c r="N202" s="111">
        <f t="shared" si="104"/>
        <v>0</v>
      </c>
      <c r="O202" s="110">
        <f t="shared" si="104"/>
        <v>0</v>
      </c>
      <c r="P202" s="110">
        <f t="shared" si="104"/>
        <v>0</v>
      </c>
    </row>
    <row r="203" spans="2:16" ht="13.5" hidden="1" outlineLevel="1" x14ac:dyDescent="0.2">
      <c r="B203" s="112" t="s">
        <v>58</v>
      </c>
      <c r="C203" s="81">
        <f t="shared" si="99"/>
        <v>0</v>
      </c>
      <c r="D203" s="80"/>
      <c r="E203" s="80"/>
      <c r="F203" s="102"/>
      <c r="G203" s="80"/>
      <c r="H203" s="102"/>
      <c r="I203" s="102"/>
      <c r="J203" s="102"/>
      <c r="K203" s="102"/>
      <c r="L203" s="102"/>
      <c r="M203" s="104"/>
      <c r="N203" s="104"/>
      <c r="O203" s="80"/>
      <c r="P203" s="80"/>
    </row>
    <row r="204" spans="2:16" ht="13.5" hidden="1" outlineLevel="1" x14ac:dyDescent="0.2">
      <c r="B204" s="112" t="s">
        <v>73</v>
      </c>
      <c r="C204" s="81">
        <f t="shared" si="99"/>
        <v>0</v>
      </c>
      <c r="D204" s="80"/>
      <c r="E204" s="80"/>
      <c r="F204" s="102"/>
      <c r="G204" s="80"/>
      <c r="H204" s="102"/>
      <c r="I204" s="102"/>
      <c r="J204" s="102"/>
      <c r="K204" s="102"/>
      <c r="L204" s="102"/>
      <c r="M204" s="104"/>
      <c r="N204" s="104"/>
      <c r="O204" s="80"/>
      <c r="P204" s="80"/>
    </row>
    <row r="205" spans="2:16" ht="13.5" hidden="1" outlineLevel="1" x14ac:dyDescent="0.2">
      <c r="B205" s="112" t="s">
        <v>60</v>
      </c>
      <c r="C205" s="81">
        <f t="shared" ref="C205:C212" si="105">SUM(E205:P205)</f>
        <v>0</v>
      </c>
      <c r="D205" s="80"/>
      <c r="E205" s="80"/>
      <c r="F205" s="102"/>
      <c r="G205" s="80"/>
      <c r="H205" s="102"/>
      <c r="I205" s="102"/>
      <c r="J205" s="102"/>
      <c r="K205" s="102"/>
      <c r="L205" s="102"/>
      <c r="M205" s="104"/>
      <c r="N205" s="104"/>
      <c r="O205" s="80"/>
      <c r="P205" s="80"/>
    </row>
    <row r="206" spans="2:16" ht="13.5" hidden="1" outlineLevel="1" x14ac:dyDescent="0.2">
      <c r="B206" s="112" t="s">
        <v>61</v>
      </c>
      <c r="C206" s="81">
        <f t="shared" si="105"/>
        <v>0</v>
      </c>
      <c r="D206" s="80"/>
      <c r="E206" s="80"/>
      <c r="F206" s="102"/>
      <c r="G206" s="80"/>
      <c r="H206" s="102"/>
      <c r="I206" s="102"/>
      <c r="J206" s="102"/>
      <c r="K206" s="102"/>
      <c r="L206" s="102"/>
      <c r="M206" s="104"/>
      <c r="N206" s="104"/>
      <c r="O206" s="80"/>
      <c r="P206" s="80"/>
    </row>
    <row r="207" spans="2:16" ht="13.5" hidden="1" outlineLevel="1" x14ac:dyDescent="0.2">
      <c r="B207" s="112" t="s">
        <v>62</v>
      </c>
      <c r="C207" s="81">
        <f t="shared" si="105"/>
        <v>0</v>
      </c>
      <c r="D207" s="80"/>
      <c r="E207" s="80"/>
      <c r="F207" s="102"/>
      <c r="G207" s="80"/>
      <c r="H207" s="102"/>
      <c r="I207" s="102"/>
      <c r="J207" s="102"/>
      <c r="K207" s="102"/>
      <c r="L207" s="102"/>
      <c r="M207" s="104"/>
      <c r="N207" s="104"/>
      <c r="O207" s="80"/>
      <c r="P207" s="80"/>
    </row>
    <row r="208" spans="2:16" ht="13.5" hidden="1" outlineLevel="1" x14ac:dyDescent="0.2">
      <c r="B208" s="112" t="s">
        <v>63</v>
      </c>
      <c r="C208" s="81">
        <f t="shared" si="105"/>
        <v>0</v>
      </c>
      <c r="D208" s="81"/>
      <c r="E208" s="80"/>
      <c r="F208" s="80"/>
      <c r="G208" s="81"/>
      <c r="H208" s="81"/>
      <c r="I208" s="81"/>
      <c r="J208" s="81"/>
      <c r="K208" s="81"/>
      <c r="L208" s="81"/>
      <c r="M208" s="103"/>
      <c r="N208" s="104"/>
      <c r="O208" s="81"/>
      <c r="P208" s="81"/>
    </row>
    <row r="209" spans="2:16" ht="13.5" hidden="1" outlineLevel="1" x14ac:dyDescent="0.2">
      <c r="B209" s="112" t="s">
        <v>64</v>
      </c>
      <c r="C209" s="81">
        <f t="shared" si="105"/>
        <v>0</v>
      </c>
      <c r="D209" s="81"/>
      <c r="E209" s="80"/>
      <c r="F209" s="80"/>
      <c r="G209" s="81"/>
      <c r="H209" s="81"/>
      <c r="I209" s="81"/>
      <c r="J209" s="81"/>
      <c r="K209" s="81"/>
      <c r="L209" s="81"/>
      <c r="M209" s="103"/>
      <c r="N209" s="104"/>
      <c r="O209" s="81"/>
      <c r="P209" s="81"/>
    </row>
    <row r="210" spans="2:16" ht="13.5" hidden="1" outlineLevel="1" x14ac:dyDescent="0.2">
      <c r="B210" s="112" t="s">
        <v>65</v>
      </c>
      <c r="C210" s="81">
        <f t="shared" si="105"/>
        <v>0</v>
      </c>
      <c r="D210" s="80"/>
      <c r="E210" s="80"/>
      <c r="F210" s="102"/>
      <c r="G210" s="80"/>
      <c r="H210" s="102"/>
      <c r="I210" s="102"/>
      <c r="J210" s="102"/>
      <c r="K210" s="102"/>
      <c r="L210" s="102"/>
      <c r="M210" s="104"/>
      <c r="N210" s="104"/>
      <c r="O210" s="80"/>
      <c r="P210" s="80"/>
    </row>
    <row r="211" spans="2:16" ht="13.5" hidden="1" outlineLevel="1" x14ac:dyDescent="0.2">
      <c r="B211" s="112" t="s">
        <v>66</v>
      </c>
      <c r="C211" s="81">
        <f t="shared" si="105"/>
        <v>0</v>
      </c>
      <c r="D211" s="80"/>
      <c r="E211" s="80"/>
      <c r="F211" s="102"/>
      <c r="G211" s="80"/>
      <c r="H211" s="102"/>
      <c r="I211" s="102"/>
      <c r="J211" s="102"/>
      <c r="K211" s="102"/>
      <c r="L211" s="102"/>
      <c r="M211" s="104"/>
      <c r="N211" s="104"/>
      <c r="O211" s="80"/>
      <c r="P211" s="80"/>
    </row>
    <row r="212" spans="2:16" ht="13.5" hidden="1" outlineLevel="1" x14ac:dyDescent="0.2">
      <c r="B212" s="112" t="s">
        <v>67</v>
      </c>
      <c r="C212" s="81">
        <f t="shared" si="105"/>
        <v>0</v>
      </c>
      <c r="D212" s="80"/>
      <c r="E212" s="80"/>
      <c r="F212" s="102"/>
      <c r="G212" s="80"/>
      <c r="H212" s="102"/>
      <c r="I212" s="102"/>
      <c r="J212" s="102"/>
      <c r="K212" s="102"/>
      <c r="L212" s="102"/>
      <c r="M212" s="104"/>
      <c r="N212" s="104"/>
      <c r="O212" s="80"/>
      <c r="P212" s="80"/>
    </row>
    <row r="213" spans="2:16" ht="13.5" hidden="1" outlineLevel="1" x14ac:dyDescent="0.2">
      <c r="B213" s="112" t="s">
        <v>68</v>
      </c>
      <c r="C213" s="81">
        <f t="shared" ref="C213:C217" si="106">SUM(E213:P213)</f>
        <v>0</v>
      </c>
      <c r="D213" s="80"/>
      <c r="E213" s="80"/>
      <c r="F213" s="102"/>
      <c r="G213" s="80"/>
      <c r="H213" s="102"/>
      <c r="I213" s="102"/>
      <c r="J213" s="102"/>
      <c r="K213" s="102"/>
      <c r="L213" s="102"/>
      <c r="M213" s="104"/>
      <c r="N213" s="104"/>
      <c r="O213" s="80"/>
      <c r="P213" s="80"/>
    </row>
    <row r="214" spans="2:16" ht="13.5" hidden="1" outlineLevel="1" x14ac:dyDescent="0.2">
      <c r="B214" s="112" t="s">
        <v>69</v>
      </c>
      <c r="C214" s="81">
        <f t="shared" si="106"/>
        <v>0</v>
      </c>
      <c r="D214" s="81"/>
      <c r="E214" s="80"/>
      <c r="F214" s="80"/>
      <c r="G214" s="81"/>
      <c r="H214" s="81"/>
      <c r="I214" s="81"/>
      <c r="J214" s="81"/>
      <c r="K214" s="81"/>
      <c r="L214" s="81"/>
      <c r="M214" s="103"/>
      <c r="N214" s="104"/>
      <c r="O214" s="81"/>
      <c r="P214" s="81"/>
    </row>
    <row r="215" spans="2:16" ht="13.5" hidden="1" outlineLevel="1" x14ac:dyDescent="0.2">
      <c r="B215" s="112" t="s">
        <v>70</v>
      </c>
      <c r="C215" s="81">
        <f t="shared" si="106"/>
        <v>0</v>
      </c>
      <c r="D215" s="81"/>
      <c r="E215" s="80"/>
      <c r="F215" s="80"/>
      <c r="G215" s="81"/>
      <c r="H215" s="81"/>
      <c r="I215" s="81"/>
      <c r="J215" s="81"/>
      <c r="K215" s="81"/>
      <c r="L215" s="81"/>
      <c r="M215" s="103"/>
      <c r="N215" s="104"/>
      <c r="O215" s="81"/>
      <c r="P215" s="81"/>
    </row>
    <row r="216" spans="2:16" ht="13.5" hidden="1" outlineLevel="1" x14ac:dyDescent="0.2">
      <c r="B216" s="112" t="s">
        <v>71</v>
      </c>
      <c r="C216" s="81">
        <f t="shared" si="106"/>
        <v>0</v>
      </c>
      <c r="D216" s="80"/>
      <c r="E216" s="80"/>
      <c r="F216" s="80"/>
      <c r="G216" s="80"/>
      <c r="H216" s="80"/>
      <c r="I216" s="102"/>
      <c r="J216" s="102"/>
      <c r="K216" s="102"/>
      <c r="L216" s="102"/>
      <c r="M216" s="104"/>
      <c r="N216" s="104"/>
      <c r="O216" s="80"/>
      <c r="P216" s="80"/>
    </row>
    <row r="217" spans="2:16" ht="13.5" collapsed="1" x14ac:dyDescent="0.2">
      <c r="B217" s="94" t="s">
        <v>74</v>
      </c>
      <c r="C217" s="92">
        <f t="shared" si="106"/>
        <v>-6606381.6834245268</v>
      </c>
      <c r="D217" s="92">
        <f t="shared" ref="D217:P217" si="107">+D165-D167</f>
        <v>0</v>
      </c>
      <c r="E217" s="92">
        <f t="shared" si="107"/>
        <v>-360664.55502712406</v>
      </c>
      <c r="F217" s="92">
        <f t="shared" si="107"/>
        <v>29811.884552629228</v>
      </c>
      <c r="G217" s="92">
        <f t="shared" si="107"/>
        <v>-94277.24114088231</v>
      </c>
      <c r="H217" s="92">
        <f t="shared" si="107"/>
        <v>-507189.60733498301</v>
      </c>
      <c r="I217" s="92">
        <f t="shared" si="107"/>
        <v>-861520.95343021257</v>
      </c>
      <c r="J217" s="92">
        <f t="shared" si="107"/>
        <v>-337831.31828205602</v>
      </c>
      <c r="K217" s="92">
        <f t="shared" si="107"/>
        <v>-949471.45020076376</v>
      </c>
      <c r="L217" s="92">
        <f t="shared" si="107"/>
        <v>-634816.92445216235</v>
      </c>
      <c r="M217" s="92">
        <f t="shared" si="107"/>
        <v>-378236.89384972304</v>
      </c>
      <c r="N217" s="92">
        <f t="shared" si="107"/>
        <v>-808782.05879033962</v>
      </c>
      <c r="O217" s="92">
        <f t="shared" si="107"/>
        <v>-727943.78425982432</v>
      </c>
      <c r="P217" s="92">
        <f t="shared" si="107"/>
        <v>-975458.78120908537</v>
      </c>
    </row>
    <row r="218" spans="2:16" ht="13.5" x14ac:dyDescent="0.2">
      <c r="B218" s="113" t="s">
        <v>21</v>
      </c>
      <c r="C218" s="93">
        <f t="shared" ref="C218:P218" si="108">+IFERROR(C217/C154,)</f>
        <v>-0.25469809048798903</v>
      </c>
      <c r="D218" s="93">
        <f t="shared" si="108"/>
        <v>0</v>
      </c>
      <c r="E218" s="93">
        <f t="shared" si="108"/>
        <v>-0.15305491588918141</v>
      </c>
      <c r="F218" s="93">
        <f t="shared" si="108"/>
        <v>1.040049381241941E-2</v>
      </c>
      <c r="G218" s="93">
        <f t="shared" si="108"/>
        <v>-3.1621285540920502E-2</v>
      </c>
      <c r="H218" s="93">
        <f t="shared" si="108"/>
        <v>-0.21406286456939935</v>
      </c>
      <c r="I218" s="93">
        <f t="shared" si="108"/>
        <v>-0.36877673365772717</v>
      </c>
      <c r="J218" s="93">
        <f t="shared" si="108"/>
        <v>-0.101284546931872</v>
      </c>
      <c r="K218" s="93">
        <f t="shared" si="108"/>
        <v>-0.41371737242217493</v>
      </c>
      <c r="L218" s="93">
        <f t="shared" si="108"/>
        <v>-0.2847082540963905</v>
      </c>
      <c r="M218" s="93">
        <f t="shared" si="108"/>
        <v>-0.15518394380456246</v>
      </c>
      <c r="N218" s="93">
        <f t="shared" si="108"/>
        <v>-0.46709406519903773</v>
      </c>
      <c r="O218" s="93">
        <f t="shared" si="108"/>
        <v>-1.102082500196115</v>
      </c>
      <c r="P218" s="93">
        <f t="shared" si="108"/>
        <v>-2.8794316550809183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A18F-36CF-4188-9ADA-7F1E8E6B46E5}">
  <dimension ref="B1:AN213"/>
  <sheetViews>
    <sheetView topLeftCell="A178" workbookViewId="0">
      <selection activeCell="A43" sqref="A43"/>
    </sheetView>
  </sheetViews>
  <sheetFormatPr defaultRowHeight="12.75" outlineLevelCol="1" x14ac:dyDescent="0.2"/>
  <cols>
    <col min="9" max="11" width="12.85546875" bestFit="1" customWidth="1"/>
    <col min="12" max="16" width="0" hidden="1" customWidth="1"/>
    <col min="17" max="19" width="12.85546875" bestFit="1" customWidth="1"/>
    <col min="20" max="22" width="11.7109375" customWidth="1" outlineLevel="1"/>
    <col min="23" max="23" width="12.42578125" customWidth="1" outlineLevel="1"/>
    <col min="24" max="24" width="12.28515625" customWidth="1" outlineLevel="1"/>
    <col min="25" max="27" width="12.85546875" bestFit="1" customWidth="1"/>
    <col min="28" max="31" width="11.7109375" customWidth="1" outlineLevel="1"/>
    <col min="32" max="32" width="10" customWidth="1" outlineLevel="1"/>
    <col min="33" max="33" width="16.140625" bestFit="1" customWidth="1"/>
    <col min="34" max="35" width="12.85546875" bestFit="1" customWidth="1"/>
    <col min="36" max="40" width="8.85546875" customWidth="1" outlineLevel="1"/>
  </cols>
  <sheetData>
    <row r="1" spans="2:40" ht="13.5" x14ac:dyDescent="0.25">
      <c r="T1" t="s">
        <v>301</v>
      </c>
      <c r="U1" t="s">
        <v>301</v>
      </c>
      <c r="V1" t="s">
        <v>301</v>
      </c>
      <c r="W1" t="s">
        <v>301</v>
      </c>
      <c r="X1" t="s">
        <v>301</v>
      </c>
      <c r="AB1" t="s">
        <v>302</v>
      </c>
      <c r="AC1" t="s">
        <v>302</v>
      </c>
      <c r="AD1" t="s">
        <v>302</v>
      </c>
      <c r="AE1" t="s">
        <v>302</v>
      </c>
      <c r="AF1" t="s">
        <v>302</v>
      </c>
      <c r="AJ1" t="s">
        <v>303</v>
      </c>
      <c r="AK1" t="s">
        <v>303</v>
      </c>
      <c r="AL1" t="s">
        <v>303</v>
      </c>
      <c r="AM1" t="s">
        <v>303</v>
      </c>
      <c r="AN1" t="s">
        <v>303</v>
      </c>
    </row>
    <row r="2" spans="2:40" ht="13.5" x14ac:dyDescent="0.25">
      <c r="B2" s="194"/>
      <c r="C2" s="195"/>
      <c r="D2" s="196"/>
      <c r="E2" s="196"/>
      <c r="F2" s="196"/>
      <c r="G2" s="196"/>
      <c r="H2" s="197"/>
      <c r="I2" s="660" t="s">
        <v>159</v>
      </c>
      <c r="J2" s="660"/>
      <c r="K2" s="660"/>
      <c r="L2" s="660"/>
      <c r="M2" s="660"/>
      <c r="N2" s="660"/>
      <c r="O2" s="660"/>
      <c r="P2" s="661"/>
      <c r="Q2" s="662" t="s">
        <v>160</v>
      </c>
      <c r="R2" s="663"/>
      <c r="S2" s="663"/>
      <c r="T2" s="663"/>
      <c r="U2" s="663"/>
      <c r="V2" s="663"/>
      <c r="W2" s="663"/>
      <c r="X2" s="664"/>
      <c r="Y2" s="665" t="s">
        <v>79</v>
      </c>
      <c r="Z2" s="665"/>
      <c r="AA2" s="665"/>
      <c r="AB2" s="665"/>
      <c r="AC2" s="665"/>
      <c r="AD2" s="665"/>
      <c r="AE2" s="665"/>
      <c r="AF2" s="665"/>
      <c r="AG2" s="664" t="s">
        <v>80</v>
      </c>
      <c r="AH2" s="665"/>
      <c r="AI2" s="665"/>
      <c r="AJ2" s="665"/>
      <c r="AK2" s="665"/>
      <c r="AL2" s="665"/>
      <c r="AM2" s="665"/>
      <c r="AN2" s="665"/>
    </row>
    <row r="3" spans="2:40" ht="13.5" x14ac:dyDescent="0.25">
      <c r="B3" s="198"/>
      <c r="C3" s="199"/>
      <c r="D3" s="199"/>
      <c r="E3" s="199"/>
      <c r="F3" s="199"/>
      <c r="G3" s="199"/>
      <c r="H3" s="199"/>
      <c r="I3" s="200" t="s">
        <v>161</v>
      </c>
      <c r="J3" s="201" t="s">
        <v>110</v>
      </c>
      <c r="K3" s="201" t="s">
        <v>162</v>
      </c>
      <c r="L3" s="202" t="s">
        <v>163</v>
      </c>
      <c r="M3" s="203" t="s">
        <v>164</v>
      </c>
      <c r="N3" s="203" t="s">
        <v>165</v>
      </c>
      <c r="O3" s="203" t="s">
        <v>166</v>
      </c>
      <c r="P3" s="204" t="s">
        <v>167</v>
      </c>
      <c r="Q3" s="205" t="s">
        <v>161</v>
      </c>
      <c r="R3" s="205" t="s">
        <v>110</v>
      </c>
      <c r="S3" s="205" t="s">
        <v>162</v>
      </c>
      <c r="T3" s="203" t="s">
        <v>163</v>
      </c>
      <c r="U3" s="203" t="s">
        <v>164</v>
      </c>
      <c r="V3" s="203" t="s">
        <v>165</v>
      </c>
      <c r="W3" s="203" t="s">
        <v>166</v>
      </c>
      <c r="X3" s="204" t="s">
        <v>167</v>
      </c>
      <c r="Y3" s="206" t="s">
        <v>161</v>
      </c>
      <c r="Z3" s="206" t="s">
        <v>110</v>
      </c>
      <c r="AA3" s="206" t="s">
        <v>162</v>
      </c>
      <c r="AB3" s="202" t="s">
        <v>163</v>
      </c>
      <c r="AC3" s="203" t="s">
        <v>164</v>
      </c>
      <c r="AD3" s="203" t="s">
        <v>165</v>
      </c>
      <c r="AE3" s="203" t="s">
        <v>166</v>
      </c>
      <c r="AF3" s="204" t="s">
        <v>167</v>
      </c>
      <c r="AG3" s="207" t="s">
        <v>161</v>
      </c>
      <c r="AH3" s="206" t="s">
        <v>110</v>
      </c>
      <c r="AI3" s="206" t="s">
        <v>162</v>
      </c>
      <c r="AJ3" s="202" t="s">
        <v>163</v>
      </c>
      <c r="AK3" s="203" t="s">
        <v>164</v>
      </c>
      <c r="AL3" s="203" t="s">
        <v>165</v>
      </c>
      <c r="AM3" s="203" t="s">
        <v>166</v>
      </c>
      <c r="AN3" s="203" t="s">
        <v>167</v>
      </c>
    </row>
    <row r="4" spans="2:40" ht="13.5" x14ac:dyDescent="0.25">
      <c r="B4" s="194"/>
      <c r="C4" s="208"/>
      <c r="D4" s="208"/>
      <c r="E4" s="208" t="s">
        <v>168</v>
      </c>
      <c r="F4" s="208"/>
      <c r="G4" s="208"/>
      <c r="H4" s="208"/>
      <c r="I4" s="209">
        <v>41546472.789999992</v>
      </c>
      <c r="J4" s="210">
        <v>31061042.525999989</v>
      </c>
      <c r="K4" s="211">
        <v>10485430.264000002</v>
      </c>
      <c r="L4" s="210">
        <v>0</v>
      </c>
      <c r="M4" s="210">
        <v>469463.79000000004</v>
      </c>
      <c r="N4" s="210">
        <v>6684337.7040000008</v>
      </c>
      <c r="O4" s="210">
        <v>3331628.7700000005</v>
      </c>
      <c r="P4" s="210">
        <v>0</v>
      </c>
      <c r="Q4" s="212">
        <v>13920599.189999999</v>
      </c>
      <c r="R4" s="210">
        <v>10586212.539999999</v>
      </c>
      <c r="S4" s="211">
        <v>3334386.6500000004</v>
      </c>
      <c r="T4" s="210">
        <v>0</v>
      </c>
      <c r="U4" s="210">
        <v>156939.69</v>
      </c>
      <c r="V4" s="210">
        <v>2348251.7600000002</v>
      </c>
      <c r="W4" s="210">
        <v>829195.2</v>
      </c>
      <c r="X4" s="210">
        <v>0</v>
      </c>
      <c r="Y4" s="212">
        <v>13044126.07</v>
      </c>
      <c r="Z4" s="210">
        <v>9320986.6099999994</v>
      </c>
      <c r="AA4" s="211">
        <v>3723139.4600000009</v>
      </c>
      <c r="AB4" s="210">
        <v>0</v>
      </c>
      <c r="AC4" s="210">
        <v>61723.219999999994</v>
      </c>
      <c r="AD4" s="210">
        <v>2462638.0200000005</v>
      </c>
      <c r="AE4" s="210">
        <v>1198778.2200000002</v>
      </c>
      <c r="AF4" s="211">
        <v>0</v>
      </c>
      <c r="AG4" s="210">
        <v>14581747.530000001</v>
      </c>
      <c r="AH4" s="210">
        <v>11153843.376000002</v>
      </c>
      <c r="AI4" s="211">
        <v>3427904.1540000001</v>
      </c>
      <c r="AJ4" s="210">
        <v>0</v>
      </c>
      <c r="AK4" s="210">
        <v>250800.88</v>
      </c>
      <c r="AL4" s="210">
        <v>1873447.9239999999</v>
      </c>
      <c r="AM4" s="210">
        <v>1303655.3500000001</v>
      </c>
      <c r="AN4" s="210">
        <v>0</v>
      </c>
    </row>
    <row r="5" spans="2:40" ht="13.5" x14ac:dyDescent="0.25">
      <c r="B5" s="213" t="s">
        <v>169</v>
      </c>
      <c r="C5" s="214"/>
      <c r="D5" s="214"/>
      <c r="E5" s="214"/>
      <c r="F5" s="215" t="s">
        <v>170</v>
      </c>
      <c r="G5" s="215"/>
      <c r="H5" s="215"/>
      <c r="I5" s="216">
        <v>31061042.525999989</v>
      </c>
      <c r="J5" s="216">
        <v>31061042.525999989</v>
      </c>
      <c r="K5" s="217"/>
      <c r="L5" s="216">
        <v>0</v>
      </c>
      <c r="M5" s="216">
        <v>0</v>
      </c>
      <c r="N5" s="216">
        <v>0</v>
      </c>
      <c r="O5" s="216">
        <v>0</v>
      </c>
      <c r="P5" s="216">
        <v>0</v>
      </c>
      <c r="Q5" s="218">
        <v>10586212.539999999</v>
      </c>
      <c r="R5" s="216">
        <v>10586212.539999999</v>
      </c>
      <c r="S5" s="219">
        <v>0</v>
      </c>
      <c r="T5" s="216">
        <v>0</v>
      </c>
      <c r="U5" s="216">
        <v>0</v>
      </c>
      <c r="V5" s="216">
        <v>0</v>
      </c>
      <c r="W5" s="216">
        <v>0</v>
      </c>
      <c r="X5" s="216">
        <v>0</v>
      </c>
      <c r="Y5" s="218">
        <v>9320986.6099999994</v>
      </c>
      <c r="Z5" s="216">
        <v>9320986.6099999994</v>
      </c>
      <c r="AA5" s="219">
        <v>0</v>
      </c>
      <c r="AB5" s="216">
        <v>0</v>
      </c>
      <c r="AC5" s="216">
        <v>0</v>
      </c>
      <c r="AD5" s="216">
        <v>0</v>
      </c>
      <c r="AE5" s="216">
        <v>0</v>
      </c>
      <c r="AF5" s="219">
        <v>0</v>
      </c>
      <c r="AG5" s="216">
        <v>11153843.376000002</v>
      </c>
      <c r="AH5" s="216">
        <v>11153843.376000002</v>
      </c>
      <c r="AI5" s="219">
        <v>0</v>
      </c>
      <c r="AJ5" s="216">
        <v>0</v>
      </c>
      <c r="AK5" s="216">
        <v>0</v>
      </c>
      <c r="AL5" s="216">
        <v>0</v>
      </c>
      <c r="AM5" s="216">
        <v>0</v>
      </c>
      <c r="AN5" s="216">
        <v>0</v>
      </c>
    </row>
    <row r="6" spans="2:40" ht="13.5" x14ac:dyDescent="0.25">
      <c r="B6" s="213" t="s">
        <v>169</v>
      </c>
      <c r="C6" s="191"/>
      <c r="D6" s="191"/>
      <c r="E6" s="191"/>
      <c r="F6" s="191"/>
      <c r="G6" s="220" t="s">
        <v>171</v>
      </c>
      <c r="H6" s="220"/>
      <c r="I6" s="221">
        <v>21825934.715999998</v>
      </c>
      <c r="J6" s="221">
        <v>21825934.715999998</v>
      </c>
      <c r="K6" s="222"/>
      <c r="L6" s="223">
        <v>0</v>
      </c>
      <c r="M6" s="223">
        <v>0</v>
      </c>
      <c r="N6" s="223">
        <v>0</v>
      </c>
      <c r="O6" s="223">
        <v>0</v>
      </c>
      <c r="P6" s="223">
        <v>0</v>
      </c>
      <c r="Q6" s="224">
        <v>7605616.2199999997</v>
      </c>
      <c r="R6" s="223">
        <v>7605616.2199999997</v>
      </c>
      <c r="S6" s="225">
        <v>0</v>
      </c>
      <c r="T6" s="223">
        <v>0</v>
      </c>
      <c r="U6" s="223">
        <v>0</v>
      </c>
      <c r="V6" s="223">
        <v>0</v>
      </c>
      <c r="W6" s="223">
        <v>0</v>
      </c>
      <c r="X6" s="223">
        <v>0</v>
      </c>
      <c r="Y6" s="224">
        <v>6481956.5799999991</v>
      </c>
      <c r="Z6" s="223">
        <v>6481956.5799999991</v>
      </c>
      <c r="AA6" s="225">
        <v>0</v>
      </c>
      <c r="AB6" s="223"/>
      <c r="AC6" s="223"/>
      <c r="AD6" s="223"/>
      <c r="AE6" s="223"/>
      <c r="AF6" s="225"/>
      <c r="AG6" s="223">
        <v>7738361.9160000011</v>
      </c>
      <c r="AH6" s="223">
        <v>7738361.9160000011</v>
      </c>
      <c r="AI6" s="225">
        <v>0</v>
      </c>
      <c r="AJ6" s="223"/>
      <c r="AK6" s="223"/>
      <c r="AL6" s="223"/>
      <c r="AM6" s="223"/>
      <c r="AN6" s="223"/>
    </row>
    <row r="7" spans="2:40" ht="13.5" x14ac:dyDescent="0.25">
      <c r="B7" s="213" t="s">
        <v>169</v>
      </c>
      <c r="C7" s="191" t="s">
        <v>99</v>
      </c>
      <c r="D7" s="191"/>
      <c r="E7" s="191"/>
      <c r="F7" s="191"/>
      <c r="G7" s="191" t="s">
        <v>172</v>
      </c>
      <c r="H7" s="191"/>
      <c r="I7" s="226">
        <v>13604888.515999999</v>
      </c>
      <c r="J7" s="226">
        <v>13604888.515999999</v>
      </c>
      <c r="K7" s="227"/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8">
        <v>4669059.8599999994</v>
      </c>
      <c r="R7" s="226">
        <v>4669059.8599999994</v>
      </c>
      <c r="S7" s="229">
        <v>0</v>
      </c>
      <c r="T7" s="226">
        <v>0</v>
      </c>
      <c r="U7" s="226">
        <v>0</v>
      </c>
      <c r="V7" s="226">
        <v>0</v>
      </c>
      <c r="W7" s="226">
        <v>0</v>
      </c>
      <c r="X7" s="226">
        <v>0</v>
      </c>
      <c r="Y7" s="228">
        <v>3719948.59</v>
      </c>
      <c r="Z7" s="226">
        <v>3719948.59</v>
      </c>
      <c r="AA7" s="229">
        <v>0</v>
      </c>
      <c r="AB7" s="226"/>
      <c r="AC7" s="226"/>
      <c r="AD7" s="226"/>
      <c r="AE7" s="226"/>
      <c r="AF7" s="229"/>
      <c r="AG7" s="226">
        <v>5215880.0660000006</v>
      </c>
      <c r="AH7" s="226">
        <v>5215880.0660000006</v>
      </c>
      <c r="AI7" s="229">
        <v>0</v>
      </c>
      <c r="AJ7" s="226"/>
      <c r="AK7" s="226"/>
      <c r="AL7" s="226"/>
      <c r="AM7" s="226"/>
      <c r="AN7" s="226"/>
    </row>
    <row r="8" spans="2:40" ht="13.5" x14ac:dyDescent="0.25">
      <c r="B8" s="213" t="s">
        <v>169</v>
      </c>
      <c r="C8" s="191" t="s">
        <v>100</v>
      </c>
      <c r="D8" s="191"/>
      <c r="E8" s="191"/>
      <c r="F8" s="191"/>
      <c r="G8" s="191" t="s">
        <v>173</v>
      </c>
      <c r="H8" s="191"/>
      <c r="I8" s="226">
        <v>5365780.66</v>
      </c>
      <c r="J8" s="226">
        <v>5365780.66</v>
      </c>
      <c r="K8" s="227"/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8">
        <v>1954757.12</v>
      </c>
      <c r="R8" s="226">
        <v>1954757.12</v>
      </c>
      <c r="S8" s="229">
        <v>0</v>
      </c>
      <c r="T8" s="226">
        <v>0</v>
      </c>
      <c r="U8" s="226">
        <v>0</v>
      </c>
      <c r="V8" s="226">
        <v>0</v>
      </c>
      <c r="W8" s="226">
        <v>0</v>
      </c>
      <c r="X8" s="226">
        <v>0</v>
      </c>
      <c r="Y8" s="228">
        <v>2019438.69</v>
      </c>
      <c r="Z8" s="226">
        <v>2019438.69</v>
      </c>
      <c r="AA8" s="229">
        <v>0</v>
      </c>
      <c r="AB8" s="226"/>
      <c r="AC8" s="226"/>
      <c r="AD8" s="226"/>
      <c r="AE8" s="226"/>
      <c r="AF8" s="229"/>
      <c r="AG8" s="226">
        <v>1391584.85</v>
      </c>
      <c r="AH8" s="226">
        <v>1391584.85</v>
      </c>
      <c r="AI8" s="229">
        <v>0</v>
      </c>
      <c r="AJ8" s="226"/>
      <c r="AK8" s="226"/>
      <c r="AL8" s="226"/>
      <c r="AM8" s="226"/>
      <c r="AN8" s="226"/>
    </row>
    <row r="9" spans="2:40" ht="13.5" x14ac:dyDescent="0.25">
      <c r="B9" s="213" t="s">
        <v>169</v>
      </c>
      <c r="C9" s="191" t="s">
        <v>101</v>
      </c>
      <c r="D9" s="191"/>
      <c r="E9" s="191"/>
      <c r="F9" s="191"/>
      <c r="G9" s="191" t="s">
        <v>174</v>
      </c>
      <c r="H9" s="191"/>
      <c r="I9" s="226">
        <v>2855265.54</v>
      </c>
      <c r="J9" s="226">
        <v>2855265.54</v>
      </c>
      <c r="K9" s="227"/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8">
        <v>981799.24</v>
      </c>
      <c r="R9" s="226">
        <v>981799.24</v>
      </c>
      <c r="S9" s="229">
        <v>0</v>
      </c>
      <c r="T9" s="226">
        <v>0</v>
      </c>
      <c r="U9" s="226">
        <v>0</v>
      </c>
      <c r="V9" s="226">
        <v>0</v>
      </c>
      <c r="W9" s="226">
        <v>0</v>
      </c>
      <c r="X9" s="226">
        <v>0</v>
      </c>
      <c r="Y9" s="228">
        <v>742569.3</v>
      </c>
      <c r="Z9" s="226">
        <v>742569.3</v>
      </c>
      <c r="AA9" s="229">
        <v>0</v>
      </c>
      <c r="AB9" s="226"/>
      <c r="AC9" s="226"/>
      <c r="AD9" s="226"/>
      <c r="AE9" s="226"/>
      <c r="AF9" s="229"/>
      <c r="AG9" s="226">
        <v>1130897</v>
      </c>
      <c r="AH9" s="226">
        <v>1130897</v>
      </c>
      <c r="AI9" s="229">
        <v>0</v>
      </c>
      <c r="AJ9" s="226"/>
      <c r="AK9" s="226"/>
      <c r="AL9" s="226"/>
      <c r="AM9" s="226"/>
      <c r="AN9" s="226"/>
    </row>
    <row r="10" spans="2:40" ht="13.5" x14ac:dyDescent="0.25">
      <c r="B10" s="213" t="s">
        <v>169</v>
      </c>
      <c r="C10" s="191"/>
      <c r="D10" s="191"/>
      <c r="E10" s="191"/>
      <c r="F10" s="191"/>
      <c r="G10" s="191" t="s">
        <v>175</v>
      </c>
      <c r="H10" s="191"/>
      <c r="I10" s="226">
        <v>0</v>
      </c>
      <c r="J10" s="226">
        <v>0</v>
      </c>
      <c r="K10" s="227"/>
      <c r="L10" s="226">
        <v>0</v>
      </c>
      <c r="M10" s="226">
        <v>0</v>
      </c>
      <c r="N10" s="226">
        <v>0</v>
      </c>
      <c r="O10" s="226">
        <v>0</v>
      </c>
      <c r="P10" s="226">
        <v>0</v>
      </c>
      <c r="Q10" s="228">
        <v>0</v>
      </c>
      <c r="R10" s="226"/>
      <c r="S10" s="229">
        <v>0</v>
      </c>
      <c r="T10" s="226">
        <v>0</v>
      </c>
      <c r="U10" s="226">
        <v>0</v>
      </c>
      <c r="V10" s="226">
        <v>0</v>
      </c>
      <c r="W10" s="226">
        <v>0</v>
      </c>
      <c r="X10" s="226">
        <v>0</v>
      </c>
      <c r="Y10" s="228">
        <v>0</v>
      </c>
      <c r="Z10" s="226"/>
      <c r="AA10" s="229">
        <v>0</v>
      </c>
      <c r="AB10" s="226"/>
      <c r="AC10" s="226"/>
      <c r="AD10" s="226"/>
      <c r="AE10" s="226"/>
      <c r="AF10" s="229"/>
      <c r="AG10" s="226">
        <v>0</v>
      </c>
      <c r="AH10" s="226"/>
      <c r="AI10" s="229">
        <v>0</v>
      </c>
      <c r="AJ10" s="226"/>
      <c r="AK10" s="226"/>
      <c r="AL10" s="226"/>
      <c r="AM10" s="226"/>
      <c r="AN10" s="226"/>
    </row>
    <row r="11" spans="2:40" ht="13.5" x14ac:dyDescent="0.25">
      <c r="B11" s="213" t="s">
        <v>169</v>
      </c>
      <c r="C11" s="191" t="s">
        <v>102</v>
      </c>
      <c r="D11" s="191"/>
      <c r="E11" s="191"/>
      <c r="F11" s="191"/>
      <c r="G11" s="220" t="s">
        <v>176</v>
      </c>
      <c r="H11" s="220"/>
      <c r="I11" s="221">
        <v>4581226.4699999988</v>
      </c>
      <c r="J11" s="221">
        <v>4581226.4699999988</v>
      </c>
      <c r="K11" s="222"/>
      <c r="L11" s="223">
        <v>0</v>
      </c>
      <c r="M11" s="223">
        <v>0</v>
      </c>
      <c r="N11" s="223">
        <v>0</v>
      </c>
      <c r="O11" s="223">
        <v>0</v>
      </c>
      <c r="P11" s="223">
        <v>0</v>
      </c>
      <c r="Q11" s="224">
        <v>1305969.1099999999</v>
      </c>
      <c r="R11" s="223">
        <v>1305969.1099999999</v>
      </c>
      <c r="S11" s="225">
        <v>0</v>
      </c>
      <c r="T11" s="223">
        <v>0</v>
      </c>
      <c r="U11" s="223">
        <v>0</v>
      </c>
      <c r="V11" s="223">
        <v>0</v>
      </c>
      <c r="W11" s="223">
        <v>0</v>
      </c>
      <c r="X11" s="223">
        <v>0</v>
      </c>
      <c r="Y11" s="224">
        <v>1615135.8399999996</v>
      </c>
      <c r="Z11" s="223">
        <v>1615135.8399999996</v>
      </c>
      <c r="AA11" s="225">
        <v>0</v>
      </c>
      <c r="AB11" s="223"/>
      <c r="AC11" s="223"/>
      <c r="AD11" s="223"/>
      <c r="AE11" s="223"/>
      <c r="AF11" s="225"/>
      <c r="AG11" s="223">
        <v>1660121.52</v>
      </c>
      <c r="AH11" s="223">
        <v>1660121.52</v>
      </c>
      <c r="AI11" s="225">
        <v>0</v>
      </c>
      <c r="AJ11" s="223"/>
      <c r="AK11" s="223"/>
      <c r="AL11" s="223"/>
      <c r="AM11" s="223"/>
      <c r="AN11" s="223"/>
    </row>
    <row r="12" spans="2:40" ht="13.5" x14ac:dyDescent="0.25">
      <c r="B12" s="213" t="s">
        <v>169</v>
      </c>
      <c r="C12" s="191"/>
      <c r="D12" s="191"/>
      <c r="E12" s="191"/>
      <c r="F12" s="191"/>
      <c r="G12" s="191" t="s">
        <v>177</v>
      </c>
      <c r="H12" s="191"/>
      <c r="I12" s="226">
        <v>58401</v>
      </c>
      <c r="J12" s="226">
        <v>58401</v>
      </c>
      <c r="K12" s="227"/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8">
        <v>58401</v>
      </c>
      <c r="R12" s="226">
        <v>58401</v>
      </c>
      <c r="S12" s="229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8">
        <v>0</v>
      </c>
      <c r="Z12" s="226"/>
      <c r="AA12" s="229">
        <v>0</v>
      </c>
      <c r="AB12" s="226"/>
      <c r="AC12" s="226"/>
      <c r="AD12" s="226"/>
      <c r="AE12" s="226"/>
      <c r="AF12" s="229"/>
      <c r="AG12" s="226">
        <v>0</v>
      </c>
      <c r="AH12" s="226"/>
      <c r="AI12" s="229">
        <v>0</v>
      </c>
      <c r="AJ12" s="226"/>
      <c r="AK12" s="226"/>
      <c r="AL12" s="226"/>
      <c r="AM12" s="226"/>
      <c r="AN12" s="226"/>
    </row>
    <row r="13" spans="2:40" ht="13.5" x14ac:dyDescent="0.25">
      <c r="B13" s="213" t="s">
        <v>169</v>
      </c>
      <c r="C13" s="191"/>
      <c r="D13" s="191"/>
      <c r="E13" s="191"/>
      <c r="F13" s="191"/>
      <c r="G13" s="191" t="s">
        <v>178</v>
      </c>
      <c r="H13" s="191"/>
      <c r="I13" s="226">
        <v>0</v>
      </c>
      <c r="J13" s="226">
        <v>0</v>
      </c>
      <c r="K13" s="227"/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8">
        <v>0</v>
      </c>
      <c r="R13" s="226"/>
      <c r="S13" s="229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8">
        <v>0</v>
      </c>
      <c r="Z13" s="226"/>
      <c r="AA13" s="229">
        <v>0</v>
      </c>
      <c r="AB13" s="226"/>
      <c r="AC13" s="226"/>
      <c r="AD13" s="226"/>
      <c r="AE13" s="226"/>
      <c r="AF13" s="229"/>
      <c r="AG13" s="226">
        <v>0</v>
      </c>
      <c r="AH13" s="226"/>
      <c r="AI13" s="229">
        <v>0</v>
      </c>
      <c r="AJ13" s="226"/>
      <c r="AK13" s="226"/>
      <c r="AL13" s="226"/>
      <c r="AM13" s="226"/>
      <c r="AN13" s="226"/>
    </row>
    <row r="14" spans="2:40" ht="13.5" x14ac:dyDescent="0.25">
      <c r="B14" s="213" t="s">
        <v>169</v>
      </c>
      <c r="C14" s="191"/>
      <c r="D14" s="191"/>
      <c r="E14" s="191"/>
      <c r="F14" s="191"/>
      <c r="G14" s="191" t="s">
        <v>179</v>
      </c>
      <c r="H14" s="191"/>
      <c r="I14" s="226">
        <v>0</v>
      </c>
      <c r="J14" s="226">
        <v>0</v>
      </c>
      <c r="K14" s="227"/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8">
        <v>0</v>
      </c>
      <c r="R14" s="226"/>
      <c r="S14" s="229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8">
        <v>0</v>
      </c>
      <c r="Z14" s="226"/>
      <c r="AA14" s="229">
        <v>0</v>
      </c>
      <c r="AB14" s="226"/>
      <c r="AC14" s="226"/>
      <c r="AD14" s="226"/>
      <c r="AE14" s="226"/>
      <c r="AF14" s="229"/>
      <c r="AG14" s="226">
        <v>0</v>
      </c>
      <c r="AH14" s="226"/>
      <c r="AI14" s="229">
        <v>0</v>
      </c>
      <c r="AJ14" s="226"/>
      <c r="AK14" s="226"/>
      <c r="AL14" s="226"/>
      <c r="AM14" s="226"/>
      <c r="AN14" s="226"/>
    </row>
    <row r="15" spans="2:40" ht="13.5" x14ac:dyDescent="0.25">
      <c r="B15" s="213" t="s">
        <v>169</v>
      </c>
      <c r="C15" s="191"/>
      <c r="D15" s="191"/>
      <c r="E15" s="191"/>
      <c r="F15" s="191"/>
      <c r="G15" s="191" t="s">
        <v>180</v>
      </c>
      <c r="H15" s="191"/>
      <c r="I15" s="226">
        <v>3040285.1399999997</v>
      </c>
      <c r="J15" s="226">
        <v>3040285.1399999997</v>
      </c>
      <c r="K15" s="227"/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8">
        <v>648077.97</v>
      </c>
      <c r="R15" s="226">
        <v>648077.97</v>
      </c>
      <c r="S15" s="229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8">
        <v>1231440.4699999997</v>
      </c>
      <c r="Z15" s="226">
        <v>1231440.4699999997</v>
      </c>
      <c r="AA15" s="229">
        <v>0</v>
      </c>
      <c r="AB15" s="226"/>
      <c r="AC15" s="226"/>
      <c r="AD15" s="226"/>
      <c r="AE15" s="226"/>
      <c r="AF15" s="229"/>
      <c r="AG15" s="226">
        <v>1160766.7</v>
      </c>
      <c r="AH15" s="226">
        <v>1160766.7</v>
      </c>
      <c r="AI15" s="229">
        <v>0</v>
      </c>
      <c r="AJ15" s="226"/>
      <c r="AK15" s="226"/>
      <c r="AL15" s="226"/>
      <c r="AM15" s="226"/>
      <c r="AN15" s="226"/>
    </row>
    <row r="16" spans="2:40" ht="13.5" x14ac:dyDescent="0.25">
      <c r="B16" s="213" t="s">
        <v>169</v>
      </c>
      <c r="C16" s="191"/>
      <c r="D16" s="191"/>
      <c r="E16" s="191"/>
      <c r="F16" s="191"/>
      <c r="G16" s="191" t="s">
        <v>181</v>
      </c>
      <c r="H16" s="191"/>
      <c r="I16" s="226">
        <v>806496.5</v>
      </c>
      <c r="J16" s="226">
        <v>806496.5</v>
      </c>
      <c r="K16" s="227"/>
      <c r="L16" s="226">
        <v>0</v>
      </c>
      <c r="M16" s="226">
        <v>0</v>
      </c>
      <c r="N16" s="226">
        <v>0</v>
      </c>
      <c r="O16" s="226">
        <v>0</v>
      </c>
      <c r="P16" s="226">
        <v>0</v>
      </c>
      <c r="Q16" s="228">
        <v>322577.40999999997</v>
      </c>
      <c r="R16" s="226">
        <v>322577.40999999997</v>
      </c>
      <c r="S16" s="229">
        <v>0</v>
      </c>
      <c r="T16" s="226">
        <v>0</v>
      </c>
      <c r="U16" s="226">
        <v>0</v>
      </c>
      <c r="V16" s="226">
        <v>0</v>
      </c>
      <c r="W16" s="226">
        <v>0</v>
      </c>
      <c r="X16" s="226">
        <v>0</v>
      </c>
      <c r="Y16" s="228">
        <v>200670.42</v>
      </c>
      <c r="Z16" s="226">
        <v>200670.42</v>
      </c>
      <c r="AA16" s="229">
        <v>0</v>
      </c>
      <c r="AB16" s="226"/>
      <c r="AC16" s="226"/>
      <c r="AD16" s="226"/>
      <c r="AE16" s="226"/>
      <c r="AF16" s="229"/>
      <c r="AG16" s="226">
        <v>283248.67000000004</v>
      </c>
      <c r="AH16" s="226">
        <v>283248.67000000004</v>
      </c>
      <c r="AI16" s="229">
        <v>0</v>
      </c>
      <c r="AJ16" s="226"/>
      <c r="AK16" s="226"/>
      <c r="AL16" s="226"/>
      <c r="AM16" s="226"/>
      <c r="AN16" s="226"/>
    </row>
    <row r="17" spans="2:40" ht="13.5" x14ac:dyDescent="0.25">
      <c r="B17" s="213" t="s">
        <v>169</v>
      </c>
      <c r="C17" s="191"/>
      <c r="D17" s="191"/>
      <c r="E17" s="191"/>
      <c r="F17" s="191"/>
      <c r="G17" s="191" t="s">
        <v>182</v>
      </c>
      <c r="H17" s="191"/>
      <c r="I17" s="226">
        <v>312249.84000000003</v>
      </c>
      <c r="J17" s="226">
        <v>312249.84000000003</v>
      </c>
      <c r="K17" s="227"/>
      <c r="L17" s="226">
        <v>0</v>
      </c>
      <c r="M17" s="226">
        <v>0</v>
      </c>
      <c r="N17" s="226">
        <v>0</v>
      </c>
      <c r="O17" s="226">
        <v>0</v>
      </c>
      <c r="P17" s="226">
        <v>0</v>
      </c>
      <c r="Q17" s="228">
        <v>127719.94</v>
      </c>
      <c r="R17" s="226">
        <v>127719.94</v>
      </c>
      <c r="S17" s="229">
        <v>0</v>
      </c>
      <c r="T17" s="226">
        <v>0</v>
      </c>
      <c r="U17" s="226">
        <v>0</v>
      </c>
      <c r="V17" s="226">
        <v>0</v>
      </c>
      <c r="W17" s="226">
        <v>0</v>
      </c>
      <c r="X17" s="226">
        <v>0</v>
      </c>
      <c r="Y17" s="228">
        <v>103390.72</v>
      </c>
      <c r="Z17" s="226">
        <v>103390.72</v>
      </c>
      <c r="AA17" s="229">
        <v>0</v>
      </c>
      <c r="AB17" s="226"/>
      <c r="AC17" s="226"/>
      <c r="AD17" s="226"/>
      <c r="AE17" s="226"/>
      <c r="AF17" s="229"/>
      <c r="AG17" s="226">
        <v>81139.180000000008</v>
      </c>
      <c r="AH17" s="226">
        <v>81139.180000000008</v>
      </c>
      <c r="AI17" s="229">
        <v>0</v>
      </c>
      <c r="AJ17" s="226"/>
      <c r="AK17" s="226"/>
      <c r="AL17" s="226"/>
      <c r="AM17" s="226"/>
      <c r="AN17" s="226"/>
    </row>
    <row r="18" spans="2:40" ht="13.5" x14ac:dyDescent="0.25">
      <c r="B18" s="213" t="s">
        <v>169</v>
      </c>
      <c r="C18" s="191"/>
      <c r="D18" s="191"/>
      <c r="E18" s="191"/>
      <c r="F18" s="191"/>
      <c r="G18" s="191" t="s">
        <v>183</v>
      </c>
      <c r="H18" s="191"/>
      <c r="I18" s="226">
        <v>25170.1</v>
      </c>
      <c r="J18" s="226">
        <v>25170.1</v>
      </c>
      <c r="K18" s="227"/>
      <c r="L18" s="226">
        <v>0</v>
      </c>
      <c r="M18" s="226">
        <v>0</v>
      </c>
      <c r="N18" s="226">
        <v>0</v>
      </c>
      <c r="O18" s="226">
        <v>0</v>
      </c>
      <c r="P18" s="226">
        <v>0</v>
      </c>
      <c r="Q18" s="228">
        <v>7990.73</v>
      </c>
      <c r="R18" s="226">
        <v>7990.73</v>
      </c>
      <c r="S18" s="229">
        <v>0</v>
      </c>
      <c r="T18" s="226">
        <v>0</v>
      </c>
      <c r="U18" s="226">
        <v>0</v>
      </c>
      <c r="V18" s="226">
        <v>0</v>
      </c>
      <c r="W18" s="226">
        <v>0</v>
      </c>
      <c r="X18" s="226">
        <v>0</v>
      </c>
      <c r="Y18" s="228">
        <v>6914.02</v>
      </c>
      <c r="Z18" s="226">
        <v>6914.02</v>
      </c>
      <c r="AA18" s="229">
        <v>0</v>
      </c>
      <c r="AB18" s="226"/>
      <c r="AC18" s="226"/>
      <c r="AD18" s="226"/>
      <c r="AE18" s="226"/>
      <c r="AF18" s="229"/>
      <c r="AG18" s="226">
        <v>10265.35</v>
      </c>
      <c r="AH18" s="226">
        <v>10265.35</v>
      </c>
      <c r="AI18" s="229">
        <v>0</v>
      </c>
      <c r="AJ18" s="226"/>
      <c r="AK18" s="226"/>
      <c r="AL18" s="226"/>
      <c r="AM18" s="226"/>
      <c r="AN18" s="226"/>
    </row>
    <row r="19" spans="2:40" ht="13.5" x14ac:dyDescent="0.25">
      <c r="B19" s="213" t="s">
        <v>169</v>
      </c>
      <c r="C19" s="191"/>
      <c r="D19" s="191"/>
      <c r="E19" s="191"/>
      <c r="F19" s="191"/>
      <c r="G19" s="191" t="s">
        <v>184</v>
      </c>
      <c r="H19" s="191"/>
      <c r="I19" s="226">
        <v>0</v>
      </c>
      <c r="J19" s="226">
        <v>0</v>
      </c>
      <c r="K19" s="227"/>
      <c r="L19" s="226">
        <v>0</v>
      </c>
      <c r="M19" s="226">
        <v>0</v>
      </c>
      <c r="N19" s="226">
        <v>0</v>
      </c>
      <c r="O19" s="226">
        <v>0</v>
      </c>
      <c r="P19" s="226">
        <v>0</v>
      </c>
      <c r="Q19" s="228">
        <v>0</v>
      </c>
      <c r="R19" s="226"/>
      <c r="S19" s="229">
        <v>0</v>
      </c>
      <c r="T19" s="226">
        <v>0</v>
      </c>
      <c r="U19" s="226">
        <v>0</v>
      </c>
      <c r="V19" s="226">
        <v>0</v>
      </c>
      <c r="W19" s="226">
        <v>0</v>
      </c>
      <c r="X19" s="226">
        <v>0</v>
      </c>
      <c r="Y19" s="228">
        <v>0</v>
      </c>
      <c r="Z19" s="226"/>
      <c r="AA19" s="229">
        <v>0</v>
      </c>
      <c r="AB19" s="226"/>
      <c r="AC19" s="226"/>
      <c r="AD19" s="226"/>
      <c r="AE19" s="226"/>
      <c r="AF19" s="229"/>
      <c r="AG19" s="226">
        <v>0</v>
      </c>
      <c r="AH19" s="226"/>
      <c r="AI19" s="229">
        <v>0</v>
      </c>
      <c r="AJ19" s="226"/>
      <c r="AK19" s="226"/>
      <c r="AL19" s="226"/>
      <c r="AM19" s="226"/>
      <c r="AN19" s="226"/>
    </row>
    <row r="20" spans="2:40" ht="13.5" x14ac:dyDescent="0.25">
      <c r="B20" s="213" t="s">
        <v>169</v>
      </c>
      <c r="C20" s="191"/>
      <c r="D20" s="191"/>
      <c r="E20" s="191"/>
      <c r="F20" s="191"/>
      <c r="G20" s="191" t="s">
        <v>185</v>
      </c>
      <c r="H20" s="191"/>
      <c r="I20" s="226">
        <v>618625.89</v>
      </c>
      <c r="J20" s="226">
        <v>618625.89</v>
      </c>
      <c r="K20" s="227"/>
      <c r="L20" s="226">
        <v>0</v>
      </c>
      <c r="M20" s="226">
        <v>0</v>
      </c>
      <c r="N20" s="226">
        <v>0</v>
      </c>
      <c r="O20" s="226">
        <v>0</v>
      </c>
      <c r="P20" s="226">
        <v>0</v>
      </c>
      <c r="Q20" s="228">
        <v>221207.56</v>
      </c>
      <c r="R20" s="226">
        <v>221207.56</v>
      </c>
      <c r="S20" s="229">
        <v>0</v>
      </c>
      <c r="T20" s="226">
        <v>0</v>
      </c>
      <c r="U20" s="226">
        <v>0</v>
      </c>
      <c r="V20" s="226">
        <v>0</v>
      </c>
      <c r="W20" s="226">
        <v>0</v>
      </c>
      <c r="X20" s="226">
        <v>0</v>
      </c>
      <c r="Y20" s="228">
        <v>172701.21</v>
      </c>
      <c r="Z20" s="226">
        <v>172701.21</v>
      </c>
      <c r="AA20" s="229">
        <v>0</v>
      </c>
      <c r="AB20" s="226"/>
      <c r="AC20" s="226"/>
      <c r="AD20" s="226"/>
      <c r="AE20" s="226"/>
      <c r="AF20" s="229"/>
      <c r="AG20" s="226">
        <v>224717.12</v>
      </c>
      <c r="AH20" s="226">
        <v>224717.12</v>
      </c>
      <c r="AI20" s="229">
        <v>0</v>
      </c>
      <c r="AJ20" s="226"/>
      <c r="AK20" s="226"/>
      <c r="AL20" s="226"/>
      <c r="AM20" s="226"/>
      <c r="AN20" s="226"/>
    </row>
    <row r="21" spans="2:40" ht="13.5" x14ac:dyDescent="0.25">
      <c r="B21" s="213" t="s">
        <v>169</v>
      </c>
      <c r="C21" s="191"/>
      <c r="D21" s="191"/>
      <c r="E21" s="191"/>
      <c r="F21" s="191"/>
      <c r="G21" s="191" t="s">
        <v>186</v>
      </c>
      <c r="H21" s="191"/>
      <c r="I21" s="226">
        <v>-280002</v>
      </c>
      <c r="J21" s="226">
        <v>-280002</v>
      </c>
      <c r="K21" s="227"/>
      <c r="L21" s="226">
        <v>0</v>
      </c>
      <c r="M21" s="226">
        <v>0</v>
      </c>
      <c r="N21" s="226">
        <v>0</v>
      </c>
      <c r="O21" s="226">
        <v>0</v>
      </c>
      <c r="P21" s="226">
        <v>0</v>
      </c>
      <c r="Q21" s="228">
        <v>-80005.5</v>
      </c>
      <c r="R21" s="226">
        <v>-80005.5</v>
      </c>
      <c r="S21" s="229">
        <v>0</v>
      </c>
      <c r="T21" s="226">
        <v>0</v>
      </c>
      <c r="U21" s="226">
        <v>0</v>
      </c>
      <c r="V21" s="226">
        <v>0</v>
      </c>
      <c r="W21" s="226">
        <v>0</v>
      </c>
      <c r="X21" s="226">
        <v>0</v>
      </c>
      <c r="Y21" s="228">
        <v>-99981</v>
      </c>
      <c r="Z21" s="226">
        <v>-99981</v>
      </c>
      <c r="AA21" s="229">
        <v>0</v>
      </c>
      <c r="AB21" s="226"/>
      <c r="AC21" s="226"/>
      <c r="AD21" s="226"/>
      <c r="AE21" s="226"/>
      <c r="AF21" s="229"/>
      <c r="AG21" s="226">
        <v>-100015.5</v>
      </c>
      <c r="AH21" s="226">
        <v>-100015.5</v>
      </c>
      <c r="AI21" s="229">
        <v>0</v>
      </c>
      <c r="AJ21" s="226"/>
      <c r="AK21" s="226"/>
      <c r="AL21" s="226"/>
      <c r="AM21" s="226"/>
      <c r="AN21" s="226"/>
    </row>
    <row r="22" spans="2:40" ht="13.5" x14ac:dyDescent="0.25">
      <c r="B22" s="213" t="s">
        <v>169</v>
      </c>
      <c r="C22" s="191" t="s">
        <v>104</v>
      </c>
      <c r="D22" s="191"/>
      <c r="E22" s="191"/>
      <c r="F22" s="191"/>
      <c r="G22" s="220" t="s">
        <v>187</v>
      </c>
      <c r="H22" s="220"/>
      <c r="I22" s="221">
        <v>0</v>
      </c>
      <c r="J22" s="221">
        <v>0</v>
      </c>
      <c r="K22" s="230"/>
      <c r="L22" s="223">
        <v>0</v>
      </c>
      <c r="M22" s="223">
        <v>0</v>
      </c>
      <c r="N22" s="223">
        <v>0</v>
      </c>
      <c r="O22" s="223">
        <v>0</v>
      </c>
      <c r="P22" s="223">
        <v>0</v>
      </c>
      <c r="Q22" s="224">
        <v>0</v>
      </c>
      <c r="R22" s="223"/>
      <c r="S22" s="225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4">
        <v>0</v>
      </c>
      <c r="Z22" s="223"/>
      <c r="AA22" s="225">
        <v>0</v>
      </c>
      <c r="AB22" s="223"/>
      <c r="AC22" s="223"/>
      <c r="AD22" s="223"/>
      <c r="AE22" s="223"/>
      <c r="AF22" s="225"/>
      <c r="AG22" s="223">
        <v>0</v>
      </c>
      <c r="AH22" s="223"/>
      <c r="AI22" s="225">
        <v>0</v>
      </c>
      <c r="AJ22" s="223"/>
      <c r="AK22" s="223"/>
      <c r="AL22" s="223"/>
      <c r="AM22" s="223"/>
      <c r="AN22" s="223"/>
    </row>
    <row r="23" spans="2:40" ht="13.5" x14ac:dyDescent="0.25">
      <c r="B23" s="213" t="s">
        <v>169</v>
      </c>
      <c r="C23" s="191" t="s">
        <v>104</v>
      </c>
      <c r="D23" s="191"/>
      <c r="E23" s="191"/>
      <c r="F23" s="191"/>
      <c r="G23" s="220" t="s">
        <v>188</v>
      </c>
      <c r="H23" s="220"/>
      <c r="I23" s="221">
        <v>275969.64999999997</v>
      </c>
      <c r="J23" s="221">
        <v>275969.64999999997</v>
      </c>
      <c r="K23" s="230"/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4">
        <v>39347.769999999997</v>
      </c>
      <c r="R23" s="223">
        <v>39347.769999999997</v>
      </c>
      <c r="S23" s="225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4">
        <v>167025.66999999998</v>
      </c>
      <c r="Z23" s="223">
        <v>167025.66999999998</v>
      </c>
      <c r="AA23" s="225">
        <v>0</v>
      </c>
      <c r="AB23" s="223"/>
      <c r="AC23" s="223"/>
      <c r="AD23" s="223"/>
      <c r="AE23" s="223"/>
      <c r="AF23" s="225"/>
      <c r="AG23" s="223">
        <v>69596.210000000006</v>
      </c>
      <c r="AH23" s="223">
        <v>69596.210000000006</v>
      </c>
      <c r="AI23" s="225">
        <v>0</v>
      </c>
      <c r="AJ23" s="223"/>
      <c r="AK23" s="223"/>
      <c r="AL23" s="223"/>
      <c r="AM23" s="223"/>
      <c r="AN23" s="223"/>
    </row>
    <row r="24" spans="2:40" ht="13.5" x14ac:dyDescent="0.25">
      <c r="B24" s="213" t="s">
        <v>169</v>
      </c>
      <c r="C24" s="191" t="s">
        <v>104</v>
      </c>
      <c r="D24" s="191"/>
      <c r="E24" s="191"/>
      <c r="F24" s="191"/>
      <c r="G24" s="220" t="s">
        <v>189</v>
      </c>
      <c r="H24" s="220"/>
      <c r="I24" s="221">
        <v>323637.83</v>
      </c>
      <c r="J24" s="221">
        <v>323637.83</v>
      </c>
      <c r="K24" s="230"/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4">
        <v>185187.48</v>
      </c>
      <c r="R24" s="223">
        <v>185187.48</v>
      </c>
      <c r="S24" s="225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4">
        <v>-179</v>
      </c>
      <c r="Z24" s="223">
        <v>-179</v>
      </c>
      <c r="AA24" s="225">
        <v>0</v>
      </c>
      <c r="AB24" s="223"/>
      <c r="AC24" s="223"/>
      <c r="AD24" s="223"/>
      <c r="AE24" s="223"/>
      <c r="AF24" s="225"/>
      <c r="AG24" s="223">
        <v>138629.35</v>
      </c>
      <c r="AH24" s="223">
        <v>138629.35</v>
      </c>
      <c r="AI24" s="225">
        <v>0</v>
      </c>
      <c r="AJ24" s="223"/>
      <c r="AK24" s="223"/>
      <c r="AL24" s="223"/>
      <c r="AM24" s="223"/>
      <c r="AN24" s="223"/>
    </row>
    <row r="25" spans="2:40" ht="13.5" x14ac:dyDescent="0.25">
      <c r="B25" s="213" t="s">
        <v>169</v>
      </c>
      <c r="C25" s="191" t="s">
        <v>104</v>
      </c>
      <c r="D25" s="191"/>
      <c r="E25" s="191"/>
      <c r="F25" s="191"/>
      <c r="G25" s="220" t="s">
        <v>190</v>
      </c>
      <c r="H25" s="220"/>
      <c r="I25" s="221">
        <v>393407.07999999996</v>
      </c>
      <c r="J25" s="221">
        <v>393407.07999999996</v>
      </c>
      <c r="K25" s="230"/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4">
        <v>120759.18</v>
      </c>
      <c r="R25" s="223">
        <v>120759.18</v>
      </c>
      <c r="S25" s="225"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4">
        <v>136016.5</v>
      </c>
      <c r="Z25" s="223">
        <v>136016.5</v>
      </c>
      <c r="AA25" s="225">
        <v>0</v>
      </c>
      <c r="AB25" s="223"/>
      <c r="AC25" s="223"/>
      <c r="AD25" s="223"/>
      <c r="AE25" s="223"/>
      <c r="AF25" s="225"/>
      <c r="AG25" s="223">
        <v>136631.4</v>
      </c>
      <c r="AH25" s="223">
        <v>136631.4</v>
      </c>
      <c r="AI25" s="225">
        <v>0</v>
      </c>
      <c r="AJ25" s="223"/>
      <c r="AK25" s="223"/>
      <c r="AL25" s="223"/>
      <c r="AM25" s="223"/>
      <c r="AN25" s="223"/>
    </row>
    <row r="26" spans="2:40" ht="13.5" x14ac:dyDescent="0.25">
      <c r="B26" s="213" t="s">
        <v>169</v>
      </c>
      <c r="C26" s="191" t="s">
        <v>104</v>
      </c>
      <c r="D26" s="191"/>
      <c r="E26" s="191"/>
      <c r="F26" s="191"/>
      <c r="G26" s="220" t="s">
        <v>191</v>
      </c>
      <c r="H26" s="220"/>
      <c r="I26" s="221">
        <v>0</v>
      </c>
      <c r="J26" s="221">
        <v>0</v>
      </c>
      <c r="K26" s="230"/>
      <c r="L26" s="223">
        <v>0</v>
      </c>
      <c r="M26" s="223">
        <v>0</v>
      </c>
      <c r="N26" s="223">
        <v>0</v>
      </c>
      <c r="O26" s="223">
        <v>0</v>
      </c>
      <c r="P26" s="223">
        <v>0</v>
      </c>
      <c r="Q26" s="224">
        <v>0</v>
      </c>
      <c r="R26" s="223"/>
      <c r="S26" s="225">
        <v>0</v>
      </c>
      <c r="T26" s="223">
        <v>0</v>
      </c>
      <c r="U26" s="223">
        <v>0</v>
      </c>
      <c r="V26" s="223">
        <v>0</v>
      </c>
      <c r="W26" s="223">
        <v>0</v>
      </c>
      <c r="X26" s="223">
        <v>0</v>
      </c>
      <c r="Y26" s="224">
        <v>0</v>
      </c>
      <c r="Z26" s="223"/>
      <c r="AA26" s="225">
        <v>0</v>
      </c>
      <c r="AB26" s="223"/>
      <c r="AC26" s="223"/>
      <c r="AD26" s="223"/>
      <c r="AE26" s="223"/>
      <c r="AF26" s="225"/>
      <c r="AG26" s="223">
        <v>0</v>
      </c>
      <c r="AH26" s="223"/>
      <c r="AI26" s="225">
        <v>0</v>
      </c>
      <c r="AJ26" s="223"/>
      <c r="AK26" s="223"/>
      <c r="AL26" s="223"/>
      <c r="AM26" s="223"/>
      <c r="AN26" s="223"/>
    </row>
    <row r="27" spans="2:40" ht="13.5" x14ac:dyDescent="0.25">
      <c r="B27" s="213" t="s">
        <v>169</v>
      </c>
      <c r="C27" s="191" t="s">
        <v>104</v>
      </c>
      <c r="D27" s="191"/>
      <c r="E27" s="191"/>
      <c r="F27" s="191"/>
      <c r="G27" s="220" t="s">
        <v>192</v>
      </c>
      <c r="H27" s="220"/>
      <c r="I27" s="221">
        <v>0</v>
      </c>
      <c r="J27" s="221">
        <v>0</v>
      </c>
      <c r="K27" s="230"/>
      <c r="L27" s="223">
        <v>0</v>
      </c>
      <c r="M27" s="223">
        <v>0</v>
      </c>
      <c r="N27" s="223">
        <v>0</v>
      </c>
      <c r="O27" s="223">
        <v>0</v>
      </c>
      <c r="P27" s="223">
        <v>0</v>
      </c>
      <c r="Q27" s="224">
        <v>0</v>
      </c>
      <c r="R27" s="223"/>
      <c r="S27" s="225">
        <v>0</v>
      </c>
      <c r="T27" s="223">
        <v>0</v>
      </c>
      <c r="U27" s="223">
        <v>0</v>
      </c>
      <c r="V27" s="223">
        <v>0</v>
      </c>
      <c r="W27" s="223">
        <v>0</v>
      </c>
      <c r="X27" s="223">
        <v>0</v>
      </c>
      <c r="Y27" s="224">
        <v>0</v>
      </c>
      <c r="Z27" s="223"/>
      <c r="AA27" s="225">
        <v>0</v>
      </c>
      <c r="AB27" s="223"/>
      <c r="AC27" s="223"/>
      <c r="AD27" s="223"/>
      <c r="AE27" s="223"/>
      <c r="AF27" s="225"/>
      <c r="AG27" s="223">
        <v>0</v>
      </c>
      <c r="AH27" s="223"/>
      <c r="AI27" s="225">
        <v>0</v>
      </c>
      <c r="AJ27" s="223"/>
      <c r="AK27" s="223"/>
      <c r="AL27" s="223"/>
      <c r="AM27" s="223"/>
      <c r="AN27" s="223"/>
    </row>
    <row r="28" spans="2:40" ht="13.5" x14ac:dyDescent="0.25">
      <c r="B28" s="213" t="s">
        <v>169</v>
      </c>
      <c r="C28" s="191" t="s">
        <v>105</v>
      </c>
      <c r="D28" s="191"/>
      <c r="E28" s="191"/>
      <c r="F28" s="191"/>
      <c r="G28" s="220" t="s">
        <v>193</v>
      </c>
      <c r="H28" s="220"/>
      <c r="I28" s="221">
        <v>2092108.0899999999</v>
      </c>
      <c r="J28" s="221">
        <v>2092108.0899999999</v>
      </c>
      <c r="K28" s="230"/>
      <c r="L28" s="223">
        <v>0</v>
      </c>
      <c r="M28" s="223">
        <v>0</v>
      </c>
      <c r="N28" s="223">
        <v>0</v>
      </c>
      <c r="O28" s="223">
        <v>0</v>
      </c>
      <c r="P28" s="223">
        <v>0</v>
      </c>
      <c r="Q28" s="224">
        <v>840484.76</v>
      </c>
      <c r="R28" s="223">
        <v>840484.76</v>
      </c>
      <c r="S28" s="225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4">
        <v>320677.55999999994</v>
      </c>
      <c r="Z28" s="223">
        <v>320677.55999999994</v>
      </c>
      <c r="AA28" s="225">
        <v>0</v>
      </c>
      <c r="AB28" s="223"/>
      <c r="AC28" s="223"/>
      <c r="AD28" s="223"/>
      <c r="AE28" s="223"/>
      <c r="AF28" s="225"/>
      <c r="AG28" s="223">
        <v>930945.7699999999</v>
      </c>
      <c r="AH28" s="223">
        <v>930945.7699999999</v>
      </c>
      <c r="AI28" s="225">
        <v>0</v>
      </c>
      <c r="AJ28" s="223"/>
      <c r="AK28" s="223"/>
      <c r="AL28" s="223"/>
      <c r="AM28" s="223"/>
      <c r="AN28" s="223"/>
    </row>
    <row r="29" spans="2:40" ht="13.5" x14ac:dyDescent="0.25">
      <c r="B29" s="213" t="s">
        <v>169</v>
      </c>
      <c r="C29" s="191" t="s">
        <v>103</v>
      </c>
      <c r="D29" s="191"/>
      <c r="E29" s="191"/>
      <c r="F29" s="191"/>
      <c r="G29" s="220" t="s">
        <v>194</v>
      </c>
      <c r="H29" s="220"/>
      <c r="I29" s="221">
        <v>1320450.31</v>
      </c>
      <c r="J29" s="221">
        <v>1320450.31</v>
      </c>
      <c r="K29" s="230"/>
      <c r="L29" s="223">
        <v>0</v>
      </c>
      <c r="M29" s="223">
        <v>0</v>
      </c>
      <c r="N29" s="223">
        <v>0</v>
      </c>
      <c r="O29" s="223">
        <v>0</v>
      </c>
      <c r="P29" s="223">
        <v>0</v>
      </c>
      <c r="Q29" s="224">
        <v>359174.24</v>
      </c>
      <c r="R29" s="223">
        <v>359174.24</v>
      </c>
      <c r="S29" s="225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4">
        <v>537196.86</v>
      </c>
      <c r="Z29" s="223">
        <v>537196.86</v>
      </c>
      <c r="AA29" s="225">
        <v>0</v>
      </c>
      <c r="AB29" s="223"/>
      <c r="AC29" s="223"/>
      <c r="AD29" s="223"/>
      <c r="AE29" s="223"/>
      <c r="AF29" s="225"/>
      <c r="AG29" s="223">
        <v>424079.21</v>
      </c>
      <c r="AH29" s="223">
        <v>424079.21</v>
      </c>
      <c r="AI29" s="225">
        <v>0</v>
      </c>
      <c r="AJ29" s="223"/>
      <c r="AK29" s="223"/>
      <c r="AL29" s="223"/>
      <c r="AM29" s="223"/>
      <c r="AN29" s="223"/>
    </row>
    <row r="30" spans="2:40" ht="13.5" x14ac:dyDescent="0.25">
      <c r="B30" s="213" t="s">
        <v>169</v>
      </c>
      <c r="C30" s="191" t="s">
        <v>104</v>
      </c>
      <c r="D30" s="191"/>
      <c r="E30" s="191"/>
      <c r="F30" s="191"/>
      <c r="G30" s="220" t="s">
        <v>195</v>
      </c>
      <c r="H30" s="220"/>
      <c r="I30" s="221">
        <v>8162.25</v>
      </c>
      <c r="J30" s="221">
        <v>8162.25</v>
      </c>
      <c r="K30" s="230"/>
      <c r="L30" s="223">
        <v>0</v>
      </c>
      <c r="M30" s="223">
        <v>0</v>
      </c>
      <c r="N30" s="223">
        <v>0</v>
      </c>
      <c r="O30" s="223">
        <v>0</v>
      </c>
      <c r="P30" s="223">
        <v>0</v>
      </c>
      <c r="Q30" s="224">
        <v>0</v>
      </c>
      <c r="R30" s="223"/>
      <c r="S30" s="225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4">
        <v>8162.25</v>
      </c>
      <c r="Z30" s="223">
        <v>8162.25</v>
      </c>
      <c r="AA30" s="225">
        <v>0</v>
      </c>
      <c r="AB30" s="223"/>
      <c r="AC30" s="223"/>
      <c r="AD30" s="223"/>
      <c r="AE30" s="223"/>
      <c r="AF30" s="225"/>
      <c r="AG30" s="223">
        <v>0</v>
      </c>
      <c r="AH30" s="223"/>
      <c r="AI30" s="225">
        <v>0</v>
      </c>
      <c r="AJ30" s="223"/>
      <c r="AK30" s="223"/>
      <c r="AL30" s="223"/>
      <c r="AM30" s="223"/>
      <c r="AN30" s="223"/>
    </row>
    <row r="31" spans="2:40" ht="13.5" x14ac:dyDescent="0.25">
      <c r="B31" s="213" t="s">
        <v>169</v>
      </c>
      <c r="C31" s="191" t="s">
        <v>104</v>
      </c>
      <c r="D31" s="191"/>
      <c r="E31" s="191"/>
      <c r="F31" s="191"/>
      <c r="G31" s="220" t="s">
        <v>196</v>
      </c>
      <c r="H31" s="220"/>
      <c r="I31" s="221">
        <v>240146.13</v>
      </c>
      <c r="J31" s="221">
        <v>240146.13</v>
      </c>
      <c r="K31" s="230"/>
      <c r="L31" s="223">
        <v>0</v>
      </c>
      <c r="M31" s="223">
        <v>0</v>
      </c>
      <c r="N31" s="223">
        <v>0</v>
      </c>
      <c r="O31" s="223">
        <v>0</v>
      </c>
      <c r="P31" s="223">
        <v>0</v>
      </c>
      <c r="Q31" s="224">
        <v>129673.78</v>
      </c>
      <c r="R31" s="223">
        <v>129673.78</v>
      </c>
      <c r="S31" s="225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4">
        <v>54994.35</v>
      </c>
      <c r="Z31" s="223">
        <v>54994.35</v>
      </c>
      <c r="AA31" s="225">
        <v>0</v>
      </c>
      <c r="AB31" s="223"/>
      <c r="AC31" s="223"/>
      <c r="AD31" s="223"/>
      <c r="AE31" s="223"/>
      <c r="AF31" s="225"/>
      <c r="AG31" s="223">
        <v>55478</v>
      </c>
      <c r="AH31" s="223">
        <v>55478</v>
      </c>
      <c r="AI31" s="225">
        <v>0</v>
      </c>
      <c r="AJ31" s="223"/>
      <c r="AK31" s="223"/>
      <c r="AL31" s="223"/>
      <c r="AM31" s="223"/>
      <c r="AN31" s="223"/>
    </row>
    <row r="32" spans="2:40" ht="13.5" x14ac:dyDescent="0.25">
      <c r="B32" s="194"/>
      <c r="C32" s="214"/>
      <c r="D32" s="214"/>
      <c r="E32" s="214"/>
      <c r="F32" s="215" t="s">
        <v>197</v>
      </c>
      <c r="G32" s="215"/>
      <c r="H32" s="215"/>
      <c r="I32" s="216">
        <v>10485430.264000002</v>
      </c>
      <c r="J32" s="231"/>
      <c r="K32" s="219">
        <v>10485430.264000002</v>
      </c>
      <c r="L32" s="232">
        <v>0</v>
      </c>
      <c r="M32" s="232">
        <v>469463.79000000004</v>
      </c>
      <c r="N32" s="232">
        <v>6684337.7040000008</v>
      </c>
      <c r="O32" s="232">
        <v>3331628.7700000005</v>
      </c>
      <c r="P32" s="232">
        <v>0</v>
      </c>
      <c r="Q32" s="218">
        <v>3334386.6500000004</v>
      </c>
      <c r="R32" s="232">
        <v>0</v>
      </c>
      <c r="S32" s="233">
        <v>3334386.6500000004</v>
      </c>
      <c r="T32" s="232">
        <v>0</v>
      </c>
      <c r="U32" s="232">
        <v>156939.69</v>
      </c>
      <c r="V32" s="232">
        <v>2348251.7600000002</v>
      </c>
      <c r="W32" s="232">
        <v>829195.2</v>
      </c>
      <c r="X32" s="232">
        <v>0</v>
      </c>
      <c r="Y32" s="234">
        <v>3723139.4600000009</v>
      </c>
      <c r="Z32" s="232">
        <v>0</v>
      </c>
      <c r="AA32" s="233">
        <v>3723139.4600000009</v>
      </c>
      <c r="AB32" s="232">
        <v>0</v>
      </c>
      <c r="AC32" s="232">
        <v>61723.219999999994</v>
      </c>
      <c r="AD32" s="232">
        <v>2462638.0200000005</v>
      </c>
      <c r="AE32" s="232">
        <v>1198778.2200000002</v>
      </c>
      <c r="AF32" s="233">
        <v>0</v>
      </c>
      <c r="AG32" s="232">
        <v>3427904.1540000001</v>
      </c>
      <c r="AH32" s="232">
        <v>0</v>
      </c>
      <c r="AI32" s="233">
        <v>3427904.1540000001</v>
      </c>
      <c r="AJ32" s="232">
        <v>0</v>
      </c>
      <c r="AK32" s="232">
        <v>250800.88</v>
      </c>
      <c r="AL32" s="232">
        <v>1873447.9239999999</v>
      </c>
      <c r="AM32" s="232">
        <v>1303655.3500000001</v>
      </c>
      <c r="AN32" s="232">
        <v>0</v>
      </c>
    </row>
    <row r="33" spans="2:40" ht="13.5" x14ac:dyDescent="0.25">
      <c r="B33" s="194"/>
      <c r="C33" s="191"/>
      <c r="D33" s="191"/>
      <c r="E33" s="191"/>
      <c r="F33" s="191"/>
      <c r="G33" s="191" t="s">
        <v>198</v>
      </c>
      <c r="H33" s="191"/>
      <c r="I33" s="226">
        <v>10485430.264000002</v>
      </c>
      <c r="J33" s="226"/>
      <c r="K33" s="229">
        <v>10485430.264000002</v>
      </c>
      <c r="L33" s="235">
        <v>0</v>
      </c>
      <c r="M33" s="236">
        <v>469463.79000000004</v>
      </c>
      <c r="N33" s="236">
        <v>6684337.7040000008</v>
      </c>
      <c r="O33" s="236">
        <v>3331628.7700000005</v>
      </c>
      <c r="P33" s="236">
        <v>0</v>
      </c>
      <c r="Q33" s="237">
        <v>3334386.6500000004</v>
      </c>
      <c r="R33" s="238"/>
      <c r="S33" s="239">
        <v>3334386.6500000004</v>
      </c>
      <c r="T33" s="238"/>
      <c r="U33" s="238">
        <v>156939.69</v>
      </c>
      <c r="V33" s="226">
        <v>2348251.7600000002</v>
      </c>
      <c r="W33" s="238">
        <v>829195.2</v>
      </c>
      <c r="X33" s="238"/>
      <c r="Y33" s="237">
        <v>3723139.4600000009</v>
      </c>
      <c r="Z33" s="238"/>
      <c r="AA33" s="239">
        <v>3723139.4600000009</v>
      </c>
      <c r="AB33" s="238"/>
      <c r="AC33" s="238">
        <v>61723.219999999994</v>
      </c>
      <c r="AD33" s="226">
        <v>2462638.0200000005</v>
      </c>
      <c r="AE33" s="238">
        <v>1198778.2200000002</v>
      </c>
      <c r="AF33" s="239"/>
      <c r="AG33" s="238">
        <v>3427904.1540000001</v>
      </c>
      <c r="AH33" s="238"/>
      <c r="AI33" s="239">
        <v>3427904.1540000001</v>
      </c>
      <c r="AJ33" s="238"/>
      <c r="AK33" s="238">
        <v>250800.88</v>
      </c>
      <c r="AL33" s="226">
        <v>1873447.9239999999</v>
      </c>
      <c r="AM33" s="238">
        <v>1303655.3500000001</v>
      </c>
      <c r="AN33" s="238"/>
    </row>
    <row r="34" spans="2:40" ht="13.5" x14ac:dyDescent="0.25">
      <c r="B34" s="194"/>
      <c r="C34" s="191"/>
      <c r="D34" s="191"/>
      <c r="E34" s="191"/>
      <c r="F34" s="191"/>
      <c r="G34" s="191" t="s">
        <v>199</v>
      </c>
      <c r="H34" s="191"/>
      <c r="I34" s="226">
        <v>0</v>
      </c>
      <c r="J34" s="226"/>
      <c r="K34" s="229">
        <v>0</v>
      </c>
      <c r="L34" s="240">
        <v>0</v>
      </c>
      <c r="M34" s="241">
        <v>0</v>
      </c>
      <c r="N34" s="241">
        <v>0</v>
      </c>
      <c r="O34" s="241">
        <v>0</v>
      </c>
      <c r="P34" s="241">
        <v>0</v>
      </c>
      <c r="Q34" s="237">
        <v>0</v>
      </c>
      <c r="R34" s="238"/>
      <c r="S34" s="239">
        <v>0</v>
      </c>
      <c r="T34" s="238"/>
      <c r="U34" s="238"/>
      <c r="V34" s="238"/>
      <c r="W34" s="238"/>
      <c r="X34" s="238"/>
      <c r="Y34" s="237">
        <v>0</v>
      </c>
      <c r="Z34" s="238"/>
      <c r="AA34" s="239">
        <v>0</v>
      </c>
      <c r="AB34" s="238"/>
      <c r="AC34" s="238"/>
      <c r="AD34" s="238"/>
      <c r="AE34" s="238"/>
      <c r="AF34" s="239"/>
      <c r="AG34" s="238">
        <v>0</v>
      </c>
      <c r="AH34" s="238"/>
      <c r="AI34" s="239">
        <v>0</v>
      </c>
      <c r="AJ34" s="238"/>
      <c r="AK34" s="238"/>
      <c r="AL34" s="238"/>
      <c r="AM34" s="238"/>
      <c r="AN34" s="238"/>
    </row>
    <row r="35" spans="2:40" ht="13.5" x14ac:dyDescent="0.25">
      <c r="B35" s="194"/>
      <c r="C35" s="242"/>
      <c r="D35" s="242"/>
      <c r="E35" s="243" t="s">
        <v>200</v>
      </c>
      <c r="F35" s="242"/>
      <c r="G35" s="242"/>
      <c r="H35" s="242"/>
      <c r="I35" s="244">
        <v>40200347.369408257</v>
      </c>
      <c r="J35" s="245">
        <v>28567162.074515115</v>
      </c>
      <c r="K35" s="246">
        <v>11633185.294893142</v>
      </c>
      <c r="L35" s="245">
        <v>1487879.62</v>
      </c>
      <c r="M35" s="245">
        <v>3294551.381773321</v>
      </c>
      <c r="N35" s="245">
        <v>9696815.6070732698</v>
      </c>
      <c r="O35" s="245">
        <v>10544656.008420601</v>
      </c>
      <c r="P35" s="245">
        <v>-520434.24237404868</v>
      </c>
      <c r="Q35" s="244">
        <v>13451236.63794297</v>
      </c>
      <c r="R35" s="245">
        <v>9442115.4564006645</v>
      </c>
      <c r="S35" s="246">
        <v>4009121.1815423053</v>
      </c>
      <c r="T35" s="245">
        <v>41241.69233951412</v>
      </c>
      <c r="U35" s="245">
        <v>332163.28785310028</v>
      </c>
      <c r="V35" s="245">
        <v>1968638.567295074</v>
      </c>
      <c r="W35" s="245">
        <v>1688358.5322977554</v>
      </c>
      <c r="X35" s="245">
        <v>-21280.898243139207</v>
      </c>
      <c r="Y35" s="244">
        <v>12913683.385814305</v>
      </c>
      <c r="Z35" s="245">
        <v>8809781.5116304122</v>
      </c>
      <c r="AA35" s="246">
        <v>4103901.8741838932</v>
      </c>
      <c r="AB35" s="245">
        <v>130471.95866048592</v>
      </c>
      <c r="AC35" s="245">
        <v>180837.13392022075</v>
      </c>
      <c r="AD35" s="245">
        <v>2400359.1996112503</v>
      </c>
      <c r="AE35" s="245">
        <v>1424720.2661228457</v>
      </c>
      <c r="AF35" s="246">
        <v>-32486.684130909503</v>
      </c>
      <c r="AG35" s="247">
        <v>13835427.345650978</v>
      </c>
      <c r="AH35" s="245">
        <v>10315265.106484035</v>
      </c>
      <c r="AI35" s="246">
        <v>3520162.2391669434</v>
      </c>
      <c r="AJ35" s="245">
        <v>-7150.2009999999791</v>
      </c>
      <c r="AK35" s="245">
        <v>248672.83000000002</v>
      </c>
      <c r="AL35" s="245">
        <v>2634081.2501669442</v>
      </c>
      <c r="AM35" s="245">
        <v>1111225.0199999996</v>
      </c>
      <c r="AN35" s="245">
        <v>-466666.66</v>
      </c>
    </row>
    <row r="36" spans="2:40" ht="13.5" x14ac:dyDescent="0.25">
      <c r="B36" s="248"/>
      <c r="C36" s="249"/>
      <c r="D36" s="249"/>
      <c r="E36" s="249"/>
      <c r="F36" s="249"/>
      <c r="G36" s="249"/>
      <c r="H36" s="250"/>
      <c r="I36" s="251">
        <v>0.96759952577934027</v>
      </c>
      <c r="J36" s="251">
        <v>0.91971034296748588</v>
      </c>
      <c r="K36" s="252">
        <v>1.1094618915957857</v>
      </c>
      <c r="L36" s="251" t="s">
        <v>112</v>
      </c>
      <c r="M36" s="251">
        <v>7.0176900795124597</v>
      </c>
      <c r="N36" s="251">
        <v>1.4506770956934987</v>
      </c>
      <c r="O36" s="251">
        <v>3.1650152932316646</v>
      </c>
      <c r="P36" s="251" t="s">
        <v>112</v>
      </c>
      <c r="Q36" s="253">
        <v>0.96628287722024198</v>
      </c>
      <c r="R36" s="251">
        <v>0.89192574027052973</v>
      </c>
      <c r="S36" s="252">
        <v>1.2023564158470659</v>
      </c>
      <c r="T36" s="251" t="s">
        <v>112</v>
      </c>
      <c r="U36" s="251">
        <v>2.1165027651902477</v>
      </c>
      <c r="V36" s="251">
        <v>0.83834220879922761</v>
      </c>
      <c r="W36" s="251">
        <v>2.0361412274187738</v>
      </c>
      <c r="X36" s="251" t="s">
        <v>112</v>
      </c>
      <c r="Y36" s="253">
        <v>0.98999989087151663</v>
      </c>
      <c r="Z36" s="251">
        <v>0.94515547336790051</v>
      </c>
      <c r="AA36" s="252">
        <v>1.1022691785453269</v>
      </c>
      <c r="AB36" s="251" t="s">
        <v>112</v>
      </c>
      <c r="AC36" s="251">
        <v>2.929807192823394</v>
      </c>
      <c r="AD36" s="251">
        <v>0.9747105259145028</v>
      </c>
      <c r="AE36" s="251">
        <v>1.1884769362283254</v>
      </c>
      <c r="AF36" s="251" t="s">
        <v>112</v>
      </c>
      <c r="AG36" s="253">
        <v>0.94881819323688277</v>
      </c>
      <c r="AH36" s="251">
        <v>0.92481710193991462</v>
      </c>
      <c r="AI36" s="252">
        <v>1.0269138461935372</v>
      </c>
      <c r="AJ36" s="251" t="s">
        <v>112</v>
      </c>
      <c r="AK36" s="251">
        <v>0.99151498192510334</v>
      </c>
      <c r="AL36" s="251">
        <v>1.406007189430126</v>
      </c>
      <c r="AM36" s="251">
        <v>0.85239171534102132</v>
      </c>
      <c r="AN36" s="251" t="s">
        <v>112</v>
      </c>
    </row>
    <row r="37" spans="2:40" ht="13.5" x14ac:dyDescent="0.25">
      <c r="B37" s="213" t="s">
        <v>201</v>
      </c>
      <c r="C37" s="114" t="s">
        <v>115</v>
      </c>
      <c r="D37" s="214"/>
      <c r="E37" s="214"/>
      <c r="F37" s="254" t="s">
        <v>202</v>
      </c>
      <c r="G37" s="254"/>
      <c r="H37" s="255"/>
      <c r="I37" s="256">
        <v>513406.67</v>
      </c>
      <c r="J37" s="256">
        <v>128520.08</v>
      </c>
      <c r="K37" s="257">
        <v>384886.58999999997</v>
      </c>
      <c r="L37" s="258">
        <v>0</v>
      </c>
      <c r="M37" s="258">
        <v>19969.909999999996</v>
      </c>
      <c r="N37" s="258">
        <v>219627.81</v>
      </c>
      <c r="O37" s="258">
        <v>145288.87</v>
      </c>
      <c r="P37" s="258">
        <v>0</v>
      </c>
      <c r="Q37" s="259">
        <v>166255.04000000001</v>
      </c>
      <c r="R37" s="258">
        <v>40101.56</v>
      </c>
      <c r="S37" s="260">
        <v>126153.48000000001</v>
      </c>
      <c r="T37" s="258">
        <v>0</v>
      </c>
      <c r="U37" s="258">
        <v>11157.89</v>
      </c>
      <c r="V37" s="258">
        <v>98383.6</v>
      </c>
      <c r="W37" s="258">
        <v>16611.990000000002</v>
      </c>
      <c r="X37" s="258">
        <v>0</v>
      </c>
      <c r="Y37" s="259">
        <v>112423.01000000001</v>
      </c>
      <c r="Z37" s="258">
        <v>30697.41</v>
      </c>
      <c r="AA37" s="260">
        <v>81725.600000000006</v>
      </c>
      <c r="AB37" s="258">
        <v>0</v>
      </c>
      <c r="AC37" s="258">
        <v>3493.12</v>
      </c>
      <c r="AD37" s="258">
        <v>63971.26</v>
      </c>
      <c r="AE37" s="258">
        <v>14261.22</v>
      </c>
      <c r="AF37" s="260">
        <v>0</v>
      </c>
      <c r="AG37" s="258">
        <v>234728.62</v>
      </c>
      <c r="AH37" s="258">
        <v>57721.11</v>
      </c>
      <c r="AI37" s="260">
        <v>177007.51</v>
      </c>
      <c r="AJ37" s="258">
        <v>0</v>
      </c>
      <c r="AK37" s="258">
        <v>5318.9</v>
      </c>
      <c r="AL37" s="258">
        <v>57272.95</v>
      </c>
      <c r="AM37" s="258">
        <v>114415.66</v>
      </c>
      <c r="AN37" s="258">
        <v>0</v>
      </c>
    </row>
    <row r="38" spans="2:40" ht="13.5" x14ac:dyDescent="0.25">
      <c r="B38" s="194"/>
      <c r="C38" s="191"/>
      <c r="D38" s="191"/>
      <c r="E38" s="191"/>
      <c r="F38" s="191"/>
      <c r="G38" s="191" t="s">
        <v>110</v>
      </c>
      <c r="H38" s="191"/>
      <c r="I38" s="236">
        <v>128520.08</v>
      </c>
      <c r="J38" s="236">
        <v>128520.08</v>
      </c>
      <c r="K38" s="261"/>
      <c r="L38" s="228"/>
      <c r="M38" s="226"/>
      <c r="N38" s="226"/>
      <c r="O38" s="226"/>
      <c r="P38" s="226"/>
      <c r="Q38" s="228">
        <v>40101.56</v>
      </c>
      <c r="R38" s="226">
        <v>40101.56</v>
      </c>
      <c r="S38" s="229"/>
      <c r="T38" s="226"/>
      <c r="U38" s="226"/>
      <c r="V38" s="226"/>
      <c r="W38" s="226"/>
      <c r="X38" s="226"/>
      <c r="Y38" s="228">
        <v>30697.41</v>
      </c>
      <c r="Z38" s="226">
        <v>30697.41</v>
      </c>
      <c r="AA38" s="229"/>
      <c r="AB38" s="226"/>
      <c r="AC38" s="226"/>
      <c r="AD38" s="226"/>
      <c r="AE38" s="226"/>
      <c r="AF38" s="229"/>
      <c r="AG38" s="226">
        <v>57721.11</v>
      </c>
      <c r="AH38" s="226">
        <v>57721.11</v>
      </c>
      <c r="AI38" s="229"/>
      <c r="AJ38" s="226"/>
      <c r="AK38" s="226"/>
      <c r="AL38" s="226"/>
      <c r="AM38" s="226"/>
      <c r="AN38" s="226"/>
    </row>
    <row r="39" spans="2:40" ht="13.5" x14ac:dyDescent="0.25">
      <c r="B39" s="194"/>
      <c r="C39" s="191"/>
      <c r="D39" s="191"/>
      <c r="E39" s="191"/>
      <c r="F39" s="191"/>
      <c r="G39" s="191" t="s">
        <v>162</v>
      </c>
      <c r="H39" s="191"/>
      <c r="I39" s="226">
        <v>384886.58999999997</v>
      </c>
      <c r="J39" s="226">
        <v>0</v>
      </c>
      <c r="K39" s="229">
        <v>384886.58999999997</v>
      </c>
      <c r="L39" s="228"/>
      <c r="M39" s="226"/>
      <c r="N39" s="226"/>
      <c r="O39" s="226"/>
      <c r="P39" s="226"/>
      <c r="Q39" s="262">
        <v>126153.48000000001</v>
      </c>
      <c r="R39" s="226"/>
      <c r="S39" s="229">
        <v>126153.48000000001</v>
      </c>
      <c r="T39" s="226"/>
      <c r="U39" s="226"/>
      <c r="V39" s="226"/>
      <c r="W39" s="226"/>
      <c r="X39" s="226"/>
      <c r="Y39" s="228">
        <v>81725.600000000006</v>
      </c>
      <c r="Z39" s="226"/>
      <c r="AA39" s="229">
        <v>81725.600000000006</v>
      </c>
      <c r="AB39" s="226"/>
      <c r="AC39" s="226"/>
      <c r="AD39" s="226"/>
      <c r="AE39" s="226"/>
      <c r="AF39" s="229"/>
      <c r="AG39" s="226">
        <v>177007.51</v>
      </c>
      <c r="AH39" s="226"/>
      <c r="AI39" s="229">
        <v>177007.51</v>
      </c>
      <c r="AJ39" s="226"/>
      <c r="AK39" s="226"/>
      <c r="AL39" s="226"/>
      <c r="AM39" s="226"/>
      <c r="AN39" s="226"/>
    </row>
    <row r="40" spans="2:40" ht="13.5" x14ac:dyDescent="0.25">
      <c r="B40" s="194"/>
      <c r="C40" s="191"/>
      <c r="D40" s="191"/>
      <c r="E40" s="191"/>
      <c r="F40" s="191"/>
      <c r="G40" s="191"/>
      <c r="H40" s="191" t="s">
        <v>106</v>
      </c>
      <c r="I40" s="226">
        <v>19969.909999999996</v>
      </c>
      <c r="J40" s="226">
        <v>0</v>
      </c>
      <c r="K40" s="229">
        <v>19969.909999999996</v>
      </c>
      <c r="L40" s="228">
        <v>0</v>
      </c>
      <c r="M40" s="226">
        <v>19969.909999999996</v>
      </c>
      <c r="N40" s="226">
        <v>0</v>
      </c>
      <c r="O40" s="226">
        <v>0</v>
      </c>
      <c r="P40" s="226">
        <v>0</v>
      </c>
      <c r="Q40" s="228">
        <v>11157.89</v>
      </c>
      <c r="R40" s="226"/>
      <c r="S40" s="229">
        <v>11157.89</v>
      </c>
      <c r="T40" s="226"/>
      <c r="U40" s="226">
        <v>11157.89</v>
      </c>
      <c r="V40" s="226"/>
      <c r="W40" s="226"/>
      <c r="X40" s="226"/>
      <c r="Y40" s="228">
        <v>3493.12</v>
      </c>
      <c r="Z40" s="226"/>
      <c r="AA40" s="229">
        <v>3493.12</v>
      </c>
      <c r="AB40" s="226"/>
      <c r="AC40" s="226">
        <v>3493.12</v>
      </c>
      <c r="AD40" s="226"/>
      <c r="AE40" s="226"/>
      <c r="AF40" s="229"/>
      <c r="AG40" s="226">
        <v>5318.9</v>
      </c>
      <c r="AH40" s="226"/>
      <c r="AI40" s="229">
        <v>5318.9</v>
      </c>
      <c r="AJ40" s="226"/>
      <c r="AK40" s="226">
        <v>5318.9</v>
      </c>
      <c r="AL40" s="226"/>
      <c r="AM40" s="226"/>
      <c r="AN40" s="226"/>
    </row>
    <row r="41" spans="2:40" ht="13.5" x14ac:dyDescent="0.25">
      <c r="B41" s="194"/>
      <c r="C41" s="191"/>
      <c r="D41" s="191"/>
      <c r="E41" s="191"/>
      <c r="F41" s="191"/>
      <c r="G41" s="191"/>
      <c r="H41" s="191" t="s">
        <v>203</v>
      </c>
      <c r="I41" s="226">
        <v>145288.87</v>
      </c>
      <c r="J41" s="226">
        <v>0</v>
      </c>
      <c r="K41" s="229">
        <v>145288.87</v>
      </c>
      <c r="L41" s="228">
        <v>0</v>
      </c>
      <c r="M41" s="226">
        <v>0</v>
      </c>
      <c r="N41" s="226">
        <v>0</v>
      </c>
      <c r="O41" s="226">
        <v>145288.87</v>
      </c>
      <c r="P41" s="226">
        <v>0</v>
      </c>
      <c r="Q41" s="228">
        <v>16611.990000000002</v>
      </c>
      <c r="R41" s="226"/>
      <c r="S41" s="229">
        <v>16611.990000000002</v>
      </c>
      <c r="T41" s="226"/>
      <c r="U41" s="226"/>
      <c r="V41" s="226"/>
      <c r="W41" s="226">
        <v>16611.990000000002</v>
      </c>
      <c r="X41" s="226"/>
      <c r="Y41" s="228">
        <v>14261.22</v>
      </c>
      <c r="Z41" s="226"/>
      <c r="AA41" s="229">
        <v>14261.22</v>
      </c>
      <c r="AB41" s="226"/>
      <c r="AC41" s="226"/>
      <c r="AD41" s="226"/>
      <c r="AE41" s="226">
        <v>14261.22</v>
      </c>
      <c r="AF41" s="229"/>
      <c r="AG41" s="226">
        <v>114415.66</v>
      </c>
      <c r="AH41" s="226"/>
      <c r="AI41" s="229">
        <v>114415.66</v>
      </c>
      <c r="AJ41" s="226"/>
      <c r="AK41" s="226"/>
      <c r="AL41" s="226"/>
      <c r="AM41" s="226">
        <v>114415.66</v>
      </c>
      <c r="AN41" s="226"/>
    </row>
    <row r="42" spans="2:40" ht="13.5" x14ac:dyDescent="0.25">
      <c r="B42" s="194"/>
      <c r="C42" s="191"/>
      <c r="D42" s="191"/>
      <c r="E42" s="191"/>
      <c r="F42" s="191"/>
      <c r="G42" s="191"/>
      <c r="H42" s="191" t="s">
        <v>204</v>
      </c>
      <c r="I42" s="226">
        <v>219627.81</v>
      </c>
      <c r="J42" s="226">
        <v>0</v>
      </c>
      <c r="K42" s="229">
        <v>219627.81</v>
      </c>
      <c r="L42" s="228">
        <v>0</v>
      </c>
      <c r="M42" s="226">
        <v>0</v>
      </c>
      <c r="N42" s="226">
        <v>219627.81</v>
      </c>
      <c r="O42" s="226">
        <v>0</v>
      </c>
      <c r="P42" s="263">
        <v>0</v>
      </c>
      <c r="Q42" s="228">
        <v>98383.6</v>
      </c>
      <c r="R42" s="226"/>
      <c r="S42" s="229">
        <v>98383.6</v>
      </c>
      <c r="T42" s="226"/>
      <c r="U42" s="226"/>
      <c r="V42" s="226">
        <v>98383.6</v>
      </c>
      <c r="W42" s="226"/>
      <c r="X42" s="226"/>
      <c r="Y42" s="228">
        <v>63971.26</v>
      </c>
      <c r="Z42" s="226"/>
      <c r="AA42" s="229">
        <v>63971.26</v>
      </c>
      <c r="AB42" s="226"/>
      <c r="AC42" s="226"/>
      <c r="AD42" s="226">
        <v>63971.26</v>
      </c>
      <c r="AE42" s="226"/>
      <c r="AF42" s="229"/>
      <c r="AG42" s="226">
        <v>57272.95</v>
      </c>
      <c r="AH42" s="226"/>
      <c r="AI42" s="229">
        <v>57272.95</v>
      </c>
      <c r="AJ42" s="226"/>
      <c r="AK42" s="226"/>
      <c r="AL42" s="226">
        <v>57272.95</v>
      </c>
      <c r="AM42" s="226"/>
      <c r="AN42" s="226"/>
    </row>
    <row r="43" spans="2:40" ht="13.5" x14ac:dyDescent="0.25">
      <c r="B43" s="213" t="s">
        <v>205</v>
      </c>
      <c r="C43" s="214" t="s">
        <v>206</v>
      </c>
      <c r="D43" s="214"/>
      <c r="E43" s="214"/>
      <c r="F43" s="264" t="s">
        <v>111</v>
      </c>
      <c r="G43" s="264"/>
      <c r="H43" s="264"/>
      <c r="I43" s="256">
        <v>514011.68276783987</v>
      </c>
      <c r="J43" s="256">
        <v>439302.47276783985</v>
      </c>
      <c r="K43" s="265">
        <v>74709.209999999992</v>
      </c>
      <c r="L43" s="266">
        <v>0</v>
      </c>
      <c r="M43" s="267">
        <v>9991</v>
      </c>
      <c r="N43" s="267">
        <v>0</v>
      </c>
      <c r="O43" s="267">
        <v>64718.21</v>
      </c>
      <c r="P43" s="268">
        <v>0</v>
      </c>
      <c r="Q43" s="259">
        <v>163742.32</v>
      </c>
      <c r="R43" s="269">
        <v>142237.18</v>
      </c>
      <c r="S43" s="265">
        <v>21505.14</v>
      </c>
      <c r="T43" s="270"/>
      <c r="U43" s="271">
        <v>5208.59</v>
      </c>
      <c r="V43" s="270"/>
      <c r="W43" s="271">
        <v>16296.55</v>
      </c>
      <c r="X43" s="270"/>
      <c r="Y43" s="259">
        <v>150282.29276783986</v>
      </c>
      <c r="Z43" s="269">
        <v>126984.67276783986</v>
      </c>
      <c r="AA43" s="265">
        <v>23297.620000000003</v>
      </c>
      <c r="AB43" s="270"/>
      <c r="AC43" s="269">
        <v>446.13</v>
      </c>
      <c r="AD43" s="270"/>
      <c r="AE43" s="269">
        <v>22851.49</v>
      </c>
      <c r="AF43" s="265"/>
      <c r="AG43" s="258">
        <v>199987.07</v>
      </c>
      <c r="AH43" s="269">
        <v>170080.62</v>
      </c>
      <c r="AI43" s="265">
        <v>29906.449999999997</v>
      </c>
      <c r="AJ43" s="270"/>
      <c r="AK43" s="269">
        <v>4336.28</v>
      </c>
      <c r="AL43" s="270"/>
      <c r="AM43" s="269">
        <v>25570.17</v>
      </c>
      <c r="AN43" s="270"/>
    </row>
    <row r="44" spans="2:40" ht="13.5" x14ac:dyDescent="0.25">
      <c r="B44" s="213" t="s">
        <v>201</v>
      </c>
      <c r="C44" s="114" t="s">
        <v>115</v>
      </c>
      <c r="D44" s="214"/>
      <c r="E44" s="214"/>
      <c r="F44" s="272" t="s">
        <v>207</v>
      </c>
      <c r="G44" s="272"/>
      <c r="H44" s="273"/>
      <c r="I44" s="274">
        <v>25388789.929999996</v>
      </c>
      <c r="J44" s="274">
        <v>19394290.609999996</v>
      </c>
      <c r="K44" s="274">
        <v>5994499.3200000012</v>
      </c>
      <c r="L44" s="275">
        <v>135984.06000000006</v>
      </c>
      <c r="M44" s="274">
        <v>294029.74</v>
      </c>
      <c r="N44" s="274">
        <v>4902929.1300000008</v>
      </c>
      <c r="O44" s="274">
        <v>661556.39000000013</v>
      </c>
      <c r="P44" s="276">
        <v>0</v>
      </c>
      <c r="Q44" s="275">
        <v>9363857.8674145043</v>
      </c>
      <c r="R44" s="274">
        <v>7293207.4399999985</v>
      </c>
      <c r="S44" s="277">
        <v>2070650.4274145067</v>
      </c>
      <c r="T44" s="274">
        <v>46900.79592497542</v>
      </c>
      <c r="U44" s="274">
        <v>132321.17855046224</v>
      </c>
      <c r="V44" s="274">
        <v>1888636.7487052404</v>
      </c>
      <c r="W44" s="274">
        <v>2791.7042338275351</v>
      </c>
      <c r="X44" s="274">
        <v>0</v>
      </c>
      <c r="Y44" s="275">
        <v>7323493.7425854951</v>
      </c>
      <c r="Z44" s="274">
        <v>5289595.08</v>
      </c>
      <c r="AA44" s="277">
        <v>2033898.662585495</v>
      </c>
      <c r="AB44" s="274">
        <v>98408.70407502458</v>
      </c>
      <c r="AC44" s="274">
        <v>-2003.2385504620615</v>
      </c>
      <c r="AD44" s="274">
        <v>1485353.9112947593</v>
      </c>
      <c r="AE44" s="274">
        <v>452139.28576617269</v>
      </c>
      <c r="AF44" s="277">
        <v>0</v>
      </c>
      <c r="AG44" s="274">
        <v>8701438.3199999966</v>
      </c>
      <c r="AH44" s="274">
        <v>6811488.089999998</v>
      </c>
      <c r="AI44" s="277">
        <v>1889950.2299999995</v>
      </c>
      <c r="AJ44" s="274">
        <v>-9325.4399999999441</v>
      </c>
      <c r="AK44" s="274">
        <v>163711.80000000005</v>
      </c>
      <c r="AL44" s="274">
        <v>1528938.4700000004</v>
      </c>
      <c r="AM44" s="274">
        <v>206625.39999999991</v>
      </c>
      <c r="AN44" s="274">
        <v>0</v>
      </c>
    </row>
    <row r="45" spans="2:40" ht="13.5" x14ac:dyDescent="0.25">
      <c r="B45" s="278"/>
      <c r="C45" s="279"/>
      <c r="D45" s="279"/>
      <c r="E45" s="279"/>
      <c r="F45" s="280" t="s">
        <v>208</v>
      </c>
      <c r="G45" s="280"/>
      <c r="H45" s="281"/>
      <c r="I45" s="282">
        <v>0.80797815736790513</v>
      </c>
      <c r="J45" s="282">
        <v>0.80574946861653196</v>
      </c>
      <c r="K45" s="282">
        <v>0.81458021320545015</v>
      </c>
      <c r="L45" s="253" t="s">
        <v>112</v>
      </c>
      <c r="M45" s="283">
        <v>0.95787615483613742</v>
      </c>
      <c r="N45" s="283">
        <v>0.70903162884243165</v>
      </c>
      <c r="O45" s="283">
        <v>0.95675892185310907</v>
      </c>
      <c r="P45" s="252" t="s">
        <v>112</v>
      </c>
      <c r="Q45" s="284">
        <v>0.79193506724807139</v>
      </c>
      <c r="R45" s="283">
        <v>0.7685074354269481</v>
      </c>
      <c r="S45" s="285">
        <v>0.86631453063972086</v>
      </c>
      <c r="T45" s="251" t="s">
        <v>112</v>
      </c>
      <c r="U45" s="283">
        <v>1.0165567091517462</v>
      </c>
      <c r="V45" s="283">
        <v>0.58113601899323541</v>
      </c>
      <c r="W45" s="283">
        <v>1.5957571137949573</v>
      </c>
      <c r="X45" s="283" t="s">
        <v>112</v>
      </c>
      <c r="Y45" s="284">
        <v>0.84337661996653024</v>
      </c>
      <c r="Z45" s="283">
        <v>0.83569058683584996</v>
      </c>
      <c r="AA45" s="285">
        <v>0.8626188247414992</v>
      </c>
      <c r="AB45" s="251" t="s">
        <v>112</v>
      </c>
      <c r="AC45" s="283">
        <v>0.85459921239211012</v>
      </c>
      <c r="AD45" s="283">
        <v>0.79756271309404225</v>
      </c>
      <c r="AE45" s="283">
        <v>0.88783841174172162</v>
      </c>
      <c r="AF45" s="283" t="s">
        <v>112</v>
      </c>
      <c r="AG45" s="284">
        <v>0.79162808814589281</v>
      </c>
      <c r="AH45" s="283">
        <v>0.81607517544901165</v>
      </c>
      <c r="AI45" s="285">
        <v>0.7120812366214132</v>
      </c>
      <c r="AJ45" s="283" t="s">
        <v>112</v>
      </c>
      <c r="AK45" s="283">
        <v>0.94657347294794192</v>
      </c>
      <c r="AL45" s="283">
        <v>0.75296723860257175</v>
      </c>
      <c r="AM45" s="283">
        <v>0.61369752365914787</v>
      </c>
      <c r="AN45" s="283" t="s">
        <v>112</v>
      </c>
    </row>
    <row r="46" spans="2:40" ht="13.5" x14ac:dyDescent="0.25">
      <c r="B46" s="286"/>
      <c r="C46" s="287"/>
      <c r="D46" s="287"/>
      <c r="E46" s="287"/>
      <c r="F46" s="287" t="s">
        <v>110</v>
      </c>
      <c r="G46" s="287"/>
      <c r="H46" s="286"/>
      <c r="I46" s="289">
        <v>19394290.609999996</v>
      </c>
      <c r="J46" s="289">
        <v>19394290.609999996</v>
      </c>
      <c r="K46" s="289"/>
      <c r="L46" s="288"/>
      <c r="M46" s="289"/>
      <c r="N46" s="289"/>
      <c r="O46" s="289"/>
      <c r="P46" s="290"/>
      <c r="Q46" s="288">
        <v>7293207.4399999985</v>
      </c>
      <c r="R46" s="289">
        <v>7293207.4399999985</v>
      </c>
      <c r="S46" s="291"/>
      <c r="T46" s="289"/>
      <c r="U46" s="289"/>
      <c r="V46" s="289"/>
      <c r="W46" s="241"/>
      <c r="X46" s="289"/>
      <c r="Y46" s="288">
        <v>5289595.08</v>
      </c>
      <c r="Z46" s="289">
        <v>5289595.08</v>
      </c>
      <c r="AA46" s="291"/>
      <c r="AB46" s="289"/>
      <c r="AC46" s="289"/>
      <c r="AD46" s="289"/>
      <c r="AE46" s="289"/>
      <c r="AF46" s="291"/>
      <c r="AG46" s="289">
        <v>6811488.089999998</v>
      </c>
      <c r="AH46" s="289">
        <v>6811488.089999998</v>
      </c>
      <c r="AI46" s="291"/>
      <c r="AJ46" s="289"/>
      <c r="AK46" s="289"/>
      <c r="AL46" s="289"/>
      <c r="AM46" s="289"/>
      <c r="AN46" s="289"/>
    </row>
    <row r="47" spans="2:40" ht="13.5" x14ac:dyDescent="0.25">
      <c r="B47" s="213"/>
      <c r="C47" s="214"/>
      <c r="D47" s="214"/>
      <c r="E47" s="214"/>
      <c r="F47" s="214"/>
      <c r="G47" s="214" t="s">
        <v>209</v>
      </c>
      <c r="H47" s="214"/>
      <c r="I47" s="241">
        <v>1852773.4500000002</v>
      </c>
      <c r="J47" s="241">
        <v>1852773.4500000002</v>
      </c>
      <c r="K47" s="241"/>
      <c r="L47" s="240"/>
      <c r="M47" s="241"/>
      <c r="N47" s="241"/>
      <c r="O47" s="241"/>
      <c r="P47" s="292"/>
      <c r="Q47" s="240">
        <v>1852773.4500000002</v>
      </c>
      <c r="R47" s="293">
        <v>1852773.4500000002</v>
      </c>
      <c r="S47" s="294">
        <v>0</v>
      </c>
      <c r="T47" s="241"/>
      <c r="U47" s="241"/>
      <c r="V47" s="241"/>
      <c r="W47" s="241"/>
      <c r="X47" s="241"/>
      <c r="Y47" s="295">
        <v>1341717.96</v>
      </c>
      <c r="Z47" s="293">
        <v>1341717.96</v>
      </c>
      <c r="AA47" s="294">
        <v>0</v>
      </c>
      <c r="AB47" s="241"/>
      <c r="AC47" s="241"/>
      <c r="AD47" s="241"/>
      <c r="AE47" s="241"/>
      <c r="AF47" s="227"/>
      <c r="AG47" s="293">
        <v>2929351.98</v>
      </c>
      <c r="AH47" s="293">
        <v>2929351.98</v>
      </c>
      <c r="AI47" s="294">
        <v>0</v>
      </c>
      <c r="AJ47" s="241"/>
      <c r="AK47" s="241"/>
      <c r="AL47" s="241"/>
      <c r="AM47" s="241"/>
      <c r="AN47" s="241"/>
    </row>
    <row r="48" spans="2:40" ht="13.5" x14ac:dyDescent="0.25">
      <c r="B48" s="194"/>
      <c r="C48" s="191"/>
      <c r="D48" s="191"/>
      <c r="E48" s="191"/>
      <c r="F48" s="191"/>
      <c r="G48" s="191"/>
      <c r="H48" s="191" t="s">
        <v>210</v>
      </c>
      <c r="I48" s="226">
        <v>1417118.57</v>
      </c>
      <c r="J48" s="226">
        <v>1417118.57</v>
      </c>
      <c r="K48" s="226"/>
      <c r="L48" s="228"/>
      <c r="M48" s="226"/>
      <c r="N48" s="226"/>
      <c r="O48" s="226"/>
      <c r="P48" s="296"/>
      <c r="Q48" s="228">
        <v>1417118.57</v>
      </c>
      <c r="R48" s="226">
        <v>1417118.57</v>
      </c>
      <c r="S48" s="239">
        <v>0</v>
      </c>
      <c r="T48" s="226"/>
      <c r="U48" s="226"/>
      <c r="V48" s="226"/>
      <c r="W48" s="241"/>
      <c r="X48" s="226"/>
      <c r="Y48" s="228">
        <v>920696.86</v>
      </c>
      <c r="Z48" s="226">
        <v>920696.86</v>
      </c>
      <c r="AA48" s="239">
        <v>0</v>
      </c>
      <c r="AB48" s="226"/>
      <c r="AC48" s="226"/>
      <c r="AD48" s="226"/>
      <c r="AE48" s="226"/>
      <c r="AF48" s="229"/>
      <c r="AG48" s="226">
        <v>2432793.36</v>
      </c>
      <c r="AH48" s="297">
        <v>2432793.36</v>
      </c>
      <c r="AI48" s="239">
        <v>0</v>
      </c>
      <c r="AJ48" s="226"/>
      <c r="AK48" s="226"/>
      <c r="AL48" s="226"/>
      <c r="AM48" s="226"/>
      <c r="AN48" s="226"/>
    </row>
    <row r="49" spans="2:40" ht="13.5" x14ac:dyDescent="0.25">
      <c r="B49" s="194"/>
      <c r="C49" s="191"/>
      <c r="D49" s="191"/>
      <c r="E49" s="191"/>
      <c r="F49" s="191"/>
      <c r="G49" s="191"/>
      <c r="H49" s="191" t="s">
        <v>211</v>
      </c>
      <c r="I49" s="226">
        <v>144496.1</v>
      </c>
      <c r="J49" s="226">
        <v>144496.1</v>
      </c>
      <c r="K49" s="226"/>
      <c r="L49" s="228"/>
      <c r="M49" s="226"/>
      <c r="N49" s="226"/>
      <c r="O49" s="226"/>
      <c r="P49" s="296"/>
      <c r="Q49" s="228">
        <v>144496.1</v>
      </c>
      <c r="R49" s="226">
        <v>144496.1</v>
      </c>
      <c r="S49" s="239">
        <v>0</v>
      </c>
      <c r="T49" s="226"/>
      <c r="U49" s="226"/>
      <c r="V49" s="226"/>
      <c r="W49" s="241"/>
      <c r="X49" s="226"/>
      <c r="Y49" s="228">
        <v>169832.35</v>
      </c>
      <c r="Z49" s="226">
        <v>169832.35</v>
      </c>
      <c r="AA49" s="239">
        <v>0</v>
      </c>
      <c r="AB49" s="226"/>
      <c r="AC49" s="226"/>
      <c r="AD49" s="226"/>
      <c r="AE49" s="226"/>
      <c r="AF49" s="229"/>
      <c r="AG49" s="226">
        <v>156817.81</v>
      </c>
      <c r="AH49" s="297">
        <v>156817.81</v>
      </c>
      <c r="AI49" s="239">
        <v>0</v>
      </c>
      <c r="AJ49" s="226"/>
      <c r="AK49" s="226"/>
      <c r="AL49" s="226"/>
      <c r="AM49" s="226"/>
      <c r="AN49" s="226"/>
    </row>
    <row r="50" spans="2:40" ht="13.5" x14ac:dyDescent="0.25">
      <c r="B50" s="194"/>
      <c r="C50" s="191"/>
      <c r="D50" s="191"/>
      <c r="E50" s="191"/>
      <c r="F50" s="191"/>
      <c r="G50" s="191"/>
      <c r="H50" s="191" t="s">
        <v>212</v>
      </c>
      <c r="I50" s="226">
        <v>291158.78000000003</v>
      </c>
      <c r="J50" s="226">
        <v>291158.78000000003</v>
      </c>
      <c r="K50" s="226"/>
      <c r="L50" s="228"/>
      <c r="M50" s="226"/>
      <c r="N50" s="226"/>
      <c r="O50" s="226"/>
      <c r="P50" s="296"/>
      <c r="Q50" s="228">
        <v>291158.78000000003</v>
      </c>
      <c r="R50" s="226">
        <v>291158.78000000003</v>
      </c>
      <c r="S50" s="239">
        <v>0</v>
      </c>
      <c r="T50" s="226"/>
      <c r="U50" s="226"/>
      <c r="V50" s="226"/>
      <c r="W50" s="241"/>
      <c r="X50" s="226"/>
      <c r="Y50" s="228">
        <v>251188.75</v>
      </c>
      <c r="Z50" s="226">
        <v>251188.75</v>
      </c>
      <c r="AA50" s="239">
        <v>0</v>
      </c>
      <c r="AB50" s="226"/>
      <c r="AC50" s="226"/>
      <c r="AD50" s="226"/>
      <c r="AE50" s="226"/>
      <c r="AF50" s="229"/>
      <c r="AG50" s="226">
        <v>339740.81</v>
      </c>
      <c r="AH50" s="297">
        <v>339740.81</v>
      </c>
      <c r="AI50" s="239">
        <v>0</v>
      </c>
      <c r="AJ50" s="226"/>
      <c r="AK50" s="226"/>
      <c r="AL50" s="226"/>
      <c r="AM50" s="226"/>
      <c r="AN50" s="226"/>
    </row>
    <row r="51" spans="2:40" ht="13.5" x14ac:dyDescent="0.25">
      <c r="B51" s="213"/>
      <c r="C51" s="214"/>
      <c r="D51" s="191"/>
      <c r="E51" s="191"/>
      <c r="F51" s="214"/>
      <c r="G51" s="214" t="s">
        <v>213</v>
      </c>
      <c r="H51" s="214"/>
      <c r="I51" s="241">
        <v>19360877.249999996</v>
      </c>
      <c r="J51" s="241">
        <v>19360877.249999996</v>
      </c>
      <c r="K51" s="241"/>
      <c r="L51" s="240"/>
      <c r="M51" s="241"/>
      <c r="N51" s="241"/>
      <c r="O51" s="241"/>
      <c r="P51" s="292"/>
      <c r="Q51" s="295">
        <v>6782151.9499999993</v>
      </c>
      <c r="R51" s="241">
        <v>6782151.9499999993</v>
      </c>
      <c r="S51" s="294">
        <v>0</v>
      </c>
      <c r="T51" s="241"/>
      <c r="U51" s="241"/>
      <c r="V51" s="241"/>
      <c r="W51" s="241"/>
      <c r="X51" s="241"/>
      <c r="Y51" s="295">
        <v>6877229.1000000006</v>
      </c>
      <c r="Z51" s="241">
        <v>6877229.1000000006</v>
      </c>
      <c r="AA51" s="294">
        <v>0</v>
      </c>
      <c r="AB51" s="241"/>
      <c r="AC51" s="241"/>
      <c r="AD51" s="241"/>
      <c r="AE51" s="241"/>
      <c r="AF51" s="227"/>
      <c r="AG51" s="293">
        <v>5701496.1999999974</v>
      </c>
      <c r="AH51" s="241">
        <v>5701496.1999999974</v>
      </c>
      <c r="AI51" s="294">
        <v>0</v>
      </c>
      <c r="AJ51" s="241"/>
      <c r="AK51" s="241"/>
      <c r="AL51" s="241"/>
      <c r="AM51" s="241"/>
      <c r="AN51" s="241"/>
    </row>
    <row r="52" spans="2:40" ht="13.5" x14ac:dyDescent="0.25">
      <c r="B52" s="194"/>
      <c r="C52" s="191"/>
      <c r="D52" s="191"/>
      <c r="E52" s="191"/>
      <c r="F52" s="191"/>
      <c r="G52" s="191"/>
      <c r="H52" s="191" t="s">
        <v>210</v>
      </c>
      <c r="I52" s="226">
        <v>20006470.699999996</v>
      </c>
      <c r="J52" s="226">
        <v>20006470.699999996</v>
      </c>
      <c r="K52" s="226"/>
      <c r="L52" s="228"/>
      <c r="M52" s="226"/>
      <c r="N52" s="226"/>
      <c r="O52" s="226"/>
      <c r="P52" s="296"/>
      <c r="Q52" s="228">
        <v>6603821.5499999998</v>
      </c>
      <c r="R52" s="226">
        <v>6603821.5499999998</v>
      </c>
      <c r="S52" s="239">
        <v>0</v>
      </c>
      <c r="T52" s="226"/>
      <c r="U52" s="226"/>
      <c r="V52" s="226"/>
      <c r="W52" s="241"/>
      <c r="X52" s="226"/>
      <c r="Y52" s="228">
        <v>7142846.71</v>
      </c>
      <c r="Z52" s="226">
        <v>7142846.71</v>
      </c>
      <c r="AA52" s="239">
        <v>0</v>
      </c>
      <c r="AB52" s="226"/>
      <c r="AC52" s="226"/>
      <c r="AD52" s="226"/>
      <c r="AE52" s="226"/>
      <c r="AF52" s="229"/>
      <c r="AG52" s="226">
        <v>6259802.4399999976</v>
      </c>
      <c r="AH52" s="226">
        <v>6259802.4399999976</v>
      </c>
      <c r="AI52" s="239">
        <v>0</v>
      </c>
      <c r="AJ52" s="226"/>
      <c r="AK52" s="226"/>
      <c r="AL52" s="226"/>
      <c r="AM52" s="226"/>
      <c r="AN52" s="226"/>
    </row>
    <row r="53" spans="2:40" ht="13.5" x14ac:dyDescent="0.25">
      <c r="B53" s="194"/>
      <c r="C53" s="191"/>
      <c r="D53" s="191"/>
      <c r="E53" s="191"/>
      <c r="F53" s="191"/>
      <c r="G53" s="191"/>
      <c r="H53" s="191" t="s">
        <v>211</v>
      </c>
      <c r="I53" s="226">
        <v>62756.24</v>
      </c>
      <c r="J53" s="226">
        <v>62756.24</v>
      </c>
      <c r="K53" s="226"/>
      <c r="L53" s="228"/>
      <c r="M53" s="226"/>
      <c r="N53" s="226"/>
      <c r="O53" s="226"/>
      <c r="P53" s="296"/>
      <c r="Q53" s="228">
        <v>50839.77</v>
      </c>
      <c r="R53" s="226">
        <v>50839.77</v>
      </c>
      <c r="S53" s="239">
        <v>0</v>
      </c>
      <c r="T53" s="226"/>
      <c r="U53" s="226"/>
      <c r="V53" s="226"/>
      <c r="W53" s="241"/>
      <c r="X53" s="226"/>
      <c r="Y53" s="228">
        <v>8479.4500000000007</v>
      </c>
      <c r="Z53" s="226">
        <v>8479.4500000000007</v>
      </c>
      <c r="AA53" s="239">
        <v>0</v>
      </c>
      <c r="AB53" s="226"/>
      <c r="AC53" s="226"/>
      <c r="AD53" s="226"/>
      <c r="AE53" s="226"/>
      <c r="AF53" s="229"/>
      <c r="AG53" s="226">
        <v>3437.02</v>
      </c>
      <c r="AH53" s="226">
        <v>3437.02</v>
      </c>
      <c r="AI53" s="239">
        <v>0</v>
      </c>
      <c r="AJ53" s="226"/>
      <c r="AK53" s="226"/>
      <c r="AL53" s="226"/>
      <c r="AM53" s="226"/>
      <c r="AN53" s="226"/>
    </row>
    <row r="54" spans="2:40" ht="13.5" x14ac:dyDescent="0.25">
      <c r="B54" s="194"/>
      <c r="C54" s="191"/>
      <c r="D54" s="191"/>
      <c r="E54" s="191"/>
      <c r="F54" s="191"/>
      <c r="G54" s="191"/>
      <c r="H54" s="191" t="s">
        <v>212</v>
      </c>
      <c r="I54" s="226">
        <v>1430190.14</v>
      </c>
      <c r="J54" s="226">
        <v>1430190.14</v>
      </c>
      <c r="K54" s="226"/>
      <c r="L54" s="228"/>
      <c r="M54" s="226"/>
      <c r="N54" s="226"/>
      <c r="O54" s="226"/>
      <c r="P54" s="296"/>
      <c r="Q54" s="228">
        <v>481150.25</v>
      </c>
      <c r="R54" s="226">
        <v>481150.25</v>
      </c>
      <c r="S54" s="239">
        <v>0</v>
      </c>
      <c r="T54" s="226"/>
      <c r="U54" s="226"/>
      <c r="V54" s="226"/>
      <c r="W54" s="241"/>
      <c r="X54" s="226"/>
      <c r="Y54" s="228">
        <v>498584.89999999997</v>
      </c>
      <c r="Z54" s="226">
        <v>498584.89999999997</v>
      </c>
      <c r="AA54" s="239">
        <v>0</v>
      </c>
      <c r="AB54" s="226"/>
      <c r="AC54" s="226"/>
      <c r="AD54" s="226"/>
      <c r="AE54" s="226"/>
      <c r="AF54" s="229"/>
      <c r="AG54" s="226">
        <v>450454.99</v>
      </c>
      <c r="AH54" s="226">
        <v>450454.99</v>
      </c>
      <c r="AI54" s="239">
        <v>0</v>
      </c>
      <c r="AJ54" s="226"/>
      <c r="AK54" s="226"/>
      <c r="AL54" s="226"/>
      <c r="AM54" s="226"/>
      <c r="AN54" s="226"/>
    </row>
    <row r="55" spans="2:40" ht="13.5" x14ac:dyDescent="0.25">
      <c r="B55" s="194"/>
      <c r="C55" s="191"/>
      <c r="D55" s="191"/>
      <c r="E55" s="191"/>
      <c r="F55" s="191"/>
      <c r="G55" s="191"/>
      <c r="H55" s="191" t="s">
        <v>214</v>
      </c>
      <c r="I55" s="226">
        <v>0</v>
      </c>
      <c r="J55" s="226">
        <v>0</v>
      </c>
      <c r="K55" s="226"/>
      <c r="L55" s="228"/>
      <c r="M55" s="226"/>
      <c r="N55" s="226"/>
      <c r="O55" s="226"/>
      <c r="P55" s="296"/>
      <c r="Q55" s="228">
        <v>0</v>
      </c>
      <c r="R55" s="226"/>
      <c r="S55" s="239">
        <v>0</v>
      </c>
      <c r="T55" s="226"/>
      <c r="U55" s="226"/>
      <c r="V55" s="226"/>
      <c r="W55" s="241"/>
      <c r="X55" s="226"/>
      <c r="Y55" s="228">
        <v>0</v>
      </c>
      <c r="Z55" s="226"/>
      <c r="AA55" s="239">
        <v>0</v>
      </c>
      <c r="AB55" s="226"/>
      <c r="AC55" s="226"/>
      <c r="AD55" s="226"/>
      <c r="AE55" s="226"/>
      <c r="AF55" s="229"/>
      <c r="AG55" s="226">
        <v>0</v>
      </c>
      <c r="AH55" s="226"/>
      <c r="AI55" s="239">
        <v>0</v>
      </c>
      <c r="AJ55" s="226"/>
      <c r="AK55" s="226"/>
      <c r="AL55" s="226"/>
      <c r="AM55" s="226"/>
      <c r="AN55" s="226"/>
    </row>
    <row r="56" spans="2:40" ht="13.5" x14ac:dyDescent="0.25">
      <c r="B56" s="194"/>
      <c r="C56" s="191"/>
      <c r="D56" s="191"/>
      <c r="E56" s="191"/>
      <c r="F56" s="191"/>
      <c r="G56" s="191"/>
      <c r="H56" s="287" t="s">
        <v>215</v>
      </c>
      <c r="I56" s="226">
        <v>-1500809.7000000002</v>
      </c>
      <c r="J56" s="226">
        <v>-1500809.7000000002</v>
      </c>
      <c r="K56" s="226"/>
      <c r="L56" s="228"/>
      <c r="M56" s="226"/>
      <c r="N56" s="226"/>
      <c r="O56" s="226"/>
      <c r="P56" s="296"/>
      <c r="Q56" s="228">
        <v>-164028.89000000001</v>
      </c>
      <c r="R56" s="298">
        <v>-164028.89000000001</v>
      </c>
      <c r="S56" s="239">
        <v>0</v>
      </c>
      <c r="T56" s="226"/>
      <c r="U56" s="226"/>
      <c r="V56" s="226"/>
      <c r="W56" s="241"/>
      <c r="X56" s="226"/>
      <c r="Y56" s="228">
        <v>-573128.89</v>
      </c>
      <c r="Z56" s="298">
        <v>-573128.89</v>
      </c>
      <c r="AA56" s="239">
        <v>0</v>
      </c>
      <c r="AB56" s="226"/>
      <c r="AC56" s="226"/>
      <c r="AD56" s="226"/>
      <c r="AE56" s="226"/>
      <c r="AF56" s="229"/>
      <c r="AG56" s="226">
        <v>-763651.92</v>
      </c>
      <c r="AH56" s="298">
        <v>-763651.92</v>
      </c>
      <c r="AI56" s="239">
        <v>0</v>
      </c>
      <c r="AJ56" s="226"/>
      <c r="AK56" s="226"/>
      <c r="AL56" s="226"/>
      <c r="AM56" s="226"/>
      <c r="AN56" s="226"/>
    </row>
    <row r="57" spans="2:40" ht="13.5" x14ac:dyDescent="0.25">
      <c r="B57" s="194"/>
      <c r="C57" s="191"/>
      <c r="D57" s="191"/>
      <c r="E57" s="191"/>
      <c r="F57" s="191"/>
      <c r="G57" s="191"/>
      <c r="H57" s="191" t="s">
        <v>216</v>
      </c>
      <c r="I57" s="226">
        <v>-637730.13000000012</v>
      </c>
      <c r="J57" s="226">
        <v>-637730.13000000012</v>
      </c>
      <c r="K57" s="226"/>
      <c r="L57" s="228"/>
      <c r="M57" s="226"/>
      <c r="N57" s="226"/>
      <c r="O57" s="226"/>
      <c r="P57" s="296"/>
      <c r="Q57" s="228">
        <v>-189630.73</v>
      </c>
      <c r="R57" s="226">
        <v>-189630.73</v>
      </c>
      <c r="S57" s="239">
        <v>0</v>
      </c>
      <c r="T57" s="226"/>
      <c r="U57" s="226"/>
      <c r="V57" s="226"/>
      <c r="W57" s="241"/>
      <c r="X57" s="226"/>
      <c r="Y57" s="228">
        <v>-199553.07</v>
      </c>
      <c r="Z57" s="226">
        <v>-199553.07</v>
      </c>
      <c r="AA57" s="239">
        <v>0</v>
      </c>
      <c r="AB57" s="226"/>
      <c r="AC57" s="226"/>
      <c r="AD57" s="226"/>
      <c r="AE57" s="226"/>
      <c r="AF57" s="229"/>
      <c r="AG57" s="226">
        <v>-248546.33000000002</v>
      </c>
      <c r="AH57" s="226">
        <v>-248546.33000000002</v>
      </c>
      <c r="AI57" s="239">
        <v>0</v>
      </c>
      <c r="AJ57" s="226"/>
      <c r="AK57" s="226"/>
      <c r="AL57" s="226"/>
      <c r="AM57" s="226"/>
      <c r="AN57" s="226"/>
    </row>
    <row r="58" spans="2:40" ht="13.5" x14ac:dyDescent="0.25">
      <c r="B58" s="213"/>
      <c r="C58" s="214"/>
      <c r="D58" s="191"/>
      <c r="E58" s="191"/>
      <c r="F58" s="214"/>
      <c r="G58" s="214" t="s">
        <v>217</v>
      </c>
      <c r="H58" s="214"/>
      <c r="I58" s="241">
        <v>1819360.09</v>
      </c>
      <c r="J58" s="241">
        <v>1819360.09</v>
      </c>
      <c r="K58" s="241"/>
      <c r="L58" s="240"/>
      <c r="M58" s="241"/>
      <c r="N58" s="241"/>
      <c r="O58" s="241"/>
      <c r="P58" s="292"/>
      <c r="Q58" s="240">
        <v>1341717.96</v>
      </c>
      <c r="R58" s="241">
        <v>1341717.96</v>
      </c>
      <c r="S58" s="294">
        <v>0</v>
      </c>
      <c r="T58" s="241"/>
      <c r="U58" s="241"/>
      <c r="V58" s="241"/>
      <c r="W58" s="241"/>
      <c r="X58" s="241"/>
      <c r="Y58" s="240">
        <v>2929351.98</v>
      </c>
      <c r="Z58" s="241">
        <v>2929351.98</v>
      </c>
      <c r="AA58" s="294">
        <v>0</v>
      </c>
      <c r="AB58" s="241"/>
      <c r="AC58" s="241"/>
      <c r="AD58" s="241"/>
      <c r="AE58" s="241"/>
      <c r="AF58" s="227"/>
      <c r="AG58" s="241">
        <v>1819360.09</v>
      </c>
      <c r="AH58" s="241">
        <v>1819360.09</v>
      </c>
      <c r="AI58" s="294">
        <v>0</v>
      </c>
      <c r="AJ58" s="241"/>
      <c r="AK58" s="241"/>
      <c r="AL58" s="241"/>
      <c r="AM58" s="241"/>
      <c r="AN58" s="241"/>
    </row>
    <row r="59" spans="2:40" ht="13.5" x14ac:dyDescent="0.25">
      <c r="B59" s="194"/>
      <c r="C59" s="191"/>
      <c r="D59" s="191"/>
      <c r="E59" s="191"/>
      <c r="F59" s="191"/>
      <c r="G59" s="191"/>
      <c r="H59" s="191" t="s">
        <v>210</v>
      </c>
      <c r="I59" s="226">
        <v>1341397.82</v>
      </c>
      <c r="J59" s="226">
        <v>1341397.82</v>
      </c>
      <c r="K59" s="226"/>
      <c r="L59" s="228"/>
      <c r="M59" s="226"/>
      <c r="N59" s="226"/>
      <c r="O59" s="226"/>
      <c r="P59" s="296"/>
      <c r="Q59" s="228">
        <v>920696.86</v>
      </c>
      <c r="R59" s="226">
        <v>920696.86</v>
      </c>
      <c r="S59" s="239"/>
      <c r="T59" s="226"/>
      <c r="U59" s="226"/>
      <c r="V59" s="226"/>
      <c r="W59" s="241"/>
      <c r="X59" s="226"/>
      <c r="Y59" s="228">
        <v>2432793.36</v>
      </c>
      <c r="Z59" s="226">
        <v>2432793.36</v>
      </c>
      <c r="AA59" s="239"/>
      <c r="AB59" s="226"/>
      <c r="AC59" s="226"/>
      <c r="AD59" s="226"/>
      <c r="AE59" s="226"/>
      <c r="AF59" s="229"/>
      <c r="AG59" s="226">
        <v>1341397.82</v>
      </c>
      <c r="AH59" s="226">
        <v>1341397.82</v>
      </c>
      <c r="AI59" s="239"/>
      <c r="AJ59" s="226"/>
      <c r="AK59" s="226"/>
      <c r="AL59" s="226"/>
      <c r="AM59" s="226"/>
      <c r="AN59" s="226"/>
    </row>
    <row r="60" spans="2:40" ht="13.5" x14ac:dyDescent="0.25">
      <c r="B60" s="194"/>
      <c r="C60" s="191"/>
      <c r="D60" s="191"/>
      <c r="E60" s="191"/>
      <c r="F60" s="191"/>
      <c r="G60" s="191"/>
      <c r="H60" s="191" t="s">
        <v>211</v>
      </c>
      <c r="I60" s="226">
        <v>126864.93</v>
      </c>
      <c r="J60" s="226">
        <v>126864.93</v>
      </c>
      <c r="K60" s="226"/>
      <c r="L60" s="228"/>
      <c r="M60" s="226"/>
      <c r="N60" s="226"/>
      <c r="O60" s="226"/>
      <c r="P60" s="296"/>
      <c r="Q60" s="228">
        <v>169832.35</v>
      </c>
      <c r="R60" s="226">
        <v>169832.35</v>
      </c>
      <c r="S60" s="239"/>
      <c r="T60" s="226"/>
      <c r="U60" s="226"/>
      <c r="V60" s="226"/>
      <c r="W60" s="241"/>
      <c r="X60" s="226"/>
      <c r="Y60" s="228">
        <v>156817.81</v>
      </c>
      <c r="Z60" s="226">
        <v>156817.81</v>
      </c>
      <c r="AA60" s="239"/>
      <c r="AB60" s="226"/>
      <c r="AC60" s="226"/>
      <c r="AD60" s="226"/>
      <c r="AE60" s="226"/>
      <c r="AF60" s="229"/>
      <c r="AG60" s="226">
        <v>126864.93</v>
      </c>
      <c r="AH60" s="226">
        <v>126864.93</v>
      </c>
      <c r="AI60" s="239"/>
      <c r="AJ60" s="226"/>
      <c r="AK60" s="226"/>
      <c r="AL60" s="226"/>
      <c r="AM60" s="226"/>
      <c r="AN60" s="226"/>
    </row>
    <row r="61" spans="2:40" ht="13.5" x14ac:dyDescent="0.25">
      <c r="B61" s="194"/>
      <c r="C61" s="191"/>
      <c r="D61" s="191"/>
      <c r="E61" s="191"/>
      <c r="F61" s="191"/>
      <c r="G61" s="191"/>
      <c r="H61" s="191" t="s">
        <v>212</v>
      </c>
      <c r="I61" s="226">
        <v>351097.34</v>
      </c>
      <c r="J61" s="226">
        <v>351097.34</v>
      </c>
      <c r="K61" s="226"/>
      <c r="L61" s="228"/>
      <c r="M61" s="226"/>
      <c r="N61" s="226"/>
      <c r="O61" s="226"/>
      <c r="P61" s="296"/>
      <c r="Q61" s="228">
        <v>251188.75</v>
      </c>
      <c r="R61" s="226">
        <v>251188.75</v>
      </c>
      <c r="S61" s="239"/>
      <c r="T61" s="226"/>
      <c r="U61" s="226"/>
      <c r="V61" s="226"/>
      <c r="W61" s="241"/>
      <c r="X61" s="226"/>
      <c r="Y61" s="228">
        <v>339740.81</v>
      </c>
      <c r="Z61" s="226">
        <v>339740.81</v>
      </c>
      <c r="AA61" s="239"/>
      <c r="AB61" s="226"/>
      <c r="AC61" s="226"/>
      <c r="AD61" s="226"/>
      <c r="AE61" s="226"/>
      <c r="AF61" s="229"/>
      <c r="AG61" s="226">
        <v>351097.34</v>
      </c>
      <c r="AH61" s="226">
        <v>351097.34</v>
      </c>
      <c r="AI61" s="239"/>
      <c r="AJ61" s="226"/>
      <c r="AK61" s="226"/>
      <c r="AL61" s="226"/>
      <c r="AM61" s="226"/>
      <c r="AN61" s="226"/>
    </row>
    <row r="62" spans="2:40" ht="13.5" x14ac:dyDescent="0.25">
      <c r="B62" s="286"/>
      <c r="C62" s="287"/>
      <c r="D62" s="287"/>
      <c r="E62" s="287"/>
      <c r="F62" s="287" t="s">
        <v>162</v>
      </c>
      <c r="G62" s="287"/>
      <c r="H62" s="287"/>
      <c r="I62" s="289">
        <v>5994499.3200000012</v>
      </c>
      <c r="J62" s="289"/>
      <c r="K62" s="289">
        <v>5994499.3200000012</v>
      </c>
      <c r="L62" s="288">
        <v>135984.06000000006</v>
      </c>
      <c r="M62" s="289">
        <v>294029.74</v>
      </c>
      <c r="N62" s="289">
        <v>4902929.1300000008</v>
      </c>
      <c r="O62" s="289">
        <v>661556.39000000013</v>
      </c>
      <c r="P62" s="290">
        <v>0</v>
      </c>
      <c r="Q62" s="288">
        <v>2070650.4274145067</v>
      </c>
      <c r="R62" s="299">
        <v>0</v>
      </c>
      <c r="S62" s="300">
        <v>2070650.4274145067</v>
      </c>
      <c r="T62" s="299">
        <v>46900.79592497542</v>
      </c>
      <c r="U62" s="299">
        <v>132321.17855046224</v>
      </c>
      <c r="V62" s="299">
        <v>1888636.7487052404</v>
      </c>
      <c r="W62" s="299">
        <v>2791.7042338275351</v>
      </c>
      <c r="X62" s="299">
        <v>0</v>
      </c>
      <c r="Y62" s="288">
        <v>2033898.662585495</v>
      </c>
      <c r="Z62" s="299">
        <v>0</v>
      </c>
      <c r="AA62" s="300">
        <v>2033898.662585495</v>
      </c>
      <c r="AB62" s="299">
        <v>98408.70407502458</v>
      </c>
      <c r="AC62" s="299">
        <v>-2003.2385504620615</v>
      </c>
      <c r="AD62" s="299">
        <v>1485353.9112947593</v>
      </c>
      <c r="AE62" s="299">
        <v>452139.28576617269</v>
      </c>
      <c r="AF62" s="300">
        <v>0</v>
      </c>
      <c r="AG62" s="289">
        <v>1889950.2299999995</v>
      </c>
      <c r="AH62" s="289">
        <v>0</v>
      </c>
      <c r="AI62" s="300">
        <v>1889950.2299999995</v>
      </c>
      <c r="AJ62" s="289">
        <v>-9325.4399999999441</v>
      </c>
      <c r="AK62" s="289">
        <v>163711.80000000005</v>
      </c>
      <c r="AL62" s="289">
        <v>1528938.4700000004</v>
      </c>
      <c r="AM62" s="289">
        <v>206625.39999999991</v>
      </c>
      <c r="AN62" s="289">
        <v>0</v>
      </c>
    </row>
    <row r="63" spans="2:40" ht="13.5" x14ac:dyDescent="0.25">
      <c r="B63" s="213"/>
      <c r="C63" s="214"/>
      <c r="D63" s="214"/>
      <c r="E63" s="214"/>
      <c r="F63" s="214"/>
      <c r="G63" s="214" t="s">
        <v>209</v>
      </c>
      <c r="H63" s="214"/>
      <c r="I63" s="241">
        <v>7540282.6700000009</v>
      </c>
      <c r="J63" s="241"/>
      <c r="K63" s="241">
        <v>7540282.6700000009</v>
      </c>
      <c r="L63" s="240">
        <v>1037118.25</v>
      </c>
      <c r="M63" s="241">
        <v>1764956.57</v>
      </c>
      <c r="N63" s="241">
        <v>1800989.65</v>
      </c>
      <c r="O63" s="241">
        <v>2937218.2</v>
      </c>
      <c r="P63" s="292">
        <v>0</v>
      </c>
      <c r="Q63" s="240">
        <v>7540282.6700000009</v>
      </c>
      <c r="R63" s="241">
        <v>0</v>
      </c>
      <c r="S63" s="294">
        <v>7540282.6700000009</v>
      </c>
      <c r="T63" s="293">
        <v>1037118.25</v>
      </c>
      <c r="U63" s="293">
        <v>1764956.57</v>
      </c>
      <c r="V63" s="293">
        <v>1800989.65</v>
      </c>
      <c r="W63" s="293">
        <v>2937218.2</v>
      </c>
      <c r="X63" s="293">
        <v>0</v>
      </c>
      <c r="Y63" s="240">
        <v>7763034.0225854944</v>
      </c>
      <c r="Z63" s="293">
        <v>0</v>
      </c>
      <c r="AA63" s="227">
        <v>7763034.0225854944</v>
      </c>
      <c r="AB63" s="241">
        <v>990217.45407502458</v>
      </c>
      <c r="AC63" s="241">
        <v>1670059.6014495378</v>
      </c>
      <c r="AD63" s="241">
        <v>1986094.3912947592</v>
      </c>
      <c r="AE63" s="241">
        <v>3116662.5757661727</v>
      </c>
      <c r="AF63" s="227">
        <v>0</v>
      </c>
      <c r="AG63" s="241">
        <v>7485963.5399999991</v>
      </c>
      <c r="AH63" s="241">
        <v>0</v>
      </c>
      <c r="AI63" s="294">
        <v>7485963.5399999991</v>
      </c>
      <c r="AJ63" s="241">
        <v>891808.75</v>
      </c>
      <c r="AK63" s="241">
        <v>1680146.93</v>
      </c>
      <c r="AL63" s="241">
        <v>1921306.33</v>
      </c>
      <c r="AM63" s="241">
        <v>2992701.53</v>
      </c>
      <c r="AN63" s="241">
        <v>0</v>
      </c>
    </row>
    <row r="64" spans="2:40" ht="13.5" x14ac:dyDescent="0.25">
      <c r="B64" s="194"/>
      <c r="C64" s="191"/>
      <c r="D64" s="191"/>
      <c r="E64" s="191"/>
      <c r="F64" s="191"/>
      <c r="G64" s="191"/>
      <c r="H64" s="191" t="s">
        <v>218</v>
      </c>
      <c r="I64" s="226">
        <v>7540282.6700000009</v>
      </c>
      <c r="J64" s="226"/>
      <c r="K64" s="226">
        <v>7540282.6700000009</v>
      </c>
      <c r="L64" s="228">
        <v>1037118.25</v>
      </c>
      <c r="M64" s="226">
        <v>1764956.57</v>
      </c>
      <c r="N64" s="226">
        <v>1800989.65</v>
      </c>
      <c r="O64" s="226">
        <v>2937218.2</v>
      </c>
      <c r="P64" s="296">
        <v>0</v>
      </c>
      <c r="Q64" s="228">
        <v>7540282.6700000009</v>
      </c>
      <c r="R64" s="226">
        <v>0</v>
      </c>
      <c r="S64" s="239">
        <v>7540282.6700000009</v>
      </c>
      <c r="T64" s="226">
        <v>1037118.25</v>
      </c>
      <c r="U64" s="226">
        <v>1764956.57</v>
      </c>
      <c r="V64" s="226">
        <v>1800989.65</v>
      </c>
      <c r="W64" s="226">
        <v>2937218.2</v>
      </c>
      <c r="X64" s="226">
        <v>0</v>
      </c>
      <c r="Y64" s="228">
        <v>7763034.0225854944</v>
      </c>
      <c r="Z64" s="238"/>
      <c r="AA64" s="229">
        <v>7763034.0225854944</v>
      </c>
      <c r="AB64" s="226">
        <v>990217.45407502458</v>
      </c>
      <c r="AC64" s="226">
        <v>1670059.6014495378</v>
      </c>
      <c r="AD64" s="226">
        <v>1986094.3912947592</v>
      </c>
      <c r="AE64" s="226">
        <v>3116662.5757661727</v>
      </c>
      <c r="AF64" s="229"/>
      <c r="AG64" s="226">
        <v>7485963.5399999991</v>
      </c>
      <c r="AH64" s="238"/>
      <c r="AI64" s="239">
        <v>7485963.5399999991</v>
      </c>
      <c r="AJ64" s="226">
        <v>891808.75</v>
      </c>
      <c r="AK64" s="226">
        <v>1680146.93</v>
      </c>
      <c r="AL64" s="226">
        <v>1921306.33</v>
      </c>
      <c r="AM64" s="226">
        <v>2992701.53</v>
      </c>
      <c r="AN64" s="226">
        <v>0</v>
      </c>
    </row>
    <row r="65" spans="2:40" ht="13.5" x14ac:dyDescent="0.25">
      <c r="B65" s="213"/>
      <c r="C65" s="214"/>
      <c r="D65" s="214"/>
      <c r="E65" s="214"/>
      <c r="F65" s="214"/>
      <c r="G65" s="214" t="s">
        <v>213</v>
      </c>
      <c r="H65" s="214"/>
      <c r="I65" s="241">
        <v>5777174.8599999994</v>
      </c>
      <c r="J65" s="241"/>
      <c r="K65" s="241">
        <v>5777174.8599999994</v>
      </c>
      <c r="L65" s="240">
        <v>0</v>
      </c>
      <c r="M65" s="241">
        <v>67034.14</v>
      </c>
      <c r="N65" s="241">
        <v>5009833.24</v>
      </c>
      <c r="O65" s="241">
        <v>700307.48</v>
      </c>
      <c r="P65" s="292">
        <v>0</v>
      </c>
      <c r="Q65" s="240">
        <v>2293401.7799999998</v>
      </c>
      <c r="R65" s="241">
        <v>0</v>
      </c>
      <c r="S65" s="294">
        <v>2293401.7799999998</v>
      </c>
      <c r="T65" s="293">
        <v>0</v>
      </c>
      <c r="U65" s="293">
        <v>37424.21</v>
      </c>
      <c r="V65" s="293">
        <v>2073741.4899999998</v>
      </c>
      <c r="W65" s="293">
        <v>182236.08</v>
      </c>
      <c r="X65" s="293">
        <v>0</v>
      </c>
      <c r="Y65" s="240">
        <v>1756828.18</v>
      </c>
      <c r="Z65" s="293">
        <v>0</v>
      </c>
      <c r="AA65" s="227">
        <v>1756828.18</v>
      </c>
      <c r="AB65" s="241">
        <v>0</v>
      </c>
      <c r="AC65" s="241">
        <v>8084.0899999999992</v>
      </c>
      <c r="AD65" s="241">
        <v>1420565.8499999999</v>
      </c>
      <c r="AE65" s="241">
        <v>328178.24</v>
      </c>
      <c r="AF65" s="227">
        <v>0</v>
      </c>
      <c r="AG65" s="241">
        <v>1726944.9000000001</v>
      </c>
      <c r="AH65" s="293">
        <v>0</v>
      </c>
      <c r="AI65" s="227">
        <v>1726944.9000000001</v>
      </c>
      <c r="AJ65" s="241">
        <v>0</v>
      </c>
      <c r="AK65" s="241">
        <v>21525.84</v>
      </c>
      <c r="AL65" s="241">
        <v>1515525.9000000001</v>
      </c>
      <c r="AM65" s="241">
        <v>189893.16</v>
      </c>
      <c r="AN65" s="241">
        <v>0</v>
      </c>
    </row>
    <row r="66" spans="2:40" ht="13.5" x14ac:dyDescent="0.25">
      <c r="B66" s="194"/>
      <c r="C66" s="191"/>
      <c r="D66" s="191"/>
      <c r="E66" s="191"/>
      <c r="F66" s="191"/>
      <c r="G66" s="191"/>
      <c r="H66" s="191" t="s">
        <v>219</v>
      </c>
      <c r="I66" s="226">
        <v>5009833.24</v>
      </c>
      <c r="J66" s="226"/>
      <c r="K66" s="241">
        <v>5009833.24</v>
      </c>
      <c r="L66" s="228">
        <v>0</v>
      </c>
      <c r="M66" s="226">
        <v>0</v>
      </c>
      <c r="N66" s="226">
        <v>5009833.24</v>
      </c>
      <c r="O66" s="226">
        <v>0</v>
      </c>
      <c r="P66" s="296">
        <v>0</v>
      </c>
      <c r="Q66" s="228">
        <v>2073741.4899999998</v>
      </c>
      <c r="R66" s="226"/>
      <c r="S66" s="239">
        <v>2073741.4899999998</v>
      </c>
      <c r="T66" s="226"/>
      <c r="U66" s="226"/>
      <c r="V66" s="226">
        <v>2073741.4899999998</v>
      </c>
      <c r="W66" s="226"/>
      <c r="X66" s="226"/>
      <c r="Y66" s="228">
        <v>1420565.8499999999</v>
      </c>
      <c r="Z66" s="238"/>
      <c r="AA66" s="229">
        <v>1420565.8499999999</v>
      </c>
      <c r="AB66" s="226"/>
      <c r="AC66" s="226"/>
      <c r="AD66" s="226">
        <v>1420565.8499999999</v>
      </c>
      <c r="AE66" s="226"/>
      <c r="AF66" s="229"/>
      <c r="AG66" s="226">
        <v>1515525.9000000001</v>
      </c>
      <c r="AH66" s="238"/>
      <c r="AI66" s="239">
        <v>1515525.9000000001</v>
      </c>
      <c r="AJ66" s="226"/>
      <c r="AK66" s="226"/>
      <c r="AL66" s="226">
        <v>1515525.9000000001</v>
      </c>
      <c r="AM66" s="226"/>
      <c r="AN66" s="226"/>
    </row>
    <row r="67" spans="2:40" ht="13.5" x14ac:dyDescent="0.25">
      <c r="B67" s="194"/>
      <c r="C67" s="191"/>
      <c r="D67" s="191"/>
      <c r="E67" s="191"/>
      <c r="F67" s="191"/>
      <c r="G67" s="191"/>
      <c r="H67" s="191" t="s">
        <v>106</v>
      </c>
      <c r="I67" s="226">
        <v>67034.14</v>
      </c>
      <c r="J67" s="226"/>
      <c r="K67" s="241">
        <v>67034.14</v>
      </c>
      <c r="L67" s="228">
        <v>0</v>
      </c>
      <c r="M67" s="226">
        <v>67034.14</v>
      </c>
      <c r="N67" s="226">
        <v>0</v>
      </c>
      <c r="O67" s="226">
        <v>0</v>
      </c>
      <c r="P67" s="296">
        <v>0</v>
      </c>
      <c r="Q67" s="228">
        <v>37424.21</v>
      </c>
      <c r="R67" s="226"/>
      <c r="S67" s="239">
        <v>37424.21</v>
      </c>
      <c r="T67" s="226"/>
      <c r="U67" s="226">
        <v>37424.21</v>
      </c>
      <c r="V67" s="226"/>
      <c r="W67" s="226"/>
      <c r="X67" s="226"/>
      <c r="Y67" s="228">
        <v>8084.0899999999992</v>
      </c>
      <c r="Z67" s="238"/>
      <c r="AA67" s="229">
        <v>8084.0899999999992</v>
      </c>
      <c r="AB67" s="226"/>
      <c r="AC67" s="226">
        <v>8084.0899999999992</v>
      </c>
      <c r="AD67" s="226"/>
      <c r="AE67" s="226"/>
      <c r="AF67" s="229"/>
      <c r="AG67" s="226">
        <v>21525.84</v>
      </c>
      <c r="AH67" s="238"/>
      <c r="AI67" s="239">
        <v>21525.84</v>
      </c>
      <c r="AJ67" s="226"/>
      <c r="AK67" s="226">
        <v>21525.84</v>
      </c>
      <c r="AL67" s="226"/>
      <c r="AM67" s="226"/>
      <c r="AN67" s="226"/>
    </row>
    <row r="68" spans="2:40" ht="13.5" x14ac:dyDescent="0.25">
      <c r="B68" s="194"/>
      <c r="C68" s="191"/>
      <c r="D68" s="191"/>
      <c r="E68" s="191"/>
      <c r="F68" s="191"/>
      <c r="G68" s="191"/>
      <c r="H68" s="191" t="s">
        <v>220</v>
      </c>
      <c r="I68" s="226">
        <v>0</v>
      </c>
      <c r="J68" s="226"/>
      <c r="K68" s="241">
        <v>0</v>
      </c>
      <c r="L68" s="228">
        <v>0</v>
      </c>
      <c r="M68" s="226">
        <v>0</v>
      </c>
      <c r="N68" s="226">
        <v>0</v>
      </c>
      <c r="O68" s="226">
        <v>0</v>
      </c>
      <c r="P68" s="296">
        <v>0</v>
      </c>
      <c r="Q68" s="228">
        <v>0</v>
      </c>
      <c r="R68" s="226"/>
      <c r="S68" s="239">
        <v>0</v>
      </c>
      <c r="T68" s="226"/>
      <c r="U68" s="226"/>
      <c r="V68" s="226"/>
      <c r="W68" s="226"/>
      <c r="X68" s="226"/>
      <c r="Y68" s="228">
        <v>0</v>
      </c>
      <c r="Z68" s="238"/>
      <c r="AA68" s="229">
        <v>0</v>
      </c>
      <c r="AB68" s="226"/>
      <c r="AC68" s="226"/>
      <c r="AD68" s="226"/>
      <c r="AE68" s="226"/>
      <c r="AF68" s="229"/>
      <c r="AG68" s="226">
        <v>0</v>
      </c>
      <c r="AH68" s="238"/>
      <c r="AI68" s="239">
        <v>0</v>
      </c>
      <c r="AJ68" s="226"/>
      <c r="AK68" s="226"/>
      <c r="AL68" s="226"/>
      <c r="AM68" s="226"/>
      <c r="AN68" s="226"/>
    </row>
    <row r="69" spans="2:40" ht="13.5" x14ac:dyDescent="0.25">
      <c r="B69" s="194"/>
      <c r="C69" s="191"/>
      <c r="D69" s="191"/>
      <c r="E69" s="191"/>
      <c r="F69" s="191"/>
      <c r="G69" s="191"/>
      <c r="H69" s="191" t="s">
        <v>203</v>
      </c>
      <c r="I69" s="226">
        <v>700307.48</v>
      </c>
      <c r="J69" s="226"/>
      <c r="K69" s="241">
        <v>700307.48</v>
      </c>
      <c r="L69" s="228">
        <v>0</v>
      </c>
      <c r="M69" s="226">
        <v>0</v>
      </c>
      <c r="N69" s="226">
        <v>0</v>
      </c>
      <c r="O69" s="226">
        <v>700307.48</v>
      </c>
      <c r="P69" s="296">
        <v>0</v>
      </c>
      <c r="Q69" s="228">
        <v>182236.08</v>
      </c>
      <c r="R69" s="226"/>
      <c r="S69" s="239">
        <v>182236.08</v>
      </c>
      <c r="T69" s="226"/>
      <c r="U69" s="226"/>
      <c r="V69" s="226"/>
      <c r="W69" s="226">
        <v>182236.08</v>
      </c>
      <c r="X69" s="226"/>
      <c r="Y69" s="228">
        <v>328178.24</v>
      </c>
      <c r="Z69" s="238"/>
      <c r="AA69" s="229">
        <v>328178.24</v>
      </c>
      <c r="AB69" s="226"/>
      <c r="AC69" s="226"/>
      <c r="AD69" s="226"/>
      <c r="AE69" s="226">
        <v>328178.24</v>
      </c>
      <c r="AF69" s="229"/>
      <c r="AG69" s="226">
        <v>189893.16</v>
      </c>
      <c r="AH69" s="238"/>
      <c r="AI69" s="239">
        <v>189893.16</v>
      </c>
      <c r="AJ69" s="226"/>
      <c r="AK69" s="226"/>
      <c r="AL69" s="226"/>
      <c r="AM69" s="226">
        <v>189893.16</v>
      </c>
      <c r="AN69" s="226"/>
    </row>
    <row r="70" spans="2:40" ht="13.5" x14ac:dyDescent="0.25">
      <c r="B70" s="213"/>
      <c r="C70" s="214"/>
      <c r="D70" s="214"/>
      <c r="E70" s="214"/>
      <c r="F70" s="214"/>
      <c r="G70" s="214" t="s">
        <v>217</v>
      </c>
      <c r="H70" s="214"/>
      <c r="I70" s="241">
        <v>7322958.21</v>
      </c>
      <c r="J70" s="241"/>
      <c r="K70" s="241">
        <v>7322958.21</v>
      </c>
      <c r="L70" s="240">
        <v>901134.19</v>
      </c>
      <c r="M70" s="241">
        <v>1537960.97</v>
      </c>
      <c r="N70" s="241">
        <v>1907893.76</v>
      </c>
      <c r="O70" s="241">
        <v>2975969.29</v>
      </c>
      <c r="P70" s="292">
        <v>0</v>
      </c>
      <c r="Q70" s="240">
        <v>7763034.0225854944</v>
      </c>
      <c r="R70" s="241">
        <v>0</v>
      </c>
      <c r="S70" s="294">
        <v>7763034.0225854944</v>
      </c>
      <c r="T70" s="293">
        <v>990217.45407502458</v>
      </c>
      <c r="U70" s="293">
        <v>1670059.6014495378</v>
      </c>
      <c r="V70" s="293">
        <v>1986094.3912947592</v>
      </c>
      <c r="W70" s="293">
        <v>3116662.5757661727</v>
      </c>
      <c r="X70" s="293">
        <v>0</v>
      </c>
      <c r="Y70" s="240">
        <v>7485963.5399999991</v>
      </c>
      <c r="Z70" s="293">
        <v>0</v>
      </c>
      <c r="AA70" s="227">
        <v>7485963.5399999991</v>
      </c>
      <c r="AB70" s="241">
        <v>891808.75</v>
      </c>
      <c r="AC70" s="241">
        <v>1680146.93</v>
      </c>
      <c r="AD70" s="241">
        <v>1921306.33</v>
      </c>
      <c r="AE70" s="241">
        <v>2992701.53</v>
      </c>
      <c r="AF70" s="227">
        <v>0</v>
      </c>
      <c r="AG70" s="241">
        <v>7322958.21</v>
      </c>
      <c r="AH70" s="293">
        <v>0</v>
      </c>
      <c r="AI70" s="294">
        <v>7322958.21</v>
      </c>
      <c r="AJ70" s="241">
        <v>901134.19</v>
      </c>
      <c r="AK70" s="241">
        <v>1537960.97</v>
      </c>
      <c r="AL70" s="241">
        <v>1907893.76</v>
      </c>
      <c r="AM70" s="241">
        <v>2975969.29</v>
      </c>
      <c r="AN70" s="241">
        <v>0</v>
      </c>
    </row>
    <row r="71" spans="2:40" ht="13.5" x14ac:dyDescent="0.25">
      <c r="B71" s="194"/>
      <c r="C71" s="191"/>
      <c r="D71" s="191"/>
      <c r="E71" s="191"/>
      <c r="F71" s="191"/>
      <c r="G71" s="191"/>
      <c r="H71" s="191" t="s">
        <v>221</v>
      </c>
      <c r="I71" s="226">
        <v>7322958.21</v>
      </c>
      <c r="J71" s="226"/>
      <c r="K71" s="226">
        <v>7322958.21</v>
      </c>
      <c r="L71" s="228">
        <v>901134.19</v>
      </c>
      <c r="M71" s="226">
        <v>1537960.97</v>
      </c>
      <c r="N71" s="226">
        <v>1907893.76</v>
      </c>
      <c r="O71" s="226">
        <v>2975969.29</v>
      </c>
      <c r="P71" s="226">
        <v>0</v>
      </c>
      <c r="Q71" s="228">
        <v>7763034.0225854944</v>
      </c>
      <c r="R71" s="238">
        <v>0</v>
      </c>
      <c r="S71" s="229">
        <v>7763034.0225854944</v>
      </c>
      <c r="T71" s="226">
        <v>990217.45407502458</v>
      </c>
      <c r="U71" s="226">
        <v>1670059.6014495378</v>
      </c>
      <c r="V71" s="226">
        <v>1986094.3912947592</v>
      </c>
      <c r="W71" s="226">
        <v>3116662.5757661727</v>
      </c>
      <c r="X71" s="226">
        <v>0</v>
      </c>
      <c r="Y71" s="228">
        <v>7485963.5399999991</v>
      </c>
      <c r="Z71" s="238"/>
      <c r="AA71" s="229">
        <v>7485963.5399999991</v>
      </c>
      <c r="AB71" s="226">
        <v>891808.75</v>
      </c>
      <c r="AC71" s="226">
        <v>1680146.93</v>
      </c>
      <c r="AD71" s="226">
        <v>1921306.33</v>
      </c>
      <c r="AE71" s="226">
        <v>2992701.53</v>
      </c>
      <c r="AF71" s="229"/>
      <c r="AG71" s="226">
        <v>7322958.21</v>
      </c>
      <c r="AH71" s="238"/>
      <c r="AI71" s="229">
        <v>7322958.21</v>
      </c>
      <c r="AJ71" s="226">
        <v>901134.19</v>
      </c>
      <c r="AK71" s="226">
        <v>1537960.97</v>
      </c>
      <c r="AL71" s="226">
        <v>1907893.76</v>
      </c>
      <c r="AM71" s="226">
        <v>2975969.29</v>
      </c>
      <c r="AN71" s="226">
        <v>0</v>
      </c>
    </row>
    <row r="72" spans="2:40" ht="13.5" x14ac:dyDescent="0.25">
      <c r="B72" s="213" t="s">
        <v>201</v>
      </c>
      <c r="C72" s="114" t="s">
        <v>115</v>
      </c>
      <c r="D72" s="214"/>
      <c r="E72" s="214"/>
      <c r="F72" s="255" t="s">
        <v>222</v>
      </c>
      <c r="G72" s="255"/>
      <c r="H72" s="301"/>
      <c r="I72" s="256">
        <v>-631339.87000000011</v>
      </c>
      <c r="J72" s="258">
        <v>-541885</v>
      </c>
      <c r="K72" s="258">
        <v>-89454.870000000112</v>
      </c>
      <c r="L72" s="259">
        <v>25232.190000000002</v>
      </c>
      <c r="M72" s="258">
        <v>12953.609999999986</v>
      </c>
      <c r="N72" s="258">
        <v>-62343.460000000021</v>
      </c>
      <c r="O72" s="258">
        <v>-65297.209999999992</v>
      </c>
      <c r="P72" s="302">
        <v>0</v>
      </c>
      <c r="Q72" s="259">
        <v>-180240.7517484054</v>
      </c>
      <c r="R72" s="258">
        <v>-123055.78000000026</v>
      </c>
      <c r="S72" s="260">
        <v>-57184.971748405136</v>
      </c>
      <c r="T72" s="258">
        <v>-4050.2035854613059</v>
      </c>
      <c r="U72" s="258">
        <v>162.53625123295933</v>
      </c>
      <c r="V72" s="258">
        <v>-53044.889304981509</v>
      </c>
      <c r="W72" s="258">
        <v>-252.41510919528082</v>
      </c>
      <c r="X72" s="258">
        <v>0</v>
      </c>
      <c r="Y72" s="259">
        <v>335161.03174840542</v>
      </c>
      <c r="Z72" s="258">
        <v>279503.16000000015</v>
      </c>
      <c r="AA72" s="260">
        <v>55657.871748405276</v>
      </c>
      <c r="AB72" s="258">
        <v>29373.123585461348</v>
      </c>
      <c r="AC72" s="258">
        <v>29532.193748767022</v>
      </c>
      <c r="AD72" s="258">
        <v>63637.029304981465</v>
      </c>
      <c r="AE72" s="258">
        <v>-66884.474890804733</v>
      </c>
      <c r="AF72" s="260">
        <v>0</v>
      </c>
      <c r="AG72" s="258">
        <v>-786260.15000000014</v>
      </c>
      <c r="AH72" s="258">
        <v>-698332.37999999989</v>
      </c>
      <c r="AI72" s="260">
        <v>-87927.770000000251</v>
      </c>
      <c r="AJ72" s="258">
        <v>-90.730000000039581</v>
      </c>
      <c r="AK72" s="258">
        <v>-16741.119999999995</v>
      </c>
      <c r="AL72" s="258">
        <v>-72935.599999999977</v>
      </c>
      <c r="AM72" s="258">
        <v>1839.6800000000221</v>
      </c>
      <c r="AN72" s="258">
        <v>0</v>
      </c>
    </row>
    <row r="73" spans="2:40" ht="13.5" x14ac:dyDescent="0.25">
      <c r="B73" s="286"/>
      <c r="C73" s="287"/>
      <c r="D73" s="287"/>
      <c r="E73" s="287"/>
      <c r="F73" s="287" t="s">
        <v>110</v>
      </c>
      <c r="G73" s="287"/>
      <c r="H73" s="286"/>
      <c r="I73" s="289">
        <v>-541885</v>
      </c>
      <c r="J73" s="289">
        <v>-541885</v>
      </c>
      <c r="K73" s="289"/>
      <c r="L73" s="303"/>
      <c r="M73" s="304"/>
      <c r="N73" s="304"/>
      <c r="O73" s="304"/>
      <c r="P73" s="305"/>
      <c r="Q73" s="303">
        <v>-123055.78000000026</v>
      </c>
      <c r="R73" s="304">
        <v>-123055.78000000026</v>
      </c>
      <c r="S73" s="306"/>
      <c r="T73" s="289"/>
      <c r="U73" s="289"/>
      <c r="V73" s="289"/>
      <c r="W73" s="289"/>
      <c r="X73" s="289"/>
      <c r="Y73" s="288">
        <v>279503.16000000015</v>
      </c>
      <c r="Z73" s="289">
        <v>279503.16000000015</v>
      </c>
      <c r="AA73" s="291"/>
      <c r="AB73" s="289"/>
      <c r="AC73" s="289"/>
      <c r="AD73" s="289"/>
      <c r="AE73" s="289"/>
      <c r="AF73" s="291"/>
      <c r="AG73" s="289">
        <v>-698332.37999999989</v>
      </c>
      <c r="AH73" s="289">
        <v>-698332.37999999989</v>
      </c>
      <c r="AI73" s="291"/>
      <c r="AJ73" s="289"/>
      <c r="AK73" s="289"/>
      <c r="AL73" s="289"/>
      <c r="AM73" s="289"/>
      <c r="AN73" s="289"/>
    </row>
    <row r="74" spans="2:40" ht="13.5" x14ac:dyDescent="0.25">
      <c r="B74" s="194"/>
      <c r="C74" s="191"/>
      <c r="D74" s="191"/>
      <c r="E74" s="191"/>
      <c r="F74" s="191"/>
      <c r="G74" s="191" t="s">
        <v>209</v>
      </c>
      <c r="H74" s="194"/>
      <c r="I74" s="226">
        <v>3133479.9</v>
      </c>
      <c r="J74" s="226">
        <v>3133479.9</v>
      </c>
      <c r="K74" s="226"/>
      <c r="L74" s="228"/>
      <c r="M74" s="226"/>
      <c r="N74" s="226"/>
      <c r="O74" s="226"/>
      <c r="P74" s="296"/>
      <c r="Q74" s="228">
        <v>3133479.9</v>
      </c>
      <c r="R74" s="226">
        <v>3133479.9</v>
      </c>
      <c r="S74" s="229"/>
      <c r="T74" s="226"/>
      <c r="U74" s="226"/>
      <c r="V74" s="226"/>
      <c r="W74" s="226"/>
      <c r="X74" s="226"/>
      <c r="Y74" s="228">
        <v>3256535.68</v>
      </c>
      <c r="Z74" s="226">
        <v>3256535.68</v>
      </c>
      <c r="AA74" s="229"/>
      <c r="AB74" s="226"/>
      <c r="AC74" s="226"/>
      <c r="AD74" s="226"/>
      <c r="AE74" s="226"/>
      <c r="AF74" s="229"/>
      <c r="AG74" s="226">
        <v>2977032.52</v>
      </c>
      <c r="AH74" s="226">
        <v>2977032.52</v>
      </c>
      <c r="AI74" s="229"/>
      <c r="AJ74" s="226"/>
      <c r="AK74" s="226"/>
      <c r="AL74" s="226"/>
      <c r="AM74" s="226"/>
      <c r="AN74" s="226"/>
    </row>
    <row r="75" spans="2:40" ht="13.5" x14ac:dyDescent="0.25">
      <c r="B75" s="194"/>
      <c r="C75" s="191"/>
      <c r="D75" s="191"/>
      <c r="E75" s="191"/>
      <c r="F75" s="191"/>
      <c r="G75" s="191" t="s">
        <v>217</v>
      </c>
      <c r="H75" s="194"/>
      <c r="I75" s="226">
        <v>3675364.9</v>
      </c>
      <c r="J75" s="226">
        <v>3675364.9</v>
      </c>
      <c r="K75" s="226"/>
      <c r="L75" s="228"/>
      <c r="M75" s="226"/>
      <c r="N75" s="226"/>
      <c r="O75" s="226"/>
      <c r="P75" s="296"/>
      <c r="Q75" s="228">
        <v>3256535.68</v>
      </c>
      <c r="R75" s="226">
        <v>3256535.68</v>
      </c>
      <c r="S75" s="229"/>
      <c r="T75" s="226"/>
      <c r="U75" s="226"/>
      <c r="V75" s="226"/>
      <c r="W75" s="226"/>
      <c r="X75" s="226"/>
      <c r="Y75" s="228">
        <v>2977032.52</v>
      </c>
      <c r="Z75" s="226">
        <v>2977032.52</v>
      </c>
      <c r="AA75" s="229"/>
      <c r="AB75" s="226"/>
      <c r="AC75" s="226"/>
      <c r="AD75" s="226"/>
      <c r="AE75" s="226"/>
      <c r="AF75" s="229"/>
      <c r="AG75" s="226">
        <v>3675364.9</v>
      </c>
      <c r="AH75" s="226">
        <v>3675364.9</v>
      </c>
      <c r="AI75" s="229"/>
      <c r="AJ75" s="226"/>
      <c r="AK75" s="226"/>
      <c r="AL75" s="226"/>
      <c r="AM75" s="226"/>
      <c r="AN75" s="226"/>
    </row>
    <row r="76" spans="2:40" ht="13.5" x14ac:dyDescent="0.25">
      <c r="B76" s="286"/>
      <c r="C76" s="287"/>
      <c r="D76" s="287"/>
      <c r="E76" s="287"/>
      <c r="F76" s="287" t="s">
        <v>162</v>
      </c>
      <c r="G76" s="287"/>
      <c r="H76" s="286"/>
      <c r="I76" s="289">
        <v>-89454.870000000112</v>
      </c>
      <c r="J76" s="289"/>
      <c r="K76" s="289">
        <v>-89454.870000000112</v>
      </c>
      <c r="L76" s="288">
        <v>25232.190000000002</v>
      </c>
      <c r="M76" s="289">
        <v>12953.609999999986</v>
      </c>
      <c r="N76" s="289">
        <v>-62343.460000000021</v>
      </c>
      <c r="O76" s="289">
        <v>-65297.209999999992</v>
      </c>
      <c r="P76" s="290">
        <v>0</v>
      </c>
      <c r="Q76" s="288">
        <v>-57184.971748405136</v>
      </c>
      <c r="R76" s="289"/>
      <c r="S76" s="291">
        <v>-57184.971748405136</v>
      </c>
      <c r="T76" s="289">
        <v>-4050.2035854613059</v>
      </c>
      <c r="U76" s="289">
        <v>162.53625123295933</v>
      </c>
      <c r="V76" s="289">
        <v>-53044.889304981509</v>
      </c>
      <c r="W76" s="289">
        <v>-252.41510919528082</v>
      </c>
      <c r="X76" s="289">
        <v>0</v>
      </c>
      <c r="Y76" s="288">
        <v>55657.871748405276</v>
      </c>
      <c r="Z76" s="289"/>
      <c r="AA76" s="291">
        <v>55657.871748405276</v>
      </c>
      <c r="AB76" s="289">
        <v>29373.123585461348</v>
      </c>
      <c r="AC76" s="289">
        <v>29532.193748767022</v>
      </c>
      <c r="AD76" s="289">
        <v>63637.029304981465</v>
      </c>
      <c r="AE76" s="289">
        <v>-66884.474890804733</v>
      </c>
      <c r="AF76" s="291">
        <v>0</v>
      </c>
      <c r="AG76" s="289">
        <v>-87927.770000000251</v>
      </c>
      <c r="AH76" s="289"/>
      <c r="AI76" s="291">
        <v>-87927.770000000251</v>
      </c>
      <c r="AJ76" s="289">
        <v>-90.730000000039581</v>
      </c>
      <c r="AK76" s="289">
        <v>-16741.119999999995</v>
      </c>
      <c r="AL76" s="289">
        <v>-72935.599999999977</v>
      </c>
      <c r="AM76" s="289">
        <v>1839.6800000000221</v>
      </c>
      <c r="AN76" s="289">
        <v>0</v>
      </c>
    </row>
    <row r="77" spans="2:40" ht="13.5" x14ac:dyDescent="0.25">
      <c r="B77" s="194"/>
      <c r="C77" s="191"/>
      <c r="D77" s="191"/>
      <c r="E77" s="191"/>
      <c r="F77" s="191"/>
      <c r="G77" s="191" t="s">
        <v>209</v>
      </c>
      <c r="H77" s="194"/>
      <c r="I77" s="226">
        <v>1652476.31</v>
      </c>
      <c r="J77" s="226"/>
      <c r="K77" s="226">
        <v>1652476.31</v>
      </c>
      <c r="L77" s="228">
        <v>396486.28</v>
      </c>
      <c r="M77" s="226">
        <v>633099.99</v>
      </c>
      <c r="N77" s="226">
        <v>475476.17</v>
      </c>
      <c r="O77" s="226">
        <v>147413.87</v>
      </c>
      <c r="P77" s="296">
        <v>0</v>
      </c>
      <c r="Q77" s="228">
        <v>1652476.31</v>
      </c>
      <c r="R77" s="226"/>
      <c r="S77" s="229">
        <v>1652476.31</v>
      </c>
      <c r="T77" s="226">
        <v>396486.28</v>
      </c>
      <c r="U77" s="226">
        <v>633099.99</v>
      </c>
      <c r="V77" s="226">
        <v>475476.17</v>
      </c>
      <c r="W77" s="226">
        <v>147413.87</v>
      </c>
      <c r="X77" s="226">
        <v>0</v>
      </c>
      <c r="Y77" s="228">
        <v>1709661.2817484052</v>
      </c>
      <c r="Z77" s="226"/>
      <c r="AA77" s="229">
        <v>1709661.2817484052</v>
      </c>
      <c r="AB77" s="226">
        <v>400536.48358546133</v>
      </c>
      <c r="AC77" s="226">
        <v>632937.45374876703</v>
      </c>
      <c r="AD77" s="226">
        <v>528521.05930498149</v>
      </c>
      <c r="AE77" s="226">
        <v>147666.28510919528</v>
      </c>
      <c r="AF77" s="229"/>
      <c r="AG77" s="226">
        <v>1654003.41</v>
      </c>
      <c r="AH77" s="226"/>
      <c r="AI77" s="229">
        <v>1654003.41</v>
      </c>
      <c r="AJ77" s="226">
        <v>371163.36</v>
      </c>
      <c r="AK77" s="226">
        <v>603405.26</v>
      </c>
      <c r="AL77" s="226">
        <v>464884.03</v>
      </c>
      <c r="AM77" s="226">
        <v>214550.76</v>
      </c>
      <c r="AN77" s="226"/>
    </row>
    <row r="78" spans="2:40" ht="13.5" x14ac:dyDescent="0.25">
      <c r="B78" s="194"/>
      <c r="C78" s="191"/>
      <c r="D78" s="191"/>
      <c r="E78" s="191"/>
      <c r="F78" s="191"/>
      <c r="G78" s="191" t="s">
        <v>217</v>
      </c>
      <c r="H78" s="194"/>
      <c r="I78" s="226">
        <v>1741931.1800000002</v>
      </c>
      <c r="J78" s="226"/>
      <c r="K78" s="226">
        <v>1741931.1800000002</v>
      </c>
      <c r="L78" s="228">
        <v>371254.09</v>
      </c>
      <c r="M78" s="226">
        <v>620146.38</v>
      </c>
      <c r="N78" s="226">
        <v>537819.63</v>
      </c>
      <c r="O78" s="226">
        <v>212711.08</v>
      </c>
      <c r="P78" s="226">
        <v>0</v>
      </c>
      <c r="Q78" s="228">
        <v>1709661.2817484052</v>
      </c>
      <c r="R78" s="226"/>
      <c r="S78" s="229">
        <v>1709661.2817484052</v>
      </c>
      <c r="T78" s="226">
        <v>400536.48358546133</v>
      </c>
      <c r="U78" s="226">
        <v>632937.45374876703</v>
      </c>
      <c r="V78" s="226">
        <v>528521.05930498149</v>
      </c>
      <c r="W78" s="226">
        <v>147666.28510919528</v>
      </c>
      <c r="X78" s="226">
        <v>0</v>
      </c>
      <c r="Y78" s="228">
        <v>1654003.41</v>
      </c>
      <c r="Z78" s="226"/>
      <c r="AA78" s="229">
        <v>1654003.41</v>
      </c>
      <c r="AB78" s="226">
        <v>371163.36</v>
      </c>
      <c r="AC78" s="226">
        <v>603405.26</v>
      </c>
      <c r="AD78" s="226">
        <v>464884.03</v>
      </c>
      <c r="AE78" s="226">
        <v>214550.76</v>
      </c>
      <c r="AF78" s="229"/>
      <c r="AG78" s="226">
        <v>1741931.1800000002</v>
      </c>
      <c r="AH78" s="226"/>
      <c r="AI78" s="229">
        <v>1741931.1800000002</v>
      </c>
      <c r="AJ78" s="226">
        <v>371254.09</v>
      </c>
      <c r="AK78" s="226">
        <v>620146.38</v>
      </c>
      <c r="AL78" s="226">
        <v>537819.63</v>
      </c>
      <c r="AM78" s="226">
        <v>212711.08</v>
      </c>
      <c r="AN78" s="226">
        <v>0</v>
      </c>
    </row>
    <row r="79" spans="2:40" ht="13.5" x14ac:dyDescent="0.25">
      <c r="B79" s="213" t="s">
        <v>201</v>
      </c>
      <c r="C79" s="114" t="s">
        <v>115</v>
      </c>
      <c r="D79" s="214"/>
      <c r="E79" s="214"/>
      <c r="F79" s="255" t="s">
        <v>223</v>
      </c>
      <c r="G79" s="255"/>
      <c r="H79" s="301"/>
      <c r="I79" s="256">
        <v>-1575425.61</v>
      </c>
      <c r="J79" s="256">
        <v>-1543856.08</v>
      </c>
      <c r="K79" s="256">
        <v>-31569.530000000028</v>
      </c>
      <c r="L79" s="259">
        <v>3347.2000000000044</v>
      </c>
      <c r="M79" s="258">
        <v>142704.81999999995</v>
      </c>
      <c r="N79" s="258">
        <v>-101178.82</v>
      </c>
      <c r="O79" s="258">
        <v>-76442.73000000001</v>
      </c>
      <c r="P79" s="302">
        <v>0</v>
      </c>
      <c r="Q79" s="259">
        <v>-2463527.5100000002</v>
      </c>
      <c r="R79" s="258">
        <v>-2009501.87</v>
      </c>
      <c r="S79" s="260">
        <v>-454025.64000000013</v>
      </c>
      <c r="T79" s="258">
        <v>-1608.8999999999942</v>
      </c>
      <c r="U79" s="258">
        <v>27054.380000000005</v>
      </c>
      <c r="V79" s="258">
        <v>-470938.18000000005</v>
      </c>
      <c r="W79" s="258">
        <v>-8532.9400000000023</v>
      </c>
      <c r="X79" s="258">
        <v>0</v>
      </c>
      <c r="Y79" s="259">
        <v>31466.730999999912</v>
      </c>
      <c r="Z79" s="258">
        <v>-360887.16000000015</v>
      </c>
      <c r="AA79" s="260">
        <v>392353.89100000006</v>
      </c>
      <c r="AB79" s="258">
        <v>2690.1309999999939</v>
      </c>
      <c r="AC79" s="258">
        <v>25219.659999999974</v>
      </c>
      <c r="AD79" s="258">
        <v>415117.32000000007</v>
      </c>
      <c r="AE79" s="258">
        <v>-50673.22</v>
      </c>
      <c r="AF79" s="260">
        <v>0</v>
      </c>
      <c r="AG79" s="258">
        <v>856635.16900000023</v>
      </c>
      <c r="AH79" s="258">
        <v>826532.95000000019</v>
      </c>
      <c r="AI79" s="260">
        <v>30102.219000000041</v>
      </c>
      <c r="AJ79" s="258">
        <v>2265.9690000000046</v>
      </c>
      <c r="AK79" s="258">
        <v>90430.77999999997</v>
      </c>
      <c r="AL79" s="258">
        <v>-45357.960000000021</v>
      </c>
      <c r="AM79" s="258">
        <v>-17236.570000000007</v>
      </c>
      <c r="AN79" s="258">
        <v>0</v>
      </c>
    </row>
    <row r="80" spans="2:40" ht="13.5" x14ac:dyDescent="0.25">
      <c r="B80" s="286"/>
      <c r="C80" s="287"/>
      <c r="D80" s="287"/>
      <c r="E80" s="287"/>
      <c r="F80" s="287" t="s">
        <v>110</v>
      </c>
      <c r="G80" s="287"/>
      <c r="H80" s="286"/>
      <c r="I80" s="289">
        <v>-1543856.08</v>
      </c>
      <c r="J80" s="289">
        <v>-1543856.08</v>
      </c>
      <c r="K80" s="291"/>
      <c r="L80" s="303"/>
      <c r="M80" s="289"/>
      <c r="N80" s="289"/>
      <c r="O80" s="289"/>
      <c r="P80" s="307"/>
      <c r="Q80" s="288">
        <v>-2009501.87</v>
      </c>
      <c r="R80" s="289">
        <v>-2009501.87</v>
      </c>
      <c r="S80" s="291"/>
      <c r="T80" s="304"/>
      <c r="U80" s="289"/>
      <c r="V80" s="289"/>
      <c r="W80" s="289"/>
      <c r="X80" s="289"/>
      <c r="Y80" s="288">
        <v>-360887.16000000015</v>
      </c>
      <c r="Z80" s="289">
        <v>-360887.16000000015</v>
      </c>
      <c r="AA80" s="291"/>
      <c r="AB80" s="304"/>
      <c r="AC80" s="289"/>
      <c r="AD80" s="289"/>
      <c r="AE80" s="289"/>
      <c r="AF80" s="291"/>
      <c r="AG80" s="289">
        <v>826532.95000000019</v>
      </c>
      <c r="AH80" s="289">
        <v>826532.95000000019</v>
      </c>
      <c r="AI80" s="291"/>
      <c r="AJ80" s="304"/>
      <c r="AK80" s="289"/>
      <c r="AL80" s="289"/>
      <c r="AM80" s="289"/>
      <c r="AN80" s="289"/>
    </row>
    <row r="81" spans="2:40" ht="13.5" x14ac:dyDescent="0.25">
      <c r="B81" s="194"/>
      <c r="C81" s="191"/>
      <c r="D81" s="191"/>
      <c r="E81" s="191"/>
      <c r="F81" s="191"/>
      <c r="G81" s="191" t="s">
        <v>209</v>
      </c>
      <c r="H81" s="194"/>
      <c r="I81" s="226">
        <v>2553012.83</v>
      </c>
      <c r="J81" s="226">
        <v>2553012.83</v>
      </c>
      <c r="K81" s="229"/>
      <c r="L81" s="228"/>
      <c r="M81" s="226"/>
      <c r="N81" s="226"/>
      <c r="O81" s="226"/>
      <c r="P81" s="263"/>
      <c r="Q81" s="228">
        <v>2553012.83</v>
      </c>
      <c r="R81" s="226">
        <v>2553012.83</v>
      </c>
      <c r="S81" s="229"/>
      <c r="T81" s="226"/>
      <c r="U81" s="226"/>
      <c r="V81" s="226"/>
      <c r="W81" s="226"/>
      <c r="X81" s="226"/>
      <c r="Y81" s="228">
        <v>4562514.7</v>
      </c>
      <c r="Z81" s="226">
        <v>4562514.7</v>
      </c>
      <c r="AA81" s="229"/>
      <c r="AB81" s="226"/>
      <c r="AC81" s="226"/>
      <c r="AD81" s="226"/>
      <c r="AE81" s="226"/>
      <c r="AF81" s="229"/>
      <c r="AG81" s="226">
        <v>4923401.8600000003</v>
      </c>
      <c r="AH81" s="226">
        <v>4923401.8600000003</v>
      </c>
      <c r="AI81" s="229"/>
      <c r="AJ81" s="226"/>
      <c r="AK81" s="226"/>
      <c r="AL81" s="226"/>
      <c r="AM81" s="226"/>
      <c r="AN81" s="226"/>
    </row>
    <row r="82" spans="2:40" ht="13.5" x14ac:dyDescent="0.25">
      <c r="B82" s="194"/>
      <c r="C82" s="191"/>
      <c r="D82" s="191"/>
      <c r="E82" s="191"/>
      <c r="F82" s="191"/>
      <c r="G82" s="191" t="s">
        <v>217</v>
      </c>
      <c r="H82" s="194"/>
      <c r="I82" s="226">
        <v>4096868.91</v>
      </c>
      <c r="J82" s="226">
        <v>4096868.91</v>
      </c>
      <c r="K82" s="229"/>
      <c r="L82" s="228"/>
      <c r="M82" s="226"/>
      <c r="N82" s="226"/>
      <c r="O82" s="226"/>
      <c r="P82" s="263"/>
      <c r="Q82" s="228">
        <v>4562514.7</v>
      </c>
      <c r="R82" s="226">
        <v>4562514.7</v>
      </c>
      <c r="S82" s="229"/>
      <c r="T82" s="226"/>
      <c r="U82" s="226"/>
      <c r="V82" s="226"/>
      <c r="W82" s="226"/>
      <c r="X82" s="226"/>
      <c r="Y82" s="228">
        <v>4923401.8600000003</v>
      </c>
      <c r="Z82" s="226">
        <v>4923401.8600000003</v>
      </c>
      <c r="AA82" s="229"/>
      <c r="AB82" s="226"/>
      <c r="AC82" s="226"/>
      <c r="AD82" s="226"/>
      <c r="AE82" s="226"/>
      <c r="AF82" s="229"/>
      <c r="AG82" s="226">
        <v>4096868.91</v>
      </c>
      <c r="AH82" s="226">
        <v>4096868.91</v>
      </c>
      <c r="AI82" s="229"/>
      <c r="AJ82" s="226"/>
      <c r="AK82" s="226"/>
      <c r="AL82" s="226"/>
      <c r="AM82" s="226"/>
      <c r="AN82" s="226"/>
    </row>
    <row r="83" spans="2:40" ht="13.5" x14ac:dyDescent="0.25">
      <c r="B83" s="286"/>
      <c r="C83" s="287"/>
      <c r="D83" s="287"/>
      <c r="E83" s="287"/>
      <c r="F83" s="287" t="s">
        <v>162</v>
      </c>
      <c r="G83" s="287"/>
      <c r="H83" s="286"/>
      <c r="I83" s="289">
        <v>-31569.530000000028</v>
      </c>
      <c r="J83" s="289"/>
      <c r="K83" s="291">
        <v>-31569.530000000028</v>
      </c>
      <c r="L83" s="288">
        <v>3347.2000000000044</v>
      </c>
      <c r="M83" s="289">
        <v>142704.81999999995</v>
      </c>
      <c r="N83" s="289">
        <v>-101178.82</v>
      </c>
      <c r="O83" s="289">
        <v>-76442.73000000001</v>
      </c>
      <c r="P83" s="307">
        <v>0</v>
      </c>
      <c r="Q83" s="288">
        <v>-454025.64000000013</v>
      </c>
      <c r="R83" s="289"/>
      <c r="S83" s="291">
        <v>-454025.64000000013</v>
      </c>
      <c r="T83" s="289">
        <v>-1608.8999999999942</v>
      </c>
      <c r="U83" s="289">
        <v>27054.380000000005</v>
      </c>
      <c r="V83" s="289">
        <v>-470938.18000000005</v>
      </c>
      <c r="W83" s="289">
        <v>-8532.9400000000023</v>
      </c>
      <c r="X83" s="289">
        <v>0</v>
      </c>
      <c r="Y83" s="288">
        <v>392353.89100000006</v>
      </c>
      <c r="Z83" s="289"/>
      <c r="AA83" s="291">
        <v>392353.89100000006</v>
      </c>
      <c r="AB83" s="289">
        <v>2690.1309999999939</v>
      </c>
      <c r="AC83" s="289">
        <v>25219.659999999974</v>
      </c>
      <c r="AD83" s="289">
        <v>415117.32000000007</v>
      </c>
      <c r="AE83" s="289">
        <v>-50673.22</v>
      </c>
      <c r="AF83" s="291">
        <v>0</v>
      </c>
      <c r="AG83" s="289">
        <v>30102.219000000041</v>
      </c>
      <c r="AH83" s="289"/>
      <c r="AI83" s="291">
        <v>30102.219000000041</v>
      </c>
      <c r="AJ83" s="289">
        <v>2265.9690000000046</v>
      </c>
      <c r="AK83" s="289">
        <v>90430.77999999997</v>
      </c>
      <c r="AL83" s="289">
        <v>-45357.960000000021</v>
      </c>
      <c r="AM83" s="289">
        <v>-17236.570000000007</v>
      </c>
      <c r="AN83" s="289">
        <v>0</v>
      </c>
    </row>
    <row r="84" spans="2:40" ht="13.5" x14ac:dyDescent="0.25">
      <c r="B84" s="194"/>
      <c r="C84" s="191"/>
      <c r="D84" s="191"/>
      <c r="E84" s="191"/>
      <c r="F84" s="191"/>
      <c r="G84" s="191" t="s">
        <v>209</v>
      </c>
      <c r="H84" s="194"/>
      <c r="I84" s="226">
        <v>790929.22</v>
      </c>
      <c r="J84" s="226"/>
      <c r="K84" s="229">
        <v>790929.22</v>
      </c>
      <c r="L84" s="228">
        <v>42703.37</v>
      </c>
      <c r="M84" s="226">
        <v>517475.6</v>
      </c>
      <c r="N84" s="226">
        <v>146844.38</v>
      </c>
      <c r="O84" s="226">
        <v>83905.87</v>
      </c>
      <c r="P84" s="263">
        <v>0</v>
      </c>
      <c r="Q84" s="228">
        <v>790929.22</v>
      </c>
      <c r="R84" s="226"/>
      <c r="S84" s="229">
        <v>790929.22</v>
      </c>
      <c r="T84" s="226">
        <v>42703.37</v>
      </c>
      <c r="U84" s="226">
        <v>517475.6</v>
      </c>
      <c r="V84" s="226">
        <v>146844.38</v>
      </c>
      <c r="W84" s="226">
        <v>83905.87</v>
      </c>
      <c r="X84" s="226">
        <v>0</v>
      </c>
      <c r="Y84" s="228">
        <v>1244954.8600000001</v>
      </c>
      <c r="Z84" s="226"/>
      <c r="AA84" s="229">
        <v>1244954.8600000001</v>
      </c>
      <c r="AB84" s="226">
        <v>44312.27</v>
      </c>
      <c r="AC84" s="226">
        <v>490421.22</v>
      </c>
      <c r="AD84" s="226">
        <v>617782.56000000006</v>
      </c>
      <c r="AE84" s="226">
        <v>92438.81</v>
      </c>
      <c r="AF84" s="229"/>
      <c r="AG84" s="226">
        <v>852600.96900000004</v>
      </c>
      <c r="AH84" s="226"/>
      <c r="AI84" s="229">
        <v>852600.96900000004</v>
      </c>
      <c r="AJ84" s="226">
        <v>41622.139000000003</v>
      </c>
      <c r="AK84" s="226">
        <v>465201.56</v>
      </c>
      <c r="AL84" s="226">
        <v>202665.24</v>
      </c>
      <c r="AM84" s="226">
        <v>143112.03</v>
      </c>
      <c r="AN84" s="226"/>
    </row>
    <row r="85" spans="2:40" ht="13.5" x14ac:dyDescent="0.25">
      <c r="B85" s="194"/>
      <c r="C85" s="191"/>
      <c r="D85" s="191"/>
      <c r="E85" s="191"/>
      <c r="F85" s="191"/>
      <c r="G85" s="191" t="s">
        <v>217</v>
      </c>
      <c r="H85" s="194"/>
      <c r="I85" s="226">
        <v>822498.75</v>
      </c>
      <c r="J85" s="226"/>
      <c r="K85" s="229">
        <v>822498.75</v>
      </c>
      <c r="L85" s="228">
        <v>39356.17</v>
      </c>
      <c r="M85" s="226">
        <v>374770.78</v>
      </c>
      <c r="N85" s="226">
        <v>248023.2</v>
      </c>
      <c r="O85" s="226">
        <v>160348.6</v>
      </c>
      <c r="P85" s="226">
        <v>0</v>
      </c>
      <c r="Q85" s="228">
        <v>1244954.8600000001</v>
      </c>
      <c r="R85" s="226"/>
      <c r="S85" s="229">
        <v>1244954.8600000001</v>
      </c>
      <c r="T85" s="226">
        <v>44312.27</v>
      </c>
      <c r="U85" s="226">
        <v>490421.22</v>
      </c>
      <c r="V85" s="226">
        <v>617782.56000000006</v>
      </c>
      <c r="W85" s="226">
        <v>92438.81</v>
      </c>
      <c r="X85" s="226">
        <v>0</v>
      </c>
      <c r="Y85" s="228">
        <v>852600.96900000004</v>
      </c>
      <c r="Z85" s="226"/>
      <c r="AA85" s="229">
        <v>852600.96900000004</v>
      </c>
      <c r="AB85" s="226">
        <v>41622.139000000003</v>
      </c>
      <c r="AC85" s="226">
        <v>465201.56</v>
      </c>
      <c r="AD85" s="226">
        <v>202665.24</v>
      </c>
      <c r="AE85" s="226">
        <v>143112.03</v>
      </c>
      <c r="AF85" s="229"/>
      <c r="AG85" s="226">
        <v>822498.75</v>
      </c>
      <c r="AH85" s="226"/>
      <c r="AI85" s="229">
        <v>822498.75</v>
      </c>
      <c r="AJ85" s="226">
        <v>39356.17</v>
      </c>
      <c r="AK85" s="226">
        <v>374770.78</v>
      </c>
      <c r="AL85" s="226">
        <v>248023.2</v>
      </c>
      <c r="AM85" s="226">
        <v>160348.6</v>
      </c>
      <c r="AN85" s="226">
        <v>0</v>
      </c>
    </row>
    <row r="86" spans="2:40" ht="13.5" x14ac:dyDescent="0.25">
      <c r="B86" s="213" t="s">
        <v>201</v>
      </c>
      <c r="C86" s="214"/>
      <c r="D86" s="214"/>
      <c r="E86" s="214"/>
      <c r="F86" s="255" t="s">
        <v>224</v>
      </c>
      <c r="G86" s="255"/>
      <c r="H86" s="301"/>
      <c r="I86" s="256">
        <v>10386618.080000002</v>
      </c>
      <c r="J86" s="256">
        <v>7718868.9800000014</v>
      </c>
      <c r="K86" s="257">
        <v>2667749.1</v>
      </c>
      <c r="L86" s="259">
        <v>0</v>
      </c>
      <c r="M86" s="258">
        <v>0</v>
      </c>
      <c r="N86" s="258">
        <v>0</v>
      </c>
      <c r="O86" s="258">
        <v>2667749.1</v>
      </c>
      <c r="P86" s="308">
        <v>0</v>
      </c>
      <c r="Q86" s="259">
        <v>4304121.05</v>
      </c>
      <c r="R86" s="258">
        <v>2974933.26</v>
      </c>
      <c r="S86" s="260">
        <v>1329187.79</v>
      </c>
      <c r="T86" s="258">
        <v>0</v>
      </c>
      <c r="U86" s="258">
        <v>0</v>
      </c>
      <c r="V86" s="258">
        <v>0</v>
      </c>
      <c r="W86" s="258">
        <v>1329187.79</v>
      </c>
      <c r="X86" s="258">
        <v>0</v>
      </c>
      <c r="Y86" s="259">
        <v>3310989.4499999993</v>
      </c>
      <c r="Z86" s="258">
        <v>2581249.689999999</v>
      </c>
      <c r="AA86" s="260">
        <v>729739.76000000024</v>
      </c>
      <c r="AB86" s="258">
        <v>0</v>
      </c>
      <c r="AC86" s="258">
        <v>0</v>
      </c>
      <c r="AD86" s="258">
        <v>0</v>
      </c>
      <c r="AE86" s="258">
        <v>729739.76000000024</v>
      </c>
      <c r="AF86" s="260">
        <v>0</v>
      </c>
      <c r="AG86" s="258">
        <v>2771507.58</v>
      </c>
      <c r="AH86" s="258">
        <v>2162686.0300000003</v>
      </c>
      <c r="AI86" s="260">
        <v>608821.54999999981</v>
      </c>
      <c r="AJ86" s="258">
        <v>0</v>
      </c>
      <c r="AK86" s="258">
        <v>0</v>
      </c>
      <c r="AL86" s="258">
        <v>0</v>
      </c>
      <c r="AM86" s="258">
        <v>608821.54999999981</v>
      </c>
      <c r="AN86" s="258">
        <v>0</v>
      </c>
    </row>
    <row r="87" spans="2:40" ht="13.5" x14ac:dyDescent="0.25">
      <c r="B87" s="213" t="s">
        <v>201</v>
      </c>
      <c r="C87" s="114" t="s">
        <v>116</v>
      </c>
      <c r="D87" s="287"/>
      <c r="E87" s="287"/>
      <c r="F87" s="287" t="s">
        <v>110</v>
      </c>
      <c r="G87" s="287"/>
      <c r="H87" s="286"/>
      <c r="I87" s="289">
        <v>7718868.9800000014</v>
      </c>
      <c r="J87" s="289">
        <v>7718868.9800000014</v>
      </c>
      <c r="K87" s="291"/>
      <c r="L87" s="288"/>
      <c r="M87" s="289"/>
      <c r="N87" s="289"/>
      <c r="O87" s="289"/>
      <c r="P87" s="307"/>
      <c r="Q87" s="288">
        <v>2974933.26</v>
      </c>
      <c r="R87" s="289">
        <v>2974933.26</v>
      </c>
      <c r="S87" s="291"/>
      <c r="T87" s="289"/>
      <c r="U87" s="289"/>
      <c r="V87" s="289"/>
      <c r="W87" s="289"/>
      <c r="X87" s="289"/>
      <c r="Y87" s="288">
        <v>2581249.689999999</v>
      </c>
      <c r="Z87" s="289">
        <v>2581249.689999999</v>
      </c>
      <c r="AA87" s="291"/>
      <c r="AB87" s="289"/>
      <c r="AC87" s="289"/>
      <c r="AD87" s="289"/>
      <c r="AE87" s="289"/>
      <c r="AF87" s="291"/>
      <c r="AG87" s="289">
        <v>2162686.0300000003</v>
      </c>
      <c r="AH87" s="289">
        <v>2162686.0300000003</v>
      </c>
      <c r="AI87" s="291"/>
      <c r="AJ87" s="289"/>
      <c r="AK87" s="289"/>
      <c r="AL87" s="289"/>
      <c r="AM87" s="289"/>
      <c r="AN87" s="289"/>
    </row>
    <row r="88" spans="2:40" ht="13.5" x14ac:dyDescent="0.25">
      <c r="B88" s="194"/>
      <c r="C88" s="191"/>
      <c r="D88" s="191"/>
      <c r="E88" s="191"/>
      <c r="F88" s="191"/>
      <c r="G88" s="191" t="s">
        <v>209</v>
      </c>
      <c r="H88" s="194"/>
      <c r="I88" s="226">
        <v>5645019.5099999998</v>
      </c>
      <c r="J88" s="226">
        <v>5645019.5099999998</v>
      </c>
      <c r="K88" s="229"/>
      <c r="L88" s="228"/>
      <c r="M88" s="226"/>
      <c r="N88" s="226"/>
      <c r="O88" s="226"/>
      <c r="P88" s="263"/>
      <c r="Q88" s="228">
        <v>5645019.5099999998</v>
      </c>
      <c r="R88" s="226">
        <v>5645019.5099999998</v>
      </c>
      <c r="S88" s="229"/>
      <c r="T88" s="226"/>
      <c r="U88" s="226"/>
      <c r="V88" s="226"/>
      <c r="W88" s="226"/>
      <c r="X88" s="226"/>
      <c r="Y88" s="228">
        <v>5230995.43</v>
      </c>
      <c r="Z88" s="226">
        <v>5230995.43</v>
      </c>
      <c r="AA88" s="229"/>
      <c r="AB88" s="226"/>
      <c r="AC88" s="226"/>
      <c r="AD88" s="226"/>
      <c r="AE88" s="226"/>
      <c r="AF88" s="229"/>
      <c r="AG88" s="226">
        <v>3990588.03</v>
      </c>
      <c r="AH88" s="226">
        <v>3990588.03</v>
      </c>
      <c r="AI88" s="229"/>
      <c r="AJ88" s="226"/>
      <c r="AK88" s="226"/>
      <c r="AL88" s="226"/>
      <c r="AM88" s="226"/>
      <c r="AN88" s="226"/>
    </row>
    <row r="89" spans="2:40" ht="13.5" x14ac:dyDescent="0.25">
      <c r="B89" s="194"/>
      <c r="C89" s="191"/>
      <c r="D89" s="191"/>
      <c r="E89" s="191"/>
      <c r="F89" s="191"/>
      <c r="G89" s="191" t="s">
        <v>213</v>
      </c>
      <c r="H89" s="194"/>
      <c r="I89" s="226">
        <v>8441996.5100000016</v>
      </c>
      <c r="J89" s="226">
        <v>8441996.5100000016</v>
      </c>
      <c r="K89" s="229"/>
      <c r="L89" s="228"/>
      <c r="M89" s="226"/>
      <c r="N89" s="226"/>
      <c r="O89" s="226"/>
      <c r="P89" s="263"/>
      <c r="Q89" s="228">
        <v>3425970.62</v>
      </c>
      <c r="R89" s="226">
        <v>3425970.62</v>
      </c>
      <c r="S89" s="229"/>
      <c r="T89" s="226"/>
      <c r="U89" s="226"/>
      <c r="V89" s="226"/>
      <c r="W89" s="226"/>
      <c r="X89" s="226"/>
      <c r="Y89" s="228">
        <v>1493930.8599999999</v>
      </c>
      <c r="Z89" s="226">
        <v>1493930.8599999999</v>
      </c>
      <c r="AA89" s="229"/>
      <c r="AB89" s="226"/>
      <c r="AC89" s="226"/>
      <c r="AD89" s="226"/>
      <c r="AE89" s="226"/>
      <c r="AF89" s="229"/>
      <c r="AG89" s="226">
        <v>3522095.0300000007</v>
      </c>
      <c r="AH89" s="226">
        <v>3522095.0300000007</v>
      </c>
      <c r="AI89" s="229"/>
      <c r="AJ89" s="226"/>
      <c r="AK89" s="226"/>
      <c r="AL89" s="226"/>
      <c r="AM89" s="226"/>
      <c r="AN89" s="226"/>
    </row>
    <row r="90" spans="2:40" ht="13.5" x14ac:dyDescent="0.25">
      <c r="B90" s="194"/>
      <c r="C90" s="191"/>
      <c r="D90" s="191"/>
      <c r="E90" s="191"/>
      <c r="F90" s="191"/>
      <c r="G90" s="287" t="s">
        <v>215</v>
      </c>
      <c r="H90" s="194"/>
      <c r="I90" s="226">
        <v>-1105392.92</v>
      </c>
      <c r="J90" s="226">
        <v>-1105392.92</v>
      </c>
      <c r="K90" s="229"/>
      <c r="L90" s="228"/>
      <c r="M90" s="226"/>
      <c r="N90" s="226"/>
      <c r="O90" s="226"/>
      <c r="P90" s="263"/>
      <c r="Q90" s="228"/>
      <c r="R90" s="298">
        <v>-865061.44</v>
      </c>
      <c r="S90" s="229"/>
      <c r="T90" s="226"/>
      <c r="U90" s="226"/>
      <c r="V90" s="226"/>
      <c r="W90" s="226"/>
      <c r="X90" s="226"/>
      <c r="Y90" s="228"/>
      <c r="Z90" s="298">
        <v>-153088.57</v>
      </c>
      <c r="AA90" s="229"/>
      <c r="AB90" s="226"/>
      <c r="AC90" s="226"/>
      <c r="AD90" s="226"/>
      <c r="AE90" s="226"/>
      <c r="AF90" s="229"/>
      <c r="AG90" s="226"/>
      <c r="AH90" s="298">
        <v>-87242.91</v>
      </c>
      <c r="AI90" s="229"/>
      <c r="AJ90" s="226"/>
      <c r="AK90" s="226"/>
      <c r="AL90" s="226"/>
      <c r="AM90" s="226"/>
      <c r="AN90" s="226"/>
    </row>
    <row r="91" spans="2:40" ht="13.5" x14ac:dyDescent="0.25">
      <c r="B91" s="194"/>
      <c r="C91" s="191"/>
      <c r="D91" s="191"/>
      <c r="E91" s="191"/>
      <c r="F91" s="191"/>
      <c r="G91" s="191" t="s">
        <v>217</v>
      </c>
      <c r="H91" s="194"/>
      <c r="I91" s="226">
        <v>5262754.12</v>
      </c>
      <c r="J91" s="226">
        <v>5262754.12</v>
      </c>
      <c r="K91" s="229"/>
      <c r="L91" s="228"/>
      <c r="M91" s="226"/>
      <c r="N91" s="226"/>
      <c r="O91" s="226"/>
      <c r="P91" s="263"/>
      <c r="Q91" s="228">
        <v>5230995.43</v>
      </c>
      <c r="R91" s="226">
        <v>5230995.43</v>
      </c>
      <c r="S91" s="229"/>
      <c r="T91" s="226"/>
      <c r="U91" s="226"/>
      <c r="V91" s="226"/>
      <c r="W91" s="226"/>
      <c r="X91" s="226"/>
      <c r="Y91" s="228">
        <v>3990588.03</v>
      </c>
      <c r="Z91" s="226">
        <v>3990588.03</v>
      </c>
      <c r="AA91" s="229"/>
      <c r="AB91" s="226"/>
      <c r="AC91" s="226"/>
      <c r="AD91" s="226"/>
      <c r="AE91" s="226"/>
      <c r="AF91" s="229"/>
      <c r="AG91" s="226">
        <v>5262754.12</v>
      </c>
      <c r="AH91" s="226">
        <v>5262754.12</v>
      </c>
      <c r="AI91" s="229"/>
      <c r="AJ91" s="226"/>
      <c r="AK91" s="226"/>
      <c r="AL91" s="226"/>
      <c r="AM91" s="226"/>
      <c r="AN91" s="226"/>
    </row>
    <row r="92" spans="2:40" ht="13.5" x14ac:dyDescent="0.25">
      <c r="B92" s="213" t="s">
        <v>201</v>
      </c>
      <c r="C92" s="114" t="s">
        <v>115</v>
      </c>
      <c r="D92" s="287"/>
      <c r="E92" s="287"/>
      <c r="F92" s="287" t="s">
        <v>162</v>
      </c>
      <c r="G92" s="287"/>
      <c r="H92" s="286"/>
      <c r="I92" s="289">
        <v>0</v>
      </c>
      <c r="J92" s="289"/>
      <c r="K92" s="291">
        <v>0</v>
      </c>
      <c r="L92" s="288">
        <v>0</v>
      </c>
      <c r="M92" s="289">
        <v>0</v>
      </c>
      <c r="N92" s="289">
        <v>0</v>
      </c>
      <c r="O92" s="289">
        <v>0</v>
      </c>
      <c r="P92" s="307">
        <v>0</v>
      </c>
      <c r="Q92" s="288">
        <v>0</v>
      </c>
      <c r="R92" s="289"/>
      <c r="S92" s="291">
        <v>0</v>
      </c>
      <c r="T92" s="289">
        <v>0</v>
      </c>
      <c r="U92" s="289">
        <v>0</v>
      </c>
      <c r="V92" s="289">
        <v>0</v>
      </c>
      <c r="W92" s="289">
        <v>0</v>
      </c>
      <c r="X92" s="289">
        <v>0</v>
      </c>
      <c r="Y92" s="288">
        <v>0</v>
      </c>
      <c r="Z92" s="289"/>
      <c r="AA92" s="291">
        <v>0</v>
      </c>
      <c r="AB92" s="289">
        <v>0</v>
      </c>
      <c r="AC92" s="289">
        <v>0</v>
      </c>
      <c r="AD92" s="289">
        <v>0</v>
      </c>
      <c r="AE92" s="289">
        <v>0</v>
      </c>
      <c r="AF92" s="291">
        <v>0</v>
      </c>
      <c r="AG92" s="289">
        <v>0</v>
      </c>
      <c r="AH92" s="289"/>
      <c r="AI92" s="291">
        <v>0</v>
      </c>
      <c r="AJ92" s="289">
        <v>0</v>
      </c>
      <c r="AK92" s="289">
        <v>0</v>
      </c>
      <c r="AL92" s="289">
        <v>0</v>
      </c>
      <c r="AM92" s="289">
        <v>0</v>
      </c>
      <c r="AN92" s="289">
        <v>0</v>
      </c>
    </row>
    <row r="93" spans="2:40" ht="13.5" x14ac:dyDescent="0.25">
      <c r="B93" s="194"/>
      <c r="C93" s="191"/>
      <c r="D93" s="191"/>
      <c r="E93" s="191"/>
      <c r="F93" s="191"/>
      <c r="G93" s="191" t="s">
        <v>209</v>
      </c>
      <c r="H93" s="194"/>
      <c r="I93" s="226">
        <v>11571.72</v>
      </c>
      <c r="J93" s="226"/>
      <c r="K93" s="229">
        <v>11571.72</v>
      </c>
      <c r="L93" s="228">
        <v>11571.72</v>
      </c>
      <c r="M93" s="226">
        <v>0</v>
      </c>
      <c r="N93" s="226">
        <v>0</v>
      </c>
      <c r="O93" s="226">
        <v>0</v>
      </c>
      <c r="P93" s="263">
        <v>0</v>
      </c>
      <c r="Q93" s="228">
        <v>11571.72</v>
      </c>
      <c r="R93" s="226"/>
      <c r="S93" s="229">
        <v>11571.72</v>
      </c>
      <c r="T93" s="226">
        <v>11571.72</v>
      </c>
      <c r="U93" s="226">
        <v>0</v>
      </c>
      <c r="V93" s="226">
        <v>0</v>
      </c>
      <c r="W93" s="226">
        <v>0</v>
      </c>
      <c r="X93" s="226">
        <v>0</v>
      </c>
      <c r="Y93" s="228">
        <v>11571.72</v>
      </c>
      <c r="Z93" s="226"/>
      <c r="AA93" s="229">
        <v>11571.72</v>
      </c>
      <c r="AB93" s="226">
        <v>11571.72</v>
      </c>
      <c r="AC93" s="226">
        <v>0</v>
      </c>
      <c r="AD93" s="226"/>
      <c r="AE93" s="226"/>
      <c r="AF93" s="229"/>
      <c r="AG93" s="226">
        <v>11571.72</v>
      </c>
      <c r="AH93" s="226"/>
      <c r="AI93" s="229">
        <v>11571.72</v>
      </c>
      <c r="AJ93" s="226">
        <v>11571.72</v>
      </c>
      <c r="AK93" s="226"/>
      <c r="AL93" s="226"/>
      <c r="AM93" s="226">
        <v>0</v>
      </c>
      <c r="AN93" s="226"/>
    </row>
    <row r="94" spans="2:40" ht="13.5" x14ac:dyDescent="0.25">
      <c r="B94" s="194"/>
      <c r="C94" s="191"/>
      <c r="D94" s="191"/>
      <c r="E94" s="191"/>
      <c r="F94" s="191"/>
      <c r="G94" s="191" t="s">
        <v>213</v>
      </c>
      <c r="H94" s="194"/>
      <c r="I94" s="226">
        <v>0</v>
      </c>
      <c r="J94" s="226"/>
      <c r="K94" s="227">
        <v>0</v>
      </c>
      <c r="L94" s="228">
        <v>0</v>
      </c>
      <c r="M94" s="226">
        <v>0</v>
      </c>
      <c r="N94" s="226">
        <v>0</v>
      </c>
      <c r="O94" s="226">
        <v>0</v>
      </c>
      <c r="P94" s="263">
        <v>0</v>
      </c>
      <c r="Q94" s="228">
        <v>0</v>
      </c>
      <c r="R94" s="226"/>
      <c r="S94" s="229">
        <v>0</v>
      </c>
      <c r="T94" s="226"/>
      <c r="U94" s="226"/>
      <c r="V94" s="226"/>
      <c r="W94" s="226"/>
      <c r="X94" s="226"/>
      <c r="Y94" s="228">
        <v>0</v>
      </c>
      <c r="Z94" s="226"/>
      <c r="AA94" s="229">
        <v>0</v>
      </c>
      <c r="AB94" s="226"/>
      <c r="AC94" s="226"/>
      <c r="AD94" s="226"/>
      <c r="AE94" s="226"/>
      <c r="AF94" s="229"/>
      <c r="AG94" s="226">
        <v>0</v>
      </c>
      <c r="AH94" s="226"/>
      <c r="AI94" s="229">
        <v>0</v>
      </c>
      <c r="AJ94" s="226"/>
      <c r="AK94" s="226"/>
      <c r="AL94" s="226"/>
      <c r="AM94" s="226"/>
      <c r="AN94" s="226"/>
    </row>
    <row r="95" spans="2:40" ht="13.5" x14ac:dyDescent="0.25">
      <c r="B95" s="194"/>
      <c r="C95" s="191"/>
      <c r="D95" s="191"/>
      <c r="E95" s="191"/>
      <c r="F95" s="191"/>
      <c r="G95" s="191" t="s">
        <v>217</v>
      </c>
      <c r="H95" s="194"/>
      <c r="I95" s="226">
        <v>11571.72</v>
      </c>
      <c r="J95" s="226"/>
      <c r="K95" s="229">
        <v>11571.72</v>
      </c>
      <c r="L95" s="228">
        <v>11571.72</v>
      </c>
      <c r="M95" s="226">
        <v>0</v>
      </c>
      <c r="N95" s="226">
        <v>0</v>
      </c>
      <c r="O95" s="226">
        <v>0</v>
      </c>
      <c r="P95" s="226">
        <v>0</v>
      </c>
      <c r="Q95" s="228">
        <v>11571.72</v>
      </c>
      <c r="R95" s="226"/>
      <c r="S95" s="229">
        <v>11571.72</v>
      </c>
      <c r="T95" s="226">
        <v>11571.72</v>
      </c>
      <c r="U95" s="226">
        <v>0</v>
      </c>
      <c r="V95" s="226">
        <v>0</v>
      </c>
      <c r="W95" s="226">
        <v>0</v>
      </c>
      <c r="X95" s="226">
        <v>0</v>
      </c>
      <c r="Y95" s="228">
        <v>11571.72</v>
      </c>
      <c r="Z95" s="226"/>
      <c r="AA95" s="229">
        <v>11571.72</v>
      </c>
      <c r="AB95" s="226">
        <v>11571.72</v>
      </c>
      <c r="AC95" s="226">
        <v>0</v>
      </c>
      <c r="AD95" s="226"/>
      <c r="AE95" s="226"/>
      <c r="AF95" s="229"/>
      <c r="AG95" s="226">
        <v>11571.72</v>
      </c>
      <c r="AH95" s="226"/>
      <c r="AI95" s="229">
        <v>11571.72</v>
      </c>
      <c r="AJ95" s="226">
        <v>11571.72</v>
      </c>
      <c r="AK95" s="226">
        <v>0</v>
      </c>
      <c r="AL95" s="226"/>
      <c r="AM95" s="226"/>
      <c r="AN95" s="226"/>
    </row>
    <row r="96" spans="2:40" ht="13.5" x14ac:dyDescent="0.25">
      <c r="B96" s="213" t="s">
        <v>201</v>
      </c>
      <c r="C96" s="114" t="s">
        <v>115</v>
      </c>
      <c r="D96" s="287"/>
      <c r="E96" s="287"/>
      <c r="F96" s="287" t="s">
        <v>225</v>
      </c>
      <c r="G96" s="287"/>
      <c r="H96" s="286"/>
      <c r="I96" s="289">
        <v>2667749.1</v>
      </c>
      <c r="J96" s="289"/>
      <c r="K96" s="291">
        <v>2667749.1</v>
      </c>
      <c r="L96" s="289">
        <v>0</v>
      </c>
      <c r="M96" s="289">
        <v>0</v>
      </c>
      <c r="N96" s="289">
        <v>0</v>
      </c>
      <c r="O96" s="289">
        <v>2667749.1</v>
      </c>
      <c r="P96" s="307">
        <v>0</v>
      </c>
      <c r="Q96" s="288">
        <v>1329187.79</v>
      </c>
      <c r="R96" s="289"/>
      <c r="S96" s="291">
        <v>1329187.79</v>
      </c>
      <c r="T96" s="289">
        <v>0</v>
      </c>
      <c r="U96" s="289">
        <v>0</v>
      </c>
      <c r="V96" s="289">
        <v>0</v>
      </c>
      <c r="W96" s="289">
        <v>1329187.79</v>
      </c>
      <c r="X96" s="289">
        <v>0</v>
      </c>
      <c r="Y96" s="288">
        <v>729739.76000000024</v>
      </c>
      <c r="Z96" s="289"/>
      <c r="AA96" s="291">
        <v>729739.76000000024</v>
      </c>
      <c r="AB96" s="289">
        <v>0</v>
      </c>
      <c r="AC96" s="289">
        <v>0</v>
      </c>
      <c r="AD96" s="289">
        <v>0</v>
      </c>
      <c r="AE96" s="289">
        <v>729739.76000000024</v>
      </c>
      <c r="AF96" s="291">
        <v>0</v>
      </c>
      <c r="AG96" s="289">
        <v>608821.54999999981</v>
      </c>
      <c r="AH96" s="289"/>
      <c r="AI96" s="291">
        <v>608821.54999999981</v>
      </c>
      <c r="AJ96" s="289">
        <v>0</v>
      </c>
      <c r="AK96" s="289">
        <v>0</v>
      </c>
      <c r="AL96" s="289">
        <v>0</v>
      </c>
      <c r="AM96" s="289">
        <v>608821.54999999981</v>
      </c>
      <c r="AN96" s="289">
        <v>0</v>
      </c>
    </row>
    <row r="97" spans="2:40" ht="13.5" x14ac:dyDescent="0.25">
      <c r="B97" s="194"/>
      <c r="C97" s="191"/>
      <c r="D97" s="191"/>
      <c r="E97" s="191"/>
      <c r="F97" s="191"/>
      <c r="G97" s="191" t="s">
        <v>209</v>
      </c>
      <c r="H97" s="194"/>
      <c r="I97" s="226">
        <v>5609405.1200000001</v>
      </c>
      <c r="J97" s="226"/>
      <c r="K97" s="229">
        <v>5609405.1200000001</v>
      </c>
      <c r="L97" s="228">
        <v>0</v>
      </c>
      <c r="M97" s="226">
        <v>0</v>
      </c>
      <c r="N97" s="226">
        <v>0</v>
      </c>
      <c r="O97" s="226">
        <v>5609405.1200000001</v>
      </c>
      <c r="P97" s="263">
        <v>0</v>
      </c>
      <c r="Q97" s="228">
        <v>5609405.1200000001</v>
      </c>
      <c r="R97" s="226"/>
      <c r="S97" s="229">
        <v>5609405.1200000001</v>
      </c>
      <c r="T97" s="226">
        <v>0</v>
      </c>
      <c r="U97" s="226">
        <v>0</v>
      </c>
      <c r="V97" s="226">
        <v>0</v>
      </c>
      <c r="W97" s="226">
        <v>5609405.1200000001</v>
      </c>
      <c r="X97" s="226">
        <v>0</v>
      </c>
      <c r="Y97" s="228">
        <v>4280217.33</v>
      </c>
      <c r="Z97" s="226"/>
      <c r="AA97" s="229">
        <v>4280217.33</v>
      </c>
      <c r="AB97" s="226"/>
      <c r="AC97" s="226"/>
      <c r="AD97" s="226"/>
      <c r="AE97" s="226">
        <v>4280217.33</v>
      </c>
      <c r="AF97" s="229"/>
      <c r="AG97" s="226">
        <v>3580144.77</v>
      </c>
      <c r="AH97" s="226"/>
      <c r="AI97" s="229">
        <v>3580144.77</v>
      </c>
      <c r="AJ97" s="226"/>
      <c r="AK97" s="226"/>
      <c r="AL97" s="226"/>
      <c r="AM97" s="226">
        <v>3580144.77</v>
      </c>
      <c r="AN97" s="226"/>
    </row>
    <row r="98" spans="2:40" ht="13.5" x14ac:dyDescent="0.25">
      <c r="B98" s="194"/>
      <c r="C98" s="191"/>
      <c r="D98" s="191"/>
      <c r="E98" s="191"/>
      <c r="F98" s="191"/>
      <c r="G98" s="191" t="s">
        <v>213</v>
      </c>
      <c r="H98" s="194"/>
      <c r="I98" s="226">
        <v>29667.199999999997</v>
      </c>
      <c r="J98" s="226"/>
      <c r="K98" s="229">
        <v>29667.199999999997</v>
      </c>
      <c r="L98" s="228">
        <v>0</v>
      </c>
      <c r="M98" s="226">
        <v>0</v>
      </c>
      <c r="N98" s="226">
        <v>0</v>
      </c>
      <c r="O98" s="226">
        <v>29667.199999999997</v>
      </c>
      <c r="P98" s="263">
        <v>0</v>
      </c>
      <c r="Q98" s="228">
        <v>0</v>
      </c>
      <c r="R98" s="226"/>
      <c r="S98" s="229">
        <v>0</v>
      </c>
      <c r="T98" s="226"/>
      <c r="U98" s="226"/>
      <c r="V98" s="226"/>
      <c r="W98" s="226">
        <v>0</v>
      </c>
      <c r="X98" s="226"/>
      <c r="Y98" s="228">
        <v>29667.199999999997</v>
      </c>
      <c r="Z98" s="226"/>
      <c r="AA98" s="229">
        <v>29667.199999999997</v>
      </c>
      <c r="AB98" s="226"/>
      <c r="AC98" s="226"/>
      <c r="AD98" s="226"/>
      <c r="AE98" s="226">
        <v>29667.199999999997</v>
      </c>
      <c r="AF98" s="229"/>
      <c r="AG98" s="226">
        <v>0</v>
      </c>
      <c r="AH98" s="226"/>
      <c r="AI98" s="229">
        <v>0</v>
      </c>
      <c r="AJ98" s="226"/>
      <c r="AK98" s="226"/>
      <c r="AL98" s="226"/>
      <c r="AM98" s="226">
        <v>0</v>
      </c>
      <c r="AN98" s="226"/>
    </row>
    <row r="99" spans="2:40" ht="13.5" x14ac:dyDescent="0.25">
      <c r="B99" s="194"/>
      <c r="C99" s="191"/>
      <c r="D99" s="191"/>
      <c r="E99" s="191"/>
      <c r="F99" s="191"/>
      <c r="G99" s="191" t="s">
        <v>217</v>
      </c>
      <c r="H99" s="194"/>
      <c r="I99" s="226">
        <v>2971323.22</v>
      </c>
      <c r="J99" s="226"/>
      <c r="K99" s="229">
        <v>2971323.22</v>
      </c>
      <c r="L99" s="228">
        <v>0</v>
      </c>
      <c r="M99" s="226">
        <v>0</v>
      </c>
      <c r="N99" s="226">
        <v>0</v>
      </c>
      <c r="O99" s="226">
        <v>2971323.22</v>
      </c>
      <c r="P99" s="226">
        <v>0</v>
      </c>
      <c r="Q99" s="228">
        <v>4280217.33</v>
      </c>
      <c r="R99" s="238"/>
      <c r="S99" s="229">
        <v>4280217.33</v>
      </c>
      <c r="T99" s="226">
        <v>0</v>
      </c>
      <c r="U99" s="226">
        <v>0</v>
      </c>
      <c r="V99" s="226">
        <v>0</v>
      </c>
      <c r="W99" s="226">
        <v>4280217.33</v>
      </c>
      <c r="X99" s="226">
        <v>0</v>
      </c>
      <c r="Y99" s="228">
        <v>3580144.77</v>
      </c>
      <c r="Z99" s="238"/>
      <c r="AA99" s="229">
        <v>3580144.77</v>
      </c>
      <c r="AB99" s="226"/>
      <c r="AC99" s="226"/>
      <c r="AD99" s="226"/>
      <c r="AE99" s="226">
        <v>3580144.77</v>
      </c>
      <c r="AF99" s="229"/>
      <c r="AG99" s="226">
        <v>2971323.22</v>
      </c>
      <c r="AH99" s="238"/>
      <c r="AI99" s="229">
        <v>2971323.22</v>
      </c>
      <c r="AJ99" s="226"/>
      <c r="AK99" s="226"/>
      <c r="AL99" s="226"/>
      <c r="AM99" s="226">
        <v>2971323.22</v>
      </c>
      <c r="AN99" s="226"/>
    </row>
    <row r="100" spans="2:40" ht="13.5" x14ac:dyDescent="0.25">
      <c r="B100" s="194"/>
      <c r="C100" s="191"/>
      <c r="D100" s="191"/>
      <c r="E100" s="191"/>
      <c r="F100" s="309" t="s">
        <v>226</v>
      </c>
      <c r="G100" s="309"/>
      <c r="H100" s="310"/>
      <c r="I100" s="311">
        <v>27724631.100000001</v>
      </c>
      <c r="J100" s="312">
        <v>14854348.02</v>
      </c>
      <c r="K100" s="313">
        <v>12870283.080000002</v>
      </c>
      <c r="L100" s="312">
        <v>1323316.17</v>
      </c>
      <c r="M100" s="312">
        <v>2532878.13</v>
      </c>
      <c r="N100" s="312">
        <v>2693736.5900000003</v>
      </c>
      <c r="O100" s="312">
        <v>6320352.1900000004</v>
      </c>
      <c r="P100" s="314">
        <v>0</v>
      </c>
      <c r="Q100" s="315">
        <v>29401202.984333899</v>
      </c>
      <c r="R100" s="312">
        <v>14391763.77</v>
      </c>
      <c r="S100" s="313">
        <v>15009439.214333899</v>
      </c>
      <c r="T100" s="312">
        <v>1446637.927660486</v>
      </c>
      <c r="U100" s="312">
        <v>2793418.275198305</v>
      </c>
      <c r="V100" s="312">
        <v>3132398.0105997408</v>
      </c>
      <c r="W100" s="312">
        <v>7636985.0008753687</v>
      </c>
      <c r="X100" s="312">
        <v>0</v>
      </c>
      <c r="Y100" s="315">
        <v>28404658.798999999</v>
      </c>
      <c r="Z100" s="312">
        <v>14820374.389999999</v>
      </c>
      <c r="AA100" s="313">
        <v>13584284.409</v>
      </c>
      <c r="AB100" s="312">
        <v>1316165.9689999998</v>
      </c>
      <c r="AC100" s="312">
        <v>2748753.75</v>
      </c>
      <c r="AD100" s="312">
        <v>2588855.6000000006</v>
      </c>
      <c r="AE100" s="312">
        <v>6930509.0899999999</v>
      </c>
      <c r="AF100" s="313">
        <v>0</v>
      </c>
      <c r="AG100" s="312">
        <v>27724631.100000001</v>
      </c>
      <c r="AH100" s="312">
        <v>14854348.02</v>
      </c>
      <c r="AI100" s="313">
        <v>12870283.080000002</v>
      </c>
      <c r="AJ100" s="312">
        <v>1323316.17</v>
      </c>
      <c r="AK100" s="312">
        <v>2532878.13</v>
      </c>
      <c r="AL100" s="312">
        <v>2693736.5900000003</v>
      </c>
      <c r="AM100" s="312">
        <v>6320352.1900000004</v>
      </c>
      <c r="AN100" s="312">
        <v>0</v>
      </c>
    </row>
    <row r="101" spans="2:40" ht="13.5" x14ac:dyDescent="0.25">
      <c r="B101" s="213"/>
      <c r="C101" s="214"/>
      <c r="D101" s="214"/>
      <c r="E101" s="191"/>
      <c r="F101" s="254" t="s">
        <v>227</v>
      </c>
      <c r="G101" s="255"/>
      <c r="H101" s="301"/>
      <c r="I101" s="256">
        <v>4558614.8766404213</v>
      </c>
      <c r="J101" s="256">
        <v>2495781.2317472799</v>
      </c>
      <c r="K101" s="257">
        <v>2062833.6448931412</v>
      </c>
      <c r="L101" s="258">
        <v>0</v>
      </c>
      <c r="M101" s="258">
        <v>276447.91177332087</v>
      </c>
      <c r="N101" s="258">
        <v>1975334.3570732686</v>
      </c>
      <c r="O101" s="258">
        <v>331485.61842060013</v>
      </c>
      <c r="P101" s="308">
        <v>-520434.24237404868</v>
      </c>
      <c r="Q101" s="259">
        <v>1753769.5722768712</v>
      </c>
      <c r="R101" s="258">
        <v>975288.99640066712</v>
      </c>
      <c r="S101" s="260">
        <v>778480.57587620406</v>
      </c>
      <c r="T101" s="258">
        <v>0</v>
      </c>
      <c r="U101" s="258">
        <v>153758.42305140509</v>
      </c>
      <c r="V101" s="258">
        <v>483994.28789481532</v>
      </c>
      <c r="W101" s="258">
        <v>162008.76317312277</v>
      </c>
      <c r="X101" s="258">
        <v>-21280.898243139207</v>
      </c>
      <c r="Y101" s="259">
        <v>1362784.6877125669</v>
      </c>
      <c r="Z101" s="258">
        <v>754024.34886257385</v>
      </c>
      <c r="AA101" s="260">
        <v>608760.33884999319</v>
      </c>
      <c r="AB101" s="258">
        <v>0</v>
      </c>
      <c r="AC101" s="258">
        <v>122689.48872191581</v>
      </c>
      <c r="AD101" s="258">
        <v>349080.67901150958</v>
      </c>
      <c r="AE101" s="258">
        <v>169476.85524747736</v>
      </c>
      <c r="AF101" s="260">
        <v>-32486.684130909503</v>
      </c>
      <c r="AG101" s="258">
        <v>1442060.616650983</v>
      </c>
      <c r="AH101" s="258">
        <v>766467.88648403902</v>
      </c>
      <c r="AI101" s="316">
        <v>675592.73016694398</v>
      </c>
      <c r="AJ101" s="258">
        <v>0</v>
      </c>
      <c r="AK101" s="258">
        <v>0</v>
      </c>
      <c r="AL101" s="258">
        <v>1142259.3901669439</v>
      </c>
      <c r="AM101" s="258">
        <v>0</v>
      </c>
      <c r="AN101" s="258">
        <v>-466666.66</v>
      </c>
    </row>
    <row r="102" spans="2:40" ht="13.5" x14ac:dyDescent="0.25">
      <c r="B102" s="317"/>
      <c r="C102" s="318"/>
      <c r="D102" s="318"/>
      <c r="E102" s="318"/>
      <c r="F102" s="282"/>
      <c r="G102" s="282"/>
      <c r="H102" s="282"/>
      <c r="I102" s="319">
        <v>0.10972327060548098</v>
      </c>
      <c r="J102" s="319">
        <v>8.035085202494921E-2</v>
      </c>
      <c r="K102" s="319">
        <v>0.19673333310656224</v>
      </c>
      <c r="L102" s="320" t="s">
        <v>112</v>
      </c>
      <c r="M102" s="319">
        <v>0.58885885911098879</v>
      </c>
      <c r="N102" s="319">
        <v>0.29551684019363667</v>
      </c>
      <c r="O102" s="319">
        <v>9.9496564985119898E-2</v>
      </c>
      <c r="P102" s="321" t="s">
        <v>112</v>
      </c>
      <c r="Q102" s="322">
        <v>0.1259837704067156</v>
      </c>
      <c r="R102" s="319">
        <v>9.2128227419914166E-2</v>
      </c>
      <c r="S102" s="323">
        <v>0.23347039728467123</v>
      </c>
      <c r="T102" s="320" t="s">
        <v>112</v>
      </c>
      <c r="U102" s="319">
        <v>0.97972936642990105</v>
      </c>
      <c r="V102" s="319">
        <v>0.20610834670249126</v>
      </c>
      <c r="W102" s="319">
        <v>0.19538072961966349</v>
      </c>
      <c r="X102" s="319" t="s">
        <v>112</v>
      </c>
      <c r="Y102" s="322">
        <v>0.10447497060357427</v>
      </c>
      <c r="Z102" s="319">
        <v>8.0895336557357617E-2</v>
      </c>
      <c r="AA102" s="323">
        <v>0.16350726191975443</v>
      </c>
      <c r="AB102" s="320" t="s">
        <v>112</v>
      </c>
      <c r="AC102" s="319">
        <v>1.9877363611606107</v>
      </c>
      <c r="AD102" s="319">
        <v>0.14175070642802368</v>
      </c>
      <c r="AE102" s="319">
        <v>0.14137465330949817</v>
      </c>
      <c r="AF102" s="319" t="s">
        <v>112</v>
      </c>
      <c r="AG102" s="322">
        <v>9.8894910482034859E-2</v>
      </c>
      <c r="AH102" s="319">
        <v>6.8717827626418593E-2</v>
      </c>
      <c r="AI102" s="323">
        <v>0.19708623690035179</v>
      </c>
      <c r="AJ102" s="320" t="s">
        <v>112</v>
      </c>
      <c r="AK102" s="319">
        <v>0</v>
      </c>
      <c r="AL102" s="319">
        <v>0.60970970985310613</v>
      </c>
      <c r="AM102" s="319">
        <v>0</v>
      </c>
      <c r="AN102" s="320" t="s">
        <v>112</v>
      </c>
    </row>
    <row r="103" spans="2:40" ht="13.5" x14ac:dyDescent="0.25">
      <c r="B103" s="194"/>
      <c r="C103" s="191"/>
      <c r="D103" s="191"/>
      <c r="E103" s="191"/>
      <c r="F103" s="191"/>
      <c r="G103" s="191" t="s">
        <v>103</v>
      </c>
      <c r="H103" s="194"/>
      <c r="I103" s="226">
        <v>0</v>
      </c>
      <c r="J103" s="226">
        <v>0</v>
      </c>
      <c r="K103" s="241">
        <v>0</v>
      </c>
      <c r="L103" s="237">
        <v>0</v>
      </c>
      <c r="M103" s="238">
        <v>0</v>
      </c>
      <c r="N103" s="238">
        <v>0</v>
      </c>
      <c r="O103" s="238"/>
      <c r="P103" s="324">
        <v>0</v>
      </c>
      <c r="Q103" s="228">
        <v>0</v>
      </c>
      <c r="R103" s="238"/>
      <c r="S103" s="239">
        <v>0</v>
      </c>
      <c r="T103" s="238">
        <v>0</v>
      </c>
      <c r="U103" s="238">
        <v>0</v>
      </c>
      <c r="V103" s="238">
        <v>0</v>
      </c>
      <c r="W103" s="238"/>
      <c r="X103" s="238">
        <v>0</v>
      </c>
      <c r="Y103" s="228">
        <v>0</v>
      </c>
      <c r="Z103" s="238"/>
      <c r="AA103" s="239">
        <v>0</v>
      </c>
      <c r="AB103" s="238"/>
      <c r="AC103" s="238"/>
      <c r="AD103" s="238"/>
      <c r="AE103" s="238"/>
      <c r="AF103" s="238"/>
      <c r="AG103" s="228">
        <v>0</v>
      </c>
      <c r="AH103" s="238"/>
      <c r="AI103" s="239">
        <v>0</v>
      </c>
      <c r="AJ103" s="238"/>
      <c r="AK103" s="238"/>
      <c r="AL103" s="238"/>
      <c r="AM103" s="238"/>
      <c r="AN103" s="238"/>
    </row>
    <row r="104" spans="2:40" ht="13.5" x14ac:dyDescent="0.25">
      <c r="B104" s="194"/>
      <c r="C104" s="191"/>
      <c r="D104" s="191"/>
      <c r="E104" s="191"/>
      <c r="F104" s="191"/>
      <c r="G104" s="191" t="s">
        <v>228</v>
      </c>
      <c r="H104" s="194"/>
      <c r="I104" s="226">
        <v>5966757.3866404211</v>
      </c>
      <c r="J104" s="226">
        <v>2495781.2317472799</v>
      </c>
      <c r="K104" s="226">
        <v>3470976.1548931412</v>
      </c>
      <c r="L104" s="237">
        <v>0</v>
      </c>
      <c r="M104" s="238">
        <v>276447.91177332087</v>
      </c>
      <c r="N104" s="238">
        <v>1975334.3570732686</v>
      </c>
      <c r="O104" s="238">
        <v>331485.61842060013</v>
      </c>
      <c r="P104" s="324">
        <v>887708.26762595132</v>
      </c>
      <c r="Q104" s="228">
        <v>2228578.7522768714</v>
      </c>
      <c r="R104" s="226">
        <v>975288.99640066712</v>
      </c>
      <c r="S104" s="229">
        <v>1253289.755876204</v>
      </c>
      <c r="T104" s="238">
        <v>0</v>
      </c>
      <c r="U104" s="238">
        <v>153758.42305140509</v>
      </c>
      <c r="V104" s="238">
        <v>483994.28789481532</v>
      </c>
      <c r="W104" s="238">
        <v>162008.76317312277</v>
      </c>
      <c r="X104" s="238">
        <v>453528.28175686079</v>
      </c>
      <c r="Y104" s="228">
        <v>1829451.3577125669</v>
      </c>
      <c r="Z104" s="238">
        <v>754024.34886257385</v>
      </c>
      <c r="AA104" s="239">
        <v>1075427.0088499931</v>
      </c>
      <c r="AB104" s="238">
        <v>0</v>
      </c>
      <c r="AC104" s="238">
        <v>122689.48872191581</v>
      </c>
      <c r="AD104" s="238">
        <v>349080.67901150958</v>
      </c>
      <c r="AE104" s="238">
        <v>169476.85524747736</v>
      </c>
      <c r="AF104" s="238">
        <v>434179.98586909048</v>
      </c>
      <c r="AG104" s="228">
        <v>1908727.2766509829</v>
      </c>
      <c r="AH104" s="238">
        <v>766467.88648403902</v>
      </c>
      <c r="AI104" s="239">
        <v>1142259.3901669439</v>
      </c>
      <c r="AJ104" s="238">
        <v>0</v>
      </c>
      <c r="AK104" s="238">
        <v>0</v>
      </c>
      <c r="AL104" s="238">
        <v>1142259.3901669439</v>
      </c>
      <c r="AM104" s="238">
        <v>0</v>
      </c>
      <c r="AN104" s="238">
        <v>0</v>
      </c>
    </row>
    <row r="105" spans="2:40" ht="13.5" x14ac:dyDescent="0.25">
      <c r="B105" s="213" t="s">
        <v>201</v>
      </c>
      <c r="C105" s="114" t="s">
        <v>115</v>
      </c>
      <c r="D105" s="214"/>
      <c r="E105" s="214"/>
      <c r="F105" s="214"/>
      <c r="G105" s="214"/>
      <c r="H105" s="325" t="s">
        <v>229</v>
      </c>
      <c r="I105" s="326">
        <v>2655194.7455754406</v>
      </c>
      <c r="J105" s="326">
        <v>757223.02166925056</v>
      </c>
      <c r="K105" s="326">
        <v>1897971.7239061899</v>
      </c>
      <c r="L105" s="327">
        <v>0</v>
      </c>
      <c r="M105" s="328">
        <v>155868.3470262622</v>
      </c>
      <c r="N105" s="328">
        <v>1098476.3548321533</v>
      </c>
      <c r="O105" s="328">
        <v>137925.45328651229</v>
      </c>
      <c r="P105" s="329">
        <v>505701.56876126223</v>
      </c>
      <c r="Q105" s="327">
        <v>967715.81071291398</v>
      </c>
      <c r="R105" s="328">
        <v>273727.40364746668</v>
      </c>
      <c r="S105" s="330">
        <v>693988.4070654473</v>
      </c>
      <c r="T105" s="331">
        <v>0</v>
      </c>
      <c r="U105" s="331">
        <v>87118.136038203025</v>
      </c>
      <c r="V105" s="331">
        <v>266842.19345090212</v>
      </c>
      <c r="W105" s="331">
        <v>64070.750150387059</v>
      </c>
      <c r="X105" s="331">
        <v>275957.3274259551</v>
      </c>
      <c r="Y105" s="327">
        <v>803308.6363124582</v>
      </c>
      <c r="Z105" s="328">
        <v>213837.1133314078</v>
      </c>
      <c r="AA105" s="330">
        <v>589471.52298105042</v>
      </c>
      <c r="AB105" s="331">
        <v>0</v>
      </c>
      <c r="AC105" s="331">
        <v>68750.210988059189</v>
      </c>
      <c r="AD105" s="331">
        <v>217122.36752155886</v>
      </c>
      <c r="AE105" s="331">
        <v>73854.703136125245</v>
      </c>
      <c r="AF105" s="331">
        <v>229744.24133530713</v>
      </c>
      <c r="AG105" s="327">
        <v>884170.2985500684</v>
      </c>
      <c r="AH105" s="328">
        <v>269658.50469037611</v>
      </c>
      <c r="AI105" s="330">
        <v>614511.79385969217</v>
      </c>
      <c r="AJ105" s="331">
        <v>0</v>
      </c>
      <c r="AK105" s="331">
        <v>0</v>
      </c>
      <c r="AL105" s="331">
        <v>614511.79385969217</v>
      </c>
      <c r="AM105" s="331">
        <v>0</v>
      </c>
      <c r="AN105" s="331">
        <v>0</v>
      </c>
    </row>
    <row r="106" spans="2:40" ht="13.5" x14ac:dyDescent="0.25">
      <c r="B106" s="194"/>
      <c r="C106" s="191"/>
      <c r="D106" s="191"/>
      <c r="E106" s="191"/>
      <c r="F106" s="191"/>
      <c r="G106" s="191"/>
      <c r="H106" s="191" t="s">
        <v>230</v>
      </c>
      <c r="I106" s="226">
        <v>1678820.4689972652</v>
      </c>
      <c r="J106" s="226">
        <v>403664.76436967542</v>
      </c>
      <c r="K106" s="226">
        <v>1275155.7046275898</v>
      </c>
      <c r="L106" s="228">
        <v>0</v>
      </c>
      <c r="M106" s="226">
        <v>83356.931771031348</v>
      </c>
      <c r="N106" s="226">
        <v>815402.83383336011</v>
      </c>
      <c r="O106" s="226">
        <v>65414.038517480672</v>
      </c>
      <c r="P106" s="296">
        <v>310981.90050571773</v>
      </c>
      <c r="Q106" s="235">
        <v>596030.58290426247</v>
      </c>
      <c r="R106" s="332">
        <v>138140.48969986921</v>
      </c>
      <c r="S106" s="333">
        <v>457890.09320439323</v>
      </c>
      <c r="T106" s="334">
        <v>0</v>
      </c>
      <c r="U106" s="332">
        <v>47447.489255078501</v>
      </c>
      <c r="V106" s="332">
        <v>220456.57777411008</v>
      </c>
      <c r="W106" s="332">
        <v>24400.103853461776</v>
      </c>
      <c r="X106" s="333">
        <v>165585.92232174287</v>
      </c>
      <c r="Y106" s="235">
        <v>523883.89392834262</v>
      </c>
      <c r="Z106" s="332">
        <v>123488.51510449045</v>
      </c>
      <c r="AA106" s="333">
        <v>400395.37882385217</v>
      </c>
      <c r="AB106" s="334">
        <v>0</v>
      </c>
      <c r="AC106" s="332">
        <v>35909.44251595284</v>
      </c>
      <c r="AD106" s="332">
        <v>178076.02345990555</v>
      </c>
      <c r="AE106" s="332">
        <v>41013.934664018896</v>
      </c>
      <c r="AF106" s="333">
        <v>145395.97818397486</v>
      </c>
      <c r="AG106" s="235">
        <v>558905.99216466025</v>
      </c>
      <c r="AH106" s="332">
        <v>142035.75956531579</v>
      </c>
      <c r="AI106" s="261">
        <v>416870.2325993444</v>
      </c>
      <c r="AJ106" s="334">
        <v>0</v>
      </c>
      <c r="AK106" s="332">
        <v>0</v>
      </c>
      <c r="AL106" s="332">
        <v>416870.2325993444</v>
      </c>
      <c r="AM106" s="332">
        <v>0</v>
      </c>
      <c r="AN106" s="333">
        <v>0</v>
      </c>
    </row>
    <row r="107" spans="2:40" ht="13.5" x14ac:dyDescent="0.25">
      <c r="B107" s="194"/>
      <c r="C107" s="191"/>
      <c r="D107" s="191"/>
      <c r="E107" s="191"/>
      <c r="F107" s="191"/>
      <c r="G107" s="191"/>
      <c r="H107" s="191" t="s">
        <v>231</v>
      </c>
      <c r="I107" s="226">
        <v>976374.27657817525</v>
      </c>
      <c r="J107" s="226">
        <v>353558.25729957514</v>
      </c>
      <c r="K107" s="226">
        <v>622816.01927860011</v>
      </c>
      <c r="L107" s="228">
        <v>0</v>
      </c>
      <c r="M107" s="226">
        <v>72511.415255230866</v>
      </c>
      <c r="N107" s="226">
        <v>283073.52099879319</v>
      </c>
      <c r="O107" s="226">
        <v>72511.414769031631</v>
      </c>
      <c r="P107" s="296">
        <v>194719.66825554447</v>
      </c>
      <c r="Q107" s="228">
        <v>371685.22780865151</v>
      </c>
      <c r="R107" s="238">
        <v>135586.91394759747</v>
      </c>
      <c r="S107" s="239">
        <v>236098.31386105408</v>
      </c>
      <c r="T107" s="238">
        <v>0</v>
      </c>
      <c r="U107" s="238">
        <v>39670.646783124517</v>
      </c>
      <c r="V107" s="238">
        <v>46385.61567679204</v>
      </c>
      <c r="W107" s="238">
        <v>39670.646296925283</v>
      </c>
      <c r="X107" s="238">
        <v>110371.40510421222</v>
      </c>
      <c r="Y107" s="228">
        <v>279424.74238411558</v>
      </c>
      <c r="Z107" s="238">
        <v>90348.598226917355</v>
      </c>
      <c r="AA107" s="239">
        <v>189076.14415719826</v>
      </c>
      <c r="AB107" s="238">
        <v>0</v>
      </c>
      <c r="AC107" s="238">
        <v>32840.768472106349</v>
      </c>
      <c r="AD107" s="238">
        <v>39046.344061653312</v>
      </c>
      <c r="AE107" s="238">
        <v>32840.768472106349</v>
      </c>
      <c r="AF107" s="238">
        <v>84348.263151332256</v>
      </c>
      <c r="AG107" s="228">
        <v>325264.3063854081</v>
      </c>
      <c r="AH107" s="238">
        <v>127622.7451250603</v>
      </c>
      <c r="AI107" s="229">
        <v>197641.56126034781</v>
      </c>
      <c r="AJ107" s="238">
        <v>0</v>
      </c>
      <c r="AK107" s="238">
        <v>0</v>
      </c>
      <c r="AL107" s="238">
        <v>197641.56126034781</v>
      </c>
      <c r="AM107" s="238">
        <v>0</v>
      </c>
      <c r="AN107" s="238">
        <v>0</v>
      </c>
    </row>
    <row r="108" spans="2:40" ht="13.5" x14ac:dyDescent="0.25">
      <c r="B108" s="213" t="s">
        <v>201</v>
      </c>
      <c r="C108" s="114" t="s">
        <v>115</v>
      </c>
      <c r="D108" s="214"/>
      <c r="E108" s="214"/>
      <c r="F108" s="214"/>
      <c r="G108" s="214"/>
      <c r="H108" s="335" t="s">
        <v>232</v>
      </c>
      <c r="I108" s="326">
        <v>2019701.5354342414</v>
      </c>
      <c r="J108" s="326">
        <v>1213449.5153451348</v>
      </c>
      <c r="K108" s="326">
        <v>806252.02008910675</v>
      </c>
      <c r="L108" s="327">
        <v>0</v>
      </c>
      <c r="M108" s="328">
        <v>66337.729905443499</v>
      </c>
      <c r="N108" s="328">
        <v>384618.08872359892</v>
      </c>
      <c r="O108" s="328">
        <v>86883.135045107294</v>
      </c>
      <c r="P108" s="329">
        <v>268413.06641495717</v>
      </c>
      <c r="Q108" s="336">
        <v>789188.22600282647</v>
      </c>
      <c r="R108" s="331">
        <v>534565.28829183627</v>
      </c>
      <c r="S108" s="337">
        <v>254622.9377109902</v>
      </c>
      <c r="T108" s="327">
        <v>0</v>
      </c>
      <c r="U108" s="328">
        <v>33411.287397996639</v>
      </c>
      <c r="V108" s="328">
        <v>60002.100269483264</v>
      </c>
      <c r="W108" s="328">
        <v>37828.569006495956</v>
      </c>
      <c r="X108" s="330">
        <v>123380.98103701434</v>
      </c>
      <c r="Y108" s="336">
        <v>602038.28556119069</v>
      </c>
      <c r="Z108" s="331">
        <v>318316.69301977218</v>
      </c>
      <c r="AA108" s="337">
        <v>283721.5925414185</v>
      </c>
      <c r="AB108" s="327">
        <v>0</v>
      </c>
      <c r="AC108" s="328">
        <v>32926.442507446845</v>
      </c>
      <c r="AD108" s="328">
        <v>56708.498617417543</v>
      </c>
      <c r="AE108" s="328">
        <v>49054.566038611338</v>
      </c>
      <c r="AF108" s="330">
        <v>145032.08537794274</v>
      </c>
      <c r="AG108" s="336">
        <v>628475.02387022483</v>
      </c>
      <c r="AH108" s="331">
        <v>360567.53403352667</v>
      </c>
      <c r="AI108" s="337">
        <v>267907.48983669817</v>
      </c>
      <c r="AJ108" s="327">
        <v>0</v>
      </c>
      <c r="AK108" s="328">
        <v>0</v>
      </c>
      <c r="AL108" s="328">
        <v>267907.48983669817</v>
      </c>
      <c r="AM108" s="328">
        <v>0</v>
      </c>
      <c r="AN108" s="330">
        <v>0</v>
      </c>
    </row>
    <row r="109" spans="2:40" ht="13.5" x14ac:dyDescent="0.25">
      <c r="B109" s="194"/>
      <c r="C109" s="191"/>
      <c r="D109" s="191"/>
      <c r="E109" s="191"/>
      <c r="F109" s="191"/>
      <c r="G109" s="191"/>
      <c r="H109" s="338" t="s">
        <v>233</v>
      </c>
      <c r="I109" s="226">
        <v>166532.48338083772</v>
      </c>
      <c r="J109" s="226">
        <v>82381.240721383729</v>
      </c>
      <c r="K109" s="226">
        <v>84151.242659454001</v>
      </c>
      <c r="L109" s="228">
        <v>0</v>
      </c>
      <c r="M109" s="226">
        <v>1345.9114459705197</v>
      </c>
      <c r="N109" s="226">
        <v>40921.801912881157</v>
      </c>
      <c r="O109" s="226">
        <v>7046.2099337022064</v>
      </c>
      <c r="P109" s="296">
        <v>34837.319366900119</v>
      </c>
      <c r="Q109" s="235">
        <v>88671.980338102934</v>
      </c>
      <c r="R109" s="332">
        <v>53167.962387627202</v>
      </c>
      <c r="S109" s="333">
        <v>35504.01795047574</v>
      </c>
      <c r="T109" s="334">
        <v>0</v>
      </c>
      <c r="U109" s="238">
        <v>1180.6789738834079</v>
      </c>
      <c r="V109" s="238">
        <v>10580.566943137153</v>
      </c>
      <c r="W109" s="238">
        <v>3736.1208279241805</v>
      </c>
      <c r="X109" s="238">
        <v>20006.651205530998</v>
      </c>
      <c r="Y109" s="235">
        <v>41843.717599142336</v>
      </c>
      <c r="Z109" s="332">
        <v>16840.896429847708</v>
      </c>
      <c r="AA109" s="333">
        <v>25002.821169294628</v>
      </c>
      <c r="AB109" s="334">
        <v>0</v>
      </c>
      <c r="AC109" s="238">
        <v>165.23247208711183</v>
      </c>
      <c r="AD109" s="238">
        <v>6696.8314300603715</v>
      </c>
      <c r="AE109" s="238">
        <v>3310.0891057780264</v>
      </c>
      <c r="AF109" s="238">
        <v>14830.668161369118</v>
      </c>
      <c r="AG109" s="235">
        <v>36016.785443592438</v>
      </c>
      <c r="AH109" s="332">
        <v>12372.38190390881</v>
      </c>
      <c r="AI109" s="333">
        <v>23644.40353968363</v>
      </c>
      <c r="AJ109" s="334">
        <v>0</v>
      </c>
      <c r="AK109" s="238">
        <v>0</v>
      </c>
      <c r="AL109" s="238">
        <v>23644.40353968363</v>
      </c>
      <c r="AM109" s="238">
        <v>0</v>
      </c>
      <c r="AN109" s="238">
        <v>0</v>
      </c>
    </row>
    <row r="110" spans="2:40" ht="13.5" x14ac:dyDescent="0.25">
      <c r="B110" s="194"/>
      <c r="C110" s="191"/>
      <c r="D110" s="191"/>
      <c r="E110" s="191"/>
      <c r="F110" s="191"/>
      <c r="G110" s="191"/>
      <c r="H110" s="191" t="s">
        <v>234</v>
      </c>
      <c r="I110" s="226">
        <v>44718.965253942733</v>
      </c>
      <c r="J110" s="226">
        <v>5326.3867807375191</v>
      </c>
      <c r="K110" s="226">
        <v>39392.578473205213</v>
      </c>
      <c r="L110" s="228">
        <v>0</v>
      </c>
      <c r="M110" s="226">
        <v>746.04995897865717</v>
      </c>
      <c r="N110" s="226">
        <v>21601.110068385013</v>
      </c>
      <c r="O110" s="226">
        <v>4868.9019429901182</v>
      </c>
      <c r="P110" s="296">
        <v>12176.516502851422</v>
      </c>
      <c r="Q110" s="228">
        <v>13962.57238291107</v>
      </c>
      <c r="R110" s="238">
        <v>2401.8728394521509</v>
      </c>
      <c r="S110" s="239">
        <v>11560.699543458919</v>
      </c>
      <c r="T110" s="238">
        <v>0</v>
      </c>
      <c r="U110" s="238">
        <v>597.3640494440192</v>
      </c>
      <c r="V110" s="238">
        <v>5353.2335667646803</v>
      </c>
      <c r="W110" s="238">
        <v>1890.2888222360464</v>
      </c>
      <c r="X110" s="238">
        <v>3719.8131050141728</v>
      </c>
      <c r="Y110" s="228">
        <v>19666.286463968045</v>
      </c>
      <c r="Z110" s="238">
        <v>2056.080713932552</v>
      </c>
      <c r="AA110" s="239">
        <v>17610.205750035493</v>
      </c>
      <c r="AB110" s="238">
        <v>0</v>
      </c>
      <c r="AC110" s="238">
        <v>148.685909534638</v>
      </c>
      <c r="AD110" s="238">
        <v>6026.203321909532</v>
      </c>
      <c r="AE110" s="238">
        <v>2978.613120754072</v>
      </c>
      <c r="AF110" s="238">
        <v>8456.7033978372492</v>
      </c>
      <c r="AG110" s="228">
        <v>11090.106407063617</v>
      </c>
      <c r="AH110" s="238">
        <v>868.43322735281663</v>
      </c>
      <c r="AI110" s="239">
        <v>10221.6731797108</v>
      </c>
      <c r="AJ110" s="238">
        <v>0</v>
      </c>
      <c r="AK110" s="238">
        <v>0</v>
      </c>
      <c r="AL110" s="238">
        <v>10221.6731797108</v>
      </c>
      <c r="AM110" s="238">
        <v>0</v>
      </c>
      <c r="AN110" s="238">
        <v>0</v>
      </c>
    </row>
    <row r="111" spans="2:40" ht="13.5" x14ac:dyDescent="0.25">
      <c r="B111" s="194"/>
      <c r="C111" s="191"/>
      <c r="D111" s="191"/>
      <c r="E111" s="191"/>
      <c r="F111" s="191"/>
      <c r="G111" s="191"/>
      <c r="H111" s="191" t="s">
        <v>235</v>
      </c>
      <c r="I111" s="226">
        <v>256711.69567396303</v>
      </c>
      <c r="J111" s="226">
        <v>170817.15649327647</v>
      </c>
      <c r="K111" s="226">
        <v>85894.539180686552</v>
      </c>
      <c r="L111" s="228">
        <v>0</v>
      </c>
      <c r="M111" s="226">
        <v>151.98653440318691</v>
      </c>
      <c r="N111" s="226">
        <v>31777.358795416909</v>
      </c>
      <c r="O111" s="226">
        <v>6954.9852219456134</v>
      </c>
      <c r="P111" s="296">
        <v>47010.208628920853</v>
      </c>
      <c r="Q111" s="228">
        <v>112916.01345799482</v>
      </c>
      <c r="R111" s="238">
        <v>80011.299756414184</v>
      </c>
      <c r="S111" s="239">
        <v>32904.713701580637</v>
      </c>
      <c r="T111" s="238">
        <v>0</v>
      </c>
      <c r="U111" s="238">
        <v>3.9343595180534696</v>
      </c>
      <c r="V111" s="238">
        <v>8748.8924419803971</v>
      </c>
      <c r="W111" s="238">
        <v>12.449821556145423</v>
      </c>
      <c r="X111" s="238">
        <v>24139.437078526043</v>
      </c>
      <c r="Y111" s="228">
        <v>70764.653876843702</v>
      </c>
      <c r="Z111" s="238">
        <v>36132.343827254168</v>
      </c>
      <c r="AA111" s="239">
        <v>34632.310049589534</v>
      </c>
      <c r="AB111" s="238">
        <v>0</v>
      </c>
      <c r="AC111" s="238">
        <v>148.05217488513344</v>
      </c>
      <c r="AD111" s="238">
        <v>4670.9509239201197</v>
      </c>
      <c r="AE111" s="238">
        <v>6942.5354003894681</v>
      </c>
      <c r="AF111" s="238">
        <v>22870.771550394809</v>
      </c>
      <c r="AG111" s="228">
        <v>73031.028339124532</v>
      </c>
      <c r="AH111" s="238">
        <v>54673.512909608136</v>
      </c>
      <c r="AI111" s="239">
        <v>18357.515429516392</v>
      </c>
      <c r="AJ111" s="238">
        <v>0</v>
      </c>
      <c r="AK111" s="238">
        <v>0</v>
      </c>
      <c r="AL111" s="238">
        <v>18357.515429516392</v>
      </c>
      <c r="AM111" s="238">
        <v>0</v>
      </c>
      <c r="AN111" s="238">
        <v>0</v>
      </c>
    </row>
    <row r="112" spans="2:40" ht="13.5" x14ac:dyDescent="0.25">
      <c r="B112" s="194"/>
      <c r="C112" s="191"/>
      <c r="D112" s="191"/>
      <c r="E112" s="191"/>
      <c r="F112" s="191"/>
      <c r="G112" s="191"/>
      <c r="H112" s="191" t="s">
        <v>236</v>
      </c>
      <c r="I112" s="226">
        <v>194989.0044587056</v>
      </c>
      <c r="J112" s="226">
        <v>170254.37717372537</v>
      </c>
      <c r="K112" s="226">
        <v>24734.627284980248</v>
      </c>
      <c r="L112" s="228">
        <v>0</v>
      </c>
      <c r="M112" s="226">
        <v>1226.9289900155211</v>
      </c>
      <c r="N112" s="226">
        <v>15894.528041916941</v>
      </c>
      <c r="O112" s="226">
        <v>3823.0003695131077</v>
      </c>
      <c r="P112" s="296">
        <v>3790.169883534676</v>
      </c>
      <c r="Q112" s="228">
        <v>65019.849569956787</v>
      </c>
      <c r="R112" s="226">
        <v>56732.274877599353</v>
      </c>
      <c r="S112" s="239">
        <v>8287.5746923574352</v>
      </c>
      <c r="T112" s="238">
        <v>0</v>
      </c>
      <c r="U112" s="238">
        <v>1125.5183741382727</v>
      </c>
      <c r="V112" s="238">
        <v>3574.7237902466245</v>
      </c>
      <c r="W112" s="238">
        <v>1791.3563128391008</v>
      </c>
      <c r="X112" s="238">
        <v>1795.9762151334373</v>
      </c>
      <c r="Y112" s="228">
        <v>65639.243282405747</v>
      </c>
      <c r="Z112" s="226">
        <v>57401.654126504691</v>
      </c>
      <c r="AA112" s="239">
        <v>8237.5891559010543</v>
      </c>
      <c r="AB112" s="238">
        <v>0</v>
      </c>
      <c r="AC112" s="238">
        <v>101.41061587724843</v>
      </c>
      <c r="AD112" s="238">
        <v>4110.3408149485604</v>
      </c>
      <c r="AE112" s="238">
        <v>2031.6440566740068</v>
      </c>
      <c r="AF112" s="238">
        <v>1994.1936684012389</v>
      </c>
      <c r="AG112" s="228">
        <v>64329.911606343077</v>
      </c>
      <c r="AH112" s="226">
        <v>56120.448169621319</v>
      </c>
      <c r="AI112" s="239">
        <v>8209.4634367217568</v>
      </c>
      <c r="AJ112" s="238">
        <v>0</v>
      </c>
      <c r="AK112" s="238">
        <v>0</v>
      </c>
      <c r="AL112" s="238">
        <v>8209.4634367217568</v>
      </c>
      <c r="AM112" s="238">
        <v>0</v>
      </c>
      <c r="AN112" s="238">
        <v>0</v>
      </c>
    </row>
    <row r="113" spans="2:40" ht="13.5" x14ac:dyDescent="0.25">
      <c r="B113" s="194"/>
      <c r="C113" s="191"/>
      <c r="D113" s="191"/>
      <c r="E113" s="191"/>
      <c r="F113" s="191"/>
      <c r="G113" s="191"/>
      <c r="H113" s="191" t="s">
        <v>237</v>
      </c>
      <c r="I113" s="226">
        <v>19546.091607507726</v>
      </c>
      <c r="J113" s="226">
        <v>2856.6364884143286</v>
      </c>
      <c r="K113" s="226">
        <v>16689.455119093396</v>
      </c>
      <c r="L113" s="228">
        <v>0</v>
      </c>
      <c r="M113" s="226">
        <v>485.02323114752295</v>
      </c>
      <c r="N113" s="226">
        <v>9904.0249326419926</v>
      </c>
      <c r="O113" s="226">
        <v>617.88073272090173</v>
      </c>
      <c r="P113" s="296">
        <v>5682.5262225829792</v>
      </c>
      <c r="Q113" s="228">
        <v>3119.1343708825011</v>
      </c>
      <c r="R113" s="238">
        <v>661.83870826587327</v>
      </c>
      <c r="S113" s="229">
        <v>2457.2956626166279</v>
      </c>
      <c r="T113" s="238">
        <v>0</v>
      </c>
      <c r="U113" s="238">
        <v>145.45270598448946</v>
      </c>
      <c r="V113" s="238">
        <v>371.11664400275527</v>
      </c>
      <c r="W113" s="238">
        <v>224.22286304581206</v>
      </c>
      <c r="X113" s="238">
        <v>1716.5034495835707</v>
      </c>
      <c r="Y113" s="228">
        <v>5800.1595872271482</v>
      </c>
      <c r="Z113" s="238">
        <v>757.62322728452045</v>
      </c>
      <c r="AA113" s="229">
        <v>5042.5363599426282</v>
      </c>
      <c r="AB113" s="238">
        <v>0</v>
      </c>
      <c r="AC113" s="238">
        <v>339.57052516303349</v>
      </c>
      <c r="AD113" s="238">
        <v>343.28519210509614</v>
      </c>
      <c r="AE113" s="238">
        <v>393.65786967508967</v>
      </c>
      <c r="AF113" s="238">
        <v>3966.022772999409</v>
      </c>
      <c r="AG113" s="228">
        <v>10626.797649398077</v>
      </c>
      <c r="AH113" s="238">
        <v>1437.1745528639347</v>
      </c>
      <c r="AI113" s="229">
        <v>9189.623096534142</v>
      </c>
      <c r="AJ113" s="238">
        <v>0</v>
      </c>
      <c r="AK113" s="238">
        <v>0</v>
      </c>
      <c r="AL113" s="238">
        <v>9189.623096534142</v>
      </c>
      <c r="AM113" s="238">
        <v>0</v>
      </c>
      <c r="AN113" s="238">
        <v>0</v>
      </c>
    </row>
    <row r="114" spans="2:40" ht="13.5" x14ac:dyDescent="0.25">
      <c r="B114" s="194"/>
      <c r="C114" s="191"/>
      <c r="D114" s="191"/>
      <c r="E114" s="191"/>
      <c r="F114" s="191"/>
      <c r="G114" s="191"/>
      <c r="H114" s="191" t="s">
        <v>238</v>
      </c>
      <c r="I114" s="226">
        <v>10669.322696730176</v>
      </c>
      <c r="J114" s="226">
        <v>98.433916390231417</v>
      </c>
      <c r="K114" s="226">
        <v>10570.888780339945</v>
      </c>
      <c r="L114" s="228">
        <v>0</v>
      </c>
      <c r="M114" s="226">
        <v>1230.8874506234561</v>
      </c>
      <c r="N114" s="226">
        <v>6380.5247639942745</v>
      </c>
      <c r="O114" s="226">
        <v>1415.2829003020465</v>
      </c>
      <c r="P114" s="296">
        <v>1544.193665420167</v>
      </c>
      <c r="Q114" s="228">
        <v>3933.3518089042527</v>
      </c>
      <c r="R114" s="238">
        <v>0</v>
      </c>
      <c r="S114" s="239">
        <v>3933.3518089042527</v>
      </c>
      <c r="T114" s="238">
        <v>0</v>
      </c>
      <c r="U114" s="238">
        <v>732.66689715928737</v>
      </c>
      <c r="V114" s="238">
        <v>1410.9435585038436</v>
      </c>
      <c r="W114" s="238">
        <v>917.06234683787795</v>
      </c>
      <c r="X114" s="238">
        <v>872.67900640324399</v>
      </c>
      <c r="Y114" s="228">
        <v>2166.1763194094292</v>
      </c>
      <c r="Z114" s="238">
        <v>0</v>
      </c>
      <c r="AA114" s="239">
        <v>2166.1763194094292</v>
      </c>
      <c r="AB114" s="238">
        <v>0</v>
      </c>
      <c r="AC114" s="238">
        <v>498.22055346416869</v>
      </c>
      <c r="AD114" s="238">
        <v>498.22055346416869</v>
      </c>
      <c r="AE114" s="238">
        <v>498.22055346416869</v>
      </c>
      <c r="AF114" s="238">
        <v>671.51465901692302</v>
      </c>
      <c r="AG114" s="228">
        <v>4569.7945684164933</v>
      </c>
      <c r="AH114" s="238">
        <v>98.433916390231417</v>
      </c>
      <c r="AI114" s="239">
        <v>4471.360652026262</v>
      </c>
      <c r="AJ114" s="238">
        <v>0</v>
      </c>
      <c r="AK114" s="238">
        <v>0</v>
      </c>
      <c r="AL114" s="238">
        <v>4471.360652026262</v>
      </c>
      <c r="AM114" s="238">
        <v>0</v>
      </c>
      <c r="AN114" s="238">
        <v>0</v>
      </c>
    </row>
    <row r="115" spans="2:40" ht="13.5" x14ac:dyDescent="0.25">
      <c r="B115" s="194"/>
      <c r="C115" s="191"/>
      <c r="D115" s="191"/>
      <c r="E115" s="191"/>
      <c r="F115" s="191"/>
      <c r="G115" s="191"/>
      <c r="H115" s="191" t="s">
        <v>239</v>
      </c>
      <c r="I115" s="226">
        <v>9564.3052285562026</v>
      </c>
      <c r="J115" s="226">
        <v>4221.2591403866481</v>
      </c>
      <c r="K115" s="226">
        <v>5343.0460881695544</v>
      </c>
      <c r="L115" s="228">
        <v>0</v>
      </c>
      <c r="M115" s="226">
        <v>979.2865287007769</v>
      </c>
      <c r="N115" s="226">
        <v>2555.845968021189</v>
      </c>
      <c r="O115" s="226">
        <v>979.2865287007769</v>
      </c>
      <c r="P115" s="296">
        <v>828.62706274681113</v>
      </c>
      <c r="Q115" s="228">
        <v>4206.8150546731049</v>
      </c>
      <c r="R115" s="238">
        <v>2014.0958882130722</v>
      </c>
      <c r="S115" s="229">
        <v>2192.7191664600327</v>
      </c>
      <c r="T115" s="238">
        <v>0</v>
      </c>
      <c r="U115" s="238">
        <v>570.10698327960847</v>
      </c>
      <c r="V115" s="238">
        <v>570.10698327960847</v>
      </c>
      <c r="W115" s="238">
        <v>570.10698327960847</v>
      </c>
      <c r="X115" s="238">
        <v>482.39821662120715</v>
      </c>
      <c r="Y115" s="228">
        <v>2164.3209955109969</v>
      </c>
      <c r="Z115" s="238">
        <v>590.55351312188805</v>
      </c>
      <c r="AA115" s="229">
        <v>1573.7674823891091</v>
      </c>
      <c r="AB115" s="238">
        <v>0</v>
      </c>
      <c r="AC115" s="238">
        <v>409.17954542116837</v>
      </c>
      <c r="AD115" s="238">
        <v>409.17954542116837</v>
      </c>
      <c r="AE115" s="238">
        <v>409.17954542116837</v>
      </c>
      <c r="AF115" s="238">
        <v>346.22884612560392</v>
      </c>
      <c r="AG115" s="228">
        <v>3193.1691783720999</v>
      </c>
      <c r="AH115" s="238">
        <v>1616.6097390516875</v>
      </c>
      <c r="AI115" s="229">
        <v>1576.5594393204121</v>
      </c>
      <c r="AJ115" s="238">
        <v>0</v>
      </c>
      <c r="AK115" s="238">
        <v>0</v>
      </c>
      <c r="AL115" s="238">
        <v>1576.5594393204121</v>
      </c>
      <c r="AM115" s="238">
        <v>0</v>
      </c>
      <c r="AN115" s="238">
        <v>0</v>
      </c>
    </row>
    <row r="116" spans="2:40" ht="13.5" x14ac:dyDescent="0.25">
      <c r="B116" s="194"/>
      <c r="C116" s="191"/>
      <c r="D116" s="191"/>
      <c r="E116" s="191"/>
      <c r="F116" s="191"/>
      <c r="G116" s="191"/>
      <c r="H116" s="191" t="s">
        <v>240</v>
      </c>
      <c r="I116" s="226">
        <v>152923.69647029735</v>
      </c>
      <c r="J116" s="226">
        <v>16240.170655486118</v>
      </c>
      <c r="K116" s="226">
        <v>136683.52581481123</v>
      </c>
      <c r="L116" s="228">
        <v>0</v>
      </c>
      <c r="M116" s="226">
        <v>21384.091956320473</v>
      </c>
      <c r="N116" s="226">
        <v>62940.651316367148</v>
      </c>
      <c r="O116" s="226">
        <v>19448.024812891646</v>
      </c>
      <c r="P116" s="296">
        <v>32910.757729231955</v>
      </c>
      <c r="Q116" s="228">
        <v>50815.064200583125</v>
      </c>
      <c r="R116" s="238">
        <v>5523.1746865230434</v>
      </c>
      <c r="S116" s="229">
        <v>45291.88951406008</v>
      </c>
      <c r="T116" s="238">
        <v>0</v>
      </c>
      <c r="U116" s="238">
        <v>10655.532456229914</v>
      </c>
      <c r="V116" s="238">
        <v>8546.3688607217482</v>
      </c>
      <c r="W116" s="238">
        <v>9690.8047359046795</v>
      </c>
      <c r="X116" s="238">
        <v>16399.183461203735</v>
      </c>
      <c r="Y116" s="228">
        <v>51163.322153660636</v>
      </c>
      <c r="Z116" s="238">
        <v>5561.0274284427514</v>
      </c>
      <c r="AA116" s="229">
        <v>45602.294725217886</v>
      </c>
      <c r="AB116" s="238">
        <v>0</v>
      </c>
      <c r="AC116" s="238">
        <v>10728.559500090561</v>
      </c>
      <c r="AD116" s="238">
        <v>8604.9408801121353</v>
      </c>
      <c r="AE116" s="238">
        <v>9757.2200769869669</v>
      </c>
      <c r="AF116" s="238">
        <v>16511.57426802822</v>
      </c>
      <c r="AG116" s="228">
        <v>50945.310116053581</v>
      </c>
      <c r="AH116" s="238">
        <v>5155.9685405203218</v>
      </c>
      <c r="AI116" s="229">
        <v>45789.341575533261</v>
      </c>
      <c r="AJ116" s="238">
        <v>0</v>
      </c>
      <c r="AK116" s="238">
        <v>0</v>
      </c>
      <c r="AL116" s="238">
        <v>45789.341575533261</v>
      </c>
      <c r="AM116" s="238">
        <v>0</v>
      </c>
      <c r="AN116" s="238">
        <v>0</v>
      </c>
    </row>
    <row r="117" spans="2:40" ht="13.5" x14ac:dyDescent="0.25">
      <c r="B117" s="194"/>
      <c r="C117" s="191"/>
      <c r="D117" s="191"/>
      <c r="E117" s="191"/>
      <c r="F117" s="191"/>
      <c r="G117" s="191"/>
      <c r="H117" s="191" t="s">
        <v>241</v>
      </c>
      <c r="I117" s="226">
        <v>16480.669021167141</v>
      </c>
      <c r="J117" s="226">
        <v>11144.015726511538</v>
      </c>
      <c r="K117" s="226">
        <v>5336.6532946556026</v>
      </c>
      <c r="L117" s="228">
        <v>0</v>
      </c>
      <c r="M117" s="226">
        <v>167.80694840828869</v>
      </c>
      <c r="N117" s="226">
        <v>2113.0342204492581</v>
      </c>
      <c r="O117" s="226">
        <v>882.27641352523369</v>
      </c>
      <c r="P117" s="296">
        <v>2173.5357122728219</v>
      </c>
      <c r="Q117" s="228">
        <v>7732.8957540220836</v>
      </c>
      <c r="R117" s="238">
        <v>4708.4593804849355</v>
      </c>
      <c r="S117" s="239">
        <v>3024.436373537148</v>
      </c>
      <c r="T117" s="238">
        <v>0</v>
      </c>
      <c r="U117" s="238">
        <v>0</v>
      </c>
      <c r="V117" s="238">
        <v>583.31753185820492</v>
      </c>
      <c r="W117" s="238">
        <v>679.65791021844939</v>
      </c>
      <c r="X117" s="238">
        <v>1761.4609314604938</v>
      </c>
      <c r="Y117" s="228">
        <v>4915.5543698017882</v>
      </c>
      <c r="Z117" s="238">
        <v>3779.3520562765261</v>
      </c>
      <c r="AA117" s="239">
        <v>1136.2023135252621</v>
      </c>
      <c r="AB117" s="238">
        <v>0</v>
      </c>
      <c r="AC117" s="238">
        <v>167.80694840828869</v>
      </c>
      <c r="AD117" s="238">
        <v>353.70208099786072</v>
      </c>
      <c r="AE117" s="238">
        <v>202.61850330678433</v>
      </c>
      <c r="AF117" s="238">
        <v>412.0747808123283</v>
      </c>
      <c r="AG117" s="228">
        <v>3832.2188973432685</v>
      </c>
      <c r="AH117" s="238">
        <v>2656.204289750076</v>
      </c>
      <c r="AI117" s="239">
        <v>1176.0146075931923</v>
      </c>
      <c r="AJ117" s="238">
        <v>0</v>
      </c>
      <c r="AK117" s="238">
        <v>0</v>
      </c>
      <c r="AL117" s="238">
        <v>1176.0146075931923</v>
      </c>
      <c r="AM117" s="238">
        <v>0</v>
      </c>
      <c r="AN117" s="238">
        <v>0</v>
      </c>
    </row>
    <row r="118" spans="2:40" ht="13.5" x14ac:dyDescent="0.25">
      <c r="B118" s="194"/>
      <c r="C118" s="191"/>
      <c r="D118" s="191"/>
      <c r="E118" s="191"/>
      <c r="F118" s="191"/>
      <c r="G118" s="191"/>
      <c r="H118" s="191" t="s">
        <v>242</v>
      </c>
      <c r="I118" s="226">
        <v>511453.58252655348</v>
      </c>
      <c r="J118" s="226">
        <v>385343.70368795446</v>
      </c>
      <c r="K118" s="226">
        <v>126109.87883859902</v>
      </c>
      <c r="L118" s="228">
        <v>0</v>
      </c>
      <c r="M118" s="226">
        <v>6233.2364883441351</v>
      </c>
      <c r="N118" s="226">
        <v>54427.659222641465</v>
      </c>
      <c r="O118" s="226">
        <v>6233.2364883441351</v>
      </c>
      <c r="P118" s="296">
        <v>59215.746639269288</v>
      </c>
      <c r="Q118" s="228">
        <v>173940.82712213811</v>
      </c>
      <c r="R118" s="238">
        <v>137131.98899244933</v>
      </c>
      <c r="S118" s="229">
        <v>36808.838129688789</v>
      </c>
      <c r="T118" s="238">
        <v>0</v>
      </c>
      <c r="U118" s="238">
        <v>2944.7070503751033</v>
      </c>
      <c r="V118" s="238">
        <v>2944.7070503751033</v>
      </c>
      <c r="W118" s="238">
        <v>2944.7070503751033</v>
      </c>
      <c r="X118" s="238">
        <v>27974.71697856348</v>
      </c>
      <c r="Y118" s="228">
        <v>160262.85974436672</v>
      </c>
      <c r="Z118" s="238">
        <v>119156.2417697538</v>
      </c>
      <c r="AA118" s="229">
        <v>41106.617974612906</v>
      </c>
      <c r="AB118" s="238">
        <v>0</v>
      </c>
      <c r="AC118" s="238">
        <v>3288.5294379690317</v>
      </c>
      <c r="AD118" s="238">
        <v>3288.5294379690317</v>
      </c>
      <c r="AE118" s="238">
        <v>3288.5294379690317</v>
      </c>
      <c r="AF118" s="238">
        <v>31241.029660705808</v>
      </c>
      <c r="AG118" s="228">
        <v>177249.89566004864</v>
      </c>
      <c r="AH118" s="238">
        <v>129055.4729257513</v>
      </c>
      <c r="AI118" s="229">
        <v>48194.422734297332</v>
      </c>
      <c r="AJ118" s="238">
        <v>0</v>
      </c>
      <c r="AK118" s="238">
        <v>0</v>
      </c>
      <c r="AL118" s="238">
        <v>48194.422734297332</v>
      </c>
      <c r="AM118" s="238">
        <v>0</v>
      </c>
      <c r="AN118" s="238">
        <v>0</v>
      </c>
    </row>
    <row r="119" spans="2:40" ht="13.5" x14ac:dyDescent="0.25">
      <c r="B119" s="194"/>
      <c r="C119" s="191"/>
      <c r="D119" s="191"/>
      <c r="E119" s="191"/>
      <c r="F119" s="191"/>
      <c r="G119" s="191"/>
      <c r="H119" s="191" t="s">
        <v>243</v>
      </c>
      <c r="I119" s="226">
        <v>5757.113127451541</v>
      </c>
      <c r="J119" s="226">
        <v>531.60718326177255</v>
      </c>
      <c r="K119" s="226">
        <v>5225.5059441897683</v>
      </c>
      <c r="L119" s="228">
        <v>0</v>
      </c>
      <c r="M119" s="226">
        <v>685.93542806787855</v>
      </c>
      <c r="N119" s="226">
        <v>2486.5661291058777</v>
      </c>
      <c r="O119" s="226">
        <v>729.2071599581725</v>
      </c>
      <c r="P119" s="296">
        <v>1323.7972270578389</v>
      </c>
      <c r="Q119" s="228">
        <v>2533.5166304448239</v>
      </c>
      <c r="R119" s="238">
        <v>109.83094852608701</v>
      </c>
      <c r="S119" s="229">
        <v>2423.6856819187369</v>
      </c>
      <c r="T119" s="238">
        <v>0</v>
      </c>
      <c r="U119" s="238">
        <v>455.66182898428127</v>
      </c>
      <c r="V119" s="238">
        <v>455.66182898428127</v>
      </c>
      <c r="W119" s="238">
        <v>498.93356087457528</v>
      </c>
      <c r="X119" s="238">
        <v>1013.4284630755991</v>
      </c>
      <c r="Y119" s="228">
        <v>1664.9466166039251</v>
      </c>
      <c r="Z119" s="238">
        <v>211.92792140084296</v>
      </c>
      <c r="AA119" s="229">
        <v>1453.0186952030822</v>
      </c>
      <c r="AB119" s="238">
        <v>0</v>
      </c>
      <c r="AC119" s="238">
        <v>230.27359908359725</v>
      </c>
      <c r="AD119" s="238">
        <v>682.10273305364774</v>
      </c>
      <c r="AE119" s="238">
        <v>230.27359908359725</v>
      </c>
      <c r="AF119" s="238">
        <v>310.36876398223978</v>
      </c>
      <c r="AG119" s="228">
        <v>1558.6498804027917</v>
      </c>
      <c r="AH119" s="238">
        <v>209.84831333484263</v>
      </c>
      <c r="AI119" s="229">
        <v>1348.801567067949</v>
      </c>
      <c r="AJ119" s="238">
        <v>0</v>
      </c>
      <c r="AK119" s="238">
        <v>0</v>
      </c>
      <c r="AL119" s="238">
        <v>1348.801567067949</v>
      </c>
      <c r="AM119" s="238">
        <v>0</v>
      </c>
      <c r="AN119" s="238">
        <v>0</v>
      </c>
    </row>
    <row r="120" spans="2:40" ht="13.5" x14ac:dyDescent="0.25">
      <c r="B120" s="194"/>
      <c r="C120" s="191"/>
      <c r="D120" s="191"/>
      <c r="E120" s="191"/>
      <c r="F120" s="191"/>
      <c r="G120" s="191"/>
      <c r="H120" s="191" t="s">
        <v>244</v>
      </c>
      <c r="I120" s="226">
        <v>159913.06597025547</v>
      </c>
      <c r="J120" s="226">
        <v>0</v>
      </c>
      <c r="K120" s="226">
        <v>159913.06597025547</v>
      </c>
      <c r="L120" s="228">
        <v>0</v>
      </c>
      <c r="M120" s="226">
        <v>24702.609316242306</v>
      </c>
      <c r="N120" s="226">
        <v>77213.026085444289</v>
      </c>
      <c r="O120" s="226">
        <v>24702.609316242306</v>
      </c>
      <c r="P120" s="296">
        <v>33294.821252326583</v>
      </c>
      <c r="Q120" s="228">
        <v>53686.877968854074</v>
      </c>
      <c r="R120" s="238">
        <v>0</v>
      </c>
      <c r="S120" s="229">
        <v>53686.877968854074</v>
      </c>
      <c r="T120" s="238">
        <v>0</v>
      </c>
      <c r="U120" s="238">
        <v>12347.981932836437</v>
      </c>
      <c r="V120" s="238">
        <v>12347.981932836437</v>
      </c>
      <c r="W120" s="238">
        <v>12347.981932836437</v>
      </c>
      <c r="X120" s="238">
        <v>16642.932170344764</v>
      </c>
      <c r="Y120" s="228">
        <v>53715.771232199419</v>
      </c>
      <c r="Z120" s="238">
        <v>0</v>
      </c>
      <c r="AA120" s="229">
        <v>53715.771232199419</v>
      </c>
      <c r="AB120" s="238">
        <v>0</v>
      </c>
      <c r="AC120" s="238">
        <v>12354.627383405867</v>
      </c>
      <c r="AD120" s="238">
        <v>12354.627383405867</v>
      </c>
      <c r="AE120" s="238">
        <v>12354.627383405867</v>
      </c>
      <c r="AF120" s="238">
        <v>16651.889081981819</v>
      </c>
      <c r="AG120" s="228">
        <v>52510.416769201991</v>
      </c>
      <c r="AH120" s="238">
        <v>0</v>
      </c>
      <c r="AI120" s="229">
        <v>52510.416769201991</v>
      </c>
      <c r="AJ120" s="238">
        <v>0</v>
      </c>
      <c r="AK120" s="238">
        <v>0</v>
      </c>
      <c r="AL120" s="238">
        <v>52510.416769201991</v>
      </c>
      <c r="AM120" s="238">
        <v>0</v>
      </c>
      <c r="AN120" s="238">
        <v>0</v>
      </c>
    </row>
    <row r="121" spans="2:40" ht="13.5" x14ac:dyDescent="0.25">
      <c r="B121" s="194"/>
      <c r="C121" s="191"/>
      <c r="D121" s="191"/>
      <c r="E121" s="191"/>
      <c r="F121" s="191"/>
      <c r="G121" s="191"/>
      <c r="H121" s="191" t="s">
        <v>245</v>
      </c>
      <c r="I121" s="226">
        <v>8852.5169919732289</v>
      </c>
      <c r="J121" s="226">
        <v>0</v>
      </c>
      <c r="K121" s="226">
        <v>8852.5169919732289</v>
      </c>
      <c r="L121" s="228">
        <v>0</v>
      </c>
      <c r="M121" s="226">
        <v>1257.1952564187359</v>
      </c>
      <c r="N121" s="226">
        <v>4643.6384241782089</v>
      </c>
      <c r="O121" s="226">
        <v>1257.1991726697088</v>
      </c>
      <c r="P121" s="296">
        <v>1694.4841387065758</v>
      </c>
      <c r="Q121" s="228">
        <v>2607.3124364902246</v>
      </c>
      <c r="R121" s="238">
        <v>0</v>
      </c>
      <c r="S121" s="229">
        <v>2607.3124364902246</v>
      </c>
      <c r="T121" s="238">
        <v>0</v>
      </c>
      <c r="U121" s="238">
        <v>599.68186039275167</v>
      </c>
      <c r="V121" s="238">
        <v>599.68186039275167</v>
      </c>
      <c r="W121" s="238">
        <v>599.68186039275167</v>
      </c>
      <c r="X121" s="238">
        <v>808.26685531196983</v>
      </c>
      <c r="Y121" s="228">
        <v>2858.7653039745046</v>
      </c>
      <c r="Z121" s="238">
        <v>0</v>
      </c>
      <c r="AA121" s="229">
        <v>2858.7653039745046</v>
      </c>
      <c r="AB121" s="238">
        <v>0</v>
      </c>
      <c r="AC121" s="238">
        <v>657.51339602598432</v>
      </c>
      <c r="AD121" s="238">
        <v>657.51731227695723</v>
      </c>
      <c r="AE121" s="238">
        <v>657.51731227695723</v>
      </c>
      <c r="AF121" s="238">
        <v>886.21728339460606</v>
      </c>
      <c r="AG121" s="228">
        <v>3386.4392515085001</v>
      </c>
      <c r="AH121" s="238">
        <v>0</v>
      </c>
      <c r="AI121" s="229">
        <v>3386.4392515085001</v>
      </c>
      <c r="AJ121" s="238">
        <v>0</v>
      </c>
      <c r="AK121" s="238">
        <v>0</v>
      </c>
      <c r="AL121" s="238">
        <v>3386.4392515085001</v>
      </c>
      <c r="AM121" s="238">
        <v>0</v>
      </c>
      <c r="AN121" s="238">
        <v>0</v>
      </c>
    </row>
    <row r="122" spans="2:40" ht="13.5" x14ac:dyDescent="0.25">
      <c r="B122" s="194"/>
      <c r="C122" s="191"/>
      <c r="D122" s="191"/>
      <c r="E122" s="191"/>
      <c r="F122" s="191"/>
      <c r="G122" s="191"/>
      <c r="H122" s="191" t="s">
        <v>246</v>
      </c>
      <c r="I122" s="226">
        <v>159.80555737671671</v>
      </c>
      <c r="J122" s="226">
        <v>0</v>
      </c>
      <c r="K122" s="226">
        <v>159.80555737671671</v>
      </c>
      <c r="L122" s="228">
        <v>0</v>
      </c>
      <c r="M122" s="226">
        <v>20.469754304204582</v>
      </c>
      <c r="N122" s="226">
        <v>39.664368000299703</v>
      </c>
      <c r="O122" s="226">
        <v>20.469754304204582</v>
      </c>
      <c r="P122" s="296">
        <v>79.201680768007833</v>
      </c>
      <c r="Q122" s="228">
        <v>44.584469824044497</v>
      </c>
      <c r="R122" s="238">
        <v>0</v>
      </c>
      <c r="S122" s="229">
        <v>44.584469824044497</v>
      </c>
      <c r="T122" s="238">
        <v>0</v>
      </c>
      <c r="U122" s="238">
        <v>0</v>
      </c>
      <c r="V122" s="238">
        <v>0</v>
      </c>
      <c r="W122" s="238">
        <v>0</v>
      </c>
      <c r="X122" s="238">
        <v>44.584469824044497</v>
      </c>
      <c r="Y122" s="228">
        <v>96.026473856577084</v>
      </c>
      <c r="Z122" s="238">
        <v>0</v>
      </c>
      <c r="AA122" s="229">
        <v>96.026473856577084</v>
      </c>
      <c r="AB122" s="238">
        <v>0</v>
      </c>
      <c r="AC122" s="238">
        <v>20.469754304204582</v>
      </c>
      <c r="AD122" s="238">
        <v>20.469754304204582</v>
      </c>
      <c r="AE122" s="238">
        <v>20.469754304204582</v>
      </c>
      <c r="AF122" s="238">
        <v>34.617210943963343</v>
      </c>
      <c r="AG122" s="228">
        <v>19.194613696095125</v>
      </c>
      <c r="AH122" s="238">
        <v>0</v>
      </c>
      <c r="AI122" s="229">
        <v>19.194613696095125</v>
      </c>
      <c r="AJ122" s="238">
        <v>0</v>
      </c>
      <c r="AK122" s="238">
        <v>0</v>
      </c>
      <c r="AL122" s="238">
        <v>19.194613696095125</v>
      </c>
      <c r="AM122" s="238">
        <v>0</v>
      </c>
      <c r="AN122" s="238">
        <v>0</v>
      </c>
    </row>
    <row r="123" spans="2:40" ht="13.5" x14ac:dyDescent="0.25">
      <c r="B123" s="194"/>
      <c r="C123" s="191"/>
      <c r="D123" s="191"/>
      <c r="E123" s="191"/>
      <c r="F123" s="191"/>
      <c r="G123" s="191"/>
      <c r="H123" s="191" t="s">
        <v>247</v>
      </c>
      <c r="I123" s="226">
        <v>0</v>
      </c>
      <c r="J123" s="226">
        <v>0</v>
      </c>
      <c r="K123" s="226">
        <v>0</v>
      </c>
      <c r="L123" s="228">
        <v>0</v>
      </c>
      <c r="M123" s="226">
        <v>0</v>
      </c>
      <c r="N123" s="226">
        <v>0</v>
      </c>
      <c r="O123" s="226">
        <v>0</v>
      </c>
      <c r="P123" s="296">
        <v>0</v>
      </c>
      <c r="Q123" s="228">
        <v>0</v>
      </c>
      <c r="R123" s="238">
        <v>0</v>
      </c>
      <c r="S123" s="229">
        <v>0</v>
      </c>
      <c r="T123" s="238">
        <v>0</v>
      </c>
      <c r="U123" s="238">
        <v>0</v>
      </c>
      <c r="V123" s="238">
        <v>0</v>
      </c>
      <c r="W123" s="238">
        <v>0</v>
      </c>
      <c r="X123" s="238">
        <v>0</v>
      </c>
      <c r="Y123" s="228">
        <v>0</v>
      </c>
      <c r="Z123" s="238">
        <v>0</v>
      </c>
      <c r="AA123" s="229">
        <v>0</v>
      </c>
      <c r="AB123" s="238">
        <v>0</v>
      </c>
      <c r="AC123" s="238">
        <v>0</v>
      </c>
      <c r="AD123" s="238">
        <v>0</v>
      </c>
      <c r="AE123" s="238">
        <v>0</v>
      </c>
      <c r="AF123" s="238">
        <v>0</v>
      </c>
      <c r="AG123" s="228">
        <v>0</v>
      </c>
      <c r="AH123" s="238">
        <v>0</v>
      </c>
      <c r="AI123" s="229">
        <v>0</v>
      </c>
      <c r="AJ123" s="238">
        <v>0</v>
      </c>
      <c r="AK123" s="238">
        <v>0</v>
      </c>
      <c r="AL123" s="238">
        <v>0</v>
      </c>
      <c r="AM123" s="238">
        <v>0</v>
      </c>
      <c r="AN123" s="238">
        <v>0</v>
      </c>
    </row>
    <row r="124" spans="2:40" ht="13.5" x14ac:dyDescent="0.25">
      <c r="B124" s="194"/>
      <c r="C124" s="191"/>
      <c r="D124" s="191"/>
      <c r="E124" s="191"/>
      <c r="F124" s="191"/>
      <c r="G124" s="191"/>
      <c r="H124" s="191" t="s">
        <v>248</v>
      </c>
      <c r="I124" s="226">
        <v>115261.71932038218</v>
      </c>
      <c r="J124" s="226">
        <v>73530.917988985238</v>
      </c>
      <c r="K124" s="226">
        <v>41730.801331396942</v>
      </c>
      <c r="L124" s="228">
        <v>0</v>
      </c>
      <c r="M124" s="226">
        <v>2948.1590877281624</v>
      </c>
      <c r="N124" s="226">
        <v>27381.885105363373</v>
      </c>
      <c r="O124" s="226">
        <v>1904.7147701693789</v>
      </c>
      <c r="P124" s="296">
        <v>9496.0423681360262</v>
      </c>
      <c r="Q124" s="228">
        <v>34147.302323546144</v>
      </c>
      <c r="R124" s="238">
        <v>28577.546346942054</v>
      </c>
      <c r="S124" s="239">
        <v>5569.755976604094</v>
      </c>
      <c r="T124" s="238">
        <v>0</v>
      </c>
      <c r="U124" s="238">
        <v>1396.3238798791781</v>
      </c>
      <c r="V124" s="238">
        <v>1118.01832662232</v>
      </c>
      <c r="W124" s="238">
        <v>49.445081333311293</v>
      </c>
      <c r="X124" s="238">
        <v>3005.9686887692842</v>
      </c>
      <c r="Y124" s="228">
        <v>32627.694747817906</v>
      </c>
      <c r="Z124" s="238">
        <v>20661.774453315837</v>
      </c>
      <c r="AA124" s="239">
        <v>11965.92029450207</v>
      </c>
      <c r="AB124" s="238">
        <v>0</v>
      </c>
      <c r="AC124" s="238">
        <v>1551.8352078489843</v>
      </c>
      <c r="AD124" s="238">
        <v>2068.7417184502779</v>
      </c>
      <c r="AE124" s="238">
        <v>1855.2696888360676</v>
      </c>
      <c r="AF124" s="238">
        <v>6490.0736793667411</v>
      </c>
      <c r="AG124" s="228">
        <v>48486.722249018123</v>
      </c>
      <c r="AH124" s="238">
        <v>24291.597188727348</v>
      </c>
      <c r="AI124" s="239">
        <v>24195.125060290775</v>
      </c>
      <c r="AJ124" s="238">
        <v>0</v>
      </c>
      <c r="AK124" s="238">
        <v>0</v>
      </c>
      <c r="AL124" s="238">
        <v>24195.125060290775</v>
      </c>
      <c r="AM124" s="238">
        <v>0</v>
      </c>
      <c r="AN124" s="238">
        <v>0</v>
      </c>
    </row>
    <row r="125" spans="2:40" ht="13.5" x14ac:dyDescent="0.25">
      <c r="B125" s="194"/>
      <c r="C125" s="191"/>
      <c r="D125" s="191"/>
      <c r="E125" s="191"/>
      <c r="F125" s="191"/>
      <c r="G125" s="191"/>
      <c r="H125" s="191" t="s">
        <v>249</v>
      </c>
      <c r="I125" s="226">
        <v>257755.98404893136</v>
      </c>
      <c r="J125" s="226">
        <v>221850.99960746942</v>
      </c>
      <c r="K125" s="226">
        <v>35904.984441461944</v>
      </c>
      <c r="L125" s="228">
        <v>0</v>
      </c>
      <c r="M125" s="226">
        <v>194.17092261822134</v>
      </c>
      <c r="N125" s="226">
        <v>13588.39240321254</v>
      </c>
      <c r="O125" s="226">
        <v>3364.0779063034297</v>
      </c>
      <c r="P125" s="296">
        <v>18758.343209327755</v>
      </c>
      <c r="Q125" s="228">
        <v>119284.65360735521</v>
      </c>
      <c r="R125" s="238">
        <v>114386.21479309791</v>
      </c>
      <c r="S125" s="239">
        <v>4898.4388142573071</v>
      </c>
      <c r="T125" s="238">
        <v>0</v>
      </c>
      <c r="U125" s="238">
        <v>-118.56384125539037</v>
      </c>
      <c r="V125" s="238">
        <v>1983.4495509478288</v>
      </c>
      <c r="W125" s="238">
        <v>1105.8657987406878</v>
      </c>
      <c r="X125" s="238">
        <v>1927.6873058241808</v>
      </c>
      <c r="Y125" s="228">
        <v>84964.235817052337</v>
      </c>
      <c r="Z125" s="238">
        <v>61459.170635950199</v>
      </c>
      <c r="AA125" s="239">
        <v>23505.065181102131</v>
      </c>
      <c r="AB125" s="238">
        <v>0</v>
      </c>
      <c r="AC125" s="238">
        <v>312.73476387361171</v>
      </c>
      <c r="AD125" s="238">
        <v>4103.4624061621998</v>
      </c>
      <c r="AE125" s="238">
        <v>2258.2121075627419</v>
      </c>
      <c r="AF125" s="238">
        <v>16830.655903503575</v>
      </c>
      <c r="AG125" s="228">
        <v>53507.09462452383</v>
      </c>
      <c r="AH125" s="238">
        <v>46005.614178421318</v>
      </c>
      <c r="AI125" s="239">
        <v>7501.4804461025096</v>
      </c>
      <c r="AJ125" s="238">
        <v>0</v>
      </c>
      <c r="AK125" s="238">
        <v>0</v>
      </c>
      <c r="AL125" s="238">
        <v>7501.4804461025096</v>
      </c>
      <c r="AM125" s="238">
        <v>0</v>
      </c>
      <c r="AN125" s="238">
        <v>0</v>
      </c>
    </row>
    <row r="126" spans="2:40" ht="13.5" x14ac:dyDescent="0.25">
      <c r="B126" s="194"/>
      <c r="C126" s="191"/>
      <c r="D126" s="191"/>
      <c r="E126" s="191"/>
      <c r="F126" s="191"/>
      <c r="G126" s="191"/>
      <c r="H126" s="191" t="s">
        <v>250</v>
      </c>
      <c r="I126" s="226">
        <v>32270.949775121706</v>
      </c>
      <c r="J126" s="226">
        <v>17254.358232421127</v>
      </c>
      <c r="K126" s="226">
        <v>15016.591542700578</v>
      </c>
      <c r="L126" s="228">
        <v>0</v>
      </c>
      <c r="M126" s="226">
        <v>1922.8341666617491</v>
      </c>
      <c r="N126" s="226">
        <v>8579.2771586590716</v>
      </c>
      <c r="O126" s="226">
        <v>1922.8341666617491</v>
      </c>
      <c r="P126" s="296">
        <v>2591.6460507180091</v>
      </c>
      <c r="Q126" s="228">
        <v>10178.210981295915</v>
      </c>
      <c r="R126" s="238">
        <v>7326.4006184454265</v>
      </c>
      <c r="S126" s="229">
        <v>2851.8103628504891</v>
      </c>
      <c r="T126" s="238">
        <v>0</v>
      </c>
      <c r="U126" s="238">
        <v>655.9163834556125</v>
      </c>
      <c r="V126" s="238">
        <v>655.9163834556125</v>
      </c>
      <c r="W126" s="238">
        <v>655.9163834556125</v>
      </c>
      <c r="X126" s="238">
        <v>884.06121248365162</v>
      </c>
      <c r="Y126" s="228">
        <v>9941.1382583452832</v>
      </c>
      <c r="Z126" s="238">
        <v>4432.8000704925171</v>
      </c>
      <c r="AA126" s="229">
        <v>5508.3381878527671</v>
      </c>
      <c r="AB126" s="238">
        <v>0</v>
      </c>
      <c r="AC126" s="238">
        <v>1266.9177832061366</v>
      </c>
      <c r="AD126" s="238">
        <v>1266.9177832061366</v>
      </c>
      <c r="AE126" s="238">
        <v>1266.9177832061366</v>
      </c>
      <c r="AF126" s="238">
        <v>1707.5848382343577</v>
      </c>
      <c r="AG126" s="228">
        <v>12151.600535480506</v>
      </c>
      <c r="AH126" s="238">
        <v>5495.157543483183</v>
      </c>
      <c r="AI126" s="229">
        <v>6656.4429919973227</v>
      </c>
      <c r="AJ126" s="238">
        <v>0</v>
      </c>
      <c r="AK126" s="238">
        <v>0</v>
      </c>
      <c r="AL126" s="238">
        <v>6656.4429919973227</v>
      </c>
      <c r="AM126" s="238">
        <v>0</v>
      </c>
      <c r="AN126" s="238">
        <v>0</v>
      </c>
    </row>
    <row r="127" spans="2:40" ht="13.5" x14ac:dyDescent="0.25">
      <c r="B127" s="194"/>
      <c r="C127" s="191"/>
      <c r="D127" s="191"/>
      <c r="E127" s="191"/>
      <c r="F127" s="191"/>
      <c r="G127" s="191"/>
      <c r="H127" s="191" t="s">
        <v>251</v>
      </c>
      <c r="I127" s="226">
        <v>48506.101316192951</v>
      </c>
      <c r="J127" s="226">
        <v>46135.329119976304</v>
      </c>
      <c r="K127" s="226">
        <v>2370.7721962166497</v>
      </c>
      <c r="L127" s="228">
        <v>0</v>
      </c>
      <c r="M127" s="226">
        <v>334.11199498719873</v>
      </c>
      <c r="N127" s="226">
        <v>1252.2233434334194</v>
      </c>
      <c r="O127" s="226">
        <v>334.11199498719873</v>
      </c>
      <c r="P127" s="296">
        <v>450.32486280883313</v>
      </c>
      <c r="Q127" s="228">
        <v>40875.162998293439</v>
      </c>
      <c r="R127" s="226">
        <v>40875.162998293439</v>
      </c>
      <c r="S127" s="229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28">
        <v>-11043.935440602709</v>
      </c>
      <c r="Z127" s="226">
        <v>-12496.596288373139</v>
      </c>
      <c r="AA127" s="229">
        <v>1452.6608477704294</v>
      </c>
      <c r="AB127" s="238">
        <v>0</v>
      </c>
      <c r="AC127" s="238">
        <v>334.11199498719873</v>
      </c>
      <c r="AD127" s="238">
        <v>334.11199498719873</v>
      </c>
      <c r="AE127" s="238">
        <v>334.11199498719873</v>
      </c>
      <c r="AF127" s="238">
        <v>450.32486280883313</v>
      </c>
      <c r="AG127" s="228">
        <v>18674.873758502232</v>
      </c>
      <c r="AH127" s="226">
        <v>17756.76241005601</v>
      </c>
      <c r="AI127" s="229">
        <v>918.11134844622052</v>
      </c>
      <c r="AJ127" s="238">
        <v>0</v>
      </c>
      <c r="AK127" s="238">
        <v>0</v>
      </c>
      <c r="AL127" s="238">
        <v>918.11134844622052</v>
      </c>
      <c r="AM127" s="238">
        <v>0</v>
      </c>
      <c r="AN127" s="238">
        <v>0</v>
      </c>
    </row>
    <row r="128" spans="2:40" ht="13.5" x14ac:dyDescent="0.25">
      <c r="B128" s="194"/>
      <c r="C128" s="191"/>
      <c r="D128" s="191"/>
      <c r="E128" s="191"/>
      <c r="F128" s="191"/>
      <c r="G128" s="191"/>
      <c r="H128" s="191" t="s">
        <v>252</v>
      </c>
      <c r="I128" s="226">
        <v>0</v>
      </c>
      <c r="J128" s="226">
        <v>0</v>
      </c>
      <c r="K128" s="226">
        <v>0</v>
      </c>
      <c r="L128" s="228">
        <v>0</v>
      </c>
      <c r="M128" s="226">
        <v>0</v>
      </c>
      <c r="N128" s="226">
        <v>0</v>
      </c>
      <c r="O128" s="226">
        <v>0</v>
      </c>
      <c r="P128" s="296">
        <v>0</v>
      </c>
      <c r="Q128" s="228">
        <v>0</v>
      </c>
      <c r="R128" s="238">
        <v>0</v>
      </c>
      <c r="S128" s="229">
        <v>0</v>
      </c>
      <c r="T128" s="238">
        <v>0</v>
      </c>
      <c r="U128" s="238">
        <v>0</v>
      </c>
      <c r="V128" s="238">
        <v>0</v>
      </c>
      <c r="W128" s="238">
        <v>0</v>
      </c>
      <c r="X128" s="238">
        <v>0</v>
      </c>
      <c r="Y128" s="228">
        <v>0</v>
      </c>
      <c r="Z128" s="238">
        <v>0</v>
      </c>
      <c r="AA128" s="229">
        <v>0</v>
      </c>
      <c r="AB128" s="238">
        <v>0</v>
      </c>
      <c r="AC128" s="238">
        <v>0</v>
      </c>
      <c r="AD128" s="238">
        <v>0</v>
      </c>
      <c r="AE128" s="238">
        <v>0</v>
      </c>
      <c r="AF128" s="238">
        <v>0</v>
      </c>
      <c r="AG128" s="228">
        <v>0</v>
      </c>
      <c r="AH128" s="238">
        <v>0</v>
      </c>
      <c r="AI128" s="229">
        <v>0</v>
      </c>
      <c r="AJ128" s="238">
        <v>0</v>
      </c>
      <c r="AK128" s="238">
        <v>0</v>
      </c>
      <c r="AL128" s="238">
        <v>0</v>
      </c>
      <c r="AM128" s="238">
        <v>0</v>
      </c>
      <c r="AN128" s="238">
        <v>0</v>
      </c>
    </row>
    <row r="129" spans="2:40" ht="13.5" x14ac:dyDescent="0.25">
      <c r="B129" s="194"/>
      <c r="C129" s="191"/>
      <c r="D129" s="191"/>
      <c r="E129" s="191"/>
      <c r="F129" s="191"/>
      <c r="G129" s="191"/>
      <c r="H129" s="191" t="s">
        <v>253</v>
      </c>
      <c r="I129" s="226">
        <v>2141.1078152713903</v>
      </c>
      <c r="J129" s="226">
        <v>1173.3378678060408</v>
      </c>
      <c r="K129" s="226">
        <v>967.76994746534956</v>
      </c>
      <c r="L129" s="228">
        <v>0</v>
      </c>
      <c r="M129" s="226">
        <v>67.81081960156223</v>
      </c>
      <c r="N129" s="226">
        <v>505.8690221289587</v>
      </c>
      <c r="O129" s="226">
        <v>128.00699131371996</v>
      </c>
      <c r="P129" s="296">
        <v>266.08311442110863</v>
      </c>
      <c r="Q129" s="228">
        <v>513.15071690077161</v>
      </c>
      <c r="R129" s="238">
        <v>248.72056671382799</v>
      </c>
      <c r="S129" s="229">
        <v>264.43015018694365</v>
      </c>
      <c r="T129" s="238">
        <v>0</v>
      </c>
      <c r="U129" s="238">
        <v>35.941338160670348</v>
      </c>
      <c r="V129" s="238">
        <v>83.877936730070346</v>
      </c>
      <c r="W129" s="238">
        <v>33.989707153921586</v>
      </c>
      <c r="X129" s="238">
        <v>110.62116814228135</v>
      </c>
      <c r="Y129" s="228">
        <v>557.37062909676558</v>
      </c>
      <c r="Z129" s="238">
        <v>228.50002692422541</v>
      </c>
      <c r="AA129" s="229">
        <v>328.8706021725402</v>
      </c>
      <c r="AB129" s="238">
        <v>0</v>
      </c>
      <c r="AC129" s="238">
        <v>31.869481440891882</v>
      </c>
      <c r="AD129" s="238">
        <v>47.521890293022686</v>
      </c>
      <c r="AE129" s="238">
        <v>94.017284159798379</v>
      </c>
      <c r="AF129" s="238">
        <v>155.4619462788273</v>
      </c>
      <c r="AG129" s="228">
        <v>1070.5864692738528</v>
      </c>
      <c r="AH129" s="238">
        <v>696.11727416798726</v>
      </c>
      <c r="AI129" s="229">
        <v>374.46919510586565</v>
      </c>
      <c r="AJ129" s="238">
        <v>0</v>
      </c>
      <c r="AK129" s="238">
        <v>0</v>
      </c>
      <c r="AL129" s="238">
        <v>374.46919510586565</v>
      </c>
      <c r="AM129" s="238">
        <v>0</v>
      </c>
      <c r="AN129" s="238">
        <v>0</v>
      </c>
    </row>
    <row r="130" spans="2:40" ht="13.5" x14ac:dyDescent="0.25">
      <c r="B130" s="194"/>
      <c r="C130" s="191"/>
      <c r="D130" s="191"/>
      <c r="E130" s="191"/>
      <c r="F130" s="191"/>
      <c r="G130" s="191"/>
      <c r="H130" s="191" t="s">
        <v>254</v>
      </c>
      <c r="I130" s="226">
        <v>5493.3551930240246</v>
      </c>
      <c r="J130" s="226">
        <v>4289.5845609486769</v>
      </c>
      <c r="K130" s="226">
        <v>1203.7706320753477</v>
      </c>
      <c r="L130" s="228">
        <v>0</v>
      </c>
      <c r="M130" s="226">
        <v>253.22362590093337</v>
      </c>
      <c r="N130" s="226">
        <v>411.00744135754201</v>
      </c>
      <c r="O130" s="226">
        <v>250.81846786164743</v>
      </c>
      <c r="P130" s="296">
        <v>288.72109695522511</v>
      </c>
      <c r="Q130" s="228">
        <v>998.94980965299965</v>
      </c>
      <c r="R130" s="238">
        <v>688.44450278835268</v>
      </c>
      <c r="S130" s="229">
        <v>310.50530686464697</v>
      </c>
      <c r="T130" s="238">
        <v>0</v>
      </c>
      <c r="U130" s="238">
        <v>82.382165530945571</v>
      </c>
      <c r="V130" s="238">
        <v>73.535078643842667</v>
      </c>
      <c r="W130" s="238">
        <v>79.97700749165962</v>
      </c>
      <c r="X130" s="238">
        <v>74.611055198199125</v>
      </c>
      <c r="Y130" s="228">
        <v>2269.9775305100425</v>
      </c>
      <c r="Z130" s="238">
        <v>1543.3431076430531</v>
      </c>
      <c r="AA130" s="229">
        <v>726.63442286698944</v>
      </c>
      <c r="AB130" s="238">
        <v>0</v>
      </c>
      <c r="AC130" s="238">
        <v>170.8414603699878</v>
      </c>
      <c r="AD130" s="238">
        <v>170.8414603699878</v>
      </c>
      <c r="AE130" s="238">
        <v>170.8414603699878</v>
      </c>
      <c r="AF130" s="238">
        <v>214.11004175702598</v>
      </c>
      <c r="AG130" s="228">
        <v>2224.4278528609821</v>
      </c>
      <c r="AH130" s="238">
        <v>2057.7969505172705</v>
      </c>
      <c r="AI130" s="229">
        <v>166.63090234371154</v>
      </c>
      <c r="AJ130" s="238">
        <v>0</v>
      </c>
      <c r="AK130" s="238">
        <v>0</v>
      </c>
      <c r="AL130" s="238">
        <v>166.63090234371154</v>
      </c>
      <c r="AM130" s="238">
        <v>0</v>
      </c>
      <c r="AN130" s="238">
        <v>0</v>
      </c>
    </row>
    <row r="131" spans="2:40" ht="13.5" x14ac:dyDescent="0.25">
      <c r="B131" s="213" t="s">
        <v>201</v>
      </c>
      <c r="C131" s="114" t="s">
        <v>115</v>
      </c>
      <c r="D131" s="214"/>
      <c r="E131" s="214"/>
      <c r="F131" s="214"/>
      <c r="G131" s="214"/>
      <c r="H131" s="325" t="s">
        <v>255</v>
      </c>
      <c r="I131" s="326">
        <v>376273.50635466113</v>
      </c>
      <c r="J131" s="326">
        <v>204026.68525395796</v>
      </c>
      <c r="K131" s="326">
        <v>172246.82110070318</v>
      </c>
      <c r="L131" s="327">
        <v>0</v>
      </c>
      <c r="M131" s="328">
        <v>19974.748562768084</v>
      </c>
      <c r="N131" s="328">
        <v>82724.774388202088</v>
      </c>
      <c r="O131" s="328">
        <v>23986.70929460313</v>
      </c>
      <c r="P131" s="329">
        <v>45560.588855129899</v>
      </c>
      <c r="Q131" s="327">
        <v>101786.48944907144</v>
      </c>
      <c r="R131" s="328">
        <v>52482.148708897941</v>
      </c>
      <c r="S131" s="330">
        <v>49304.340740173509</v>
      </c>
      <c r="T131" s="327">
        <v>0</v>
      </c>
      <c r="U131" s="331">
        <v>9306.9477998681814</v>
      </c>
      <c r="V131" s="331">
        <v>11281.905708115746</v>
      </c>
      <c r="W131" s="331">
        <v>9283.4524293595805</v>
      </c>
      <c r="X131" s="331">
        <v>19432.034802830007</v>
      </c>
      <c r="Y131" s="327">
        <v>171474.44886314499</v>
      </c>
      <c r="Z131" s="328">
        <v>109666.91844896882</v>
      </c>
      <c r="AA131" s="330">
        <v>61807.530414176174</v>
      </c>
      <c r="AB131" s="327">
        <v>0</v>
      </c>
      <c r="AC131" s="331">
        <v>10667.8007628999</v>
      </c>
      <c r="AD131" s="331">
        <v>10307.918733732826</v>
      </c>
      <c r="AE131" s="331">
        <v>14703.256865243546</v>
      </c>
      <c r="AF131" s="331">
        <v>26128.554052299907</v>
      </c>
      <c r="AG131" s="327">
        <v>103012.56804244471</v>
      </c>
      <c r="AH131" s="328">
        <v>41877.618096091188</v>
      </c>
      <c r="AI131" s="330">
        <v>61134.94994635351</v>
      </c>
      <c r="AJ131" s="327">
        <v>0</v>
      </c>
      <c r="AK131" s="331">
        <v>0</v>
      </c>
      <c r="AL131" s="331">
        <v>61134.94994635351</v>
      </c>
      <c r="AM131" s="331">
        <v>0</v>
      </c>
      <c r="AN131" s="331">
        <v>0</v>
      </c>
    </row>
    <row r="132" spans="2:40" ht="13.5" x14ac:dyDescent="0.25">
      <c r="B132" s="194"/>
      <c r="C132" s="191"/>
      <c r="D132" s="191"/>
      <c r="E132" s="191"/>
      <c r="F132" s="191"/>
      <c r="G132" s="191"/>
      <c r="H132" s="191" t="s">
        <v>256</v>
      </c>
      <c r="I132" s="236">
        <v>0</v>
      </c>
      <c r="J132" s="236">
        <v>0</v>
      </c>
      <c r="K132" s="241">
        <v>0</v>
      </c>
      <c r="L132" s="235">
        <v>0</v>
      </c>
      <c r="M132" s="236">
        <v>0</v>
      </c>
      <c r="N132" s="236">
        <v>0</v>
      </c>
      <c r="O132" s="236">
        <v>0</v>
      </c>
      <c r="P132" s="339">
        <v>0</v>
      </c>
      <c r="Q132" s="228">
        <v>0</v>
      </c>
      <c r="R132" s="238"/>
      <c r="S132" s="229">
        <v>0</v>
      </c>
      <c r="T132" s="238">
        <v>0</v>
      </c>
      <c r="U132" s="332">
        <v>0</v>
      </c>
      <c r="V132" s="332">
        <v>0</v>
      </c>
      <c r="W132" s="332">
        <v>0</v>
      </c>
      <c r="X132" s="333">
        <v>0</v>
      </c>
      <c r="Y132" s="228">
        <v>0</v>
      </c>
      <c r="Z132" s="238"/>
      <c r="AA132" s="229">
        <v>0</v>
      </c>
      <c r="AB132" s="238">
        <v>0</v>
      </c>
      <c r="AC132" s="332">
        <v>0</v>
      </c>
      <c r="AD132" s="332">
        <v>0</v>
      </c>
      <c r="AE132" s="332">
        <v>0</v>
      </c>
      <c r="AF132" s="333">
        <v>0</v>
      </c>
      <c r="AG132" s="228">
        <v>0</v>
      </c>
      <c r="AH132" s="238"/>
      <c r="AI132" s="229">
        <v>0</v>
      </c>
      <c r="AJ132" s="238">
        <v>0</v>
      </c>
      <c r="AK132" s="332">
        <v>0</v>
      </c>
      <c r="AL132" s="332">
        <v>0</v>
      </c>
      <c r="AM132" s="332">
        <v>0</v>
      </c>
      <c r="AN132" s="333">
        <v>0</v>
      </c>
    </row>
    <row r="133" spans="2:40" ht="13.5" x14ac:dyDescent="0.25">
      <c r="B133" s="194"/>
      <c r="C133" s="191"/>
      <c r="D133" s="191"/>
      <c r="E133" s="191"/>
      <c r="F133" s="191"/>
      <c r="G133" s="191"/>
      <c r="H133" s="191" t="s">
        <v>257</v>
      </c>
      <c r="I133" s="226">
        <v>46591.252847032156</v>
      </c>
      <c r="J133" s="226">
        <v>10921.181751032764</v>
      </c>
      <c r="K133" s="226">
        <v>35670.071095999388</v>
      </c>
      <c r="L133" s="228">
        <v>0</v>
      </c>
      <c r="M133" s="226">
        <v>2185.1675932322601</v>
      </c>
      <c r="N133" s="226">
        <v>18234.175093428184</v>
      </c>
      <c r="O133" s="226">
        <v>5557.9718226286532</v>
      </c>
      <c r="P133" s="296">
        <v>9692.7565867102894</v>
      </c>
      <c r="Q133" s="228">
        <v>13681.68633342571</v>
      </c>
      <c r="R133" s="238">
        <v>3486.4860922708908</v>
      </c>
      <c r="S133" s="229">
        <v>10195.20024115482</v>
      </c>
      <c r="T133" s="238">
        <v>0</v>
      </c>
      <c r="U133" s="238">
        <v>1188.7584102764372</v>
      </c>
      <c r="V133" s="238">
        <v>2934.6667186148156</v>
      </c>
      <c r="W133" s="238">
        <v>1663.3988718477697</v>
      </c>
      <c r="X133" s="238">
        <v>4408.3762404157978</v>
      </c>
      <c r="Y133" s="228">
        <v>14682.152175722182</v>
      </c>
      <c r="Z133" s="238">
        <v>3510.3805127351584</v>
      </c>
      <c r="AA133" s="229">
        <v>11171.771662987023</v>
      </c>
      <c r="AB133" s="238">
        <v>0</v>
      </c>
      <c r="AC133" s="238">
        <v>996.40918295582298</v>
      </c>
      <c r="AD133" s="238">
        <v>996.40918295582298</v>
      </c>
      <c r="AE133" s="238">
        <v>3894.5729507808833</v>
      </c>
      <c r="AF133" s="238">
        <v>5284.3803462944925</v>
      </c>
      <c r="AG133" s="228">
        <v>18227.41433788426</v>
      </c>
      <c r="AH133" s="238">
        <v>3924.315146026715</v>
      </c>
      <c r="AI133" s="229">
        <v>14303.099191857546</v>
      </c>
      <c r="AJ133" s="238">
        <v>0</v>
      </c>
      <c r="AK133" s="238">
        <v>0</v>
      </c>
      <c r="AL133" s="238">
        <v>14303.099191857546</v>
      </c>
      <c r="AM133" s="238">
        <v>0</v>
      </c>
      <c r="AN133" s="238">
        <v>0</v>
      </c>
    </row>
    <row r="134" spans="2:40" ht="13.5" x14ac:dyDescent="0.25">
      <c r="B134" s="194"/>
      <c r="C134" s="191"/>
      <c r="D134" s="191"/>
      <c r="E134" s="191"/>
      <c r="F134" s="191"/>
      <c r="G134" s="191"/>
      <c r="H134" s="191" t="s">
        <v>258</v>
      </c>
      <c r="I134" s="226">
        <v>37466.825138285196</v>
      </c>
      <c r="J134" s="226">
        <v>8683.893113429478</v>
      </c>
      <c r="K134" s="226">
        <v>28782.932024855716</v>
      </c>
      <c r="L134" s="228">
        <v>0</v>
      </c>
      <c r="M134" s="226">
        <v>2923.6058655821157</v>
      </c>
      <c r="N134" s="226">
        <v>13577.809485981559</v>
      </c>
      <c r="O134" s="226">
        <v>2923.6058655821157</v>
      </c>
      <c r="P134" s="296">
        <v>9357.9108077099263</v>
      </c>
      <c r="Q134" s="228">
        <v>11186.869703467088</v>
      </c>
      <c r="R134" s="238">
        <v>4002.1927585485982</v>
      </c>
      <c r="S134" s="229">
        <v>7184.6769449184894</v>
      </c>
      <c r="T134" s="238">
        <v>0</v>
      </c>
      <c r="U134" s="238">
        <v>1156.9947117729905</v>
      </c>
      <c r="V134" s="238">
        <v>1156.9947117729905</v>
      </c>
      <c r="W134" s="238">
        <v>1156.9947117729905</v>
      </c>
      <c r="X134" s="238">
        <v>3713.6928095995181</v>
      </c>
      <c r="Y134" s="228">
        <v>11986.753281084017</v>
      </c>
      <c r="Z134" s="238">
        <v>1042.7018215462338</v>
      </c>
      <c r="AA134" s="229">
        <v>10944.051459537783</v>
      </c>
      <c r="AB134" s="238">
        <v>0</v>
      </c>
      <c r="AC134" s="238">
        <v>1766.6111538091252</v>
      </c>
      <c r="AD134" s="238">
        <v>1766.6111538091252</v>
      </c>
      <c r="AE134" s="238">
        <v>1766.6111538091252</v>
      </c>
      <c r="AF134" s="238">
        <v>5644.2179981104082</v>
      </c>
      <c r="AG134" s="228">
        <v>14293.202153734088</v>
      </c>
      <c r="AH134" s="238">
        <v>3638.9985333346453</v>
      </c>
      <c r="AI134" s="229">
        <v>10654.203620399443</v>
      </c>
      <c r="AJ134" s="238">
        <v>0</v>
      </c>
      <c r="AK134" s="238">
        <v>0</v>
      </c>
      <c r="AL134" s="238">
        <v>10654.203620399443</v>
      </c>
      <c r="AM134" s="238">
        <v>0</v>
      </c>
      <c r="AN134" s="238">
        <v>0</v>
      </c>
    </row>
    <row r="135" spans="2:40" ht="13.5" x14ac:dyDescent="0.25">
      <c r="B135" s="194"/>
      <c r="C135" s="191"/>
      <c r="D135" s="191"/>
      <c r="E135" s="191"/>
      <c r="F135" s="191"/>
      <c r="G135" s="191"/>
      <c r="H135" s="191" t="s">
        <v>259</v>
      </c>
      <c r="I135" s="226">
        <v>23023.645959976704</v>
      </c>
      <c r="J135" s="226">
        <v>23023.645959976704</v>
      </c>
      <c r="K135" s="226">
        <v>0</v>
      </c>
      <c r="L135" s="228">
        <v>0</v>
      </c>
      <c r="M135" s="226">
        <v>0</v>
      </c>
      <c r="N135" s="226">
        <v>0</v>
      </c>
      <c r="O135" s="226">
        <v>0</v>
      </c>
      <c r="P135" s="296">
        <v>0</v>
      </c>
      <c r="Q135" s="228">
        <v>4985.9731520782589</v>
      </c>
      <c r="R135" s="238">
        <v>4985.9731520782589</v>
      </c>
      <c r="S135" s="229">
        <v>0</v>
      </c>
      <c r="T135" s="238">
        <v>0</v>
      </c>
      <c r="U135" s="238">
        <v>0</v>
      </c>
      <c r="V135" s="238">
        <v>0</v>
      </c>
      <c r="W135" s="238">
        <v>0</v>
      </c>
      <c r="X135" s="238">
        <v>0</v>
      </c>
      <c r="Y135" s="228">
        <v>16932.752096418099</v>
      </c>
      <c r="Z135" s="238">
        <v>16932.752096418099</v>
      </c>
      <c r="AA135" s="229">
        <v>0</v>
      </c>
      <c r="AB135" s="238">
        <v>0</v>
      </c>
      <c r="AC135" s="238">
        <v>0</v>
      </c>
      <c r="AD135" s="238">
        <v>0</v>
      </c>
      <c r="AE135" s="238">
        <v>0</v>
      </c>
      <c r="AF135" s="238">
        <v>0</v>
      </c>
      <c r="AG135" s="228">
        <v>1104.9207114803476</v>
      </c>
      <c r="AH135" s="238">
        <v>1104.9207114803476</v>
      </c>
      <c r="AI135" s="229">
        <v>0</v>
      </c>
      <c r="AJ135" s="238">
        <v>0</v>
      </c>
      <c r="AK135" s="238">
        <v>0</v>
      </c>
      <c r="AL135" s="238">
        <v>0</v>
      </c>
      <c r="AM135" s="238">
        <v>0</v>
      </c>
      <c r="AN135" s="238">
        <v>0</v>
      </c>
    </row>
    <row r="136" spans="2:40" ht="13.5" x14ac:dyDescent="0.25">
      <c r="B136" s="194"/>
      <c r="C136" s="191"/>
      <c r="D136" s="191"/>
      <c r="E136" s="191"/>
      <c r="F136" s="191"/>
      <c r="G136" s="191"/>
      <c r="H136" s="191" t="s">
        <v>260</v>
      </c>
      <c r="I136" s="226">
        <v>42.344463644952683</v>
      </c>
      <c r="J136" s="226">
        <v>42.344463644952683</v>
      </c>
      <c r="K136" s="226">
        <v>0</v>
      </c>
      <c r="L136" s="228">
        <v>0</v>
      </c>
      <c r="M136" s="226">
        <v>0</v>
      </c>
      <c r="N136" s="226">
        <v>0</v>
      </c>
      <c r="O136" s="226">
        <v>0</v>
      </c>
      <c r="P136" s="296">
        <v>0</v>
      </c>
      <c r="Q136" s="228">
        <v>0</v>
      </c>
      <c r="R136" s="238">
        <v>0</v>
      </c>
      <c r="S136" s="229">
        <v>0</v>
      </c>
      <c r="T136" s="238">
        <v>0</v>
      </c>
      <c r="U136" s="238">
        <v>0</v>
      </c>
      <c r="V136" s="238">
        <v>0</v>
      </c>
      <c r="W136" s="238">
        <v>0</v>
      </c>
      <c r="X136" s="238">
        <v>0</v>
      </c>
      <c r="Y136" s="228">
        <v>42.344463644952683</v>
      </c>
      <c r="Z136" s="238">
        <v>42.344463644952683</v>
      </c>
      <c r="AA136" s="229">
        <v>0</v>
      </c>
      <c r="AB136" s="238">
        <v>0</v>
      </c>
      <c r="AC136" s="238">
        <v>0</v>
      </c>
      <c r="AD136" s="238">
        <v>0</v>
      </c>
      <c r="AE136" s="238">
        <v>0</v>
      </c>
      <c r="AF136" s="238">
        <v>0</v>
      </c>
      <c r="AG136" s="228">
        <v>0</v>
      </c>
      <c r="AH136" s="238">
        <v>0</v>
      </c>
      <c r="AI136" s="229">
        <v>0</v>
      </c>
      <c r="AJ136" s="238">
        <v>0</v>
      </c>
      <c r="AK136" s="238">
        <v>0</v>
      </c>
      <c r="AL136" s="238">
        <v>0</v>
      </c>
      <c r="AM136" s="238">
        <v>0</v>
      </c>
      <c r="AN136" s="238">
        <v>0</v>
      </c>
    </row>
    <row r="137" spans="2:40" ht="13.5" x14ac:dyDescent="0.25">
      <c r="B137" s="194"/>
      <c r="C137" s="191"/>
      <c r="D137" s="191"/>
      <c r="E137" s="191"/>
      <c r="F137" s="191"/>
      <c r="G137" s="191"/>
      <c r="H137" s="191" t="s">
        <v>261</v>
      </c>
      <c r="I137" s="226">
        <v>391.62509729436005</v>
      </c>
      <c r="J137" s="226">
        <v>0</v>
      </c>
      <c r="K137" s="226">
        <v>391.62509729436005</v>
      </c>
      <c r="L137" s="228">
        <v>0</v>
      </c>
      <c r="M137" s="226">
        <v>80.935853440834407</v>
      </c>
      <c r="N137" s="226">
        <v>80.935853440834407</v>
      </c>
      <c r="O137" s="226">
        <v>80.935853440834407</v>
      </c>
      <c r="P137" s="296">
        <v>148.81753697185684</v>
      </c>
      <c r="Q137" s="228">
        <v>0</v>
      </c>
      <c r="R137" s="238">
        <v>0</v>
      </c>
      <c r="S137" s="229">
        <v>0</v>
      </c>
      <c r="T137" s="238">
        <v>0</v>
      </c>
      <c r="U137" s="238">
        <v>0</v>
      </c>
      <c r="V137" s="238">
        <v>0</v>
      </c>
      <c r="W137" s="238">
        <v>0</v>
      </c>
      <c r="X137" s="238">
        <v>0</v>
      </c>
      <c r="Y137" s="228">
        <v>391.62509729436005</v>
      </c>
      <c r="Z137" s="238">
        <v>0</v>
      </c>
      <c r="AA137" s="229">
        <v>391.62509729436005</v>
      </c>
      <c r="AB137" s="238">
        <v>0</v>
      </c>
      <c r="AC137" s="238">
        <v>80.935853440834407</v>
      </c>
      <c r="AD137" s="238">
        <v>80.935853440834407</v>
      </c>
      <c r="AE137" s="238">
        <v>80.935853440834407</v>
      </c>
      <c r="AF137" s="238">
        <v>148.81753697185684</v>
      </c>
      <c r="AG137" s="228">
        <v>0</v>
      </c>
      <c r="AH137" s="238">
        <v>0</v>
      </c>
      <c r="AI137" s="229">
        <v>0</v>
      </c>
      <c r="AJ137" s="238">
        <v>0</v>
      </c>
      <c r="AK137" s="238">
        <v>0</v>
      </c>
      <c r="AL137" s="238">
        <v>0</v>
      </c>
      <c r="AM137" s="238">
        <v>0</v>
      </c>
      <c r="AN137" s="238">
        <v>0</v>
      </c>
    </row>
    <row r="138" spans="2:40" ht="13.5" x14ac:dyDescent="0.25">
      <c r="B138" s="194"/>
      <c r="C138" s="191"/>
      <c r="D138" s="191"/>
      <c r="E138" s="191"/>
      <c r="F138" s="191"/>
      <c r="G138" s="191"/>
      <c r="H138" s="191" t="s">
        <v>262</v>
      </c>
      <c r="I138" s="226">
        <v>22843.272353115404</v>
      </c>
      <c r="J138" s="226">
        <v>7785.7023399954178</v>
      </c>
      <c r="K138" s="226">
        <v>15057.570013119988</v>
      </c>
      <c r="L138" s="228">
        <v>0</v>
      </c>
      <c r="M138" s="226">
        <v>3146.7231172638812</v>
      </c>
      <c r="N138" s="226">
        <v>6530.2043465983543</v>
      </c>
      <c r="O138" s="226">
        <v>1801.0401536602888</v>
      </c>
      <c r="P138" s="296">
        <v>3579.6023955974642</v>
      </c>
      <c r="Q138" s="228">
        <v>7824.8418171048133</v>
      </c>
      <c r="R138" s="238">
        <v>2802.209289322579</v>
      </c>
      <c r="S138" s="229">
        <v>5022.6325277822343</v>
      </c>
      <c r="T138" s="238">
        <v>0</v>
      </c>
      <c r="U138" s="238">
        <v>1572.3289382678233</v>
      </c>
      <c r="V138" s="238">
        <v>756.84978892200434</v>
      </c>
      <c r="W138" s="238">
        <v>901.78400211388634</v>
      </c>
      <c r="X138" s="238">
        <v>1791.6697984785205</v>
      </c>
      <c r="Y138" s="228">
        <v>7785.6047935727784</v>
      </c>
      <c r="Z138" s="238">
        <v>2770.698610220436</v>
      </c>
      <c r="AA138" s="229">
        <v>5014.9061833523419</v>
      </c>
      <c r="AB138" s="238">
        <v>0</v>
      </c>
      <c r="AC138" s="238">
        <v>1574.3941789960579</v>
      </c>
      <c r="AD138" s="238">
        <v>753.32325569093803</v>
      </c>
      <c r="AE138" s="238">
        <v>899.25615154640241</v>
      </c>
      <c r="AF138" s="238">
        <v>1787.9325971189439</v>
      </c>
      <c r="AG138" s="228">
        <v>7232.8257424378144</v>
      </c>
      <c r="AH138" s="238">
        <v>2212.7944404524023</v>
      </c>
      <c r="AI138" s="229">
        <v>5020.031301985412</v>
      </c>
      <c r="AJ138" s="238">
        <v>0</v>
      </c>
      <c r="AK138" s="238">
        <v>0</v>
      </c>
      <c r="AL138" s="238">
        <v>5020.031301985412</v>
      </c>
      <c r="AM138" s="238">
        <v>0</v>
      </c>
      <c r="AN138" s="238">
        <v>0</v>
      </c>
    </row>
    <row r="139" spans="2:40" ht="13.5" x14ac:dyDescent="0.25">
      <c r="B139" s="194"/>
      <c r="C139" s="191"/>
      <c r="D139" s="191"/>
      <c r="E139" s="191"/>
      <c r="F139" s="191"/>
      <c r="G139" s="191"/>
      <c r="H139" s="191" t="s">
        <v>263</v>
      </c>
      <c r="I139" s="226">
        <v>0</v>
      </c>
      <c r="J139" s="226">
        <v>0</v>
      </c>
      <c r="K139" s="226">
        <v>0</v>
      </c>
      <c r="L139" s="228">
        <v>0</v>
      </c>
      <c r="M139" s="226">
        <v>0</v>
      </c>
      <c r="N139" s="226">
        <v>0</v>
      </c>
      <c r="O139" s="226">
        <v>0</v>
      </c>
      <c r="P139" s="296">
        <v>0</v>
      </c>
      <c r="Q139" s="228">
        <v>0</v>
      </c>
      <c r="R139" s="238">
        <v>0</v>
      </c>
      <c r="S139" s="229">
        <v>0</v>
      </c>
      <c r="T139" s="238">
        <v>0</v>
      </c>
      <c r="U139" s="238">
        <v>0</v>
      </c>
      <c r="V139" s="238">
        <v>0</v>
      </c>
      <c r="W139" s="238">
        <v>0</v>
      </c>
      <c r="X139" s="238">
        <v>0</v>
      </c>
      <c r="Y139" s="228">
        <v>0</v>
      </c>
      <c r="Z139" s="238">
        <v>0</v>
      </c>
      <c r="AA139" s="229">
        <v>0</v>
      </c>
      <c r="AB139" s="238">
        <v>0</v>
      </c>
      <c r="AC139" s="238">
        <v>0</v>
      </c>
      <c r="AD139" s="238">
        <v>0</v>
      </c>
      <c r="AE139" s="238">
        <v>0</v>
      </c>
      <c r="AF139" s="238">
        <v>0</v>
      </c>
      <c r="AG139" s="228">
        <v>0</v>
      </c>
      <c r="AH139" s="238">
        <v>0</v>
      </c>
      <c r="AI139" s="229">
        <v>0</v>
      </c>
      <c r="AJ139" s="238">
        <v>0</v>
      </c>
      <c r="AK139" s="238">
        <v>0</v>
      </c>
      <c r="AL139" s="238">
        <v>0</v>
      </c>
      <c r="AM139" s="238">
        <v>0</v>
      </c>
      <c r="AN139" s="238">
        <v>0</v>
      </c>
    </row>
    <row r="140" spans="2:40" ht="13.5" x14ac:dyDescent="0.25">
      <c r="B140" s="194"/>
      <c r="C140" s="191"/>
      <c r="D140" s="191"/>
      <c r="E140" s="191"/>
      <c r="F140" s="191"/>
      <c r="G140" s="191"/>
      <c r="H140" s="191" t="s">
        <v>264</v>
      </c>
      <c r="I140" s="226">
        <v>13205.795749192794</v>
      </c>
      <c r="J140" s="226">
        <v>0</v>
      </c>
      <c r="K140" s="226">
        <v>13205.795749192794</v>
      </c>
      <c r="L140" s="228">
        <v>0</v>
      </c>
      <c r="M140" s="226">
        <v>1351.1531214338279</v>
      </c>
      <c r="N140" s="226">
        <v>5081.2655329663448</v>
      </c>
      <c r="O140" s="226">
        <v>1351.1531214338279</v>
      </c>
      <c r="P140" s="296">
        <v>5422.2239733587921</v>
      </c>
      <c r="Q140" s="228">
        <v>4317.2391662655527</v>
      </c>
      <c r="R140" s="238">
        <v>0</v>
      </c>
      <c r="S140" s="229">
        <v>4317.2391662655527</v>
      </c>
      <c r="T140" s="238">
        <v>0</v>
      </c>
      <c r="U140" s="238">
        <v>795.59748537755809</v>
      </c>
      <c r="V140" s="238">
        <v>795.59748537755809</v>
      </c>
      <c r="W140" s="238">
        <v>795.59748537755809</v>
      </c>
      <c r="X140" s="238">
        <v>1930.4467101328785</v>
      </c>
      <c r="Y140" s="228">
        <v>5158.4441713947235</v>
      </c>
      <c r="Z140" s="238">
        <v>0</v>
      </c>
      <c r="AA140" s="229">
        <v>5158.4441713947235</v>
      </c>
      <c r="AB140" s="238">
        <v>0</v>
      </c>
      <c r="AC140" s="238">
        <v>555.55563605626992</v>
      </c>
      <c r="AD140" s="238">
        <v>555.55563605626992</v>
      </c>
      <c r="AE140" s="238">
        <v>555.55563605626992</v>
      </c>
      <c r="AF140" s="238">
        <v>3491.7772632259139</v>
      </c>
      <c r="AG140" s="228">
        <v>3730.1124115325174</v>
      </c>
      <c r="AH140" s="238">
        <v>0</v>
      </c>
      <c r="AI140" s="229">
        <v>3730.1124115325174</v>
      </c>
      <c r="AJ140" s="238">
        <v>0</v>
      </c>
      <c r="AK140" s="238">
        <v>0</v>
      </c>
      <c r="AL140" s="238">
        <v>3730.1124115325174</v>
      </c>
      <c r="AM140" s="238">
        <v>0</v>
      </c>
      <c r="AN140" s="238">
        <v>0</v>
      </c>
    </row>
    <row r="141" spans="2:40" ht="13.5" x14ac:dyDescent="0.25">
      <c r="B141" s="194"/>
      <c r="C141" s="191"/>
      <c r="D141" s="191"/>
      <c r="E141" s="191"/>
      <c r="F141" s="191"/>
      <c r="G141" s="191"/>
      <c r="H141" s="191" t="s">
        <v>265</v>
      </c>
      <c r="I141" s="226">
        <v>21970.275190387558</v>
      </c>
      <c r="J141" s="226">
        <v>16113.912051961564</v>
      </c>
      <c r="K141" s="226">
        <v>5856.3631384259934</v>
      </c>
      <c r="L141" s="228">
        <v>0</v>
      </c>
      <c r="M141" s="226">
        <v>1344.7375835769085</v>
      </c>
      <c r="N141" s="226">
        <v>2620.0788262040733</v>
      </c>
      <c r="O141" s="226">
        <v>583.10803154706639</v>
      </c>
      <c r="P141" s="296">
        <v>1308.4386970979449</v>
      </c>
      <c r="Q141" s="228">
        <v>10407.044054512658</v>
      </c>
      <c r="R141" s="238">
        <v>9046.408203153489</v>
      </c>
      <c r="S141" s="229">
        <v>1360.6358513591699</v>
      </c>
      <c r="T141" s="238">
        <v>0</v>
      </c>
      <c r="U141" s="238">
        <v>281.19807594756179</v>
      </c>
      <c r="V141" s="238">
        <v>281.19807594756179</v>
      </c>
      <c r="W141" s="238">
        <v>281.19807594756179</v>
      </c>
      <c r="X141" s="238">
        <v>517.04162351648472</v>
      </c>
      <c r="Y141" s="228">
        <v>6291.4806855397319</v>
      </c>
      <c r="Z141" s="238">
        <v>3832.7241931299159</v>
      </c>
      <c r="AA141" s="229">
        <v>2458.756492409816</v>
      </c>
      <c r="AB141" s="238">
        <v>0</v>
      </c>
      <c r="AC141" s="238">
        <v>1063.5395076293466</v>
      </c>
      <c r="AD141" s="238">
        <v>301.9099555995046</v>
      </c>
      <c r="AE141" s="238">
        <v>301.9099555995046</v>
      </c>
      <c r="AF141" s="238">
        <v>791.39707358146029</v>
      </c>
      <c r="AG141" s="228">
        <v>5271.7504503351665</v>
      </c>
      <c r="AH141" s="238">
        <v>3234.77965567816</v>
      </c>
      <c r="AI141" s="229">
        <v>2036.970794657007</v>
      </c>
      <c r="AJ141" s="238">
        <v>0</v>
      </c>
      <c r="AK141" s="238">
        <v>0</v>
      </c>
      <c r="AL141" s="238">
        <v>2036.970794657007</v>
      </c>
      <c r="AM141" s="238">
        <v>0</v>
      </c>
      <c r="AN141" s="238">
        <v>0</v>
      </c>
    </row>
    <row r="142" spans="2:40" ht="13.5" x14ac:dyDescent="0.25">
      <c r="B142" s="194"/>
      <c r="C142" s="191"/>
      <c r="D142" s="191"/>
      <c r="E142" s="191"/>
      <c r="F142" s="191"/>
      <c r="G142" s="191"/>
      <c r="H142" s="191" t="s">
        <v>266</v>
      </c>
      <c r="I142" s="226">
        <v>103973.16329393949</v>
      </c>
      <c r="J142" s="226">
        <v>95955.875264243325</v>
      </c>
      <c r="K142" s="226">
        <v>8017.2880296961721</v>
      </c>
      <c r="L142" s="228">
        <v>0</v>
      </c>
      <c r="M142" s="226">
        <v>1092.0757125931755</v>
      </c>
      <c r="N142" s="226">
        <v>1687.7835016689794</v>
      </c>
      <c r="O142" s="226">
        <v>3217.7188344326387</v>
      </c>
      <c r="P142" s="296">
        <v>2019.709981001379</v>
      </c>
      <c r="Q142" s="228">
        <v>18939.887299017395</v>
      </c>
      <c r="R142" s="238">
        <v>14504.777879879621</v>
      </c>
      <c r="S142" s="229">
        <v>4435.1094191377742</v>
      </c>
      <c r="T142" s="238">
        <v>0</v>
      </c>
      <c r="U142" s="238">
        <v>916.58927995514</v>
      </c>
      <c r="V142" s="238">
        <v>916.58927995514</v>
      </c>
      <c r="W142" s="238">
        <v>916.58927995514</v>
      </c>
      <c r="X142" s="238">
        <v>1685.3415792723542</v>
      </c>
      <c r="Y142" s="228">
        <v>72433.89662076495</v>
      </c>
      <c r="Z142" s="226">
        <v>69447.425799282355</v>
      </c>
      <c r="AA142" s="229">
        <v>2986.4708214825946</v>
      </c>
      <c r="AB142" s="238">
        <v>0</v>
      </c>
      <c r="AC142" s="238">
        <v>175.48643263803558</v>
      </c>
      <c r="AD142" s="238">
        <v>175.48643263803558</v>
      </c>
      <c r="AE142" s="238">
        <v>2301.1295544774985</v>
      </c>
      <c r="AF142" s="238">
        <v>334.36840172902475</v>
      </c>
      <c r="AG142" s="228">
        <v>12599.379374157159</v>
      </c>
      <c r="AH142" s="226">
        <v>12003.671585081354</v>
      </c>
      <c r="AI142" s="229">
        <v>595.70778907580393</v>
      </c>
      <c r="AJ142" s="238">
        <v>0</v>
      </c>
      <c r="AK142" s="238">
        <v>0</v>
      </c>
      <c r="AL142" s="238">
        <v>595.70778907580393</v>
      </c>
      <c r="AM142" s="238">
        <v>0</v>
      </c>
      <c r="AN142" s="238">
        <v>0</v>
      </c>
    </row>
    <row r="143" spans="2:40" ht="13.5" x14ac:dyDescent="0.25">
      <c r="B143" s="194"/>
      <c r="C143" s="191"/>
      <c r="D143" s="191"/>
      <c r="E143" s="191"/>
      <c r="F143" s="191"/>
      <c r="G143" s="191"/>
      <c r="H143" s="191" t="s">
        <v>267</v>
      </c>
      <c r="I143" s="226">
        <v>1220.8409541304095</v>
      </c>
      <c r="J143" s="226">
        <v>0</v>
      </c>
      <c r="K143" s="226">
        <v>1220.8409541304095</v>
      </c>
      <c r="L143" s="228">
        <v>0</v>
      </c>
      <c r="M143" s="226">
        <v>36.876591289578649</v>
      </c>
      <c r="N143" s="226">
        <v>1038.4416905601834</v>
      </c>
      <c r="O143" s="226">
        <v>36.876591289578649</v>
      </c>
      <c r="P143" s="296">
        <v>108.64608099106853</v>
      </c>
      <c r="Q143" s="228">
        <v>219.2758548598045</v>
      </c>
      <c r="R143" s="238">
        <v>0</v>
      </c>
      <c r="S143" s="229">
        <v>219.2758548598045</v>
      </c>
      <c r="T143" s="238">
        <v>0</v>
      </c>
      <c r="U143" s="238">
        <v>36.876591289578649</v>
      </c>
      <c r="V143" s="238">
        <v>36.876591289578649</v>
      </c>
      <c r="W143" s="238">
        <v>36.876591289578649</v>
      </c>
      <c r="X143" s="238">
        <v>108.64608099106853</v>
      </c>
      <c r="Y143" s="228">
        <v>0</v>
      </c>
      <c r="Z143" s="238">
        <v>0</v>
      </c>
      <c r="AA143" s="229">
        <v>0</v>
      </c>
      <c r="AB143" s="238">
        <v>0</v>
      </c>
      <c r="AC143" s="238">
        <v>0</v>
      </c>
      <c r="AD143" s="238">
        <v>0</v>
      </c>
      <c r="AE143" s="238">
        <v>0</v>
      </c>
      <c r="AF143" s="238">
        <v>0</v>
      </c>
      <c r="AG143" s="228">
        <v>1001.5650992706046</v>
      </c>
      <c r="AH143" s="238">
        <v>0</v>
      </c>
      <c r="AI143" s="229">
        <v>1001.5650992706046</v>
      </c>
      <c r="AJ143" s="238">
        <v>0</v>
      </c>
      <c r="AK143" s="238">
        <v>0</v>
      </c>
      <c r="AL143" s="238">
        <v>1001.5650992706046</v>
      </c>
      <c r="AM143" s="238">
        <v>0</v>
      </c>
      <c r="AN143" s="238">
        <v>0</v>
      </c>
    </row>
    <row r="144" spans="2:40" ht="13.5" x14ac:dyDescent="0.25">
      <c r="B144" s="194"/>
      <c r="C144" s="191"/>
      <c r="D144" s="191"/>
      <c r="E144" s="191"/>
      <c r="F144" s="191"/>
      <c r="G144" s="191"/>
      <c r="H144" s="191" t="s">
        <v>268</v>
      </c>
      <c r="I144" s="226">
        <v>4208.394444389759</v>
      </c>
      <c r="J144" s="226">
        <v>3708.694667834749</v>
      </c>
      <c r="K144" s="226">
        <v>499.69977655500975</v>
      </c>
      <c r="L144" s="228">
        <v>0</v>
      </c>
      <c r="M144" s="226">
        <v>0</v>
      </c>
      <c r="N144" s="226">
        <v>499.69977655500975</v>
      </c>
      <c r="O144" s="226">
        <v>0</v>
      </c>
      <c r="P144" s="296">
        <v>0</v>
      </c>
      <c r="Q144" s="228">
        <v>0</v>
      </c>
      <c r="R144" s="238">
        <v>0</v>
      </c>
      <c r="S144" s="229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28">
        <v>0</v>
      </c>
      <c r="Z144" s="238">
        <v>0</v>
      </c>
      <c r="AA144" s="229">
        <v>0</v>
      </c>
      <c r="AB144" s="238">
        <v>0</v>
      </c>
      <c r="AC144" s="238">
        <v>0</v>
      </c>
      <c r="AD144" s="238">
        <v>0</v>
      </c>
      <c r="AE144" s="238">
        <v>0</v>
      </c>
      <c r="AF144" s="238">
        <v>0</v>
      </c>
      <c r="AG144" s="228">
        <v>4208.394444389759</v>
      </c>
      <c r="AH144" s="238">
        <v>3708.694667834749</v>
      </c>
      <c r="AI144" s="229">
        <v>499.69977655500975</v>
      </c>
      <c r="AJ144" s="238">
        <v>0</v>
      </c>
      <c r="AK144" s="238">
        <v>0</v>
      </c>
      <c r="AL144" s="238">
        <v>499.69977655500975</v>
      </c>
      <c r="AM144" s="238">
        <v>0</v>
      </c>
      <c r="AN144" s="238">
        <v>0</v>
      </c>
    </row>
    <row r="145" spans="2:40" ht="13.5" x14ac:dyDescent="0.25">
      <c r="B145" s="194"/>
      <c r="C145" s="191"/>
      <c r="D145" s="191"/>
      <c r="E145" s="191"/>
      <c r="F145" s="191"/>
      <c r="G145" s="191"/>
      <c r="H145" s="191" t="s">
        <v>269</v>
      </c>
      <c r="I145" s="226">
        <v>9812.8909390710596</v>
      </c>
      <c r="J145" s="226">
        <v>2992.1404245093854</v>
      </c>
      <c r="K145" s="226">
        <v>6820.7505145616742</v>
      </c>
      <c r="L145" s="228">
        <v>0</v>
      </c>
      <c r="M145" s="226">
        <v>511.53772362914805</v>
      </c>
      <c r="N145" s="226">
        <v>5286.1373436742306</v>
      </c>
      <c r="O145" s="226">
        <v>511.53772362914805</v>
      </c>
      <c r="P145" s="296">
        <v>511.53772362914805</v>
      </c>
      <c r="Q145" s="228">
        <v>2693.3954695955308</v>
      </c>
      <c r="R145" s="238">
        <v>1795.3713832854426</v>
      </c>
      <c r="S145" s="229">
        <v>898.02408631008825</v>
      </c>
      <c r="T145" s="238">
        <v>0</v>
      </c>
      <c r="U145" s="238">
        <v>224.50602157752206</v>
      </c>
      <c r="V145" s="238">
        <v>224.50602157752206</v>
      </c>
      <c r="W145" s="238">
        <v>224.50602157752206</v>
      </c>
      <c r="X145" s="238">
        <v>224.50602157752206</v>
      </c>
      <c r="Y145" s="228">
        <v>1315.3164575551825</v>
      </c>
      <c r="Z145" s="238">
        <v>167.1896493486785</v>
      </c>
      <c r="AA145" s="229">
        <v>1148.1268082065039</v>
      </c>
      <c r="AB145" s="238">
        <v>0</v>
      </c>
      <c r="AC145" s="238">
        <v>287.03170205162598</v>
      </c>
      <c r="AD145" s="238">
        <v>287.03170205162598</v>
      </c>
      <c r="AE145" s="238">
        <v>287.03170205162598</v>
      </c>
      <c r="AF145" s="238">
        <v>287.03170205162598</v>
      </c>
      <c r="AG145" s="228">
        <v>5804.179011920347</v>
      </c>
      <c r="AH145" s="238">
        <v>1029.5793918752645</v>
      </c>
      <c r="AI145" s="229">
        <v>4774.5996200450827</v>
      </c>
      <c r="AJ145" s="238">
        <v>0</v>
      </c>
      <c r="AK145" s="238">
        <v>0</v>
      </c>
      <c r="AL145" s="238">
        <v>4774.5996200450827</v>
      </c>
      <c r="AM145" s="238">
        <v>0</v>
      </c>
      <c r="AN145" s="238">
        <v>0</v>
      </c>
    </row>
    <row r="146" spans="2:40" ht="13.5" x14ac:dyDescent="0.25">
      <c r="B146" s="194"/>
      <c r="C146" s="191"/>
      <c r="D146" s="191"/>
      <c r="E146" s="191"/>
      <c r="F146" s="191"/>
      <c r="G146" s="191"/>
      <c r="H146" s="191" t="s">
        <v>270</v>
      </c>
      <c r="I146" s="226">
        <v>32622.119037228949</v>
      </c>
      <c r="J146" s="226">
        <v>17612.770134172682</v>
      </c>
      <c r="K146" s="226">
        <v>15009.348903056267</v>
      </c>
      <c r="L146" s="228">
        <v>0</v>
      </c>
      <c r="M146" s="226">
        <v>1320.6556091438215</v>
      </c>
      <c r="N146" s="226">
        <v>8211.6373756003268</v>
      </c>
      <c r="O146" s="226">
        <v>1837.776563770437</v>
      </c>
      <c r="P146" s="296">
        <v>3639.2793545416835</v>
      </c>
      <c r="Q146" s="228">
        <v>9594.0635073440408</v>
      </c>
      <c r="R146" s="238">
        <v>6027.7546833141296</v>
      </c>
      <c r="S146" s="229">
        <v>3566.3088240299112</v>
      </c>
      <c r="T146" s="238">
        <v>0</v>
      </c>
      <c r="U146" s="238">
        <v>569.47053002677922</v>
      </c>
      <c r="V146" s="238">
        <v>938.54830361524284</v>
      </c>
      <c r="W146" s="238">
        <v>659.23335303903616</v>
      </c>
      <c r="X146" s="238">
        <v>1399.056637348853</v>
      </c>
      <c r="Y146" s="228">
        <v>11733.992079382406</v>
      </c>
      <c r="Z146" s="238">
        <v>5860.3567704636343</v>
      </c>
      <c r="AA146" s="229">
        <v>5873.6353089187714</v>
      </c>
      <c r="AB146" s="238">
        <v>0</v>
      </c>
      <c r="AC146" s="238">
        <v>751.18507911704239</v>
      </c>
      <c r="AD146" s="238">
        <v>1703.6843018774978</v>
      </c>
      <c r="AE146" s="238">
        <v>1178.5432107314007</v>
      </c>
      <c r="AF146" s="238">
        <v>2240.2227171928307</v>
      </c>
      <c r="AG146" s="228">
        <v>11294.063450502505</v>
      </c>
      <c r="AH146" s="238">
        <v>5724.6586803949167</v>
      </c>
      <c r="AI146" s="229">
        <v>5569.404770107587</v>
      </c>
      <c r="AJ146" s="238">
        <v>0</v>
      </c>
      <c r="AK146" s="238">
        <v>0</v>
      </c>
      <c r="AL146" s="238">
        <v>5569.404770107587</v>
      </c>
      <c r="AM146" s="238">
        <v>0</v>
      </c>
      <c r="AN146" s="238">
        <v>0</v>
      </c>
    </row>
    <row r="147" spans="2:40" ht="13.5" x14ac:dyDescent="0.25">
      <c r="B147" s="194"/>
      <c r="C147" s="191"/>
      <c r="D147" s="191"/>
      <c r="E147" s="191"/>
      <c r="F147" s="191"/>
      <c r="G147" s="191"/>
      <c r="H147" s="191" t="s">
        <v>271</v>
      </c>
      <c r="I147" s="226">
        <v>13954.272593984917</v>
      </c>
      <c r="J147" s="226">
        <v>4067.0793376145944</v>
      </c>
      <c r="K147" s="226">
        <v>9887.1932563703231</v>
      </c>
      <c r="L147" s="228">
        <v>0</v>
      </c>
      <c r="M147" s="226">
        <v>991.535125867018</v>
      </c>
      <c r="N147" s="226">
        <v>3723.3902447045461</v>
      </c>
      <c r="O147" s="226">
        <v>1070.7325706442994</v>
      </c>
      <c r="P147" s="296">
        <v>4101.5353151544596</v>
      </c>
      <c r="Q147" s="228">
        <v>3628.2690821044653</v>
      </c>
      <c r="R147" s="238">
        <v>1215.3566028287073</v>
      </c>
      <c r="S147" s="229">
        <v>2412.912479275758</v>
      </c>
      <c r="T147" s="238">
        <v>0</v>
      </c>
      <c r="U147" s="238">
        <v>231.92472430443382</v>
      </c>
      <c r="V147" s="238">
        <v>894.68956718066215</v>
      </c>
      <c r="W147" s="238">
        <v>311.12216908171524</v>
      </c>
      <c r="X147" s="238">
        <v>975.17601870894669</v>
      </c>
      <c r="Y147" s="228">
        <v>7110.0040631103848</v>
      </c>
      <c r="Z147" s="238">
        <v>1434.494338569687</v>
      </c>
      <c r="AA147" s="229">
        <v>5675.5097245406978</v>
      </c>
      <c r="AB147" s="238">
        <v>0</v>
      </c>
      <c r="AC147" s="238">
        <v>759.61040156258412</v>
      </c>
      <c r="AD147" s="238">
        <v>1029.929624970016</v>
      </c>
      <c r="AE147" s="238">
        <v>759.61040156258412</v>
      </c>
      <c r="AF147" s="238">
        <v>3126.3592964455129</v>
      </c>
      <c r="AG147" s="228">
        <v>3215.9994487700678</v>
      </c>
      <c r="AH147" s="238">
        <v>1417.2283962162001</v>
      </c>
      <c r="AI147" s="229">
        <v>1798.771052553868</v>
      </c>
      <c r="AJ147" s="238">
        <v>0</v>
      </c>
      <c r="AK147" s="238">
        <v>0</v>
      </c>
      <c r="AL147" s="238">
        <v>1798.771052553868</v>
      </c>
      <c r="AM147" s="238">
        <v>0</v>
      </c>
      <c r="AN147" s="238">
        <v>0</v>
      </c>
    </row>
    <row r="148" spans="2:40" ht="13.5" x14ac:dyDescent="0.25">
      <c r="B148" s="194"/>
      <c r="C148" s="191"/>
      <c r="D148" s="191"/>
      <c r="E148" s="191"/>
      <c r="F148" s="191"/>
      <c r="G148" s="191"/>
      <c r="H148" s="191" t="s">
        <v>272</v>
      </c>
      <c r="I148" s="226">
        <v>0</v>
      </c>
      <c r="J148" s="226">
        <v>0</v>
      </c>
      <c r="K148" s="226">
        <v>0</v>
      </c>
      <c r="L148" s="228">
        <v>0</v>
      </c>
      <c r="M148" s="226">
        <v>0</v>
      </c>
      <c r="N148" s="226">
        <v>0</v>
      </c>
      <c r="O148" s="226">
        <v>0</v>
      </c>
      <c r="P148" s="296">
        <v>0</v>
      </c>
      <c r="Q148" s="228">
        <v>0</v>
      </c>
      <c r="R148" s="238">
        <v>0</v>
      </c>
      <c r="S148" s="229">
        <v>0</v>
      </c>
      <c r="T148" s="238">
        <v>0</v>
      </c>
      <c r="U148" s="238">
        <v>0</v>
      </c>
      <c r="V148" s="238">
        <v>0</v>
      </c>
      <c r="W148" s="238">
        <v>0</v>
      </c>
      <c r="X148" s="238">
        <v>0</v>
      </c>
      <c r="Y148" s="228">
        <v>0</v>
      </c>
      <c r="Z148" s="238">
        <v>0</v>
      </c>
      <c r="AA148" s="229">
        <v>0</v>
      </c>
      <c r="AB148" s="238">
        <v>0</v>
      </c>
      <c r="AC148" s="238">
        <v>0</v>
      </c>
      <c r="AD148" s="238">
        <v>0</v>
      </c>
      <c r="AE148" s="238">
        <v>0</v>
      </c>
      <c r="AF148" s="238">
        <v>0</v>
      </c>
      <c r="AG148" s="228">
        <v>0</v>
      </c>
      <c r="AH148" s="238">
        <v>0</v>
      </c>
      <c r="AI148" s="229">
        <v>0</v>
      </c>
      <c r="AJ148" s="238">
        <v>0</v>
      </c>
      <c r="AK148" s="238">
        <v>0</v>
      </c>
      <c r="AL148" s="238">
        <v>0</v>
      </c>
      <c r="AM148" s="238">
        <v>0</v>
      </c>
      <c r="AN148" s="238">
        <v>0</v>
      </c>
    </row>
    <row r="149" spans="2:40" ht="13.5" x14ac:dyDescent="0.25">
      <c r="B149" s="194"/>
      <c r="C149" s="191"/>
      <c r="D149" s="191"/>
      <c r="E149" s="191"/>
      <c r="F149" s="191"/>
      <c r="G149" s="191"/>
      <c r="H149" s="191" t="s">
        <v>273</v>
      </c>
      <c r="I149" s="226">
        <v>0</v>
      </c>
      <c r="J149" s="226">
        <v>0</v>
      </c>
      <c r="K149" s="226">
        <v>0</v>
      </c>
      <c r="L149" s="228">
        <v>0</v>
      </c>
      <c r="M149" s="226">
        <v>0</v>
      </c>
      <c r="N149" s="226">
        <v>0</v>
      </c>
      <c r="O149" s="226">
        <v>0</v>
      </c>
      <c r="P149" s="296">
        <v>0</v>
      </c>
      <c r="Q149" s="228">
        <v>0</v>
      </c>
      <c r="R149" s="238">
        <v>0</v>
      </c>
      <c r="S149" s="229">
        <v>0</v>
      </c>
      <c r="T149" s="238">
        <v>0</v>
      </c>
      <c r="U149" s="238">
        <v>0</v>
      </c>
      <c r="V149" s="238">
        <v>0</v>
      </c>
      <c r="W149" s="238">
        <v>0</v>
      </c>
      <c r="X149" s="238">
        <v>0</v>
      </c>
      <c r="Y149" s="228">
        <v>0</v>
      </c>
      <c r="Z149" s="238">
        <v>0</v>
      </c>
      <c r="AA149" s="229">
        <v>0</v>
      </c>
      <c r="AB149" s="238">
        <v>0</v>
      </c>
      <c r="AC149" s="238">
        <v>0</v>
      </c>
      <c r="AD149" s="238">
        <v>0</v>
      </c>
      <c r="AE149" s="238">
        <v>0</v>
      </c>
      <c r="AF149" s="238">
        <v>0</v>
      </c>
      <c r="AG149" s="228">
        <v>0</v>
      </c>
      <c r="AH149" s="238">
        <v>0</v>
      </c>
      <c r="AI149" s="229">
        <v>0</v>
      </c>
      <c r="AJ149" s="238">
        <v>0</v>
      </c>
      <c r="AK149" s="238">
        <v>0</v>
      </c>
      <c r="AL149" s="238">
        <v>0</v>
      </c>
      <c r="AM149" s="238">
        <v>0</v>
      </c>
      <c r="AN149" s="238">
        <v>0</v>
      </c>
    </row>
    <row r="150" spans="2:40" ht="13.5" x14ac:dyDescent="0.25">
      <c r="B150" s="194"/>
      <c r="C150" s="191"/>
      <c r="D150" s="191"/>
      <c r="E150" s="191"/>
      <c r="F150" s="191"/>
      <c r="G150" s="191"/>
      <c r="H150" s="191" t="s">
        <v>274</v>
      </c>
      <c r="I150" s="226">
        <v>31450.773853559163</v>
      </c>
      <c r="J150" s="226">
        <v>10270.997039259602</v>
      </c>
      <c r="K150" s="226">
        <v>21179.776814299559</v>
      </c>
      <c r="L150" s="228">
        <v>0</v>
      </c>
      <c r="M150" s="226">
        <v>3527.8937469735683</v>
      </c>
      <c r="N150" s="226">
        <v>11138.848457528637</v>
      </c>
      <c r="O150" s="226">
        <v>3527.8937469735683</v>
      </c>
      <c r="P150" s="296">
        <v>2985.1408628237887</v>
      </c>
      <c r="Q150" s="228">
        <v>9878.0850556941223</v>
      </c>
      <c r="R150" s="238">
        <v>3646.4942604180342</v>
      </c>
      <c r="S150" s="229">
        <v>6231.590795276089</v>
      </c>
      <c r="T150" s="238">
        <v>0</v>
      </c>
      <c r="U150" s="238">
        <v>1620.2136067717831</v>
      </c>
      <c r="V150" s="238">
        <v>1620.2136067717831</v>
      </c>
      <c r="W150" s="238">
        <v>1620.2136067717831</v>
      </c>
      <c r="X150" s="238">
        <v>1370.9499749607396</v>
      </c>
      <c r="Y150" s="228">
        <v>11008.716595603029</v>
      </c>
      <c r="Z150" s="238">
        <v>3671.4852871346257</v>
      </c>
      <c r="AA150" s="229">
        <v>7337.2313084684047</v>
      </c>
      <c r="AB150" s="238">
        <v>0</v>
      </c>
      <c r="AC150" s="238">
        <v>1907.680140201785</v>
      </c>
      <c r="AD150" s="238">
        <v>1907.680140201785</v>
      </c>
      <c r="AE150" s="238">
        <v>1907.680140201785</v>
      </c>
      <c r="AF150" s="238">
        <v>1614.1908878630488</v>
      </c>
      <c r="AG150" s="228">
        <v>10563.972202262012</v>
      </c>
      <c r="AH150" s="238">
        <v>2953.0174917069426</v>
      </c>
      <c r="AI150" s="229">
        <v>7610.9547105550682</v>
      </c>
      <c r="AJ150" s="238">
        <v>0</v>
      </c>
      <c r="AK150" s="238">
        <v>0</v>
      </c>
      <c r="AL150" s="238">
        <v>7610.9547105550682</v>
      </c>
      <c r="AM150" s="238">
        <v>0</v>
      </c>
      <c r="AN150" s="238">
        <v>0</v>
      </c>
    </row>
    <row r="151" spans="2:40" ht="13.5" x14ac:dyDescent="0.25">
      <c r="B151" s="194"/>
      <c r="C151" s="191"/>
      <c r="D151" s="191"/>
      <c r="E151" s="191"/>
      <c r="F151" s="191"/>
      <c r="G151" s="191"/>
      <c r="H151" s="191" t="s">
        <v>275</v>
      </c>
      <c r="I151" s="226">
        <v>13496.014439428243</v>
      </c>
      <c r="J151" s="226">
        <v>2848.4487062827088</v>
      </c>
      <c r="K151" s="226">
        <v>10647.565733145535</v>
      </c>
      <c r="L151" s="228">
        <v>0</v>
      </c>
      <c r="M151" s="226">
        <v>1461.8509187419438</v>
      </c>
      <c r="N151" s="226">
        <v>5014.366859290818</v>
      </c>
      <c r="O151" s="226">
        <v>1486.3584155706717</v>
      </c>
      <c r="P151" s="296">
        <v>2684.9895395421008</v>
      </c>
      <c r="Q151" s="228">
        <v>4429.8589536020081</v>
      </c>
      <c r="R151" s="238">
        <v>969.1244037981885</v>
      </c>
      <c r="S151" s="229">
        <v>3460.7345498038194</v>
      </c>
      <c r="T151" s="238">
        <v>0</v>
      </c>
      <c r="U151" s="238">
        <v>712.48942430057252</v>
      </c>
      <c r="V151" s="238">
        <v>725.17555709088572</v>
      </c>
      <c r="W151" s="238">
        <v>715.93826058503942</v>
      </c>
      <c r="X151" s="238">
        <v>1307.1313078273215</v>
      </c>
      <c r="Y151" s="228">
        <v>4601.3662820581858</v>
      </c>
      <c r="Z151" s="238">
        <v>954.36490647503138</v>
      </c>
      <c r="AA151" s="229">
        <v>3647.0013755831542</v>
      </c>
      <c r="AB151" s="238">
        <v>0</v>
      </c>
      <c r="AC151" s="238">
        <v>749.36149444137129</v>
      </c>
      <c r="AD151" s="238">
        <v>749.36149444137129</v>
      </c>
      <c r="AE151" s="238">
        <v>770.42015498563228</v>
      </c>
      <c r="AF151" s="238">
        <v>1377.8582317147793</v>
      </c>
      <c r="AG151" s="228">
        <v>4464.7892037680504</v>
      </c>
      <c r="AH151" s="238">
        <v>924.95939600948896</v>
      </c>
      <c r="AI151" s="229">
        <v>3539.8298077585614</v>
      </c>
      <c r="AJ151" s="238">
        <v>0</v>
      </c>
      <c r="AK151" s="238">
        <v>0</v>
      </c>
      <c r="AL151" s="238">
        <v>3539.8298077585614</v>
      </c>
      <c r="AM151" s="238">
        <v>0</v>
      </c>
      <c r="AN151" s="238">
        <v>0</v>
      </c>
    </row>
    <row r="152" spans="2:40" ht="13.5" x14ac:dyDescent="0.25">
      <c r="B152" s="213" t="s">
        <v>201</v>
      </c>
      <c r="C152" s="114" t="s">
        <v>115</v>
      </c>
      <c r="D152" s="214"/>
      <c r="E152" s="214"/>
      <c r="F152" s="214"/>
      <c r="G152" s="214"/>
      <c r="H152" s="335" t="s">
        <v>276</v>
      </c>
      <c r="I152" s="340">
        <v>496340.50692483678</v>
      </c>
      <c r="J152" s="340">
        <v>140581.97403066381</v>
      </c>
      <c r="K152" s="326">
        <v>355758.532894173</v>
      </c>
      <c r="L152" s="327">
        <v>0</v>
      </c>
      <c r="M152" s="328">
        <v>14166.077762805784</v>
      </c>
      <c r="N152" s="328">
        <v>279552.14403996628</v>
      </c>
      <c r="O152" s="328">
        <v>62040.311091400945</v>
      </c>
      <c r="P152" s="329">
        <v>0</v>
      </c>
      <c r="Q152" s="336">
        <v>215616.91244037985</v>
      </c>
      <c r="R152" s="331">
        <v>43069.84397866558</v>
      </c>
      <c r="S152" s="337">
        <v>172547.06846171425</v>
      </c>
      <c r="T152" s="327">
        <v>0</v>
      </c>
      <c r="U152" s="328">
        <v>13145.633002743609</v>
      </c>
      <c r="V152" s="328">
        <v>117803.6139137486</v>
      </c>
      <c r="W152" s="328">
        <v>41597.821545222047</v>
      </c>
      <c r="X152" s="330">
        <v>0</v>
      </c>
      <c r="Y152" s="336">
        <v>121753.81320461919</v>
      </c>
      <c r="Z152" s="331">
        <v>58932.503904012687</v>
      </c>
      <c r="AA152" s="337">
        <v>62821.309300606517</v>
      </c>
      <c r="AB152" s="327">
        <v>0</v>
      </c>
      <c r="AC152" s="328">
        <v>1020.4447600621756</v>
      </c>
      <c r="AD152" s="328">
        <v>41358.374994365462</v>
      </c>
      <c r="AE152" s="328">
        <v>20442.489546178887</v>
      </c>
      <c r="AF152" s="330">
        <v>0</v>
      </c>
      <c r="AG152" s="336">
        <v>158969.78127983777</v>
      </c>
      <c r="AH152" s="331">
        <v>38579.626147985553</v>
      </c>
      <c r="AI152" s="337">
        <v>120390.15513185223</v>
      </c>
      <c r="AJ152" s="327">
        <v>0</v>
      </c>
      <c r="AK152" s="328">
        <v>0</v>
      </c>
      <c r="AL152" s="328">
        <v>120390.15513185223</v>
      </c>
      <c r="AM152" s="328">
        <v>0</v>
      </c>
      <c r="AN152" s="330">
        <v>0</v>
      </c>
    </row>
    <row r="153" spans="2:40" ht="13.5" x14ac:dyDescent="0.25">
      <c r="B153" s="194"/>
      <c r="C153" s="191"/>
      <c r="D153" s="191"/>
      <c r="E153" s="191"/>
      <c r="F153" s="191"/>
      <c r="G153" s="191"/>
      <c r="H153" s="338" t="s">
        <v>277</v>
      </c>
      <c r="I153" s="236">
        <v>1182.5236189018638</v>
      </c>
      <c r="J153" s="236">
        <v>554.83543355098016</v>
      </c>
      <c r="K153" s="226">
        <v>627.68818535088349</v>
      </c>
      <c r="L153" s="235">
        <v>0</v>
      </c>
      <c r="M153" s="236">
        <v>19.887170965326348</v>
      </c>
      <c r="N153" s="236">
        <v>493.92918543056737</v>
      </c>
      <c r="O153" s="236">
        <v>113.87182895498972</v>
      </c>
      <c r="P153" s="339">
        <v>0</v>
      </c>
      <c r="Q153" s="235">
        <v>420.56233803487999</v>
      </c>
      <c r="R153" s="332">
        <v>199.16568211321638</v>
      </c>
      <c r="S153" s="333">
        <v>221.39665592166361</v>
      </c>
      <c r="T153" s="238">
        <v>0</v>
      </c>
      <c r="U153" s="238">
        <v>16.867276927551327</v>
      </c>
      <c r="V153" s="238">
        <v>151.15484956371645</v>
      </c>
      <c r="W153" s="238">
        <v>53.374529430395825</v>
      </c>
      <c r="X153" s="238">
        <v>0</v>
      </c>
      <c r="Y153" s="235">
        <v>359.07126108176635</v>
      </c>
      <c r="Z153" s="332">
        <v>173.15850536281616</v>
      </c>
      <c r="AA153" s="333">
        <v>185.91275571895022</v>
      </c>
      <c r="AB153" s="238">
        <v>0</v>
      </c>
      <c r="AC153" s="238">
        <v>3.0198940377750194</v>
      </c>
      <c r="AD153" s="238">
        <v>122.39556215658131</v>
      </c>
      <c r="AE153" s="238">
        <v>60.497299524593899</v>
      </c>
      <c r="AF153" s="238">
        <v>0</v>
      </c>
      <c r="AG153" s="235">
        <v>402.89001978521719</v>
      </c>
      <c r="AH153" s="332">
        <v>182.51124607494759</v>
      </c>
      <c r="AI153" s="333">
        <v>220.3787737102696</v>
      </c>
      <c r="AJ153" s="238">
        <v>0</v>
      </c>
      <c r="AK153" s="238">
        <v>0</v>
      </c>
      <c r="AL153" s="238">
        <v>220.3787737102696</v>
      </c>
      <c r="AM153" s="238">
        <v>0</v>
      </c>
      <c r="AN153" s="238">
        <v>0</v>
      </c>
    </row>
    <row r="154" spans="2:40" ht="13.5" x14ac:dyDescent="0.25">
      <c r="B154" s="194"/>
      <c r="C154" s="191"/>
      <c r="D154" s="191"/>
      <c r="E154" s="191"/>
      <c r="F154" s="191"/>
      <c r="G154" s="191"/>
      <c r="H154" s="191" t="s">
        <v>278</v>
      </c>
      <c r="I154" s="226">
        <v>0</v>
      </c>
      <c r="J154" s="226">
        <v>0</v>
      </c>
      <c r="K154" s="226">
        <v>0</v>
      </c>
      <c r="L154" s="228">
        <v>0</v>
      </c>
      <c r="M154" s="226">
        <v>0</v>
      </c>
      <c r="N154" s="226">
        <v>0</v>
      </c>
      <c r="O154" s="226">
        <v>0</v>
      </c>
      <c r="P154" s="296">
        <v>0</v>
      </c>
      <c r="Q154" s="228">
        <v>0</v>
      </c>
      <c r="R154" s="238">
        <v>0</v>
      </c>
      <c r="S154" s="239">
        <v>0</v>
      </c>
      <c r="T154" s="238">
        <v>0</v>
      </c>
      <c r="U154" s="238">
        <v>0</v>
      </c>
      <c r="V154" s="238">
        <v>0</v>
      </c>
      <c r="W154" s="238">
        <v>0</v>
      </c>
      <c r="X154" s="238">
        <v>0</v>
      </c>
      <c r="Y154" s="228">
        <v>0</v>
      </c>
      <c r="Z154" s="238">
        <v>0</v>
      </c>
      <c r="AA154" s="239">
        <v>0</v>
      </c>
      <c r="AB154" s="238">
        <v>0</v>
      </c>
      <c r="AC154" s="238">
        <v>0</v>
      </c>
      <c r="AD154" s="238">
        <v>0</v>
      </c>
      <c r="AE154" s="238">
        <v>0</v>
      </c>
      <c r="AF154" s="238">
        <v>0</v>
      </c>
      <c r="AG154" s="228">
        <v>0</v>
      </c>
      <c r="AH154" s="238">
        <v>0</v>
      </c>
      <c r="AI154" s="239">
        <v>0</v>
      </c>
      <c r="AJ154" s="238">
        <v>0</v>
      </c>
      <c r="AK154" s="238">
        <v>0</v>
      </c>
      <c r="AL154" s="238">
        <v>0</v>
      </c>
      <c r="AM154" s="238">
        <v>0</v>
      </c>
      <c r="AN154" s="238">
        <v>0</v>
      </c>
    </row>
    <row r="155" spans="2:40" ht="13.5" x14ac:dyDescent="0.25">
      <c r="B155" s="194"/>
      <c r="C155" s="191"/>
      <c r="D155" s="191"/>
      <c r="E155" s="191"/>
      <c r="F155" s="191"/>
      <c r="G155" s="191"/>
      <c r="H155" s="191" t="s">
        <v>279</v>
      </c>
      <c r="I155" s="226">
        <v>139803.07113819473</v>
      </c>
      <c r="J155" s="226">
        <v>31392.860342726861</v>
      </c>
      <c r="K155" s="226">
        <v>108410.21079546786</v>
      </c>
      <c r="L155" s="228">
        <v>0</v>
      </c>
      <c r="M155" s="226">
        <v>1063.4715322949073</v>
      </c>
      <c r="N155" s="226">
        <v>101137.82200915518</v>
      </c>
      <c r="O155" s="226">
        <v>6208.917254017776</v>
      </c>
      <c r="P155" s="296">
        <v>0</v>
      </c>
      <c r="Q155" s="228">
        <v>22312.898379497954</v>
      </c>
      <c r="R155" s="238">
        <v>10566.7133417932</v>
      </c>
      <c r="S155" s="239">
        <v>11746.185037704754</v>
      </c>
      <c r="T155" s="238">
        <v>0</v>
      </c>
      <c r="U155" s="238">
        <v>894.89226948092937</v>
      </c>
      <c r="V155" s="238">
        <v>8019.5106151470445</v>
      </c>
      <c r="W155" s="238">
        <v>2831.7821530767792</v>
      </c>
      <c r="X155" s="238">
        <v>0</v>
      </c>
      <c r="Y155" s="228">
        <v>20044.400495405745</v>
      </c>
      <c r="Z155" s="238">
        <v>9666.2100970740703</v>
      </c>
      <c r="AA155" s="239">
        <v>10378.190398331675</v>
      </c>
      <c r="AB155" s="238">
        <v>0</v>
      </c>
      <c r="AC155" s="238">
        <v>168.57926281397789</v>
      </c>
      <c r="AD155" s="238">
        <v>6832.4760345767008</v>
      </c>
      <c r="AE155" s="238">
        <v>3377.1351009409968</v>
      </c>
      <c r="AF155" s="239">
        <v>0</v>
      </c>
      <c r="AG155" s="226">
        <v>97445.77226329103</v>
      </c>
      <c r="AH155" s="238">
        <v>11159.936903859592</v>
      </c>
      <c r="AI155" s="229">
        <v>86285.835359431439</v>
      </c>
      <c r="AJ155" s="238">
        <v>0</v>
      </c>
      <c r="AK155" s="238">
        <v>0</v>
      </c>
      <c r="AL155" s="238">
        <v>86285.835359431439</v>
      </c>
      <c r="AM155" s="238">
        <v>0</v>
      </c>
      <c r="AN155" s="239">
        <v>0</v>
      </c>
    </row>
    <row r="156" spans="2:40" ht="13.5" x14ac:dyDescent="0.25">
      <c r="B156" s="194"/>
      <c r="C156" s="191"/>
      <c r="D156" s="191"/>
      <c r="E156" s="191"/>
      <c r="F156" s="191"/>
      <c r="G156" s="191"/>
      <c r="H156" s="191" t="s">
        <v>280</v>
      </c>
      <c r="I156" s="226">
        <v>0</v>
      </c>
      <c r="J156" s="226">
        <v>0</v>
      </c>
      <c r="K156" s="226">
        <v>0</v>
      </c>
      <c r="L156" s="228">
        <v>0</v>
      </c>
      <c r="M156" s="226">
        <v>0</v>
      </c>
      <c r="N156" s="226">
        <v>0</v>
      </c>
      <c r="O156" s="226">
        <v>0</v>
      </c>
      <c r="P156" s="296">
        <v>0</v>
      </c>
      <c r="Q156" s="228">
        <v>0</v>
      </c>
      <c r="R156" s="238">
        <v>0</v>
      </c>
      <c r="S156" s="239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28">
        <v>0</v>
      </c>
      <c r="Z156" s="238">
        <v>0</v>
      </c>
      <c r="AA156" s="239">
        <v>0</v>
      </c>
      <c r="AB156" s="238">
        <v>0</v>
      </c>
      <c r="AC156" s="238">
        <v>0</v>
      </c>
      <c r="AD156" s="238">
        <v>0</v>
      </c>
      <c r="AE156" s="238">
        <v>0</v>
      </c>
      <c r="AF156" s="239">
        <v>0</v>
      </c>
      <c r="AG156" s="226">
        <v>0</v>
      </c>
      <c r="AH156" s="238">
        <v>0</v>
      </c>
      <c r="AI156" s="239">
        <v>0</v>
      </c>
      <c r="AJ156" s="238">
        <v>0</v>
      </c>
      <c r="AK156" s="238">
        <v>0</v>
      </c>
      <c r="AL156" s="238">
        <v>0</v>
      </c>
      <c r="AM156" s="238">
        <v>0</v>
      </c>
      <c r="AN156" s="239">
        <v>0</v>
      </c>
    </row>
    <row r="157" spans="2:40" ht="13.5" x14ac:dyDescent="0.25">
      <c r="B157" s="194"/>
      <c r="C157" s="191"/>
      <c r="D157" s="191"/>
      <c r="E157" s="191"/>
      <c r="F157" s="191"/>
      <c r="G157" s="191"/>
      <c r="H157" s="191" t="s">
        <v>281</v>
      </c>
      <c r="I157" s="226">
        <v>355354.91216774023</v>
      </c>
      <c r="J157" s="226">
        <v>108634.27825438598</v>
      </c>
      <c r="K157" s="226">
        <v>246720.63391335425</v>
      </c>
      <c r="L157" s="228">
        <v>0</v>
      </c>
      <c r="M157" s="226">
        <v>13082.71905954555</v>
      </c>
      <c r="N157" s="226">
        <v>177920.39284538053</v>
      </c>
      <c r="O157" s="226">
        <v>55717.522008428175</v>
      </c>
      <c r="P157" s="296">
        <v>0</v>
      </c>
      <c r="Q157" s="228">
        <v>192883.45172284701</v>
      </c>
      <c r="R157" s="238">
        <v>32303.964954759165</v>
      </c>
      <c r="S157" s="229">
        <v>160579.48676808784</v>
      </c>
      <c r="T157" s="238">
        <v>0</v>
      </c>
      <c r="U157" s="238">
        <v>12233.873456335128</v>
      </c>
      <c r="V157" s="238">
        <v>109632.94844903784</v>
      </c>
      <c r="W157" s="238">
        <v>38712.664862714875</v>
      </c>
      <c r="X157" s="238">
        <v>0</v>
      </c>
      <c r="Y157" s="228">
        <v>101350.34144813169</v>
      </c>
      <c r="Z157" s="238">
        <v>49093.1353015758</v>
      </c>
      <c r="AA157" s="239">
        <v>52257.206146555895</v>
      </c>
      <c r="AB157" s="238">
        <v>0</v>
      </c>
      <c r="AC157" s="238">
        <v>848.84560321042272</v>
      </c>
      <c r="AD157" s="238">
        <v>34403.503397632179</v>
      </c>
      <c r="AE157" s="238">
        <v>17004.857145713297</v>
      </c>
      <c r="AF157" s="239">
        <v>0</v>
      </c>
      <c r="AG157" s="226">
        <v>61121.118996761521</v>
      </c>
      <c r="AH157" s="238">
        <v>27237.177998051011</v>
      </c>
      <c r="AI157" s="239">
        <v>33883.94099871051</v>
      </c>
      <c r="AJ157" s="238">
        <v>0</v>
      </c>
      <c r="AK157" s="238">
        <v>0</v>
      </c>
      <c r="AL157" s="238">
        <v>33883.94099871051</v>
      </c>
      <c r="AM157" s="238">
        <v>0</v>
      </c>
      <c r="AN157" s="239">
        <v>0</v>
      </c>
    </row>
    <row r="158" spans="2:40" ht="13.5" x14ac:dyDescent="0.25">
      <c r="B158" s="213" t="s">
        <v>201</v>
      </c>
      <c r="C158" s="114" t="s">
        <v>115</v>
      </c>
      <c r="D158" s="214"/>
      <c r="E158" s="214"/>
      <c r="F158" s="214"/>
      <c r="G158" s="214"/>
      <c r="H158" s="325" t="s">
        <v>282</v>
      </c>
      <c r="I158" s="341">
        <v>419247.09235124057</v>
      </c>
      <c r="J158" s="341">
        <v>180500.03544827254</v>
      </c>
      <c r="K158" s="341">
        <v>238747.05690296803</v>
      </c>
      <c r="L158" s="327">
        <v>0</v>
      </c>
      <c r="M158" s="328">
        <v>20101.008516041325</v>
      </c>
      <c r="N158" s="328">
        <v>129962.99508934822</v>
      </c>
      <c r="O158" s="328">
        <v>20650.009702976484</v>
      </c>
      <c r="P158" s="329">
        <v>68033.043594602001</v>
      </c>
      <c r="Q158" s="327">
        <v>154271.31367167941</v>
      </c>
      <c r="R158" s="328">
        <v>71444.311773800684</v>
      </c>
      <c r="S158" s="330">
        <v>82827.001897878727</v>
      </c>
      <c r="T158" s="328">
        <v>0</v>
      </c>
      <c r="U158" s="328">
        <v>10776.418812593633</v>
      </c>
      <c r="V158" s="328">
        <v>28064.474552565596</v>
      </c>
      <c r="W158" s="328">
        <v>9228.1700416581352</v>
      </c>
      <c r="X158" s="328">
        <v>34757.938491061359</v>
      </c>
      <c r="Y158" s="327">
        <v>130876.1737711539</v>
      </c>
      <c r="Z158" s="328">
        <v>53271.120158412348</v>
      </c>
      <c r="AA158" s="330">
        <v>77605.053612741554</v>
      </c>
      <c r="AB158" s="328">
        <v>0</v>
      </c>
      <c r="AC158" s="328">
        <v>9324.589703447693</v>
      </c>
      <c r="AD158" s="328">
        <v>23583.519144434867</v>
      </c>
      <c r="AE158" s="328">
        <v>11421.83966131835</v>
      </c>
      <c r="AF158" s="330">
        <v>33275.105103540642</v>
      </c>
      <c r="AG158" s="328">
        <v>134099.60490840726</v>
      </c>
      <c r="AH158" s="328">
        <v>55784.603516059506</v>
      </c>
      <c r="AI158" s="330">
        <v>78315.001392347753</v>
      </c>
      <c r="AJ158" s="328">
        <v>0</v>
      </c>
      <c r="AK158" s="328">
        <v>0</v>
      </c>
      <c r="AL158" s="328">
        <v>78315.001392347753</v>
      </c>
      <c r="AM158" s="328">
        <v>0</v>
      </c>
      <c r="AN158" s="328">
        <v>0</v>
      </c>
    </row>
    <row r="159" spans="2:40" ht="13.5" x14ac:dyDescent="0.25">
      <c r="B159" s="213" t="s">
        <v>201</v>
      </c>
      <c r="C159" s="114" t="s">
        <v>115</v>
      </c>
      <c r="D159" s="191"/>
      <c r="E159" s="191"/>
      <c r="F159" s="191"/>
      <c r="G159" s="191" t="s">
        <v>283</v>
      </c>
      <c r="H159" s="194"/>
      <c r="I159" s="226">
        <v>-1408142.51</v>
      </c>
      <c r="J159" s="226"/>
      <c r="K159" s="226">
        <v>-1408142.51</v>
      </c>
      <c r="L159" s="228"/>
      <c r="M159" s="226"/>
      <c r="N159" s="226"/>
      <c r="O159" s="226"/>
      <c r="P159" s="296">
        <v>-1408142.51</v>
      </c>
      <c r="Q159" s="228">
        <v>-474809.18</v>
      </c>
      <c r="R159" s="226"/>
      <c r="S159" s="229">
        <v>-474809.18</v>
      </c>
      <c r="T159" s="226"/>
      <c r="U159" s="226"/>
      <c r="V159" s="226"/>
      <c r="W159" s="226"/>
      <c r="X159" s="342">
        <v>-474809.18</v>
      </c>
      <c r="Y159" s="228">
        <v>-466666.67</v>
      </c>
      <c r="Z159" s="226"/>
      <c r="AA159" s="229">
        <v>-466666.67</v>
      </c>
      <c r="AB159" s="226"/>
      <c r="AC159" s="226"/>
      <c r="AD159" s="226"/>
      <c r="AE159" s="226"/>
      <c r="AF159" s="229">
        <v>-466666.67</v>
      </c>
      <c r="AG159" s="226">
        <v>-466666.66</v>
      </c>
      <c r="AH159" s="226"/>
      <c r="AI159" s="229">
        <v>-466666.66</v>
      </c>
      <c r="AJ159" s="226"/>
      <c r="AK159" s="226"/>
      <c r="AL159" s="226"/>
      <c r="AM159" s="226"/>
      <c r="AN159" s="229">
        <v>-466666.66</v>
      </c>
    </row>
    <row r="160" spans="2:40" ht="13.5" x14ac:dyDescent="0.25">
      <c r="B160" s="213" t="s">
        <v>201</v>
      </c>
      <c r="C160" s="114" t="s">
        <v>115</v>
      </c>
      <c r="D160" s="214"/>
      <c r="E160" s="191"/>
      <c r="F160" s="254" t="s">
        <v>284</v>
      </c>
      <c r="G160" s="255"/>
      <c r="H160" s="301"/>
      <c r="I160" s="256">
        <v>173916.5</v>
      </c>
      <c r="J160" s="256">
        <v>166152.20000000001</v>
      </c>
      <c r="K160" s="256">
        <v>7764.3</v>
      </c>
      <c r="L160" s="259">
        <v>0</v>
      </c>
      <c r="M160" s="258">
        <v>884.1</v>
      </c>
      <c r="N160" s="258">
        <v>5980</v>
      </c>
      <c r="O160" s="258">
        <v>900.2</v>
      </c>
      <c r="P160" s="302">
        <v>0</v>
      </c>
      <c r="Q160" s="259">
        <v>43013.439999999995</v>
      </c>
      <c r="R160" s="258">
        <v>42129.34</v>
      </c>
      <c r="S160" s="260">
        <v>884.1</v>
      </c>
      <c r="T160" s="258">
        <v>0</v>
      </c>
      <c r="U160" s="258">
        <v>884.1</v>
      </c>
      <c r="V160" s="258">
        <v>0</v>
      </c>
      <c r="W160" s="258">
        <v>0</v>
      </c>
      <c r="X160" s="258">
        <v>0</v>
      </c>
      <c r="Y160" s="259">
        <v>15855.080000000002</v>
      </c>
      <c r="Z160" s="258">
        <v>12172.080000000002</v>
      </c>
      <c r="AA160" s="260">
        <v>3683</v>
      </c>
      <c r="AB160" s="258">
        <v>0</v>
      </c>
      <c r="AC160" s="258">
        <v>0</v>
      </c>
      <c r="AD160" s="258">
        <v>3683</v>
      </c>
      <c r="AE160" s="258">
        <v>0</v>
      </c>
      <c r="AF160" s="260">
        <v>0</v>
      </c>
      <c r="AG160" s="258">
        <v>115047.98</v>
      </c>
      <c r="AH160" s="258">
        <v>111850.78</v>
      </c>
      <c r="AI160" s="260">
        <v>3197.2</v>
      </c>
      <c r="AJ160" s="258">
        <v>0</v>
      </c>
      <c r="AK160" s="258">
        <v>0</v>
      </c>
      <c r="AL160" s="258">
        <v>2297</v>
      </c>
      <c r="AM160" s="258">
        <v>900.2</v>
      </c>
      <c r="AN160" s="258">
        <v>0</v>
      </c>
    </row>
    <row r="161" spans="2:40" ht="13.5" x14ac:dyDescent="0.25">
      <c r="B161" s="194"/>
      <c r="C161" s="191"/>
      <c r="D161" s="191"/>
      <c r="E161" s="191"/>
      <c r="F161" s="191"/>
      <c r="G161" s="191"/>
      <c r="H161" s="191" t="s">
        <v>110</v>
      </c>
      <c r="I161" s="226">
        <v>166152.20000000001</v>
      </c>
      <c r="J161" s="226">
        <v>166152.20000000001</v>
      </c>
      <c r="K161" s="241">
        <v>0</v>
      </c>
      <c r="L161" s="235">
        <v>0</v>
      </c>
      <c r="M161" s="236">
        <v>0</v>
      </c>
      <c r="N161" s="236">
        <v>0</v>
      </c>
      <c r="O161" s="236">
        <v>0</v>
      </c>
      <c r="P161" s="339">
        <v>0</v>
      </c>
      <c r="Q161" s="228">
        <v>42129.34</v>
      </c>
      <c r="R161" s="226">
        <v>42129.34</v>
      </c>
      <c r="S161" s="229"/>
      <c r="T161" s="226"/>
      <c r="U161" s="226"/>
      <c r="V161" s="226"/>
      <c r="W161" s="226"/>
      <c r="X161" s="226"/>
      <c r="Y161" s="228">
        <v>12172.080000000002</v>
      </c>
      <c r="Z161" s="226">
        <v>12172.080000000002</v>
      </c>
      <c r="AA161" s="229"/>
      <c r="AB161" s="226"/>
      <c r="AC161" s="226"/>
      <c r="AD161" s="226"/>
      <c r="AE161" s="226"/>
      <c r="AF161" s="229"/>
      <c r="AG161" s="226">
        <v>111850.78</v>
      </c>
      <c r="AH161" s="226">
        <v>111850.78</v>
      </c>
      <c r="AI161" s="229"/>
      <c r="AJ161" s="226"/>
      <c r="AK161" s="226"/>
      <c r="AL161" s="226"/>
      <c r="AM161" s="226"/>
      <c r="AN161" s="226"/>
    </row>
    <row r="162" spans="2:40" ht="13.5" x14ac:dyDescent="0.25">
      <c r="B162" s="194"/>
      <c r="C162" s="191"/>
      <c r="D162" s="191"/>
      <c r="E162" s="191"/>
      <c r="F162" s="191"/>
      <c r="G162" s="191"/>
      <c r="H162" s="191" t="s">
        <v>162</v>
      </c>
      <c r="I162" s="226">
        <v>7764.3</v>
      </c>
      <c r="J162" s="226">
        <v>0</v>
      </c>
      <c r="K162" s="241">
        <v>7764.3</v>
      </c>
      <c r="L162" s="228">
        <v>0</v>
      </c>
      <c r="M162" s="226">
        <v>884.1</v>
      </c>
      <c r="N162" s="226">
        <v>5980</v>
      </c>
      <c r="O162" s="226">
        <v>900.2</v>
      </c>
      <c r="P162" s="296">
        <v>0</v>
      </c>
      <c r="Q162" s="228">
        <v>884.1</v>
      </c>
      <c r="R162" s="226"/>
      <c r="S162" s="229">
        <v>884.1</v>
      </c>
      <c r="T162" s="226"/>
      <c r="U162" s="226">
        <v>884.1</v>
      </c>
      <c r="V162" s="226"/>
      <c r="W162" s="226"/>
      <c r="X162" s="226"/>
      <c r="Y162" s="228">
        <v>3683</v>
      </c>
      <c r="Z162" s="226"/>
      <c r="AA162" s="229">
        <v>3683</v>
      </c>
      <c r="AB162" s="226"/>
      <c r="AC162" s="226"/>
      <c r="AD162" s="226">
        <v>3683</v>
      </c>
      <c r="AE162" s="226"/>
      <c r="AF162" s="229"/>
      <c r="AG162" s="226">
        <v>3197.2</v>
      </c>
      <c r="AH162" s="226"/>
      <c r="AI162" s="229">
        <v>3197.2</v>
      </c>
      <c r="AJ162" s="226"/>
      <c r="AK162" s="226"/>
      <c r="AL162" s="226">
        <v>2297</v>
      </c>
      <c r="AM162" s="226">
        <v>900.2</v>
      </c>
      <c r="AN162" s="226"/>
    </row>
    <row r="163" spans="2:40" ht="13.5" x14ac:dyDescent="0.25">
      <c r="B163" s="213" t="s">
        <v>201</v>
      </c>
      <c r="C163" s="114" t="s">
        <v>115</v>
      </c>
      <c r="D163" s="214"/>
      <c r="E163" s="191"/>
      <c r="F163" s="254" t="s">
        <v>285</v>
      </c>
      <c r="G163" s="255"/>
      <c r="H163" s="301"/>
      <c r="I163" s="256">
        <v>871755.11</v>
      </c>
      <c r="J163" s="256">
        <v>309987.57999999996</v>
      </c>
      <c r="K163" s="256">
        <v>561767.53</v>
      </c>
      <c r="L163" s="259">
        <v>0</v>
      </c>
      <c r="M163" s="258">
        <v>4692.16</v>
      </c>
      <c r="N163" s="258">
        <v>62730</v>
      </c>
      <c r="O163" s="258">
        <v>494345.37</v>
      </c>
      <c r="P163" s="302">
        <v>0</v>
      </c>
      <c r="Q163" s="259">
        <v>300245.61</v>
      </c>
      <c r="R163" s="258">
        <v>106775.33</v>
      </c>
      <c r="S163" s="260">
        <v>193470.28</v>
      </c>
      <c r="T163" s="258">
        <v>0</v>
      </c>
      <c r="U163" s="258">
        <v>1616.19</v>
      </c>
      <c r="V163" s="258">
        <v>21607</v>
      </c>
      <c r="W163" s="258">
        <v>170247.09</v>
      </c>
      <c r="X163" s="258">
        <v>0</v>
      </c>
      <c r="Y163" s="259">
        <v>271227.36</v>
      </c>
      <c r="Z163" s="258">
        <v>96442.23000000001</v>
      </c>
      <c r="AA163" s="260">
        <v>174785.13</v>
      </c>
      <c r="AB163" s="258">
        <v>0</v>
      </c>
      <c r="AC163" s="258">
        <v>1459.78</v>
      </c>
      <c r="AD163" s="258">
        <v>19516</v>
      </c>
      <c r="AE163" s="258">
        <v>153809.35</v>
      </c>
      <c r="AF163" s="260">
        <v>0</v>
      </c>
      <c r="AG163" s="258">
        <v>300282.14</v>
      </c>
      <c r="AH163" s="258">
        <v>106770.02</v>
      </c>
      <c r="AI163" s="260">
        <v>193512.12</v>
      </c>
      <c r="AJ163" s="258">
        <v>0</v>
      </c>
      <c r="AK163" s="258">
        <v>1616.19</v>
      </c>
      <c r="AL163" s="258">
        <v>21607</v>
      </c>
      <c r="AM163" s="258">
        <v>170288.93</v>
      </c>
      <c r="AN163" s="258">
        <v>0</v>
      </c>
    </row>
    <row r="164" spans="2:40" ht="13.5" x14ac:dyDescent="0.25">
      <c r="B164" s="194"/>
      <c r="C164" s="191"/>
      <c r="D164" s="191"/>
      <c r="E164" s="191"/>
      <c r="F164" s="191"/>
      <c r="G164" s="191" t="s">
        <v>286</v>
      </c>
      <c r="H164" s="191"/>
      <c r="I164" s="226">
        <v>2422.3000000000002</v>
      </c>
      <c r="J164" s="226">
        <v>2422.3000000000002</v>
      </c>
      <c r="K164" s="241">
        <v>0</v>
      </c>
      <c r="L164" s="235">
        <v>0</v>
      </c>
      <c r="M164" s="236">
        <v>0</v>
      </c>
      <c r="N164" s="236">
        <v>0</v>
      </c>
      <c r="O164" s="236">
        <v>0</v>
      </c>
      <c r="P164" s="339">
        <v>0</v>
      </c>
      <c r="Q164" s="228">
        <v>834.35</v>
      </c>
      <c r="R164" s="238">
        <v>834.35</v>
      </c>
      <c r="S164" s="239">
        <v>0</v>
      </c>
      <c r="T164" s="238"/>
      <c r="U164" s="238"/>
      <c r="V164" s="238"/>
      <c r="W164" s="238"/>
      <c r="X164" s="238"/>
      <c r="Y164" s="228">
        <v>753.6</v>
      </c>
      <c r="Z164" s="238">
        <v>753.6</v>
      </c>
      <c r="AA164" s="239">
        <v>0</v>
      </c>
      <c r="AB164" s="238"/>
      <c r="AC164" s="238"/>
      <c r="AD164" s="238"/>
      <c r="AE164" s="238"/>
      <c r="AF164" s="239"/>
      <c r="AG164" s="226">
        <v>834.35</v>
      </c>
      <c r="AH164" s="238">
        <v>834.35</v>
      </c>
      <c r="AI164" s="239">
        <v>0</v>
      </c>
      <c r="AJ164" s="238"/>
      <c r="AK164" s="238"/>
      <c r="AL164" s="238"/>
      <c r="AM164" s="238"/>
      <c r="AN164" s="238"/>
    </row>
    <row r="165" spans="2:40" ht="13.5" x14ac:dyDescent="0.25">
      <c r="B165" s="194"/>
      <c r="C165" s="191"/>
      <c r="D165" s="191"/>
      <c r="E165" s="191"/>
      <c r="F165" s="191"/>
      <c r="G165" s="191" t="s">
        <v>287</v>
      </c>
      <c r="H165" s="191"/>
      <c r="I165" s="226">
        <v>869332.81</v>
      </c>
      <c r="J165" s="226">
        <v>307565.27999999997</v>
      </c>
      <c r="K165" s="241">
        <v>561767.53</v>
      </c>
      <c r="L165" s="343">
        <v>0</v>
      </c>
      <c r="M165" s="231">
        <v>4692.16</v>
      </c>
      <c r="N165" s="231">
        <v>62730</v>
      </c>
      <c r="O165" s="231">
        <v>494345.37</v>
      </c>
      <c r="P165" s="344">
        <v>0</v>
      </c>
      <c r="Q165" s="228">
        <v>299411.26</v>
      </c>
      <c r="R165" s="226">
        <v>105940.98</v>
      </c>
      <c r="S165" s="239">
        <v>193470.28</v>
      </c>
      <c r="T165" s="238"/>
      <c r="U165" s="238">
        <v>1616.19</v>
      </c>
      <c r="V165" s="238">
        <v>21607</v>
      </c>
      <c r="W165" s="226">
        <v>170247.09</v>
      </c>
      <c r="X165" s="238"/>
      <c r="Y165" s="228">
        <v>270473.76</v>
      </c>
      <c r="Z165" s="226">
        <v>95688.63</v>
      </c>
      <c r="AA165" s="239">
        <v>174785.13</v>
      </c>
      <c r="AB165" s="238"/>
      <c r="AC165" s="238">
        <v>1459.78</v>
      </c>
      <c r="AD165" s="238">
        <v>19516</v>
      </c>
      <c r="AE165" s="238">
        <v>153809.35</v>
      </c>
      <c r="AF165" s="239"/>
      <c r="AG165" s="226">
        <v>299447.78999999998</v>
      </c>
      <c r="AH165" s="226">
        <v>105935.67</v>
      </c>
      <c r="AI165" s="239">
        <v>193512.12</v>
      </c>
      <c r="AJ165" s="238"/>
      <c r="AK165" s="238">
        <v>1616.19</v>
      </c>
      <c r="AL165" s="238">
        <v>21607</v>
      </c>
      <c r="AM165" s="238">
        <v>170288.93</v>
      </c>
      <c r="AN165" s="238"/>
    </row>
    <row r="166" spans="2:40" ht="13.5" x14ac:dyDescent="0.25">
      <c r="B166" s="213"/>
      <c r="C166" s="242"/>
      <c r="D166" s="242"/>
      <c r="E166" s="242" t="s">
        <v>288</v>
      </c>
      <c r="F166" s="242"/>
      <c r="G166" s="242"/>
      <c r="H166" s="242"/>
      <c r="I166" s="345">
        <v>1346125.4205917343</v>
      </c>
      <c r="J166" s="245">
        <v>2493880.4514848739</v>
      </c>
      <c r="K166" s="346">
        <v>-1147755.0308931395</v>
      </c>
      <c r="L166" s="245">
        <v>-1487879.62</v>
      </c>
      <c r="M166" s="245">
        <v>-2825087.5917733209</v>
      </c>
      <c r="N166" s="245">
        <v>-3012477.9030732689</v>
      </c>
      <c r="O166" s="245">
        <v>-7213027.238420601</v>
      </c>
      <c r="P166" s="347">
        <v>520434.24237404868</v>
      </c>
      <c r="Q166" s="244">
        <v>469362.55205702968</v>
      </c>
      <c r="R166" s="245">
        <v>1144097.0835993346</v>
      </c>
      <c r="S166" s="346">
        <v>-674734.5315423049</v>
      </c>
      <c r="T166" s="245">
        <v>-41241.69233951412</v>
      </c>
      <c r="U166" s="245">
        <v>-175223.59785310028</v>
      </c>
      <c r="V166" s="245">
        <v>379613.19270492624</v>
      </c>
      <c r="W166" s="245">
        <v>-859163.33229775541</v>
      </c>
      <c r="X166" s="245">
        <v>21280.898243139207</v>
      </c>
      <c r="Y166" s="244">
        <v>130442.6841856949</v>
      </c>
      <c r="Z166" s="245">
        <v>511205.09836958721</v>
      </c>
      <c r="AA166" s="346">
        <v>-380762.41418389231</v>
      </c>
      <c r="AB166" s="245">
        <v>-130471.95866048592</v>
      </c>
      <c r="AC166" s="245">
        <v>-119113.91392022074</v>
      </c>
      <c r="AD166" s="245">
        <v>62278.820388750173</v>
      </c>
      <c r="AE166" s="245">
        <v>-225942.0461228455</v>
      </c>
      <c r="AF166" s="246">
        <v>32486.684130909503</v>
      </c>
      <c r="AG166" s="245">
        <v>746320.18434902374</v>
      </c>
      <c r="AH166" s="245">
        <v>838578.269515967</v>
      </c>
      <c r="AI166" s="346">
        <v>-92258.08516694326</v>
      </c>
      <c r="AJ166" s="245">
        <v>7150.2009999999791</v>
      </c>
      <c r="AK166" s="245">
        <v>2128.0499999999884</v>
      </c>
      <c r="AL166" s="245">
        <v>-760633.32616694435</v>
      </c>
      <c r="AM166" s="245">
        <v>192430.33000000054</v>
      </c>
      <c r="AN166" s="245">
        <v>466666.66</v>
      </c>
    </row>
    <row r="167" spans="2:40" ht="13.5" x14ac:dyDescent="0.25">
      <c r="B167" s="348"/>
      <c r="C167" s="349"/>
      <c r="D167" s="349"/>
      <c r="E167" s="349"/>
      <c r="F167" s="349"/>
      <c r="G167" s="349"/>
      <c r="H167" s="349"/>
      <c r="I167" s="349">
        <v>3.2400474220659697E-2</v>
      </c>
      <c r="J167" s="349">
        <v>8.0289657032514075E-2</v>
      </c>
      <c r="K167" s="350">
        <v>-0.10946189159578576</v>
      </c>
      <c r="L167" s="351" t="s">
        <v>112</v>
      </c>
      <c r="M167" s="352">
        <v>-6.0176900795124597</v>
      </c>
      <c r="N167" s="352">
        <v>-0.45067709569349856</v>
      </c>
      <c r="O167" s="352">
        <v>-2.1650152932316646</v>
      </c>
      <c r="P167" s="351" t="s">
        <v>112</v>
      </c>
      <c r="Q167" s="353">
        <v>3.3717122779757996E-2</v>
      </c>
      <c r="R167" s="352">
        <v>0.10807425972947023</v>
      </c>
      <c r="S167" s="354">
        <v>-0.20235641584706585</v>
      </c>
      <c r="T167" s="351" t="s">
        <v>112</v>
      </c>
      <c r="U167" s="352">
        <v>-1.1165027651902477</v>
      </c>
      <c r="V167" s="352">
        <v>0.16165779120077237</v>
      </c>
      <c r="W167" s="352">
        <v>-1.0361412274187736</v>
      </c>
      <c r="X167" s="352" t="s">
        <v>112</v>
      </c>
      <c r="Y167" s="353">
        <v>1.000010912848337E-2</v>
      </c>
      <c r="Z167" s="352">
        <v>5.484452663209944E-2</v>
      </c>
      <c r="AA167" s="354">
        <v>-0.10226917854532697</v>
      </c>
      <c r="AB167" s="351" t="s">
        <v>112</v>
      </c>
      <c r="AC167" s="352">
        <v>-1.9298071928233937</v>
      </c>
      <c r="AD167" s="352">
        <v>2.5289474085497209E-2</v>
      </c>
      <c r="AE167" s="352">
        <v>-0.18847693622832543</v>
      </c>
      <c r="AF167" s="354" t="s">
        <v>112</v>
      </c>
      <c r="AG167" s="353">
        <v>5.118180676311735E-2</v>
      </c>
      <c r="AH167" s="352">
        <v>7.5182898060085407E-2</v>
      </c>
      <c r="AI167" s="354">
        <v>-2.6913846193537202E-2</v>
      </c>
      <c r="AJ167" s="352" t="s">
        <v>112</v>
      </c>
      <c r="AK167" s="352">
        <v>8.4850180748966605E-3</v>
      </c>
      <c r="AL167" s="352">
        <v>-0.40600718943012604</v>
      </c>
      <c r="AM167" s="352">
        <v>0.14760828465897871</v>
      </c>
      <c r="AN167" s="352" t="s">
        <v>112</v>
      </c>
    </row>
    <row r="168" spans="2:40" ht="13.5" x14ac:dyDescent="0.25">
      <c r="B168" s="213"/>
      <c r="C168" s="242"/>
      <c r="D168" s="242"/>
      <c r="E168" s="242" t="s">
        <v>289</v>
      </c>
      <c r="F168" s="242"/>
      <c r="G168" s="242"/>
      <c r="H168" s="242"/>
      <c r="I168" s="345">
        <v>1610913.2399999998</v>
      </c>
      <c r="J168" s="345">
        <v>686434.79297926452</v>
      </c>
      <c r="K168" s="346">
        <v>924478.44702073536</v>
      </c>
      <c r="L168" s="244">
        <v>0</v>
      </c>
      <c r="M168" s="245">
        <v>360664.60752876452</v>
      </c>
      <c r="N168" s="245">
        <v>153738.33692226018</v>
      </c>
      <c r="O168" s="245">
        <v>410075.50256971078</v>
      </c>
      <c r="P168" s="355">
        <v>0</v>
      </c>
      <c r="Q168" s="245">
        <v>545340.94000000006</v>
      </c>
      <c r="R168" s="245">
        <v>211363.68337037475</v>
      </c>
      <c r="S168" s="246">
        <v>333977.25662962528</v>
      </c>
      <c r="T168" s="245">
        <v>0</v>
      </c>
      <c r="U168" s="245">
        <v>106598.0079378501</v>
      </c>
      <c r="V168" s="245">
        <v>40711.410216520228</v>
      </c>
      <c r="W168" s="245">
        <v>186667.83847525498</v>
      </c>
      <c r="X168" s="245">
        <v>0</v>
      </c>
      <c r="Y168" s="244">
        <v>538865.98</v>
      </c>
      <c r="Z168" s="245">
        <v>230937.20271220384</v>
      </c>
      <c r="AA168" s="246">
        <v>307928.7772877962</v>
      </c>
      <c r="AB168" s="245">
        <v>0</v>
      </c>
      <c r="AC168" s="245">
        <v>128947.26670631068</v>
      </c>
      <c r="AD168" s="245">
        <v>52865.689536332029</v>
      </c>
      <c r="AE168" s="245">
        <v>126115.82104515344</v>
      </c>
      <c r="AF168" s="246">
        <v>0</v>
      </c>
      <c r="AG168" s="245">
        <v>526706.32000000007</v>
      </c>
      <c r="AH168" s="245">
        <v>244133.90689668598</v>
      </c>
      <c r="AI168" s="246">
        <v>282572.41310331406</v>
      </c>
      <c r="AJ168" s="245">
        <v>0</v>
      </c>
      <c r="AK168" s="245">
        <v>125119.33288460375</v>
      </c>
      <c r="AL168" s="245">
        <v>60161.237169407934</v>
      </c>
      <c r="AM168" s="245">
        <v>97291.843049302348</v>
      </c>
      <c r="AN168" s="245">
        <v>0</v>
      </c>
    </row>
    <row r="169" spans="2:40" ht="13.5" x14ac:dyDescent="0.25">
      <c r="B169" s="356"/>
      <c r="C169" s="357"/>
      <c r="D169" s="357"/>
      <c r="E169" s="357"/>
      <c r="F169" s="357"/>
      <c r="G169" s="357"/>
      <c r="H169" s="357"/>
      <c r="I169" s="357">
        <v>3.8773766623763493E-2</v>
      </c>
      <c r="J169" s="357">
        <v>2.2099541327522305E-2</v>
      </c>
      <c r="K169" s="358">
        <v>8.8167907634155926E-2</v>
      </c>
      <c r="L169" s="359" t="s">
        <v>112</v>
      </c>
      <c r="M169" s="360">
        <v>0.76824797824932245</v>
      </c>
      <c r="N169" s="360">
        <v>2.2999786026708526E-2</v>
      </c>
      <c r="O169" s="360">
        <v>0.12308559292748295</v>
      </c>
      <c r="P169" s="252" t="s">
        <v>112</v>
      </c>
      <c r="Q169" s="360">
        <v>3.9175105364124781E-2</v>
      </c>
      <c r="R169" s="360">
        <v>1.9965939902655192E-2</v>
      </c>
      <c r="S169" s="361">
        <v>0.10016152644733785</v>
      </c>
      <c r="T169" s="359" t="s">
        <v>112</v>
      </c>
      <c r="U169" s="360">
        <v>0.67922912258747359</v>
      </c>
      <c r="V169" s="360">
        <v>1.7336901822026195E-2</v>
      </c>
      <c r="W169" s="360">
        <v>0.22511929455845256</v>
      </c>
      <c r="X169" s="360" t="s">
        <v>112</v>
      </c>
      <c r="Y169" s="362">
        <v>4.1311006740369534E-2</v>
      </c>
      <c r="Z169" s="360">
        <v>2.4776047040389843E-2</v>
      </c>
      <c r="AA169" s="361">
        <v>8.2706753425722104E-2</v>
      </c>
      <c r="AB169" s="359" t="s">
        <v>112</v>
      </c>
      <c r="AC169" s="360">
        <v>2.0891208641790024</v>
      </c>
      <c r="AD169" s="360">
        <v>2.1467097115771817E-2</v>
      </c>
      <c r="AE169" s="360">
        <v>0.10520363061413764</v>
      </c>
      <c r="AF169" s="361"/>
      <c r="AG169" s="360">
        <v>3.6120932619109751E-2</v>
      </c>
      <c r="AH169" s="360">
        <v>2.1887872966012314E-2</v>
      </c>
      <c r="AI169" s="361">
        <v>8.2432997075948602E-2</v>
      </c>
      <c r="AJ169" s="360" t="e">
        <v>#DIV/0!</v>
      </c>
      <c r="AK169" s="360">
        <v>0.49887916216483669</v>
      </c>
      <c r="AL169" s="360">
        <v>3.2112575107482909E-2</v>
      </c>
      <c r="AM169" s="360">
        <v>7.4630033965113821E-2</v>
      </c>
      <c r="AN169" s="360"/>
    </row>
    <row r="170" spans="2:40" ht="13.5" x14ac:dyDescent="0.25">
      <c r="B170" s="194" t="s">
        <v>205</v>
      </c>
      <c r="C170" s="128" t="s">
        <v>51</v>
      </c>
      <c r="D170" s="191"/>
      <c r="E170" s="191"/>
      <c r="F170" s="190" t="s">
        <v>128</v>
      </c>
      <c r="G170" s="220"/>
      <c r="H170" s="220"/>
      <c r="I170" s="221">
        <v>4675.1499999999996</v>
      </c>
      <c r="J170" s="221">
        <v>2603.15</v>
      </c>
      <c r="K170" s="222">
        <v>2072</v>
      </c>
      <c r="L170" s="363">
        <v>0</v>
      </c>
      <c r="M170" s="221">
        <v>2072</v>
      </c>
      <c r="N170" s="221">
        <v>0</v>
      </c>
      <c r="O170" s="221">
        <v>0</v>
      </c>
      <c r="P170" s="364">
        <v>0</v>
      </c>
      <c r="Q170" s="223">
        <v>2828.24</v>
      </c>
      <c r="R170" s="223">
        <v>1533.24</v>
      </c>
      <c r="S170" s="225">
        <v>1295</v>
      </c>
      <c r="T170" s="223"/>
      <c r="U170" s="223">
        <v>1295</v>
      </c>
      <c r="V170" s="223"/>
      <c r="W170" s="223"/>
      <c r="X170" s="223"/>
      <c r="Y170" s="224">
        <v>882</v>
      </c>
      <c r="Z170" s="223">
        <v>105</v>
      </c>
      <c r="AA170" s="225">
        <v>777</v>
      </c>
      <c r="AB170" s="223"/>
      <c r="AC170" s="223">
        <v>777</v>
      </c>
      <c r="AD170" s="223"/>
      <c r="AE170" s="223"/>
      <c r="AF170" s="225"/>
      <c r="AG170" s="223">
        <v>964.91</v>
      </c>
      <c r="AH170" s="223">
        <v>964.91</v>
      </c>
      <c r="AI170" s="225">
        <v>0</v>
      </c>
      <c r="AJ170" s="223"/>
      <c r="AK170" s="223"/>
      <c r="AL170" s="223"/>
      <c r="AM170" s="223"/>
      <c r="AN170" s="223"/>
    </row>
    <row r="171" spans="2:40" ht="13.5" x14ac:dyDescent="0.25">
      <c r="B171" s="194" t="s">
        <v>205</v>
      </c>
      <c r="C171" s="128" t="s">
        <v>47</v>
      </c>
      <c r="D171" s="191"/>
      <c r="E171" s="191"/>
      <c r="F171" s="190" t="s">
        <v>129</v>
      </c>
      <c r="G171" s="190"/>
      <c r="H171" s="190"/>
      <c r="I171" s="221">
        <v>31159.03</v>
      </c>
      <c r="J171" s="221">
        <v>31159.03</v>
      </c>
      <c r="K171" s="222">
        <v>0</v>
      </c>
      <c r="L171" s="224">
        <v>0</v>
      </c>
      <c r="M171" s="223">
        <v>0</v>
      </c>
      <c r="N171" s="223">
        <v>0</v>
      </c>
      <c r="O171" s="223">
        <v>0</v>
      </c>
      <c r="P171" s="365">
        <v>0</v>
      </c>
      <c r="Q171" s="223">
        <v>9487.23</v>
      </c>
      <c r="R171" s="223">
        <v>9487.23</v>
      </c>
      <c r="S171" s="225">
        <v>0</v>
      </c>
      <c r="T171" s="223"/>
      <c r="U171" s="223"/>
      <c r="V171" s="223"/>
      <c r="W171" s="223"/>
      <c r="X171" s="223"/>
      <c r="Y171" s="224">
        <v>9263.4000000000015</v>
      </c>
      <c r="Z171" s="223">
        <v>9263.4000000000015</v>
      </c>
      <c r="AA171" s="225">
        <v>0</v>
      </c>
      <c r="AB171" s="223"/>
      <c r="AC171" s="223"/>
      <c r="AD171" s="223"/>
      <c r="AE171" s="223"/>
      <c r="AF171" s="225"/>
      <c r="AG171" s="223">
        <v>12408.4</v>
      </c>
      <c r="AH171" s="223">
        <v>12408.4</v>
      </c>
      <c r="AI171" s="225">
        <v>0</v>
      </c>
      <c r="AJ171" s="223"/>
      <c r="AK171" s="223"/>
      <c r="AL171" s="223"/>
      <c r="AM171" s="223"/>
      <c r="AN171" s="223"/>
    </row>
    <row r="172" spans="2:40" ht="13.5" x14ac:dyDescent="0.25">
      <c r="B172" s="194" t="s">
        <v>205</v>
      </c>
      <c r="D172" s="191"/>
      <c r="E172" s="191"/>
      <c r="F172" s="191"/>
      <c r="G172" s="191" t="s">
        <v>149</v>
      </c>
      <c r="H172" s="191"/>
      <c r="I172" s="226">
        <v>22687.489999999998</v>
      </c>
      <c r="J172" s="226">
        <v>22687.489999999998</v>
      </c>
      <c r="K172" s="229">
        <v>0</v>
      </c>
      <c r="L172" s="228">
        <v>0</v>
      </c>
      <c r="M172" s="226">
        <v>0</v>
      </c>
      <c r="N172" s="226">
        <v>0</v>
      </c>
      <c r="O172" s="226">
        <v>0</v>
      </c>
      <c r="P172" s="296">
        <v>0</v>
      </c>
      <c r="Q172" s="226">
        <v>6041.46</v>
      </c>
      <c r="R172" s="226">
        <v>6041.46</v>
      </c>
      <c r="S172" s="229">
        <v>0</v>
      </c>
      <c r="T172" s="226"/>
      <c r="U172" s="226"/>
      <c r="V172" s="226"/>
      <c r="W172" s="226"/>
      <c r="X172" s="226"/>
      <c r="Y172" s="228">
        <v>7685.4000000000005</v>
      </c>
      <c r="Z172" s="226">
        <v>7685.4000000000005</v>
      </c>
      <c r="AA172" s="229">
        <v>0</v>
      </c>
      <c r="AB172" s="226"/>
      <c r="AC172" s="226"/>
      <c r="AD172" s="226"/>
      <c r="AE172" s="226"/>
      <c r="AF172" s="229"/>
      <c r="AG172" s="226">
        <v>8960.6299999999992</v>
      </c>
      <c r="AH172" s="226">
        <v>8960.6299999999992</v>
      </c>
      <c r="AI172" s="229">
        <v>0</v>
      </c>
      <c r="AJ172" s="226"/>
      <c r="AK172" s="226"/>
      <c r="AL172" s="226"/>
      <c r="AM172" s="366"/>
      <c r="AN172" s="226"/>
    </row>
    <row r="173" spans="2:40" ht="13.5" x14ac:dyDescent="0.25">
      <c r="B173" s="194" t="s">
        <v>205</v>
      </c>
      <c r="D173" s="191"/>
      <c r="E173" s="191"/>
      <c r="F173" s="191"/>
      <c r="G173" s="191" t="s">
        <v>150</v>
      </c>
      <c r="H173" s="191"/>
      <c r="I173" s="226">
        <v>8471.5400000000009</v>
      </c>
      <c r="J173" s="226">
        <v>8471.5400000000009</v>
      </c>
      <c r="K173" s="229">
        <v>0</v>
      </c>
      <c r="L173" s="228">
        <v>0</v>
      </c>
      <c r="M173" s="226">
        <v>0</v>
      </c>
      <c r="N173" s="226">
        <v>0</v>
      </c>
      <c r="O173" s="226">
        <v>0</v>
      </c>
      <c r="P173" s="296">
        <v>0</v>
      </c>
      <c r="Q173" s="226">
        <v>3445.77</v>
      </c>
      <c r="R173" s="226">
        <v>3445.77</v>
      </c>
      <c r="S173" s="229">
        <v>0</v>
      </c>
      <c r="T173" s="226"/>
      <c r="U173" s="226"/>
      <c r="V173" s="226"/>
      <c r="W173" s="226"/>
      <c r="X173" s="226"/>
      <c r="Y173" s="228">
        <v>1578</v>
      </c>
      <c r="Z173" s="226">
        <v>1578</v>
      </c>
      <c r="AA173" s="229">
        <v>0</v>
      </c>
      <c r="AB173" s="226"/>
      <c r="AC173" s="226"/>
      <c r="AD173" s="226"/>
      <c r="AE173" s="226"/>
      <c r="AF173" s="229"/>
      <c r="AG173" s="226">
        <v>3447.77</v>
      </c>
      <c r="AH173" s="226">
        <v>3447.77</v>
      </c>
      <c r="AI173" s="229">
        <v>0</v>
      </c>
      <c r="AJ173" s="226"/>
      <c r="AK173" s="226"/>
      <c r="AL173" s="226"/>
      <c r="AM173" s="226"/>
      <c r="AN173" s="226"/>
    </row>
    <row r="174" spans="2:40" ht="13.5" x14ac:dyDescent="0.25">
      <c r="B174" s="194" t="s">
        <v>205</v>
      </c>
      <c r="C174" s="128" t="s">
        <v>47</v>
      </c>
      <c r="D174" s="191"/>
      <c r="E174" s="191"/>
      <c r="F174" s="192" t="s">
        <v>130</v>
      </c>
      <c r="G174" s="192"/>
      <c r="H174" s="367"/>
      <c r="I174" s="368">
        <v>18089.619999999995</v>
      </c>
      <c r="J174" s="368">
        <v>6260.7074592404615</v>
      </c>
      <c r="K174" s="369">
        <v>11828.912540759535</v>
      </c>
      <c r="L174" s="370">
        <v>0</v>
      </c>
      <c r="M174" s="368">
        <v>6541.8486682461025</v>
      </c>
      <c r="N174" s="368">
        <v>1916.1180639579779</v>
      </c>
      <c r="O174" s="368">
        <v>3370.945808555457</v>
      </c>
      <c r="P174" s="371">
        <v>0</v>
      </c>
      <c r="Q174" s="372">
        <v>3322.3500000000004</v>
      </c>
      <c r="R174" s="372">
        <v>1197.9427582227809</v>
      </c>
      <c r="S174" s="373">
        <v>2124.4072417772195</v>
      </c>
      <c r="T174" s="372">
        <v>0</v>
      </c>
      <c r="U174" s="372">
        <v>1112.5342094054506</v>
      </c>
      <c r="V174" s="372">
        <v>366.14969698363575</v>
      </c>
      <c r="W174" s="372">
        <v>645.72333538813302</v>
      </c>
      <c r="X174" s="372">
        <v>0</v>
      </c>
      <c r="Y174" s="374">
        <v>7439.8899999999976</v>
      </c>
      <c r="Z174" s="372">
        <v>2545.1889167804552</v>
      </c>
      <c r="AA174" s="373">
        <v>4894.7010832195429</v>
      </c>
      <c r="AB174" s="372">
        <v>0</v>
      </c>
      <c r="AC174" s="372">
        <v>2746.0451092355665</v>
      </c>
      <c r="AD174" s="372">
        <v>780.47449574850975</v>
      </c>
      <c r="AE174" s="372">
        <v>1368.1814782354672</v>
      </c>
      <c r="AF174" s="373">
        <v>0</v>
      </c>
      <c r="AG174" s="372">
        <v>7327.3799999999992</v>
      </c>
      <c r="AH174" s="372">
        <v>2517.5757842372254</v>
      </c>
      <c r="AI174" s="373">
        <v>4809.8042157627733</v>
      </c>
      <c r="AJ174" s="372">
        <v>0</v>
      </c>
      <c r="AK174" s="372">
        <v>2683.2693496050847</v>
      </c>
      <c r="AL174" s="372">
        <v>769.49387122583244</v>
      </c>
      <c r="AM174" s="372">
        <v>1357.0409949318569</v>
      </c>
      <c r="AN174" s="372">
        <v>0</v>
      </c>
    </row>
    <row r="175" spans="2:40" ht="13.5" x14ac:dyDescent="0.25">
      <c r="B175" s="194" t="s">
        <v>205</v>
      </c>
      <c r="C175" s="128" t="s">
        <v>57</v>
      </c>
      <c r="D175" s="191"/>
      <c r="E175" s="191"/>
      <c r="F175" s="190" t="s">
        <v>131</v>
      </c>
      <c r="G175" s="220"/>
      <c r="H175" s="220"/>
      <c r="I175" s="221">
        <v>20206.04</v>
      </c>
      <c r="J175" s="221">
        <v>20206.04</v>
      </c>
      <c r="K175" s="222">
        <v>0</v>
      </c>
      <c r="L175" s="363">
        <v>0</v>
      </c>
      <c r="M175" s="221">
        <v>0</v>
      </c>
      <c r="N175" s="221">
        <v>0</v>
      </c>
      <c r="O175" s="221">
        <v>0</v>
      </c>
      <c r="P175" s="364">
        <v>0</v>
      </c>
      <c r="Q175" s="223">
        <v>6987.77</v>
      </c>
      <c r="R175" s="223">
        <v>6987.77</v>
      </c>
      <c r="S175" s="225">
        <v>0</v>
      </c>
      <c r="T175" s="223"/>
      <c r="U175" s="223"/>
      <c r="V175" s="223"/>
      <c r="W175" s="223"/>
      <c r="X175" s="223"/>
      <c r="Y175" s="224">
        <v>6805.1900000000005</v>
      </c>
      <c r="Z175" s="223">
        <v>6805.1900000000005</v>
      </c>
      <c r="AA175" s="225">
        <v>0</v>
      </c>
      <c r="AB175" s="223"/>
      <c r="AC175" s="223"/>
      <c r="AD175" s="223"/>
      <c r="AE175" s="223"/>
      <c r="AF175" s="225"/>
      <c r="AG175" s="223">
        <v>6413.08</v>
      </c>
      <c r="AH175" s="223">
        <v>6413.08</v>
      </c>
      <c r="AI175" s="225">
        <v>0</v>
      </c>
      <c r="AJ175" s="223"/>
      <c r="AK175" s="223"/>
      <c r="AL175" s="223"/>
      <c r="AM175" s="223"/>
      <c r="AN175" s="223"/>
    </row>
    <row r="176" spans="2:40" ht="13.5" x14ac:dyDescent="0.25">
      <c r="B176" s="194" t="s">
        <v>205</v>
      </c>
      <c r="C176" s="127" t="s">
        <v>65</v>
      </c>
      <c r="D176" s="191"/>
      <c r="E176" s="191"/>
      <c r="F176" s="190" t="s">
        <v>132</v>
      </c>
      <c r="G176" s="220"/>
      <c r="H176" s="220"/>
      <c r="I176" s="221">
        <v>41767.17</v>
      </c>
      <c r="J176" s="221">
        <v>41767.17</v>
      </c>
      <c r="K176" s="222">
        <v>0</v>
      </c>
      <c r="L176" s="363">
        <v>0</v>
      </c>
      <c r="M176" s="221">
        <v>0</v>
      </c>
      <c r="N176" s="221">
        <v>0</v>
      </c>
      <c r="O176" s="221">
        <v>0</v>
      </c>
      <c r="P176" s="364">
        <v>0</v>
      </c>
      <c r="Q176" s="223">
        <v>251.38</v>
      </c>
      <c r="R176" s="223">
        <v>251.38</v>
      </c>
      <c r="S176" s="225">
        <v>0</v>
      </c>
      <c r="T176" s="223"/>
      <c r="U176" s="223"/>
      <c r="V176" s="223"/>
      <c r="W176" s="223"/>
      <c r="X176" s="223"/>
      <c r="Y176" s="224">
        <v>815.76</v>
      </c>
      <c r="Z176" s="223">
        <v>815.76</v>
      </c>
      <c r="AA176" s="225">
        <v>0</v>
      </c>
      <c r="AB176" s="223"/>
      <c r="AC176" s="223"/>
      <c r="AD176" s="223"/>
      <c r="AE176" s="223"/>
      <c r="AF176" s="225"/>
      <c r="AG176" s="223">
        <v>40700.03</v>
      </c>
      <c r="AH176" s="223">
        <v>40700.03</v>
      </c>
      <c r="AI176" s="225">
        <v>0</v>
      </c>
      <c r="AJ176" s="223"/>
      <c r="AK176" s="223"/>
      <c r="AL176" s="223"/>
      <c r="AM176" s="223"/>
      <c r="AN176" s="223"/>
    </row>
    <row r="177" spans="2:40" ht="13.5" x14ac:dyDescent="0.25">
      <c r="B177" s="194" t="s">
        <v>205</v>
      </c>
      <c r="C177" s="128" t="s">
        <v>57</v>
      </c>
      <c r="D177" s="191"/>
      <c r="E177" s="191"/>
      <c r="F177" s="190" t="s">
        <v>133</v>
      </c>
      <c r="G177" s="220"/>
      <c r="H177" s="220"/>
      <c r="I177" s="221">
        <v>6417.9400000000005</v>
      </c>
      <c r="J177" s="221">
        <v>6417.9400000000005</v>
      </c>
      <c r="K177" s="222">
        <v>0</v>
      </c>
      <c r="L177" s="363">
        <v>0</v>
      </c>
      <c r="M177" s="221">
        <v>0</v>
      </c>
      <c r="N177" s="221">
        <v>0</v>
      </c>
      <c r="O177" s="221">
        <v>0</v>
      </c>
      <c r="P177" s="364">
        <v>0</v>
      </c>
      <c r="Q177" s="223">
        <v>2019.31</v>
      </c>
      <c r="R177" s="223">
        <v>2019.31</v>
      </c>
      <c r="S177" s="225">
        <v>0</v>
      </c>
      <c r="T177" s="223"/>
      <c r="U177" s="223"/>
      <c r="V177" s="223"/>
      <c r="W177" s="223"/>
      <c r="X177" s="223"/>
      <c r="Y177" s="224">
        <v>2634.13</v>
      </c>
      <c r="Z177" s="223">
        <v>2634.13</v>
      </c>
      <c r="AA177" s="225">
        <v>0</v>
      </c>
      <c r="AB177" s="223"/>
      <c r="AC177" s="223"/>
      <c r="AD177" s="223"/>
      <c r="AE177" s="223"/>
      <c r="AF177" s="225"/>
      <c r="AG177" s="223">
        <v>1764.5</v>
      </c>
      <c r="AH177" s="223">
        <v>1764.5</v>
      </c>
      <c r="AI177" s="225">
        <v>0</v>
      </c>
      <c r="AJ177" s="223"/>
      <c r="AK177" s="223"/>
      <c r="AL177" s="223"/>
      <c r="AM177" s="223"/>
      <c r="AN177" s="223"/>
    </row>
    <row r="178" spans="2:40" ht="13.5" x14ac:dyDescent="0.25">
      <c r="B178" s="194" t="s">
        <v>205</v>
      </c>
      <c r="C178" s="128" t="s">
        <v>53</v>
      </c>
      <c r="D178" s="191"/>
      <c r="E178" s="191"/>
      <c r="F178" s="190" t="s">
        <v>134</v>
      </c>
      <c r="G178" s="190"/>
      <c r="H178" s="190"/>
      <c r="I178" s="221">
        <v>2382.35</v>
      </c>
      <c r="J178" s="221">
        <v>2382.35</v>
      </c>
      <c r="K178" s="222">
        <v>0</v>
      </c>
      <c r="L178" s="224">
        <v>0</v>
      </c>
      <c r="M178" s="223">
        <v>0</v>
      </c>
      <c r="N178" s="223">
        <v>0</v>
      </c>
      <c r="O178" s="223">
        <v>0</v>
      </c>
      <c r="P178" s="365">
        <v>0</v>
      </c>
      <c r="Q178" s="223">
        <v>820.59</v>
      </c>
      <c r="R178" s="223">
        <v>820.59</v>
      </c>
      <c r="S178" s="225">
        <v>0</v>
      </c>
      <c r="T178" s="223"/>
      <c r="U178" s="223"/>
      <c r="V178" s="223"/>
      <c r="W178" s="223"/>
      <c r="X178" s="223"/>
      <c r="Y178" s="224">
        <v>741.17000000000007</v>
      </c>
      <c r="Z178" s="223">
        <v>741.17000000000007</v>
      </c>
      <c r="AA178" s="225">
        <v>0</v>
      </c>
      <c r="AB178" s="223"/>
      <c r="AC178" s="223"/>
      <c r="AD178" s="223"/>
      <c r="AE178" s="223"/>
      <c r="AF178" s="225"/>
      <c r="AG178" s="223">
        <v>820.59</v>
      </c>
      <c r="AH178" s="223">
        <v>820.59</v>
      </c>
      <c r="AI178" s="225">
        <v>0</v>
      </c>
      <c r="AJ178" s="223"/>
      <c r="AK178" s="223"/>
      <c r="AL178" s="223"/>
      <c r="AM178" s="223"/>
      <c r="AN178" s="223"/>
    </row>
    <row r="179" spans="2:40" ht="13.5" x14ac:dyDescent="0.25">
      <c r="B179" s="194" t="s">
        <v>205</v>
      </c>
      <c r="D179" s="191"/>
      <c r="E179" s="191"/>
      <c r="F179" s="191"/>
      <c r="G179" s="191" t="s">
        <v>151</v>
      </c>
      <c r="H179" s="191"/>
      <c r="I179" s="226">
        <v>0</v>
      </c>
      <c r="J179" s="226">
        <v>0</v>
      </c>
      <c r="K179" s="229">
        <v>0</v>
      </c>
      <c r="L179" s="228"/>
      <c r="M179" s="226"/>
      <c r="N179" s="226"/>
      <c r="O179" s="226"/>
      <c r="P179" s="296"/>
      <c r="Q179" s="226">
        <v>0</v>
      </c>
      <c r="R179" s="226">
        <v>0</v>
      </c>
      <c r="S179" s="229">
        <v>0</v>
      </c>
      <c r="T179" s="226"/>
      <c r="U179" s="226"/>
      <c r="V179" s="226"/>
      <c r="W179" s="226"/>
      <c r="X179" s="226"/>
      <c r="Y179" s="228">
        <v>0</v>
      </c>
      <c r="Z179" s="226">
        <v>0</v>
      </c>
      <c r="AA179" s="229">
        <v>0</v>
      </c>
      <c r="AB179" s="226"/>
      <c r="AC179" s="226"/>
      <c r="AD179" s="226"/>
      <c r="AE179" s="226"/>
      <c r="AF179" s="229"/>
      <c r="AG179" s="226">
        <v>0</v>
      </c>
      <c r="AH179" s="226">
        <v>0</v>
      </c>
      <c r="AI179" s="229">
        <v>0</v>
      </c>
      <c r="AJ179" s="226"/>
      <c r="AK179" s="226"/>
      <c r="AL179" s="226"/>
      <c r="AM179" s="226"/>
      <c r="AN179" s="226"/>
    </row>
    <row r="180" spans="2:40" ht="13.5" x14ac:dyDescent="0.25">
      <c r="B180" s="194" t="s">
        <v>205</v>
      </c>
      <c r="D180" s="191"/>
      <c r="E180" s="191"/>
      <c r="F180" s="191"/>
      <c r="G180" s="191"/>
      <c r="H180" s="191" t="s">
        <v>152</v>
      </c>
      <c r="I180" s="226">
        <v>0</v>
      </c>
      <c r="J180" s="226">
        <v>0</v>
      </c>
      <c r="K180" s="229">
        <v>0</v>
      </c>
      <c r="L180" s="228">
        <v>0</v>
      </c>
      <c r="M180" s="226">
        <v>0</v>
      </c>
      <c r="N180" s="226">
        <v>0</v>
      </c>
      <c r="O180" s="226">
        <v>0</v>
      </c>
      <c r="P180" s="296">
        <v>0</v>
      </c>
      <c r="Q180" s="226">
        <v>0</v>
      </c>
      <c r="R180" s="226"/>
      <c r="S180" s="229">
        <v>0</v>
      </c>
      <c r="T180" s="226"/>
      <c r="U180" s="226"/>
      <c r="V180" s="226"/>
      <c r="W180" s="226"/>
      <c r="X180" s="226"/>
      <c r="Y180" s="228">
        <v>0</v>
      </c>
      <c r="Z180" s="226"/>
      <c r="AA180" s="229">
        <v>0</v>
      </c>
      <c r="AB180" s="226"/>
      <c r="AC180" s="226"/>
      <c r="AD180" s="226"/>
      <c r="AE180" s="226"/>
      <c r="AF180" s="229"/>
      <c r="AG180" s="226">
        <v>0</v>
      </c>
      <c r="AH180" s="226"/>
      <c r="AI180" s="229">
        <v>0</v>
      </c>
      <c r="AJ180" s="226"/>
      <c r="AK180" s="226"/>
      <c r="AL180" s="226"/>
      <c r="AM180" s="226"/>
      <c r="AN180" s="226"/>
    </row>
    <row r="181" spans="2:40" ht="13.5" x14ac:dyDescent="0.25">
      <c r="B181" s="194" t="s">
        <v>205</v>
      </c>
      <c r="D181" s="191"/>
      <c r="E181" s="191"/>
      <c r="F181" s="191"/>
      <c r="G181" s="191"/>
      <c r="H181" s="191" t="s">
        <v>153</v>
      </c>
      <c r="I181" s="226">
        <v>0</v>
      </c>
      <c r="J181" s="226">
        <v>0</v>
      </c>
      <c r="K181" s="229">
        <v>0</v>
      </c>
      <c r="L181" s="228">
        <v>0</v>
      </c>
      <c r="M181" s="226">
        <v>0</v>
      </c>
      <c r="N181" s="226">
        <v>0</v>
      </c>
      <c r="O181" s="226">
        <v>0</v>
      </c>
      <c r="P181" s="296">
        <v>0</v>
      </c>
      <c r="Q181" s="226">
        <v>0</v>
      </c>
      <c r="R181" s="226"/>
      <c r="S181" s="229">
        <v>0</v>
      </c>
      <c r="T181" s="226"/>
      <c r="U181" s="226"/>
      <c r="V181" s="226"/>
      <c r="W181" s="226"/>
      <c r="X181" s="226"/>
      <c r="Y181" s="228">
        <v>0</v>
      </c>
      <c r="Z181" s="226"/>
      <c r="AA181" s="229">
        <v>0</v>
      </c>
      <c r="AB181" s="226"/>
      <c r="AC181" s="226"/>
      <c r="AD181" s="226"/>
      <c r="AE181" s="226"/>
      <c r="AF181" s="229"/>
      <c r="AG181" s="226">
        <v>0</v>
      </c>
      <c r="AH181" s="226"/>
      <c r="AI181" s="229">
        <v>0</v>
      </c>
      <c r="AJ181" s="226"/>
      <c r="AK181" s="226"/>
      <c r="AL181" s="226"/>
      <c r="AM181" s="226"/>
      <c r="AN181" s="226"/>
    </row>
    <row r="182" spans="2:40" ht="13.5" x14ac:dyDescent="0.25">
      <c r="B182" s="194" t="s">
        <v>205</v>
      </c>
      <c r="D182" s="191"/>
      <c r="E182" s="191"/>
      <c r="F182" s="191"/>
      <c r="G182" s="191" t="s">
        <v>154</v>
      </c>
      <c r="H182" s="191"/>
      <c r="I182" s="226">
        <v>1731.25</v>
      </c>
      <c r="J182" s="226">
        <v>1731.25</v>
      </c>
      <c r="K182" s="229">
        <v>0</v>
      </c>
      <c r="L182" s="228">
        <v>0</v>
      </c>
      <c r="M182" s="226">
        <v>0</v>
      </c>
      <c r="N182" s="226">
        <v>0</v>
      </c>
      <c r="O182" s="226">
        <v>0</v>
      </c>
      <c r="P182" s="296">
        <v>0</v>
      </c>
      <c r="Q182" s="226">
        <v>596.32000000000005</v>
      </c>
      <c r="R182" s="226">
        <v>596.32000000000005</v>
      </c>
      <c r="S182" s="229">
        <v>0</v>
      </c>
      <c r="T182" s="226"/>
      <c r="U182" s="226"/>
      <c r="V182" s="226"/>
      <c r="W182" s="226"/>
      <c r="X182" s="226"/>
      <c r="Y182" s="228">
        <v>538.61</v>
      </c>
      <c r="Z182" s="226">
        <v>538.61</v>
      </c>
      <c r="AA182" s="229">
        <v>0</v>
      </c>
      <c r="AB182" s="226"/>
      <c r="AC182" s="226"/>
      <c r="AD182" s="226"/>
      <c r="AE182" s="226"/>
      <c r="AF182" s="229"/>
      <c r="AG182" s="226">
        <v>596.32000000000005</v>
      </c>
      <c r="AH182" s="226">
        <v>596.32000000000005</v>
      </c>
      <c r="AI182" s="229">
        <v>0</v>
      </c>
      <c r="AJ182" s="226"/>
      <c r="AK182" s="226"/>
      <c r="AL182" s="226"/>
      <c r="AM182" s="226"/>
      <c r="AN182" s="226"/>
    </row>
    <row r="183" spans="2:40" ht="13.5" x14ac:dyDescent="0.25">
      <c r="B183" s="194" t="s">
        <v>205</v>
      </c>
      <c r="D183" s="191"/>
      <c r="E183" s="191"/>
      <c r="F183" s="191"/>
      <c r="G183" s="191" t="s">
        <v>155</v>
      </c>
      <c r="H183" s="191"/>
      <c r="I183" s="226">
        <v>651.1</v>
      </c>
      <c r="J183" s="226">
        <v>651.1</v>
      </c>
      <c r="K183" s="229">
        <v>0</v>
      </c>
      <c r="L183" s="228">
        <v>0</v>
      </c>
      <c r="M183" s="226">
        <v>0</v>
      </c>
      <c r="N183" s="226">
        <v>0</v>
      </c>
      <c r="O183" s="226">
        <v>0</v>
      </c>
      <c r="P183" s="296">
        <v>0</v>
      </c>
      <c r="Q183" s="226">
        <v>224.27</v>
      </c>
      <c r="R183" s="226">
        <v>224.27</v>
      </c>
      <c r="S183" s="229">
        <v>0</v>
      </c>
      <c r="T183" s="226"/>
      <c r="U183" s="226"/>
      <c r="V183" s="226"/>
      <c r="W183" s="226"/>
      <c r="X183" s="226"/>
      <c r="Y183" s="228">
        <v>202.56</v>
      </c>
      <c r="Z183" s="226">
        <v>202.56</v>
      </c>
      <c r="AA183" s="229">
        <v>0</v>
      </c>
      <c r="AB183" s="226"/>
      <c r="AC183" s="226"/>
      <c r="AD183" s="226"/>
      <c r="AE183" s="226"/>
      <c r="AF183" s="229"/>
      <c r="AG183" s="226">
        <v>224.27</v>
      </c>
      <c r="AH183" s="226">
        <v>224.27</v>
      </c>
      <c r="AI183" s="229">
        <v>0</v>
      </c>
      <c r="AJ183" s="226"/>
      <c r="AK183" s="226"/>
      <c r="AL183" s="226"/>
      <c r="AM183" s="226"/>
      <c r="AN183" s="226"/>
    </row>
    <row r="184" spans="2:40" ht="13.5" x14ac:dyDescent="0.25">
      <c r="B184" s="194" t="s">
        <v>205</v>
      </c>
      <c r="C184" s="128" t="s">
        <v>47</v>
      </c>
      <c r="D184" s="191"/>
      <c r="E184" s="191"/>
      <c r="F184" s="190" t="s">
        <v>135</v>
      </c>
      <c r="G184" s="220"/>
      <c r="H184" s="375"/>
      <c r="I184" s="221">
        <v>8161.17</v>
      </c>
      <c r="J184" s="221">
        <v>8161.17</v>
      </c>
      <c r="K184" s="222">
        <v>0</v>
      </c>
      <c r="L184" s="363">
        <v>0</v>
      </c>
      <c r="M184" s="221">
        <v>0</v>
      </c>
      <c r="N184" s="221">
        <v>0</v>
      </c>
      <c r="O184" s="221">
        <v>0</v>
      </c>
      <c r="P184" s="364">
        <v>0</v>
      </c>
      <c r="Q184" s="223">
        <v>3300.58</v>
      </c>
      <c r="R184" s="223">
        <v>3300.58</v>
      </c>
      <c r="S184" s="225"/>
      <c r="T184" s="223"/>
      <c r="U184" s="223"/>
      <c r="V184" s="223"/>
      <c r="W184" s="223"/>
      <c r="X184" s="223"/>
      <c r="Y184" s="224">
        <v>2492.8399999999997</v>
      </c>
      <c r="Z184" s="223">
        <v>2492.8399999999997</v>
      </c>
      <c r="AA184" s="225"/>
      <c r="AB184" s="223"/>
      <c r="AC184" s="223"/>
      <c r="AD184" s="223"/>
      <c r="AE184" s="223"/>
      <c r="AF184" s="225"/>
      <c r="AG184" s="223">
        <v>2367.75</v>
      </c>
      <c r="AH184" s="223">
        <v>2367.75</v>
      </c>
      <c r="AI184" s="225"/>
      <c r="AJ184" s="223"/>
      <c r="AK184" s="223"/>
      <c r="AL184" s="223"/>
      <c r="AM184" s="223"/>
      <c r="AN184" s="223"/>
    </row>
    <row r="185" spans="2:40" ht="13.5" x14ac:dyDescent="0.25">
      <c r="B185" s="194" t="s">
        <v>205</v>
      </c>
      <c r="C185" s="156" t="s">
        <v>60</v>
      </c>
      <c r="D185" s="191"/>
      <c r="E185" s="191"/>
      <c r="F185" s="192" t="s">
        <v>136</v>
      </c>
      <c r="G185" s="192"/>
      <c r="H185" s="192"/>
      <c r="I185" s="368">
        <v>124516.27</v>
      </c>
      <c r="J185" s="368">
        <v>43392.478760704078</v>
      </c>
      <c r="K185" s="369">
        <v>81123.791239295926</v>
      </c>
      <c r="L185" s="370">
        <v>0</v>
      </c>
      <c r="M185" s="368">
        <v>44477.643341493975</v>
      </c>
      <c r="N185" s="368">
        <v>13276.41644032906</v>
      </c>
      <c r="O185" s="368">
        <v>23369.731457472888</v>
      </c>
      <c r="P185" s="371">
        <v>0</v>
      </c>
      <c r="Q185" s="372">
        <v>39416.230000000003</v>
      </c>
      <c r="R185" s="372">
        <v>14212.345865108589</v>
      </c>
      <c r="S185" s="373">
        <v>25203.884134891414</v>
      </c>
      <c r="T185" s="372">
        <v>0</v>
      </c>
      <c r="U185" s="372">
        <v>13199.062194167806</v>
      </c>
      <c r="V185" s="372">
        <v>4343.9856338848385</v>
      </c>
      <c r="W185" s="372">
        <v>7660.8363068387698</v>
      </c>
      <c r="X185" s="372">
        <v>0</v>
      </c>
      <c r="Y185" s="374">
        <v>39707.14</v>
      </c>
      <c r="Z185" s="372">
        <v>13583.826191657388</v>
      </c>
      <c r="AA185" s="373">
        <v>26123.313808342609</v>
      </c>
      <c r="AB185" s="372">
        <v>0</v>
      </c>
      <c r="AC185" s="372">
        <v>14655.807760428172</v>
      </c>
      <c r="AD185" s="372">
        <v>4165.4392832576132</v>
      </c>
      <c r="AE185" s="372">
        <v>7302.0667646568236</v>
      </c>
      <c r="AF185" s="373">
        <v>0</v>
      </c>
      <c r="AG185" s="372">
        <v>45392.899999999994</v>
      </c>
      <c r="AH185" s="372">
        <v>15596.306703938099</v>
      </c>
      <c r="AI185" s="373">
        <v>29796.593296061899</v>
      </c>
      <c r="AJ185" s="372">
        <v>0</v>
      </c>
      <c r="AK185" s="372">
        <v>16622.773386897999</v>
      </c>
      <c r="AL185" s="372">
        <v>4766.991523186608</v>
      </c>
      <c r="AM185" s="372">
        <v>8406.8283859772928</v>
      </c>
      <c r="AN185" s="372">
        <v>0</v>
      </c>
    </row>
    <row r="186" spans="2:40" ht="13.5" x14ac:dyDescent="0.25">
      <c r="B186" s="194" t="s">
        <v>205</v>
      </c>
      <c r="C186" s="128" t="s">
        <v>51</v>
      </c>
      <c r="D186" s="191"/>
      <c r="E186" s="191"/>
      <c r="F186" s="190" t="s">
        <v>137</v>
      </c>
      <c r="G186" s="220"/>
      <c r="H186" s="220"/>
      <c r="I186" s="221">
        <v>22175</v>
      </c>
      <c r="J186" s="221">
        <v>22175</v>
      </c>
      <c r="K186" s="222">
        <v>0</v>
      </c>
      <c r="L186" s="363">
        <v>0</v>
      </c>
      <c r="M186" s="221">
        <v>0</v>
      </c>
      <c r="N186" s="221">
        <v>0</v>
      </c>
      <c r="O186" s="221">
        <v>0</v>
      </c>
      <c r="P186" s="364">
        <v>0</v>
      </c>
      <c r="Q186" s="223">
        <v>7083.33</v>
      </c>
      <c r="R186" s="223">
        <v>7083.33</v>
      </c>
      <c r="S186" s="225">
        <v>0</v>
      </c>
      <c r="T186" s="223"/>
      <c r="U186" s="223"/>
      <c r="V186" s="223"/>
      <c r="W186" s="223"/>
      <c r="X186" s="223"/>
      <c r="Y186" s="224">
        <v>5208.33</v>
      </c>
      <c r="Z186" s="223">
        <v>5208.33</v>
      </c>
      <c r="AA186" s="225">
        <v>0</v>
      </c>
      <c r="AB186" s="223"/>
      <c r="AC186" s="223"/>
      <c r="AD186" s="223"/>
      <c r="AE186" s="223"/>
      <c r="AF186" s="225"/>
      <c r="AG186" s="223">
        <v>9883.34</v>
      </c>
      <c r="AH186" s="223">
        <v>9883.34</v>
      </c>
      <c r="AI186" s="225">
        <v>0</v>
      </c>
      <c r="AJ186" s="223"/>
      <c r="AK186" s="223"/>
      <c r="AL186" s="223"/>
      <c r="AM186" s="223"/>
      <c r="AN186" s="223"/>
    </row>
    <row r="187" spans="2:40" ht="13.5" x14ac:dyDescent="0.25">
      <c r="B187" s="194" t="s">
        <v>205</v>
      </c>
      <c r="C187" s="128" t="s">
        <v>48</v>
      </c>
      <c r="D187" s="191"/>
      <c r="E187" s="191"/>
      <c r="F187" s="190" t="s">
        <v>138</v>
      </c>
      <c r="G187" s="220"/>
      <c r="H187" s="220"/>
      <c r="I187" s="221">
        <v>274119.01</v>
      </c>
      <c r="J187" s="221">
        <v>629.08000000000004</v>
      </c>
      <c r="K187" s="222">
        <v>273489.93</v>
      </c>
      <c r="L187" s="363">
        <v>0</v>
      </c>
      <c r="M187" s="221">
        <v>2746.33</v>
      </c>
      <c r="N187" s="221">
        <v>47553.654285714285</v>
      </c>
      <c r="O187" s="221">
        <v>223189.94571428571</v>
      </c>
      <c r="P187" s="364">
        <v>0</v>
      </c>
      <c r="Q187" s="223">
        <v>131961.69</v>
      </c>
      <c r="R187" s="223">
        <v>357.72</v>
      </c>
      <c r="S187" s="225">
        <v>131603.97</v>
      </c>
      <c r="T187" s="223"/>
      <c r="U187" s="223"/>
      <c r="V187" s="223">
        <v>6054.8</v>
      </c>
      <c r="W187" s="223">
        <v>125549.17</v>
      </c>
      <c r="X187" s="223"/>
      <c r="Y187" s="224">
        <v>83141.350000000006</v>
      </c>
      <c r="Z187" s="223">
        <v>32.130000000000003</v>
      </c>
      <c r="AA187" s="225">
        <v>83109.22</v>
      </c>
      <c r="AB187" s="223"/>
      <c r="AC187" s="223">
        <v>2477</v>
      </c>
      <c r="AD187" s="223">
        <v>17141.444285714286</v>
      </c>
      <c r="AE187" s="223">
        <v>63490.775714285715</v>
      </c>
      <c r="AF187" s="225"/>
      <c r="AG187" s="223">
        <v>59015.970000000008</v>
      </c>
      <c r="AH187" s="376">
        <v>239.23000000000002</v>
      </c>
      <c r="AI187" s="225">
        <v>58776.740000000005</v>
      </c>
      <c r="AJ187" s="223"/>
      <c r="AK187" s="376">
        <v>269.33</v>
      </c>
      <c r="AL187" s="376">
        <v>24357.41</v>
      </c>
      <c r="AM187" s="376">
        <v>34150</v>
      </c>
      <c r="AN187" s="223"/>
    </row>
    <row r="188" spans="2:40" ht="13.5" x14ac:dyDescent="0.25">
      <c r="B188" s="194" t="s">
        <v>205</v>
      </c>
      <c r="C188" s="128" t="s">
        <v>50</v>
      </c>
      <c r="D188" s="191"/>
      <c r="E188" s="191"/>
      <c r="F188" s="190" t="s">
        <v>139</v>
      </c>
      <c r="G188" s="220"/>
      <c r="H188" s="220"/>
      <c r="I188" s="221">
        <v>31605.34</v>
      </c>
      <c r="J188" s="221">
        <v>31605.34</v>
      </c>
      <c r="K188" s="222">
        <v>0</v>
      </c>
      <c r="L188" s="363">
        <v>0</v>
      </c>
      <c r="M188" s="221">
        <v>0</v>
      </c>
      <c r="N188" s="221">
        <v>0</v>
      </c>
      <c r="O188" s="221">
        <v>0</v>
      </c>
      <c r="P188" s="364">
        <v>0</v>
      </c>
      <c r="Q188" s="223">
        <v>3719.15</v>
      </c>
      <c r="R188" s="223">
        <v>3719.15</v>
      </c>
      <c r="S188" s="225">
        <v>0</v>
      </c>
      <c r="T188" s="223"/>
      <c r="U188" s="223"/>
      <c r="V188" s="223"/>
      <c r="W188" s="223"/>
      <c r="X188" s="223"/>
      <c r="Y188" s="224">
        <v>20208.3</v>
      </c>
      <c r="Z188" s="223">
        <v>20208.3</v>
      </c>
      <c r="AA188" s="225">
        <v>0</v>
      </c>
      <c r="AB188" s="223"/>
      <c r="AC188" s="223"/>
      <c r="AD188" s="223"/>
      <c r="AE188" s="223"/>
      <c r="AF188" s="225"/>
      <c r="AG188" s="223">
        <v>7677.8899999999994</v>
      </c>
      <c r="AH188" s="223">
        <v>7677.8899999999994</v>
      </c>
      <c r="AI188" s="225">
        <v>0</v>
      </c>
      <c r="AJ188" s="223"/>
      <c r="AK188" s="223"/>
      <c r="AL188" s="223"/>
      <c r="AM188" s="223"/>
      <c r="AN188" s="223"/>
    </row>
    <row r="189" spans="2:40" ht="13.5" x14ac:dyDescent="0.25">
      <c r="B189" s="194" t="s">
        <v>205</v>
      </c>
      <c r="C189" s="128" t="s">
        <v>19</v>
      </c>
      <c r="D189" s="191"/>
      <c r="E189" s="191"/>
      <c r="F189" s="192" t="s">
        <v>140</v>
      </c>
      <c r="G189" s="367"/>
      <c r="H189" s="367"/>
      <c r="I189" s="368">
        <v>807829.45</v>
      </c>
      <c r="J189" s="368">
        <v>281553.283</v>
      </c>
      <c r="K189" s="369">
        <v>526276.16700000002</v>
      </c>
      <c r="L189" s="370">
        <v>0</v>
      </c>
      <c r="M189" s="368">
        <v>288499.65100000001</v>
      </c>
      <c r="N189" s="368">
        <v>86150.758000000002</v>
      </c>
      <c r="O189" s="368">
        <v>151625.758</v>
      </c>
      <c r="P189" s="371">
        <v>0</v>
      </c>
      <c r="Q189" s="372">
        <v>259360.25000000003</v>
      </c>
      <c r="R189" s="372">
        <v>93517.760999999999</v>
      </c>
      <c r="S189" s="373">
        <v>165842.48900000003</v>
      </c>
      <c r="T189" s="372">
        <v>0</v>
      </c>
      <c r="U189" s="372">
        <v>86850.31700000001</v>
      </c>
      <c r="V189" s="372">
        <v>28583.586000000003</v>
      </c>
      <c r="W189" s="372">
        <v>50408.586000000003</v>
      </c>
      <c r="X189" s="372">
        <v>0</v>
      </c>
      <c r="Y189" s="374">
        <v>276286.66000000003</v>
      </c>
      <c r="Z189" s="372">
        <v>94517.760999999999</v>
      </c>
      <c r="AA189" s="373">
        <v>181768.899</v>
      </c>
      <c r="AB189" s="372">
        <v>0</v>
      </c>
      <c r="AC189" s="372">
        <v>101976.727</v>
      </c>
      <c r="AD189" s="372">
        <v>28983.586000000003</v>
      </c>
      <c r="AE189" s="372">
        <v>50808.586000000003</v>
      </c>
      <c r="AF189" s="373">
        <v>0</v>
      </c>
      <c r="AG189" s="372">
        <v>272182.54000000004</v>
      </c>
      <c r="AH189" s="372">
        <v>93517.760999999999</v>
      </c>
      <c r="AI189" s="373">
        <v>178664.77900000001</v>
      </c>
      <c r="AJ189" s="372">
        <v>0</v>
      </c>
      <c r="AK189" s="372">
        <v>99672.607000000004</v>
      </c>
      <c r="AL189" s="372">
        <v>28583.586000000003</v>
      </c>
      <c r="AM189" s="372">
        <v>50408.586000000003</v>
      </c>
      <c r="AN189" s="372">
        <v>0</v>
      </c>
    </row>
    <row r="190" spans="2:40" ht="13.5" x14ac:dyDescent="0.25">
      <c r="B190" s="194" t="s">
        <v>205</v>
      </c>
      <c r="C190" s="128" t="s">
        <v>19</v>
      </c>
      <c r="D190" s="191"/>
      <c r="E190" s="191"/>
      <c r="F190" s="192" t="s">
        <v>141</v>
      </c>
      <c r="G190" s="192"/>
      <c r="H190" s="367"/>
      <c r="I190" s="368">
        <v>45508.25</v>
      </c>
      <c r="J190" s="368">
        <v>15820.603759320045</v>
      </c>
      <c r="K190" s="369">
        <v>29687.646240679955</v>
      </c>
      <c r="L190" s="370">
        <v>0</v>
      </c>
      <c r="M190" s="368">
        <v>16327.134519024414</v>
      </c>
      <c r="N190" s="368">
        <v>4841.3901322588617</v>
      </c>
      <c r="O190" s="368">
        <v>8519.1215893966801</v>
      </c>
      <c r="P190" s="371">
        <v>0</v>
      </c>
      <c r="Q190" s="372">
        <v>12366.510000000002</v>
      </c>
      <c r="R190" s="372">
        <v>4459.003747043389</v>
      </c>
      <c r="S190" s="373">
        <v>7907.506252956613</v>
      </c>
      <c r="T190" s="372">
        <v>0</v>
      </c>
      <c r="U190" s="372">
        <v>4141.0945342768227</v>
      </c>
      <c r="V190" s="372">
        <v>1362.8888856517531</v>
      </c>
      <c r="W190" s="372">
        <v>2403.5228330280374</v>
      </c>
      <c r="X190" s="372">
        <v>0</v>
      </c>
      <c r="Y190" s="374">
        <v>17108.449999999997</v>
      </c>
      <c r="Z190" s="372">
        <v>5852.8066037659937</v>
      </c>
      <c r="AA190" s="373">
        <v>11255.643396234005</v>
      </c>
      <c r="AB190" s="372">
        <v>0</v>
      </c>
      <c r="AC190" s="372">
        <v>6314.6868366469444</v>
      </c>
      <c r="AD190" s="372">
        <v>1794.7454716116224</v>
      </c>
      <c r="AE190" s="372">
        <v>3146.2110879754382</v>
      </c>
      <c r="AF190" s="373">
        <v>0</v>
      </c>
      <c r="AG190" s="372">
        <v>16033.29</v>
      </c>
      <c r="AH190" s="372">
        <v>5508.7934085106635</v>
      </c>
      <c r="AI190" s="373">
        <v>10524.496591489336</v>
      </c>
      <c r="AJ190" s="372">
        <v>0</v>
      </c>
      <c r="AK190" s="372">
        <v>5871.3531481006457</v>
      </c>
      <c r="AL190" s="372">
        <v>1683.7557749954865</v>
      </c>
      <c r="AM190" s="372">
        <v>2969.387668393204</v>
      </c>
      <c r="AN190" s="372">
        <v>0</v>
      </c>
    </row>
    <row r="191" spans="2:40" ht="13.5" x14ac:dyDescent="0.25">
      <c r="B191" s="194" t="s">
        <v>205</v>
      </c>
      <c r="C191" s="128" t="s">
        <v>51</v>
      </c>
      <c r="D191" s="191"/>
      <c r="E191" s="191"/>
      <c r="F191" s="190" t="s">
        <v>142</v>
      </c>
      <c r="G191" s="220"/>
      <c r="H191" s="220"/>
      <c r="I191" s="221">
        <v>31835</v>
      </c>
      <c r="J191" s="221">
        <v>31835</v>
      </c>
      <c r="K191" s="222">
        <v>0</v>
      </c>
      <c r="L191" s="363">
        <v>0</v>
      </c>
      <c r="M191" s="221">
        <v>0</v>
      </c>
      <c r="N191" s="221">
        <v>0</v>
      </c>
      <c r="O191" s="221">
        <v>0</v>
      </c>
      <c r="P191" s="364">
        <v>0</v>
      </c>
      <c r="Q191" s="223">
        <v>9900</v>
      </c>
      <c r="R191" s="223">
        <v>9900</v>
      </c>
      <c r="S191" s="225">
        <v>0</v>
      </c>
      <c r="T191" s="223"/>
      <c r="U191" s="223"/>
      <c r="V191" s="223"/>
      <c r="W191" s="223"/>
      <c r="X191" s="223"/>
      <c r="Y191" s="224">
        <v>17585</v>
      </c>
      <c r="Z191" s="223">
        <v>17585</v>
      </c>
      <c r="AA191" s="225">
        <v>0</v>
      </c>
      <c r="AB191" s="223"/>
      <c r="AC191" s="223"/>
      <c r="AD191" s="223"/>
      <c r="AE191" s="223"/>
      <c r="AF191" s="225"/>
      <c r="AG191" s="223">
        <v>4350</v>
      </c>
      <c r="AH191" s="223">
        <v>4350</v>
      </c>
      <c r="AI191" s="225">
        <v>0</v>
      </c>
      <c r="AJ191" s="223"/>
      <c r="AK191" s="223"/>
      <c r="AL191" s="223"/>
      <c r="AM191" s="223"/>
      <c r="AN191" s="223"/>
    </row>
    <row r="192" spans="2:40" ht="13.5" x14ac:dyDescent="0.25">
      <c r="B192" s="194" t="s">
        <v>205</v>
      </c>
      <c r="C192" s="128" t="s">
        <v>158</v>
      </c>
      <c r="D192" s="191"/>
      <c r="E192" s="191"/>
      <c r="F192" s="190" t="s">
        <v>143</v>
      </c>
      <c r="G192" s="220"/>
      <c r="H192" s="220"/>
      <c r="I192" s="221">
        <v>0</v>
      </c>
      <c r="J192" s="221">
        <v>0</v>
      </c>
      <c r="K192" s="222">
        <v>0</v>
      </c>
      <c r="L192" s="363">
        <v>0</v>
      </c>
      <c r="M192" s="221">
        <v>0</v>
      </c>
      <c r="N192" s="221">
        <v>0</v>
      </c>
      <c r="O192" s="221">
        <v>0</v>
      </c>
      <c r="P192" s="364">
        <v>0</v>
      </c>
      <c r="Q192" s="223">
        <v>0</v>
      </c>
      <c r="R192" s="223">
        <v>0</v>
      </c>
      <c r="S192" s="225">
        <v>0</v>
      </c>
      <c r="T192" s="223"/>
      <c r="U192" s="223"/>
      <c r="V192" s="223"/>
      <c r="W192" s="223"/>
      <c r="X192" s="223"/>
      <c r="Y192" s="224">
        <v>0</v>
      </c>
      <c r="Z192" s="223">
        <v>0</v>
      </c>
      <c r="AA192" s="225">
        <v>0</v>
      </c>
      <c r="AB192" s="223"/>
      <c r="AC192" s="223"/>
      <c r="AD192" s="223"/>
      <c r="AE192" s="223"/>
      <c r="AF192" s="225"/>
      <c r="AG192" s="223">
        <v>0</v>
      </c>
      <c r="AH192" s="223">
        <v>0</v>
      </c>
      <c r="AI192" s="225">
        <v>0</v>
      </c>
      <c r="AJ192" s="223"/>
      <c r="AK192" s="223"/>
      <c r="AL192" s="223"/>
      <c r="AM192" s="223"/>
      <c r="AN192" s="223"/>
    </row>
    <row r="193" spans="2:40" ht="13.5" x14ac:dyDescent="0.25">
      <c r="B193" s="194" t="s">
        <v>205</v>
      </c>
      <c r="C193" s="128" t="s">
        <v>50</v>
      </c>
      <c r="D193" s="191"/>
      <c r="E193" s="191"/>
      <c r="F193" s="190" t="s">
        <v>144</v>
      </c>
      <c r="G193" s="220"/>
      <c r="H193" s="220"/>
      <c r="I193" s="221">
        <v>38100</v>
      </c>
      <c r="J193" s="221">
        <v>38100</v>
      </c>
      <c r="K193" s="222">
        <v>0</v>
      </c>
      <c r="L193" s="363">
        <v>0</v>
      </c>
      <c r="M193" s="221">
        <v>0</v>
      </c>
      <c r="N193" s="221">
        <v>0</v>
      </c>
      <c r="O193" s="221">
        <v>0</v>
      </c>
      <c r="P193" s="364">
        <v>0</v>
      </c>
      <c r="Q193" s="223">
        <v>27300</v>
      </c>
      <c r="R193" s="223">
        <v>27300</v>
      </c>
      <c r="S193" s="225">
        <v>0</v>
      </c>
      <c r="T193" s="223"/>
      <c r="U193" s="223"/>
      <c r="V193" s="223"/>
      <c r="W193" s="223"/>
      <c r="X193" s="223"/>
      <c r="Y193" s="224">
        <v>10800</v>
      </c>
      <c r="Z193" s="223">
        <v>10800</v>
      </c>
      <c r="AA193" s="225">
        <v>0</v>
      </c>
      <c r="AB193" s="223"/>
      <c r="AC193" s="223"/>
      <c r="AD193" s="223"/>
      <c r="AE193" s="223"/>
      <c r="AF193" s="225"/>
      <c r="AG193" s="223">
        <v>0</v>
      </c>
      <c r="AH193" s="223"/>
      <c r="AI193" s="225">
        <v>0</v>
      </c>
      <c r="AJ193" s="223"/>
      <c r="AK193" s="223"/>
      <c r="AL193" s="223"/>
      <c r="AM193" s="223"/>
      <c r="AN193" s="223"/>
    </row>
    <row r="194" spans="2:40" ht="13.5" x14ac:dyDescent="0.25">
      <c r="B194" s="194" t="s">
        <v>205</v>
      </c>
      <c r="C194" s="128" t="s">
        <v>43</v>
      </c>
      <c r="D194" s="191"/>
      <c r="E194" s="191"/>
      <c r="F194" s="190" t="s">
        <v>145</v>
      </c>
      <c r="G194" s="220"/>
      <c r="H194" s="190"/>
      <c r="I194" s="221">
        <v>40753.590000000004</v>
      </c>
      <c r="J194" s="221">
        <v>40753.590000000004</v>
      </c>
      <c r="K194" s="222">
        <v>0</v>
      </c>
      <c r="L194" s="224"/>
      <c r="M194" s="223"/>
      <c r="N194" s="223"/>
      <c r="O194" s="223"/>
      <c r="P194" s="365"/>
      <c r="Q194" s="223">
        <v>13584.53</v>
      </c>
      <c r="R194" s="223">
        <v>13584.53</v>
      </c>
      <c r="S194" s="225">
        <v>0</v>
      </c>
      <c r="T194" s="223"/>
      <c r="U194" s="223"/>
      <c r="V194" s="223"/>
      <c r="W194" s="223"/>
      <c r="X194" s="223"/>
      <c r="Y194" s="224">
        <v>13584.53</v>
      </c>
      <c r="Z194" s="223">
        <v>13584.53</v>
      </c>
      <c r="AA194" s="225">
        <v>0</v>
      </c>
      <c r="AB194" s="223"/>
      <c r="AC194" s="223"/>
      <c r="AD194" s="223"/>
      <c r="AE194" s="223"/>
      <c r="AF194" s="225"/>
      <c r="AG194" s="223">
        <v>13584.53</v>
      </c>
      <c r="AH194" s="223">
        <v>13584.53</v>
      </c>
      <c r="AI194" s="225">
        <v>0</v>
      </c>
      <c r="AJ194" s="223"/>
      <c r="AK194" s="223"/>
      <c r="AL194" s="223"/>
      <c r="AM194" s="223"/>
      <c r="AN194" s="223"/>
    </row>
    <row r="195" spans="2:40" ht="13.5" x14ac:dyDescent="0.25">
      <c r="B195" s="194" t="s">
        <v>205</v>
      </c>
      <c r="D195" s="191"/>
      <c r="E195" s="191"/>
      <c r="F195" s="191"/>
      <c r="G195" s="191" t="s">
        <v>156</v>
      </c>
      <c r="H195" s="191"/>
      <c r="I195" s="226">
        <v>34153.590000000004</v>
      </c>
      <c r="J195" s="226">
        <v>34153.590000000004</v>
      </c>
      <c r="K195" s="229">
        <v>0</v>
      </c>
      <c r="L195" s="228">
        <v>0</v>
      </c>
      <c r="M195" s="226">
        <v>0</v>
      </c>
      <c r="N195" s="226">
        <v>0</v>
      </c>
      <c r="O195" s="226">
        <v>0</v>
      </c>
      <c r="P195" s="296">
        <v>0</v>
      </c>
      <c r="Q195" s="226">
        <v>11384.53</v>
      </c>
      <c r="R195" s="226">
        <v>11384.53</v>
      </c>
      <c r="S195" s="229">
        <v>0</v>
      </c>
      <c r="T195" s="226"/>
      <c r="U195" s="226"/>
      <c r="V195" s="226"/>
      <c r="W195" s="226"/>
      <c r="X195" s="226"/>
      <c r="Y195" s="228">
        <v>11384.53</v>
      </c>
      <c r="Z195" s="226">
        <v>11384.53</v>
      </c>
      <c r="AA195" s="229">
        <v>0</v>
      </c>
      <c r="AB195" s="226"/>
      <c r="AC195" s="226"/>
      <c r="AD195" s="226"/>
      <c r="AE195" s="226"/>
      <c r="AF195" s="229"/>
      <c r="AG195" s="226">
        <v>11384.53</v>
      </c>
      <c r="AH195" s="226">
        <v>11384.53</v>
      </c>
      <c r="AI195" s="229">
        <v>0</v>
      </c>
      <c r="AJ195" s="226"/>
      <c r="AK195" s="226"/>
      <c r="AL195" s="226"/>
      <c r="AM195" s="226"/>
      <c r="AN195" s="226"/>
    </row>
    <row r="196" spans="2:40" ht="13.5" x14ac:dyDescent="0.25">
      <c r="B196" s="194" t="s">
        <v>205</v>
      </c>
      <c r="D196" s="191"/>
      <c r="E196" s="191"/>
      <c r="F196" s="191"/>
      <c r="G196" s="191" t="s">
        <v>157</v>
      </c>
      <c r="H196" s="191"/>
      <c r="I196" s="226">
        <v>6600</v>
      </c>
      <c r="J196" s="226">
        <v>6600</v>
      </c>
      <c r="K196" s="229">
        <v>0</v>
      </c>
      <c r="L196" s="228">
        <v>0</v>
      </c>
      <c r="M196" s="226">
        <v>0</v>
      </c>
      <c r="N196" s="226">
        <v>0</v>
      </c>
      <c r="O196" s="226">
        <v>0</v>
      </c>
      <c r="P196" s="296">
        <v>0</v>
      </c>
      <c r="Q196" s="226">
        <v>2200</v>
      </c>
      <c r="R196" s="226">
        <v>2200</v>
      </c>
      <c r="S196" s="229">
        <v>0</v>
      </c>
      <c r="T196" s="226"/>
      <c r="U196" s="226"/>
      <c r="V196" s="226"/>
      <c r="W196" s="226"/>
      <c r="X196" s="226"/>
      <c r="Y196" s="228">
        <v>2200</v>
      </c>
      <c r="Z196" s="226">
        <v>2200</v>
      </c>
      <c r="AA196" s="229">
        <v>0</v>
      </c>
      <c r="AB196" s="226"/>
      <c r="AC196" s="226"/>
      <c r="AD196" s="226"/>
      <c r="AE196" s="226"/>
      <c r="AF196" s="229"/>
      <c r="AG196" s="226">
        <v>2200</v>
      </c>
      <c r="AH196" s="226">
        <v>2200</v>
      </c>
      <c r="AI196" s="229">
        <v>0</v>
      </c>
      <c r="AJ196" s="226"/>
      <c r="AK196" s="226"/>
      <c r="AL196" s="226"/>
      <c r="AM196" s="226"/>
      <c r="AN196" s="226"/>
    </row>
    <row r="197" spans="2:40" ht="13.5" x14ac:dyDescent="0.25">
      <c r="B197" s="194" t="s">
        <v>205</v>
      </c>
      <c r="C197" s="128" t="s">
        <v>43</v>
      </c>
      <c r="D197" s="191"/>
      <c r="E197" s="191"/>
      <c r="F197" s="190" t="s">
        <v>146</v>
      </c>
      <c r="G197" s="220"/>
      <c r="H197" s="220"/>
      <c r="I197" s="221">
        <v>12085</v>
      </c>
      <c r="J197" s="221">
        <v>12085</v>
      </c>
      <c r="K197" s="222">
        <v>0</v>
      </c>
      <c r="L197" s="363">
        <v>0</v>
      </c>
      <c r="M197" s="221">
        <v>0</v>
      </c>
      <c r="N197" s="221">
        <v>0</v>
      </c>
      <c r="O197" s="221">
        <v>0</v>
      </c>
      <c r="P197" s="364">
        <v>0</v>
      </c>
      <c r="Q197" s="223">
        <v>2362</v>
      </c>
      <c r="R197" s="223">
        <v>2362</v>
      </c>
      <c r="S197" s="225">
        <v>0</v>
      </c>
      <c r="T197" s="223"/>
      <c r="U197" s="223"/>
      <c r="V197" s="223"/>
      <c r="W197" s="223"/>
      <c r="X197" s="223"/>
      <c r="Y197" s="224">
        <v>832</v>
      </c>
      <c r="Z197" s="223">
        <v>832</v>
      </c>
      <c r="AA197" s="225">
        <v>0</v>
      </c>
      <c r="AB197" s="223"/>
      <c r="AC197" s="223"/>
      <c r="AD197" s="223"/>
      <c r="AE197" s="223"/>
      <c r="AF197" s="225"/>
      <c r="AG197" s="223">
        <v>8891</v>
      </c>
      <c r="AH197" s="223">
        <v>8891</v>
      </c>
      <c r="AI197" s="225">
        <v>0</v>
      </c>
      <c r="AJ197" s="223"/>
      <c r="AK197" s="223"/>
      <c r="AL197" s="223"/>
      <c r="AM197" s="223"/>
      <c r="AN197" s="223"/>
    </row>
    <row r="198" spans="2:40" ht="13.5" x14ac:dyDescent="0.25">
      <c r="B198" s="194" t="s">
        <v>205</v>
      </c>
      <c r="C198" s="128" t="s">
        <v>52</v>
      </c>
      <c r="D198" s="191"/>
      <c r="E198" s="191"/>
      <c r="F198" s="190" t="s">
        <v>147</v>
      </c>
      <c r="G198" s="220"/>
      <c r="H198" s="190"/>
      <c r="I198" s="221">
        <v>49089.340000000004</v>
      </c>
      <c r="J198" s="221">
        <v>49089.340000000004</v>
      </c>
      <c r="K198" s="222">
        <v>0</v>
      </c>
      <c r="L198" s="363">
        <v>0</v>
      </c>
      <c r="M198" s="221">
        <v>0</v>
      </c>
      <c r="N198" s="221">
        <v>0</v>
      </c>
      <c r="O198" s="221">
        <v>0</v>
      </c>
      <c r="P198" s="364">
        <v>0</v>
      </c>
      <c r="Q198" s="223">
        <v>8988.6200000000008</v>
      </c>
      <c r="R198" s="223">
        <v>8988.6200000000008</v>
      </c>
      <c r="S198" s="225">
        <v>0</v>
      </c>
      <c r="T198" s="223"/>
      <c r="U198" s="223"/>
      <c r="V198" s="223"/>
      <c r="W198" s="223"/>
      <c r="X198" s="223"/>
      <c r="Y198" s="224">
        <v>23190.15</v>
      </c>
      <c r="Z198" s="223">
        <v>23190.15</v>
      </c>
      <c r="AA198" s="225">
        <v>0</v>
      </c>
      <c r="AB198" s="223"/>
      <c r="AC198" s="223"/>
      <c r="AD198" s="223"/>
      <c r="AE198" s="223"/>
      <c r="AF198" s="225"/>
      <c r="AG198" s="223">
        <v>16910.57</v>
      </c>
      <c r="AH198" s="223">
        <v>16910.57</v>
      </c>
      <c r="AI198" s="225">
        <v>0</v>
      </c>
      <c r="AJ198" s="223"/>
      <c r="AK198" s="223"/>
      <c r="AL198" s="223"/>
      <c r="AM198" s="223"/>
      <c r="AN198" s="223"/>
    </row>
    <row r="199" spans="2:40" ht="13.5" x14ac:dyDescent="0.25">
      <c r="B199" s="194" t="s">
        <v>205</v>
      </c>
      <c r="C199" s="128" t="s">
        <v>43</v>
      </c>
      <c r="D199" s="191"/>
      <c r="E199" s="191"/>
      <c r="F199" s="193" t="s">
        <v>148</v>
      </c>
      <c r="G199" s="377"/>
      <c r="H199" s="377"/>
      <c r="I199" s="221">
        <v>438.52</v>
      </c>
      <c r="J199" s="221">
        <v>438.52</v>
      </c>
      <c r="K199" s="222">
        <v>0</v>
      </c>
      <c r="L199" s="378">
        <v>0</v>
      </c>
      <c r="M199" s="379">
        <v>0</v>
      </c>
      <c r="N199" s="379">
        <v>0</v>
      </c>
      <c r="O199" s="379">
        <v>0</v>
      </c>
      <c r="P199" s="380">
        <v>0</v>
      </c>
      <c r="Q199" s="223">
        <v>281.18</v>
      </c>
      <c r="R199" s="223">
        <v>281.18</v>
      </c>
      <c r="S199" s="225">
        <v>0</v>
      </c>
      <c r="T199" s="223"/>
      <c r="U199" s="223"/>
      <c r="V199" s="223"/>
      <c r="W199" s="223"/>
      <c r="X199" s="223"/>
      <c r="Y199" s="224">
        <v>139.69</v>
      </c>
      <c r="Z199" s="223">
        <v>139.69</v>
      </c>
      <c r="AA199" s="225">
        <v>0</v>
      </c>
      <c r="AB199" s="223"/>
      <c r="AC199" s="223"/>
      <c r="AD199" s="223"/>
      <c r="AE199" s="223"/>
      <c r="AF199" s="225"/>
      <c r="AG199" s="223">
        <v>17.649999999999999</v>
      </c>
      <c r="AH199" s="223">
        <v>17.649999999999999</v>
      </c>
      <c r="AI199" s="225">
        <v>0</v>
      </c>
      <c r="AJ199" s="223"/>
      <c r="AK199" s="223"/>
      <c r="AL199" s="223"/>
      <c r="AM199" s="223"/>
      <c r="AN199" s="223"/>
    </row>
    <row r="200" spans="2:40" ht="13.5" x14ac:dyDescent="0.25">
      <c r="B200" s="213"/>
      <c r="C200" s="381"/>
      <c r="D200" s="381"/>
      <c r="E200" s="381" t="s">
        <v>290</v>
      </c>
      <c r="F200" s="381"/>
      <c r="G200" s="381"/>
      <c r="H200" s="381"/>
      <c r="I200" s="382">
        <v>-264787.81940826564</v>
      </c>
      <c r="J200" s="382">
        <v>1807445.6585056093</v>
      </c>
      <c r="K200" s="383">
        <v>-2072233.4779138749</v>
      </c>
      <c r="L200" s="382">
        <v>-1487879.62</v>
      </c>
      <c r="M200" s="382">
        <v>-3185752.1993020857</v>
      </c>
      <c r="N200" s="382">
        <v>-3166216.2399955289</v>
      </c>
      <c r="O200" s="382">
        <v>-7623102.7409903118</v>
      </c>
      <c r="P200" s="384">
        <v>520434.24237404868</v>
      </c>
      <c r="Q200" s="385">
        <v>-75978.387942970381</v>
      </c>
      <c r="R200" s="382">
        <v>932733.40022895986</v>
      </c>
      <c r="S200" s="383">
        <v>-1008711.7881719302</v>
      </c>
      <c r="T200" s="382">
        <v>-41241.69233951412</v>
      </c>
      <c r="U200" s="382">
        <v>-281821.60579095036</v>
      </c>
      <c r="V200" s="382">
        <v>338901.782488406</v>
      </c>
      <c r="W200" s="382">
        <v>-1045831.1707730104</v>
      </c>
      <c r="X200" s="382">
        <v>21280.898243139207</v>
      </c>
      <c r="Y200" s="385">
        <v>-408423.29581430508</v>
      </c>
      <c r="Z200" s="382">
        <v>280267.89565738337</v>
      </c>
      <c r="AA200" s="383">
        <v>-688691.19147168845</v>
      </c>
      <c r="AB200" s="382">
        <v>-130471.95866048592</v>
      </c>
      <c r="AC200" s="382">
        <v>-248061.18062653142</v>
      </c>
      <c r="AD200" s="382">
        <v>9413.1308524181441</v>
      </c>
      <c r="AE200" s="382">
        <v>-352057.86716799892</v>
      </c>
      <c r="AF200" s="383">
        <v>32486.684130909503</v>
      </c>
      <c r="AG200" s="382">
        <v>219613.86434902373</v>
      </c>
      <c r="AH200" s="382">
        <v>594444.36261928105</v>
      </c>
      <c r="AI200" s="383">
        <v>-374830.49827025732</v>
      </c>
      <c r="AJ200" s="382">
        <v>7150.2009999999791</v>
      </c>
      <c r="AK200" s="382">
        <v>-122991.28288460376</v>
      </c>
      <c r="AL200" s="382">
        <v>-820794.56333635224</v>
      </c>
      <c r="AM200" s="382">
        <v>95138.486950698192</v>
      </c>
      <c r="AN200" s="382">
        <v>466666.66</v>
      </c>
    </row>
    <row r="201" spans="2:40" ht="13.5" x14ac:dyDescent="0.25">
      <c r="B201" s="317"/>
      <c r="C201" s="386"/>
      <c r="D201" s="386"/>
      <c r="E201" s="386"/>
      <c r="F201" s="386"/>
      <c r="G201" s="386"/>
      <c r="H201" s="386"/>
      <c r="I201" s="387">
        <v>-6.3732924031037986E-3</v>
      </c>
      <c r="J201" s="387">
        <v>5.8190115704991774E-2</v>
      </c>
      <c r="K201" s="388">
        <v>-0.1976297992299417</v>
      </c>
      <c r="L201" s="389" t="s">
        <v>112</v>
      </c>
      <c r="M201" s="387">
        <v>-6.7859380577617827</v>
      </c>
      <c r="N201" s="387">
        <v>-0.47367688172020705</v>
      </c>
      <c r="O201" s="387">
        <v>-2.2881008861591474</v>
      </c>
      <c r="P201" s="387" t="s">
        <v>112</v>
      </c>
      <c r="Q201" s="390">
        <v>-5.457982584366786E-3</v>
      </c>
      <c r="R201" s="387">
        <v>8.8108319826815037E-2</v>
      </c>
      <c r="S201" s="388">
        <v>-0.30251794229440371</v>
      </c>
      <c r="T201" s="389" t="s">
        <v>112</v>
      </c>
      <c r="U201" s="387">
        <v>-1.7957318877777213</v>
      </c>
      <c r="V201" s="387">
        <v>0.14432088937874615</v>
      </c>
      <c r="W201" s="387">
        <v>-1.2612605219772262</v>
      </c>
      <c r="X201" s="387" t="s">
        <v>112</v>
      </c>
      <c r="Y201" s="390">
        <v>-3.1310897611886164E-2</v>
      </c>
      <c r="Z201" s="387">
        <v>3.0068479591709593E-2</v>
      </c>
      <c r="AA201" s="388">
        <v>-0.18497593197104906</v>
      </c>
      <c r="AB201" s="389" t="s">
        <v>112</v>
      </c>
      <c r="AC201" s="387">
        <v>-4.0189280570023964</v>
      </c>
      <c r="AD201" s="387">
        <v>3.822376969725393E-3</v>
      </c>
      <c r="AE201" s="387">
        <v>-0.29368056684246302</v>
      </c>
      <c r="AF201" s="388" t="s">
        <v>112</v>
      </c>
      <c r="AG201" s="387">
        <v>1.5060874144007601E-2</v>
      </c>
      <c r="AH201" s="387">
        <v>5.3295025094073092E-2</v>
      </c>
      <c r="AI201" s="388">
        <v>-0.10934684326948579</v>
      </c>
      <c r="AJ201" s="387" t="s">
        <v>112</v>
      </c>
      <c r="AK201" s="387">
        <v>-0.49039414408994003</v>
      </c>
      <c r="AL201" s="387">
        <v>-0.43811976453760892</v>
      </c>
      <c r="AM201" s="387">
        <v>7.2978250693864891E-2</v>
      </c>
      <c r="AN201" s="387" t="s">
        <v>112</v>
      </c>
    </row>
    <row r="202" spans="2:40" ht="13.5" x14ac:dyDescent="0.25">
      <c r="B202" s="194"/>
      <c r="C202" s="208"/>
      <c r="D202" s="208" t="s">
        <v>291</v>
      </c>
      <c r="E202" s="391"/>
      <c r="F202" s="208"/>
      <c r="G202" s="208"/>
      <c r="H202" s="208"/>
      <c r="I202" s="392">
        <v>-574073.64999999991</v>
      </c>
      <c r="J202" s="392">
        <v>-484768.91999999993</v>
      </c>
      <c r="K202" s="393">
        <v>-89304.729999999981</v>
      </c>
      <c r="L202" s="210">
        <v>0</v>
      </c>
      <c r="M202" s="210">
        <v>-149545</v>
      </c>
      <c r="N202" s="210">
        <v>60240.270000000004</v>
      </c>
      <c r="O202" s="210">
        <v>0</v>
      </c>
      <c r="P202" s="394">
        <v>0</v>
      </c>
      <c r="Q202" s="212">
        <v>-142854.66999999998</v>
      </c>
      <c r="R202" s="210">
        <v>-135966.31</v>
      </c>
      <c r="S202" s="211">
        <v>-6888.3600000000006</v>
      </c>
      <c r="T202" s="210">
        <v>0</v>
      </c>
      <c r="U202" s="210">
        <v>5255</v>
      </c>
      <c r="V202" s="210">
        <v>-12143.36</v>
      </c>
      <c r="W202" s="210">
        <v>0</v>
      </c>
      <c r="X202" s="210">
        <v>0</v>
      </c>
      <c r="Y202" s="212">
        <v>-223178.90000000002</v>
      </c>
      <c r="Z202" s="210">
        <v>-68378.899999999994</v>
      </c>
      <c r="AA202" s="211">
        <v>-154800</v>
      </c>
      <c r="AB202" s="210">
        <v>0</v>
      </c>
      <c r="AC202" s="210">
        <v>-154800</v>
      </c>
      <c r="AD202" s="210">
        <v>0</v>
      </c>
      <c r="AE202" s="210">
        <v>0</v>
      </c>
      <c r="AF202" s="211">
        <v>0</v>
      </c>
      <c r="AG202" s="210">
        <v>-208040.08000000002</v>
      </c>
      <c r="AH202" s="210">
        <v>-280423.71000000002</v>
      </c>
      <c r="AI202" s="211">
        <v>72383.63</v>
      </c>
      <c r="AJ202" s="210">
        <v>0</v>
      </c>
      <c r="AK202" s="210">
        <v>0</v>
      </c>
      <c r="AL202" s="210">
        <v>72383.63</v>
      </c>
      <c r="AM202" s="210">
        <v>0</v>
      </c>
      <c r="AN202" s="210">
        <v>0</v>
      </c>
    </row>
    <row r="203" spans="2:40" ht="13.5" x14ac:dyDescent="0.25">
      <c r="B203" s="194"/>
      <c r="C203" s="395"/>
      <c r="D203" s="395"/>
      <c r="E203" s="395" t="s">
        <v>292</v>
      </c>
      <c r="F203" s="395"/>
      <c r="G203" s="395"/>
      <c r="H203" s="395"/>
      <c r="I203" s="226">
        <v>357927.17000000004</v>
      </c>
      <c r="J203" s="226">
        <v>266323.54000000004</v>
      </c>
      <c r="K203" s="229">
        <v>91603.63</v>
      </c>
      <c r="L203" s="396">
        <v>0</v>
      </c>
      <c r="M203" s="397">
        <v>19220</v>
      </c>
      <c r="N203" s="397">
        <v>72383.63</v>
      </c>
      <c r="O203" s="397">
        <v>0</v>
      </c>
      <c r="P203" s="398">
        <v>0</v>
      </c>
      <c r="Q203" s="399">
        <v>65531.31</v>
      </c>
      <c r="R203" s="400">
        <v>46311.31</v>
      </c>
      <c r="S203" s="229">
        <v>19220</v>
      </c>
      <c r="T203" s="400">
        <v>0</v>
      </c>
      <c r="U203" s="400">
        <v>19220</v>
      </c>
      <c r="V203" s="400">
        <v>0</v>
      </c>
      <c r="W203" s="400">
        <v>0</v>
      </c>
      <c r="X203" s="400">
        <v>0</v>
      </c>
      <c r="Y203" s="399">
        <v>45669.490000000005</v>
      </c>
      <c r="Z203" s="400">
        <v>45669.490000000005</v>
      </c>
      <c r="AA203" s="229">
        <v>0</v>
      </c>
      <c r="AB203" s="400">
        <v>0</v>
      </c>
      <c r="AC203" s="400">
        <v>0</v>
      </c>
      <c r="AD203" s="400">
        <v>0</v>
      </c>
      <c r="AE203" s="400">
        <v>0</v>
      </c>
      <c r="AF203" s="401">
        <v>0</v>
      </c>
      <c r="AG203" s="400">
        <v>246726.37</v>
      </c>
      <c r="AH203" s="400">
        <v>174342.74</v>
      </c>
      <c r="AI203" s="229">
        <v>72383.63</v>
      </c>
      <c r="AJ203" s="400">
        <v>0</v>
      </c>
      <c r="AK203" s="400">
        <v>0</v>
      </c>
      <c r="AL203" s="400">
        <v>72383.63</v>
      </c>
      <c r="AM203" s="400">
        <v>0</v>
      </c>
      <c r="AN203" s="400">
        <v>0</v>
      </c>
    </row>
    <row r="204" spans="2:40" ht="13.5" x14ac:dyDescent="0.25">
      <c r="B204" s="194"/>
      <c r="C204" s="191"/>
      <c r="D204" s="191"/>
      <c r="E204" s="191"/>
      <c r="F204" s="191" t="s">
        <v>293</v>
      </c>
      <c r="G204" s="191"/>
      <c r="H204" s="191"/>
      <c r="I204" s="334">
        <v>137256.38</v>
      </c>
      <c r="J204" s="332">
        <v>137256.38</v>
      </c>
      <c r="K204" s="333">
        <v>0</v>
      </c>
      <c r="L204" s="228">
        <v>0</v>
      </c>
      <c r="M204" s="226">
        <v>0</v>
      </c>
      <c r="N204" s="226">
        <v>0</v>
      </c>
      <c r="O204" s="226">
        <v>0</v>
      </c>
      <c r="P204" s="296">
        <v>0</v>
      </c>
      <c r="Q204" s="237">
        <v>46186.119999999995</v>
      </c>
      <c r="R204" s="238">
        <v>46186.119999999995</v>
      </c>
      <c r="S204" s="333">
        <v>0</v>
      </c>
      <c r="T204" s="238">
        <v>0</v>
      </c>
      <c r="U204" s="238">
        <v>0</v>
      </c>
      <c r="V204" s="238">
        <v>0</v>
      </c>
      <c r="W204" s="238">
        <v>0</v>
      </c>
      <c r="X204" s="238">
        <v>0</v>
      </c>
      <c r="Y204" s="237">
        <v>45556.160000000003</v>
      </c>
      <c r="Z204" s="238">
        <v>45556.160000000003</v>
      </c>
      <c r="AA204" s="333">
        <v>0</v>
      </c>
      <c r="AB204" s="238">
        <v>0</v>
      </c>
      <c r="AC204" s="238">
        <v>0</v>
      </c>
      <c r="AD204" s="238">
        <v>0</v>
      </c>
      <c r="AE204" s="238">
        <v>0</v>
      </c>
      <c r="AF204" s="239">
        <v>0</v>
      </c>
      <c r="AG204" s="238">
        <v>45514.1</v>
      </c>
      <c r="AH204" s="238">
        <v>45514.1</v>
      </c>
      <c r="AI204" s="333">
        <v>0</v>
      </c>
      <c r="AJ204" s="238">
        <v>0</v>
      </c>
      <c r="AK204" s="238">
        <v>0</v>
      </c>
      <c r="AL204" s="238">
        <v>0</v>
      </c>
      <c r="AM204" s="238">
        <v>0</v>
      </c>
      <c r="AN204" s="238">
        <v>0</v>
      </c>
    </row>
    <row r="205" spans="2:40" ht="13.5" x14ac:dyDescent="0.25">
      <c r="B205" s="194"/>
      <c r="C205" s="191"/>
      <c r="D205" s="191"/>
      <c r="E205" s="191"/>
      <c r="F205" s="191"/>
      <c r="G205" s="191" t="s">
        <v>294</v>
      </c>
      <c r="H205" s="191"/>
      <c r="I205" s="228">
        <v>90118.88</v>
      </c>
      <c r="J205" s="226">
        <v>90118.88</v>
      </c>
      <c r="K205" s="229">
        <v>0</v>
      </c>
      <c r="L205" s="228">
        <v>0</v>
      </c>
      <c r="M205" s="226">
        <v>0</v>
      </c>
      <c r="N205" s="226">
        <v>0</v>
      </c>
      <c r="O205" s="226">
        <v>0</v>
      </c>
      <c r="P205" s="296">
        <v>0</v>
      </c>
      <c r="Q205" s="228">
        <v>30347.64</v>
      </c>
      <c r="R205" s="238">
        <v>30347.64</v>
      </c>
      <c r="S205" s="239">
        <v>0</v>
      </c>
      <c r="T205" s="238"/>
      <c r="U205" s="238"/>
      <c r="V205" s="238"/>
      <c r="W205" s="238"/>
      <c r="X205" s="238"/>
      <c r="Y205" s="228">
        <v>29919.65</v>
      </c>
      <c r="Z205" s="238">
        <v>29919.65</v>
      </c>
      <c r="AA205" s="239">
        <v>0</v>
      </c>
      <c r="AB205" s="238"/>
      <c r="AC205" s="238"/>
      <c r="AD205" s="238"/>
      <c r="AE205" s="238"/>
      <c r="AF205" s="239"/>
      <c r="AG205" s="226">
        <v>29851.59</v>
      </c>
      <c r="AH205" s="238">
        <v>29851.59</v>
      </c>
      <c r="AI205" s="239">
        <v>0</v>
      </c>
      <c r="AJ205" s="238"/>
      <c r="AK205" s="238"/>
      <c r="AL205" s="238"/>
      <c r="AM205" s="238"/>
      <c r="AN205" s="238"/>
    </row>
    <row r="206" spans="2:40" ht="13.5" x14ac:dyDescent="0.25">
      <c r="B206" s="194"/>
      <c r="C206" s="191"/>
      <c r="D206" s="191"/>
      <c r="E206" s="191"/>
      <c r="F206" s="191"/>
      <c r="G206" s="191" t="s">
        <v>295</v>
      </c>
      <c r="H206" s="191"/>
      <c r="I206" s="228">
        <v>47137.5</v>
      </c>
      <c r="J206" s="226">
        <v>47137.5</v>
      </c>
      <c r="K206" s="229">
        <v>0</v>
      </c>
      <c r="L206" s="228">
        <v>0</v>
      </c>
      <c r="M206" s="226">
        <v>0</v>
      </c>
      <c r="N206" s="226">
        <v>0</v>
      </c>
      <c r="O206" s="226">
        <v>0</v>
      </c>
      <c r="P206" s="296">
        <v>0</v>
      </c>
      <c r="Q206" s="228">
        <v>15838.48</v>
      </c>
      <c r="R206" s="238">
        <v>15838.48</v>
      </c>
      <c r="S206" s="239">
        <v>0</v>
      </c>
      <c r="T206" s="238"/>
      <c r="U206" s="238"/>
      <c r="V206" s="238"/>
      <c r="W206" s="238"/>
      <c r="X206" s="238"/>
      <c r="Y206" s="228">
        <v>15636.51</v>
      </c>
      <c r="Z206" s="238">
        <v>15636.51</v>
      </c>
      <c r="AA206" s="239">
        <v>0</v>
      </c>
      <c r="AB206" s="238"/>
      <c r="AC206" s="238"/>
      <c r="AD206" s="238"/>
      <c r="AE206" s="238"/>
      <c r="AF206" s="239"/>
      <c r="AG206" s="226">
        <v>15662.51</v>
      </c>
      <c r="AH206" s="238">
        <v>15662.51</v>
      </c>
      <c r="AI206" s="239">
        <v>0</v>
      </c>
      <c r="AJ206" s="238"/>
      <c r="AK206" s="238"/>
      <c r="AL206" s="238"/>
      <c r="AM206" s="238"/>
      <c r="AN206" s="238"/>
    </row>
    <row r="207" spans="2:40" ht="13.5" x14ac:dyDescent="0.25">
      <c r="B207" s="194"/>
      <c r="C207" s="191"/>
      <c r="D207" s="191"/>
      <c r="E207" s="191"/>
      <c r="F207" s="191" t="s">
        <v>296</v>
      </c>
      <c r="G207" s="191"/>
      <c r="H207" s="191"/>
      <c r="I207" s="228">
        <v>220670.79</v>
      </c>
      <c r="J207" s="226">
        <v>129067.16</v>
      </c>
      <c r="K207" s="229">
        <v>91603.63</v>
      </c>
      <c r="L207" s="228">
        <v>0</v>
      </c>
      <c r="M207" s="226">
        <v>19220</v>
      </c>
      <c r="N207" s="226">
        <v>72383.63</v>
      </c>
      <c r="O207" s="226">
        <v>0</v>
      </c>
      <c r="P207" s="296">
        <v>0</v>
      </c>
      <c r="Q207" s="228">
        <v>19345.189999999999</v>
      </c>
      <c r="R207" s="238">
        <v>125.19</v>
      </c>
      <c r="S207" s="239">
        <v>19220</v>
      </c>
      <c r="T207" s="238"/>
      <c r="U207" s="238">
        <v>19220</v>
      </c>
      <c r="V207" s="238"/>
      <c r="W207" s="238"/>
      <c r="X207" s="238"/>
      <c r="Y207" s="228">
        <v>113.33</v>
      </c>
      <c r="Z207" s="238">
        <v>113.33</v>
      </c>
      <c r="AA207" s="239">
        <v>0</v>
      </c>
      <c r="AB207" s="238"/>
      <c r="AC207" s="238"/>
      <c r="AD207" s="238"/>
      <c r="AE207" s="238"/>
      <c r="AF207" s="239"/>
      <c r="AG207" s="226">
        <v>201212.27000000002</v>
      </c>
      <c r="AH207" s="238">
        <v>128828.64</v>
      </c>
      <c r="AI207" s="239">
        <v>72383.63</v>
      </c>
      <c r="AJ207" s="238"/>
      <c r="AK207" s="226"/>
      <c r="AL207" s="238">
        <v>72383.63</v>
      </c>
      <c r="AM207" s="238"/>
      <c r="AN207" s="238"/>
    </row>
    <row r="208" spans="2:40" ht="13.5" x14ac:dyDescent="0.25">
      <c r="B208" s="194"/>
      <c r="C208" s="395"/>
      <c r="D208" s="402"/>
      <c r="E208" s="395" t="s">
        <v>276</v>
      </c>
      <c r="F208" s="395"/>
      <c r="G208" s="395"/>
      <c r="H208" s="395"/>
      <c r="I208" s="343">
        <v>932000.82</v>
      </c>
      <c r="J208" s="231">
        <v>751092.46</v>
      </c>
      <c r="K208" s="403">
        <v>180908.36</v>
      </c>
      <c r="L208" s="343">
        <v>0</v>
      </c>
      <c r="M208" s="231">
        <v>168765</v>
      </c>
      <c r="N208" s="231">
        <v>12143.36</v>
      </c>
      <c r="O208" s="231">
        <v>0</v>
      </c>
      <c r="P208" s="344">
        <v>0</v>
      </c>
      <c r="Q208" s="228">
        <v>208385.97999999998</v>
      </c>
      <c r="R208" s="226">
        <v>182277.62</v>
      </c>
      <c r="S208" s="239">
        <v>26108.36</v>
      </c>
      <c r="T208" s="226">
        <v>0</v>
      </c>
      <c r="U208" s="226">
        <v>13965</v>
      </c>
      <c r="V208" s="226">
        <v>12143.36</v>
      </c>
      <c r="W208" s="226">
        <v>0</v>
      </c>
      <c r="X208" s="226">
        <v>0</v>
      </c>
      <c r="Y208" s="228">
        <v>268848.39</v>
      </c>
      <c r="Z208" s="226">
        <v>114048.39</v>
      </c>
      <c r="AA208" s="239">
        <v>154800</v>
      </c>
      <c r="AB208" s="226">
        <v>0</v>
      </c>
      <c r="AC208" s="226">
        <v>154800</v>
      </c>
      <c r="AD208" s="226">
        <v>0</v>
      </c>
      <c r="AE208" s="226">
        <v>0</v>
      </c>
      <c r="AF208" s="229">
        <v>0</v>
      </c>
      <c r="AG208" s="226">
        <v>454766.45</v>
      </c>
      <c r="AH208" s="226">
        <v>454766.45</v>
      </c>
      <c r="AI208" s="239">
        <v>0</v>
      </c>
      <c r="AJ208" s="343">
        <v>0</v>
      </c>
      <c r="AK208" s="226">
        <v>0</v>
      </c>
      <c r="AL208" s="226">
        <v>0</v>
      </c>
      <c r="AM208" s="226">
        <v>0</v>
      </c>
      <c r="AN208" s="226">
        <v>0</v>
      </c>
    </row>
    <row r="209" spans="2:40" ht="13.5" x14ac:dyDescent="0.25">
      <c r="B209" s="194"/>
      <c r="C209" s="191"/>
      <c r="D209" s="194"/>
      <c r="E209" s="191"/>
      <c r="F209" s="191" t="s">
        <v>297</v>
      </c>
      <c r="G209" s="191"/>
      <c r="H209" s="191"/>
      <c r="I209" s="226">
        <v>932000.82</v>
      </c>
      <c r="J209" s="226">
        <v>751092.46</v>
      </c>
      <c r="K209" s="229">
        <v>180908.36</v>
      </c>
      <c r="L209" s="228">
        <v>0</v>
      </c>
      <c r="M209" s="226">
        <v>168765</v>
      </c>
      <c r="N209" s="226">
        <v>12143.36</v>
      </c>
      <c r="O209" s="226">
        <v>0</v>
      </c>
      <c r="P209" s="296">
        <v>0</v>
      </c>
      <c r="Q209" s="235">
        <v>208385.97999999998</v>
      </c>
      <c r="R209" s="236">
        <v>182277.62</v>
      </c>
      <c r="S209" s="261">
        <v>26108.36</v>
      </c>
      <c r="T209" s="236"/>
      <c r="U209" s="236">
        <v>13965</v>
      </c>
      <c r="V209" s="236">
        <v>12143.36</v>
      </c>
      <c r="W209" s="236"/>
      <c r="X209" s="236"/>
      <c r="Y209" s="235">
        <v>268848.39</v>
      </c>
      <c r="Z209" s="236">
        <v>114048.39</v>
      </c>
      <c r="AA209" s="261">
        <v>154800</v>
      </c>
      <c r="AB209" s="236"/>
      <c r="AC209" s="236">
        <v>154800</v>
      </c>
      <c r="AD209" s="236"/>
      <c r="AE209" s="236"/>
      <c r="AF209" s="261"/>
      <c r="AG209" s="236">
        <v>454766.45</v>
      </c>
      <c r="AH209" s="236">
        <v>454766.45</v>
      </c>
      <c r="AI209" s="261">
        <v>0</v>
      </c>
      <c r="AJ209" s="226"/>
      <c r="AK209" s="236"/>
      <c r="AL209" s="236"/>
      <c r="AM209" s="236"/>
      <c r="AN209" s="236"/>
    </row>
    <row r="210" spans="2:40" ht="13.5" x14ac:dyDescent="0.25">
      <c r="B210" s="194"/>
      <c r="C210" s="191"/>
      <c r="D210" s="194"/>
      <c r="E210" s="191"/>
      <c r="F210" s="191" t="s">
        <v>298</v>
      </c>
      <c r="G210" s="191"/>
      <c r="H210" s="191"/>
      <c r="I210" s="226">
        <v>0</v>
      </c>
      <c r="J210" s="226">
        <v>0</v>
      </c>
      <c r="K210" s="229">
        <v>0</v>
      </c>
      <c r="L210" s="228">
        <v>0</v>
      </c>
      <c r="M210" s="226">
        <v>0</v>
      </c>
      <c r="N210" s="226">
        <v>0</v>
      </c>
      <c r="O210" s="226">
        <v>0</v>
      </c>
      <c r="P210" s="296">
        <v>0</v>
      </c>
      <c r="Q210" s="228">
        <v>0</v>
      </c>
      <c r="R210" s="226">
        <v>0</v>
      </c>
      <c r="S210" s="229">
        <v>0</v>
      </c>
      <c r="T210" s="226"/>
      <c r="U210" s="226"/>
      <c r="V210" s="226"/>
      <c r="W210" s="226"/>
      <c r="X210" s="226"/>
      <c r="Y210" s="228">
        <v>0</v>
      </c>
      <c r="Z210" s="226"/>
      <c r="AA210" s="229">
        <v>0</v>
      </c>
      <c r="AB210" s="226"/>
      <c r="AC210" s="226"/>
      <c r="AD210" s="226"/>
      <c r="AE210" s="226"/>
      <c r="AF210" s="229"/>
      <c r="AG210" s="226">
        <v>0</v>
      </c>
      <c r="AH210" s="226"/>
      <c r="AI210" s="229">
        <v>0</v>
      </c>
      <c r="AJ210" s="226"/>
      <c r="AK210" s="226"/>
      <c r="AL210" s="226"/>
      <c r="AM210" s="226"/>
      <c r="AN210" s="226"/>
    </row>
    <row r="211" spans="2:40" ht="13.5" x14ac:dyDescent="0.25">
      <c r="B211" s="213"/>
      <c r="C211" s="208"/>
      <c r="D211" s="391"/>
      <c r="E211" s="208" t="s">
        <v>299</v>
      </c>
      <c r="F211" s="208"/>
      <c r="G211" s="208"/>
      <c r="H211" s="208"/>
      <c r="I211" s="392">
        <v>-30597.14</v>
      </c>
      <c r="J211" s="392">
        <v>-30597.14</v>
      </c>
      <c r="K211" s="404">
        <v>0</v>
      </c>
      <c r="L211" s="210"/>
      <c r="M211" s="210"/>
      <c r="N211" s="210">
        <v>0</v>
      </c>
      <c r="O211" s="210"/>
      <c r="P211" s="210"/>
      <c r="Q211" s="212">
        <v>0</v>
      </c>
      <c r="R211" s="210">
        <v>0</v>
      </c>
      <c r="S211" s="211">
        <v>0</v>
      </c>
      <c r="T211" s="210"/>
      <c r="U211" s="210"/>
      <c r="V211" s="210"/>
      <c r="W211" s="210"/>
      <c r="X211" s="210"/>
      <c r="Y211" s="212">
        <v>0</v>
      </c>
      <c r="Z211" s="210"/>
      <c r="AA211" s="211">
        <v>0</v>
      </c>
      <c r="AB211" s="210"/>
      <c r="AC211" s="210"/>
      <c r="AD211" s="210"/>
      <c r="AE211" s="210"/>
      <c r="AF211" s="211"/>
      <c r="AG211" s="210">
        <v>-30597.14</v>
      </c>
      <c r="AH211" s="210">
        <v>-30597.14</v>
      </c>
      <c r="AI211" s="211">
        <v>0</v>
      </c>
      <c r="AJ211" s="210"/>
      <c r="AK211" s="210"/>
      <c r="AL211" s="210"/>
      <c r="AM211" s="210"/>
      <c r="AN211" s="210"/>
    </row>
    <row r="212" spans="2:40" ht="13.5" x14ac:dyDescent="0.25">
      <c r="B212" s="405"/>
      <c r="C212" s="406"/>
      <c r="D212" s="407"/>
      <c r="E212" s="407" t="s">
        <v>300</v>
      </c>
      <c r="F212" s="407"/>
      <c r="G212" s="407"/>
      <c r="H212" s="408"/>
      <c r="I212" s="409">
        <v>-808264.32940826553</v>
      </c>
      <c r="J212" s="409">
        <v>1353273.8785056092</v>
      </c>
      <c r="K212" s="410">
        <v>-2161538.2079138746</v>
      </c>
      <c r="L212" s="409">
        <v>-1487879.62</v>
      </c>
      <c r="M212" s="409">
        <v>-3335297.1993020857</v>
      </c>
      <c r="N212" s="409">
        <v>-3105975.9699955289</v>
      </c>
      <c r="O212" s="409">
        <v>-7623102.7409903118</v>
      </c>
      <c r="P212" s="409">
        <v>520434.24237404868</v>
      </c>
      <c r="Q212" s="411">
        <v>-218833.05794297031</v>
      </c>
      <c r="R212" s="409">
        <v>796767.09022895992</v>
      </c>
      <c r="S212" s="410">
        <v>-1015600.1481719302</v>
      </c>
      <c r="T212" s="409">
        <v>-41241.69233951412</v>
      </c>
      <c r="U212" s="409">
        <v>-276566.60579095036</v>
      </c>
      <c r="V212" s="409">
        <v>326758.42248840601</v>
      </c>
      <c r="W212" s="409">
        <v>-1045831.1707730104</v>
      </c>
      <c r="X212" s="409">
        <v>21280.898243139207</v>
      </c>
      <c r="Y212" s="411">
        <v>-631602.1958143051</v>
      </c>
      <c r="Z212" s="409">
        <v>211888.99565738338</v>
      </c>
      <c r="AA212" s="410">
        <v>-843491.19147168845</v>
      </c>
      <c r="AB212" s="409">
        <v>-130471.95866048592</v>
      </c>
      <c r="AC212" s="409">
        <v>-402861.18062653142</v>
      </c>
      <c r="AD212" s="409">
        <v>9413.1308524181441</v>
      </c>
      <c r="AE212" s="409">
        <v>-352057.86716799892</v>
      </c>
      <c r="AF212" s="410">
        <v>32486.684130909503</v>
      </c>
      <c r="AG212" s="409">
        <v>42170.924349023728</v>
      </c>
      <c r="AH212" s="409">
        <v>344617.79261928104</v>
      </c>
      <c r="AI212" s="410">
        <v>-302446.86827025731</v>
      </c>
      <c r="AJ212" s="409">
        <v>7150.2009999999791</v>
      </c>
      <c r="AK212" s="409">
        <v>-122991.28288460376</v>
      </c>
      <c r="AL212" s="409">
        <v>-748410.93333635223</v>
      </c>
      <c r="AM212" s="409">
        <v>95138.486950698192</v>
      </c>
      <c r="AN212" s="409">
        <v>466666.66</v>
      </c>
    </row>
    <row r="213" spans="2:40" ht="13.5" x14ac:dyDescent="0.25">
      <c r="B213" s="317"/>
      <c r="C213" s="412"/>
      <c r="D213" s="412"/>
      <c r="E213" s="412"/>
      <c r="F213" s="412"/>
      <c r="G213" s="412"/>
      <c r="H213" s="412"/>
      <c r="I213" s="412">
        <v>-1.9454463282447657E-2</v>
      </c>
      <c r="J213" s="412">
        <v>4.3568205329001318E-2</v>
      </c>
      <c r="K213" s="413">
        <v>-0.20614682979058666</v>
      </c>
      <c r="L213" s="414" t="s">
        <v>112</v>
      </c>
      <c r="M213" s="412">
        <v>-7.104482327171783</v>
      </c>
      <c r="N213" s="412">
        <v>-0.46466472933240188</v>
      </c>
      <c r="O213" s="412">
        <v>-2.2881008861591474</v>
      </c>
      <c r="P213" s="412" t="s">
        <v>112</v>
      </c>
      <c r="Q213" s="415">
        <v>-1.5720088981526829E-2</v>
      </c>
      <c r="R213" s="415">
        <v>7.5264603579266509E-2</v>
      </c>
      <c r="S213" s="416">
        <v>-0.30458379749448977</v>
      </c>
      <c r="T213" s="414" t="s">
        <v>112</v>
      </c>
      <c r="U213" s="412">
        <v>0</v>
      </c>
      <c r="V213" s="412">
        <v>0.13914965509848312</v>
      </c>
      <c r="W213" s="412">
        <v>-1.2612605219772262</v>
      </c>
      <c r="X213" s="412">
        <v>0</v>
      </c>
      <c r="Y213" s="415">
        <v>-4.8420430194010315E-2</v>
      </c>
      <c r="Z213" s="415">
        <v>2.2732464332698293E-2</v>
      </c>
      <c r="AA213" s="416">
        <v>-0.2265537459807343</v>
      </c>
      <c r="AB213" s="414" t="s">
        <v>112</v>
      </c>
      <c r="AC213" s="412">
        <v>-6.5268983151969628</v>
      </c>
      <c r="AD213" s="412">
        <v>3.822376969725393E-3</v>
      </c>
      <c r="AE213" s="412">
        <v>-0.29368056684246302</v>
      </c>
      <c r="AF213" s="412"/>
      <c r="AG213" s="415">
        <v>2.8920350089907038E-3</v>
      </c>
      <c r="AH213" s="415">
        <v>3.0896775308931052E-2</v>
      </c>
      <c r="AI213" s="416">
        <v>-8.8230841552945388E-2</v>
      </c>
      <c r="AJ213" s="412" t="e">
        <v>#DIV/0!</v>
      </c>
      <c r="AK213" s="412">
        <v>-0.49039414408994003</v>
      </c>
      <c r="AL213" s="412">
        <v>-0.39948317951556378</v>
      </c>
      <c r="AM213" s="412">
        <v>7.2978250693864891E-2</v>
      </c>
      <c r="AN213" s="412"/>
    </row>
  </sheetData>
  <mergeCells count="4">
    <mergeCell ref="I2:P2"/>
    <mergeCell ref="Q2:X2"/>
    <mergeCell ref="Y2:AF2"/>
    <mergeCell ref="AG2:AN2"/>
  </mergeCells>
  <phoneticPr fontId="8" type="noConversion"/>
  <conditionalFormatting sqref="Q104">
    <cfRule type="containsErrors" dxfId="0" priority="1">
      <formula>ISERROR(Q104)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3</vt:i4>
      </vt:variant>
    </vt:vector>
  </HeadingPairs>
  <TitlesOfParts>
    <vt:vector size="16" baseType="lpstr">
      <vt:lpstr>1. 경신전선 요약_PPT</vt:lpstr>
      <vt:lpstr>1. 경신전선 요약_PPT_1월임시</vt:lpstr>
      <vt:lpstr>1. 경신전선 요약</vt:lpstr>
      <vt:lpstr>2. 손익계산서</vt:lpstr>
      <vt:lpstr>2. 손익계산서 (2)</vt:lpstr>
      <vt:lpstr>3. 손익계산서 월별실적</vt:lpstr>
      <vt:lpstr>Sheet1</vt:lpstr>
      <vt:lpstr>Sheet2</vt:lpstr>
      <vt:lpstr>4.(전선) 구리 수율</vt:lpstr>
      <vt:lpstr>6.(전선)PA데이터_5월</vt:lpstr>
      <vt:lpstr>5. 수익성 분석 GP </vt:lpstr>
      <vt:lpstr>(계획)손익계산서 월별계획</vt:lpstr>
      <vt:lpstr>실적(1월-3월)_참조기준</vt:lpstr>
      <vt:lpstr>'1. 경신전선 요약'!Print_Area</vt:lpstr>
      <vt:lpstr>'1. 경신전선 요약_PPT'!Print_Area</vt:lpstr>
      <vt:lpstr>'1. 경신전선 요약_PPT_1월임시'!Print_Area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김창연</dc:creator>
  <cp:lastModifiedBy>고태호 선임매니저 [Tae Ho Goh]</cp:lastModifiedBy>
  <cp:lastPrinted>2025-05-12T03:56:39Z</cp:lastPrinted>
  <dcterms:created xsi:type="dcterms:W3CDTF">2025-05-11T20:51:20Z</dcterms:created>
  <dcterms:modified xsi:type="dcterms:W3CDTF">2026-03-20T03:19:55Z</dcterms:modified>
</cp:coreProperties>
</file>