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628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SmartOrg\03_경영_보고\"/>
    </mc:Choice>
  </mc:AlternateContent>
  <x:bookViews>
    <x:workbookView xWindow="-28920" yWindow="-120" windowWidth="29040" windowHeight="17520" tabRatio="792" activeTab="1" xr2:uid="{00000000-000D-0000-FFFF-FFFF00000000}"/>
  </x:bookViews>
  <x:sheets>
    <x:sheet name="환율기준" sheetId="13" r:id="rId1"/>
    <x:sheet name="사업계획" sheetId="6" r:id="rId2"/>
    <x:sheet name="노무비,급여(PLN)" sheetId="2" r:id="rId3"/>
    <x:sheet name="임대용역(PLN)" sheetId="3" r:id="rId4"/>
    <x:sheet name="기계경비(PLN)" sheetId="4" r:id="rId5"/>
    <x:sheet name="운반비(PLN),통관물류(PLN)" sheetId="7" r:id="rId6"/>
    <x:sheet name="인원급여리스트(PLN)" sheetId="9" r:id="rId7"/>
    <x:sheet name="관세(PLN)" sheetId="8" r:id="rId8"/>
    <x:sheet name="판매가,매입가" sheetId="10" r:id="rId9"/>
  </x:sheet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calcChain xmlns="http://schemas.openxmlformats.org/spreadsheetml/2006/main">
  <c r="J86" i="6" l="1"/>
  <c r="I86" i="6"/>
  <c r="H86" i="6"/>
  <c r="G86" i="6"/>
  <c r="F86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12" i="6"/>
  <c r="J26" i="8"/>
  <c r="K26" i="8"/>
  <c r="L26" i="8"/>
  <c r="M26" i="8"/>
  <c r="N26" i="8"/>
  <c r="O26" i="8"/>
  <c r="P26" i="8"/>
  <c r="J27" i="8"/>
  <c r="K27" i="8"/>
  <c r="L27" i="8"/>
  <c r="M27" i="8"/>
  <c r="N27" i="8"/>
  <c r="O27" i="8"/>
  <c r="P27" i="8"/>
  <c r="J28" i="8"/>
  <c r="K28" i="8"/>
  <c r="L28" i="8"/>
  <c r="M28" i="8"/>
  <c r="N28" i="8"/>
  <c r="O28" i="8"/>
  <c r="P28" i="8"/>
  <c r="J29" i="8"/>
  <c r="K29" i="8"/>
  <c r="L29" i="8"/>
  <c r="M29" i="8"/>
  <c r="N29" i="8"/>
  <c r="O29" i="8"/>
  <c r="P29" i="8"/>
  <c r="E30" i="8"/>
  <c r="F30" i="8"/>
  <c r="G30" i="8"/>
  <c r="H30" i="8"/>
  <c r="I30" i="8"/>
  <c r="E31" i="8"/>
  <c r="F31" i="8"/>
  <c r="G31" i="8"/>
  <c r="H31" i="8"/>
  <c r="I31" i="8"/>
  <c r="E32" i="8"/>
  <c r="F32" i="8"/>
  <c r="G32" i="8"/>
  <c r="H32" i="8"/>
  <c r="I32" i="8"/>
  <c r="E33" i="8"/>
  <c r="F33" i="8"/>
  <c r="G33" i="8"/>
  <c r="H33" i="8"/>
  <c r="I33" i="8"/>
  <c r="E34" i="8"/>
  <c r="F34" i="8"/>
  <c r="G34" i="8"/>
  <c r="H34" i="8"/>
  <c r="I34" i="8"/>
  <c r="J25" i="8"/>
  <c r="K25" i="8"/>
  <c r="L25" i="8"/>
  <c r="M25" i="8"/>
  <c r="N25" i="8"/>
  <c r="O25" i="8"/>
  <c r="P25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" i="8"/>
  <c r="I207" i="6"/>
  <c r="J207" i="6"/>
  <c r="K207" i="6"/>
  <c r="L207" i="6"/>
  <c r="M207" i="6"/>
  <c r="N207" i="6"/>
  <c r="O207" i="6"/>
  <c r="P207" i="6"/>
  <c r="Q207" i="6"/>
  <c r="G207" i="6"/>
  <c r="H207" i="6"/>
  <c r="F207" i="6"/>
  <c r="D11" i="3"/>
  <c r="E11" i="3"/>
  <c r="F11" i="3"/>
  <c r="G11" i="3"/>
  <c r="H11" i="3"/>
  <c r="I11" i="3"/>
  <c r="J11" i="3"/>
  <c r="K11" i="3"/>
  <c r="L11" i="3"/>
  <c r="M11" i="3"/>
  <c r="N11" i="3"/>
  <c r="C11" i="3"/>
  <c r="D22" i="3"/>
  <c r="D6" i="3" s="1"/>
  <c r="E22" i="3"/>
  <c r="E6" i="3" s="1"/>
  <c r="F22" i="3"/>
  <c r="F6" i="3" s="1"/>
  <c r="G22" i="3"/>
  <c r="G6" i="3" s="1"/>
  <c r="H22" i="3"/>
  <c r="H6" i="3" s="1"/>
  <c r="I22" i="3"/>
  <c r="I6" i="3" s="1"/>
  <c r="J22" i="3"/>
  <c r="J6" i="3" s="1"/>
  <c r="K22" i="3"/>
  <c r="K6" i="3" s="1"/>
  <c r="L22" i="3"/>
  <c r="L6" i="3" s="1"/>
  <c r="M22" i="3"/>
  <c r="M6" i="3" s="1"/>
  <c r="N22" i="3"/>
  <c r="N6" i="3" s="1"/>
  <c r="C22" i="3"/>
  <c r="C6" i="3" s="1"/>
  <c r="L15" i="6"/>
  <c r="L17" i="6" s="1"/>
  <c r="M15" i="6"/>
  <c r="M17" i="6" s="1"/>
  <c r="N15" i="6"/>
  <c r="N17" i="6" s="1"/>
  <c r="N18" i="6" s="1"/>
  <c r="O15" i="6"/>
  <c r="P15" i="6"/>
  <c r="Q15" i="6"/>
  <c r="Q17" i="6" s="1"/>
  <c r="Q18" i="6" s="1"/>
  <c r="K15" i="6"/>
  <c r="R11" i="6"/>
  <c r="E11" i="6" s="1"/>
  <c r="R10" i="6"/>
  <c r="E10" i="6" s="1"/>
  <c r="R29" i="6"/>
  <c r="E29" i="6" s="1"/>
  <c r="R28" i="6"/>
  <c r="E28" i="6" s="1"/>
  <c r="R27" i="6"/>
  <c r="E27" i="6" s="1"/>
  <c r="R20" i="6"/>
  <c r="E20" i="6" s="1"/>
  <c r="R16" i="6"/>
  <c r="E16" i="6" s="1"/>
  <c r="R14" i="6"/>
  <c r="E14" i="6" s="1"/>
  <c r="R12" i="6"/>
  <c r="E12" i="6" s="1"/>
  <c r="R9" i="6"/>
  <c r="E9" i="6" s="1"/>
  <c r="M9" i="7"/>
  <c r="L9" i="7"/>
  <c r="K9" i="7"/>
  <c r="J9" i="7"/>
  <c r="I9" i="7"/>
  <c r="H9" i="7"/>
  <c r="G9" i="7"/>
  <c r="F9" i="7"/>
  <c r="E9" i="7"/>
  <c r="E91" i="6"/>
  <c r="E90" i="6"/>
  <c r="E89" i="6"/>
  <c r="E88" i="6"/>
  <c r="E87" i="6"/>
  <c r="E40" i="6"/>
  <c r="E39" i="6"/>
  <c r="E38" i="6"/>
  <c r="E37" i="6"/>
  <c r="E36" i="6"/>
  <c r="H14" i="10"/>
  <c r="H13" i="10"/>
  <c r="H12" i="10"/>
  <c r="H10" i="10"/>
  <c r="H9" i="10"/>
  <c r="I9" i="10" s="1"/>
  <c r="H11" i="10"/>
  <c r="F14" i="10"/>
  <c r="E14" i="10"/>
  <c r="F13" i="10"/>
  <c r="E13" i="10"/>
  <c r="F12" i="10"/>
  <c r="E12" i="10"/>
  <c r="F11" i="10"/>
  <c r="E11" i="10"/>
  <c r="F10" i="10"/>
  <c r="E10" i="10"/>
  <c r="F9" i="10"/>
  <c r="E9" i="10"/>
  <c r="N10" i="9"/>
  <c r="M10" i="9"/>
  <c r="L10" i="9"/>
  <c r="N7" i="9"/>
  <c r="M7" i="9"/>
  <c r="L7" i="9"/>
  <c r="L5" i="3"/>
  <c r="N5" i="3"/>
  <c r="M5" i="3"/>
  <c r="E5" i="3"/>
  <c r="O17" i="6" l="1"/>
  <c r="R15" i="6"/>
  <c r="E15" i="6" s="1"/>
  <c r="J124" i="6"/>
  <c r="J125" i="6"/>
  <c r="L124" i="6"/>
  <c r="M124" i="6"/>
  <c r="N124" i="6"/>
  <c r="O124" i="6"/>
  <c r="P124" i="6"/>
  <c r="Q124" i="6"/>
  <c r="L125" i="6"/>
  <c r="M125" i="6"/>
  <c r="N125" i="6"/>
  <c r="O125" i="6"/>
  <c r="P125" i="6"/>
  <c r="Q125" i="6"/>
  <c r="K125" i="6"/>
  <c r="K124" i="6"/>
  <c r="J127" i="6"/>
  <c r="K127" i="6"/>
  <c r="L127" i="6"/>
  <c r="M127" i="6"/>
  <c r="N127" i="6"/>
  <c r="O127" i="6"/>
  <c r="P127" i="6"/>
  <c r="Q127" i="6"/>
  <c r="J128" i="6"/>
  <c r="K128" i="6"/>
  <c r="L128" i="6"/>
  <c r="M128" i="6"/>
  <c r="N128" i="6"/>
  <c r="O128" i="6"/>
  <c r="P128" i="6"/>
  <c r="Q128" i="6"/>
  <c r="L118" i="6"/>
  <c r="M118" i="6"/>
  <c r="N118" i="6"/>
  <c r="O118" i="6"/>
  <c r="P118" i="6"/>
  <c r="Q118" i="6"/>
  <c r="N120" i="6"/>
  <c r="O120" i="6"/>
  <c r="Q120" i="6"/>
  <c r="N121" i="6"/>
  <c r="Q121" i="6"/>
  <c r="I132" i="6"/>
  <c r="I160" i="6" s="1"/>
  <c r="I180" i="6" s="1"/>
  <c r="G132" i="6"/>
  <c r="G160" i="6" s="1"/>
  <c r="G180" i="6" s="1"/>
  <c r="J132" i="6"/>
  <c r="J160" i="6" s="1"/>
  <c r="J180" i="6" s="1"/>
  <c r="L132" i="6"/>
  <c r="L160" i="6" s="1"/>
  <c r="L180" i="6" s="1"/>
  <c r="M132" i="6"/>
  <c r="M160" i="6" s="1"/>
  <c r="M180" i="6" s="1"/>
  <c r="O132" i="6"/>
  <c r="O160" i="6" s="1"/>
  <c r="O180" i="6" s="1"/>
  <c r="Q132" i="6"/>
  <c r="Q160" i="6" s="1"/>
  <c r="Q180" i="6" s="1"/>
  <c r="H132" i="6"/>
  <c r="H160" i="6" s="1"/>
  <c r="H180" i="6" s="1"/>
  <c r="F132" i="6"/>
  <c r="F160" i="6" s="1"/>
  <c r="F180" i="6" s="1"/>
  <c r="P132" i="6"/>
  <c r="P160" i="6" s="1"/>
  <c r="P180" i="6" s="1"/>
  <c r="N132" i="6"/>
  <c r="N160" i="6" s="1"/>
  <c r="N180" i="6" s="1"/>
  <c r="K132" i="6"/>
  <c r="K160" i="6" s="1"/>
  <c r="K180" i="6" s="1"/>
  <c r="G131" i="6"/>
  <c r="J131" i="6"/>
  <c r="M131" i="6"/>
  <c r="O131" i="6"/>
  <c r="Q131" i="6"/>
  <c r="H131" i="6"/>
  <c r="F131" i="6"/>
  <c r="K131" i="6"/>
  <c r="L131" i="6"/>
  <c r="N131" i="6"/>
  <c r="P131" i="6"/>
  <c r="I131" i="6"/>
  <c r="J130" i="6"/>
  <c r="J159" i="6" s="1"/>
  <c r="M130" i="6"/>
  <c r="M159" i="6" s="1"/>
  <c r="O130" i="6"/>
  <c r="O159" i="6" s="1"/>
  <c r="Q130" i="6"/>
  <c r="Q159" i="6" s="1"/>
  <c r="H130" i="6"/>
  <c r="H159" i="6" s="1"/>
  <c r="H166" i="6" s="1"/>
  <c r="H173" i="6" s="1"/>
  <c r="I130" i="6"/>
  <c r="I159" i="6" s="1"/>
  <c r="I166" i="6" s="1"/>
  <c r="I173" i="6" s="1"/>
  <c r="P130" i="6"/>
  <c r="P159" i="6" s="1"/>
  <c r="N130" i="6"/>
  <c r="N159" i="6" s="1"/>
  <c r="L130" i="6"/>
  <c r="L159" i="6" s="1"/>
  <c r="G130" i="6"/>
  <c r="G159" i="6" s="1"/>
  <c r="G166" i="6" s="1"/>
  <c r="G173" i="6" s="1"/>
  <c r="K130" i="6"/>
  <c r="K159" i="6" s="1"/>
  <c r="F130" i="6"/>
  <c r="F159" i="6" s="1"/>
  <c r="G129" i="6"/>
  <c r="H129" i="6"/>
  <c r="I129" i="6"/>
  <c r="J129" i="6"/>
  <c r="K129" i="6"/>
  <c r="L129" i="6"/>
  <c r="M129" i="6"/>
  <c r="N129" i="6"/>
  <c r="O129" i="6"/>
  <c r="P129" i="6"/>
  <c r="Q129" i="6"/>
  <c r="F129" i="6"/>
  <c r="F128" i="6"/>
  <c r="I128" i="6"/>
  <c r="H128" i="6"/>
  <c r="G128" i="6"/>
  <c r="I127" i="6"/>
  <c r="H127" i="6"/>
  <c r="G127" i="6"/>
  <c r="F127" i="6"/>
  <c r="G126" i="6"/>
  <c r="H126" i="6"/>
  <c r="I126" i="6"/>
  <c r="J126" i="6"/>
  <c r="P126" i="6"/>
  <c r="K126" i="6"/>
  <c r="N126" i="6"/>
  <c r="L126" i="6"/>
  <c r="M126" i="6"/>
  <c r="O126" i="6"/>
  <c r="Q126" i="6"/>
  <c r="F126" i="6"/>
  <c r="I125" i="6"/>
  <c r="G125" i="6"/>
  <c r="H125" i="6"/>
  <c r="I124" i="6"/>
  <c r="H124" i="6"/>
  <c r="G124" i="6"/>
  <c r="G123" i="6"/>
  <c r="H123" i="6"/>
  <c r="I123" i="6"/>
  <c r="J123" i="6"/>
  <c r="M123" i="6"/>
  <c r="Q123" i="6"/>
  <c r="P123" i="6"/>
  <c r="O123" i="6"/>
  <c r="L123" i="6"/>
  <c r="K123" i="6"/>
  <c r="N123" i="6"/>
  <c r="F123" i="6"/>
  <c r="O122" i="6"/>
  <c r="G122" i="6"/>
  <c r="H122" i="6"/>
  <c r="I122" i="6"/>
  <c r="J122" i="6"/>
  <c r="K122" i="6"/>
  <c r="L122" i="6"/>
  <c r="M122" i="6"/>
  <c r="N122" i="6"/>
  <c r="P122" i="6"/>
  <c r="Q122" i="6"/>
  <c r="F122" i="6"/>
  <c r="F121" i="6"/>
  <c r="J121" i="6"/>
  <c r="I121" i="6"/>
  <c r="H121" i="6"/>
  <c r="G121" i="6"/>
  <c r="F120" i="6"/>
  <c r="J120" i="6"/>
  <c r="I120" i="6"/>
  <c r="H120" i="6"/>
  <c r="G120" i="6"/>
  <c r="K119" i="6"/>
  <c r="H119" i="6"/>
  <c r="L119" i="6"/>
  <c r="G119" i="6"/>
  <c r="F119" i="6"/>
  <c r="P119" i="6"/>
  <c r="Q119" i="6"/>
  <c r="O119" i="6"/>
  <c r="N119" i="6"/>
  <c r="M119" i="6"/>
  <c r="I119" i="6"/>
  <c r="J119" i="6"/>
  <c r="G118" i="6"/>
  <c r="H118" i="6"/>
  <c r="F118" i="6"/>
  <c r="J118" i="6"/>
  <c r="I118" i="6"/>
  <c r="L117" i="6"/>
  <c r="M117" i="6"/>
  <c r="N117" i="6"/>
  <c r="O117" i="6"/>
  <c r="P117" i="6"/>
  <c r="F117" i="6"/>
  <c r="Q117" i="6"/>
  <c r="G117" i="6"/>
  <c r="H117" i="6"/>
  <c r="I117" i="6"/>
  <c r="J117" i="6"/>
  <c r="K117" i="6"/>
  <c r="Q116" i="6"/>
  <c r="P116" i="6"/>
  <c r="N116" i="6"/>
  <c r="M116" i="6"/>
  <c r="L116" i="6"/>
  <c r="J116" i="6"/>
  <c r="O116" i="6"/>
  <c r="K116" i="6"/>
  <c r="I116" i="6"/>
  <c r="H116" i="6"/>
  <c r="F116" i="6"/>
  <c r="G116" i="6"/>
  <c r="O115" i="6"/>
  <c r="J115" i="6"/>
  <c r="K115" i="6"/>
  <c r="M115" i="6"/>
  <c r="G115" i="6"/>
  <c r="P115" i="6"/>
  <c r="Q115" i="6"/>
  <c r="L115" i="6"/>
  <c r="F115" i="6"/>
  <c r="N115" i="6"/>
  <c r="I115" i="6"/>
  <c r="H115" i="6"/>
  <c r="G114" i="6"/>
  <c r="P114" i="6"/>
  <c r="O114" i="6"/>
  <c r="N114" i="6"/>
  <c r="L114" i="6"/>
  <c r="M114" i="6"/>
  <c r="K114" i="6"/>
  <c r="J114" i="6"/>
  <c r="I114" i="6"/>
  <c r="H114" i="6"/>
  <c r="Q114" i="6"/>
  <c r="F114" i="6"/>
  <c r="I113" i="6"/>
  <c r="H113" i="6"/>
  <c r="G113" i="6"/>
  <c r="K113" i="6"/>
  <c r="M113" i="6"/>
  <c r="N113" i="6"/>
  <c r="O113" i="6"/>
  <c r="Q113" i="6"/>
  <c r="J113" i="6"/>
  <c r="L113" i="6"/>
  <c r="P113" i="6"/>
  <c r="F113" i="6"/>
  <c r="P112" i="6"/>
  <c r="Q112" i="6"/>
  <c r="N112" i="6"/>
  <c r="G112" i="6"/>
  <c r="H112" i="6"/>
  <c r="I112" i="6"/>
  <c r="J112" i="6"/>
  <c r="K112" i="6"/>
  <c r="L112" i="6"/>
  <c r="M112" i="6"/>
  <c r="O112" i="6"/>
  <c r="F112" i="6"/>
  <c r="E15" i="8"/>
  <c r="F124" i="6"/>
  <c r="L18" i="6"/>
  <c r="L120" i="6"/>
  <c r="M18" i="6"/>
  <c r="M120" i="6"/>
  <c r="K17" i="6"/>
  <c r="J10" i="8" s="1"/>
  <c r="K118" i="6"/>
  <c r="R21" i="6"/>
  <c r="E21" i="6" s="1"/>
  <c r="I3" i="8"/>
  <c r="I26" i="8" s="1"/>
  <c r="G3" i="8"/>
  <c r="G26" i="8" s="1"/>
  <c r="F3" i="8"/>
  <c r="F26" i="8" s="1"/>
  <c r="H3" i="8"/>
  <c r="H26" i="8" s="1"/>
  <c r="E3" i="8"/>
  <c r="G4" i="8"/>
  <c r="G27" i="8" s="1"/>
  <c r="I4" i="8"/>
  <c r="I27" i="8" s="1"/>
  <c r="E4" i="8"/>
  <c r="H4" i="8"/>
  <c r="H27" i="8" s="1"/>
  <c r="F4" i="8"/>
  <c r="F27" i="8" s="1"/>
  <c r="I5" i="8"/>
  <c r="I28" i="8" s="1"/>
  <c r="F5" i="8"/>
  <c r="F28" i="8" s="1"/>
  <c r="G5" i="8"/>
  <c r="G28" i="8" s="1"/>
  <c r="H5" i="8"/>
  <c r="H28" i="8" s="1"/>
  <c r="E5" i="8"/>
  <c r="H6" i="8"/>
  <c r="H29" i="8" s="1"/>
  <c r="F6" i="8"/>
  <c r="F29" i="8" s="1"/>
  <c r="G6" i="8"/>
  <c r="G29" i="8" s="1"/>
  <c r="I6" i="8"/>
  <c r="I29" i="8" s="1"/>
  <c r="E6" i="8"/>
  <c r="N7" i="8"/>
  <c r="N30" i="8" s="1"/>
  <c r="K7" i="8"/>
  <c r="K30" i="8" s="1"/>
  <c r="J7" i="8"/>
  <c r="L7" i="8"/>
  <c r="L30" i="8" s="1"/>
  <c r="M7" i="8"/>
  <c r="M30" i="8" s="1"/>
  <c r="O7" i="8"/>
  <c r="O30" i="8" s="1"/>
  <c r="P7" i="8"/>
  <c r="P30" i="8" s="1"/>
  <c r="M8" i="8"/>
  <c r="M31" i="8" s="1"/>
  <c r="L8" i="8"/>
  <c r="L31" i="8" s="1"/>
  <c r="N8" i="8"/>
  <c r="N31" i="8" s="1"/>
  <c r="K8" i="8"/>
  <c r="K31" i="8" s="1"/>
  <c r="O8" i="8"/>
  <c r="O31" i="8" s="1"/>
  <c r="J8" i="8"/>
  <c r="P8" i="8"/>
  <c r="P31" i="8" s="1"/>
  <c r="J9" i="8"/>
  <c r="M10" i="8"/>
  <c r="M33" i="8" s="1"/>
  <c r="P9" i="8"/>
  <c r="P32" i="8" s="1"/>
  <c r="P10" i="8"/>
  <c r="P33" i="8" s="1"/>
  <c r="L9" i="8"/>
  <c r="L32" i="8" s="1"/>
  <c r="N9" i="8"/>
  <c r="N32" i="8" s="1"/>
  <c r="K10" i="8"/>
  <c r="K33" i="8" s="1"/>
  <c r="O9" i="8"/>
  <c r="O32" i="8" s="1"/>
  <c r="M9" i="8"/>
  <c r="M32" i="8" s="1"/>
  <c r="K9" i="8"/>
  <c r="K32" i="8" s="1"/>
  <c r="L10" i="8"/>
  <c r="L33" i="8" s="1"/>
  <c r="P11" i="8"/>
  <c r="P34" i="8" s="1"/>
  <c r="M11" i="8"/>
  <c r="M34" i="8" s="1"/>
  <c r="N12" i="8"/>
  <c r="N35" i="8" s="1"/>
  <c r="K12" i="8"/>
  <c r="K35" i="8" s="1"/>
  <c r="E12" i="8"/>
  <c r="O12" i="8"/>
  <c r="O35" i="8" s="1"/>
  <c r="L12" i="8"/>
  <c r="L35" i="8" s="1"/>
  <c r="I12" i="8"/>
  <c r="I35" i="8" s="1"/>
  <c r="F12" i="8"/>
  <c r="F35" i="8" s="1"/>
  <c r="M12" i="8"/>
  <c r="M35" i="8" s="1"/>
  <c r="H12" i="8"/>
  <c r="H35" i="8" s="1"/>
  <c r="P12" i="8"/>
  <c r="P35" i="8" s="1"/>
  <c r="J12" i="8"/>
  <c r="J35" i="8" s="1"/>
  <c r="G12" i="8"/>
  <c r="G35" i="8" s="1"/>
  <c r="G13" i="8"/>
  <c r="G36" i="8" s="1"/>
  <c r="I13" i="8"/>
  <c r="I36" i="8" s="1"/>
  <c r="K13" i="8"/>
  <c r="K36" i="8" s="1"/>
  <c r="L13" i="8"/>
  <c r="L36" i="8" s="1"/>
  <c r="M13" i="8"/>
  <c r="M36" i="8" s="1"/>
  <c r="O13" i="8"/>
  <c r="O36" i="8" s="1"/>
  <c r="J13" i="8"/>
  <c r="J36" i="8" s="1"/>
  <c r="P13" i="8"/>
  <c r="P36" i="8" s="1"/>
  <c r="N13" i="8"/>
  <c r="N36" i="8" s="1"/>
  <c r="E13" i="8"/>
  <c r="E36" i="8" s="1"/>
  <c r="H13" i="8"/>
  <c r="H36" i="8" s="1"/>
  <c r="F13" i="8"/>
  <c r="L14" i="8"/>
  <c r="L37" i="8" s="1"/>
  <c r="K14" i="8"/>
  <c r="K37" i="8" s="1"/>
  <c r="J14" i="8"/>
  <c r="J37" i="8" s="1"/>
  <c r="I14" i="8"/>
  <c r="I37" i="8" s="1"/>
  <c r="H14" i="8"/>
  <c r="H37" i="8" s="1"/>
  <c r="G14" i="8"/>
  <c r="G37" i="8" s="1"/>
  <c r="N14" i="8"/>
  <c r="N37" i="8" s="1"/>
  <c r="F14" i="8"/>
  <c r="F37" i="8" s="1"/>
  <c r="P14" i="8"/>
  <c r="P37" i="8" s="1"/>
  <c r="O14" i="8"/>
  <c r="O37" i="8" s="1"/>
  <c r="E14" i="8"/>
  <c r="M14" i="8"/>
  <c r="M37" i="8" s="1"/>
  <c r="L15" i="8"/>
  <c r="L38" i="8" s="1"/>
  <c r="P15" i="8"/>
  <c r="P38" i="8" s="1"/>
  <c r="N15" i="8"/>
  <c r="N38" i="8" s="1"/>
  <c r="O15" i="8"/>
  <c r="O38" i="8" s="1"/>
  <c r="M15" i="8"/>
  <c r="M38" i="8" s="1"/>
  <c r="K15" i="8"/>
  <c r="K38" i="8" s="1"/>
  <c r="J15" i="8"/>
  <c r="J38" i="8" s="1"/>
  <c r="F15" i="8"/>
  <c r="F38" i="8" s="1"/>
  <c r="G15" i="8"/>
  <c r="G38" i="8" s="1"/>
  <c r="H15" i="8"/>
  <c r="H38" i="8" s="1"/>
  <c r="I15" i="8"/>
  <c r="I38" i="8" s="1"/>
  <c r="F16" i="8"/>
  <c r="F39" i="8" s="1"/>
  <c r="H16" i="8"/>
  <c r="H39" i="8" s="1"/>
  <c r="J16" i="8"/>
  <c r="J39" i="8" s="1"/>
  <c r="I16" i="8"/>
  <c r="I39" i="8" s="1"/>
  <c r="K16" i="8"/>
  <c r="K39" i="8" s="1"/>
  <c r="L16" i="8"/>
  <c r="L39" i="8" s="1"/>
  <c r="M16" i="8"/>
  <c r="M39" i="8" s="1"/>
  <c r="G16" i="8"/>
  <c r="G39" i="8" s="1"/>
  <c r="N16" i="8"/>
  <c r="N39" i="8" s="1"/>
  <c r="O16" i="8"/>
  <c r="O39" i="8" s="1"/>
  <c r="P16" i="8"/>
  <c r="P39" i="8" s="1"/>
  <c r="E16" i="8"/>
  <c r="F17" i="8"/>
  <c r="F40" i="8" s="1"/>
  <c r="G17" i="8"/>
  <c r="G40" i="8" s="1"/>
  <c r="H17" i="8"/>
  <c r="H40" i="8" s="1"/>
  <c r="I17" i="8"/>
  <c r="I40" i="8" s="1"/>
  <c r="J17" i="8"/>
  <c r="J40" i="8" s="1"/>
  <c r="K17" i="8"/>
  <c r="K40" i="8" s="1"/>
  <c r="M17" i="8"/>
  <c r="M40" i="8" s="1"/>
  <c r="N17" i="8"/>
  <c r="N40" i="8" s="1"/>
  <c r="O17" i="8"/>
  <c r="O40" i="8" s="1"/>
  <c r="P17" i="8"/>
  <c r="P40" i="8" s="1"/>
  <c r="E17" i="8"/>
  <c r="L17" i="8"/>
  <c r="L40" i="8" s="1"/>
  <c r="E18" i="8"/>
  <c r="E41" i="8" s="1"/>
  <c r="J18" i="8"/>
  <c r="J41" i="8" s="1"/>
  <c r="F18" i="8"/>
  <c r="F41" i="8" s="1"/>
  <c r="P18" i="8"/>
  <c r="P41" i="8" s="1"/>
  <c r="O18" i="8"/>
  <c r="O41" i="8" s="1"/>
  <c r="K18" i="8"/>
  <c r="K41" i="8" s="1"/>
  <c r="L18" i="8"/>
  <c r="L41" i="8" s="1"/>
  <c r="M18" i="8"/>
  <c r="M41" i="8" s="1"/>
  <c r="N18" i="8"/>
  <c r="N41" i="8" s="1"/>
  <c r="I18" i="8"/>
  <c r="I41" i="8" s="1"/>
  <c r="H18" i="8"/>
  <c r="H41" i="8" s="1"/>
  <c r="G18" i="8"/>
  <c r="N19" i="8"/>
  <c r="N42" i="8" s="1"/>
  <c r="F19" i="8"/>
  <c r="F42" i="8" s="1"/>
  <c r="G19" i="8"/>
  <c r="G42" i="8" s="1"/>
  <c r="H19" i="8"/>
  <c r="H42" i="8" s="1"/>
  <c r="I19" i="8"/>
  <c r="I42" i="8" s="1"/>
  <c r="J19" i="8"/>
  <c r="J42" i="8" s="1"/>
  <c r="K19" i="8"/>
  <c r="K42" i="8" s="1"/>
  <c r="L19" i="8"/>
  <c r="L42" i="8" s="1"/>
  <c r="O19" i="8"/>
  <c r="O42" i="8" s="1"/>
  <c r="M19" i="8"/>
  <c r="M42" i="8" s="1"/>
  <c r="P19" i="8"/>
  <c r="P42" i="8" s="1"/>
  <c r="E19" i="8"/>
  <c r="J20" i="8"/>
  <c r="J43" i="8" s="1"/>
  <c r="L20" i="8"/>
  <c r="L43" i="8" s="1"/>
  <c r="E20" i="8"/>
  <c r="F20" i="8"/>
  <c r="F43" i="8" s="1"/>
  <c r="P20" i="8"/>
  <c r="P43" i="8" s="1"/>
  <c r="O20" i="8"/>
  <c r="O43" i="8" s="1"/>
  <c r="N20" i="8"/>
  <c r="N43" i="8" s="1"/>
  <c r="M20" i="8"/>
  <c r="M43" i="8" s="1"/>
  <c r="K20" i="8"/>
  <c r="K43" i="8" s="1"/>
  <c r="I20" i="8"/>
  <c r="I43" i="8" s="1"/>
  <c r="H20" i="8"/>
  <c r="H43" i="8" s="1"/>
  <c r="G20" i="8"/>
  <c r="G43" i="8" s="1"/>
  <c r="I21" i="8"/>
  <c r="I44" i="8" s="1"/>
  <c r="J21" i="8"/>
  <c r="J44" i="8" s="1"/>
  <c r="K21" i="8"/>
  <c r="K44" i="8" s="1"/>
  <c r="H21" i="8"/>
  <c r="H44" i="8" s="1"/>
  <c r="L21" i="8"/>
  <c r="L44" i="8" s="1"/>
  <c r="M21" i="8"/>
  <c r="M44" i="8" s="1"/>
  <c r="E21" i="8"/>
  <c r="F21" i="8"/>
  <c r="F44" i="8" s="1"/>
  <c r="N21" i="8"/>
  <c r="N44" i="8" s="1"/>
  <c r="O21" i="8"/>
  <c r="O44" i="8" s="1"/>
  <c r="P21" i="8"/>
  <c r="P44" i="8" s="1"/>
  <c r="G21" i="8"/>
  <c r="G44" i="8" s="1"/>
  <c r="O22" i="8"/>
  <c r="O45" i="8" s="1"/>
  <c r="F22" i="8"/>
  <c r="F45" i="8" s="1"/>
  <c r="E22" i="8"/>
  <c r="P22" i="8"/>
  <c r="P45" i="8" s="1"/>
  <c r="N22" i="8"/>
  <c r="N45" i="8" s="1"/>
  <c r="M22" i="8"/>
  <c r="M45" i="8" s="1"/>
  <c r="L22" i="8"/>
  <c r="L45" i="8" s="1"/>
  <c r="K22" i="8"/>
  <c r="K45" i="8" s="1"/>
  <c r="J22" i="8"/>
  <c r="J45" i="8" s="1"/>
  <c r="I22" i="8"/>
  <c r="I45" i="8" s="1"/>
  <c r="H22" i="8"/>
  <c r="H45" i="8" s="1"/>
  <c r="G22" i="8"/>
  <c r="G45" i="8" s="1"/>
  <c r="G2" i="8"/>
  <c r="G25" i="8" s="1"/>
  <c r="E2" i="8"/>
  <c r="E25" i="8" s="1"/>
  <c r="F2" i="8"/>
  <c r="F25" i="8" s="1"/>
  <c r="H2" i="8"/>
  <c r="H25" i="8" s="1"/>
  <c r="I2" i="8"/>
  <c r="I25" i="8" s="1"/>
  <c r="M91" i="6"/>
  <c r="P91" i="6"/>
  <c r="K91" i="6"/>
  <c r="H91" i="6"/>
  <c r="J91" i="6"/>
  <c r="F91" i="6"/>
  <c r="O91" i="6"/>
  <c r="N91" i="6"/>
  <c r="Q91" i="6"/>
  <c r="L91" i="6"/>
  <c r="I91" i="6"/>
  <c r="G91" i="6"/>
  <c r="I90" i="6"/>
  <c r="K90" i="6"/>
  <c r="H90" i="6"/>
  <c r="J90" i="6"/>
  <c r="M90" i="6"/>
  <c r="N90" i="6"/>
  <c r="O90" i="6"/>
  <c r="P90" i="6"/>
  <c r="Q90" i="6"/>
  <c r="L90" i="6"/>
  <c r="G90" i="6"/>
  <c r="F90" i="6"/>
  <c r="F89" i="6"/>
  <c r="L89" i="6"/>
  <c r="M89" i="6"/>
  <c r="N89" i="6"/>
  <c r="O89" i="6"/>
  <c r="P89" i="6"/>
  <c r="G89" i="6"/>
  <c r="J89" i="6"/>
  <c r="Q89" i="6"/>
  <c r="H89" i="6"/>
  <c r="K89" i="6"/>
  <c r="I89" i="6"/>
  <c r="N88" i="6"/>
  <c r="H88" i="6"/>
  <c r="I88" i="6"/>
  <c r="F88" i="6"/>
  <c r="M88" i="6"/>
  <c r="J88" i="6"/>
  <c r="L88" i="6"/>
  <c r="Q88" i="6"/>
  <c r="K88" i="6"/>
  <c r="P88" i="6"/>
  <c r="O88" i="6"/>
  <c r="G88" i="6"/>
  <c r="G87" i="6"/>
  <c r="I87" i="6"/>
  <c r="J87" i="6"/>
  <c r="Q87" i="6"/>
  <c r="K87" i="6"/>
  <c r="P87" i="6"/>
  <c r="O87" i="6"/>
  <c r="N87" i="6"/>
  <c r="H87" i="6"/>
  <c r="F87" i="6"/>
  <c r="M87" i="6"/>
  <c r="L87" i="6"/>
  <c r="R13" i="6"/>
  <c r="E13" i="6" s="1"/>
  <c r="P17" i="6"/>
  <c r="R19" i="6"/>
  <c r="E19" i="6" s="1"/>
  <c r="R23" i="6"/>
  <c r="E23" i="6" s="1"/>
  <c r="L40" i="6"/>
  <c r="O40" i="6"/>
  <c r="Q40" i="6"/>
  <c r="M40" i="6"/>
  <c r="N40" i="6"/>
  <c r="P40" i="6"/>
  <c r="K40" i="6"/>
  <c r="K39" i="6"/>
  <c r="M39" i="6"/>
  <c r="L39" i="6"/>
  <c r="N39" i="6"/>
  <c r="O39" i="6"/>
  <c r="P39" i="6"/>
  <c r="Q39" i="6"/>
  <c r="Q38" i="6"/>
  <c r="L38" i="6"/>
  <c r="M38" i="6"/>
  <c r="N38" i="6"/>
  <c r="O38" i="6"/>
  <c r="P38" i="6"/>
  <c r="K38" i="6"/>
  <c r="P37" i="6"/>
  <c r="Q37" i="6"/>
  <c r="L37" i="6"/>
  <c r="M37" i="6"/>
  <c r="N37" i="6"/>
  <c r="O37" i="6"/>
  <c r="K37" i="6"/>
  <c r="Q36" i="6"/>
  <c r="L36" i="6"/>
  <c r="N36" i="6"/>
  <c r="K36" i="6"/>
  <c r="M36" i="6"/>
  <c r="P36" i="6"/>
  <c r="O36" i="6"/>
  <c r="J14" i="10"/>
  <c r="I14" i="10"/>
  <c r="J13" i="10"/>
  <c r="I13" i="10"/>
  <c r="J12" i="10"/>
  <c r="I12" i="10"/>
  <c r="J11" i="10"/>
  <c r="I11" i="10"/>
  <c r="J10" i="10"/>
  <c r="I10" i="10"/>
  <c r="J9" i="10"/>
  <c r="D9" i="7"/>
  <c r="B9" i="7"/>
  <c r="C9" i="7"/>
  <c r="C3" i="7"/>
  <c r="D3" i="7"/>
  <c r="E3" i="7"/>
  <c r="F3" i="7"/>
  <c r="G3" i="7"/>
  <c r="H3" i="7"/>
  <c r="I3" i="7"/>
  <c r="J3" i="7"/>
  <c r="K3" i="7"/>
  <c r="L3" i="7"/>
  <c r="M3" i="7"/>
  <c r="B3" i="7"/>
  <c r="T12" i="9"/>
  <c r="T11" i="9"/>
  <c r="S12" i="9"/>
  <c r="S11" i="9"/>
  <c r="R12" i="9"/>
  <c r="R11" i="9"/>
  <c r="K12" i="9"/>
  <c r="K11" i="9"/>
  <c r="I12" i="9"/>
  <c r="I11" i="9"/>
  <c r="G157" i="6" l="1"/>
  <c r="G164" i="6" s="1"/>
  <c r="G171" i="6" s="1"/>
  <c r="H157" i="6"/>
  <c r="H164" i="6" s="1"/>
  <c r="H171" i="6" s="1"/>
  <c r="I157" i="6"/>
  <c r="I164" i="6" s="1"/>
  <c r="I171" i="6" s="1"/>
  <c r="J157" i="6"/>
  <c r="J164" i="6" s="1"/>
  <c r="J171" i="6" s="1"/>
  <c r="M157" i="6"/>
  <c r="M164" i="6" s="1"/>
  <c r="M171" i="6" s="1"/>
  <c r="Q157" i="6"/>
  <c r="Q164" i="6" s="1"/>
  <c r="Q171" i="6" s="1"/>
  <c r="P157" i="6"/>
  <c r="P164" i="6" s="1"/>
  <c r="P171" i="6" s="1"/>
  <c r="O157" i="6"/>
  <c r="O164" i="6" s="1"/>
  <c r="O171" i="6" s="1"/>
  <c r="L157" i="6"/>
  <c r="L164" i="6" s="1"/>
  <c r="L171" i="6" s="1"/>
  <c r="K157" i="6"/>
  <c r="K164" i="6" s="1"/>
  <c r="K171" i="6" s="1"/>
  <c r="N157" i="6"/>
  <c r="N164" i="6" s="1"/>
  <c r="N171" i="6" s="1"/>
  <c r="I167" i="6"/>
  <c r="I174" i="6" s="1"/>
  <c r="G167" i="6"/>
  <c r="G174" i="6" s="1"/>
  <c r="J167" i="6"/>
  <c r="J174" i="6" s="1"/>
  <c r="L167" i="6"/>
  <c r="L174" i="6" s="1"/>
  <c r="M167" i="6"/>
  <c r="M174" i="6" s="1"/>
  <c r="O167" i="6"/>
  <c r="O174" i="6" s="1"/>
  <c r="Q167" i="6"/>
  <c r="Q174" i="6" s="1"/>
  <c r="H167" i="6"/>
  <c r="H174" i="6" s="1"/>
  <c r="P167" i="6"/>
  <c r="P174" i="6" s="1"/>
  <c r="N167" i="6"/>
  <c r="N174" i="6" s="1"/>
  <c r="K167" i="6"/>
  <c r="K174" i="6" s="1"/>
  <c r="Q156" i="6"/>
  <c r="N156" i="6"/>
  <c r="N179" i="6" s="1"/>
  <c r="I156" i="6"/>
  <c r="J156" i="6"/>
  <c r="F156" i="6"/>
  <c r="G156" i="6"/>
  <c r="H156" i="6"/>
  <c r="J165" i="6"/>
  <c r="J172" i="6" s="1"/>
  <c r="I165" i="6"/>
  <c r="I172" i="6" s="1"/>
  <c r="H165" i="6"/>
  <c r="H172" i="6" s="1"/>
  <c r="G165" i="6"/>
  <c r="G172" i="6" s="1"/>
  <c r="K166" i="6"/>
  <c r="K173" i="6" s="1"/>
  <c r="M166" i="6"/>
  <c r="M173" i="6" s="1"/>
  <c r="N166" i="6"/>
  <c r="N173" i="6" s="1"/>
  <c r="P166" i="6"/>
  <c r="P173" i="6" s="1"/>
  <c r="Q165" i="6"/>
  <c r="Q172" i="6" s="1"/>
  <c r="J166" i="6"/>
  <c r="J173" i="6" s="1"/>
  <c r="L166" i="6"/>
  <c r="L173" i="6" s="1"/>
  <c r="O166" i="6"/>
  <c r="O173" i="6" s="1"/>
  <c r="Q166" i="6"/>
  <c r="Q173" i="6" s="1"/>
  <c r="N165" i="6"/>
  <c r="N172" i="6" s="1"/>
  <c r="R160" i="6"/>
  <c r="F167" i="6"/>
  <c r="R159" i="6"/>
  <c r="F166" i="6"/>
  <c r="O18" i="6"/>
  <c r="N10" i="8"/>
  <c r="N33" i="8" s="1"/>
  <c r="L121" i="6"/>
  <c r="K11" i="8"/>
  <c r="K34" i="8" s="1"/>
  <c r="M121" i="6"/>
  <c r="L11" i="8"/>
  <c r="L34" i="8" s="1"/>
  <c r="F125" i="6"/>
  <c r="R22" i="6"/>
  <c r="E22" i="6" s="1"/>
  <c r="K120" i="6"/>
  <c r="K18" i="6"/>
  <c r="O10" i="8"/>
  <c r="P120" i="6"/>
  <c r="E39" i="8"/>
  <c r="Q16" i="8"/>
  <c r="E40" i="8"/>
  <c r="Q17" i="8"/>
  <c r="E42" i="8"/>
  <c r="Q19" i="8"/>
  <c r="E43" i="8"/>
  <c r="Q20" i="8"/>
  <c r="E44" i="8"/>
  <c r="Q21" i="8"/>
  <c r="G41" i="8"/>
  <c r="Q18" i="8"/>
  <c r="F36" i="8"/>
  <c r="Q13" i="8"/>
  <c r="E26" i="8"/>
  <c r="Q3" i="8"/>
  <c r="E27" i="8"/>
  <c r="Q4" i="8"/>
  <c r="E28" i="8"/>
  <c r="Q5" i="8"/>
  <c r="E29" i="8"/>
  <c r="Q6" i="8"/>
  <c r="Q7" i="8"/>
  <c r="J30" i="8"/>
  <c r="J31" i="8"/>
  <c r="Q8" i="8"/>
  <c r="J33" i="8"/>
  <c r="J32" i="8"/>
  <c r="Q9" i="8"/>
  <c r="E35" i="8"/>
  <c r="Q12" i="8"/>
  <c r="E37" i="8"/>
  <c r="Q14" i="8"/>
  <c r="E38" i="8"/>
  <c r="Q15" i="8"/>
  <c r="E45" i="8"/>
  <c r="Q22" i="8"/>
  <c r="P18" i="6"/>
  <c r="P121" i="6" s="1"/>
  <c r="R17" i="6"/>
  <c r="E17" i="6" s="1"/>
  <c r="R24" i="6"/>
  <c r="E24" i="6" s="1"/>
  <c r="D5" i="3"/>
  <c r="G2" i="4"/>
  <c r="D18" i="3"/>
  <c r="E18" i="3" s="1"/>
  <c r="F18" i="3" s="1"/>
  <c r="G18" i="3" s="1"/>
  <c r="H18" i="3" s="1"/>
  <c r="I18" i="3" s="1"/>
  <c r="J18" i="3" s="1"/>
  <c r="K18" i="3" s="1"/>
  <c r="L18" i="3" s="1"/>
  <c r="M18" i="3" s="1"/>
  <c r="N18" i="3" s="1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F157" i="6" l="1"/>
  <c r="R157" i="6" s="1"/>
  <c r="Q179" i="6"/>
  <c r="G179" i="6"/>
  <c r="I179" i="6"/>
  <c r="J179" i="6"/>
  <c r="H179" i="6"/>
  <c r="P156" i="6"/>
  <c r="P179" i="6" s="1"/>
  <c r="L165" i="6"/>
  <c r="L172" i="6" s="1"/>
  <c r="L156" i="6"/>
  <c r="L179" i="6" s="1"/>
  <c r="M165" i="6"/>
  <c r="M172" i="6" s="1"/>
  <c r="M156" i="6"/>
  <c r="M179" i="6" s="1"/>
  <c r="P165" i="6"/>
  <c r="P172" i="6" s="1"/>
  <c r="F174" i="6"/>
  <c r="R174" i="6" s="1"/>
  <c r="R167" i="6"/>
  <c r="R166" i="6"/>
  <c r="F173" i="6"/>
  <c r="R173" i="6" s="1"/>
  <c r="N11" i="8"/>
  <c r="N34" i="8" s="1"/>
  <c r="O121" i="6"/>
  <c r="F165" i="6"/>
  <c r="K121" i="6"/>
  <c r="J11" i="8"/>
  <c r="J34" i="8" s="1"/>
  <c r="O33" i="8"/>
  <c r="Q10" i="8"/>
  <c r="R18" i="6"/>
  <c r="E18" i="6" s="1"/>
  <c r="O11" i="8"/>
  <c r="R25" i="6"/>
  <c r="E25" i="6" s="1"/>
  <c r="R26" i="6"/>
  <c r="E26" i="6" s="1"/>
  <c r="G5" i="3"/>
  <c r="F179" i="6" l="1"/>
  <c r="F164" i="6"/>
  <c r="R164" i="6" s="1"/>
  <c r="K156" i="6"/>
  <c r="K179" i="6" s="1"/>
  <c r="O165" i="6"/>
  <c r="O172" i="6" s="1"/>
  <c r="O156" i="6"/>
  <c r="O179" i="6" s="1"/>
  <c r="F172" i="6"/>
  <c r="O34" i="8"/>
  <c r="Q11" i="8"/>
  <c r="H5" i="3"/>
  <c r="F171" i="6" l="1"/>
  <c r="R171" i="6" s="1"/>
  <c r="R158" i="6"/>
  <c r="K165" i="6"/>
  <c r="K13" i="9"/>
  <c r="K14" i="9" s="1"/>
  <c r="R13" i="9"/>
  <c r="R14" i="9" s="1"/>
  <c r="S13" i="9"/>
  <c r="S14" i="9" s="1"/>
  <c r="T13" i="9"/>
  <c r="T14" i="9" s="1"/>
  <c r="Q12" i="9"/>
  <c r="Q13" i="9" s="1"/>
  <c r="Q14" i="9" s="1"/>
  <c r="P12" i="9"/>
  <c r="P13" i="9" s="1"/>
  <c r="P14" i="9" s="1"/>
  <c r="O12" i="9"/>
  <c r="O13" i="9" s="1"/>
  <c r="O14" i="9" s="1"/>
  <c r="N12" i="9"/>
  <c r="N13" i="9" s="1"/>
  <c r="N14" i="9" s="1"/>
  <c r="M12" i="9"/>
  <c r="M13" i="9" s="1"/>
  <c r="M14" i="9" s="1"/>
  <c r="L12" i="9"/>
  <c r="L13" i="9" s="1"/>
  <c r="L14" i="9" s="1"/>
  <c r="J12" i="9"/>
  <c r="J13" i="9" s="1"/>
  <c r="J14" i="9" s="1"/>
  <c r="Q11" i="9"/>
  <c r="P11" i="9"/>
  <c r="O11" i="9"/>
  <c r="N11" i="9"/>
  <c r="M11" i="9"/>
  <c r="L11" i="9"/>
  <c r="J11" i="9"/>
  <c r="R165" i="6" l="1"/>
  <c r="K172" i="6"/>
  <c r="R172" i="6" s="1"/>
  <c r="J16" i="10"/>
  <c r="J15" i="10"/>
  <c r="F37" i="10" l="1"/>
  <c r="J37" i="10" s="1"/>
  <c r="H34" i="10"/>
  <c r="J34" i="10" s="1"/>
  <c r="H33" i="10"/>
  <c r="J33" i="10" s="1"/>
  <c r="H32" i="10"/>
  <c r="J32" i="10" s="1"/>
  <c r="H31" i="10"/>
  <c r="J31" i="10" s="1"/>
  <c r="H30" i="10"/>
  <c r="J30" i="10" s="1"/>
  <c r="H29" i="10"/>
  <c r="J29" i="10" s="1"/>
  <c r="H28" i="10"/>
  <c r="J28" i="10" s="1"/>
  <c r="H27" i="10"/>
  <c r="J27" i="10" s="1"/>
  <c r="H26" i="10"/>
  <c r="J26" i="10" s="1"/>
  <c r="H25" i="10"/>
  <c r="J25" i="10" s="1"/>
  <c r="H24" i="10"/>
  <c r="J24" i="10" s="1"/>
  <c r="H23" i="10"/>
  <c r="J23" i="10" s="1"/>
  <c r="H22" i="10"/>
  <c r="J22" i="10" s="1"/>
  <c r="J21" i="10"/>
  <c r="J20" i="10"/>
  <c r="J19" i="10"/>
  <c r="J18" i="10"/>
  <c r="H17" i="10"/>
  <c r="J17" i="10" s="1"/>
  <c r="H8" i="10"/>
  <c r="J8" i="10" s="1"/>
  <c r="H7" i="10"/>
  <c r="J7" i="10" s="1"/>
  <c r="H6" i="10"/>
  <c r="J6" i="10" s="1"/>
  <c r="H5" i="10"/>
  <c r="J5" i="10" s="1"/>
  <c r="H4" i="10"/>
  <c r="J4" i="10" s="1"/>
  <c r="H3" i="10"/>
  <c r="J3" i="10" s="1"/>
  <c r="I13" i="9" l="1"/>
  <c r="I14" i="9" s="1"/>
  <c r="T9" i="9"/>
  <c r="H6" i="9"/>
  <c r="H5" i="9"/>
  <c r="D13" i="3" l="1"/>
  <c r="E13" i="3" s="1"/>
  <c r="F13" i="3" s="1"/>
  <c r="H13" i="3" s="1"/>
  <c r="I13" i="3" s="1"/>
  <c r="J13" i="3" s="1"/>
  <c r="D14" i="3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D15" i="3"/>
  <c r="E15" i="3" s="1"/>
  <c r="G15" i="3" s="1"/>
  <c r="H15" i="3" s="1"/>
  <c r="I15" i="3" s="1"/>
  <c r="J15" i="3" s="1"/>
  <c r="M15" i="3" s="1"/>
  <c r="N15" i="3" s="1"/>
  <c r="D16" i="3"/>
  <c r="E16" i="3" s="1"/>
  <c r="F16" i="3" s="1"/>
  <c r="G16" i="3" s="1"/>
  <c r="H16" i="3" s="1"/>
  <c r="I16" i="3" s="1"/>
  <c r="J16" i="3" s="1"/>
  <c r="K16" i="3" s="1"/>
  <c r="L16" i="3" s="1"/>
  <c r="M16" i="3" s="1"/>
  <c r="N16" i="3" s="1"/>
  <c r="D17" i="3"/>
  <c r="E17" i="3" s="1"/>
  <c r="F17" i="3" s="1"/>
  <c r="G17" i="3" s="1"/>
  <c r="H17" i="3" s="1"/>
  <c r="I17" i="3" s="1"/>
  <c r="J17" i="3" s="1"/>
  <c r="K17" i="3" s="1"/>
  <c r="L17" i="3" s="1"/>
  <c r="M17" i="3" s="1"/>
  <c r="N17" i="3" s="1"/>
  <c r="D19" i="3"/>
  <c r="E19" i="3" s="1"/>
  <c r="G19" i="3" s="1"/>
  <c r="H19" i="3" s="1"/>
  <c r="J19" i="3" s="1"/>
  <c r="K19" i="3" s="1"/>
  <c r="M19" i="3" s="1"/>
  <c r="N19" i="3" s="1"/>
  <c r="D20" i="3" l="1"/>
  <c r="D2" i="3" s="1"/>
  <c r="J20" i="3"/>
  <c r="J2" i="3" s="1"/>
  <c r="K13" i="3"/>
  <c r="L13" i="3" s="1"/>
  <c r="M13" i="3" s="1"/>
  <c r="N13" i="3" s="1"/>
  <c r="N20" i="3" s="1"/>
  <c r="N2" i="3" s="1"/>
  <c r="C20" i="3"/>
  <c r="C2" i="3" s="1"/>
  <c r="L20" i="3" l="1"/>
  <c r="L2" i="3" s="1"/>
  <c r="M20" i="3"/>
  <c r="M2" i="3" s="1"/>
  <c r="K20" i="3"/>
  <c r="K2" i="3" s="1"/>
  <c r="E20" i="3"/>
  <c r="E2" i="3" s="1"/>
  <c r="F20" i="3" l="1"/>
  <c r="F2" i="3" s="1"/>
  <c r="G20" i="3" l="1"/>
  <c r="G2" i="3" s="1"/>
  <c r="F4" i="10"/>
  <c r="F5" i="10"/>
  <c r="F6" i="10"/>
  <c r="F7" i="10"/>
  <c r="F8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J35" i="10" s="1"/>
  <c r="F36" i="10"/>
  <c r="J36" i="10" s="1"/>
  <c r="F3" i="10"/>
  <c r="J196" i="6"/>
  <c r="F196" i="6"/>
  <c r="C4" i="7"/>
  <c r="D4" i="7"/>
  <c r="E4" i="7"/>
  <c r="F4" i="7"/>
  <c r="G4" i="7"/>
  <c r="H4" i="7"/>
  <c r="I4" i="7"/>
  <c r="J4" i="7"/>
  <c r="K4" i="7"/>
  <c r="L4" i="7"/>
  <c r="M4" i="7"/>
  <c r="B4" i="7"/>
  <c r="L196" i="6"/>
  <c r="M196" i="6"/>
  <c r="N196" i="6"/>
  <c r="Q196" i="6"/>
  <c r="P196" i="6"/>
  <c r="O196" i="6"/>
  <c r="K196" i="6"/>
  <c r="I196" i="6"/>
  <c r="H196" i="6"/>
  <c r="G196" i="6"/>
  <c r="H8" i="9"/>
  <c r="H9" i="9"/>
  <c r="H10" i="9"/>
  <c r="P4" i="2"/>
  <c r="P3" i="2"/>
  <c r="O3" i="2"/>
  <c r="O4" i="2"/>
  <c r="I20" i="3" l="1"/>
  <c r="I2" i="3" s="1"/>
  <c r="H20" i="3"/>
  <c r="H2" i="3" s="1"/>
  <c r="R196" i="6"/>
  <c r="H13" i="9" l="1"/>
  <c r="H14" i="9"/>
  <c r="E82" i="6" l="1"/>
  <c r="E83" i="6"/>
  <c r="E84" i="6"/>
  <c r="E85" i="6"/>
  <c r="E86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31" i="6"/>
  <c r="E32" i="6"/>
  <c r="E33" i="6"/>
  <c r="E34" i="6"/>
  <c r="E35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I3" i="10"/>
  <c r="I4" i="10"/>
  <c r="I5" i="10"/>
  <c r="I6" i="10"/>
  <c r="I7" i="10"/>
  <c r="I8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O82" i="6" l="1"/>
  <c r="L82" i="6"/>
  <c r="J82" i="6"/>
  <c r="P82" i="6"/>
  <c r="M82" i="6"/>
  <c r="K82" i="6"/>
  <c r="N82" i="6"/>
  <c r="Q82" i="6"/>
  <c r="F82" i="6"/>
  <c r="I82" i="6"/>
  <c r="H82" i="6"/>
  <c r="G82" i="6"/>
  <c r="N83" i="6"/>
  <c r="O83" i="6"/>
  <c r="J83" i="6"/>
  <c r="M83" i="6"/>
  <c r="L83" i="6"/>
  <c r="K83" i="6"/>
  <c r="I83" i="6"/>
  <c r="H83" i="6"/>
  <c r="G83" i="6"/>
  <c r="F83" i="6"/>
  <c r="P83" i="6"/>
  <c r="Q83" i="6"/>
  <c r="O84" i="6"/>
  <c r="Q84" i="6"/>
  <c r="M84" i="6"/>
  <c r="G84" i="6"/>
  <c r="H84" i="6"/>
  <c r="I84" i="6"/>
  <c r="J84" i="6"/>
  <c r="F84" i="6"/>
  <c r="K84" i="6"/>
  <c r="P84" i="6"/>
  <c r="N84" i="6"/>
  <c r="L84" i="6"/>
  <c r="L85" i="6"/>
  <c r="N85" i="6"/>
  <c r="P85" i="6"/>
  <c r="J85" i="6"/>
  <c r="K85" i="6"/>
  <c r="F85" i="6"/>
  <c r="M85" i="6"/>
  <c r="O85" i="6"/>
  <c r="Q85" i="6"/>
  <c r="G85" i="6"/>
  <c r="H85" i="6"/>
  <c r="I85" i="6"/>
  <c r="K86" i="6"/>
  <c r="O86" i="6"/>
  <c r="L86" i="6"/>
  <c r="N86" i="6"/>
  <c r="P86" i="6"/>
  <c r="M86" i="6"/>
  <c r="Q86" i="6"/>
  <c r="K92" i="6"/>
  <c r="J92" i="6"/>
  <c r="M92" i="6"/>
  <c r="I92" i="6"/>
  <c r="H92" i="6"/>
  <c r="G92" i="6"/>
  <c r="N92" i="6"/>
  <c r="O92" i="6"/>
  <c r="P92" i="6"/>
  <c r="F92" i="6"/>
  <c r="Q92" i="6"/>
  <c r="L92" i="6"/>
  <c r="K93" i="6"/>
  <c r="L93" i="6"/>
  <c r="M93" i="6"/>
  <c r="O93" i="6"/>
  <c r="P93" i="6"/>
  <c r="I93" i="6"/>
  <c r="H93" i="6"/>
  <c r="Q93" i="6"/>
  <c r="F93" i="6"/>
  <c r="G93" i="6"/>
  <c r="J93" i="6"/>
  <c r="N93" i="6"/>
  <c r="I94" i="6"/>
  <c r="N94" i="6"/>
  <c r="P94" i="6"/>
  <c r="L94" i="6"/>
  <c r="J94" i="6"/>
  <c r="H94" i="6"/>
  <c r="O94" i="6"/>
  <c r="G94" i="6"/>
  <c r="K94" i="6"/>
  <c r="M94" i="6"/>
  <c r="Q94" i="6"/>
  <c r="F94" i="6"/>
  <c r="G95" i="6"/>
  <c r="I95" i="6"/>
  <c r="L95" i="6"/>
  <c r="Q95" i="6"/>
  <c r="P95" i="6"/>
  <c r="K95" i="6"/>
  <c r="N95" i="6"/>
  <c r="O95" i="6"/>
  <c r="J95" i="6"/>
  <c r="H95" i="6"/>
  <c r="M95" i="6"/>
  <c r="F95" i="6"/>
  <c r="M96" i="6"/>
  <c r="Q96" i="6"/>
  <c r="F96" i="6"/>
  <c r="K96" i="6"/>
  <c r="O96" i="6"/>
  <c r="G96" i="6"/>
  <c r="J96" i="6"/>
  <c r="N96" i="6"/>
  <c r="I96" i="6"/>
  <c r="L96" i="6"/>
  <c r="P96" i="6"/>
  <c r="H96" i="6"/>
  <c r="J97" i="6"/>
  <c r="O97" i="6"/>
  <c r="P97" i="6"/>
  <c r="K97" i="6"/>
  <c r="N97" i="6"/>
  <c r="I97" i="6"/>
  <c r="G97" i="6"/>
  <c r="F97" i="6"/>
  <c r="L97" i="6"/>
  <c r="Q97" i="6"/>
  <c r="H97" i="6"/>
  <c r="M97" i="6"/>
  <c r="G98" i="6"/>
  <c r="I98" i="6"/>
  <c r="N98" i="6"/>
  <c r="Q98" i="6"/>
  <c r="J98" i="6"/>
  <c r="L98" i="6"/>
  <c r="P98" i="6"/>
  <c r="M98" i="6"/>
  <c r="H98" i="6"/>
  <c r="K98" i="6"/>
  <c r="O98" i="6"/>
  <c r="F98" i="6"/>
  <c r="I99" i="6"/>
  <c r="L99" i="6"/>
  <c r="O99" i="6"/>
  <c r="G99" i="6"/>
  <c r="F99" i="6"/>
  <c r="J99" i="6"/>
  <c r="Q99" i="6"/>
  <c r="H99" i="6"/>
  <c r="K99" i="6"/>
  <c r="N99" i="6"/>
  <c r="M99" i="6"/>
  <c r="P99" i="6"/>
  <c r="F107" i="6"/>
  <c r="H107" i="6"/>
  <c r="G107" i="6"/>
  <c r="G108" i="6"/>
  <c r="H108" i="6"/>
  <c r="H109" i="6"/>
  <c r="G109" i="6"/>
  <c r="R36" i="6"/>
  <c r="R39" i="6"/>
  <c r="R40" i="6"/>
  <c r="I108" i="6"/>
  <c r="J108" i="6"/>
  <c r="K108" i="6"/>
  <c r="L108" i="6"/>
  <c r="M108" i="6"/>
  <c r="N108" i="6"/>
  <c r="O108" i="6"/>
  <c r="P108" i="6"/>
  <c r="Q108" i="6"/>
  <c r="I107" i="6"/>
  <c r="Q107" i="6"/>
  <c r="Q138" i="6" s="1"/>
  <c r="P107" i="6"/>
  <c r="P138" i="6" s="1"/>
  <c r="J107" i="6"/>
  <c r="K107" i="6"/>
  <c r="L107" i="6"/>
  <c r="M107" i="6"/>
  <c r="N107" i="6"/>
  <c r="O107" i="6"/>
  <c r="O138" i="6" s="1"/>
  <c r="I57" i="6"/>
  <c r="J57" i="6"/>
  <c r="K57" i="6"/>
  <c r="L57" i="6"/>
  <c r="M57" i="6"/>
  <c r="N57" i="6"/>
  <c r="O57" i="6"/>
  <c r="P57" i="6"/>
  <c r="Q57" i="6"/>
  <c r="I56" i="6"/>
  <c r="Q56" i="6"/>
  <c r="Q64" i="6" s="1"/>
  <c r="P56" i="6"/>
  <c r="P64" i="6" s="1"/>
  <c r="L56" i="6"/>
  <c r="L64" i="6" s="1"/>
  <c r="J56" i="6"/>
  <c r="K56" i="6"/>
  <c r="M56" i="6"/>
  <c r="M64" i="6" s="1"/>
  <c r="N56" i="6"/>
  <c r="O56" i="6"/>
  <c r="E37" i="10"/>
  <c r="E36" i="10"/>
  <c r="E35" i="10"/>
  <c r="E4" i="10"/>
  <c r="E5" i="10"/>
  <c r="E6" i="10"/>
  <c r="E7" i="10"/>
  <c r="E8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" i="10"/>
  <c r="H139" i="6" l="1"/>
  <c r="G139" i="6"/>
  <c r="L138" i="6"/>
  <c r="M138" i="6"/>
  <c r="N138" i="6"/>
  <c r="J64" i="6"/>
  <c r="K64" i="6"/>
  <c r="N64" i="6"/>
  <c r="I64" i="6"/>
  <c r="K138" i="6"/>
  <c r="J138" i="6"/>
  <c r="P136" i="6"/>
  <c r="L136" i="6"/>
  <c r="I138" i="6"/>
  <c r="J136" i="6"/>
  <c r="O136" i="6"/>
  <c r="K136" i="6"/>
  <c r="O64" i="6"/>
  <c r="O135" i="6"/>
  <c r="L135" i="6"/>
  <c r="J135" i="6"/>
  <c r="P135" i="6"/>
  <c r="M135" i="6"/>
  <c r="K135" i="6"/>
  <c r="N135" i="6"/>
  <c r="Q135" i="6"/>
  <c r="I135" i="6"/>
  <c r="H135" i="6"/>
  <c r="G135" i="6"/>
  <c r="H136" i="6"/>
  <c r="G136" i="6"/>
  <c r="I136" i="6"/>
  <c r="N136" i="6"/>
  <c r="M136" i="6"/>
  <c r="Q136" i="6"/>
  <c r="H138" i="6"/>
  <c r="G138" i="6"/>
  <c r="R87" i="6"/>
  <c r="R89" i="6"/>
  <c r="R90" i="6"/>
  <c r="R91" i="6"/>
  <c r="R37" i="6"/>
  <c r="R38" i="6"/>
  <c r="D3" i="3"/>
  <c r="E3" i="3" s="1"/>
  <c r="F3" i="3" s="1"/>
  <c r="G3" i="3" s="1"/>
  <c r="H3" i="3" s="1"/>
  <c r="I3" i="3" s="1"/>
  <c r="J3" i="3" s="1"/>
  <c r="K3" i="3" s="1"/>
  <c r="L3" i="3" s="1"/>
  <c r="M3" i="3" s="1"/>
  <c r="N3" i="3" s="1"/>
  <c r="I109" i="6" l="1"/>
  <c r="I139" i="6" l="1"/>
  <c r="I146" i="6"/>
  <c r="I153" i="6" s="1"/>
  <c r="O109" i="6"/>
  <c r="N109" i="6"/>
  <c r="P109" i="6"/>
  <c r="M109" i="6"/>
  <c r="L109" i="6"/>
  <c r="K109" i="6"/>
  <c r="F109" i="6"/>
  <c r="J109" i="6"/>
  <c r="Q109" i="6"/>
  <c r="O139" i="6" l="1"/>
  <c r="O146" i="6" s="1"/>
  <c r="O153" i="6" s="1"/>
  <c r="N139" i="6"/>
  <c r="N146" i="6" s="1"/>
  <c r="N153" i="6" s="1"/>
  <c r="P139" i="6"/>
  <c r="P146" i="6" s="1"/>
  <c r="P153" i="6" s="1"/>
  <c r="M139" i="6"/>
  <c r="M146" i="6" s="1"/>
  <c r="M153" i="6" s="1"/>
  <c r="L139" i="6"/>
  <c r="L146" i="6" s="1"/>
  <c r="L153" i="6" s="1"/>
  <c r="K139" i="6"/>
  <c r="K146" i="6" s="1"/>
  <c r="K153" i="6" s="1"/>
  <c r="J139" i="6"/>
  <c r="Q139" i="6"/>
  <c r="Q146" i="6" s="1"/>
  <c r="Q153" i="6" s="1"/>
  <c r="H146" i="6"/>
  <c r="H153" i="6" s="1"/>
  <c r="F139" i="6"/>
  <c r="F146" i="6" s="1"/>
  <c r="F153" i="6" s="1"/>
  <c r="J146" i="6"/>
  <c r="J153" i="6" s="1"/>
  <c r="G146" i="6"/>
  <c r="G153" i="6" s="1"/>
  <c r="R109" i="6"/>
  <c r="R6" i="6"/>
  <c r="E6" i="6" s="1"/>
  <c r="G209" i="6"/>
  <c r="G235" i="6" s="1"/>
  <c r="H209" i="6"/>
  <c r="H235" i="6" s="1"/>
  <c r="I209" i="6"/>
  <c r="I235" i="6" s="1"/>
  <c r="J209" i="6"/>
  <c r="J235" i="6" s="1"/>
  <c r="K209" i="6"/>
  <c r="K235" i="6" s="1"/>
  <c r="L209" i="6"/>
  <c r="L235" i="6" s="1"/>
  <c r="M209" i="6"/>
  <c r="M235" i="6" s="1"/>
  <c r="N209" i="6"/>
  <c r="N235" i="6" s="1"/>
  <c r="O209" i="6"/>
  <c r="O235" i="6" s="1"/>
  <c r="P209" i="6"/>
  <c r="P235" i="6" s="1"/>
  <c r="Q209" i="6"/>
  <c r="Q235" i="6" s="1"/>
  <c r="F209" i="6"/>
  <c r="F235" i="6" s="1"/>
  <c r="F233" i="6"/>
  <c r="J206" i="6"/>
  <c r="J232" i="6" s="1"/>
  <c r="P206" i="6"/>
  <c r="P232" i="6" s="1"/>
  <c r="Q206" i="6"/>
  <c r="Q232" i="6" s="1"/>
  <c r="F206" i="6"/>
  <c r="F232" i="6" s="1"/>
  <c r="G222" i="6"/>
  <c r="H222" i="6"/>
  <c r="I222" i="6"/>
  <c r="J222" i="6"/>
  <c r="K222" i="6"/>
  <c r="L222" i="6"/>
  <c r="M222" i="6"/>
  <c r="N222" i="6"/>
  <c r="O222" i="6"/>
  <c r="P222" i="6"/>
  <c r="Q222" i="6"/>
  <c r="F222" i="6"/>
  <c r="F205" i="6"/>
  <c r="F231" i="6" s="1"/>
  <c r="G202" i="6"/>
  <c r="G228" i="6" s="1"/>
  <c r="K202" i="6"/>
  <c r="K228" i="6" s="1"/>
  <c r="F202" i="6"/>
  <c r="F228" i="6" s="1"/>
  <c r="R153" i="6" l="1"/>
  <c r="R139" i="6"/>
  <c r="N58" i="6"/>
  <c r="N65" i="6" s="1"/>
  <c r="G58" i="6"/>
  <c r="G65" i="6" s="1"/>
  <c r="O58" i="6"/>
  <c r="O65" i="6" s="1"/>
  <c r="H58" i="6"/>
  <c r="H65" i="6" s="1"/>
  <c r="P58" i="6"/>
  <c r="P65" i="6" s="1"/>
  <c r="I58" i="6"/>
  <c r="I65" i="6" s="1"/>
  <c r="Q58" i="6"/>
  <c r="Q65" i="6" s="1"/>
  <c r="J58" i="6"/>
  <c r="J65" i="6" s="1"/>
  <c r="F58" i="6"/>
  <c r="K58" i="6"/>
  <c r="K65" i="6" s="1"/>
  <c r="L58" i="6"/>
  <c r="L65" i="6" s="1"/>
  <c r="M58" i="6"/>
  <c r="M65" i="6" s="1"/>
  <c r="R222" i="6"/>
  <c r="U222" i="6" s="1"/>
  <c r="R235" i="6"/>
  <c r="F65" i="6" l="1"/>
  <c r="F72" i="6" s="1"/>
  <c r="F79" i="6" s="1"/>
  <c r="R58" i="6"/>
  <c r="K79" i="6" l="1"/>
  <c r="K72" i="6"/>
  <c r="I79" i="6"/>
  <c r="I72" i="6"/>
  <c r="N79" i="6"/>
  <c r="N72" i="6"/>
  <c r="H79" i="6"/>
  <c r="H72" i="6"/>
  <c r="J79" i="6"/>
  <c r="J72" i="6"/>
  <c r="O79" i="6"/>
  <c r="O72" i="6"/>
  <c r="M79" i="6"/>
  <c r="M72" i="6"/>
  <c r="L79" i="6"/>
  <c r="L72" i="6"/>
  <c r="P79" i="6"/>
  <c r="P72" i="6"/>
  <c r="G79" i="6"/>
  <c r="G72" i="6"/>
  <c r="Q79" i="6"/>
  <c r="Q72" i="6"/>
  <c r="R65" i="6"/>
  <c r="R79" i="6" l="1"/>
  <c r="K206" i="6" l="1"/>
  <c r="K232" i="6" s="1"/>
  <c r="F108" i="6"/>
  <c r="L206" i="6" l="1"/>
  <c r="L232" i="6" s="1"/>
  <c r="G145" i="6"/>
  <c r="G152" i="6" s="1"/>
  <c r="J145" i="6"/>
  <c r="J152" i="6" s="1"/>
  <c r="Q145" i="6"/>
  <c r="Q152" i="6" s="1"/>
  <c r="H145" i="6"/>
  <c r="H152" i="6" s="1"/>
  <c r="P145" i="6"/>
  <c r="P152" i="6" s="1"/>
  <c r="K145" i="6"/>
  <c r="K152" i="6" s="1"/>
  <c r="N145" i="6"/>
  <c r="N152" i="6" s="1"/>
  <c r="L145" i="6"/>
  <c r="L152" i="6" s="1"/>
  <c r="M145" i="6"/>
  <c r="M152" i="6" s="1"/>
  <c r="F138" i="6"/>
  <c r="F145" i="6" s="1"/>
  <c r="F152" i="6" s="1"/>
  <c r="O145" i="6"/>
  <c r="O152" i="6" s="1"/>
  <c r="I145" i="6"/>
  <c r="I152" i="6" s="1"/>
  <c r="R107" i="6"/>
  <c r="R108" i="6"/>
  <c r="M206" i="6" l="1"/>
  <c r="M232" i="6" s="1"/>
  <c r="Q45" i="8"/>
  <c r="R138" i="6"/>
  <c r="R152" i="6"/>
  <c r="O206" i="6" l="1"/>
  <c r="O232" i="6" s="1"/>
  <c r="N206" i="6"/>
  <c r="N232" i="6" s="1"/>
  <c r="K104" i="6"/>
  <c r="G104" i="6"/>
  <c r="H104" i="6"/>
  <c r="L104" i="6"/>
  <c r="I104" i="6"/>
  <c r="F104" i="6"/>
  <c r="J104" i="6"/>
  <c r="F57" i="6"/>
  <c r="G57" i="6"/>
  <c r="H57" i="6"/>
  <c r="F56" i="6"/>
  <c r="G56" i="6"/>
  <c r="H56" i="6"/>
  <c r="H64" i="6" l="1"/>
  <c r="G64" i="6"/>
  <c r="F64" i="6"/>
  <c r="F71" i="6" s="1"/>
  <c r="F78" i="6" s="1"/>
  <c r="R57" i="6"/>
  <c r="R56" i="6"/>
  <c r="J78" i="6" l="1"/>
  <c r="J71" i="6"/>
  <c r="H78" i="6"/>
  <c r="H71" i="6"/>
  <c r="G78" i="6"/>
  <c r="G71" i="6"/>
  <c r="Q78" i="6"/>
  <c r="Q71" i="6"/>
  <c r="L78" i="6"/>
  <c r="L71" i="6"/>
  <c r="K78" i="6"/>
  <c r="K71" i="6"/>
  <c r="P78" i="6"/>
  <c r="P71" i="6"/>
  <c r="O78" i="6"/>
  <c r="O71" i="6"/>
  <c r="N78" i="6"/>
  <c r="N71" i="6"/>
  <c r="I78" i="6"/>
  <c r="I71" i="6"/>
  <c r="M78" i="6"/>
  <c r="M71" i="6"/>
  <c r="R64" i="6"/>
  <c r="H7" i="9" l="1"/>
  <c r="D4" i="3" l="1"/>
  <c r="G206" i="6" l="1"/>
  <c r="G232" i="6" s="1"/>
  <c r="E4" i="3"/>
  <c r="G233" i="6"/>
  <c r="R5" i="6"/>
  <c r="E5" i="6" s="1"/>
  <c r="I206" i="6" l="1"/>
  <c r="I232" i="6" s="1"/>
  <c r="H206" i="6"/>
  <c r="H232" i="6" s="1"/>
  <c r="H233" i="6"/>
  <c r="R232" i="6" l="1"/>
  <c r="U232" i="6" s="1"/>
  <c r="G4" i="3"/>
  <c r="I233" i="6"/>
  <c r="H4" i="3" l="1"/>
  <c r="J233" i="6"/>
  <c r="E2" i="2"/>
  <c r="E15" i="2" s="1"/>
  <c r="F2" i="2"/>
  <c r="F15" i="2" s="1"/>
  <c r="G2" i="2"/>
  <c r="G15" i="2" s="1"/>
  <c r="H2" i="2"/>
  <c r="H15" i="2" s="1"/>
  <c r="I2" i="2"/>
  <c r="I15" i="2" s="1"/>
  <c r="J2" i="2"/>
  <c r="J15" i="2" s="1"/>
  <c r="K2" i="2"/>
  <c r="K15" i="2" s="1"/>
  <c r="L2" i="2"/>
  <c r="L15" i="2" s="1"/>
  <c r="L20" i="2" s="1"/>
  <c r="M2" i="2"/>
  <c r="M15" i="2" s="1"/>
  <c r="N2" i="2"/>
  <c r="N15" i="2" s="1"/>
  <c r="O2" i="2"/>
  <c r="O15" i="2" s="1"/>
  <c r="P2" i="2"/>
  <c r="P15" i="2" s="1"/>
  <c r="E3" i="2"/>
  <c r="F3" i="2"/>
  <c r="G3" i="2"/>
  <c r="H3" i="2"/>
  <c r="I3" i="2"/>
  <c r="J3" i="2"/>
  <c r="K3" i="2"/>
  <c r="L3" i="2"/>
  <c r="M3" i="2"/>
  <c r="N3" i="2"/>
  <c r="E4" i="2"/>
  <c r="F4" i="2"/>
  <c r="G4" i="2"/>
  <c r="H4" i="2"/>
  <c r="I4" i="2"/>
  <c r="J4" i="2"/>
  <c r="K4" i="2"/>
  <c r="L4" i="2"/>
  <c r="M4" i="2"/>
  <c r="N4" i="2"/>
  <c r="E8" i="2"/>
  <c r="F8" i="2"/>
  <c r="G8" i="2"/>
  <c r="H8" i="2"/>
  <c r="I8" i="2"/>
  <c r="J8" i="2"/>
  <c r="K8" i="2"/>
  <c r="L8" i="2"/>
  <c r="M8" i="2"/>
  <c r="N8" i="2"/>
  <c r="O8" i="2"/>
  <c r="E6" i="2"/>
  <c r="F6" i="2"/>
  <c r="G6" i="2"/>
  <c r="H6" i="2"/>
  <c r="I6" i="2"/>
  <c r="J6" i="2"/>
  <c r="K6" i="2"/>
  <c r="L6" i="2"/>
  <c r="M6" i="2"/>
  <c r="N6" i="2"/>
  <c r="O6" i="2"/>
  <c r="E7" i="2"/>
  <c r="F7" i="2"/>
  <c r="G7" i="2"/>
  <c r="H7" i="2"/>
  <c r="I7" i="2"/>
  <c r="J7" i="2"/>
  <c r="K7" i="2"/>
  <c r="L7" i="2"/>
  <c r="M7" i="2"/>
  <c r="N7" i="2"/>
  <c r="O7" i="2"/>
  <c r="P7" i="2"/>
  <c r="E9" i="2"/>
  <c r="F9" i="2"/>
  <c r="G9" i="2"/>
  <c r="H9" i="2"/>
  <c r="I9" i="2"/>
  <c r="J9" i="2"/>
  <c r="K9" i="2"/>
  <c r="L9" i="2"/>
  <c r="M9" i="2"/>
  <c r="N9" i="2"/>
  <c r="O9" i="2"/>
  <c r="P8" i="2"/>
  <c r="P6" i="2"/>
  <c r="H4" i="9"/>
  <c r="J20" i="2" l="1"/>
  <c r="K233" i="6"/>
  <c r="L16" i="2"/>
  <c r="L21" i="2" s="1"/>
  <c r="G20" i="2"/>
  <c r="P16" i="2"/>
  <c r="P21" i="2" s="1"/>
  <c r="M16" i="2"/>
  <c r="M21" i="2" s="1"/>
  <c r="E16" i="2"/>
  <c r="E21" i="2" s="1"/>
  <c r="N16" i="2"/>
  <c r="N21" i="2" s="1"/>
  <c r="F16" i="2"/>
  <c r="F21" i="2" s="1"/>
  <c r="P20" i="2"/>
  <c r="O20" i="2"/>
  <c r="M20" i="2"/>
  <c r="K16" i="2"/>
  <c r="K21" i="2" s="1"/>
  <c r="N5" i="2"/>
  <c r="O204" i="6" s="1"/>
  <c r="O230" i="6" s="1"/>
  <c r="N20" i="2"/>
  <c r="F5" i="2"/>
  <c r="G204" i="6" s="1"/>
  <c r="G230" i="6" s="1"/>
  <c r="F20" i="2"/>
  <c r="J16" i="2"/>
  <c r="J21" i="2" s="1"/>
  <c r="E5" i="2"/>
  <c r="F204" i="6" s="1"/>
  <c r="F230" i="6" s="1"/>
  <c r="E20" i="2"/>
  <c r="I16" i="2"/>
  <c r="I21" i="2" s="1"/>
  <c r="I5" i="2"/>
  <c r="J204" i="6" s="1"/>
  <c r="J230" i="6" s="1"/>
  <c r="I20" i="2"/>
  <c r="H5" i="2"/>
  <c r="I204" i="6" s="1"/>
  <c r="I230" i="6" s="1"/>
  <c r="H20" i="2"/>
  <c r="H16" i="2"/>
  <c r="H21" i="2" s="1"/>
  <c r="K5" i="2"/>
  <c r="L204" i="6" s="1"/>
  <c r="L230" i="6" s="1"/>
  <c r="K20" i="2"/>
  <c r="O16" i="2"/>
  <c r="O21" i="2" s="1"/>
  <c r="G16" i="2"/>
  <c r="G21" i="2" s="1"/>
  <c r="J5" i="2"/>
  <c r="K204" i="6" s="1"/>
  <c r="K230" i="6" s="1"/>
  <c r="M5" i="2"/>
  <c r="H10" i="2"/>
  <c r="O10" i="2"/>
  <c r="G10" i="2"/>
  <c r="N10" i="2"/>
  <c r="F10" i="2"/>
  <c r="M10" i="2"/>
  <c r="E10" i="2"/>
  <c r="E17" i="2" s="1"/>
  <c r="E22" i="2" s="1"/>
  <c r="I10" i="2"/>
  <c r="I17" i="2" s="1"/>
  <c r="I22" i="2" s="1"/>
  <c r="L10" i="2"/>
  <c r="K10" i="2"/>
  <c r="K17" i="2" s="1"/>
  <c r="K22" i="2" s="1"/>
  <c r="J10" i="2"/>
  <c r="J17" i="2" s="1"/>
  <c r="J22" i="2" s="1"/>
  <c r="P5" i="2"/>
  <c r="G5" i="2"/>
  <c r="O5" i="2"/>
  <c r="P204" i="6" s="1"/>
  <c r="P230" i="6" s="1"/>
  <c r="L5" i="2"/>
  <c r="M204" i="6" s="1"/>
  <c r="M230" i="6" s="1"/>
  <c r="H12" i="9"/>
  <c r="P9" i="2"/>
  <c r="P10" i="2" s="1"/>
  <c r="J4" i="3" l="1"/>
  <c r="L233" i="6"/>
  <c r="Q201" i="6"/>
  <c r="Q227" i="6" s="1"/>
  <c r="P17" i="2"/>
  <c r="P22" i="2" s="1"/>
  <c r="N201" i="6"/>
  <c r="N227" i="6" s="1"/>
  <c r="M17" i="2"/>
  <c r="M22" i="2" s="1"/>
  <c r="G201" i="6"/>
  <c r="G227" i="6" s="1"/>
  <c r="F17" i="2"/>
  <c r="F22" i="2" s="1"/>
  <c r="P201" i="6"/>
  <c r="P227" i="6" s="1"/>
  <c r="O17" i="2"/>
  <c r="O22" i="2" s="1"/>
  <c r="M201" i="6"/>
  <c r="M227" i="6" s="1"/>
  <c r="L17" i="2"/>
  <c r="L22" i="2" s="1"/>
  <c r="I201" i="6"/>
  <c r="I227" i="6" s="1"/>
  <c r="H17" i="2"/>
  <c r="H22" i="2" s="1"/>
  <c r="O201" i="6"/>
  <c r="O227" i="6" s="1"/>
  <c r="N17" i="2"/>
  <c r="N22" i="2" s="1"/>
  <c r="H201" i="6"/>
  <c r="H227" i="6" s="1"/>
  <c r="G17" i="2"/>
  <c r="G22" i="2" s="1"/>
  <c r="F201" i="6"/>
  <c r="F227" i="6" s="1"/>
  <c r="H204" i="6"/>
  <c r="H230" i="6" s="1"/>
  <c r="Q204" i="6"/>
  <c r="Q230" i="6" s="1"/>
  <c r="K201" i="6"/>
  <c r="K227" i="6" s="1"/>
  <c r="L201" i="6"/>
  <c r="L227" i="6" s="1"/>
  <c r="J201" i="6"/>
  <c r="J227" i="6" s="1"/>
  <c r="N204" i="6"/>
  <c r="N230" i="6" s="1"/>
  <c r="K4" i="3" l="1"/>
  <c r="M233" i="6"/>
  <c r="G205" i="6"/>
  <c r="G231" i="6" s="1"/>
  <c r="R230" i="6"/>
  <c r="U230" i="6" s="1"/>
  <c r="R227" i="6"/>
  <c r="U227" i="6" s="1"/>
  <c r="R209" i="6"/>
  <c r="N233" i="6" l="1"/>
  <c r="H205" i="6"/>
  <c r="H231" i="6" s="1"/>
  <c r="J16" i="9"/>
  <c r="K16" i="9"/>
  <c r="L16" i="9"/>
  <c r="M16" i="9"/>
  <c r="N16" i="9"/>
  <c r="O16" i="9"/>
  <c r="P16" i="9"/>
  <c r="Q16" i="9"/>
  <c r="R16" i="9"/>
  <c r="S16" i="9"/>
  <c r="T16" i="9"/>
  <c r="I16" i="9"/>
  <c r="R3" i="6"/>
  <c r="M4" i="3" l="1"/>
  <c r="O233" i="6"/>
  <c r="I205" i="6"/>
  <c r="I231" i="6" s="1"/>
  <c r="R201" i="6"/>
  <c r="H16" i="9"/>
  <c r="N4" i="3" l="1"/>
  <c r="R207" i="6" s="1"/>
  <c r="P233" i="6"/>
  <c r="J205" i="6"/>
  <c r="J231" i="6" s="1"/>
  <c r="P15" i="9"/>
  <c r="L11" i="2" s="1"/>
  <c r="L12" i="2" s="1"/>
  <c r="N15" i="9"/>
  <c r="J11" i="2" s="1"/>
  <c r="J12" i="2" s="1"/>
  <c r="M15" i="9"/>
  <c r="I11" i="2" s="1"/>
  <c r="I12" i="2" s="1"/>
  <c r="I18" i="2" l="1"/>
  <c r="I23" i="2" s="1"/>
  <c r="I13" i="2"/>
  <c r="J200" i="6"/>
  <c r="J226" i="6" s="1"/>
  <c r="J225" i="6" s="1"/>
  <c r="K200" i="6"/>
  <c r="K226" i="6" s="1"/>
  <c r="K225" i="6" s="1"/>
  <c r="J18" i="2"/>
  <c r="J23" i="2" s="1"/>
  <c r="J13" i="2"/>
  <c r="L13" i="2"/>
  <c r="L18" i="2"/>
  <c r="L23" i="2" s="1"/>
  <c r="M200" i="6"/>
  <c r="M226" i="6" s="1"/>
  <c r="M225" i="6" s="1"/>
  <c r="Q233" i="6"/>
  <c r="R233" i="6" s="1"/>
  <c r="U233" i="6" s="1"/>
  <c r="K205" i="6"/>
  <c r="K231" i="6" s="1"/>
  <c r="O15" i="9"/>
  <c r="K11" i="2" s="1"/>
  <c r="K12" i="2" s="1"/>
  <c r="Q15" i="9"/>
  <c r="M11" i="2" s="1"/>
  <c r="M12" i="2" s="1"/>
  <c r="J15" i="9"/>
  <c r="F11" i="2" s="1"/>
  <c r="F12" i="2" s="1"/>
  <c r="R15" i="9"/>
  <c r="N11" i="2" s="1"/>
  <c r="N12" i="2" s="1"/>
  <c r="K15" i="9"/>
  <c r="G11" i="2" s="1"/>
  <c r="G12" i="2" s="1"/>
  <c r="S15" i="9"/>
  <c r="O11" i="2" s="1"/>
  <c r="O12" i="2" s="1"/>
  <c r="I15" i="9"/>
  <c r="E11" i="2" s="1"/>
  <c r="E12" i="2" s="1"/>
  <c r="L15" i="9"/>
  <c r="H11" i="2" s="1"/>
  <c r="H12" i="2" s="1"/>
  <c r="T15" i="9"/>
  <c r="P11" i="2" s="1"/>
  <c r="P12" i="2" s="1"/>
  <c r="J17" i="9"/>
  <c r="K17" i="9"/>
  <c r="L17" i="9"/>
  <c r="M17" i="9"/>
  <c r="N17" i="9"/>
  <c r="O17" i="9"/>
  <c r="P17" i="9"/>
  <c r="Q17" i="9"/>
  <c r="R17" i="9"/>
  <c r="S17" i="9"/>
  <c r="T17" i="9"/>
  <c r="I17" i="9"/>
  <c r="G200" i="6" l="1"/>
  <c r="G226" i="6" s="1"/>
  <c r="G225" i="6" s="1"/>
  <c r="F18" i="2"/>
  <c r="F23" i="2" s="1"/>
  <c r="F13" i="2"/>
  <c r="N200" i="6"/>
  <c r="N226" i="6" s="1"/>
  <c r="N225" i="6" s="1"/>
  <c r="M18" i="2"/>
  <c r="M23" i="2" s="1"/>
  <c r="M13" i="2"/>
  <c r="N18" i="2"/>
  <c r="N23" i="2" s="1"/>
  <c r="O200" i="6"/>
  <c r="O226" i="6" s="1"/>
  <c r="O225" i="6" s="1"/>
  <c r="N13" i="2"/>
  <c r="G18" i="2"/>
  <c r="G23" i="2" s="1"/>
  <c r="G13" i="2"/>
  <c r="H200" i="6"/>
  <c r="H226" i="6" s="1"/>
  <c r="H225" i="6" s="1"/>
  <c r="F200" i="6"/>
  <c r="F226" i="6" s="1"/>
  <c r="F225" i="6" s="1"/>
  <c r="E18" i="2"/>
  <c r="E23" i="2" s="1"/>
  <c r="E13" i="2"/>
  <c r="K18" i="2"/>
  <c r="K23" i="2" s="1"/>
  <c r="L200" i="6"/>
  <c r="L226" i="6" s="1"/>
  <c r="L225" i="6" s="1"/>
  <c r="K13" i="2"/>
  <c r="P13" i="2"/>
  <c r="Q200" i="6"/>
  <c r="Q226" i="6" s="1"/>
  <c r="Q225" i="6" s="1"/>
  <c r="P18" i="2"/>
  <c r="P23" i="2" s="1"/>
  <c r="P200" i="6"/>
  <c r="P226" i="6" s="1"/>
  <c r="P225" i="6" s="1"/>
  <c r="O18" i="2"/>
  <c r="O23" i="2" s="1"/>
  <c r="O13" i="2"/>
  <c r="L205" i="6"/>
  <c r="L231" i="6" s="1"/>
  <c r="H13" i="2"/>
  <c r="H18" i="2"/>
  <c r="H23" i="2" s="1"/>
  <c r="I200" i="6"/>
  <c r="I226" i="6" s="1"/>
  <c r="I225" i="6" s="1"/>
  <c r="H17" i="9"/>
  <c r="R226" i="6" l="1"/>
  <c r="M205" i="6"/>
  <c r="M231" i="6" s="1"/>
  <c r="H199" i="6"/>
  <c r="N199" i="6"/>
  <c r="O199" i="6"/>
  <c r="I199" i="6"/>
  <c r="P199" i="6"/>
  <c r="G199" i="6"/>
  <c r="Q199" i="6"/>
  <c r="F199" i="6"/>
  <c r="H11" i="9"/>
  <c r="R225" i="6" l="1"/>
  <c r="U225" i="6" s="1"/>
  <c r="U226" i="6"/>
  <c r="N205" i="6"/>
  <c r="N231" i="6" s="1"/>
  <c r="J199" i="6"/>
  <c r="K199" i="6"/>
  <c r="M199" i="6"/>
  <c r="L199" i="6"/>
  <c r="O205" i="6" l="1"/>
  <c r="O231" i="6" s="1"/>
  <c r="R200" i="6"/>
  <c r="R199" i="6" s="1"/>
  <c r="Q205" i="6" l="1"/>
  <c r="Q231" i="6" s="1"/>
  <c r="P205" i="6"/>
  <c r="P231" i="6" s="1"/>
  <c r="R231" i="6" l="1"/>
  <c r="U231" i="6" s="1"/>
  <c r="F5" i="7"/>
  <c r="J197" i="6" s="1"/>
  <c r="J223" i="6" s="1"/>
  <c r="M5" i="7"/>
  <c r="Q197" i="6" s="1"/>
  <c r="Q223" i="6" s="1"/>
  <c r="D5" i="7"/>
  <c r="H197" i="6" s="1"/>
  <c r="H223" i="6" s="1"/>
  <c r="E5" i="7"/>
  <c r="I197" i="6" s="1"/>
  <c r="I223" i="6" s="1"/>
  <c r="H5" i="7"/>
  <c r="L197" i="6" s="1"/>
  <c r="L223" i="6" s="1"/>
  <c r="G5" i="7"/>
  <c r="K197" i="6" s="1"/>
  <c r="K223" i="6" s="1"/>
  <c r="B5" i="7"/>
  <c r="F197" i="6" s="1"/>
  <c r="F223" i="6" s="1"/>
  <c r="C5" i="7"/>
  <c r="G197" i="6" s="1"/>
  <c r="G223" i="6" s="1"/>
  <c r="L5" i="7"/>
  <c r="P197" i="6" s="1"/>
  <c r="P223" i="6" s="1"/>
  <c r="J5" i="7"/>
  <c r="N197" i="6" s="1"/>
  <c r="N223" i="6" s="1"/>
  <c r="K5" i="7"/>
  <c r="O197" i="6" s="1"/>
  <c r="O223" i="6" s="1"/>
  <c r="I5" i="7"/>
  <c r="M197" i="6" s="1"/>
  <c r="M223" i="6" s="1"/>
  <c r="M2" i="4"/>
  <c r="Q202" i="6" s="1"/>
  <c r="Q228" i="6" s="1"/>
  <c r="I2" i="4"/>
  <c r="M202" i="6" s="1"/>
  <c r="M228" i="6" s="1"/>
  <c r="H2" i="4"/>
  <c r="L202" i="6" s="1"/>
  <c r="L228" i="6" s="1"/>
  <c r="D2" i="4"/>
  <c r="J2" i="4" s="1"/>
  <c r="N202" i="6" s="1"/>
  <c r="N228" i="6" s="1"/>
  <c r="E2" i="4" l="1"/>
  <c r="K2" i="4" s="1"/>
  <c r="O202" i="6" s="1"/>
  <c r="O228" i="6" s="1"/>
  <c r="H202" i="6"/>
  <c r="H228" i="6" s="1"/>
  <c r="R223" i="6"/>
  <c r="U223" i="6" s="1"/>
  <c r="G106" i="6"/>
  <c r="H106" i="6"/>
  <c r="I106" i="6"/>
  <c r="J106" i="6"/>
  <c r="K106" i="6"/>
  <c r="L106" i="6"/>
  <c r="M106" i="6"/>
  <c r="N106" i="6"/>
  <c r="O106" i="6"/>
  <c r="P106" i="6"/>
  <c r="Q106" i="6"/>
  <c r="F106" i="6"/>
  <c r="G105" i="6"/>
  <c r="H105" i="6"/>
  <c r="I105" i="6"/>
  <c r="J105" i="6"/>
  <c r="K105" i="6"/>
  <c r="L105" i="6"/>
  <c r="M105" i="6"/>
  <c r="N105" i="6"/>
  <c r="O105" i="6"/>
  <c r="P105" i="6"/>
  <c r="Q105" i="6"/>
  <c r="F105" i="6"/>
  <c r="M104" i="6"/>
  <c r="N104" i="6"/>
  <c r="O104" i="6"/>
  <c r="P104" i="6"/>
  <c r="Q104" i="6"/>
  <c r="G103" i="6"/>
  <c r="H103" i="6"/>
  <c r="I103" i="6"/>
  <c r="J103" i="6"/>
  <c r="K103" i="6"/>
  <c r="L103" i="6"/>
  <c r="M103" i="6"/>
  <c r="N103" i="6"/>
  <c r="O103" i="6"/>
  <c r="P103" i="6"/>
  <c r="Q103" i="6"/>
  <c r="F103" i="6"/>
  <c r="G102" i="6"/>
  <c r="H102" i="6"/>
  <c r="I102" i="6"/>
  <c r="J102" i="6"/>
  <c r="K102" i="6"/>
  <c r="L102" i="6"/>
  <c r="M102" i="6"/>
  <c r="N102" i="6"/>
  <c r="O102" i="6"/>
  <c r="P102" i="6"/>
  <c r="Q102" i="6"/>
  <c r="F102" i="6"/>
  <c r="G101" i="6"/>
  <c r="H101" i="6"/>
  <c r="I101" i="6"/>
  <c r="J101" i="6"/>
  <c r="K101" i="6"/>
  <c r="L101" i="6"/>
  <c r="M101" i="6"/>
  <c r="N101" i="6"/>
  <c r="O101" i="6"/>
  <c r="P101" i="6"/>
  <c r="Q101" i="6"/>
  <c r="F101" i="6"/>
  <c r="G100" i="6"/>
  <c r="G184" i="6" s="1"/>
  <c r="H100" i="6"/>
  <c r="H184" i="6" s="1"/>
  <c r="I100" i="6"/>
  <c r="J100" i="6"/>
  <c r="K100" i="6"/>
  <c r="L100" i="6"/>
  <c r="M100" i="6"/>
  <c r="N100" i="6"/>
  <c r="O100" i="6"/>
  <c r="P100" i="6"/>
  <c r="Q100" i="6"/>
  <c r="Q184" i="6" s="1"/>
  <c r="F100" i="6"/>
  <c r="F184" i="6" s="1"/>
  <c r="G54" i="6"/>
  <c r="H54" i="6"/>
  <c r="I54" i="6"/>
  <c r="J54" i="6"/>
  <c r="K54" i="6"/>
  <c r="L54" i="6"/>
  <c r="M54" i="6"/>
  <c r="N54" i="6"/>
  <c r="O54" i="6"/>
  <c r="P54" i="6"/>
  <c r="Q54" i="6"/>
  <c r="F54" i="6"/>
  <c r="G53" i="6"/>
  <c r="H53" i="6"/>
  <c r="I53" i="6"/>
  <c r="J53" i="6"/>
  <c r="K53" i="6"/>
  <c r="L53" i="6"/>
  <c r="M53" i="6"/>
  <c r="N53" i="6"/>
  <c r="O53" i="6"/>
  <c r="P53" i="6"/>
  <c r="Q53" i="6"/>
  <c r="F53" i="6"/>
  <c r="G52" i="6"/>
  <c r="H52" i="6"/>
  <c r="I52" i="6"/>
  <c r="J52" i="6"/>
  <c r="K52" i="6"/>
  <c r="L52" i="6"/>
  <c r="M52" i="6"/>
  <c r="N52" i="6"/>
  <c r="O52" i="6"/>
  <c r="P52" i="6"/>
  <c r="Q52" i="6"/>
  <c r="F52" i="6"/>
  <c r="G51" i="6"/>
  <c r="H51" i="6"/>
  <c r="I51" i="6"/>
  <c r="J51" i="6"/>
  <c r="K51" i="6"/>
  <c r="L51" i="6"/>
  <c r="M51" i="6"/>
  <c r="N51" i="6"/>
  <c r="O51" i="6"/>
  <c r="P51" i="6"/>
  <c r="Q51" i="6"/>
  <c r="F51" i="6"/>
  <c r="G50" i="6"/>
  <c r="H50" i="6"/>
  <c r="I50" i="6"/>
  <c r="J50" i="6"/>
  <c r="K50" i="6"/>
  <c r="L50" i="6"/>
  <c r="M50" i="6"/>
  <c r="N50" i="6"/>
  <c r="O50" i="6"/>
  <c r="P50" i="6"/>
  <c r="Q50" i="6"/>
  <c r="F50" i="6"/>
  <c r="N45" i="6"/>
  <c r="J44" i="6"/>
  <c r="N43" i="6"/>
  <c r="J41" i="6"/>
  <c r="N47" i="6"/>
  <c r="J46" i="6"/>
  <c r="H33" i="6"/>
  <c r="R4" i="6"/>
  <c r="E4" i="6" s="1"/>
  <c r="E3" i="6"/>
  <c r="R2" i="6"/>
  <c r="E2" i="6" s="1"/>
  <c r="F49" i="6"/>
  <c r="G49" i="6"/>
  <c r="H49" i="6"/>
  <c r="I49" i="6"/>
  <c r="J49" i="6"/>
  <c r="K49" i="6"/>
  <c r="L49" i="6"/>
  <c r="M49" i="6"/>
  <c r="N49" i="6"/>
  <c r="O49" i="6"/>
  <c r="P49" i="6"/>
  <c r="Q49" i="6"/>
  <c r="N184" i="6" l="1"/>
  <c r="O184" i="6"/>
  <c r="P184" i="6"/>
  <c r="M184" i="6"/>
  <c r="I184" i="6"/>
  <c r="L184" i="6"/>
  <c r="K184" i="6"/>
  <c r="J184" i="6"/>
  <c r="G137" i="6"/>
  <c r="G144" i="6" s="1"/>
  <c r="G151" i="6" s="1"/>
  <c r="H137" i="6"/>
  <c r="H144" i="6" s="1"/>
  <c r="H151" i="6" s="1"/>
  <c r="I137" i="6"/>
  <c r="I144" i="6" s="1"/>
  <c r="I151" i="6" s="1"/>
  <c r="J137" i="6"/>
  <c r="J144" i="6" s="1"/>
  <c r="J151" i="6" s="1"/>
  <c r="K137" i="6"/>
  <c r="K144" i="6" s="1"/>
  <c r="K151" i="6" s="1"/>
  <c r="L137" i="6"/>
  <c r="L144" i="6" s="1"/>
  <c r="L151" i="6" s="1"/>
  <c r="M137" i="6"/>
  <c r="M144" i="6" s="1"/>
  <c r="M151" i="6" s="1"/>
  <c r="N137" i="6"/>
  <c r="N144" i="6" s="1"/>
  <c r="N151" i="6" s="1"/>
  <c r="O137" i="6"/>
  <c r="O144" i="6" s="1"/>
  <c r="O151" i="6" s="1"/>
  <c r="P137" i="6"/>
  <c r="P144" i="6" s="1"/>
  <c r="P151" i="6" s="1"/>
  <c r="Q137" i="6"/>
  <c r="Q144" i="6" s="1"/>
  <c r="Q151" i="6" s="1"/>
  <c r="F2" i="4"/>
  <c r="I202" i="6"/>
  <c r="I228" i="6" s="1"/>
  <c r="M142" i="6"/>
  <c r="M149" i="6" s="1"/>
  <c r="R145" i="6"/>
  <c r="P142" i="6"/>
  <c r="P149" i="6" s="1"/>
  <c r="R71" i="6"/>
  <c r="L142" i="6"/>
  <c r="L149" i="6" s="1"/>
  <c r="N142" i="6"/>
  <c r="N149" i="6" s="1"/>
  <c r="F135" i="6"/>
  <c r="F142" i="6" s="1"/>
  <c r="Q142" i="6"/>
  <c r="Q149" i="6" s="1"/>
  <c r="H143" i="6"/>
  <c r="H150" i="6" s="1"/>
  <c r="O142" i="6"/>
  <c r="O149" i="6" s="1"/>
  <c r="F137" i="6"/>
  <c r="F144" i="6" s="1"/>
  <c r="J143" i="6"/>
  <c r="J150" i="6" s="1"/>
  <c r="I143" i="6"/>
  <c r="I150" i="6" s="1"/>
  <c r="G143" i="6"/>
  <c r="G150" i="6" s="1"/>
  <c r="K142" i="6"/>
  <c r="K149" i="6" s="1"/>
  <c r="F136" i="6"/>
  <c r="F143" i="6" s="1"/>
  <c r="M178" i="6"/>
  <c r="L178" i="6"/>
  <c r="K178" i="6"/>
  <c r="F178" i="6"/>
  <c r="J178" i="6"/>
  <c r="F110" i="6"/>
  <c r="Q178" i="6"/>
  <c r="I178" i="6"/>
  <c r="P178" i="6"/>
  <c r="H178" i="6"/>
  <c r="O178" i="6"/>
  <c r="G178" i="6"/>
  <c r="N178" i="6"/>
  <c r="J32" i="6"/>
  <c r="H46" i="6"/>
  <c r="L47" i="6"/>
  <c r="G35" i="6"/>
  <c r="P41" i="6"/>
  <c r="R52" i="6"/>
  <c r="P46" i="6"/>
  <c r="L43" i="6"/>
  <c r="H41" i="6"/>
  <c r="P44" i="6"/>
  <c r="H44" i="6"/>
  <c r="F32" i="6"/>
  <c r="L45" i="6"/>
  <c r="G33" i="6"/>
  <c r="H35" i="6"/>
  <c r="M43" i="6"/>
  <c r="Q44" i="6"/>
  <c r="I44" i="6"/>
  <c r="M45" i="6"/>
  <c r="Q46" i="6"/>
  <c r="I46" i="6"/>
  <c r="M47" i="6"/>
  <c r="Q41" i="6"/>
  <c r="I41" i="6"/>
  <c r="R51" i="6"/>
  <c r="I32" i="6"/>
  <c r="F34" i="6"/>
  <c r="J34" i="6"/>
  <c r="K43" i="6"/>
  <c r="O44" i="6"/>
  <c r="G44" i="6"/>
  <c r="K45" i="6"/>
  <c r="O46" i="6"/>
  <c r="G46" i="6"/>
  <c r="K47" i="6"/>
  <c r="O41" i="6"/>
  <c r="G41" i="6"/>
  <c r="H32" i="6"/>
  <c r="I34" i="6"/>
  <c r="F43" i="6"/>
  <c r="J43" i="6"/>
  <c r="N44" i="6"/>
  <c r="F45" i="6"/>
  <c r="J45" i="6"/>
  <c r="N46" i="6"/>
  <c r="F47" i="6"/>
  <c r="J47" i="6"/>
  <c r="N41" i="6"/>
  <c r="Q40" i="8"/>
  <c r="Q42" i="8"/>
  <c r="R49" i="6"/>
  <c r="G32" i="6"/>
  <c r="H34" i="6"/>
  <c r="Q43" i="6"/>
  <c r="I43" i="6"/>
  <c r="M44" i="6"/>
  <c r="Q45" i="6"/>
  <c r="I45" i="6"/>
  <c r="M46" i="6"/>
  <c r="Q47" i="6"/>
  <c r="I47" i="6"/>
  <c r="M41" i="6"/>
  <c r="F33" i="6"/>
  <c r="J33" i="6"/>
  <c r="G34" i="6"/>
  <c r="P43" i="6"/>
  <c r="H43" i="6"/>
  <c r="L44" i="6"/>
  <c r="P45" i="6"/>
  <c r="H45" i="6"/>
  <c r="L46" i="6"/>
  <c r="P47" i="6"/>
  <c r="H47" i="6"/>
  <c r="L41" i="6"/>
  <c r="R53" i="6"/>
  <c r="I33" i="6"/>
  <c r="F35" i="6"/>
  <c r="J35" i="6"/>
  <c r="O43" i="6"/>
  <c r="G43" i="6"/>
  <c r="K44" i="6"/>
  <c r="O45" i="6"/>
  <c r="G45" i="6"/>
  <c r="K46" i="6"/>
  <c r="O47" i="6"/>
  <c r="G47" i="6"/>
  <c r="K41" i="6"/>
  <c r="R101" i="6"/>
  <c r="I35" i="6"/>
  <c r="F44" i="6"/>
  <c r="F46" i="6"/>
  <c r="F41" i="6"/>
  <c r="Q43" i="8"/>
  <c r="Q44" i="8"/>
  <c r="R97" i="6"/>
  <c r="Q34" i="8"/>
  <c r="R93" i="6"/>
  <c r="R99" i="6"/>
  <c r="Q32" i="8"/>
  <c r="Q33" i="8"/>
  <c r="R96" i="6"/>
  <c r="Q35" i="8"/>
  <c r="R95" i="6"/>
  <c r="R94" i="6"/>
  <c r="Q29" i="8"/>
  <c r="R85" i="6"/>
  <c r="R82" i="6"/>
  <c r="R92" i="6"/>
  <c r="Q26" i="8"/>
  <c r="Q28" i="8"/>
  <c r="Q30" i="8"/>
  <c r="Q27" i="8"/>
  <c r="R84" i="6"/>
  <c r="R86" i="6"/>
  <c r="R83" i="6"/>
  <c r="R105" i="6"/>
  <c r="R103" i="6"/>
  <c r="R102" i="6"/>
  <c r="R100" i="6"/>
  <c r="R106" i="6"/>
  <c r="R104" i="6"/>
  <c r="R54" i="6"/>
  <c r="R50" i="6"/>
  <c r="R184" i="6" l="1"/>
  <c r="M188" i="6"/>
  <c r="M213" i="6" s="1"/>
  <c r="M182" i="6"/>
  <c r="L188" i="6"/>
  <c r="L213" i="6" s="1"/>
  <c r="L182" i="6"/>
  <c r="K188" i="6"/>
  <c r="K213" i="6" s="1"/>
  <c r="K182" i="6"/>
  <c r="F188" i="6"/>
  <c r="F182" i="6"/>
  <c r="J188" i="6"/>
  <c r="J213" i="6" s="1"/>
  <c r="J182" i="6"/>
  <c r="Q188" i="6"/>
  <c r="Q213" i="6" s="1"/>
  <c r="Q182" i="6"/>
  <c r="I188" i="6"/>
  <c r="I213" i="6" s="1"/>
  <c r="I182" i="6"/>
  <c r="P188" i="6"/>
  <c r="P213" i="6" s="1"/>
  <c r="P182" i="6"/>
  <c r="H188" i="6"/>
  <c r="H213" i="6" s="1"/>
  <c r="H182" i="6"/>
  <c r="O188" i="6"/>
  <c r="O213" i="6" s="1"/>
  <c r="O182" i="6"/>
  <c r="G188" i="6"/>
  <c r="G213" i="6" s="1"/>
  <c r="G182" i="6"/>
  <c r="N188" i="6"/>
  <c r="N213" i="6" s="1"/>
  <c r="N182" i="6"/>
  <c r="F163" i="6"/>
  <c r="F161" i="6"/>
  <c r="F194" i="6"/>
  <c r="F220" i="6" s="1"/>
  <c r="R118" i="6"/>
  <c r="R120" i="6"/>
  <c r="P61" i="6"/>
  <c r="Q61" i="6"/>
  <c r="O61" i="6"/>
  <c r="R131" i="6"/>
  <c r="R130" i="6"/>
  <c r="N61" i="6"/>
  <c r="M61" i="6"/>
  <c r="L61" i="6"/>
  <c r="K61" i="6"/>
  <c r="R117" i="6"/>
  <c r="R119" i="6"/>
  <c r="R121" i="6"/>
  <c r="R132" i="6"/>
  <c r="J202" i="6"/>
  <c r="J228" i="6" s="1"/>
  <c r="L2" i="4"/>
  <c r="P202" i="6" s="1"/>
  <c r="P228" i="6" s="1"/>
  <c r="F147" i="6"/>
  <c r="F151" i="6"/>
  <c r="R151" i="6" s="1"/>
  <c r="R144" i="6"/>
  <c r="F149" i="6"/>
  <c r="F150" i="6"/>
  <c r="R146" i="6"/>
  <c r="Q31" i="8"/>
  <c r="Q38" i="8"/>
  <c r="R137" i="6"/>
  <c r="F140" i="6"/>
  <c r="F213" i="6"/>
  <c r="R188" i="6"/>
  <c r="G46" i="8"/>
  <c r="G47" i="8" s="1"/>
  <c r="H46" i="8"/>
  <c r="I46" i="8"/>
  <c r="F46" i="8"/>
  <c r="E46" i="8"/>
  <c r="Q37" i="8"/>
  <c r="Q41" i="8"/>
  <c r="I48" i="6"/>
  <c r="Q25" i="8"/>
  <c r="O48" i="6"/>
  <c r="R47" i="6"/>
  <c r="Q2" i="8"/>
  <c r="L48" i="6"/>
  <c r="M48" i="6"/>
  <c r="N48" i="6"/>
  <c r="K48" i="6"/>
  <c r="R45" i="6"/>
  <c r="G48" i="6"/>
  <c r="P48" i="6"/>
  <c r="R46" i="6"/>
  <c r="J48" i="6"/>
  <c r="F48" i="6"/>
  <c r="R44" i="6"/>
  <c r="R35" i="6"/>
  <c r="R41" i="6"/>
  <c r="Q48" i="6"/>
  <c r="R43" i="6"/>
  <c r="R33" i="6"/>
  <c r="H48" i="6"/>
  <c r="R34" i="6"/>
  <c r="Q39" i="8"/>
  <c r="R32" i="6"/>
  <c r="K55" i="6"/>
  <c r="K63" i="6" s="1"/>
  <c r="L55" i="6"/>
  <c r="L63" i="6" s="1"/>
  <c r="M55" i="6"/>
  <c r="M63" i="6" s="1"/>
  <c r="N55" i="6"/>
  <c r="N63" i="6" s="1"/>
  <c r="I55" i="6"/>
  <c r="I63" i="6" s="1"/>
  <c r="G55" i="6"/>
  <c r="G63" i="6" s="1"/>
  <c r="O55" i="6"/>
  <c r="O63" i="6" s="1"/>
  <c r="H55" i="6"/>
  <c r="H63" i="6" s="1"/>
  <c r="P55" i="6"/>
  <c r="P63" i="6" s="1"/>
  <c r="J55" i="6"/>
  <c r="J63" i="6" s="1"/>
  <c r="F55" i="6"/>
  <c r="Q55" i="6"/>
  <c r="Q63" i="6" s="1"/>
  <c r="R213" i="6" l="1"/>
  <c r="R182" i="6"/>
  <c r="F170" i="6"/>
  <c r="F168" i="6"/>
  <c r="R129" i="6"/>
  <c r="R124" i="6"/>
  <c r="R125" i="6"/>
  <c r="R128" i="6"/>
  <c r="R127" i="6"/>
  <c r="R126" i="6"/>
  <c r="R123" i="6"/>
  <c r="R228" i="6"/>
  <c r="U228" i="6" s="1"/>
  <c r="F154" i="6"/>
  <c r="I47" i="8"/>
  <c r="J195" i="6" s="1"/>
  <c r="H47" i="8"/>
  <c r="I195" i="6" s="1"/>
  <c r="F47" i="8"/>
  <c r="G195" i="6" s="1"/>
  <c r="E47" i="8"/>
  <c r="F195" i="6" s="1"/>
  <c r="F193" i="6" s="1"/>
  <c r="H195" i="6"/>
  <c r="F63" i="6"/>
  <c r="F70" i="6" s="1"/>
  <c r="R48" i="6"/>
  <c r="R55" i="6"/>
  <c r="P42" i="6"/>
  <c r="F175" i="6" l="1"/>
  <c r="P62" i="6"/>
  <c r="P133" i="6"/>
  <c r="P46" i="8"/>
  <c r="P47" i="8" s="1"/>
  <c r="Q195" i="6" s="1"/>
  <c r="Q221" i="6" s="1"/>
  <c r="Q110" i="6"/>
  <c r="J221" i="6"/>
  <c r="H221" i="6"/>
  <c r="F221" i="6"/>
  <c r="G221" i="6"/>
  <c r="I221" i="6"/>
  <c r="M77" i="6"/>
  <c r="M70" i="6"/>
  <c r="K77" i="6"/>
  <c r="K70" i="6"/>
  <c r="Q77" i="6"/>
  <c r="Q70" i="6"/>
  <c r="J77" i="6"/>
  <c r="J70" i="6"/>
  <c r="G77" i="6"/>
  <c r="G70" i="6"/>
  <c r="N77" i="6"/>
  <c r="N70" i="6"/>
  <c r="P77" i="6"/>
  <c r="P70" i="6"/>
  <c r="H77" i="6"/>
  <c r="H70" i="6"/>
  <c r="L77" i="6"/>
  <c r="L70" i="6"/>
  <c r="F77" i="6"/>
  <c r="O77" i="6"/>
  <c r="O70" i="6"/>
  <c r="I77" i="6"/>
  <c r="I70" i="6"/>
  <c r="R63" i="6"/>
  <c r="J42" i="6"/>
  <c r="J62" i="6" s="1"/>
  <c r="F31" i="6"/>
  <c r="G31" i="6"/>
  <c r="J31" i="6"/>
  <c r="G42" i="6"/>
  <c r="G62" i="6" s="1"/>
  <c r="O42" i="6"/>
  <c r="K42" i="6"/>
  <c r="H31" i="6"/>
  <c r="F42" i="6"/>
  <c r="N42" i="6"/>
  <c r="I42" i="6"/>
  <c r="I62" i="6" s="1"/>
  <c r="M42" i="6"/>
  <c r="Q42" i="6"/>
  <c r="Q133" i="6" s="1"/>
  <c r="I31" i="6"/>
  <c r="H42" i="6"/>
  <c r="H62" i="6" s="1"/>
  <c r="L42" i="6"/>
  <c r="Q163" i="6" l="1"/>
  <c r="Q161" i="6"/>
  <c r="G61" i="6"/>
  <c r="J61" i="6"/>
  <c r="J133" i="6"/>
  <c r="O62" i="6"/>
  <c r="O133" i="6"/>
  <c r="K62" i="6"/>
  <c r="H61" i="6"/>
  <c r="N62" i="6"/>
  <c r="N133" i="6"/>
  <c r="M62" i="6"/>
  <c r="M133" i="6"/>
  <c r="I61" i="6"/>
  <c r="I133" i="6"/>
  <c r="L62" i="6"/>
  <c r="L133" i="6"/>
  <c r="Q177" i="6"/>
  <c r="Q62" i="6"/>
  <c r="M46" i="8"/>
  <c r="M47" i="8" s="1"/>
  <c r="N195" i="6" s="1"/>
  <c r="N221" i="6" s="1"/>
  <c r="N110" i="6"/>
  <c r="L46" i="8"/>
  <c r="L47" i="8" s="1"/>
  <c r="M195" i="6" s="1"/>
  <c r="M221" i="6" s="1"/>
  <c r="M110" i="6"/>
  <c r="K110" i="6"/>
  <c r="K46" i="8"/>
  <c r="K47" i="8" s="1"/>
  <c r="L195" i="6" s="1"/>
  <c r="L221" i="6" s="1"/>
  <c r="L110" i="6"/>
  <c r="N46" i="8"/>
  <c r="N47" i="8" s="1"/>
  <c r="O195" i="6" s="1"/>
  <c r="O221" i="6" s="1"/>
  <c r="O110" i="6"/>
  <c r="Q143" i="6"/>
  <c r="Q140" i="6"/>
  <c r="P177" i="6"/>
  <c r="R98" i="6"/>
  <c r="L229" i="6"/>
  <c r="O229" i="6"/>
  <c r="F229" i="6"/>
  <c r="P229" i="6"/>
  <c r="G229" i="6"/>
  <c r="I229" i="6"/>
  <c r="H229" i="6"/>
  <c r="N229" i="6"/>
  <c r="M229" i="6"/>
  <c r="Q229" i="6"/>
  <c r="K229" i="6"/>
  <c r="J229" i="6"/>
  <c r="F189" i="6"/>
  <c r="O177" i="6"/>
  <c r="J177" i="6"/>
  <c r="R70" i="6"/>
  <c r="P76" i="6"/>
  <c r="P69" i="6"/>
  <c r="Q75" i="6"/>
  <c r="Q68" i="6"/>
  <c r="H59" i="6"/>
  <c r="K177" i="6"/>
  <c r="M177" i="6"/>
  <c r="G177" i="6"/>
  <c r="I177" i="6"/>
  <c r="N177" i="6"/>
  <c r="F177" i="6"/>
  <c r="H177" i="6"/>
  <c r="J59" i="6"/>
  <c r="L177" i="6"/>
  <c r="I59" i="6"/>
  <c r="L59" i="6"/>
  <c r="M59" i="6"/>
  <c r="K59" i="6"/>
  <c r="G59" i="6"/>
  <c r="F59" i="6"/>
  <c r="O59" i="6"/>
  <c r="N59" i="6"/>
  <c r="Q59" i="6"/>
  <c r="P59" i="6"/>
  <c r="R78" i="6"/>
  <c r="R229" i="6"/>
  <c r="U229" i="6" s="1"/>
  <c r="F61" i="6"/>
  <c r="F68" i="6" s="1"/>
  <c r="F62" i="6"/>
  <c r="F69" i="6" s="1"/>
  <c r="R42" i="6"/>
  <c r="R31" i="6"/>
  <c r="R197" i="6"/>
  <c r="Q187" i="6" l="1"/>
  <c r="Q186" i="6" s="1"/>
  <c r="Q181" i="6"/>
  <c r="Q198" i="6" s="1"/>
  <c r="Q224" i="6" s="1"/>
  <c r="P187" i="6"/>
  <c r="P181" i="6"/>
  <c r="P198" i="6" s="1"/>
  <c r="P224" i="6" s="1"/>
  <c r="O187" i="6"/>
  <c r="O181" i="6"/>
  <c r="O198" i="6" s="1"/>
  <c r="O224" i="6" s="1"/>
  <c r="J187" i="6"/>
  <c r="J181" i="6"/>
  <c r="J198" i="6" s="1"/>
  <c r="J224" i="6" s="1"/>
  <c r="K187" i="6"/>
  <c r="K181" i="6"/>
  <c r="K198" i="6" s="1"/>
  <c r="K224" i="6" s="1"/>
  <c r="M187" i="6"/>
  <c r="M181" i="6"/>
  <c r="M198" i="6" s="1"/>
  <c r="M224" i="6" s="1"/>
  <c r="G187" i="6"/>
  <c r="G181" i="6"/>
  <c r="G198" i="6" s="1"/>
  <c r="G224" i="6" s="1"/>
  <c r="I187" i="6"/>
  <c r="I181" i="6"/>
  <c r="N187" i="6"/>
  <c r="N186" i="6" s="1"/>
  <c r="N181" i="6"/>
  <c r="N198" i="6" s="1"/>
  <c r="N224" i="6" s="1"/>
  <c r="F187" i="6"/>
  <c r="F181" i="6"/>
  <c r="H187" i="6"/>
  <c r="H181" i="6"/>
  <c r="H198" i="6" s="1"/>
  <c r="H224" i="6" s="1"/>
  <c r="L187" i="6"/>
  <c r="L212" i="6" s="1"/>
  <c r="L211" i="6" s="1"/>
  <c r="L181" i="6"/>
  <c r="L198" i="6" s="1"/>
  <c r="L224" i="6" s="1"/>
  <c r="Q168" i="6"/>
  <c r="Q170" i="6"/>
  <c r="Q175" i="6" s="1"/>
  <c r="N163" i="6"/>
  <c r="N161" i="6"/>
  <c r="M163" i="6"/>
  <c r="M161" i="6"/>
  <c r="K163" i="6"/>
  <c r="K161" i="6"/>
  <c r="L163" i="6"/>
  <c r="L161" i="6"/>
  <c r="O163" i="6"/>
  <c r="O161" i="6"/>
  <c r="Q194" i="6"/>
  <c r="Q193" i="6" s="1"/>
  <c r="N194" i="6"/>
  <c r="N193" i="6" s="1"/>
  <c r="M194" i="6"/>
  <c r="M193" i="6" s="1"/>
  <c r="K194" i="6"/>
  <c r="L194" i="6"/>
  <c r="O194" i="6"/>
  <c r="H133" i="6"/>
  <c r="G133" i="6"/>
  <c r="R112" i="6"/>
  <c r="F133" i="6"/>
  <c r="K133" i="6"/>
  <c r="R116" i="6"/>
  <c r="R122" i="6"/>
  <c r="R115" i="6"/>
  <c r="R114" i="6"/>
  <c r="R113" i="6"/>
  <c r="G110" i="6"/>
  <c r="R88" i="6"/>
  <c r="R110" i="6" s="1"/>
  <c r="J110" i="6"/>
  <c r="H110" i="6"/>
  <c r="I110" i="6"/>
  <c r="Q150" i="6"/>
  <c r="Q154" i="6" s="1"/>
  <c r="Q147" i="6"/>
  <c r="O143" i="6"/>
  <c r="O140" i="6"/>
  <c r="M143" i="6"/>
  <c r="M140" i="6"/>
  <c r="K143" i="6"/>
  <c r="K140" i="6"/>
  <c r="N143" i="6"/>
  <c r="N140" i="6"/>
  <c r="L143" i="6"/>
  <c r="L140" i="6"/>
  <c r="O46" i="8"/>
  <c r="O47" i="8" s="1"/>
  <c r="P195" i="6" s="1"/>
  <c r="P221" i="6" s="1"/>
  <c r="P110" i="6"/>
  <c r="R136" i="6"/>
  <c r="L76" i="6"/>
  <c r="L69" i="6"/>
  <c r="F75" i="6"/>
  <c r="K75" i="6"/>
  <c r="K68" i="6"/>
  <c r="N75" i="6"/>
  <c r="N68" i="6"/>
  <c r="L75" i="6"/>
  <c r="L68" i="6"/>
  <c r="M75" i="6"/>
  <c r="M68" i="6"/>
  <c r="H76" i="6"/>
  <c r="H69" i="6"/>
  <c r="Q76" i="6"/>
  <c r="Q80" i="6" s="1"/>
  <c r="Q69" i="6"/>
  <c r="Q73" i="6" s="1"/>
  <c r="G75" i="6"/>
  <c r="G68" i="6"/>
  <c r="J76" i="6"/>
  <c r="J69" i="6"/>
  <c r="K76" i="6"/>
  <c r="K69" i="6"/>
  <c r="H75" i="6"/>
  <c r="H68" i="6"/>
  <c r="G76" i="6"/>
  <c r="G69" i="6"/>
  <c r="O75" i="6"/>
  <c r="O68" i="6"/>
  <c r="N76" i="6"/>
  <c r="N69" i="6"/>
  <c r="O76" i="6"/>
  <c r="O69" i="6"/>
  <c r="I75" i="6"/>
  <c r="I68" i="6"/>
  <c r="J75" i="6"/>
  <c r="J68" i="6"/>
  <c r="F76" i="6"/>
  <c r="I76" i="6"/>
  <c r="I69" i="6"/>
  <c r="M76" i="6"/>
  <c r="M69" i="6"/>
  <c r="P75" i="6"/>
  <c r="P68" i="6"/>
  <c r="P73" i="6" s="1"/>
  <c r="R72" i="6"/>
  <c r="F73" i="6"/>
  <c r="N212" i="6"/>
  <c r="N211" i="6" s="1"/>
  <c r="Q212" i="6"/>
  <c r="Q211" i="6" s="1"/>
  <c r="J66" i="6"/>
  <c r="Q66" i="6"/>
  <c r="N66" i="6"/>
  <c r="M66" i="6"/>
  <c r="L66" i="6"/>
  <c r="R59" i="6"/>
  <c r="F66" i="6"/>
  <c r="P66" i="6"/>
  <c r="O66" i="6"/>
  <c r="H66" i="6"/>
  <c r="I66" i="6"/>
  <c r="G66" i="6"/>
  <c r="K66" i="6"/>
  <c r="R77" i="6"/>
  <c r="F186" i="6"/>
  <c r="F190" i="6" s="1"/>
  <c r="F212" i="6"/>
  <c r="F211" i="6" s="1"/>
  <c r="I186" i="6"/>
  <c r="I212" i="6"/>
  <c r="I211" i="6" s="1"/>
  <c r="G186" i="6"/>
  <c r="G212" i="6"/>
  <c r="G211" i="6" s="1"/>
  <c r="J186" i="6"/>
  <c r="J212" i="6"/>
  <c r="J211" i="6" s="1"/>
  <c r="K186" i="6"/>
  <c r="K212" i="6"/>
  <c r="K211" i="6" s="1"/>
  <c r="H186" i="6"/>
  <c r="H212" i="6"/>
  <c r="H211" i="6" s="1"/>
  <c r="M186" i="6"/>
  <c r="M212" i="6"/>
  <c r="L186" i="6"/>
  <c r="R178" i="6"/>
  <c r="R62" i="6"/>
  <c r="R61" i="6"/>
  <c r="G203" i="6"/>
  <c r="F203" i="6"/>
  <c r="O193" i="6" l="1"/>
  <c r="O189" i="6" s="1"/>
  <c r="O190" i="6" s="1"/>
  <c r="L193" i="6"/>
  <c r="L189" i="6" s="1"/>
  <c r="L190" i="6" s="1"/>
  <c r="K220" i="6"/>
  <c r="P186" i="6"/>
  <c r="P212" i="6"/>
  <c r="P211" i="6" s="1"/>
  <c r="R187" i="6"/>
  <c r="O186" i="6"/>
  <c r="O212" i="6"/>
  <c r="O211" i="6" s="1"/>
  <c r="R198" i="6"/>
  <c r="R181" i="6"/>
  <c r="M220" i="6"/>
  <c r="M219" i="6" s="1"/>
  <c r="M214" i="6" s="1"/>
  <c r="M189" i="6"/>
  <c r="M190" i="6" s="1"/>
  <c r="L220" i="6"/>
  <c r="L219" i="6" s="1"/>
  <c r="L214" i="6" s="1"/>
  <c r="O220" i="6"/>
  <c r="O219" i="6" s="1"/>
  <c r="O214" i="6" s="1"/>
  <c r="N220" i="6"/>
  <c r="N219" i="6" s="1"/>
  <c r="N214" i="6" s="1"/>
  <c r="N189" i="6"/>
  <c r="N190" i="6" s="1"/>
  <c r="Q220" i="6"/>
  <c r="Q219" i="6" s="1"/>
  <c r="Q214" i="6" s="1"/>
  <c r="Q189" i="6"/>
  <c r="Q190" i="6" s="1"/>
  <c r="N170" i="6"/>
  <c r="N175" i="6" s="1"/>
  <c r="N168" i="6"/>
  <c r="M168" i="6"/>
  <c r="M170" i="6"/>
  <c r="M175" i="6" s="1"/>
  <c r="K168" i="6"/>
  <c r="K170" i="6"/>
  <c r="K175" i="6" s="1"/>
  <c r="L170" i="6"/>
  <c r="L175" i="6" s="1"/>
  <c r="L168" i="6"/>
  <c r="O168" i="6"/>
  <c r="O170" i="6"/>
  <c r="O175" i="6" s="1"/>
  <c r="R156" i="6"/>
  <c r="G163" i="6"/>
  <c r="G161" i="6"/>
  <c r="J163" i="6"/>
  <c r="J161" i="6"/>
  <c r="H163" i="6"/>
  <c r="H161" i="6"/>
  <c r="I163" i="6"/>
  <c r="I161" i="6"/>
  <c r="P163" i="6"/>
  <c r="P161" i="6"/>
  <c r="G194" i="6"/>
  <c r="G193" i="6" s="1"/>
  <c r="J194" i="6"/>
  <c r="J193" i="6" s="1"/>
  <c r="H194" i="6"/>
  <c r="H193" i="6" s="1"/>
  <c r="I194" i="6"/>
  <c r="I193" i="6" s="1"/>
  <c r="P194" i="6"/>
  <c r="P193" i="6" s="1"/>
  <c r="R133" i="6"/>
  <c r="G140" i="6"/>
  <c r="R135" i="6"/>
  <c r="G142" i="6"/>
  <c r="J140" i="6"/>
  <c r="J142" i="6"/>
  <c r="H140" i="6"/>
  <c r="H142" i="6"/>
  <c r="I140" i="6"/>
  <c r="I142" i="6"/>
  <c r="N150" i="6"/>
  <c r="N154" i="6" s="1"/>
  <c r="N147" i="6"/>
  <c r="O150" i="6"/>
  <c r="O154" i="6" s="1"/>
  <c r="O147" i="6"/>
  <c r="Q36" i="8"/>
  <c r="Q46" i="8" s="1"/>
  <c r="Q47" i="8" s="1"/>
  <c r="J46" i="8"/>
  <c r="J47" i="8" s="1"/>
  <c r="K195" i="6" s="1"/>
  <c r="K193" i="6" s="1"/>
  <c r="P143" i="6"/>
  <c r="R143" i="6" s="1"/>
  <c r="P140" i="6"/>
  <c r="M150" i="6"/>
  <c r="M154" i="6" s="1"/>
  <c r="M147" i="6"/>
  <c r="K150" i="6"/>
  <c r="K147" i="6"/>
  <c r="L150" i="6"/>
  <c r="L154" i="6" s="1"/>
  <c r="L147" i="6"/>
  <c r="J81" i="6"/>
  <c r="K81" i="6"/>
  <c r="O81" i="6"/>
  <c r="L81" i="6"/>
  <c r="M81" i="6"/>
  <c r="F81" i="6"/>
  <c r="P80" i="6"/>
  <c r="P81" i="6"/>
  <c r="I81" i="6"/>
  <c r="G81" i="6"/>
  <c r="H81" i="6"/>
  <c r="N81" i="6"/>
  <c r="Q81" i="6"/>
  <c r="J80" i="6"/>
  <c r="N80" i="6"/>
  <c r="F192" i="6"/>
  <c r="F208" i="6" s="1"/>
  <c r="F80" i="6"/>
  <c r="K73" i="6"/>
  <c r="L73" i="6"/>
  <c r="J73" i="6"/>
  <c r="M73" i="6"/>
  <c r="H73" i="6"/>
  <c r="N73" i="6"/>
  <c r="K80" i="6"/>
  <c r="O73" i="6"/>
  <c r="L80" i="6"/>
  <c r="O80" i="6"/>
  <c r="R76" i="6"/>
  <c r="I73" i="6"/>
  <c r="R69" i="6"/>
  <c r="I80" i="6"/>
  <c r="R75" i="6"/>
  <c r="R68" i="6"/>
  <c r="M80" i="6"/>
  <c r="G80" i="6"/>
  <c r="G73" i="6"/>
  <c r="H80" i="6"/>
  <c r="R212" i="6"/>
  <c r="M211" i="6"/>
  <c r="R66" i="6"/>
  <c r="R177" i="6"/>
  <c r="R180" i="6" l="1"/>
  <c r="R179" i="6"/>
  <c r="G189" i="6"/>
  <c r="G220" i="6"/>
  <c r="G219" i="6" s="1"/>
  <c r="G214" i="6" s="1"/>
  <c r="R163" i="6"/>
  <c r="G168" i="6"/>
  <c r="G170" i="6"/>
  <c r="J168" i="6"/>
  <c r="J170" i="6"/>
  <c r="J175" i="6" s="1"/>
  <c r="H170" i="6"/>
  <c r="H175" i="6" s="1"/>
  <c r="H168" i="6"/>
  <c r="I168" i="6"/>
  <c r="I170" i="6"/>
  <c r="I175" i="6" s="1"/>
  <c r="P168" i="6"/>
  <c r="P170" i="6"/>
  <c r="P175" i="6" s="1"/>
  <c r="R161" i="6"/>
  <c r="Q217" i="6"/>
  <c r="Q215" i="6"/>
  <c r="N215" i="6"/>
  <c r="N217" i="6"/>
  <c r="L217" i="6"/>
  <c r="L215" i="6"/>
  <c r="O215" i="6"/>
  <c r="O217" i="6"/>
  <c r="H220" i="6"/>
  <c r="H219" i="6" s="1"/>
  <c r="H214" i="6" s="1"/>
  <c r="H189" i="6"/>
  <c r="H190" i="6" s="1"/>
  <c r="M217" i="6"/>
  <c r="J220" i="6"/>
  <c r="J219" i="6" s="1"/>
  <c r="J214" i="6" s="1"/>
  <c r="J189" i="6"/>
  <c r="J190" i="6" s="1"/>
  <c r="I189" i="6"/>
  <c r="I190" i="6" s="1"/>
  <c r="I220" i="6"/>
  <c r="P220" i="6"/>
  <c r="P219" i="6" s="1"/>
  <c r="P214" i="6" s="1"/>
  <c r="P189" i="6"/>
  <c r="P190" i="6" s="1"/>
  <c r="R142" i="6"/>
  <c r="G147" i="6"/>
  <c r="G149" i="6"/>
  <c r="J147" i="6"/>
  <c r="J149" i="6"/>
  <c r="J154" i="6" s="1"/>
  <c r="H147" i="6"/>
  <c r="H149" i="6"/>
  <c r="H154" i="6" s="1"/>
  <c r="I147" i="6"/>
  <c r="I149" i="6"/>
  <c r="I154" i="6" s="1"/>
  <c r="R140" i="6"/>
  <c r="R195" i="6"/>
  <c r="K221" i="6"/>
  <c r="K219" i="6" s="1"/>
  <c r="K154" i="6"/>
  <c r="P150" i="6"/>
  <c r="P154" i="6" s="1"/>
  <c r="P147" i="6"/>
  <c r="R81" i="6"/>
  <c r="R73" i="6"/>
  <c r="R80" i="6"/>
  <c r="M215" i="6"/>
  <c r="R211" i="6"/>
  <c r="R186" i="6"/>
  <c r="R205" i="6"/>
  <c r="G190" i="6" l="1"/>
  <c r="G192" i="6"/>
  <c r="G208" i="6" s="1"/>
  <c r="Q234" i="6"/>
  <c r="Q218" i="6"/>
  <c r="O234" i="6"/>
  <c r="O218" i="6"/>
  <c r="N234" i="6"/>
  <c r="N218" i="6"/>
  <c r="L234" i="6"/>
  <c r="L218" i="6"/>
  <c r="G217" i="6"/>
  <c r="G215" i="6"/>
  <c r="J217" i="6"/>
  <c r="J215" i="6"/>
  <c r="I219" i="6"/>
  <c r="I214" i="6" s="1"/>
  <c r="R220" i="6"/>
  <c r="R170" i="6"/>
  <c r="G175" i="6"/>
  <c r="R168" i="6"/>
  <c r="H217" i="6"/>
  <c r="H215" i="6"/>
  <c r="P217" i="6"/>
  <c r="P215" i="6"/>
  <c r="R147" i="6"/>
  <c r="R149" i="6"/>
  <c r="G154" i="6"/>
  <c r="R154" i="6" s="1"/>
  <c r="R150" i="6"/>
  <c r="K189" i="6"/>
  <c r="K190" i="6" s="1"/>
  <c r="R193" i="6"/>
  <c r="R221" i="6"/>
  <c r="U221" i="6" s="1"/>
  <c r="U211" i="6"/>
  <c r="M234" i="6"/>
  <c r="M218" i="6"/>
  <c r="S211" i="6"/>
  <c r="S233" i="6"/>
  <c r="S228" i="6"/>
  <c r="S223" i="6"/>
  <c r="S231" i="6"/>
  <c r="S235" i="6"/>
  <c r="S222" i="6"/>
  <c r="S232" i="6"/>
  <c r="S230" i="6"/>
  <c r="S227" i="6"/>
  <c r="S226" i="6"/>
  <c r="S225" i="6"/>
  <c r="S213" i="6"/>
  <c r="S229" i="6"/>
  <c r="S212" i="6"/>
  <c r="H203" i="6"/>
  <c r="H192" i="6" s="1"/>
  <c r="H208" i="6" s="1"/>
  <c r="S201" i="6"/>
  <c r="S199" i="6"/>
  <c r="S209" i="6"/>
  <c r="S195" i="6"/>
  <c r="S186" i="6"/>
  <c r="S187" i="6"/>
  <c r="S196" i="6"/>
  <c r="S207" i="6"/>
  <c r="S197" i="6"/>
  <c r="S205" i="6"/>
  <c r="R175" i="6" l="1"/>
  <c r="R190" i="6"/>
  <c r="I217" i="6"/>
  <c r="I215" i="6"/>
  <c r="G218" i="6"/>
  <c r="G234" i="6"/>
  <c r="J234" i="6"/>
  <c r="J218" i="6"/>
  <c r="U220" i="6"/>
  <c r="S220" i="6"/>
  <c r="H234" i="6"/>
  <c r="H218" i="6"/>
  <c r="P234" i="6"/>
  <c r="P218" i="6"/>
  <c r="S221" i="6"/>
  <c r="K214" i="6"/>
  <c r="I203" i="6"/>
  <c r="I192" i="6" s="1"/>
  <c r="I208" i="6" s="1"/>
  <c r="S200" i="6"/>
  <c r="I234" i="6" l="1"/>
  <c r="I218" i="6"/>
  <c r="K217" i="6"/>
  <c r="K215" i="6"/>
  <c r="J203" i="6"/>
  <c r="J192" i="6" s="1"/>
  <c r="J208" i="6" s="1"/>
  <c r="K234" i="6" l="1"/>
  <c r="K218" i="6"/>
  <c r="K203" i="6"/>
  <c r="K192" i="6" s="1"/>
  <c r="K208" i="6" s="1"/>
  <c r="L203" i="6" l="1"/>
  <c r="L192" i="6" s="1"/>
  <c r="L208" i="6" s="1"/>
  <c r="M203" i="6" l="1"/>
  <c r="M192" i="6" s="1"/>
  <c r="M208" i="6" s="1"/>
  <c r="N203" i="6" l="1"/>
  <c r="N192" i="6" s="1"/>
  <c r="N208" i="6" s="1"/>
  <c r="O203" i="6" l="1"/>
  <c r="O192" i="6" s="1"/>
  <c r="O208" i="6" s="1"/>
  <c r="R202" i="6"/>
  <c r="P203" i="6" l="1"/>
  <c r="P192" i="6" s="1"/>
  <c r="P208" i="6" s="1"/>
  <c r="Q203" i="6"/>
  <c r="Q192" i="6" s="1"/>
  <c r="Q208" i="6" s="1"/>
  <c r="S202" i="6"/>
  <c r="R206" i="6"/>
  <c r="R192" i="6" l="1"/>
  <c r="R208" i="6" s="1"/>
  <c r="S206" i="6"/>
  <c r="H15" i="9" l="1"/>
  <c r="R204" i="6"/>
  <c r="R203" i="6" l="1"/>
  <c r="S204" i="6"/>
  <c r="S203" i="6" l="1"/>
  <c r="R194" i="6" l="1"/>
  <c r="S194" i="6" l="1"/>
  <c r="R189" i="6" l="1"/>
  <c r="S208" i="6" l="1"/>
  <c r="S189" i="6"/>
  <c r="F219" i="6" l="1"/>
  <c r="R224" i="6"/>
  <c r="F214" i="6" l="1"/>
  <c r="R219" i="6"/>
  <c r="F215" i="6" l="1"/>
  <c r="R214" i="6"/>
  <c r="F217" i="6"/>
  <c r="U219" i="6"/>
  <c r="S219" i="6"/>
  <c r="R215" i="6" l="1"/>
  <c r="S214" i="6"/>
  <c r="U214" i="6"/>
  <c r="F234" i="6"/>
  <c r="F218" i="6"/>
  <c r="R217" i="6"/>
  <c r="S215" i="6" l="1"/>
  <c r="U215" i="6"/>
  <c r="S217" i="6"/>
  <c r="R218" i="6"/>
  <c r="R234" i="6"/>
  <c r="U217" i="6"/>
  <c r="U218" i="6" s="1"/>
  <c r="S234" i="6" l="1"/>
  <c r="U234" i="6"/>
  <c r="U235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정윤성 책임매니저 [Yun Sung Jung]</author>
  </authors>
  <commentList>
    <comment ref="I56" authorId="0" shapeId="0" xr:uid="{410A5CE3-C0B8-449B-958F-FFEBAAAE430D}">
      <text>
        <r>
          <rPr>
            <b/>
            <sz val="9"/>
            <color indexed="81"/>
            <rFont val="Tahoma"/>
            <family val="2"/>
          </rPr>
          <t>4월 부터 3% CR적용</t>
        </r>
      </text>
    </comment>
    <comment ref="I107" authorId="0" shapeId="0" xr:uid="{957BB381-B881-4050-8C86-78A0860C9729}">
      <text>
        <r>
          <rPr>
            <b/>
            <sz val="9"/>
            <color indexed="81"/>
            <rFont val="Tahoma"/>
            <family val="2"/>
          </rPr>
          <t>4월 부터 3% CR적용</t>
        </r>
      </text>
    </comment>
    <comment ref="I130" authorId="0" shapeId="0" xr:uid="{E72BEA79-DC85-496C-85A7-08D35BB5664A}">
      <text>
        <r>
          <rPr>
            <b/>
            <sz val="9"/>
            <color indexed="81"/>
            <rFont val="Tahoma"/>
            <family val="2"/>
          </rPr>
          <t>4월 부터 3% CR적용</t>
        </r>
      </text>
    </comment>
  </commentList>
</comments>
</file>

<file path=xl/sharedStrings.xml><?xml version="1.0" encoding="utf-8"?>
<sst xmlns="http://schemas.openxmlformats.org/spreadsheetml/2006/main" count="900" uniqueCount="294">
  <si>
    <t>PSA W1 SDN</t>
    <phoneticPr fontId="2" type="noConversion"/>
  </si>
  <si>
    <t>PSA W1 SUV</t>
    <phoneticPr fontId="2" type="noConversion"/>
  </si>
  <si>
    <t>1월</t>
    <phoneticPr fontId="2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</si>
  <si>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</si>
  <si>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</si>
  <si>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</si>
  <si>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</si>
  <si>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</si>
  <si>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</si>
  <si>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</si>
  <si>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</si>
  <si>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</si>
  <si>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</si>
  <si>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</si>
  <si>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1월</t>
    <phoneticPr fontId="2" type="noConversion"/>
  </si>
  <si>
    <t>임대,용역,리스</t>
  </si>
  <si>
    <t>임대,용역,리스</t>
    <phoneticPr fontId="2" type="noConversion"/>
  </si>
  <si>
    <t>세금공과</t>
  </si>
  <si>
    <t>관세</t>
  </si>
  <si>
    <t>상품(EUR)</t>
    <phoneticPr fontId="2" type="noConversion"/>
  </si>
  <si>
    <t>급여</t>
    <phoneticPr fontId="2" type="noConversion"/>
  </si>
  <si>
    <t>통관, 물류</t>
  </si>
  <si>
    <t>기타</t>
  </si>
  <si>
    <t>기타</t>
    <phoneticPr fontId="2" type="noConversion"/>
  </si>
  <si>
    <t>영업이익</t>
    <phoneticPr fontId="2" type="noConversion"/>
  </si>
  <si>
    <t>운반비(고객)</t>
    <phoneticPr fontId="2" type="noConversion"/>
  </si>
  <si>
    <t>구분</t>
    <phoneticPr fontId="2" type="noConversion"/>
  </si>
  <si>
    <t>1월</t>
    <phoneticPr fontId="2" type="noConversion"/>
  </si>
  <si>
    <t>소모품비,운영,부서비</t>
    <phoneticPr fontId="2" type="noConversion"/>
  </si>
  <si>
    <t>기타(식대,후생접대 등)</t>
    <phoneticPr fontId="2" type="noConversion"/>
  </si>
  <si>
    <t>PSA W2</t>
    <phoneticPr fontId="2" type="noConversion"/>
  </si>
  <si>
    <t>Total</t>
    <phoneticPr fontId="2" type="noConversion"/>
  </si>
  <si>
    <t>EEA00306AC</t>
  </si>
  <si>
    <t>EBB00416AC</t>
  </si>
  <si>
    <t>EBB00418AC</t>
  </si>
  <si>
    <t>ECW01190AD</t>
    <phoneticPr fontId="2" type="noConversion"/>
  </si>
  <si>
    <t>EBB00539AD</t>
  </si>
  <si>
    <t>EBB00540AD</t>
    <phoneticPr fontId="2" type="noConversion"/>
  </si>
  <si>
    <t>EBB00689AB</t>
  </si>
  <si>
    <t>EEA00379AC</t>
  </si>
  <si>
    <t>EEA00373AB</t>
  </si>
  <si>
    <t>MU</t>
    <phoneticPr fontId="2" type="noConversion"/>
  </si>
  <si>
    <t>상품(USD)</t>
    <phoneticPr fontId="2" type="noConversion"/>
  </si>
  <si>
    <t>관세율</t>
    <phoneticPr fontId="2" type="noConversion"/>
  </si>
  <si>
    <t>비고</t>
    <phoneticPr fontId="2" type="noConversion"/>
  </si>
  <si>
    <t>비고</t>
    <phoneticPr fontId="2" type="noConversion"/>
  </si>
  <si>
    <t>운반일수</t>
    <phoneticPr fontId="2" type="noConversion"/>
  </si>
  <si>
    <t>매출</t>
    <phoneticPr fontId="2" type="noConversion"/>
  </si>
  <si>
    <t>매입</t>
    <phoneticPr fontId="2" type="noConversion"/>
  </si>
  <si>
    <t>FU</t>
    <phoneticPr fontId="2" type="noConversion"/>
  </si>
  <si>
    <t>차이</t>
    <phoneticPr fontId="2" type="noConversion"/>
  </si>
  <si>
    <t>합계금액(EUR)</t>
    <phoneticPr fontId="2" type="noConversion"/>
  </si>
  <si>
    <t>구분</t>
    <phoneticPr fontId="2" type="noConversion"/>
  </si>
  <si>
    <t>중구분</t>
    <phoneticPr fontId="2" type="noConversion"/>
  </si>
  <si>
    <t>Yunsung Jung</t>
  </si>
  <si>
    <t>Katarzyna Spiewak</t>
  </si>
  <si>
    <t>Anastazja Zagajewska</t>
  </si>
  <si>
    <t>Robert Lachowicz</t>
  </si>
  <si>
    <t>Katarzyna Ruminkiewicz</t>
  </si>
  <si>
    <t>Konrad Janeczek</t>
  </si>
  <si>
    <t>AD</t>
    <phoneticPr fontId="2" type="noConversion"/>
  </si>
  <si>
    <t>PC</t>
    <phoneticPr fontId="2" type="noConversion"/>
  </si>
  <si>
    <t>Maciej Przydzial</t>
    <phoneticPr fontId="2" type="noConversion"/>
  </si>
  <si>
    <t>총합계</t>
    <phoneticPr fontId="2" type="noConversion"/>
  </si>
  <si>
    <t>이름</t>
    <phoneticPr fontId="2" type="noConversion"/>
  </si>
  <si>
    <t>인별로  작성 바람</t>
    <phoneticPr fontId="2" type="noConversion"/>
  </si>
  <si>
    <t>단위: PLN</t>
    <phoneticPr fontId="2" type="noConversion"/>
  </si>
  <si>
    <t>사업장</t>
    <phoneticPr fontId="2" type="noConversion"/>
  </si>
  <si>
    <t>구분</t>
    <phoneticPr fontId="2" type="noConversion"/>
  </si>
  <si>
    <t>사업부</t>
    <phoneticPr fontId="2" type="noConversion"/>
  </si>
  <si>
    <t>팀</t>
    <phoneticPr fontId="2" type="noConversion"/>
  </si>
  <si>
    <t>사번</t>
    <phoneticPr fontId="2" type="noConversion"/>
  </si>
  <si>
    <t>이름</t>
    <phoneticPr fontId="2" type="noConversion"/>
  </si>
  <si>
    <t>기능영역</t>
    <phoneticPr fontId="2" type="noConversion"/>
  </si>
  <si>
    <t>월급여</t>
    <phoneticPr fontId="2" type="noConversion"/>
  </si>
  <si>
    <t>2월</t>
    <phoneticPr fontId="2" type="noConversion"/>
  </si>
  <si>
    <t>KSCP</t>
    <phoneticPr fontId="2" type="noConversion"/>
  </si>
  <si>
    <t>COMMON</t>
    <phoneticPr fontId="2" type="noConversion"/>
  </si>
  <si>
    <t>KSCP</t>
    <phoneticPr fontId="2" type="noConversion"/>
  </si>
  <si>
    <t>주재원</t>
    <phoneticPr fontId="2" type="noConversion"/>
  </si>
  <si>
    <t>COMMON</t>
    <phoneticPr fontId="2" type="noConversion"/>
  </si>
  <si>
    <t>AD</t>
    <phoneticPr fontId="2" type="noConversion"/>
  </si>
  <si>
    <t>판관</t>
    <phoneticPr fontId="2" type="noConversion"/>
  </si>
  <si>
    <t>현채인</t>
    <phoneticPr fontId="2" type="noConversion"/>
  </si>
  <si>
    <t>P1803001</t>
  </si>
  <si>
    <t>P1906001</t>
  </si>
  <si>
    <t>QC</t>
    <phoneticPr fontId="2" type="noConversion"/>
  </si>
  <si>
    <t>P1807001</t>
  </si>
  <si>
    <t>P1908002</t>
  </si>
  <si>
    <t>PC</t>
    <phoneticPr fontId="2" type="noConversion"/>
  </si>
  <si>
    <t>PC</t>
    <phoneticPr fontId="2" type="noConversion"/>
  </si>
  <si>
    <t>P1910001</t>
  </si>
  <si>
    <t>P1908003</t>
  </si>
  <si>
    <t>Out-sourcing(LD)</t>
    <phoneticPr fontId="2" type="noConversion"/>
  </si>
  <si>
    <t>Dubrovna Ivanna</t>
  </si>
  <si>
    <t>Out-sourcing</t>
    <phoneticPr fontId="2" type="noConversion"/>
  </si>
  <si>
    <t xml:space="preserve"> -</t>
    <phoneticPr fontId="2" type="noConversion"/>
  </si>
  <si>
    <t>Olga Perepadchenko</t>
  </si>
  <si>
    <t>Yafremenka Alesia</t>
  </si>
  <si>
    <t>사무직</t>
    <phoneticPr fontId="2" type="noConversion"/>
  </si>
  <si>
    <t>Maciej Przydzial</t>
    <phoneticPr fontId="2" type="noConversion"/>
  </si>
  <si>
    <t>ME</t>
    <phoneticPr fontId="2" type="noConversion"/>
  </si>
  <si>
    <t>소구분</t>
    <phoneticPr fontId="2" type="noConversion"/>
  </si>
  <si>
    <t>판관</t>
    <phoneticPr fontId="2" type="noConversion"/>
  </si>
  <si>
    <t>판관</t>
    <phoneticPr fontId="2" type="noConversion"/>
  </si>
  <si>
    <t>제조직접</t>
    <phoneticPr fontId="2" type="noConversion"/>
  </si>
  <si>
    <t>제조직접</t>
    <phoneticPr fontId="2" type="noConversion"/>
  </si>
  <si>
    <t>제조간접</t>
    <phoneticPr fontId="2" type="noConversion"/>
  </si>
  <si>
    <t>제조간접</t>
    <phoneticPr fontId="2" type="noConversion"/>
  </si>
  <si>
    <t>제조간접</t>
    <phoneticPr fontId="2" type="noConversion"/>
  </si>
  <si>
    <t>아이템</t>
  </si>
  <si>
    <t>품번(옵션)</t>
  </si>
  <si>
    <t>BDU_ASSY</t>
  </si>
  <si>
    <t>FUSE_BOX_ASSY</t>
  </si>
  <si>
    <t>INTER_BUSBAR_ASSY</t>
  </si>
  <si>
    <t>Wiring Harness Ass'y_SDN</t>
  </si>
  <si>
    <t>Flexible Busbar (CMA1_to_BDU_NEG ASM)</t>
  </si>
  <si>
    <t>Flexible Busbar (CMA6 to BDU POS ASM)</t>
  </si>
  <si>
    <t>Wiring Harness Ass'y_SUV</t>
  </si>
  <si>
    <t>ECW01190AD</t>
  </si>
  <si>
    <t>Flexible Busbar (CMA1 to BDU NEG ASM)</t>
  </si>
  <si>
    <t>Flexible Busbar (CMA7 to BDU POS ASM)</t>
  </si>
  <si>
    <t>Flexible Busbar (CMA6 to CMA7 ASM)</t>
  </si>
  <si>
    <t>F_BBAR_MD4_POS</t>
  </si>
  <si>
    <t>F_BBAR_MD1_BNEG</t>
  </si>
  <si>
    <t>F_BBAR_MD6_BPOS</t>
  </si>
  <si>
    <t>C_BLOCK_WH_ASSY (와이어링)</t>
  </si>
  <si>
    <t>INTER BUSBAR ASSY</t>
  </si>
  <si>
    <t>INTER BUSBAR ASSY_LONG</t>
  </si>
  <si>
    <t>HOUSING UNIT</t>
  </si>
  <si>
    <t>MHU00264AE</t>
  </si>
  <si>
    <t>CABLE ASSY PIM TO P1 CONNECTOR</t>
  </si>
  <si>
    <t>W-CABLE-PIM TO P4 CONNECTOR ASSEMBLY</t>
  </si>
  <si>
    <t>V-CABLE-PIM TO P4 CONNECTOR ASSEMBLY</t>
  </si>
  <si>
    <t>U-CABLE-PIM TO P4 CONNECTOR ASSEMBLY</t>
  </si>
  <si>
    <t>CABLE-PIM_POS_NEG_TO_BDU_POS_NEG</t>
  </si>
  <si>
    <t>EBB00539AD</t>
    <phoneticPr fontId="2" type="noConversion"/>
  </si>
  <si>
    <t>이자비용</t>
    <phoneticPr fontId="2" type="noConversion"/>
  </si>
  <si>
    <t>이자비용</t>
    <phoneticPr fontId="2" type="noConversion"/>
  </si>
  <si>
    <t>이자비용</t>
    <phoneticPr fontId="2" type="noConversion"/>
  </si>
  <si>
    <t>임대,용역,리스</t>
    <phoneticPr fontId="2" type="noConversion"/>
  </si>
  <si>
    <t>세금공과</t>
    <phoneticPr fontId="2" type="noConversion"/>
  </si>
  <si>
    <t>비고</t>
    <phoneticPr fontId="2" type="noConversion"/>
  </si>
  <si>
    <t>환율</t>
  </si>
  <si>
    <t>USD</t>
  </si>
  <si>
    <t>W1 SDN</t>
  </si>
  <si>
    <t>W1 SUV</t>
  </si>
  <si>
    <t>Sorting</t>
  </si>
  <si>
    <t>직접합계</t>
  </si>
  <si>
    <t>간접합계</t>
  </si>
  <si>
    <t>판관합계</t>
  </si>
  <si>
    <t>제조직접</t>
  </si>
  <si>
    <t>Gencas Svitlana</t>
  </si>
  <si>
    <t>EEA00308AF</t>
  </si>
  <si>
    <t>EBB00420AD</t>
  </si>
  <si>
    <t>EBB00422AD</t>
  </si>
  <si>
    <t>EEA00376AD</t>
  </si>
  <si>
    <t>ECW01503AM</t>
  </si>
  <si>
    <t>ECW01504AM</t>
  </si>
  <si>
    <t>ECW01505AM</t>
  </si>
  <si>
    <t>MFR01053AC</t>
  </si>
  <si>
    <t>MFR01055AB</t>
  </si>
  <si>
    <t>FRAME ASSY REAR</t>
  </si>
  <si>
    <t>FRAME ASSY FRONT</t>
  </si>
  <si>
    <t>증감</t>
  </si>
  <si>
    <t>EV2020</t>
  </si>
  <si>
    <t>USD/PLN</t>
  </si>
  <si>
    <t>EUR/PLN</t>
  </si>
  <si>
    <t>PLN/WON</t>
  </si>
  <si>
    <t>합계금액(PLN)</t>
  </si>
  <si>
    <t>판가(EUR)</t>
  </si>
  <si>
    <t>매입가(USD)</t>
  </si>
  <si>
    <t>KSCP환율기준</t>
  </si>
  <si>
    <t>PLN</t>
  </si>
  <si>
    <t>기계경비(PLN)</t>
  </si>
  <si>
    <t>중구분(PLN)</t>
  </si>
  <si>
    <t>판관합계(PLN)</t>
  </si>
  <si>
    <t>간접합계(PLN)</t>
  </si>
  <si>
    <t>직접합계(PLN)</t>
  </si>
  <si>
    <t>노무비(PLN)</t>
  </si>
  <si>
    <t>매출액(EUR-&gt;PLN)</t>
  </si>
  <si>
    <t>상품(EUR-&gt;PLN)</t>
  </si>
  <si>
    <t>상품(USD-&gt;PLN)</t>
  </si>
  <si>
    <t>재료비(USD-&gt;PLN))</t>
  </si>
  <si>
    <t>매출액(EUR-&gt;PLN-&gt;WON)</t>
  </si>
  <si>
    <t>상품(EUR-&gt;PLN-&gt;WON)</t>
  </si>
  <si>
    <t>상품(USD-&gt;PLN-&gt;WON)</t>
  </si>
  <si>
    <t>재료비(USD-&gt;PLN-&gt;WON)</t>
  </si>
  <si>
    <t>노무비(PLN-&gt;WON)</t>
  </si>
  <si>
    <t>직접</t>
  </si>
  <si>
    <t>간접</t>
  </si>
  <si>
    <t>기계경비(PLN-&gt;WON)</t>
  </si>
  <si>
    <t>당기순이익(PLN)</t>
  </si>
  <si>
    <t>당기순이익(PLN-&gt;WON)</t>
  </si>
  <si>
    <t>생산직</t>
  </si>
  <si>
    <t>T/Won</t>
  </si>
  <si>
    <t>T/EUR</t>
  </si>
  <si>
    <t>WON/USD</t>
  </si>
  <si>
    <t>WON/EUR</t>
  </si>
  <si>
    <t>BMW 12V HAF</t>
  </si>
  <si>
    <t>BMW 12V</t>
  </si>
  <si>
    <t>ECW01550AF</t>
  </si>
  <si>
    <t>HAF WIRING HARNESS</t>
  </si>
  <si>
    <t>BMW</t>
  </si>
  <si>
    <t>매출원가</t>
  </si>
  <si>
    <t>매출총이익</t>
  </si>
  <si>
    <t>영업 이익률</t>
  </si>
  <si>
    <t>주재원</t>
  </si>
  <si>
    <t>판관</t>
  </si>
  <si>
    <t>사무간접제조</t>
  </si>
  <si>
    <t>생산간접제조</t>
  </si>
  <si>
    <t>Won</t>
  </si>
  <si>
    <t>T/USD</t>
  </si>
  <si>
    <t>T/PLN</t>
  </si>
  <si>
    <t>비고</t>
  </si>
  <si>
    <t>단가(LGESWA, EUR)</t>
  </si>
  <si>
    <t>EEA00415AH</t>
  </si>
  <si>
    <t>EEA00383AI</t>
  </si>
  <si>
    <t>Working day</t>
  </si>
  <si>
    <t>합계</t>
  </si>
  <si>
    <t>원재료</t>
  </si>
  <si>
    <t>영업이익</t>
  </si>
  <si>
    <t>QC</t>
  </si>
  <si>
    <t>LO</t>
  </si>
  <si>
    <t>F/W</t>
  </si>
  <si>
    <t>800만 USD 차입기준</t>
  </si>
  <si>
    <t>KWR/USD</t>
  </si>
  <si>
    <t>KWD/EUR</t>
  </si>
  <si>
    <t>PLN/USD</t>
  </si>
  <si>
    <t>PLN/EUR</t>
  </si>
  <si>
    <t>KWR/PLN</t>
  </si>
  <si>
    <t>무관세</t>
  </si>
  <si>
    <t>통관비, 물류비</t>
  </si>
  <si>
    <t>회계</t>
  </si>
  <si>
    <t>안전관리</t>
  </si>
  <si>
    <t>공장 임대료</t>
  </si>
  <si>
    <t>쓰레기 처리</t>
  </si>
  <si>
    <t>공장 청소</t>
  </si>
  <si>
    <t>프린터 임대</t>
  </si>
  <si>
    <t>정수 임대</t>
  </si>
  <si>
    <t>사무직</t>
  </si>
  <si>
    <t>임대료, 리스 외(공장임대료,회계 수수료, 안전관리 수수료, 직원 작업복, 주재원 숙소 임대료, 정수기 등)</t>
  </si>
  <si>
    <t>봄, 가을 10% 인하적용</t>
  </si>
  <si>
    <t>2025Y판가(EUR)
(4Q)</t>
  </si>
  <si>
    <t>2026Y판가(EUR)</t>
  </si>
  <si>
    <t>2025Y매입가
(4Q)</t>
  </si>
  <si>
    <t>2026Y매입가(USD)</t>
  </si>
  <si>
    <t>MFR01053AD</t>
  </si>
  <si>
    <t>MFR01055AC</t>
  </si>
  <si>
    <t>증감율</t>
  </si>
  <si>
    <t>AS단가</t>
  </si>
  <si>
    <t>EEA00308AF(SDN)</t>
  </si>
  <si>
    <t>EEA00306AC(SDN)</t>
  </si>
  <si>
    <t>ECW01188AD(SDN)</t>
  </si>
  <si>
    <t>EBB00412AC(SDN)</t>
  </si>
  <si>
    <t>EBB00414AE(SDN)</t>
  </si>
  <si>
    <t>주재원 최소급여적용</t>
  </si>
  <si>
    <t>최저임금 48PLN(VAT 포함시 59PLN)</t>
  </si>
  <si>
    <t>100EUR(1회/일, 납품), 리턴은 미적용</t>
  </si>
  <si>
    <t>공장 관리비</t>
  </si>
  <si>
    <t>차량리스</t>
  </si>
  <si>
    <t>ZUS, PIT4, PPK, Multy sport</t>
  </si>
  <si>
    <t>판관비(PLN)</t>
  </si>
  <si>
    <t>판관비(PLN-&gt;WON)</t>
  </si>
  <si>
    <t>3월 회계 외부감사 비용, 10월 IATF 심사비용, 11월 이전가격 비용</t>
  </si>
  <si>
    <t>부서 운영비(부서비, 소모품비 등)</t>
  </si>
  <si>
    <t>년 생산댓수(매입)</t>
  </si>
  <si>
    <t>년 생산댓수(매출)</t>
  </si>
  <si>
    <t>상반기 내 인원조정</t>
  </si>
  <si>
    <t>EEA00308AF(SDN)RE</t>
  </si>
  <si>
    <t>EEA00306AC(SDN)RE</t>
  </si>
  <si>
    <t>ECW01188AD(SDN)RE</t>
  </si>
  <si>
    <t>EBB00412AC(SDN)RE</t>
  </si>
  <si>
    <t>EBB00414AE(SDN)RE</t>
  </si>
  <si>
    <t>AS단가(6월부터)</t>
  </si>
  <si>
    <t>주당 2대기준(입고,리턴), 물류비 1,000PLN적용
창저우 12월까지 월 1회 적용(회당 10,000PLN)</t>
  </si>
  <si>
    <t>PSA W1 SDN</t>
  </si>
  <si>
    <t>PSA W1 SUV</t>
  </si>
  <si>
    <t>IT 비용</t>
  </si>
  <si>
    <t>2025년 상반기 기준</t>
  </si>
  <si>
    <t>홀딩스 청구</t>
  </si>
  <si>
    <t>최저임금</t>
  </si>
  <si>
    <t>매입가</t>
  </si>
  <si>
    <t>매출총이익률</t>
  </si>
  <si>
    <t>초과 매입 매출금액</t>
  </si>
  <si>
    <t>MU</t>
  </si>
  <si>
    <t>초과된 매출</t>
  </si>
  <si>
    <t>초과매입(USD) 매출(EUR)</t>
  </si>
  <si>
    <t>초과매입(USD) 매출(USD)</t>
  </si>
  <si>
    <t>차액(EUR)</t>
  </si>
  <si>
    <t>차액(USD)</t>
  </si>
  <si>
    <t>매출총이익율</t>
  </si>
  <si>
    <t>재고평가 손실</t>
    <phoneticPr fontId="2" type="noConversion"/>
  </si>
  <si>
    <t>단가 인상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</si>
</sst>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9">
    <x:numFmt numFmtId="41" formatCode="_-* #,##0_-;\-* #,##0_-;_-* &quot;-&quot;_-;_-@_-"/>
    <x:numFmt numFmtId="43" formatCode="_-* #,##0.00_-;\-* #,##0.00_-;_-* &quot;-&quot;??_-;_-@_-"/>
    <x:numFmt numFmtId="176" formatCode="_-* #,##0.00_-;\-* #,##0.00_-;_-* &quot;-&quot;_-;_-@_-"/>
    <x:numFmt numFmtId="177" formatCode="#,##0,"/>
    <x:numFmt numFmtId="178" formatCode="0.0%"/>
    <x:numFmt numFmtId="180" formatCode="_-* #,##0.000_-;\-* #,##0.000_-;_-* &quot;-&quot;_-;_-@_-"/>
    <x:numFmt numFmtId="181" formatCode="#,##0,,"/>
    <x:numFmt numFmtId="182" formatCode="_-* #,##0.000_-;\-* #,##0.000_-;_-* &quot;-&quot;???_-;_-@_-"/>
    <x:numFmt numFmtId="183" formatCode="_-* #,##0.0_-;\-* #,##0.0_-;_-* &quot;-&quot;_-;_-@_-"/>
  </x:numFmts>
  <x:fonts count="15">
    <x:font>
      <x:sz val="11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Malgun Gothic"/>
      <x:family val="2"/>
    </x:font>
    <x:font>
      <x:b/>
      <x:sz val="11"/>
      <x:color theme="1"/>
      <x:name val="Malgun Gothic"/>
      <x:family val="2"/>
    </x:font>
    <x:font>
      <x:sz val="11"/>
      <x:color rgb="FFFF0000"/>
      <x:name val="Malgun Gothic"/>
      <x:family val="2"/>
    </x:font>
    <x:font>
      <x:b/>
      <x:sz val="11"/>
      <x:color indexed="8"/>
      <x:name val="Malgun Gothic"/>
      <x:family val="2"/>
    </x:font>
    <x:font>
      <x:sz val="11"/>
      <x:color rgb="FF0000CC"/>
      <x:name val="Malgun Gothic"/>
      <x:family val="2"/>
    </x:font>
    <x:font>
      <x:b/>
      <x:sz val="11"/>
      <x:color rgb="FF0000CC"/>
      <x:name val="Malgun Gothic"/>
      <x:family val="2"/>
    </x:font>
    <x:font>
      <x:b/>
      <x:sz val="11"/>
      <x:color rgb="FFFF0000"/>
      <x:name val="Malgun Gothic"/>
      <x:family val="2"/>
    </x:font>
    <x:font>
      <x:b/>
      <x:sz val="9"/>
      <x:color indexed="81"/>
      <x:name val="Tahoma"/>
      <x:family val="2"/>
    </x:font>
    <x:font>
      <x:sz val="11"/>
      <x:name val="Malgun Gothic"/>
      <x:family val="2"/>
    </x:font>
    <x:font>
      <x:sz val="11"/>
      <x:name val="Malgun Gothic"/>
      <x:family val="3"/>
    </x:font>
    <x:font>
      <x:b/>
      <x:sz val="11"/>
      <x:name val="Malgun Gothic"/>
      <x:family val="3"/>
    </x:font>
    <x:font>
      <x:sz val="10"/>
      <x:color rgb="FF9C0006"/>
      <x:name val="맑은 고딕"/>
      <x:family val="2"/>
      <x:charset val="129"/>
      <x:scheme val="minor"/>
    </x:font>
  </x:fonts>
  <x:fills count="8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4" tint="0.79998168889431442"/>
        <x:bgColor indexed="64"/>
      </x:patternFill>
    </x:fill>
    <x:fill>
      <x:patternFill patternType="solid">
        <x:fgColor rgb="FFFFC7CE"/>
      </x:patternFill>
    </x:fill>
  </x:fills>
  <x:borders count="27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 style="thick">
        <x:color rgb="FF0000CC"/>
      </x:left>
      <x:right style="thin">
        <x:color auto="1"/>
      </x:right>
      <x:top style="thick">
        <x:color rgb="FF0000CC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ck">
        <x:color rgb="FF0000CC"/>
      </x:top>
      <x:bottom style="thin">
        <x:color auto="1"/>
      </x:bottom>
      <x:diagonal/>
    </x:border>
    <x:border>
      <x:left style="thin">
        <x:color auto="1"/>
      </x:left>
      <x:right style="thick">
        <x:color rgb="FF0000CC"/>
      </x:right>
      <x:top style="thick">
        <x:color rgb="FF0000CC"/>
      </x:top>
      <x:bottom style="thin">
        <x:color auto="1"/>
      </x:bottom>
      <x:diagonal/>
    </x:border>
    <x:border>
      <x:left style="thick">
        <x:color rgb="FF0000CC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ck">
        <x:color rgb="FF0000CC"/>
      </x:right>
      <x:top style="thin">
        <x:color auto="1"/>
      </x:top>
      <x:bottom style="thin">
        <x:color auto="1"/>
      </x:bottom>
      <x:diagonal/>
    </x:border>
    <x:border>
      <x:left style="thick">
        <x:color rgb="FF0000CC"/>
      </x:left>
      <x:right style="thin">
        <x:color auto="1"/>
      </x:right>
      <x:top style="thin">
        <x:color auto="1"/>
      </x:top>
      <x:bottom/>
      <x:diagonal/>
    </x:border>
    <x:border>
      <x:left style="thick">
        <x:color rgb="FF0000CC"/>
      </x:left>
      <x:right style="thin">
        <x:color auto="1"/>
      </x:right>
      <x:top style="thin">
        <x:color auto="1"/>
      </x:top>
      <x:bottom style="thick">
        <x:color rgb="FF0000CC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ck">
        <x:color rgb="FF0000CC"/>
      </x:bottom>
      <x:diagonal/>
    </x:border>
    <x:border>
      <x:left style="thin">
        <x:color auto="1"/>
      </x:left>
      <x:right style="thick">
        <x:color rgb="FF0000CC"/>
      </x:right>
      <x:top style="thin">
        <x:color auto="1"/>
      </x:top>
      <x:bottom style="thick">
        <x:color rgb="FF0000CC"/>
      </x:bottom>
      <x:diagonal/>
    </x:border>
    <x:border>
      <x:left style="medium">
        <x:color auto="1"/>
      </x:left>
      <x:right/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/>
      <x:top style="thin">
        <x:color auto="1"/>
      </x:top>
      <x:bottom/>
      <x:diagonal/>
    </x:border>
    <x:border>
      <x:left style="medium">
        <x:color auto="1"/>
      </x:left>
      <x:right/>
      <x:top style="thin">
        <x:color auto="1"/>
      </x:top>
      <x:bottom style="medium">
        <x:color auto="1"/>
      </x:bottom>
      <x:diagonal/>
    </x:border>
  </x:borders>
  <x:cellStyleXfs count="4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0" fontId="14" fillId="7" borderId="0" applyNumberFormat="0" applyBorder="0" applyAlignment="0" applyProtection="0">
      <x:alignment vertical="center"/>
    </x:xf>
  </x:cellStyleXfs>
  <x:cellXfs count="172">
    <x:xf numFmtId="0" fontId="0" fillId="0" borderId="0" xfId="0">
      <x:alignment vertical="center"/>
    </x:xf>
    <x:xf numFmtId="0" fontId="3" fillId="0" borderId="7" xfId="0" applyFont="1" applyBorder="1" applyAlignment="1">
      <x:alignment horizontal="center" vertical="center"/>
    </x:xf>
    <x:xf numFmtId="0" fontId="3" fillId="0" borderId="13" xfId="0" applyFont="1" applyBorder="1" applyAlignment="1">
      <x:alignment horizontal="center" vertical="center"/>
    </x:xf>
    <x:xf numFmtId="0" fontId="3" fillId="0" borderId="11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vertical="center"/>
    </x:xf>
    <x:xf numFmtId="0" fontId="3" fillId="2" borderId="1" xfId="0" applyFont="1" applyFill="1" applyBorder="1">
      <x:alignment vertical="center"/>
    </x:xf>
    <x:xf numFmtId="0" fontId="3" fillId="2" borderId="0" xfId="0" applyFont="1" applyFill="1">
      <x:alignment vertical="center"/>
    </x:xf>
    <x:xf numFmtId="0" fontId="3" fillId="2" borderId="1" xfId="0" applyFont="1" applyFill="1" applyBorder="1" applyAlignment="1">
      <x:alignment horizontal="center" vertical="center"/>
    </x:xf>
    <x:xf numFmtId="41" fontId="3" fillId="2" borderId="1" xfId="1" applyFont="1" applyFill="1" applyBorder="1">
      <x:alignment vertical="center"/>
    </x:xf>
    <x:xf numFmtId="41" fontId="3" fillId="2" borderId="0" xfId="1" applyFont="1" applyFill="1" applyBorder="1">
      <x:alignment vertical="center"/>
    </x:xf>
    <x:xf numFmtId="41" fontId="3" fillId="2" borderId="1" xfId="0" applyNumberFormat="1" applyFont="1" applyFill="1" applyBorder="1">
      <x:alignment vertical="center"/>
    </x:xf>
    <x:xf numFmtId="0" fontId="3" fillId="2" borderId="0" xfId="0" applyFont="1" applyFill="1" applyAlignment="1">
      <x:alignment horizontal="center" vertical="center"/>
    </x:xf>
    <x:xf numFmtId="3" fontId="3" fillId="2" borderId="0" xfId="0" applyNumberFormat="1" applyFont="1" applyFill="1">
      <x:alignment vertical="center"/>
    </x:xf>
    <x:xf numFmtId="176" fontId="3" fillId="2" borderId="1" xfId="0" applyNumberFormat="1" applyFont="1" applyFill="1" applyBorder="1">
      <x:alignment vertical="center"/>
    </x:xf>
    <x:xf numFmtId="176" fontId="3" fillId="2" borderId="0" xfId="1" applyNumberFormat="1" applyFont="1" applyFill="1">
      <x:alignment vertical="center"/>
    </x:xf>
    <x:xf numFmtId="41" fontId="4" fillId="2" borderId="7" xfId="0" applyNumberFormat="1" applyFont="1" applyFill="1" applyBorder="1">
      <x:alignment vertical="center"/>
    </x:xf>
    <x:xf numFmtId="41" fontId="4" fillId="2" borderId="0" xfId="0" applyNumberFormat="1" applyFont="1" applyFill="1">
      <x:alignment vertical="center"/>
    </x:xf>
    <x:xf numFmtId="41" fontId="4" fillId="2" borderId="1" xfId="0" applyNumberFormat="1" applyFont="1" applyFill="1" applyBorder="1">
      <x:alignment vertical="center"/>
    </x:xf>
    <x:xf numFmtId="43" fontId="3" fillId="2" borderId="0" xfId="0" applyNumberFormat="1" applyFont="1" applyFill="1">
      <x:alignment vertical="center"/>
    </x:xf>
    <x:xf numFmtId="0" fontId="3" fillId="5" borderId="1" xfId="0" applyFont="1" applyFill="1" applyBorder="1">
      <x:alignment vertical="center"/>
    </x:xf>
    <x:xf numFmtId="0" fontId="3" fillId="2" borderId="8" xfId="0" applyFont="1" applyFill="1" applyBorder="1">
      <x:alignment vertical="center"/>
    </x:xf>
    <x:xf numFmtId="0" fontId="3" fillId="2" borderId="9" xfId="0" applyFont="1" applyFill="1" applyBorder="1">
      <x:alignment vertical="center"/>
    </x:xf>
    <x:xf numFmtId="0" fontId="3" fillId="2" borderId="10" xfId="0" applyFont="1" applyFill="1" applyBorder="1">
      <x:alignment vertical="center"/>
    </x:xf>
    <x:xf numFmtId="41" fontId="3" fillId="2" borderId="0" xfId="0" applyNumberFormat="1" applyFont="1" applyFill="1">
      <x:alignment vertical="center"/>
    </x:xf>
    <x:xf numFmtId="0" fontId="4" fillId="2" borderId="2" xfId="0" applyFont="1" applyFill="1" applyBorder="1">
      <x:alignment vertical="center"/>
    </x:xf>
    <x:xf numFmtId="177" fontId="4" fillId="2" borderId="2" xfId="0" applyNumberFormat="1" applyFont="1" applyFill="1" applyBorder="1">
      <x:alignment vertical="center"/>
    </x:xf>
    <x:xf numFmtId="177" fontId="4" fillId="2" borderId="2" xfId="1" applyNumberFormat="1" applyFont="1" applyFill="1" applyBorder="1">
      <x:alignment vertical="center"/>
    </x:xf>
    <x:xf numFmtId="178" fontId="4" fillId="2" borderId="3" xfId="2" applyNumberFormat="1" applyFont="1" applyFill="1" applyBorder="1">
      <x:alignment vertical="center"/>
    </x:xf>
    <x:xf numFmtId="0" fontId="4" fillId="2" borderId="0" xfId="0" applyFont="1" applyFill="1">
      <x:alignment vertical="center"/>
    </x:xf>
    <x:xf numFmtId="177" fontId="3" fillId="2" borderId="1" xfId="1" applyNumberFormat="1" applyFont="1" applyFill="1" applyBorder="1">
      <x:alignment vertical="center"/>
    </x:xf>
    <x:xf numFmtId="178" fontId="4" fillId="2" borderId="4" xfId="2" applyNumberFormat="1" applyFont="1" applyFill="1" applyBorder="1">
      <x:alignment vertical="center"/>
    </x:xf>
    <x:xf numFmtId="177" fontId="4" fillId="2" borderId="1" xfId="1" applyNumberFormat="1" applyFont="1" applyFill="1" applyBorder="1">
      <x:alignment vertical="center"/>
    </x:xf>
    <x:xf numFmtId="0" fontId="4" fillId="2" borderId="1" xfId="0" applyFont="1" applyFill="1" applyBorder="1">
      <x:alignment vertical="center"/>
    </x:xf>
    <x:xf numFmtId="177" fontId="4" fillId="2" borderId="1" xfId="0" applyNumberFormat="1" applyFont="1" applyFill="1" applyBorder="1">
      <x:alignment vertical="center"/>
    </x:xf>
    <x:xf numFmtId="177" fontId="3" fillId="2" borderId="1" xfId="0" applyNumberFormat="1" applyFont="1" applyFill="1" applyBorder="1">
      <x:alignment vertical="center"/>
    </x:xf>
    <x:xf numFmtId="0" fontId="3" fillId="2" borderId="11" xfId="0" applyFont="1" applyFill="1" applyBorder="1">
      <x:alignment vertical="center"/>
    </x:xf>
    <x:xf numFmtId="177" fontId="3" fillId="2" borderId="11" xfId="0" applyNumberFormat="1" applyFont="1" applyFill="1" applyBorder="1">
      <x:alignment vertical="center"/>
    </x:xf>
    <x:xf numFmtId="177" fontId="3" fillId="2" borderId="11" xfId="1" applyNumberFormat="1" applyFont="1" applyFill="1" applyBorder="1">
      <x:alignment vertical="center"/>
    </x:xf>
    <x:xf numFmtId="178" fontId="4" fillId="2" borderId="12" xfId="2" applyNumberFormat="1" applyFont="1" applyFill="1" applyBorder="1">
      <x:alignment vertical="center"/>
    </x:xf>
    <x:xf numFmtId="0" fontId="4" fillId="2" borderId="11" xfId="0" applyFont="1" applyFill="1" applyBorder="1">
      <x:alignment vertical="center"/>
    </x:xf>
    <x:xf numFmtId="177" fontId="4" fillId="2" borderId="11" xfId="0" applyNumberFormat="1" applyFont="1" applyFill="1" applyBorder="1">
      <x:alignment vertical="center"/>
    </x:xf>
    <x:xf numFmtId="0" fontId="3" fillId="2" borderId="5" xfId="0" applyFont="1" applyFill="1" applyBorder="1">
      <x:alignment vertical="center"/>
    </x:xf>
    <x:xf numFmtId="177" fontId="3" fillId="2" borderId="5" xfId="0" applyNumberFormat="1" applyFont="1" applyFill="1" applyBorder="1">
      <x:alignment vertical="center"/>
    </x:xf>
    <x:xf numFmtId="177" fontId="3" fillId="2" borderId="5" xfId="1" applyNumberFormat="1" applyFont="1" applyFill="1" applyBorder="1">
      <x:alignment vertical="center"/>
    </x:xf>
    <x:xf numFmtId="178" fontId="4" fillId="2" borderId="6" xfId="2" applyNumberFormat="1" applyFont="1" applyFill="1" applyBorder="1">
      <x:alignment vertical="center"/>
    </x:xf>
    <x:xf numFmtId="177" fontId="3" fillId="2" borderId="0" xfId="0" applyNumberFormat="1" applyFont="1" applyFill="1">
      <x:alignment vertical="center"/>
    </x:xf>
    <x:xf numFmtId="177" fontId="3" fillId="2" borderId="0" xfId="1" applyNumberFormat="1" applyFont="1" applyFill="1" applyBorder="1">
      <x:alignment vertical="center"/>
    </x:xf>
    <x:xf numFmtId="178" fontId="4" fillId="2" borderId="0" xfId="2" applyNumberFormat="1" applyFont="1" applyFill="1" applyBorder="1">
      <x:alignment vertical="center"/>
    </x:xf>
    <x:xf numFmtId="0" fontId="3" fillId="6" borderId="1" xfId="0" applyFont="1" applyFill="1" applyBorder="1" applyAlignment="1">
      <x:alignment horizontal="center" vertical="center"/>
    </x:xf>
    <x:xf numFmtId="0" fontId="3" fillId="0" borderId="0" xfId="0" applyFont="1">
      <x:alignment vertical="center"/>
    </x:xf>
    <x:xf numFmtId="41" fontId="3" fillId="0" borderId="1" xfId="1" applyFont="1" applyBorder="1">
      <x:alignment vertical="center"/>
    </x:xf>
    <x:xf numFmtId="0" fontId="3" fillId="0" borderId="1" xfId="0" applyFont="1" applyBorder="1">
      <x:alignment vertical="center"/>
    </x:xf>
    <x:xf numFmtId="41" fontId="3" fillId="0" borderId="0" xfId="1" applyFont="1">
      <x:alignment vertical="center"/>
    </x:xf>
    <x:xf numFmtId="0" fontId="4" fillId="6" borderId="1" xfId="0" applyFont="1" applyFill="1" applyBorder="1" applyAlignment="1">
      <x:alignment horizontal="center" vertical="center"/>
    </x:xf>
    <x:xf numFmtId="41" fontId="3" fillId="0" borderId="1" xfId="0" applyNumberFormat="1" applyFont="1" applyBorder="1">
      <x:alignment vertical="center"/>
    </x:xf>
    <x:xf numFmtId="41" fontId="3" fillId="0" borderId="0" xfId="0" applyNumberFormat="1" applyFont="1">
      <x:alignment vertical="center"/>
    </x:xf>
    <x:xf numFmtId="0" fontId="4" fillId="0" borderId="1" xfId="0" applyFont="1" applyBorder="1">
      <x:alignment vertical="center"/>
    </x:xf>
    <x:xf numFmtId="41" fontId="4" fillId="0" borderId="1" xfId="1" applyFont="1" applyBorder="1">
      <x:alignment vertical="center"/>
    </x:xf>
    <x:xf numFmtId="0" fontId="4" fillId="0" borderId="0" xfId="0" applyFont="1">
      <x:alignment vertical="center"/>
    </x:xf>
    <x:xf numFmtId="10" fontId="3" fillId="2" borderId="1" xfId="0" applyNumberFormat="1" applyFont="1" applyFill="1" applyBorder="1">
      <x:alignment vertical="center"/>
    </x:xf>
    <x:xf numFmtId="0" fontId="3" fillId="0" borderId="1" xfId="0" applyFont="1" applyBorder="1" applyAlignment="1">
      <x:alignment horizontal="center" vertical="center"/>
    </x:xf>
    <x:xf numFmtId="9" fontId="3" fillId="2" borderId="1" xfId="0" applyNumberFormat="1" applyFont="1" applyFill="1" applyBorder="1">
      <x:alignment vertical="center"/>
    </x:xf>
    <x:xf numFmtId="0" fontId="3" fillId="3" borderId="0" xfId="0" applyFont="1" applyFill="1">
      <x:alignment vertical="center"/>
    </x:xf>
    <x:xf numFmtId="0" fontId="3" fillId="4" borderId="0" xfId="0" applyFont="1" applyFill="1">
      <x:alignment vertical="center"/>
    </x:xf>
    <x:xf numFmtId="0" fontId="4" fillId="4" borderId="1" xfId="0" applyFont="1" applyFill="1" applyBorder="1" applyAlignment="1">
      <x:alignment horizontal="center" vertical="center" wrapText="1"/>
    </x:xf>
    <x:xf numFmtId="180" fontId="4" fillId="0" borderId="1" xfId="1" applyNumberFormat="1" applyFont="1" applyBorder="1">
      <x:alignment vertical="center"/>
    </x:xf>
    <x:xf numFmtId="41" fontId="3" fillId="6" borderId="1" xfId="3" applyFont="1" applyFill="1" applyBorder="1" applyAlignment="1">
      <x:alignment horizontal="center" vertical="center"/>
    </x:xf>
    <x:xf numFmtId="41" fontId="4" fillId="6" borderId="1" xfId="3" applyFont="1" applyFill="1" applyBorder="1" applyAlignment="1">
      <x:alignment horizontal="center" vertical="center"/>
    </x:xf>
    <x:xf numFmtId="41" fontId="3" fillId="0" borderId="1" xfId="3" applyFont="1" applyFill="1" applyBorder="1" applyAlignment="1">
      <x:alignment horizontal="left" vertical="center"/>
    </x:xf>
    <x:xf numFmtId="41" fontId="3" fillId="0" borderId="1" xfId="3" applyFont="1" applyFill="1" applyBorder="1" applyAlignment="1">
      <x:alignment horizontal="center" vertical="center"/>
    </x:xf>
    <x:xf numFmtId="180" fontId="4" fillId="0" borderId="1" xfId="1" applyNumberFormat="1" applyFont="1" applyFill="1" applyBorder="1" applyAlignment="1">
      <x:alignment horizontal="left" vertical="center"/>
    </x:xf>
    <x:xf numFmtId="180" fontId="3" fillId="2" borderId="1" xfId="1" applyNumberFormat="1" applyFont="1" applyFill="1" applyBorder="1">
      <x:alignment vertical="center"/>
    </x:xf>
    <x:xf numFmtId="0" fontId="0" fillId="0" borderId="1" xfId="0" applyBorder="1" applyAlignment="1">
      <x:alignment horizontal="center" vertical="center"/>
    </x:xf>
    <x:xf numFmtId="41" fontId="0" fillId="0" borderId="1" xfId="1" applyFont="1" applyBorder="1">
      <x:alignment vertical="center"/>
    </x:xf>
    <x:xf numFmtId="178" fontId="3" fillId="0" borderId="0" xfId="2" applyNumberFormat="1" applyFont="1">
      <x:alignment vertical="center"/>
    </x:xf>
    <x:xf numFmtId="0" fontId="4" fillId="5" borderId="1" xfId="0" applyFont="1" applyFill="1" applyBorder="1">
      <x:alignment vertical="center"/>
    </x:xf>
    <x:xf numFmtId="41" fontId="4" fillId="5" borderId="1" xfId="1" applyFont="1" applyFill="1" applyBorder="1">
      <x:alignment vertical="center"/>
    </x:xf>
    <x:xf numFmtId="0" fontId="3" fillId="5" borderId="0" xfId="0" applyFont="1" applyFill="1">
      <x:alignment vertical="center"/>
    </x:xf>
    <x:xf numFmtId="41" fontId="3" fillId="5" borderId="0" xfId="1" applyFont="1" applyFill="1">
      <x:alignment vertical="center"/>
    </x:xf>
    <x:xf numFmtId="41" fontId="3" fillId="5" borderId="0" xfId="0" applyNumberFormat="1" applyFont="1" applyFill="1">
      <x:alignment vertical="center"/>
    </x:xf>
    <x:xf numFmtId="41" fontId="3" fillId="5" borderId="1" xfId="1" applyFont="1" applyFill="1" applyBorder="1">
      <x:alignment vertical="center"/>
    </x:xf>
    <x:xf numFmtId="0" fontId="3" fillId="5" borderId="1" xfId="0" applyFont="1" applyFill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176" fontId="0" fillId="5" borderId="1" xfId="1" applyNumberFormat="1" applyFont="1" applyFill="1" applyBorder="1">
      <x:alignment vertical="center"/>
    </x:xf>
    <x:xf numFmtId="0" fontId="4" fillId="2" borderId="14" xfId="0" applyFont="1" applyFill="1" applyBorder="1">
      <x:alignment vertical="center"/>
    </x:xf>
    <x:xf numFmtId="0" fontId="4" fillId="2" borderId="15" xfId="0" applyFont="1" applyFill="1" applyBorder="1">
      <x:alignment vertical="center"/>
    </x:xf>
    <x:xf numFmtId="177" fontId="4" fillId="2" borderId="15" xfId="0" applyNumberFormat="1" applyFont="1" applyFill="1" applyBorder="1">
      <x:alignment vertical="center"/>
    </x:xf>
    <x:xf numFmtId="177" fontId="4" fillId="2" borderId="15" xfId="1" applyNumberFormat="1" applyFont="1" applyFill="1" applyBorder="1">
      <x:alignment vertical="center"/>
    </x:xf>
    <x:xf numFmtId="178" fontId="4" fillId="2" borderId="16" xfId="2" applyNumberFormat="1" applyFont="1" applyFill="1" applyBorder="1">
      <x:alignment vertical="center"/>
    </x:xf>
    <x:xf numFmtId="0" fontId="3" fillId="2" borderId="17" xfId="0" applyFont="1" applyFill="1" applyBorder="1">
      <x:alignment vertical="center"/>
    </x:xf>
    <x:xf numFmtId="178" fontId="4" fillId="2" borderId="18" xfId="2" applyNumberFormat="1" applyFont="1" applyFill="1" applyBorder="1">
      <x:alignment vertical="center"/>
    </x:xf>
    <x:xf numFmtId="0" fontId="4" fillId="2" borderId="17" xfId="0" applyFont="1" applyFill="1" applyBorder="1">
      <x:alignment vertical="center"/>
    </x:xf>
    <x:xf numFmtId="0" fontId="3" fillId="2" borderId="19" xfId="0" applyFont="1" applyFill="1" applyBorder="1">
      <x:alignment vertical="center"/>
    </x:xf>
    <x:xf numFmtId="0" fontId="4" fillId="2" borderId="19" xfId="0" applyFont="1" applyFill="1" applyBorder="1">
      <x:alignment vertical="center"/>
    </x:xf>
    <x:xf numFmtId="0" fontId="3" fillId="2" borderId="20" xfId="0" applyFont="1" applyFill="1" applyBorder="1">
      <x:alignment vertical="center"/>
    </x:xf>
    <x:xf numFmtId="0" fontId="3" fillId="2" borderId="21" xfId="0" applyFont="1" applyFill="1" applyBorder="1">
      <x:alignment vertical="center"/>
    </x:xf>
    <x:xf numFmtId="177" fontId="3" fillId="2" borderId="21" xfId="0" applyNumberFormat="1" applyFont="1" applyFill="1" applyBorder="1">
      <x:alignment vertical="center"/>
    </x:xf>
    <x:xf numFmtId="177" fontId="3" fillId="2" borderId="21" xfId="1" applyNumberFormat="1" applyFont="1" applyFill="1" applyBorder="1">
      <x:alignment vertical="center"/>
    </x:xf>
    <x:xf numFmtId="41" fontId="0" fillId="0" borderId="1" xfId="1" applyFont="1" applyFill="1" applyBorder="1">
      <x:alignment vertical="center"/>
    </x:xf>
    <x:xf numFmtId="41" fontId="3" fillId="0" borderId="11" xfId="3" applyFont="1" applyFill="1" applyBorder="1" applyAlignment="1">
      <x:alignment horizontal="left" vertical="center"/>
    </x:xf>
    <x:xf numFmtId="41" fontId="3" fillId="0" borderId="11" xfId="3" applyFont="1" applyFill="1" applyBorder="1" applyAlignment="1">
      <x:alignment horizontal="center" vertical="center"/>
    </x:xf>
    <x:xf numFmtId="180" fontId="4" fillId="0" borderId="11" xfId="1" applyNumberFormat="1" applyFont="1" applyFill="1" applyBorder="1" applyAlignment="1">
      <x:alignment horizontal="left" vertical="center"/>
    </x:xf>
    <x:xf numFmtId="180" fontId="4" fillId="0" borderId="11" xfId="1" applyNumberFormat="1" applyFont="1" applyBorder="1">
      <x:alignment vertical="center"/>
    </x:xf>
    <x:xf numFmtId="181" fontId="4" fillId="2" borderId="0" xfId="0" applyNumberFormat="1" applyFont="1" applyFill="1">
      <x:alignment vertical="center"/>
    </x:xf>
    <x:xf numFmtId="181" fontId="3" fillId="2" borderId="0" xfId="0" applyNumberFormat="1" applyFont="1" applyFill="1">
      <x:alignment vertical="center"/>
    </x:xf>
    <x:xf numFmtId="9" fontId="4" fillId="2" borderId="0" xfId="2" applyFont="1" applyFill="1">
      <x:alignment vertical="center"/>
    </x:xf>
    <x:xf numFmtId="9" fontId="3" fillId="2" borderId="0" xfId="2" applyFont="1" applyFill="1">
      <x:alignment vertical="center"/>
    </x:xf>
    <x:xf numFmtId="178" fontId="3" fillId="2" borderId="0" xfId="2" applyNumberFormat="1" applyFont="1" applyFill="1">
      <x:alignment vertical="center"/>
    </x:xf>
    <x:xf numFmtId="177" fontId="4" fillId="2" borderId="9" xfId="1" applyNumberFormat="1" applyFont="1" applyFill="1" applyBorder="1">
      <x:alignment vertical="center"/>
    </x:xf>
    <x:xf numFmtId="0" fontId="5" fillId="0" borderId="0" xfId="0" applyFont="1">
      <x:alignment vertical="center"/>
    </x:xf>
    <x:xf numFmtId="0" fontId="4" fillId="6" borderId="1" xfId="0" applyFont="1" applyFill="1" applyBorder="1" applyAlignment="1">
      <x:alignment horizontal="center" vertical="center" wrapText="1"/>
    </x:xf>
    <x:xf numFmtId="182" fontId="3" fillId="0" borderId="1" xfId="0" applyNumberFormat="1" applyFont="1" applyBorder="1">
      <x:alignment vertical="center"/>
    </x:xf>
    <x:xf numFmtId="178" fontId="0" fillId="0" borderId="0" xfId="2" applyNumberFormat="1" applyFont="1">
      <x:alignment vertical="center"/>
    </x:xf>
    <x:xf numFmtId="178" fontId="4" fillId="2" borderId="1" xfId="2" applyNumberFormat="1" applyFont="1" applyFill="1" applyBorder="1">
      <x:alignment vertical="center"/>
    </x:xf>
    <x:xf numFmtId="178" fontId="3" fillId="2" borderId="4" xfId="2" applyNumberFormat="1" applyFont="1" applyFill="1" applyBorder="1">
      <x:alignment vertical="center"/>
    </x:xf>
    <x:xf numFmtId="177" fontId="6" fillId="0" borderId="1" xfId="1" applyNumberFormat="1" applyFont="1" applyFill="1" applyBorder="1" applyAlignment="1" applyProtection="1">
      <x:alignment vertical="center"/>
    </x:xf>
    <x:xf numFmtId="0" fontId="4" fillId="2" borderId="23" xfId="0" applyFont="1" applyFill="1" applyBorder="1">
      <x:alignment vertical="center"/>
    </x:xf>
    <x:xf numFmtId="0" fontId="3" fillId="2" borderId="24" xfId="0" applyFont="1" applyFill="1" applyBorder="1">
      <x:alignment vertical="center"/>
    </x:xf>
    <x:xf numFmtId="0" fontId="4" fillId="2" borderId="24" xfId="0" applyFont="1" applyFill="1" applyBorder="1">
      <x:alignment vertical="center"/>
    </x:xf>
    <x:xf numFmtId="0" fontId="3" fillId="2" borderId="25" xfId="0" applyFont="1" applyFill="1" applyBorder="1">
      <x:alignment vertical="center"/>
    </x:xf>
    <x:xf numFmtId="0" fontId="4" fillId="2" borderId="25" xfId="0" applyFont="1" applyFill="1" applyBorder="1">
      <x:alignment vertical="center"/>
    </x:xf>
    <x:xf numFmtId="0" fontId="3" fillId="2" borderId="26" xfId="0" applyFont="1" applyFill="1" applyBorder="1">
      <x:alignment vertical="center"/>
    </x:xf>
    <x:xf numFmtId="178" fontId="3" fillId="2" borderId="18" xfId="2" applyNumberFormat="1" applyFont="1" applyFill="1" applyBorder="1">
      <x:alignment vertical="center"/>
    </x:xf>
    <x:xf numFmtId="183" fontId="3" fillId="0" borderId="0" xfId="1" applyNumberFormat="1" applyFont="1">
      <x:alignment vertical="center"/>
    </x:xf>
    <x:xf numFmtId="178" fontId="3" fillId="0" borderId="1" xfId="2" applyNumberFormat="1" applyFont="1" applyBorder="1">
      <x:alignment vertical="center"/>
    </x:xf>
    <x:xf numFmtId="180" fontId="4" fillId="5" borderId="1" xfId="1" applyNumberFormat="1" applyFont="1" applyFill="1" applyBorder="1" applyAlignment="1">
      <x:alignment horizontal="left" vertical="center"/>
    </x:xf>
    <x:xf numFmtId="180" fontId="4" fillId="5" borderId="1" xfId="1" applyNumberFormat="1" applyFont="1" applyFill="1" applyBorder="1">
      <x:alignment vertical="center"/>
    </x:xf>
    <x:xf numFmtId="41" fontId="4" fillId="6" borderId="1" xfId="3" applyFont="1" applyFill="1" applyBorder="1" applyAlignment="1">
      <x:alignment horizontal="center" vertical="center" wrapText="1"/>
    </x:xf>
    <x:xf numFmtId="0" fontId="7" fillId="2" borderId="1" xfId="0" applyFont="1" applyFill="1" applyBorder="1">
      <x:alignment vertical="center"/>
    </x:xf>
    <x:xf numFmtId="41" fontId="7" fillId="0" borderId="1" xfId="0" applyNumberFormat="1" applyFont="1" applyBorder="1">
      <x:alignment vertical="center"/>
    </x:xf>
    <x:xf numFmtId="9" fontId="7" fillId="2" borderId="1" xfId="0" applyNumberFormat="1" applyFont="1" applyFill="1" applyBorder="1">
      <x:alignment vertical="center"/>
    </x:xf>
    <x:xf numFmtId="0" fontId="7" fillId="0" borderId="1" xfId="0" applyFont="1" applyBorder="1">
      <x:alignment vertical="center"/>
    </x:xf>
    <x:xf numFmtId="178" fontId="3" fillId="2" borderId="22" xfId="2" applyNumberFormat="1" applyFont="1" applyFill="1" applyBorder="1">
      <x:alignment vertical="center"/>
    </x:xf>
    <x:xf numFmtId="0" fontId="4" fillId="4" borderId="1" xfId="0" applyFont="1" applyFill="1" applyBorder="1" applyAlignment="1">
      <x:alignment horizontal="center" vertical="center"/>
    </x:xf>
    <x:xf numFmtId="180" fontId="8" fillId="5" borderId="1" xfId="1" applyNumberFormat="1" applyFont="1" applyFill="1" applyBorder="1">
      <x:alignment vertical="center"/>
    </x:xf>
    <x:xf numFmtId="0" fontId="3" fillId="0" borderId="13" xfId="0" applyFont="1" applyBorder="1" applyAlignment="1">
      <x:alignment horizontal="center" vertical="center"/>
    </x:xf>
    <x:xf numFmtId="41" fontId="5" fillId="0" borderId="1" xfId="3" applyFont="1" applyFill="1" applyBorder="1" applyAlignment="1">
      <x:alignment horizontal="left" vertical="center"/>
    </x:xf>
    <x:xf numFmtId="41" fontId="5" fillId="0" borderId="1" xfId="3" applyFont="1" applyFill="1" applyBorder="1" applyAlignment="1">
      <x:alignment horizontal="center" vertical="center"/>
    </x:xf>
    <x:xf numFmtId="180" fontId="9" fillId="0" borderId="1" xfId="1" applyNumberFormat="1" applyFont="1" applyFill="1" applyBorder="1" applyAlignment="1">
      <x:alignment horizontal="left" vertical="center"/>
    </x:xf>
    <x:xf numFmtId="180" fontId="9" fillId="5" borderId="1" xfId="1" applyNumberFormat="1" applyFont="1" applyFill="1" applyBorder="1" applyAlignment="1">
      <x:alignment horizontal="left" vertical="center"/>
    </x:xf>
    <x:xf numFmtId="178" fontId="5" fillId="0" borderId="1" xfId="2" applyNumberFormat="1" applyFont="1" applyBorder="1">
      <x:alignment vertical="center"/>
    </x:xf>
    <x:xf numFmtId="180" fontId="9" fillId="0" borderId="1" xfId="1" applyNumberFormat="1" applyFont="1" applyBorder="1">
      <x:alignment vertical="center"/>
    </x:xf>
    <x:xf numFmtId="180" fontId="9" fillId="5" borderId="1" xfId="1" applyNumberFormat="1" applyFont="1" applyFill="1" applyBorder="1">
      <x:alignment vertical="center"/>
    </x:xf>
    <x:xf numFmtId="182" fontId="5" fillId="0" borderId="1" xfId="0" applyNumberFormat="1" applyFont="1" applyBorder="1">
      <x:alignment vertical="center"/>
    </x:xf>
    <x:xf numFmtId="0" fontId="4" fillId="5" borderId="1" xfId="0" applyFont="1" applyFill="1" applyBorder="1" applyAlignment="1">
      <x:alignment vertical="center" wrapText="1"/>
    </x:xf>
    <x:xf numFmtId="41" fontId="4" fillId="2" borderId="0" xfId="1" applyFont="1" applyFill="1" applyAlignment="1">
      <x:alignment horizontal="right" vertical="center"/>
    </x:xf>
    <x:xf numFmtId="41" fontId="3" fillId="2" borderId="0" xfId="1" applyFont="1" applyFill="1" applyAlignment="1">
      <x:alignment horizontal="right" vertical="center"/>
    </x:xf>
    <x:xf numFmtId="178" fontId="4" fillId="2" borderId="0" xfId="2" applyNumberFormat="1" applyFont="1" applyFill="1" applyAlignment="1">
      <x:alignment horizontal="right" vertical="center"/>
    </x:xf>
    <x:xf numFmtId="178" fontId="3" fillId="2" borderId="0" xfId="2" applyNumberFormat="1" applyFont="1" applyFill="1" applyAlignment="1">
      <x:alignment horizontal="right" vertical="center"/>
    </x:xf>
    <x:xf numFmtId="41" fontId="3" fillId="5" borderId="1" xfId="0" applyNumberFormat="1" applyFont="1" applyFill="1" applyBorder="1">
      <x:alignment vertical="center"/>
    </x:xf>
    <x:xf numFmtId="41" fontId="3" fillId="2" borderId="1" xfId="1" applyFont="1" applyFill="1" applyBorder="1" applyAlignment="1">
      <x:alignment horizontal="center" vertical="center"/>
    </x:xf>
    <x:xf numFmtId="10" fontId="3" fillId="2" borderId="0" xfId="0" applyNumberFormat="1" applyFont="1" applyFill="1">
      <x:alignment vertical="center"/>
    </x:xf>
    <x:xf numFmtId="0" fontId="3" fillId="0" borderId="0" xfId="0" applyFont="1" applyAlignment="1">
      <x:alignment horizontal="center" vertical="center"/>
    </x:xf>
    <x:xf numFmtId="176" fontId="3" fillId="2" borderId="8" xfId="1" applyNumberFormat="1" applyFont="1" applyFill="1" applyBorder="1">
      <x:alignment vertical="center"/>
    </x:xf>
    <x:xf numFmtId="0" fontId="5" fillId="2" borderId="1" xfId="0" applyFont="1" applyFill="1" applyBorder="1">
      <x:alignment vertical="center"/>
    </x:xf>
    <x:xf numFmtId="9" fontId="6" fillId="0" borderId="1" xfId="2" applyFont="1" applyFill="1" applyBorder="1" applyAlignment="1" applyProtection="1">
      <x:alignment vertical="center"/>
    </x:xf>
    <x:xf numFmtId="9" fontId="4" fillId="2" borderId="1" xfId="2" applyFont="1" applyFill="1" applyBorder="1">
      <x:alignment vertical="center"/>
    </x:xf>
    <x:xf numFmtId="0" fontId="11" fillId="2" borderId="0" xfId="0" applyFont="1" applyFill="1">
      <x:alignment vertical="center"/>
    </x:xf>
    <x:xf numFmtId="176" fontId="12" fillId="2" borderId="0" xfId="1" applyNumberFormat="1" applyFont="1" applyFill="1">
      <x:alignment vertical="center"/>
    </x:xf>
    <x:xf numFmtId="177" fontId="13" fillId="2" borderId="1" xfId="1" applyNumberFormat="1" applyFont="1" applyFill="1" applyBorder="1">
      <x:alignment vertical="center"/>
    </x:xf>
    <x:xf numFmtId="176" fontId="12" fillId="2" borderId="0" xfId="1" applyNumberFormat="1" applyFont="1" applyFill="1" applyAlignment="1">
      <x:alignment horizontal="center" vertical="center"/>
    </x:xf>
    <x:xf numFmtId="177" fontId="12" fillId="2" borderId="0" xfId="0" applyNumberFormat="1" applyFont="1" applyFill="1">
      <x:alignment vertical="center"/>
    </x:xf>
    <x:xf numFmtId="0" fontId="12" fillId="2" borderId="1" xfId="0" applyFont="1" applyFill="1" applyBorder="1">
      <x:alignment vertical="center"/>
    </x:xf>
    <x:xf numFmtId="180" fontId="12" fillId="2" borderId="1" xfId="1" applyNumberFormat="1" applyFont="1" applyFill="1" applyBorder="1">
      <x:alignment vertical="center"/>
    </x:xf>
    <x:xf numFmtId="41" fontId="12" fillId="2" borderId="1" xfId="1" applyFont="1" applyFill="1" applyBorder="1">
      <x:alignment vertical="center"/>
    </x:xf>
    <x:xf numFmtId="41" fontId="12" fillId="2" borderId="1" xfId="0" applyNumberFormat="1" applyFont="1" applyFill="1" applyBorder="1">
      <x:alignment vertical="center"/>
    </x:xf>
    <x:xf numFmtId="176" fontId="12" fillId="2" borderId="1" xfId="1" applyNumberFormat="1" applyFont="1" applyFill="1" applyBorder="1">
      <x:alignment vertical="center"/>
    </x:xf>
    <x:xf numFmtId="41" fontId="13" fillId="2" borderId="7" xfId="0" applyNumberFormat="1" applyFont="1" applyFill="1" applyBorder="1">
      <x:alignment vertical="center"/>
    </x:xf>
    <x:xf numFmtId="0" fontId="11" fillId="2" borderId="1" xfId="0" applyFont="1" applyFill="1" applyBorder="1">
      <x:alignment vertical="center"/>
    </x:xf>
    <x:xf numFmtId="177" fontId="12" fillId="2" borderId="1" xfId="0" applyNumberFormat="1" applyFont="1" applyFill="1" applyBorder="1">
      <x:alignment vertical="center"/>
    </x:xf>
    <x:xf numFmtId="177" fontId="12" fillId="2" borderId="1" xfId="1" applyNumberFormat="1" applyFont="1" applyFill="1" applyBorder="1">
      <x:alignment vertical="center"/>
    </x:xf>
  </x:cellXfs>
  <x:cellStyles count="4">
    <x:cellStyle name="나쁨" xfId="3" builtinId="27"/>
    <x:cellStyle name="백분율" xfId="2" builtinId="5"/>
    <x:cellStyle name="쉼표 [0]" xfId="1" builtinId="6"/>
    <x:cellStyle name="표준" xfId="0" builtinId="0"/>
  </x:cellStyles>
  <x:dxfs count="0"/>
  <x:tableStyles count="0" defaultTableStyle="TableStyleMedium2" defaultPivotStyle="PivotStyleLight16"/>
  <x:colors>
    <x:mruColors>
      <x:color rgb="FF0000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CEADF05-3CA1-4EF6-8B06-94770C770404}" mc:Ignorable="x14ac xr xr2 xr3">
  <x:dimension ref="B2:F7"/>
  <x:sheetViews>
    <x:sheetView workbookViewId="0">
      <x:selection activeCell="J29" sqref="J29"/>
    </x:sheetView>
  </x:sheetViews>
  <x:sheetFormatPr defaultRowHeight="16.5"/>
  <x:cols>
    <x:col min="2" max="2" width="13.75" bestFit="1" customWidth="1"/>
  </x:cols>
  <x:sheetData>
    <x:row r="2" spans="2:6">
      <x:c r="B2" t="s">
        <x:v>172</x:v>
      </x:c>
    </x:row>
    <x:row r="3" spans="2:6">
      <x:c r="B3" s="73" t="s">
        <x:v>166</x:v>
      </x:c>
      <x:c r="C3" s="74">
        <x:v>1</x:v>
      </x:c>
      <x:c r="D3" s="84">
        <x:v>3.6</x:v>
      </x:c>
      <x:c r="F3" s="113"/>
    </x:row>
    <x:row r="4" spans="2:6">
      <x:c r="B4" s="73" t="s">
        <x:v>167</x:v>
      </x:c>
      <x:c r="C4" s="74">
        <x:v>1</x:v>
      </x:c>
      <x:c r="D4" s="84">
        <x:v>4.2</x:v>
      </x:c>
    </x:row>
    <x:row r="5" spans="2:6">
      <x:c r="B5" s="73" t="s">
        <x:v>168</x:v>
      </x:c>
      <x:c r="C5" s="74">
        <x:v>1</x:v>
      </x:c>
      <x:c r="D5" s="84">
        <x:v>385</x:v>
      </x:c>
    </x:row>
    <x:row r="6" spans="2:6">
      <x:c r="B6" s="73" t="s">
        <x:v>197</x:v>
      </x:c>
      <x:c r="C6" s="99">
        <x:v>1350</x:v>
      </x:c>
      <x:c r="D6" s="84">
        <x:v>1</x:v>
      </x:c>
      <x:c r="F6" s="113"/>
    </x:row>
    <x:row r="7" spans="2:6">
      <x:c r="B7" s="73" t="s">
        <x:v>198</x:v>
      </x:c>
      <x:c r="C7" s="99">
        <x:v>1600</x:v>
      </x:c>
      <x:c r="D7" s="84">
        <x:v>1</x:v>
      </x:c>
    </x:row>
  </x:sheetData>
  <x:phoneticPr fontId="2" type="noConversion"/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0000"/>
  </x:sheetPr>
  <x:dimension ref="A1:AC239"/>
  <x:sheetViews>
    <x:sheetView tabSelected="1" topLeftCell="B1" zoomScale="85" zoomScaleNormal="85" workbookViewId="0">
      <x:pane ySplit="1" topLeftCell="A2" activePane="bottomLeft" state="frozen"/>
      <x:selection pane="bottomLeft" activeCell="J20" sqref="J20"/>
    </x:sheetView>
  </x:sheetViews>
  <x:sheetFormatPr defaultColWidth="8.75" defaultRowHeight="16.5"/>
  <x:cols>
    <x:col min="1" max="1" width="27.75" style="7" customWidth="1"/>
    <x:col min="2" max="2" width="24.25" style="7" customWidth="1"/>
    <x:col min="3" max="3" width="4.375" style="7" customWidth="1"/>
    <x:col min="4" max="4" width="8.75" style="7" bestFit="1" customWidth="1"/>
    <x:col min="5" max="5" width="14.375" style="7" bestFit="1" customWidth="1"/>
    <x:col min="6" max="6" width="13.75" style="7" customWidth="1"/>
    <x:col min="7" max="8" width="12.75" style="7" bestFit="1" customWidth="1"/>
    <x:col min="9" max="9" width="12.75" style="7" customWidth="1"/>
    <x:col min="10" max="17" width="12.75" style="7" bestFit="1" customWidth="1"/>
    <x:col min="18" max="18" width="15.375" style="7" bestFit="1" customWidth="1"/>
    <x:col min="19" max="19" width="28.25" style="7" bestFit="1" customWidth="1"/>
    <x:col min="20" max="22" width="13.125" style="7" customWidth="1"/>
    <x:col min="23" max="16384" width="8.75" style="7"/>
  </x:cols>
  <x:sheetData>
    <x:row r="1" spans="1:19">
      <x:c r="A1" s="6" t="s">
        <x:v>26</x:v>
      </x:c>
      <x:c r="B1" s="6" t="s">
        <x:v>267</x:v>
      </x:c>
      <x:c r="E1" s="8" t="s">
        <x:v>50</x:v>
      </x:c>
      <x:c r="F1" s="8" t="s">
        <x:v>2</x:v>
      </x:c>
      <x:c r="G1" s="8" t="s">
        <x:v>3</x:v>
      </x:c>
      <x:c r="H1" s="8" t="s">
        <x:v>4</x:v>
      </x:c>
      <x:c r="I1" s="8" t="s">
        <x:v>5</x:v>
      </x:c>
      <x:c r="J1" s="8" t="s">
        <x:v>6</x:v>
      </x:c>
      <x:c r="K1" s="8" t="s">
        <x:v>7</x:v>
      </x:c>
      <x:c r="L1" s="8" t="s">
        <x:v>8</x:v>
      </x:c>
      <x:c r="M1" s="8" t="s">
        <x:v>9</x:v>
      </x:c>
      <x:c r="N1" s="8" t="s">
        <x:v>10</x:v>
      </x:c>
      <x:c r="O1" s="8" t="s">
        <x:v>11</x:v>
      </x:c>
      <x:c r="P1" s="8" t="s">
        <x:v>12</x:v>
      </x:c>
      <x:c r="Q1" s="8" t="s">
        <x:v>13</x:v>
      </x:c>
      <x:c r="R1" s="8" t="s">
        <x:v>31</x:v>
      </x:c>
      <x:c r="S1" s="8" t="s">
        <x:v>44</x:v>
      </x:c>
    </x:row>
    <x:row r="2" spans="1:19">
      <x:c r="A2" s="6" t="s">
        <x:v>0</x:v>
      </x:c>
      <x:c r="B2" s="9">
        <x:v>2017</x:v>
      </x:c>
      <x:c r="C2" s="10"/>
      <x:c r="D2" s="10"/>
      <x:c r="E2" s="11">
        <x:f t="shared" ref="E2:E6" si="0">R2-B2</x:f>
        <x:v>0</x:v>
      </x:c>
      <x:c r="F2" s="9">
        <x:v>900</x:v>
      </x:c>
      <x:c r="G2" s="9">
        <x:v>50</x:v>
      </x:c>
      <x:c r="H2" s="9">
        <x:v>0</x:v>
      </x:c>
      <x:c r="I2" s="9">
        <x:v>570</x:v>
      </x:c>
      <x:c r="J2" s="9">
        <x:v>0</x:v>
      </x:c>
      <x:c r="K2" s="9">
        <x:v>71</x:v>
      </x:c>
      <x:c r="L2" s="9">
        <x:v>71</x:v>
      </x:c>
      <x:c r="M2" s="9">
        <x:v>71</x:v>
      </x:c>
      <x:c r="N2" s="9">
        <x:v>71</x:v>
      </x:c>
      <x:c r="O2" s="9">
        <x:v>71</x:v>
      </x:c>
      <x:c r="P2" s="9">
        <x:v>71</x:v>
      </x:c>
      <x:c r="Q2" s="9">
        <x:v>71</x:v>
      </x:c>
      <x:c r="R2" s="11">
        <x:f t="shared" ref="R2:R6" si="1">SUM(F2:Q2)</x:f>
        <x:v>2017</x:v>
      </x:c>
      <x:c r="S2" s="8"/>
    </x:row>
    <x:row r="3" spans="1:19">
      <x:c r="A3" s="6" t="s">
        <x:v>1</x:v>
      </x:c>
      <x:c r="B3" s="9">
        <x:v>12618</x:v>
      </x:c>
      <x:c r="C3" s="10"/>
      <x:c r="D3" s="10"/>
      <x:c r="E3" s="11">
        <x:f t="shared" si="0"/>
        <x:v>0</x:v>
      </x:c>
      <x:c r="F3" s="9">
        <x:v>2140</x:v>
      </x:c>
      <x:c r="G3" s="9">
        <x:v>1440</x:v>
      </x:c>
      <x:c r="H3" s="9">
        <x:v>660</x:v>
      </x:c>
      <x:c r="I3" s="9">
        <x:v>2420</x:v>
      </x:c>
      <x:c r="J3" s="9">
        <x:v>960</x:v>
      </x:c>
      <x:c r="K3" s="9">
        <x:v>714</x:v>
      </x:c>
      <x:c r="L3" s="9">
        <x:v>714</x:v>
      </x:c>
      <x:c r="M3" s="9">
        <x:v>714</x:v>
      </x:c>
      <x:c r="N3" s="9">
        <x:v>714</x:v>
      </x:c>
      <x:c r="O3" s="9">
        <x:v>714</x:v>
      </x:c>
      <x:c r="P3" s="9">
        <x:v>714</x:v>
      </x:c>
      <x:c r="Q3" s="9">
        <x:v>714</x:v>
      </x:c>
      <x:c r="R3" s="11">
        <x:f>SUM(F3:Q3)</x:f>
        <x:v>12618</x:v>
      </x:c>
      <x:c r="S3" s="8"/>
    </x:row>
    <x:row r="4" spans="1:19">
      <x:c r="A4" s="6" t="s">
        <x:v>30</x:v>
      </x:c>
      <x:c r="B4" s="9">
        <x:v>0</x:v>
      </x:c>
      <x:c r="C4" s="10"/>
      <x:c r="D4" s="10"/>
      <x:c r="E4" s="11">
        <x:f t="shared" si="0"/>
        <x:v>0</x:v>
      </x:c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11">
        <x:f t="shared" si="1"/>
        <x:v>0</x:v>
      </x:c>
      <x:c r="S4" s="8"/>
    </x:row>
    <x:row r="5" spans="1:19">
      <x:c r="A5" s="6" t="s">
        <x:v>165</x:v>
      </x:c>
      <x:c r="B5" s="9">
        <x:v>601518</x:v>
      </x:c>
      <x:c r="C5" s="10"/>
      <x:c r="D5" s="10"/>
      <x:c r="E5" s="11">
        <x:f t="shared" si="0"/>
        <x:v>0</x:v>
      </x:c>
      <x:c r="F5" s="9">
        <x:v>45170</x:v>
      </x:c>
      <x:c r="G5" s="9">
        <x:v>60911</x:v>
      </x:c>
      <x:c r="H5" s="9">
        <x:v>62112</x:v>
      </x:c>
      <x:c r="I5" s="9">
        <x:v>62162</x:v>
      </x:c>
      <x:c r="J5" s="9">
        <x:v>78729</x:v>
      </x:c>
      <x:c r="K5" s="9">
        <x:v>55055</x:v>
      </x:c>
      <x:c r="L5" s="9">
        <x:v>44244</x:v>
      </x:c>
      <x:c r="M5" s="9">
        <x:v>52352</x:v>
      </x:c>
      <x:c r="N5" s="9">
        <x:v>34535</x:v>
      </x:c>
      <x:c r="O5" s="9">
        <x:v>48248</x:v>
      </x:c>
      <x:c r="P5" s="9">
        <x:v>29000</x:v>
      </x:c>
      <x:c r="Q5" s="9">
        <x:v>29000</x:v>
      </x:c>
      <x:c r="R5" s="11">
        <x:f>SUM(F5:Q5)</x:f>
        <x:v>601518</x:v>
      </x:c>
      <x:c r="S5" s="8"/>
    </x:row>
    <x:row r="6" spans="1:19">
      <x:c r="A6" s="6" t="s">
        <x:v>199</x:v>
      </x:c>
      <x:c r="B6" s="9">
        <x:v>14200</x:v>
      </x:c>
      <x:c r="C6" s="10"/>
      <x:c r="D6" s="10"/>
      <x:c r="E6" s="11">
        <x:f t="shared" si="0"/>
        <x:v>0</x:v>
      </x:c>
      <x:c r="F6" s="9">
        <x:v>900</x:v>
      </x:c>
      <x:c r="G6" s="9">
        <x:v>1200</x:v>
      </x:c>
      <x:c r="H6" s="9">
        <x:v>1400</x:v>
      </x:c>
      <x:c r="I6" s="9">
        <x:v>1200</x:v>
      </x:c>
      <x:c r="J6" s="9">
        <x:v>900</x:v>
      </x:c>
      <x:c r="K6" s="9">
        <x:v>1300</x:v>
      </x:c>
      <x:c r="L6" s="9">
        <x:v>1000</x:v>
      </x:c>
      <x:c r="M6" s="9">
        <x:v>1500</x:v>
      </x:c>
      <x:c r="N6" s="9">
        <x:v>1200</x:v>
      </x:c>
      <x:c r="O6" s="9">
        <x:v>1200</x:v>
      </x:c>
      <x:c r="P6" s="9">
        <x:v>1200</x:v>
      </x:c>
      <x:c r="Q6" s="9">
        <x:v>1200</x:v>
      </x:c>
      <x:c r="R6" s="11">
        <x:f t="shared" si="1"/>
        <x:v>14200</x:v>
      </x:c>
      <x:c r="S6" s="6"/>
    </x:row>
    <x:row r="7" spans="1:19">
      <x:c r="B7" s="10"/>
      <x:c r="C7" s="10"/>
      <x:c r="D7" s="10"/>
      <x:c r="E7" s="24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24"/>
    </x:row>
    <x:row r="8" spans="1:19">
      <x:c r="A8" s="6" t="s">
        <x:v>26</x:v>
      </x:c>
      <x:c r="B8" s="6" t="s">
        <x:v>266</x:v>
      </x:c>
      <x:c r="E8" s="8" t="s">
        <x:v>50</x:v>
      </x:c>
      <x:c r="F8" s="8" t="s">
        <x:v>2</x:v>
      </x:c>
      <x:c r="G8" s="8" t="s">
        <x:v>3</x:v>
      </x:c>
      <x:c r="H8" s="8" t="s">
        <x:v>4</x:v>
      </x:c>
      <x:c r="I8" s="8" t="s">
        <x:v>5</x:v>
      </x:c>
      <x:c r="J8" s="8" t="s">
        <x:v>6</x:v>
      </x:c>
      <x:c r="K8" s="8" t="s">
        <x:v>7</x:v>
      </x:c>
      <x:c r="L8" s="8" t="s">
        <x:v>8</x:v>
      </x:c>
      <x:c r="M8" s="8" t="s">
        <x:v>9</x:v>
      </x:c>
      <x:c r="N8" s="8" t="s">
        <x:v>10</x:v>
      </x:c>
      <x:c r="O8" s="8" t="s">
        <x:v>11</x:v>
      </x:c>
      <x:c r="P8" s="8" t="s">
        <x:v>12</x:v>
      </x:c>
      <x:c r="Q8" s="8" t="s">
        <x:v>13</x:v>
      </x:c>
      <x:c r="R8" s="8" t="s">
        <x:v>31</x:v>
      </x:c>
      <x:c r="S8" s="8" t="s">
        <x:v>44</x:v>
      </x:c>
    </x:row>
    <x:row r="9" spans="1:19">
      <x:c r="A9" s="6" t="s">
        <x:v>254</x:v>
      </x:c>
      <x:c r="B9" s="6"/>
      <x:c r="E9" s="11">
        <x:f t="shared" ref="E9:E29" si="2">R9-B9</x:f>
        <x:v>1000</x:v>
      </x:c>
      <x:c r="F9" s="151"/>
      <x:c r="G9" s="151"/>
      <x:c r="H9" s="151">
        <x:v>1000</x:v>
      </x:c>
      <x:c r="I9" s="151"/>
      <x:c r="J9" s="151"/>
      <x:c r="K9" s="8"/>
      <x:c r="L9" s="8"/>
      <x:c r="M9" s="8"/>
      <x:c r="N9" s="8"/>
      <x:c r="O9" s="8"/>
      <x:c r="P9" s="8"/>
      <x:c r="Q9" s="8"/>
      <x:c r="R9" s="11">
        <x:f t="shared" ref="R9:R29" si="3">SUM(F9:Q9)</x:f>
        <x:v>1000</x:v>
      </x:c>
      <x:c r="S9" s="8">
        <x:v>0</x:v>
      </x:c>
    </x:row>
    <x:row r="10" spans="1:19">
      <x:c r="A10" s="6" t="s">
        <x:v>255</x:v>
      </x:c>
      <x:c r="B10" s="6"/>
      <x:c r="E10" s="11">
        <x:f t="shared" si="2"/>
        <x:v>1200</x:v>
      </x:c>
      <x:c r="F10" s="151"/>
      <x:c r="G10" s="151"/>
      <x:c r="H10" s="151">
        <x:v>600</x:v>
      </x:c>
      <x:c r="I10" s="151">
        <x:v>600</x:v>
      </x:c>
      <x:c r="J10" s="151"/>
      <x:c r="K10" s="8"/>
      <x:c r="L10" s="8"/>
      <x:c r="M10" s="8"/>
      <x:c r="N10" s="8"/>
      <x:c r="O10" s="8"/>
      <x:c r="P10" s="8"/>
      <x:c r="Q10" s="8"/>
      <x:c r="R10" s="11">
        <x:f t="shared" si="3"/>
        <x:v>1200</x:v>
      </x:c>
      <x:c r="S10" s="8">
        <x:v>0</x:v>
      </x:c>
    </x:row>
    <x:row r="11" spans="1:19">
      <x:c r="A11" s="6" t="s">
        <x:v>253</x:v>
      </x:c>
      <x:c r="B11" s="6"/>
      <x:c r="E11" s="11">
        <x:f t="shared" si="2"/>
        <x:v>1988.0000000000002</x:v>
      </x:c>
      <x:c r="F11" s="151">
        <x:v>336.00000000000006</x:v>
      </x:c>
      <x:c r="G11" s="151">
        <x:v>392.00000000000006</x:v>
      </x:c>
      <x:c r="H11" s="151">
        <x:v>420.00000000000006</x:v>
      </x:c>
      <x:c r="I11" s="151">
        <x:v>420.00000000000006</x:v>
      </x:c>
      <x:c r="J11" s="151">
        <x:v>420.00000000000006</x:v>
      </x:c>
      <x:c r="K11" s="8"/>
      <x:c r="L11" s="8"/>
      <x:c r="M11" s="8"/>
      <x:c r="N11" s="8"/>
      <x:c r="O11" s="8"/>
      <x:c r="P11" s="8"/>
      <x:c r="Q11" s="8"/>
      <x:c r="R11" s="11">
        <x:f t="shared" si="3"/>
        <x:v>1988.0000000000002</x:v>
      </x:c>
      <x:c r="S11" s="8">
        <x:v>0</x:v>
      </x:c>
    </x:row>
    <x:row r="12" spans="1:19">
      <x:c r="A12" s="6" t="s">
        <x:v>252</x:v>
      </x:c>
      <x:c r="B12" s="6"/>
      <x:c r="E12" s="11">
        <x:f t="shared" si="2"/>
        <x:v>0</x:v>
      </x:c>
      <x:c r="F12" s="151"/>
      <x:c r="G12" s="151"/>
      <x:c r="H12" s="151"/>
      <x:c r="I12" s="151"/>
      <x:c r="J12" s="151"/>
      <x:c r="K12" s="8"/>
      <x:c r="L12" s="8"/>
      <x:c r="M12" s="8"/>
      <x:c r="N12" s="8"/>
      <x:c r="O12" s="8"/>
      <x:c r="P12" s="8"/>
      <x:c r="Q12" s="8"/>
      <x:c r="R12" s="11">
        <x:f t="shared" si="3"/>
        <x:v>0</x:v>
      </x:c>
      <x:c r="S12" s="8">
        <x:v>0</x:v>
      </x:c>
    </x:row>
    <x:row r="13" spans="1:19">
      <x:c r="A13" s="6" t="s">
        <x:v>251</x:v>
      </x:c>
      <x:c r="B13" s="6"/>
      <x:c r="E13" s="11">
        <x:f t="shared" si="2"/>
        <x:v>0</x:v>
      </x:c>
      <x:c r="F13" s="151"/>
      <x:c r="G13" s="151"/>
      <x:c r="H13" s="151"/>
      <x:c r="I13" s="151"/>
      <x:c r="J13" s="151"/>
      <x:c r="K13" s="8"/>
      <x:c r="L13" s="8"/>
      <x:c r="M13" s="8"/>
      <x:c r="N13" s="8"/>
      <x:c r="O13" s="8"/>
      <x:c r="P13" s="8"/>
      <x:c r="Q13" s="8"/>
      <x:c r="R13" s="11">
        <x:f t="shared" si="3"/>
        <x:v>0</x:v>
      </x:c>
      <x:c r="S13" s="8">
        <x:v>0</x:v>
      </x:c>
    </x:row>
    <x:row r="14" spans="1:19">
      <x:c r="A14" s="6" t="s">
        <x:v>272</x:v>
      </x:c>
      <x:c r="B14" s="6"/>
      <x:c r="E14" s="11">
        <x:f t="shared" si="2"/>
        <x:v>0</x:v>
      </x:c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11">
        <x:f t="shared" si="3"/>
        <x:v>0</x:v>
      </x:c>
      <x:c r="S14" s="8" t="s">
        <x:v>293</x:v>
      </x:c>
    </x:row>
    <x:row r="15" spans="1:19">
      <x:c r="A15" s="6" t="s">
        <x:v>273</x:v>
      </x:c>
      <x:c r="B15" s="6"/>
      <x:c r="E15" s="11">
        <x:f t="shared" si="2"/>
        <x:v>0</x:v>
      </x:c>
      <x:c r="F15" s="8"/>
      <x:c r="G15" s="8"/>
      <x:c r="H15" s="8"/>
      <x:c r="I15" s="8"/>
      <x:c r="J15" s="8"/>
      <x:c r="K15" s="151">
        <x:f>K14</x:f>
        <x:v>0</x:v>
      </x:c>
      <x:c r="L15" s="151">
        <x:f t="shared" ref="L15:Q15" si="4">L14</x:f>
        <x:v>0</x:v>
      </x:c>
      <x:c r="M15" s="151">
        <x:f t="shared" si="4"/>
        <x:v>0</x:v>
      </x:c>
      <x:c r="N15" s="151">
        <x:f t="shared" si="4"/>
        <x:v>0</x:v>
      </x:c>
      <x:c r="O15" s="151">
        <x:f t="shared" si="4"/>
        <x:v>0</x:v>
      </x:c>
      <x:c r="P15" s="151">
        <x:f t="shared" si="4"/>
        <x:v>0</x:v>
      </x:c>
      <x:c r="Q15" s="151">
        <x:f t="shared" si="4"/>
        <x:v>0</x:v>
      </x:c>
      <x:c r="R15" s="11">
        <x:f t="shared" si="3"/>
        <x:v>0</x:v>
      </x:c>
      <x:c r="S15" s="8" t="s">
        <x:v>293</x:v>
      </x:c>
    </x:row>
    <x:row r="16" spans="1:19">
      <x:c r="A16" s="6" t="s">
        <x:v>271</x:v>
      </x:c>
      <x:c r="B16" s="6"/>
      <x:c r="E16" s="11">
        <x:f t="shared" si="2"/>
        <x:v>3192</x:v>
      </x:c>
      <x:c r="F16" s="8"/>
      <x:c r="G16" s="8"/>
      <x:c r="H16" s="8"/>
      <x:c r="I16" s="8"/>
      <x:c r="J16" s="8"/>
      <x:c r="K16" s="151">
        <x:v>560</x:v>
      </x:c>
      <x:c r="L16" s="151">
        <x:v>420.00000000000006</x:v>
      </x:c>
      <x:c r="M16" s="151">
        <x:v>756.00000000000011</x:v>
      </x:c>
      <x:c r="N16" s="151">
        <x:v>420.00000000000006</x:v>
      </x:c>
      <x:c r="O16" s="151">
        <x:v>560</x:v>
      </x:c>
      <x:c r="P16" s="151">
        <x:v>280</x:v>
      </x:c>
      <x:c r="Q16" s="151">
        <x:v>196.00000000000003</x:v>
      </x:c>
      <x:c r="R16" s="11">
        <x:f t="shared" si="3"/>
        <x:v>3192</x:v>
      </x:c>
      <x:c r="S16" s="8" t="s">
        <x:v>293</x:v>
      </x:c>
    </x:row>
    <x:row r="17" spans="1:19">
      <x:c r="A17" s="6" t="s">
        <x:v>270</x:v>
      </x:c>
      <x:c r="B17" s="9">
        <x:v>2017</x:v>
      </x:c>
      <x:c r="C17" s="10"/>
      <x:c r="D17" s="10"/>
      <x:c r="E17" s="11">
        <x:f t="shared" si="2"/>
        <x:v>-2017</x:v>
      </x:c>
      <x:c r="F17" s="9"/>
      <x:c r="G17" s="9"/>
      <x:c r="H17" s="9"/>
      <x:c r="I17" s="9"/>
      <x:c r="J17" s="9"/>
      <x:c r="K17" s="9">
        <x:f>K15</x:f>
        <x:v>0</x:v>
      </x:c>
      <x:c r="L17" s="9">
        <x:f t="shared" ref="L17:Q17" si="5">L15</x:f>
        <x:v>0</x:v>
      </x:c>
      <x:c r="M17" s="9">
        <x:f t="shared" si="5"/>
        <x:v>0</x:v>
      </x:c>
      <x:c r="N17" s="9">
        <x:f t="shared" si="5"/>
        <x:v>0</x:v>
      </x:c>
      <x:c r="O17" s="9">
        <x:f t="shared" si="5"/>
        <x:v>0</x:v>
      </x:c>
      <x:c r="P17" s="9">
        <x:f t="shared" si="5"/>
        <x:v>0</x:v>
      </x:c>
      <x:c r="Q17" s="9">
        <x:f t="shared" si="5"/>
        <x:v>0</x:v>
      </x:c>
      <x:c r="R17" s="11">
        <x:f t="shared" si="3"/>
        <x:v>0</x:v>
      </x:c>
      <x:c r="S17" s="8" t="s">
        <x:v>293</x:v>
      </x:c>
    </x:row>
    <x:row r="18" spans="1:19">
      <x:c r="A18" s="6" t="s">
        <x:v>269</x:v>
      </x:c>
      <x:c r="B18" s="9">
        <x:v>2017</x:v>
      </x:c>
      <x:c r="C18" s="10"/>
      <x:c r="D18" s="10"/>
      <x:c r="E18" s="11">
        <x:f t="shared" si="2"/>
        <x:v>-2017</x:v>
      </x:c>
      <x:c r="F18" s="9"/>
      <x:c r="G18" s="9"/>
      <x:c r="H18" s="9"/>
      <x:c r="I18" s="9"/>
      <x:c r="J18" s="9"/>
      <x:c r="K18" s="9">
        <x:f>K17</x:f>
        <x:v>0</x:v>
      </x:c>
      <x:c r="L18" s="9">
        <x:f t="shared" ref="L18:Q18" si="6">L17</x:f>
        <x:v>0</x:v>
      </x:c>
      <x:c r="M18" s="9">
        <x:f t="shared" si="6"/>
        <x:v>0</x:v>
      </x:c>
      <x:c r="N18" s="9">
        <x:f t="shared" si="6"/>
        <x:v>0</x:v>
      </x:c>
      <x:c r="O18" s="9">
        <x:f t="shared" si="6"/>
        <x:v>0</x:v>
      </x:c>
      <x:c r="P18" s="9">
        <x:f t="shared" si="6"/>
        <x:v>0</x:v>
      </x:c>
      <x:c r="Q18" s="9">
        <x:f t="shared" si="6"/>
        <x:v>0</x:v>
      </x:c>
      <x:c r="R18" s="11">
        <x:f t="shared" si="3"/>
        <x:v>0</x:v>
      </x:c>
      <x:c r="S18" s="8" t="s">
        <x:v>293</x:v>
      </x:c>
    </x:row>
    <x:row r="19" spans="1:19">
      <x:c r="A19" s="6" t="s">
        <x:v>33</x:v>
      </x:c>
      <x:c r="B19" s="9"/>
      <x:c r="C19" s="10"/>
      <x:c r="D19" s="10"/>
      <x:c r="E19" s="11">
        <x:f t="shared" si="2"/>
        <x:v>0</x:v>
      </x:c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11">
        <x:f t="shared" si="3"/>
        <x:v>0</x:v>
      </x:c>
      <x:c r="S19" s="8">
        <x:v>0</x:v>
      </x:c>
    </x:row>
    <x:row r="20" spans="1:19">
      <x:c r="A20" s="6" t="s">
        <x:v>34</x:v>
      </x:c>
      <x:c r="B20" s="9"/>
      <x:c r="C20" s="10"/>
      <x:c r="D20" s="10"/>
      <x:c r="E20" s="11">
        <x:f t="shared" si="2"/>
        <x:v>15400</x:v>
      </x:c>
      <x:c r="F20" s="9">
        <x:v>1000</x:v>
      </x:c>
      <x:c r="G20" s="9"/>
      <x:c r="H20" s="9"/>
      <x:c r="I20" s="9"/>
      <x:c r="J20" s="9">
        <x:v>1800</x:v>
      </x:c>
      <x:c r="K20" s="9">
        <x:v>1800</x:v>
      </x:c>
      <x:c r="L20" s="9">
        <x:v>1800</x:v>
      </x:c>
      <x:c r="M20" s="9">
        <x:v>1800</x:v>
      </x:c>
      <x:c r="N20" s="9">
        <x:v>1800</x:v>
      </x:c>
      <x:c r="O20" s="9">
        <x:v>1800</x:v>
      </x:c>
      <x:c r="P20" s="9">
        <x:v>1800</x:v>
      </x:c>
      <x:c r="Q20" s="9">
        <x:v>1800</x:v>
      </x:c>
      <x:c r="R20" s="11">
        <x:f t="shared" si="3"/>
        <x:v>15400</x:v>
      </x:c>
      <x:c r="S20" s="8">
        <x:v>0</x:v>
      </x:c>
    </x:row>
    <x:row r="21" spans="1:19">
      <x:c r="A21" s="6" t="s">
        <x:v>154</x:v>
      </x:c>
      <x:c r="B21" s="9"/>
      <x:c r="C21" s="10"/>
      <x:c r="D21" s="10"/>
      <x:c r="E21" s="11">
        <x:f t="shared" si="2"/>
        <x:v>16550</x:v>
      </x:c>
      <x:c r="F21" s="9">
        <x:v>1000</x:v>
      </x:c>
      <x:c r="G21" s="9">
        <x:v>1150</x:v>
      </x:c>
      <x:c r="H21" s="9"/>
      <x:c r="I21" s="9"/>
      <x:c r="J21" s="9">
        <x:v>1800</x:v>
      </x:c>
      <x:c r="K21" s="9">
        <x:v>1800</x:v>
      </x:c>
      <x:c r="L21" s="9">
        <x:v>1800</x:v>
      </x:c>
      <x:c r="M21" s="9">
        <x:v>1800</x:v>
      </x:c>
      <x:c r="N21" s="9">
        <x:v>1800</x:v>
      </x:c>
      <x:c r="O21" s="9">
        <x:v>1800</x:v>
      </x:c>
      <x:c r="P21" s="9">
        <x:v>1800</x:v>
      </x:c>
      <x:c r="Q21" s="9">
        <x:v>1800</x:v>
      </x:c>
      <x:c r="R21" s="11">
        <x:f t="shared" si="3"/>
        <x:v>16550</x:v>
      </x:c>
      <x:c r="S21" s="8">
        <x:v>0</x:v>
      </x:c>
    </x:row>
    <x:row r="22" spans="1:19">
      <x:c r="A22" s="6" t="s">
        <x:v>155</x:v>
      </x:c>
      <x:c r="B22" s="9"/>
      <x:c r="C22" s="10"/>
      <x:c r="D22" s="10"/>
      <x:c r="E22" s="11">
        <x:f t="shared" si="2"/>
        <x:v>16400</x:v>
      </x:c>
      <x:c r="F22" s="9">
        <x:v>1000</x:v>
      </x:c>
      <x:c r="G22" s="9">
        <x:v>1000</x:v>
      </x:c>
      <x:c r="H22" s="9"/>
      <x:c r="I22" s="9"/>
      <x:c r="J22" s="9">
        <x:v>1800</x:v>
      </x:c>
      <x:c r="K22" s="9">
        <x:v>1800</x:v>
      </x:c>
      <x:c r="L22" s="9">
        <x:v>1800</x:v>
      </x:c>
      <x:c r="M22" s="9">
        <x:v>1800</x:v>
      </x:c>
      <x:c r="N22" s="9">
        <x:v>1800</x:v>
      </x:c>
      <x:c r="O22" s="9">
        <x:v>1800</x:v>
      </x:c>
      <x:c r="P22" s="9">
        <x:v>1800</x:v>
      </x:c>
      <x:c r="Q22" s="9">
        <x:v>1800</x:v>
      </x:c>
      <x:c r="R22" s="11">
        <x:f t="shared" si="3"/>
        <x:v>16400</x:v>
      </x:c>
      <x:c r="S22" s="8">
        <x:v>0</x:v>
      </x:c>
    </x:row>
    <x:row r="23" spans="1:19">
      <x:c r="A23" s="6" t="s">
        <x:v>119</x:v>
      </x:c>
      <x:c r="B23" s="9"/>
      <x:c r="C23" s="10"/>
      <x:c r="D23" s="10"/>
      <x:c r="E23" s="11">
        <x:f t="shared" si="2"/>
        <x:v>31820</x:v>
      </x:c>
      <x:c r="F23" s="9">
        <x:v>2064</x:v>
      </x:c>
      <x:c r="G23" s="9">
        <x:v>2408</x:v>
      </x:c>
      <x:c r="H23" s="9">
        <x:v>2580</x:v>
      </x:c>
      <x:c r="I23" s="9">
        <x:v>2580</x:v>
      </x:c>
      <x:c r="J23" s="9">
        <x:v>2580</x:v>
      </x:c>
      <x:c r="K23" s="9">
        <x:v>3440</x:v>
      </x:c>
      <x:c r="L23" s="9">
        <x:v>2580</x:v>
      </x:c>
      <x:c r="M23" s="9">
        <x:v>4644</x:v>
      </x:c>
      <x:c r="N23" s="9">
        <x:v>2580</x:v>
      </x:c>
      <x:c r="O23" s="9">
        <x:v>3440</x:v>
      </x:c>
      <x:c r="P23" s="9">
        <x:v>1720</x:v>
      </x:c>
      <x:c r="Q23" s="9">
        <x:v>1204</x:v>
      </x:c>
      <x:c r="R23" s="11">
        <x:f t="shared" si="3"/>
        <x:v>31820</x:v>
      </x:c>
      <x:c r="S23" s="8">
        <x:v>0</x:v>
      </x:c>
    </x:row>
    <x:row r="24" spans="1:19">
      <x:c r="A24" s="6" t="s">
        <x:v>32</x:v>
      </x:c>
      <x:c r="B24" s="9"/>
      <x:c r="C24" s="10"/>
      <x:c r="D24" s="10"/>
      <x:c r="E24" s="11">
        <x:f t="shared" si="2"/>
        <x:v>18260</x:v>
      </x:c>
      <x:c r="F24" s="9">
        <x:v>1968</x:v>
      </x:c>
      <x:c r="G24" s="9">
        <x:v>960</x:v>
      </x:c>
      <x:c r="H24" s="9">
        <x:v>932</x:v>
      </x:c>
      <x:c r="I24" s="9"/>
      <x:c r="J24" s="9">
        <x:v>1800</x:v>
      </x:c>
      <x:c r="K24" s="9">
        <x:v>1800</x:v>
      </x:c>
      <x:c r="L24" s="9">
        <x:v>1800</x:v>
      </x:c>
      <x:c r="M24" s="9">
        <x:v>1800</x:v>
      </x:c>
      <x:c r="N24" s="9">
        <x:v>1800</x:v>
      </x:c>
      <x:c r="O24" s="9">
        <x:v>1800</x:v>
      </x:c>
      <x:c r="P24" s="9">
        <x:v>1800</x:v>
      </x:c>
      <x:c r="Q24" s="9">
        <x:v>1800</x:v>
      </x:c>
      <x:c r="R24" s="11">
        <x:f t="shared" si="3"/>
        <x:v>18260</x:v>
      </x:c>
      <x:c r="S24" s="8">
        <x:v>0</x:v>
      </x:c>
    </x:row>
    <x:row r="25" spans="1:19">
      <x:c r="A25" s="6" t="s">
        <x:v>153</x:v>
      </x:c>
      <x:c r="B25" s="9">
        <x:v>2017</x:v>
      </x:c>
      <x:c r="C25" s="10"/>
      <x:c r="D25" s="10"/>
      <x:c r="E25" s="11">
        <x:f t="shared" si="2"/>
        <x:v>20113</x:v>
      </x:c>
      <x:c r="F25" s="9">
        <x:v>1998</x:v>
      </x:c>
      <x:c r="G25" s="9">
        <x:v>2196</x:v>
      </x:c>
      <x:c r="H25" s="9">
        <x:v>2400</x:v>
      </x:c>
      <x:c r="I25" s="9">
        <x:v>2936</x:v>
      </x:c>
      <x:c r="J25" s="9"/>
      <x:c r="K25" s="9">
        <x:v>1800</x:v>
      </x:c>
      <x:c r="L25" s="9">
        <x:v>1800</x:v>
      </x:c>
      <x:c r="M25" s="9">
        <x:v>1800</x:v>
      </x:c>
      <x:c r="N25" s="9">
        <x:v>1800</x:v>
      </x:c>
      <x:c r="O25" s="9">
        <x:v>1800</x:v>
      </x:c>
      <x:c r="P25" s="9">
        <x:v>1800</x:v>
      </x:c>
      <x:c r="Q25" s="9">
        <x:v>1800</x:v>
      </x:c>
      <x:c r="R25" s="11">
        <x:f t="shared" si="3"/>
        <x:v>22130</x:v>
      </x:c>
      <x:c r="S25" s="8" t="s">
        <x:v>293</x:v>
      </x:c>
    </x:row>
    <x:row r="26" spans="1:19">
      <x:c r="A26" s="6" t="s">
        <x:v>33</x:v>
      </x:c>
      <x:c r="B26" s="9">
        <x:v>2017</x:v>
      </x:c>
      <x:c r="C26" s="10"/>
      <x:c r="D26" s="10"/>
      <x:c r="E26" s="11">
        <x:f t="shared" si="2"/>
        <x:v>-2017</x:v>
      </x:c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11">
        <x:f t="shared" si="3"/>
        <x:v>0</x:v>
      </x:c>
      <x:c r="S26" s="8">
        <x:v>0</x:v>
      </x:c>
    </x:row>
    <x:row r="27" spans="1:19">
      <x:c r="A27" s="6" t="s">
        <x:v>30</x:v>
      </x:c>
      <x:c r="B27" s="9">
        <x:v>0</x:v>
      </x:c>
      <x:c r="C27" s="10"/>
      <x:c r="D27" s="10"/>
      <x:c r="E27" s="11">
        <x:f t="shared" si="2"/>
        <x:v>0</x:v>
      </x:c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11">
        <x:f t="shared" si="3"/>
        <x:v>0</x:v>
      </x:c>
      <x:c r="S27" s="8">
        <x:v>0</x:v>
      </x:c>
    </x:row>
    <x:row r="28" spans="1:19">
      <x:c r="A28" s="6" t="s">
        <x:v>165</x:v>
      </x:c>
      <x:c r="B28" s="9">
        <x:v>601518</x:v>
      </x:c>
      <x:c r="C28" s="10"/>
      <x:c r="D28" s="10"/>
      <x:c r="E28" s="11">
        <x:f t="shared" si="2"/>
        <x:v>0</x:v>
      </x:c>
      <x:c r="F28" s="9">
        <x:v>45170</x:v>
      </x:c>
      <x:c r="G28" s="9">
        <x:v>60911</x:v>
      </x:c>
      <x:c r="H28" s="9">
        <x:v>62112</x:v>
      </x:c>
      <x:c r="I28" s="9">
        <x:v>62162</x:v>
      </x:c>
      <x:c r="J28" s="9">
        <x:v>78729</x:v>
      </x:c>
      <x:c r="K28" s="9">
        <x:v>55055</x:v>
      </x:c>
      <x:c r="L28" s="9">
        <x:v>44244</x:v>
      </x:c>
      <x:c r="M28" s="9">
        <x:v>52352</x:v>
      </x:c>
      <x:c r="N28" s="9">
        <x:v>34535</x:v>
      </x:c>
      <x:c r="O28" s="9">
        <x:v>48248</x:v>
      </x:c>
      <x:c r="P28" s="9">
        <x:v>29000</x:v>
      </x:c>
      <x:c r="Q28" s="9">
        <x:v>29000</x:v>
      </x:c>
      <x:c r="R28" s="11">
        <x:f t="shared" si="3"/>
        <x:v>601518</x:v>
      </x:c>
      <x:c r="S28" s="8">
        <x:v>0</x:v>
      </x:c>
    </x:row>
    <x:row r="29" spans="1:19">
      <x:c r="A29" s="6" t="s">
        <x:v>199</x:v>
      </x:c>
      <x:c r="B29" s="9">
        <x:v>14200</x:v>
      </x:c>
      <x:c r="C29" s="10"/>
      <x:c r="D29" s="10"/>
      <x:c r="E29" s="11">
        <x:f t="shared" si="2"/>
        <x:v>0</x:v>
      </x:c>
      <x:c r="F29" s="9">
        <x:v>900</x:v>
      </x:c>
      <x:c r="G29" s="9">
        <x:v>1200</x:v>
      </x:c>
      <x:c r="H29" s="9">
        <x:v>1400</x:v>
      </x:c>
      <x:c r="I29" s="9">
        <x:v>1200</x:v>
      </x:c>
      <x:c r="J29" s="9">
        <x:v>900</x:v>
      </x:c>
      <x:c r="K29" s="9">
        <x:v>1300</x:v>
      </x:c>
      <x:c r="L29" s="9">
        <x:v>1000</x:v>
      </x:c>
      <x:c r="M29" s="9">
        <x:v>1500</x:v>
      </x:c>
      <x:c r="N29" s="9">
        <x:v>1200</x:v>
      </x:c>
      <x:c r="O29" s="9">
        <x:v>1200</x:v>
      </x:c>
      <x:c r="P29" s="9">
        <x:v>1200</x:v>
      </x:c>
      <x:c r="Q29" s="9">
        <x:v>1200</x:v>
      </x:c>
      <x:c r="R29" s="11">
        <x:f t="shared" si="3"/>
        <x:v>14200</x:v>
      </x:c>
      <x:c r="S29" s="8">
        <x:v>0</x:v>
      </x:c>
    </x:row>
    <x:row r="30" spans="1:19">
      <x:c r="D30" s="12"/>
      <x:c r="E30" s="12" t="s">
        <x:v>170</x:v>
      </x:c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</x:row>
    <x:row r="31" spans="1:19">
      <x:c r="A31" s="6" t="s">
        <x:v>0</x:v>
      </x:c>
      <x:c r="B31" s="6" t="s">
        <x:v>254</x:v>
      </x:c>
      <x:c r="C31" s="6" t="s">
        <x:v>101</x:v>
      </x:c>
      <x:c r="D31" s="14"/>
      <x:c r="E31" s="72">
        <x:f>VLOOKUP(B:B,'판매가,매입가'!B:D,3,0)</x:f>
        <x:v>2.35</x:v>
      </x:c>
      <x:c r="F31" s="11">
        <x:f>$E$31*F2</x:f>
        <x:v>2115</x:v>
      </x:c>
      <x:c r="G31" s="11">
        <x:f>$E$31*G2</x:f>
        <x:v>117.5</x:v>
      </x:c>
      <x:c r="H31" s="11">
        <x:f>$E$31*H2</x:f>
        <x:v>0</x:v>
      </x:c>
      <x:c r="I31" s="11">
        <x:f>$E$31*I2</x:f>
        <x:v>1339.5</x:v>
      </x:c>
      <x:c r="J31" s="11">
        <x:f>$E$31*J2</x:f>
        <x:v>0</x:v>
      </x:c>
      <x:c r="K31" s="11"/>
      <x:c r="L31" s="11"/>
      <x:c r="M31" s="11"/>
      <x:c r="N31" s="11"/>
      <x:c r="O31" s="11"/>
      <x:c r="P31" s="11"/>
      <x:c r="Q31" s="11"/>
      <x:c r="R31" s="11">
        <x:f t="shared" ref="R31:R58" si="7">SUM(F31:Q31)</x:f>
        <x:v>3572</x:v>
      </x:c>
      <x:c r="S31" s="6"/>
    </x:row>
    <x:row r="32" spans="1:19">
      <x:c r="A32" s="6" t="s">
        <x:v>0</x:v>
      </x:c>
      <x:c r="B32" s="6" t="s">
        <x:v>255</x:v>
      </x:c>
      <x:c r="C32" s="6" t="s">
        <x:v>101</x:v>
      </x:c>
      <x:c r="D32" s="14"/>
      <x:c r="E32" s="72">
        <x:f>VLOOKUP(B:B,'판매가,매입가'!B:D,3,0)</x:f>
        <x:v>7.68</x:v>
      </x:c>
      <x:c r="F32" s="11">
        <x:f>$E$32*F2</x:f>
        <x:v>6912</x:v>
      </x:c>
      <x:c r="G32" s="11">
        <x:f>$E$32*G2</x:f>
        <x:v>384</x:v>
      </x:c>
      <x:c r="H32" s="11">
        <x:f>$E$32*H2</x:f>
        <x:v>0</x:v>
      </x:c>
      <x:c r="I32" s="11">
        <x:f>$E$32*I2</x:f>
        <x:v>4377.5999999999995</x:v>
      </x:c>
      <x:c r="J32" s="11">
        <x:f>$E$32*J2</x:f>
        <x:v>0</x:v>
      </x:c>
      <x:c r="K32" s="11"/>
      <x:c r="L32" s="11"/>
      <x:c r="M32" s="11"/>
      <x:c r="N32" s="11"/>
      <x:c r="O32" s="11"/>
      <x:c r="P32" s="11"/>
      <x:c r="Q32" s="11"/>
      <x:c r="R32" s="11">
        <x:f t="shared" si="7"/>
        <x:v>11673.599999999999</x:v>
      </x:c>
      <x:c r="S32" s="6"/>
    </x:row>
    <x:row r="33" spans="1:19">
      <x:c r="A33" s="6" t="s">
        <x:v>0</x:v>
      </x:c>
      <x:c r="B33" s="6" t="s">
        <x:v>253</x:v>
      </x:c>
      <x:c r="C33" s="6" t="s">
        <x:v>101</x:v>
      </x:c>
      <x:c r="D33" s="14"/>
      <x:c r="E33" s="72">
        <x:f>VLOOKUP(B:B,'판매가,매입가'!B:D,3,0)</x:f>
        <x:v>85.86</x:v>
      </x:c>
      <x:c r="F33" s="11">
        <x:f>$E$33*F2</x:f>
        <x:v>77274</x:v>
      </x:c>
      <x:c r="G33" s="11">
        <x:f>$E$33*G2</x:f>
        <x:v>4293</x:v>
      </x:c>
      <x:c r="H33" s="11">
        <x:f>$E$33*H2</x:f>
        <x:v>0</x:v>
      </x:c>
      <x:c r="I33" s="11">
        <x:f>$E$33*I2</x:f>
        <x:v>48940.2</x:v>
      </x:c>
      <x:c r="J33" s="11">
        <x:f>$E$33*J2</x:f>
        <x:v>0</x:v>
      </x:c>
      <x:c r="K33" s="11"/>
      <x:c r="L33" s="11"/>
      <x:c r="M33" s="11"/>
      <x:c r="N33" s="11"/>
      <x:c r="O33" s="11"/>
      <x:c r="P33" s="11"/>
      <x:c r="Q33" s="11"/>
      <x:c r="R33" s="11">
        <x:f t="shared" si="7"/>
        <x:v>130507.2</x:v>
      </x:c>
      <x:c r="S33" s="6"/>
    </x:row>
    <x:row r="34" spans="1:19">
      <x:c r="A34" s="6" t="s">
        <x:v>0</x:v>
      </x:c>
      <x:c r="B34" s="6" t="s">
        <x:v>252</x:v>
      </x:c>
      <x:c r="C34" s="6" t="s">
        <x:v>101</x:v>
      </x:c>
      <x:c r="D34" s="14"/>
      <x:c r="E34" s="72">
        <x:f>VLOOKUP(B:B,'판매가,매입가'!B:D,3,0)</x:f>
        <x:v>18.46</x:v>
      </x:c>
      <x:c r="F34" s="11">
        <x:f>$E$34*F2</x:f>
        <x:v>16614</x:v>
      </x:c>
      <x:c r="G34" s="11">
        <x:f>$E$34*G2</x:f>
        <x:v>923</x:v>
      </x:c>
      <x:c r="H34" s="11">
        <x:f>$E$34*H2</x:f>
        <x:v>0</x:v>
      </x:c>
      <x:c r="I34" s="11">
        <x:f>$E$34*I2</x:f>
        <x:v>10522.2</x:v>
      </x:c>
      <x:c r="J34" s="11">
        <x:f>$E$34*J2</x:f>
        <x:v>0</x:v>
      </x:c>
      <x:c r="K34" s="11"/>
      <x:c r="L34" s="11"/>
      <x:c r="M34" s="11"/>
      <x:c r="N34" s="11"/>
      <x:c r="O34" s="11"/>
      <x:c r="P34" s="11"/>
      <x:c r="Q34" s="11"/>
      <x:c r="R34" s="11">
        <x:f t="shared" si="7"/>
        <x:v>28059.200000000001</x:v>
      </x:c>
      <x:c r="S34" s="6"/>
    </x:row>
    <x:row r="35" spans="1:19">
      <x:c r="A35" s="6" t="s">
        <x:v>0</x:v>
      </x:c>
      <x:c r="B35" s="6" t="s">
        <x:v>251</x:v>
      </x:c>
      <x:c r="C35" s="6" t="s">
        <x:v>101</x:v>
      </x:c>
      <x:c r="D35" s="14"/>
      <x:c r="E35" s="72">
        <x:f>VLOOKUP(B:B,'판매가,매입가'!B:D,3,0)</x:f>
        <x:v>106.61</x:v>
      </x:c>
      <x:c r="F35" s="11">
        <x:f>$E$35*F2</x:f>
        <x:v>95949</x:v>
      </x:c>
      <x:c r="G35" s="11">
        <x:f>$E$35*G2</x:f>
        <x:v>5330.5</x:v>
      </x:c>
      <x:c r="H35" s="11">
        <x:f>$E$35*H2</x:f>
        <x:v>0</x:v>
      </x:c>
      <x:c r="I35" s="11">
        <x:f>$E$35*I2</x:f>
        <x:v>60767.7</x:v>
      </x:c>
      <x:c r="J35" s="11">
        <x:f>$E$35*J2</x:f>
        <x:v>0</x:v>
      </x:c>
      <x:c r="K35" s="11"/>
      <x:c r="L35" s="11"/>
      <x:c r="M35" s="11"/>
      <x:c r="N35" s="11"/>
      <x:c r="O35" s="11"/>
      <x:c r="P35" s="11"/>
      <x:c r="Q35" s="11"/>
      <x:c r="R35" s="11">
        <x:f t="shared" si="7"/>
        <x:v>162047.20000000001</x:v>
      </x:c>
      <x:c r="S35" s="6"/>
    </x:row>
    <x:row r="36" spans="1:19">
      <x:c r="A36" s="6" t="s">
        <x:v>0</x:v>
      </x:c>
      <x:c r="B36" s="6" t="s">
        <x:v>272</x:v>
      </x:c>
      <x:c r="C36" s="6" t="s">
        <x:v>101</x:v>
      </x:c>
      <x:c r="D36" s="14"/>
      <x:c r="E36" s="72">
        <x:f>VLOOKUP(B:B,'판매가,매입가'!B:D,3,0)</x:f>
        <x:v>3.46</x:v>
      </x:c>
      <x:c r="F36" s="11"/>
      <x:c r="G36" s="11"/>
      <x:c r="H36" s="11"/>
      <x:c r="I36" s="11"/>
      <x:c r="J36" s="11"/>
      <x:c r="K36" s="11">
        <x:f t="shared" ref="K36:Q36" si="8">$E$36*K2</x:f>
        <x:v>245.66</x:v>
      </x:c>
      <x:c r="L36" s="11">
        <x:f t="shared" si="8"/>
        <x:v>245.66</x:v>
      </x:c>
      <x:c r="M36" s="11">
        <x:f t="shared" si="8"/>
        <x:v>245.66</x:v>
      </x:c>
      <x:c r="N36" s="11">
        <x:f t="shared" si="8"/>
        <x:v>245.66</x:v>
      </x:c>
      <x:c r="O36" s="11">
        <x:f t="shared" si="8"/>
        <x:v>245.66</x:v>
      </x:c>
      <x:c r="P36" s="11">
        <x:f t="shared" si="8"/>
        <x:v>245.66</x:v>
      </x:c>
      <x:c r="Q36" s="11">
        <x:f t="shared" si="8"/>
        <x:v>245.66</x:v>
      </x:c>
      <x:c r="R36" s="11">
        <x:f t="shared" ref="R36:R40" si="9">SUM(F36:Q36)</x:f>
        <x:v>1719.6200000000001</x:v>
      </x:c>
      <x:c r="S36" s="6"/>
    </x:row>
    <x:row r="37" spans="1:19">
      <x:c r="A37" s="6" t="s">
        <x:v>0</x:v>
      </x:c>
      <x:c r="B37" s="6" t="s">
        <x:v>273</x:v>
      </x:c>
      <x:c r="C37" s="6" t="s">
        <x:v>101</x:v>
      </x:c>
      <x:c r="D37" s="14"/>
      <x:c r="E37" s="72">
        <x:f>VLOOKUP(B:B,'판매가,매입가'!B:D,3,0)</x:f>
        <x:v>11.29</x:v>
      </x:c>
      <x:c r="F37" s="11"/>
      <x:c r="G37" s="11"/>
      <x:c r="H37" s="11"/>
      <x:c r="I37" s="11"/>
      <x:c r="J37" s="11"/>
      <x:c r="K37" s="11">
        <x:f t="shared" ref="K37:Q37" si="10">$E$37*K2</x:f>
        <x:v>801.58999999999992</x:v>
      </x:c>
      <x:c r="L37" s="11">
        <x:f t="shared" si="10"/>
        <x:v>801.58999999999992</x:v>
      </x:c>
      <x:c r="M37" s="11">
        <x:f t="shared" si="10"/>
        <x:v>801.58999999999992</x:v>
      </x:c>
      <x:c r="N37" s="11">
        <x:f t="shared" si="10"/>
        <x:v>801.58999999999992</x:v>
      </x:c>
      <x:c r="O37" s="11">
        <x:f t="shared" si="10"/>
        <x:v>801.58999999999992</x:v>
      </x:c>
      <x:c r="P37" s="11">
        <x:f t="shared" si="10"/>
        <x:v>801.58999999999992</x:v>
      </x:c>
      <x:c r="Q37" s="11">
        <x:f t="shared" si="10"/>
        <x:v>801.58999999999992</x:v>
      </x:c>
      <x:c r="R37" s="11">
        <x:f t="shared" si="9"/>
        <x:v>5611.13</x:v>
      </x:c>
      <x:c r="S37" s="6"/>
    </x:row>
    <x:row r="38" spans="1:19">
      <x:c r="A38" s="6" t="s">
        <x:v>0</x:v>
      </x:c>
      <x:c r="B38" s="6" t="s">
        <x:v>271</x:v>
      </x:c>
      <x:c r="C38" s="6" t="s">
        <x:v>101</x:v>
      </x:c>
      <x:c r="D38" s="14"/>
      <x:c r="E38" s="72">
        <x:f>VLOOKUP(B:B,'판매가,매입가'!B:D,3,0)</x:f>
        <x:v>126.26</x:v>
      </x:c>
      <x:c r="F38" s="11"/>
      <x:c r="G38" s="11"/>
      <x:c r="H38" s="11"/>
      <x:c r="I38" s="11"/>
      <x:c r="J38" s="11"/>
      <x:c r="K38" s="11">
        <x:f t="shared" ref="K38:Q38" si="11">$E$38*K2</x:f>
        <x:v>8964.4600000000009</x:v>
      </x:c>
      <x:c r="L38" s="11">
        <x:f t="shared" si="11"/>
        <x:v>8964.4600000000009</x:v>
      </x:c>
      <x:c r="M38" s="11">
        <x:f t="shared" si="11"/>
        <x:v>8964.4600000000009</x:v>
      </x:c>
      <x:c r="N38" s="11">
        <x:f t="shared" si="11"/>
        <x:v>8964.4600000000009</x:v>
      </x:c>
      <x:c r="O38" s="11">
        <x:f t="shared" si="11"/>
        <x:v>8964.4600000000009</x:v>
      </x:c>
      <x:c r="P38" s="11">
        <x:f t="shared" si="11"/>
        <x:v>8964.4600000000009</x:v>
      </x:c>
      <x:c r="Q38" s="11">
        <x:f t="shared" si="11"/>
        <x:v>8964.4600000000009</x:v>
      </x:c>
      <x:c r="R38" s="11">
        <x:f t="shared" si="9"/>
        <x:v>62751.22</x:v>
      </x:c>
      <x:c r="S38" s="6"/>
    </x:row>
    <x:row r="39" spans="1:19">
      <x:c r="A39" s="6" t="s">
        <x:v>0</x:v>
      </x:c>
      <x:c r="B39" s="6" t="s">
        <x:v>270</x:v>
      </x:c>
      <x:c r="C39" s="6" t="s">
        <x:v>101</x:v>
      </x:c>
      <x:c r="D39" s="14"/>
      <x:c r="E39" s="72">
        <x:f>VLOOKUP(B:B,'판매가,매입가'!B:D,3,0)</x:f>
        <x:v>27.14</x:v>
      </x:c>
      <x:c r="F39" s="11"/>
      <x:c r="G39" s="11"/>
      <x:c r="H39" s="11"/>
      <x:c r="I39" s="11"/>
      <x:c r="J39" s="11"/>
      <x:c r="K39" s="11">
        <x:f t="shared" ref="K39:Q39" si="12">$E$39*K2</x:f>
        <x:v>1926.94</x:v>
      </x:c>
      <x:c r="L39" s="11">
        <x:f t="shared" si="12"/>
        <x:v>1926.94</x:v>
      </x:c>
      <x:c r="M39" s="11">
        <x:f t="shared" si="12"/>
        <x:v>1926.94</x:v>
      </x:c>
      <x:c r="N39" s="11">
        <x:f t="shared" si="12"/>
        <x:v>1926.94</x:v>
      </x:c>
      <x:c r="O39" s="11">
        <x:f t="shared" si="12"/>
        <x:v>1926.94</x:v>
      </x:c>
      <x:c r="P39" s="11">
        <x:f t="shared" si="12"/>
        <x:v>1926.94</x:v>
      </x:c>
      <x:c r="Q39" s="11">
        <x:f t="shared" si="12"/>
        <x:v>1926.94</x:v>
      </x:c>
      <x:c r="R39" s="11">
        <x:f t="shared" si="9"/>
        <x:v>13488.580000000002</x:v>
      </x:c>
      <x:c r="S39" s="6"/>
    </x:row>
    <x:row r="40" spans="1:19">
      <x:c r="A40" s="6" t="s">
        <x:v>0</x:v>
      </x:c>
      <x:c r="B40" s="6" t="s">
        <x:v>269</x:v>
      </x:c>
      <x:c r="C40" s="6" t="s">
        <x:v>101</x:v>
      </x:c>
      <x:c r="D40" s="14"/>
      <x:c r="E40" s="72">
        <x:f>VLOOKUP(B:B,'판매가,매입가'!B:D,3,0)</x:f>
        <x:v>156.75</x:v>
      </x:c>
      <x:c r="F40" s="11"/>
      <x:c r="G40" s="11"/>
      <x:c r="H40" s="11"/>
      <x:c r="I40" s="11"/>
      <x:c r="J40" s="11"/>
      <x:c r="K40" s="11">
        <x:f t="shared" ref="K40:Q40" si="13">$E$40*K2</x:f>
        <x:v>11129.25</x:v>
      </x:c>
      <x:c r="L40" s="11">
        <x:f t="shared" si="13"/>
        <x:v>11129.25</x:v>
      </x:c>
      <x:c r="M40" s="11">
        <x:f t="shared" si="13"/>
        <x:v>11129.25</x:v>
      </x:c>
      <x:c r="N40" s="11">
        <x:f t="shared" si="13"/>
        <x:v>11129.25</x:v>
      </x:c>
      <x:c r="O40" s="11">
        <x:f t="shared" si="13"/>
        <x:v>11129.25</x:v>
      </x:c>
      <x:c r="P40" s="11">
        <x:f t="shared" si="13"/>
        <x:v>11129.25</x:v>
      </x:c>
      <x:c r="Q40" s="11">
        <x:f t="shared" si="13"/>
        <x:v>11129.25</x:v>
      </x:c>
      <x:c r="R40" s="11">
        <x:f t="shared" si="9"/>
        <x:v>77904.75</x:v>
      </x:c>
      <x:c r="S40" s="6"/>
    </x:row>
    <x:row r="41" spans="1:19">
      <x:c r="A41" s="6" t="s">
        <x:v>0</x:v>
      </x:c>
      <x:c r="B41" s="6" t="s">
        <x:v>33</x:v>
      </x:c>
      <x:c r="C41" s="6" t="s">
        <x:v>101</x:v>
      </x:c>
      <x:c r="D41" s="14"/>
      <x:c r="E41" s="72">
        <x:f>VLOOKUP(B:B,'판매가,매입가'!B:D,3,0)</x:f>
        <x:v>0.56000000000000005</x:v>
      </x:c>
      <x:c r="F41" s="11">
        <x:f t="shared" ref="F41:Q41" si="14">$E$41*F2*4</x:f>
        <x:v>2016.0000000000002</x:v>
      </x:c>
      <x:c r="G41" s="11">
        <x:f t="shared" si="14"/>
        <x:v>112.00000000000001</x:v>
      </x:c>
      <x:c r="H41" s="11">
        <x:f t="shared" si="14"/>
        <x:v>0</x:v>
      </x:c>
      <x:c r="I41" s="11">
        <x:f t="shared" si="14"/>
        <x:v>1276.8000000000002</x:v>
      </x:c>
      <x:c r="J41" s="11">
        <x:f t="shared" si="14"/>
        <x:v>0</x:v>
      </x:c>
      <x:c r="K41" s="11">
        <x:f t="shared" si="14"/>
        <x:v>159.04000000000002</x:v>
      </x:c>
      <x:c r="L41" s="11">
        <x:f t="shared" si="14"/>
        <x:v>159.04000000000002</x:v>
      </x:c>
      <x:c r="M41" s="11">
        <x:f t="shared" si="14"/>
        <x:v>159.04000000000002</x:v>
      </x:c>
      <x:c r="N41" s="11">
        <x:f t="shared" si="14"/>
        <x:v>159.04000000000002</x:v>
      </x:c>
      <x:c r="O41" s="11">
        <x:f t="shared" si="14"/>
        <x:v>159.04000000000002</x:v>
      </x:c>
      <x:c r="P41" s="11">
        <x:f t="shared" si="14"/>
        <x:v>159.04000000000002</x:v>
      </x:c>
      <x:c r="Q41" s="11">
        <x:f t="shared" si="14"/>
        <x:v>159.04000000000002</x:v>
      </x:c>
      <x:c r="R41" s="11">
        <x:f t="shared" si="7"/>
        <x:v>4518.0800000000008</x:v>
      </x:c>
      <x:c r="S41" s="6"/>
    </x:row>
    <x:row r="42" spans="1:19">
      <x:c r="A42" s="6" t="s">
        <x:v>1</x:v>
      </x:c>
      <x:c r="B42" s="6" t="s">
        <x:v>34</x:v>
      </x:c>
      <x:c r="C42" s="6" t="s">
        <x:v>101</x:v>
      </x:c>
      <x:c r="D42" s="14"/>
      <x:c r="E42" s="72">
        <x:f>VLOOKUP(B:B,'판매가,매입가'!B:D,3,0)</x:f>
        <x:v>3.74</x:v>
      </x:c>
      <x:c r="F42" s="11">
        <x:f t="shared" ref="F42:Q42" si="15">$E$42*F3</x:f>
        <x:v>8003.6</x:v>
      </x:c>
      <x:c r="G42" s="11">
        <x:f t="shared" si="15"/>
        <x:v>5385.6</x:v>
      </x:c>
      <x:c r="H42" s="11">
        <x:f t="shared" si="15"/>
        <x:v>2468.4</x:v>
      </x:c>
      <x:c r="I42" s="11">
        <x:f t="shared" si="15"/>
        <x:v>9050.8000000000011</x:v>
      </x:c>
      <x:c r="J42" s="11">
        <x:f t="shared" si="15"/>
        <x:v>3590.4</x:v>
      </x:c>
      <x:c r="K42" s="11">
        <x:f t="shared" si="15"/>
        <x:v>2670.36</x:v>
      </x:c>
      <x:c r="L42" s="11">
        <x:f t="shared" si="15"/>
        <x:v>2670.36</x:v>
      </x:c>
      <x:c r="M42" s="11">
        <x:f t="shared" si="15"/>
        <x:v>2670.36</x:v>
      </x:c>
      <x:c r="N42" s="11">
        <x:f t="shared" si="15"/>
        <x:v>2670.36</x:v>
      </x:c>
      <x:c r="O42" s="11">
        <x:f t="shared" si="15"/>
        <x:v>2670.36</x:v>
      </x:c>
      <x:c r="P42" s="11">
        <x:f t="shared" si="15"/>
        <x:v>2670.36</x:v>
      </x:c>
      <x:c r="Q42" s="11">
        <x:f t="shared" si="15"/>
        <x:v>2670.36</x:v>
      </x:c>
      <x:c r="R42" s="11">
        <x:f t="shared" si="7"/>
        <x:v>47191.320000000007</x:v>
      </x:c>
      <x:c r="S42" s="6"/>
    </x:row>
    <x:row r="43" spans="1:19">
      <x:c r="A43" s="6" t="s">
        <x:v>1</x:v>
      </x:c>
      <x:c r="B43" s="6" t="s">
        <x:v>154</x:v>
      </x:c>
      <x:c r="C43" s="6" t="s">
        <x:v>101</x:v>
      </x:c>
      <x:c r="D43" s="14"/>
      <x:c r="E43" s="72">
        <x:f>VLOOKUP(B:B,'판매가,매입가'!B:D,3,0)</x:f>
        <x:v>7.71</x:v>
      </x:c>
      <x:c r="F43" s="11">
        <x:f t="shared" ref="F43:Q43" si="16">$E$43*F3</x:f>
        <x:v>16499.400000000001</x:v>
      </x:c>
      <x:c r="G43" s="11">
        <x:f t="shared" si="16"/>
        <x:v>11102.4</x:v>
      </x:c>
      <x:c r="H43" s="11">
        <x:f t="shared" si="16"/>
        <x:v>5088.6000000000004</x:v>
      </x:c>
      <x:c r="I43" s="11">
        <x:f t="shared" si="16"/>
        <x:v>18658.2</x:v>
      </x:c>
      <x:c r="J43" s="11">
        <x:f t="shared" si="16"/>
        <x:v>7401.6</x:v>
      </x:c>
      <x:c r="K43" s="11">
        <x:f t="shared" si="16"/>
        <x:v>5504.94</x:v>
      </x:c>
      <x:c r="L43" s="11">
        <x:f t="shared" si="16"/>
        <x:v>5504.94</x:v>
      </x:c>
      <x:c r="M43" s="11">
        <x:f t="shared" si="16"/>
        <x:v>5504.94</x:v>
      </x:c>
      <x:c r="N43" s="11">
        <x:f t="shared" si="16"/>
        <x:v>5504.94</x:v>
      </x:c>
      <x:c r="O43" s="11">
        <x:f t="shared" si="16"/>
        <x:v>5504.94</x:v>
      </x:c>
      <x:c r="P43" s="11">
        <x:f t="shared" si="16"/>
        <x:v>5504.94</x:v>
      </x:c>
      <x:c r="Q43" s="11">
        <x:f t="shared" si="16"/>
        <x:v>5504.94</x:v>
      </x:c>
      <x:c r="R43" s="11">
        <x:f t="shared" si="7"/>
        <x:v>97284.780000000013</x:v>
      </x:c>
      <x:c r="S43" s="6"/>
    </x:row>
    <x:row r="44" spans="1:19">
      <x:c r="A44" s="6" t="s">
        <x:v>1</x:v>
      </x:c>
      <x:c r="B44" s="6" t="s">
        <x:v>155</x:v>
      </x:c>
      <x:c r="C44" s="6" t="s">
        <x:v>101</x:v>
      </x:c>
      <x:c r="D44" s="14"/>
      <x:c r="E44" s="72">
        <x:f>VLOOKUP(B:B,'판매가,매입가'!B:D,3,0)</x:f>
        <x:v>5.31</x:v>
      </x:c>
      <x:c r="F44" s="11">
        <x:f t="shared" ref="F44:Q44" si="17">$E$44*F3</x:f>
        <x:v>11363.4</x:v>
      </x:c>
      <x:c r="G44" s="11">
        <x:f t="shared" si="17"/>
        <x:v>7646.4</x:v>
      </x:c>
      <x:c r="H44" s="11">
        <x:f t="shared" si="17"/>
        <x:v>3504.6</x:v>
      </x:c>
      <x:c r="I44" s="11">
        <x:f t="shared" si="17"/>
        <x:v>12850.199999999999</x:v>
      </x:c>
      <x:c r="J44" s="11">
        <x:f t="shared" si="17"/>
        <x:v>5097.5999999999995</x:v>
      </x:c>
      <x:c r="K44" s="11">
        <x:f t="shared" si="17"/>
        <x:v>3791.3399999999997</x:v>
      </x:c>
      <x:c r="L44" s="11">
        <x:f t="shared" si="17"/>
        <x:v>3791.3399999999997</x:v>
      </x:c>
      <x:c r="M44" s="11">
        <x:f t="shared" si="17"/>
        <x:v>3791.3399999999997</x:v>
      </x:c>
      <x:c r="N44" s="11">
        <x:f t="shared" si="17"/>
        <x:v>3791.3399999999997</x:v>
      </x:c>
      <x:c r="O44" s="11">
        <x:f t="shared" si="17"/>
        <x:v>3791.3399999999997</x:v>
      </x:c>
      <x:c r="P44" s="11">
        <x:f t="shared" si="17"/>
        <x:v>3791.3399999999997</x:v>
      </x:c>
      <x:c r="Q44" s="11">
        <x:f t="shared" si="17"/>
        <x:v>3791.3399999999997</x:v>
      </x:c>
      <x:c r="R44" s="11">
        <x:f t="shared" si="7"/>
        <x:v>67001.579999999973</x:v>
      </x:c>
      <x:c r="S44" s="6"/>
    </x:row>
    <x:row r="45" spans="1:19">
      <x:c r="A45" s="6" t="s">
        <x:v>1</x:v>
      </x:c>
      <x:c r="B45" s="6" t="s">
        <x:v>35</x:v>
      </x:c>
      <x:c r="C45" s="6" t="s">
        <x:v>101</x:v>
      </x:c>
      <x:c r="D45" s="14"/>
      <x:c r="E45" s="72">
        <x:f>VLOOKUP(B:B,'판매가,매입가'!B:D,3,0)</x:f>
        <x:v>117.2</x:v>
      </x:c>
      <x:c r="F45" s="11">
        <x:f t="shared" ref="F45:Q45" si="18">$E$45*F3</x:f>
        <x:v>250808</x:v>
      </x:c>
      <x:c r="G45" s="11">
        <x:f t="shared" si="18"/>
        <x:v>168768</x:v>
      </x:c>
      <x:c r="H45" s="11">
        <x:f t="shared" si="18"/>
        <x:v>77352</x:v>
      </x:c>
      <x:c r="I45" s="11">
        <x:f t="shared" si="18"/>
        <x:v>283624</x:v>
      </x:c>
      <x:c r="J45" s="11">
        <x:f t="shared" si="18"/>
        <x:v>112512</x:v>
      </x:c>
      <x:c r="K45" s="11">
        <x:f t="shared" si="18"/>
        <x:v>83680.800000000003</x:v>
      </x:c>
      <x:c r="L45" s="11">
        <x:f t="shared" si="18"/>
        <x:v>83680.800000000003</x:v>
      </x:c>
      <x:c r="M45" s="11">
        <x:f t="shared" si="18"/>
        <x:v>83680.800000000003</x:v>
      </x:c>
      <x:c r="N45" s="11">
        <x:f t="shared" si="18"/>
        <x:v>83680.800000000003</x:v>
      </x:c>
      <x:c r="O45" s="11">
        <x:f t="shared" si="18"/>
        <x:v>83680.800000000003</x:v>
      </x:c>
      <x:c r="P45" s="11">
        <x:f t="shared" si="18"/>
        <x:v>83680.800000000003</x:v>
      </x:c>
      <x:c r="Q45" s="11">
        <x:f t="shared" si="18"/>
        <x:v>83680.800000000003</x:v>
      </x:c>
      <x:c r="R45" s="11">
        <x:f t="shared" si="7"/>
        <x:v>1478829.6000000003</x:v>
      </x:c>
      <x:c r="S45" s="6"/>
    </x:row>
    <x:row r="46" spans="1:19">
      <x:c r="A46" s="6" t="s">
        <x:v>1</x:v>
      </x:c>
      <x:c r="B46" s="6" t="s">
        <x:v>32</x:v>
      </x:c>
      <x:c r="C46" s="6" t="s">
        <x:v>101</x:v>
      </x:c>
      <x:c r="D46" s="14"/>
      <x:c r="E46" s="72">
        <x:f>VLOOKUP(B:B,'판매가,매입가'!B:D,3,0)</x:f>
        <x:v>27.14</x:v>
      </x:c>
      <x:c r="F46" s="11">
        <x:f t="shared" ref="F46:Q46" si="19">$E$46*F3</x:f>
        <x:v>58079.6</x:v>
      </x:c>
      <x:c r="G46" s="11">
        <x:f t="shared" si="19"/>
        <x:v>39081.599999999999</x:v>
      </x:c>
      <x:c r="H46" s="11">
        <x:f t="shared" si="19"/>
        <x:v>17912.400000000001</x:v>
      </x:c>
      <x:c r="I46" s="11">
        <x:f t="shared" si="19"/>
        <x:v>65678.8</x:v>
      </x:c>
      <x:c r="J46" s="11">
        <x:f t="shared" si="19"/>
        <x:v>26054.400000000001</x:v>
      </x:c>
      <x:c r="K46" s="11">
        <x:f t="shared" si="19"/>
        <x:v>19377.96</x:v>
      </x:c>
      <x:c r="L46" s="11">
        <x:f t="shared" si="19"/>
        <x:v>19377.96</x:v>
      </x:c>
      <x:c r="M46" s="11">
        <x:f t="shared" si="19"/>
        <x:v>19377.96</x:v>
      </x:c>
      <x:c r="N46" s="11">
        <x:f t="shared" si="19"/>
        <x:v>19377.96</x:v>
      </x:c>
      <x:c r="O46" s="11">
        <x:f t="shared" si="19"/>
        <x:v>19377.96</x:v>
      </x:c>
      <x:c r="P46" s="11">
        <x:f t="shared" si="19"/>
        <x:v>19377.96</x:v>
      </x:c>
      <x:c r="Q46" s="11">
        <x:f t="shared" si="19"/>
        <x:v>19377.96</x:v>
      </x:c>
      <x:c r="R46" s="11">
        <x:f t="shared" si="7"/>
        <x:v>342452.52000000008</x:v>
      </x:c>
      <x:c r="S46" s="6"/>
    </x:row>
    <x:row r="47" spans="1:19">
      <x:c r="A47" s="6" t="s">
        <x:v>1</x:v>
      </x:c>
      <x:c r="B47" s="6" t="s">
        <x:v>153</x:v>
      </x:c>
      <x:c r="C47" s="6" t="s">
        <x:v>101</x:v>
      </x:c>
      <x:c r="D47" s="14"/>
      <x:c r="E47" s="72">
        <x:f>VLOOKUP(B:B,'판매가,매입가'!B:D,3,0)</x:f>
        <x:v>156.75</x:v>
      </x:c>
      <x:c r="F47" s="11">
        <x:f t="shared" ref="F47:Q47" si="20">$E$47*F3</x:f>
        <x:v>335445</x:v>
      </x:c>
      <x:c r="G47" s="11">
        <x:f t="shared" si="20"/>
        <x:v>225720</x:v>
      </x:c>
      <x:c r="H47" s="11">
        <x:f t="shared" si="20"/>
        <x:v>103455</x:v>
      </x:c>
      <x:c r="I47" s="11">
        <x:f t="shared" si="20"/>
        <x:v>379335</x:v>
      </x:c>
      <x:c r="J47" s="11">
        <x:f t="shared" si="20"/>
        <x:v>150480</x:v>
      </x:c>
      <x:c r="K47" s="11">
        <x:f t="shared" si="20"/>
        <x:v>111919.5</x:v>
      </x:c>
      <x:c r="L47" s="11">
        <x:f t="shared" si="20"/>
        <x:v>111919.5</x:v>
      </x:c>
      <x:c r="M47" s="11">
        <x:f t="shared" si="20"/>
        <x:v>111919.5</x:v>
      </x:c>
      <x:c r="N47" s="11">
        <x:f t="shared" si="20"/>
        <x:v>111919.5</x:v>
      </x:c>
      <x:c r="O47" s="11">
        <x:f t="shared" si="20"/>
        <x:v>111919.5</x:v>
      </x:c>
      <x:c r="P47" s="11">
        <x:f t="shared" si="20"/>
        <x:v>111919.5</x:v>
      </x:c>
      <x:c r="Q47" s="11">
        <x:f t="shared" si="20"/>
        <x:v>111919.5</x:v>
      </x:c>
      <x:c r="R47" s="11">
        <x:f t="shared" si="7"/>
        <x:v>1977871.5</x:v>
      </x:c>
      <x:c r="S47" s="6"/>
    </x:row>
    <x:row r="48" spans="1:19">
      <x:c r="A48" s="6" t="s">
        <x:v>1</x:v>
      </x:c>
      <x:c r="B48" s="6" t="s">
        <x:v>33</x:v>
      </x:c>
      <x:c r="C48" s="6" t="s">
        <x:v>101</x:v>
      </x:c>
      <x:c r="D48" s="14"/>
      <x:c r="E48" s="72">
        <x:f>VLOOKUP(B:B,'판매가,매입가'!B:D,3,0)</x:f>
        <x:v>0.56000000000000005</x:v>
      </x:c>
      <x:c r="F48" s="11">
        <x:f t="shared" ref="F48:Q48" si="21">$E$48*F3*4</x:f>
        <x:v>4793.6000000000004</x:v>
      </x:c>
      <x:c r="G48" s="11">
        <x:f t="shared" si="21"/>
        <x:v>3225.6000000000004</x:v>
      </x:c>
      <x:c r="H48" s="11">
        <x:f t="shared" si="21"/>
        <x:v>1478.4</x:v>
      </x:c>
      <x:c r="I48" s="11">
        <x:f t="shared" si="21"/>
        <x:v>5420.8</x:v>
      </x:c>
      <x:c r="J48" s="11">
        <x:f t="shared" si="21"/>
        <x:v>2150.4</x:v>
      </x:c>
      <x:c r="K48" s="11">
        <x:f t="shared" si="21"/>
        <x:v>1599.3600000000001</x:v>
      </x:c>
      <x:c r="L48" s="11">
        <x:f t="shared" si="21"/>
        <x:v>1599.3600000000001</x:v>
      </x:c>
      <x:c r="M48" s="11">
        <x:f t="shared" si="21"/>
        <x:v>1599.3600000000001</x:v>
      </x:c>
      <x:c r="N48" s="11">
        <x:f t="shared" si="21"/>
        <x:v>1599.3600000000001</x:v>
      </x:c>
      <x:c r="O48" s="11">
        <x:f t="shared" si="21"/>
        <x:v>1599.3600000000001</x:v>
      </x:c>
      <x:c r="P48" s="11">
        <x:f t="shared" si="21"/>
        <x:v>1599.3600000000001</x:v>
      </x:c>
      <x:c r="Q48" s="11">
        <x:f t="shared" si="21"/>
        <x:v>1599.3600000000001</x:v>
      </x:c>
      <x:c r="R48" s="11">
        <x:f t="shared" si="7"/>
        <x:v>28264.320000000007</x:v>
      </x:c>
      <x:c r="S48" s="6"/>
    </x:row>
    <x:row r="49" spans="1:19">
      <x:c r="A49" s="6" t="s">
        <x:v>30</x:v>
      </x:c>
      <x:c r="B49" s="6" t="s">
        <x:v>36</x:v>
      </x:c>
      <x:c r="C49" s="6" t="s">
        <x:v>101</x:v>
      </x:c>
      <x:c r="D49" s="14"/>
      <x:c r="E49" s="72">
        <x:f>VLOOKUP(B:B,'판매가,매입가'!B:D,3,0)</x:f>
        <x:v>4.9800000000000004</x:v>
      </x:c>
      <x:c r="F49" s="11">
        <x:f t="shared" ref="F49:Q49" si="22">$E$49*F4</x:f>
        <x:v>0</x:v>
      </x:c>
      <x:c r="G49" s="11">
        <x:f t="shared" si="22"/>
        <x:v>0</x:v>
      </x:c>
      <x:c r="H49" s="11">
        <x:f t="shared" si="22"/>
        <x:v>0</x:v>
      </x:c>
      <x:c r="I49" s="11">
        <x:f t="shared" si="22"/>
        <x:v>0</x:v>
      </x:c>
      <x:c r="J49" s="11">
        <x:f t="shared" si="22"/>
        <x:v>0</x:v>
      </x:c>
      <x:c r="K49" s="11">
        <x:f t="shared" si="22"/>
        <x:v>0</x:v>
      </x:c>
      <x:c r="L49" s="11">
        <x:f t="shared" si="22"/>
        <x:v>0</x:v>
      </x:c>
      <x:c r="M49" s="11">
        <x:f t="shared" si="22"/>
        <x:v>0</x:v>
      </x:c>
      <x:c r="N49" s="11">
        <x:f t="shared" si="22"/>
        <x:v>0</x:v>
      </x:c>
      <x:c r="O49" s="11">
        <x:f t="shared" si="22"/>
        <x:v>0</x:v>
      </x:c>
      <x:c r="P49" s="11">
        <x:f t="shared" si="22"/>
        <x:v>0</x:v>
      </x:c>
      <x:c r="Q49" s="11">
        <x:f t="shared" si="22"/>
        <x:v>0</x:v>
      </x:c>
      <x:c r="R49" s="11">
        <x:f t="shared" si="7"/>
        <x:v>0</x:v>
      </x:c>
      <x:c r="S49" s="6"/>
    </x:row>
    <x:row r="50" spans="1:19">
      <x:c r="A50" s="6" t="s">
        <x:v>30</x:v>
      </x:c>
      <x:c r="B50" s="6" t="s">
        <x:v>37</x:v>
      </x:c>
      <x:c r="C50" s="6" t="s">
        <x:v>101</x:v>
      </x:c>
      <x:c r="D50" s="14"/>
      <x:c r="E50" s="72">
        <x:f>VLOOKUP(B:B,'판매가,매입가'!B:D,3,0)</x:f>
        <x:v>3.64</x:v>
      </x:c>
      <x:c r="F50" s="11">
        <x:f t="shared" ref="F50:Q50" si="23">$E$50*F4</x:f>
        <x:v>0</x:v>
      </x:c>
      <x:c r="G50" s="11">
        <x:f t="shared" si="23"/>
        <x:v>0</x:v>
      </x:c>
      <x:c r="H50" s="11">
        <x:f t="shared" si="23"/>
        <x:v>0</x:v>
      </x:c>
      <x:c r="I50" s="11">
        <x:f t="shared" si="23"/>
        <x:v>0</x:v>
      </x:c>
      <x:c r="J50" s="11">
        <x:f t="shared" si="23"/>
        <x:v>0</x:v>
      </x:c>
      <x:c r="K50" s="11">
        <x:f t="shared" si="23"/>
        <x:v>0</x:v>
      </x:c>
      <x:c r="L50" s="11">
        <x:f t="shared" si="23"/>
        <x:v>0</x:v>
      </x:c>
      <x:c r="M50" s="11">
        <x:f t="shared" si="23"/>
        <x:v>0</x:v>
      </x:c>
      <x:c r="N50" s="11">
        <x:f t="shared" si="23"/>
        <x:v>0</x:v>
      </x:c>
      <x:c r="O50" s="11">
        <x:f t="shared" si="23"/>
        <x:v>0</x:v>
      </x:c>
      <x:c r="P50" s="11">
        <x:f t="shared" si="23"/>
        <x:v>0</x:v>
      </x:c>
      <x:c r="Q50" s="11">
        <x:f t="shared" si="23"/>
        <x:v>0</x:v>
      </x:c>
      <x:c r="R50" s="11">
        <x:f t="shared" si="7"/>
        <x:v>0</x:v>
      </x:c>
      <x:c r="S50" s="6"/>
    </x:row>
    <x:row r="51" spans="1:19">
      <x:c r="A51" s="6" t="s">
        <x:v>30</x:v>
      </x:c>
      <x:c r="B51" s="6" t="s">
        <x:v>38</x:v>
      </x:c>
      <x:c r="C51" s="6" t="s">
        <x:v>101</x:v>
      </x:c>
      <x:c r="D51" s="14"/>
      <x:c r="E51" s="72">
        <x:f>VLOOKUP(B:B,'판매가,매입가'!B:D,3,0)</x:f>
        <x:v>4.0599999999999996</x:v>
      </x:c>
      <x:c r="F51" s="11">
        <x:f t="shared" ref="F51:Q51" si="24">$E$51*F4</x:f>
        <x:v>0</x:v>
      </x:c>
      <x:c r="G51" s="11">
        <x:f t="shared" si="24"/>
        <x:v>0</x:v>
      </x:c>
      <x:c r="H51" s="11">
        <x:f t="shared" si="24"/>
        <x:v>0</x:v>
      </x:c>
      <x:c r="I51" s="11">
        <x:f t="shared" si="24"/>
        <x:v>0</x:v>
      </x:c>
      <x:c r="J51" s="11">
        <x:f t="shared" si="24"/>
        <x:v>0</x:v>
      </x:c>
      <x:c r="K51" s="11">
        <x:f t="shared" si="24"/>
        <x:v>0</x:v>
      </x:c>
      <x:c r="L51" s="11">
        <x:f t="shared" si="24"/>
        <x:v>0</x:v>
      </x:c>
      <x:c r="M51" s="11">
        <x:f t="shared" si="24"/>
        <x:v>0</x:v>
      </x:c>
      <x:c r="N51" s="11">
        <x:f t="shared" si="24"/>
        <x:v>0</x:v>
      </x:c>
      <x:c r="O51" s="11">
        <x:f t="shared" si="24"/>
        <x:v>0</x:v>
      </x:c>
      <x:c r="P51" s="11">
        <x:f t="shared" si="24"/>
        <x:v>0</x:v>
      </x:c>
      <x:c r="Q51" s="11">
        <x:f t="shared" si="24"/>
        <x:v>0</x:v>
      </x:c>
      <x:c r="R51" s="11">
        <x:f t="shared" si="7"/>
        <x:v>0</x:v>
      </x:c>
      <x:c r="S51" s="6"/>
    </x:row>
    <x:row r="52" spans="1:19">
      <x:c r="A52" s="6" t="s">
        <x:v>30</x:v>
      </x:c>
      <x:c r="B52" s="6" t="s">
        <x:v>156</x:v>
      </x:c>
      <x:c r="C52" s="6" t="s">
        <x:v>101</x:v>
      </x:c>
      <x:c r="D52" s="14"/>
      <x:c r="E52" s="72">
        <x:f>VLOOKUP(B:B,'판매가,매입가'!B:D,3,0)</x:f>
        <x:v>71.13</x:v>
      </x:c>
      <x:c r="F52" s="11">
        <x:f t="shared" ref="F52:Q52" si="25">$E$52*F4</x:f>
        <x:v>0</x:v>
      </x:c>
      <x:c r="G52" s="11">
        <x:f t="shared" si="25"/>
        <x:v>0</x:v>
      </x:c>
      <x:c r="H52" s="11">
        <x:f t="shared" si="25"/>
        <x:v>0</x:v>
      </x:c>
      <x:c r="I52" s="11">
        <x:f t="shared" si="25"/>
        <x:v>0</x:v>
      </x:c>
      <x:c r="J52" s="11">
        <x:f t="shared" si="25"/>
        <x:v>0</x:v>
      </x:c>
      <x:c r="K52" s="11">
        <x:f t="shared" si="25"/>
        <x:v>0</x:v>
      </x:c>
      <x:c r="L52" s="11">
        <x:f t="shared" si="25"/>
        <x:v>0</x:v>
      </x:c>
      <x:c r="M52" s="11">
        <x:f t="shared" si="25"/>
        <x:v>0</x:v>
      </x:c>
      <x:c r="N52" s="11">
        <x:f t="shared" si="25"/>
        <x:v>0</x:v>
      </x:c>
      <x:c r="O52" s="11">
        <x:f t="shared" si="25"/>
        <x:v>0</x:v>
      </x:c>
      <x:c r="P52" s="11">
        <x:f t="shared" si="25"/>
        <x:v>0</x:v>
      </x:c>
      <x:c r="Q52" s="11">
        <x:f t="shared" si="25"/>
        <x:v>0</x:v>
      </x:c>
      <x:c r="R52" s="11">
        <x:f t="shared" si="7"/>
        <x:v>0</x:v>
      </x:c>
      <x:c r="S52" s="6"/>
    </x:row>
    <x:row r="53" spans="1:19">
      <x:c r="A53" s="6" t="s">
        <x:v>30</x:v>
      </x:c>
      <x:c r="B53" s="6" t="s">
        <x:v>39</x:v>
      </x:c>
      <x:c r="C53" s="6" t="s">
        <x:v>101</x:v>
      </x:c>
      <x:c r="D53" s="14"/>
      <x:c r="E53" s="72">
        <x:f>VLOOKUP(B:B,'판매가,매입가'!B:D,3,0)</x:f>
        <x:v>15.62</x:v>
      </x:c>
      <x:c r="F53" s="11">
        <x:f t="shared" ref="F53:Q53" si="26">$E$53*F4</x:f>
        <x:v>0</x:v>
      </x:c>
      <x:c r="G53" s="11">
        <x:f t="shared" si="26"/>
        <x:v>0</x:v>
      </x:c>
      <x:c r="H53" s="11">
        <x:f t="shared" si="26"/>
        <x:v>0</x:v>
      </x:c>
      <x:c r="I53" s="11">
        <x:f t="shared" si="26"/>
        <x:v>0</x:v>
      </x:c>
      <x:c r="J53" s="11">
        <x:f t="shared" si="26"/>
        <x:v>0</x:v>
      </x:c>
      <x:c r="K53" s="11">
        <x:f t="shared" si="26"/>
        <x:v>0</x:v>
      </x:c>
      <x:c r="L53" s="11">
        <x:f t="shared" si="26"/>
        <x:v>0</x:v>
      </x:c>
      <x:c r="M53" s="11">
        <x:f t="shared" si="26"/>
        <x:v>0</x:v>
      </x:c>
      <x:c r="N53" s="11">
        <x:f t="shared" si="26"/>
        <x:v>0</x:v>
      </x:c>
      <x:c r="O53" s="11">
        <x:f t="shared" si="26"/>
        <x:v>0</x:v>
      </x:c>
      <x:c r="P53" s="11">
        <x:f t="shared" si="26"/>
        <x:v>0</x:v>
      </x:c>
      <x:c r="Q53" s="11">
        <x:f t="shared" si="26"/>
        <x:v>0</x:v>
      </x:c>
      <x:c r="R53" s="11">
        <x:f t="shared" si="7"/>
        <x:v>0</x:v>
      </x:c>
      <x:c r="S53" s="6"/>
    </x:row>
    <x:row r="54" spans="1:19">
      <x:c r="A54" s="6" t="s">
        <x:v>30</x:v>
      </x:c>
      <x:c r="B54" s="6" t="s">
        <x:v>40</x:v>
      </x:c>
      <x:c r="C54" s="6" t="s">
        <x:v>101</x:v>
      </x:c>
      <x:c r="D54" s="14"/>
      <x:c r="E54" s="72">
        <x:f>VLOOKUP(B:B,'판매가,매입가'!B:D,3,0)</x:f>
        <x:v>0.56000000000000005</x:v>
      </x:c>
      <x:c r="F54" s="11">
        <x:f t="shared" ref="F54:Q54" si="27">$E$54*F4</x:f>
        <x:v>0</x:v>
      </x:c>
      <x:c r="G54" s="11">
        <x:f t="shared" si="27"/>
        <x:v>0</x:v>
      </x:c>
      <x:c r="H54" s="11">
        <x:f t="shared" si="27"/>
        <x:v>0</x:v>
      </x:c>
      <x:c r="I54" s="11">
        <x:f t="shared" si="27"/>
        <x:v>0</x:v>
      </x:c>
      <x:c r="J54" s="11">
        <x:f t="shared" si="27"/>
        <x:v>0</x:v>
      </x:c>
      <x:c r="K54" s="11">
        <x:f t="shared" si="27"/>
        <x:v>0</x:v>
      </x:c>
      <x:c r="L54" s="11">
        <x:f t="shared" si="27"/>
        <x:v>0</x:v>
      </x:c>
      <x:c r="M54" s="11">
        <x:f t="shared" si="27"/>
        <x:v>0</x:v>
      </x:c>
      <x:c r="N54" s="11">
        <x:f t="shared" si="27"/>
        <x:v>0</x:v>
      </x:c>
      <x:c r="O54" s="11">
        <x:f t="shared" si="27"/>
        <x:v>0</x:v>
      </x:c>
      <x:c r="P54" s="11">
        <x:f t="shared" si="27"/>
        <x:v>0</x:v>
      </x:c>
      <x:c r="Q54" s="11">
        <x:f t="shared" si="27"/>
        <x:v>0</x:v>
      </x:c>
      <x:c r="R54" s="11">
        <x:f t="shared" si="7"/>
        <x:v>0</x:v>
      </x:c>
      <x:c r="S54" s="6"/>
    </x:row>
    <x:row r="55" spans="1:19">
      <x:c r="A55" s="6" t="s">
        <x:v>30</x:v>
      </x:c>
      <x:c r="B55" s="6" t="s">
        <x:v>33</x:v>
      </x:c>
      <x:c r="C55" s="6" t="s">
        <x:v>101</x:v>
      </x:c>
      <x:c r="D55" s="14"/>
      <x:c r="E55" s="72">
        <x:f>VLOOKUP(B:B,'판매가,매입가'!B:D,3,0)</x:f>
        <x:v>0.56000000000000005</x:v>
      </x:c>
      <x:c r="F55" s="11">
        <x:f t="shared" ref="F55:Q55" si="28">$E$55*F4*3</x:f>
        <x:v>0</x:v>
      </x:c>
      <x:c r="G55" s="11">
        <x:f t="shared" si="28"/>
        <x:v>0</x:v>
      </x:c>
      <x:c r="H55" s="11">
        <x:f t="shared" si="28"/>
        <x:v>0</x:v>
      </x:c>
      <x:c r="I55" s="11">
        <x:f t="shared" si="28"/>
        <x:v>0</x:v>
      </x:c>
      <x:c r="J55" s="11">
        <x:f t="shared" si="28"/>
        <x:v>0</x:v>
      </x:c>
      <x:c r="K55" s="11">
        <x:f t="shared" si="28"/>
        <x:v>0</x:v>
      </x:c>
      <x:c r="L55" s="11">
        <x:f t="shared" si="28"/>
        <x:v>0</x:v>
      </x:c>
      <x:c r="M55" s="11">
        <x:f t="shared" si="28"/>
        <x:v>0</x:v>
      </x:c>
      <x:c r="N55" s="11">
        <x:f t="shared" si="28"/>
        <x:v>0</x:v>
      </x:c>
      <x:c r="O55" s="11">
        <x:f t="shared" si="28"/>
        <x:v>0</x:v>
      </x:c>
      <x:c r="P55" s="11">
        <x:f t="shared" si="28"/>
        <x:v>0</x:v>
      </x:c>
      <x:c r="Q55" s="11">
        <x:f t="shared" si="28"/>
        <x:v>0</x:v>
      </x:c>
      <x:c r="R55" s="11">
        <x:f t="shared" si="7"/>
        <x:v>0</x:v>
      </x:c>
      <x:c r="S55" s="6"/>
    </x:row>
    <x:row r="56" spans="1:19">
      <x:c r="A56" s="6" t="s">
        <x:v>165</x:v>
      </x:c>
      <x:c r="B56" s="6" t="s">
        <x:v>247</x:v>
      </x:c>
      <x:c r="C56" s="6" t="s">
        <x:v>101</x:v>
      </x:c>
      <x:c r="D56" s="14"/>
      <x:c r="E56" s="72">
        <x:f>VLOOKUP(B:B,'판매가,매입가'!B:D,3,0)</x:f>
        <x:v>7.14</x:v>
      </x:c>
      <x:c r="F56" s="11">
        <x:f>$E$56*F5</x:f>
        <x:v>322513.8</x:v>
      </x:c>
      <x:c r="G56" s="11">
        <x:f>$E$56*G5</x:f>
        <x:v>434904.54</x:v>
      </x:c>
      <x:c r="H56" s="11">
        <x:f>$E$56*H5</x:f>
        <x:v>443479.68</x:v>
      </x:c>
      <x:c r="I56" s="11">
        <x:f t="shared" ref="I56:Q56" si="29">$E$56*I5*0.97</x:f>
        <x:v>430521.5796</x:v>
      </x:c>
      <x:c r="J56" s="11">
        <x:f t="shared" si="29"/>
        <x:v>545261.30819999997</x:v>
      </x:c>
      <x:c r="K56" s="11">
        <x:f t="shared" si="29"/>
        <x:v>381299.91899999994</x:v>
      </x:c>
      <x:c r="L56" s="11">
        <x:f t="shared" si="29"/>
        <x:v>306425.09519999998</x:v>
      </x:c>
      <x:c r="M56" s="11">
        <x:f t="shared" si="29"/>
        <x:v>362579.48159999994</x:v>
      </x:c>
      <x:c r="N56" s="11">
        <x:f t="shared" si="29"/>
        <x:v>239182.503</x:v>
      </x:c>
      <x:c r="O56" s="11">
        <x:f t="shared" si="29"/>
        <x:v>334155.99839999998</x:v>
      </x:c>
      <x:c r="P56" s="11">
        <x:f t="shared" si="29"/>
        <x:v>200848.19999999998</x:v>
      </x:c>
      <x:c r="Q56" s="11">
        <x:f t="shared" si="29"/>
        <x:v>200848.19999999998</x:v>
      </x:c>
      <x:c r="R56" s="11">
        <x:f t="shared" si="7"/>
        <x:v>4202020.3049999997</x:v>
      </x:c>
      <x:c r="S56" s="6"/>
    </x:row>
    <x:row r="57" spans="1:19">
      <x:c r="A57" s="6" t="s">
        <x:v>165</x:v>
      </x:c>
      <x:c r="B57" s="6" t="s">
        <x:v>248</x:v>
      </x:c>
      <x:c r="C57" s="6" t="s">
        <x:v>101</x:v>
      </x:c>
      <x:c r="D57" s="14"/>
      <x:c r="E57" s="72">
        <x:f>VLOOKUP(B:B,'판매가,매입가'!B:D,3,0)</x:f>
        <x:v>9.69</x:v>
      </x:c>
      <x:c r="F57" s="11">
        <x:f>$E$57*F5</x:f>
        <x:v>437697.3</x:v>
      </x:c>
      <x:c r="G57" s="11">
        <x:f>$E$57*G5</x:f>
        <x:v>590227.59</x:v>
      </x:c>
      <x:c r="H57" s="11">
        <x:f>$E$57*H5</x:f>
        <x:v>601865.27999999991</x:v>
      </x:c>
      <x:c r="I57" s="11">
        <x:f t="shared" ref="I57:Q57" si="30">$E$57*I5*0.97</x:f>
        <x:v>584279.28659999988</x:v>
      </x:c>
      <x:c r="J57" s="11">
        <x:f t="shared" si="30"/>
        <x:v>739997.48970000003</x:v>
      </x:c>
      <x:c r="K57" s="11">
        <x:f t="shared" si="30"/>
        <x:v>517478.46149999992</x:v>
      </x:c>
      <x:c r="L57" s="11">
        <x:f t="shared" si="30"/>
        <x:v>415862.62919999997</x:v>
      </x:c>
      <x:c r="M57" s="11">
        <x:f t="shared" si="30"/>
        <x:v>492072.15359999996</x:v>
      </x:c>
      <x:c r="N57" s="11">
        <x:f t="shared" si="30"/>
        <x:v>324604.82549999998</x:v>
      </x:c>
      <x:c r="O57" s="11">
        <x:f t="shared" si="30"/>
        <x:v>453497.4264</x:v>
      </x:c>
      <x:c r="P57" s="11">
        <x:f t="shared" si="30"/>
        <x:v>272579.7</x:v>
      </x:c>
      <x:c r="Q57" s="11">
        <x:f t="shared" si="30"/>
        <x:v>272579.7</x:v>
      </x:c>
      <x:c r="R57" s="11">
        <x:f t="shared" si="7"/>
        <x:v>5702741.8425000003</x:v>
      </x:c>
      <x:c r="S57" s="6"/>
    </x:row>
    <x:row r="58" spans="1:19">
      <x:c r="A58" s="6" t="s">
        <x:v>200</x:v>
      </x:c>
      <x:c r="B58" s="6" t="s">
        <x:v>201</x:v>
      </x:c>
      <x:c r="C58" s="6" t="s">
        <x:v>41</x:v>
      </x:c>
      <x:c r="D58" s="14"/>
      <x:c r="E58" s="72">
        <x:f>VLOOKUP(B:B,'판매가,매입가'!B:D,3,0)</x:f>
        <x:v>6.38</x:v>
      </x:c>
      <x:c r="F58" s="11">
        <x:f t="shared" ref="F58:Q58" si="31">$E$58*F6</x:f>
        <x:v>5742</x:v>
      </x:c>
      <x:c r="G58" s="11">
        <x:f t="shared" si="31"/>
        <x:v>7656</x:v>
      </x:c>
      <x:c r="H58" s="11">
        <x:f t="shared" si="31"/>
        <x:v>8932</x:v>
      </x:c>
      <x:c r="I58" s="11">
        <x:f t="shared" si="31"/>
        <x:v>7656</x:v>
      </x:c>
      <x:c r="J58" s="11">
        <x:f t="shared" si="31"/>
        <x:v>5742</x:v>
      </x:c>
      <x:c r="K58" s="11">
        <x:f t="shared" si="31"/>
        <x:v>8294</x:v>
      </x:c>
      <x:c r="L58" s="11">
        <x:f t="shared" si="31"/>
        <x:v>6380</x:v>
      </x:c>
      <x:c r="M58" s="11">
        <x:f t="shared" si="31"/>
        <x:v>9570</x:v>
      </x:c>
      <x:c r="N58" s="11">
        <x:f t="shared" si="31"/>
        <x:v>7656</x:v>
      </x:c>
      <x:c r="O58" s="11">
        <x:f t="shared" si="31"/>
        <x:v>7656</x:v>
      </x:c>
      <x:c r="P58" s="11">
        <x:f t="shared" si="31"/>
        <x:v>7656</x:v>
      </x:c>
      <x:c r="Q58" s="11">
        <x:f t="shared" si="31"/>
        <x:v>7656</x:v>
      </x:c>
      <x:c r="R58" s="11">
        <x:f t="shared" si="7"/>
        <x:v>90596</x:v>
      </x:c>
    </x:row>
    <x:row r="59" spans="1:19">
      <x:c r="E59" s="15"/>
      <x:c r="F59" s="16">
        <x:f t="shared" ref="F59:R59" si="32">SUM(F31:F58)</x:f>
        <x:v>1651825.7</x:v>
      </x:c>
      <x:c r="G59" s="16">
        <x:f t="shared" si="32"/>
        <x:v>1504877.73</x:v>
      </x:c>
      <x:c r="H59" s="16">
        <x:f t="shared" si="32"/>
        <x:v>1265536.3599999999</x:v>
      </x:c>
      <x:c r="I59" s="16">
        <x:f t="shared" si="32"/>
        <x:v>1924298.6661999999</x:v>
      </x:c>
      <x:c r="J59" s="16">
        <x:f t="shared" si="32"/>
        <x:v>1598287.1979</x:v>
      </x:c>
      <x:c r="K59" s="16">
        <x:f t="shared" si="32"/>
        <x:v>1158843.5804999999</x:v>
      </x:c>
      <x:c r="L59" s="16">
        <x:f t="shared" si="32"/>
        <x:v>980438.9243999999</x:v>
      </x:c>
      <x:c r="M59" s="16">
        <x:f t="shared" si="32"/>
        <x:v>1115992.8351999999</x:v>
      </x:c>
      <x:c r="N59" s="16">
        <x:f t="shared" si="32"/>
        <x:v>823214.52850000001</x:v>
      </x:c>
      <x:c r="O59" s="16">
        <x:f t="shared" si="32"/>
        <x:v>1047080.6248</x:v>
      </x:c>
      <x:c r="P59" s="16">
        <x:f t="shared" si="32"/>
        <x:v>732855.1</x:v>
      </x:c>
      <x:c r="Q59" s="16">
        <x:f t="shared" si="32"/>
        <x:v>732855.1</x:v>
      </x:c>
      <x:c r="R59" s="16">
        <x:f t="shared" si="32"/>
        <x:v>14536106.3475</x:v>
      </x:c>
    </x:row>
    <x:row r="60" spans="1:19">
      <x:c r="E60" s="15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</x:row>
    <x:row r="61" spans="1:19">
      <x:c r="D61" s="7" t="s">
        <x:v>196</x:v>
      </x:c>
      <x:c r="E61" s="15" t="s">
        <x:v>145</x:v>
      </x:c>
      <x:c r="F61" s="32">
        <x:f t="shared" ref="F61" si="33">SUM(F31:F41)</x:f>
        <x:v>200880</x:v>
      </x:c>
      <x:c r="G61" s="32">
        <x:f t="shared" ref="G61:Q61" si="34">SUM(G31:G41)</x:f>
        <x:v>11160</x:v>
      </x:c>
      <x:c r="H61" s="32">
        <x:f t="shared" si="34"/>
        <x:v>0</x:v>
      </x:c>
      <x:c r="I61" s="32">
        <x:f t="shared" si="34"/>
        <x:v>127224</x:v>
      </x:c>
      <x:c r="J61" s="32">
        <x:f t="shared" si="34"/>
        <x:v>0</x:v>
      </x:c>
      <x:c r="K61" s="32">
        <x:f t="shared" si="34"/>
        <x:v>23226.940000000002</x:v>
      </x:c>
      <x:c r="L61" s="32">
        <x:f t="shared" si="34"/>
        <x:v>23226.940000000002</x:v>
      </x:c>
      <x:c r="M61" s="32">
        <x:f t="shared" si="34"/>
        <x:v>23226.940000000002</x:v>
      </x:c>
      <x:c r="N61" s="32">
        <x:f t="shared" si="34"/>
        <x:v>23226.940000000002</x:v>
      </x:c>
      <x:c r="O61" s="32">
        <x:f t="shared" si="34"/>
        <x:v>23226.940000000002</x:v>
      </x:c>
      <x:c r="P61" s="32">
        <x:f t="shared" si="34"/>
        <x:v>23226.940000000002</x:v>
      </x:c>
      <x:c r="Q61" s="32">
        <x:f t="shared" si="34"/>
        <x:v>23226.940000000002</x:v>
      </x:c>
      <x:c r="R61" s="32">
        <x:f t="shared" ref="R61:R66" si="35">SUM(F61:Q61)</x:f>
        <x:v>501852.58</x:v>
      </x:c>
    </x:row>
    <x:row r="62" spans="1:19">
      <x:c r="E62" s="15" t="s">
        <x:v>146</x:v>
      </x:c>
      <x:c r="F62" s="32">
        <x:f t="shared" ref="F62" si="36">SUM(F42:F48)</x:f>
        <x:v>684992.6</x:v>
      </x:c>
      <x:c r="G62" s="32">
        <x:f t="shared" ref="G62:Q62" si="37">SUM(G42:G48)</x:f>
        <x:v>460929.6</x:v>
      </x:c>
      <x:c r="H62" s="32">
        <x:f t="shared" si="37"/>
        <x:v>211259.4</x:v>
      </x:c>
      <x:c r="I62" s="32">
        <x:f t="shared" si="37"/>
        <x:v>774617.8</x:v>
      </x:c>
      <x:c r="J62" s="32">
        <x:f t="shared" si="37"/>
        <x:v>307286.40000000002</x:v>
      </x:c>
      <x:c r="K62" s="32">
        <x:f t="shared" si="37"/>
        <x:v>228544.25999999998</x:v>
      </x:c>
      <x:c r="L62" s="32">
        <x:f t="shared" si="37"/>
        <x:v>228544.25999999998</x:v>
      </x:c>
      <x:c r="M62" s="32">
        <x:f t="shared" si="37"/>
        <x:v>228544.25999999998</x:v>
      </x:c>
      <x:c r="N62" s="32">
        <x:f t="shared" si="37"/>
        <x:v>228544.25999999998</x:v>
      </x:c>
      <x:c r="O62" s="32">
        <x:f t="shared" si="37"/>
        <x:v>228544.25999999998</x:v>
      </x:c>
      <x:c r="P62" s="32">
        <x:f t="shared" si="37"/>
        <x:v>228544.25999999998</x:v>
      </x:c>
      <x:c r="Q62" s="32">
        <x:f t="shared" si="37"/>
        <x:v>228544.25999999998</x:v>
      </x:c>
      <x:c r="R62" s="32">
        <x:f t="shared" si="35"/>
        <x:v>4038895.6199999982</x:v>
      </x:c>
    </x:row>
    <x:row r="63" spans="1:19">
      <x:c r="E63" s="15" t="s">
        <x:v>30</x:v>
      </x:c>
      <x:c r="F63" s="32">
        <x:f t="shared" ref="F63" si="38">SUM(F49:F55)</x:f>
        <x:v>0</x:v>
      </x:c>
      <x:c r="G63" s="32">
        <x:f t="shared" ref="G63:Q63" si="39">SUM(G49:G55)</x:f>
        <x:v>0</x:v>
      </x:c>
      <x:c r="H63" s="32">
        <x:f t="shared" si="39"/>
        <x:v>0</x:v>
      </x:c>
      <x:c r="I63" s="32">
        <x:f t="shared" si="39"/>
        <x:v>0</x:v>
      </x:c>
      <x:c r="J63" s="32">
        <x:f t="shared" si="39"/>
        <x:v>0</x:v>
      </x:c>
      <x:c r="K63" s="32">
        <x:f t="shared" si="39"/>
        <x:v>0</x:v>
      </x:c>
      <x:c r="L63" s="32">
        <x:f t="shared" si="39"/>
        <x:v>0</x:v>
      </x:c>
      <x:c r="M63" s="32">
        <x:f t="shared" si="39"/>
        <x:v>0</x:v>
      </x:c>
      <x:c r="N63" s="32">
        <x:f t="shared" si="39"/>
        <x:v>0</x:v>
      </x:c>
      <x:c r="O63" s="32">
        <x:f t="shared" si="39"/>
        <x:v>0</x:v>
      </x:c>
      <x:c r="P63" s="32">
        <x:f t="shared" si="39"/>
        <x:v>0</x:v>
      </x:c>
      <x:c r="Q63" s="32">
        <x:f t="shared" si="39"/>
        <x:v>0</x:v>
      </x:c>
      <x:c r="R63" s="32">
        <x:f t="shared" si="35"/>
        <x:v>0</x:v>
      </x:c>
    </x:row>
    <x:row r="64" spans="1:19">
      <x:c r="E64" s="15" t="s">
        <x:v>165</x:v>
      </x:c>
      <x:c r="F64" s="32">
        <x:f t="shared" ref="F64" si="40">SUM(F56:F57)</x:f>
        <x:v>760211.1</x:v>
      </x:c>
      <x:c r="G64" s="32">
        <x:f t="shared" ref="G64:Q64" si="41">SUM(G56:G57)</x:f>
        <x:v>1025132.1299999999</x:v>
      </x:c>
      <x:c r="H64" s="32">
        <x:f t="shared" si="41"/>
        <x:v>1045344.96</x:v>
      </x:c>
      <x:c r="I64" s="32">
        <x:f t="shared" si="41"/>
        <x:v>1014800.8661999998</x:v>
      </x:c>
      <x:c r="J64" s="32">
        <x:f t="shared" si="41"/>
        <x:v>1285258.7979000001</x:v>
      </x:c>
      <x:c r="K64" s="32">
        <x:f t="shared" si="41"/>
        <x:v>898778.38049999985</x:v>
      </x:c>
      <x:c r="L64" s="32">
        <x:f t="shared" si="41"/>
        <x:v>722287.72439999995</x:v>
      </x:c>
      <x:c r="M64" s="32">
        <x:f t="shared" si="41"/>
        <x:v>854651.6351999999</x:v>
      </x:c>
      <x:c r="N64" s="32">
        <x:f t="shared" si="41"/>
        <x:v>563787.32849999995</x:v>
      </x:c>
      <x:c r="O64" s="32">
        <x:f t="shared" si="41"/>
        <x:v>787653.42479999992</x:v>
      </x:c>
      <x:c r="P64" s="32">
        <x:f t="shared" si="41"/>
        <x:v>473427.9</x:v>
      </x:c>
      <x:c r="Q64" s="32">
        <x:f t="shared" si="41"/>
        <x:v>473427.9</x:v>
      </x:c>
      <x:c r="R64" s="32">
        <x:f t="shared" si="35"/>
        <x:v>9904762.1475000009</x:v>
      </x:c>
    </x:row>
    <x:row r="65" spans="1:19">
      <x:c r="E65" s="15" t="s">
        <x:v>203</x:v>
      </x:c>
      <x:c r="F65" s="32">
        <x:f t="shared" ref="F65" si="42">SUM(F58)</x:f>
        <x:v>5742</x:v>
      </x:c>
      <x:c r="G65" s="32">
        <x:f t="shared" ref="G65:Q65" si="43">SUM(G58)</x:f>
        <x:v>7656</x:v>
      </x:c>
      <x:c r="H65" s="32">
        <x:f t="shared" si="43"/>
        <x:v>8932</x:v>
      </x:c>
      <x:c r="I65" s="32">
        <x:f t="shared" si="43"/>
        <x:v>7656</x:v>
      </x:c>
      <x:c r="J65" s="32">
        <x:f t="shared" si="43"/>
        <x:v>5742</x:v>
      </x:c>
      <x:c r="K65" s="32">
        <x:f t="shared" si="43"/>
        <x:v>8294</x:v>
      </x:c>
      <x:c r="L65" s="32">
        <x:f t="shared" si="43"/>
        <x:v>6380</x:v>
      </x:c>
      <x:c r="M65" s="32">
        <x:f t="shared" si="43"/>
        <x:v>9570</x:v>
      </x:c>
      <x:c r="N65" s="32">
        <x:f t="shared" si="43"/>
        <x:v>7656</x:v>
      </x:c>
      <x:c r="O65" s="32">
        <x:f t="shared" si="43"/>
        <x:v>7656</x:v>
      </x:c>
      <x:c r="P65" s="32">
        <x:f t="shared" si="43"/>
        <x:v>7656</x:v>
      </x:c>
      <x:c r="Q65" s="32">
        <x:f t="shared" si="43"/>
        <x:v>7656</x:v>
      </x:c>
      <x:c r="R65" s="32">
        <x:f t="shared" si="35"/>
        <x:v>90596</x:v>
      </x:c>
    </x:row>
    <x:row r="66" spans="1:19">
      <x:c r="E66" s="15"/>
      <x:c r="F66" s="32">
        <x:f t="shared" ref="F66:Q66" si="44">SUM(F61:F65)</x:f>
        <x:v>1651825.7</x:v>
      </x:c>
      <x:c r="G66" s="32">
        <x:f t="shared" si="44"/>
        <x:v>1504877.73</x:v>
      </x:c>
      <x:c r="H66" s="32">
        <x:f t="shared" si="44"/>
        <x:v>1265536.3599999999</x:v>
      </x:c>
      <x:c r="I66" s="32">
        <x:f t="shared" si="44"/>
        <x:v>1924298.6661999999</x:v>
      </x:c>
      <x:c r="J66" s="32">
        <x:f t="shared" si="44"/>
        <x:v>1598287.1979</x:v>
      </x:c>
      <x:c r="K66" s="32">
        <x:f t="shared" si="44"/>
        <x:v>1158843.5804999999</x:v>
      </x:c>
      <x:c r="L66" s="32">
        <x:f t="shared" si="44"/>
        <x:v>980438.9243999999</x:v>
      </x:c>
      <x:c r="M66" s="32">
        <x:f t="shared" si="44"/>
        <x:v>1115992.8351999999</x:v>
      </x:c>
      <x:c r="N66" s="32">
        <x:f t="shared" si="44"/>
        <x:v>823214.5284999999</x:v>
      </x:c>
      <x:c r="O66" s="32">
        <x:f t="shared" si="44"/>
        <x:v>1047080.6247999999</x:v>
      </x:c>
      <x:c r="P66" s="32">
        <x:f t="shared" si="44"/>
        <x:v>732855.1</x:v>
      </x:c>
      <x:c r="Q66" s="32">
        <x:f t="shared" si="44"/>
        <x:v>732855.1</x:v>
      </x:c>
      <x:c r="R66" s="32">
        <x:f t="shared" si="35"/>
        <x:v>14536106.347499998</x:v>
      </x:c>
    </x:row>
    <x:row r="67" spans="1:19">
      <x:c r="E67" s="15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</x:row>
    <x:row r="68" spans="1:19">
      <x:c r="D68" s="7" t="s">
        <x:v>213</x:v>
      </x:c>
      <x:c r="E68" s="15" t="s">
        <x:v>145</x:v>
      </x:c>
      <x:c r="F68" s="32">
        <x:f>F61*환율기준!$D$4</x:f>
        <x:v>843696</x:v>
      </x:c>
      <x:c r="G68" s="32">
        <x:f>G61*환율기준!$D$4</x:f>
        <x:v>46872</x:v>
      </x:c>
      <x:c r="H68" s="32">
        <x:f>H61*환율기준!$D$4</x:f>
        <x:v>0</x:v>
      </x:c>
      <x:c r="I68" s="32">
        <x:f>I61*환율기준!$D$4</x:f>
        <x:v>534340.80000000005</x:v>
      </x:c>
      <x:c r="J68" s="32">
        <x:f>J61*환율기준!$D$4</x:f>
        <x:v>0</x:v>
      </x:c>
      <x:c r="K68" s="32">
        <x:f>K61*환율기준!$D$4</x:f>
        <x:v>97553.148000000016</x:v>
      </x:c>
      <x:c r="L68" s="32">
        <x:f>L61*환율기준!$D$4</x:f>
        <x:v>97553.148000000016</x:v>
      </x:c>
      <x:c r="M68" s="32">
        <x:f>M61*환율기준!$D$4</x:f>
        <x:v>97553.148000000016</x:v>
      </x:c>
      <x:c r="N68" s="32">
        <x:f>N61*환율기준!$D$4</x:f>
        <x:v>97553.148000000016</x:v>
      </x:c>
      <x:c r="O68" s="32">
        <x:f>O61*환율기준!$D$4</x:f>
        <x:v>97553.148000000016</x:v>
      </x:c>
      <x:c r="P68" s="32">
        <x:f>P61*환율기준!$D$4</x:f>
        <x:v>97553.148000000016</x:v>
      </x:c>
      <x:c r="Q68" s="32">
        <x:f>Q61*환율기준!$D$4</x:f>
        <x:v>97553.148000000016</x:v>
      </x:c>
      <x:c r="R68" s="32">
        <x:f t="shared" ref="R68:R73" si="45">SUM(F68:Q68)</x:f>
        <x:v>2107780.8360000001</x:v>
      </x:c>
      <x:c r="S68" s="108"/>
    </x:row>
    <x:row r="69" spans="1:19">
      <x:c r="E69" s="15" t="s">
        <x:v>146</x:v>
      </x:c>
      <x:c r="F69" s="32">
        <x:f>F62*환율기준!$D$4</x:f>
        <x:v>2876968.92</x:v>
      </x:c>
      <x:c r="G69" s="32">
        <x:f>G62*환율기준!$D$4</x:f>
        <x:v>1935904.32</x:v>
      </x:c>
      <x:c r="H69" s="32">
        <x:f>H62*환율기준!$D$4</x:f>
        <x:v>887289.48</x:v>
      </x:c>
      <x:c r="I69" s="32">
        <x:f>I62*환율기준!$D$4</x:f>
        <x:v>3253394.7600000002</x:v>
      </x:c>
      <x:c r="J69" s="32">
        <x:f>J62*환율기준!$D$4</x:f>
        <x:v>1290602.8800000001</x:v>
      </x:c>
      <x:c r="K69" s="32">
        <x:f>K62*환율기준!$D$4</x:f>
        <x:v>959885.89199999999</x:v>
      </x:c>
      <x:c r="L69" s="32">
        <x:f>L62*환율기준!$D$4</x:f>
        <x:v>959885.89199999999</x:v>
      </x:c>
      <x:c r="M69" s="32">
        <x:f>M62*환율기준!$D$4</x:f>
        <x:v>959885.89199999999</x:v>
      </x:c>
      <x:c r="N69" s="32">
        <x:f>N62*환율기준!$D$4</x:f>
        <x:v>959885.89199999999</x:v>
      </x:c>
      <x:c r="O69" s="32">
        <x:f>O62*환율기준!$D$4</x:f>
        <x:v>959885.89199999999</x:v>
      </x:c>
      <x:c r="P69" s="32">
        <x:f>P62*환율기준!$D$4</x:f>
        <x:v>959885.89199999999</x:v>
      </x:c>
      <x:c r="Q69" s="32">
        <x:f>Q62*환율기준!$D$4</x:f>
        <x:v>959885.89199999999</x:v>
      </x:c>
      <x:c r="R69" s="32">
        <x:f t="shared" si="45"/>
        <x:v>16963361.604000006</x:v>
      </x:c>
      <x:c r="S69" s="108"/>
    </x:row>
    <x:row r="70" spans="1:19">
      <x:c r="E70" s="15" t="s">
        <x:v>30</x:v>
      </x:c>
      <x:c r="F70" s="32">
        <x:f>F63*환율기준!$D$4</x:f>
        <x:v>0</x:v>
      </x:c>
      <x:c r="G70" s="32">
        <x:f>G63*환율기준!$D$4</x:f>
        <x:v>0</x:v>
      </x:c>
      <x:c r="H70" s="32">
        <x:f>H63*환율기준!$D$4</x:f>
        <x:v>0</x:v>
      </x:c>
      <x:c r="I70" s="32">
        <x:f>I63*환율기준!$D$4</x:f>
        <x:v>0</x:v>
      </x:c>
      <x:c r="J70" s="32">
        <x:f>J63*환율기준!$D$4</x:f>
        <x:v>0</x:v>
      </x:c>
      <x:c r="K70" s="32">
        <x:f>K63*환율기준!$D$4</x:f>
        <x:v>0</x:v>
      </x:c>
      <x:c r="L70" s="32">
        <x:f>L63*환율기준!$D$4</x:f>
        <x:v>0</x:v>
      </x:c>
      <x:c r="M70" s="32">
        <x:f>M63*환율기준!$D$4</x:f>
        <x:v>0</x:v>
      </x:c>
      <x:c r="N70" s="32">
        <x:f>N63*환율기준!$D$4</x:f>
        <x:v>0</x:v>
      </x:c>
      <x:c r="O70" s="32">
        <x:f>O63*환율기준!$D$4</x:f>
        <x:v>0</x:v>
      </x:c>
      <x:c r="P70" s="32">
        <x:f>P63*환율기준!$D$4</x:f>
        <x:v>0</x:v>
      </x:c>
      <x:c r="Q70" s="32">
        <x:f>Q63*환율기준!$D$4</x:f>
        <x:v>0</x:v>
      </x:c>
      <x:c r="R70" s="32">
        <x:f t="shared" si="45"/>
        <x:v>0</x:v>
      </x:c>
      <x:c r="S70" s="108"/>
    </x:row>
    <x:row r="71" spans="1:19">
      <x:c r="E71" s="15" t="s">
        <x:v>165</x:v>
      </x:c>
      <x:c r="F71" s="32">
        <x:f>F64*환율기준!$D$4</x:f>
        <x:v>3192886.62</x:v>
      </x:c>
      <x:c r="G71" s="32">
        <x:f>G64*환율기준!$D$4</x:f>
        <x:v>4305554.9459999995</x:v>
      </x:c>
      <x:c r="H71" s="32">
        <x:f>H64*환율기준!$D$4</x:f>
        <x:v>4390448.8320000004</x:v>
      </x:c>
      <x:c r="I71" s="32">
        <x:f>I64*환율기준!$D$4</x:f>
        <x:v>4262163.6380399996</x:v>
      </x:c>
      <x:c r="J71" s="32">
        <x:f>J64*환율기준!$D$4</x:f>
        <x:v>5398086.9511800008</x:v>
      </x:c>
      <x:c r="K71" s="32">
        <x:f>K64*환율기준!$D$4</x:f>
        <x:v>3774869.1980999997</x:v>
      </x:c>
      <x:c r="L71" s="32">
        <x:f>L64*환율기준!$D$4</x:f>
        <x:v>3033608.4424799997</x:v>
      </x:c>
      <x:c r="M71" s="32">
        <x:f>M64*환율기준!$D$4</x:f>
        <x:v>3589536.86784</x:v>
      </x:c>
      <x:c r="N71" s="32">
        <x:f>N64*환율기준!$D$4</x:f>
        <x:v>2367906.7796999998</x:v>
      </x:c>
      <x:c r="O71" s="32">
        <x:f>O64*환율기준!$D$4</x:f>
        <x:v>3308144.3841599999</x:v>
      </x:c>
      <x:c r="P71" s="32">
        <x:f>P64*환율기준!$D$4</x:f>
        <x:v>1988397.1800000002</x:v>
      </x:c>
      <x:c r="Q71" s="32">
        <x:f>Q64*환율기준!$D$4</x:f>
        <x:v>1988397.1800000002</x:v>
      </x:c>
      <x:c r="R71" s="32">
        <x:f t="shared" si="45"/>
        <x:v>41600001.019500002</x:v>
      </x:c>
      <x:c r="S71" s="108"/>
    </x:row>
    <x:row r="72" spans="1:19">
      <x:c r="E72" s="15" t="s">
        <x:v>203</x:v>
      </x:c>
      <x:c r="F72" s="32">
        <x:f>F65*환율기준!$D$3</x:f>
        <x:v>20671.2</x:v>
      </x:c>
      <x:c r="G72" s="32">
        <x:f>G65*환율기준!$D$3</x:f>
        <x:v>27561.600000000002</x:v>
      </x:c>
      <x:c r="H72" s="32">
        <x:f>H65*환율기준!$D$3</x:f>
        <x:v>32155.200000000001</x:v>
      </x:c>
      <x:c r="I72" s="32">
        <x:f>I65*환율기준!$D$3</x:f>
        <x:v>27561.600000000002</x:v>
      </x:c>
      <x:c r="J72" s="32">
        <x:f>J65*환율기준!$D$3</x:f>
        <x:v>20671.2</x:v>
      </x:c>
      <x:c r="K72" s="32">
        <x:f>K65*환율기준!$D$3</x:f>
        <x:v>29858.400000000001</x:v>
      </x:c>
      <x:c r="L72" s="32">
        <x:f>L65*환율기준!$D$3</x:f>
        <x:v>22968</x:v>
      </x:c>
      <x:c r="M72" s="32">
        <x:f>M65*환율기준!$D$3</x:f>
        <x:v>34452</x:v>
      </x:c>
      <x:c r="N72" s="32">
        <x:f>N65*환율기준!$D$3</x:f>
        <x:v>27561.600000000002</x:v>
      </x:c>
      <x:c r="O72" s="32">
        <x:f>O65*환율기준!$D$3</x:f>
        <x:v>27561.600000000002</x:v>
      </x:c>
      <x:c r="P72" s="32">
        <x:f>P65*환율기준!$D$3</x:f>
        <x:v>27561.600000000002</x:v>
      </x:c>
      <x:c r="Q72" s="32">
        <x:f>Q65*환율기준!$D$3</x:f>
        <x:v>27561.600000000002</x:v>
      </x:c>
      <x:c r="R72" s="32">
        <x:f t="shared" si="45"/>
        <x:v>326145.59999999998</x:v>
      </x:c>
      <x:c r="S72" s="108"/>
    </x:row>
    <x:row r="73" spans="1:19">
      <x:c r="E73" s="15"/>
      <x:c r="F73" s="32">
        <x:f t="shared" ref="F73:Q73" si="46">SUM(F68:F72)</x:f>
        <x:v>6934222.7400000002</x:v>
      </x:c>
      <x:c r="G73" s="32">
        <x:f t="shared" si="46"/>
        <x:v>6315892.8659999995</x:v>
      </x:c>
      <x:c r="H73" s="32">
        <x:f t="shared" si="46"/>
        <x:v>5309893.512000001</x:v>
      </x:c>
      <x:c r="I73" s="32">
        <x:f t="shared" si="46"/>
        <x:v>8077460.7980399998</x:v>
      </x:c>
      <x:c r="J73" s="32">
        <x:f t="shared" si="46"/>
        <x:v>6709361.0311800009</x:v>
      </x:c>
      <x:c r="K73" s="32">
        <x:f t="shared" si="46"/>
        <x:v>4862166.6381000001</x:v>
      </x:c>
      <x:c r="L73" s="32">
        <x:f t="shared" si="46"/>
        <x:v>4114015.4824799998</x:v>
      </x:c>
      <x:c r="M73" s="32">
        <x:f t="shared" si="46"/>
        <x:v>4681427.9078400005</x:v>
      </x:c>
      <x:c r="N73" s="32">
        <x:f t="shared" si="46"/>
        <x:v>3452907.4197</x:v>
      </x:c>
      <x:c r="O73" s="32">
        <x:f t="shared" si="46"/>
        <x:v>4393145.0241599996</x:v>
      </x:c>
      <x:c r="P73" s="32">
        <x:f t="shared" si="46"/>
        <x:v>3073397.8200000003</x:v>
      </x:c>
      <x:c r="Q73" s="32">
        <x:f t="shared" si="46"/>
        <x:v>3073397.8200000003</x:v>
      </x:c>
      <x:c r="R73" s="32">
        <x:f t="shared" si="45"/>
        <x:v>60997289.059499994</x:v>
      </x:c>
      <x:c r="S73" s="108"/>
    </x:row>
    <x:row r="74" spans="1:19">
      <x:c r="E74" s="15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  <x:c r="R74" s="32"/>
      <x:c r="S74" s="108"/>
    </x:row>
    <x:row r="75" spans="1:19">
      <x:c r="A75" s="158"/>
      <x:c r="B75" s="158"/>
      <x:c r="C75" s="158"/>
      <x:c r="D75" s="158" t="s">
        <x:v>195</x:v>
      </x:c>
      <x:c r="E75" s="159" t="s">
        <x:v>145</x:v>
      </x:c>
      <x:c r="F75" s="160">
        <x:f>F68*환율기준!$D$5</x:f>
        <x:v>324822960</x:v>
      </x:c>
      <x:c r="G75" s="160">
        <x:f>G61*환율기준!$D$4*환율기준!$D$5</x:f>
        <x:v>18045720</x:v>
      </x:c>
      <x:c r="H75" s="160">
        <x:f>H61*환율기준!$D$4*환율기준!$D$5</x:f>
        <x:v>0</x:v>
      </x:c>
      <x:c r="I75" s="160">
        <x:f>I61*환율기준!$D$4*환율기준!$D$5</x:f>
        <x:v>205721208.00000003</x:v>
      </x:c>
      <x:c r="J75" s="160">
        <x:f>J61*환율기준!$D$4*환율기준!$D$5</x:f>
        <x:v>0</x:v>
      </x:c>
      <x:c r="K75" s="160">
        <x:f>K61*환율기준!$D$4*환율기준!$D$5</x:f>
        <x:v>37557961.980000004</x:v>
      </x:c>
      <x:c r="L75" s="160">
        <x:f>L61*환율기준!$D$4*환율기준!$D$5</x:f>
        <x:v>37557961.980000004</x:v>
      </x:c>
      <x:c r="M75" s="160">
        <x:f>M61*환율기준!$D$4*환율기준!$D$5</x:f>
        <x:v>37557961.980000004</x:v>
      </x:c>
      <x:c r="N75" s="160">
        <x:f>N61*환율기준!$D$4*환율기준!$D$5</x:f>
        <x:v>37557961.980000004</x:v>
      </x:c>
      <x:c r="O75" s="160">
        <x:f>O61*환율기준!$D$4*환율기준!$D$5</x:f>
        <x:v>37557961.980000004</x:v>
      </x:c>
      <x:c r="P75" s="160">
        <x:f>P61*환율기준!$D$4*환율기준!$D$5</x:f>
        <x:v>37557961.980000004</x:v>
      </x:c>
      <x:c r="Q75" s="160">
        <x:f>Q61*환율기준!$D$4*환율기준!$D$5</x:f>
        <x:v>37557961.980000004</x:v>
      </x:c>
      <x:c r="R75" s="160">
        <x:f t="shared" ref="R75:R80" si="47">SUM(F75:Q75)</x:f>
        <x:v>811495621.86000013</x:v>
      </x:c>
      <x:c r="S75" s="108"/>
    </x:row>
    <x:row r="76" spans="1:19">
      <x:c r="A76" s="158"/>
      <x:c r="B76" s="158"/>
      <x:c r="C76" s="158"/>
      <x:c r="D76" s="158"/>
      <x:c r="E76" s="159" t="s">
        <x:v>146</x:v>
      </x:c>
      <x:c r="F76" s="160">
        <x:f>F69*환율기준!$D$5</x:f>
        <x:v>1107633034.2</x:v>
      </x:c>
      <x:c r="G76" s="160">
        <x:f>G62*환율기준!$D$4*환율기준!$D$5</x:f>
        <x:v>745323163.20000005</x:v>
      </x:c>
      <x:c r="H76" s="160">
        <x:f>H62*환율기준!$D$4*환율기준!$D$5</x:f>
        <x:v>341606449.80000001</x:v>
      </x:c>
      <x:c r="I76" s="160">
        <x:f>I62*환율기준!$D$4*환율기준!$D$5</x:f>
        <x:v>1252556982.6000001</x:v>
      </x:c>
      <x:c r="J76" s="160">
        <x:f>J62*환율기준!$D$4*환율기준!$D$5</x:f>
        <x:v>496882108.80000007</x:v>
      </x:c>
      <x:c r="K76" s="160">
        <x:f>K62*환율기준!$D$4*환율기준!$D$5</x:f>
        <x:v>369556068.42000002</x:v>
      </x:c>
      <x:c r="L76" s="160">
        <x:f>L62*환율기준!$D$4*환율기준!$D$5</x:f>
        <x:v>369556068.42000002</x:v>
      </x:c>
      <x:c r="M76" s="160">
        <x:f>M62*환율기준!$D$4*환율기준!$D$5</x:f>
        <x:v>369556068.42000002</x:v>
      </x:c>
      <x:c r="N76" s="160">
        <x:f>N62*환율기준!$D$4*환율기준!$D$5</x:f>
        <x:v>369556068.42000002</x:v>
      </x:c>
      <x:c r="O76" s="160">
        <x:f>O62*환율기준!$D$4*환율기준!$D$5</x:f>
        <x:v>369556068.42000002</x:v>
      </x:c>
      <x:c r="P76" s="160">
        <x:f>P62*환율기준!$D$4*환율기준!$D$5</x:f>
        <x:v>369556068.42000002</x:v>
      </x:c>
      <x:c r="Q76" s="160">
        <x:f>Q62*환율기준!$D$4*환율기준!$D$5</x:f>
        <x:v>369556068.42000002</x:v>
      </x:c>
      <x:c r="R76" s="160">
        <x:f t="shared" si="47"/>
        <x:v>6530894217.5400009</x:v>
      </x:c>
      <x:c r="S76" s="108"/>
    </x:row>
    <x:row r="77" spans="1:19">
      <x:c r="A77" s="158"/>
      <x:c r="B77" s="158"/>
      <x:c r="C77" s="158"/>
      <x:c r="D77" s="158"/>
      <x:c r="E77" s="159" t="s">
        <x:v>30</x:v>
      </x:c>
      <x:c r="F77" s="160">
        <x:f>F70*환율기준!$D$5</x:f>
        <x:v>0</x:v>
      </x:c>
      <x:c r="G77" s="160">
        <x:f>G63*환율기준!$D$4*환율기준!$D$5</x:f>
        <x:v>0</x:v>
      </x:c>
      <x:c r="H77" s="160">
        <x:f>H63*환율기준!$D$4*환율기준!$D$5</x:f>
        <x:v>0</x:v>
      </x:c>
      <x:c r="I77" s="160">
        <x:f>I63*환율기준!$D$4*환율기준!$D$5</x:f>
        <x:v>0</x:v>
      </x:c>
      <x:c r="J77" s="160">
        <x:f>J63*환율기준!$D$4*환율기준!$D$5</x:f>
        <x:v>0</x:v>
      </x:c>
      <x:c r="K77" s="160">
        <x:f>K63*환율기준!$D$4*환율기준!$D$5</x:f>
        <x:v>0</x:v>
      </x:c>
      <x:c r="L77" s="160">
        <x:f>L63*환율기준!$D$4*환율기준!$D$5</x:f>
        <x:v>0</x:v>
      </x:c>
      <x:c r="M77" s="160">
        <x:f>M63*환율기준!$D$4*환율기준!$D$5</x:f>
        <x:v>0</x:v>
      </x:c>
      <x:c r="N77" s="160">
        <x:f>N63*환율기준!$D$4*환율기준!$D$5</x:f>
        <x:v>0</x:v>
      </x:c>
      <x:c r="O77" s="160">
        <x:f>O63*환율기준!$D$4*환율기준!$D$5</x:f>
        <x:v>0</x:v>
      </x:c>
      <x:c r="P77" s="160">
        <x:f>P63*환율기준!$D$4*환율기준!$D$5</x:f>
        <x:v>0</x:v>
      </x:c>
      <x:c r="Q77" s="160">
        <x:f>Q63*환율기준!$D$4*환율기준!$D$5</x:f>
        <x:v>0</x:v>
      </x:c>
      <x:c r="R77" s="160">
        <x:f t="shared" si="47"/>
        <x:v>0</x:v>
      </x:c>
      <x:c r="S77" s="108"/>
    </x:row>
    <x:row r="78" spans="1:19">
      <x:c r="A78" s="158"/>
      <x:c r="B78" s="158"/>
      <x:c r="C78" s="158"/>
      <x:c r="D78" s="158"/>
      <x:c r="E78" s="159" t="s">
        <x:v>165</x:v>
      </x:c>
      <x:c r="F78" s="160">
        <x:f>F71*환율기준!$D$5</x:f>
        <x:v>1229261348.7</x:v>
      </x:c>
      <x:c r="G78" s="160">
        <x:f>G64*환율기준!$D$4*환율기준!$D$5</x:f>
        <x:v>1657638654.2099998</x:v>
      </x:c>
      <x:c r="H78" s="160">
        <x:f>H64*환율기준!$D$4*환율기준!$D$5</x:f>
        <x:v>1690322800.3200002</x:v>
      </x:c>
      <x:c r="I78" s="160">
        <x:f>I64*환율기준!$D$4*환율기준!$D$5</x:f>
        <x:v>1640933000.6453998</x:v>
      </x:c>
      <x:c r="J78" s="160">
        <x:f>J64*환율기준!$D$4*환율기준!$D$5</x:f>
        <x:v>2078263476.2043004</x:v>
      </x:c>
      <x:c r="K78" s="160">
        <x:f>K64*환율기준!$D$4*환율기준!$D$5</x:f>
        <x:v>1453324641.2684999</x:v>
      </x:c>
      <x:c r="L78" s="160">
        <x:f>L64*환율기준!$D$4*환율기준!$D$5</x:f>
        <x:v>1167939250.3548</x:v>
      </x:c>
      <x:c r="M78" s="160">
        <x:f>M64*환율기준!$D$4*환율기준!$D$5</x:f>
        <x:v>1381971694.1184001</x:v>
      </x:c>
      <x:c r="N78" s="160">
        <x:f>N64*환율기준!$D$4*환율기준!$D$5</x:f>
        <x:v>911644110.18449998</x:v>
      </x:c>
      <x:c r="O78" s="160">
        <x:f>O64*환율기준!$D$4*환율기준!$D$5</x:f>
        <x:v>1273635587.9015999</x:v>
      </x:c>
      <x:c r="P78" s="160">
        <x:f>P64*환율기준!$D$4*환율기준!$D$5</x:f>
        <x:v>765532914.30000007</x:v>
      </x:c>
      <x:c r="Q78" s="160">
        <x:f>Q64*환율기준!$D$4*환율기준!$D$5</x:f>
        <x:v>765532914.30000007</x:v>
      </x:c>
      <x:c r="R78" s="160">
        <x:f t="shared" si="47"/>
        <x:v>16016000392.507498</x:v>
      </x:c>
      <x:c r="S78" s="108"/>
    </x:row>
    <x:row r="79" spans="1:19">
      <x:c r="A79" s="158"/>
      <x:c r="B79" s="158"/>
      <x:c r="C79" s="158"/>
      <x:c r="D79" s="158"/>
      <x:c r="E79" s="159" t="s">
        <x:v>203</x:v>
      </x:c>
      <x:c r="F79" s="160">
        <x:f>F72*환율기준!$D$5</x:f>
        <x:v>7958412</x:v>
      </x:c>
      <x:c r="G79" s="160">
        <x:f>G65*환율기준!$D$3*환율기준!$D$5</x:f>
        <x:v>10611216</x:v>
      </x:c>
      <x:c r="H79" s="160">
        <x:f>H65*환율기준!$D$3*환율기준!$D$5</x:f>
        <x:v>12379752</x:v>
      </x:c>
      <x:c r="I79" s="160">
        <x:f>I65*환율기준!$D$3*환율기준!$D$5</x:f>
        <x:v>10611216</x:v>
      </x:c>
      <x:c r="J79" s="160">
        <x:f>J65*환율기준!$D$3*환율기준!$D$5</x:f>
        <x:v>7958412</x:v>
      </x:c>
      <x:c r="K79" s="160">
        <x:f>K65*환율기준!$D$3*환율기준!$D$5</x:f>
        <x:v>11495484</x:v>
      </x:c>
      <x:c r="L79" s="160">
        <x:f>L65*환율기준!$D$3*환율기준!$D$5</x:f>
        <x:v>8842680</x:v>
      </x:c>
      <x:c r="M79" s="160">
        <x:f>M65*환율기준!$D$3*환율기준!$D$5</x:f>
        <x:v>13264020</x:v>
      </x:c>
      <x:c r="N79" s="160">
        <x:f>N65*환율기준!$D$3*환율기준!$D$5</x:f>
        <x:v>10611216</x:v>
      </x:c>
      <x:c r="O79" s="160">
        <x:f>O65*환율기준!$D$3*환율기준!$D$5</x:f>
        <x:v>10611216</x:v>
      </x:c>
      <x:c r="P79" s="160">
        <x:f>P65*환율기준!$D$3*환율기준!$D$5</x:f>
        <x:v>10611216</x:v>
      </x:c>
      <x:c r="Q79" s="160">
        <x:f>Q65*환율기준!$D$3*환율기준!$D$5</x:f>
        <x:v>10611216</x:v>
      </x:c>
      <x:c r="R79" s="160">
        <x:f t="shared" si="47"/>
        <x:v>125566056</x:v>
      </x:c>
      <x:c r="S79" s="108"/>
    </x:row>
    <x:row r="80" spans="1:19">
      <x:c r="A80" s="158"/>
      <x:c r="B80" s="158"/>
      <x:c r="C80" s="158"/>
      <x:c r="D80" s="158"/>
      <x:c r="E80" s="159"/>
      <x:c r="F80" s="160">
        <x:f t="shared" ref="F80:Q80" si="48">SUM(F75:F79)</x:f>
        <x:v>2669675754.9000001</x:v>
      </x:c>
      <x:c r="G80" s="160">
        <x:f t="shared" si="48"/>
        <x:v>2431618753.4099998</x:v>
      </x:c>
      <x:c r="H80" s="160">
        <x:f t="shared" si="48"/>
        <x:v>2044309002.1200001</x:v>
      </x:c>
      <x:c r="I80" s="160">
        <x:f t="shared" si="48"/>
        <x:v>3109822407.2454</x:v>
      </x:c>
      <x:c r="J80" s="160">
        <x:f t="shared" si="48"/>
        <x:v>2583103997.0043006</x:v>
      </x:c>
      <x:c r="K80" s="160">
        <x:f t="shared" si="48"/>
        <x:v>1871934155.6684999</x:v>
      </x:c>
      <x:c r="L80" s="160">
        <x:f t="shared" si="48"/>
        <x:v>1583895960.7548001</x:v>
      </x:c>
      <x:c r="M80" s="160">
        <x:f t="shared" si="48"/>
        <x:v>1802349744.5184002</x:v>
      </x:c>
      <x:c r="N80" s="160">
        <x:f t="shared" si="48"/>
        <x:v>1329369356.5845001</x:v>
      </x:c>
      <x:c r="O80" s="160">
        <x:f t="shared" si="48"/>
        <x:v>1691360834.3016</x:v>
      </x:c>
      <x:c r="P80" s="160">
        <x:f t="shared" si="48"/>
        <x:v>1183258160.7</x:v>
      </x:c>
      <x:c r="Q80" s="160">
        <x:f t="shared" si="48"/>
        <x:v>1183258160.7</x:v>
      </x:c>
      <x:c r="R80" s="160">
        <x:f t="shared" si="47"/>
        <x:v>23483956287.907505</x:v>
      </x:c>
      <x:c r="S80" s="108"/>
    </x:row>
    <x:row r="81" spans="1:19">
      <x:c r="A81" s="158"/>
      <x:c r="B81" s="158"/>
      <x:c r="C81" s="158"/>
      <x:c r="D81" s="158"/>
      <x:c r="E81" s="161" t="s">
        <x:v>171</x:v>
      </x:c>
      <x:c r="F81" s="162">
        <x:f>F75+F76</x:f>
        <x:v>1432455994.2</x:v>
      </x:c>
      <x:c r="G81" s="162">
        <x:f t="shared" ref="G81:R81" si="49">G75+G76</x:f>
        <x:v>763368883.20000005</x:v>
      </x:c>
      <x:c r="H81" s="162">
        <x:f t="shared" si="49"/>
        <x:v>341606449.80000001</x:v>
      </x:c>
      <x:c r="I81" s="162">
        <x:f t="shared" si="49"/>
        <x:v>1458278190.6000001</x:v>
      </x:c>
      <x:c r="J81" s="162">
        <x:f t="shared" si="49"/>
        <x:v>496882108.80000007</x:v>
      </x:c>
      <x:c r="K81" s="162">
        <x:f t="shared" si="49"/>
        <x:v>407114030.40000004</x:v>
      </x:c>
      <x:c r="L81" s="162">
        <x:f t="shared" si="49"/>
        <x:v>407114030.40000004</x:v>
      </x:c>
      <x:c r="M81" s="162">
        <x:f t="shared" si="49"/>
        <x:v>407114030.40000004</x:v>
      </x:c>
      <x:c r="N81" s="162">
        <x:f t="shared" si="49"/>
        <x:v>407114030.40000004</x:v>
      </x:c>
      <x:c r="O81" s="162">
        <x:f t="shared" si="49"/>
        <x:v>407114030.40000004</x:v>
      </x:c>
      <x:c r="P81" s="162">
        <x:f t="shared" si="49"/>
        <x:v>407114030.40000004</x:v>
      </x:c>
      <x:c r="Q81" s="162">
        <x:f t="shared" si="49"/>
        <x:v>407114030.40000004</x:v>
      </x:c>
      <x:c r="R81" s="162">
        <x:f t="shared" si="49"/>
        <x:v>7342389839.4000015</x:v>
      </x:c>
    </x:row>
    <x:row r="82" spans="1:19">
      <x:c r="A82" s="163" t="s">
        <x:v>0</x:v>
      </x:c>
      <x:c r="B82" s="163" t="s">
        <x:v>254</x:v>
      </x:c>
      <x:c r="C82" s="163" t="s">
        <x:v>49</x:v>
      </x:c>
      <x:c r="D82" s="163"/>
      <x:c r="E82" s="164">
        <x:f>VLOOKUP(B:B,'판매가,매입가'!B:I,7,0)</x:f>
        <x:v>2.5499999999999998</x:v>
      </x:c>
      <x:c r="F82" s="165">
        <x:f>F2*$E$82</x:f>
        <x:v>2295</x:v>
      </x:c>
      <x:c r="G82" s="165">
        <x:f t="shared" ref="G82:J82" si="50">G2*$E$82</x:f>
        <x:v>127.49999999999999</x:v>
      </x:c>
      <x:c r="H82" s="165">
        <x:f t="shared" si="50"/>
        <x:v>0</x:v>
      </x:c>
      <x:c r="I82" s="165">
        <x:f t="shared" si="50"/>
        <x:v>1453.5</x:v>
      </x:c>
      <x:c r="J82" s="165">
        <x:f t="shared" si="50"/>
        <x:v>0</x:v>
      </x:c>
      <x:c r="K82" s="165">
        <x:f t="shared" ref="K82:Q82" si="51">K9*$E$82</x:f>
        <x:v>0</x:v>
      </x:c>
      <x:c r="L82" s="165">
        <x:f t="shared" si="51"/>
        <x:v>0</x:v>
      </x:c>
      <x:c r="M82" s="165">
        <x:f t="shared" si="51"/>
        <x:v>0</x:v>
      </x:c>
      <x:c r="N82" s="165">
        <x:f t="shared" si="51"/>
        <x:v>0</x:v>
      </x:c>
      <x:c r="O82" s="165">
        <x:f t="shared" si="51"/>
        <x:v>0</x:v>
      </x:c>
      <x:c r="P82" s="165">
        <x:f t="shared" si="51"/>
        <x:v>0</x:v>
      </x:c>
      <x:c r="Q82" s="165">
        <x:f t="shared" si="51"/>
        <x:v>0</x:v>
      </x:c>
      <x:c r="R82" s="166">
        <x:f t="shared" ref="R82:R109" si="52">SUM(F82:Q82)</x:f>
        <x:v>3876</x:v>
      </x:c>
      <x:c r="S82" s="6"/>
    </x:row>
    <x:row r="83" spans="1:19">
      <x:c r="A83" s="163" t="s">
        <x:v>0</x:v>
      </x:c>
      <x:c r="B83" s="163" t="s">
        <x:v>255</x:v>
      </x:c>
      <x:c r="C83" s="163" t="s">
        <x:v>49</x:v>
      </x:c>
      <x:c r="D83" s="163"/>
      <x:c r="E83" s="164">
        <x:f>VLOOKUP(B:B,'판매가,매입가'!B:I,7,0)</x:f>
        <x:v>8.25</x:v>
      </x:c>
      <x:c r="F83" s="165">
        <x:f>F2*$E$83</x:f>
        <x:v>7425</x:v>
      </x:c>
      <x:c r="G83" s="165">
        <x:f t="shared" ref="G83:J83" si="53">G2*$E$83</x:f>
        <x:v>412.5</x:v>
      </x:c>
      <x:c r="H83" s="165">
        <x:f t="shared" si="53"/>
        <x:v>0</x:v>
      </x:c>
      <x:c r="I83" s="165">
        <x:f t="shared" si="53"/>
        <x:v>4702.5</x:v>
      </x:c>
      <x:c r="J83" s="165">
        <x:f t="shared" si="53"/>
        <x:v>0</x:v>
      </x:c>
      <x:c r="K83" s="165">
        <x:f t="shared" ref="K83:Q83" si="54">K10*$E$83</x:f>
        <x:v>0</x:v>
      </x:c>
      <x:c r="L83" s="165">
        <x:f t="shared" si="54"/>
        <x:v>0</x:v>
      </x:c>
      <x:c r="M83" s="165">
        <x:f t="shared" si="54"/>
        <x:v>0</x:v>
      </x:c>
      <x:c r="N83" s="165">
        <x:f t="shared" si="54"/>
        <x:v>0</x:v>
      </x:c>
      <x:c r="O83" s="165">
        <x:f t="shared" si="54"/>
        <x:v>0</x:v>
      </x:c>
      <x:c r="P83" s="165">
        <x:f t="shared" si="54"/>
        <x:v>0</x:v>
      </x:c>
      <x:c r="Q83" s="165">
        <x:f t="shared" si="54"/>
        <x:v>0</x:v>
      </x:c>
      <x:c r="R83" s="166">
        <x:f t="shared" si="52"/>
        <x:v>12540</x:v>
      </x:c>
      <x:c r="S83" s="6"/>
    </x:row>
    <x:row r="84" spans="1:19">
      <x:c r="A84" s="163" t="s">
        <x:v>0</x:v>
      </x:c>
      <x:c r="B84" s="163" t="s">
        <x:v>253</x:v>
      </x:c>
      <x:c r="C84" s="163" t="s">
        <x:v>49</x:v>
      </x:c>
      <x:c r="D84" s="163"/>
      <x:c r="E84" s="164">
        <x:f>VLOOKUP(B:B,'판매가,매입가'!B:I,7,0)</x:f>
        <x:v>98.23</x:v>
      </x:c>
      <x:c r="F84" s="165">
        <x:f>F2*$E$84</x:f>
        <x:v>88407</x:v>
      </x:c>
      <x:c r="G84" s="165">
        <x:f t="shared" ref="G84:J84" si="55">G2*$E$84</x:f>
        <x:v>4911.5</x:v>
      </x:c>
      <x:c r="H84" s="165">
        <x:f t="shared" si="55"/>
        <x:v>0</x:v>
      </x:c>
      <x:c r="I84" s="165">
        <x:f t="shared" si="55"/>
        <x:v>55991.100000000006</x:v>
      </x:c>
      <x:c r="J84" s="165">
        <x:f t="shared" si="55"/>
        <x:v>0</x:v>
      </x:c>
      <x:c r="K84" s="165">
        <x:f t="shared" ref="K84:Q84" si="56">K11*$E$84</x:f>
        <x:v>0</x:v>
      </x:c>
      <x:c r="L84" s="165">
        <x:f t="shared" si="56"/>
        <x:v>0</x:v>
      </x:c>
      <x:c r="M84" s="165">
        <x:f t="shared" si="56"/>
        <x:v>0</x:v>
      </x:c>
      <x:c r="N84" s="165">
        <x:f t="shared" si="56"/>
        <x:v>0</x:v>
      </x:c>
      <x:c r="O84" s="165">
        <x:f t="shared" si="56"/>
        <x:v>0</x:v>
      </x:c>
      <x:c r="P84" s="165">
        <x:f t="shared" si="56"/>
        <x:v>0</x:v>
      </x:c>
      <x:c r="Q84" s="165">
        <x:f t="shared" si="56"/>
        <x:v>0</x:v>
      </x:c>
      <x:c r="R84" s="166">
        <x:f t="shared" si="52"/>
        <x:v>149309.6</x:v>
      </x:c>
      <x:c r="S84" s="6"/>
    </x:row>
    <x:row r="85" spans="1:19">
      <x:c r="A85" s="163" t="s">
        <x:v>0</x:v>
      </x:c>
      <x:c r="B85" s="163" t="s">
        <x:v>252</x:v>
      </x:c>
      <x:c r="C85" s="163" t="s">
        <x:v>49</x:v>
      </x:c>
      <x:c r="D85" s="163"/>
      <x:c r="E85" s="164">
        <x:f>VLOOKUP(B:B,'판매가,매입가'!B:I,7,0)</x:f>
        <x:v>19.510000000000002</x:v>
      </x:c>
      <x:c r="F85" s="165">
        <x:f>F2*$E$85</x:f>
        <x:v>17559</x:v>
      </x:c>
      <x:c r="G85" s="165">
        <x:f t="shared" ref="G85:J85" si="57">G2*$E$85</x:f>
        <x:v>975.50000000000011</x:v>
      </x:c>
      <x:c r="H85" s="165">
        <x:f t="shared" si="57"/>
        <x:v>0</x:v>
      </x:c>
      <x:c r="I85" s="165">
        <x:f t="shared" si="57"/>
        <x:v>11120.7</x:v>
      </x:c>
      <x:c r="J85" s="165">
        <x:f t="shared" si="57"/>
        <x:v>0</x:v>
      </x:c>
      <x:c r="K85" s="165">
        <x:f t="shared" ref="K85:Q85" si="58">K12*$E$85</x:f>
        <x:v>0</x:v>
      </x:c>
      <x:c r="L85" s="165">
        <x:f t="shared" si="58"/>
        <x:v>0</x:v>
      </x:c>
      <x:c r="M85" s="165">
        <x:f t="shared" si="58"/>
        <x:v>0</x:v>
      </x:c>
      <x:c r="N85" s="165">
        <x:f t="shared" si="58"/>
        <x:v>0</x:v>
      </x:c>
      <x:c r="O85" s="165">
        <x:f t="shared" si="58"/>
        <x:v>0</x:v>
      </x:c>
      <x:c r="P85" s="165">
        <x:f t="shared" si="58"/>
        <x:v>0</x:v>
      </x:c>
      <x:c r="Q85" s="165">
        <x:f t="shared" si="58"/>
        <x:v>0</x:v>
      </x:c>
      <x:c r="R85" s="166">
        <x:f t="shared" si="52"/>
        <x:v>29655.200000000001</x:v>
      </x:c>
      <x:c r="S85" s="6"/>
    </x:row>
    <x:row r="86" spans="1:19">
      <x:c r="A86" s="163" t="s">
        <x:v>0</x:v>
      </x:c>
      <x:c r="B86" s="163" t="s">
        <x:v>251</x:v>
      </x:c>
      <x:c r="C86" s="163" t="s">
        <x:v>49</x:v>
      </x:c>
      <x:c r="D86" s="163"/>
      <x:c r="E86" s="164">
        <x:f>VLOOKUP(B:B,'판매가,매입가'!B:I,7,0)</x:f>
        <x:v>114.58</x:v>
      </x:c>
      <x:c r="F86" s="165">
        <x:f>F2*$E$86</x:f>
        <x:v>103122</x:v>
      </x:c>
      <x:c r="G86" s="165">
        <x:f t="shared" ref="G86:J86" si="59">G2*$E$86</x:f>
        <x:v>5729</x:v>
      </x:c>
      <x:c r="H86" s="165">
        <x:f t="shared" si="59"/>
        <x:v>0</x:v>
      </x:c>
      <x:c r="I86" s="165">
        <x:f t="shared" si="59"/>
        <x:v>65310.6</x:v>
      </x:c>
      <x:c r="J86" s="165">
        <x:f t="shared" si="59"/>
        <x:v>0</x:v>
      </x:c>
      <x:c r="K86" s="165">
        <x:f t="shared" ref="K86:Q86" si="60">K13*$E$86</x:f>
        <x:v>0</x:v>
      </x:c>
      <x:c r="L86" s="165">
        <x:f t="shared" si="60"/>
        <x:v>0</x:v>
      </x:c>
      <x:c r="M86" s="165">
        <x:f t="shared" si="60"/>
        <x:v>0</x:v>
      </x:c>
      <x:c r="N86" s="165">
        <x:f t="shared" si="60"/>
        <x:v>0</x:v>
      </x:c>
      <x:c r="O86" s="165">
        <x:f t="shared" si="60"/>
        <x:v>0</x:v>
      </x:c>
      <x:c r="P86" s="165">
        <x:f t="shared" si="60"/>
        <x:v>0</x:v>
      </x:c>
      <x:c r="Q86" s="165">
        <x:f t="shared" si="60"/>
        <x:v>0</x:v>
      </x:c>
      <x:c r="R86" s="166">
        <x:f t="shared" si="52"/>
        <x:v>174161.6</x:v>
      </x:c>
      <x:c r="S86" s="6"/>
    </x:row>
    <x:row r="87" spans="1:19">
      <x:c r="A87" s="163" t="s">
        <x:v>0</x:v>
      </x:c>
      <x:c r="B87" s="163" t="s">
        <x:v>272</x:v>
      </x:c>
      <x:c r="C87" s="163" t="s">
        <x:v>49</x:v>
      </x:c>
      <x:c r="D87" s="163"/>
      <x:c r="E87" s="164">
        <x:f>VLOOKUP(B:B,'판매가,매입가'!B:I,7,0)</x:f>
        <x:v>3.1534697508896792</x:v>
      </x:c>
      <x:c r="F87" s="165">
        <x:f>F14*$E$87</x:f>
        <x:v>0</x:v>
      </x:c>
      <x:c r="G87" s="165">
        <x:f t="shared" ref="G87:J87" si="61">G14*$E$87</x:f>
        <x:v>0</x:v>
      </x:c>
      <x:c r="H87" s="165">
        <x:f t="shared" si="61"/>
        <x:v>0</x:v>
      </x:c>
      <x:c r="I87" s="165">
        <x:f t="shared" si="61"/>
        <x:v>0</x:v>
      </x:c>
      <x:c r="J87" s="165">
        <x:f t="shared" si="61"/>
        <x:v>0</x:v>
      </x:c>
      <x:c r="K87" s="165">
        <x:f>K2*$E$87</x:f>
        <x:v>223.89635231316723</x:v>
      </x:c>
      <x:c r="L87" s="165">
        <x:f t="shared" ref="L87:Q87" si="62">L2*$E$87</x:f>
        <x:v>223.89635231316723</x:v>
      </x:c>
      <x:c r="M87" s="165">
        <x:f t="shared" si="62"/>
        <x:v>223.89635231316723</x:v>
      </x:c>
      <x:c r="N87" s="165">
        <x:f t="shared" si="62"/>
        <x:v>223.89635231316723</x:v>
      </x:c>
      <x:c r="O87" s="165">
        <x:f t="shared" si="62"/>
        <x:v>223.89635231316723</x:v>
      </x:c>
      <x:c r="P87" s="165">
        <x:f t="shared" si="62"/>
        <x:v>223.89635231316723</x:v>
      </x:c>
      <x:c r="Q87" s="165">
        <x:f t="shared" si="62"/>
        <x:v>223.89635231316723</x:v>
      </x:c>
      <x:c r="R87" s="166">
        <x:f t="shared" ref="R87:R91" si="63">SUM(F87:Q87)</x:f>
        <x:v>1567.2744661921706</x:v>
      </x:c>
      <x:c r="S87" s="6"/>
    </x:row>
    <x:row r="88" spans="1:19">
      <x:c r="A88" s="163" t="s">
        <x:v>0</x:v>
      </x:c>
      <x:c r="B88" s="163" t="s">
        <x:v>273</x:v>
      </x:c>
      <x:c r="C88" s="163" t="s">
        <x:v>49</x:v>
      </x:c>
      <x:c r="D88" s="163"/>
      <x:c r="E88" s="164">
        <x:f>VLOOKUP(B:B,'판매가,매입가'!B:I,7,0)</x:f>
        <x:v>10.202402135231317</x:v>
      </x:c>
      <x:c r="F88" s="165">
        <x:f>F15*$E$88</x:f>
        <x:v>0</x:v>
      </x:c>
      <x:c r="G88" s="165">
        <x:f t="shared" ref="G88:J88" si="64">G15*$E$88</x:f>
        <x:v>0</x:v>
      </x:c>
      <x:c r="H88" s="165">
        <x:f t="shared" si="64"/>
        <x:v>0</x:v>
      </x:c>
      <x:c r="I88" s="165">
        <x:f t="shared" si="64"/>
        <x:v>0</x:v>
      </x:c>
      <x:c r="J88" s="165">
        <x:f t="shared" si="64"/>
        <x:v>0</x:v>
      </x:c>
      <x:c r="K88" s="165">
        <x:f>K2*$E$88</x:f>
        <x:v>724.37055160142347</x:v>
      </x:c>
      <x:c r="L88" s="165">
        <x:f t="shared" ref="L88:Q88" si="65">L2*$E$88</x:f>
        <x:v>724.37055160142347</x:v>
      </x:c>
      <x:c r="M88" s="165">
        <x:f t="shared" si="65"/>
        <x:v>724.37055160142347</x:v>
      </x:c>
      <x:c r="N88" s="165">
        <x:f t="shared" si="65"/>
        <x:v>724.37055160142347</x:v>
      </x:c>
      <x:c r="O88" s="165">
        <x:f t="shared" si="65"/>
        <x:v>724.37055160142347</x:v>
      </x:c>
      <x:c r="P88" s="165">
        <x:f t="shared" si="65"/>
        <x:v>724.37055160142347</x:v>
      </x:c>
      <x:c r="Q88" s="165">
        <x:f t="shared" si="65"/>
        <x:v>724.37055160142347</x:v>
      </x:c>
      <x:c r="R88" s="166">
        <x:f t="shared" si="63"/>
        <x:v>5070.5938612099644</x:v>
      </x:c>
      <x:c r="S88" s="6"/>
    </x:row>
    <x:row r="89" spans="1:19">
      <x:c r="A89" s="163" t="s">
        <x:v>0</x:v>
      </x:c>
      <x:c r="B89" s="163" t="s">
        <x:v>271</x:v>
      </x:c>
      <x:c r="C89" s="163" t="s">
        <x:v>49</x:v>
      </x:c>
      <x:c r="D89" s="163"/>
      <x:c r="E89" s="164">
        <x:f>VLOOKUP(B:B,'판매가,매입가'!B:I,7,0)</x:f>
        <x:v>169.74074823943661</x:v>
      </x:c>
      <x:c r="F89" s="165">
        <x:f>F16*$E$89</x:f>
        <x:v>0</x:v>
      </x:c>
      <x:c r="G89" s="165">
        <x:f t="shared" ref="G89:J89" si="66">G16*$E$89</x:f>
        <x:v>0</x:v>
      </x:c>
      <x:c r="H89" s="165">
        <x:f t="shared" si="66"/>
        <x:v>0</x:v>
      </x:c>
      <x:c r="I89" s="165">
        <x:f t="shared" si="66"/>
        <x:v>0</x:v>
      </x:c>
      <x:c r="J89" s="165">
        <x:f t="shared" si="66"/>
        <x:v>0</x:v>
      </x:c>
      <x:c r="K89" s="165">
        <x:f>K2*$E$89</x:f>
        <x:v>12051.593124999999</x:v>
      </x:c>
      <x:c r="L89" s="165">
        <x:f t="shared" ref="L89:Q89" si="67">L2*$E$89</x:f>
        <x:v>12051.593124999999</x:v>
      </x:c>
      <x:c r="M89" s="165">
        <x:f t="shared" si="67"/>
        <x:v>12051.593124999999</x:v>
      </x:c>
      <x:c r="N89" s="165">
        <x:f t="shared" si="67"/>
        <x:v>12051.593124999999</x:v>
      </x:c>
      <x:c r="O89" s="165">
        <x:f t="shared" si="67"/>
        <x:v>12051.593124999999</x:v>
      </x:c>
      <x:c r="P89" s="165">
        <x:f t="shared" si="67"/>
        <x:v>12051.593124999999</x:v>
      </x:c>
      <x:c r="Q89" s="165">
        <x:f t="shared" si="67"/>
        <x:v>12051.593124999999</x:v>
      </x:c>
      <x:c r="R89" s="166">
        <x:f t="shared" si="63"/>
        <x:v>84361.151874999996</x:v>
      </x:c>
      <x:c r="S89" s="6"/>
    </x:row>
    <x:row r="90" spans="1:19">
      <x:c r="A90" s="163" t="s">
        <x:v>0</x:v>
      </x:c>
      <x:c r="B90" s="163" t="s">
        <x:v>270</x:v>
      </x:c>
      <x:c r="C90" s="163" t="s">
        <x:v>49</x:v>
      </x:c>
      <x:c r="D90" s="163"/>
      <x:c r="E90" s="164">
        <x:f>VLOOKUP(B:B,'판매가,매입가'!B:I,7,0)</x:f>
        <x:v>24.12</x:v>
      </x:c>
      <x:c r="F90" s="165">
        <x:f>F17*$E$90</x:f>
        <x:v>0</x:v>
      </x:c>
      <x:c r="G90" s="165">
        <x:f t="shared" ref="G90:J90" si="68">G17*$E$90</x:f>
        <x:v>0</x:v>
      </x:c>
      <x:c r="H90" s="165">
        <x:f t="shared" si="68"/>
        <x:v>0</x:v>
      </x:c>
      <x:c r="I90" s="165">
        <x:f t="shared" si="68"/>
        <x:v>0</x:v>
      </x:c>
      <x:c r="J90" s="165">
        <x:f t="shared" si="68"/>
        <x:v>0</x:v>
      </x:c>
      <x:c r="K90" s="165">
        <x:f>K2*$E$90</x:f>
        <x:v>1712.52</x:v>
      </x:c>
      <x:c r="L90" s="165">
        <x:f t="shared" ref="L90:Q90" si="69">L2*$E$90</x:f>
        <x:v>1712.52</x:v>
      </x:c>
      <x:c r="M90" s="165">
        <x:f t="shared" si="69"/>
        <x:v>1712.52</x:v>
      </x:c>
      <x:c r="N90" s="165">
        <x:f t="shared" si="69"/>
        <x:v>1712.52</x:v>
      </x:c>
      <x:c r="O90" s="165">
        <x:f t="shared" si="69"/>
        <x:v>1712.52</x:v>
      </x:c>
      <x:c r="P90" s="165">
        <x:f t="shared" si="69"/>
        <x:v>1712.52</x:v>
      </x:c>
      <x:c r="Q90" s="165">
        <x:f t="shared" si="69"/>
        <x:v>1712.52</x:v>
      </x:c>
      <x:c r="R90" s="166">
        <x:f t="shared" si="63"/>
        <x:v>11987.640000000001</x:v>
      </x:c>
      <x:c r="S90" s="6"/>
    </x:row>
    <x:row r="91" spans="1:19">
      <x:c r="A91" s="163" t="s">
        <x:v>0</x:v>
      </x:c>
      <x:c r="B91" s="163" t="s">
        <x:v>269</x:v>
      </x:c>
      <x:c r="C91" s="163" t="s">
        <x:v>49</x:v>
      </x:c>
      <x:c r="D91" s="163"/>
      <x:c r="E91" s="164">
        <x:f>VLOOKUP(B:B,'판매가,매입가'!B:I,7,0)</x:f>
        <x:v>141.68</x:v>
      </x:c>
      <x:c r="F91" s="165">
        <x:f>F18*$E$91</x:f>
        <x:v>0</x:v>
      </x:c>
      <x:c r="G91" s="165">
        <x:f t="shared" ref="G91:J91" si="70">G18*$E$91</x:f>
        <x:v>0</x:v>
      </x:c>
      <x:c r="H91" s="165">
        <x:f t="shared" si="70"/>
        <x:v>0</x:v>
      </x:c>
      <x:c r="I91" s="165">
        <x:f t="shared" si="70"/>
        <x:v>0</x:v>
      </x:c>
      <x:c r="J91" s="165">
        <x:f t="shared" si="70"/>
        <x:v>0</x:v>
      </x:c>
      <x:c r="K91" s="165">
        <x:f>K2*$E$91</x:f>
        <x:v>10059.280000000001</x:v>
      </x:c>
      <x:c r="L91" s="165">
        <x:f t="shared" ref="L91:Q91" si="71">L2*$E$91</x:f>
        <x:v>10059.280000000001</x:v>
      </x:c>
      <x:c r="M91" s="165">
        <x:f t="shared" si="71"/>
        <x:v>10059.280000000001</x:v>
      </x:c>
      <x:c r="N91" s="165">
        <x:f t="shared" si="71"/>
        <x:v>10059.280000000001</x:v>
      </x:c>
      <x:c r="O91" s="165">
        <x:f t="shared" si="71"/>
        <x:v>10059.280000000001</x:v>
      </x:c>
      <x:c r="P91" s="165">
        <x:f t="shared" si="71"/>
        <x:v>10059.280000000001</x:v>
      </x:c>
      <x:c r="Q91" s="165">
        <x:f t="shared" si="71"/>
        <x:v>10059.280000000001</x:v>
      </x:c>
      <x:c r="R91" s="166">
        <x:f t="shared" si="63"/>
        <x:v>70414.960000000006</x:v>
      </x:c>
      <x:c r="S91" s="6"/>
    </x:row>
    <x:row r="92" spans="1:19">
      <x:c r="A92" s="163" t="s">
        <x:v>0</x:v>
      </x:c>
      <x:c r="B92" s="163" t="s">
        <x:v>33</x:v>
      </x:c>
      <x:c r="C92" s="163" t="s">
        <x:v>49</x:v>
      </x:c>
      <x:c r="D92" s="163"/>
      <x:c r="E92" s="164">
        <x:f>VLOOKUP(B:B,'판매가,매입가'!B:I,7,0)</x:f>
        <x:v>0.61</x:v>
      </x:c>
      <x:c r="F92" s="165">
        <x:f>F2*$E$92*4</x:f>
        <x:v>2196</x:v>
      </x:c>
      <x:c r="G92" s="165">
        <x:f t="shared" ref="G92:Q92" si="72">G2*$E$92*4</x:f>
        <x:v>122</x:v>
      </x:c>
      <x:c r="H92" s="165">
        <x:f t="shared" si="72"/>
        <x:v>0</x:v>
      </x:c>
      <x:c r="I92" s="165">
        <x:f t="shared" si="72"/>
        <x:v>1390.8</x:v>
      </x:c>
      <x:c r="J92" s="165">
        <x:f t="shared" si="72"/>
        <x:v>0</x:v>
      </x:c>
      <x:c r="K92" s="165">
        <x:f t="shared" si="72"/>
        <x:v>173.24</x:v>
      </x:c>
      <x:c r="L92" s="165">
        <x:f t="shared" si="72"/>
        <x:v>173.24</x:v>
      </x:c>
      <x:c r="M92" s="165">
        <x:f t="shared" si="72"/>
        <x:v>173.24</x:v>
      </x:c>
      <x:c r="N92" s="165">
        <x:f t="shared" si="72"/>
        <x:v>173.24</x:v>
      </x:c>
      <x:c r="O92" s="165">
        <x:f t="shared" si="72"/>
        <x:v>173.24</x:v>
      </x:c>
      <x:c r="P92" s="165">
        <x:f t="shared" si="72"/>
        <x:v>173.24</x:v>
      </x:c>
      <x:c r="Q92" s="165">
        <x:f t="shared" si="72"/>
        <x:v>173.24</x:v>
      </x:c>
      <x:c r="R92" s="166">
        <x:f t="shared" si="52"/>
        <x:v>4921.4799999999987</x:v>
      </x:c>
      <x:c r="S92" s="6"/>
    </x:row>
    <x:row r="93" spans="1:19">
      <x:c r="A93" s="163" t="s">
        <x:v>1</x:v>
      </x:c>
      <x:c r="B93" s="163" t="s">
        <x:v>34</x:v>
      </x:c>
      <x:c r="C93" s="163" t="s">
        <x:v>49</x:v>
      </x:c>
      <x:c r="D93" s="163"/>
      <x:c r="E93" s="164">
        <x:f>VLOOKUP(B:B,'판매가,매입가'!B:I,7,0)</x:f>
        <x:v>3.41</x:v>
      </x:c>
      <x:c r="F93" s="165">
        <x:f>F3*$E$93</x:f>
        <x:v>7297.4000000000005</x:v>
      </x:c>
      <x:c r="G93" s="165">
        <x:f t="shared" ref="G93:Q93" si="73">G3*$E$93</x:f>
        <x:v>4910.4000000000005</x:v>
      </x:c>
      <x:c r="H93" s="165">
        <x:f t="shared" si="73"/>
        <x:v>2250.6</x:v>
      </x:c>
      <x:c r="I93" s="165">
        <x:f t="shared" si="73"/>
        <x:v>8252.2000000000007</x:v>
      </x:c>
      <x:c r="J93" s="165">
        <x:f t="shared" si="73"/>
        <x:v>3273.6000000000004</x:v>
      </x:c>
      <x:c r="K93" s="165">
        <x:f t="shared" si="73"/>
        <x:v>2434.7400000000002</x:v>
      </x:c>
      <x:c r="L93" s="165">
        <x:f t="shared" si="73"/>
        <x:v>2434.7400000000002</x:v>
      </x:c>
      <x:c r="M93" s="165">
        <x:f t="shared" si="73"/>
        <x:v>2434.7400000000002</x:v>
      </x:c>
      <x:c r="N93" s="165">
        <x:f t="shared" si="73"/>
        <x:v>2434.7400000000002</x:v>
      </x:c>
      <x:c r="O93" s="165">
        <x:f t="shared" si="73"/>
        <x:v>2434.7400000000002</x:v>
      </x:c>
      <x:c r="P93" s="165">
        <x:f t="shared" si="73"/>
        <x:v>2434.7400000000002</x:v>
      </x:c>
      <x:c r="Q93" s="165">
        <x:f t="shared" si="73"/>
        <x:v>2434.7400000000002</x:v>
      </x:c>
      <x:c r="R93" s="166">
        <x:f t="shared" si="52"/>
        <x:v>43027.38</x:v>
      </x:c>
      <x:c r="S93" s="6"/>
    </x:row>
    <x:row r="94" spans="1:19">
      <x:c r="A94" s="163" t="s">
        <x:v>1</x:v>
      </x:c>
      <x:c r="B94" s="163" t="s">
        <x:v>154</x:v>
      </x:c>
      <x:c r="C94" s="163" t="s">
        <x:v>49</x:v>
      </x:c>
      <x:c r="D94" s="163"/>
      <x:c r="E94" s="164">
        <x:f>VLOOKUP(B:B,'판매가,매입가'!B:I,7,0)</x:f>
        <x:v>6.95</x:v>
      </x:c>
      <x:c r="F94" s="165">
        <x:f>F3*$E$94</x:f>
        <x:v>14873</x:v>
      </x:c>
      <x:c r="G94" s="165">
        <x:f t="shared" ref="G94:Q94" si="74">G3*$E$94</x:f>
        <x:v>10008</x:v>
      </x:c>
      <x:c r="H94" s="165">
        <x:f t="shared" si="74"/>
        <x:v>4587</x:v>
      </x:c>
      <x:c r="I94" s="165">
        <x:f t="shared" si="74"/>
        <x:v>16819</x:v>
      </x:c>
      <x:c r="J94" s="165">
        <x:f t="shared" si="74"/>
        <x:v>6672</x:v>
      </x:c>
      <x:c r="K94" s="165">
        <x:f t="shared" si="74"/>
        <x:v>4962.3</x:v>
      </x:c>
      <x:c r="L94" s="165">
        <x:f t="shared" si="74"/>
        <x:v>4962.3</x:v>
      </x:c>
      <x:c r="M94" s="165">
        <x:f t="shared" si="74"/>
        <x:v>4962.3</x:v>
      </x:c>
      <x:c r="N94" s="165">
        <x:f t="shared" si="74"/>
        <x:v>4962.3</x:v>
      </x:c>
      <x:c r="O94" s="165">
        <x:f t="shared" si="74"/>
        <x:v>4962.3</x:v>
      </x:c>
      <x:c r="P94" s="165">
        <x:f t="shared" si="74"/>
        <x:v>4962.3</x:v>
      </x:c>
      <x:c r="Q94" s="165">
        <x:f t="shared" si="74"/>
        <x:v>4962.3</x:v>
      </x:c>
      <x:c r="R94" s="166">
        <x:f t="shared" si="52"/>
        <x:v>87695.10000000002</x:v>
      </x:c>
      <x:c r="S94" s="6"/>
    </x:row>
    <x:row r="95" spans="1:19">
      <x:c r="A95" s="163" t="s">
        <x:v>1</x:v>
      </x:c>
      <x:c r="B95" s="163" t="s">
        <x:v>155</x:v>
      </x:c>
      <x:c r="C95" s="163" t="s">
        <x:v>49</x:v>
      </x:c>
      <x:c r="D95" s="163"/>
      <x:c r="E95" s="164">
        <x:f>VLOOKUP(B:B,'판매가,매입가'!B:I,7,0)</x:f>
        <x:v>4.79</x:v>
      </x:c>
      <x:c r="F95" s="165">
        <x:f>F3*$E$95</x:f>
        <x:v>10250.6</x:v>
      </x:c>
      <x:c r="G95" s="165">
        <x:f t="shared" ref="G95:Q95" si="75">G3*$E$95</x:f>
        <x:v>6897.6</x:v>
      </x:c>
      <x:c r="H95" s="165">
        <x:f t="shared" si="75"/>
        <x:v>3161.4</x:v>
      </x:c>
      <x:c r="I95" s="165">
        <x:f t="shared" si="75"/>
        <x:v>11591.8</x:v>
      </x:c>
      <x:c r="J95" s="165">
        <x:f t="shared" si="75"/>
        <x:v>4598.3999999999996</x:v>
      </x:c>
      <x:c r="K95" s="165">
        <x:f t="shared" si="75"/>
        <x:v>3420.06</x:v>
      </x:c>
      <x:c r="L95" s="165">
        <x:f t="shared" si="75"/>
        <x:v>3420.06</x:v>
      </x:c>
      <x:c r="M95" s="165">
        <x:f t="shared" si="75"/>
        <x:v>3420.06</x:v>
      </x:c>
      <x:c r="N95" s="165">
        <x:f t="shared" si="75"/>
        <x:v>3420.06</x:v>
      </x:c>
      <x:c r="O95" s="165">
        <x:f t="shared" si="75"/>
        <x:v>3420.06</x:v>
      </x:c>
      <x:c r="P95" s="165">
        <x:f t="shared" si="75"/>
        <x:v>3420.06</x:v>
      </x:c>
      <x:c r="Q95" s="165">
        <x:f t="shared" si="75"/>
        <x:v>3420.06</x:v>
      </x:c>
      <x:c r="R95" s="166">
        <x:f t="shared" si="52"/>
        <x:v>60440.219999999987</x:v>
      </x:c>
      <x:c r="S95" s="6"/>
    </x:row>
    <x:row r="96" spans="1:19">
      <x:c r="A96" s="163" t="s">
        <x:v>1</x:v>
      </x:c>
      <x:c r="B96" s="163" t="s">
        <x:v>35</x:v>
      </x:c>
      <x:c r="C96" s="163" t="s">
        <x:v>49</x:v>
      </x:c>
      <x:c r="D96" s="163"/>
      <x:c r="E96" s="164">
        <x:f>VLOOKUP(B:B,'판매가,매입가'!B:I,7,0)</x:f>
        <x:v>157.04</x:v>
      </x:c>
      <x:c r="F96" s="165">
        <x:f>F3*$E$96</x:f>
        <x:v>336065.6</x:v>
      </x:c>
      <x:c r="G96" s="165">
        <x:f t="shared" ref="G96:Q96" si="76">G3*$E$96</x:f>
        <x:v>226137.59999999998</x:v>
      </x:c>
      <x:c r="H96" s="165">
        <x:f t="shared" si="76"/>
        <x:v>103646.39999999999</x:v>
      </x:c>
      <x:c r="I96" s="165">
        <x:f t="shared" si="76"/>
        <x:v>380036.8</x:v>
      </x:c>
      <x:c r="J96" s="165">
        <x:f t="shared" si="76"/>
        <x:v>150758.39999999999</x:v>
      </x:c>
      <x:c r="K96" s="165">
        <x:f t="shared" si="76"/>
        <x:v>112126.56</x:v>
      </x:c>
      <x:c r="L96" s="165">
        <x:f t="shared" si="76"/>
        <x:v>112126.56</x:v>
      </x:c>
      <x:c r="M96" s="165">
        <x:f t="shared" si="76"/>
        <x:v>112126.56</x:v>
      </x:c>
      <x:c r="N96" s="165">
        <x:f t="shared" si="76"/>
        <x:v>112126.56</x:v>
      </x:c>
      <x:c r="O96" s="165">
        <x:f t="shared" si="76"/>
        <x:v>112126.56</x:v>
      </x:c>
      <x:c r="P96" s="165">
        <x:f t="shared" si="76"/>
        <x:v>112126.56</x:v>
      </x:c>
      <x:c r="Q96" s="165">
        <x:f t="shared" si="76"/>
        <x:v>112126.56</x:v>
      </x:c>
      <x:c r="R96" s="166">
        <x:f t="shared" si="52"/>
        <x:v>1981530.7200000002</x:v>
      </x:c>
      <x:c r="S96" s="6"/>
    </x:row>
    <x:row r="97" spans="1:19">
      <x:c r="A97" s="163" t="s">
        <x:v>1</x:v>
      </x:c>
      <x:c r="B97" s="163" t="s">
        <x:v>32</x:v>
      </x:c>
      <x:c r="C97" s="163" t="s">
        <x:v>49</x:v>
      </x:c>
      <x:c r="D97" s="163"/>
      <x:c r="E97" s="164">
        <x:f>VLOOKUP(B:B,'판매가,매입가'!B:I,7,0)</x:f>
        <x:v>24.12</x:v>
      </x:c>
      <x:c r="F97" s="165">
        <x:f>F3*$E$97</x:f>
        <x:v>51616.800000000003</x:v>
      </x:c>
      <x:c r="G97" s="165">
        <x:f t="shared" ref="G97:Q97" si="77">G3*$E$97</x:f>
        <x:v>34732.800000000003</x:v>
      </x:c>
      <x:c r="H97" s="165">
        <x:f t="shared" si="77"/>
        <x:v>15919.2</x:v>
      </x:c>
      <x:c r="I97" s="165">
        <x:f t="shared" si="77"/>
        <x:v>58370.400000000001</x:v>
      </x:c>
      <x:c r="J97" s="165">
        <x:f t="shared" si="77"/>
        <x:v>23155.200000000001</x:v>
      </x:c>
      <x:c r="K97" s="165">
        <x:f t="shared" si="77"/>
        <x:v>17221.68</x:v>
      </x:c>
      <x:c r="L97" s="165">
        <x:f t="shared" si="77"/>
        <x:v>17221.68</x:v>
      </x:c>
      <x:c r="M97" s="165">
        <x:f t="shared" si="77"/>
        <x:v>17221.68</x:v>
      </x:c>
      <x:c r="N97" s="165">
        <x:f t="shared" si="77"/>
        <x:v>17221.68</x:v>
      </x:c>
      <x:c r="O97" s="165">
        <x:f t="shared" si="77"/>
        <x:v>17221.68</x:v>
      </x:c>
      <x:c r="P97" s="165">
        <x:f t="shared" si="77"/>
        <x:v>17221.68</x:v>
      </x:c>
      <x:c r="Q97" s="165">
        <x:f t="shared" si="77"/>
        <x:v>17221.68</x:v>
      </x:c>
      <x:c r="R97" s="166">
        <x:f t="shared" si="52"/>
        <x:v>304346.15999999997</x:v>
      </x:c>
      <x:c r="S97" s="6"/>
    </x:row>
    <x:row r="98" spans="1:19">
      <x:c r="A98" s="163" t="s">
        <x:v>1</x:v>
      </x:c>
      <x:c r="B98" s="163" t="s">
        <x:v>153</x:v>
      </x:c>
      <x:c r="C98" s="163" t="s">
        <x:v>49</x:v>
      </x:c>
      <x:c r="D98" s="163"/>
      <x:c r="E98" s="164">
        <x:f>VLOOKUP(B:B,'판매가,매입가'!B:I,7,0)</x:f>
        <x:v>141.68</x:v>
      </x:c>
      <x:c r="F98" s="165">
        <x:f>F3*$E$98</x:f>
        <x:v>303195.2</x:v>
      </x:c>
      <x:c r="G98" s="165">
        <x:f t="shared" ref="G98:Q98" si="78">G3*$E$98</x:f>
        <x:v>204019.20000000001</x:v>
      </x:c>
      <x:c r="H98" s="165">
        <x:f t="shared" si="78"/>
        <x:v>93508.800000000003</x:v>
      </x:c>
      <x:c r="I98" s="165">
        <x:f t="shared" si="78"/>
        <x:v>342865.60000000003</x:v>
      </x:c>
      <x:c r="J98" s="165">
        <x:f t="shared" si="78"/>
        <x:v>136012.80000000002</x:v>
      </x:c>
      <x:c r="K98" s="165">
        <x:f t="shared" si="78"/>
        <x:v>101159.52</x:v>
      </x:c>
      <x:c r="L98" s="165">
        <x:f t="shared" si="78"/>
        <x:v>101159.52</x:v>
      </x:c>
      <x:c r="M98" s="165">
        <x:f t="shared" si="78"/>
        <x:v>101159.52</x:v>
      </x:c>
      <x:c r="N98" s="165">
        <x:f t="shared" si="78"/>
        <x:v>101159.52</x:v>
      </x:c>
      <x:c r="O98" s="165">
        <x:f t="shared" si="78"/>
        <x:v>101159.52</x:v>
      </x:c>
      <x:c r="P98" s="165">
        <x:f t="shared" si="78"/>
        <x:v>101159.52</x:v>
      </x:c>
      <x:c r="Q98" s="165">
        <x:f t="shared" si="78"/>
        <x:v>101159.52</x:v>
      </x:c>
      <x:c r="R98" s="166">
        <x:f t="shared" si="52"/>
        <x:v>1787718.2400000002</x:v>
      </x:c>
      <x:c r="S98" s="6"/>
    </x:row>
    <x:row r="99" spans="1:19">
      <x:c r="A99" s="163" t="s">
        <x:v>1</x:v>
      </x:c>
      <x:c r="B99" s="163" t="s">
        <x:v>33</x:v>
      </x:c>
      <x:c r="C99" s="163" t="s">
        <x:v>49</x:v>
      </x:c>
      <x:c r="D99" s="163"/>
      <x:c r="E99" s="164">
        <x:f>VLOOKUP(B:B,'판매가,매입가'!B:I,7,0)</x:f>
        <x:v>0.61</x:v>
      </x:c>
      <x:c r="F99" s="165">
        <x:f>F3*$E$99</x:f>
        <x:v>1305.3999999999999</x:v>
      </x:c>
      <x:c r="G99" s="165">
        <x:f t="shared" ref="G99:Q99" si="79">G3*$E$99</x:f>
        <x:v>878.4</x:v>
      </x:c>
      <x:c r="H99" s="165">
        <x:f t="shared" si="79"/>
        <x:v>402.59999999999997</x:v>
      </x:c>
      <x:c r="I99" s="165">
        <x:f t="shared" si="79"/>
        <x:v>1476.2</x:v>
      </x:c>
      <x:c r="J99" s="165">
        <x:f t="shared" si="79"/>
        <x:v>585.6</x:v>
      </x:c>
      <x:c r="K99" s="165">
        <x:f t="shared" si="79"/>
        <x:v>435.53999999999996</x:v>
      </x:c>
      <x:c r="L99" s="165">
        <x:f t="shared" si="79"/>
        <x:v>435.53999999999996</x:v>
      </x:c>
      <x:c r="M99" s="165">
        <x:f t="shared" si="79"/>
        <x:v>435.53999999999996</x:v>
      </x:c>
      <x:c r="N99" s="165">
        <x:f t="shared" si="79"/>
        <x:v>435.53999999999996</x:v>
      </x:c>
      <x:c r="O99" s="165">
        <x:f t="shared" si="79"/>
        <x:v>435.53999999999996</x:v>
      </x:c>
      <x:c r="P99" s="165">
        <x:f t="shared" si="79"/>
        <x:v>435.53999999999996</x:v>
      </x:c>
      <x:c r="Q99" s="165">
        <x:f t="shared" si="79"/>
        <x:v>435.53999999999996</x:v>
      </x:c>
      <x:c r="R99" s="166">
        <x:f t="shared" si="52"/>
        <x:v>7696.98</x:v>
      </x:c>
      <x:c r="S99" s="6"/>
    </x:row>
    <x:row r="100" spans="1:19">
      <x:c r="A100" s="163" t="s">
        <x:v>30</x:v>
      </x:c>
      <x:c r="B100" s="163" t="s">
        <x:v>36</x:v>
      </x:c>
      <x:c r="C100" s="163" t="s">
        <x:v>49</x:v>
      </x:c>
      <x:c r="D100" s="163"/>
      <x:c r="E100" s="164">
        <x:f>VLOOKUP(B:B,'판매가,매입가'!B:I,7,0)</x:f>
        <x:v>5.4</x:v>
      </x:c>
      <x:c r="F100" s="165">
        <x:f t="shared" ref="F100:Q100" si="80">F4*$E$100</x:f>
        <x:v>0</x:v>
      </x:c>
      <x:c r="G100" s="165">
        <x:f t="shared" si="80"/>
        <x:v>0</x:v>
      </x:c>
      <x:c r="H100" s="165">
        <x:f t="shared" si="80"/>
        <x:v>0</x:v>
      </x:c>
      <x:c r="I100" s="165">
        <x:f t="shared" si="80"/>
        <x:v>0</x:v>
      </x:c>
      <x:c r="J100" s="165">
        <x:f t="shared" si="80"/>
        <x:v>0</x:v>
      </x:c>
      <x:c r="K100" s="165">
        <x:f t="shared" si="80"/>
        <x:v>0</x:v>
      </x:c>
      <x:c r="L100" s="165">
        <x:f t="shared" si="80"/>
        <x:v>0</x:v>
      </x:c>
      <x:c r="M100" s="165">
        <x:f t="shared" si="80"/>
        <x:v>0</x:v>
      </x:c>
      <x:c r="N100" s="165">
        <x:f t="shared" si="80"/>
        <x:v>0</x:v>
      </x:c>
      <x:c r="O100" s="165">
        <x:f t="shared" si="80"/>
        <x:v>0</x:v>
      </x:c>
      <x:c r="P100" s="165">
        <x:f t="shared" si="80"/>
        <x:v>0</x:v>
      </x:c>
      <x:c r="Q100" s="165">
        <x:f t="shared" si="80"/>
        <x:v>0</x:v>
      </x:c>
      <x:c r="R100" s="166">
        <x:f t="shared" si="52"/>
        <x:v>0</x:v>
      </x:c>
      <x:c r="S100" s="6"/>
    </x:row>
    <x:row r="101" spans="1:19">
      <x:c r="A101" s="163" t="s">
        <x:v>30</x:v>
      </x:c>
      <x:c r="B101" s="163" t="s">
        <x:v>37</x:v>
      </x:c>
      <x:c r="C101" s="163" t="s">
        <x:v>49</x:v>
      </x:c>
      <x:c r="D101" s="163"/>
      <x:c r="E101" s="164">
        <x:f>VLOOKUP(B:B,'판매가,매입가'!B:I,7,0)</x:f>
        <x:v>3.93</x:v>
      </x:c>
      <x:c r="F101" s="165">
        <x:f t="shared" ref="F101:Q101" si="81">F4*$E$101</x:f>
        <x:v>0</x:v>
      </x:c>
      <x:c r="G101" s="165">
        <x:f t="shared" si="81"/>
        <x:v>0</x:v>
      </x:c>
      <x:c r="H101" s="165">
        <x:f t="shared" si="81"/>
        <x:v>0</x:v>
      </x:c>
      <x:c r="I101" s="165">
        <x:f t="shared" si="81"/>
        <x:v>0</x:v>
      </x:c>
      <x:c r="J101" s="165">
        <x:f t="shared" si="81"/>
        <x:v>0</x:v>
      </x:c>
      <x:c r="K101" s="165">
        <x:f t="shared" si="81"/>
        <x:v>0</x:v>
      </x:c>
      <x:c r="L101" s="165">
        <x:f t="shared" si="81"/>
        <x:v>0</x:v>
      </x:c>
      <x:c r="M101" s="165">
        <x:f t="shared" si="81"/>
        <x:v>0</x:v>
      </x:c>
      <x:c r="N101" s="165">
        <x:f t="shared" si="81"/>
        <x:v>0</x:v>
      </x:c>
      <x:c r="O101" s="165">
        <x:f t="shared" si="81"/>
        <x:v>0</x:v>
      </x:c>
      <x:c r="P101" s="165">
        <x:f t="shared" si="81"/>
        <x:v>0</x:v>
      </x:c>
      <x:c r="Q101" s="165">
        <x:f t="shared" si="81"/>
        <x:v>0</x:v>
      </x:c>
      <x:c r="R101" s="166">
        <x:f t="shared" si="52"/>
        <x:v>0</x:v>
      </x:c>
      <x:c r="S101" s="6"/>
    </x:row>
    <x:row r="102" spans="1:19">
      <x:c r="A102" s="163" t="s">
        <x:v>30</x:v>
      </x:c>
      <x:c r="B102" s="163" t="s">
        <x:v>38</x:v>
      </x:c>
      <x:c r="C102" s="163" t="s">
        <x:v>49</x:v>
      </x:c>
      <x:c r="D102" s="163"/>
      <x:c r="E102" s="164">
        <x:f>VLOOKUP(B:B,'판매가,매입가'!B:I,7,0)</x:f>
        <x:v>4.3899999999999997</x:v>
      </x:c>
      <x:c r="F102" s="165">
        <x:f t="shared" ref="F102:Q102" si="82">F4*$E$102</x:f>
        <x:v>0</x:v>
      </x:c>
      <x:c r="G102" s="165">
        <x:f t="shared" si="82"/>
        <x:v>0</x:v>
      </x:c>
      <x:c r="H102" s="165">
        <x:f t="shared" si="82"/>
        <x:v>0</x:v>
      </x:c>
      <x:c r="I102" s="165">
        <x:f t="shared" si="82"/>
        <x:v>0</x:v>
      </x:c>
      <x:c r="J102" s="165">
        <x:f t="shared" si="82"/>
        <x:v>0</x:v>
      </x:c>
      <x:c r="K102" s="165">
        <x:f t="shared" si="82"/>
        <x:v>0</x:v>
      </x:c>
      <x:c r="L102" s="165">
        <x:f t="shared" si="82"/>
        <x:v>0</x:v>
      </x:c>
      <x:c r="M102" s="165">
        <x:f t="shared" si="82"/>
        <x:v>0</x:v>
      </x:c>
      <x:c r="N102" s="165">
        <x:f t="shared" si="82"/>
        <x:v>0</x:v>
      </x:c>
      <x:c r="O102" s="165">
        <x:f t="shared" si="82"/>
        <x:v>0</x:v>
      </x:c>
      <x:c r="P102" s="165">
        <x:f t="shared" si="82"/>
        <x:v>0</x:v>
      </x:c>
      <x:c r="Q102" s="165">
        <x:f t="shared" si="82"/>
        <x:v>0</x:v>
      </x:c>
      <x:c r="R102" s="166">
        <x:f t="shared" si="52"/>
        <x:v>0</x:v>
      </x:c>
      <x:c r="S102" s="6"/>
    </x:row>
    <x:row r="103" spans="1:19">
      <x:c r="A103" s="163" t="s">
        <x:v>30</x:v>
      </x:c>
      <x:c r="B103" s="163" t="s">
        <x:v>156</x:v>
      </x:c>
      <x:c r="C103" s="163" t="s">
        <x:v>49</x:v>
      </x:c>
      <x:c r="D103" s="163"/>
      <x:c r="E103" s="164">
        <x:f>VLOOKUP(B:B,'판매가,매입가'!B:I,7,0)</x:f>
        <x:v>81.19</x:v>
      </x:c>
      <x:c r="F103" s="165">
        <x:f t="shared" ref="F103:Q103" si="83">F4*$E$103</x:f>
        <x:v>0</x:v>
      </x:c>
      <x:c r="G103" s="165">
        <x:f t="shared" si="83"/>
        <x:v>0</x:v>
      </x:c>
      <x:c r="H103" s="165">
        <x:f t="shared" si="83"/>
        <x:v>0</x:v>
      </x:c>
      <x:c r="I103" s="165">
        <x:f t="shared" si="83"/>
        <x:v>0</x:v>
      </x:c>
      <x:c r="J103" s="165">
        <x:f t="shared" si="83"/>
        <x:v>0</x:v>
      </x:c>
      <x:c r="K103" s="165">
        <x:f t="shared" si="83"/>
        <x:v>0</x:v>
      </x:c>
      <x:c r="L103" s="165">
        <x:f t="shared" si="83"/>
        <x:v>0</x:v>
      </x:c>
      <x:c r="M103" s="165">
        <x:f t="shared" si="83"/>
        <x:v>0</x:v>
      </x:c>
      <x:c r="N103" s="165">
        <x:f t="shared" si="83"/>
        <x:v>0</x:v>
      </x:c>
      <x:c r="O103" s="165">
        <x:f t="shared" si="83"/>
        <x:v>0</x:v>
      </x:c>
      <x:c r="P103" s="165">
        <x:f t="shared" si="83"/>
        <x:v>0</x:v>
      </x:c>
      <x:c r="Q103" s="165">
        <x:f t="shared" si="83"/>
        <x:v>0</x:v>
      </x:c>
      <x:c r="R103" s="166">
        <x:f t="shared" si="52"/>
        <x:v>0</x:v>
      </x:c>
      <x:c r="S103" s="6"/>
    </x:row>
    <x:row r="104" spans="1:19">
      <x:c r="A104" s="163" t="s">
        <x:v>30</x:v>
      </x:c>
      <x:c r="B104" s="163" t="s">
        <x:v>39</x:v>
      </x:c>
      <x:c r="C104" s="163" t="s">
        <x:v>49</x:v>
      </x:c>
      <x:c r="D104" s="163"/>
      <x:c r="E104" s="164">
        <x:f>VLOOKUP(B:B,'판매가,매입가'!B:I,7,0)</x:f>
        <x:v>17.82</x:v>
      </x:c>
      <x:c r="F104" s="165">
        <x:f t="shared" ref="F104:Q104" si="84">F4*$E$104</x:f>
        <x:v>0</x:v>
      </x:c>
      <x:c r="G104" s="165">
        <x:f t="shared" si="84"/>
        <x:v>0</x:v>
      </x:c>
      <x:c r="H104" s="165">
        <x:f t="shared" si="84"/>
        <x:v>0</x:v>
      </x:c>
      <x:c r="I104" s="165">
        <x:f t="shared" si="84"/>
        <x:v>0</x:v>
      </x:c>
      <x:c r="J104" s="165">
        <x:f t="shared" si="84"/>
        <x:v>0</x:v>
      </x:c>
      <x:c r="K104" s="165">
        <x:f t="shared" si="84"/>
        <x:v>0</x:v>
      </x:c>
      <x:c r="L104" s="165">
        <x:f t="shared" si="84"/>
        <x:v>0</x:v>
      </x:c>
      <x:c r="M104" s="165">
        <x:f t="shared" si="84"/>
        <x:v>0</x:v>
      </x:c>
      <x:c r="N104" s="165">
        <x:f t="shared" si="84"/>
        <x:v>0</x:v>
      </x:c>
      <x:c r="O104" s="165">
        <x:f t="shared" si="84"/>
        <x:v>0</x:v>
      </x:c>
      <x:c r="P104" s="165">
        <x:f t="shared" si="84"/>
        <x:v>0</x:v>
      </x:c>
      <x:c r="Q104" s="165">
        <x:f t="shared" si="84"/>
        <x:v>0</x:v>
      </x:c>
      <x:c r="R104" s="166">
        <x:f t="shared" si="52"/>
        <x:v>0</x:v>
      </x:c>
      <x:c r="S104" s="6"/>
    </x:row>
    <x:row r="105" spans="1:19">
      <x:c r="A105" s="163" t="s">
        <x:v>30</x:v>
      </x:c>
      <x:c r="B105" s="163" t="s">
        <x:v>40</x:v>
      </x:c>
      <x:c r="C105" s="163" t="s">
        <x:v>49</x:v>
      </x:c>
      <x:c r="D105" s="163"/>
      <x:c r="E105" s="164">
        <x:f>VLOOKUP(B:B,'판매가,매입가'!B:I,7,0)</x:f>
        <x:v>0.63</x:v>
      </x:c>
      <x:c r="F105" s="165">
        <x:f t="shared" ref="F105:Q105" si="85">F4*$E$105</x:f>
        <x:v>0</x:v>
      </x:c>
      <x:c r="G105" s="165">
        <x:f t="shared" si="85"/>
        <x:v>0</x:v>
      </x:c>
      <x:c r="H105" s="165">
        <x:f t="shared" si="85"/>
        <x:v>0</x:v>
      </x:c>
      <x:c r="I105" s="165">
        <x:f t="shared" si="85"/>
        <x:v>0</x:v>
      </x:c>
      <x:c r="J105" s="165">
        <x:f t="shared" si="85"/>
        <x:v>0</x:v>
      </x:c>
      <x:c r="K105" s="165">
        <x:f t="shared" si="85"/>
        <x:v>0</x:v>
      </x:c>
      <x:c r="L105" s="165">
        <x:f t="shared" si="85"/>
        <x:v>0</x:v>
      </x:c>
      <x:c r="M105" s="165">
        <x:f t="shared" si="85"/>
        <x:v>0</x:v>
      </x:c>
      <x:c r="N105" s="165">
        <x:f t="shared" si="85"/>
        <x:v>0</x:v>
      </x:c>
      <x:c r="O105" s="165">
        <x:f t="shared" si="85"/>
        <x:v>0</x:v>
      </x:c>
      <x:c r="P105" s="165">
        <x:f t="shared" si="85"/>
        <x:v>0</x:v>
      </x:c>
      <x:c r="Q105" s="165">
        <x:f t="shared" si="85"/>
        <x:v>0</x:v>
      </x:c>
      <x:c r="R105" s="166">
        <x:f t="shared" si="52"/>
        <x:v>0</x:v>
      </x:c>
      <x:c r="S105" s="6"/>
    </x:row>
    <x:row r="106" spans="1:19">
      <x:c r="A106" s="163" t="s">
        <x:v>30</x:v>
      </x:c>
      <x:c r="B106" s="163" t="s">
        <x:v>33</x:v>
      </x:c>
      <x:c r="C106" s="163" t="s">
        <x:v>49</x:v>
      </x:c>
      <x:c r="D106" s="163"/>
      <x:c r="E106" s="164">
        <x:f>VLOOKUP(B:B,'판매가,매입가'!B:I,7,0)</x:f>
        <x:v>0.61</x:v>
      </x:c>
      <x:c r="F106" s="165">
        <x:f t="shared" ref="F106:Q106" si="86">F4*$E$106*3</x:f>
        <x:v>0</x:v>
      </x:c>
      <x:c r="G106" s="165">
        <x:f t="shared" si="86"/>
        <x:v>0</x:v>
      </x:c>
      <x:c r="H106" s="165">
        <x:f t="shared" si="86"/>
        <x:v>0</x:v>
      </x:c>
      <x:c r="I106" s="165">
        <x:f t="shared" si="86"/>
        <x:v>0</x:v>
      </x:c>
      <x:c r="J106" s="165">
        <x:f t="shared" si="86"/>
        <x:v>0</x:v>
      </x:c>
      <x:c r="K106" s="165">
        <x:f t="shared" si="86"/>
        <x:v>0</x:v>
      </x:c>
      <x:c r="L106" s="165">
        <x:f t="shared" si="86"/>
        <x:v>0</x:v>
      </x:c>
      <x:c r="M106" s="165">
        <x:f t="shared" si="86"/>
        <x:v>0</x:v>
      </x:c>
      <x:c r="N106" s="165">
        <x:f t="shared" si="86"/>
        <x:v>0</x:v>
      </x:c>
      <x:c r="O106" s="165">
        <x:f t="shared" si="86"/>
        <x:v>0</x:v>
      </x:c>
      <x:c r="P106" s="165">
        <x:f t="shared" si="86"/>
        <x:v>0</x:v>
      </x:c>
      <x:c r="Q106" s="165">
        <x:f t="shared" si="86"/>
        <x:v>0</x:v>
      </x:c>
      <x:c r="R106" s="166">
        <x:f t="shared" si="52"/>
        <x:v>0</x:v>
      </x:c>
      <x:c r="S106" s="6"/>
    </x:row>
    <x:row r="107" spans="1:19">
      <x:c r="A107" s="163" t="s">
        <x:v>165</x:v>
      </x:c>
      <x:c r="B107" s="163" t="s">
        <x:v>247</x:v>
      </x:c>
      <x:c r="C107" s="163" t="s">
        <x:v>49</x:v>
      </x:c>
      <x:c r="D107" s="167"/>
      <x:c r="E107" s="164">
        <x:f>VLOOKUP(B:B,'판매가,매입가'!B:I,7,0)</x:f>
        <x:v>6.97</x:v>
      </x:c>
      <x:c r="F107" s="165">
        <x:f>F28*$E$107</x:f>
        <x:v>314834.89999999997</x:v>
      </x:c>
      <x:c r="G107" s="165">
        <x:f t="shared" ref="G107:H107" si="87">G28*$E$107</x:f>
        <x:v>424549.67</x:v>
      </x:c>
      <x:c r="H107" s="165">
        <x:f t="shared" si="87"/>
        <x:v>432920.63999999996</x:v>
      </x:c>
      <x:c r="I107" s="165">
        <x:f t="shared" ref="I107:Q107" si="88">I5*$E$107*0.97</x:f>
        <x:v>420271.06579999992</x:v>
      </x:c>
      <x:c r="J107" s="165">
        <x:f t="shared" si="88"/>
        <x:v>532278.89610000001</x:v>
      </x:c>
      <x:c r="K107" s="165">
        <x:f t="shared" si="88"/>
        <x:v>372221.34949999995</x:v>
      </x:c>
      <x:c r="L107" s="165">
        <x:f t="shared" si="88"/>
        <x:v>299129.25959999999</x:v>
      </x:c>
      <x:c r="M107" s="165">
        <x:f t="shared" si="88"/>
        <x:v>353946.63679999998</x:v>
      </x:c>
      <x:c r="N107" s="165">
        <x:f t="shared" si="88"/>
        <x:v>233487.68149999998</x:v>
      </x:c>
      <x:c r="O107" s="165">
        <x:f t="shared" si="88"/>
        <x:v>326199.9032</x:v>
      </x:c>
      <x:c r="P107" s="165">
        <x:f t="shared" si="88"/>
        <x:v>196066.1</x:v>
      </x:c>
      <x:c r="Q107" s="165">
        <x:f t="shared" si="88"/>
        <x:v>196066.1</x:v>
      </x:c>
      <x:c r="R107" s="166">
        <x:f t="shared" si="52"/>
        <x:v>4101972.2025000001</x:v>
      </x:c>
      <x:c r="S107" s="6"/>
    </x:row>
    <x:row r="108" spans="1:19">
      <x:c r="A108" s="163" t="s">
        <x:v>165</x:v>
      </x:c>
      <x:c r="B108" s="163" t="s">
        <x:v>248</x:v>
      </x:c>
      <x:c r="C108" s="163" t="s">
        <x:v>49</x:v>
      </x:c>
      <x:c r="D108" s="167"/>
      <x:c r="E108" s="164">
        <x:f>VLOOKUP(B:B,'판매가,매입가'!B:I,7,0)</x:f>
        <x:v>9.4499999999999993</x:v>
      </x:c>
      <x:c r="F108" s="165">
        <x:f>F5*$E$108</x:f>
        <x:v>426856.49999999994</x:v>
      </x:c>
      <x:c r="G108" s="165">
        <x:f t="shared" ref="G108:H108" si="89">G5*$E$108</x:f>
        <x:v>575608.94999999995</x:v>
      </x:c>
      <x:c r="H108" s="165">
        <x:f t="shared" si="89"/>
        <x:v>586958.39999999991</x:v>
      </x:c>
      <x:c r="I108" s="165">
        <x:f t="shared" ref="I108:Q108" si="90">I5*$E$108*0.97</x:f>
        <x:v>569807.97299999988</x:v>
      </x:c>
      <x:c r="J108" s="165">
        <x:f t="shared" si="90"/>
        <x:v>721669.37849999988</x:v>
      </x:c>
      <x:c r="K108" s="165">
        <x:f t="shared" si="90"/>
        <x:v>504661.65749999991</x:v>
      </x:c>
      <x:c r="L108" s="165">
        <x:f t="shared" si="90"/>
        <x:v>405562.62599999999</x:v>
      </x:c>
      <x:c r="M108" s="165">
        <x:f t="shared" si="90"/>
        <x:v>479884.60799999995</x:v>
      </x:c>
      <x:c r="N108" s="165">
        <x:f t="shared" si="90"/>
        <x:v>316565.07750000001</x:v>
      </x:c>
      <x:c r="O108" s="165">
        <x:f t="shared" si="90"/>
        <x:v>442265.29199999996</x:v>
      </x:c>
      <x:c r="P108" s="165">
        <x:f t="shared" si="90"/>
        <x:v>265828.5</x:v>
      </x:c>
      <x:c r="Q108" s="165">
        <x:f t="shared" si="90"/>
        <x:v>265828.5</x:v>
      </x:c>
      <x:c r="R108" s="166">
        <x:f t="shared" si="52"/>
        <x:v>5561497.4624999994</x:v>
      </x:c>
      <x:c r="S108" s="6"/>
    </x:row>
    <x:row r="109" spans="1:19">
      <x:c r="A109" s="163" t="s">
        <x:v>200</x:v>
      </x:c>
      <x:c r="B109" s="163" t="s">
        <x:v>201</x:v>
      </x:c>
      <x:c r="C109" s="163" t="s">
        <x:v>49</x:v>
      </x:c>
      <x:c r="D109" s="163"/>
      <x:c r="E109" s="164">
        <x:f>VLOOKUP(B:B,'판매가,매입가'!B:I,7,0)</x:f>
        <x:v>6.11</x:v>
      </x:c>
      <x:c r="F109" s="165">
        <x:f>F6*$E$109</x:f>
        <x:v>5499</x:v>
      </x:c>
      <x:c r="G109" s="165">
        <x:f t="shared" ref="G109:H109" si="91">G6*$E$109</x:f>
        <x:v>7332</x:v>
      </x:c>
      <x:c r="H109" s="165">
        <x:f t="shared" si="91"/>
        <x:v>8554</x:v>
      </x:c>
      <x:c r="I109" s="165">
        <x:f t="shared" ref="I109:Q109" si="92">I6*$E$109</x:f>
        <x:v>7332</x:v>
      </x:c>
      <x:c r="J109" s="165">
        <x:f t="shared" si="92"/>
        <x:v>5499</x:v>
      </x:c>
      <x:c r="K109" s="165">
        <x:f t="shared" si="92"/>
        <x:v>7943</x:v>
      </x:c>
      <x:c r="L109" s="165">
        <x:f t="shared" si="92"/>
        <x:v>6110</x:v>
      </x:c>
      <x:c r="M109" s="165">
        <x:f t="shared" si="92"/>
        <x:v>9165</x:v>
      </x:c>
      <x:c r="N109" s="165">
        <x:f t="shared" si="92"/>
        <x:v>7332</x:v>
      </x:c>
      <x:c r="O109" s="165">
        <x:f t="shared" si="92"/>
        <x:v>7332</x:v>
      </x:c>
      <x:c r="P109" s="165">
        <x:f t="shared" si="92"/>
        <x:v>7332</x:v>
      </x:c>
      <x:c r="Q109" s="165">
        <x:f t="shared" si="92"/>
        <x:v>7332</x:v>
      </x:c>
      <x:c r="R109" s="166">
        <x:f t="shared" si="52"/>
        <x:v>86762</x:v>
      </x:c>
    </x:row>
    <x:row r="110" spans="1:19">
      <x:c r="A110" s="158"/>
      <x:c r="B110" s="158"/>
      <x:c r="C110" s="158"/>
      <x:c r="D110" s="158"/>
      <x:c r="E110" s="158"/>
      <x:c r="F110" s="168">
        <x:f t="shared" ref="F110:R110" si="93">SUM(F82:F109)</x:f>
        <x:v>1692798.4000000001</x:v>
      </x:c>
      <x:c r="G110" s="168">
        <x:f t="shared" si="93"/>
        <x:v>1507352.6199999999</x:v>
      </x:c>
      <x:c r="H110" s="168">
        <x:f t="shared" si="93"/>
        <x:v>1251909.0399999998</x:v>
      </x:c>
      <x:c r="I110" s="168">
        <x:f t="shared" si="93"/>
        <x:v>1956792.2387999999</x:v>
      </x:c>
      <x:c r="J110" s="168">
        <x:f t="shared" si="93"/>
        <x:v>1584503.2745999999</x:v>
      </x:c>
      <x:c r="K110" s="168">
        <x:f t="shared" si="93"/>
        <x:v>1151531.3070289146</x:v>
      </x:c>
      <x:c r="L110" s="168">
        <x:f t="shared" si="93"/>
        <x:v>977507.18562891451</x:v>
      </x:c>
      <x:c r="M110" s="168">
        <x:f t="shared" si="93"/>
        <x:v>1109701.5448289146</x:v>
      </x:c>
      <x:c r="N110" s="168">
        <x:f t="shared" si="93"/>
        <x:v>824090.05902891455</x:v>
      </x:c>
      <x:c r="O110" s="168">
        <x:f t="shared" si="93"/>
        <x:v>1042502.4952289145</x:v>
      </x:c>
      <x:c r="P110" s="168">
        <x:f t="shared" si="93"/>
        <x:v>735931.90002891456</x:v>
      </x:c>
      <x:c r="Q110" s="168">
        <x:f t="shared" si="93"/>
        <x:v>735931.90002891456</x:v>
      </x:c>
      <x:c r="R110" s="168">
        <x:f t="shared" si="93"/>
        <x:v>14570551.965202402</x:v>
      </x:c>
    </x:row>
    <x:row r="111" spans="1:19">
      <x:c r="A111" s="158" t="s">
        <x:v>284</x:v>
      </x:c>
      <x:c r="B111" s="158"/>
      <x:c r="C111" s="158"/>
      <x:c r="D111" s="158"/>
      <x:c r="E111" s="158"/>
      <x:c r="F111" s="168"/>
      <x:c r="G111" s="168"/>
      <x:c r="H111" s="168"/>
      <x:c r="I111" s="168"/>
      <x:c r="J111" s="168"/>
      <x:c r="K111" s="168"/>
      <x:c r="L111" s="168"/>
      <x:c r="M111" s="168"/>
      <x:c r="N111" s="168"/>
      <x:c r="O111" s="168"/>
      <x:c r="P111" s="168"/>
      <x:c r="Q111" s="168"/>
      <x:c r="R111" s="168"/>
    </x:row>
    <x:row r="112" spans="1:19">
      <x:c r="A112" s="163" t="s">
        <x:v>0</x:v>
      </x:c>
      <x:c r="B112" s="163" t="s">
        <x:v>254</x:v>
      </x:c>
      <x:c r="C112" s="163" t="s">
        <x:v>101</x:v>
      </x:c>
      <x:c r="D112" s="163"/>
      <x:c r="E112" s="164">
        <x:f>VLOOKUP(B:B,'판매가,매입가'!B:I,3,0)</x:f>
        <x:v>2.35</x:v>
      </x:c>
      <x:c r="F112" s="165">
        <x:f>F9*$E$112</x:f>
        <x:v>0</x:v>
      </x:c>
      <x:c r="G112" s="165">
        <x:f t="shared" ref="G112:Q112" si="94">G9*$E$112</x:f>
        <x:v>0</x:v>
      </x:c>
      <x:c r="H112" s="165">
        <x:f t="shared" si="94"/>
        <x:v>2350</x:v>
      </x:c>
      <x:c r="I112" s="165">
        <x:f t="shared" si="94"/>
        <x:v>0</x:v>
      </x:c>
      <x:c r="J112" s="165">
        <x:f t="shared" si="94"/>
        <x:v>0</x:v>
      </x:c>
      <x:c r="K112" s="165">
        <x:f t="shared" si="94"/>
        <x:v>0</x:v>
      </x:c>
      <x:c r="L112" s="165">
        <x:f t="shared" si="94"/>
        <x:v>0</x:v>
      </x:c>
      <x:c r="M112" s="165">
        <x:f t="shared" si="94"/>
        <x:v>0</x:v>
      </x:c>
      <x:c r="N112" s="165">
        <x:f t="shared" si="94"/>
        <x:v>0</x:v>
      </x:c>
      <x:c r="O112" s="165">
        <x:f t="shared" si="94"/>
        <x:v>0</x:v>
      </x:c>
      <x:c r="P112" s="165">
        <x:f t="shared" si="94"/>
        <x:v>0</x:v>
      </x:c>
      <x:c r="Q112" s="165">
        <x:f t="shared" si="94"/>
        <x:v>0</x:v>
      </x:c>
      <x:c r="R112" s="166">
        <x:f t="shared" ref="R112:R132" si="95">SUM(F112:Q112)</x:f>
        <x:v>2350</x:v>
      </x:c>
      <x:c r="S112" s="6"/>
    </x:row>
    <x:row r="113" spans="1:19">
      <x:c r="A113" s="163" t="s">
        <x:v>0</x:v>
      </x:c>
      <x:c r="B113" s="163" t="s">
        <x:v>255</x:v>
      </x:c>
      <x:c r="C113" s="163" t="s">
        <x:v>101</x:v>
      </x:c>
      <x:c r="D113" s="163"/>
      <x:c r="E113" s="164">
        <x:f>VLOOKUP(B:B,'판매가,매입가'!B:I,3,0)</x:f>
        <x:v>7.68</x:v>
      </x:c>
      <x:c r="F113" s="165">
        <x:f>F10*$E$113</x:f>
        <x:v>0</x:v>
      </x:c>
      <x:c r="G113" s="165">
        <x:f t="shared" ref="G113:Q113" si="96">G10*$E$113</x:f>
        <x:v>0</x:v>
      </x:c>
      <x:c r="H113" s="165">
        <x:f t="shared" si="96"/>
        <x:v>4608</x:v>
      </x:c>
      <x:c r="I113" s="165">
        <x:f t="shared" si="96"/>
        <x:v>4608</x:v>
      </x:c>
      <x:c r="J113" s="165">
        <x:f t="shared" si="96"/>
        <x:v>0</x:v>
      </x:c>
      <x:c r="K113" s="165">
        <x:f t="shared" si="96"/>
        <x:v>0</x:v>
      </x:c>
      <x:c r="L113" s="165">
        <x:f t="shared" si="96"/>
        <x:v>0</x:v>
      </x:c>
      <x:c r="M113" s="165">
        <x:f t="shared" si="96"/>
        <x:v>0</x:v>
      </x:c>
      <x:c r="N113" s="165">
        <x:f t="shared" si="96"/>
        <x:v>0</x:v>
      </x:c>
      <x:c r="O113" s="165">
        <x:f t="shared" si="96"/>
        <x:v>0</x:v>
      </x:c>
      <x:c r="P113" s="165">
        <x:f t="shared" si="96"/>
        <x:v>0</x:v>
      </x:c>
      <x:c r="Q113" s="165">
        <x:f t="shared" si="96"/>
        <x:v>0</x:v>
      </x:c>
      <x:c r="R113" s="166">
        <x:f t="shared" si="95"/>
        <x:v>9216</x:v>
      </x:c>
      <x:c r="S113" s="6"/>
    </x:row>
    <x:row r="114" spans="1:19">
      <x:c r="A114" s="163" t="s">
        <x:v>0</x:v>
      </x:c>
      <x:c r="B114" s="163" t="s">
        <x:v>253</x:v>
      </x:c>
      <x:c r="C114" s="163" t="s">
        <x:v>101</x:v>
      </x:c>
      <x:c r="D114" s="163"/>
      <x:c r="E114" s="164">
        <x:f>VLOOKUP(B:B,'판매가,매입가'!B:I,3,0)</x:f>
        <x:v>85.86</x:v>
      </x:c>
      <x:c r="F114" s="165">
        <x:f>F11*$E$114</x:f>
        <x:v>28848.960000000006</x:v>
      </x:c>
      <x:c r="G114" s="165">
        <x:f t="shared" ref="G114:Q114" si="97">G11*$E$114</x:f>
        <x:v>33657.120000000003</x:v>
      </x:c>
      <x:c r="H114" s="165">
        <x:f t="shared" si="97"/>
        <x:v>36061.200000000004</x:v>
      </x:c>
      <x:c r="I114" s="165">
        <x:f t="shared" si="97"/>
        <x:v>36061.200000000004</x:v>
      </x:c>
      <x:c r="J114" s="165">
        <x:f t="shared" si="97"/>
        <x:v>36061.200000000004</x:v>
      </x:c>
      <x:c r="K114" s="165">
        <x:f t="shared" si="97"/>
        <x:v>0</x:v>
      </x:c>
      <x:c r="L114" s="165">
        <x:f t="shared" si="97"/>
        <x:v>0</x:v>
      </x:c>
      <x:c r="M114" s="165">
        <x:f t="shared" si="97"/>
        <x:v>0</x:v>
      </x:c>
      <x:c r="N114" s="165">
        <x:f t="shared" si="97"/>
        <x:v>0</x:v>
      </x:c>
      <x:c r="O114" s="165">
        <x:f t="shared" si="97"/>
        <x:v>0</x:v>
      </x:c>
      <x:c r="P114" s="165">
        <x:f t="shared" si="97"/>
        <x:v>0</x:v>
      </x:c>
      <x:c r="Q114" s="165">
        <x:f t="shared" si="97"/>
        <x:v>0</x:v>
      </x:c>
      <x:c r="R114" s="166">
        <x:f t="shared" si="95"/>
        <x:v>170689.68000000002</x:v>
      </x:c>
      <x:c r="S114" s="6"/>
    </x:row>
    <x:row r="115" spans="1:19">
      <x:c r="A115" s="163" t="s">
        <x:v>0</x:v>
      </x:c>
      <x:c r="B115" s="163" t="s">
        <x:v>252</x:v>
      </x:c>
      <x:c r="C115" s="163" t="s">
        <x:v>101</x:v>
      </x:c>
      <x:c r="D115" s="163"/>
      <x:c r="E115" s="164">
        <x:f>VLOOKUP(B:B,'판매가,매입가'!B:I,3,0)</x:f>
        <x:v>18.46</x:v>
      </x:c>
      <x:c r="F115" s="165">
        <x:f>F12*$E$115</x:f>
        <x:v>0</x:v>
      </x:c>
      <x:c r="G115" s="165">
        <x:f t="shared" ref="G115:Q115" si="98">G12*$E$115</x:f>
        <x:v>0</x:v>
      </x:c>
      <x:c r="H115" s="165">
        <x:f t="shared" si="98"/>
        <x:v>0</x:v>
      </x:c>
      <x:c r="I115" s="165">
        <x:f t="shared" si="98"/>
        <x:v>0</x:v>
      </x:c>
      <x:c r="J115" s="165">
        <x:f t="shared" si="98"/>
        <x:v>0</x:v>
      </x:c>
      <x:c r="K115" s="165">
        <x:f t="shared" si="98"/>
        <x:v>0</x:v>
      </x:c>
      <x:c r="L115" s="165">
        <x:f t="shared" si="98"/>
        <x:v>0</x:v>
      </x:c>
      <x:c r="M115" s="165">
        <x:f t="shared" si="98"/>
        <x:v>0</x:v>
      </x:c>
      <x:c r="N115" s="165">
        <x:f t="shared" si="98"/>
        <x:v>0</x:v>
      </x:c>
      <x:c r="O115" s="165">
        <x:f t="shared" si="98"/>
        <x:v>0</x:v>
      </x:c>
      <x:c r="P115" s="165">
        <x:f t="shared" si="98"/>
        <x:v>0</x:v>
      </x:c>
      <x:c r="Q115" s="165">
        <x:f t="shared" si="98"/>
        <x:v>0</x:v>
      </x:c>
      <x:c r="R115" s="166">
        <x:f t="shared" si="95"/>
        <x:v>0</x:v>
      </x:c>
      <x:c r="S115" s="6"/>
    </x:row>
    <x:row r="116" spans="1:19">
      <x:c r="A116" s="163" t="s">
        <x:v>0</x:v>
      </x:c>
      <x:c r="B116" s="163" t="s">
        <x:v>251</x:v>
      </x:c>
      <x:c r="C116" s="163" t="s">
        <x:v>101</x:v>
      </x:c>
      <x:c r="D116" s="163"/>
      <x:c r="E116" s="164">
        <x:f>VLOOKUP(B:B,'판매가,매입가'!B:I,3,0)</x:f>
        <x:v>106.61</x:v>
      </x:c>
      <x:c r="F116" s="165">
        <x:f>F13*$E$116</x:f>
        <x:v>0</x:v>
      </x:c>
      <x:c r="G116" s="165">
        <x:f t="shared" ref="G116:Q116" si="99">G13*$E$116</x:f>
        <x:v>0</x:v>
      </x:c>
      <x:c r="H116" s="165">
        <x:f t="shared" si="99"/>
        <x:v>0</x:v>
      </x:c>
      <x:c r="I116" s="165">
        <x:f t="shared" si="99"/>
        <x:v>0</x:v>
      </x:c>
      <x:c r="J116" s="165">
        <x:f t="shared" si="99"/>
        <x:v>0</x:v>
      </x:c>
      <x:c r="K116" s="165">
        <x:f t="shared" si="99"/>
        <x:v>0</x:v>
      </x:c>
      <x:c r="L116" s="165">
        <x:f t="shared" si="99"/>
        <x:v>0</x:v>
      </x:c>
      <x:c r="M116" s="165">
        <x:f t="shared" si="99"/>
        <x:v>0</x:v>
      </x:c>
      <x:c r="N116" s="165">
        <x:f t="shared" si="99"/>
        <x:v>0</x:v>
      </x:c>
      <x:c r="O116" s="165">
        <x:f t="shared" si="99"/>
        <x:v>0</x:v>
      </x:c>
      <x:c r="P116" s="165">
        <x:f t="shared" si="99"/>
        <x:v>0</x:v>
      </x:c>
      <x:c r="Q116" s="165">
        <x:f t="shared" si="99"/>
        <x:v>0</x:v>
      </x:c>
      <x:c r="R116" s="166">
        <x:f t="shared" si="95"/>
        <x:v>0</x:v>
      </x:c>
      <x:c r="S116" s="6"/>
    </x:row>
    <x:row r="117" spans="1:19">
      <x:c r="A117" s="163" t="s">
        <x:v>0</x:v>
      </x:c>
      <x:c r="B117" s="163" t="s">
        <x:v>272</x:v>
      </x:c>
      <x:c r="C117" s="163" t="s">
        <x:v>101</x:v>
      </x:c>
      <x:c r="D117" s="163"/>
      <x:c r="E117" s="164">
        <x:f>VLOOKUP(B:B,'판매가,매입가'!B:I,3,0)</x:f>
        <x:v>3.46</x:v>
      </x:c>
      <x:c r="F117" s="165">
        <x:f>F14*$E$117</x:f>
        <x:v>0</x:v>
      </x:c>
      <x:c r="G117" s="165">
        <x:f t="shared" ref="G117:Q117" si="100">G14*$E$117</x:f>
        <x:v>0</x:v>
      </x:c>
      <x:c r="H117" s="165">
        <x:f t="shared" si="100"/>
        <x:v>0</x:v>
      </x:c>
      <x:c r="I117" s="165">
        <x:f t="shared" si="100"/>
        <x:v>0</x:v>
      </x:c>
      <x:c r="J117" s="165">
        <x:f t="shared" si="100"/>
        <x:v>0</x:v>
      </x:c>
      <x:c r="K117" s="165">
        <x:f t="shared" si="100"/>
        <x:v>0</x:v>
      </x:c>
      <x:c r="L117" s="165">
        <x:f t="shared" si="100"/>
        <x:v>0</x:v>
      </x:c>
      <x:c r="M117" s="165">
        <x:f t="shared" si="100"/>
        <x:v>0</x:v>
      </x:c>
      <x:c r="N117" s="165">
        <x:f t="shared" si="100"/>
        <x:v>0</x:v>
      </x:c>
      <x:c r="O117" s="165">
        <x:f t="shared" si="100"/>
        <x:v>0</x:v>
      </x:c>
      <x:c r="P117" s="165">
        <x:f t="shared" si="100"/>
        <x:v>0</x:v>
      </x:c>
      <x:c r="Q117" s="165">
        <x:f t="shared" si="100"/>
        <x:v>0</x:v>
      </x:c>
      <x:c r="R117" s="166">
        <x:f t="shared" si="95"/>
        <x:v>0</x:v>
      </x:c>
      <x:c r="S117" s="6"/>
    </x:row>
    <x:row r="118" spans="1:19">
      <x:c r="A118" s="163" t="s">
        <x:v>0</x:v>
      </x:c>
      <x:c r="B118" s="163" t="s">
        <x:v>273</x:v>
      </x:c>
      <x:c r="C118" s="163" t="s">
        <x:v>101</x:v>
      </x:c>
      <x:c r="D118" s="163"/>
      <x:c r="E118" s="164">
        <x:f>VLOOKUP(B:B,'판매가,매입가'!B:I,3,0)</x:f>
        <x:v>11.29</x:v>
      </x:c>
      <x:c r="F118" s="165">
        <x:f>F15*$E$118</x:f>
        <x:v>0</x:v>
      </x:c>
      <x:c r="G118" s="165">
        <x:f t="shared" ref="G118:Q118" si="101">G15*$E$118</x:f>
        <x:v>0</x:v>
      </x:c>
      <x:c r="H118" s="165">
        <x:f t="shared" si="101"/>
        <x:v>0</x:v>
      </x:c>
      <x:c r="I118" s="165">
        <x:f t="shared" si="101"/>
        <x:v>0</x:v>
      </x:c>
      <x:c r="J118" s="165">
        <x:f t="shared" si="101"/>
        <x:v>0</x:v>
      </x:c>
      <x:c r="K118" s="165">
        <x:f t="shared" si="101"/>
        <x:v>0</x:v>
      </x:c>
      <x:c r="L118" s="165">
        <x:f t="shared" si="101"/>
        <x:v>0</x:v>
      </x:c>
      <x:c r="M118" s="165">
        <x:f t="shared" si="101"/>
        <x:v>0</x:v>
      </x:c>
      <x:c r="N118" s="165">
        <x:f t="shared" si="101"/>
        <x:v>0</x:v>
      </x:c>
      <x:c r="O118" s="165">
        <x:f t="shared" si="101"/>
        <x:v>0</x:v>
      </x:c>
      <x:c r="P118" s="165">
        <x:f t="shared" si="101"/>
        <x:v>0</x:v>
      </x:c>
      <x:c r="Q118" s="165">
        <x:f t="shared" si="101"/>
        <x:v>0</x:v>
      </x:c>
      <x:c r="R118" s="166">
        <x:f t="shared" si="95"/>
        <x:v>0</x:v>
      </x:c>
      <x:c r="S118" s="6"/>
    </x:row>
    <x:row r="119" spans="1:19">
      <x:c r="A119" s="163" t="s">
        <x:v>0</x:v>
      </x:c>
      <x:c r="B119" s="163" t="s">
        <x:v>271</x:v>
      </x:c>
      <x:c r="C119" s="163" t="s">
        <x:v>101</x:v>
      </x:c>
      <x:c r="D119" s="163"/>
      <x:c r="E119" s="164">
        <x:f>VLOOKUP(B:B,'판매가,매입가'!B:I,3,0)</x:f>
        <x:v>126.26</x:v>
      </x:c>
      <x:c r="F119" s="165">
        <x:f>F16*$E$119</x:f>
        <x:v>0</x:v>
      </x:c>
      <x:c r="G119" s="165">
        <x:f t="shared" ref="G119:Q119" si="102">G16*$E$119</x:f>
        <x:v>0</x:v>
      </x:c>
      <x:c r="H119" s="165">
        <x:f t="shared" si="102"/>
        <x:v>0</x:v>
      </x:c>
      <x:c r="I119" s="165">
        <x:f t="shared" si="102"/>
        <x:v>0</x:v>
      </x:c>
      <x:c r="J119" s="165">
        <x:f t="shared" si="102"/>
        <x:v>0</x:v>
      </x:c>
      <x:c r="K119" s="165">
        <x:f t="shared" si="102"/>
        <x:v>70705.600000000006</x:v>
      </x:c>
      <x:c r="L119" s="165">
        <x:f t="shared" si="102"/>
        <x:v>53029.200000000012</x:v>
      </x:c>
      <x:c r="M119" s="165">
        <x:f t="shared" si="102"/>
        <x:v>95452.560000000012</x:v>
      </x:c>
      <x:c r="N119" s="165">
        <x:f t="shared" si="102"/>
        <x:v>53029.200000000012</x:v>
      </x:c>
      <x:c r="O119" s="165">
        <x:f t="shared" si="102"/>
        <x:v>70705.600000000006</x:v>
      </x:c>
      <x:c r="P119" s="165">
        <x:f t="shared" si="102"/>
        <x:v>35352.800000000003</x:v>
      </x:c>
      <x:c r="Q119" s="165">
        <x:f t="shared" si="102"/>
        <x:v>24746.960000000006</x:v>
      </x:c>
      <x:c r="R119" s="166">
        <x:f t="shared" si="95"/>
        <x:v>403021.92000000004</x:v>
      </x:c>
      <x:c r="S119" s="6"/>
    </x:row>
    <x:row r="120" spans="1:19">
      <x:c r="A120" s="163" t="s">
        <x:v>0</x:v>
      </x:c>
      <x:c r="B120" s="163" t="s">
        <x:v>270</x:v>
      </x:c>
      <x:c r="C120" s="163" t="s">
        <x:v>101</x:v>
      </x:c>
      <x:c r="D120" s="163"/>
      <x:c r="E120" s="164">
        <x:f>VLOOKUP(B:B,'판매가,매입가'!B:I,3,0)</x:f>
        <x:v>27.14</x:v>
      </x:c>
      <x:c r="F120" s="165">
        <x:f>F17*$E$120</x:f>
        <x:v>0</x:v>
      </x:c>
      <x:c r="G120" s="165">
        <x:f t="shared" ref="G120:Q120" si="103">G17*$E$120</x:f>
        <x:v>0</x:v>
      </x:c>
      <x:c r="H120" s="165">
        <x:f t="shared" si="103"/>
        <x:v>0</x:v>
      </x:c>
      <x:c r="I120" s="165">
        <x:f t="shared" si="103"/>
        <x:v>0</x:v>
      </x:c>
      <x:c r="J120" s="165">
        <x:f t="shared" si="103"/>
        <x:v>0</x:v>
      </x:c>
      <x:c r="K120" s="165">
        <x:f t="shared" si="103"/>
        <x:v>0</x:v>
      </x:c>
      <x:c r="L120" s="165">
        <x:f t="shared" si="103"/>
        <x:v>0</x:v>
      </x:c>
      <x:c r="M120" s="165">
        <x:f t="shared" si="103"/>
        <x:v>0</x:v>
      </x:c>
      <x:c r="N120" s="165">
        <x:f t="shared" si="103"/>
        <x:v>0</x:v>
      </x:c>
      <x:c r="O120" s="165">
        <x:f t="shared" si="103"/>
        <x:v>0</x:v>
      </x:c>
      <x:c r="P120" s="165">
        <x:f t="shared" si="103"/>
        <x:v>0</x:v>
      </x:c>
      <x:c r="Q120" s="165">
        <x:f t="shared" si="103"/>
        <x:v>0</x:v>
      </x:c>
      <x:c r="R120" s="166">
        <x:f t="shared" si="95"/>
        <x:v>0</x:v>
      </x:c>
      <x:c r="S120" s="6"/>
    </x:row>
    <x:row r="121" spans="1:19">
      <x:c r="A121" s="163" t="s">
        <x:v>0</x:v>
      </x:c>
      <x:c r="B121" s="163" t="s">
        <x:v>269</x:v>
      </x:c>
      <x:c r="C121" s="163" t="s">
        <x:v>101</x:v>
      </x:c>
      <x:c r="D121" s="163"/>
      <x:c r="E121" s="164">
        <x:f>VLOOKUP(B:B,'판매가,매입가'!B:I,3,0)</x:f>
        <x:v>156.75</x:v>
      </x:c>
      <x:c r="F121" s="165">
        <x:f>F18*$E$121</x:f>
        <x:v>0</x:v>
      </x:c>
      <x:c r="G121" s="165">
        <x:f t="shared" ref="G121:Q121" si="104">G18*$E$121</x:f>
        <x:v>0</x:v>
      </x:c>
      <x:c r="H121" s="165">
        <x:f t="shared" si="104"/>
        <x:v>0</x:v>
      </x:c>
      <x:c r="I121" s="165">
        <x:f t="shared" si="104"/>
        <x:v>0</x:v>
      </x:c>
      <x:c r="J121" s="165">
        <x:f t="shared" si="104"/>
        <x:v>0</x:v>
      </x:c>
      <x:c r="K121" s="165">
        <x:f t="shared" si="104"/>
        <x:v>0</x:v>
      </x:c>
      <x:c r="L121" s="165">
        <x:f t="shared" si="104"/>
        <x:v>0</x:v>
      </x:c>
      <x:c r="M121" s="165">
        <x:f t="shared" si="104"/>
        <x:v>0</x:v>
      </x:c>
      <x:c r="N121" s="165">
        <x:f t="shared" si="104"/>
        <x:v>0</x:v>
      </x:c>
      <x:c r="O121" s="165">
        <x:f t="shared" si="104"/>
        <x:v>0</x:v>
      </x:c>
      <x:c r="P121" s="165">
        <x:f t="shared" si="104"/>
        <x:v>0</x:v>
      </x:c>
      <x:c r="Q121" s="165">
        <x:f t="shared" si="104"/>
        <x:v>0</x:v>
      </x:c>
      <x:c r="R121" s="166">
        <x:f t="shared" si="95"/>
        <x:v>0</x:v>
      </x:c>
      <x:c r="S121" s="6"/>
    </x:row>
    <x:row r="122" spans="1:19">
      <x:c r="A122" s="163" t="s">
        <x:v>0</x:v>
      </x:c>
      <x:c r="B122" s="163" t="s">
        <x:v>33</x:v>
      </x:c>
      <x:c r="C122" s="163" t="s">
        <x:v>101</x:v>
      </x:c>
      <x:c r="D122" s="163"/>
      <x:c r="E122" s="164">
        <x:f>VLOOKUP(B:B,'판매가,매입가'!B:I,3,0)</x:f>
        <x:v>0.56000000000000005</x:v>
      </x:c>
      <x:c r="F122" s="165">
        <x:f>F19*$E$122*4</x:f>
        <x:v>0</x:v>
      </x:c>
      <x:c r="G122" s="165">
        <x:f t="shared" ref="G122:Q122" si="105">G19*$E$122*4</x:f>
        <x:v>0</x:v>
      </x:c>
      <x:c r="H122" s="165">
        <x:f t="shared" si="105"/>
        <x:v>0</x:v>
      </x:c>
      <x:c r="I122" s="165">
        <x:f t="shared" si="105"/>
        <x:v>0</x:v>
      </x:c>
      <x:c r="J122" s="165">
        <x:f t="shared" si="105"/>
        <x:v>0</x:v>
      </x:c>
      <x:c r="K122" s="165">
        <x:f t="shared" si="105"/>
        <x:v>0</x:v>
      </x:c>
      <x:c r="L122" s="165">
        <x:f t="shared" si="105"/>
        <x:v>0</x:v>
      </x:c>
      <x:c r="M122" s="165">
        <x:f t="shared" si="105"/>
        <x:v>0</x:v>
      </x:c>
      <x:c r="N122" s="165">
        <x:f t="shared" si="105"/>
        <x:v>0</x:v>
      </x:c>
      <x:c r="O122" s="165">
        <x:f t="shared" si="105"/>
        <x:v>0</x:v>
      </x:c>
      <x:c r="P122" s="165">
        <x:f t="shared" si="105"/>
        <x:v>0</x:v>
      </x:c>
      <x:c r="Q122" s="165">
        <x:f t="shared" si="105"/>
        <x:v>0</x:v>
      </x:c>
      <x:c r="R122" s="166">
        <x:f t="shared" si="95"/>
        <x:v>0</x:v>
      </x:c>
      <x:c r="S122" s="6"/>
    </x:row>
    <x:row r="123" spans="1:19">
      <x:c r="A123" s="163" t="s">
        <x:v>1</x:v>
      </x:c>
      <x:c r="B123" s="163" t="s">
        <x:v>34</x:v>
      </x:c>
      <x:c r="C123" s="163" t="s">
        <x:v>101</x:v>
      </x:c>
      <x:c r="D123" s="163"/>
      <x:c r="E123" s="164">
        <x:f>VLOOKUP(B:B,'판매가,매입가'!B:I,3,0)</x:f>
        <x:v>3.74</x:v>
      </x:c>
      <x:c r="F123" s="165">
        <x:f>F20*$E$123</x:f>
        <x:v>3740</x:v>
      </x:c>
      <x:c r="G123" s="165">
        <x:f t="shared" ref="G123:Q123" si="106">G20*$E$123</x:f>
        <x:v>0</x:v>
      </x:c>
      <x:c r="H123" s="165">
        <x:f t="shared" si="106"/>
        <x:v>0</x:v>
      </x:c>
      <x:c r="I123" s="165">
        <x:f t="shared" si="106"/>
        <x:v>0</x:v>
      </x:c>
      <x:c r="J123" s="165">
        <x:f t="shared" si="106"/>
        <x:v>6732</x:v>
      </x:c>
      <x:c r="K123" s="165">
        <x:f t="shared" si="106"/>
        <x:v>6732</x:v>
      </x:c>
      <x:c r="L123" s="165">
        <x:f t="shared" si="106"/>
        <x:v>6732</x:v>
      </x:c>
      <x:c r="M123" s="165">
        <x:f t="shared" si="106"/>
        <x:v>6732</x:v>
      </x:c>
      <x:c r="N123" s="165">
        <x:f t="shared" si="106"/>
        <x:v>6732</x:v>
      </x:c>
      <x:c r="O123" s="165">
        <x:f t="shared" si="106"/>
        <x:v>6732</x:v>
      </x:c>
      <x:c r="P123" s="165">
        <x:f t="shared" si="106"/>
        <x:v>6732</x:v>
      </x:c>
      <x:c r="Q123" s="165">
        <x:f t="shared" si="106"/>
        <x:v>6732</x:v>
      </x:c>
      <x:c r="R123" s="166">
        <x:f t="shared" si="95"/>
        <x:v>57596</x:v>
      </x:c>
      <x:c r="S123" s="6"/>
    </x:row>
    <x:row r="124" spans="1:19">
      <x:c r="A124" s="163" t="s">
        <x:v>1</x:v>
      </x:c>
      <x:c r="B124" s="163" t="s">
        <x:v>154</x:v>
      </x:c>
      <x:c r="C124" s="163" t="s">
        <x:v>101</x:v>
      </x:c>
      <x:c r="D124" s="163"/>
      <x:c r="E124" s="164">
        <x:f>VLOOKUP(B:B,'판매가,매입가'!B:I,3,0)</x:f>
        <x:v>7.71</x:v>
      </x:c>
      <x:c r="F124" s="165">
        <x:f>F21*$E$124</x:f>
        <x:v>7710</x:v>
      </x:c>
      <x:c r="G124" s="165">
        <x:f t="shared" ref="G124:Q124" si="107">G21*$E$124</x:f>
        <x:v>8866.5</x:v>
      </x:c>
      <x:c r="H124" s="165">
        <x:f t="shared" si="107"/>
        <x:v>0</x:v>
      </x:c>
      <x:c r="I124" s="165">
        <x:f t="shared" si="107"/>
        <x:v>0</x:v>
      </x:c>
      <x:c r="J124" s="165">
        <x:f t="shared" si="107"/>
        <x:v>13878</x:v>
      </x:c>
      <x:c r="K124" s="165">
        <x:f t="shared" si="107"/>
        <x:v>13878</x:v>
      </x:c>
      <x:c r="L124" s="165">
        <x:f t="shared" si="107"/>
        <x:v>13878</x:v>
      </x:c>
      <x:c r="M124" s="165">
        <x:f t="shared" si="107"/>
        <x:v>13878</x:v>
      </x:c>
      <x:c r="N124" s="165">
        <x:f t="shared" si="107"/>
        <x:v>13878</x:v>
      </x:c>
      <x:c r="O124" s="165">
        <x:f t="shared" si="107"/>
        <x:v>13878</x:v>
      </x:c>
      <x:c r="P124" s="165">
        <x:f t="shared" si="107"/>
        <x:v>13878</x:v>
      </x:c>
      <x:c r="Q124" s="165">
        <x:f t="shared" si="107"/>
        <x:v>13878</x:v>
      </x:c>
      <x:c r="R124" s="166">
        <x:f t="shared" si="95"/>
        <x:v>127600.5</x:v>
      </x:c>
      <x:c r="S124" s="6"/>
    </x:row>
    <x:row r="125" spans="1:19">
      <x:c r="A125" s="163" t="s">
        <x:v>1</x:v>
      </x:c>
      <x:c r="B125" s="163" t="s">
        <x:v>155</x:v>
      </x:c>
      <x:c r="C125" s="163" t="s">
        <x:v>101</x:v>
      </x:c>
      <x:c r="D125" s="163"/>
      <x:c r="E125" s="164">
        <x:f>VLOOKUP(B:B,'판매가,매입가'!B:I,3,0)</x:f>
        <x:v>5.31</x:v>
      </x:c>
      <x:c r="F125" s="165">
        <x:f>F22*$E$125</x:f>
        <x:v>5310</x:v>
      </x:c>
      <x:c r="G125" s="165">
        <x:f t="shared" ref="G125:Q125" si="108">G22*$E$125</x:f>
        <x:v>5310</x:v>
      </x:c>
      <x:c r="H125" s="165">
        <x:f t="shared" si="108"/>
        <x:v>0</x:v>
      </x:c>
      <x:c r="I125" s="165">
        <x:f t="shared" si="108"/>
        <x:v>0</x:v>
      </x:c>
      <x:c r="J125" s="165">
        <x:f t="shared" si="108"/>
        <x:v>9558</x:v>
      </x:c>
      <x:c r="K125" s="165">
        <x:f t="shared" si="108"/>
        <x:v>9558</x:v>
      </x:c>
      <x:c r="L125" s="165">
        <x:f t="shared" si="108"/>
        <x:v>9558</x:v>
      </x:c>
      <x:c r="M125" s="165">
        <x:f t="shared" si="108"/>
        <x:v>9558</x:v>
      </x:c>
      <x:c r="N125" s="165">
        <x:f t="shared" si="108"/>
        <x:v>9558</x:v>
      </x:c>
      <x:c r="O125" s="165">
        <x:f t="shared" si="108"/>
        <x:v>9558</x:v>
      </x:c>
      <x:c r="P125" s="165">
        <x:f t="shared" si="108"/>
        <x:v>9558</x:v>
      </x:c>
      <x:c r="Q125" s="165">
        <x:f t="shared" si="108"/>
        <x:v>9558</x:v>
      </x:c>
      <x:c r="R125" s="166">
        <x:f t="shared" si="95"/>
        <x:v>87084</x:v>
      </x:c>
      <x:c r="S125" s="6"/>
    </x:row>
    <x:row r="126" spans="1:19">
      <x:c r="A126" s="163" t="s">
        <x:v>1</x:v>
      </x:c>
      <x:c r="B126" s="163" t="s">
        <x:v>35</x:v>
      </x:c>
      <x:c r="C126" s="163" t="s">
        <x:v>101</x:v>
      </x:c>
      <x:c r="D126" s="163"/>
      <x:c r="E126" s="164">
        <x:f>VLOOKUP(B:B,'판매가,매입가'!B:I,3,0)</x:f>
        <x:v>117.2</x:v>
      </x:c>
      <x:c r="F126" s="165">
        <x:f>F23*$E$126</x:f>
        <x:v>241900.80000000002</x:v>
      </x:c>
      <x:c r="G126" s="165">
        <x:f t="shared" ref="G126:Q126" si="109">G23*$E$126</x:f>
        <x:v>282217.60000000003</x:v>
      </x:c>
      <x:c r="H126" s="165">
        <x:f t="shared" si="109"/>
        <x:v>302376</x:v>
      </x:c>
      <x:c r="I126" s="165">
        <x:f t="shared" si="109"/>
        <x:v>302376</x:v>
      </x:c>
      <x:c r="J126" s="165">
        <x:f t="shared" si="109"/>
        <x:v>302376</x:v>
      </x:c>
      <x:c r="K126" s="165">
        <x:f t="shared" si="109"/>
        <x:v>403168</x:v>
      </x:c>
      <x:c r="L126" s="165">
        <x:f t="shared" si="109"/>
        <x:v>302376</x:v>
      </x:c>
      <x:c r="M126" s="165">
        <x:f t="shared" si="109"/>
        <x:v>544276.80000000005</x:v>
      </x:c>
      <x:c r="N126" s="165">
        <x:f t="shared" si="109"/>
        <x:v>302376</x:v>
      </x:c>
      <x:c r="O126" s="165">
        <x:f t="shared" si="109"/>
        <x:v>403168</x:v>
      </x:c>
      <x:c r="P126" s="165">
        <x:f t="shared" si="109"/>
        <x:v>201584</x:v>
      </x:c>
      <x:c r="Q126" s="165">
        <x:f t="shared" si="109"/>
        <x:v>141108.80000000002</x:v>
      </x:c>
      <x:c r="R126" s="166">
        <x:f t="shared" si="95"/>
        <x:v>3729304</x:v>
      </x:c>
      <x:c r="S126" s="6"/>
    </x:row>
    <x:row r="127" spans="1:19">
      <x:c r="A127" s="163" t="s">
        <x:v>1</x:v>
      </x:c>
      <x:c r="B127" s="163" t="s">
        <x:v>32</x:v>
      </x:c>
      <x:c r="C127" s="163" t="s">
        <x:v>101</x:v>
      </x:c>
      <x:c r="D127" s="163"/>
      <x:c r="E127" s="164">
        <x:f>VLOOKUP(B:B,'판매가,매입가'!B:I,3,0)</x:f>
        <x:v>27.14</x:v>
      </x:c>
      <x:c r="F127" s="165">
        <x:f>F24*$E$127</x:f>
        <x:v>53411.520000000004</x:v>
      </x:c>
      <x:c r="G127" s="165">
        <x:f t="shared" ref="G127:Q127" si="110">G24*$E$127</x:f>
        <x:v>26054.400000000001</x:v>
      </x:c>
      <x:c r="H127" s="165">
        <x:f t="shared" si="110"/>
        <x:v>25294.48</x:v>
      </x:c>
      <x:c r="I127" s="165">
        <x:f t="shared" si="110"/>
        <x:v>0</x:v>
      </x:c>
      <x:c r="J127" s="165">
        <x:f t="shared" si="110"/>
        <x:v>48852</x:v>
      </x:c>
      <x:c r="K127" s="165">
        <x:f t="shared" si="110"/>
        <x:v>48852</x:v>
      </x:c>
      <x:c r="L127" s="165">
        <x:f t="shared" si="110"/>
        <x:v>48852</x:v>
      </x:c>
      <x:c r="M127" s="165">
        <x:f t="shared" si="110"/>
        <x:v>48852</x:v>
      </x:c>
      <x:c r="N127" s="165">
        <x:f t="shared" si="110"/>
        <x:v>48852</x:v>
      </x:c>
      <x:c r="O127" s="165">
        <x:f t="shared" si="110"/>
        <x:v>48852</x:v>
      </x:c>
      <x:c r="P127" s="165">
        <x:f t="shared" si="110"/>
        <x:v>48852</x:v>
      </x:c>
      <x:c r="Q127" s="165">
        <x:f t="shared" si="110"/>
        <x:v>48852</x:v>
      </x:c>
      <x:c r="R127" s="166">
        <x:f t="shared" si="95"/>
        <x:v>495576.4</x:v>
      </x:c>
      <x:c r="S127" s="6"/>
    </x:row>
    <x:row r="128" spans="1:19">
      <x:c r="A128" s="163" t="s">
        <x:v>1</x:v>
      </x:c>
      <x:c r="B128" s="163" t="s">
        <x:v>153</x:v>
      </x:c>
      <x:c r="C128" s="163" t="s">
        <x:v>101</x:v>
      </x:c>
      <x:c r="D128" s="163"/>
      <x:c r="E128" s="164">
        <x:f>VLOOKUP(B:B,'판매가,매입가'!B:I,3,0)</x:f>
        <x:v>156.75</x:v>
      </x:c>
      <x:c r="F128" s="165">
        <x:f>F25*$E$128</x:f>
        <x:v>313186.5</x:v>
      </x:c>
      <x:c r="G128" s="165">
        <x:f t="shared" ref="G128:Q128" si="111">G25*$E$128</x:f>
        <x:v>344223</x:v>
      </x:c>
      <x:c r="H128" s="165">
        <x:f t="shared" si="111"/>
        <x:v>376200</x:v>
      </x:c>
      <x:c r="I128" s="165">
        <x:f t="shared" si="111"/>
        <x:v>460218</x:v>
      </x:c>
      <x:c r="J128" s="165">
        <x:f t="shared" si="111"/>
        <x:v>0</x:v>
      </x:c>
      <x:c r="K128" s="165">
        <x:f t="shared" si="111"/>
        <x:v>282150</x:v>
      </x:c>
      <x:c r="L128" s="165">
        <x:f t="shared" si="111"/>
        <x:v>282150</x:v>
      </x:c>
      <x:c r="M128" s="165">
        <x:f t="shared" si="111"/>
        <x:v>282150</x:v>
      </x:c>
      <x:c r="N128" s="165">
        <x:f t="shared" si="111"/>
        <x:v>282150</x:v>
      </x:c>
      <x:c r="O128" s="165">
        <x:f t="shared" si="111"/>
        <x:v>282150</x:v>
      </x:c>
      <x:c r="P128" s="165">
        <x:f t="shared" si="111"/>
        <x:v>282150</x:v>
      </x:c>
      <x:c r="Q128" s="165">
        <x:f t="shared" si="111"/>
        <x:v>282150</x:v>
      </x:c>
      <x:c r="R128" s="166">
        <x:f t="shared" si="95"/>
        <x:v>3468877.5</x:v>
      </x:c>
      <x:c r="S128" s="6"/>
    </x:row>
    <x:row r="129" spans="1:19">
      <x:c r="A129" s="163" t="s">
        <x:v>1</x:v>
      </x:c>
      <x:c r="B129" s="163" t="s">
        <x:v>33</x:v>
      </x:c>
      <x:c r="C129" s="163" t="s">
        <x:v>101</x:v>
      </x:c>
      <x:c r="D129" s="163"/>
      <x:c r="E129" s="164">
        <x:f>VLOOKUP(B:B,'판매가,매입가'!B:I,3,0)</x:f>
        <x:v>0.56000000000000005</x:v>
      </x:c>
      <x:c r="F129" s="165">
        <x:f>F26*$E$129</x:f>
        <x:v>0</x:v>
      </x:c>
      <x:c r="G129" s="165">
        <x:f t="shared" ref="G129:Q129" si="112">G26*$E$129</x:f>
        <x:v>0</x:v>
      </x:c>
      <x:c r="H129" s="165">
        <x:f t="shared" si="112"/>
        <x:v>0</x:v>
      </x:c>
      <x:c r="I129" s="165">
        <x:f t="shared" si="112"/>
        <x:v>0</x:v>
      </x:c>
      <x:c r="J129" s="165">
        <x:f t="shared" si="112"/>
        <x:v>0</x:v>
      </x:c>
      <x:c r="K129" s="165">
        <x:f t="shared" si="112"/>
        <x:v>0</x:v>
      </x:c>
      <x:c r="L129" s="165">
        <x:f t="shared" si="112"/>
        <x:v>0</x:v>
      </x:c>
      <x:c r="M129" s="165">
        <x:f t="shared" si="112"/>
        <x:v>0</x:v>
      </x:c>
      <x:c r="N129" s="165">
        <x:f t="shared" si="112"/>
        <x:v>0</x:v>
      </x:c>
      <x:c r="O129" s="165">
        <x:f t="shared" si="112"/>
        <x:v>0</x:v>
      </x:c>
      <x:c r="P129" s="165">
        <x:f t="shared" si="112"/>
        <x:v>0</x:v>
      </x:c>
      <x:c r="Q129" s="165">
        <x:f t="shared" si="112"/>
        <x:v>0</x:v>
      </x:c>
      <x:c r="R129" s="166">
        <x:f t="shared" si="95"/>
        <x:v>0</x:v>
      </x:c>
      <x:c r="S129" s="6"/>
    </x:row>
    <x:row r="130" spans="1:19">
      <x:c r="A130" s="163" t="s">
        <x:v>165</x:v>
      </x:c>
      <x:c r="B130" s="163" t="s">
        <x:v>247</x:v>
      </x:c>
      <x:c r="C130" s="163" t="s">
        <x:v>101</x:v>
      </x:c>
      <x:c r="D130" s="167"/>
      <x:c r="E130" s="164">
        <x:f>VLOOKUP(B:B,'판매가,매입가'!B:I,3,0)</x:f>
        <x:v>7.14</x:v>
      </x:c>
      <x:c r="F130" s="165">
        <x:f>F28*$E$130</x:f>
        <x:v>322513.8</x:v>
      </x:c>
      <x:c r="G130" s="165">
        <x:f t="shared" ref="G130:H130" si="113">G28*$E$130</x:f>
        <x:v>434904.54</x:v>
      </x:c>
      <x:c r="H130" s="165">
        <x:f t="shared" si="113"/>
        <x:v>443479.68</x:v>
      </x:c>
      <x:c r="I130" s="165">
        <x:f>I28*$E$130*0.97</x:f>
        <x:v>430521.5796</x:v>
      </x:c>
      <x:c r="J130" s="165">
        <x:f t="shared" ref="J130:Q130" si="114">J28*$E$130*0.97</x:f>
        <x:v>545261.30819999997</x:v>
      </x:c>
      <x:c r="K130" s="165">
        <x:f t="shared" si="114"/>
        <x:v>381299.91899999994</x:v>
      </x:c>
      <x:c r="L130" s="165">
        <x:f t="shared" si="114"/>
        <x:v>306425.09519999998</x:v>
      </x:c>
      <x:c r="M130" s="165">
        <x:f t="shared" si="114"/>
        <x:v>362579.48159999994</x:v>
      </x:c>
      <x:c r="N130" s="165">
        <x:f t="shared" si="114"/>
        <x:v>239182.503</x:v>
      </x:c>
      <x:c r="O130" s="165">
        <x:f t="shared" si="114"/>
        <x:v>334155.99839999998</x:v>
      </x:c>
      <x:c r="P130" s="165">
        <x:f t="shared" si="114"/>
        <x:v>200848.19999999998</x:v>
      </x:c>
      <x:c r="Q130" s="165">
        <x:f t="shared" si="114"/>
        <x:v>200848.19999999998</x:v>
      </x:c>
      <x:c r="R130" s="166">
        <x:f t="shared" si="95"/>
        <x:v>4202020.3049999997</x:v>
      </x:c>
      <x:c r="S130" s="6"/>
    </x:row>
    <x:row r="131" spans="1:19">
      <x:c r="A131" s="163" t="s">
        <x:v>165</x:v>
      </x:c>
      <x:c r="B131" s="163" t="s">
        <x:v>248</x:v>
      </x:c>
      <x:c r="C131" s="163" t="s">
        <x:v>101</x:v>
      </x:c>
      <x:c r="D131" s="167"/>
      <x:c r="E131" s="164">
        <x:f>VLOOKUP(B:B,'판매가,매입가'!B:I,3,0)</x:f>
        <x:v>9.69</x:v>
      </x:c>
      <x:c r="F131" s="165">
        <x:f>F28*$E$131</x:f>
        <x:v>437697.3</x:v>
      </x:c>
      <x:c r="G131" s="165">
        <x:f t="shared" ref="G131:H131" si="115">G28*$E$131</x:f>
        <x:v>590227.59</x:v>
      </x:c>
      <x:c r="H131" s="165">
        <x:f t="shared" si="115"/>
        <x:v>601865.27999999991</x:v>
      </x:c>
      <x:c r="I131" s="165">
        <x:f>I28*$E$131*0.97</x:f>
        <x:v>584279.28659999988</x:v>
      </x:c>
      <x:c r="J131" s="165">
        <x:f t="shared" ref="J131:Q131" si="116">J28*$E$131*0.97</x:f>
        <x:v>739997.48970000003</x:v>
      </x:c>
      <x:c r="K131" s="165">
        <x:f t="shared" si="116"/>
        <x:v>517478.46149999992</x:v>
      </x:c>
      <x:c r="L131" s="165">
        <x:f t="shared" si="116"/>
        <x:v>415862.62919999997</x:v>
      </x:c>
      <x:c r="M131" s="165">
        <x:f t="shared" si="116"/>
        <x:v>492072.15359999996</x:v>
      </x:c>
      <x:c r="N131" s="165">
        <x:f t="shared" si="116"/>
        <x:v>324604.82549999998</x:v>
      </x:c>
      <x:c r="O131" s="165">
        <x:f t="shared" si="116"/>
        <x:v>453497.4264</x:v>
      </x:c>
      <x:c r="P131" s="165">
        <x:f t="shared" si="116"/>
        <x:v>272579.7</x:v>
      </x:c>
      <x:c r="Q131" s="165">
        <x:f t="shared" si="116"/>
        <x:v>272579.7</x:v>
      </x:c>
      <x:c r="R131" s="166">
        <x:f t="shared" si="95"/>
        <x:v>5702741.8425000003</x:v>
      </x:c>
      <x:c r="S131" s="6"/>
    </x:row>
    <x:row r="132" spans="1:19">
      <x:c r="A132" s="163" t="s">
        <x:v>200</x:v>
      </x:c>
      <x:c r="B132" s="163" t="s">
        <x:v>201</x:v>
      </x:c>
      <x:c r="C132" s="163" t="s">
        <x:v>285</x:v>
      </x:c>
      <x:c r="D132" s="163"/>
      <x:c r="E132" s="164">
        <x:f>VLOOKUP(B:B,'판매가,매입가'!B:I,3,0)</x:f>
        <x:v>6.38</x:v>
      </x:c>
      <x:c r="F132" s="165">
        <x:f>F29*$E$132</x:f>
        <x:v>5742</x:v>
      </x:c>
      <x:c r="G132" s="165">
        <x:f t="shared" ref="G132:Q132" si="117">G29*$E$132</x:f>
        <x:v>7656</x:v>
      </x:c>
      <x:c r="H132" s="165">
        <x:f t="shared" si="117"/>
        <x:v>8932</x:v>
      </x:c>
      <x:c r="I132" s="165">
        <x:f t="shared" si="117"/>
        <x:v>7656</x:v>
      </x:c>
      <x:c r="J132" s="165">
        <x:f t="shared" si="117"/>
        <x:v>5742</x:v>
      </x:c>
      <x:c r="K132" s="165">
        <x:f t="shared" si="117"/>
        <x:v>8294</x:v>
      </x:c>
      <x:c r="L132" s="165">
        <x:f t="shared" si="117"/>
        <x:v>6380</x:v>
      </x:c>
      <x:c r="M132" s="165">
        <x:f t="shared" si="117"/>
        <x:v>9570</x:v>
      </x:c>
      <x:c r="N132" s="165">
        <x:f t="shared" si="117"/>
        <x:v>7656</x:v>
      </x:c>
      <x:c r="O132" s="165">
        <x:f t="shared" si="117"/>
        <x:v>7656</x:v>
      </x:c>
      <x:c r="P132" s="165">
        <x:f t="shared" si="117"/>
        <x:v>7656</x:v>
      </x:c>
      <x:c r="Q132" s="165">
        <x:f t="shared" si="117"/>
        <x:v>7656</x:v>
      </x:c>
      <x:c r="R132" s="166">
        <x:f t="shared" si="95"/>
        <x:v>90596</x:v>
      </x:c>
    </x:row>
    <x:row r="133" spans="1:19">
      <x:c r="A133" s="158"/>
      <x:c r="B133" s="158"/>
      <x:c r="C133" s="158"/>
      <x:c r="D133" s="158"/>
      <x:c r="E133" s="158"/>
      <x:c r="F133" s="168">
        <x:f t="shared" ref="F133:R133" si="118">SUM(F112:F132)</x:f>
        <x:v>1420060.8800000001</x:v>
      </x:c>
      <x:c r="G133" s="168">
        <x:f t="shared" si="118"/>
        <x:v>1733116.75</x:v>
      </x:c>
      <x:c r="H133" s="168">
        <x:f t="shared" si="118"/>
        <x:v>1801166.6399999997</x:v>
      </x:c>
      <x:c r="I133" s="168">
        <x:f t="shared" si="118"/>
        <x:v>1825720.0661999998</x:v>
      </x:c>
      <x:c r="J133" s="168">
        <x:f t="shared" si="118"/>
        <x:v>1708457.9979000001</x:v>
      </x:c>
      <x:c r="K133" s="168">
        <x:f t="shared" si="118"/>
        <x:v>1742115.9804999998</x:v>
      </x:c>
      <x:c r="L133" s="168">
        <x:f t="shared" si="118"/>
        <x:v>1445242.9243999999</x:v>
      </x:c>
      <x:c r="M133" s="168">
        <x:f t="shared" si="118"/>
        <x:v>1865120.9951999998</x:v>
      </x:c>
      <x:c r="N133" s="168">
        <x:f t="shared" si="118"/>
        <x:v>1288018.5285</x:v>
      </x:c>
      <x:c r="O133" s="168">
        <x:f t="shared" si="118"/>
        <x:v>1630353.0248</x:v>
      </x:c>
      <x:c r="P133" s="168">
        <x:f t="shared" si="118"/>
        <x:v>1079190.7</x:v>
      </x:c>
      <x:c r="Q133" s="168">
        <x:f t="shared" si="118"/>
        <x:v>1008109.6599999999</x:v>
      </x:c>
      <x:c r="R133" s="168">
        <x:f t="shared" si="118"/>
        <x:v>18546674.147500001</x:v>
      </x:c>
    </x:row>
    <x:row r="135" spans="1:19">
      <x:c r="D135" s="7" t="s">
        <x:v>212</x:v>
      </x:c>
      <x:c r="E135" s="15" t="s">
        <x:v>145</x:v>
      </x:c>
      <x:c r="F135" s="32">
        <x:f t="shared" ref="F135:Q135" si="119">SUM(F82:F92)</x:f>
        <x:v>221004</x:v>
      </x:c>
      <x:c r="G135" s="32">
        <x:f t="shared" si="119"/>
        <x:v>12278</x:v>
      </x:c>
      <x:c r="H135" s="32">
        <x:f t="shared" si="119"/>
        <x:v>0</x:v>
      </x:c>
      <x:c r="I135" s="32">
        <x:f t="shared" si="119"/>
        <x:v>139969.19999999998</x:v>
      </x:c>
      <x:c r="J135" s="32">
        <x:f t="shared" si="119"/>
        <x:v>0</x:v>
      </x:c>
      <x:c r="K135" s="32">
        <x:f t="shared" si="119"/>
        <x:v>24944.900028914595</x:v>
      </x:c>
      <x:c r="L135" s="32">
        <x:f t="shared" si="119"/>
        <x:v>24944.900028914595</x:v>
      </x:c>
      <x:c r="M135" s="32">
        <x:f t="shared" si="119"/>
        <x:v>24944.900028914595</x:v>
      </x:c>
      <x:c r="N135" s="32">
        <x:f t="shared" si="119"/>
        <x:v>24944.900028914595</x:v>
      </x:c>
      <x:c r="O135" s="32">
        <x:f t="shared" si="119"/>
        <x:v>24944.900028914595</x:v>
      </x:c>
      <x:c r="P135" s="32">
        <x:f t="shared" si="119"/>
        <x:v>24944.900028914595</x:v>
      </x:c>
      <x:c r="Q135" s="32">
        <x:f t="shared" si="119"/>
        <x:v>24944.900028914595</x:v>
      </x:c>
      <x:c r="R135" s="32">
        <x:f t="shared" ref="R135:R140" si="120">SUM(F135:Q135)</x:f>
        <x:v>547865.50020240224</x:v>
      </x:c>
    </x:row>
    <x:row r="136" spans="1:19">
      <x:c r="E136" s="15" t="s">
        <x:v>146</x:v>
      </x:c>
      <x:c r="F136" s="32">
        <x:f t="shared" ref="F136:Q136" si="121">SUM(F93:F99)</x:f>
        <x:v>724604</x:v>
      </x:c>
      <x:c r="G136" s="32">
        <x:f t="shared" si="121"/>
        <x:v>487584</x:v>
      </x:c>
      <x:c r="H136" s="32">
        <x:f t="shared" si="121"/>
        <x:v>223476</x:v>
      </x:c>
      <x:c r="I136" s="32">
        <x:f t="shared" si="121"/>
        <x:v>819412</x:v>
      </x:c>
      <x:c r="J136" s="32">
        <x:f t="shared" si="121"/>
        <x:v>325056</x:v>
      </x:c>
      <x:c r="K136" s="32">
        <x:f t="shared" si="121"/>
        <x:v>241760.4</x:v>
      </x:c>
      <x:c r="L136" s="32">
        <x:f t="shared" si="121"/>
        <x:v>241760.4</x:v>
      </x:c>
      <x:c r="M136" s="32">
        <x:f t="shared" si="121"/>
        <x:v>241760.4</x:v>
      </x:c>
      <x:c r="N136" s="32">
        <x:f t="shared" si="121"/>
        <x:v>241760.4</x:v>
      </x:c>
      <x:c r="O136" s="32">
        <x:f t="shared" si="121"/>
        <x:v>241760.4</x:v>
      </x:c>
      <x:c r="P136" s="32">
        <x:f t="shared" si="121"/>
        <x:v>241760.4</x:v>
      </x:c>
      <x:c r="Q136" s="32">
        <x:f t="shared" si="121"/>
        <x:v>241760.4</x:v>
      </x:c>
      <x:c r="R136" s="32">
        <x:f t="shared" si="120"/>
        <x:v>4272454.8</x:v>
      </x:c>
    </x:row>
    <x:row r="137" spans="1:19">
      <x:c r="E137" s="15" t="s">
        <x:v>30</x:v>
      </x:c>
      <x:c r="F137" s="32">
        <x:f t="shared" ref="F137:Q137" si="122">SUM(F100:F106)</x:f>
        <x:v>0</x:v>
      </x:c>
      <x:c r="G137" s="32">
        <x:f t="shared" si="122"/>
        <x:v>0</x:v>
      </x:c>
      <x:c r="H137" s="32">
        <x:f t="shared" si="122"/>
        <x:v>0</x:v>
      </x:c>
      <x:c r="I137" s="32">
        <x:f t="shared" si="122"/>
        <x:v>0</x:v>
      </x:c>
      <x:c r="J137" s="32">
        <x:f t="shared" si="122"/>
        <x:v>0</x:v>
      </x:c>
      <x:c r="K137" s="32">
        <x:f t="shared" si="122"/>
        <x:v>0</x:v>
      </x:c>
      <x:c r="L137" s="32">
        <x:f t="shared" si="122"/>
        <x:v>0</x:v>
      </x:c>
      <x:c r="M137" s="32">
        <x:f t="shared" si="122"/>
        <x:v>0</x:v>
      </x:c>
      <x:c r="N137" s="32">
        <x:f t="shared" si="122"/>
        <x:v>0</x:v>
      </x:c>
      <x:c r="O137" s="32">
        <x:f t="shared" si="122"/>
        <x:v>0</x:v>
      </x:c>
      <x:c r="P137" s="32">
        <x:f t="shared" si="122"/>
        <x:v>0</x:v>
      </x:c>
      <x:c r="Q137" s="32">
        <x:f t="shared" si="122"/>
        <x:v>0</x:v>
      </x:c>
      <x:c r="R137" s="32">
        <x:f t="shared" si="120"/>
        <x:v>0</x:v>
      </x:c>
    </x:row>
    <x:row r="138" spans="1:19">
      <x:c r="E138" s="15" t="s">
        <x:v>165</x:v>
      </x:c>
      <x:c r="F138" s="32">
        <x:f t="shared" ref="F138:Q138" si="123">SUM(F107:F108)</x:f>
        <x:v>741691.39999999991</x:v>
      </x:c>
      <x:c r="G138" s="32">
        <x:f t="shared" si="123"/>
        <x:v>1000158.6199999999</x:v>
      </x:c>
      <x:c r="H138" s="32">
        <x:f t="shared" si="123"/>
        <x:v>1019879.0399999998</x:v>
      </x:c>
      <x:c r="I138" s="32">
        <x:f t="shared" si="123"/>
        <x:v>990079.03879999975</x:v>
      </x:c>
      <x:c r="J138" s="32">
        <x:f t="shared" si="123"/>
        <x:v>1253948.2745999999</x:v>
      </x:c>
      <x:c r="K138" s="32">
        <x:f t="shared" si="123"/>
        <x:v>876883.00699999987</x:v>
      </x:c>
      <x:c r="L138" s="32">
        <x:f t="shared" si="123"/>
        <x:v>704691.88559999992</x:v>
      </x:c>
      <x:c r="M138" s="32">
        <x:f t="shared" si="123"/>
        <x:v>833831.24479999999</x:v>
      </x:c>
      <x:c r="N138" s="32">
        <x:f t="shared" si="123"/>
        <x:v>550052.75899999996</x:v>
      </x:c>
      <x:c r="O138" s="32">
        <x:f t="shared" si="123"/>
        <x:v>768465.19519999996</x:v>
      </x:c>
      <x:c r="P138" s="32">
        <x:f t="shared" si="123"/>
        <x:v>461894.6</x:v>
      </x:c>
      <x:c r="Q138" s="32">
        <x:f t="shared" si="123"/>
        <x:v>461894.6</x:v>
      </x:c>
      <x:c r="R138" s="32">
        <x:f t="shared" si="120"/>
        <x:v>9663469.6649999972</x:v>
      </x:c>
    </x:row>
    <x:row r="139" spans="1:19">
      <x:c r="E139" s="15" t="s">
        <x:v>203</x:v>
      </x:c>
      <x:c r="F139" s="32">
        <x:f t="shared" ref="F139:Q139" si="124">SUM(F109)</x:f>
        <x:v>5499</x:v>
      </x:c>
      <x:c r="G139" s="32">
        <x:f t="shared" si="124"/>
        <x:v>7332</x:v>
      </x:c>
      <x:c r="H139" s="32">
        <x:f t="shared" si="124"/>
        <x:v>8554</x:v>
      </x:c>
      <x:c r="I139" s="32">
        <x:f t="shared" si="124"/>
        <x:v>7332</x:v>
      </x:c>
      <x:c r="J139" s="32">
        <x:f t="shared" si="124"/>
        <x:v>5499</x:v>
      </x:c>
      <x:c r="K139" s="32">
        <x:f t="shared" si="124"/>
        <x:v>7943</x:v>
      </x:c>
      <x:c r="L139" s="32">
        <x:f t="shared" si="124"/>
        <x:v>6110</x:v>
      </x:c>
      <x:c r="M139" s="32">
        <x:f t="shared" si="124"/>
        <x:v>9165</x:v>
      </x:c>
      <x:c r="N139" s="32">
        <x:f t="shared" si="124"/>
        <x:v>7332</x:v>
      </x:c>
      <x:c r="O139" s="32">
        <x:f t="shared" si="124"/>
        <x:v>7332</x:v>
      </x:c>
      <x:c r="P139" s="32">
        <x:f t="shared" si="124"/>
        <x:v>7332</x:v>
      </x:c>
      <x:c r="Q139" s="32">
        <x:f t="shared" si="124"/>
        <x:v>7332</x:v>
      </x:c>
      <x:c r="R139" s="32">
        <x:f t="shared" si="120"/>
        <x:v>86762</x:v>
      </x:c>
    </x:row>
    <x:row r="140" spans="1:19">
      <x:c r="E140" s="15"/>
      <x:c r="F140" s="32">
        <x:f t="shared" ref="F140:Q140" si="125">SUM(F135:F139)</x:f>
        <x:v>1692798.4</x:v>
      </x:c>
      <x:c r="G140" s="32">
        <x:f t="shared" si="125"/>
        <x:v>1507352.6199999999</x:v>
      </x:c>
      <x:c r="H140" s="32">
        <x:f t="shared" si="125"/>
        <x:v>1251909.0399999998</x:v>
      </x:c>
      <x:c r="I140" s="32">
        <x:f t="shared" si="125"/>
        <x:v>1956792.2387999997</x:v>
      </x:c>
      <x:c r="J140" s="32">
        <x:f t="shared" si="125"/>
        <x:v>1584503.2745999999</x:v>
      </x:c>
      <x:c r="K140" s="32">
        <x:f t="shared" si="125"/>
        <x:v>1151531.3070289143</x:v>
      </x:c>
      <x:c r="L140" s="32">
        <x:f t="shared" si="125"/>
        <x:v>977507.18562891451</x:v>
      </x:c>
      <x:c r="M140" s="32">
        <x:f t="shared" si="125"/>
        <x:v>1109701.5448289146</x:v>
      </x:c>
      <x:c r="N140" s="32">
        <x:f t="shared" si="125"/>
        <x:v>824090.05902891455</x:v>
      </x:c>
      <x:c r="O140" s="32">
        <x:f t="shared" si="125"/>
        <x:v>1042502.4952289145</x:v>
      </x:c>
      <x:c r="P140" s="32">
        <x:f t="shared" si="125"/>
        <x:v>735931.90002891456</x:v>
      </x:c>
      <x:c r="Q140" s="32">
        <x:f t="shared" si="125"/>
        <x:v>735931.90002891456</x:v>
      </x:c>
      <x:c r="R140" s="32">
        <x:f t="shared" si="120"/>
        <x:v>14570551.9652024</x:v>
      </x:c>
    </x:row>
    <x:row r="141" spans="1:19">
      <x:c r="E141" s="15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</x:row>
    <x:row r="142" spans="1:19">
      <x:c r="D142" s="7" t="s">
        <x:v>213</x:v>
      </x:c>
      <x:c r="E142" s="15" t="s">
        <x:v>145</x:v>
      </x:c>
      <x:c r="F142" s="32">
        <x:f>F135*환율기준!$D$3</x:f>
        <x:v>795614.4</x:v>
      </x:c>
      <x:c r="G142" s="32">
        <x:f>G135*환율기준!$D$3</x:f>
        <x:v>44200.800000000003</x:v>
      </x:c>
      <x:c r="H142" s="32">
        <x:f>H135*환율기준!$D$3</x:f>
        <x:v>0</x:v>
      </x:c>
      <x:c r="I142" s="32">
        <x:f>I135*환율기준!$D$3</x:f>
        <x:v>503889.11999999994</x:v>
      </x:c>
      <x:c r="J142" s="32">
        <x:f>J135*환율기준!$D$3</x:f>
        <x:v>0</x:v>
      </x:c>
      <x:c r="K142" s="32">
        <x:f>K135*환율기준!$D$3</x:f>
        <x:v>89801.640104092541</x:v>
      </x:c>
      <x:c r="L142" s="32">
        <x:f>L135*환율기준!$D$3</x:f>
        <x:v>89801.640104092541</x:v>
      </x:c>
      <x:c r="M142" s="32">
        <x:f>M135*환율기준!$D$3</x:f>
        <x:v>89801.640104092541</x:v>
      </x:c>
      <x:c r="N142" s="32">
        <x:f>N135*환율기준!$D$3</x:f>
        <x:v>89801.640104092541</x:v>
      </x:c>
      <x:c r="O142" s="32">
        <x:f>O135*환율기준!$D$3</x:f>
        <x:v>89801.640104092541</x:v>
      </x:c>
      <x:c r="P142" s="32">
        <x:f>P135*환율기준!$D$3</x:f>
        <x:v>89801.640104092541</x:v>
      </x:c>
      <x:c r="Q142" s="32">
        <x:f>Q135*환율기준!$D$3</x:f>
        <x:v>89801.640104092541</x:v>
      </x:c>
      <x:c r="R142" s="32">
        <x:f t="shared" ref="R142:R147" si="126">SUM(F142:Q142)</x:f>
        <x:v>1972315.8007286484</x:v>
      </x:c>
    </x:row>
    <x:row r="143" spans="1:19">
      <x:c r="E143" s="15" t="s">
        <x:v>146</x:v>
      </x:c>
      <x:c r="F143" s="32">
        <x:f>F136*환율기준!$D$3</x:f>
        <x:v>2608574.4</x:v>
      </x:c>
      <x:c r="G143" s="32">
        <x:f>G136*환율기준!$D$3</x:f>
        <x:v>1755302.4000000001</x:v>
      </x:c>
      <x:c r="H143" s="32">
        <x:f>H136*환율기준!$D$3</x:f>
        <x:v>804513.6</x:v>
      </x:c>
      <x:c r="I143" s="32">
        <x:f>I136*환율기준!$D$3</x:f>
        <x:v>2949883.2</x:v>
      </x:c>
      <x:c r="J143" s="32">
        <x:f>J136*환율기준!$D$3</x:f>
        <x:v>1170201.6000000001</x:v>
      </x:c>
      <x:c r="K143" s="32">
        <x:f>K136*환율기준!$D$3</x:f>
        <x:v>870337.44</x:v>
      </x:c>
      <x:c r="L143" s="32">
        <x:f>L136*환율기준!$D$3</x:f>
        <x:v>870337.44</x:v>
      </x:c>
      <x:c r="M143" s="32">
        <x:f>M136*환율기준!$D$3</x:f>
        <x:v>870337.44</x:v>
      </x:c>
      <x:c r="N143" s="32">
        <x:f>N136*환율기준!$D$3</x:f>
        <x:v>870337.44</x:v>
      </x:c>
      <x:c r="O143" s="32">
        <x:f>O136*환율기준!$D$3</x:f>
        <x:v>870337.44</x:v>
      </x:c>
      <x:c r="P143" s="32">
        <x:f>P136*환율기준!$D$3</x:f>
        <x:v>870337.44</x:v>
      </x:c>
      <x:c r="Q143" s="32">
        <x:f>Q136*환율기준!$D$3</x:f>
        <x:v>870337.44</x:v>
      </x:c>
      <x:c r="R143" s="32">
        <x:f t="shared" si="126"/>
        <x:v>15380837.279999996</x:v>
      </x:c>
    </x:row>
    <x:row r="144" spans="1:19">
      <x:c r="E144" s="15" t="s">
        <x:v>30</x:v>
      </x:c>
      <x:c r="F144" s="32">
        <x:f>F137*환율기준!$D$3</x:f>
        <x:v>0</x:v>
      </x:c>
      <x:c r="G144" s="32">
        <x:f>G137*환율기준!$D$3</x:f>
        <x:v>0</x:v>
      </x:c>
      <x:c r="H144" s="32">
        <x:f>H137*환율기준!$D$3</x:f>
        <x:v>0</x:v>
      </x:c>
      <x:c r="I144" s="32">
        <x:f>I137*환율기준!$D$3</x:f>
        <x:v>0</x:v>
      </x:c>
      <x:c r="J144" s="32">
        <x:f>J137*환율기준!$D$3</x:f>
        <x:v>0</x:v>
      </x:c>
      <x:c r="K144" s="32">
        <x:f>K137*환율기준!$D$3</x:f>
        <x:v>0</x:v>
      </x:c>
      <x:c r="L144" s="32">
        <x:f>L137*환율기준!$D$3</x:f>
        <x:v>0</x:v>
      </x:c>
      <x:c r="M144" s="32">
        <x:f>M137*환율기준!$D$3</x:f>
        <x:v>0</x:v>
      </x:c>
      <x:c r="N144" s="32">
        <x:f>N137*환율기준!$D$3</x:f>
        <x:v>0</x:v>
      </x:c>
      <x:c r="O144" s="32">
        <x:f>O137*환율기준!$D$3</x:f>
        <x:v>0</x:v>
      </x:c>
      <x:c r="P144" s="32">
        <x:f>P137*환율기준!$D$3</x:f>
        <x:v>0</x:v>
      </x:c>
      <x:c r="Q144" s="32">
        <x:f>Q137*환율기준!$D$3</x:f>
        <x:v>0</x:v>
      </x:c>
      <x:c r="R144" s="32">
        <x:f t="shared" si="126"/>
        <x:v>0</x:v>
      </x:c>
    </x:row>
    <x:row r="145" spans="1:19">
      <x:c r="E145" s="15" t="s">
        <x:v>165</x:v>
      </x:c>
      <x:c r="F145" s="32">
        <x:f>F138*환율기준!$D$3</x:f>
        <x:v>2670089.0399999996</x:v>
      </x:c>
      <x:c r="G145" s="32">
        <x:f>G138*환율기준!$D$3</x:f>
        <x:v>3600571.0319999997</x:v>
      </x:c>
      <x:c r="H145" s="32">
        <x:f>H138*환율기준!$D$3</x:f>
        <x:v>3671564.5439999993</x:v>
      </x:c>
      <x:c r="I145" s="32">
        <x:f>I138*환율기준!$D$3</x:f>
        <x:v>3564284.539679999</x:v>
      </x:c>
      <x:c r="J145" s="32">
        <x:f>J138*환율기준!$D$3</x:f>
        <x:v>4514213.7885599993</x:v>
      </x:c>
      <x:c r="K145" s="32">
        <x:f>K138*환율기준!$D$3</x:f>
        <x:v>3156778.8251999994</x:v>
      </x:c>
      <x:c r="L145" s="32">
        <x:f>L138*환율기준!$D$3</x:f>
        <x:v>2536890.78816</x:v>
      </x:c>
      <x:c r="M145" s="32">
        <x:f>M138*환율기준!$D$3</x:f>
        <x:v>3001792.4812799999</x:v>
      </x:c>
      <x:c r="N145" s="32">
        <x:f>N138*환율기준!$D$3</x:f>
        <x:v>1980189.9323999998</x:v>
      </x:c>
      <x:c r="O145" s="32">
        <x:f>O138*환율기준!$D$3</x:f>
        <x:v>2766474.7027199999</x:v>
      </x:c>
      <x:c r="P145" s="32">
        <x:f>P138*환율기준!$D$3</x:f>
        <x:v>1662820.56</x:v>
      </x:c>
      <x:c r="Q145" s="32">
        <x:f>Q138*환율기준!$D$3</x:f>
        <x:v>1662820.56</x:v>
      </x:c>
      <x:c r="R145" s="32">
        <x:f t="shared" si="126"/>
        <x:v>34788490.793999992</x:v>
      </x:c>
    </x:row>
    <x:row r="146" spans="1:19">
      <x:c r="E146" s="15" t="s">
        <x:v>203</x:v>
      </x:c>
      <x:c r="F146" s="32">
        <x:f>F139*환율기준!$D$3</x:f>
        <x:v>19796.400000000001</x:v>
      </x:c>
      <x:c r="G146" s="32">
        <x:f>G139*환율기준!$D$3</x:f>
        <x:v>26395.200000000001</x:v>
      </x:c>
      <x:c r="H146" s="32">
        <x:f>H139*환율기준!$D$3</x:f>
        <x:v>30794.400000000001</x:v>
      </x:c>
      <x:c r="I146" s="32">
        <x:f>I139*환율기준!$D$3</x:f>
        <x:v>26395.200000000001</x:v>
      </x:c>
      <x:c r="J146" s="32">
        <x:f>J139*환율기준!$D$3</x:f>
        <x:v>19796.400000000001</x:v>
      </x:c>
      <x:c r="K146" s="32">
        <x:f>K139*환율기준!$D$3</x:f>
        <x:v>28594.799999999999</x:v>
      </x:c>
      <x:c r="L146" s="32">
        <x:f>L139*환율기준!$D$3</x:f>
        <x:v>21996</x:v>
      </x:c>
      <x:c r="M146" s="32">
        <x:f>M139*환율기준!$D$3</x:f>
        <x:v>32994</x:v>
      </x:c>
      <x:c r="N146" s="32">
        <x:f>N139*환율기준!$D$3</x:f>
        <x:v>26395.200000000001</x:v>
      </x:c>
      <x:c r="O146" s="32">
        <x:f>O139*환율기준!$D$3</x:f>
        <x:v>26395.200000000001</x:v>
      </x:c>
      <x:c r="P146" s="32">
        <x:f>P139*환율기준!$D$3</x:f>
        <x:v>26395.200000000001</x:v>
      </x:c>
      <x:c r="Q146" s="32">
        <x:f>Q139*환율기준!$D$3</x:f>
        <x:v>26395.200000000001</x:v>
      </x:c>
      <x:c r="R146" s="32">
        <x:f t="shared" si="126"/>
        <x:v>312343.2</x:v>
      </x:c>
    </x:row>
    <x:row r="147" spans="1:19">
      <x:c r="E147" s="15"/>
      <x:c r="F147" s="32">
        <x:f t="shared" ref="F147:Q147" si="127">SUM(F142:F146)</x:f>
        <x:v>6094074.2400000002</x:v>
      </x:c>
      <x:c r="G147" s="32">
        <x:f t="shared" si="127"/>
        <x:v>5426469.432</x:v>
      </x:c>
      <x:c r="H147" s="32">
        <x:f t="shared" si="127"/>
        <x:v>4506872.5439999998</x:v>
      </x:c>
      <x:c r="I147" s="32">
        <x:f t="shared" si="127"/>
        <x:v>7044452.059679999</x:v>
      </x:c>
      <x:c r="J147" s="32">
        <x:f t="shared" si="127"/>
        <x:v>5704211.7885599993</x:v>
      </x:c>
      <x:c r="K147" s="32">
        <x:f t="shared" si="127"/>
        <x:v>4145512.7053040918</x:v>
      </x:c>
      <x:c r="L147" s="32">
        <x:f t="shared" si="127"/>
        <x:v>3519025.8682640926</x:v>
      </x:c>
      <x:c r="M147" s="32">
        <x:f t="shared" si="127"/>
        <x:v>3994925.5613840926</x:v>
      </x:c>
      <x:c r="N147" s="32">
        <x:f t="shared" si="127"/>
        <x:v>2966724.2125040926</x:v>
      </x:c>
      <x:c r="O147" s="32">
        <x:f t="shared" si="127"/>
        <x:v>3753008.9828240927</x:v>
      </x:c>
      <x:c r="P147" s="32">
        <x:f t="shared" si="127"/>
        <x:v>2649354.8401040928</x:v>
      </x:c>
      <x:c r="Q147" s="32">
        <x:f t="shared" si="127"/>
        <x:v>2649354.8401040928</x:v>
      </x:c>
      <x:c r="R147" s="32">
        <x:f t="shared" si="126"/>
        <x:v>52453987.074728645</x:v>
      </x:c>
    </x:row>
    <x:row r="148" spans="1:19">
      <x:c r="E148" s="15"/>
      <x:c r="F148" s="109"/>
      <x:c r="G148" s="109"/>
      <x:c r="H148" s="109"/>
      <x:c r="I148" s="109"/>
      <x:c r="J148" s="109"/>
      <x:c r="K148" s="109"/>
      <x:c r="L148" s="109"/>
      <x:c r="M148" s="109"/>
      <x:c r="N148" s="109"/>
      <x:c r="O148" s="109"/>
      <x:c r="P148" s="109"/>
      <x:c r="Q148" s="109"/>
      <x:c r="R148" s="109"/>
    </x:row>
    <x:row r="149" spans="1:19">
      <x:c r="D149" s="7" t="s">
        <x:v>195</x:v>
      </x:c>
      <x:c r="E149" s="15" t="s">
        <x:v>145</x:v>
      </x:c>
      <x:c r="F149" s="32">
        <x:f>F142*환율기준!$D$5</x:f>
        <x:v>306311544</x:v>
      </x:c>
      <x:c r="G149" s="32">
        <x:f>G142*환율기준!$D$5</x:f>
        <x:v>17017308</x:v>
      </x:c>
      <x:c r="H149" s="32">
        <x:f>H142*환율기준!$D$5</x:f>
        <x:v>0</x:v>
      </x:c>
      <x:c r="I149" s="32">
        <x:f>I142*환율기준!$D$5</x:f>
        <x:v>193997311.19999999</x:v>
      </x:c>
      <x:c r="J149" s="32">
        <x:f>J142*환율기준!$D$5</x:f>
        <x:v>0</x:v>
      </x:c>
      <x:c r="K149" s="32">
        <x:f>K142*환율기준!$D$5</x:f>
        <x:v>34573631.440075628</x:v>
      </x:c>
      <x:c r="L149" s="32">
        <x:f>L142*환율기준!$D$5</x:f>
        <x:v>34573631.440075628</x:v>
      </x:c>
      <x:c r="M149" s="32">
        <x:f>M142*환율기준!$D$5</x:f>
        <x:v>34573631.440075628</x:v>
      </x:c>
      <x:c r="N149" s="32">
        <x:f>N142*환율기준!$D$5</x:f>
        <x:v>34573631.440075628</x:v>
      </x:c>
      <x:c r="O149" s="32">
        <x:f>O142*환율기준!$D$5</x:f>
        <x:v>34573631.440075628</x:v>
      </x:c>
      <x:c r="P149" s="32">
        <x:f>P142*환율기준!$D$5</x:f>
        <x:v>34573631.440075628</x:v>
      </x:c>
      <x:c r="Q149" s="32">
        <x:f>Q142*환율기준!$D$5</x:f>
        <x:v>34573631.440075628</x:v>
      </x:c>
      <x:c r="R149" s="32">
        <x:f t="shared" ref="R149:R154" si="128">SUM(F149:Q149)</x:f>
        <x:v>759341583.28052938</x:v>
      </x:c>
      <x:c r="S149" s="108"/>
    </x:row>
    <x:row r="150" spans="1:19">
      <x:c r="E150" s="15" t="s">
        <x:v>146</x:v>
      </x:c>
      <x:c r="F150" s="32">
        <x:f>F143*환율기준!$D$5</x:f>
        <x:v>1004301144</x:v>
      </x:c>
      <x:c r="G150" s="32">
        <x:f>G143*환율기준!$D$5</x:f>
        <x:v>675791424</x:v>
      </x:c>
      <x:c r="H150" s="32">
        <x:f>H143*환율기준!$D$5</x:f>
        <x:v>309737736</x:v>
      </x:c>
      <x:c r="I150" s="32">
        <x:f>I143*환율기준!$D$5</x:f>
        <x:v>1135705032</x:v>
      </x:c>
      <x:c r="J150" s="32">
        <x:f>J143*환율기준!$D$5</x:f>
        <x:v>450527616.00000006</x:v>
      </x:c>
      <x:c r="K150" s="32">
        <x:f>K143*환율기준!$D$5</x:f>
        <x:v>335079914.39999998</x:v>
      </x:c>
      <x:c r="L150" s="32">
        <x:f>L143*환율기준!$D$5</x:f>
        <x:v>335079914.39999998</x:v>
      </x:c>
      <x:c r="M150" s="32">
        <x:f>M143*환율기준!$D$5</x:f>
        <x:v>335079914.39999998</x:v>
      </x:c>
      <x:c r="N150" s="32">
        <x:f>N143*환율기준!$D$5</x:f>
        <x:v>335079914.39999998</x:v>
      </x:c>
      <x:c r="O150" s="32">
        <x:f>O143*환율기준!$D$5</x:f>
        <x:v>335079914.39999998</x:v>
      </x:c>
      <x:c r="P150" s="32">
        <x:f>P143*환율기준!$D$5</x:f>
        <x:v>335079914.39999998</x:v>
      </x:c>
      <x:c r="Q150" s="32">
        <x:f>Q143*환율기준!$D$5</x:f>
        <x:v>335079914.39999998</x:v>
      </x:c>
      <x:c r="R150" s="32">
        <x:f t="shared" si="128"/>
        <x:v>5921622352.7999983</x:v>
      </x:c>
      <x:c r="S150" s="108"/>
    </x:row>
    <x:row r="151" spans="1:19">
      <x:c r="E151" s="15" t="s">
        <x:v>30</x:v>
      </x:c>
      <x:c r="F151" s="32">
        <x:f>F144*환율기준!$D$5</x:f>
        <x:v>0</x:v>
      </x:c>
      <x:c r="G151" s="32">
        <x:f>G144*환율기준!$D$5</x:f>
        <x:v>0</x:v>
      </x:c>
      <x:c r="H151" s="32">
        <x:f>H144*환율기준!$D$5</x:f>
        <x:v>0</x:v>
      </x:c>
      <x:c r="I151" s="32">
        <x:f>I144*환율기준!$D$5</x:f>
        <x:v>0</x:v>
      </x:c>
      <x:c r="J151" s="32">
        <x:f>J144*환율기준!$D$5</x:f>
        <x:v>0</x:v>
      </x:c>
      <x:c r="K151" s="32">
        <x:f>K144*환율기준!$D$5</x:f>
        <x:v>0</x:v>
      </x:c>
      <x:c r="L151" s="32">
        <x:f>L144*환율기준!$D$5</x:f>
        <x:v>0</x:v>
      </x:c>
      <x:c r="M151" s="32">
        <x:f>M144*환율기준!$D$5</x:f>
        <x:v>0</x:v>
      </x:c>
      <x:c r="N151" s="32">
        <x:f>N144*환율기준!$D$5</x:f>
        <x:v>0</x:v>
      </x:c>
      <x:c r="O151" s="32">
        <x:f>O144*환율기준!$D$5</x:f>
        <x:v>0</x:v>
      </x:c>
      <x:c r="P151" s="32">
        <x:f>P144*환율기준!$D$5</x:f>
        <x:v>0</x:v>
      </x:c>
      <x:c r="Q151" s="32">
        <x:f>Q144*환율기준!$D$5</x:f>
        <x:v>0</x:v>
      </x:c>
      <x:c r="R151" s="32">
        <x:f t="shared" si="128"/>
        <x:v>0</x:v>
      </x:c>
      <x:c r="S151" s="108"/>
    </x:row>
    <x:row r="152" spans="1:19">
      <x:c r="E152" s="15" t="s">
        <x:v>165</x:v>
      </x:c>
      <x:c r="F152" s="32">
        <x:f>F145*환율기준!$D$5</x:f>
        <x:v>1027984280.3999999</x:v>
      </x:c>
      <x:c r="G152" s="32">
        <x:f>G145*환율기준!$D$5</x:f>
        <x:v>1386219847.3199999</x:v>
      </x:c>
      <x:c r="H152" s="32">
        <x:f>H145*환율기준!$D$5</x:f>
        <x:v>1413552349.4399998</x:v>
      </x:c>
      <x:c r="I152" s="32">
        <x:f>I145*환율기준!$D$5</x:f>
        <x:v>1372249547.7767997</x:v>
      </x:c>
      <x:c r="J152" s="32">
        <x:f>J145*환율기준!$D$5</x:f>
        <x:v>1737972308.5955997</x:v>
      </x:c>
      <x:c r="K152" s="32">
        <x:f>K145*환율기준!$D$5</x:f>
        <x:v>1215359847.7019997</x:v>
      </x:c>
      <x:c r="L152" s="32">
        <x:f>L145*환율기준!$D$5</x:f>
        <x:v>976702953.44159997</x:v>
      </x:c>
      <x:c r="M152" s="32">
        <x:f>M145*환율기준!$D$5</x:f>
        <x:v>1155690105.2927999</x:v>
      </x:c>
      <x:c r="N152" s="32">
        <x:f>N145*환율기준!$D$5</x:f>
        <x:v>762373123.97399998</x:v>
      </x:c>
      <x:c r="O152" s="32">
        <x:f>O145*환율기준!$D$5</x:f>
        <x:v>1065092760.5472</x:v>
      </x:c>
      <x:c r="P152" s="32">
        <x:f>P145*환율기준!$D$5</x:f>
        <x:v>640185915.60000002</x:v>
      </x:c>
      <x:c r="Q152" s="32">
        <x:f>Q145*환율기준!$D$5</x:f>
        <x:v>640185915.60000002</x:v>
      </x:c>
      <x:c r="R152" s="32">
        <x:f t="shared" si="128"/>
        <x:v>13393568955.689999</x:v>
      </x:c>
      <x:c r="S152" s="108"/>
    </x:row>
    <x:row r="153" spans="1:19">
      <x:c r="E153" s="15" t="s">
        <x:v>203</x:v>
      </x:c>
      <x:c r="F153" s="32">
        <x:f>F146*환율기준!$D$5</x:f>
        <x:v>7621614.0000000009</x:v>
      </x:c>
      <x:c r="G153" s="32">
        <x:f>G146*환율기준!$D$5</x:f>
        <x:v>10162152</x:v>
      </x:c>
      <x:c r="H153" s="32">
        <x:f>H146*환율기준!$D$5</x:f>
        <x:v>11855844</x:v>
      </x:c>
      <x:c r="I153" s="32">
        <x:f>I146*환율기준!$D$5</x:f>
        <x:v>10162152</x:v>
      </x:c>
      <x:c r="J153" s="32">
        <x:f>J146*환율기준!$D$5</x:f>
        <x:v>7621614.0000000009</x:v>
      </x:c>
      <x:c r="K153" s="32">
        <x:f>K146*환율기준!$D$5</x:f>
        <x:v>11008998</x:v>
      </x:c>
      <x:c r="L153" s="32">
        <x:f>L146*환율기준!$D$5</x:f>
        <x:v>8468460</x:v>
      </x:c>
      <x:c r="M153" s="32">
        <x:f>M146*환율기준!$D$5</x:f>
        <x:v>12702690</x:v>
      </x:c>
      <x:c r="N153" s="32">
        <x:f>N146*환율기준!$D$5</x:f>
        <x:v>10162152</x:v>
      </x:c>
      <x:c r="O153" s="32">
        <x:f>O146*환율기준!$D$5</x:f>
        <x:v>10162152</x:v>
      </x:c>
      <x:c r="P153" s="32">
        <x:f>P146*환율기준!$D$5</x:f>
        <x:v>10162152</x:v>
      </x:c>
      <x:c r="Q153" s="32">
        <x:f>Q146*환율기준!$D$5</x:f>
        <x:v>10162152</x:v>
      </x:c>
      <x:c r="R153" s="32">
        <x:f t="shared" si="128"/>
        <x:v>120252132</x:v>
      </x:c>
      <x:c r="S153" s="108"/>
    </x:row>
    <x:row r="154" spans="1:19">
      <x:c r="E154" s="15"/>
      <x:c r="F154" s="32">
        <x:f t="shared" ref="F154:Q154" si="129">SUM(F149:F153)</x:f>
        <x:v>2346218582.3999996</x:v>
      </x:c>
      <x:c r="G154" s="32">
        <x:f t="shared" si="129"/>
        <x:v>2089190731.3199999</x:v>
      </x:c>
      <x:c r="H154" s="32">
        <x:f t="shared" si="129"/>
        <x:v>1735145929.4399998</x:v>
      </x:c>
      <x:c r="I154" s="32">
        <x:f t="shared" si="129"/>
        <x:v>2712114042.9768</x:v>
      </x:c>
      <x:c r="J154" s="32">
        <x:f t="shared" si="129"/>
        <x:v>2196121538.5955997</x:v>
      </x:c>
      <x:c r="K154" s="32">
        <x:f t="shared" si="129"/>
        <x:v>1596022391.5420752</x:v>
      </x:c>
      <x:c r="L154" s="32">
        <x:f t="shared" si="129"/>
        <x:v>1354824959.2816756</x:v>
      </x:c>
      <x:c r="M154" s="32">
        <x:f t="shared" si="129"/>
        <x:v>1538046341.1328754</x:v>
      </x:c>
      <x:c r="N154" s="32">
        <x:f t="shared" si="129"/>
        <x:v>1142188821.8140755</x:v>
      </x:c>
      <x:c r="O154" s="32">
        <x:f t="shared" si="129"/>
        <x:v>1444908458.3872757</x:v>
      </x:c>
      <x:c r="P154" s="32">
        <x:f t="shared" si="129"/>
        <x:v>1020001613.4400756</x:v>
      </x:c>
      <x:c r="Q154" s="32">
        <x:f t="shared" si="129"/>
        <x:v>1020001613.4400756</x:v>
      </x:c>
      <x:c r="R154" s="32">
        <x:f t="shared" si="128"/>
        <x:v>20194785023.770527</x:v>
      </x:c>
      <x:c r="S154" s="108"/>
    </x:row>
    <x:row r="155" spans="1:19">
      <x:c r="E155" s="15"/>
      <x:c r="F155" s="32"/>
      <x:c r="G155" s="32"/>
      <x:c r="H155" s="32"/>
      <x:c r="I155" s="32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108"/>
    </x:row>
    <x:row r="156" spans="1:19">
      <x:c r="A156" s="7" t="s">
        <x:v>286</x:v>
      </x:c>
      <x:c r="D156" s="7" t="s">
        <x:v>196</x:v>
      </x:c>
      <x:c r="E156" s="15" t="s">
        <x:v>145</x:v>
      </x:c>
      <x:c r="F156" s="32">
        <x:f>SUM(F112:F122)</x:f>
        <x:v>28848.960000000006</x:v>
      </x:c>
      <x:c r="G156" s="32">
        <x:f t="shared" ref="G156:Q156" si="130">SUM(G112:G122)</x:f>
        <x:v>33657.120000000003</x:v>
      </x:c>
      <x:c r="H156" s="32">
        <x:f t="shared" si="130"/>
        <x:v>43019.200000000004</x:v>
      </x:c>
      <x:c r="I156" s="32">
        <x:f t="shared" si="130"/>
        <x:v>40669.200000000004</x:v>
      </x:c>
      <x:c r="J156" s="32">
        <x:f t="shared" si="130"/>
        <x:v>36061.200000000004</x:v>
      </x:c>
      <x:c r="K156" s="32">
        <x:f t="shared" si="130"/>
        <x:v>70705.600000000006</x:v>
      </x:c>
      <x:c r="L156" s="32">
        <x:f t="shared" si="130"/>
        <x:v>53029.200000000012</x:v>
      </x:c>
      <x:c r="M156" s="32">
        <x:f t="shared" si="130"/>
        <x:v>95452.560000000012</x:v>
      </x:c>
      <x:c r="N156" s="32">
        <x:f t="shared" si="130"/>
        <x:v>53029.200000000012</x:v>
      </x:c>
      <x:c r="O156" s="32">
        <x:f t="shared" si="130"/>
        <x:v>70705.600000000006</x:v>
      </x:c>
      <x:c r="P156" s="32">
        <x:f t="shared" si="130"/>
        <x:v>35352.800000000003</x:v>
      </x:c>
      <x:c r="Q156" s="32">
        <x:f t="shared" si="130"/>
        <x:v>24746.960000000006</x:v>
      </x:c>
      <x:c r="R156" s="32">
        <x:f t="shared" ref="R156:R161" si="131">SUM(F156:Q156)</x:f>
        <x:v>585277.60000000009</x:v>
      </x:c>
    </x:row>
    <x:row r="157" spans="1:19">
      <x:c r="E157" s="15" t="s">
        <x:v>146</x:v>
      </x:c>
      <x:c r="F157" s="32">
        <x:f>SUM(F123:F129)</x:f>
        <x:v>625258.82000000007</x:v>
      </x:c>
      <x:c r="G157" s="32">
        <x:f t="shared" ref="G157:Q157" si="132">SUM(G123:G129)</x:f>
        <x:v>666671.5</x:v>
      </x:c>
      <x:c r="H157" s="32">
        <x:f t="shared" si="132"/>
        <x:v>703870.48</x:v>
      </x:c>
      <x:c r="I157" s="32">
        <x:f t="shared" si="132"/>
        <x:v>762594</x:v>
      </x:c>
      <x:c r="J157" s="32">
        <x:f t="shared" si="132"/>
        <x:v>381396</x:v>
      </x:c>
      <x:c r="K157" s="32">
        <x:f t="shared" si="132"/>
        <x:v>764338</x:v>
      </x:c>
      <x:c r="L157" s="32">
        <x:f t="shared" si="132"/>
        <x:v>663546</x:v>
      </x:c>
      <x:c r="M157" s="32">
        <x:f t="shared" si="132"/>
        <x:v>905446.8</x:v>
      </x:c>
      <x:c r="N157" s="32">
        <x:f t="shared" si="132"/>
        <x:v>663546</x:v>
      </x:c>
      <x:c r="O157" s="32">
        <x:f t="shared" si="132"/>
        <x:v>764338</x:v>
      </x:c>
      <x:c r="P157" s="32">
        <x:f t="shared" si="132"/>
        <x:v>562754</x:v>
      </x:c>
      <x:c r="Q157" s="32">
        <x:f t="shared" si="132"/>
        <x:v>502278.80000000005</x:v>
      </x:c>
      <x:c r="R157" s="32">
        <x:f t="shared" si="131"/>
        <x:v>7966038.3999999994</x:v>
      </x:c>
    </x:row>
    <x:row r="158" spans="1:19">
      <x:c r="E158" s="15" t="s">
        <x:v>30</x:v>
      </x:c>
      <x:c r="F158" s="32"/>
      <x:c r="G158" s="32"/>
      <x:c r="H158" s="32"/>
      <x:c r="I158" s="32"/>
      <x:c r="J158" s="32"/>
      <x:c r="K158" s="32"/>
      <x:c r="L158" s="32"/>
      <x:c r="M158" s="32"/>
      <x:c r="N158" s="32"/>
      <x:c r="O158" s="32"/>
      <x:c r="P158" s="32"/>
      <x:c r="Q158" s="32"/>
      <x:c r="R158" s="32">
        <x:f t="shared" si="131"/>
        <x:v>0</x:v>
      </x:c>
    </x:row>
    <x:row r="159" spans="1:19">
      <x:c r="E159" s="15" t="s">
        <x:v>165</x:v>
      </x:c>
      <x:c r="F159" s="32">
        <x:f>SUM(F130:F131)</x:f>
        <x:v>760211.1</x:v>
      </x:c>
      <x:c r="G159" s="32">
        <x:f t="shared" ref="G159:Q159" si="133">SUM(G130:G131)</x:f>
        <x:v>1025132.1299999999</x:v>
      </x:c>
      <x:c r="H159" s="32">
        <x:f t="shared" si="133"/>
        <x:v>1045344.96</x:v>
      </x:c>
      <x:c r="I159" s="32">
        <x:f t="shared" si="133"/>
        <x:v>1014800.8661999998</x:v>
      </x:c>
      <x:c r="J159" s="32">
        <x:f t="shared" si="133"/>
        <x:v>1285258.7979000001</x:v>
      </x:c>
      <x:c r="K159" s="32">
        <x:f t="shared" si="133"/>
        <x:v>898778.38049999985</x:v>
      </x:c>
      <x:c r="L159" s="32">
        <x:f t="shared" si="133"/>
        <x:v>722287.72439999995</x:v>
      </x:c>
      <x:c r="M159" s="32">
        <x:f t="shared" si="133"/>
        <x:v>854651.6351999999</x:v>
      </x:c>
      <x:c r="N159" s="32">
        <x:f t="shared" si="133"/>
        <x:v>563787.32849999995</x:v>
      </x:c>
      <x:c r="O159" s="32">
        <x:f t="shared" si="133"/>
        <x:v>787653.42479999992</x:v>
      </x:c>
      <x:c r="P159" s="32">
        <x:f t="shared" si="133"/>
        <x:v>473427.9</x:v>
      </x:c>
      <x:c r="Q159" s="32">
        <x:f t="shared" si="133"/>
        <x:v>473427.9</x:v>
      </x:c>
      <x:c r="R159" s="32">
        <x:f t="shared" si="131"/>
        <x:v>9904762.1475000009</x:v>
      </x:c>
    </x:row>
    <x:row r="160" spans="1:19">
      <x:c r="E160" s="15" t="s">
        <x:v>203</x:v>
      </x:c>
      <x:c r="F160" s="32">
        <x:f>SUM(F132)</x:f>
        <x:v>5742</x:v>
      </x:c>
      <x:c r="G160" s="32">
        <x:f t="shared" ref="G160:Q160" si="134">SUM(G132)</x:f>
        <x:v>7656</x:v>
      </x:c>
      <x:c r="H160" s="32">
        <x:f t="shared" si="134"/>
        <x:v>8932</x:v>
      </x:c>
      <x:c r="I160" s="32">
        <x:f t="shared" si="134"/>
        <x:v>7656</x:v>
      </x:c>
      <x:c r="J160" s="32">
        <x:f t="shared" si="134"/>
        <x:v>5742</x:v>
      </x:c>
      <x:c r="K160" s="32">
        <x:f t="shared" si="134"/>
        <x:v>8294</x:v>
      </x:c>
      <x:c r="L160" s="32">
        <x:f t="shared" si="134"/>
        <x:v>6380</x:v>
      </x:c>
      <x:c r="M160" s="32">
        <x:f t="shared" si="134"/>
        <x:v>9570</x:v>
      </x:c>
      <x:c r="N160" s="32">
        <x:f t="shared" si="134"/>
        <x:v>7656</x:v>
      </x:c>
      <x:c r="O160" s="32">
        <x:f t="shared" si="134"/>
        <x:v>7656</x:v>
      </x:c>
      <x:c r="P160" s="32">
        <x:f t="shared" si="134"/>
        <x:v>7656</x:v>
      </x:c>
      <x:c r="Q160" s="32">
        <x:f t="shared" si="134"/>
        <x:v>7656</x:v>
      </x:c>
      <x:c r="R160" s="32">
        <x:f t="shared" si="131"/>
        <x:v>90596</x:v>
      </x:c>
    </x:row>
    <x:row r="161" spans="4:19">
      <x:c r="E161" s="15"/>
      <x:c r="F161" s="32">
        <x:f t="shared" ref="F161:Q161" si="135">SUM(F156:F160)</x:f>
        <x:v>1420060.88</x:v>
      </x:c>
      <x:c r="G161" s="32">
        <x:f t="shared" si="135"/>
        <x:v>1733116.75</x:v>
      </x:c>
      <x:c r="H161" s="32">
        <x:f t="shared" si="135"/>
        <x:v>1801166.64</x:v>
      </x:c>
      <x:c r="I161" s="32">
        <x:f t="shared" si="135"/>
        <x:v>1825720.0661999998</x:v>
      </x:c>
      <x:c r="J161" s="32">
        <x:f t="shared" si="135"/>
        <x:v>1708457.9979000001</x:v>
      </x:c>
      <x:c r="K161" s="32">
        <x:f t="shared" si="135"/>
        <x:v>1742115.9804999998</x:v>
      </x:c>
      <x:c r="L161" s="32">
        <x:f t="shared" si="135"/>
        <x:v>1445242.9243999999</x:v>
      </x:c>
      <x:c r="M161" s="32">
        <x:f t="shared" si="135"/>
        <x:v>1865120.9952</x:v>
      </x:c>
      <x:c r="N161" s="32">
        <x:f t="shared" si="135"/>
        <x:v>1288018.5285</x:v>
      </x:c>
      <x:c r="O161" s="32">
        <x:f t="shared" si="135"/>
        <x:v>1630353.0247999998</x:v>
      </x:c>
      <x:c r="P161" s="32">
        <x:f t="shared" si="135"/>
        <x:v>1079190.7000000002</x:v>
      </x:c>
      <x:c r="Q161" s="32">
        <x:f t="shared" si="135"/>
        <x:v>1008109.66</x:v>
      </x:c>
      <x:c r="R161" s="32">
        <x:f t="shared" si="131"/>
        <x:v>18546674.147499997</x:v>
      </x:c>
    </x:row>
    <x:row r="162" spans="4:19">
      <x:c r="E162" s="15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</x:row>
    <x:row r="163" spans="4:19">
      <x:c r="D163" s="7" t="s">
        <x:v>213</x:v>
      </x:c>
      <x:c r="E163" s="15" t="s">
        <x:v>145</x:v>
      </x:c>
      <x:c r="F163" s="32">
        <x:f>F156*환율기준!$D$3</x:f>
        <x:v>103856.25600000002</x:v>
      </x:c>
      <x:c r="G163" s="32">
        <x:f>G156*환율기준!$D$3</x:f>
        <x:v>121165.63200000001</x:v>
      </x:c>
      <x:c r="H163" s="32">
        <x:f>H156*환율기준!$D$3</x:f>
        <x:v>154869.12000000002</x:v>
      </x:c>
      <x:c r="I163" s="32">
        <x:f>I156*환율기준!$D$3</x:f>
        <x:v>146409.12000000002</x:v>
      </x:c>
      <x:c r="J163" s="32">
        <x:f>J156*환율기준!$D$3</x:f>
        <x:v>129820.32000000002</x:v>
      </x:c>
      <x:c r="K163" s="32">
        <x:f>K156*환율기준!$D$3</x:f>
        <x:v>254540.16000000003</x:v>
      </x:c>
      <x:c r="L163" s="32">
        <x:f>L156*환율기준!$D$3</x:f>
        <x:v>190905.12000000005</x:v>
      </x:c>
      <x:c r="M163" s="32">
        <x:f>M156*환율기준!$D$3</x:f>
        <x:v>343629.21600000007</x:v>
      </x:c>
      <x:c r="N163" s="32">
        <x:f>N156*환율기준!$D$3</x:f>
        <x:v>190905.12000000005</x:v>
      </x:c>
      <x:c r="O163" s="32">
        <x:f>O156*환율기준!$D$3</x:f>
        <x:v>254540.16000000003</x:v>
      </x:c>
      <x:c r="P163" s="32">
        <x:f>P156*환율기준!$D$3</x:f>
        <x:v>127270.08000000002</x:v>
      </x:c>
      <x:c r="Q163" s="32">
        <x:f>Q156*환율기준!$D$3</x:f>
        <x:v>89089.056000000026</x:v>
      </x:c>
      <x:c r="R163" s="32">
        <x:f t="shared" ref="R163:R168" si="136">SUM(F163:Q163)</x:f>
        <x:v>2106999.3600000003</x:v>
      </x:c>
    </x:row>
    <x:row r="164" spans="4:19">
      <x:c r="E164" s="15" t="s">
        <x:v>146</x:v>
      </x:c>
      <x:c r="F164" s="32">
        <x:f>F157*환율기준!$D$3</x:f>
        <x:v>2250931.7520000003</x:v>
      </x:c>
      <x:c r="G164" s="32">
        <x:f>G157*환율기준!$D$3</x:f>
        <x:v>2400017.4</x:v>
      </x:c>
      <x:c r="H164" s="32">
        <x:f>H157*환율기준!$D$3</x:f>
        <x:v>2533933.7280000001</x:v>
      </x:c>
      <x:c r="I164" s="32">
        <x:f>I157*환율기준!$D$3</x:f>
        <x:v>2745338.4</x:v>
      </x:c>
      <x:c r="J164" s="32">
        <x:f>J157*환율기준!$D$3</x:f>
        <x:v>1373025.6</x:v>
      </x:c>
      <x:c r="K164" s="32">
        <x:f>K157*환율기준!$D$3</x:f>
        <x:v>2751616.8000000003</x:v>
      </x:c>
      <x:c r="L164" s="32">
        <x:f>L157*환율기준!$D$3</x:f>
        <x:v>2388765.6</x:v>
      </x:c>
      <x:c r="M164" s="32">
        <x:f>M157*환율기준!$D$3</x:f>
        <x:v>3259608.4800000004</x:v>
      </x:c>
      <x:c r="N164" s="32">
        <x:f>N157*환율기준!$D$3</x:f>
        <x:v>2388765.6</x:v>
      </x:c>
      <x:c r="O164" s="32">
        <x:f>O157*환율기준!$D$3</x:f>
        <x:v>2751616.8000000003</x:v>
      </x:c>
      <x:c r="P164" s="32">
        <x:f>P157*환율기준!$D$3</x:f>
        <x:v>2025914.4000000001</x:v>
      </x:c>
      <x:c r="Q164" s="32">
        <x:f>Q157*환율기준!$D$3</x:f>
        <x:v>1808203.6800000002</x:v>
      </x:c>
      <x:c r="R164" s="32">
        <x:f t="shared" si="136"/>
        <x:v>28677738.240000002</x:v>
      </x:c>
    </x:row>
    <x:row r="165" spans="4:19">
      <x:c r="E165" s="15" t="s">
        <x:v>30</x:v>
      </x:c>
      <x:c r="F165" s="32">
        <x:f>F158*환율기준!$D$3</x:f>
        <x:v>0</x:v>
      </x:c>
      <x:c r="G165" s="32">
        <x:f>G158*환율기준!$D$3</x:f>
        <x:v>0</x:v>
      </x:c>
      <x:c r="H165" s="32">
        <x:f>H158*환율기준!$D$3</x:f>
        <x:v>0</x:v>
      </x:c>
      <x:c r="I165" s="32">
        <x:f>I158*환율기준!$D$3</x:f>
        <x:v>0</x:v>
      </x:c>
      <x:c r="J165" s="32">
        <x:f>J158*환율기준!$D$3</x:f>
        <x:v>0</x:v>
      </x:c>
      <x:c r="K165" s="32">
        <x:f>K158*환율기준!$D$3</x:f>
        <x:v>0</x:v>
      </x:c>
      <x:c r="L165" s="32">
        <x:f>L158*환율기준!$D$3</x:f>
        <x:v>0</x:v>
      </x:c>
      <x:c r="M165" s="32">
        <x:f>M158*환율기준!$D$3</x:f>
        <x:v>0</x:v>
      </x:c>
      <x:c r="N165" s="32">
        <x:f>N158*환율기준!$D$3</x:f>
        <x:v>0</x:v>
      </x:c>
      <x:c r="O165" s="32">
        <x:f>O158*환율기준!$D$3</x:f>
        <x:v>0</x:v>
      </x:c>
      <x:c r="P165" s="32">
        <x:f>P158*환율기준!$D$3</x:f>
        <x:v>0</x:v>
      </x:c>
      <x:c r="Q165" s="32">
        <x:f>Q158*환율기준!$D$3</x:f>
        <x:v>0</x:v>
      </x:c>
      <x:c r="R165" s="32">
        <x:f t="shared" si="136"/>
        <x:v>0</x:v>
      </x:c>
    </x:row>
    <x:row r="166" spans="4:19">
      <x:c r="E166" s="15" t="s">
        <x:v>165</x:v>
      </x:c>
      <x:c r="F166" s="32">
        <x:f>F159*환율기준!$D$3</x:f>
        <x:v>2736759.96</x:v>
      </x:c>
      <x:c r="G166" s="32">
        <x:f>G159*환율기준!$D$3</x:f>
        <x:v>3690475.6679999996</x:v>
      </x:c>
      <x:c r="H166" s="32">
        <x:f>H159*환율기준!$D$3</x:f>
        <x:v>3763241.8560000001</x:v>
      </x:c>
      <x:c r="I166" s="32">
        <x:f>I159*환율기준!$D$3</x:f>
        <x:v>3653283.1183199994</x:v>
      </x:c>
      <x:c r="J166" s="32">
        <x:f>J159*환율기준!$D$3</x:f>
        <x:v>4626931.6724400008</x:v>
      </x:c>
      <x:c r="K166" s="32">
        <x:f>K159*환율기준!$D$3</x:f>
        <x:v>3235602.1697999993</x:v>
      </x:c>
      <x:c r="L166" s="32">
        <x:f>L159*환율기준!$D$3</x:f>
        <x:v>2600235.8078399999</x:v>
      </x:c>
      <x:c r="M166" s="32">
        <x:f>M159*환율기준!$D$3</x:f>
        <x:v>3076745.8867199998</x:v>
      </x:c>
      <x:c r="N166" s="32">
        <x:f>N159*환율기준!$D$3</x:f>
        <x:v>2029634.3825999999</x:v>
      </x:c>
      <x:c r="O166" s="32">
        <x:f>O159*환율기준!$D$3</x:f>
        <x:v>2835552.3292799997</x:v>
      </x:c>
      <x:c r="P166" s="32">
        <x:f>P159*환율기준!$D$3</x:f>
        <x:v>1704340.4400000002</x:v>
      </x:c>
      <x:c r="Q166" s="32">
        <x:f>Q159*환율기준!$D$3</x:f>
        <x:v>1704340.4400000002</x:v>
      </x:c>
      <x:c r="R166" s="32">
        <x:f t="shared" si="136"/>
        <x:v>35657143.730999991</x:v>
      </x:c>
    </x:row>
    <x:row r="167" spans="4:19">
      <x:c r="E167" s="15" t="s">
        <x:v>203</x:v>
      </x:c>
      <x:c r="F167" s="32">
        <x:f>F160*환율기준!$D$3</x:f>
        <x:v>20671.2</x:v>
      </x:c>
      <x:c r="G167" s="32">
        <x:f>G160*환율기준!$D$3</x:f>
        <x:v>27561.600000000002</x:v>
      </x:c>
      <x:c r="H167" s="32">
        <x:f>H160*환율기준!$D$3</x:f>
        <x:v>32155.200000000001</x:v>
      </x:c>
      <x:c r="I167" s="32">
        <x:f>I160*환율기준!$D$3</x:f>
        <x:v>27561.600000000002</x:v>
      </x:c>
      <x:c r="J167" s="32">
        <x:f>J160*환율기준!$D$3</x:f>
        <x:v>20671.2</x:v>
      </x:c>
      <x:c r="K167" s="32">
        <x:f>K160*환율기준!$D$3</x:f>
        <x:v>29858.400000000001</x:v>
      </x:c>
      <x:c r="L167" s="32">
        <x:f>L160*환율기준!$D$3</x:f>
        <x:v>22968</x:v>
      </x:c>
      <x:c r="M167" s="32">
        <x:f>M160*환율기준!$D$3</x:f>
        <x:v>34452</x:v>
      </x:c>
      <x:c r="N167" s="32">
        <x:f>N160*환율기준!$D$3</x:f>
        <x:v>27561.600000000002</x:v>
      </x:c>
      <x:c r="O167" s="32">
        <x:f>O160*환율기준!$D$3</x:f>
        <x:v>27561.600000000002</x:v>
      </x:c>
      <x:c r="P167" s="32">
        <x:f>P160*환율기준!$D$3</x:f>
        <x:v>27561.600000000002</x:v>
      </x:c>
      <x:c r="Q167" s="32">
        <x:f>Q160*환율기준!$D$3</x:f>
        <x:v>27561.600000000002</x:v>
      </x:c>
      <x:c r="R167" s="32">
        <x:f t="shared" si="136"/>
        <x:v>326145.59999999998</x:v>
      </x:c>
    </x:row>
    <x:row r="168" spans="4:19">
      <x:c r="E168" s="15"/>
      <x:c r="F168" s="32">
        <x:f t="shared" ref="F168:Q168" si="137">SUM(F163:F167)</x:f>
        <x:v>5112219.1680000005</x:v>
      </x:c>
      <x:c r="G168" s="32">
        <x:f t="shared" si="137"/>
        <x:v>6239220.2999999989</x:v>
      </x:c>
      <x:c r="H168" s="32">
        <x:f t="shared" si="137"/>
        <x:v>6484199.9040000001</x:v>
      </x:c>
      <x:c r="I168" s="32">
        <x:f t="shared" si="137"/>
        <x:v>6572592.2383199986</x:v>
      </x:c>
      <x:c r="J168" s="32">
        <x:f t="shared" si="137"/>
        <x:v>6150448.7924400009</x:v>
      </x:c>
      <x:c r="K168" s="32">
        <x:f t="shared" si="137"/>
        <x:v>6271617.5297999997</x:v>
      </x:c>
      <x:c r="L168" s="32">
        <x:f t="shared" si="137"/>
        <x:v>5202874.5278399996</x:v>
      </x:c>
      <x:c r="M168" s="32">
        <x:f t="shared" si="137"/>
        <x:v>6714435.5827200003</x:v>
      </x:c>
      <x:c r="N168" s="32">
        <x:f t="shared" si="137"/>
        <x:v>4636866.7025999995</x:v>
      </x:c>
      <x:c r="O168" s="32">
        <x:f t="shared" si="137"/>
        <x:v>5869270.8892799998</x:v>
      </x:c>
      <x:c r="P168" s="32">
        <x:f t="shared" si="137"/>
        <x:v>3885086.52</x:v>
      </x:c>
      <x:c r="Q168" s="32">
        <x:f t="shared" si="137"/>
        <x:v>3629194.7760000005</x:v>
      </x:c>
      <x:c r="R168" s="32">
        <x:f t="shared" si="136"/>
        <x:v>66768026.931000002</x:v>
      </x:c>
    </x:row>
    <x:row r="169" spans="4:19">
      <x:c r="E169" s="15"/>
      <x:c r="F169" s="109"/>
      <x:c r="G169" s="109"/>
      <x:c r="H169" s="109"/>
      <x:c r="I169" s="109"/>
      <x:c r="J169" s="109"/>
      <x:c r="K169" s="109"/>
      <x:c r="L169" s="109"/>
      <x:c r="M169" s="109"/>
      <x:c r="N169" s="109"/>
      <x:c r="O169" s="109"/>
      <x:c r="P169" s="109"/>
      <x:c r="Q169" s="109"/>
      <x:c r="R169" s="109"/>
    </x:row>
    <x:row r="170" spans="4:19">
      <x:c r="D170" s="7" t="s">
        <x:v>195</x:v>
      </x:c>
      <x:c r="E170" s="15" t="s">
        <x:v>145</x:v>
      </x:c>
      <x:c r="F170" s="32">
        <x:f>F163*환율기준!$D$5</x:f>
        <x:v>39984658.56000001</x:v>
      </x:c>
      <x:c r="G170" s="32">
        <x:f>G163*환율기준!$D$5</x:f>
        <x:v>46648768.320000008</x:v>
      </x:c>
      <x:c r="H170" s="32">
        <x:f>H163*환율기준!$D$5</x:f>
        <x:v>59624611.20000001</x:v>
      </x:c>
      <x:c r="I170" s="32">
        <x:f>I163*환율기준!$D$5</x:f>
        <x:v>56367511.20000001</x:v>
      </x:c>
      <x:c r="J170" s="32">
        <x:f>J163*환율기준!$D$5</x:f>
        <x:v>49980823.20000001</x:v>
      </x:c>
      <x:c r="K170" s="32">
        <x:f>K163*환율기준!$D$5</x:f>
        <x:v>97997961.600000009</x:v>
      </x:c>
      <x:c r="L170" s="32">
        <x:f>L163*환율기준!$D$5</x:f>
        <x:v>73498471.200000018</x:v>
      </x:c>
      <x:c r="M170" s="32">
        <x:f>M163*환율기준!$D$5</x:f>
        <x:v>132297248.16000003</x:v>
      </x:c>
      <x:c r="N170" s="32">
        <x:f>N163*환율기준!$D$5</x:f>
        <x:v>73498471.200000018</x:v>
      </x:c>
      <x:c r="O170" s="32">
        <x:f>O163*환율기준!$D$5</x:f>
        <x:v>97997961.600000009</x:v>
      </x:c>
      <x:c r="P170" s="32">
        <x:f>P163*환율기준!$D$5</x:f>
        <x:v>48998980.800000004</x:v>
      </x:c>
      <x:c r="Q170" s="32">
        <x:f>Q163*환율기준!$D$5</x:f>
        <x:v>34299286.56000001</x:v>
      </x:c>
      <x:c r="R170" s="32">
        <x:f t="shared" ref="R170:R175" si="138">SUM(F170:Q170)</x:f>
        <x:v>811194753.60000014</x:v>
      </x:c>
      <x:c r="S170" s="108"/>
    </x:row>
    <x:row r="171" spans="4:19">
      <x:c r="E171" s="15" t="s">
        <x:v>146</x:v>
      </x:c>
      <x:c r="F171" s="32">
        <x:f>F164*환율기준!$D$5</x:f>
        <x:v>866608724.5200001</x:v>
      </x:c>
      <x:c r="G171" s="32">
        <x:f>G164*환율기준!$D$5</x:f>
        <x:v>924006699</x:v>
      </x:c>
      <x:c r="H171" s="32">
        <x:f>H164*환율기준!$D$5</x:f>
        <x:v>975564485.28000009</x:v>
      </x:c>
      <x:c r="I171" s="32">
        <x:f>I164*환율기준!$D$5</x:f>
        <x:v>1056955284</x:v>
      </x:c>
      <x:c r="J171" s="32">
        <x:f>J164*환율기준!$D$5</x:f>
        <x:v>528614856.00000006</x:v>
      </x:c>
      <x:c r="K171" s="32">
        <x:f>K164*환율기준!$D$5</x:f>
        <x:v>1059372468.0000001</x:v>
      </x:c>
      <x:c r="L171" s="32">
        <x:f>L164*환율기준!$D$5</x:f>
        <x:v>919674756</x:v>
      </x:c>
      <x:c r="M171" s="32">
        <x:f>M164*환율기준!$D$5</x:f>
        <x:v>1254949264.8000002</x:v>
      </x:c>
      <x:c r="N171" s="32">
        <x:f>N164*환율기준!$D$5</x:f>
        <x:v>919674756</x:v>
      </x:c>
      <x:c r="O171" s="32">
        <x:f>O164*환율기준!$D$5</x:f>
        <x:v>1059372468.0000001</x:v>
      </x:c>
      <x:c r="P171" s="32">
        <x:f>P164*환율기준!$D$5</x:f>
        <x:v>779977044</x:v>
      </x:c>
      <x:c r="Q171" s="32">
        <x:f>Q164*환율기준!$D$5</x:f>
        <x:v>696158416.80000007</x:v>
      </x:c>
      <x:c r="R171" s="32">
        <x:f t="shared" si="138"/>
        <x:v>11040929222.4</x:v>
      </x:c>
      <x:c r="S171" s="108"/>
    </x:row>
    <x:row r="172" spans="4:19">
      <x:c r="E172" s="15" t="s">
        <x:v>30</x:v>
      </x:c>
      <x:c r="F172" s="32">
        <x:f>F165*환율기준!$D$5</x:f>
        <x:v>0</x:v>
      </x:c>
      <x:c r="G172" s="32">
        <x:f>G165*환율기준!$D$5</x:f>
        <x:v>0</x:v>
      </x:c>
      <x:c r="H172" s="32">
        <x:f>H165*환율기준!$D$5</x:f>
        <x:v>0</x:v>
      </x:c>
      <x:c r="I172" s="32">
        <x:f>I165*환율기준!$D$5</x:f>
        <x:v>0</x:v>
      </x:c>
      <x:c r="J172" s="32">
        <x:f>J165*환율기준!$D$5</x:f>
        <x:v>0</x:v>
      </x:c>
      <x:c r="K172" s="32">
        <x:f>K165*환율기준!$D$5</x:f>
        <x:v>0</x:v>
      </x:c>
      <x:c r="L172" s="32">
        <x:f>L165*환율기준!$D$5</x:f>
        <x:v>0</x:v>
      </x:c>
      <x:c r="M172" s="32">
        <x:f>M165*환율기준!$D$5</x:f>
        <x:v>0</x:v>
      </x:c>
      <x:c r="N172" s="32">
        <x:f>N165*환율기준!$D$5</x:f>
        <x:v>0</x:v>
      </x:c>
      <x:c r="O172" s="32">
        <x:f>O165*환율기준!$D$5</x:f>
        <x:v>0</x:v>
      </x:c>
      <x:c r="P172" s="32">
        <x:f>P165*환율기준!$D$5</x:f>
        <x:v>0</x:v>
      </x:c>
      <x:c r="Q172" s="32">
        <x:f>Q165*환율기준!$D$5</x:f>
        <x:v>0</x:v>
      </x:c>
      <x:c r="R172" s="32">
        <x:f t="shared" si="138"/>
        <x:v>0</x:v>
      </x:c>
      <x:c r="S172" s="108"/>
    </x:row>
    <x:row r="173" spans="4:19">
      <x:c r="E173" s="15" t="s">
        <x:v>165</x:v>
      </x:c>
      <x:c r="F173" s="32">
        <x:f>F166*환율기준!$D$5</x:f>
        <x:v>1053652584.6</x:v>
      </x:c>
      <x:c r="G173" s="32">
        <x:f>G166*환율기준!$D$5</x:f>
        <x:v>1420833132.1799998</x:v>
      </x:c>
      <x:c r="H173" s="32">
        <x:f>H166*환율기준!$D$5</x:f>
        <x:v>1448848114.5599999</x:v>
      </x:c>
      <x:c r="I173" s="32">
        <x:f>I166*환율기준!$D$5</x:f>
        <x:v>1406514000.5531998</x:v>
      </x:c>
      <x:c r="J173" s="32">
        <x:f>J166*환율기준!$D$5</x:f>
        <x:v>1781368693.8894002</x:v>
      </x:c>
      <x:c r="K173" s="32">
        <x:f>K166*환율기준!$D$5</x:f>
        <x:v>1245706835.3729997</x:v>
      </x:c>
      <x:c r="L173" s="32">
        <x:f>L166*환율기준!$D$5</x:f>
        <x:v>1001090786.0184</x:v>
      </x:c>
      <x:c r="M173" s="32">
        <x:f>M166*환율기준!$D$5</x:f>
        <x:v>1184547166.3871999</x:v>
      </x:c>
      <x:c r="N173" s="32">
        <x:f>N166*환율기준!$D$5</x:f>
        <x:v>781409237.301</x:v>
      </x:c>
      <x:c r="O173" s="32">
        <x:f>O166*환율기준!$D$5</x:f>
        <x:v>1091687646.7728</x:v>
      </x:c>
      <x:c r="P173" s="32">
        <x:f>P166*환율기준!$D$5</x:f>
        <x:v>656171069.4000001</x:v>
      </x:c>
      <x:c r="Q173" s="32">
        <x:f>Q166*환율기준!$D$5</x:f>
        <x:v>656171069.4000001</x:v>
      </x:c>
      <x:c r="R173" s="32">
        <x:f t="shared" si="138"/>
        <x:v>13728000336.434999</x:v>
      </x:c>
      <x:c r="S173" s="108"/>
    </x:row>
    <x:row r="174" spans="4:19">
      <x:c r="E174" s="15" t="s">
        <x:v>203</x:v>
      </x:c>
      <x:c r="F174" s="32">
        <x:f>F167*환율기준!$D$5</x:f>
        <x:v>7958412</x:v>
      </x:c>
      <x:c r="G174" s="32">
        <x:f>G167*환율기준!$D$5</x:f>
        <x:v>10611216</x:v>
      </x:c>
      <x:c r="H174" s="32">
        <x:f>H167*환율기준!$D$5</x:f>
        <x:v>12379752</x:v>
      </x:c>
      <x:c r="I174" s="32">
        <x:f>I167*환율기준!$D$5</x:f>
        <x:v>10611216</x:v>
      </x:c>
      <x:c r="J174" s="32">
        <x:f>J167*환율기준!$D$5</x:f>
        <x:v>7958412</x:v>
      </x:c>
      <x:c r="K174" s="32">
        <x:f>K167*환율기준!$D$5</x:f>
        <x:v>11495484</x:v>
      </x:c>
      <x:c r="L174" s="32">
        <x:f>L167*환율기준!$D$5</x:f>
        <x:v>8842680</x:v>
      </x:c>
      <x:c r="M174" s="32">
        <x:f>M167*환율기준!$D$5</x:f>
        <x:v>13264020</x:v>
      </x:c>
      <x:c r="N174" s="32">
        <x:f>N167*환율기준!$D$5</x:f>
        <x:v>10611216</x:v>
      </x:c>
      <x:c r="O174" s="32">
        <x:f>O167*환율기준!$D$5</x:f>
        <x:v>10611216</x:v>
      </x:c>
      <x:c r="P174" s="32">
        <x:f>P167*환율기준!$D$5</x:f>
        <x:v>10611216</x:v>
      </x:c>
      <x:c r="Q174" s="32">
        <x:f>Q167*환율기준!$D$5</x:f>
        <x:v>10611216</x:v>
      </x:c>
      <x:c r="R174" s="32">
        <x:f t="shared" si="138"/>
        <x:v>125566056</x:v>
      </x:c>
      <x:c r="S174" s="108"/>
    </x:row>
    <x:row r="175" spans="4:19">
      <x:c r="E175" s="15"/>
      <x:c r="F175" s="32">
        <x:f t="shared" ref="F175:Q175" si="139">SUM(F170:F174)</x:f>
        <x:v>1968204379.6800003</x:v>
      </x:c>
      <x:c r="G175" s="32">
        <x:f t="shared" si="139"/>
        <x:v>2402099815.5</x:v>
      </x:c>
      <x:c r="H175" s="32">
        <x:f t="shared" si="139"/>
        <x:v>2496416963.04</x:v>
      </x:c>
      <x:c r="I175" s="32">
        <x:f t="shared" si="139"/>
        <x:v>2530448011.7531996</x:v>
      </x:c>
      <x:c r="J175" s="32">
        <x:f t="shared" si="139"/>
        <x:v>2367922785.0894003</x:v>
      </x:c>
      <x:c r="K175" s="32">
        <x:f t="shared" si="139"/>
        <x:v>2414572748.9729996</x:v>
      </x:c>
      <x:c r="L175" s="32">
        <x:f t="shared" si="139"/>
        <x:v>2003106693.2184</x:v>
      </x:c>
      <x:c r="M175" s="32">
        <x:f t="shared" si="139"/>
        <x:v>2585057699.3472004</x:v>
      </x:c>
      <x:c r="N175" s="32">
        <x:f t="shared" si="139"/>
        <x:v>1785193680.5009999</x:v>
      </x:c>
      <x:c r="O175" s="32">
        <x:f t="shared" si="139"/>
        <x:v>2259669292.3727999</x:v>
      </x:c>
      <x:c r="P175" s="32">
        <x:f t="shared" si="139"/>
        <x:v>1495758310.2</x:v>
      </x:c>
      <x:c r="Q175" s="32">
        <x:f t="shared" si="139"/>
        <x:v>1397239988.7600002</x:v>
      </x:c>
      <x:c r="R175" s="32">
        <x:f t="shared" si="138"/>
        <x:v>25705690368.434998</x:v>
      </x:c>
      <x:c r="S175" s="108"/>
    </x:row>
    <x:row r="176" spans="4:19">
      <x:c r="E176" s="15"/>
      <x:c r="F176" s="109"/>
      <x:c r="G176" s="109"/>
      <x:c r="H176" s="109"/>
      <x:c r="I176" s="109"/>
      <x:c r="J176" s="109"/>
      <x:c r="K176" s="109"/>
      <x:c r="L176" s="109"/>
      <x:c r="M176" s="109"/>
      <x:c r="N176" s="109"/>
      <x:c r="O176" s="109"/>
      <x:c r="P176" s="109"/>
      <x:c r="Q176" s="109"/>
      <x:c r="R176" s="109"/>
    </x:row>
    <x:row r="177" spans="1:19">
      <x:c r="A177" s="21" t="s">
        <x:v>19</x:v>
      </x:c>
      <x:c r="B177" s="21" t="s">
        <x:v>47</x:v>
      </x:c>
      <x:c r="C177" s="22"/>
      <x:c r="D177" s="22"/>
      <x:c r="E177" s="22"/>
      <x:c r="F177" s="18">
        <x:f t="shared" ref="F177:Q177" si="140">SUMIF($C$31:$C$58,"ME",F31:F58)</x:f>
        <x:v>1646083.7</x:v>
      </x:c>
      <x:c r="G177" s="18">
        <x:f t="shared" si="140"/>
        <x:v>1497221.73</x:v>
      </x:c>
      <x:c r="H177" s="18">
        <x:f t="shared" si="140"/>
        <x:v>1256604.3599999999</x:v>
      </x:c>
      <x:c r="I177" s="18">
        <x:f t="shared" si="140"/>
        <x:v>1916642.6661999999</x:v>
      </x:c>
      <x:c r="J177" s="18">
        <x:f t="shared" si="140"/>
        <x:v>1592545.1979</x:v>
      </x:c>
      <x:c r="K177" s="18">
        <x:f t="shared" si="140"/>
        <x:v>1150549.5804999999</x:v>
      </x:c>
      <x:c r="L177" s="18">
        <x:f t="shared" si="140"/>
        <x:v>974058.9243999999</x:v>
      </x:c>
      <x:c r="M177" s="18">
        <x:f t="shared" si="140"/>
        <x:v>1106422.8351999999</x:v>
      </x:c>
      <x:c r="N177" s="18">
        <x:f t="shared" si="140"/>
        <x:v>815558.52850000001</x:v>
      </x:c>
      <x:c r="O177" s="18">
        <x:f t="shared" si="140"/>
        <x:v>1039424.6248</x:v>
      </x:c>
      <x:c r="P177" s="18">
        <x:f t="shared" si="140"/>
        <x:v>725199.1</x:v>
      </x:c>
      <x:c r="Q177" s="18">
        <x:f t="shared" si="140"/>
        <x:v>725199.1</x:v>
      </x:c>
      <x:c r="R177" s="18">
        <x:f>SUM(F177:Q177)</x:f>
        <x:v>14445510.347499998</x:v>
      </x:c>
      <x:c r="S177" s="19"/>
    </x:row>
    <x:row r="178" spans="1:19">
      <x:c r="A178" s="21" t="s">
        <x:v>42</x:v>
      </x:c>
      <x:c r="B178" s="21" t="s">
        <x:v>47</x:v>
      </x:c>
      <x:c r="C178" s="22"/>
      <x:c r="D178" s="22"/>
      <x:c r="E178" s="22"/>
      <x:c r="F178" s="18">
        <x:f t="shared" ref="F178:Q178" si="141">SUMIF($C$31:$C$58,"MU",F31:F58)</x:f>
        <x:v>5742</x:v>
      </x:c>
      <x:c r="G178" s="18">
        <x:f t="shared" si="141"/>
        <x:v>7656</x:v>
      </x:c>
      <x:c r="H178" s="18">
        <x:f t="shared" si="141"/>
        <x:v>8932</x:v>
      </x:c>
      <x:c r="I178" s="18">
        <x:f t="shared" si="141"/>
        <x:v>7656</x:v>
      </x:c>
      <x:c r="J178" s="18">
        <x:f t="shared" si="141"/>
        <x:v>5742</x:v>
      </x:c>
      <x:c r="K178" s="18">
        <x:f t="shared" si="141"/>
        <x:v>8294</x:v>
      </x:c>
      <x:c r="L178" s="18">
        <x:f t="shared" si="141"/>
        <x:v>6380</x:v>
      </x:c>
      <x:c r="M178" s="18">
        <x:f t="shared" si="141"/>
        <x:v>9570</x:v>
      </x:c>
      <x:c r="N178" s="18">
        <x:f t="shared" si="141"/>
        <x:v>7656</x:v>
      </x:c>
      <x:c r="O178" s="18">
        <x:f t="shared" si="141"/>
        <x:v>7656</x:v>
      </x:c>
      <x:c r="P178" s="18">
        <x:f t="shared" si="141"/>
        <x:v>7656</x:v>
      </x:c>
      <x:c r="Q178" s="18">
        <x:f t="shared" si="141"/>
        <x:v>7656</x:v>
      </x:c>
      <x:c r="R178" s="18">
        <x:f>SUM(F178:Q178)</x:f>
        <x:v>90596</x:v>
      </x:c>
    </x:row>
    <x:row r="179" spans="1:19">
      <x:c r="A179" s="6" t="s">
        <x:v>287</x:v>
      </x:c>
      <x:c r="B179" s="21"/>
      <x:c r="C179" s="22"/>
      <x:c r="D179" s="22"/>
      <x:c r="E179" s="22"/>
      <x:c r="F179" s="18">
        <x:f>SUM(F156:F159)</x:f>
        <x:v>1414318.88</x:v>
      </x:c>
      <x:c r="G179" s="18">
        <x:f t="shared" ref="G179:Q179" si="142">SUM(G156:G159)</x:f>
        <x:v>1725460.75</x:v>
      </x:c>
      <x:c r="H179" s="18">
        <x:f t="shared" si="142"/>
        <x:v>1792234.64</x:v>
      </x:c>
      <x:c r="I179" s="18">
        <x:f t="shared" si="142"/>
        <x:v>1818064.0661999998</x:v>
      </x:c>
      <x:c r="J179" s="18">
        <x:f t="shared" si="142"/>
        <x:v>1702715.9979000001</x:v>
      </x:c>
      <x:c r="K179" s="18">
        <x:f t="shared" si="142"/>
        <x:v>1733821.9804999998</x:v>
      </x:c>
      <x:c r="L179" s="18">
        <x:f t="shared" si="142"/>
        <x:v>1438862.9243999999</x:v>
      </x:c>
      <x:c r="M179" s="18">
        <x:f t="shared" si="142"/>
        <x:v>1855550.9952</x:v>
      </x:c>
      <x:c r="N179" s="18">
        <x:f t="shared" si="142"/>
        <x:v>1280362.5285</x:v>
      </x:c>
      <x:c r="O179" s="18">
        <x:f t="shared" si="142"/>
        <x:v>1622697.0247999998</x:v>
      </x:c>
      <x:c r="P179" s="18">
        <x:f t="shared" si="142"/>
        <x:v>1071534.7000000002</x:v>
      </x:c>
      <x:c r="Q179" s="18">
        <x:f t="shared" si="142"/>
        <x:v>1000453.66</x:v>
      </x:c>
      <x:c r="R179" s="18">
        <x:f t="shared" ref="R179:R182" si="143">SUM(F179:Q179)</x:f>
        <x:v>18456078.147499997</x:v>
      </x:c>
    </x:row>
    <x:row r="180" spans="1:19">
      <x:c r="A180" s="6" t="s">
        <x:v>288</x:v>
      </x:c>
      <x:c r="B180" s="21"/>
      <x:c r="C180" s="22"/>
      <x:c r="D180" s="22"/>
      <x:c r="E180" s="22"/>
      <x:c r="F180" s="18">
        <x:f>SUM(F160)</x:f>
        <x:v>5742</x:v>
      </x:c>
      <x:c r="G180" s="18">
        <x:f t="shared" ref="G180:Q180" si="144">SUM(G160)</x:f>
        <x:v>7656</x:v>
      </x:c>
      <x:c r="H180" s="18">
        <x:f t="shared" si="144"/>
        <x:v>8932</x:v>
      </x:c>
      <x:c r="I180" s="18">
        <x:f t="shared" si="144"/>
        <x:v>7656</x:v>
      </x:c>
      <x:c r="J180" s="18">
        <x:f t="shared" si="144"/>
        <x:v>5742</x:v>
      </x:c>
      <x:c r="K180" s="18">
        <x:f t="shared" si="144"/>
        <x:v>8294</x:v>
      </x:c>
      <x:c r="L180" s="18">
        <x:f t="shared" si="144"/>
        <x:v>6380</x:v>
      </x:c>
      <x:c r="M180" s="18">
        <x:f t="shared" si="144"/>
        <x:v>9570</x:v>
      </x:c>
      <x:c r="N180" s="18">
        <x:f t="shared" si="144"/>
        <x:v>7656</x:v>
      </x:c>
      <x:c r="O180" s="18">
        <x:f t="shared" si="144"/>
        <x:v>7656</x:v>
      </x:c>
      <x:c r="P180" s="18">
        <x:f t="shared" si="144"/>
        <x:v>7656</x:v>
      </x:c>
      <x:c r="Q180" s="18">
        <x:f t="shared" si="144"/>
        <x:v>7656</x:v>
      </x:c>
      <x:c r="R180" s="18">
        <x:f t="shared" ref="R180" si="145">SUM(F180:Q180)</x:f>
        <x:v>90596</x:v>
      </x:c>
    </x:row>
    <x:row r="181" spans="1:19">
      <x:c r="A181" s="7" t="s">
        <x:v>289</x:v>
      </x:c>
      <x:c r="F181" s="18">
        <x:f>F179-F177</x:f>
        <x:v>-231764.82000000007</x:v>
      </x:c>
      <x:c r="G181" s="18">
        <x:f t="shared" ref="G181:Q181" si="146">G179-G177</x:f>
        <x:v>228239.02000000002</x:v>
      </x:c>
      <x:c r="H181" s="18">
        <x:f t="shared" si="146"/>
        <x:v>535630.28</x:v>
      </x:c>
      <x:c r="I181" s="18">
        <x:f t="shared" si="146"/>
        <x:v>-98578.600000000093</x:v>
      </x:c>
      <x:c r="J181" s="18">
        <x:f t="shared" si="146"/>
        <x:v>110170.80000000005</x:v>
      </x:c>
      <x:c r="K181" s="18">
        <x:f t="shared" si="146"/>
        <x:v>583272.39999999991</x:v>
      </x:c>
      <x:c r="L181" s="18">
        <x:f t="shared" si="146"/>
        <x:v>464804</x:v>
      </x:c>
      <x:c r="M181" s="18">
        <x:f t="shared" si="146"/>
        <x:v>749128.16000000015</x:v>
      </x:c>
      <x:c r="N181" s="18">
        <x:f t="shared" si="146"/>
        <x:v>464804</x:v>
      </x:c>
      <x:c r="O181" s="18">
        <x:f t="shared" si="146"/>
        <x:v>583272.39999999979</x:v>
      </x:c>
      <x:c r="P181" s="18">
        <x:f t="shared" si="146"/>
        <x:v>346335.60000000021</x:v>
      </x:c>
      <x:c r="Q181" s="18">
        <x:f t="shared" si="146"/>
        <x:v>275254.56000000006</x:v>
      </x:c>
      <x:c r="R181" s="18">
        <x:f t="shared" si="143"/>
        <x:v>4010567.8000000003</x:v>
      </x:c>
    </x:row>
    <x:row r="182" spans="1:19">
      <x:c r="A182" s="7" t="s">
        <x:v>290</x:v>
      </x:c>
      <x:c r="F182" s="18">
        <x:f>F180-F178</x:f>
        <x:v>0</x:v>
      </x:c>
      <x:c r="G182" s="18">
        <x:f t="shared" ref="G182:Q182" si="147">G180-G178</x:f>
        <x:v>0</x:v>
      </x:c>
      <x:c r="H182" s="18">
        <x:f t="shared" si="147"/>
        <x:v>0</x:v>
      </x:c>
      <x:c r="I182" s="18">
        <x:f t="shared" si="147"/>
        <x:v>0</x:v>
      </x:c>
      <x:c r="J182" s="18">
        <x:f t="shared" si="147"/>
        <x:v>0</x:v>
      </x:c>
      <x:c r="K182" s="18">
        <x:f t="shared" si="147"/>
        <x:v>0</x:v>
      </x:c>
      <x:c r="L182" s="18">
        <x:f t="shared" si="147"/>
        <x:v>0</x:v>
      </x:c>
      <x:c r="M182" s="18">
        <x:f t="shared" si="147"/>
        <x:v>0</x:v>
      </x:c>
      <x:c r="N182" s="18">
        <x:f t="shared" si="147"/>
        <x:v>0</x:v>
      </x:c>
      <x:c r="O182" s="18">
        <x:f t="shared" si="147"/>
        <x:v>0</x:v>
      </x:c>
      <x:c r="P182" s="18">
        <x:f t="shared" si="147"/>
        <x:v>0</x:v>
      </x:c>
      <x:c r="Q182" s="18">
        <x:f t="shared" si="147"/>
        <x:v>0</x:v>
      </x:c>
      <x:c r="R182" s="18">
        <x:f t="shared" si="143"/>
        <x:v>0</x:v>
      </x:c>
    </x:row>
    <x:row r="183" spans="1:19"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6"/>
    </x:row>
    <x:row r="184" spans="1:19">
      <x:c r="A184" s="6" t="s">
        <x:v>42</x:v>
      </x:c>
      <x:c r="B184" s="21" t="s">
        <x:v>48</x:v>
      </x:c>
      <x:c r="C184" s="22"/>
      <x:c r="D184" s="22"/>
      <x:c r="E184" s="23"/>
      <x:c r="F184" s="18">
        <x:f>SUMIF(C82:$C$109,"FU",F82:F109)</x:f>
        <x:v>1692798.4000000001</x:v>
      </x:c>
      <x:c r="G184" s="18">
        <x:f ca="1">SUMIF($C82:D$109,"FU",G82:G109)</x:f>
        <x:v>1507352.6199999999</x:v>
      </x:c>
      <x:c r="H184" s="18">
        <x:f ca="1">SUMIF($C82:E$109,"FU",H82:H109)</x:f>
        <x:v>1251909.0399999998</x:v>
      </x:c>
      <x:c r="I184" s="18">
        <x:f ca="1">SUMIF($C82:F$109,"FU",I82:I109)</x:f>
        <x:v>1956792.2387999999</x:v>
      </x:c>
      <x:c r="J184" s="18">
        <x:f ca="1">SUMIF($C82:G$109,"FU",J82:J109)</x:f>
        <x:v>1584503.2745999999</x:v>
      </x:c>
      <x:c r="K184" s="18">
        <x:f ca="1">SUMIF($C82:H$109,"FU",K82:K109)</x:f>
        <x:v>1151531.3070289146</x:v>
      </x:c>
      <x:c r="L184" s="18">
        <x:f ca="1">SUMIF($C82:I$109,"FU",L82:L109)</x:f>
        <x:v>977507.18562891451</x:v>
      </x:c>
      <x:c r="M184" s="18">
        <x:f ca="1">SUMIF($C82:J$109,"FU",M82:M109)</x:f>
        <x:v>1109701.5448289146</x:v>
      </x:c>
      <x:c r="N184" s="18">
        <x:f ca="1">SUMIF($C82:K$109,"FU",N82:N109)</x:f>
        <x:v>824090.05902891455</x:v>
      </x:c>
      <x:c r="O184" s="18">
        <x:f ca="1">SUMIF($C82:L$109,"FU",O82:O109)</x:f>
        <x:v>1042502.4952289145</x:v>
      </x:c>
      <x:c r="P184" s="18">
        <x:f ca="1">SUMIF($C82:M$109,"FU",P82:P109)</x:f>
        <x:v>735931.90002891456</x:v>
      </x:c>
      <x:c r="Q184" s="18">
        <x:f ca="1">SUMIF($C82:N$109,"FU",Q82:Q109)</x:f>
        <x:v>735931.90002891456</x:v>
      </x:c>
      <x:c r="R184" s="18">
        <x:f t="shared" ref="R184" ca="1" si="148">SUM(F184:Q184)</x:f>
        <x:v>14570551.9652024</x:v>
      </x:c>
    </x:row>
    <x:row r="185" spans="1:19" ht="17.25" thickBot="1">
      <x:c r="F185" s="24"/>
      <x:c r="G185" s="24"/>
      <x:c r="H185" s="24"/>
      <x:c r="I185" s="24"/>
      <x:c r="J185" s="24"/>
      <x:c r="K185" s="24"/>
      <x:c r="L185" s="24"/>
      <x:c r="M185" s="24"/>
      <x:c r="N185" s="24"/>
      <x:c r="O185" s="24"/>
      <x:c r="P185" s="24"/>
      <x:c r="Q185" s="24"/>
      <x:c r="R185" s="18"/>
    </x:row>
    <x:row r="186" spans="1:19" s="29" customFormat="1">
      <x:c r="A186" s="117" t="s">
        <x:v>180</x:v>
      </x:c>
      <x:c r="B186" s="25"/>
      <x:c r="C186" s="25"/>
      <x:c r="D186" s="25"/>
      <x:c r="E186" s="25"/>
      <x:c r="F186" s="26">
        <x:f>SUM(F187:F188)</x:f>
        <x:v>6934222.7400000002</x:v>
      </x:c>
      <x:c r="G186" s="26">
        <x:f t="shared" ref="G186:Q186" si="149">SUM(G187:G188)</x:f>
        <x:v>6315892.8659999995</x:v>
      </x:c>
      <x:c r="H186" s="26">
        <x:f t="shared" si="149"/>
        <x:v>5309893.5120000001</x:v>
      </x:c>
      <x:c r="I186" s="26">
        <x:f t="shared" si="149"/>
        <x:v>8077460.7980399998</x:v>
      </x:c>
      <x:c r="J186" s="26">
        <x:f t="shared" si="149"/>
        <x:v>6709361.0311800009</x:v>
      </x:c>
      <x:c r="K186" s="26">
        <x:f t="shared" si="149"/>
        <x:v>4862166.6381000001</x:v>
      </x:c>
      <x:c r="L186" s="26">
        <x:f t="shared" si="149"/>
        <x:v>4114015.4824799998</x:v>
      </x:c>
      <x:c r="M186" s="26">
        <x:f t="shared" si="149"/>
        <x:v>4681427.9078399995</x:v>
      </x:c>
      <x:c r="N186" s="26">
        <x:f t="shared" si="149"/>
        <x:v>3452907.4197000004</x:v>
      </x:c>
      <x:c r="O186" s="26">
        <x:f t="shared" si="149"/>
        <x:v>4393145.0241599996</x:v>
      </x:c>
      <x:c r="P186" s="26">
        <x:f t="shared" si="149"/>
        <x:v>3073397.8200000003</x:v>
      </x:c>
      <x:c r="Q186" s="26">
        <x:f t="shared" si="149"/>
        <x:v>3073397.8200000003</x:v>
      </x:c>
      <x:c r="R186" s="27">
        <x:f>SUM(F186:Q186)</x:f>
        <x:v>60997289.059499994</x:v>
      </x:c>
      <x:c r="S186" s="28">
        <x:f t="shared" ref="S186:S209" si="150">R186/$R$186</x:f>
        <x:v>1</x:v>
      </x:c>
    </x:row>
    <x:row r="187" spans="1:19">
      <x:c r="A187" s="118" t="s">
        <x:v>181</x:v>
      </x:c>
      <x:c r="B187" s="6"/>
      <x:c r="C187" s="6"/>
      <x:c r="D187" s="6"/>
      <x:c r="E187" s="6"/>
      <x:c r="F187" s="30">
        <x:f>F177*환율기준!$D$4</x:f>
        <x:v>6913551.54</x:v>
      </x:c>
      <x:c r="G187" s="30">
        <x:f>G177*환율기준!$D$4</x:f>
        <x:v>6288331.2659999998</x:v>
      </x:c>
      <x:c r="H187" s="30">
        <x:f>H177*환율기준!$D$4</x:f>
        <x:v>5277738.3119999999</x:v>
      </x:c>
      <x:c r="I187" s="30">
        <x:f>I177*환율기준!$D$4</x:f>
        <x:v>8049899.1980400002</x:v>
      </x:c>
      <x:c r="J187" s="30">
        <x:f>J177*환율기준!$D$4</x:f>
        <x:v>6688689.8311800007</x:v>
      </x:c>
      <x:c r="K187" s="30">
        <x:f>K177*환율기준!$D$4</x:f>
        <x:v>4832308.2380999997</x:v>
      </x:c>
      <x:c r="L187" s="30">
        <x:f>L177*환율기준!$D$4</x:f>
        <x:v>4091047.4824799998</x:v>
      </x:c>
      <x:c r="M187" s="30">
        <x:f>M177*환율기준!$D$4</x:f>
        <x:v>4646975.9078399995</x:v>
      </x:c>
      <x:c r="N187" s="30">
        <x:f>N177*환율기준!$D$4</x:f>
        <x:v>3425345.8197000003</x:v>
      </x:c>
      <x:c r="O187" s="30">
        <x:f>O177*환율기준!$D$4</x:f>
        <x:v>4365583.4241599999</x:v>
      </x:c>
      <x:c r="P187" s="30">
        <x:f>P177*환율기준!$D$4</x:f>
        <x:v>3045836.22</x:v>
      </x:c>
      <x:c r="Q187" s="30">
        <x:f>Q177*환율기준!$D$4</x:f>
        <x:v>3045836.22</x:v>
      </x:c>
      <x:c r="R187" s="30">
        <x:f t="shared" ref="R187:R209" si="151">SUM(F187:Q187)</x:f>
        <x:v>60671143.4595</x:v>
      </x:c>
      <x:c r="S187" s="31">
        <x:f t="shared" si="150"/>
        <x:v>0.99465311319521343</x:v>
      </x:c>
    </x:row>
    <x:row r="188" spans="1:19">
      <x:c r="A188" s="118" t="s">
        <x:v>182</x:v>
      </x:c>
      <x:c r="B188" s="6"/>
      <x:c r="C188" s="6"/>
      <x:c r="D188" s="6"/>
      <x:c r="E188" s="6"/>
      <x:c r="F188" s="30">
        <x:f>F178*환율기준!$D$3</x:f>
        <x:v>20671.2</x:v>
      </x:c>
      <x:c r="G188" s="30">
        <x:f>G178*환율기준!$D$3</x:f>
        <x:v>27561.600000000002</x:v>
      </x:c>
      <x:c r="H188" s="30">
        <x:f>H178*환율기준!$D$3</x:f>
        <x:v>32155.200000000001</x:v>
      </x:c>
      <x:c r="I188" s="30">
        <x:f>I178*환율기준!$D$3</x:f>
        <x:v>27561.600000000002</x:v>
      </x:c>
      <x:c r="J188" s="30">
        <x:f>J178*환율기준!$D$3</x:f>
        <x:v>20671.2</x:v>
      </x:c>
      <x:c r="K188" s="30">
        <x:f>K178*환율기준!$D$3</x:f>
        <x:v>29858.400000000001</x:v>
      </x:c>
      <x:c r="L188" s="30">
        <x:f>L178*환율기준!$D$3</x:f>
        <x:v>22968</x:v>
      </x:c>
      <x:c r="M188" s="30">
        <x:f>M178*환율기준!$D$3</x:f>
        <x:v>34452</x:v>
      </x:c>
      <x:c r="N188" s="30">
        <x:f>N178*환율기준!$D$3</x:f>
        <x:v>27561.600000000002</x:v>
      </x:c>
      <x:c r="O188" s="30">
        <x:f>O178*환율기준!$D$3</x:f>
        <x:v>27561.600000000002</x:v>
      </x:c>
      <x:c r="P188" s="30">
        <x:f>P178*환율기준!$D$3</x:f>
        <x:v>27561.600000000002</x:v>
      </x:c>
      <x:c r="Q188" s="30">
        <x:f>Q178*환율기준!$D$3</x:f>
        <x:v>27561.600000000002</x:v>
      </x:c>
      <x:c r="R188" s="30">
        <x:f t="shared" si="151"/>
        <x:v>326145.59999999998</x:v>
      </x:c>
      <x:c r="S188" s="31"/>
    </x:row>
    <x:row r="189" spans="1:19">
      <x:c r="A189" s="119" t="s">
        <x:v>204</x:v>
      </x:c>
      <x:c r="B189" s="6"/>
      <x:c r="C189" s="6"/>
      <x:c r="D189" s="6"/>
      <x:c r="E189" s="6"/>
      <x:c r="F189" s="116">
        <x:f>F193+F199+F202</x:f>
        <x:v>6373017.1671624007</x:v>
      </x:c>
      <x:c r="G189" s="116">
        <x:f t="shared" ref="G189:Q189" ca="1" si="152">G193+G199+G202</x:f>
        <x:v>5833813.6840541335</x:v>
      </x:c>
      <x:c r="H189" s="116">
        <x:f t="shared" ca="1" si="152"/>
        <x:v>5034480.2607856365</x:v>
      </x:c>
      <x:c r="I189" s="116">
        <x:f t="shared" ca="1" si="152"/>
        <x:v>7374613.2650464</x:v>
      </x:c>
      <x:c r="J189" s="116">
        <x:f t="shared" ca="1" si="152"/>
        <x:v>6077227.3930919971</x:v>
      </x:c>
      <x:c r="K189" s="116">
        <x:f t="shared" ca="1" si="152"/>
        <x:v>4676676.546278446</x:v>
      </x:c>
      <x:c r="L189" s="116">
        <x:f t="shared" ca="1" si="152"/>
        <x:v>3951937.4546147161</x:v>
      </x:c>
      <x:c r="M189" s="116">
        <x:f t="shared" ca="1" si="152"/>
        <x:v>4571077.6240352076</x:v>
      </x:c>
      <x:c r="N189" s="116">
        <x:f t="shared" ca="1" si="152"/>
        <x:v>3357851.2823843355</x:v>
      </x:c>
      <x:c r="O189" s="116">
        <x:f t="shared" ca="1" si="152"/>
        <x:v>4247465.0238086879</x:v>
      </x:c>
      <x:c r="P189" s="116">
        <x:f t="shared" ca="1" si="152"/>
        <x:v>2968043.4279572996</x:v>
      </x:c>
      <x:c r="Q189" s="116">
        <x:f t="shared" ca="1" si="152"/>
        <x:v>2946810.9320924543</x:v>
      </x:c>
      <x:c r="R189" s="32">
        <x:f t="shared" ca="1" si="151"/>
        <x:v>57413014.061311707</x:v>
      </x:c>
      <x:c r="S189" s="31">
        <x:f t="shared" ca="1" si="150"/>
        <x:v>0.94123878202698497</x:v>
      </x:c>
    </x:row>
    <x:row r="190" spans="1:19">
      <x:c r="A190" s="119" t="s">
        <x:v>205</x:v>
      </x:c>
      <x:c r="B190" s="6"/>
      <x:c r="C190" s="6"/>
      <x:c r="D190" s="6"/>
      <x:c r="E190" s="6"/>
      <x:c r="F190" s="116">
        <x:f t="shared" ref="F190:Q190" si="153">F186-F189</x:f>
        <x:v>561205.57283759955</x:v>
      </x:c>
      <x:c r="G190" s="116">
        <x:f t="shared" ca="1" si="153"/>
        <x:v>482079.18194586597</x:v>
      </x:c>
      <x:c r="H190" s="116">
        <x:f t="shared" ca="1" si="153"/>
        <x:v>275413.25121436361</x:v>
      </x:c>
      <x:c r="I190" s="116">
        <x:f t="shared" ca="1" si="153"/>
        <x:v>702847.53299359977</x:v>
      </x:c>
      <x:c r="J190" s="116">
        <x:f t="shared" ca="1" si="153"/>
        <x:v>632133.63808800373</x:v>
      </x:c>
      <x:c r="K190" s="116">
        <x:f t="shared" ca="1" si="153"/>
        <x:v>185490.09182155412</x:v>
      </x:c>
      <x:c r="L190" s="116">
        <x:f t="shared" ca="1" si="153"/>
        <x:v>162078.02786528366</x:v>
      </x:c>
      <x:c r="M190" s="116">
        <x:f t="shared" ca="1" si="153"/>
        <x:v>110350.28380479198</x:v>
      </x:c>
      <x:c r="N190" s="116">
        <x:f t="shared" ca="1" si="153"/>
        <x:v>95056.137315664906</x:v>
      </x:c>
      <x:c r="O190" s="116">
        <x:f t="shared" ca="1" si="153"/>
        <x:v>145680.00035131164</x:v>
      </x:c>
      <x:c r="P190" s="116">
        <x:f t="shared" ca="1" si="153"/>
        <x:v>105354.39204270067</x:v>
      </x:c>
      <x:c r="Q190" s="116">
        <x:f t="shared" ca="1" si="153"/>
        <x:v>126586.88790754601</x:v>
      </x:c>
      <x:c r="R190" s="32">
        <x:f t="shared" ca="1" si="151"/>
        <x:v>3584274.9981882856</x:v>
      </x:c>
      <x:c r="S190" s="31"/>
    </x:row>
    <x:row r="191" spans="1:19">
      <x:c r="A191" s="119" t="s">
        <x:v>291</x:v>
      </x:c>
      <x:c r="B191" s="6"/>
      <x:c r="C191" s="6"/>
      <x:c r="D191" s="6"/>
      <x:c r="E191" s="6"/>
      <x:c r="F191" s="156">
        <x:v>0.13240117306286575</x:v>
      </x:c>
      <x:c r="G191" s="156">
        <x:v>9.2122067730462887E-2</x:v>
      </x:c>
      <x:c r="H191" s="156">
        <x:v>8.6433963361033844E-2</x:v>
      </x:c>
      <x:c r="I191" s="156">
        <x:v>0.1151130819760614</x:v>
      </x:c>
      <x:c r="J191" s="156">
        <x:v>9.648946222894543E-2</x:v>
      </x:c>
      <x:c r="K191" s="156">
        <x:v>7.5752558923791652E-2</x:v>
      </x:c>
      <x:c r="L191" s="156">
        <x:v>7.3703518822458333E-2</x:v>
      </x:c>
      <x:c r="M191" s="156">
        <x:v>7.188523798768795E-2</x:v>
      </x:c>
      <x:c r="N191" s="156">
        <x:v>6.1512190305091731E-2</x:v>
      </x:c>
      <x:c r="O191" s="156">
        <x:v>7.354997482163618E-2</x:v>
      </x:c>
      <x:c r="P191" s="156">
        <x:v>6.3387832864063076E-2</x:v>
      </x:c>
      <x:c r="Q191" s="156">
        <x:v>6.4591939887244362E-2</x:v>
      </x:c>
      <x:c r="R191" s="157">
        <x:v>8.9725305931885241E-2</x:v>
      </x:c>
      <x:c r="S191" s="31"/>
    </x:row>
    <x:row r="192" spans="1:19">
      <x:c r="A192" s="119" t="s">
        <x:v>221</x:v>
      </x:c>
      <x:c r="B192" s="6"/>
      <x:c r="C192" s="6"/>
      <x:c r="D192" s="6"/>
      <x:c r="E192" s="6"/>
      <x:c r="F192" s="116">
        <x:f t="shared" ref="F192:Q192" si="154">F186-F189-F203</x:f>
        <x:v>365525.11648597615</x:v>
      </x:c>
      <x:c r="G192" s="116">
        <x:f t="shared" ca="1" si="154"/>
        <x:v>285864.00856924255</x:v>
      </x:c>
      <x:c r="H192" s="116">
        <x:f t="shared" ca="1" si="154"/>
        <x:v>-557.39566225977615</x:v>
      </x:c>
      <x:c r="I192" s="116">
        <x:f t="shared" ca="1" si="154"/>
        <x:v>508450.30714197637</x:v>
      </x:c>
      <x:c r="J192" s="116">
        <x:f t="shared" ca="1" si="154"/>
        <x:v>438961.14126138034</x:v>
      </x:c>
      <x:c r="K192" s="116">
        <x:f t="shared" ca="1" si="154"/>
        <x:v>-7558.8534300692845</x:v>
      </x:c>
      <x:c r="L192" s="116">
        <x:f t="shared" ca="1" si="154"/>
        <x:v>-34089.198786339752</x:v>
      </x:c>
      <x:c r="M192" s="116">
        <x:f t="shared" ca="1" si="154"/>
        <x:v>-85817.323021831427</x:v>
      </x:c>
      <x:c r="N192" s="116">
        <x:f t="shared" ca="1" si="154"/>
        <x:v>-102401.8616109585</x:v>
      </x:c>
      <x:c r="O192" s="116">
        <x:f t="shared" ca="1" si="154"/>
        <x:v>-57350.530850311741</x:v>
      </x:c>
      <x:c r="P192" s="116">
        <x:f t="shared" ca="1" si="154"/>
        <x:v>-117954.33933392272</x:v>
      </x:c>
      <x:c r="Q192" s="116">
        <x:f t="shared" ca="1" si="154"/>
        <x:v>-67984.975469077384</x:v>
      </x:c>
      <x:c r="R192" s="32">
        <x:f t="shared" ca="1" si="151"/>
        <x:v>1125086.0952938045</x:v>
      </x:c>
      <x:c r="S192" s="31"/>
    </x:row>
    <x:row r="193" spans="1:19">
      <x:c r="A193" s="119" t="s">
        <x:v>183</x:v>
      </x:c>
      <x:c r="B193" s="6"/>
      <x:c r="C193" s="6"/>
      <x:c r="D193" s="6"/>
      <x:c r="E193" s="6"/>
      <x:c r="F193" s="32">
        <x:f>SUM(F194:F198)</x:f>
        <x:v>6278269.0626624003</x:v>
      </x:c>
      <x:c r="G193" s="32">
        <x:f t="shared" ref="G193:Q193" ca="1" si="155">SUM(G194:G198)</x:f>
        <x:v>5734962.6645541331</x:v>
      </x:c>
      <x:c r="H193" s="32">
        <x:f t="shared" ca="1" si="155"/>
        <x:v>4932185.2117856368</x:v>
      </x:c>
      <x:c r="I193" s="32">
        <x:f t="shared" ca="1" si="155"/>
        <x:v>7275539.1550463997</x:v>
      </x:c>
      <x:c r="J193" s="32">
        <x:f t="shared" ca="1" si="155"/>
        <x:v>5986370.9640919967</x:v>
      </x:c>
      <x:c r="K193" s="32">
        <x:f t="shared" ca="1" si="155"/>
        <x:v>4575493.211278446</x:v>
      </x:c>
      <x:c r="L193" s="32">
        <x:f t="shared" ca="1" si="155"/>
        <x:v>3863635.6141147162</x:v>
      </x:c>
      <x:c r="M193" s="32">
        <x:f t="shared" ca="1" si="155"/>
        <x:v>4491098.5895352075</x:v>
      </x:c>
      <x:c r="N193" s="32">
        <x:f t="shared" ca="1" si="155"/>
        <x:v>3272248.0003843354</x:v>
      </x:c>
      <x:c r="O193" s="32">
        <x:f t="shared" ca="1" si="155"/>
        <x:v>4163973.6488086884</x:v>
      </x:c>
      <x:c r="P193" s="32">
        <x:f t="shared" ca="1" si="155"/>
        <x:v>2890753.0814572996</x:v>
      </x:c>
      <x:c r="Q193" s="32">
        <x:f t="shared" ca="1" si="155"/>
        <x:v>2860519.2682674541</x:v>
      </x:c>
      <x:c r="R193" s="32">
        <x:f t="shared" ca="1" si="151"/>
        <x:v>56325048.471986718</x:v>
      </x:c>
      <x:c r="S193" s="31"/>
    </x:row>
    <x:row r="194" spans="1:19">
      <x:c r="A194" s="118"/>
      <x:c r="B194" s="6" t="s">
        <x:v>220</x:v>
      </x:c>
      <x:c r="C194" s="6"/>
      <x:c r="D194" s="6"/>
      <x:c r="E194" s="6"/>
      <x:c r="F194" s="30">
        <x:f>F184*환율기준!$D$3</x:f>
        <x:v>6094074.2400000002</x:v>
      </x:c>
      <x:c r="G194" s="30">
        <x:f ca="1">G184*환율기준!$D$3</x:f>
        <x:v>5426469.432</x:v>
      </x:c>
      <x:c r="H194" s="30">
        <x:f ca="1">H184*환율기준!$D$3</x:f>
        <x:v>4506872.5439999998</x:v>
      </x:c>
      <x:c r="I194" s="30">
        <x:f ca="1">I184*환율기준!$D$3</x:f>
        <x:v>7044452.0596799999</x:v>
      </x:c>
      <x:c r="J194" s="30">
        <x:f ca="1">J184*환율기준!$D$3</x:f>
        <x:v>5704211.7885599993</x:v>
      </x:c>
      <x:c r="K194" s="30">
        <x:f ca="1">K184*환율기준!$D$3</x:f>
        <x:v>4145512.7053040927</x:v>
      </x:c>
      <x:c r="L194" s="30">
        <x:f ca="1">L184*환율기준!$D$3</x:f>
        <x:v>3519025.8682640921</x:v>
      </x:c>
      <x:c r="M194" s="30">
        <x:f ca="1">M184*환율기준!$D$3</x:f>
        <x:v>3994925.5613840926</x:v>
      </x:c>
      <x:c r="N194" s="30">
        <x:f ca="1">N184*환율기준!$D$3</x:f>
        <x:v>2966724.2125040926</x:v>
      </x:c>
      <x:c r="O194" s="30">
        <x:f ca="1">O184*환율기준!$D$3</x:f>
        <x:v>3753008.9828240923</x:v>
      </x:c>
      <x:c r="P194" s="30">
        <x:f ca="1">P184*환율기준!$D$3</x:f>
        <x:v>2649354.8401040924</x:v>
      </x:c>
      <x:c r="Q194" s="30">
        <x:f ca="1">Q184*환율기준!$D$3</x:f>
        <x:v>2649354.8401040924</x:v>
      </x:c>
      <x:c r="R194" s="30">
        <x:f t="shared" ca="1" si="151"/>
        <x:v>52453987.074728645</x:v>
      </x:c>
      <x:c r="S194" s="115">
        <x:f t="shared" ca="1" si="150"/>
        <x:v>0.85993964458915939</x:v>
      </x:c>
    </x:row>
    <x:row r="195" spans="1:19">
      <x:c r="A195" s="118"/>
      <x:c r="B195" s="6" t="s">
        <x:v>18</x:v>
      </x:c>
      <x:c r="C195" s="6"/>
      <x:c r="D195" s="6"/>
      <x:c r="E195" s="6"/>
      <x:c r="F195" s="35">
        <x:f>'관세(PLN)'!E47</x:f>
        <x:v>157794.82266239999</x:v>
      </x:c>
      <x:c r="G195" s="35">
        <x:f>'관세(PLN)'!F47</x:f>
        <x:v>193784.66062560002</x:v>
      </x:c>
      <x:c r="H195" s="35">
        <x:f>'관세(PLN)'!G47</x:f>
        <x:v>201626.74619999999</x:v>
      </x:c>
      <x:c r="I195" s="35">
        <x:f>'관세(PLN)'!H47</x:f>
        <x:v>204267.0953664</x:v>
      </x:c>
      <x:c r="J195" s="35">
        <x:f>'관세(PLN)'!I47</x:f>
        <x:v>211951.8263016</x:v>
      </x:c>
      <x:c r="K195" s="35">
        <x:f>'관세(PLN)'!J47</x:f>
        <x:v>215586.12320594367</x:v>
      </x:c>
      <x:c r="L195" s="35">
        <x:f>'관세(PLN)'!K47</x:f>
        <x:v>173067.44632705778</x:v>
      </x:c>
      <x:c r="M195" s="35">
        <x:f>'관세(PLN)'!L47</x:f>
        <x:v>243597.75267862389</x:v>
      </x:c>
      <x:c r="N195" s="35">
        <x:f>'관세(PLN)'!M47</x:f>
        <x:v>156201.11704945777</x:v>
      </x:c>
      <x:c r="O195" s="35">
        <x:f>'관세(PLN)'!N47</x:f>
        <x:v>203546.05058114367</x:v>
      </x:c>
      <x:c r="P195" s="35">
        <x:f>'관세(PLN)'!O47</x:f>
        <x:v>123213.69621697185</x:v>
      </x:c>
      <x:c r="Q195" s="35">
        <x:f>'관세(PLN)'!P47</x:f>
        <x:v>109251.6789918803</x:v>
      </x:c>
      <x:c r="R195" s="30">
        <x:f>SUM(F195:Q195)</x:f>
        <x:v>2193889.0162070789</x:v>
      </x:c>
      <x:c r="S195" s="31">
        <x:f>R195/$R$186</x:f>
        <x:v>3.59669921407006E-2</x:v>
      </x:c>
    </x:row>
    <x:row r="196" spans="1:19">
      <x:c r="A196" s="118"/>
      <x:c r="B196" s="6" t="s">
        <x:v>21</x:v>
      </x:c>
      <x:c r="C196" s="6"/>
      <x:c r="D196" s="6"/>
      <x:c r="E196" s="6"/>
      <x:c r="F196" s="35">
        <x:f>'운반비(PLN),통관물류(PLN)'!B9</x:f>
        <x:v>18000</x:v>
      </x:c>
      <x:c r="G196" s="35">
        <x:f>'운반비(PLN),통관물류(PLN)'!C9</x:f>
        <x:v>18000</x:v>
      </x:c>
      <x:c r="H196" s="35">
        <x:f>'운반비(PLN),통관물류(PLN)'!D9</x:f>
        <x:v>20000</x:v>
      </x:c>
      <x:c r="I196" s="35">
        <x:f>'운반비(PLN),통관물류(PLN)'!E9</x:f>
        <x:v>18000</x:v>
      </x:c>
      <x:c r="J196" s="35">
        <x:f>'운반비(PLN),통관물류(PLN)'!F9</x:f>
        <x:v>18000</x:v>
      </x:c>
      <x:c r="K196" s="35">
        <x:f>'운반비(PLN),통관물류(PLN)'!G9</x:f>
        <x:v>20000</x:v>
      </x:c>
      <x:c r="L196" s="35">
        <x:f>'운반비(PLN),통관물류(PLN)'!H9</x:f>
        <x:v>18000</x:v>
      </x:c>
      <x:c r="M196" s="35">
        <x:f>'운반비(PLN),통관물류(PLN)'!I9</x:f>
        <x:v>18000</x:v>
      </x:c>
      <x:c r="N196" s="35">
        <x:f>'운반비(PLN),통관물류(PLN)'!J9</x:f>
        <x:v>20000</x:v>
      </x:c>
      <x:c r="O196" s="35">
        <x:f>'운반비(PLN),통관물류(PLN)'!K9</x:f>
        <x:v>18000</x:v>
      </x:c>
      <x:c r="P196" s="35">
        <x:f>'운반비(PLN),통관물류(PLN)'!L9</x:f>
        <x:v>18000</x:v>
      </x:c>
      <x:c r="Q196" s="35">
        <x:f>'운반비(PLN),통관물류(PLN)'!M9</x:f>
        <x:v>18000</x:v>
      </x:c>
      <x:c r="R196" s="30">
        <x:f>SUM(F196:Q196)</x:f>
        <x:v>222000</x:v>
      </x:c>
      <x:c r="S196" s="31">
        <x:f>R196/$R$186</x:f>
        <x:v>3.6395060079383104E-3</x:v>
      </x:c>
    </x:row>
    <x:row r="197" spans="1:19">
      <x:c r="A197" s="118"/>
      <x:c r="B197" s="6" t="s">
        <x:v>25</x:v>
      </x:c>
      <x:c r="C197" s="6"/>
      <x:c r="D197" s="6"/>
      <x:c r="E197" s="6"/>
      <x:c r="F197" s="35">
        <x:f>'운반비(PLN),통관물류(PLN)'!B5</x:f>
        <x:v>8400</x:v>
      </x:c>
      <x:c r="G197" s="35">
        <x:f>'운반비(PLN),통관물류(PLN)'!C5</x:f>
        <x:v>8400</x:v>
      </x:c>
      <x:c r="H197" s="35">
        <x:f>'운반비(PLN),통관물류(PLN)'!D5</x:f>
        <x:v>9240</x:v>
      </x:c>
      <x:c r="I197" s="35">
        <x:f>'운반비(PLN),통관물류(PLN)'!E5</x:f>
        <x:v>8820</x:v>
      </x:c>
      <x:c r="J197" s="35">
        <x:f>'운반비(PLN),통관물류(PLN)'!F5</x:f>
        <x:v>7560</x:v>
      </x:c>
      <x:c r="K197" s="35">
        <x:f>'운반비(PLN),통관물류(PLN)'!G5</x:f>
        <x:v>8820</x:v>
      </x:c>
      <x:c r="L197" s="35">
        <x:f>'운반비(PLN),통관물류(PLN)'!H5</x:f>
        <x:v>9660</x:v>
      </x:c>
      <x:c r="M197" s="35">
        <x:f>'운반비(PLN),통관물류(PLN)'!I5</x:f>
        <x:v>8400</x:v>
      </x:c>
      <x:c r="N197" s="35">
        <x:f>'운반비(PLN),통관물류(PLN)'!J5</x:f>
        <x:v>9240</x:v>
      </x:c>
      <x:c r="O197" s="35">
        <x:f>'운반비(PLN),통관물류(PLN)'!K5</x:f>
        <x:v>9240</x:v>
      </x:c>
      <x:c r="P197" s="35">
        <x:f>'운반비(PLN),통관물류(PLN)'!L5</x:f>
        <x:v>7980</x:v>
      </x:c>
      <x:c r="Q197" s="35">
        <x:f>'운반비(PLN),통관물류(PLN)'!M5</x:f>
        <x:v>9240</x:v>
      </x:c>
      <x:c r="R197" s="30">
        <x:f>SUM(F197:Q197)</x:f>
        <x:v>105000</x:v>
      </x:c>
      <x:c r="S197" s="31">
        <x:f>R197/$R$186</x:f>
        <x:v>1.7213879767275792E-3</x:v>
      </x:c>
    </x:row>
    <x:row r="198" spans="1:19">
      <x:c r="A198" s="118"/>
      <x:c r="B198" s="155" t="s">
        <x:v>292</x:v>
      </x:c>
      <x:c r="C198" s="6"/>
      <x:c r="D198" s="6"/>
      <x:c r="E198" s="6"/>
      <x:c r="F198" s="30"/>
      <x:c r="G198" s="30">
        <x:f>G181*환율기준!$D$4*G191</x:f>
        <x:v>88308.571928532794</x:v>
      </x:c>
      <x:c r="H198" s="30">
        <x:f>H181*환율기준!$D$4*H191</x:f>
        <x:v>194445.92158563729</x:v>
      </x:c>
      <x:c r="I198" s="30"/>
      <x:c r="J198" s="30">
        <x:f>J181*환율기준!$D$4*J191</x:f>
        <x:v>44647.349230397369</x:v>
      </x:c>
      <x:c r="K198" s="30">
        <x:f>K181*환율기준!$D$4*K191</x:f>
        <x:v>185574.38276840973</x:v>
      </x:c>
      <x:c r="L198" s="30">
        <x:f>L181*환율기준!$D$4*L191</x:f>
        <x:v>143882.29952356647</x:v>
      </x:c>
      <x:c r="M198" s="30">
        <x:f>M181*환율기준!$D$4*M191</x:f>
        <x:v>226175.27547249093</x:v>
      </x:c>
      <x:c r="N198" s="30">
        <x:f>N181*환율기준!$D$4*N191</x:f>
        <x:v>120082.67083078501</x:v>
      </x:c>
      <x:c r="O198" s="30">
        <x:f>O181*환율기준!$D$4*O191</x:f>
        <x:v>180178.61540345222</x:v>
      </x:c>
      <x:c r="P198" s="30">
        <x:f>P181*환율기준!$D$4*P191</x:f>
        <x:v>92204.545136235072</x:v>
      </x:c>
      <x:c r="Q198" s="30">
        <x:f>Q181*환율기준!$D$4*Q191</x:f>
        <x:v>74672.749171481584</x:v>
      </x:c>
      <x:c r="R198" s="30">
        <x:f>SUM(F198:Q198)</x:f>
        <x:v>1350172.3810509881</x:v>
      </x:c>
      <x:c r="S198" s="31"/>
    </x:row>
    <x:row r="199" spans="1:19" s="29" customFormat="1">
      <x:c r="A199" s="119" t="s">
        <x:v>179</x:v>
      </x:c>
      <x:c r="B199" s="33"/>
      <x:c r="C199" s="33"/>
      <x:c r="D199" s="33"/>
      <x:c r="E199" s="33"/>
      <x:c r="F199" s="32">
        <x:f>F200+F201</x:f>
        <x:v>86748.104500000001</x:v>
      </x:c>
      <x:c r="G199" s="32">
        <x:f t="shared" ref="G199:R199" si="156">G200+G201</x:f>
        <x:v>90851.019499999995</x:v>
      </x:c>
      <x:c r="H199" s="32">
        <x:f t="shared" si="156"/>
        <x:v>95095.048999999999</x:v>
      </x:c>
      <x:c r="I199" s="32">
        <x:f t="shared" si="156"/>
        <x:v>91874.11</x:v>
      </x:c>
      <x:c r="J199" s="32">
        <x:f t="shared" si="156"/>
        <x:v>83656.429000000004</x:v>
      </x:c>
      <x:c r="K199" s="32">
        <x:f t="shared" si="156"/>
        <x:v>93183.334999999992</x:v>
      </x:c>
      <x:c r="L199" s="32">
        <x:f t="shared" si="156"/>
        <x:v>80301.840499999991</x:v>
      </x:c>
      <x:c r="M199" s="32">
        <x:f t="shared" si="156"/>
        <x:v>71979.034500000009</x:v>
      </x:c>
      <x:c r="N199" s="32">
        <x:f t="shared" si="156"/>
        <x:v>78403.282000000007</x:v>
      </x:c>
      <x:c r="O199" s="32">
        <x:f t="shared" si="156"/>
        <x:v>76291.375</x:v>
      </x:c>
      <x:c r="P199" s="32">
        <x:f t="shared" si="156"/>
        <x:v>70090.3465</x:v>
      </x:c>
      <x:c r="Q199" s="32">
        <x:f t="shared" si="156"/>
        <x:v>78291.663824999996</x:v>
      </x:c>
      <x:c r="R199" s="32">
        <x:f t="shared" si="156"/>
        <x:v>996765.58932499995</x:v>
      </x:c>
      <x:c r="S199" s="31">
        <x:f t="shared" si="150"/>
        <x:v>1.6341145724569857E-2</x:v>
      </x:c>
    </x:row>
    <x:row r="200" spans="1:19" s="29" customFormat="1">
      <x:c r="A200" s="119"/>
      <x:c r="B200" s="6" t="s">
        <x:v>189</x:v>
      </x:c>
      <x:c r="C200" s="33"/>
      <x:c r="D200" s="33"/>
      <x:c r="E200" s="33"/>
      <x:c r="F200" s="35">
        <x:f>'노무비,급여(PLN)'!E12</x:f>
        <x:v>52420</x:v>
      </x:c>
      <x:c r="G200" s="35">
        <x:f>'노무비,급여(PLN)'!F12</x:f>
        <x:v>52420</x:v>
      </x:c>
      <x:c r="H200" s="35">
        <x:f>'노무비,급여(PLN)'!G12</x:f>
        <x:v>57612</x:v>
      </x:c>
      <x:c r="I200" s="35">
        <x:f>'노무비,급여(PLN)'!H12</x:f>
        <x:v>55016</x:v>
      </x:c>
      <x:c r="J200" s="35">
        <x:f>'노무비,급여(PLN)'!I12</x:f>
        <x:v>47228</x:v>
      </x:c>
      <x:c r="K200" s="35">
        <x:f>'노무비,급여(PLN)'!J12</x:f>
        <x:v>55016</x:v>
      </x:c>
      <x:c r="L200" s="35">
        <x:f>'노무비,급여(PLN)'!K12</x:f>
        <x:v>60208</x:v>
      </x:c>
      <x:c r="M200" s="35">
        <x:f>'노무비,급여(PLN)'!L12</x:f>
        <x:v>52420</x:v>
      </x:c>
      <x:c r="N200" s="35">
        <x:f>'노무비,급여(PLN)'!M12</x:f>
        <x:v>57612</x:v>
      </x:c>
      <x:c r="O200" s="35">
        <x:f>'노무비,급여(PLN)'!N12</x:f>
        <x:v>57612</x:v>
      </x:c>
      <x:c r="P200" s="35">
        <x:f>'노무비,급여(PLN)'!O12</x:f>
        <x:v>49824</x:v>
      </x:c>
      <x:c r="Q200" s="35">
        <x:f>'노무비,급여(PLN)'!P12</x:f>
        <x:v>57612</x:v>
      </x:c>
      <x:c r="R200" s="30">
        <x:f t="shared" si="151"/>
        <x:v>655000</x:v>
      </x:c>
      <x:c r="S200" s="31">
        <x:f t="shared" si="150"/>
        <x:v>1.0738182140538708E-2</x:v>
      </x:c>
    </x:row>
    <x:row r="201" spans="1:19" s="29" customFormat="1">
      <x:c r="A201" s="119"/>
      <x:c r="B201" s="6" t="s">
        <x:v>190</x:v>
      </x:c>
      <x:c r="C201" s="33"/>
      <x:c r="D201" s="33"/>
      <x:c r="E201" s="33"/>
      <x:c r="F201" s="35">
        <x:f>'노무비,급여(PLN)'!E10</x:f>
        <x:v>34328.104500000001</x:v>
      </x:c>
      <x:c r="G201" s="35">
        <x:f>'노무비,급여(PLN)'!F10</x:f>
        <x:v>38431.019500000002</x:v>
      </x:c>
      <x:c r="H201" s="35">
        <x:f>'노무비,급여(PLN)'!G10</x:f>
        <x:v>37483.048999999999</x:v>
      </x:c>
      <x:c r="I201" s="35">
        <x:f>'노무비,급여(PLN)'!H10</x:f>
        <x:v>36858.11</x:v>
      </x:c>
      <x:c r="J201" s="35">
        <x:f>'노무비,급여(PLN)'!I10</x:f>
        <x:v>36428.428999999996</x:v>
      </x:c>
      <x:c r="K201" s="35">
        <x:f>'노무비,급여(PLN)'!J10</x:f>
        <x:v>38167.334999999999</x:v>
      </x:c>
      <x:c r="L201" s="35">
        <x:f>'노무비,급여(PLN)'!K10</x:f>
        <x:v>20093.840499999998</x:v>
      </x:c>
      <x:c r="M201" s="35">
        <x:f>'노무비,급여(PLN)'!L10</x:f>
        <x:v>19559.034500000002</x:v>
      </x:c>
      <x:c r="N201" s="35">
        <x:f>'노무비,급여(PLN)'!M10</x:f>
        <x:v>20791.281999999999</x:v>
      </x:c>
      <x:c r="O201" s="35">
        <x:f>'노무비,급여(PLN)'!N10</x:f>
        <x:v>18679.375</x:v>
      </x:c>
      <x:c r="P201" s="35">
        <x:f>'노무비,급여(PLN)'!O10</x:f>
        <x:v>20266.3465</x:v>
      </x:c>
      <x:c r="Q201" s="35">
        <x:f>'노무비,급여(PLN)'!P10</x:f>
        <x:v>20679.663825</x:v>
      </x:c>
      <x:c r="R201" s="30">
        <x:f t="shared" si="151"/>
        <x:v>341765.58932499995</x:v>
      </x:c>
      <x:c r="S201" s="31">
        <x:f t="shared" si="150"/>
        <x:v>5.6029635840311471E-3</x:v>
      </x:c>
    </x:row>
    <x:row r="202" spans="1:19" s="29" customFormat="1">
      <x:c r="A202" s="119" t="s">
        <x:v>174</x:v>
      </x:c>
      <x:c r="B202" s="33"/>
      <x:c r="C202" s="33"/>
      <x:c r="D202" s="33"/>
      <x:c r="E202" s="33"/>
      <x:c r="F202" s="34">
        <x:f>'기계경비(PLN)'!B2</x:f>
        <x:v>8000</x:v>
      </x:c>
      <x:c r="G202" s="34">
        <x:f>'기계경비(PLN)'!C2</x:f>
        <x:v>8000</x:v>
      </x:c>
      <x:c r="H202" s="34">
        <x:f>'기계경비(PLN)'!D2</x:f>
        <x:v>7200</x:v>
      </x:c>
      <x:c r="I202" s="34">
        <x:f>'기계경비(PLN)'!E2</x:f>
        <x:v>7200</x:v>
      </x:c>
      <x:c r="J202" s="34">
        <x:f>'기계경비(PLN)'!F2</x:f>
        <x:v>7200</x:v>
      </x:c>
      <x:c r="K202" s="34">
        <x:f>'기계경비(PLN)'!G2</x:f>
        <x:v>8000</x:v>
      </x:c>
      <x:c r="L202" s="34">
        <x:f>'기계경비(PLN)'!H2</x:f>
        <x:v>8000</x:v>
      </x:c>
      <x:c r="M202" s="34">
        <x:f>'기계경비(PLN)'!I2</x:f>
        <x:v>8000</x:v>
      </x:c>
      <x:c r="N202" s="34">
        <x:f>'기계경비(PLN)'!J2</x:f>
        <x:v>7200</x:v>
      </x:c>
      <x:c r="O202" s="34">
        <x:f>'기계경비(PLN)'!K2</x:f>
        <x:v>7200</x:v>
      </x:c>
      <x:c r="P202" s="34">
        <x:f>'기계경비(PLN)'!L2</x:f>
        <x:v>7200</x:v>
      </x:c>
      <x:c r="Q202" s="34">
        <x:f>'기계경비(PLN)'!M2</x:f>
        <x:v>8000</x:v>
      </x:c>
      <x:c r="R202" s="32">
        <x:f t="shared" si="151"/>
        <x:v>91200</x:v>
      </x:c>
      <x:c r="S202" s="31">
        <x:f t="shared" si="150"/>
        <x:v>1.4951484140719546E-3</x:v>
      </x:c>
    </x:row>
    <x:row r="203" spans="1:19" s="29" customFormat="1">
      <x:c r="A203" s="119" t="s">
        <x:v>262</x:v>
      </x:c>
      <x:c r="B203" s="33"/>
      <x:c r="C203" s="33"/>
      <x:c r="D203" s="33"/>
      <x:c r="E203" s="33"/>
      <x:c r="F203" s="34">
        <x:f t="shared" ref="F203:R203" si="157">SUM(F204:F207)</x:f>
        <x:v>195680.4563516234</x:v>
      </x:c>
      <x:c r="G203" s="34">
        <x:f t="shared" si="157"/>
        <x:v>196215.1733766234</x:v>
      </x:c>
      <x:c r="H203" s="34">
        <x:f t="shared" si="157"/>
        <x:v>275970.64687662339</x:v>
      </x:c>
      <x:c r="I203" s="34">
        <x:f t="shared" si="157"/>
        <x:v>194397.2258516234</x:v>
      </x:c>
      <x:c r="J203" s="34">
        <x:f t="shared" si="157"/>
        <x:v>193172.49682662339</x:v>
      </x:c>
      <x:c r="K203" s="34">
        <x:f t="shared" si="157"/>
        <x:v>193048.9452516234</x:v>
      </x:c>
      <x:c r="L203" s="34">
        <x:f t="shared" si="157"/>
        <x:v>196167.22665162341</x:v>
      </x:c>
      <x:c r="M203" s="34">
        <x:f t="shared" si="157"/>
        <x:v>196167.60682662341</x:v>
      </x:c>
      <x:c r="N203" s="34">
        <x:f t="shared" si="157"/>
        <x:v>197457.9989266234</x:v>
      </x:c>
      <x:c r="O203" s="34">
        <x:f t="shared" si="157"/>
        <x:v>203030.53120162338</x:v>
      </x:c>
      <x:c r="P203" s="34">
        <x:f t="shared" si="157"/>
        <x:v>223308.73137662339</x:v>
      </x:c>
      <x:c r="Q203" s="34">
        <x:f t="shared" si="157"/>
        <x:v>194571.8633766234</x:v>
      </x:c>
      <x:c r="R203" s="32">
        <x:f t="shared" si="157"/>
        <x:v>2459188.9028944806</x:v>
      </x:c>
      <x:c r="S203" s="31">
        <x:f t="shared" si="150"/>
        <x:v>4.0316363904232815E-2</x:v>
      </x:c>
    </x:row>
    <x:row r="204" spans="1:19">
      <x:c r="A204" s="118"/>
      <x:c r="B204" s="6" t="s">
        <x:v>20</x:v>
      </x:c>
      <x:c r="C204" s="6"/>
      <x:c r="D204" s="6"/>
      <x:c r="E204" s="6"/>
      <x:c r="F204" s="30">
        <x:f>'노무비,급여(PLN)'!E5</x:f>
        <x:v>24438.592975</x:v>
      </x:c>
      <x:c r="G204" s="30">
        <x:f>'노무비,급여(PLN)'!F5</x:f>
        <x:v>24973.309999999998</x:v>
      </x:c>
      <x:c r="H204" s="30">
        <x:f>'노무비,급여(PLN)'!G5</x:f>
        <x:v>24728.783500000001</x:v>
      </x:c>
      <x:c r="I204" s="30">
        <x:f>'노무비,급여(PLN)'!H5</x:f>
        <x:v>25555.362475000002</x:v>
      </x:c>
      <x:c r="J204" s="30">
        <x:f>'노무비,급여(PLN)'!I5</x:f>
        <x:v>24830.633450000001</x:v>
      </x:c>
      <x:c r="K204" s="30">
        <x:f>'노무비,급여(PLN)'!J5</x:f>
        <x:v>24707.081874999996</x:v>
      </x:c>
      <x:c r="L204" s="30">
        <x:f>'노무비,급여(PLN)'!K5</x:f>
        <x:v>24825.363275000003</x:v>
      </x:c>
      <x:c r="M204" s="30">
        <x:f>'노무비,급여(PLN)'!L5</x:f>
        <x:v>24825.743450000002</x:v>
      </x:c>
      <x:c r="N204" s="30">
        <x:f>'노무비,급여(PLN)'!M5</x:f>
        <x:v>26116.135549999999</x:v>
      </x:c>
      <x:c r="O204" s="30">
        <x:f>'노무비,급여(PLN)'!N5</x:f>
        <x:v>24488.667825000004</x:v>
      </x:c>
      <x:c r="P204" s="30">
        <x:f>'노무비,급여(PLN)'!O5</x:f>
        <x:v>25566.868000000002</x:v>
      </x:c>
      <x:c r="Q204" s="30">
        <x:f>'노무비,급여(PLN)'!P5</x:f>
        <x:v>26830</x:v>
      </x:c>
      <x:c r="R204" s="30">
        <x:f t="shared" si="151"/>
        <x:v>301886.54237500002</x:v>
      </x:c>
      <x:c r="S204" s="31">
        <x:f t="shared" si="150"/>
        <x:v>4.9491796607636753E-3</x:v>
      </x:c>
    </x:row>
    <x:row r="205" spans="1:19">
      <x:c r="A205" s="118"/>
      <x:c r="B205" s="6" t="s">
        <x:v>15</x:v>
      </x:c>
      <x:c r="C205" s="6"/>
      <x:c r="D205" s="6"/>
      <x:c r="E205" s="6"/>
      <x:c r="F205" s="35">
        <x:f>'임대용역(PLN)'!C2</x:f>
        <x:v>113840.56467532468</x:v>
      </x:c>
      <x:c r="G205" s="35">
        <x:f>'임대용역(PLN)'!D2</x:f>
        <x:v>113840.56467532468</x:v>
      </x:c>
      <x:c r="H205" s="35">
        <x:f>'임대용역(PLN)'!E2</x:f>
        <x:v>113840.56467532468</x:v>
      </x:c>
      <x:c r="I205" s="35">
        <x:f>'임대용역(PLN)'!F2</x:f>
        <x:v>113440.56467532468</x:v>
      </x:c>
      <x:c r="J205" s="35">
        <x:f>'임대용역(PLN)'!G2</x:f>
        <x:v>112940.56467532468</x:v>
      </x:c>
      <x:c r="K205" s="35">
        <x:f>'임대용역(PLN)'!H2</x:f>
        <x:v>112940.56467532468</x:v>
      </x:c>
      <x:c r="L205" s="35">
        <x:f>'임대용역(PLN)'!I2</x:f>
        <x:v>113940.56467532468</x:v>
      </x:c>
      <x:c r="M205" s="35">
        <x:f>'임대용역(PLN)'!J2</x:f>
        <x:v>113940.56467532468</x:v>
      </x:c>
      <x:c r="N205" s="35">
        <x:f>'임대용역(PLN)'!K2</x:f>
        <x:v>113940.56467532468</x:v>
      </x:c>
      <x:c r="O205" s="35">
        <x:f>'임대용역(PLN)'!L2</x:f>
        <x:v>112340.56467532468</x:v>
      </x:c>
      <x:c r="P205" s="35">
        <x:f>'임대용역(PLN)'!M2</x:f>
        <x:v>112340.56467532468</x:v>
      </x:c>
      <x:c r="Q205" s="35">
        <x:f>'임대용역(PLN)'!N2</x:f>
        <x:v>112340.56467532468</x:v>
      </x:c>
      <x:c r="R205" s="30">
        <x:f t="shared" si="151"/>
        <x:v>1359686.7761038961</x:v>
      </x:c>
      <x:c r="S205" s="31">
        <x:f t="shared" si="150"/>
        <x:v>2.2290937795245054E-2</x:v>
      </x:c>
    </x:row>
    <x:row r="206" spans="1:19">
      <x:c r="A206" s="118"/>
      <x:c r="B206" s="6" t="s">
        <x:v>17</x:v>
      </x:c>
      <x:c r="C206" s="6"/>
      <x:c r="D206" s="6"/>
      <x:c r="E206" s="6"/>
      <x:c r="F206" s="35">
        <x:f>'임대용역(PLN)'!C3</x:f>
        <x:v>45000</x:v>
      </x:c>
      <x:c r="G206" s="35">
        <x:f>'임대용역(PLN)'!D3</x:f>
        <x:v>45000</x:v>
      </x:c>
      <x:c r="H206" s="35">
        <x:f>'임대용역(PLN)'!E3</x:f>
        <x:v>45000</x:v>
      </x:c>
      <x:c r="I206" s="35">
        <x:f>'임대용역(PLN)'!F3</x:f>
        <x:v>45000</x:v>
      </x:c>
      <x:c r="J206" s="35">
        <x:f>'임대용역(PLN)'!G3</x:f>
        <x:v>45000</x:v>
      </x:c>
      <x:c r="K206" s="35">
        <x:f>'임대용역(PLN)'!H3</x:f>
        <x:v>45000</x:v>
      </x:c>
      <x:c r="L206" s="35">
        <x:f>'임대용역(PLN)'!I3</x:f>
        <x:v>45000</x:v>
      </x:c>
      <x:c r="M206" s="35">
        <x:f>'임대용역(PLN)'!J3</x:f>
        <x:v>45000</x:v>
      </x:c>
      <x:c r="N206" s="35">
        <x:f>'임대용역(PLN)'!K3</x:f>
        <x:v>45000</x:v>
      </x:c>
      <x:c r="O206" s="35">
        <x:f>'임대용역(PLN)'!L3</x:f>
        <x:v>45000</x:v>
      </x:c>
      <x:c r="P206" s="35">
        <x:f>'임대용역(PLN)'!M3</x:f>
        <x:v>45000</x:v>
      </x:c>
      <x:c r="Q206" s="35">
        <x:f>'임대용역(PLN)'!N3</x:f>
        <x:v>45000</x:v>
      </x:c>
      <x:c r="R206" s="30">
        <x:f t="shared" si="151"/>
        <x:v>540000</x:v>
      </x:c>
      <x:c r="S206" s="31">
        <x:f t="shared" si="150"/>
        <x:v>8.8528524517418362E-3</x:v>
      </x:c>
    </x:row>
    <x:row r="207" spans="1:19">
      <x:c r="A207" s="120"/>
      <x:c r="B207" s="36" t="s">
        <x:v>22</x:v>
      </x:c>
      <x:c r="C207" s="36"/>
      <x:c r="D207" s="36"/>
      <x:c r="E207" s="36"/>
      <x:c r="F207" s="35">
        <x:f>+'임대용역(PLN)'!C4+'임대용역(PLN)'!C5+'임대용역(PLN)'!C6</x:f>
        <x:v>12401.298701298701</x:v>
      </x:c>
      <x:c r="G207" s="35">
        <x:f>+'임대용역(PLN)'!D4+'임대용역(PLN)'!D5+'임대용역(PLN)'!D6</x:f>
        <x:v>12401.298701298701</x:v>
      </x:c>
      <x:c r="H207" s="35">
        <x:f>+'임대용역(PLN)'!E4+'임대용역(PLN)'!E5+'임대용역(PLN)'!E6</x:f>
        <x:v>92401.2987012987</x:v>
      </x:c>
      <x:c r="I207" s="35">
        <x:f>+'임대용역(PLN)'!F4+'임대용역(PLN)'!F5+'임대용역(PLN)'!F6</x:f>
        <x:v>10401.298701298701</x:v>
      </x:c>
      <x:c r="J207" s="35">
        <x:f>+'임대용역(PLN)'!G4+'임대용역(PLN)'!G5+'임대용역(PLN)'!G6</x:f>
        <x:v>10401.298701298701</x:v>
      </x:c>
      <x:c r="K207" s="35">
        <x:f>+'임대용역(PLN)'!H4+'임대용역(PLN)'!H5+'임대용역(PLN)'!H6</x:f>
        <x:v>10401.298701298701</x:v>
      </x:c>
      <x:c r="L207" s="35">
        <x:f>+'임대용역(PLN)'!I4+'임대용역(PLN)'!I5+'임대용역(PLN)'!I6</x:f>
        <x:v>12401.298701298701</x:v>
      </x:c>
      <x:c r="M207" s="35">
        <x:f>+'임대용역(PLN)'!J4+'임대용역(PLN)'!J5+'임대용역(PLN)'!J6</x:f>
        <x:v>12401.298701298701</x:v>
      </x:c>
      <x:c r="N207" s="35">
        <x:f>+'임대용역(PLN)'!K4+'임대용역(PLN)'!K5+'임대용역(PLN)'!K6</x:f>
        <x:v>12401.298701298701</x:v>
      </x:c>
      <x:c r="O207" s="35">
        <x:f>+'임대용역(PLN)'!L4+'임대용역(PLN)'!L5+'임대용역(PLN)'!L6</x:f>
        <x:v>21201.2987012987</x:v>
      </x:c>
      <x:c r="P207" s="35">
        <x:f>+'임대용역(PLN)'!M4+'임대용역(PLN)'!M5+'임대용역(PLN)'!M6</x:f>
        <x:v>40401.2987012987</x:v>
      </x:c>
      <x:c r="Q207" s="35">
        <x:f>+'임대용역(PLN)'!N4+'임대용역(PLN)'!N5+'임대용역(PLN)'!N6</x:f>
        <x:v>10401.298701298701</x:v>
      </x:c>
      <x:c r="R207" s="30">
        <x:f t="shared" si="151"/>
        <x:v>257615.58441558451</x:v>
      </x:c>
      <x:c r="S207" s="39">
        <x:f t="shared" si="150"/>
        <x:v>4.2233939964822472E-3</x:v>
      </x:c>
    </x:row>
    <x:row r="208" spans="1:19" s="29" customFormat="1">
      <x:c r="A208" s="121" t="s">
        <x:v>192</x:v>
      </x:c>
      <x:c r="B208" s="40"/>
      <x:c r="C208" s="40"/>
      <x:c r="D208" s="40"/>
      <x:c r="E208" s="40"/>
      <x:c r="F208" s="34">
        <x:f>F192-F209</x:f>
        <x:v>205525.11648597615</x:v>
      </x:c>
      <x:c r="G208" s="34">
        <x:f t="shared" ref="G208:R208" ca="1" si="158">G192-G209</x:f>
        <x:v>125864.00856924255</x:v>
      </x:c>
      <x:c r="H208" s="34">
        <x:f t="shared" ca="1" si="158"/>
        <x:v>-160557.39566225978</x:v>
      </x:c>
      <x:c r="I208" s="34">
        <x:f t="shared" ca="1" si="158"/>
        <x:v>348450.30714197637</x:v>
      </x:c>
      <x:c r="J208" s="34">
        <x:f t="shared" ca="1" si="158"/>
        <x:v>278961.14126138034</x:v>
      </x:c>
      <x:c r="K208" s="34">
        <x:f t="shared" ca="1" si="158"/>
        <x:v>-167558.85343006928</x:v>
      </x:c>
      <x:c r="L208" s="34">
        <x:f t="shared" ca="1" si="158"/>
        <x:v>-194089.19878633975</x:v>
      </x:c>
      <x:c r="M208" s="34">
        <x:f t="shared" ca="1" si="158"/>
        <x:v>-245817.32302183143</x:v>
      </x:c>
      <x:c r="N208" s="34">
        <x:f t="shared" ca="1" si="158"/>
        <x:v>-262401.86161095847</x:v>
      </x:c>
      <x:c r="O208" s="34">
        <x:f t="shared" ca="1" si="158"/>
        <x:v>-217350.53085031174</x:v>
      </x:c>
      <x:c r="P208" s="34">
        <x:f t="shared" ca="1" si="158"/>
        <x:v>-277954.33933392272</x:v>
      </x:c>
      <x:c r="Q208" s="34">
        <x:f t="shared" ca="1" si="158"/>
        <x:v>-227984.97546907738</x:v>
      </x:c>
      <x:c r="R208" s="34">
        <x:f t="shared" ca="1" si="158"/>
        <x:v>-794913.90470619546</x:v>
      </x:c>
      <x:c r="S208" s="31">
        <x:f t="shared" ca="1" si="150"/>
        <x:v>-1.3031954648522071E-2</x:v>
      </x:c>
    </x:row>
    <x:row r="209" spans="1:29" ht="17.25" thickBot="1">
      <x:c r="A209" s="122"/>
      <x:c r="B209" s="42" t="s">
        <x:v>139</x:v>
      </x:c>
      <x:c r="C209" s="42"/>
      <x:c r="D209" s="42"/>
      <x:c r="E209" s="42"/>
      <x:c r="F209" s="43">
        <x:f>'임대용역(PLN)'!C7</x:f>
        <x:v>160000</x:v>
      </x:c>
      <x:c r="G209" s="43">
        <x:f>'임대용역(PLN)'!D7</x:f>
        <x:v>160000</x:v>
      </x:c>
      <x:c r="H209" s="43">
        <x:f>'임대용역(PLN)'!E7</x:f>
        <x:v>160000</x:v>
      </x:c>
      <x:c r="I209" s="43">
        <x:f>'임대용역(PLN)'!F7</x:f>
        <x:v>160000</x:v>
      </x:c>
      <x:c r="J209" s="43">
        <x:f>'임대용역(PLN)'!G7</x:f>
        <x:v>160000</x:v>
      </x:c>
      <x:c r="K209" s="43">
        <x:f>'임대용역(PLN)'!H7</x:f>
        <x:v>160000</x:v>
      </x:c>
      <x:c r="L209" s="43">
        <x:f>'임대용역(PLN)'!I7</x:f>
        <x:v>160000</x:v>
      </x:c>
      <x:c r="M209" s="43">
        <x:f>'임대용역(PLN)'!J7</x:f>
        <x:v>160000</x:v>
      </x:c>
      <x:c r="N209" s="43">
        <x:f>'임대용역(PLN)'!K7</x:f>
        <x:v>160000</x:v>
      </x:c>
      <x:c r="O209" s="43">
        <x:f>'임대용역(PLN)'!L7</x:f>
        <x:v>160000</x:v>
      </x:c>
      <x:c r="P209" s="43">
        <x:f>'임대용역(PLN)'!M7</x:f>
        <x:v>160000</x:v>
      </x:c>
      <x:c r="Q209" s="43">
        <x:f>'임대용역(PLN)'!N7</x:f>
        <x:v>160000</x:v>
      </x:c>
      <x:c r="R209" s="44">
        <x:f t="shared" si="151"/>
        <x:v>1920000</x:v>
      </x:c>
      <x:c r="S209" s="45">
        <x:f t="shared" si="150"/>
        <x:v>3.1476808717304308E-2</x:v>
      </x:c>
    </x:row>
    <x:row r="210" spans="1:29" ht="17.25" thickBot="1">
      <x:c r="F210" s="46"/>
      <x:c r="G210" s="46"/>
      <x:c r="H210" s="46"/>
      <x:c r="I210" s="46"/>
      <x:c r="J210" s="46"/>
      <x:c r="K210" s="46"/>
      <x:c r="L210" s="46"/>
      <x:c r="M210" s="46"/>
      <x:c r="N210" s="46"/>
      <x:c r="O210" s="46"/>
      <x:c r="P210" s="46"/>
      <x:c r="Q210" s="46"/>
      <x:c r="R210" s="47"/>
      <x:c r="S210" s="48"/>
    </x:row>
    <x:row r="211" spans="1:29" s="29" customFormat="1" ht="17.25" thickTop="1">
      <x:c r="A211" s="85" t="s">
        <x:v>184</x:v>
      </x:c>
      <x:c r="B211" s="86"/>
      <x:c r="C211" s="86"/>
      <x:c r="D211" s="86"/>
      <x:c r="E211" s="86"/>
      <x:c r="F211" s="87">
        <x:f>SUM(F212:F213)</x:f>
        <x:v>2669675754.9000001</x:v>
      </x:c>
      <x:c r="G211" s="87">
        <x:f t="shared" ref="G211" si="159">SUM(G212:G213)</x:f>
        <x:v>2431618753.4099998</x:v>
      </x:c>
      <x:c r="H211" s="87">
        <x:f t="shared" ref="H211" si="160">SUM(H212:H213)</x:f>
        <x:v>2044309002.1199999</x:v>
      </x:c>
      <x:c r="I211" s="87">
        <x:f t="shared" ref="I211" si="161">SUM(I212:I213)</x:f>
        <x:v>3109822407.2454</x:v>
      </x:c>
      <x:c r="J211" s="87">
        <x:f t="shared" ref="J211" si="162">SUM(J212:J213)</x:f>
        <x:v>2583103997.0043001</x:v>
      </x:c>
      <x:c r="K211" s="87">
        <x:f t="shared" ref="K211" si="163">SUM(K212:K213)</x:f>
        <x:v>1871934155.6684999</x:v>
      </x:c>
      <x:c r="L211" s="87">
        <x:f t="shared" ref="L211" si="164">SUM(L212:L213)</x:f>
        <x:v>1583895960.7547998</x:v>
      </x:c>
      <x:c r="M211" s="87">
        <x:f t="shared" ref="M211" si="165">SUM(M212:M213)</x:f>
        <x:v>1802349744.5183997</x:v>
      </x:c>
      <x:c r="N211" s="87">
        <x:f t="shared" ref="N211" si="166">SUM(N212:N213)</x:f>
        <x:v>1329369356.5845001</x:v>
      </x:c>
      <x:c r="O211" s="87">
        <x:f t="shared" ref="O211" si="167">SUM(O212:O213)</x:f>
        <x:v>1691360834.3016</x:v>
      </x:c>
      <x:c r="P211" s="87">
        <x:f t="shared" ref="P211" si="168">SUM(P212:P213)</x:f>
        <x:v>1183258160.7</x:v>
      </x:c>
      <x:c r="Q211" s="87">
        <x:f t="shared" ref="Q211" si="169">SUM(Q212:Q213)</x:f>
        <x:v>1183258160.7</x:v>
      </x:c>
      <x:c r="R211" s="88">
        <x:f>SUM(F211:Q211)</x:f>
        <x:v>23483956287.907497</x:v>
      </x:c>
      <x:c r="S211" s="89">
        <x:f>R211/$R$211</x:f>
        <x:v>1</x:v>
      </x:c>
      <x:c r="U211" s="146">
        <x:f>R211/1000000</x:f>
        <x:v>23483.956287907498</x:v>
      </x:c>
      <x:c r="V211" s="104"/>
      <x:c r="W211" s="104"/>
      <x:c r="X211" s="104"/>
      <x:c r="Y211" s="106"/>
      <x:c r="Z211" s="106"/>
    </x:row>
    <x:row r="212" spans="1:29">
      <x:c r="A212" s="90" t="s">
        <x:v>185</x:v>
      </x:c>
      <x:c r="B212" s="6"/>
      <x:c r="C212" s="6"/>
      <x:c r="D212" s="6"/>
      <x:c r="E212" s="6"/>
      <x:c r="F212" s="30">
        <x:f>F187*환율기준!$D$5</x:f>
        <x:v>2661717342.9000001</x:v>
      </x:c>
      <x:c r="G212" s="30">
        <x:f>G187*환율기준!$D$5</x:f>
        <x:v>2421007537.4099998</x:v>
      </x:c>
      <x:c r="H212" s="30">
        <x:f>H187*환율기준!$D$5</x:f>
        <x:v>2031929250.1199999</x:v>
      </x:c>
      <x:c r="I212" s="30">
        <x:f>I187*환율기준!$D$5</x:f>
        <x:v>3099211191.2454</x:v>
      </x:c>
      <x:c r="J212" s="30">
        <x:f>J187*환율기준!$D$5</x:f>
        <x:v>2575145585.0043001</x:v>
      </x:c>
      <x:c r="K212" s="30">
        <x:f>K187*환율기준!$D$5</x:f>
        <x:v>1860438671.6684999</x:v>
      </x:c>
      <x:c r="L212" s="30">
        <x:f>L187*환율기준!$D$5</x:f>
        <x:v>1575053280.7547998</x:v>
      </x:c>
      <x:c r="M212" s="30">
        <x:f>M187*환율기준!$D$5</x:f>
        <x:v>1789085724.5183997</x:v>
      </x:c>
      <x:c r="N212" s="30">
        <x:f>N187*환율기준!$D$5</x:f>
        <x:v>1318758140.5845001</x:v>
      </x:c>
      <x:c r="O212" s="30">
        <x:f>O187*환율기준!$D$5</x:f>
        <x:v>1680749618.3016</x:v>
      </x:c>
      <x:c r="P212" s="30">
        <x:f>P187*환율기준!$D$5</x:f>
        <x:v>1172646944.7</x:v>
      </x:c>
      <x:c r="Q212" s="30">
        <x:f>Q187*환율기준!$D$5</x:f>
        <x:v>1172646944.7</x:v>
      </x:c>
      <x:c r="R212" s="30">
        <x:f t="shared" ref="R212:R220" si="170">SUM(F212:Q212)</x:f>
        <x:v>23358390231.907497</x:v>
      </x:c>
      <x:c r="S212" s="123">
        <x:f>R212/$R$211</x:f>
        <x:v>0.99465311319521332</x:v>
      </x:c>
      <x:c r="U212" s="147"/>
      <x:c r="V212" s="105"/>
      <x:c r="W212" s="105"/>
      <x:c r="X212" s="105"/>
      <x:c r="Y212" s="106"/>
      <x:c r="Z212" s="106"/>
    </x:row>
    <x:row r="213" spans="1:29">
      <x:c r="A213" s="90" t="s">
        <x:v>186</x:v>
      </x:c>
      <x:c r="B213" s="6"/>
      <x:c r="C213" s="6"/>
      <x:c r="D213" s="6"/>
      <x:c r="E213" s="6"/>
      <x:c r="F213" s="30">
        <x:f>F188*환율기준!$D$5</x:f>
        <x:v>7958412</x:v>
      </x:c>
      <x:c r="G213" s="30">
        <x:f>G188*환율기준!$D$5</x:f>
        <x:v>10611216</x:v>
      </x:c>
      <x:c r="H213" s="30">
        <x:f>H188*환율기준!$D$5</x:f>
        <x:v>12379752</x:v>
      </x:c>
      <x:c r="I213" s="30">
        <x:f>I188*환율기준!$D$5</x:f>
        <x:v>10611216</x:v>
      </x:c>
      <x:c r="J213" s="30">
        <x:f>J188*환율기준!$D$5</x:f>
        <x:v>7958412</x:v>
      </x:c>
      <x:c r="K213" s="30">
        <x:f>K188*환율기준!$D$5</x:f>
        <x:v>11495484</x:v>
      </x:c>
      <x:c r="L213" s="30">
        <x:f>L188*환율기준!$D$5</x:f>
        <x:v>8842680</x:v>
      </x:c>
      <x:c r="M213" s="30">
        <x:f>M188*환율기준!$D$5</x:f>
        <x:v>13264020</x:v>
      </x:c>
      <x:c r="N213" s="30">
        <x:f>N188*환율기준!$D$5</x:f>
        <x:v>10611216</x:v>
      </x:c>
      <x:c r="O213" s="30">
        <x:f>O188*환율기준!$D$5</x:f>
        <x:v>10611216</x:v>
      </x:c>
      <x:c r="P213" s="30">
        <x:f>P188*환율기준!$D$5</x:f>
        <x:v>10611216</x:v>
      </x:c>
      <x:c r="Q213" s="30">
        <x:f>Q188*환율기준!$D$5</x:f>
        <x:v>10611216</x:v>
      </x:c>
      <x:c r="R213" s="30">
        <x:f t="shared" si="170"/>
        <x:v>125566056</x:v>
      </x:c>
      <x:c r="S213" s="123">
        <x:f t="shared" ref="S213:S234" si="171">R213/$R$211</x:f>
        <x:v>5.346886804786689E-3</x:v>
      </x:c>
      <x:c r="U213" s="147"/>
      <x:c r="V213" s="105"/>
      <x:c r="W213" s="105"/>
      <x:c r="X213" s="105"/>
      <x:c r="Y213" s="106"/>
      <x:c r="Z213" s="106"/>
    </x:row>
    <x:row r="214" spans="1:29" s="29" customFormat="1">
      <x:c r="A214" s="92" t="s">
        <x:v>204</x:v>
      </x:c>
      <x:c r="B214" s="33"/>
      <x:c r="C214" s="33"/>
      <x:c r="D214" s="33"/>
      <x:c r="E214" s="33"/>
      <x:c r="F214" s="32">
        <x:f>F219+F225+F228</x:f>
        <x:v>2453611609.3575244</x:v>
      </x:c>
      <x:c r="G214" s="32">
        <x:f t="shared" ref="G214:Q214" ca="1" si="172">G219+G225+G228</x:f>
        <x:v>2246018268.3608413</x:v>
      </x:c>
      <x:c r="H214" s="32">
        <x:f t="shared" ca="1" si="172"/>
        <x:v>1938274900.4024701</x:v>
      </x:c>
      <x:c r="I214" s="32">
        <x:f t="shared" ca="1" si="172"/>
        <x:v>2839226107.0428638</x:v>
      </x:c>
      <x:c r="J214" s="32">
        <x:f t="shared" ca="1" si="172"/>
        <x:v>2339732546.3404183</x:v>
      </x:c>
      <x:c r="K214" s="32">
        <x:f t="shared" ca="1" si="172"/>
        <x:v>1800520470.3172016</x:v>
      </x:c>
      <x:c r="L214" s="32">
        <x:f t="shared" ca="1" si="172"/>
        <x:v>1521495920.0266659</x:v>
      </x:c>
      <x:c r="M214" s="32">
        <x:f t="shared" ca="1" si="172"/>
        <x:v>1759864885.2535551</x:v>
      </x:c>
      <x:c r="N214" s="32">
        <x:f t="shared" ca="1" si="172"/>
        <x:v>1292772743.7179689</x:v>
      </x:c>
      <x:c r="O214" s="32">
        <x:f t="shared" ca="1" si="172"/>
        <x:v>1635274034.1663449</x:v>
      </x:c>
      <x:c r="P214" s="32">
        <x:f t="shared" ca="1" si="172"/>
        <x:v>1142696719.7635601</x:v>
      </x:c>
      <x:c r="Q214" s="32">
        <x:f t="shared" ca="1" si="172"/>
        <x:v>1134522208.8555949</x:v>
      </x:c>
      <x:c r="R214" s="32">
        <x:f t="shared" ca="1" si="170"/>
        <x:v>22104010413.605011</x:v>
      </x:c>
      <x:c r="S214" s="91">
        <x:f t="shared" ca="1" si="171"/>
        <x:v>0.94123878202698508</x:v>
      </x:c>
      <x:c r="T214" s="106"/>
      <x:c r="U214" s="146">
        <x:f ca="1">R214/1000000</x:f>
        <x:v>22104.01041360501</x:v>
      </x:c>
      <x:c r="V214" s="104"/>
      <x:c r="W214" s="104"/>
      <x:c r="X214" s="104"/>
      <x:c r="Y214" s="106"/>
      <x:c r="Z214" s="106"/>
    </x:row>
    <x:row r="215" spans="1:29" s="29" customFormat="1">
      <x:c r="A215" s="92" t="s">
        <x:v>205</x:v>
      </x:c>
      <x:c r="B215" s="33"/>
      <x:c r="C215" s="33"/>
      <x:c r="D215" s="33"/>
      <x:c r="E215" s="33"/>
      <x:c r="F215" s="32">
        <x:f t="shared" ref="F215:Q215" si="173">F211-F214</x:f>
        <x:v>216064145.5424757</x:v>
      </x:c>
      <x:c r="G215" s="32">
        <x:f t="shared" ca="1" si="173"/>
        <x:v>185600485.04915857</x:v>
      </x:c>
      <x:c r="H215" s="32">
        <x:f t="shared" ca="1" si="173"/>
        <x:v>106034101.71752977</x:v>
      </x:c>
      <x:c r="I215" s="32">
        <x:f t="shared" ca="1" si="173"/>
        <x:v>270596300.20253611</x:v>
      </x:c>
      <x:c r="J215" s="32">
        <x:f t="shared" ca="1" si="173"/>
        <x:v>243371450.66388178</x:v>
      </x:c>
      <x:c r="K215" s="32">
        <x:f t="shared" ca="1" si="173"/>
        <x:v>71413685.351298332</x:v>
      </x:c>
      <x:c r="L215" s="32">
        <x:f t="shared" ca="1" si="173"/>
        <x:v>62400040.728133917</x:v>
      </x:c>
      <x:c r="M215" s="32">
        <x:f t="shared" ca="1" si="173"/>
        <x:v>42484859.264844656</x:v>
      </x:c>
      <x:c r="N215" s="32">
        <x:f t="shared" ca="1" si="173"/>
        <x:v>36596612.866531134</x:v>
      </x:c>
      <x:c r="O215" s="32">
        <x:f t="shared" ca="1" si="173"/>
        <x:v>56086800.135255098</x:v>
      </x:c>
      <x:c r="P215" s="32">
        <x:f t="shared" ca="1" si="173"/>
        <x:v>40561440.936439991</x:v>
      </x:c>
      <x:c r="Q215" s="32">
        <x:f t="shared" ca="1" si="173"/>
        <x:v>48735951.844405174</x:v>
      </x:c>
      <x:c r="R215" s="32">
        <x:f ca="1">SUM(F215:Q215)</x:f>
        <x:v>1379945874.3024902</x:v>
      </x:c>
      <x:c r="S215" s="91">
        <x:f ca="1">R215/$R$211</x:f>
        <x:v>5.8761217973015069E-2</x:v>
      </x:c>
      <x:c r="T215" s="106"/>
      <x:c r="U215" s="146">
        <x:f ca="1">R215/1000000</x:f>
        <x:v>1379.9458743024902</x:v>
      </x:c>
      <x:c r="V215" s="104"/>
      <x:c r="W215" s="104"/>
      <x:c r="X215" s="104"/>
      <x:c r="Y215" s="106"/>
      <x:c r="Z215" s="106"/>
    </x:row>
    <x:row r="216" spans="1:29" s="29" customFormat="1">
      <x:c r="A216" s="92" t="s">
        <x:v>283</x:v>
      </x:c>
      <x:c r="B216" s="33"/>
      <x:c r="C216" s="33"/>
      <x:c r="D216" s="33"/>
      <x:c r="E216" s="33"/>
      <x:c r="F216" s="114">
        <x:v>0.13240117306286575</x:v>
      </x:c>
      <x:c r="G216" s="114">
        <x:v>9.2122067730462887E-2</x:v>
      </x:c>
      <x:c r="H216" s="114">
        <x:v>8.6433963361033844E-2</x:v>
      </x:c>
      <x:c r="I216" s="114">
        <x:v>0.1151130819760614</x:v>
      </x:c>
      <x:c r="J216" s="114">
        <x:v>9.648946222894543E-2</x:v>
      </x:c>
      <x:c r="K216" s="114">
        <x:v>7.5752558923791652E-2</x:v>
      </x:c>
      <x:c r="L216" s="114">
        <x:v>7.3703518822458333E-2</x:v>
      </x:c>
      <x:c r="M216" s="114">
        <x:v>7.188523798768795E-2</x:v>
      </x:c>
      <x:c r="N216" s="114">
        <x:v>6.1512190305091731E-2</x:v>
      </x:c>
      <x:c r="O216" s="114">
        <x:v>7.354997482163618E-2</x:v>
      </x:c>
      <x:c r="P216" s="114">
        <x:v>6.3387832864063076E-2</x:v>
      </x:c>
      <x:c r="Q216" s="114">
        <x:v>6.4591939887244362E-2</x:v>
      </x:c>
      <x:c r="R216" s="114">
        <x:v>8.9725305931885241E-2</x:v>
      </x:c>
      <x:c r="S216" s="91"/>
      <x:c r="T216" s="106"/>
      <x:c r="U216" s="146"/>
      <x:c r="V216" s="104"/>
      <x:c r="W216" s="104"/>
      <x:c r="X216" s="104"/>
      <x:c r="Y216" s="106"/>
      <x:c r="Z216" s="106"/>
    </x:row>
    <x:row r="217" spans="1:29">
      <x:c r="A217" s="92" t="s">
        <x:v>24</x:v>
      </x:c>
      <x:c r="B217" s="6"/>
      <x:c r="C217" s="6"/>
      <x:c r="D217" s="6"/>
      <x:c r="E217" s="6"/>
      <x:c r="F217" s="32">
        <x:f>F211-F214-F229</x:f>
        <x:v>140727169.84710068</x:v>
      </x:c>
      <x:c r="G217" s="32">
        <x:f t="shared" ref="G217:Q217" ca="1" si="174">G211-G214-G229</x:f>
        <x:v>110057643.29915857</x:v>
      </x:c>
      <x:c r="H217" s="32">
        <x:f t="shared" ca="1" si="174"/>
        <x:v>-214597.32997024059</x:v>
      </x:c>
      <x:c r="I217" s="32">
        <x:f t="shared" ca="1" si="174"/>
        <x:v>195753368.24966109</x:v>
      </x:c>
      <x:c r="J217" s="32">
        <x:f t="shared" ca="1" si="174"/>
        <x:v>169000039.38563177</x:v>
      </x:c>
      <x:c r="K217" s="32">
        <x:f t="shared" ca="1" si="174"/>
        <x:v>-2910158.5705766678</x:v>
      </x:c>
      <x:c r="L217" s="32">
        <x:f t="shared" ca="1" si="174"/>
        <x:v>-13124341.5327411</x:v>
      </x:c>
      <x:c r="M217" s="32">
        <x:f t="shared" ca="1" si="174"/>
        <x:v>-33039669.363405347</x:v>
      </x:c>
      <x:c r="N217" s="32">
        <x:f t="shared" ca="1" si="174"/>
        <x:v>-39424716.720218867</x:v>
      </x:c>
      <x:c r="O217" s="32">
        <x:f t="shared" ca="1" si="174"/>
        <x:v>-22079954.37736991</x:v>
      </x:c>
      <x:c r="P217" s="32">
        <x:f t="shared" ca="1" si="174"/>
        <x:v>-45412420.643560022</x:v>
      </x:c>
      <x:c r="Q217" s="32">
        <x:f t="shared" ca="1" si="174"/>
        <x:v>-26174215.555594832</x:v>
      </x:c>
      <x:c r="R217" s="32">
        <x:f t="shared" ca="1" si="170"/>
        <x:v>433158146.68811512</x:v>
      </x:c>
      <x:c r="S217" s="91">
        <x:f t="shared" ca="1" si="171"/>
        <x:v>1.8444854068782251E-2</x:v>
      </x:c>
      <x:c r="T217" s="106"/>
      <x:c r="U217" s="146">
        <x:f ca="1">R217/1000000</x:f>
        <x:v>433.1581466881151</x:v>
      </x:c>
      <x:c r="V217" s="104"/>
      <x:c r="W217" s="104"/>
      <x:c r="X217" s="104"/>
      <x:c r="Y217" s="106"/>
      <x:c r="Z217" s="106"/>
    </x:row>
    <x:row r="218" spans="1:29">
      <x:c r="A218" s="92" t="s">
        <x:v>206</x:v>
      </x:c>
      <x:c r="B218" s="6"/>
      <x:c r="C218" s="6"/>
      <x:c r="D218" s="6"/>
      <x:c r="E218" s="6"/>
      <x:c r="F218" s="114">
        <x:f t="shared" ref="F218:R218" si="175">F217/F211</x:f>
        <x:v>5.2713206683922556E-2</x:v>
      </x:c>
      <x:c r="G218" s="114">
        <x:f t="shared" ca="1" si="175"/>
        <x:v>4.5261060412870383E-2</x:v>
      </x:c>
      <x:c r="H218" s="114">
        <x:f t="shared" ca="1" si="175"/>
        <x:v>-1.0497303966655616E-4</x:v>
      </x:c>
      <x:c r="I218" s="114">
        <x:f t="shared" ca="1" si="175"/>
        <x:v>6.2946799725150326E-2</x:v>
      </x:c>
      <x:c r="J218" s="114">
        <x:f t="shared" ca="1" si="175"/>
        <x:v>6.542517822806436E-2</x:v>
      </x:c>
      <x:c r="K218" s="114">
        <x:f t="shared" ca="1" si="175"/>
        <x:v>-1.5546265672669454E-3</x:v>
      </x:c>
      <x:c r="L218" s="114">
        <x:f t="shared" ca="1" si="175"/>
        <x:v>-8.2861133925025872E-3</x:v>
      </x:c>
      <x:c r="M218" s="114">
        <x:f t="shared" ca="1" si="175"/>
        <x:v>-1.8331441754793145E-2</x:v>
      </x:c>
      <x:c r="N218" s="114">
        <x:f t="shared" ca="1" si="175"/>
        <x:v>-2.965670641115976E-2</x:v>
      </x:c>
      <x:c r="O218" s="114">
        <x:f t="shared" ca="1" si="175"/>
        <x:v>-1.3054549880532861E-2</x:v>
      </x:c>
      <x:c r="P218" s="114">
        <x:f t="shared" ca="1" si="175"/>
        <x:v>-3.8379131580799433E-2</x:v>
      </x:c>
      <x:c r="Q218" s="114">
        <x:f t="shared" ca="1" si="175"/>
        <x:v>-2.2120460627214698E-2</x:v>
      </x:c>
      <x:c r="R218" s="114">
        <x:f t="shared" ca="1" si="175"/>
        <x:v>1.8444854068782251E-2</x:v>
      </x:c>
      <x:c r="S218" s="91"/>
      <x:c r="T218" s="106"/>
      <x:c r="U218" s="148">
        <x:f ca="1">U217/U211</x:f>
        <x:v>1.8444854068782247E-2</x:v>
      </x:c>
      <x:c r="V218" s="105"/>
      <x:c r="W218" s="105"/>
      <x:c r="X218" s="105"/>
      <x:c r="Y218" s="106"/>
      <x:c r="Z218" s="106"/>
    </x:row>
    <x:row r="219" spans="1:29">
      <x:c r="A219" s="92" t="s">
        <x:v>187</x:v>
      </x:c>
      <x:c r="B219" s="6"/>
      <x:c r="C219" s="6"/>
      <x:c r="D219" s="6"/>
      <x:c r="E219" s="6"/>
      <x:c r="F219" s="32">
        <x:f>SUM(F220:F224)</x:f>
        <x:v>2417133589.1250243</x:v>
      </x:c>
      <x:c r="G219" s="32">
        <x:f t="shared" ref="G219:Q219" ca="1" si="176">SUM(G220:G224)</x:f>
        <x:v>2207960625.8533411</x:v>
      </x:c>
      <x:c r="H219" s="32">
        <x:f t="shared" ca="1" si="176"/>
        <x:v>1898891306.5374701</x:v>
      </x:c>
      <x:c r="I219" s="32">
        <x:f t="shared" ca="1" si="176"/>
        <x:v>2801082574.6928639</x:v>
      </x:c>
      <x:c r="J219" s="32">
        <x:f t="shared" ca="1" si="176"/>
        <x:v>2304752821.1754184</x:v>
      </x:c>
      <x:c r="K219" s="32">
        <x:f t="shared" ca="1" si="176"/>
        <x:v>1761564886.3422017</x:v>
      </x:c>
      <x:c r="L219" s="32">
        <x:f t="shared" ca="1" si="176"/>
        <x:v>1487499711.434166</x:v>
      </x:c>
      <x:c r="M219" s="32">
        <x:f t="shared" ca="1" si="176"/>
        <x:v>1729072956.971055</x:v>
      </x:c>
      <x:c r="N219" s="32">
        <x:f t="shared" ca="1" si="176"/>
        <x:v>1259815480.147969</x:v>
      </x:c>
      <x:c r="O219" s="32">
        <x:f t="shared" ca="1" si="176"/>
        <x:v>1603129854.7913449</x:v>
      </x:c>
      <x:c r="P219" s="32">
        <x:f t="shared" ca="1" si="176"/>
        <x:v>1112939936.3610601</x:v>
      </x:c>
      <x:c r="Q219" s="32">
        <x:f t="shared" ca="1" si="176"/>
        <x:v>1101299918.28297</x:v>
      </x:c>
      <x:c r="R219" s="32">
        <x:f t="shared" ca="1" si="170"/>
        <x:v>21685143661.714882</x:v>
      </x:c>
      <x:c r="S219" s="91">
        <x:f t="shared" ca="1" si="171"/>
        <x:v>0.92340248788834312</x:v>
      </x:c>
      <x:c r="T219" s="106"/>
      <x:c r="U219" s="146">
        <x:f t="shared" ref="U219:U234" ca="1" si="177">R219/1000000</x:f>
        <x:v>21685.143661714883</x:v>
      </x:c>
      <x:c r="V219" s="105"/>
      <x:c r="W219" s="105"/>
      <x:c r="X219" s="105"/>
      <x:c r="Y219" s="106"/>
      <x:c r="Z219" s="106"/>
    </x:row>
    <x:row r="220" spans="1:29">
      <x:c r="A220" s="90"/>
      <x:c r="B220" s="6" t="s">
        <x:v>220</x:v>
      </x:c>
      <x:c r="C220" s="6"/>
      <x:c r="D220" s="6"/>
      <x:c r="E220" s="6"/>
      <x:c r="F220" s="30">
        <x:f>F194*환율기준!$D$5</x:f>
        <x:v>2346218582.4000001</x:v>
      </x:c>
      <x:c r="G220" s="30">
        <x:f ca="1">G194*환율기준!$D$5</x:f>
        <x:v>2089190731.3199999</x:v>
      </x:c>
      <x:c r="H220" s="30">
        <x:f ca="1">H194*환율기준!$D$5</x:f>
        <x:v>1735145929.4399998</x:v>
      </x:c>
      <x:c r="I220" s="30">
        <x:f ca="1">I194*환율기준!$D$5</x:f>
        <x:v>2712114042.9768</x:v>
      </x:c>
      <x:c r="J220" s="30">
        <x:f ca="1">J194*환율기준!$D$5</x:f>
        <x:v>2196121538.5955997</x:v>
      </x:c>
      <x:c r="K220" s="30">
        <x:f ca="1">K194*환율기준!$D$5</x:f>
        <x:v>1596022391.5420756</x:v>
      </x:c>
      <x:c r="L220" s="30">
        <x:f ca="1">L194*환율기준!$D$5</x:f>
        <x:v>1354824959.2816756</x:v>
      </x:c>
      <x:c r="M220" s="30">
        <x:f ca="1">M194*환율기준!$D$5</x:f>
        <x:v>1538046341.1328757</x:v>
      </x:c>
      <x:c r="N220" s="30">
        <x:f ca="1">N194*환율기준!$D$5</x:f>
        <x:v>1142188821.8140757</x:v>
      </x:c>
      <x:c r="O220" s="30">
        <x:f ca="1">O194*환율기준!$D$5</x:f>
        <x:v>1444908458.3872755</x:v>
      </x:c>
      <x:c r="P220" s="30">
        <x:f ca="1">P194*환율기준!$D$5</x:f>
        <x:v>1020001613.4400755</x:v>
      </x:c>
      <x:c r="Q220" s="30">
        <x:f ca="1">Q194*환율기준!$D$5</x:f>
        <x:v>1020001613.4400755</x:v>
      </x:c>
      <x:c r="R220" s="30">
        <x:f t="shared" ca="1" si="170"/>
        <x:v>20194785023.770527</x:v>
      </x:c>
      <x:c r="S220" s="123">
        <x:f t="shared" ca="1" si="171"/>
        <x:v>0.85993964458915928</x:v>
      </x:c>
      <x:c r="T220" s="107"/>
      <x:c r="U220" s="147">
        <x:f t="shared" ca="1" si="177"/>
        <x:v>20194.785023770528</x:v>
      </x:c>
      <x:c r="V220" s="105"/>
      <x:c r="W220" s="105"/>
      <x:c r="X220" s="105"/>
      <x:c r="Y220" s="107"/>
      <x:c r="Z220" s="107"/>
      <x:c r="AA220" s="107"/>
      <x:c r="AB220" s="107"/>
      <x:c r="AC220" s="107"/>
    </x:row>
    <x:row r="221" spans="1:29">
      <x:c r="A221" s="90"/>
      <x:c r="B221" s="6" t="s">
        <x:v>18</x:v>
      </x:c>
      <x:c r="C221" s="6"/>
      <x:c r="D221" s="6"/>
      <x:c r="E221" s="6"/>
      <x:c r="F221" s="35">
        <x:f>F195*환율기준!$D$5</x:f>
        <x:v>60751006.725024</x:v>
      </x:c>
      <x:c r="G221" s="35">
        <x:f>G195*환율기준!$D$5</x:f>
        <x:v>74607094.340856016</x:v>
      </x:c>
      <x:c r="H221" s="35">
        <x:f>H195*환율기준!$D$5</x:f>
        <x:v>77626297.287</x:v>
      </x:c>
      <x:c r="I221" s="35">
        <x:f>I195*환율기준!$D$5</x:f>
        <x:v>78642831.716064006</x:v>
      </x:c>
      <x:c r="J221" s="35">
        <x:f>J195*환율기준!$D$5</x:f>
        <x:v>81601453.126115993</x:v>
      </x:c>
      <x:c r="K221" s="35">
        <x:f>K195*환율기준!$D$5</x:f>
        <x:v>83000657.434288308</x:v>
      </x:c>
      <x:c r="L221" s="35">
        <x:f>L195*환율기준!$D$5</x:f>
        <x:v>66630966.835917249</x:v>
      </x:c>
      <x:c r="M221" s="35">
        <x:f>M195*환율기준!$D$5</x:f>
        <x:v>93785134.781270191</x:v>
      </x:c>
      <x:c r="N221" s="35">
        <x:f>N195*환율기준!$D$5</x:f>
        <x:v>60137430.064041242</x:v>
      </x:c>
      <x:c r="O221" s="35">
        <x:f>O195*환율기준!$D$5</x:f>
        <x:v>78365229.473740309</x:v>
      </x:c>
      <x:c r="P221" s="35">
        <x:f>P195*환율기준!$D$5</x:f>
        <x:v>47437273.04353416</x:v>
      </x:c>
      <x:c r="Q221" s="35">
        <x:f>Q195*환율기준!$D$5</x:f>
        <x:v>42061896.411873914</x:v>
      </x:c>
      <x:c r="R221" s="30">
        <x:f>SUM(F221:Q221)</x:f>
        <x:v>844647271.23972535</x:v>
      </x:c>
      <x:c r="S221" s="123">
        <x:f>R221/$R$211</x:f>
        <x:v>3.59669921407006E-2</x:v>
      </x:c>
      <x:c r="T221" s="106"/>
      <x:c r="U221" s="147">
        <x:f t="shared" si="177"/>
        <x:v>844.64727123972534</x:v>
      </x:c>
      <x:c r="V221" s="105"/>
      <x:c r="W221" s="105"/>
      <x:c r="X221" s="105"/>
      <x:c r="Y221" s="106"/>
      <x:c r="Z221" s="106"/>
      <x:c r="AA221" s="106"/>
      <x:c r="AB221" s="106"/>
      <x:c r="AC221" s="106"/>
    </x:row>
    <x:row r="222" spans="1:29">
      <x:c r="A222" s="90"/>
      <x:c r="B222" s="6" t="s">
        <x:v>21</x:v>
      </x:c>
      <x:c r="C222" s="6"/>
      <x:c r="D222" s="6"/>
      <x:c r="E222" s="6"/>
      <x:c r="F222" s="35">
        <x:f>F196*환율기준!$D$5</x:f>
        <x:v>6930000</x:v>
      </x:c>
      <x:c r="G222" s="35">
        <x:f>G196*환율기준!$D$5</x:f>
        <x:v>6930000</x:v>
      </x:c>
      <x:c r="H222" s="35">
        <x:f>H196*환율기준!$D$5</x:f>
        <x:v>7700000</x:v>
      </x:c>
      <x:c r="I222" s="35">
        <x:f>I196*환율기준!$D$5</x:f>
        <x:v>6930000</x:v>
      </x:c>
      <x:c r="J222" s="35">
        <x:f>J196*환율기준!$D$5</x:f>
        <x:v>6930000</x:v>
      </x:c>
      <x:c r="K222" s="35">
        <x:f>K196*환율기준!$D$5</x:f>
        <x:v>7700000</x:v>
      </x:c>
      <x:c r="L222" s="35">
        <x:f>L196*환율기준!$D$5</x:f>
        <x:v>6930000</x:v>
      </x:c>
      <x:c r="M222" s="35">
        <x:f>M196*환율기준!$D$5</x:f>
        <x:v>6930000</x:v>
      </x:c>
      <x:c r="N222" s="35">
        <x:f>N196*환율기준!$D$5</x:f>
        <x:v>7700000</x:v>
      </x:c>
      <x:c r="O222" s="35">
        <x:f>O196*환율기준!$D$5</x:f>
        <x:v>6930000</x:v>
      </x:c>
      <x:c r="P222" s="35">
        <x:f>P196*환율기준!$D$5</x:f>
        <x:v>6930000</x:v>
      </x:c>
      <x:c r="Q222" s="35">
        <x:f>Q196*환율기준!$D$5</x:f>
        <x:v>6930000</x:v>
      </x:c>
      <x:c r="R222" s="30">
        <x:f>SUM(F222:Q222)</x:f>
        <x:v>85470000</x:v>
      </x:c>
      <x:c r="S222" s="123">
        <x:f>R222/$R$211</x:f>
        <x:v>3.6395060079383104E-3</x:v>
      </x:c>
      <x:c r="T222" s="106"/>
      <x:c r="U222" s="147">
        <x:f t="shared" si="177"/>
        <x:v>85.47</x:v>
      </x:c>
      <x:c r="V222" s="105"/>
      <x:c r="W222" s="105"/>
      <x:c r="X222" s="105"/>
      <x:c r="Y222" s="106"/>
      <x:c r="Z222" s="106"/>
      <x:c r="AA222" s="106"/>
      <x:c r="AB222" s="106"/>
      <x:c r="AC222" s="106"/>
    </x:row>
    <x:row r="223" spans="1:29">
      <x:c r="A223" s="90"/>
      <x:c r="B223" s="6" t="s">
        <x:v>25</x:v>
      </x:c>
      <x:c r="C223" s="6"/>
      <x:c r="D223" s="6"/>
      <x:c r="E223" s="6"/>
      <x:c r="F223" s="35">
        <x:f>F197*환율기준!$D$5</x:f>
        <x:v>3234000</x:v>
      </x:c>
      <x:c r="G223" s="35">
        <x:f>G197*환율기준!$D$5</x:f>
        <x:v>3234000</x:v>
      </x:c>
      <x:c r="H223" s="35">
        <x:f>H197*환율기준!$D$5</x:f>
        <x:v>3557400</x:v>
      </x:c>
      <x:c r="I223" s="35">
        <x:f>I197*환율기준!$D$5</x:f>
        <x:v>3395700</x:v>
      </x:c>
      <x:c r="J223" s="35">
        <x:f>J197*환율기준!$D$5</x:f>
        <x:v>2910600</x:v>
      </x:c>
      <x:c r="K223" s="35">
        <x:f>K197*환율기준!$D$5</x:f>
        <x:v>3395700</x:v>
      </x:c>
      <x:c r="L223" s="35">
        <x:f>L197*환율기준!$D$5</x:f>
        <x:v>3719100</x:v>
      </x:c>
      <x:c r="M223" s="35">
        <x:f>M197*환율기준!$D$5</x:f>
        <x:v>3234000</x:v>
      </x:c>
      <x:c r="N223" s="35">
        <x:f>N197*환율기준!$D$5</x:f>
        <x:v>3557400</x:v>
      </x:c>
      <x:c r="O223" s="35">
        <x:f>O197*환율기준!$D$5</x:f>
        <x:v>3557400</x:v>
      </x:c>
      <x:c r="P223" s="35">
        <x:f>P197*환율기준!$D$5</x:f>
        <x:v>3072300</x:v>
      </x:c>
      <x:c r="Q223" s="35">
        <x:f>Q197*환율기준!$D$5</x:f>
        <x:v>3557400</x:v>
      </x:c>
      <x:c r="R223" s="30">
        <x:f>SUM(F223:Q223)</x:f>
        <x:v>40425000</x:v>
      </x:c>
      <x:c r="S223" s="123">
        <x:f>R223/$R$211</x:f>
        <x:v>1.7213879767275792E-3</x:v>
      </x:c>
      <x:c r="T223" s="106"/>
      <x:c r="U223" s="147">
        <x:f t="shared" si="177"/>
        <x:v>40.424999999999997</x:v>
      </x:c>
      <x:c r="V223" s="105"/>
      <x:c r="W223" s="105"/>
      <x:c r="X223" s="105"/>
      <x:c r="Y223" s="106"/>
      <x:c r="Z223" s="106"/>
      <x:c r="AA223" s="106"/>
      <x:c r="AB223" s="106"/>
      <x:c r="AC223" s="106"/>
    </x:row>
    <x:row r="224" spans="1:29">
      <x:c r="A224" s="90"/>
      <x:c r="B224" s="169" t="s">
        <x:v>292</x:v>
      </x:c>
      <x:c r="C224" s="163"/>
      <x:c r="D224" s="163"/>
      <x:c r="E224" s="163"/>
      <x:c r="F224" s="170"/>
      <x:c r="G224" s="170">
        <x:f>G198*환율기준!$D$5</x:f>
        <x:v>33998800.192485124</x:v>
      </x:c>
      <x:c r="H224" s="170">
        <x:f>H198*환율기준!$D$5</x:f>
        <x:v>74861679.810470358</x:v>
      </x:c>
      <x:c r="I224" s="170"/>
      <x:c r="J224" s="170">
        <x:f>J198*환율기준!$D$5</x:f>
        <x:v>17189229.453702986</x:v>
      </x:c>
      <x:c r="K224" s="170">
        <x:f>K198*환율기준!$D$5</x:f>
        <x:v>71446137.365837753</x:v>
      </x:c>
      <x:c r="L224" s="170">
        <x:f>L198*환율기준!$D$5</x:f>
        <x:v>55394685.316573091</x:v>
      </x:c>
      <x:c r="M224" s="170">
        <x:f>M198*환율기준!$D$5</x:f>
        <x:v>87077481.05690901</x:v>
      </x:c>
      <x:c r="N224" s="170">
        <x:f>N198*환율기준!$D$5</x:f>
        <x:v>46231828.269852228</x:v>
      </x:c>
      <x:c r="O224" s="170">
        <x:f>O198*환율기준!$D$5</x:f>
        <x:v>69368766.930329099</x:v>
      </x:c>
      <x:c r="P224" s="170">
        <x:f>P198*환율기준!$D$5</x:f>
        <x:v>35498749.877450503</x:v>
      </x:c>
      <x:c r="Q224" s="170">
        <x:f>Q198*환율기준!$D$5</x:f>
        <x:v>28749008.431020409</x:v>
      </x:c>
      <x:c r="R224" s="171">
        <x:f>SUM(F224:Q224)</x:f>
        <x:v>519816366.70463061</x:v>
      </x:c>
      <x:c r="S224" s="123"/>
      <x:c r="T224" s="106"/>
      <x:c r="U224" s="147"/>
      <x:c r="V224" s="105"/>
      <x:c r="W224" s="105"/>
      <x:c r="X224" s="105"/>
      <x:c r="Y224" s="106"/>
      <x:c r="Z224" s="106"/>
      <x:c r="AA224" s="106"/>
      <x:c r="AB224" s="106"/>
      <x:c r="AC224" s="106"/>
    </x:row>
    <x:row r="225" spans="1:29" s="29" customFormat="1">
      <x:c r="A225" s="92" t="s">
        <x:v>188</x:v>
      </x:c>
      <x:c r="B225" s="33"/>
      <x:c r="C225" s="33"/>
      <x:c r="D225" s="33"/>
      <x:c r="E225" s="33"/>
      <x:c r="F225" s="32">
        <x:f>SUM(F226:F227)</x:f>
        <x:v>33398020.232500002</x:v>
      </x:c>
      <x:c r="G225" s="32">
        <x:f t="shared" ref="G225:R225" si="178">SUM(G226:G227)</x:f>
        <x:v>34977642.5075</x:v>
      </x:c>
      <x:c r="H225" s="32">
        <x:f t="shared" si="178"/>
        <x:v>36611593.865000002</x:v>
      </x:c>
      <x:c r="I225" s="32">
        <x:f t="shared" si="178"/>
        <x:v>35371532.350000001</x:v>
      </x:c>
      <x:c r="J225" s="32">
        <x:f t="shared" si="178"/>
        <x:v>32207725.164999999</x:v>
      </x:c>
      <x:c r="K225" s="32">
        <x:f t="shared" si="178"/>
        <x:v>35875583.975000001</x:v>
      </x:c>
      <x:c r="L225" s="32">
        <x:f t="shared" si="178"/>
        <x:v>30916208.592500001</x:v>
      </x:c>
      <x:c r="M225" s="32">
        <x:f t="shared" si="178"/>
        <x:v>27711928.282499999</x:v>
      </x:c>
      <x:c r="N225" s="32">
        <x:f t="shared" si="178"/>
        <x:v>30185263.57</x:v>
      </x:c>
      <x:c r="O225" s="32">
        <x:f t="shared" si="178"/>
        <x:v>29372179.375</x:v>
      </x:c>
      <x:c r="P225" s="32">
        <x:f t="shared" si="178"/>
        <x:v>26984783.4025</x:v>
      </x:c>
      <x:c r="Q225" s="32">
        <x:f t="shared" si="178"/>
        <x:v>30142290.572625</x:v>
      </x:c>
      <x:c r="R225" s="32">
        <x:f t="shared" si="178"/>
        <x:v>383754751.89012498</x:v>
      </x:c>
      <x:c r="S225" s="91">
        <x:f t="shared" si="171"/>
        <x:v>1.6341145724569857E-2</x:v>
      </x:c>
      <x:c r="T225" s="106"/>
      <x:c r="U225" s="146">
        <x:f t="shared" si="177"/>
        <x:v>383.75475189012496</x:v>
      </x:c>
      <x:c r="V225" s="104"/>
      <x:c r="W225" s="104"/>
      <x:c r="X225" s="104"/>
      <x:c r="Y225" s="106"/>
      <x:c r="Z225" s="106"/>
      <x:c r="AA225" s="106"/>
      <x:c r="AB225" s="106"/>
      <x:c r="AC225" s="106"/>
    </x:row>
    <x:row r="226" spans="1:29" s="29" customFormat="1">
      <x:c r="A226" s="92"/>
      <x:c r="B226" s="6" t="s">
        <x:v>189</x:v>
      </x:c>
      <x:c r="C226" s="33"/>
      <x:c r="D226" s="33"/>
      <x:c r="E226" s="33"/>
      <x:c r="F226" s="35">
        <x:f>F200*환율기준!$D$5</x:f>
        <x:v>20181700</x:v>
      </x:c>
      <x:c r="G226" s="35">
        <x:f>G200*환율기준!$D$5</x:f>
        <x:v>20181700</x:v>
      </x:c>
      <x:c r="H226" s="35">
        <x:f>H200*환율기준!$D$5</x:f>
        <x:v>22180620</x:v>
      </x:c>
      <x:c r="I226" s="35">
        <x:f>I200*환율기준!$D$5</x:f>
        <x:v>21181160</x:v>
      </x:c>
      <x:c r="J226" s="35">
        <x:f>J200*환율기준!$D$5</x:f>
        <x:v>18182780</x:v>
      </x:c>
      <x:c r="K226" s="35">
        <x:f>K200*환율기준!$D$5</x:f>
        <x:v>21181160</x:v>
      </x:c>
      <x:c r="L226" s="35">
        <x:f>L200*환율기준!$D$5</x:f>
        <x:v>23180080</x:v>
      </x:c>
      <x:c r="M226" s="35">
        <x:f>M200*환율기준!$D$5</x:f>
        <x:v>20181700</x:v>
      </x:c>
      <x:c r="N226" s="35">
        <x:f>N200*환율기준!$D$5</x:f>
        <x:v>22180620</x:v>
      </x:c>
      <x:c r="O226" s="35">
        <x:f>O200*환율기준!$D$5</x:f>
        <x:v>22180620</x:v>
      </x:c>
      <x:c r="P226" s="35">
        <x:f>P200*환율기준!$D$5</x:f>
        <x:v>19182240</x:v>
      </x:c>
      <x:c r="Q226" s="35">
        <x:f>Q200*환율기준!$D$5</x:f>
        <x:v>22180620</x:v>
      </x:c>
      <x:c r="R226" s="30">
        <x:f t="shared" ref="R226:R228" si="179">SUM(F226:Q226)</x:f>
        <x:v>252175000</x:v>
      </x:c>
      <x:c r="S226" s="123">
        <x:f t="shared" si="171"/>
        <x:v>1.0738182140538708E-2</x:v>
      </x:c>
      <x:c r="T226" s="106"/>
      <x:c r="U226" s="147">
        <x:f t="shared" si="177"/>
        <x:v>252.17500000000001</x:v>
      </x:c>
      <x:c r="V226" s="105"/>
      <x:c r="W226" s="105"/>
      <x:c r="X226" s="105"/>
      <x:c r="Y226" s="106"/>
      <x:c r="Z226" s="106"/>
      <x:c r="AA226" s="106"/>
      <x:c r="AB226" s="106"/>
      <x:c r="AC226" s="106"/>
    </x:row>
    <x:row r="227" spans="1:29" s="29" customFormat="1">
      <x:c r="A227" s="92"/>
      <x:c r="B227" s="6" t="s">
        <x:v>190</x:v>
      </x:c>
      <x:c r="C227" s="33"/>
      <x:c r="D227" s="33"/>
      <x:c r="E227" s="33"/>
      <x:c r="F227" s="35">
        <x:f>F201*환율기준!$D$5</x:f>
        <x:v>13216320.2325</x:v>
      </x:c>
      <x:c r="G227" s="35">
        <x:f>G201*환율기준!$D$5</x:f>
        <x:v>14795942.5075</x:v>
      </x:c>
      <x:c r="H227" s="35">
        <x:f>H201*환율기준!$D$5</x:f>
        <x:v>14430973.865</x:v>
      </x:c>
      <x:c r="I227" s="35">
        <x:f>I201*환율기준!$D$5</x:f>
        <x:v>14190372.35</x:v>
      </x:c>
      <x:c r="J227" s="35">
        <x:f>J201*환율기준!$D$5</x:f>
        <x:v>14024945.164999999</x:v>
      </x:c>
      <x:c r="K227" s="35">
        <x:f>K201*환율기준!$D$5</x:f>
        <x:v>14694423.975</x:v>
      </x:c>
      <x:c r="L227" s="35">
        <x:f>L201*환율기준!$D$5</x:f>
        <x:v>7736128.5924999993</x:v>
      </x:c>
      <x:c r="M227" s="35">
        <x:f>M201*환율기준!$D$5</x:f>
        <x:v>7530228.2825000007</x:v>
      </x:c>
      <x:c r="N227" s="35">
        <x:f>N201*환율기준!$D$5</x:f>
        <x:v>8004643.5699999994</x:v>
      </x:c>
      <x:c r="O227" s="35">
        <x:f>O201*환율기준!$D$5</x:f>
        <x:v>7191559.375</x:v>
      </x:c>
      <x:c r="P227" s="35">
        <x:f>P201*환율기준!$D$5</x:f>
        <x:v>7802543.4024999999</x:v>
      </x:c>
      <x:c r="Q227" s="35">
        <x:f>Q201*환율기준!$D$5</x:f>
        <x:v>7961670.572625</x:v>
      </x:c>
      <x:c r="R227" s="30">
        <x:f t="shared" si="179"/>
        <x:v>131579751.89012499</x:v>
      </x:c>
      <x:c r="S227" s="123">
        <x:f t="shared" si="171"/>
        <x:v>5.6029635840311471E-3</x:v>
      </x:c>
      <x:c r="T227" s="106"/>
      <x:c r="U227" s="147">
        <x:f t="shared" si="177"/>
        <x:v>131.57975189012498</x:v>
      </x:c>
      <x:c r="V227" s="105"/>
      <x:c r="W227" s="105"/>
      <x:c r="X227" s="105"/>
      <x:c r="Y227" s="106"/>
      <x:c r="Z227" s="106"/>
      <x:c r="AA227" s="106"/>
      <x:c r="AB227" s="106"/>
      <x:c r="AC227" s="106"/>
    </x:row>
    <x:row r="228" spans="1:29" s="29" customFormat="1">
      <x:c r="A228" s="92" t="s">
        <x:v>191</x:v>
      </x:c>
      <x:c r="B228" s="33"/>
      <x:c r="C228" s="33"/>
      <x:c r="D228" s="33"/>
      <x:c r="E228" s="33"/>
      <x:c r="F228" s="34">
        <x:f>F202*환율기준!$D$5</x:f>
        <x:v>3080000</x:v>
      </x:c>
      <x:c r="G228" s="34">
        <x:f>G202*환율기준!$D$5</x:f>
        <x:v>3080000</x:v>
      </x:c>
      <x:c r="H228" s="34">
        <x:f>H202*환율기준!$D$5</x:f>
        <x:v>2772000</x:v>
      </x:c>
      <x:c r="I228" s="34">
        <x:f>I202*환율기준!$D$5</x:f>
        <x:v>2772000</x:v>
      </x:c>
      <x:c r="J228" s="34">
        <x:f>J202*환율기준!$D$5</x:f>
        <x:v>2772000</x:v>
      </x:c>
      <x:c r="K228" s="34">
        <x:f>K202*환율기준!$D$5</x:f>
        <x:v>3080000</x:v>
      </x:c>
      <x:c r="L228" s="34">
        <x:f>L202*환율기준!$D$5</x:f>
        <x:v>3080000</x:v>
      </x:c>
      <x:c r="M228" s="34">
        <x:f>M202*환율기준!$D$5</x:f>
        <x:v>3080000</x:v>
      </x:c>
      <x:c r="N228" s="34">
        <x:f>N202*환율기준!$D$5</x:f>
        <x:v>2772000</x:v>
      </x:c>
      <x:c r="O228" s="34">
        <x:f>O202*환율기준!$D$5</x:f>
        <x:v>2772000</x:v>
      </x:c>
      <x:c r="P228" s="34">
        <x:f>P202*환율기준!$D$5</x:f>
        <x:v>2772000</x:v>
      </x:c>
      <x:c r="Q228" s="34">
        <x:f>Q202*환율기준!$D$5</x:f>
        <x:v>3080000</x:v>
      </x:c>
      <x:c r="R228" s="32">
        <x:f t="shared" si="179"/>
        <x:v>35112000</x:v>
      </x:c>
      <x:c r="S228" s="91">
        <x:f t="shared" si="171"/>
        <x:v>1.4951484140719546E-3</x:v>
      </x:c>
      <x:c r="T228" s="106"/>
      <x:c r="U228" s="146">
        <x:f t="shared" si="177"/>
        <x:v>35.112000000000002</x:v>
      </x:c>
      <x:c r="V228" s="105"/>
      <x:c r="W228" s="105"/>
      <x:c r="X228" s="105"/>
      <x:c r="Y228" s="106"/>
      <x:c r="Z228" s="106"/>
      <x:c r="AA228" s="106"/>
      <x:c r="AB228" s="106"/>
      <x:c r="AC228" s="106"/>
    </x:row>
    <x:row r="229" spans="1:29" s="29" customFormat="1">
      <x:c r="A229" s="92" t="s">
        <x:v>263</x:v>
      </x:c>
      <x:c r="B229" s="33"/>
      <x:c r="C229" s="33"/>
      <x:c r="D229" s="33"/>
      <x:c r="E229" s="33"/>
      <x:c r="F229" s="34">
        <x:f t="shared" ref="F229:R229" si="180">SUM(F230:F233)</x:f>
        <x:v>75336975.69537501</x:v>
      </x:c>
      <x:c r="G229" s="34">
        <x:f t="shared" si="180"/>
        <x:v>75542841.75</x:v>
      </x:c>
      <x:c r="H229" s="34">
        <x:f t="shared" si="180"/>
        <x:v>106248699.04750001</x:v>
      </x:c>
      <x:c r="I229" s="34">
        <x:f t="shared" si="180"/>
        <x:v>74842931.952875003</x:v>
      </x:c>
      <x:c r="J229" s="34">
        <x:f t="shared" si="180"/>
        <x:v>74371411.278250009</x:v>
      </x:c>
      <x:c r="K229" s="34">
        <x:f t="shared" si="180"/>
        <x:v>74323843.921875</x:v>
      </x:c>
      <x:c r="L229" s="34">
        <x:f t="shared" si="180"/>
        <x:v>75524382.260875016</x:v>
      </x:c>
      <x:c r="M229" s="34">
        <x:f t="shared" si="180"/>
        <x:v>75524528.628250003</x:v>
      </x:c>
      <x:c r="N229" s="34">
        <x:f t="shared" si="180"/>
        <x:v>76021329.586750001</x:v>
      </x:c>
      <x:c r="O229" s="34">
        <x:f t="shared" si="180"/>
        <x:v>78166754.512625009</x:v>
      </x:c>
      <x:c r="P229" s="34">
        <x:f t="shared" si="180"/>
        <x:v>85973861.580000013</x:v>
      </x:c>
      <x:c r="Q229" s="34">
        <x:f t="shared" si="180"/>
        <x:v>74910167.400000006</x:v>
      </x:c>
      <x:c r="R229" s="32">
        <x:f t="shared" si="180"/>
        <x:v>946787727.614375</x:v>
      </x:c>
      <x:c r="S229" s="91">
        <x:f t="shared" si="171"/>
        <x:v>4.0316363904232815E-2</x:v>
      </x:c>
      <x:c r="T229" s="106"/>
      <x:c r="U229" s="146">
        <x:f t="shared" si="177"/>
        <x:v>946.78772761437494</x:v>
      </x:c>
      <x:c r="V229" s="104"/>
      <x:c r="W229" s="104"/>
      <x:c r="X229" s="104"/>
      <x:c r="Y229" s="106"/>
      <x:c r="Z229" s="106"/>
      <x:c r="AA229" s="106"/>
      <x:c r="AB229" s="106"/>
      <x:c r="AC229" s="106"/>
    </x:row>
    <x:row r="230" spans="1:29">
      <x:c r="A230" s="90"/>
      <x:c r="B230" s="6" t="s">
        <x:v>20</x:v>
      </x:c>
      <x:c r="C230" s="6"/>
      <x:c r="D230" s="6"/>
      <x:c r="E230" s="6"/>
      <x:c r="F230" s="30">
        <x:f>F204*환율기준!$D$5</x:f>
        <x:v>9408858.2953750007</x:v>
      </x:c>
      <x:c r="G230" s="30">
        <x:f>G204*환율기준!$D$5</x:f>
        <x:v>9614724.3499999996</x:v>
      </x:c>
      <x:c r="H230" s="30">
        <x:f>H204*환율기준!$D$5</x:f>
        <x:v>9520581.6475000009</x:v>
      </x:c>
      <x:c r="I230" s="30">
        <x:f>I204*환율기준!$D$5</x:f>
        <x:v>9838814.552875001</x:v>
      </x:c>
      <x:c r="J230" s="30">
        <x:f>J204*환율기준!$D$5</x:f>
        <x:v>9559793.878250001</x:v>
      </x:c>
      <x:c r="K230" s="30">
        <x:f>K204*환율기준!$D$5</x:f>
        <x:v>9512226.5218749978</x:v>
      </x:c>
      <x:c r="L230" s="30">
        <x:f>L204*환율기준!$D$5</x:f>
        <x:v>9557764.8608750012</x:v>
      </x:c>
      <x:c r="M230" s="30">
        <x:f>M204*환율기준!$D$5</x:f>
        <x:v>9557911.2282500006</x:v>
      </x:c>
      <x:c r="N230" s="30">
        <x:f>N204*환율기준!$D$5</x:f>
        <x:v>10054712.18675</x:v>
      </x:c>
      <x:c r="O230" s="30">
        <x:f>O204*환율기준!$D$5</x:f>
        <x:v>9428137.112625001</x:v>
      </x:c>
      <x:c r="P230" s="30">
        <x:f>P204*환율기준!$D$5</x:f>
        <x:v>9843244.1800000016</x:v>
      </x:c>
      <x:c r="Q230" s="30">
        <x:f>Q204*환율기준!$D$5</x:f>
        <x:v>10329550</x:v>
      </x:c>
      <x:c r="R230" s="30">
        <x:f t="shared" ref="R230:R233" si="181">SUM(F230:Q230)</x:f>
        <x:v>116226318.81437501</x:v>
      </x:c>
      <x:c r="S230" s="123">
        <x:f t="shared" si="171"/>
        <x:v>4.9491796607636753E-3</x:v>
      </x:c>
      <x:c r="T230" s="106"/>
      <x:c r="U230" s="147">
        <x:f t="shared" si="177"/>
        <x:v>116.22631881437502</x:v>
      </x:c>
      <x:c r="V230" s="105"/>
      <x:c r="W230" s="105"/>
      <x:c r="X230" s="105"/>
      <x:c r="Y230" s="106"/>
      <x:c r="Z230" s="106"/>
      <x:c r="AA230" s="106"/>
      <x:c r="AB230" s="106"/>
      <x:c r="AC230" s="106"/>
    </x:row>
    <x:row r="231" spans="1:29">
      <x:c r="A231" s="90"/>
      <x:c r="B231" s="6" t="s">
        <x:v>15</x:v>
      </x:c>
      <x:c r="C231" s="6"/>
      <x:c r="D231" s="6"/>
      <x:c r="E231" s="6"/>
      <x:c r="F231" s="35">
        <x:f>F205*환율기준!$D$5</x:f>
        <x:v>43828617.400000006</x:v>
      </x:c>
      <x:c r="G231" s="35">
        <x:f>G205*환율기준!$D$5</x:f>
        <x:v>43828617.400000006</x:v>
      </x:c>
      <x:c r="H231" s="35">
        <x:f>H205*환율기준!$D$5</x:f>
        <x:v>43828617.400000006</x:v>
      </x:c>
      <x:c r="I231" s="35">
        <x:f>I205*환율기준!$D$5</x:f>
        <x:v>43674617.400000006</x:v>
      </x:c>
      <x:c r="J231" s="35">
        <x:f>J205*환율기준!$D$5</x:f>
        <x:v>43482117.400000006</x:v>
      </x:c>
      <x:c r="K231" s="35">
        <x:f>K205*환율기준!$D$5</x:f>
        <x:v>43482117.400000006</x:v>
      </x:c>
      <x:c r="L231" s="35">
        <x:f>L205*환율기준!$D$5</x:f>
        <x:v>43867117.400000006</x:v>
      </x:c>
      <x:c r="M231" s="35">
        <x:f>M205*환율기준!$D$5</x:f>
        <x:v>43867117.400000006</x:v>
      </x:c>
      <x:c r="N231" s="35">
        <x:f>N205*환율기준!$D$5</x:f>
        <x:v>43867117.400000006</x:v>
      </x:c>
      <x:c r="O231" s="35">
        <x:f>O205*환율기준!$D$5</x:f>
        <x:v>43251117.400000006</x:v>
      </x:c>
      <x:c r="P231" s="35">
        <x:f>P205*환율기준!$D$5</x:f>
        <x:v>43251117.400000006</x:v>
      </x:c>
      <x:c r="Q231" s="35">
        <x:f>Q205*환율기준!$D$5</x:f>
        <x:v>43251117.400000006</x:v>
      </x:c>
      <x:c r="R231" s="30">
        <x:f t="shared" si="181"/>
        <x:v>523479408.79999995</x:v>
      </x:c>
      <x:c r="S231" s="123">
        <x:f t="shared" si="171"/>
        <x:v>2.2290937795245054E-2</x:v>
      </x:c>
      <x:c r="T231" s="106"/>
      <x:c r="U231" s="147">
        <x:f t="shared" si="177"/>
        <x:v>523.47940879999999</x:v>
      </x:c>
      <x:c r="V231" s="105"/>
      <x:c r="W231" s="105"/>
      <x:c r="X231" s="105"/>
      <x:c r="Y231" s="106"/>
      <x:c r="Z231" s="106"/>
      <x:c r="AA231" s="106"/>
      <x:c r="AB231" s="106"/>
      <x:c r="AC231" s="106"/>
    </x:row>
    <x:row r="232" spans="1:29">
      <x:c r="A232" s="90"/>
      <x:c r="B232" s="6" t="s">
        <x:v>17</x:v>
      </x:c>
      <x:c r="C232" s="6"/>
      <x:c r="D232" s="6"/>
      <x:c r="E232" s="6"/>
      <x:c r="F232" s="35">
        <x:f>F206*환율기준!$D$5</x:f>
        <x:v>17325000</x:v>
      </x:c>
      <x:c r="G232" s="35">
        <x:f>G206*환율기준!$D$5</x:f>
        <x:v>17325000</x:v>
      </x:c>
      <x:c r="H232" s="35">
        <x:f>H206*환율기준!$D$5</x:f>
        <x:v>17325000</x:v>
      </x:c>
      <x:c r="I232" s="35">
        <x:f>I206*환율기준!$D$5</x:f>
        <x:v>17325000</x:v>
      </x:c>
      <x:c r="J232" s="35">
        <x:f>J206*환율기준!$D$5</x:f>
        <x:v>17325000</x:v>
      </x:c>
      <x:c r="K232" s="35">
        <x:f>K206*환율기준!$D$5</x:f>
        <x:v>17325000</x:v>
      </x:c>
      <x:c r="L232" s="35">
        <x:f>L206*환율기준!$D$5</x:f>
        <x:v>17325000</x:v>
      </x:c>
      <x:c r="M232" s="35">
        <x:f>M206*환율기준!$D$5</x:f>
        <x:v>17325000</x:v>
      </x:c>
      <x:c r="N232" s="35">
        <x:f>N206*환율기준!$D$5</x:f>
        <x:v>17325000</x:v>
      </x:c>
      <x:c r="O232" s="35">
        <x:f>O206*환율기준!$D$5</x:f>
        <x:v>17325000</x:v>
      </x:c>
      <x:c r="P232" s="35">
        <x:f>P206*환율기준!$D$5</x:f>
        <x:v>17325000</x:v>
      </x:c>
      <x:c r="Q232" s="35">
        <x:f>Q206*환율기준!$D$5</x:f>
        <x:v>17325000</x:v>
      </x:c>
      <x:c r="R232" s="30">
        <x:f t="shared" si="181"/>
        <x:v>207900000</x:v>
      </x:c>
      <x:c r="S232" s="123">
        <x:f t="shared" si="171"/>
        <x:v>8.8528524517418362E-3</x:v>
      </x:c>
      <x:c r="T232" s="106"/>
      <x:c r="U232" s="147">
        <x:f t="shared" si="177"/>
        <x:v>207.9</x:v>
      </x:c>
      <x:c r="V232" s="105"/>
      <x:c r="W232" s="105"/>
      <x:c r="X232" s="105"/>
      <x:c r="Y232" s="106"/>
      <x:c r="Z232" s="106"/>
      <x:c r="AA232" s="106"/>
      <x:c r="AB232" s="106"/>
      <x:c r="AC232" s="106"/>
    </x:row>
    <x:row r="233" spans="1:29">
      <x:c r="A233" s="93"/>
      <x:c r="B233" s="36" t="s">
        <x:v>22</x:v>
      </x:c>
      <x:c r="C233" s="36"/>
      <x:c r="D233" s="36"/>
      <x:c r="E233" s="36"/>
      <x:c r="F233" s="37">
        <x:f>F207*환율기준!$D$5</x:f>
        <x:v>4774500</x:v>
      </x:c>
      <x:c r="G233" s="37">
        <x:f>G207*환율기준!$D$5</x:f>
        <x:v>4774500</x:v>
      </x:c>
      <x:c r="H233" s="37">
        <x:f>H207*환율기준!$D$5</x:f>
        <x:v>35574500</x:v>
      </x:c>
      <x:c r="I233" s="37">
        <x:f>I207*환율기준!$D$5</x:f>
        <x:v>4004500</x:v>
      </x:c>
      <x:c r="J233" s="37">
        <x:f>J207*환율기준!$D$5</x:f>
        <x:v>4004500</x:v>
      </x:c>
      <x:c r="K233" s="37">
        <x:f>K207*환율기준!$D$5</x:f>
        <x:v>4004500</x:v>
      </x:c>
      <x:c r="L233" s="37">
        <x:f>L207*환율기준!$D$5</x:f>
        <x:v>4774500</x:v>
      </x:c>
      <x:c r="M233" s="37">
        <x:f>M207*환율기준!$D$5</x:f>
        <x:v>4774500</x:v>
      </x:c>
      <x:c r="N233" s="37">
        <x:f>N207*환율기준!$D$5</x:f>
        <x:v>4774500</x:v>
      </x:c>
      <x:c r="O233" s="37">
        <x:f>O207*환율기준!$D$5</x:f>
        <x:v>8162499.9999999991</x:v>
      </x:c>
      <x:c r="P233" s="37">
        <x:f>P207*환율기준!$D$5</x:f>
        <x:v>15554500</x:v>
      </x:c>
      <x:c r="Q233" s="37">
        <x:f>Q207*환율기준!$D$5</x:f>
        <x:v>4004500</x:v>
      </x:c>
      <x:c r="R233" s="38">
        <x:f t="shared" si="181"/>
        <x:v>99182000</x:v>
      </x:c>
      <x:c r="S233" s="123">
        <x:f t="shared" si="171"/>
        <x:v>4.2233939964822454E-3</x:v>
      </x:c>
      <x:c r="T233" s="106"/>
      <x:c r="U233" s="147">
        <x:f t="shared" si="177"/>
        <x:v>99.182000000000002</x:v>
      </x:c>
      <x:c r="V233" s="105"/>
      <x:c r="W233" s="105"/>
      <x:c r="X233" s="105"/>
      <x:c r="Y233" s="106"/>
      <x:c r="Z233" s="106"/>
      <x:c r="AA233" s="106"/>
      <x:c r="AB233" s="106"/>
      <x:c r="AC233" s="106"/>
    </x:row>
    <x:row r="234" spans="1:29" s="29" customFormat="1">
      <x:c r="A234" s="94" t="s">
        <x:v>193</x:v>
      </x:c>
      <x:c r="B234" s="40"/>
      <x:c r="C234" s="40"/>
      <x:c r="D234" s="40"/>
      <x:c r="E234" s="40"/>
      <x:c r="F234" s="41">
        <x:f t="shared" ref="F234:R234" si="182">F217-F235</x:f>
        <x:v>79127169.847100675</x:v>
      </x:c>
      <x:c r="G234" s="41">
        <x:f t="shared" ca="1" si="182"/>
        <x:v>48457643.299158573</x:v>
      </x:c>
      <x:c r="H234" s="41">
        <x:f t="shared" ca="1" si="182"/>
        <x:v>-61814597.329970241</x:v>
      </x:c>
      <x:c r="I234" s="41">
        <x:f t="shared" ca="1" si="182"/>
        <x:v>134153368.24966109</x:v>
      </x:c>
      <x:c r="J234" s="41">
        <x:f t="shared" ca="1" si="182"/>
        <x:v>107400039.38563177</x:v>
      </x:c>
      <x:c r="K234" s="41">
        <x:f t="shared" ca="1" si="182"/>
        <x:v>-64510158.570576668</x:v>
      </x:c>
      <x:c r="L234" s="41">
        <x:f t="shared" ca="1" si="182"/>
        <x:v>-74724341.5327411</x:v>
      </x:c>
      <x:c r="M234" s="41">
        <x:f t="shared" ca="1" si="182"/>
        <x:v>-94639669.363405347</x:v>
      </x:c>
      <x:c r="N234" s="41">
        <x:f t="shared" ca="1" si="182"/>
        <x:v>-101024716.72021887</x:v>
      </x:c>
      <x:c r="O234" s="41">
        <x:f t="shared" ca="1" si="182"/>
        <x:v>-83679954.37736991</x:v>
      </x:c>
      <x:c r="P234" s="41">
        <x:f t="shared" ca="1" si="182"/>
        <x:v>-107012420.64356002</x:v>
      </x:c>
      <x:c r="Q234" s="41">
        <x:f t="shared" ca="1" si="182"/>
        <x:v>-87774215.555594832</x:v>
      </x:c>
      <x:c r="R234" s="41">
        <x:f t="shared" ca="1" si="182"/>
        <x:v>-306041853.31188488</x:v>
      </x:c>
      <x:c r="S234" s="91">
        <x:f t="shared" ca="1" si="171"/>
        <x:v>-1.3031954648522056E-2</x:v>
      </x:c>
      <x:c r="T234" s="106"/>
      <x:c r="U234" s="146">
        <x:f t="shared" ca="1" si="177"/>
        <x:v>-306.04185331188489</x:v>
      </x:c>
      <x:c r="V234" s="104"/>
      <x:c r="W234" s="104"/>
      <x:c r="X234" s="104"/>
      <x:c r="Y234" s="106"/>
      <x:c r="Z234" s="106"/>
      <x:c r="AA234" s="106"/>
      <x:c r="AB234" s="106"/>
      <x:c r="AC234" s="106"/>
    </x:row>
    <x:row r="235" spans="1:29" ht="17.25" thickBot="1">
      <x:c r="A235" s="95"/>
      <x:c r="B235" s="96" t="s">
        <x:v>137</x:v>
      </x:c>
      <x:c r="C235" s="96"/>
      <x:c r="D235" s="96"/>
      <x:c r="E235" s="96"/>
      <x:c r="F235" s="97">
        <x:f>F209*환율기준!$D$5</x:f>
        <x:v>61600000</x:v>
      </x:c>
      <x:c r="G235" s="97">
        <x:f>G209*환율기준!$D$5</x:f>
        <x:v>61600000</x:v>
      </x:c>
      <x:c r="H235" s="97">
        <x:f>H209*환율기준!$D$5</x:f>
        <x:v>61600000</x:v>
      </x:c>
      <x:c r="I235" s="97">
        <x:f>I209*환율기준!$D$5</x:f>
        <x:v>61600000</x:v>
      </x:c>
      <x:c r="J235" s="97">
        <x:f>J209*환율기준!$D$5</x:f>
        <x:v>61600000</x:v>
      </x:c>
      <x:c r="K235" s="97">
        <x:f>K209*환율기준!$D$5</x:f>
        <x:v>61600000</x:v>
      </x:c>
      <x:c r="L235" s="97">
        <x:f>L209*환율기준!$D$5</x:f>
        <x:v>61600000</x:v>
      </x:c>
      <x:c r="M235" s="97">
        <x:f>M209*환율기준!$D$5</x:f>
        <x:v>61600000</x:v>
      </x:c>
      <x:c r="N235" s="97">
        <x:f>N209*환율기준!$D$5</x:f>
        <x:v>61600000</x:v>
      </x:c>
      <x:c r="O235" s="97">
        <x:f>O209*환율기준!$D$5</x:f>
        <x:v>61600000</x:v>
      </x:c>
      <x:c r="P235" s="97">
        <x:f>P209*환율기준!$D$5</x:f>
        <x:v>61600000</x:v>
      </x:c>
      <x:c r="Q235" s="97">
        <x:f>Q209*환율기준!$D$5</x:f>
        <x:v>61600000</x:v>
      </x:c>
      <x:c r="R235" s="98">
        <x:f t="shared" ref="R235" si="183">SUM(F235:Q235)</x:f>
        <x:v>739200000</x:v>
      </x:c>
      <x:c r="S235" s="133">
        <x:f>R235/$R$211</x:f>
        <x:v>3.1476808717304308E-2</x:v>
      </x:c>
      <x:c r="T235" s="106"/>
      <x:c r="U235" s="149">
        <x:f ca="1">U234/U214</x:f>
        <x:v>-1.384553515788774E-2</x:v>
      </x:c>
      <x:c r="V235" s="105"/>
      <x:c r="W235" s="105"/>
      <x:c r="X235" s="105"/>
      <x:c r="Y235" s="106"/>
      <x:c r="Z235" s="106"/>
      <x:c r="AA235" s="106"/>
      <x:c r="AB235" s="106"/>
      <x:c r="AC235" s="106"/>
    </x:row>
    <x:row r="236" spans="1:29" ht="17.25" thickTop="1">
      <x:c r="AA236" s="106"/>
      <x:c r="AB236" s="106"/>
      <x:c r="AC236" s="106"/>
    </x:row>
    <x:row r="237" spans="1:29">
      <x:c r="T237" s="106"/>
      <x:c r="U237" s="106"/>
      <x:c r="V237" s="105"/>
      <x:c r="W237" s="105"/>
      <x:c r="X237" s="105"/>
      <x:c r="Y237" s="107"/>
      <x:c r="AB237" s="106"/>
      <x:c r="AC237" s="106"/>
    </x:row>
    <x:row r="239" spans="1:29">
      <x:c r="X239" s="107"/>
    </x:row>
  </x:sheetData>
  <x:phoneticPr fontId="2" type="noConversion"/>
  <x:pageMargins left="0.7" right="0.7" top="0.75" bottom="0.75" header="0.3" footer="0.3"/>
  <x:pageSetup paperSize="9" orientation="portrait" r:id="rId1"/>
  <x:legacyDrawing r:id="rId2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tabColor rgb="FF0000CC"/>
  </x:sheetPr>
  <x:dimension ref="A1:S23"/>
  <x:sheetViews>
    <x:sheetView workbookViewId="0">
      <x:selection activeCell="G2" sqref="G2"/>
    </x:sheetView>
  </x:sheetViews>
  <x:sheetFormatPr defaultColWidth="8.875" defaultRowHeight="16.5"/>
  <x:cols>
    <x:col min="1" max="2" width="7" style="50" bestFit="1" customWidth="1"/>
    <x:col min="3" max="3" width="13.875" style="50" bestFit="1" customWidth="1"/>
    <x:col min="4" max="4" width="24.125" style="50" bestFit="1" customWidth="1"/>
    <x:col min="5" max="16" width="12.25" style="50" bestFit="1" customWidth="1"/>
    <x:col min="17" max="17" width="26.625" style="50" bestFit="1" customWidth="1"/>
    <x:col min="18" max="18" width="8.875" style="50"/>
    <x:col min="19" max="19" width="9.75" style="50" bestFit="1" customWidth="1"/>
    <x:col min="20" max="16384" width="8.875" style="50"/>
  </x:cols>
  <x:sheetData>
    <x:row r="1" spans="1:19">
      <x:c r="A1" s="61" t="s">
        <x:v>52</x:v>
      </x:c>
      <x:c r="B1" s="61" t="s">
        <x:v>53</x:v>
      </x:c>
      <x:c r="C1" s="61" t="s">
        <x:v>102</x:v>
      </x:c>
      <x:c r="D1" s="61" t="s">
        <x:v>64</x:v>
      </x:c>
      <x:c r="E1" s="61" t="s">
        <x:v>14</x:v>
      </x:c>
      <x:c r="F1" s="61" t="s">
        <x:v>3</x:v>
      </x:c>
      <x:c r="G1" s="61" t="s">
        <x:v>4</x:v>
      </x:c>
      <x:c r="H1" s="61" t="s">
        <x:v>5</x:v>
      </x:c>
      <x:c r="I1" s="61" t="s">
        <x:v>6</x:v>
      </x:c>
      <x:c r="J1" s="61" t="s">
        <x:v>7</x:v>
      </x:c>
      <x:c r="K1" s="61" t="s">
        <x:v>8</x:v>
      </x:c>
      <x:c r="L1" s="61" t="s">
        <x:v>9</x:v>
      </x:c>
      <x:c r="M1" s="61" t="s">
        <x:v>10</x:v>
      </x:c>
      <x:c r="N1" s="61" t="s">
        <x:v>11</x:v>
      </x:c>
      <x:c r="O1" s="61" t="s">
        <x:v>12</x:v>
      </x:c>
      <x:c r="P1" s="61" t="s">
        <x:v>13</x:v>
      </x:c>
      <x:c r="Q1" s="61" t="s">
        <x:v>44</x:v>
      </x:c>
    </x:row>
    <x:row r="2" spans="1:19">
      <x:c r="A2" s="2" t="s">
        <x:v>240</x:v>
      </x:c>
      <x:c r="B2" s="3" t="s">
        <x:v>60</x:v>
      </x:c>
      <x:c r="C2" s="61" t="s">
        <x:v>103</x:v>
      </x:c>
      <x:c r="D2" s="52" t="s">
        <x:v>54</x:v>
      </x:c>
      <x:c r="E2" s="51">
        <x:f>'인원급여리스트(PLN)'!I4</x:f>
        <x:v>4600</x:v>
      </x:c>
      <x:c r="F2" s="51">
        <x:f>'인원급여리스트(PLN)'!J4</x:f>
        <x:v>4600</x:v>
      </x:c>
      <x:c r="G2" s="51">
        <x:f>'인원급여리스트(PLN)'!K4</x:f>
        <x:v>4600</x:v>
      </x:c>
      <x:c r="H2" s="51">
        <x:f>'인원급여리스트(PLN)'!L4</x:f>
        <x:v>4600</x:v>
      </x:c>
      <x:c r="I2" s="51">
        <x:f>'인원급여리스트(PLN)'!M4</x:f>
        <x:v>4600</x:v>
      </x:c>
      <x:c r="J2" s="51">
        <x:f>'인원급여리스트(PLN)'!N4</x:f>
        <x:v>4600</x:v>
      </x:c>
      <x:c r="K2" s="51">
        <x:f>'인원급여리스트(PLN)'!O4</x:f>
        <x:v>4600</x:v>
      </x:c>
      <x:c r="L2" s="51">
        <x:f>'인원급여리스트(PLN)'!P4</x:f>
        <x:v>4600</x:v>
      </x:c>
      <x:c r="M2" s="51">
        <x:f>'인원급여리스트(PLN)'!Q4</x:f>
        <x:v>4600</x:v>
      </x:c>
      <x:c r="N2" s="51">
        <x:f>'인원급여리스트(PLN)'!R4</x:f>
        <x:v>4600</x:v>
      </x:c>
      <x:c r="O2" s="51">
        <x:f>'인원급여리스트(PLN)'!S4</x:f>
        <x:v>4600</x:v>
      </x:c>
      <x:c r="P2" s="51">
        <x:f>'인원급여리스트(PLN)'!T4</x:f>
        <x:v>4600</x:v>
      </x:c>
      <x:c r="Q2" s="52" t="s">
        <x:v>281</x:v>
      </x:c>
    </x:row>
    <x:row r="3" spans="1:19">
      <x:c r="A3" s="2"/>
      <x:c r="B3" s="2"/>
      <x:c r="C3" s="61" t="s">
        <x:v>103</x:v>
      </x:c>
      <x:c r="D3" s="52" t="s">
        <x:v>55</x:v>
      </x:c>
      <x:c r="E3" s="51">
        <x:f>'인원급여리스트(PLN)'!I5</x:f>
        <x:v>12555.3</x:v>
      </x:c>
      <x:c r="F3" s="51">
        <x:f>'인원급여리스트(PLN)'!J5</x:f>
        <x:v>12806.06</x:v>
      </x:c>
      <x:c r="G3" s="51">
        <x:f>'인원급여리스트(PLN)'!K5</x:f>
        <x:v>12734.525</x:v>
      </x:c>
      <x:c r="H3" s="51">
        <x:f>'인원급여리스트(PLN)'!L5</x:f>
        <x:v>12608.387000000001</x:v>
      </x:c>
      <x:c r="I3" s="51">
        <x:f>'인원급여리스트(PLN)'!M5</x:f>
        <x:v>12354.804</x:v>
      </x:c>
      <x:c r="J3" s="51">
        <x:f>'인원급여리스트(PLN)'!N5</x:f>
        <x:v>12725.867</x:v>
      </x:c>
      <x:c r="K3" s="51">
        <x:f>'인원급여리스트(PLN)'!O5</x:f>
        <x:v>12025.938</x:v>
      </x:c>
      <x:c r="L3" s="51">
        <x:f>'인원급여리스트(PLN)'!P5</x:f>
        <x:v>12024.519</x:v>
      </x:c>
      <x:c r="M3" s="51">
        <x:f>'인원급여리스트(PLN)'!Q5</x:f>
        <x:v>13515.018</x:v>
      </x:c>
      <x:c r="N3" s="51">
        <x:f>'인원급여리스트(PLN)'!R5</x:f>
        <x:v>11683.749000000002</x:v>
      </x:c>
      <x:c r="O3" s="51">
        <x:f>'인원급여리스트(PLN)'!S5</x:f>
        <x:v>12616.868</x:v>
      </x:c>
      <x:c r="P3" s="51">
        <x:f>'인원급여리스트(PLN)'!T5</x:f>
        <x:v>13880</x:v>
      </x:c>
      <x:c r="Q3" s="52"/>
    </x:row>
    <x:row r="4" spans="1:19">
      <x:c r="A4" s="2"/>
      <x:c r="B4" s="2"/>
      <x:c r="C4" s="61" t="s">
        <x:v>104</x:v>
      </x:c>
      <x:c r="D4" s="52" t="s">
        <x:v>56</x:v>
      </x:c>
      <x:c r="E4" s="51">
        <x:f>'인원급여리스트(PLN)'!I6</x:f>
        <x:v>7283.2929750000003</x:v>
      </x:c>
      <x:c r="F4" s="51">
        <x:f>'인원급여리스트(PLN)'!J6</x:f>
        <x:v>7567.25</x:v>
      </x:c>
      <x:c r="G4" s="51">
        <x:f>'인원급여리스트(PLN)'!K6</x:f>
        <x:v>7394.2584999999999</x:v>
      </x:c>
      <x:c r="H4" s="51">
        <x:f>'인원급여리스트(PLN)'!L6</x:f>
        <x:v>8346.9754749999993</x:v>
      </x:c>
      <x:c r="I4" s="51">
        <x:f>'인원급여리스트(PLN)'!M6</x:f>
        <x:v>7875.8294500000002</x:v>
      </x:c>
      <x:c r="J4" s="51">
        <x:f>'인원급여리스트(PLN)'!N6</x:f>
        <x:v>7381.2148749999997</x:v>
      </x:c>
      <x:c r="K4" s="51">
        <x:f>'인원급여리스트(PLN)'!O6</x:f>
        <x:v>8199.4252749999996</x:v>
      </x:c>
      <x:c r="L4" s="51">
        <x:f>'인원급여리스트(PLN)'!P6</x:f>
        <x:v>8201.2244499999997</x:v>
      </x:c>
      <x:c r="M4" s="51">
        <x:f>'인원급여리스트(PLN)'!Q6</x:f>
        <x:v>8001.1175499999999</x:v>
      </x:c>
      <x:c r="N4" s="51">
        <x:f>'인원급여리스트(PLN)'!R6</x:f>
        <x:v>8204.9188250000007</x:v>
      </x:c>
      <x:c r="O4" s="51">
        <x:f>'인원급여리스트(PLN)'!S6</x:f>
        <x:v>8350</x:v>
      </x:c>
      <x:c r="P4" s="51">
        <x:f>'인원급여리스트(PLN)'!T6</x:f>
        <x:v>8350</x:v>
      </x:c>
      <x:c r="Q4" s="52"/>
      <x:c r="S4" s="56"/>
    </x:row>
    <x:row r="5" spans="1:19">
      <x:c r="A5" s="2"/>
      <x:c r="B5" s="1"/>
      <x:c r="C5" s="82" t="s">
        <x:v>176</x:v>
      </x:c>
      <x:c r="D5" s="20"/>
      <x:c r="E5" s="81">
        <x:f t="shared" ref="E5:P5" si="0">SUM(E2:E4)</x:f>
        <x:v>24438.592975</x:v>
      </x:c>
      <x:c r="F5" s="81">
        <x:f t="shared" si="0"/>
        <x:v>24973.309999999998</x:v>
      </x:c>
      <x:c r="G5" s="81">
        <x:f t="shared" si="0"/>
        <x:v>24728.783500000001</x:v>
      </x:c>
      <x:c r="H5" s="81">
        <x:f t="shared" si="0"/>
        <x:v>25555.362475000002</x:v>
      </x:c>
      <x:c r="I5" s="81">
        <x:f t="shared" si="0"/>
        <x:v>24830.633450000001</x:v>
      </x:c>
      <x:c r="J5" s="81">
        <x:f t="shared" si="0"/>
        <x:v>24707.081874999996</x:v>
      </x:c>
      <x:c r="K5" s="81">
        <x:f t="shared" si="0"/>
        <x:v>24825.363275000003</x:v>
      </x:c>
      <x:c r="L5" s="81">
        <x:f t="shared" si="0"/>
        <x:v>24825.743450000002</x:v>
      </x:c>
      <x:c r="M5" s="81">
        <x:f t="shared" si="0"/>
        <x:v>26116.135549999999</x:v>
      </x:c>
      <x:c r="N5" s="81">
        <x:f t="shared" si="0"/>
        <x:v>24488.667825000004</x:v>
      </x:c>
      <x:c r="O5" s="81">
        <x:f t="shared" si="0"/>
        <x:v>25566.868000000002</x:v>
      </x:c>
      <x:c r="P5" s="81">
        <x:f t="shared" si="0"/>
        <x:v>26830</x:v>
      </x:c>
      <x:c r="Q5" s="52"/>
    </x:row>
    <x:row r="6" spans="1:19">
      <x:c r="A6" s="2"/>
      <x:c r="B6" s="136" t="s">
        <x:v>222</x:v>
      </x:c>
      <x:c r="C6" s="61" t="s">
        <x:v>109</x:v>
      </x:c>
      <x:c r="D6" s="52" t="s">
        <x:v>58</x:v>
      </x:c>
      <x:c r="E6" s="51">
        <x:f>'인원급여리스트(PLN)'!I7</x:f>
        <x:v>7269.6539999999995</x:v>
      </x:c>
      <x:c r="F6" s="51">
        <x:f>'인원급여리스트(PLN)'!J7</x:f>
        <x:v>9442.7235000000001</x:v>
      </x:c>
      <x:c r="G6" s="51">
        <x:f>'인원급여리스트(PLN)'!K7</x:f>
        <x:v>8293.3619999999992</x:v>
      </x:c>
      <x:c r="H6" s="51">
        <x:f>'인원급여리스트(PLN)'!L7</x:f>
        <x:v>8293.3619999999992</x:v>
      </x:c>
      <x:c r="I6" s="51">
        <x:f>'인원급여리스트(PLN)'!M7</x:f>
        <x:v>8293.3619999999992</x:v>
      </x:c>
      <x:c r="J6" s="51">
        <x:f>'인원급여리스트(PLN)'!N7</x:f>
        <x:v>8293.3619999999992</x:v>
      </x:c>
      <x:c r="K6" s="51">
        <x:f>'인원급여리스트(PLN)'!O7</x:f>
        <x:v>0</x:v>
      </x:c>
      <x:c r="L6" s="51">
        <x:f>'인원급여리스트(PLN)'!P7</x:f>
        <x:v>0</x:v>
      </x:c>
      <x:c r="M6" s="51">
        <x:f>'인원급여리스트(PLN)'!Q7</x:f>
        <x:v>0</x:v>
      </x:c>
      <x:c r="N6" s="51">
        <x:f>'인원급여리스트(PLN)'!R7</x:f>
        <x:v>0</x:v>
      </x:c>
      <x:c r="O6" s="51">
        <x:f>'인원급여리스트(PLN)'!S7</x:f>
        <x:v>0</x:v>
      </x:c>
      <x:c r="P6" s="51">
        <x:f>'인원급여리스트(PLN)'!T7</x:f>
        <x:v>0</x:v>
      </x:c>
      <x:c r="Q6" s="52"/>
    </x:row>
    <x:row r="7" spans="1:19">
      <x:c r="A7" s="2"/>
      <x:c r="B7" s="3" t="s">
        <x:v>223</x:v>
      </x:c>
      <x:c r="C7" s="61" t="s">
        <x:v>109</x:v>
      </x:c>
      <x:c r="D7" s="52" t="s">
        <x:v>59</x:v>
      </x:c>
      <x:c r="E7" s="51">
        <x:f>'인원급여리스트(PLN)'!I8</x:f>
        <x:v>11271.1525</x:v>
      </x:c>
      <x:c r="F7" s="51">
        <x:f>'인원급여리스트(PLN)'!J8</x:f>
        <x:v>11462.021500000001</x:v>
      </x:c>
      <x:c r="G7" s="51">
        <x:f>'인원급여리스트(PLN)'!K8</x:f>
        <x:v>11866.933000000001</x:v>
      </x:c>
      <x:c r="H7" s="51">
        <x:f>'인원급여리스트(PLN)'!L8</x:f>
        <x:v>11628.436</x:v>
      </x:c>
      <x:c r="I7" s="51">
        <x:f>'인원급여리스트(PLN)'!M8</x:f>
        <x:v>10714.032999999999</x:v>
      </x:c>
      <x:c r="J7" s="51">
        <x:f>'인원급여리스트(PLN)'!N8</x:f>
        <x:v>12123.931</x:v>
      </x:c>
      <x:c r="K7" s="51">
        <x:f>'인원급여리스트(PLN)'!O8</x:f>
        <x:v>12305.518</x:v>
      </x:c>
      <x:c r="L7" s="51">
        <x:f>'인원급여리스트(PLN)'!P8</x:f>
        <x:v>11283.1855</x:v>
      </x:c>
      <x:c r="M7" s="51">
        <x:f>'인원급여리스트(PLN)'!Q8</x:f>
        <x:v>12147.397500000001</x:v>
      </x:c>
      <x:c r="N7" s="51">
        <x:f>'인원급여리스트(PLN)'!R8</x:f>
        <x:v>11082.4465</x:v>
      </x:c>
      <x:c r="O7" s="51">
        <x:f>'인원급여리스트(PLN)'!S8</x:f>
        <x:v>12000</x:v>
      </x:c>
      <x:c r="P7" s="51">
        <x:f>'인원급여리스트(PLN)'!T8</x:f>
        <x:v>12000</x:v>
      </x:c>
      <x:c r="Q7" s="52"/>
    </x:row>
    <x:row r="8" spans="1:19">
      <x:c r="A8" s="2"/>
      <x:c r="B8" s="2"/>
      <x:c r="C8" s="61" t="s">
        <x:v>109</x:v>
      </x:c>
      <x:c r="D8" s="52" t="s">
        <x:v>57</x:v>
      </x:c>
      <x:c r="E8" s="51">
        <x:f>'인원급여리스트(PLN)'!I9</x:f>
        <x:v>7517.6440000000002</x:v>
      </x:c>
      <x:c r="F8" s="51">
        <x:f>'인원급여리스트(PLN)'!J9</x:f>
        <x:v>8083.5510000000004</x:v>
      </x:c>
      <x:c r="G8" s="51">
        <x:f>'인원급여리스트(PLN)'!K9</x:f>
        <x:v>8029.3920000000007</x:v>
      </x:c>
      <x:c r="H8" s="51">
        <x:f>'인원급여리스트(PLN)'!L9</x:f>
        <x:v>7642.9500000000007</x:v>
      </x:c>
      <x:c r="I8" s="51">
        <x:f>'인원급여리스트(PLN)'!M9</x:f>
        <x:v>8127.6720000000005</x:v>
      </x:c>
      <x:c r="J8" s="51">
        <x:f>'인원급여리스트(PLN)'!N9</x:f>
        <x:v>8456.68</x:v>
      </x:c>
      <x:c r="K8" s="51">
        <x:f>'인원급여리스트(PLN)'!O9</x:f>
        <x:v>7788.3225000000002</x:v>
      </x:c>
      <x:c r="L8" s="51">
        <x:f>'인원급여리스트(PLN)'!P9</x:f>
        <x:v>8275.8490000000002</x:v>
      </x:c>
      <x:c r="M8" s="51">
        <x:f>'인원급여리스트(PLN)'!Q9</x:f>
        <x:v>8643.8845000000001</x:v>
      </x:c>
      <x:c r="N8" s="51">
        <x:f>'인원급여리스트(PLN)'!R9</x:f>
        <x:v>7596.9285</x:v>
      </x:c>
      <x:c r="O8" s="51">
        <x:f>'인원급여리스트(PLN)'!S9</x:f>
        <x:v>8266.3464999999997</x:v>
      </x:c>
      <x:c r="P8" s="51">
        <x:f>'인원급여리스트(PLN)'!T9</x:f>
        <x:v>8679.6638249999996</x:v>
      </x:c>
      <x:c r="Q8" s="52"/>
    </x:row>
    <x:row r="9" spans="1:19">
      <x:c r="A9" s="2"/>
      <x:c r="B9" s="2"/>
      <x:c r="C9" s="61" t="s">
        <x:v>109</x:v>
      </x:c>
      <x:c r="D9" s="52" t="s">
        <x:v>62</x:v>
      </x:c>
      <x:c r="E9" s="51">
        <x:f>'인원급여리스트(PLN)'!I10</x:f>
        <x:v>8269.6540000000005</x:v>
      </x:c>
      <x:c r="F9" s="51">
        <x:f>'인원급여리스트(PLN)'!J10</x:f>
        <x:v>9442.7235000000001</x:v>
      </x:c>
      <x:c r="G9" s="51">
        <x:f>'인원급여리스트(PLN)'!K10</x:f>
        <x:v>9293.3619999999992</x:v>
      </x:c>
      <x:c r="H9" s="51">
        <x:f>'인원급여리스트(PLN)'!L10</x:f>
        <x:v>9293.3619999999992</x:v>
      </x:c>
      <x:c r="I9" s="51">
        <x:f>'인원급여리스트(PLN)'!M10</x:f>
        <x:v>9293.3619999999992</x:v>
      </x:c>
      <x:c r="J9" s="51">
        <x:f>'인원급여리스트(PLN)'!N10</x:f>
        <x:v>9293.3619999999992</x:v>
      </x:c>
      <x:c r="K9" s="51">
        <x:f>'인원급여리스트(PLN)'!O10</x:f>
        <x:v>0</x:v>
      </x:c>
      <x:c r="L9" s="51">
        <x:f>'인원급여리스트(PLN)'!P10</x:f>
        <x:v>0</x:v>
      </x:c>
      <x:c r="M9" s="51">
        <x:f>'인원급여리스트(PLN)'!Q10</x:f>
        <x:v>0</x:v>
      </x:c>
      <x:c r="N9" s="51">
        <x:f>'인원급여리스트(PLN)'!R10</x:f>
        <x:v>0</x:v>
      </x:c>
      <x:c r="O9" s="51">
        <x:f>'인원급여리스트(PLN)'!S10</x:f>
        <x:v>0</x:v>
      </x:c>
      <x:c r="P9" s="51">
        <x:f>'인원급여리스트(PLN)'!T10</x:f>
        <x:v>0</x:v>
      </x:c>
      <x:c r="Q9" s="52"/>
    </x:row>
    <x:row r="10" spans="1:19">
      <x:c r="A10" s="1"/>
      <x:c r="B10" s="1"/>
      <x:c r="C10" s="82" t="s">
        <x:v>177</x:v>
      </x:c>
      <x:c r="D10" s="20"/>
      <x:c r="E10" s="81">
        <x:f t="shared" ref="E10:P10" si="1">SUM(E6:E9)</x:f>
        <x:v>34328.104500000001</x:v>
      </x:c>
      <x:c r="F10" s="81">
        <x:f t="shared" si="1"/>
        <x:v>38431.019500000002</x:v>
      </x:c>
      <x:c r="G10" s="81">
        <x:f t="shared" si="1"/>
        <x:v>37483.048999999999</x:v>
      </x:c>
      <x:c r="H10" s="81">
        <x:f t="shared" si="1"/>
        <x:v>36858.11</x:v>
      </x:c>
      <x:c r="I10" s="81">
        <x:f t="shared" si="1"/>
        <x:v>36428.428999999996</x:v>
      </x:c>
      <x:c r="J10" s="81">
        <x:f t="shared" si="1"/>
        <x:v>38167.334999999999</x:v>
      </x:c>
      <x:c r="K10" s="81">
        <x:f t="shared" si="1"/>
        <x:v>20093.840499999998</x:v>
      </x:c>
      <x:c r="L10" s="81">
        <x:f t="shared" si="1"/>
        <x:v>19559.034500000002</x:v>
      </x:c>
      <x:c r="M10" s="81">
        <x:f t="shared" si="1"/>
        <x:v>20791.281999999999</x:v>
      </x:c>
      <x:c r="N10" s="81">
        <x:f t="shared" si="1"/>
        <x:v>18679.375</x:v>
      </x:c>
      <x:c r="O10" s="81">
        <x:f t="shared" si="1"/>
        <x:v>20266.3465</x:v>
      </x:c>
      <x:c r="P10" s="81">
        <x:f t="shared" si="1"/>
        <x:v>20679.663825</x:v>
      </x:c>
      <x:c r="Q10" s="52"/>
    </x:row>
    <x:row r="11" spans="1:19">
      <x:c r="A11" s="2" t="s">
        <x:v>194</x:v>
      </x:c>
      <x:c r="B11" s="2" t="s">
        <x:v>224</x:v>
      </x:c>
      <x:c r="C11" s="61" t="s">
        <x:v>151</x:v>
      </x:c>
      <x:c r="D11" s="52" t="s">
        <x:v>147</x:v>
      </x:c>
      <x:c r="E11" s="51">
        <x:f>'인원급여리스트(PLN)'!I15</x:f>
        <x:v>52420</x:v>
      </x:c>
      <x:c r="F11" s="51">
        <x:f>'인원급여리스트(PLN)'!J15</x:f>
        <x:v>52420</x:v>
      </x:c>
      <x:c r="G11" s="51">
        <x:f>'인원급여리스트(PLN)'!K15</x:f>
        <x:v>57612</x:v>
      </x:c>
      <x:c r="H11" s="51">
        <x:f>'인원급여리스트(PLN)'!L15</x:f>
        <x:v>55016</x:v>
      </x:c>
      <x:c r="I11" s="51">
        <x:f>'인원급여리스트(PLN)'!M15</x:f>
        <x:v>47228</x:v>
      </x:c>
      <x:c r="J11" s="51">
        <x:f>'인원급여리스트(PLN)'!N15</x:f>
        <x:v>55016</x:v>
      </x:c>
      <x:c r="K11" s="51">
        <x:f>'인원급여리스트(PLN)'!O15</x:f>
        <x:v>60208</x:v>
      </x:c>
      <x:c r="L11" s="51">
        <x:f>'인원급여리스트(PLN)'!P15</x:f>
        <x:v>52420</x:v>
      </x:c>
      <x:c r="M11" s="51">
        <x:f>'인원급여리스트(PLN)'!Q15</x:f>
        <x:v>57612</x:v>
      </x:c>
      <x:c r="N11" s="51">
        <x:f>'인원급여리스트(PLN)'!R15</x:f>
        <x:v>57612</x:v>
      </x:c>
      <x:c r="O11" s="51">
        <x:f>'인원급여리스트(PLN)'!S15</x:f>
        <x:v>49824</x:v>
      </x:c>
      <x:c r="P11" s="51">
        <x:f>'인원급여리스트(PLN)'!T15</x:f>
        <x:v>57612</x:v>
      </x:c>
      <x:c r="Q11" s="52"/>
    </x:row>
    <x:row r="12" spans="1:19">
      <x:c r="A12" s="1"/>
      <x:c r="B12" s="1"/>
      <x:c r="C12" s="82" t="s">
        <x:v>178</x:v>
      </x:c>
      <x:c r="D12" s="20"/>
      <x:c r="E12" s="81">
        <x:f t="shared" ref="E12:P12" si="2">SUM(E11:E11)</x:f>
        <x:v>52420</x:v>
      </x:c>
      <x:c r="F12" s="81">
        <x:f t="shared" si="2"/>
        <x:v>52420</x:v>
      </x:c>
      <x:c r="G12" s="81">
        <x:f t="shared" si="2"/>
        <x:v>57612</x:v>
      </x:c>
      <x:c r="H12" s="81">
        <x:f t="shared" si="2"/>
        <x:v>55016</x:v>
      </x:c>
      <x:c r="I12" s="81">
        <x:f t="shared" si="2"/>
        <x:v>47228</x:v>
      </x:c>
      <x:c r="J12" s="81">
        <x:f t="shared" si="2"/>
        <x:v>55016</x:v>
      </x:c>
      <x:c r="K12" s="81">
        <x:f t="shared" si="2"/>
        <x:v>60208</x:v>
      </x:c>
      <x:c r="L12" s="81">
        <x:f t="shared" si="2"/>
        <x:v>52420</x:v>
      </x:c>
      <x:c r="M12" s="81">
        <x:f t="shared" si="2"/>
        <x:v>57612</x:v>
      </x:c>
      <x:c r="N12" s="81">
        <x:f t="shared" si="2"/>
        <x:v>57612</x:v>
      </x:c>
      <x:c r="O12" s="81">
        <x:f t="shared" si="2"/>
        <x:v>49824</x:v>
      </x:c>
      <x:c r="P12" s="81">
        <x:f t="shared" si="2"/>
        <x:v>57612</x:v>
      </x:c>
      <x:c r="Q12" s="52"/>
    </x:row>
    <x:row r="13" spans="1:19" s="59" customFormat="1">
      <x:c r="A13" s="5" t="s">
        <x:v>63</x:v>
      </x:c>
      <x:c r="B13" s="4"/>
      <x:c r="C13" s="83" t="s">
        <x:v>173</x:v>
      </x:c>
      <x:c r="D13" s="57"/>
      <x:c r="E13" s="58">
        <x:f t="shared" ref="E13:P13" si="3">E5+E10+E12</x:f>
        <x:v>111186.69747499999</x:v>
      </x:c>
      <x:c r="F13" s="58">
        <x:f t="shared" si="3"/>
        <x:v>115824.32949999999</x:v>
      </x:c>
      <x:c r="G13" s="58">
        <x:f t="shared" si="3"/>
        <x:v>119823.8325</x:v>
      </x:c>
      <x:c r="H13" s="58">
        <x:f t="shared" si="3"/>
        <x:v>117429.472475</x:v>
      </x:c>
      <x:c r="I13" s="58">
        <x:f t="shared" si="3"/>
        <x:v>108487.06245</x:v>
      </x:c>
      <x:c r="J13" s="58">
        <x:f t="shared" si="3"/>
        <x:v>117890.416875</x:v>
      </x:c>
      <x:c r="K13" s="58">
        <x:f t="shared" si="3"/>
        <x:v>105127.203775</x:v>
      </x:c>
      <x:c r="L13" s="58">
        <x:f t="shared" si="3"/>
        <x:v>96804.777950000003</x:v>
      </x:c>
      <x:c r="M13" s="58">
        <x:f t="shared" si="3"/>
        <x:v>104519.41755</x:v>
      </x:c>
      <x:c r="N13" s="58">
        <x:f t="shared" si="3"/>
        <x:v>100780.04282500001</x:v>
      </x:c>
      <x:c r="O13" s="58">
        <x:f t="shared" si="3"/>
        <x:v>95657.214500000002</x:v>
      </x:c>
      <x:c r="P13" s="58">
        <x:f t="shared" si="3"/>
        <x:v>105121.663825</x:v>
      </x:c>
      <x:c r="Q13" s="57"/>
    </x:row>
    <x:row r="15" spans="1:19">
      <x:c r="B15" s="50">
        <x:v>2025</x:v>
      </x:c>
      <x:c r="C15" s="50" t="s">
        <x:v>207</x:v>
      </x:c>
      <x:c r="D15" s="50" t="s">
        <x:v>173</x:v>
      </x:c>
      <x:c r="E15" s="56">
        <x:f>+E2</x:f>
        <x:v>4600</x:v>
      </x:c>
      <x:c r="F15" s="56">
        <x:f t="shared" ref="F15:P15" si="4">+F2</x:f>
        <x:v>4600</x:v>
      </x:c>
      <x:c r="G15" s="56">
        <x:f t="shared" si="4"/>
        <x:v>4600</x:v>
      </x:c>
      <x:c r="H15" s="56">
        <x:f t="shared" si="4"/>
        <x:v>4600</x:v>
      </x:c>
      <x:c r="I15" s="56">
        <x:f t="shared" si="4"/>
        <x:v>4600</x:v>
      </x:c>
      <x:c r="J15" s="56">
        <x:f t="shared" si="4"/>
        <x:v>4600</x:v>
      </x:c>
      <x:c r="K15" s="56">
        <x:f t="shared" si="4"/>
        <x:v>4600</x:v>
      </x:c>
      <x:c r="L15" s="56">
        <x:f t="shared" si="4"/>
        <x:v>4600</x:v>
      </x:c>
      <x:c r="M15" s="56">
        <x:f t="shared" si="4"/>
        <x:v>4600</x:v>
      </x:c>
      <x:c r="N15" s="56">
        <x:f t="shared" si="4"/>
        <x:v>4600</x:v>
      </x:c>
      <x:c r="O15" s="56">
        <x:f t="shared" si="4"/>
        <x:v>4600</x:v>
      </x:c>
      <x:c r="P15" s="56">
        <x:f t="shared" si="4"/>
        <x:v>4600</x:v>
      </x:c>
    </x:row>
    <x:row r="16" spans="1:19">
      <x:c r="C16" s="50" t="s">
        <x:v>208</x:v>
      </x:c>
      <x:c r="D16" s="50" t="s">
        <x:v>173</x:v>
      </x:c>
      <x:c r="E16" s="56">
        <x:f t="shared" ref="E16:P16" si="5">E3+E4</x:f>
        <x:v>19838.592975</x:v>
      </x:c>
      <x:c r="F16" s="56">
        <x:f t="shared" si="5"/>
        <x:v>20373.309999999998</x:v>
      </x:c>
      <x:c r="G16" s="56">
        <x:f t="shared" si="5"/>
        <x:v>20128.783499999998</x:v>
      </x:c>
      <x:c r="H16" s="56">
        <x:f t="shared" si="5"/>
        <x:v>20955.362475000002</x:v>
      </x:c>
      <x:c r="I16" s="56">
        <x:f t="shared" si="5"/>
        <x:v>20230.633450000001</x:v>
      </x:c>
      <x:c r="J16" s="56">
        <x:f t="shared" si="5"/>
        <x:v>20107.081875</x:v>
      </x:c>
      <x:c r="K16" s="56">
        <x:f t="shared" si="5"/>
        <x:v>20225.363275</x:v>
      </x:c>
      <x:c r="L16" s="56">
        <x:f t="shared" si="5"/>
        <x:v>20225.743450000002</x:v>
      </x:c>
      <x:c r="M16" s="56">
        <x:f t="shared" si="5"/>
        <x:v>21516.135549999999</x:v>
      </x:c>
      <x:c r="N16" s="56">
        <x:f t="shared" si="5"/>
        <x:v>19888.667825000004</x:v>
      </x:c>
      <x:c r="O16" s="56">
        <x:f t="shared" si="5"/>
        <x:v>20966.868000000002</x:v>
      </x:c>
      <x:c r="P16" s="56">
        <x:f t="shared" si="5"/>
        <x:v>22230</x:v>
      </x:c>
    </x:row>
    <x:row r="17" spans="3:16">
      <x:c r="C17" s="50" t="s">
        <x:v>209</x:v>
      </x:c>
      <x:c r="D17" s="50" t="s">
        <x:v>173</x:v>
      </x:c>
      <x:c r="E17" s="56">
        <x:f>SUM(E10)</x:f>
        <x:v>34328.104500000001</x:v>
      </x:c>
      <x:c r="F17" s="56">
        <x:f t="shared" ref="F17:P17" si="6">SUM(F10)</x:f>
        <x:v>38431.019500000002</x:v>
      </x:c>
      <x:c r="G17" s="56">
        <x:f t="shared" si="6"/>
        <x:v>37483.048999999999</x:v>
      </x:c>
      <x:c r="H17" s="56">
        <x:f t="shared" si="6"/>
        <x:v>36858.11</x:v>
      </x:c>
      <x:c r="I17" s="56">
        <x:f t="shared" si="6"/>
        <x:v>36428.428999999996</x:v>
      </x:c>
      <x:c r="J17" s="56">
        <x:f t="shared" si="6"/>
        <x:v>38167.334999999999</x:v>
      </x:c>
      <x:c r="K17" s="56">
        <x:f t="shared" si="6"/>
        <x:v>20093.840499999998</x:v>
      </x:c>
      <x:c r="L17" s="56">
        <x:f t="shared" si="6"/>
        <x:v>19559.034500000002</x:v>
      </x:c>
      <x:c r="M17" s="56">
        <x:f t="shared" si="6"/>
        <x:v>20791.281999999999</x:v>
      </x:c>
      <x:c r="N17" s="56">
        <x:f t="shared" si="6"/>
        <x:v>18679.375</x:v>
      </x:c>
      <x:c r="O17" s="56">
        <x:f t="shared" si="6"/>
        <x:v>20266.3465</x:v>
      </x:c>
      <x:c r="P17" s="56">
        <x:f t="shared" si="6"/>
        <x:v>20679.663825</x:v>
      </x:c>
    </x:row>
    <x:row r="18" spans="3:16">
      <x:c r="C18" s="50" t="s">
        <x:v>210</x:v>
      </x:c>
      <x:c r="D18" s="50" t="s">
        <x:v>173</x:v>
      </x:c>
      <x:c r="E18" s="56">
        <x:f>SUM(E12)</x:f>
        <x:v>52420</x:v>
      </x:c>
      <x:c r="F18" s="56">
        <x:f t="shared" ref="F18:P18" si="7">SUM(F12)</x:f>
        <x:v>52420</x:v>
      </x:c>
      <x:c r="G18" s="56">
        <x:f t="shared" si="7"/>
        <x:v>57612</x:v>
      </x:c>
      <x:c r="H18" s="56">
        <x:f t="shared" si="7"/>
        <x:v>55016</x:v>
      </x:c>
      <x:c r="I18" s="56">
        <x:f t="shared" si="7"/>
        <x:v>47228</x:v>
      </x:c>
      <x:c r="J18" s="56">
        <x:f t="shared" si="7"/>
        <x:v>55016</x:v>
      </x:c>
      <x:c r="K18" s="56">
        <x:f t="shared" si="7"/>
        <x:v>60208</x:v>
      </x:c>
      <x:c r="L18" s="56">
        <x:f t="shared" si="7"/>
        <x:v>52420</x:v>
      </x:c>
      <x:c r="M18" s="56">
        <x:f t="shared" si="7"/>
        <x:v>57612</x:v>
      </x:c>
      <x:c r="N18" s="56">
        <x:f t="shared" si="7"/>
        <x:v>57612</x:v>
      </x:c>
      <x:c r="O18" s="56">
        <x:f t="shared" si="7"/>
        <x:v>49824</x:v>
      </x:c>
      <x:c r="P18" s="56">
        <x:f t="shared" si="7"/>
        <x:v>57612</x:v>
      </x:c>
    </x:row>
    <x:row r="20" spans="3:16">
      <x:c r="C20" s="50" t="s">
        <x:v>207</x:v>
      </x:c>
      <x:c r="D20" s="50" t="s">
        <x:v>211</x:v>
      </x:c>
      <x:c r="E20" s="56">
        <x:f>E15*환율기준!$D$5</x:f>
        <x:v>1771000</x:v>
      </x:c>
      <x:c r="F20" s="56">
        <x:f>F15*환율기준!$D$5</x:f>
        <x:v>1771000</x:v>
      </x:c>
      <x:c r="G20" s="56">
        <x:f>G15*환율기준!$D$5</x:f>
        <x:v>1771000</x:v>
      </x:c>
      <x:c r="H20" s="56">
        <x:f>H15*환율기준!$D$5</x:f>
        <x:v>1771000</x:v>
      </x:c>
      <x:c r="I20" s="56">
        <x:f>I15*환율기준!$D$5</x:f>
        <x:v>1771000</x:v>
      </x:c>
      <x:c r="J20" s="56">
        <x:f>J15*환율기준!$D$5</x:f>
        <x:v>1771000</x:v>
      </x:c>
      <x:c r="K20" s="56">
        <x:f>K15*환율기준!$D$5</x:f>
        <x:v>1771000</x:v>
      </x:c>
      <x:c r="L20" s="56">
        <x:f>L15*환율기준!$D$5</x:f>
        <x:v>1771000</x:v>
      </x:c>
      <x:c r="M20" s="56">
        <x:f>M15*환율기준!$D$5</x:f>
        <x:v>1771000</x:v>
      </x:c>
      <x:c r="N20" s="56">
        <x:f>N15*환율기준!$D$5</x:f>
        <x:v>1771000</x:v>
      </x:c>
      <x:c r="O20" s="56">
        <x:f>O15*환율기준!$D$5</x:f>
        <x:v>1771000</x:v>
      </x:c>
      <x:c r="P20" s="56">
        <x:f>P15*환율기준!$D$5</x:f>
        <x:v>1771000</x:v>
      </x:c>
    </x:row>
    <x:row r="21" spans="3:16">
      <x:c r="C21" s="50" t="s">
        <x:v>208</x:v>
      </x:c>
      <x:c r="D21" s="50" t="s">
        <x:v>211</x:v>
      </x:c>
      <x:c r="E21" s="56">
        <x:f>E16*환율기준!$D$5</x:f>
        <x:v>7637858.2953749998</x:v>
      </x:c>
      <x:c r="F21" s="56">
        <x:f>F16*환율기준!$D$5</x:f>
        <x:v>7843724.3499999987</x:v>
      </x:c>
      <x:c r="G21" s="56">
        <x:f>G16*환율기준!$D$5</x:f>
        <x:v>7749581.647499999</x:v>
      </x:c>
      <x:c r="H21" s="56">
        <x:f>H16*환율기준!$D$5</x:f>
        <x:v>8067814.552875001</x:v>
      </x:c>
      <x:c r="I21" s="56">
        <x:f>I16*환율기준!$D$5</x:f>
        <x:v>7788793.8782500001</x:v>
      </x:c>
      <x:c r="J21" s="56">
        <x:f>J16*환율기준!$D$5</x:f>
        <x:v>7741226.5218749996</x:v>
      </x:c>
      <x:c r="K21" s="56">
        <x:f>K16*환율기준!$D$5</x:f>
        <x:v>7786764.8608750002</x:v>
      </x:c>
      <x:c r="L21" s="56">
        <x:f>L16*환율기준!$D$5</x:f>
        <x:v>7786911.2282500006</x:v>
      </x:c>
      <x:c r="M21" s="56">
        <x:f>M16*환율기준!$D$5</x:f>
        <x:v>8283712.1867499994</x:v>
      </x:c>
      <x:c r="N21" s="56">
        <x:f>N16*환율기준!$D$5</x:f>
        <x:v>7657137.1126250019</x:v>
      </x:c>
      <x:c r="O21" s="56">
        <x:f>O16*환율기준!$D$5</x:f>
        <x:v>8072244.1800000006</x:v>
      </x:c>
      <x:c r="P21" s="56">
        <x:f>P16*환율기준!$D$5</x:f>
        <x:v>8558550</x:v>
      </x:c>
    </x:row>
    <x:row r="22" spans="3:16">
      <x:c r="C22" s="50" t="s">
        <x:v>209</x:v>
      </x:c>
      <x:c r="D22" s="50" t="s">
        <x:v>211</x:v>
      </x:c>
      <x:c r="E22" s="56">
        <x:f>E17*환율기준!$D$5</x:f>
        <x:v>13216320.2325</x:v>
      </x:c>
      <x:c r="F22" s="56">
        <x:f>F17*환율기준!$D$5</x:f>
        <x:v>14795942.5075</x:v>
      </x:c>
      <x:c r="G22" s="56">
        <x:f>G17*환율기준!$D$5</x:f>
        <x:v>14430973.865</x:v>
      </x:c>
      <x:c r="H22" s="56">
        <x:f>H17*환율기준!$D$5</x:f>
        <x:v>14190372.35</x:v>
      </x:c>
      <x:c r="I22" s="56">
        <x:f>I17*환율기준!$D$5</x:f>
        <x:v>14024945.164999999</x:v>
      </x:c>
      <x:c r="J22" s="56">
        <x:f>J17*환율기준!$D$5</x:f>
        <x:v>14694423.975</x:v>
      </x:c>
      <x:c r="K22" s="56">
        <x:f>K17*환율기준!$D$5</x:f>
        <x:v>7736128.5924999993</x:v>
      </x:c>
      <x:c r="L22" s="56">
        <x:f>L17*환율기준!$D$5</x:f>
        <x:v>7530228.2825000007</x:v>
      </x:c>
      <x:c r="M22" s="56">
        <x:f>M17*환율기준!$D$5</x:f>
        <x:v>8004643.5699999994</x:v>
      </x:c>
      <x:c r="N22" s="56">
        <x:f>N17*환율기준!$D$5</x:f>
        <x:v>7191559.375</x:v>
      </x:c>
      <x:c r="O22" s="56">
        <x:f>O17*환율기준!$D$5</x:f>
        <x:v>7802543.4024999999</x:v>
      </x:c>
      <x:c r="P22" s="56">
        <x:f>P17*환율기준!$D$5</x:f>
        <x:v>7961670.572625</x:v>
      </x:c>
    </x:row>
    <x:row r="23" spans="3:16">
      <x:c r="C23" s="50" t="s">
        <x:v>210</x:v>
      </x:c>
      <x:c r="D23" s="50" t="s">
        <x:v>211</x:v>
      </x:c>
      <x:c r="E23" s="56">
        <x:f>E18*환율기준!$D$5</x:f>
        <x:v>20181700</x:v>
      </x:c>
      <x:c r="F23" s="56">
        <x:f>F18*환율기준!$D$5</x:f>
        <x:v>20181700</x:v>
      </x:c>
      <x:c r="G23" s="56">
        <x:f>G18*환율기준!$D$5</x:f>
        <x:v>22180620</x:v>
      </x:c>
      <x:c r="H23" s="56">
        <x:f>H18*환율기준!$D$5</x:f>
        <x:v>21181160</x:v>
      </x:c>
      <x:c r="I23" s="56">
        <x:f>I18*환율기준!$D$5</x:f>
        <x:v>18182780</x:v>
      </x:c>
      <x:c r="J23" s="56">
        <x:f>J18*환율기준!$D$5</x:f>
        <x:v>21181160</x:v>
      </x:c>
      <x:c r="K23" s="56">
        <x:f>K18*환율기준!$D$5</x:f>
        <x:v>23180080</x:v>
      </x:c>
      <x:c r="L23" s="56">
        <x:f>L18*환율기준!$D$5</x:f>
        <x:v>20181700</x:v>
      </x:c>
      <x:c r="M23" s="56">
        <x:f>M18*환율기준!$D$5</x:f>
        <x:v>22180620</x:v>
      </x:c>
      <x:c r="N23" s="56">
        <x:f>N18*환율기준!$D$5</x:f>
        <x:v>22180620</x:v>
      </x:c>
      <x:c r="O23" s="56">
        <x:f>O18*환율기준!$D$5</x:f>
        <x:v>19182240</x:v>
      </x:c>
      <x:c r="P23" s="56">
        <x:f>P18*환율기준!$D$5</x:f>
        <x:v>22180620</x:v>
      </x:c>
    </x:row>
  </x:sheetData>
  <x:mergeCells count="6">
    <x:mergeCell ref="A13:B13"/>
    <x:mergeCell ref="B7:B10"/>
    <x:mergeCell ref="A2:A10"/>
    <x:mergeCell ref="B11:B12"/>
    <x:mergeCell ref="A11:A12"/>
    <x:mergeCell ref="B2:B5"/>
  </x:mergeCells>
  <x:phoneticPr fontId="2" type="noConversion"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tabColor rgb="FF0000CC"/>
  </x:sheetPr>
  <x:dimension ref="A1:O22"/>
  <x:sheetViews>
    <x:sheetView workbookViewId="0">
      <x:selection activeCell="E5" sqref="E5"/>
    </x:sheetView>
  </x:sheetViews>
  <x:sheetFormatPr defaultColWidth="8.875" defaultRowHeight="16.5"/>
  <x:cols>
    <x:col min="1" max="1" width="14" style="50" bestFit="1" customWidth="1"/>
    <x:col min="2" max="2" width="22.75" style="50" bestFit="1" customWidth="1"/>
    <x:col min="3" max="14" width="9.75" style="50" bestFit="1" customWidth="1"/>
    <x:col min="15" max="15" width="99.625" style="50" bestFit="1" customWidth="1"/>
    <x:col min="16" max="16384" width="8.875" style="50"/>
  </x:cols>
  <x:sheetData>
    <x:row r="1" spans="1:15">
      <x:c r="A1" s="52" t="s">
        <x:v>52</x:v>
      </x:c>
      <x:c r="B1" s="52" t="s">
        <x:v>175</x:v>
      </x:c>
      <x:c r="C1" s="52" t="s">
        <x:v>14</x:v>
      </x:c>
      <x:c r="D1" s="52" t="s">
        <x:v>3</x:v>
      </x:c>
      <x:c r="E1" s="52" t="s">
        <x:v>4</x:v>
      </x:c>
      <x:c r="F1" s="52" t="s">
        <x:v>5</x:v>
      </x:c>
      <x:c r="G1" s="52" t="s">
        <x:v>6</x:v>
      </x:c>
      <x:c r="H1" s="52" t="s">
        <x:v>7</x:v>
      </x:c>
      <x:c r="I1" s="52" t="s">
        <x:v>8</x:v>
      </x:c>
      <x:c r="J1" s="52" t="s">
        <x:v>9</x:v>
      </x:c>
      <x:c r="K1" s="52" t="s">
        <x:v>10</x:v>
      </x:c>
      <x:c r="L1" s="52" t="s">
        <x:v>11</x:v>
      </x:c>
      <x:c r="M1" s="52" t="s">
        <x:v>12</x:v>
      </x:c>
      <x:c r="N1" s="52" t="s">
        <x:v>13</x:v>
      </x:c>
      <x:c r="O1" s="52" t="s">
        <x:v>44</x:v>
      </x:c>
    </x:row>
    <x:row r="2" spans="1:15">
      <x:c r="A2" s="52" t="s">
        <x:v>140</x:v>
      </x:c>
      <x:c r="B2" s="20" t="s">
        <x:v>16</x:v>
      </x:c>
      <x:c r="C2" s="81">
        <x:f>C20</x:f>
        <x:v>113840.56467532468</x:v>
      </x:c>
      <x:c r="D2" s="81">
        <x:f t="shared" ref="D2:N2" si="0">D20</x:f>
        <x:v>113840.56467532468</x:v>
      </x:c>
      <x:c r="E2" s="81">
        <x:f t="shared" si="0"/>
        <x:v>113840.56467532468</x:v>
      </x:c>
      <x:c r="F2" s="81">
        <x:f t="shared" si="0"/>
        <x:v>113440.56467532468</x:v>
      </x:c>
      <x:c r="G2" s="81">
        <x:f t="shared" si="0"/>
        <x:v>112940.56467532468</x:v>
      </x:c>
      <x:c r="H2" s="81">
        <x:f t="shared" si="0"/>
        <x:v>112940.56467532468</x:v>
      </x:c>
      <x:c r="I2" s="81">
        <x:f t="shared" si="0"/>
        <x:v>113940.56467532468</x:v>
      </x:c>
      <x:c r="J2" s="81">
        <x:f t="shared" si="0"/>
        <x:v>113940.56467532468</x:v>
      </x:c>
      <x:c r="K2" s="81">
        <x:f t="shared" si="0"/>
        <x:v>113940.56467532468</x:v>
      </x:c>
      <x:c r="L2" s="81">
        <x:f t="shared" si="0"/>
        <x:v>112340.56467532468</x:v>
      </x:c>
      <x:c r="M2" s="81">
        <x:f t="shared" si="0"/>
        <x:v>112340.56467532468</x:v>
      </x:c>
      <x:c r="N2" s="81">
        <x:f t="shared" si="0"/>
        <x:v>112340.56467532468</x:v>
      </x:c>
      <x:c r="O2" s="20" t="s">
        <x:v>241</x:v>
      </x:c>
    </x:row>
    <x:row r="3" spans="1:15">
      <x:c r="A3" s="52" t="s">
        <x:v>141</x:v>
      </x:c>
      <x:c r="B3" s="20" t="s">
        <x:v>141</x:v>
      </x:c>
      <x:c r="C3" s="81">
        <x:v>45000</x:v>
      </x:c>
      <x:c r="D3" s="81">
        <x:f>C3</x:f>
        <x:v>45000</x:v>
      </x:c>
      <x:c r="E3" s="81">
        <x:f t="shared" ref="E3:N3" si="1">D3</x:f>
        <x:v>45000</x:v>
      </x:c>
      <x:c r="F3" s="81">
        <x:f t="shared" si="1"/>
        <x:v>45000</x:v>
      </x:c>
      <x:c r="G3" s="81">
        <x:f t="shared" si="1"/>
        <x:v>45000</x:v>
      </x:c>
      <x:c r="H3" s="81">
        <x:f t="shared" si="1"/>
        <x:v>45000</x:v>
      </x:c>
      <x:c r="I3" s="81">
        <x:f t="shared" si="1"/>
        <x:v>45000</x:v>
      </x:c>
      <x:c r="J3" s="81">
        <x:f t="shared" si="1"/>
        <x:v>45000</x:v>
      </x:c>
      <x:c r="K3" s="81">
        <x:f t="shared" si="1"/>
        <x:v>45000</x:v>
      </x:c>
      <x:c r="L3" s="81">
        <x:f t="shared" si="1"/>
        <x:v>45000</x:v>
      </x:c>
      <x:c r="M3" s="81">
        <x:f t="shared" si="1"/>
        <x:v>45000</x:v>
      </x:c>
      <x:c r="N3" s="81">
        <x:f t="shared" si="1"/>
        <x:v>45000</x:v>
      </x:c>
      <x:c r="O3" s="20" t="s">
        <x:v>261</x:v>
      </x:c>
    </x:row>
    <x:row r="4" spans="1:15">
      <x:c r="A4" s="52" t="s">
        <x:v>23</x:v>
      </x:c>
      <x:c r="B4" s="20" t="s">
        <x:v>28</x:v>
      </x:c>
      <x:c r="C4" s="81">
        <x:v>4000</x:v>
      </x:c>
      <x:c r="D4" s="81">
        <x:f>C4</x:f>
        <x:v>4000</x:v>
      </x:c>
      <x:c r="E4" s="81">
        <x:f t="shared" ref="E4:G5" si="2">D4</x:f>
        <x:v>4000</x:v>
      </x:c>
      <x:c r="F4" s="81">
        <x:v>3000</x:v>
      </x:c>
      <x:c r="G4" s="81">
        <x:f t="shared" si="2"/>
        <x:v>3000</x:v>
      </x:c>
      <x:c r="H4" s="81">
        <x:f>G4</x:f>
        <x:v>3000</x:v>
      </x:c>
      <x:c r="I4" s="81">
        <x:v>4000</x:v>
      </x:c>
      <x:c r="J4" s="81">
        <x:f t="shared" ref="J4:N4" si="3">I4</x:f>
        <x:v>4000</x:v>
      </x:c>
      <x:c r="K4" s="81">
        <x:f t="shared" si="3"/>
        <x:v>4000</x:v>
      </x:c>
      <x:c r="L4" s="81">
        <x:v>3000</x:v>
      </x:c>
      <x:c r="M4" s="81">
        <x:f t="shared" si="3"/>
        <x:v>3000</x:v>
      </x:c>
      <x:c r="N4" s="81">
        <x:f t="shared" si="3"/>
        <x:v>3000</x:v>
      </x:c>
      <x:c r="O4" s="20" t="s">
        <x:v>265</x:v>
      </x:c>
    </x:row>
    <x:row r="5" spans="1:15">
      <x:c r="A5" s="52" t="s">
        <x:v>23</x:v>
      </x:c>
      <x:c r="B5" s="20" t="s">
        <x:v>29</x:v>
      </x:c>
      <x:c r="C5" s="81">
        <x:v>5000</x:v>
      </x:c>
      <x:c r="D5" s="81">
        <x:f>C5</x:f>
        <x:v>5000</x:v>
      </x:c>
      <x:c r="E5" s="81">
        <x:f>5000+80000</x:f>
        <x:v>85000</x:v>
      </x:c>
      <x:c r="F5" s="81">
        <x:v>4000</x:v>
      </x:c>
      <x:c r="G5" s="81">
        <x:f t="shared" si="2"/>
        <x:v>4000</x:v>
      </x:c>
      <x:c r="H5" s="81">
        <x:f t="shared" ref="H5" si="4">G5</x:f>
        <x:v>4000</x:v>
      </x:c>
      <x:c r="I5" s="81">
        <x:v>5000</x:v>
      </x:c>
      <x:c r="J5" s="81">
        <x:v>5000</x:v>
      </x:c>
      <x:c r="K5" s="81">
        <x:v>5000</x:v>
      </x:c>
      <x:c r="L5" s="81">
        <x:f>4000+10800</x:f>
        <x:v>14800</x:v>
      </x:c>
      <x:c r="M5" s="81">
        <x:f>4000+30000</x:f>
        <x:v>34000</x:v>
      </x:c>
      <x:c r="N5" s="81">
        <x:f>4000</x:f>
        <x:v>4000</x:v>
      </x:c>
      <x:c r="O5" s="20" t="s">
        <x:v>264</x:v>
      </x:c>
    </x:row>
    <x:row r="6" spans="1:15">
      <x:c r="A6" s="52" t="s">
        <x:v>278</x:v>
      </x:c>
      <x:c r="B6" s="20" t="s">
        <x:v>280</x:v>
      </x:c>
      <x:c r="C6" s="150">
        <x:f t="shared" ref="C6:N6" si="5">C22</x:f>
        <x:v>3401.2987012987014</x:v>
      </x:c>
      <x:c r="D6" s="150">
        <x:f t="shared" si="5"/>
        <x:v>3401.2987012987014</x:v>
      </x:c>
      <x:c r="E6" s="150">
        <x:f t="shared" si="5"/>
        <x:v>3401.2987012987014</x:v>
      </x:c>
      <x:c r="F6" s="150">
        <x:f t="shared" si="5"/>
        <x:v>3401.2987012987014</x:v>
      </x:c>
      <x:c r="G6" s="150">
        <x:f t="shared" si="5"/>
        <x:v>3401.2987012987014</x:v>
      </x:c>
      <x:c r="H6" s="150">
        <x:f t="shared" si="5"/>
        <x:v>3401.2987012987014</x:v>
      </x:c>
      <x:c r="I6" s="150">
        <x:f t="shared" si="5"/>
        <x:v>3401.2987012987014</x:v>
      </x:c>
      <x:c r="J6" s="150">
        <x:f t="shared" si="5"/>
        <x:v>3401.2987012987014</x:v>
      </x:c>
      <x:c r="K6" s="150">
        <x:f t="shared" si="5"/>
        <x:v>3401.2987012987014</x:v>
      </x:c>
      <x:c r="L6" s="150">
        <x:f t="shared" si="5"/>
        <x:v>3401.2987012987014</x:v>
      </x:c>
      <x:c r="M6" s="150">
        <x:f t="shared" si="5"/>
        <x:v>3401.2987012987014</x:v>
      </x:c>
      <x:c r="N6" s="150">
        <x:f t="shared" si="5"/>
        <x:v>3401.2987012987014</x:v>
      </x:c>
      <x:c r="O6" s="20" t="s">
        <x:v>279</x:v>
      </x:c>
    </x:row>
    <x:row r="7" spans="1:15">
      <x:c r="A7" s="52" t="s">
        <x:v>137</x:v>
      </x:c>
      <x:c r="B7" s="20" t="s">
        <x:v>138</x:v>
      </x:c>
      <x:c r="C7" s="81">
        <x:v>160000</x:v>
      </x:c>
      <x:c r="D7" s="81">
        <x:v>160000</x:v>
      </x:c>
      <x:c r="E7" s="81">
        <x:v>160000</x:v>
      </x:c>
      <x:c r="F7" s="81">
        <x:v>160000</x:v>
      </x:c>
      <x:c r="G7" s="81">
        <x:v>160000</x:v>
      </x:c>
      <x:c r="H7" s="81">
        <x:v>160000</x:v>
      </x:c>
      <x:c r="I7" s="81">
        <x:v>160000</x:v>
      </x:c>
      <x:c r="J7" s="81">
        <x:v>160000</x:v>
      </x:c>
      <x:c r="K7" s="81">
        <x:v>160000</x:v>
      </x:c>
      <x:c r="L7" s="81">
        <x:v>160000</x:v>
      </x:c>
      <x:c r="M7" s="81">
        <x:v>160000</x:v>
      </x:c>
      <x:c r="N7" s="81">
        <x:v>160000</x:v>
      </x:c>
      <x:c r="O7" s="20" t="s">
        <x:v>225</x:v>
      </x:c>
    </x:row>
    <x:row r="8" spans="1:15">
      <x:c r="C8" s="53"/>
    </x:row>
    <x:row r="9" spans="1:15">
      <x:c r="C9" s="56"/>
    </x:row>
    <x:row r="10" spans="1:15">
      <x:c r="C10" s="50" t="s">
        <x:v>173</x:v>
      </x:c>
    </x:row>
    <x:row r="11" spans="1:15">
      <x:c r="A11" s="50" t="s">
        <x:v>15</x:v>
      </x:c>
      <x:c r="B11" s="50" t="s">
        <x:v>235</x:v>
      </x:c>
      <x:c r="C11" s="53">
        <x:f>16294*1600/385</x:f>
        <x:v>67715.324675324679</x:v>
      </x:c>
      <x:c r="D11" s="53">
        <x:f t="shared" ref="D11:N11" si="6">16294*1600/385</x:f>
        <x:v>67715.324675324679</x:v>
      </x:c>
      <x:c r="E11" s="53">
        <x:f t="shared" si="6"/>
        <x:v>67715.324675324679</x:v>
      </x:c>
      <x:c r="F11" s="53">
        <x:f t="shared" si="6"/>
        <x:v>67715.324675324679</x:v>
      </x:c>
      <x:c r="G11" s="53">
        <x:f t="shared" si="6"/>
        <x:v>67715.324675324679</x:v>
      </x:c>
      <x:c r="H11" s="53">
        <x:f t="shared" si="6"/>
        <x:v>67715.324675324679</x:v>
      </x:c>
      <x:c r="I11" s="53">
        <x:f t="shared" si="6"/>
        <x:v>67715.324675324679</x:v>
      </x:c>
      <x:c r="J11" s="53">
        <x:f t="shared" si="6"/>
        <x:v>67715.324675324679</x:v>
      </x:c>
      <x:c r="K11" s="53">
        <x:f t="shared" si="6"/>
        <x:v>67715.324675324679</x:v>
      </x:c>
      <x:c r="L11" s="53">
        <x:f t="shared" si="6"/>
        <x:v>67715.324675324679</x:v>
      </x:c>
      <x:c r="M11" s="53">
        <x:f t="shared" si="6"/>
        <x:v>67715.324675324679</x:v>
      </x:c>
      <x:c r="N11" s="53">
        <x:f t="shared" si="6"/>
        <x:v>67715.324675324679</x:v>
      </x:c>
    </x:row>
    <x:row r="12" spans="1:15">
      <x:c r="B12" s="50" t="s">
        <x:v>259</x:v>
      </x:c>
      <x:c r="C12" s="53">
        <x:v>21725.24</x:v>
      </x:c>
      <x:c r="D12" s="53">
        <x:v>21725.24</x:v>
      </x:c>
      <x:c r="E12" s="53">
        <x:v>21725.24</x:v>
      </x:c>
      <x:c r="F12" s="53">
        <x:v>21725.24</x:v>
      </x:c>
      <x:c r="G12" s="53">
        <x:v>21725.24</x:v>
      </x:c>
      <x:c r="H12" s="53">
        <x:v>21725.24</x:v>
      </x:c>
      <x:c r="I12" s="53">
        <x:v>21725.24</x:v>
      </x:c>
      <x:c r="J12" s="53">
        <x:v>21725.24</x:v>
      </x:c>
      <x:c r="K12" s="53">
        <x:v>21725.24</x:v>
      </x:c>
      <x:c r="L12" s="53">
        <x:v>21725.24</x:v>
      </x:c>
      <x:c r="M12" s="53">
        <x:v>21725.24</x:v>
      </x:c>
      <x:c r="N12" s="53">
        <x:v>21725.24</x:v>
      </x:c>
    </x:row>
    <x:row r="13" spans="1:15">
      <x:c r="B13" s="50" t="s">
        <x:v>233</x:v>
      </x:c>
      <x:c r="C13" s="53">
        <x:v>7500</x:v>
      </x:c>
      <x:c r="D13" s="56">
        <x:f t="shared" ref="D13:I19" si="7">C13</x:f>
        <x:v>7500</x:v>
      </x:c>
      <x:c r="E13" s="56">
        <x:f t="shared" si="7"/>
        <x:v>7500</x:v>
      </x:c>
      <x:c r="F13" s="56">
        <x:f t="shared" si="7"/>
        <x:v>7500</x:v>
      </x:c>
      <x:c r="G13" s="56">
        <x:v>7000</x:v>
      </x:c>
      <x:c r="H13" s="56">
        <x:f t="shared" si="7"/>
        <x:v>7000</x:v>
      </x:c>
      <x:c r="I13" s="56">
        <x:f t="shared" si="7"/>
        <x:v>7000</x:v>
      </x:c>
      <x:c r="J13" s="56">
        <x:f t="shared" ref="J13:N13" si="8">I13</x:f>
        <x:v>7000</x:v>
      </x:c>
      <x:c r="K13" s="56">
        <x:f t="shared" si="8"/>
        <x:v>7000</x:v>
      </x:c>
      <x:c r="L13" s="56">
        <x:f t="shared" si="8"/>
        <x:v>7000</x:v>
      </x:c>
      <x:c r="M13" s="56">
        <x:f t="shared" si="8"/>
        <x:v>7000</x:v>
      </x:c>
      <x:c r="N13" s="56">
        <x:f t="shared" si="8"/>
        <x:v>7000</x:v>
      </x:c>
    </x:row>
    <x:row r="14" spans="1:15">
      <x:c r="B14" s="50" t="s">
        <x:v>234</x:v>
      </x:c>
      <x:c r="C14" s="53">
        <x:v>1500</x:v>
      </x:c>
      <x:c r="D14" s="56">
        <x:f t="shared" si="7"/>
        <x:v>1500</x:v>
      </x:c>
      <x:c r="E14" s="56">
        <x:f t="shared" si="7"/>
        <x:v>1500</x:v>
      </x:c>
      <x:c r="F14" s="56">
        <x:f t="shared" si="7"/>
        <x:v>1500</x:v>
      </x:c>
      <x:c r="G14" s="56">
        <x:f t="shared" si="7"/>
        <x:v>1500</x:v>
      </x:c>
      <x:c r="H14" s="56">
        <x:f t="shared" si="7"/>
        <x:v>1500</x:v>
      </x:c>
      <x:c r="I14" s="56">
        <x:f t="shared" si="7"/>
        <x:v>1500</x:v>
      </x:c>
      <x:c r="J14" s="56">
        <x:f t="shared" ref="J14:N14" si="9">I14</x:f>
        <x:v>1500</x:v>
      </x:c>
      <x:c r="K14" s="56">
        <x:f t="shared" si="9"/>
        <x:v>1500</x:v>
      </x:c>
      <x:c r="L14" s="56">
        <x:f t="shared" si="9"/>
        <x:v>1500</x:v>
      </x:c>
      <x:c r="M14" s="56">
        <x:f t="shared" si="9"/>
        <x:v>1500</x:v>
      </x:c>
      <x:c r="N14" s="56">
        <x:f t="shared" si="9"/>
        <x:v>1500</x:v>
      </x:c>
    </x:row>
    <x:row r="15" spans="1:15">
      <x:c r="B15" s="50" t="s">
        <x:v>239</x:v>
      </x:c>
      <x:c r="C15" s="53">
        <x:v>600</x:v>
      </x:c>
      <x:c r="D15" s="56">
        <x:f t="shared" si="7"/>
        <x:v>600</x:v>
      </x:c>
      <x:c r="E15" s="56">
        <x:f t="shared" si="7"/>
        <x:v>600</x:v>
      </x:c>
      <x:c r="F15" s="56">
        <x:v>1200</x:v>
      </x:c>
      <x:c r="G15" s="56">
        <x:f t="shared" si="7"/>
        <x:v>1200</x:v>
      </x:c>
      <x:c r="H15" s="56">
        <x:f t="shared" si="7"/>
        <x:v>1200</x:v>
      </x:c>
      <x:c r="I15" s="56">
        <x:f t="shared" si="7"/>
        <x:v>1200</x:v>
      </x:c>
      <x:c r="J15" s="56">
        <x:f t="shared" ref="J15:N15" si="10">I15</x:f>
        <x:v>1200</x:v>
      </x:c>
      <x:c r="K15" s="56">
        <x:v>1200</x:v>
      </x:c>
      <x:c r="L15" s="56">
        <x:v>600</x:v>
      </x:c>
      <x:c r="M15" s="56">
        <x:f t="shared" si="10"/>
        <x:v>600</x:v>
      </x:c>
      <x:c r="N15" s="56">
        <x:f t="shared" si="10"/>
        <x:v>600</x:v>
      </x:c>
    </x:row>
    <x:row r="16" spans="1:15">
      <x:c r="B16" s="50" t="s">
        <x:v>238</x:v>
      </x:c>
      <x:c r="C16" s="53">
        <x:v>1300</x:v>
      </x:c>
      <x:c r="D16" s="56">
        <x:f t="shared" si="7"/>
        <x:v>1300</x:v>
      </x:c>
      <x:c r="E16" s="56">
        <x:f t="shared" si="7"/>
        <x:v>1300</x:v>
      </x:c>
      <x:c r="F16" s="56">
        <x:f t="shared" si="7"/>
        <x:v>1300</x:v>
      </x:c>
      <x:c r="G16" s="56">
        <x:f t="shared" si="7"/>
        <x:v>1300</x:v>
      </x:c>
      <x:c r="H16" s="56">
        <x:f t="shared" si="7"/>
        <x:v>1300</x:v>
      </x:c>
      <x:c r="I16" s="56">
        <x:f t="shared" si="7"/>
        <x:v>1300</x:v>
      </x:c>
      <x:c r="J16" s="56">
        <x:f t="shared" ref="J16:N16" si="11">I16</x:f>
        <x:v>1300</x:v>
      </x:c>
      <x:c r="K16" s="56">
        <x:f t="shared" si="11"/>
        <x:v>1300</x:v>
      </x:c>
      <x:c r="L16" s="56">
        <x:f t="shared" si="11"/>
        <x:v>1300</x:v>
      </x:c>
      <x:c r="M16" s="56">
        <x:f t="shared" si="11"/>
        <x:v>1300</x:v>
      </x:c>
      <x:c r="N16" s="56">
        <x:f t="shared" si="11"/>
        <x:v>1300</x:v>
      </x:c>
    </x:row>
    <x:row r="17" spans="1:14">
      <x:c r="B17" s="50" t="s">
        <x:v>237</x:v>
      </x:c>
      <x:c r="C17" s="53">
        <x:v>6000</x:v>
      </x:c>
      <x:c r="D17" s="56">
        <x:f t="shared" si="7"/>
        <x:v>6000</x:v>
      </x:c>
      <x:c r="E17" s="56">
        <x:f t="shared" si="7"/>
        <x:v>6000</x:v>
      </x:c>
      <x:c r="F17" s="56">
        <x:f t="shared" si="7"/>
        <x:v>6000</x:v>
      </x:c>
      <x:c r="G17" s="56">
        <x:f t="shared" si="7"/>
        <x:v>6000</x:v>
      </x:c>
      <x:c r="H17" s="56">
        <x:f t="shared" si="7"/>
        <x:v>6000</x:v>
      </x:c>
      <x:c r="I17" s="56">
        <x:f t="shared" si="7"/>
        <x:v>6000</x:v>
      </x:c>
      <x:c r="J17" s="56">
        <x:f t="shared" ref="J17:N18" si="12">I17</x:f>
        <x:v>6000</x:v>
      </x:c>
      <x:c r="K17" s="56">
        <x:f t="shared" si="12"/>
        <x:v>6000</x:v>
      </x:c>
      <x:c r="L17" s="56">
        <x:f t="shared" si="12"/>
        <x:v>6000</x:v>
      </x:c>
      <x:c r="M17" s="56">
        <x:f t="shared" si="12"/>
        <x:v>6000</x:v>
      </x:c>
      <x:c r="N17" s="56">
        <x:f t="shared" si="12"/>
        <x:v>6000</x:v>
      </x:c>
    </x:row>
    <x:row r="18" spans="1:14">
      <x:c r="B18" s="50" t="s">
        <x:v>260</x:v>
      </x:c>
      <x:c r="C18" s="53">
        <x:v>5500</x:v>
      </x:c>
      <x:c r="D18" s="56">
        <x:f t="shared" si="7"/>
        <x:v>5500</x:v>
      </x:c>
      <x:c r="E18" s="56">
        <x:f t="shared" si="7"/>
        <x:v>5500</x:v>
      </x:c>
      <x:c r="F18" s="56">
        <x:f t="shared" si="7"/>
        <x:v>5500</x:v>
      </x:c>
      <x:c r="G18" s="56">
        <x:f t="shared" si="7"/>
        <x:v>5500</x:v>
      </x:c>
      <x:c r="H18" s="56">
        <x:f t="shared" si="7"/>
        <x:v>5500</x:v>
      </x:c>
      <x:c r="I18" s="56">
        <x:f t="shared" si="7"/>
        <x:v>5500</x:v>
      </x:c>
      <x:c r="J18" s="56">
        <x:f t="shared" si="12"/>
        <x:v>5500</x:v>
      </x:c>
      <x:c r="K18" s="56">
        <x:f t="shared" si="12"/>
        <x:v>5500</x:v>
      </x:c>
      <x:c r="L18" s="56">
        <x:f t="shared" si="12"/>
        <x:v>5500</x:v>
      </x:c>
      <x:c r="M18" s="56">
        <x:f t="shared" si="12"/>
        <x:v>5500</x:v>
      </x:c>
      <x:c r="N18" s="56">
        <x:f t="shared" si="12"/>
        <x:v>5500</x:v>
      </x:c>
    </x:row>
    <x:row r="19" spans="1:14">
      <x:c r="B19" s="50" t="s">
        <x:v>236</x:v>
      </x:c>
      <x:c r="C19" s="53">
        <x:v>2000</x:v>
      </x:c>
      <x:c r="D19" s="56">
        <x:f t="shared" si="7"/>
        <x:v>2000</x:v>
      </x:c>
      <x:c r="E19" s="56">
        <x:f t="shared" si="7"/>
        <x:v>2000</x:v>
      </x:c>
      <x:c r="F19" s="56">
        <x:v>1000</x:v>
      </x:c>
      <x:c r="G19" s="56">
        <x:f t="shared" si="7"/>
        <x:v>1000</x:v>
      </x:c>
      <x:c r="H19" s="56">
        <x:f t="shared" si="7"/>
        <x:v>1000</x:v>
      </x:c>
      <x:c r="I19" s="56">
        <x:v>2000</x:v>
      </x:c>
      <x:c r="J19" s="56">
        <x:f t="shared" ref="J19:N19" si="13">I19</x:f>
        <x:v>2000</x:v>
      </x:c>
      <x:c r="K19" s="56">
        <x:f t="shared" si="13"/>
        <x:v>2000</x:v>
      </x:c>
      <x:c r="L19" s="56">
        <x:v>1000</x:v>
      </x:c>
      <x:c r="M19" s="56">
        <x:f t="shared" si="13"/>
        <x:v>1000</x:v>
      </x:c>
      <x:c r="N19" s="56">
        <x:f t="shared" si="13"/>
        <x:v>1000</x:v>
      </x:c>
    </x:row>
    <x:row r="20" spans="1:14">
      <x:c r="B20" s="50" t="s">
        <x:v>219</x:v>
      </x:c>
      <x:c r="C20" s="53">
        <x:f t="shared" ref="C20:N20" si="14">SUM(C11:C19)</x:f>
        <x:v>113840.56467532468</x:v>
      </x:c>
      <x:c r="D20" s="53">
        <x:f t="shared" si="14"/>
        <x:v>113840.56467532468</x:v>
      </x:c>
      <x:c r="E20" s="53">
        <x:f t="shared" si="14"/>
        <x:v>113840.56467532468</x:v>
      </x:c>
      <x:c r="F20" s="53">
        <x:f t="shared" si="14"/>
        <x:v>113440.56467532468</x:v>
      </x:c>
      <x:c r="G20" s="53">
        <x:f t="shared" si="14"/>
        <x:v>112940.56467532468</x:v>
      </x:c>
      <x:c r="H20" s="53">
        <x:f t="shared" si="14"/>
        <x:v>112940.56467532468</x:v>
      </x:c>
      <x:c r="I20" s="53">
        <x:f t="shared" si="14"/>
        <x:v>113940.56467532468</x:v>
      </x:c>
      <x:c r="J20" s="53">
        <x:f t="shared" si="14"/>
        <x:v>113940.56467532468</x:v>
      </x:c>
      <x:c r="K20" s="53">
        <x:f t="shared" si="14"/>
        <x:v>113940.56467532468</x:v>
      </x:c>
      <x:c r="L20" s="53">
        <x:f t="shared" si="14"/>
        <x:v>112340.56467532468</x:v>
      </x:c>
      <x:c r="M20" s="53">
        <x:f t="shared" si="14"/>
        <x:v>112340.56467532468</x:v>
      </x:c>
      <x:c r="N20" s="53">
        <x:f t="shared" si="14"/>
        <x:v>112340.56467532468</x:v>
      </x:c>
    </x:row>
    <x:row r="22" spans="1:14">
      <x:c r="A22" s="52" t="s">
        <x:v>278</x:v>
      </x:c>
      <x:c r="C22" s="53">
        <x:f>970*1350/385</x:f>
        <x:v>3401.2987012987014</x:v>
      </x:c>
      <x:c r="D22" s="53">
        <x:f t="shared" ref="D22:N22" si="15">970*1350/385</x:f>
        <x:v>3401.2987012987014</x:v>
      </x:c>
      <x:c r="E22" s="53">
        <x:f t="shared" si="15"/>
        <x:v>3401.2987012987014</x:v>
      </x:c>
      <x:c r="F22" s="53">
        <x:f t="shared" si="15"/>
        <x:v>3401.2987012987014</x:v>
      </x:c>
      <x:c r="G22" s="53">
        <x:f t="shared" si="15"/>
        <x:v>3401.2987012987014</x:v>
      </x:c>
      <x:c r="H22" s="53">
        <x:f t="shared" si="15"/>
        <x:v>3401.2987012987014</x:v>
      </x:c>
      <x:c r="I22" s="53">
        <x:f t="shared" si="15"/>
        <x:v>3401.2987012987014</x:v>
      </x:c>
      <x:c r="J22" s="53">
        <x:f t="shared" si="15"/>
        <x:v>3401.2987012987014</x:v>
      </x:c>
      <x:c r="K22" s="53">
        <x:f t="shared" si="15"/>
        <x:v>3401.2987012987014</x:v>
      </x:c>
      <x:c r="L22" s="53">
        <x:f t="shared" si="15"/>
        <x:v>3401.2987012987014</x:v>
      </x:c>
      <x:c r="M22" s="53">
        <x:f t="shared" si="15"/>
        <x:v>3401.2987012987014</x:v>
      </x:c>
      <x:c r="N22" s="53">
        <x:f t="shared" si="15"/>
        <x:v>3401.2987012987014</x:v>
      </x:c>
    </x:row>
  </x:sheetData>
  <x:phoneticPr fontId="2" type="noConversion"/>
  <x:pageMargins left="0.7" right="0.7" top="0.75" bottom="0.75" header="0.3" footer="0.3"/>
  <x:pageSetup paperSize="9" orientation="portrait" r:id="rId1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tabColor rgb="FF0000CC"/>
  </x:sheetPr>
  <x:dimension ref="A1:N2"/>
  <x:sheetViews>
    <x:sheetView workbookViewId="0">
      <x:selection activeCell="M2" sqref="M2"/>
    </x:sheetView>
  </x:sheetViews>
  <x:sheetFormatPr defaultColWidth="8.875" defaultRowHeight="16.5"/>
  <x:cols>
    <x:col min="1" max="1" width="13.875" style="50" bestFit="1" customWidth="1"/>
    <x:col min="2" max="13" width="8.625" style="50" bestFit="1" customWidth="1"/>
    <x:col min="14" max="14" width="21.75" style="50" bestFit="1" customWidth="1"/>
    <x:col min="15" max="16384" width="8.875" style="50"/>
  </x:cols>
  <x:sheetData>
    <x:row r="1" spans="1:14">
      <x:c r="B1" s="50" t="s">
        <x:v>14</x:v>
      </x:c>
      <x:c r="C1" s="50" t="s">
        <x:v>3</x:v>
      </x:c>
      <x:c r="D1" s="50" t="s">
        <x:v>4</x:v>
      </x:c>
      <x:c r="E1" s="50" t="s">
        <x:v>5</x:v>
      </x:c>
      <x:c r="F1" s="50" t="s">
        <x:v>6</x:v>
      </x:c>
      <x:c r="G1" s="50" t="s">
        <x:v>7</x:v>
      </x:c>
      <x:c r="H1" s="50" t="s">
        <x:v>8</x:v>
      </x:c>
      <x:c r="I1" s="50" t="s">
        <x:v>9</x:v>
      </x:c>
      <x:c r="J1" s="50" t="s">
        <x:v>10</x:v>
      </x:c>
      <x:c r="K1" s="50" t="s">
        <x:v>11</x:v>
      </x:c>
      <x:c r="L1" s="50" t="s">
        <x:v>12</x:v>
      </x:c>
      <x:c r="M1" s="50" t="s">
        <x:v>13</x:v>
      </x:c>
      <x:c r="N1" s="50" t="s">
        <x:v>214</x:v>
      </x:c>
    </x:row>
    <x:row r="2" spans="1:14">
      <x:c r="A2" s="78" t="s">
        <x:v>174</x:v>
      </x:c>
      <x:c r="B2" s="79">
        <x:v>8000</x:v>
      </x:c>
      <x:c r="C2" s="79">
        <x:v>8000</x:v>
      </x:c>
      <x:c r="D2" s="79">
        <x:f>C2*0.9</x:f>
        <x:v>7200</x:v>
      </x:c>
      <x:c r="E2" s="79">
        <x:f>D2</x:f>
        <x:v>7200</x:v>
      </x:c>
      <x:c r="F2" s="79">
        <x:f>E2</x:f>
        <x:v>7200</x:v>
      </x:c>
      <x:c r="G2" s="79">
        <x:f>C2</x:f>
        <x:v>8000</x:v>
      </x:c>
      <x:c r="H2" s="79">
        <x:f>B2</x:f>
        <x:v>8000</x:v>
      </x:c>
      <x:c r="I2" s="79">
        <x:f>B2</x:f>
        <x:v>8000</x:v>
      </x:c>
      <x:c r="J2" s="79">
        <x:f>D2</x:f>
        <x:v>7200</x:v>
      </x:c>
      <x:c r="K2" s="79">
        <x:f t="shared" ref="K2:L2" si="0">E2</x:f>
        <x:v>7200</x:v>
      </x:c>
      <x:c r="L2" s="79">
        <x:f t="shared" si="0"/>
        <x:v>7200</x:v>
      </x:c>
      <x:c r="M2" s="79">
        <x:f>B2</x:f>
        <x:v>8000</x:v>
      </x:c>
      <x:c r="N2" s="110" t="s">
        <x:v>242</x:v>
      </x:c>
    </x:row>
  </x:sheetData>
  <x:phoneticPr fontId="2" type="noConversion"/>
  <x:pageMargins left="0.7" right="0.7" top="0.75" bottom="0.75" header="0.3" footer="0.3"/>
  <x:ignoredErrors>
    <x:ignoredError sqref="I2" formula="1"/>
  </x:ignoredErrors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tabColor rgb="FF0000CC"/>
  </x:sheetPr>
  <x:dimension ref="A1:N9"/>
  <x:sheetViews>
    <x:sheetView workbookViewId="0">
      <x:selection activeCell="I20" sqref="I20"/>
    </x:sheetView>
  </x:sheetViews>
  <x:sheetFormatPr defaultColWidth="8.875" defaultRowHeight="16.5"/>
  <x:cols>
    <x:col min="1" max="1" width="19.875" style="50" bestFit="1" customWidth="1"/>
    <x:col min="2" max="13" width="9.75" style="50" bestFit="1" customWidth="1"/>
    <x:col min="14" max="14" width="48.75" style="50" customWidth="1"/>
    <x:col min="15" max="16384" width="8.875" style="50"/>
  </x:cols>
  <x:sheetData>
    <x:row r="1" spans="1:14">
      <x:c r="A1" s="52"/>
      <x:c r="B1" s="52" t="s">
        <x:v>27</x:v>
      </x:c>
      <x:c r="C1" s="52" t="s">
        <x:v>3</x:v>
      </x:c>
      <x:c r="D1" s="52" t="s">
        <x:v>4</x:v>
      </x:c>
      <x:c r="E1" s="52" t="s">
        <x:v>5</x:v>
      </x:c>
      <x:c r="F1" s="52" t="s">
        <x:v>6</x:v>
      </x:c>
      <x:c r="G1" s="52" t="s">
        <x:v>7</x:v>
      </x:c>
      <x:c r="H1" s="52" t="s">
        <x:v>8</x:v>
      </x:c>
      <x:c r="I1" s="52" t="s">
        <x:v>9</x:v>
      </x:c>
      <x:c r="J1" s="52" t="s">
        <x:v>10</x:v>
      </x:c>
      <x:c r="K1" s="52" t="s">
        <x:v>11</x:v>
      </x:c>
      <x:c r="L1" s="52" t="s">
        <x:v>12</x:v>
      </x:c>
      <x:c r="M1" s="52" t="s">
        <x:v>13</x:v>
      </x:c>
      <x:c r="N1" s="52" t="s">
        <x:v>44</x:v>
      </x:c>
    </x:row>
    <x:row r="2" spans="1:14">
      <x:c r="A2" s="52" t="s">
        <x:v>215</x:v>
      </x:c>
      <x:c r="B2" s="51">
        <x:v>100</x:v>
      </x:c>
      <x:c r="C2" s="51">
        <x:f>B2</x:f>
        <x:v>100</x:v>
      </x:c>
      <x:c r="D2" s="51">
        <x:f t="shared" ref="D2:M2" si="0">C2</x:f>
        <x:v>100</x:v>
      </x:c>
      <x:c r="E2" s="51">
        <x:f t="shared" si="0"/>
        <x:v>100</x:v>
      </x:c>
      <x:c r="F2" s="51">
        <x:f t="shared" si="0"/>
        <x:v>100</x:v>
      </x:c>
      <x:c r="G2" s="51">
        <x:f t="shared" si="0"/>
        <x:v>100</x:v>
      </x:c>
      <x:c r="H2" s="51">
        <x:f t="shared" si="0"/>
        <x:v>100</x:v>
      </x:c>
      <x:c r="I2" s="51">
        <x:f t="shared" si="0"/>
        <x:v>100</x:v>
      </x:c>
      <x:c r="J2" s="51">
        <x:f t="shared" si="0"/>
        <x:v>100</x:v>
      </x:c>
      <x:c r="K2" s="51">
        <x:f t="shared" si="0"/>
        <x:v>100</x:v>
      </x:c>
      <x:c r="L2" s="51">
        <x:f t="shared" si="0"/>
        <x:v>100</x:v>
      </x:c>
      <x:c r="M2" s="51">
        <x:f t="shared" si="0"/>
        <x:v>100</x:v>
      </x:c>
      <x:c r="N2" s="52" t="s">
        <x:v>258</x:v>
      </x:c>
    </x:row>
    <x:row r="3" spans="1:14">
      <x:c r="A3" s="52" t="s">
        <x:v>46</x:v>
      </x:c>
      <x:c r="B3" s="51">
        <x:f>'인원급여리스트(PLN)'!I2</x:f>
        <x:v>20</x:v>
      </x:c>
      <x:c r="C3" s="51">
        <x:f>'인원급여리스트(PLN)'!J2</x:f>
        <x:v>20</x:v>
      </x:c>
      <x:c r="D3" s="51">
        <x:f>'인원급여리스트(PLN)'!K2</x:f>
        <x:v>22</x:v>
      </x:c>
      <x:c r="E3" s="51">
        <x:f>'인원급여리스트(PLN)'!L2</x:f>
        <x:v>21</x:v>
      </x:c>
      <x:c r="F3" s="51">
        <x:f>'인원급여리스트(PLN)'!M2</x:f>
        <x:v>18</x:v>
      </x:c>
      <x:c r="G3" s="51">
        <x:f>'인원급여리스트(PLN)'!N2</x:f>
        <x:v>21</x:v>
      </x:c>
      <x:c r="H3" s="51">
        <x:f>'인원급여리스트(PLN)'!O2</x:f>
        <x:v>23</x:v>
      </x:c>
      <x:c r="I3" s="51">
        <x:f>'인원급여리스트(PLN)'!P2</x:f>
        <x:v>20</x:v>
      </x:c>
      <x:c r="J3" s="51">
        <x:f>'인원급여리스트(PLN)'!Q2</x:f>
        <x:v>22</x:v>
      </x:c>
      <x:c r="K3" s="51">
        <x:f>'인원급여리스트(PLN)'!R2</x:f>
        <x:v>22</x:v>
      </x:c>
      <x:c r="L3" s="51">
        <x:f>'인원급여리스트(PLN)'!S2</x:f>
        <x:v>19</x:v>
      </x:c>
      <x:c r="M3" s="51">
        <x:f>'인원급여리스트(PLN)'!T2</x:f>
        <x:v>22</x:v>
      </x:c>
      <x:c r="N3" s="52"/>
    </x:row>
    <x:row r="4" spans="1:14" s="59" customFormat="1">
      <x:c r="A4" s="57" t="s">
        <x:v>51</x:v>
      </x:c>
      <x:c r="B4" s="58">
        <x:f>B2*B3</x:f>
        <x:v>2000</x:v>
      </x:c>
      <x:c r="C4" s="58">
        <x:f t="shared" ref="C4:M4" si="1">C2*C3</x:f>
        <x:v>2000</x:v>
      </x:c>
      <x:c r="D4" s="58">
        <x:f t="shared" si="1"/>
        <x:v>2200</x:v>
      </x:c>
      <x:c r="E4" s="58">
        <x:f t="shared" si="1"/>
        <x:v>2100</x:v>
      </x:c>
      <x:c r="F4" s="58">
        <x:f t="shared" si="1"/>
        <x:v>1800</x:v>
      </x:c>
      <x:c r="G4" s="58">
        <x:f t="shared" si="1"/>
        <x:v>2100</x:v>
      </x:c>
      <x:c r="H4" s="58">
        <x:f t="shared" si="1"/>
        <x:v>2300</x:v>
      </x:c>
      <x:c r="I4" s="58">
        <x:f t="shared" si="1"/>
        <x:v>2000</x:v>
      </x:c>
      <x:c r="J4" s="58">
        <x:f t="shared" si="1"/>
        <x:v>2200</x:v>
      </x:c>
      <x:c r="K4" s="58">
        <x:f t="shared" si="1"/>
        <x:v>2200</x:v>
      </x:c>
      <x:c r="L4" s="58">
        <x:f t="shared" si="1"/>
        <x:v>1900</x:v>
      </x:c>
      <x:c r="M4" s="58">
        <x:f t="shared" si="1"/>
        <x:v>2200</x:v>
      </x:c>
      <x:c r="N4" s="57"/>
    </x:row>
    <x:row r="5" spans="1:14" s="59" customFormat="1">
      <x:c r="A5" s="76" t="s">
        <x:v>169</x:v>
      </x:c>
      <x:c r="B5" s="77">
        <x:f>B4*환율기준!$D$4</x:f>
        <x:v>8400</x:v>
      </x:c>
      <x:c r="C5" s="77">
        <x:f>C4*환율기준!$D$4</x:f>
        <x:v>8400</x:v>
      </x:c>
      <x:c r="D5" s="77">
        <x:f>D4*환율기준!$D$4</x:f>
        <x:v>9240</x:v>
      </x:c>
      <x:c r="E5" s="77">
        <x:f>E4*환율기준!$D$4</x:f>
        <x:v>8820</x:v>
      </x:c>
      <x:c r="F5" s="77">
        <x:f>F4*환율기준!$D$4</x:f>
        <x:v>7560</x:v>
      </x:c>
      <x:c r="G5" s="77">
        <x:f>G4*환율기준!$D$4</x:f>
        <x:v>8820</x:v>
      </x:c>
      <x:c r="H5" s="77">
        <x:f>H4*환율기준!$D$4</x:f>
        <x:v>9660</x:v>
      </x:c>
      <x:c r="I5" s="77">
        <x:f>I4*환율기준!$D$4</x:f>
        <x:v>8400</x:v>
      </x:c>
      <x:c r="J5" s="77">
        <x:f>J4*환율기준!$D$4</x:f>
        <x:v>9240</x:v>
      </x:c>
      <x:c r="K5" s="77">
        <x:f>K4*환율기준!$D$4</x:f>
        <x:v>9240</x:v>
      </x:c>
      <x:c r="L5" s="77">
        <x:f>L4*환율기준!$D$4</x:f>
        <x:v>7980</x:v>
      </x:c>
      <x:c r="M5" s="77">
        <x:f>M4*환율기준!$D$4</x:f>
        <x:v>9240</x:v>
      </x:c>
      <x:c r="N5" s="76"/>
    </x:row>
    <x:row r="7" spans="1:14">
      <x:c r="B7" s="53"/>
    </x:row>
    <x:row r="8" spans="1:14">
      <x:c r="A8" s="52" t="s">
        <x:v>175</x:v>
      </x:c>
      <x:c r="B8" s="52" t="s">
        <x:v>2</x:v>
      </x:c>
      <x:c r="C8" s="52" t="s">
        <x:v>3</x:v>
      </x:c>
      <x:c r="D8" s="52" t="s">
        <x:v>4</x:v>
      </x:c>
      <x:c r="E8" s="52" t="s">
        <x:v>5</x:v>
      </x:c>
      <x:c r="F8" s="52" t="s">
        <x:v>6</x:v>
      </x:c>
      <x:c r="G8" s="52" t="s">
        <x:v>7</x:v>
      </x:c>
      <x:c r="H8" s="52" t="s">
        <x:v>8</x:v>
      </x:c>
      <x:c r="I8" s="52" t="s">
        <x:v>9</x:v>
      </x:c>
      <x:c r="J8" s="52" t="s">
        <x:v>10</x:v>
      </x:c>
      <x:c r="K8" s="52" t="s">
        <x:v>11</x:v>
      </x:c>
      <x:c r="L8" s="52" t="s">
        <x:v>12</x:v>
      </x:c>
      <x:c r="M8" s="52" t="s">
        <x:v>13</x:v>
      </x:c>
      <x:c r="N8" s="52" t="s">
        <x:v>44</x:v>
      </x:c>
    </x:row>
    <x:row r="9" spans="1:14" ht="33">
      <x:c r="A9" s="76" t="s">
        <x:v>232</x:v>
      </x:c>
      <x:c r="B9" s="77">
        <x:f>1000*8+10000*1</x:f>
        <x:v>18000</x:v>
      </x:c>
      <x:c r="C9" s="77">
        <x:f>1000*8+10000*1</x:f>
        <x:v>18000</x:v>
      </x:c>
      <x:c r="D9" s="77">
        <x:f>1000*10+10000*1</x:f>
        <x:v>20000</x:v>
      </x:c>
      <x:c r="E9" s="77">
        <x:f>1000*8+10000</x:f>
        <x:v>18000</x:v>
      </x:c>
      <x:c r="F9" s="77">
        <x:f>1000*8+10000</x:f>
        <x:v>18000</x:v>
      </x:c>
      <x:c r="G9" s="77">
        <x:f>1000*10+10000</x:f>
        <x:v>20000</x:v>
      </x:c>
      <x:c r="H9" s="77">
        <x:f>1000*8+10000</x:f>
        <x:v>18000</x:v>
      </x:c>
      <x:c r="I9" s="77">
        <x:f>1000*8+10000</x:f>
        <x:v>18000</x:v>
      </x:c>
      <x:c r="J9" s="77">
        <x:f>1000*10+10000</x:f>
        <x:v>20000</x:v>
      </x:c>
      <x:c r="K9" s="77">
        <x:f>1000*8+10000</x:f>
        <x:v>18000</x:v>
      </x:c>
      <x:c r="L9" s="77">
        <x:f>1000*8+10000</x:f>
        <x:v>18000</x:v>
      </x:c>
      <x:c r="M9" s="77">
        <x:f>1000*8+10000</x:f>
        <x:v>18000</x:v>
      </x:c>
      <x:c r="N9" s="145" t="s">
        <x:v>275</x:v>
      </x:c>
    </x:row>
  </x:sheetData>
  <x:phoneticPr fontId="2" type="noConversion"/>
  <x:pageMargins left="0.7" right="0.7" top="0.75" bottom="0.75" header="0.3" footer="0.3"/>
  <x:pageSetup paperSize="9" orientation="portrait"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tabColor rgb="FF0000CC"/>
  </x:sheetPr>
  <x:dimension ref="A1:U17"/>
  <x:sheetViews>
    <x:sheetView topLeftCell="E1" workbookViewId="0">
      <x:selection activeCell="U15" sqref="U15"/>
    </x:sheetView>
  </x:sheetViews>
  <x:sheetFormatPr defaultColWidth="8.875" defaultRowHeight="16.5"/>
  <x:cols>
    <x:col min="1" max="1" width="17.25" style="50" bestFit="1" customWidth="1"/>
    <x:col min="2" max="2" width="16.375" style="50" bestFit="1" customWidth="1"/>
    <x:col min="3" max="3" width="10.75" style="50" bestFit="1" customWidth="1"/>
    <x:col min="4" max="4" width="3.75" style="50" bestFit="1" customWidth="1"/>
    <x:col min="5" max="5" width="9.875" style="50" bestFit="1" customWidth="1"/>
    <x:col min="6" max="6" width="22.625" style="50" bestFit="1" customWidth="1"/>
    <x:col min="7" max="7" width="9" style="50" bestFit="1" customWidth="1"/>
    <x:col min="8" max="8" width="13.25" style="50" bestFit="1" customWidth="1"/>
    <x:col min="9" max="20" width="8.625" style="50" bestFit="1" customWidth="1"/>
    <x:col min="21" max="21" width="38.25" style="50" bestFit="1" customWidth="1"/>
    <x:col min="22" max="16384" width="8.875" style="50"/>
  </x:cols>
  <x:sheetData>
    <x:row r="1" spans="1:21">
      <x:c r="A1" s="63" t="s">
        <x:v>65</x:v>
      </x:c>
      <x:c r="B1" s="63"/>
      <x:c r="U1" s="50" t="s">
        <x:v>66</x:v>
      </x:c>
    </x:row>
    <x:row r="2" spans="1:21">
      <x:c r="H2" s="50" t="s">
        <x:v>218</x:v>
      </x:c>
      <x:c r="I2" s="50">
        <x:v>20</x:v>
      </x:c>
      <x:c r="J2" s="50">
        <x:v>20</x:v>
      </x:c>
      <x:c r="K2" s="50">
        <x:v>22</x:v>
      </x:c>
      <x:c r="L2" s="50">
        <x:v>21</x:v>
      </x:c>
      <x:c r="M2" s="50">
        <x:v>18</x:v>
      </x:c>
      <x:c r="N2" s="50">
        <x:v>21</x:v>
      </x:c>
      <x:c r="O2" s="50">
        <x:v>23</x:v>
      </x:c>
      <x:c r="P2" s="50">
        <x:v>20</x:v>
      </x:c>
      <x:c r="Q2" s="50">
        <x:v>22</x:v>
      </x:c>
      <x:c r="R2" s="50">
        <x:v>22</x:v>
      </x:c>
      <x:c r="S2" s="50">
        <x:v>19</x:v>
      </x:c>
      <x:c r="T2" s="50">
        <x:v>22</x:v>
      </x:c>
    </x:row>
    <x:row r="3" spans="1:21">
      <x:c r="A3" s="50" t="s">
        <x:v>67</x:v>
      </x:c>
      <x:c r="B3" s="64" t="s">
        <x:v>68</x:v>
      </x:c>
      <x:c r="C3" s="64" t="s">
        <x:v>69</x:v>
      </x:c>
      <x:c r="D3" s="64" t="s">
        <x:v>70</x:v>
      </x:c>
      <x:c r="E3" s="64" t="s">
        <x:v>71</x:v>
      </x:c>
      <x:c r="F3" s="64" t="s">
        <x:v>72</x:v>
      </x:c>
      <x:c r="G3" s="64" t="s">
        <x:v>73</x:v>
      </x:c>
      <x:c r="H3" s="65" t="s">
        <x:v>74</x:v>
      </x:c>
      <x:c r="I3" s="65" t="s">
        <x:v>27</x:v>
      </x:c>
      <x:c r="J3" s="65" t="s">
        <x:v>75</x:v>
      </x:c>
      <x:c r="K3" s="65" t="s">
        <x:v>4</x:v>
      </x:c>
      <x:c r="L3" s="65" t="s">
        <x:v>5</x:v>
      </x:c>
      <x:c r="M3" s="65" t="s">
        <x:v>6</x:v>
      </x:c>
      <x:c r="N3" s="65" t="s">
        <x:v>7</x:v>
      </x:c>
      <x:c r="O3" s="65" t="s">
        <x:v>8</x:v>
      </x:c>
      <x:c r="P3" s="65" t="s">
        <x:v>9</x:v>
      </x:c>
      <x:c r="Q3" s="65" t="s">
        <x:v>10</x:v>
      </x:c>
      <x:c r="R3" s="65" t="s">
        <x:v>11</x:v>
      </x:c>
      <x:c r="S3" s="65" t="s">
        <x:v>12</x:v>
      </x:c>
      <x:c r="T3" s="65" t="s">
        <x:v>13</x:v>
      </x:c>
      <x:c r="U3" s="134" t="s">
        <x:v>214</x:v>
      </x:c>
    </x:row>
    <x:row r="4" spans="1:21">
      <x:c r="A4" s="50" t="s">
        <x:v>78</x:v>
      </x:c>
      <x:c r="B4" s="50" t="s">
        <x:v>79</x:v>
      </x:c>
      <x:c r="C4" s="64" t="s">
        <x:v>80</x:v>
      </x:c>
      <x:c r="D4" s="64" t="s">
        <x:v>81</x:v>
      </x:c>
      <x:c r="E4" s="64">
        <x:v>5025</x:v>
      </x:c>
      <x:c r="F4" s="64" t="s">
        <x:v>54</x:v>
      </x:c>
      <x:c r="G4" s="64" t="s">
        <x:v>82</x:v>
      </x:c>
      <x:c r="H4" s="56">
        <x:f t="shared" ref="H4:H11" si="0">AVERAGE(I4:T4)</x:f>
        <x:v>4600</x:v>
      </x:c>
      <x:c r="I4" s="53">
        <x:v>4600</x:v>
      </x:c>
      <x:c r="J4" s="53">
        <x:v>4600</x:v>
      </x:c>
      <x:c r="K4" s="53">
        <x:v>4600</x:v>
      </x:c>
      <x:c r="L4" s="53">
        <x:v>4600</x:v>
      </x:c>
      <x:c r="M4" s="53">
        <x:v>4600</x:v>
      </x:c>
      <x:c r="N4" s="53">
        <x:v>4600</x:v>
      </x:c>
      <x:c r="O4" s="53">
        <x:v>4600</x:v>
      </x:c>
      <x:c r="P4" s="53">
        <x:v>4600</x:v>
      </x:c>
      <x:c r="Q4" s="53">
        <x:v>4600</x:v>
      </x:c>
      <x:c r="R4" s="53">
        <x:v>4600</x:v>
      </x:c>
      <x:c r="S4" s="53">
        <x:v>4600</x:v>
      </x:c>
      <x:c r="T4" s="53">
        <x:v>4600</x:v>
      </x:c>
      <x:c r="U4" s="50" t="s">
        <x:v>256</x:v>
      </x:c>
    </x:row>
    <x:row r="5" spans="1:21">
      <x:c r="A5" s="50" t="s">
        <x:v>78</x:v>
      </x:c>
      <x:c r="B5" s="50" t="s">
        <x:v>83</x:v>
      </x:c>
      <x:c r="C5" s="64" t="s">
        <x:v>80</x:v>
      </x:c>
      <x:c r="D5" s="64" t="s">
        <x:v>81</x:v>
      </x:c>
      <x:c r="E5" s="64" t="s">
        <x:v>84</x:v>
      </x:c>
      <x:c r="F5" s="64" t="s">
        <x:v>55</x:v>
      </x:c>
      <x:c r="G5" s="64" t="s">
        <x:v>82</x:v>
      </x:c>
      <x:c r="H5" s="53">
        <x:f>(AVERAGE(I5:T5))</x:f>
        <x:v>12627.586249999998</x:v>
      </x:c>
      <x:c r="I5" s="53">
        <x:v>12555.3</x:v>
      </x:c>
      <x:c r="J5" s="53">
        <x:v>12806.06</x:v>
      </x:c>
      <x:c r="K5" s="53">
        <x:v>12734.525</x:v>
      </x:c>
      <x:c r="L5" s="53">
        <x:v>12608.387000000001</x:v>
      </x:c>
      <x:c r="M5" s="53">
        <x:v>12354.804</x:v>
      </x:c>
      <x:c r="N5" s="53">
        <x:v>12725.867</x:v>
      </x:c>
      <x:c r="O5" s="53">
        <x:v>12025.938</x:v>
      </x:c>
      <x:c r="P5" s="53">
        <x:v>12024.519</x:v>
      </x:c>
      <x:c r="Q5" s="53">
        <x:v>13515.018</x:v>
      </x:c>
      <x:c r="R5" s="53">
        <x:v>11683.749000000002</x:v>
      </x:c>
      <x:c r="S5" s="53">
        <x:v>12616.868</x:v>
      </x:c>
      <x:c r="T5" s="53">
        <x:v>13880</x:v>
      </x:c>
    </x:row>
    <x:row r="6" spans="1:21">
      <x:c r="A6" s="50" t="s">
        <x:v>78</x:v>
      </x:c>
      <x:c r="B6" s="50" t="s">
        <x:v>83</x:v>
      </x:c>
      <x:c r="C6" s="64" t="s">
        <x:v>80</x:v>
      </x:c>
      <x:c r="D6" s="64" t="s">
        <x:v>81</x:v>
      </x:c>
      <x:c r="E6" s="64" t="s">
        <x:v>85</x:v>
      </x:c>
      <x:c r="F6" s="64" t="s">
        <x:v>56</x:v>
      </x:c>
      <x:c r="G6" s="64" t="s">
        <x:v>82</x:v>
      </x:c>
      <x:c r="H6" s="53">
        <x:f>(AVERAGE(I6:T6))</x:f>
        <x:v>7929.6256145833331</x:v>
      </x:c>
      <x:c r="I6" s="53">
        <x:v>7283.2929750000003</x:v>
      </x:c>
      <x:c r="J6" s="53">
        <x:v>7567.25</x:v>
      </x:c>
      <x:c r="K6" s="53">
        <x:v>7394.2584999999999</x:v>
      </x:c>
      <x:c r="L6" s="53">
        <x:v>8346.9754749999993</x:v>
      </x:c>
      <x:c r="M6" s="53">
        <x:v>7875.8294500000002</x:v>
      </x:c>
      <x:c r="N6" s="53">
        <x:v>7381.2148749999997</x:v>
      </x:c>
      <x:c r="O6" s="53">
        <x:v>8199.4252749999996</x:v>
      </x:c>
      <x:c r="P6" s="53">
        <x:v>8201.2244499999997</x:v>
      </x:c>
      <x:c r="Q6" s="53">
        <x:v>8001.1175499999999</x:v>
      </x:c>
      <x:c r="R6" s="53">
        <x:v>8204.9188250000007</x:v>
      </x:c>
      <x:c r="S6" s="53">
        <x:v>8350</x:v>
      </x:c>
      <x:c r="T6" s="53">
        <x:v>8350</x:v>
      </x:c>
    </x:row>
    <x:row r="7" spans="1:21">
      <x:c r="A7" s="50" t="s">
        <x:v>78</x:v>
      </x:c>
      <x:c r="B7" s="50" t="s">
        <x:v>83</x:v>
      </x:c>
      <x:c r="C7" s="64" t="s">
        <x:v>80</x:v>
      </x:c>
      <x:c r="D7" s="64" t="s">
        <x:v>86</x:v>
      </x:c>
      <x:c r="E7" s="64" t="s">
        <x:v>88</x:v>
      </x:c>
      <x:c r="F7" s="64" t="s">
        <x:v>58</x:v>
      </x:c>
      <x:c r="G7" s="64" t="s">
        <x:v>108</x:v>
      </x:c>
      <x:c r="H7" s="53">
        <x:f t="shared" ref="H7:H10" si="1">(AVERAGE(I7:T7))</x:f>
        <x:v>8314.3042499999992</x:v>
      </x:c>
      <x:c r="I7" s="53">
        <x:v>7269.6539999999995</x:v>
      </x:c>
      <x:c r="J7" s="53">
        <x:v>9442.7235000000001</x:v>
      </x:c>
      <x:c r="K7" s="53">
        <x:v>8293.3619999999992</x:v>
      </x:c>
      <x:c r="L7" s="53">
        <x:f>K7</x:f>
        <x:v>8293.3619999999992</x:v>
      </x:c>
      <x:c r="M7" s="53">
        <x:f>L7</x:f>
        <x:v>8293.3619999999992</x:v>
      </x:c>
      <x:c r="N7" s="53">
        <x:f>M7</x:f>
        <x:v>8293.3619999999992</x:v>
      </x:c>
      <x:c r="O7" s="53"/>
      <x:c r="P7" s="53"/>
      <x:c r="Q7" s="53"/>
      <x:c r="R7" s="53"/>
      <x:c r="S7" s="53"/>
      <x:c r="T7" s="53"/>
      <x:c r="U7" s="50" t="s">
        <x:v>268</x:v>
      </x:c>
    </x:row>
    <x:row r="8" spans="1:21">
      <x:c r="A8" s="50" t="s">
        <x:v>78</x:v>
      </x:c>
      <x:c r="B8" s="50" t="s">
        <x:v>83</x:v>
      </x:c>
      <x:c r="C8" s="64" t="s">
        <x:v>80</x:v>
      </x:c>
      <x:c r="D8" s="64" t="s">
        <x:v>90</x:v>
      </x:c>
      <x:c r="E8" s="64" t="s">
        <x:v>91</x:v>
      </x:c>
      <x:c r="F8" s="64" t="s">
        <x:v>59</x:v>
      </x:c>
      <x:c r="G8" s="64" t="s">
        <x:v>108</x:v>
      </x:c>
      <x:c r="H8" s="53">
        <x:f t="shared" si="1"/>
        <x:v>11657.087874999999</x:v>
      </x:c>
      <x:c r="I8" s="53">
        <x:v>11271.1525</x:v>
      </x:c>
      <x:c r="J8" s="53">
        <x:v>11462.021500000001</x:v>
      </x:c>
      <x:c r="K8" s="53">
        <x:v>11866.933000000001</x:v>
      </x:c>
      <x:c r="L8" s="53">
        <x:v>11628.436</x:v>
      </x:c>
      <x:c r="M8" s="53">
        <x:v>10714.032999999999</x:v>
      </x:c>
      <x:c r="N8" s="53">
        <x:v>12123.931</x:v>
      </x:c>
      <x:c r="O8" s="53">
        <x:v>12305.518</x:v>
      </x:c>
      <x:c r="P8" s="53">
        <x:v>11283.1855</x:v>
      </x:c>
      <x:c r="Q8" s="53">
        <x:v>12147.397500000001</x:v>
      </x:c>
      <x:c r="R8" s="53">
        <x:v>11082.4465</x:v>
      </x:c>
      <x:c r="S8" s="53">
        <x:v>12000</x:v>
      </x:c>
      <x:c r="T8" s="53">
        <x:v>12000</x:v>
      </x:c>
    </x:row>
    <x:row r="9" spans="1:21">
      <x:c r="A9" s="50" t="s">
        <x:v>78</x:v>
      </x:c>
      <x:c r="B9" s="50" t="s">
        <x:v>83</x:v>
      </x:c>
      <x:c r="C9" s="64" t="s">
        <x:v>80</x:v>
      </x:c>
      <x:c r="D9" s="64" t="s">
        <x:v>86</x:v>
      </x:c>
      <x:c r="E9" s="64" t="s">
        <x:v>87</x:v>
      </x:c>
      <x:c r="F9" s="64" t="s">
        <x:v>57</x:v>
      </x:c>
      <x:c r="G9" s="64" t="s">
        <x:v>108</x:v>
      </x:c>
      <x:c r="H9" s="53">
        <x:f t="shared" si="1"/>
        <x:v>8092.4069854166664</x:v>
      </x:c>
      <x:c r="I9" s="53">
        <x:v>7517.6440000000002</x:v>
      </x:c>
      <x:c r="J9" s="53">
        <x:v>8083.5510000000004</x:v>
      </x:c>
      <x:c r="K9" s="53">
        <x:v>8029.3920000000007</x:v>
      </x:c>
      <x:c r="L9" s="53">
        <x:v>7642.9500000000007</x:v>
      </x:c>
      <x:c r="M9" s="53">
        <x:v>8127.6720000000005</x:v>
      </x:c>
      <x:c r="N9" s="53">
        <x:v>8456.68</x:v>
      </x:c>
      <x:c r="O9" s="53">
        <x:v>7788.3225000000002</x:v>
      </x:c>
      <x:c r="P9" s="53">
        <x:v>8275.8490000000002</x:v>
      </x:c>
      <x:c r="Q9" s="53">
        <x:v>8643.8845000000001</x:v>
      </x:c>
      <x:c r="R9" s="53">
        <x:v>7596.9285</x:v>
      </x:c>
      <x:c r="S9" s="53">
        <x:v>8266.3464999999997</x:v>
      </x:c>
      <x:c r="T9" s="53">
        <x:f>(S9)*1.05</x:f>
        <x:v>8679.6638249999996</x:v>
      </x:c>
    </x:row>
    <x:row r="10" spans="1:21">
      <x:c r="A10" s="50" t="s">
        <x:v>78</x:v>
      </x:c>
      <x:c r="B10" s="50" t="s">
        <x:v>83</x:v>
      </x:c>
      <x:c r="C10" s="64" t="s">
        <x:v>80</x:v>
      </x:c>
      <x:c r="D10" s="64" t="s">
        <x:v>90</x:v>
      </x:c>
      <x:c r="E10" s="64" t="s">
        <x:v>92</x:v>
      </x:c>
      <x:c r="F10" s="64" t="s">
        <x:v>100</x:v>
      </x:c>
      <x:c r="G10" s="64" t="s">
        <x:v>108</x:v>
      </x:c>
      <x:c r="H10" s="53">
        <x:f t="shared" si="1"/>
        <x:v>9147.637583333335</x:v>
      </x:c>
      <x:c r="I10" s="53">
        <x:v>8269.6540000000005</x:v>
      </x:c>
      <x:c r="J10" s="53">
        <x:v>9442.7235000000001</x:v>
      </x:c>
      <x:c r="K10" s="53">
        <x:v>9293.3619999999992</x:v>
      </x:c>
      <x:c r="L10" s="53">
        <x:f>K10</x:f>
        <x:v>9293.3619999999992</x:v>
      </x:c>
      <x:c r="M10" s="53">
        <x:f>L10</x:f>
        <x:v>9293.3619999999992</x:v>
      </x:c>
      <x:c r="N10" s="53">
        <x:f>M10</x:f>
        <x:v>9293.3619999999992</x:v>
      </x:c>
      <x:c r="O10" s="53"/>
      <x:c r="P10" s="53"/>
      <x:c r="Q10" s="53"/>
      <x:c r="R10" s="53"/>
      <x:c r="S10" s="53"/>
      <x:c r="T10" s="53"/>
      <x:c r="U10" s="50" t="s">
        <x:v>268</x:v>
      </x:c>
    </x:row>
    <x:row r="11" spans="1:21">
      <x:c r="A11" s="50" t="s">
        <x:v>76</x:v>
      </x:c>
      <x:c r="B11" s="50" t="s">
        <x:v>93</x:v>
      </x:c>
      <x:c r="C11" s="64" t="s">
        <x:v>77</x:v>
      </x:c>
      <x:c r="D11" s="64" t="s">
        <x:v>89</x:v>
      </x:c>
      <x:c r="E11" s="64" t="s">
        <x:v>96</x:v>
      </x:c>
      <x:c r="F11" s="64" t="s">
        <x:v>94</x:v>
      </x:c>
      <x:c r="G11" s="64" t="s">
        <x:v>105</x:v>
      </x:c>
      <x:c r="H11" s="56">
        <x:f t="shared" si="0"/>
        <x:v>14020.833333333334</x:v>
      </x:c>
      <x:c r="I11" s="53">
        <x:f>(59*11*20)+500</x:f>
        <x:v>13480</x:v>
      </x:c>
      <x:c r="J11" s="53">
        <x:f>(59*11*20)+500</x:f>
        <x:v>13480</x:v>
      </x:c>
      <x:c r="K11" s="53">
        <x:f>(59*11*22)+500</x:f>
        <x:v>14778</x:v>
      </x:c>
      <x:c r="L11" s="53">
        <x:f>(59*11*21)+500</x:f>
        <x:v>14129</x:v>
      </x:c>
      <x:c r="M11" s="53">
        <x:f>(59*11*18)+500</x:f>
        <x:v>12182</x:v>
      </x:c>
      <x:c r="N11" s="53">
        <x:f>(59*11*21)+500</x:f>
        <x:v>14129</x:v>
      </x:c>
      <x:c r="O11" s="53">
        <x:f>(59*11*23)+500</x:f>
        <x:v>15427</x:v>
      </x:c>
      <x:c r="P11" s="53">
        <x:f>(59*11*20)+500</x:f>
        <x:v>13480</x:v>
      </x:c>
      <x:c r="Q11" s="53">
        <x:f>(59*11*22)+500</x:f>
        <x:v>14778</x:v>
      </x:c>
      <x:c r="R11" s="53">
        <x:f>(59*11*22)+500</x:f>
        <x:v>14778</x:v>
      </x:c>
      <x:c r="S11" s="53">
        <x:f>(59*11*19)+500</x:f>
        <x:v>12831</x:v>
      </x:c>
      <x:c r="T11" s="53">
        <x:f>(59*11*22)+500</x:f>
        <x:v>14778</x:v>
      </x:c>
      <x:c r="U11" s="50" t="s">
        <x:v>257</x:v>
      </x:c>
    </x:row>
    <x:row r="12" spans="1:21">
      <x:c r="A12" s="50" t="s">
        <x:v>76</x:v>
      </x:c>
      <x:c r="B12" s="50" t="s">
        <x:v>95</x:v>
      </x:c>
      <x:c r="C12" s="64" t="s">
        <x:v>77</x:v>
      </x:c>
      <x:c r="D12" s="64" t="s">
        <x:v>61</x:v>
      </x:c>
      <x:c r="E12" s="64" t="s">
        <x:v>96</x:v>
      </x:c>
      <x:c r="F12" s="64" t="s">
        <x:v>97</x:v>
      </x:c>
      <x:c r="G12" s="64" t="s">
        <x:v>105</x:v>
      </x:c>
      <x:c r="H12" s="56">
        <x:f>AVERAGE(I12:T12)</x:f>
        <x:v>13520.833333333334</x:v>
      </x:c>
      <x:c r="I12" s="53">
        <x:f>(59*11*20)</x:f>
        <x:v>12980</x:v>
      </x:c>
      <x:c r="J12" s="53">
        <x:f>(59*11*20)</x:f>
        <x:v>12980</x:v>
      </x:c>
      <x:c r="K12" s="53">
        <x:f>(59*11*22)</x:f>
        <x:v>14278</x:v>
      </x:c>
      <x:c r="L12" s="53">
        <x:f>(59*11*21)</x:f>
        <x:v>13629</x:v>
      </x:c>
      <x:c r="M12" s="53">
        <x:f>(59*11*18)</x:f>
        <x:v>11682</x:v>
      </x:c>
      <x:c r="N12" s="53">
        <x:f>(59*11*21)</x:f>
        <x:v>13629</x:v>
      </x:c>
      <x:c r="O12" s="53">
        <x:f>(59*11*23)</x:f>
        <x:v>14927</x:v>
      </x:c>
      <x:c r="P12" s="53">
        <x:f>(59*11*20)</x:f>
        <x:v>12980</x:v>
      </x:c>
      <x:c r="Q12" s="53">
        <x:f>(59*11*22)</x:f>
        <x:v>14278</x:v>
      </x:c>
      <x:c r="R12" s="53">
        <x:f>(59*11*22)</x:f>
        <x:v>14278</x:v>
      </x:c>
      <x:c r="S12" s="53">
        <x:f>(59*11*19)</x:f>
        <x:v>12331</x:v>
      </x:c>
      <x:c r="T12" s="53">
        <x:f>(59*11*22)</x:f>
        <x:v>14278</x:v>
      </x:c>
      <x:c r="U12" s="50" t="s">
        <x:v>257</x:v>
      </x:c>
    </x:row>
    <x:row r="13" spans="1:21">
      <x:c r="A13" s="50" t="s">
        <x:v>76</x:v>
      </x:c>
      <x:c r="B13" s="50" t="s">
        <x:v>95</x:v>
      </x:c>
      <x:c r="C13" s="64" t="s">
        <x:v>77</x:v>
      </x:c>
      <x:c r="D13" s="64" t="s">
        <x:v>61</x:v>
      </x:c>
      <x:c r="E13" s="64" t="s">
        <x:v>96</x:v>
      </x:c>
      <x:c r="F13" s="64" t="s">
        <x:v>98</x:v>
      </x:c>
      <x:c r="G13" s="64" t="s">
        <x:v>105</x:v>
      </x:c>
      <x:c r="H13" s="56">
        <x:f t="shared" ref="H13:H14" si="2">AVERAGE(I13:T13)</x:f>
        <x:v>13520.833333333334</x:v>
      </x:c>
      <x:c r="I13" s="53">
        <x:f>I12</x:f>
        <x:v>12980</x:v>
      </x:c>
      <x:c r="J13" s="53">
        <x:f t="shared" ref="J13:T14" si="3">J12</x:f>
        <x:v>12980</x:v>
      </x:c>
      <x:c r="K13" s="53">
        <x:f t="shared" si="3"/>
        <x:v>14278</x:v>
      </x:c>
      <x:c r="L13" s="53">
        <x:f t="shared" si="3"/>
        <x:v>13629</x:v>
      </x:c>
      <x:c r="M13" s="53">
        <x:f t="shared" si="3"/>
        <x:v>11682</x:v>
      </x:c>
      <x:c r="N13" s="53">
        <x:f t="shared" si="3"/>
        <x:v>13629</x:v>
      </x:c>
      <x:c r="O13" s="53">
        <x:f t="shared" si="3"/>
        <x:v>14927</x:v>
      </x:c>
      <x:c r="P13" s="53">
        <x:f t="shared" si="3"/>
        <x:v>12980</x:v>
      </x:c>
      <x:c r="Q13" s="53">
        <x:f t="shared" si="3"/>
        <x:v>14278</x:v>
      </x:c>
      <x:c r="R13" s="53">
        <x:f t="shared" si="3"/>
        <x:v>14278</x:v>
      </x:c>
      <x:c r="S13" s="53">
        <x:f t="shared" si="3"/>
        <x:v>12331</x:v>
      </x:c>
      <x:c r="T13" s="53">
        <x:f t="shared" si="3"/>
        <x:v>14278</x:v>
      </x:c>
      <x:c r="U13" s="50" t="s">
        <x:v>257</x:v>
      </x:c>
    </x:row>
    <x:row r="14" spans="1:21">
      <x:c r="A14" s="50" t="s">
        <x:v>76</x:v>
      </x:c>
      <x:c r="B14" s="50" t="s">
        <x:v>95</x:v>
      </x:c>
      <x:c r="C14" s="64" t="s">
        <x:v>77</x:v>
      </x:c>
      <x:c r="D14" s="64" t="s">
        <x:v>61</x:v>
      </x:c>
      <x:c r="E14" s="64" t="s">
        <x:v>96</x:v>
      </x:c>
      <x:c r="F14" s="64" t="s">
        <x:v>152</x:v>
      </x:c>
      <x:c r="G14" s="64" t="s">
        <x:v>105</x:v>
      </x:c>
      <x:c r="H14" s="56">
        <x:f t="shared" si="2"/>
        <x:v>13520.833333333334</x:v>
      </x:c>
      <x:c r="I14" s="53">
        <x:f>I13</x:f>
        <x:v>12980</x:v>
      </x:c>
      <x:c r="J14" s="53">
        <x:f t="shared" si="3"/>
        <x:v>12980</x:v>
      </x:c>
      <x:c r="K14" s="53">
        <x:f t="shared" si="3"/>
        <x:v>14278</x:v>
      </x:c>
      <x:c r="L14" s="53">
        <x:f t="shared" si="3"/>
        <x:v>13629</x:v>
      </x:c>
      <x:c r="M14" s="53">
        <x:f t="shared" si="3"/>
        <x:v>11682</x:v>
      </x:c>
      <x:c r="N14" s="53">
        <x:f t="shared" si="3"/>
        <x:v>13629</x:v>
      </x:c>
      <x:c r="O14" s="53">
        <x:f t="shared" si="3"/>
        <x:v>14927</x:v>
      </x:c>
      <x:c r="P14" s="53">
        <x:f t="shared" si="3"/>
        <x:v>12980</x:v>
      </x:c>
      <x:c r="Q14" s="53">
        <x:f t="shared" si="3"/>
        <x:v>14278</x:v>
      </x:c>
      <x:c r="R14" s="53">
        <x:f t="shared" si="3"/>
        <x:v>14278</x:v>
      </x:c>
      <x:c r="S14" s="53">
        <x:f t="shared" si="3"/>
        <x:v>12331</x:v>
      </x:c>
      <x:c r="T14" s="53">
        <x:f t="shared" si="3"/>
        <x:v>14278</x:v>
      </x:c>
      <x:c r="U14" s="50" t="s">
        <x:v>257</x:v>
      </x:c>
    </x:row>
    <x:row r="15" spans="1:21">
      <x:c r="A15" s="50" t="s">
        <x:v>106</x:v>
      </x:c>
      <x:c r="F15" s="50" t="s">
        <x:v>148</x:v>
      </x:c>
      <x:c r="G15" s="78" t="s">
        <x:v>173</x:v>
      </x:c>
      <x:c r="H15" s="80">
        <x:f>AVERAGE(I15:T15)</x:f>
        <x:v>54583.333333333336</x:v>
      </x:c>
      <x:c r="I15" s="80">
        <x:f t="shared" ref="I15:T15" si="4">SUMIF($G:$G,"제조직접",I:I)</x:f>
        <x:v>52420</x:v>
      </x:c>
      <x:c r="J15" s="80">
        <x:f t="shared" si="4"/>
        <x:v>52420</x:v>
      </x:c>
      <x:c r="K15" s="80">
        <x:f t="shared" si="4"/>
        <x:v>57612</x:v>
      </x:c>
      <x:c r="L15" s="80">
        <x:f t="shared" si="4"/>
        <x:v>55016</x:v>
      </x:c>
      <x:c r="M15" s="80">
        <x:f t="shared" si="4"/>
        <x:v>47228</x:v>
      </x:c>
      <x:c r="N15" s="80">
        <x:f t="shared" si="4"/>
        <x:v>55016</x:v>
      </x:c>
      <x:c r="O15" s="80">
        <x:f t="shared" si="4"/>
        <x:v>60208</x:v>
      </x:c>
      <x:c r="P15" s="80">
        <x:f t="shared" si="4"/>
        <x:v>52420</x:v>
      </x:c>
      <x:c r="Q15" s="80">
        <x:f t="shared" si="4"/>
        <x:v>57612</x:v>
      </x:c>
      <x:c r="R15" s="80">
        <x:f t="shared" si="4"/>
        <x:v>57612</x:v>
      </x:c>
      <x:c r="S15" s="80">
        <x:f t="shared" si="4"/>
        <x:v>49824</x:v>
      </x:c>
      <x:c r="T15" s="80">
        <x:f t="shared" si="4"/>
        <x:v>57612</x:v>
      </x:c>
    </x:row>
    <x:row r="16" spans="1:21">
      <x:c r="A16" s="50" t="s">
        <x:v>107</x:v>
      </x:c>
      <x:c r="F16" s="50" t="s">
        <x:v>149</x:v>
      </x:c>
      <x:c r="G16" s="78" t="s">
        <x:v>173</x:v>
      </x:c>
      <x:c r="H16" s="80">
        <x:f>AVERAGE(I16:T16)</x:f>
        <x:v>28480.465777083329</x:v>
      </x:c>
      <x:c r="I16" s="80">
        <x:f t="shared" ref="I16:T16" si="5">SUMIF($G:$G,"제조간접",I:I)</x:f>
        <x:v>34328.104500000001</x:v>
      </x:c>
      <x:c r="J16" s="80">
        <x:f t="shared" si="5"/>
        <x:v>38431.019500000002</x:v>
      </x:c>
      <x:c r="K16" s="80">
        <x:f t="shared" si="5"/>
        <x:v>37483.048999999999</x:v>
      </x:c>
      <x:c r="L16" s="80">
        <x:f t="shared" si="5"/>
        <x:v>36858.11</x:v>
      </x:c>
      <x:c r="M16" s="80">
        <x:f t="shared" si="5"/>
        <x:v>36428.428999999996</x:v>
      </x:c>
      <x:c r="N16" s="80">
        <x:f t="shared" si="5"/>
        <x:v>38167.334999999999</x:v>
      </x:c>
      <x:c r="O16" s="80">
        <x:f t="shared" si="5"/>
        <x:v>20093.840499999998</x:v>
      </x:c>
      <x:c r="P16" s="80">
        <x:f t="shared" si="5"/>
        <x:v>19559.034500000002</x:v>
      </x:c>
      <x:c r="Q16" s="80">
        <x:f t="shared" si="5"/>
        <x:v>20791.281999999999</x:v>
      </x:c>
      <x:c r="R16" s="80">
        <x:f t="shared" si="5"/>
        <x:v>18679.375</x:v>
      </x:c>
      <x:c r="S16" s="80">
        <x:f t="shared" si="5"/>
        <x:v>20266.3465</x:v>
      </x:c>
      <x:c r="T16" s="80">
        <x:f t="shared" si="5"/>
        <x:v>20679.663825</x:v>
      </x:c>
    </x:row>
    <x:row r="17" spans="1:20">
      <x:c r="A17" s="50" t="s">
        <x:v>99</x:v>
      </x:c>
      <x:c r="F17" s="50" t="s">
        <x:v>150</x:v>
      </x:c>
      <x:c r="G17" s="78" t="s">
        <x:v>173</x:v>
      </x:c>
      <x:c r="H17" s="80">
        <x:f>AVERAGE(I17:T17)</x:f>
        <x:v>25157.211864583336</x:v>
      </x:c>
      <x:c r="I17" s="80">
        <x:f t="shared" ref="I17:T17" si="6">SUMIF($G:$G,"판관",I:I)</x:f>
        <x:v>24438.592975</x:v>
      </x:c>
      <x:c r="J17" s="80">
        <x:f t="shared" si="6"/>
        <x:v>24973.309999999998</x:v>
      </x:c>
      <x:c r="K17" s="80">
        <x:f t="shared" si="6"/>
        <x:v>24728.783500000001</x:v>
      </x:c>
      <x:c r="L17" s="80">
        <x:f t="shared" si="6"/>
        <x:v>25555.362475000002</x:v>
      </x:c>
      <x:c r="M17" s="80">
        <x:f t="shared" si="6"/>
        <x:v>24830.633450000001</x:v>
      </x:c>
      <x:c r="N17" s="80">
        <x:f t="shared" si="6"/>
        <x:v>24707.081874999996</x:v>
      </x:c>
      <x:c r="O17" s="80">
        <x:f t="shared" si="6"/>
        <x:v>24825.363275000003</x:v>
      </x:c>
      <x:c r="P17" s="80">
        <x:f t="shared" si="6"/>
        <x:v>24825.743450000002</x:v>
      </x:c>
      <x:c r="Q17" s="80">
        <x:f t="shared" si="6"/>
        <x:v>26116.135549999999</x:v>
      </x:c>
      <x:c r="R17" s="80">
        <x:f t="shared" si="6"/>
        <x:v>24488.667825000004</x:v>
      </x:c>
      <x:c r="S17" s="80">
        <x:f t="shared" si="6"/>
        <x:v>25566.868000000002</x:v>
      </x:c>
      <x:c r="T17" s="80">
        <x:f t="shared" si="6"/>
        <x:v>26830</x:v>
      </x:c>
    </x:row>
  </x:sheetData>
  <x:phoneticPr fontId="2" type="noConversion"/>
  <x:pageMargins left="0.7" right="0.7" top="0.75" bottom="0.75" header="0.3" footer="0.3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0000CC"/>
  </x:sheetPr>
  <x:dimension ref="A1:T47"/>
  <x:sheetViews>
    <x:sheetView topLeftCell="A22" workbookViewId="0">
      <x:selection activeCell="Q37" sqref="Q37"/>
    </x:sheetView>
  </x:sheetViews>
  <x:sheetFormatPr defaultColWidth="8.875" defaultRowHeight="16.5"/>
  <x:cols>
    <x:col min="1" max="1" width="13.375" style="50" bestFit="1" customWidth="1"/>
    <x:col min="2" max="2" width="22.25" style="50" bestFit="1" customWidth="1"/>
    <x:col min="3" max="3" width="10.75" style="50" customWidth="1"/>
    <x:col min="4" max="4" width="7.25" style="50" bestFit="1" customWidth="1"/>
    <x:col min="5" max="16" width="12.25" style="50" bestFit="1" customWidth="1"/>
    <x:col min="17" max="17" width="15.125" style="50" bestFit="1" customWidth="1"/>
    <x:col min="18" max="18" width="13.625" style="50" bestFit="1" customWidth="1"/>
    <x:col min="19" max="16384" width="8.875" style="50"/>
  </x:cols>
  <x:sheetData>
    <x:row r="1" spans="1:20">
      <x:c r="C1" s="50" t="s">
        <x:v>282</x:v>
      </x:c>
      <x:c r="D1" s="52" t="s">
        <x:v>43</x:v>
      </x:c>
      <x:c r="E1" s="8" t="s">
        <x:v>2</x:v>
      </x:c>
      <x:c r="F1" s="8" t="s">
        <x:v>3</x:v>
      </x:c>
      <x:c r="G1" s="8" t="s">
        <x:v>4</x:v>
      </x:c>
      <x:c r="H1" s="8" t="s">
        <x:v>5</x:v>
      </x:c>
      <x:c r="I1" s="8" t="s">
        <x:v>6</x:v>
      </x:c>
      <x:c r="J1" s="8" t="s">
        <x:v>7</x:v>
      </x:c>
      <x:c r="K1" s="8" t="s">
        <x:v>8</x:v>
      </x:c>
      <x:c r="L1" s="8" t="s">
        <x:v>9</x:v>
      </x:c>
      <x:c r="M1" s="8" t="s">
        <x:v>10</x:v>
      </x:c>
      <x:c r="N1" s="8" t="s">
        <x:v>11</x:v>
      </x:c>
      <x:c r="O1" s="8" t="s">
        <x:v>12</x:v>
      </x:c>
      <x:c r="P1" s="8" t="s">
        <x:v>13</x:v>
      </x:c>
      <x:c r="Q1" s="8" t="s">
        <x:v>31</x:v>
      </x:c>
      <x:c r="R1" s="8" t="s">
        <x:v>45</x:v>
      </x:c>
    </x:row>
    <x:row r="2" spans="1:20">
      <x:c r="A2" s="6" t="s">
        <x:v>0</x:v>
      </x:c>
      <x:c r="B2" s="21" t="s">
        <x:v>254</x:v>
      </x:c>
      <x:c r="C2" s="154">
        <x:f>VLOOKUP(B:B,'판매가,매입가'!B:H,7,0)</x:f>
        <x:v>2.5499999999999998</x:v>
      </x:c>
      <x:c r="D2" s="60">
        <x:v>3.3000000000000002E-2</x:v>
      </x:c>
      <x:c r="E2" s="55">
        <x:f>사업계획!F9*$C$2*$D$2</x:f>
        <x:v>0</x:v>
      </x:c>
      <x:c r="F2" s="55">
        <x:f>사업계획!G9*$C$2*$D$2</x:f>
        <x:v>0</x:v>
      </x:c>
      <x:c r="G2" s="55">
        <x:f>사업계획!H9*$C$2*$D$2</x:f>
        <x:v>84.15</x:v>
      </x:c>
      <x:c r="H2" s="55">
        <x:f>사업계획!I9*$C$2*$D$2</x:f>
        <x:v>0</x:v>
      </x:c>
      <x:c r="I2" s="55">
        <x:f>사업계획!J9*$C$2*$D$2</x:f>
        <x:v>0</x:v>
      </x:c>
      <x:c r="J2" s="55"/>
      <x:c r="K2" s="55"/>
      <x:c r="L2" s="55"/>
      <x:c r="M2" s="55"/>
      <x:c r="N2" s="55"/>
      <x:c r="O2" s="55"/>
      <x:c r="P2" s="55"/>
      <x:c r="Q2" s="55">
        <x:f t="shared" ref="Q2:Q22" si="0">SUM(E2:P2)</x:f>
        <x:v>84.15</x:v>
      </x:c>
      <x:c r="R2" s="61"/>
      <x:c r="T2" s="50" t="s">
        <x:v>254</x:v>
      </x:c>
    </x:row>
    <x:row r="3" spans="1:20">
      <x:c r="A3" s="6" t="s">
        <x:v>0</x:v>
      </x:c>
      <x:c r="B3" s="21" t="s">
        <x:v>255</x:v>
      </x:c>
      <x:c r="C3" s="154">
        <x:f>VLOOKUP(B:B,'판매가,매입가'!B:H,7,0)</x:f>
        <x:v>8.25</x:v>
      </x:c>
      <x:c r="D3" s="60">
        <x:v>3.3000000000000002E-2</x:v>
      </x:c>
      <x:c r="E3" s="55">
        <x:f>사업계획!F10*$C$3*$D$3</x:f>
        <x:v>0</x:v>
      </x:c>
      <x:c r="F3" s="55">
        <x:f>사업계획!G10*$C$3*$D$3</x:f>
        <x:v>0</x:v>
      </x:c>
      <x:c r="G3" s="55">
        <x:f>사업계획!H10*$C$3*$D$3</x:f>
        <x:v>163.35</x:v>
      </x:c>
      <x:c r="H3" s="55">
        <x:f>사업계획!I10*$C$3*$D$3</x:f>
        <x:v>163.35</x:v>
      </x:c>
      <x:c r="I3" s="55">
        <x:f>사업계획!J10*$C$3*$D$3</x:f>
        <x:v>0</x:v>
      </x:c>
      <x:c r="J3" s="55"/>
      <x:c r="K3" s="55"/>
      <x:c r="L3" s="55"/>
      <x:c r="M3" s="55"/>
      <x:c r="N3" s="55"/>
      <x:c r="O3" s="55"/>
      <x:c r="P3" s="55"/>
      <x:c r="Q3" s="55">
        <x:f t="shared" si="0"/>
        <x:v>326.7</x:v>
      </x:c>
      <x:c r="R3" s="61"/>
      <x:c r="T3" s="50" t="s">
        <x:v>255</x:v>
      </x:c>
    </x:row>
    <x:row r="4" spans="1:20">
      <x:c r="A4" s="6" t="s">
        <x:v>0</x:v>
      </x:c>
      <x:c r="B4" s="21" t="s">
        <x:v>253</x:v>
      </x:c>
      <x:c r="C4" s="154">
        <x:f>VLOOKUP(B:B,'판매가,매입가'!B:H,7,0)</x:f>
        <x:v>98.23</x:v>
      </x:c>
      <x:c r="D4" s="60">
        <x:v>3.6999999999999998E-2</x:v>
      </x:c>
      <x:c r="E4" s="55">
        <x:f>사업계획!F11*$C$4*$D$4</x:f>
        <x:v>1221.1953600000002</x:v>
      </x:c>
      <x:c r="F4" s="55">
        <x:f>사업계획!G11*$C$4*$D$4</x:f>
        <x:v>1424.7279200000003</x:v>
      </x:c>
      <x:c r="G4" s="55">
        <x:f>사업계획!H11*$C$4*$D$4</x:f>
        <x:v>1526.4942000000001</x:v>
      </x:c>
      <x:c r="H4" s="55">
        <x:f>사업계획!I11*$C$4*$D$4</x:f>
        <x:v>1526.4942000000001</x:v>
      </x:c>
      <x:c r="I4" s="55">
        <x:f>사업계획!J11*$C$4*$D$4</x:f>
        <x:v>1526.4942000000001</x:v>
      </x:c>
      <x:c r="J4" s="55"/>
      <x:c r="K4" s="55"/>
      <x:c r="L4" s="55"/>
      <x:c r="M4" s="55"/>
      <x:c r="N4" s="55"/>
      <x:c r="O4" s="55"/>
      <x:c r="P4" s="55"/>
      <x:c r="Q4" s="55">
        <x:f t="shared" si="0"/>
        <x:v>7225.4058800000003</x:v>
      </x:c>
      <x:c r="R4" s="61"/>
      <x:c r="T4" s="50" t="s">
        <x:v>253</x:v>
      </x:c>
    </x:row>
    <x:row r="5" spans="1:20">
      <x:c r="A5" s="6" t="s">
        <x:v>0</x:v>
      </x:c>
      <x:c r="B5" s="21" t="s">
        <x:v>252</x:v>
      </x:c>
      <x:c r="C5" s="154">
        <x:f>VLOOKUP(B:B,'판매가,매입가'!B:H,7,0)</x:f>
        <x:v>19.510000000000002</x:v>
      </x:c>
      <x:c r="D5" s="60">
        <x:v>2.3E-2</x:v>
      </x:c>
      <x:c r="E5" s="55">
        <x:f>사업계획!F12*$C$5*$D$5</x:f>
        <x:v>0</x:v>
      </x:c>
      <x:c r="F5" s="55">
        <x:f>사업계획!G12*$C$5*$D$5</x:f>
        <x:v>0</x:v>
      </x:c>
      <x:c r="G5" s="55">
        <x:f>사업계획!H12*$C$5*$D$5</x:f>
        <x:v>0</x:v>
      </x:c>
      <x:c r="H5" s="55">
        <x:f>사업계획!I12*$C$5*$D$5</x:f>
        <x:v>0</x:v>
      </x:c>
      <x:c r="I5" s="55">
        <x:f>사업계획!J12*$C$5*$D$5</x:f>
        <x:v>0</x:v>
      </x:c>
      <x:c r="J5" s="55"/>
      <x:c r="K5" s="55"/>
      <x:c r="L5" s="55"/>
      <x:c r="M5" s="55"/>
      <x:c r="N5" s="55"/>
      <x:c r="O5" s="55"/>
      <x:c r="P5" s="55"/>
      <x:c r="Q5" s="55">
        <x:f t="shared" si="0"/>
        <x:v>0</x:v>
      </x:c>
      <x:c r="R5" s="61"/>
      <x:c r="T5" s="50" t="s">
        <x:v>252</x:v>
      </x:c>
    </x:row>
    <x:row r="6" spans="1:20">
      <x:c r="A6" s="6" t="s">
        <x:v>0</x:v>
      </x:c>
      <x:c r="B6" s="21" t="s">
        <x:v>251</x:v>
      </x:c>
      <x:c r="C6" s="154">
        <x:f>VLOOKUP(B:B,'판매가,매입가'!B:H,7,0)</x:f>
        <x:v>114.58</x:v>
      </x:c>
      <x:c r="D6" s="60">
        <x:v>1.7000000000000001E-2</x:v>
      </x:c>
      <x:c r="E6" s="55">
        <x:f>사업계획!F13*$C$6*$D$6</x:f>
        <x:v>0</x:v>
      </x:c>
      <x:c r="F6" s="55">
        <x:f>사업계획!G13*$C$6*$D$6</x:f>
        <x:v>0</x:v>
      </x:c>
      <x:c r="G6" s="55">
        <x:f>사업계획!H13*$C$6*$D$6</x:f>
        <x:v>0</x:v>
      </x:c>
      <x:c r="H6" s="55">
        <x:f>사업계획!I13*$C$6*$D$6</x:f>
        <x:v>0</x:v>
      </x:c>
      <x:c r="I6" s="55">
        <x:f>사업계획!J13*$C$6*$D$6</x:f>
        <x:v>0</x:v>
      </x:c>
      <x:c r="J6" s="55"/>
      <x:c r="K6" s="55"/>
      <x:c r="L6" s="55"/>
      <x:c r="M6" s="55"/>
      <x:c r="N6" s="55"/>
      <x:c r="O6" s="55"/>
      <x:c r="P6" s="55"/>
      <x:c r="Q6" s="55">
        <x:f t="shared" si="0"/>
        <x:v>0</x:v>
      </x:c>
      <x:c r="R6" s="61"/>
      <x:c r="T6" s="50" t="s">
        <x:v>251</x:v>
      </x:c>
    </x:row>
    <x:row r="7" spans="1:20">
      <x:c r="A7" s="6" t="s">
        <x:v>0</x:v>
      </x:c>
      <x:c r="B7" s="21" t="s">
        <x:v>272</x:v>
      </x:c>
      <x:c r="C7" s="154">
        <x:f>VLOOKUP(B:B,'판매가,매입가'!B:H,7,0)</x:f>
        <x:v>3.1534697508896792</x:v>
      </x:c>
      <x:c r="D7" s="60">
        <x:v>3.3000000000000002E-2</x:v>
      </x:c>
      <x:c r="E7" s="55"/>
      <x:c r="F7" s="55"/>
      <x:c r="G7" s="55"/>
      <x:c r="H7" s="55"/>
      <x:c r="I7" s="55"/>
      <x:c r="J7" s="55">
        <x:f>사업계획!K14*$C$7*$D$7</x:f>
        <x:v>0</x:v>
      </x:c>
      <x:c r="K7" s="55">
        <x:f>사업계획!L14*$C$7*$D$7</x:f>
        <x:v>0</x:v>
      </x:c>
      <x:c r="L7" s="55">
        <x:f>사업계획!M14*$C$7*$D$7</x:f>
        <x:v>0</x:v>
      </x:c>
      <x:c r="M7" s="55">
        <x:f>사업계획!N14*$C$7*$D$7</x:f>
        <x:v>0</x:v>
      </x:c>
      <x:c r="N7" s="55">
        <x:f>사업계획!O14*$C$7*$D$7</x:f>
        <x:v>0</x:v>
      </x:c>
      <x:c r="O7" s="55">
        <x:f>사업계획!P14*$C$7*$D$7</x:f>
        <x:v>0</x:v>
      </x:c>
      <x:c r="P7" s="55">
        <x:f>사업계획!Q14*$C$7*$D$7</x:f>
        <x:v>0</x:v>
      </x:c>
      <x:c r="Q7" s="55">
        <x:f t="shared" si="0"/>
        <x:v>0</x:v>
      </x:c>
      <x:c r="R7" s="61"/>
    </x:row>
    <x:row r="8" spans="1:20">
      <x:c r="A8" s="6" t="s">
        <x:v>0</x:v>
      </x:c>
      <x:c r="B8" s="21" t="s">
        <x:v>273</x:v>
      </x:c>
      <x:c r="C8" s="154">
        <x:f>VLOOKUP(B:B,'판매가,매입가'!B:H,7,0)</x:f>
        <x:v>10.202402135231317</x:v>
      </x:c>
      <x:c r="D8" s="60">
        <x:v>3.3000000000000002E-2</x:v>
      </x:c>
      <x:c r="E8" s="55"/>
      <x:c r="F8" s="55"/>
      <x:c r="G8" s="55"/>
      <x:c r="H8" s="55"/>
      <x:c r="I8" s="55"/>
      <x:c r="J8" s="55">
        <x:f>사업계획!K15*$C$8*$D$8</x:f>
        <x:v>0</x:v>
      </x:c>
      <x:c r="K8" s="55">
        <x:f>사업계획!L15*$C$8*$D$8</x:f>
        <x:v>0</x:v>
      </x:c>
      <x:c r="L8" s="55">
        <x:f>사업계획!M15*$C$8*$D$8</x:f>
        <x:v>0</x:v>
      </x:c>
      <x:c r="M8" s="55">
        <x:f>사업계획!N15*$C$8*$D$8</x:f>
        <x:v>0</x:v>
      </x:c>
      <x:c r="N8" s="55">
        <x:f>사업계획!O15*$C$8*$D$8</x:f>
        <x:v>0</x:v>
      </x:c>
      <x:c r="O8" s="55">
        <x:f>사업계획!P15*$C$8*$D$8</x:f>
        <x:v>0</x:v>
      </x:c>
      <x:c r="P8" s="55">
        <x:f>사업계획!Q15*$C$8*$D$8</x:f>
        <x:v>0</x:v>
      </x:c>
      <x:c r="Q8" s="55">
        <x:f t="shared" si="0"/>
        <x:v>0</x:v>
      </x:c>
      <x:c r="R8" s="61"/>
    </x:row>
    <x:row r="9" spans="1:20">
      <x:c r="A9" s="6" t="s">
        <x:v>0</x:v>
      </x:c>
      <x:c r="B9" s="21" t="s">
        <x:v>271</x:v>
      </x:c>
      <x:c r="C9" s="154">
        <x:f>VLOOKUP(B:B,'판매가,매입가'!B:H,7,0)</x:f>
        <x:v>169.74074823943661</x:v>
      </x:c>
      <x:c r="D9" s="60">
        <x:v>3.6999999999999998E-2</x:v>
      </x:c>
      <x:c r="E9" s="55"/>
      <x:c r="F9" s="55"/>
      <x:c r="G9" s="55"/>
      <x:c r="H9" s="55"/>
      <x:c r="I9" s="55"/>
      <x:c r="J9" s="55">
        <x:f>사업계획!K16*$C$9*$D$9</x:f>
        <x:v>3517.028303521126</x:v>
      </x:c>
      <x:c r="K9" s="55">
        <x:f>사업계획!L16*$C$9*$D$9</x:f>
        <x:v>2637.7712276408456</x:v>
      </x:c>
      <x:c r="L9" s="55">
        <x:f>사업계획!M16*$C$9*$D$9</x:f>
        <x:v>4747.988209753521</x:v>
      </x:c>
      <x:c r="M9" s="55">
        <x:f>사업계획!N16*$C$9*$D$9</x:f>
        <x:v>2637.7712276408456</x:v>
      </x:c>
      <x:c r="N9" s="55">
        <x:f>사업계획!O16*$C$9*$D$9</x:f>
        <x:v>3517.028303521126</x:v>
      </x:c>
      <x:c r="O9" s="55">
        <x:f>사업계획!P16*$C$9*$D$9</x:f>
        <x:v>1758.514151760563</x:v>
      </x:c>
      <x:c r="P9" s="55">
        <x:f>사업계획!Q16*$C$9*$D$9</x:f>
        <x:v>1230.9599062323944</x:v>
      </x:c>
      <x:c r="Q9" s="55">
        <x:f t="shared" si="0"/>
        <x:v>20047.061330070421</x:v>
      </x:c>
      <x:c r="R9" s="61"/>
    </x:row>
    <x:row r="10" spans="1:20">
      <x:c r="A10" s="6" t="s">
        <x:v>0</x:v>
      </x:c>
      <x:c r="B10" s="21" t="s">
        <x:v>270</x:v>
      </x:c>
      <x:c r="C10" s="154">
        <x:f>VLOOKUP(B:B,'판매가,매입가'!B:H,7,0)</x:f>
        <x:v>24.12</x:v>
      </x:c>
      <x:c r="D10" s="60">
        <x:v>2.3E-2</x:v>
      </x:c>
      <x:c r="E10" s="55"/>
      <x:c r="F10" s="55"/>
      <x:c r="G10" s="55"/>
      <x:c r="H10" s="55"/>
      <x:c r="I10" s="55"/>
      <x:c r="J10" s="55">
        <x:f>사업계획!K17*$C$9*$D$9</x:f>
        <x:v>0</x:v>
      </x:c>
      <x:c r="K10" s="55">
        <x:f>사업계획!L17*$C$9*$D$9</x:f>
        <x:v>0</x:v>
      </x:c>
      <x:c r="L10" s="55">
        <x:f>사업계획!M17*$C$9*$D$9</x:f>
        <x:v>0</x:v>
      </x:c>
      <x:c r="M10" s="55">
        <x:f>사업계획!N17*$C$9*$D$9</x:f>
        <x:v>0</x:v>
      </x:c>
      <x:c r="N10" s="55">
        <x:f>사업계획!O17*$C$9*$D$9</x:f>
        <x:v>0</x:v>
      </x:c>
      <x:c r="O10" s="55">
        <x:f>사업계획!P17*$C$9*$D$9</x:f>
        <x:v>0</x:v>
      </x:c>
      <x:c r="P10" s="55">
        <x:f>사업계획!Q17*$C$9*$D$9</x:f>
        <x:v>0</x:v>
      </x:c>
      <x:c r="Q10" s="55">
        <x:f t="shared" si="0"/>
        <x:v>0</x:v>
      </x:c>
      <x:c r="R10" s="61"/>
    </x:row>
    <x:row r="11" spans="1:20">
      <x:c r="A11" s="6" t="s">
        <x:v>0</x:v>
      </x:c>
      <x:c r="B11" s="21" t="s">
        <x:v>269</x:v>
      </x:c>
      <x:c r="C11" s="154">
        <x:f>VLOOKUP(B:B,'판매가,매입가'!B:H,7,0)</x:f>
        <x:v>141.68</x:v>
      </x:c>
      <x:c r="D11" s="60">
        <x:v>1.7000000000000001E-2</x:v>
      </x:c>
      <x:c r="E11" s="55"/>
      <x:c r="F11" s="55"/>
      <x:c r="G11" s="55"/>
      <x:c r="H11" s="55"/>
      <x:c r="I11" s="55"/>
      <x:c r="J11" s="55">
        <x:f>사업계획!K18*$C$10*$D$10</x:f>
        <x:v>0</x:v>
      </x:c>
      <x:c r="K11" s="55">
        <x:f>사업계획!L18*$C$10*$D$10</x:f>
        <x:v>0</x:v>
      </x:c>
      <x:c r="L11" s="55">
        <x:f>사업계획!M18*$C$10*$D$10</x:f>
        <x:v>0</x:v>
      </x:c>
      <x:c r="M11" s="55">
        <x:f>사업계획!N18*$C$10*$D$10</x:f>
        <x:v>0</x:v>
      </x:c>
      <x:c r="N11" s="55">
        <x:f>사업계획!O18*$C$10*$D$10</x:f>
        <x:v>0</x:v>
      </x:c>
      <x:c r="O11" s="55">
        <x:f>사업계획!P18*$C$10*$D$10</x:f>
        <x:v>0</x:v>
      </x:c>
      <x:c r="P11" s="55">
        <x:f>사업계획!Q18*$C$10*$D$10</x:f>
        <x:v>0</x:v>
      </x:c>
      <x:c r="Q11" s="55">
        <x:f t="shared" si="0"/>
        <x:v>0</x:v>
      </x:c>
      <x:c r="R11" s="61"/>
    </x:row>
    <x:row r="12" spans="1:20">
      <x:c r="A12" s="6" t="s">
        <x:v>0</x:v>
      </x:c>
      <x:c r="B12" s="21" t="s">
        <x:v>33</x:v>
      </x:c>
      <x:c r="C12" s="154">
        <x:f>VLOOKUP(B:B,'판매가,매입가'!B:H,7,0)</x:f>
        <x:v>0.61</x:v>
      </x:c>
      <x:c r="D12" s="60">
        <x:v>0</x:v>
      </x:c>
      <x:c r="E12" s="55">
        <x:f>사업계획!F19*$C$12*$D$12</x:f>
        <x:v>0</x:v>
      </x:c>
      <x:c r="F12" s="55">
        <x:f>사업계획!G19*$C$12*$D$12</x:f>
        <x:v>0</x:v>
      </x:c>
      <x:c r="G12" s="55">
        <x:f>사업계획!H19*$C$12*$D$12</x:f>
        <x:v>0</x:v>
      </x:c>
      <x:c r="H12" s="55">
        <x:f>사업계획!I19*$C$12*$D$12</x:f>
        <x:v>0</x:v>
      </x:c>
      <x:c r="I12" s="55">
        <x:f>사업계획!J19*$C$12*$D$12</x:f>
        <x:v>0</x:v>
      </x:c>
      <x:c r="J12" s="55">
        <x:f>사업계획!K19*$C$12*$D$12</x:f>
        <x:v>0</x:v>
      </x:c>
      <x:c r="K12" s="55">
        <x:f>사업계획!L19*$C$12*$D$12</x:f>
        <x:v>0</x:v>
      </x:c>
      <x:c r="L12" s="55">
        <x:f>사업계획!M19*$C$12*$D$12</x:f>
        <x:v>0</x:v>
      </x:c>
      <x:c r="M12" s="55">
        <x:f>사업계획!N19*$C$12*$D$12</x:f>
        <x:v>0</x:v>
      </x:c>
      <x:c r="N12" s="55">
        <x:f>사업계획!O19*$C$12*$D$12</x:f>
        <x:v>0</x:v>
      </x:c>
      <x:c r="O12" s="55">
        <x:f>사업계획!P19*$C$12*$D$12</x:f>
        <x:v>0</x:v>
      </x:c>
      <x:c r="P12" s="55">
        <x:f>사업계획!Q19*$C$12*$D$12</x:f>
        <x:v>0</x:v>
      </x:c>
      <x:c r="Q12" s="55">
        <x:f t="shared" si="0"/>
        <x:v>0</x:v>
      </x:c>
      <x:c r="R12" s="61"/>
    </x:row>
    <x:row r="13" spans="1:20">
      <x:c r="A13" s="6" t="s">
        <x:v>1</x:v>
      </x:c>
      <x:c r="B13" s="21" t="s">
        <x:v>34</x:v>
      </x:c>
      <x:c r="C13" s="154">
        <x:f>VLOOKUP(B:B,'판매가,매입가'!B:H,7,0)</x:f>
        <x:v>3.41</x:v>
      </x:c>
      <x:c r="D13" s="60">
        <x:v>3.3000000000000002E-2</x:v>
      </x:c>
      <x:c r="E13" s="55">
        <x:f>사업계획!F20*$C$13*$D$13</x:f>
        <x:v>112.53</x:v>
      </x:c>
      <x:c r="F13" s="55">
        <x:f>사업계획!G20*$C$13*$D$13</x:f>
        <x:v>0</x:v>
      </x:c>
      <x:c r="G13" s="55">
        <x:f>사업계획!H20*$C$13*$D$13</x:f>
        <x:v>0</x:v>
      </x:c>
      <x:c r="H13" s="55">
        <x:f>사업계획!I20*$C$13*$D$13</x:f>
        <x:v>0</x:v>
      </x:c>
      <x:c r="I13" s="55">
        <x:f>사업계획!J20*$C$13*$D$13</x:f>
        <x:v>202.554</x:v>
      </x:c>
      <x:c r="J13" s="55">
        <x:f>사업계획!K20*$C$13*$D$13</x:f>
        <x:v>202.554</x:v>
      </x:c>
      <x:c r="K13" s="55">
        <x:f>사업계획!L20*$C$13*$D$13</x:f>
        <x:v>202.554</x:v>
      </x:c>
      <x:c r="L13" s="55">
        <x:f>사업계획!M20*$C$13*$D$13</x:f>
        <x:v>202.554</x:v>
      </x:c>
      <x:c r="M13" s="55">
        <x:f>사업계획!N20*$C$13*$D$13</x:f>
        <x:v>202.554</x:v>
      </x:c>
      <x:c r="N13" s="55">
        <x:f>사업계획!O20*$C$13*$D$13</x:f>
        <x:v>202.554</x:v>
      </x:c>
      <x:c r="O13" s="55">
        <x:f>사업계획!P20*$C$13*$D$13</x:f>
        <x:v>202.554</x:v>
      </x:c>
      <x:c r="P13" s="55">
        <x:f>사업계획!Q20*$C$13*$D$13</x:f>
        <x:v>202.554</x:v>
      </x:c>
      <x:c r="Q13" s="55">
        <x:f t="shared" si="0"/>
        <x:v>1732.9620000000002</x:v>
      </x:c>
      <x:c r="R13" s="61"/>
    </x:row>
    <x:row r="14" spans="1:20">
      <x:c r="A14" s="6" t="s">
        <x:v>1</x:v>
      </x:c>
      <x:c r="B14" s="21" t="s">
        <x:v>154</x:v>
      </x:c>
      <x:c r="C14" s="154">
        <x:f>VLOOKUP(B:B,'판매가,매입가'!B:H,7,0)</x:f>
        <x:v>6.95</x:v>
      </x:c>
      <x:c r="D14" s="60">
        <x:v>3.3000000000000002E-2</x:v>
      </x:c>
      <x:c r="E14" s="55">
        <x:f>사업계획!F21*$C$14*$D$14</x:f>
        <x:v>229.35000000000002</x:v>
      </x:c>
      <x:c r="F14" s="55">
        <x:f>사업계획!G21*$C$14*$D$14</x:f>
        <x:v>263.7525</x:v>
      </x:c>
      <x:c r="G14" s="55">
        <x:f>사업계획!H21*$C$14*$D$14</x:f>
        <x:v>0</x:v>
      </x:c>
      <x:c r="H14" s="55">
        <x:f>사업계획!I21*$C$14*$D$14</x:f>
        <x:v>0</x:v>
      </x:c>
      <x:c r="I14" s="55">
        <x:f>사업계획!J21*$C$14*$D$14</x:f>
        <x:v>412.83000000000004</x:v>
      </x:c>
      <x:c r="J14" s="55">
        <x:f>사업계획!K21*$C$14*$D$14</x:f>
        <x:v>412.83000000000004</x:v>
      </x:c>
      <x:c r="K14" s="55">
        <x:f>사업계획!L21*$C$14*$D$14</x:f>
        <x:v>412.83000000000004</x:v>
      </x:c>
      <x:c r="L14" s="55">
        <x:f>사업계획!M21*$C$14*$D$14</x:f>
        <x:v>412.83000000000004</x:v>
      </x:c>
      <x:c r="M14" s="55">
        <x:f>사업계획!N21*$C$14*$D$14</x:f>
        <x:v>412.83000000000004</x:v>
      </x:c>
      <x:c r="N14" s="55">
        <x:f>사업계획!O21*$C$14*$D$14</x:f>
        <x:v>412.83000000000004</x:v>
      </x:c>
      <x:c r="O14" s="55">
        <x:f>사업계획!P21*$C$14*$D$14</x:f>
        <x:v>412.83000000000004</x:v>
      </x:c>
      <x:c r="P14" s="55">
        <x:f>사업계획!Q21*$C$14*$D$14</x:f>
        <x:v>412.83000000000004</x:v>
      </x:c>
      <x:c r="Q14" s="55">
        <x:f t="shared" si="0"/>
        <x:v>3795.7424999999998</x:v>
      </x:c>
      <x:c r="R14" s="61"/>
    </x:row>
    <x:row r="15" spans="1:20">
      <x:c r="A15" s="6" t="s">
        <x:v>1</x:v>
      </x:c>
      <x:c r="B15" s="21" t="s">
        <x:v>155</x:v>
      </x:c>
      <x:c r="C15" s="154">
        <x:f>VLOOKUP(B:B,'판매가,매입가'!B:H,7,0)</x:f>
        <x:v>4.79</x:v>
      </x:c>
      <x:c r="D15" s="60">
        <x:v>3.3000000000000002E-2</x:v>
      </x:c>
      <x:c r="E15" s="55">
        <x:f>사업계획!F22*$C$15*$D$15</x:f>
        <x:v>158.07000000000002</x:v>
      </x:c>
      <x:c r="F15" s="55">
        <x:f>사업계획!G22*$C$15*$D$15</x:f>
        <x:v>158.07000000000002</x:v>
      </x:c>
      <x:c r="G15" s="55">
        <x:f>사업계획!H22*$C$15*$D$15</x:f>
        <x:v>0</x:v>
      </x:c>
      <x:c r="H15" s="55">
        <x:f>사업계획!I22*$C$15*$D$15</x:f>
        <x:v>0</x:v>
      </x:c>
      <x:c r="I15" s="55">
        <x:f>사업계획!J22*$C$15*$D$15</x:f>
        <x:v>284.52600000000001</x:v>
      </x:c>
      <x:c r="J15" s="55">
        <x:f>사업계획!K22*$C$15*$D$15</x:f>
        <x:v>284.52600000000001</x:v>
      </x:c>
      <x:c r="K15" s="55">
        <x:f>사업계획!L22*$C$15*$D$15</x:f>
        <x:v>284.52600000000001</x:v>
      </x:c>
      <x:c r="L15" s="55">
        <x:f>사업계획!M22*$C$15*$D$15</x:f>
        <x:v>284.52600000000001</x:v>
      </x:c>
      <x:c r="M15" s="55">
        <x:f>사업계획!N22*$C$15*$D$15</x:f>
        <x:v>284.52600000000001</x:v>
      </x:c>
      <x:c r="N15" s="55">
        <x:f>사업계획!O22*$C$15*$D$15</x:f>
        <x:v>284.52600000000001</x:v>
      </x:c>
      <x:c r="O15" s="55">
        <x:f>사업계획!P22*$C$15*$D$15</x:f>
        <x:v>284.52600000000001</x:v>
      </x:c>
      <x:c r="P15" s="55">
        <x:f>사업계획!Q22*$C$15*$D$15</x:f>
        <x:v>284.52600000000001</x:v>
      </x:c>
      <x:c r="Q15" s="55">
        <x:f t="shared" si="0"/>
        <x:v>2592.348</x:v>
      </x:c>
      <x:c r="R15" s="61"/>
    </x:row>
    <x:row r="16" spans="1:20">
      <x:c r="A16" s="6" t="s">
        <x:v>1</x:v>
      </x:c>
      <x:c r="B16" s="21" t="s">
        <x:v>119</x:v>
      </x:c>
      <x:c r="C16" s="154">
        <x:f>VLOOKUP(B:B,'판매가,매입가'!B:H,7,0)</x:f>
        <x:v>157.04</x:v>
      </x:c>
      <x:c r="D16" s="60">
        <x:v>3.6999999999999998E-2</x:v>
      </x:c>
      <x:c r="E16" s="55">
        <x:f>사업계획!F23*$C$16*$D$16</x:f>
        <x:v>11992.83072</x:v>
      </x:c>
      <x:c r="F16" s="55">
        <x:f>사업계획!G23*$C$16*$D$16</x:f>
        <x:v>13991.635839999999</x:v>
      </x:c>
      <x:c r="G16" s="55">
        <x:f>사업계획!H23*$C$16*$D$16</x:f>
        <x:v>14991.038399999998</x:v>
      </x:c>
      <x:c r="H16" s="55">
        <x:f>사업계획!I23*$C$16*$D$16</x:f>
        <x:v>14991.038399999998</x:v>
      </x:c>
      <x:c r="I16" s="55">
        <x:f>사업계획!J23*$C$16*$D$16</x:f>
        <x:v>14991.038399999998</x:v>
      </x:c>
      <x:c r="J16" s="55">
        <x:f>사업계획!K23*$C$16*$D$16</x:f>
        <x:v>19988.051199999998</x:v>
      </x:c>
      <x:c r="K16" s="55">
        <x:f>사업계획!L23*$C$16*$D$16</x:f>
        <x:v>14991.038399999998</x:v>
      </x:c>
      <x:c r="L16" s="55">
        <x:f>사업계획!M23*$C$16*$D$16</x:f>
        <x:v>26983.869119999999</x:v>
      </x:c>
      <x:c r="M16" s="55">
        <x:f>사업계획!N23*$C$16*$D$16</x:f>
        <x:v>14991.038399999998</x:v>
      </x:c>
      <x:c r="N16" s="55">
        <x:f>사업계획!O23*$C$16*$D$16</x:f>
        <x:v>19988.051199999998</x:v>
      </x:c>
      <x:c r="O16" s="55">
        <x:f>사업계획!P23*$C$16*$D$16</x:f>
        <x:v>9994.025599999999</x:v>
      </x:c>
      <x:c r="P16" s="55">
        <x:f>사업계획!Q23*$C$16*$D$16</x:f>
        <x:v>6995.8179199999995</x:v>
      </x:c>
      <x:c r="Q16" s="55">
        <x:f t="shared" si="0"/>
        <x:v>184889.47359999997</x:v>
      </x:c>
      <x:c r="R16" s="61"/>
    </x:row>
    <x:row r="17" spans="1:18">
      <x:c r="A17" s="6" t="s">
        <x:v>1</x:v>
      </x:c>
      <x:c r="B17" s="21" t="s">
        <x:v>32</x:v>
      </x:c>
      <x:c r="C17" s="154">
        <x:f>VLOOKUP(B:B,'판매가,매입가'!B:H,7,0)</x:f>
        <x:v>24.12</x:v>
      </x:c>
      <x:c r="D17" s="60">
        <x:v>2.3E-2</x:v>
      </x:c>
      <x:c r="E17" s="55">
        <x:f>사업계획!F24*$C$17*$D$17</x:f>
        <x:v>1091.7676800000002</x:v>
      </x:c>
      <x:c r="F17" s="55">
        <x:f>사업계획!G24*$C$17*$D$17</x:f>
        <x:v>532.56960000000004</x:v>
      </x:c>
      <x:c r="G17" s="55">
        <x:f>사업계획!H24*$C$17*$D$17</x:f>
        <x:v>517.03632000000005</x:v>
      </x:c>
      <x:c r="H17" s="55">
        <x:f>사업계획!I24*$C$17*$D$17</x:f>
        <x:v>0</x:v>
      </x:c>
      <x:c r="I17" s="55">
        <x:f>사업계획!J24*$C$17*$D$17</x:f>
        <x:v>998.56799999999998</x:v>
      </x:c>
      <x:c r="J17" s="55">
        <x:f>사업계획!K24*$C$17*$D$17</x:f>
        <x:v>998.56799999999998</x:v>
      </x:c>
      <x:c r="K17" s="55">
        <x:f>사업계획!L24*$C$17*$D$17</x:f>
        <x:v>998.56799999999998</x:v>
      </x:c>
      <x:c r="L17" s="55">
        <x:f>사업계획!M24*$C$17*$D$17</x:f>
        <x:v>998.56799999999998</x:v>
      </x:c>
      <x:c r="M17" s="55">
        <x:f>사업계획!N24*$C$17*$D$17</x:f>
        <x:v>998.56799999999998</x:v>
      </x:c>
      <x:c r="N17" s="55">
        <x:f>사업계획!O24*$C$17*$D$17</x:f>
        <x:v>998.56799999999998</x:v>
      </x:c>
      <x:c r="O17" s="55">
        <x:f>사업계획!P24*$C$17*$D$17</x:f>
        <x:v>998.56799999999998</x:v>
      </x:c>
      <x:c r="P17" s="55">
        <x:f>사업계획!Q24*$C$17*$D$17</x:f>
        <x:v>998.56799999999998</x:v>
      </x:c>
      <x:c r="Q17" s="55">
        <x:f t="shared" si="0"/>
        <x:v>10129.917600000001</x:v>
      </x:c>
      <x:c r="R17" s="61"/>
    </x:row>
    <x:row r="18" spans="1:18">
      <x:c r="A18" s="6" t="s">
        <x:v>1</x:v>
      </x:c>
      <x:c r="B18" s="21" t="s">
        <x:v>153</x:v>
      </x:c>
      <x:c r="C18" s="154">
        <x:f>VLOOKUP(B:B,'판매가,매입가'!B:H,7,0)</x:f>
        <x:v>141.68</x:v>
      </x:c>
      <x:c r="D18" s="60">
        <x:v>1.7000000000000001E-2</x:v>
      </x:c>
      <x:c r="E18" s="55">
        <x:f>사업계획!F25*$C$18*$D$18</x:f>
        <x:v>4812.3028800000002</x:v>
      </x:c>
      <x:c r="F18" s="55">
        <x:f>사업계획!G25*$C$18*$D$18</x:f>
        <x:v>5289.1977600000009</x:v>
      </x:c>
      <x:c r="G18" s="55">
        <x:f>사업계획!H25*$C$18*$D$18</x:f>
        <x:v>5780.5440000000008</x:v>
      </x:c>
      <x:c r="H18" s="55">
        <x:f>사업계획!I25*$C$18*$D$18</x:f>
        <x:v>7071.5321600000016</x:v>
      </x:c>
      <x:c r="I18" s="55">
        <x:f>사업계획!J25*$C$18*$D$18</x:f>
        <x:v>0</x:v>
      </x:c>
      <x:c r="J18" s="55">
        <x:f>사업계획!K25*$C$18*$D$18</x:f>
        <x:v>4335.4080000000004</x:v>
      </x:c>
      <x:c r="K18" s="55">
        <x:f>사업계획!L25*$C$18*$D$18</x:f>
        <x:v>4335.4080000000004</x:v>
      </x:c>
      <x:c r="L18" s="55">
        <x:f>사업계획!M25*$C$18*$D$18</x:f>
        <x:v>4335.4080000000004</x:v>
      </x:c>
      <x:c r="M18" s="55">
        <x:f>사업계획!N25*$C$18*$D$18</x:f>
        <x:v>4335.4080000000004</x:v>
      </x:c>
      <x:c r="N18" s="55">
        <x:f>사업계획!O25*$C$18*$D$18</x:f>
        <x:v>4335.4080000000004</x:v>
      </x:c>
      <x:c r="O18" s="55">
        <x:f>사업계획!P25*$C$18*$D$18</x:f>
        <x:v>4335.4080000000004</x:v>
      </x:c>
      <x:c r="P18" s="55">
        <x:f>사업계획!Q25*$C$18*$D$18</x:f>
        <x:v>4335.4080000000004</x:v>
      </x:c>
      <x:c r="Q18" s="55">
        <x:f t="shared" si="0"/>
        <x:v>53301.432800000017</x:v>
      </x:c>
      <x:c r="R18" s="61"/>
    </x:row>
    <x:row r="19" spans="1:18">
      <x:c r="A19" s="6" t="s">
        <x:v>1</x:v>
      </x:c>
      <x:c r="B19" s="21" t="s">
        <x:v>33</x:v>
      </x:c>
      <x:c r="C19" s="154">
        <x:f>VLOOKUP(B:B,'판매가,매입가'!B:H,7,0)</x:f>
        <x:v>0.61</x:v>
      </x:c>
      <x:c r="D19" s="60">
        <x:v>0</x:v>
      </x:c>
      <x:c r="E19" s="55">
        <x:f>사업계획!F26*$C$19*$D$19</x:f>
        <x:v>0</x:v>
      </x:c>
      <x:c r="F19" s="55">
        <x:f>사업계획!G26*$C$19*$D$19</x:f>
        <x:v>0</x:v>
      </x:c>
      <x:c r="G19" s="55">
        <x:f>사업계획!H26*$C$19*$D$19</x:f>
        <x:v>0</x:v>
      </x:c>
      <x:c r="H19" s="55">
        <x:f>사업계획!I26*$C$19*$D$19</x:f>
        <x:v>0</x:v>
      </x:c>
      <x:c r="I19" s="55">
        <x:f>사업계획!J26*$C$19*$D$19</x:f>
        <x:v>0</x:v>
      </x:c>
      <x:c r="J19" s="55">
        <x:f>사업계획!K26*$C$19*$D$19</x:f>
        <x:v>0</x:v>
      </x:c>
      <x:c r="K19" s="55">
        <x:f>사업계획!L26*$C$19*$D$19</x:f>
        <x:v>0</x:v>
      </x:c>
      <x:c r="L19" s="55">
        <x:f>사업계획!M26*$C$19*$D$19</x:f>
        <x:v>0</x:v>
      </x:c>
      <x:c r="M19" s="55">
        <x:f>사업계획!N26*$C$19*$D$19</x:f>
        <x:v>0</x:v>
      </x:c>
      <x:c r="N19" s="55">
        <x:f>사업계획!O26*$C$19*$D$19</x:f>
        <x:v>0</x:v>
      </x:c>
      <x:c r="O19" s="55">
        <x:f>사업계획!P26*$C$19*$D$19</x:f>
        <x:v>0</x:v>
      </x:c>
      <x:c r="P19" s="55">
        <x:f>사업계획!Q26*$C$19*$D$19</x:f>
        <x:v>0</x:v>
      </x:c>
      <x:c r="Q19" s="55">
        <x:f t="shared" si="0"/>
        <x:v>0</x:v>
      </x:c>
      <x:c r="R19" s="61"/>
    </x:row>
    <x:row r="20" spans="1:18">
      <x:c r="A20" s="6" t="s">
        <x:v>165</x:v>
      </x:c>
      <x:c r="B20" s="21" t="s">
        <x:v>247</x:v>
      </x:c>
      <x:c r="C20" s="154">
        <x:f>VLOOKUP(B:B,'판매가,매입가'!B:H,7,0)</x:f>
        <x:v>6.97</x:v>
      </x:c>
      <x:c r="D20" s="60">
        <x:v>2.7E-2</x:v>
      </x:c>
      <x:c r="E20" s="55">
        <x:f>사업계획!F28*$C$20*$D$20</x:f>
        <x:v>8500.5422999999992</x:v>
      </x:c>
      <x:c r="F20" s="55">
        <x:f>사업계획!G28*$C$20*$D$20</x:f>
        <x:v>11462.84109</x:v>
      </x:c>
      <x:c r="G20" s="55">
        <x:f>사업계획!H28*$C$20*$D$20</x:f>
        <x:v>11688.857279999998</x:v>
      </x:c>
      <x:c r="H20" s="55">
        <x:f>사업계획!I28*$C$20*$D$20</x:f>
        <x:v>11698.266779999998</x:v>
      </x:c>
      <x:c r="I20" s="55">
        <x:f>사업계획!J28*$C$20*$D$20</x:f>
        <x:v>14816.01051</x:v>
      </x:c>
      <x:c r="J20" s="55">
        <x:f>사업계획!K28*$C$20*$D$20</x:f>
        <x:v>10360.800449999999</x:v>
      </x:c>
      <x:c r="K20" s="55">
        <x:f>사업계획!L28*$C$20*$D$20</x:f>
        <x:v>8326.2783600000002</x:v>
      </x:c>
      <x:c r="L20" s="55">
        <x:f>사업계획!M28*$C$20*$D$20</x:f>
        <x:v>9852.1228800000008</x:v>
      </x:c>
      <x:c r="M20" s="55">
        <x:f>사업계획!N28*$C$20*$D$20</x:f>
        <x:v>6499.1416499999996</x:v>
      </x:c>
      <x:c r="N20" s="55">
        <x:f>사업계획!O28*$C$20*$D$20</x:f>
        <x:v>9079.7911199999999</x:v>
      </x:c>
      <x:c r="O20" s="55">
        <x:f>사업계획!P28*$C$20*$D$20</x:f>
        <x:v>5457.51</x:v>
      </x:c>
      <x:c r="P20" s="55">
        <x:f>사업계획!Q28*$C$20*$D$20</x:f>
        <x:v>5457.51</x:v>
      </x:c>
      <x:c r="Q20" s="55">
        <x:f t="shared" si="0"/>
        <x:v>113199.67241999997</x:v>
      </x:c>
      <x:c r="R20" s="61"/>
    </x:row>
    <x:row r="21" spans="1:18">
      <x:c r="A21" s="6" t="s">
        <x:v>165</x:v>
      </x:c>
      <x:c r="B21" s="21" t="s">
        <x:v>248</x:v>
      </x:c>
      <x:c r="C21" s="154">
        <x:f>VLOOKUP(B:B,'판매가,매입가'!B:H,7,0)</x:f>
        <x:v>9.4499999999999993</x:v>
      </x:c>
      <x:c r="D21" s="60">
        <x:v>2.7E-2</x:v>
      </x:c>
      <x:c r="E21" s="55">
        <x:f>사업계획!F28*$C$21*$D$21</x:f>
        <x:v>11525.125499999998</x:v>
      </x:c>
      <x:c r="F21" s="55">
        <x:f>사업계획!G28*$C$21*$D$21</x:f>
        <x:v>15541.441649999999</x:v>
      </x:c>
      <x:c r="G21" s="55">
        <x:f>사업계획!H28*$C$21*$D$21</x:f>
        <x:v>15847.876799999998</x:v>
      </x:c>
      <x:c r="H21" s="55">
        <x:f>사업계획!I28*$C$21*$D$21</x:f>
        <x:v>15860.634299999998</x:v>
      </x:c>
      <x:c r="I21" s="55">
        <x:f>사업계획!J28*$C$21*$D$21</x:f>
        <x:v>20087.704349999996</x:v>
      </x:c>
      <x:c r="J21" s="55">
        <x:f>사업계획!K28*$C$21*$D$21</x:f>
        <x:v>14047.283249999999</x:v>
      </x:c>
      <x:c r="K21" s="55">
        <x:f>사업계획!L28*$C$21*$D$21</x:f>
        <x:v>11288.856599999999</x:v>
      </x:c>
      <x:c r="L21" s="55">
        <x:f>사업계획!M28*$C$21*$D$21</x:f>
        <x:v>13357.612799999999</x:v>
      </x:c>
      <x:c r="M21" s="55">
        <x:f>사업계획!N28*$C$21*$D$21</x:f>
        <x:v>8811.6052500000005</x:v>
      </x:c>
      <x:c r="N21" s="55">
        <x:f>사업계획!O28*$C$21*$D$21</x:f>
        <x:v>12310.477199999999</x:v>
      </x:c>
      <x:c r="O21" s="55">
        <x:f>사업계획!P28*$C$21*$D$21</x:f>
        <x:v>7399.35</x:v>
      </x:c>
      <x:c r="P21" s="55">
        <x:f>사업계획!Q28*$C$21*$D$21</x:f>
        <x:v>7399.35</x:v>
      </x:c>
      <x:c r="Q21" s="55">
        <x:f t="shared" si="0"/>
        <x:v>153477.31769999999</x:v>
      </x:c>
      <x:c r="R21" s="61"/>
    </x:row>
    <x:row r="22" spans="1:18">
      <x:c r="A22" s="6" t="s">
        <x:v>203</x:v>
      </x:c>
      <x:c r="B22" s="21" t="s">
        <x:v>201</x:v>
      </x:c>
      <x:c r="C22" s="154">
        <x:f>VLOOKUP(B:B,'판매가,매입가'!B:H,7,0)</x:f>
        <x:v>6.11</x:v>
      </x:c>
      <x:c r="D22" s="60">
        <x:v>3.6999999999999998E-2</x:v>
      </x:c>
      <x:c r="E22" s="55">
        <x:f>사업계획!F29*$C$22*$D$22</x:f>
        <x:v>203.46299999999999</x:v>
      </x:c>
      <x:c r="F22" s="55">
        <x:f>사업계획!G29*$C$22*$D$22</x:f>
        <x:v>271.28399999999999</x:v>
      </x:c>
      <x:c r="G22" s="55">
        <x:f>사업계획!H29*$C$22*$D$22</x:f>
        <x:v>316.49799999999999</x:v>
      </x:c>
      <x:c r="H22" s="55">
        <x:f>사업계획!I29*$C$22*$D$22</x:f>
        <x:v>271.28399999999999</x:v>
      </x:c>
      <x:c r="I22" s="55">
        <x:f>사업계획!J29*$C$22*$D$22</x:f>
        <x:v>203.46299999999999</x:v>
      </x:c>
      <x:c r="J22" s="55">
        <x:f>사업계획!K29*$C$22*$D$22</x:f>
        <x:v>293.89099999999996</x:v>
      </x:c>
      <x:c r="K22" s="55">
        <x:f>사업계획!L29*$C$22*$D$22</x:f>
        <x:v>226.07</x:v>
      </x:c>
      <x:c r="L22" s="55">
        <x:f>사업계획!M29*$C$22*$D$22</x:f>
        <x:v>339.10499999999996</x:v>
      </x:c>
      <x:c r="M22" s="55">
        <x:f>사업계획!N29*$C$22*$D$22</x:f>
        <x:v>271.28399999999999</x:v>
      </x:c>
      <x:c r="N22" s="55">
        <x:f>사업계획!O29*$C$22*$D$22</x:f>
        <x:v>271.28399999999999</x:v>
      </x:c>
      <x:c r="O22" s="55">
        <x:f>사업계획!P29*$C$22*$D$22</x:f>
        <x:v>271.28399999999999</x:v>
      </x:c>
      <x:c r="P22" s="55">
        <x:f>사업계획!Q29*$C$22*$D$22</x:f>
        <x:v>271.28399999999999</x:v>
      </x:c>
      <x:c r="Q22" s="55">
        <x:f t="shared" si="0"/>
        <x:v>3210.194</x:v>
      </x:c>
      <x:c r="R22" s="61"/>
    </x:row>
    <x:row r="23" spans="1:18">
      <x:c r="A23" s="7"/>
      <x:c r="B23" s="7"/>
      <x:c r="C23" s="7"/>
      <x:c r="D23" s="152"/>
      <x:c r="E23" s="56"/>
      <x:c r="F23" s="56"/>
      <x:c r="G23" s="56"/>
      <x:c r="H23" s="56"/>
      <x:c r="I23" s="56"/>
      <x:c r="J23" s="56"/>
      <x:c r="K23" s="56"/>
      <x:c r="L23" s="56"/>
      <x:c r="M23" s="56"/>
      <x:c r="N23" s="56"/>
      <x:c r="O23" s="56"/>
      <x:c r="P23" s="56"/>
      <x:c r="Q23" s="56"/>
      <x:c r="R23" s="153"/>
    </x:row>
    <x:row r="25" spans="1:18">
      <x:c r="A25" s="6" t="s">
        <x:v>276</x:v>
      </x:c>
      <x:c r="B25" s="6" t="s">
        <x:v>254</x:v>
      </x:c>
      <x:c r="C25" s="6"/>
      <x:c r="D25" s="60"/>
      <x:c r="E25" s="55">
        <x:f>E2*1.1</x:f>
        <x:v>0</x:v>
      </x:c>
      <x:c r="F25" s="55">
        <x:f t="shared" ref="F25:P25" si="1">F2*1.1</x:f>
        <x:v>0</x:v>
      </x:c>
      <x:c r="G25" s="55">
        <x:f t="shared" si="1"/>
        <x:v>92.565000000000012</x:v>
      </x:c>
      <x:c r="H25" s="55">
        <x:f t="shared" si="1"/>
        <x:v>0</x:v>
      </x:c>
      <x:c r="I25" s="55">
        <x:f t="shared" si="1"/>
        <x:v>0</x:v>
      </x:c>
      <x:c r="J25" s="55">
        <x:f t="shared" si="1"/>
        <x:v>0</x:v>
      </x:c>
      <x:c r="K25" s="55">
        <x:f t="shared" si="1"/>
        <x:v>0</x:v>
      </x:c>
      <x:c r="L25" s="55">
        <x:f t="shared" si="1"/>
        <x:v>0</x:v>
      </x:c>
      <x:c r="M25" s="55">
        <x:f t="shared" si="1"/>
        <x:v>0</x:v>
      </x:c>
      <x:c r="N25" s="55">
        <x:f t="shared" si="1"/>
        <x:v>0</x:v>
      </x:c>
      <x:c r="O25" s="55">
        <x:f t="shared" si="1"/>
        <x:v>0</x:v>
      </x:c>
      <x:c r="P25" s="55">
        <x:f t="shared" si="1"/>
        <x:v>0</x:v>
      </x:c>
      <x:c r="Q25" s="55">
        <x:f t="shared" ref="Q25:Q45" si="2">SUM(E25:P25)</x:f>
        <x:v>92.565000000000012</x:v>
      </x:c>
      <x:c r="R25" s="52"/>
    </x:row>
    <x:row r="26" spans="1:18">
      <x:c r="A26" s="6" t="s">
        <x:v>276</x:v>
      </x:c>
      <x:c r="B26" s="6" t="s">
        <x:v>255</x:v>
      </x:c>
      <x:c r="C26" s="6"/>
      <x:c r="D26" s="60"/>
      <x:c r="E26" s="55">
        <x:f t="shared" ref="E26:P26" si="3">E3*1.1</x:f>
        <x:v>0</x:v>
      </x:c>
      <x:c r="F26" s="55">
        <x:f t="shared" si="3"/>
        <x:v>0</x:v>
      </x:c>
      <x:c r="G26" s="55">
        <x:f t="shared" si="3"/>
        <x:v>179.685</x:v>
      </x:c>
      <x:c r="H26" s="55">
        <x:f t="shared" si="3"/>
        <x:v>179.685</x:v>
      </x:c>
      <x:c r="I26" s="55">
        <x:f t="shared" si="3"/>
        <x:v>0</x:v>
      </x:c>
      <x:c r="J26" s="55">
        <x:f t="shared" si="3"/>
        <x:v>0</x:v>
      </x:c>
      <x:c r="K26" s="55">
        <x:f t="shared" si="3"/>
        <x:v>0</x:v>
      </x:c>
      <x:c r="L26" s="55">
        <x:f t="shared" si="3"/>
        <x:v>0</x:v>
      </x:c>
      <x:c r="M26" s="55">
        <x:f t="shared" si="3"/>
        <x:v>0</x:v>
      </x:c>
      <x:c r="N26" s="55">
        <x:f t="shared" si="3"/>
        <x:v>0</x:v>
      </x:c>
      <x:c r="O26" s="55">
        <x:f t="shared" si="3"/>
        <x:v>0</x:v>
      </x:c>
      <x:c r="P26" s="55">
        <x:f t="shared" si="3"/>
        <x:v>0</x:v>
      </x:c>
      <x:c r="Q26" s="55">
        <x:f t="shared" si="2"/>
        <x:v>359.37</x:v>
      </x:c>
      <x:c r="R26" s="52"/>
    </x:row>
    <x:row r="27" spans="1:18">
      <x:c r="A27" s="6" t="s">
        <x:v>276</x:v>
      </x:c>
      <x:c r="B27" s="6" t="s">
        <x:v>253</x:v>
      </x:c>
      <x:c r="C27" s="6"/>
      <x:c r="D27" s="60"/>
      <x:c r="E27" s="55">
        <x:f t="shared" ref="E27:P27" si="4">E4*1.1</x:f>
        <x:v>1343.3148960000003</x:v>
      </x:c>
      <x:c r="F27" s="55">
        <x:f t="shared" si="4"/>
        <x:v>1567.2007120000005</x:v>
      </x:c>
      <x:c r="G27" s="55">
        <x:f t="shared" si="4"/>
        <x:v>1679.1436200000003</x:v>
      </x:c>
      <x:c r="H27" s="55">
        <x:f t="shared" si="4"/>
        <x:v>1679.1436200000003</x:v>
      </x:c>
      <x:c r="I27" s="55">
        <x:f t="shared" si="4"/>
        <x:v>1679.1436200000003</x:v>
      </x:c>
      <x:c r="J27" s="55">
        <x:f t="shared" si="4"/>
        <x:v>0</x:v>
      </x:c>
      <x:c r="K27" s="55">
        <x:f t="shared" si="4"/>
        <x:v>0</x:v>
      </x:c>
      <x:c r="L27" s="55">
        <x:f t="shared" si="4"/>
        <x:v>0</x:v>
      </x:c>
      <x:c r="M27" s="55">
        <x:f t="shared" si="4"/>
        <x:v>0</x:v>
      </x:c>
      <x:c r="N27" s="55">
        <x:f t="shared" si="4"/>
        <x:v>0</x:v>
      </x:c>
      <x:c r="O27" s="55">
        <x:f t="shared" si="4"/>
        <x:v>0</x:v>
      </x:c>
      <x:c r="P27" s="55">
        <x:f t="shared" si="4"/>
        <x:v>0</x:v>
      </x:c>
      <x:c r="Q27" s="55">
        <x:f t="shared" si="2"/>
        <x:v>7947.9464680000019</x:v>
      </x:c>
      <x:c r="R27" s="52"/>
    </x:row>
    <x:row r="28" spans="1:18">
      <x:c r="A28" s="6" t="s">
        <x:v>276</x:v>
      </x:c>
      <x:c r="B28" s="6" t="s">
        <x:v>252</x:v>
      </x:c>
      <x:c r="C28" s="6"/>
      <x:c r="D28" s="60"/>
      <x:c r="E28" s="55">
        <x:f t="shared" ref="E28:P28" si="5">E5*1.1</x:f>
        <x:v>0</x:v>
      </x:c>
      <x:c r="F28" s="55">
        <x:f t="shared" si="5"/>
        <x:v>0</x:v>
      </x:c>
      <x:c r="G28" s="55">
        <x:f t="shared" si="5"/>
        <x:v>0</x:v>
      </x:c>
      <x:c r="H28" s="55">
        <x:f t="shared" si="5"/>
        <x:v>0</x:v>
      </x:c>
      <x:c r="I28" s="55">
        <x:f t="shared" si="5"/>
        <x:v>0</x:v>
      </x:c>
      <x:c r="J28" s="55">
        <x:f t="shared" si="5"/>
        <x:v>0</x:v>
      </x:c>
      <x:c r="K28" s="55">
        <x:f t="shared" si="5"/>
        <x:v>0</x:v>
      </x:c>
      <x:c r="L28" s="55">
        <x:f t="shared" si="5"/>
        <x:v>0</x:v>
      </x:c>
      <x:c r="M28" s="55">
        <x:f t="shared" si="5"/>
        <x:v>0</x:v>
      </x:c>
      <x:c r="N28" s="55">
        <x:f t="shared" si="5"/>
        <x:v>0</x:v>
      </x:c>
      <x:c r="O28" s="55">
        <x:f t="shared" si="5"/>
        <x:v>0</x:v>
      </x:c>
      <x:c r="P28" s="55">
        <x:f t="shared" si="5"/>
        <x:v>0</x:v>
      </x:c>
      <x:c r="Q28" s="55">
        <x:f t="shared" si="2"/>
        <x:v>0</x:v>
      </x:c>
      <x:c r="R28" s="52"/>
    </x:row>
    <x:row r="29" spans="1:18">
      <x:c r="A29" s="6" t="s">
        <x:v>276</x:v>
      </x:c>
      <x:c r="B29" s="6" t="s">
        <x:v>251</x:v>
      </x:c>
      <x:c r="C29" s="6"/>
      <x:c r="D29" s="60"/>
      <x:c r="E29" s="55">
        <x:f t="shared" ref="E29:P29" si="6">E6*1.1</x:f>
        <x:v>0</x:v>
      </x:c>
      <x:c r="F29" s="55">
        <x:f t="shared" si="6"/>
        <x:v>0</x:v>
      </x:c>
      <x:c r="G29" s="55">
        <x:f t="shared" si="6"/>
        <x:v>0</x:v>
      </x:c>
      <x:c r="H29" s="55">
        <x:f t="shared" si="6"/>
        <x:v>0</x:v>
      </x:c>
      <x:c r="I29" s="55">
        <x:f t="shared" si="6"/>
        <x:v>0</x:v>
      </x:c>
      <x:c r="J29" s="55">
        <x:f t="shared" si="6"/>
        <x:v>0</x:v>
      </x:c>
      <x:c r="K29" s="55">
        <x:f t="shared" si="6"/>
        <x:v>0</x:v>
      </x:c>
      <x:c r="L29" s="55">
        <x:f t="shared" si="6"/>
        <x:v>0</x:v>
      </x:c>
      <x:c r="M29" s="55">
        <x:f t="shared" si="6"/>
        <x:v>0</x:v>
      </x:c>
      <x:c r="N29" s="55">
        <x:f t="shared" si="6"/>
        <x:v>0</x:v>
      </x:c>
      <x:c r="O29" s="55">
        <x:f t="shared" si="6"/>
        <x:v>0</x:v>
      </x:c>
      <x:c r="P29" s="55">
        <x:f t="shared" si="6"/>
        <x:v>0</x:v>
      </x:c>
      <x:c r="Q29" s="55">
        <x:f t="shared" si="2"/>
        <x:v>0</x:v>
      </x:c>
      <x:c r="R29" s="52"/>
    </x:row>
    <x:row r="30" spans="1:18">
      <x:c r="A30" s="129" t="s">
        <x:v>276</x:v>
      </x:c>
      <x:c r="B30" s="129" t="s">
        <x:v>272</x:v>
      </x:c>
      <x:c r="C30" s="129"/>
      <x:c r="D30" s="131"/>
      <x:c r="E30" s="55">
        <x:f t="shared" ref="E30:P30" si="7">E7*1.1</x:f>
        <x:v>0</x:v>
      </x:c>
      <x:c r="F30" s="55">
        <x:f t="shared" si="7"/>
        <x:v>0</x:v>
      </x:c>
      <x:c r="G30" s="55">
        <x:f t="shared" si="7"/>
        <x:v>0</x:v>
      </x:c>
      <x:c r="H30" s="55">
        <x:f t="shared" si="7"/>
        <x:v>0</x:v>
      </x:c>
      <x:c r="I30" s="55">
        <x:f t="shared" si="7"/>
        <x:v>0</x:v>
      </x:c>
      <x:c r="J30" s="55">
        <x:f t="shared" si="7"/>
        <x:v>0</x:v>
      </x:c>
      <x:c r="K30" s="55">
        <x:f t="shared" si="7"/>
        <x:v>0</x:v>
      </x:c>
      <x:c r="L30" s="55">
        <x:f t="shared" si="7"/>
        <x:v>0</x:v>
      </x:c>
      <x:c r="M30" s="55">
        <x:f t="shared" si="7"/>
        <x:v>0</x:v>
      </x:c>
      <x:c r="N30" s="55">
        <x:f t="shared" si="7"/>
        <x:v>0</x:v>
      </x:c>
      <x:c r="O30" s="55">
        <x:f t="shared" si="7"/>
        <x:v>0</x:v>
      </x:c>
      <x:c r="P30" s="55">
        <x:f t="shared" si="7"/>
        <x:v>0</x:v>
      </x:c>
      <x:c r="Q30" s="130">
        <x:f t="shared" si="2"/>
        <x:v>0</x:v>
      </x:c>
      <x:c r="R30" s="132" t="s">
        <x:v>231</x:v>
      </x:c>
    </x:row>
    <x:row r="31" spans="1:18">
      <x:c r="A31" s="6" t="s">
        <x:v>276</x:v>
      </x:c>
      <x:c r="B31" s="6" t="s">
        <x:v>273</x:v>
      </x:c>
      <x:c r="C31" s="6"/>
      <x:c r="D31" s="60"/>
      <x:c r="E31" s="55">
        <x:f t="shared" ref="E31:P31" si="8">E8*1.1</x:f>
        <x:v>0</x:v>
      </x:c>
      <x:c r="F31" s="55">
        <x:f t="shared" si="8"/>
        <x:v>0</x:v>
      </x:c>
      <x:c r="G31" s="55">
        <x:f t="shared" si="8"/>
        <x:v>0</x:v>
      </x:c>
      <x:c r="H31" s="55">
        <x:f t="shared" si="8"/>
        <x:v>0</x:v>
      </x:c>
      <x:c r="I31" s="55">
        <x:f t="shared" si="8"/>
        <x:v>0</x:v>
      </x:c>
      <x:c r="J31" s="55">
        <x:f t="shared" si="8"/>
        <x:v>0</x:v>
      </x:c>
      <x:c r="K31" s="55">
        <x:f t="shared" si="8"/>
        <x:v>0</x:v>
      </x:c>
      <x:c r="L31" s="55">
        <x:f t="shared" si="8"/>
        <x:v>0</x:v>
      </x:c>
      <x:c r="M31" s="55">
        <x:f t="shared" si="8"/>
        <x:v>0</x:v>
      </x:c>
      <x:c r="N31" s="55">
        <x:f t="shared" si="8"/>
        <x:v>0</x:v>
      </x:c>
      <x:c r="O31" s="55">
        <x:f t="shared" si="8"/>
        <x:v>0</x:v>
      </x:c>
      <x:c r="P31" s="55">
        <x:f t="shared" si="8"/>
        <x:v>0</x:v>
      </x:c>
      <x:c r="Q31" s="55">
        <x:f t="shared" si="2"/>
        <x:v>0</x:v>
      </x:c>
      <x:c r="R31" s="52"/>
    </x:row>
    <x:row r="32" spans="1:18">
      <x:c r="A32" s="6" t="s">
        <x:v>276</x:v>
      </x:c>
      <x:c r="B32" s="6" t="s">
        <x:v>271</x:v>
      </x:c>
      <x:c r="C32" s="6"/>
      <x:c r="D32" s="60"/>
      <x:c r="E32" s="55">
        <x:f t="shared" ref="E32:P32" si="9">E9*1.1</x:f>
        <x:v>0</x:v>
      </x:c>
      <x:c r="F32" s="55">
        <x:f t="shared" si="9"/>
        <x:v>0</x:v>
      </x:c>
      <x:c r="G32" s="55">
        <x:f t="shared" si="9"/>
        <x:v>0</x:v>
      </x:c>
      <x:c r="H32" s="55">
        <x:f t="shared" si="9"/>
        <x:v>0</x:v>
      </x:c>
      <x:c r="I32" s="55">
        <x:f t="shared" si="9"/>
        <x:v>0</x:v>
      </x:c>
      <x:c r="J32" s="55">
        <x:f t="shared" si="9"/>
        <x:v>3868.7311338732388</x:v>
      </x:c>
      <x:c r="K32" s="55">
        <x:f t="shared" si="9"/>
        <x:v>2901.5483504049303</x:v>
      </x:c>
      <x:c r="L32" s="55">
        <x:f t="shared" si="9"/>
        <x:v>5222.7870307288731</x:v>
      </x:c>
      <x:c r="M32" s="55">
        <x:f t="shared" si="9"/>
        <x:v>2901.5483504049303</x:v>
      </x:c>
      <x:c r="N32" s="55">
        <x:f t="shared" si="9"/>
        <x:v>3868.7311338732388</x:v>
      </x:c>
      <x:c r="O32" s="55">
        <x:f t="shared" si="9"/>
        <x:v>1934.3655669366194</x:v>
      </x:c>
      <x:c r="P32" s="55">
        <x:f t="shared" si="9"/>
        <x:v>1354.0558968556338</x:v>
      </x:c>
      <x:c r="Q32" s="55">
        <x:f t="shared" si="2"/>
        <x:v>22051.767463077464</x:v>
      </x:c>
      <x:c r="R32" s="52"/>
    </x:row>
    <x:row r="33" spans="1:18">
      <x:c r="A33" s="6" t="s">
        <x:v>276</x:v>
      </x:c>
      <x:c r="B33" s="6" t="s">
        <x:v>270</x:v>
      </x:c>
      <x:c r="C33" s="6"/>
      <x:c r="D33" s="60"/>
      <x:c r="E33" s="55">
        <x:f t="shared" ref="E33:P33" si="10">E10*1.1</x:f>
        <x:v>0</x:v>
      </x:c>
      <x:c r="F33" s="55">
        <x:f t="shared" si="10"/>
        <x:v>0</x:v>
      </x:c>
      <x:c r="G33" s="55">
        <x:f t="shared" si="10"/>
        <x:v>0</x:v>
      </x:c>
      <x:c r="H33" s="55">
        <x:f t="shared" si="10"/>
        <x:v>0</x:v>
      </x:c>
      <x:c r="I33" s="55">
        <x:f t="shared" si="10"/>
        <x:v>0</x:v>
      </x:c>
      <x:c r="J33" s="55">
        <x:f t="shared" si="10"/>
        <x:v>0</x:v>
      </x:c>
      <x:c r="K33" s="55">
        <x:f t="shared" si="10"/>
        <x:v>0</x:v>
      </x:c>
      <x:c r="L33" s="55">
        <x:f t="shared" si="10"/>
        <x:v>0</x:v>
      </x:c>
      <x:c r="M33" s="55">
        <x:f t="shared" si="10"/>
        <x:v>0</x:v>
      </x:c>
      <x:c r="N33" s="55">
        <x:f t="shared" si="10"/>
        <x:v>0</x:v>
      </x:c>
      <x:c r="O33" s="55">
        <x:f t="shared" si="10"/>
        <x:v>0</x:v>
      </x:c>
      <x:c r="P33" s="55">
        <x:f t="shared" si="10"/>
        <x:v>0</x:v>
      </x:c>
      <x:c r="Q33" s="55">
        <x:f t="shared" si="2"/>
        <x:v>0</x:v>
      </x:c>
      <x:c r="R33" s="52"/>
    </x:row>
    <x:row r="34" spans="1:18">
      <x:c r="A34" s="6" t="s">
        <x:v>276</x:v>
      </x:c>
      <x:c r="B34" s="6" t="s">
        <x:v>269</x:v>
      </x:c>
      <x:c r="C34" s="6"/>
      <x:c r="D34" s="60"/>
      <x:c r="E34" s="55">
        <x:f t="shared" ref="E34:P34" si="11">E11*1.1</x:f>
        <x:v>0</x:v>
      </x:c>
      <x:c r="F34" s="55">
        <x:f t="shared" si="11"/>
        <x:v>0</x:v>
      </x:c>
      <x:c r="G34" s="55">
        <x:f t="shared" si="11"/>
        <x:v>0</x:v>
      </x:c>
      <x:c r="H34" s="55">
        <x:f t="shared" si="11"/>
        <x:v>0</x:v>
      </x:c>
      <x:c r="I34" s="55">
        <x:f t="shared" si="11"/>
        <x:v>0</x:v>
      </x:c>
      <x:c r="J34" s="55">
        <x:f t="shared" si="11"/>
        <x:v>0</x:v>
      </x:c>
      <x:c r="K34" s="55">
        <x:f t="shared" si="11"/>
        <x:v>0</x:v>
      </x:c>
      <x:c r="L34" s="55">
        <x:f t="shared" si="11"/>
        <x:v>0</x:v>
      </x:c>
      <x:c r="M34" s="55">
        <x:f t="shared" si="11"/>
        <x:v>0</x:v>
      </x:c>
      <x:c r="N34" s="55">
        <x:f t="shared" si="11"/>
        <x:v>0</x:v>
      </x:c>
      <x:c r="O34" s="55">
        <x:f t="shared" si="11"/>
        <x:v>0</x:v>
      </x:c>
      <x:c r="P34" s="55">
        <x:f t="shared" si="11"/>
        <x:v>0</x:v>
      </x:c>
      <x:c r="Q34" s="55">
        <x:f t="shared" si="2"/>
        <x:v>0</x:v>
      </x:c>
      <x:c r="R34" s="52"/>
    </x:row>
    <x:row r="35" spans="1:18">
      <x:c r="A35" s="6" t="s">
        <x:v>276</x:v>
      </x:c>
      <x:c r="B35" s="6" t="s">
        <x:v>33</x:v>
      </x:c>
      <x:c r="C35" s="6"/>
      <x:c r="D35" s="60"/>
      <x:c r="E35" s="55">
        <x:f t="shared" ref="E35:P35" si="12">E12*1.1</x:f>
        <x:v>0</x:v>
      </x:c>
      <x:c r="F35" s="55">
        <x:f t="shared" si="12"/>
        <x:v>0</x:v>
      </x:c>
      <x:c r="G35" s="55">
        <x:f t="shared" si="12"/>
        <x:v>0</x:v>
      </x:c>
      <x:c r="H35" s="55">
        <x:f t="shared" si="12"/>
        <x:v>0</x:v>
      </x:c>
      <x:c r="I35" s="55">
        <x:f t="shared" si="12"/>
        <x:v>0</x:v>
      </x:c>
      <x:c r="J35" s="55">
        <x:f t="shared" si="12"/>
        <x:v>0</x:v>
      </x:c>
      <x:c r="K35" s="55">
        <x:f t="shared" si="12"/>
        <x:v>0</x:v>
      </x:c>
      <x:c r="L35" s="55">
        <x:f t="shared" si="12"/>
        <x:v>0</x:v>
      </x:c>
      <x:c r="M35" s="55">
        <x:f t="shared" si="12"/>
        <x:v>0</x:v>
      </x:c>
      <x:c r="N35" s="55">
        <x:f t="shared" si="12"/>
        <x:v>0</x:v>
      </x:c>
      <x:c r="O35" s="55">
        <x:f t="shared" si="12"/>
        <x:v>0</x:v>
      </x:c>
      <x:c r="P35" s="55">
        <x:f t="shared" si="12"/>
        <x:v>0</x:v>
      </x:c>
      <x:c r="Q35" s="55">
        <x:f t="shared" si="2"/>
        <x:v>0</x:v>
      </x:c>
      <x:c r="R35" s="132" t="s">
        <x:v>231</x:v>
      </x:c>
    </x:row>
    <x:row r="36" spans="1:18">
      <x:c r="A36" s="6" t="s">
        <x:v>277</x:v>
      </x:c>
      <x:c r="B36" s="6" t="s">
        <x:v>34</x:v>
      </x:c>
      <x:c r="C36" s="6"/>
      <x:c r="D36" s="60"/>
      <x:c r="E36" s="55">
        <x:f t="shared" ref="E36:P36" si="13">E13*1.1</x:f>
        <x:v>123.78300000000002</x:v>
      </x:c>
      <x:c r="F36" s="55">
        <x:f t="shared" si="13"/>
        <x:v>0</x:v>
      </x:c>
      <x:c r="G36" s="55">
        <x:f t="shared" si="13"/>
        <x:v>0</x:v>
      </x:c>
      <x:c r="H36" s="55">
        <x:f t="shared" si="13"/>
        <x:v>0</x:v>
      </x:c>
      <x:c r="I36" s="55">
        <x:f t="shared" si="13"/>
        <x:v>222.80940000000001</x:v>
      </x:c>
      <x:c r="J36" s="55">
        <x:f t="shared" si="13"/>
        <x:v>222.80940000000001</x:v>
      </x:c>
      <x:c r="K36" s="55">
        <x:f t="shared" si="13"/>
        <x:v>222.80940000000001</x:v>
      </x:c>
      <x:c r="L36" s="55">
        <x:f t="shared" si="13"/>
        <x:v>222.80940000000001</x:v>
      </x:c>
      <x:c r="M36" s="55">
        <x:f t="shared" si="13"/>
        <x:v>222.80940000000001</x:v>
      </x:c>
      <x:c r="N36" s="55">
        <x:f t="shared" si="13"/>
        <x:v>222.80940000000001</x:v>
      </x:c>
      <x:c r="O36" s="55">
        <x:f t="shared" si="13"/>
        <x:v>222.80940000000001</x:v>
      </x:c>
      <x:c r="P36" s="55">
        <x:f t="shared" si="13"/>
        <x:v>222.80940000000001</x:v>
      </x:c>
      <x:c r="Q36" s="55">
        <x:f t="shared" si="2"/>
        <x:v>1906.2582000000002</x:v>
      </x:c>
      <x:c r="R36" s="52"/>
    </x:row>
    <x:row r="37" spans="1:18">
      <x:c r="A37" s="129" t="s">
        <x:v>277</x:v>
      </x:c>
      <x:c r="B37" s="129" t="s">
        <x:v>154</x:v>
      </x:c>
      <x:c r="C37" s="129"/>
      <x:c r="D37" s="131"/>
      <x:c r="E37" s="55">
        <x:f t="shared" ref="E37:P37" si="14">E14*1.1</x:f>
        <x:v>252.28500000000005</x:v>
      </x:c>
      <x:c r="F37" s="55">
        <x:f t="shared" si="14"/>
        <x:v>290.12775000000005</x:v>
      </x:c>
      <x:c r="G37" s="55">
        <x:f t="shared" si="14"/>
        <x:v>0</x:v>
      </x:c>
      <x:c r="H37" s="55">
        <x:f t="shared" si="14"/>
        <x:v>0</x:v>
      </x:c>
      <x:c r="I37" s="55">
        <x:f t="shared" si="14"/>
        <x:v>454.11300000000006</x:v>
      </x:c>
      <x:c r="J37" s="55">
        <x:f t="shared" si="14"/>
        <x:v>454.11300000000006</x:v>
      </x:c>
      <x:c r="K37" s="55">
        <x:f t="shared" si="14"/>
        <x:v>454.11300000000006</x:v>
      </x:c>
      <x:c r="L37" s="55">
        <x:f t="shared" si="14"/>
        <x:v>454.11300000000006</x:v>
      </x:c>
      <x:c r="M37" s="55">
        <x:f t="shared" si="14"/>
        <x:v>454.11300000000006</x:v>
      </x:c>
      <x:c r="N37" s="55">
        <x:f t="shared" si="14"/>
        <x:v>454.11300000000006</x:v>
      </x:c>
      <x:c r="O37" s="55">
        <x:f t="shared" si="14"/>
        <x:v>454.11300000000006</x:v>
      </x:c>
      <x:c r="P37" s="55">
        <x:f t="shared" si="14"/>
        <x:v>454.11300000000006</x:v>
      </x:c>
      <x:c r="Q37" s="130">
        <x:f t="shared" si="2"/>
        <x:v>4175.3167500000009</x:v>
      </x:c>
      <x:c r="R37" s="132"/>
    </x:row>
    <x:row r="38" spans="1:18">
      <x:c r="A38" s="6" t="s">
        <x:v>277</x:v>
      </x:c>
      <x:c r="B38" s="6" t="s">
        <x:v>155</x:v>
      </x:c>
      <x:c r="C38" s="6"/>
      <x:c r="D38" s="60"/>
      <x:c r="E38" s="55">
        <x:f t="shared" ref="E38:P38" si="15">E15*1.1</x:f>
        <x:v>173.87700000000004</x:v>
      </x:c>
      <x:c r="F38" s="55">
        <x:f t="shared" si="15"/>
        <x:v>173.87700000000004</x:v>
      </x:c>
      <x:c r="G38" s="55">
        <x:f t="shared" si="15"/>
        <x:v>0</x:v>
      </x:c>
      <x:c r="H38" s="55">
        <x:f t="shared" si="15"/>
        <x:v>0</x:v>
      </x:c>
      <x:c r="I38" s="55">
        <x:f t="shared" si="15"/>
        <x:v>312.97860000000003</x:v>
      </x:c>
      <x:c r="J38" s="55">
        <x:f t="shared" si="15"/>
        <x:v>312.97860000000003</x:v>
      </x:c>
      <x:c r="K38" s="55">
        <x:f t="shared" si="15"/>
        <x:v>312.97860000000003</x:v>
      </x:c>
      <x:c r="L38" s="55">
        <x:f t="shared" si="15"/>
        <x:v>312.97860000000003</x:v>
      </x:c>
      <x:c r="M38" s="55">
        <x:f t="shared" si="15"/>
        <x:v>312.97860000000003</x:v>
      </x:c>
      <x:c r="N38" s="55">
        <x:f t="shared" si="15"/>
        <x:v>312.97860000000003</x:v>
      </x:c>
      <x:c r="O38" s="55">
        <x:f t="shared" si="15"/>
        <x:v>312.97860000000003</x:v>
      </x:c>
      <x:c r="P38" s="55">
        <x:f t="shared" si="15"/>
        <x:v>312.97860000000003</x:v>
      </x:c>
      <x:c r="Q38" s="55">
        <x:f t="shared" si="2"/>
        <x:v>2851.5827999999997</x:v>
      </x:c>
      <x:c r="R38" s="52"/>
    </x:row>
    <x:row r="39" spans="1:18">
      <x:c r="A39" s="6" t="s">
        <x:v>277</x:v>
      </x:c>
      <x:c r="B39" s="6" t="s">
        <x:v>119</x:v>
      </x:c>
      <x:c r="C39" s="6"/>
      <x:c r="D39" s="60"/>
      <x:c r="E39" s="55">
        <x:f t="shared" ref="E39:P39" si="16">E16*1.1</x:f>
        <x:v>13192.113792</x:v>
      </x:c>
      <x:c r="F39" s="55">
        <x:f t="shared" si="16"/>
        <x:v>15390.799424000001</x:v>
      </x:c>
      <x:c r="G39" s="55">
        <x:f t="shared" si="16"/>
        <x:v>16490.142239999997</x:v>
      </x:c>
      <x:c r="H39" s="55">
        <x:f t="shared" si="16"/>
        <x:v>16490.142239999997</x:v>
      </x:c>
      <x:c r="I39" s="55">
        <x:f t="shared" si="16"/>
        <x:v>16490.142239999997</x:v>
      </x:c>
      <x:c r="J39" s="55">
        <x:f t="shared" si="16"/>
        <x:v>21986.856319999999</x:v>
      </x:c>
      <x:c r="K39" s="55">
        <x:f t="shared" si="16"/>
        <x:v>16490.142239999997</x:v>
      </x:c>
      <x:c r="L39" s="55">
        <x:f t="shared" si="16"/>
        <x:v>29682.256032000001</x:v>
      </x:c>
      <x:c r="M39" s="55">
        <x:f t="shared" si="16"/>
        <x:v>16490.142239999997</x:v>
      </x:c>
      <x:c r="N39" s="55">
        <x:f t="shared" si="16"/>
        <x:v>21986.856319999999</x:v>
      </x:c>
      <x:c r="O39" s="55">
        <x:f t="shared" si="16"/>
        <x:v>10993.428159999999</x:v>
      </x:c>
      <x:c r="P39" s="55">
        <x:f t="shared" si="16"/>
        <x:v>7695.3997120000004</x:v>
      </x:c>
      <x:c r="Q39" s="55">
        <x:f t="shared" si="2"/>
        <x:v>203378.42095999999</x:v>
      </x:c>
      <x:c r="R39" s="52"/>
    </x:row>
    <x:row r="40" spans="1:18">
      <x:c r="A40" s="6" t="s">
        <x:v>277</x:v>
      </x:c>
      <x:c r="B40" s="6" t="s">
        <x:v>32</x:v>
      </x:c>
      <x:c r="C40" s="6"/>
      <x:c r="D40" s="60"/>
      <x:c r="E40" s="55">
        <x:f t="shared" ref="E40:P40" si="17">E17*1.1</x:f>
        <x:v>1200.9444480000002</x:v>
      </x:c>
      <x:c r="F40" s="55">
        <x:f t="shared" si="17"/>
        <x:v>585.82656000000009</x:v>
      </x:c>
      <x:c r="G40" s="55">
        <x:f t="shared" si="17"/>
        <x:v>568.73995200000013</x:v>
      </x:c>
      <x:c r="H40" s="55">
        <x:f t="shared" si="17"/>
        <x:v>0</x:v>
      </x:c>
      <x:c r="I40" s="55">
        <x:f t="shared" si="17"/>
        <x:v>1098.4248</x:v>
      </x:c>
      <x:c r="J40" s="55">
        <x:f t="shared" si="17"/>
        <x:v>1098.4248</x:v>
      </x:c>
      <x:c r="K40" s="55">
        <x:f t="shared" si="17"/>
        <x:v>1098.4248</x:v>
      </x:c>
      <x:c r="L40" s="55">
        <x:f t="shared" si="17"/>
        <x:v>1098.4248</x:v>
      </x:c>
      <x:c r="M40" s="55">
        <x:f t="shared" si="17"/>
        <x:v>1098.4248</x:v>
      </x:c>
      <x:c r="N40" s="55">
        <x:f t="shared" si="17"/>
        <x:v>1098.4248</x:v>
      </x:c>
      <x:c r="O40" s="55">
        <x:f t="shared" si="17"/>
        <x:v>1098.4248</x:v>
      </x:c>
      <x:c r="P40" s="55">
        <x:f t="shared" si="17"/>
        <x:v>1098.4248</x:v>
      </x:c>
      <x:c r="Q40" s="55">
        <x:f t="shared" si="2"/>
        <x:v>11142.909360000001</x:v>
      </x:c>
      <x:c r="R40" s="52"/>
    </x:row>
    <x:row r="41" spans="1:18">
      <x:c r="A41" s="6" t="s">
        <x:v>277</x:v>
      </x:c>
      <x:c r="B41" s="6" t="s">
        <x:v>153</x:v>
      </x:c>
      <x:c r="C41" s="6"/>
      <x:c r="D41" s="62"/>
      <x:c r="E41" s="55">
        <x:f t="shared" ref="E41:P41" si="18">E18*1.1</x:f>
        <x:v>5293.5331680000008</x:v>
      </x:c>
      <x:c r="F41" s="55">
        <x:f t="shared" si="18"/>
        <x:v>5818.1175360000016</x:v>
      </x:c>
      <x:c r="G41" s="55">
        <x:f t="shared" si="18"/>
        <x:v>6358.5984000000017</x:v>
      </x:c>
      <x:c r="H41" s="55">
        <x:f t="shared" si="18"/>
        <x:v>7778.6853760000022</x:v>
      </x:c>
      <x:c r="I41" s="55">
        <x:f t="shared" si="18"/>
        <x:v>0</x:v>
      </x:c>
      <x:c r="J41" s="55">
        <x:f t="shared" si="18"/>
        <x:v>4768.948800000001</x:v>
      </x:c>
      <x:c r="K41" s="55">
        <x:f t="shared" si="18"/>
        <x:v>4768.948800000001</x:v>
      </x:c>
      <x:c r="L41" s="55">
        <x:f t="shared" si="18"/>
        <x:v>4768.948800000001</x:v>
      </x:c>
      <x:c r="M41" s="55">
        <x:f t="shared" si="18"/>
        <x:v>4768.948800000001</x:v>
      </x:c>
      <x:c r="N41" s="55">
        <x:f t="shared" si="18"/>
        <x:v>4768.948800000001</x:v>
      </x:c>
      <x:c r="O41" s="55">
        <x:f t="shared" si="18"/>
        <x:v>4768.948800000001</x:v>
      </x:c>
      <x:c r="P41" s="55">
        <x:f t="shared" si="18"/>
        <x:v>4768.948800000001</x:v>
      </x:c>
      <x:c r="Q41" s="55">
        <x:f t="shared" si="2"/>
        <x:v>58631.576079999999</x:v>
      </x:c>
      <x:c r="R41" s="52"/>
    </x:row>
    <x:row r="42" spans="1:18">
      <x:c r="A42" s="6" t="s">
        <x:v>277</x:v>
      </x:c>
      <x:c r="B42" s="6" t="s">
        <x:v>33</x:v>
      </x:c>
      <x:c r="C42" s="6"/>
      <x:c r="D42" s="62"/>
      <x:c r="E42" s="55">
        <x:f t="shared" ref="E42:P42" si="19">E19*1.1</x:f>
        <x:v>0</x:v>
      </x:c>
      <x:c r="F42" s="55">
        <x:f t="shared" si="19"/>
        <x:v>0</x:v>
      </x:c>
      <x:c r="G42" s="55">
        <x:f t="shared" si="19"/>
        <x:v>0</x:v>
      </x:c>
      <x:c r="H42" s="55">
        <x:f t="shared" si="19"/>
        <x:v>0</x:v>
      </x:c>
      <x:c r="I42" s="55">
        <x:f t="shared" si="19"/>
        <x:v>0</x:v>
      </x:c>
      <x:c r="J42" s="55">
        <x:f t="shared" si="19"/>
        <x:v>0</x:v>
      </x:c>
      <x:c r="K42" s="55">
        <x:f t="shared" si="19"/>
        <x:v>0</x:v>
      </x:c>
      <x:c r="L42" s="55">
        <x:f t="shared" si="19"/>
        <x:v>0</x:v>
      </x:c>
      <x:c r="M42" s="55">
        <x:f t="shared" si="19"/>
        <x:v>0</x:v>
      </x:c>
      <x:c r="N42" s="55">
        <x:f t="shared" si="19"/>
        <x:v>0</x:v>
      </x:c>
      <x:c r="O42" s="55">
        <x:f t="shared" si="19"/>
        <x:v>0</x:v>
      </x:c>
      <x:c r="P42" s="55">
        <x:f t="shared" si="19"/>
        <x:v>0</x:v>
      </x:c>
      <x:c r="Q42" s="55">
        <x:f t="shared" si="2"/>
        <x:v>0</x:v>
      </x:c>
      <x:c r="R42" s="132" t="s">
        <x:v>231</x:v>
      </x:c>
    </x:row>
    <x:row r="43" spans="1:18">
      <x:c r="A43" s="129" t="s">
        <x:v>165</x:v>
      </x:c>
      <x:c r="B43" s="129" t="s">
        <x:v>160</x:v>
      </x:c>
      <x:c r="C43" s="129"/>
      <x:c r="D43" s="131"/>
      <x:c r="E43" s="55">
        <x:f t="shared" ref="E43:P43" si="20">E20*1.1</x:f>
        <x:v>9350.5965300000007</x:v>
      </x:c>
      <x:c r="F43" s="55">
        <x:f t="shared" si="20"/>
        <x:v>12609.125199</x:v>
      </x:c>
      <x:c r="G43" s="55">
        <x:f t="shared" si="20"/>
        <x:v>12857.743007999999</x:v>
      </x:c>
      <x:c r="H43" s="55">
        <x:f t="shared" si="20"/>
        <x:v>12868.093457999999</x:v>
      </x:c>
      <x:c r="I43" s="55">
        <x:f t="shared" si="20"/>
        <x:v>16297.611561000002</x:v>
      </x:c>
      <x:c r="J43" s="55">
        <x:f t="shared" si="20"/>
        <x:v>11396.880494999999</x:v>
      </x:c>
      <x:c r="K43" s="55">
        <x:f t="shared" si="20"/>
        <x:v>9158.9061960000017</x:v>
      </x:c>
      <x:c r="L43" s="55">
        <x:f t="shared" si="20"/>
        <x:v>10837.335168000001</x:v>
      </x:c>
      <x:c r="M43" s="55">
        <x:f t="shared" si="20"/>
        <x:v>7149.0558149999997</x:v>
      </x:c>
      <x:c r="N43" s="55">
        <x:f t="shared" si="20"/>
        <x:v>9987.7702320000008</x:v>
      </x:c>
      <x:c r="O43" s="55">
        <x:f t="shared" si="20"/>
        <x:v>6003.2610000000004</x:v>
      </x:c>
      <x:c r="P43" s="55">
        <x:f t="shared" si="20"/>
        <x:v>6003.2610000000004</x:v>
      </x:c>
      <x:c r="Q43" s="130">
        <x:f t="shared" si="2"/>
        <x:v>124519.639662</x:v>
      </x:c>
      <x:c r="R43" s="132"/>
    </x:row>
    <x:row r="44" spans="1:18">
      <x:c r="A44" s="129" t="s">
        <x:v>165</x:v>
      </x:c>
      <x:c r="B44" s="129" t="s">
        <x:v>161</x:v>
      </x:c>
      <x:c r="C44" s="129"/>
      <x:c r="D44" s="131"/>
      <x:c r="E44" s="55">
        <x:f t="shared" ref="E44:P44" si="21">E21*1.1</x:f>
        <x:v>12677.63805</x:v>
      </x:c>
      <x:c r="F44" s="55">
        <x:f t="shared" si="21"/>
        <x:v>17095.585814999999</x:v>
      </x:c>
      <x:c r="G44" s="55">
        <x:f t="shared" si="21"/>
        <x:v>17432.664479999999</x:v>
      </x:c>
      <x:c r="H44" s="55">
        <x:f t="shared" si="21"/>
        <x:v>17446.69773</x:v>
      </x:c>
      <x:c r="I44" s="55">
        <x:f t="shared" si="21"/>
        <x:v>22096.474784999999</x:v>
      </x:c>
      <x:c r="J44" s="55">
        <x:f t="shared" si="21"/>
        <x:v>15452.011575</x:v>
      </x:c>
      <x:c r="K44" s="55">
        <x:f t="shared" si="21"/>
        <x:v>12417.742260000001</x:v>
      </x:c>
      <x:c r="L44" s="55">
        <x:f t="shared" si="21"/>
        <x:v>14693.37408</x:v>
      </x:c>
      <x:c r="M44" s="55">
        <x:f t="shared" si="21"/>
        <x:v>9692.7657750000017</x:v>
      </x:c>
      <x:c r="N44" s="55">
        <x:f t="shared" si="21"/>
        <x:v>13541.52492</x:v>
      </x:c>
      <x:c r="O44" s="55">
        <x:f t="shared" si="21"/>
        <x:v>8139.2850000000008</x:v>
      </x:c>
      <x:c r="P44" s="55">
        <x:f t="shared" si="21"/>
        <x:v>8139.2850000000008</x:v>
      </x:c>
      <x:c r="Q44" s="130">
        <x:f t="shared" si="2"/>
        <x:v>168825.04947</x:v>
      </x:c>
      <x:c r="R44" s="132"/>
    </x:row>
    <x:row r="45" spans="1:18">
      <x:c r="A45" s="6" t="s">
        <x:v>203</x:v>
      </x:c>
      <x:c r="B45" s="6" t="s">
        <x:v>199</x:v>
      </x:c>
      <x:c r="C45" s="6"/>
      <x:c r="D45" s="62"/>
      <x:c r="E45" s="55">
        <x:f t="shared" ref="E45:P45" si="22">E22*1.1</x:f>
        <x:v>223.80930000000001</x:v>
      </x:c>
      <x:c r="F45" s="55">
        <x:f t="shared" si="22"/>
        <x:v>298.41239999999999</x:v>
      </x:c>
      <x:c r="G45" s="55">
        <x:f t="shared" si="22"/>
        <x:v>348.14780000000002</x:v>
      </x:c>
      <x:c r="H45" s="55">
        <x:f t="shared" si="22"/>
        <x:v>298.41239999999999</x:v>
      </x:c>
      <x:c r="I45" s="55">
        <x:f t="shared" si="22"/>
        <x:v>223.80930000000001</x:v>
      </x:c>
      <x:c r="J45" s="55">
        <x:f t="shared" si="22"/>
        <x:v>323.2801</x:v>
      </x:c>
      <x:c r="K45" s="55">
        <x:f t="shared" si="22"/>
        <x:v>248.67700000000002</x:v>
      </x:c>
      <x:c r="L45" s="55">
        <x:f t="shared" si="22"/>
        <x:v>373.01549999999997</x:v>
      </x:c>
      <x:c r="M45" s="55">
        <x:f t="shared" si="22"/>
        <x:v>298.41239999999999</x:v>
      </x:c>
      <x:c r="N45" s="55">
        <x:f t="shared" si="22"/>
        <x:v>298.41239999999999</x:v>
      </x:c>
      <x:c r="O45" s="55">
        <x:f t="shared" si="22"/>
        <x:v>298.41239999999999</x:v>
      </x:c>
      <x:c r="P45" s="55">
        <x:f t="shared" si="22"/>
        <x:v>298.41239999999999</x:v>
      </x:c>
      <x:c r="Q45" s="55">
        <x:f t="shared" si="2"/>
        <x:v>3531.2134000000005</x:v>
      </x:c>
      <x:c r="R45" s="52"/>
    </x:row>
    <x:row r="46" spans="1:18">
      <x:c r="D46" s="50" t="s">
        <x:v>144</x:v>
      </x:c>
      <x:c r="E46" s="56">
        <x:f t="shared" ref="E46:Q46" si="23">SUM(E25:E45)</x:f>
        <x:v>43831.895184000001</x:v>
      </x:c>
      <x:c r="F46" s="56">
        <x:f t="shared" si="23"/>
        <x:v>53829.072396000003</x:v>
      </x:c>
      <x:c r="G46" s="56">
        <x:f t="shared" si="23"/>
        <x:v>56007.429499999998</x:v>
      </x:c>
      <x:c r="H46" s="56">
        <x:f t="shared" si="23"/>
        <x:v>56740.859823999999</x:v>
      </x:c>
      <x:c r="I46" s="56">
        <x:f t="shared" si="23"/>
        <x:v>58875.507306</x:v>
      </x:c>
      <x:c r="J46" s="56">
        <x:f t="shared" si="23"/>
        <x:v>59885.034223873241</x:v>
      </x:c>
      <x:c r="K46" s="56">
        <x:f t="shared" si="23"/>
        <x:v>48074.290646404937</x:v>
      </x:c>
      <x:c r="L46" s="56">
        <x:f t="shared" si="23"/>
        <x:v>67666.042410728856</x:v>
      </x:c>
      <x:c r="M46" s="56">
        <x:f t="shared" si="23"/>
        <x:v>43389.199180404932</x:v>
      </x:c>
      <x:c r="N46" s="56">
        <x:f t="shared" si="23"/>
        <x:v>56540.569605873243</x:v>
      </x:c>
      <x:c r="O46" s="56">
        <x:f t="shared" si="23"/>
        <x:v>34226.026726936623</x:v>
      </x:c>
      <x:c r="P46" s="56">
        <x:f t="shared" si="23"/>
        <x:v>30347.688608855638</x:v>
      </x:c>
      <x:c r="Q46" s="56">
        <x:f t="shared" si="23"/>
        <x:v>609413.61561307742</x:v>
      </x:c>
    </x:row>
    <x:row r="47" spans="1:18">
      <x:c r="D47" s="78" t="s">
        <x:v>173</x:v>
      </x:c>
      <x:c r="E47" s="79">
        <x:f>E46*환율기준!$D$3</x:f>
        <x:v>157794.82266239999</x:v>
      </x:c>
      <x:c r="F47" s="79">
        <x:f>F46*환율기준!$D$3</x:f>
        <x:v>193784.66062560002</x:v>
      </x:c>
      <x:c r="G47" s="79">
        <x:f>G46*환율기준!$D$3</x:f>
        <x:v>201626.74619999999</x:v>
      </x:c>
      <x:c r="H47" s="79">
        <x:f>H46*환율기준!$D$3</x:f>
        <x:v>204267.0953664</x:v>
      </x:c>
      <x:c r="I47" s="79">
        <x:f>I46*환율기준!$D$3</x:f>
        <x:v>211951.8263016</x:v>
      </x:c>
      <x:c r="J47" s="79">
        <x:f>J46*환율기준!$D$3</x:f>
        <x:v>215586.12320594367</x:v>
      </x:c>
      <x:c r="K47" s="79">
        <x:f>K46*환율기준!$D$3</x:f>
        <x:v>173067.44632705778</x:v>
      </x:c>
      <x:c r="L47" s="79">
        <x:f>L46*환율기준!$D$3</x:f>
        <x:v>243597.75267862389</x:v>
      </x:c>
      <x:c r="M47" s="79">
        <x:f>M46*환율기준!$D$3</x:f>
        <x:v>156201.11704945777</x:v>
      </x:c>
      <x:c r="N47" s="79">
        <x:f>N46*환율기준!$D$3</x:f>
        <x:v>203546.05058114367</x:v>
      </x:c>
      <x:c r="O47" s="79">
        <x:f>O46*환율기준!$D$3</x:f>
        <x:v>123213.69621697185</x:v>
      </x:c>
      <x:c r="P47" s="79">
        <x:f>P46*환율기준!$D$3</x:f>
        <x:v>109251.6789918803</x:v>
      </x:c>
      <x:c r="Q47" s="79">
        <x:f t="shared" ref="Q47" si="24">Q46*4.8</x:f>
        <x:v>2925185.3549427716</x:v>
      </x:c>
    </x:row>
  </x:sheetData>
  <x:phoneticPr fontId="2" type="noConversion"/>
  <x:pageMargins left="0.7" right="0.7" top="0.75" bottom="0.75" header="0.3" footer="0.3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tabColor rgb="FF0000CC"/>
  </x:sheetPr>
  <x:dimension ref="A2:N37"/>
  <x:sheetViews>
    <x:sheetView workbookViewId="0">
      <x:selection activeCell="D3" sqref="D3"/>
    </x:sheetView>
  </x:sheetViews>
  <x:sheetFormatPr defaultColWidth="8.875" defaultRowHeight="16.5"/>
  <x:cols>
    <x:col min="1" max="1" width="45.625" style="50" bestFit="1" customWidth="1"/>
    <x:col min="2" max="2" width="22.375" style="50" bestFit="1" customWidth="1"/>
    <x:col min="3" max="3" width="19.875" style="50" customWidth="1"/>
    <x:col min="4" max="4" width="17.75" style="50" bestFit="1" customWidth="1"/>
    <x:col min="5" max="5" width="9.75" style="50" bestFit="1" customWidth="1"/>
    <x:col min="6" max="6" width="7.75" style="50" bestFit="1" customWidth="1"/>
    <x:col min="7" max="7" width="17" style="50" customWidth="1"/>
    <x:col min="8" max="8" width="20.25" style="50" customWidth="1"/>
    <x:col min="9" max="9" width="9.75" style="50" customWidth="1"/>
    <x:col min="10" max="10" width="7.75" style="50" bestFit="1" customWidth="1"/>
    <x:col min="11" max="11" width="23.625" style="50" bestFit="1" customWidth="1"/>
    <x:col min="12" max="12" width="8.875" style="50"/>
    <x:col min="13" max="13" width="10.125" style="50" bestFit="1" customWidth="1"/>
    <x:col min="14" max="14" width="9" style="50" bestFit="1" customWidth="1"/>
    <x:col min="15" max="16384" width="8.875" style="50"/>
  </x:cols>
  <x:sheetData>
    <x:row r="2" spans="1:14" ht="33">
      <x:c r="A2" s="67" t="s">
        <x:v>110</x:v>
      </x:c>
      <x:c r="B2" s="67" t="s">
        <x:v>111</x:v>
      </x:c>
      <x:c r="C2" s="128" t="s">
        <x:v>243</x:v>
      </x:c>
      <x:c r="D2" s="68" t="s">
        <x:v>244</x:v>
      </x:c>
      <x:c r="E2" s="68" t="s">
        <x:v>164</x:v>
      </x:c>
      <x:c r="F2" s="49" t="s">
        <x:v>249</x:v>
      </x:c>
      <x:c r="G2" s="111" t="s">
        <x:v>245</x:v>
      </x:c>
      <x:c r="H2" s="111" t="s">
        <x:v>246</x:v>
      </x:c>
      <x:c r="I2" s="54" t="s">
        <x:v>164</x:v>
      </x:c>
      <x:c r="J2" s="49" t="s">
        <x:v>249</x:v>
      </x:c>
      <x:c r="K2" s="49" t="s">
        <x:v>142</x:v>
      </x:c>
      <x:c r="M2" s="50" t="s">
        <x:v>143</x:v>
      </x:c>
    </x:row>
    <x:row r="3" spans="1:14">
      <x:c r="A3" s="69" t="s">
        <x:v>112</x:v>
      </x:c>
      <x:c r="B3" s="70" t="s">
        <x:v>251</x:v>
      </x:c>
      <x:c r="C3" s="71">
        <x:v>106.61</x:v>
      </x:c>
      <x:c r="D3" s="126">
        <x:v>106.61</x:v>
      </x:c>
      <x:c r="E3" s="71">
        <x:f>D3-C3</x:f>
        <x:v>0</x:v>
      </x:c>
      <x:c r="F3" s="125">
        <x:f>D3/C3</x:f>
        <x:v>1</x:v>
      </x:c>
      <x:c r="G3" s="66">
        <x:v>114.58</x:v>
      </x:c>
      <x:c r="H3" s="135">
        <x:f>G3</x:f>
        <x:v>114.58</x:v>
      </x:c>
      <x:c r="I3" s="66">
        <x:f>H3-G3</x:f>
        <x:v>0</x:v>
      </x:c>
      <x:c r="J3" s="125">
        <x:f>H3/G3</x:f>
        <x:v>1</x:v>
      </x:c>
      <x:c r="K3" s="112"/>
      <x:c r="L3" s="75"/>
      <x:c r="M3" s="50" t="s">
        <x:v>226</x:v>
      </x:c>
      <x:c r="N3" s="124">
        <x:v>1350</x:v>
      </x:c>
    </x:row>
    <x:row r="4" spans="1:14">
      <x:c r="A4" s="69" t="s">
        <x:v>113</x:v>
      </x:c>
      <x:c r="B4" s="70" t="s">
        <x:v>252</x:v>
      </x:c>
      <x:c r="C4" s="71">
        <x:v>18.46</x:v>
      </x:c>
      <x:c r="D4" s="126">
        <x:v>18.46</x:v>
      </x:c>
      <x:c r="E4" s="71">
        <x:f t="shared" ref="E4:E37" si="0">D4-C4</x:f>
        <x:v>0</x:v>
      </x:c>
      <x:c r="F4" s="125">
        <x:f t="shared" ref="F4:F37" si="1">D4/C4</x:f>
        <x:v>1</x:v>
      </x:c>
      <x:c r="G4" s="66">
        <x:v>19.510000000000002</x:v>
      </x:c>
      <x:c r="H4" s="135">
        <x:f t="shared" ref="H4:H34" si="2">G4</x:f>
        <x:v>19.510000000000002</x:v>
      </x:c>
      <x:c r="I4" s="66">
        <x:f t="shared" ref="I4:I37" si="3">H4-G4</x:f>
        <x:v>0</x:v>
      </x:c>
      <x:c r="J4" s="125">
        <x:f t="shared" ref="J4:J37" si="4">H4/G4</x:f>
        <x:v>1</x:v>
      </x:c>
      <x:c r="K4" s="112"/>
      <x:c r="L4" s="75"/>
      <x:c r="M4" s="50" t="s">
        <x:v>227</x:v>
      </x:c>
      <x:c r="N4" s="124">
        <x:v>1600</x:v>
      </x:c>
    </x:row>
    <x:row r="5" spans="1:14">
      <x:c r="A5" s="69" t="s">
        <x:v>114</x:v>
      </x:c>
      <x:c r="B5" s="70" t="s">
        <x:v>33</x:v>
      </x:c>
      <x:c r="C5" s="71">
        <x:v>0.56000000000000005</x:v>
      </x:c>
      <x:c r="D5" s="126">
        <x:v>0.56000000000000005</x:v>
      </x:c>
      <x:c r="E5" s="71">
        <x:f t="shared" si="0"/>
        <x:v>0</x:v>
      </x:c>
      <x:c r="F5" s="125">
        <x:f t="shared" si="1"/>
        <x:v>1</x:v>
      </x:c>
      <x:c r="G5" s="66">
        <x:v>0.61</x:v>
      </x:c>
      <x:c r="H5" s="135">
        <x:f t="shared" si="2"/>
        <x:v>0.61</x:v>
      </x:c>
      <x:c r="I5" s="66">
        <x:f t="shared" si="3"/>
        <x:v>0</x:v>
      </x:c>
      <x:c r="J5" s="125">
        <x:f t="shared" si="4"/>
        <x:v>1</x:v>
      </x:c>
      <x:c r="K5" s="112"/>
      <x:c r="L5" s="75"/>
      <x:c r="N5" s="124"/>
    </x:row>
    <x:row r="6" spans="1:14">
      <x:c r="A6" s="69" t="s">
        <x:v>115</x:v>
      </x:c>
      <x:c r="B6" s="70" t="s">
        <x:v>253</x:v>
      </x:c>
      <x:c r="C6" s="71">
        <x:v>85.86</x:v>
      </x:c>
      <x:c r="D6" s="126">
        <x:v>85.86</x:v>
      </x:c>
      <x:c r="E6" s="71">
        <x:f t="shared" si="0"/>
        <x:v>0</x:v>
      </x:c>
      <x:c r="F6" s="125">
        <x:f t="shared" si="1"/>
        <x:v>1</x:v>
      </x:c>
      <x:c r="G6" s="66">
        <x:v>98.23</x:v>
      </x:c>
      <x:c r="H6" s="135">
        <x:f t="shared" si="2"/>
        <x:v>98.23</x:v>
      </x:c>
      <x:c r="I6" s="66">
        <x:f t="shared" si="3"/>
        <x:v>0</x:v>
      </x:c>
      <x:c r="J6" s="125">
        <x:f t="shared" si="4"/>
        <x:v>1</x:v>
      </x:c>
      <x:c r="K6" s="112"/>
      <x:c r="L6" s="75"/>
      <x:c r="M6" s="50" t="s">
        <x:v>228</x:v>
      </x:c>
      <x:c r="N6" s="124">
        <x:v>3.6</x:v>
      </x:c>
    </x:row>
    <x:row r="7" spans="1:14">
      <x:c r="A7" s="69" t="s">
        <x:v>116</x:v>
      </x:c>
      <x:c r="B7" s="70" t="s">
        <x:v>254</x:v>
      </x:c>
      <x:c r="C7" s="71">
        <x:v>2.35</x:v>
      </x:c>
      <x:c r="D7" s="126">
        <x:v>2.35</x:v>
      </x:c>
      <x:c r="E7" s="71">
        <x:f t="shared" si="0"/>
        <x:v>0</x:v>
      </x:c>
      <x:c r="F7" s="125">
        <x:f t="shared" si="1"/>
        <x:v>1</x:v>
      </x:c>
      <x:c r="G7" s="66">
        <x:v>2.5499999999999998</x:v>
      </x:c>
      <x:c r="H7" s="135">
        <x:f t="shared" si="2"/>
        <x:v>2.5499999999999998</x:v>
      </x:c>
      <x:c r="I7" s="66">
        <x:f t="shared" si="3"/>
        <x:v>0</x:v>
      </x:c>
      <x:c r="J7" s="125">
        <x:f t="shared" si="4"/>
        <x:v>1</x:v>
      </x:c>
      <x:c r="K7" s="112"/>
      <x:c r="L7" s="75"/>
      <x:c r="M7" s="50" t="s">
        <x:v>229</x:v>
      </x:c>
      <x:c r="N7" s="124">
        <x:v>4.2</x:v>
      </x:c>
    </x:row>
    <x:row r="8" spans="1:14">
      <x:c r="A8" s="69" t="s">
        <x:v>117</x:v>
      </x:c>
      <x:c r="B8" s="70" t="s">
        <x:v>255</x:v>
      </x:c>
      <x:c r="C8" s="71">
        <x:v>7.68</x:v>
      </x:c>
      <x:c r="D8" s="126">
        <x:v>7.68</x:v>
      </x:c>
      <x:c r="E8" s="71">
        <x:f t="shared" si="0"/>
        <x:v>0</x:v>
      </x:c>
      <x:c r="F8" s="125">
        <x:f t="shared" si="1"/>
        <x:v>1</x:v>
      </x:c>
      <x:c r="G8" s="66">
        <x:v>8.25</x:v>
      </x:c>
      <x:c r="H8" s="135">
        <x:f t="shared" si="2"/>
        <x:v>8.25</x:v>
      </x:c>
      <x:c r="I8" s="66">
        <x:f t="shared" si="3"/>
        <x:v>0</x:v>
      </x:c>
      <x:c r="J8" s="125">
        <x:f t="shared" si="4"/>
        <x:v>1</x:v>
      </x:c>
      <x:c r="K8" s="112"/>
      <x:c r="L8" s="75"/>
      <x:c r="M8" s="50" t="s">
        <x:v>230</x:v>
      </x:c>
      <x:c r="N8" s="124">
        <x:v>385</x:v>
      </x:c>
    </x:row>
    <x:row r="9" spans="1:14">
      <x:c r="A9" s="137" t="s">
        <x:v>112</x:v>
      </x:c>
      <x:c r="B9" s="138" t="s">
        <x:v>269</x:v>
      </x:c>
      <x:c r="C9" s="139">
        <x:v>106.61</x:v>
      </x:c>
      <x:c r="D9" s="140">
        <x:v>156.75</x:v>
      </x:c>
      <x:c r="E9" s="139">
        <x:f>D9-C9</x:f>
        <x:v>50.14</x:v>
      </x:c>
      <x:c r="F9" s="141">
        <x:f>D9/C9</x:f>
        <x:v>1.4703123534377638</x:v>
      </x:c>
      <x:c r="G9" s="142">
        <x:v>114.58</x:v>
      </x:c>
      <x:c r="H9" s="143">
        <x:f>H15</x:f>
        <x:v>141.68</x:v>
      </x:c>
      <x:c r="I9" s="142">
        <x:f>H9-G9</x:f>
        <x:v>27.100000000000009</x:v>
      </x:c>
      <x:c r="J9" s="141">
        <x:f>H9/G9</x:f>
        <x:v>1.2365159713737128</x:v>
      </x:c>
      <x:c r="K9" s="144" t="s">
        <x:v>274</x:v>
      </x:c>
      <x:c r="L9" s="75"/>
      <x:c r="N9" s="124"/>
    </x:row>
    <x:row r="10" spans="1:14">
      <x:c r="A10" s="137" t="s">
        <x:v>113</x:v>
      </x:c>
      <x:c r="B10" s="138" t="s">
        <x:v>270</x:v>
      </x:c>
      <x:c r="C10" s="139">
        <x:v>18.46</x:v>
      </x:c>
      <x:c r="D10" s="140">
        <x:v>27.14</x:v>
      </x:c>
      <x:c r="E10" s="139">
        <x:f t="shared" ref="E10:E14" si="5">D10-C10</x:f>
        <x:v>8.68</x:v>
      </x:c>
      <x:c r="F10" s="141">
        <x:f t="shared" ref="F10:F14" si="6">D10/C10</x:f>
        <x:v>1.4702058504875406</x:v>
      </x:c>
      <x:c r="G10" s="142">
        <x:v>19.510000000000002</x:v>
      </x:c>
      <x:c r="H10" s="143">
        <x:f>H16</x:f>
        <x:v>24.12</x:v>
      </x:c>
      <x:c r="I10" s="142">
        <x:f t="shared" ref="I10:I14" si="7">H10-G10</x:f>
        <x:v>4.6099999999999994</x:v>
      </x:c>
      <x:c r="J10" s="141">
        <x:f t="shared" ref="J10:J14" si="8">H10/G10</x:f>
        <x:v>1.2362890825217836</x:v>
      </x:c>
      <x:c r="K10" s="144" t="s">
        <x:v>274</x:v>
      </x:c>
      <x:c r="L10" s="75"/>
      <x:c r="N10" s="124"/>
    </x:row>
    <x:row r="11" spans="1:14">
      <x:c r="A11" s="69" t="s">
        <x:v>114</x:v>
      </x:c>
      <x:c r="B11" s="70" t="s">
        <x:v>33</x:v>
      </x:c>
      <x:c r="C11" s="71">
        <x:v>0.56000000000000005</x:v>
      </x:c>
      <x:c r="D11" s="126">
        <x:v>0.56000000000000005</x:v>
      </x:c>
      <x:c r="E11" s="71">
        <x:f t="shared" si="5"/>
        <x:v>0</x:v>
      </x:c>
      <x:c r="F11" s="125">
        <x:f t="shared" si="6"/>
        <x:v>1</x:v>
      </x:c>
      <x:c r="G11" s="66">
        <x:v>0.61</x:v>
      </x:c>
      <x:c r="H11" s="135">
        <x:f t="shared" ref="H11" si="9">G11*F11</x:f>
        <x:v>0.61</x:v>
      </x:c>
      <x:c r="I11" s="66">
        <x:f t="shared" si="7"/>
        <x:v>0</x:v>
      </x:c>
      <x:c r="J11" s="125">
        <x:f t="shared" si="8"/>
        <x:v>1</x:v>
      </x:c>
      <x:c r="K11" s="112"/>
      <x:c r="L11" s="75"/>
      <x:c r="N11" s="124"/>
    </x:row>
    <x:row r="12" spans="1:14">
      <x:c r="A12" s="137" t="s">
        <x:v>115</x:v>
      </x:c>
      <x:c r="B12" s="138" t="s">
        <x:v>271</x:v>
      </x:c>
      <x:c r="C12" s="139">
        <x:v>85.86</x:v>
      </x:c>
      <x:c r="D12" s="140">
        <x:v>126.26</x:v>
      </x:c>
      <x:c r="E12" s="139">
        <x:f t="shared" si="5"/>
        <x:v>40.400000000000006</x:v>
      </x:c>
      <x:c r="F12" s="141">
        <x:f t="shared" si="6"/>
        <x:v>1.4705334265082692</x:v>
      </x:c>
      <x:c r="G12" s="142">
        <x:v>98.23</x:v>
      </x:c>
      <x:c r="H12" s="143">
        <x:f>G12*J18</x:f>
        <x:v>169.74074823943661</x:v>
      </x:c>
      <x:c r="I12" s="142">
        <x:f t="shared" si="7"/>
        <x:v>71.510748239436609</x:v>
      </x:c>
      <x:c r="J12" s="141">
        <x:f t="shared" si="8"/>
        <x:v>1.7279929577464788</x:v>
      </x:c>
      <x:c r="K12" s="144" t="s">
        <x:v>274</x:v>
      </x:c>
      <x:c r="L12" s="75"/>
      <x:c r="N12" s="124"/>
    </x:row>
    <x:row r="13" spans="1:14">
      <x:c r="A13" s="137" t="s">
        <x:v>116</x:v>
      </x:c>
      <x:c r="B13" s="138" t="s">
        <x:v>272</x:v>
      </x:c>
      <x:c r="C13" s="139">
        <x:v>2.35</x:v>
      </x:c>
      <x:c r="D13" s="140">
        <x:v>3.46</x:v>
      </x:c>
      <x:c r="E13" s="139">
        <x:f t="shared" si="5"/>
        <x:v>1.1099999999999999</x:v>
      </x:c>
      <x:c r="F13" s="141">
        <x:f t="shared" si="6"/>
        <x:v>1.4723404255319148</x:v>
      </x:c>
      <x:c r="G13" s="142">
        <x:v>2.5499999999999998</x:v>
      </x:c>
      <x:c r="H13" s="143">
        <x:f>G13*J20</x:f>
        <x:v>3.1534697508896792</x:v>
      </x:c>
      <x:c r="I13" s="142">
        <x:f t="shared" si="7"/>
        <x:v>0.60346975088967936</x:v>
      </x:c>
      <x:c r="J13" s="141">
        <x:f t="shared" si="8"/>
        <x:v>1.2366548042704626</x:v>
      </x:c>
      <x:c r="K13" s="144" t="s">
        <x:v>274</x:v>
      </x:c>
      <x:c r="L13" s="75"/>
      <x:c r="N13" s="124"/>
    </x:row>
    <x:row r="14" spans="1:14">
      <x:c r="A14" s="137" t="s">
        <x:v>117</x:v>
      </x:c>
      <x:c r="B14" s="138" t="s">
        <x:v>273</x:v>
      </x:c>
      <x:c r="C14" s="139">
        <x:v>7.68</x:v>
      </x:c>
      <x:c r="D14" s="140">
        <x:v>11.29</x:v>
      </x:c>
      <x:c r="E14" s="139">
        <x:f t="shared" si="5"/>
        <x:v>3.6099999999999994</x:v>
      </x:c>
      <x:c r="F14" s="141">
        <x:f t="shared" si="6"/>
        <x:v>1.4700520833333333</x:v>
      </x:c>
      <x:c r="G14" s="142">
        <x:v>8.25</x:v>
      </x:c>
      <x:c r="H14" s="143">
        <x:f>G14*J20</x:f>
        <x:v>10.202402135231317</x:v>
      </x:c>
      <x:c r="I14" s="142">
        <x:f t="shared" si="7"/>
        <x:v>1.952402135231317</x:v>
      </x:c>
      <x:c r="J14" s="141">
        <x:f t="shared" si="8"/>
        <x:v>1.2366548042704626</x:v>
      </x:c>
      <x:c r="K14" s="144" t="s">
        <x:v>274</x:v>
      </x:c>
      <x:c r="L14" s="75"/>
      <x:c r="N14" s="124"/>
    </x:row>
    <x:row r="15" spans="1:14">
      <x:c r="A15" s="137" t="s">
        <x:v>112</x:v>
      </x:c>
      <x:c r="B15" s="138" t="s">
        <x:v>153</x:v>
      </x:c>
      <x:c r="C15" s="139">
        <x:v>106.61</x:v>
      </x:c>
      <x:c r="D15" s="140">
        <x:v>156.75</x:v>
      </x:c>
      <x:c r="E15" s="139">
        <x:f t="shared" si="0"/>
        <x:v>50.14</x:v>
      </x:c>
      <x:c r="F15" s="141">
        <x:f t="shared" si="1"/>
        <x:v>1.4703123534377638</x:v>
      </x:c>
      <x:c r="G15" s="142">
        <x:v>114.58</x:v>
      </x:c>
      <x:c r="H15" s="143">
        <x:v>141.68</x:v>
      </x:c>
      <x:c r="I15" s="142">
        <x:f t="shared" si="3"/>
        <x:v>27.100000000000009</x:v>
      </x:c>
      <x:c r="J15" s="141">
        <x:f t="shared" si="4"/>
        <x:v>1.2365159713737128</x:v>
      </x:c>
      <x:c r="K15" s="144" t="s">
        <x:v>250</x:v>
      </x:c>
      <x:c r="L15" s="75"/>
    </x:row>
    <x:row r="16" spans="1:14">
      <x:c r="A16" s="137" t="s">
        <x:v>113</x:v>
      </x:c>
      <x:c r="B16" s="138" t="s">
        <x:v>32</x:v>
      </x:c>
      <x:c r="C16" s="139">
        <x:v>18.46</x:v>
      </x:c>
      <x:c r="D16" s="140">
        <x:v>27.14</x:v>
      </x:c>
      <x:c r="E16" s="139">
        <x:f t="shared" si="0"/>
        <x:v>8.68</x:v>
      </x:c>
      <x:c r="F16" s="141">
        <x:f t="shared" si="1"/>
        <x:v>1.4702058504875406</x:v>
      </x:c>
      <x:c r="G16" s="142">
        <x:v>19.510000000000002</x:v>
      </x:c>
      <x:c r="H16" s="143">
        <x:v>24.12</x:v>
      </x:c>
      <x:c r="I16" s="142">
        <x:f t="shared" si="3"/>
        <x:v>4.6099999999999994</x:v>
      </x:c>
      <x:c r="J16" s="141">
        <x:f t="shared" si="4"/>
        <x:v>1.2362890825217836</x:v>
      </x:c>
      <x:c r="K16" s="144" t="s">
        <x:v>250</x:v>
      </x:c>
      <x:c r="L16" s="75"/>
    </x:row>
    <x:row r="17" spans="1:12">
      <x:c r="A17" s="69" t="s">
        <x:v>114</x:v>
      </x:c>
      <x:c r="B17" s="70" t="s">
        <x:v>33</x:v>
      </x:c>
      <x:c r="C17" s="71">
        <x:v>0.56000000000000005</x:v>
      </x:c>
      <x:c r="D17" s="126">
        <x:v>0.56000000000000005</x:v>
      </x:c>
      <x:c r="E17" s="71">
        <x:f t="shared" si="0"/>
        <x:v>0</x:v>
      </x:c>
      <x:c r="F17" s="125">
        <x:f t="shared" si="1"/>
        <x:v>1</x:v>
      </x:c>
      <x:c r="G17" s="66">
        <x:v>0.61</x:v>
      </x:c>
      <x:c r="H17" s="135">
        <x:f t="shared" si="2"/>
        <x:v>0.61</x:v>
      </x:c>
      <x:c r="I17" s="66">
        <x:f t="shared" si="3"/>
        <x:v>0</x:v>
      </x:c>
      <x:c r="J17" s="125">
        <x:f t="shared" si="4"/>
        <x:v>1</x:v>
      </x:c>
      <x:c r="K17" s="112"/>
      <x:c r="L17" s="75"/>
    </x:row>
    <x:row r="18" spans="1:12">
      <x:c r="A18" s="137" t="s">
        <x:v>118</x:v>
      </x:c>
      <x:c r="B18" s="138" t="s">
        <x:v>119</x:v>
      </x:c>
      <x:c r="C18" s="139">
        <x:v>79.7</x:v>
      </x:c>
      <x:c r="D18" s="140">
        <x:v>117.2</x:v>
      </x:c>
      <x:c r="E18" s="139">
        <x:f t="shared" si="0"/>
        <x:v>37.5</x:v>
      </x:c>
      <x:c r="F18" s="141">
        <x:f t="shared" si="1"/>
        <x:v>1.4705144291091594</x:v>
      </x:c>
      <x:c r="G18" s="142">
        <x:v>90.88</x:v>
      </x:c>
      <x:c r="H18" s="143">
        <x:v>157.04</x:v>
      </x:c>
      <x:c r="I18" s="142">
        <x:f t="shared" si="3"/>
        <x:v>66.16</x:v>
      </x:c>
      <x:c r="J18" s="141">
        <x:f t="shared" si="4"/>
        <x:v>1.7279929577464788</x:v>
      </x:c>
      <x:c r="K18" s="144" t="s">
        <x:v>250</x:v>
      </x:c>
      <x:c r="L18" s="75"/>
    </x:row>
    <x:row r="19" spans="1:12">
      <x:c r="A19" s="137" t="s">
        <x:v>120</x:v>
      </x:c>
      <x:c r="B19" s="138" t="s">
        <x:v>34</x:v>
      </x:c>
      <x:c r="C19" s="139">
        <x:v>2.54</x:v>
      </x:c>
      <x:c r="D19" s="140">
        <x:v>3.74</x:v>
      </x:c>
      <x:c r="E19" s="139">
        <x:f t="shared" si="0"/>
        <x:v>1.2000000000000002</x:v>
      </x:c>
      <x:c r="F19" s="141">
        <x:f t="shared" si="1"/>
        <x:v>1.4724409448818898</x:v>
      </x:c>
      <x:c r="G19" s="142">
        <x:v>2.76</x:v>
      </x:c>
      <x:c r="H19" s="143">
        <x:v>3.41</x:v>
      </x:c>
      <x:c r="I19" s="142">
        <x:f t="shared" si="3"/>
        <x:v>0.65000000000000036</x:v>
      </x:c>
      <x:c r="J19" s="141">
        <x:f t="shared" si="4"/>
        <x:v>1.2355072463768118</x:v>
      </x:c>
      <x:c r="K19" s="144" t="s">
        <x:v>250</x:v>
      </x:c>
      <x:c r="L19" s="75"/>
    </x:row>
    <x:row r="20" spans="1:12">
      <x:c r="A20" s="137" t="s">
        <x:v>121</x:v>
      </x:c>
      <x:c r="B20" s="138" t="s">
        <x:v>154</x:v>
      </x:c>
      <x:c r="C20" s="139">
        <x:v>5.24</x:v>
      </x:c>
      <x:c r="D20" s="140">
        <x:v>7.71</x:v>
      </x:c>
      <x:c r="E20" s="139">
        <x:f t="shared" si="0"/>
        <x:v>2.4699999999999998</x:v>
      </x:c>
      <x:c r="F20" s="141">
        <x:f t="shared" si="1"/>
        <x:v>1.4713740458015268</x:v>
      </x:c>
      <x:c r="G20" s="142">
        <x:v>5.62</x:v>
      </x:c>
      <x:c r="H20" s="143">
        <x:v>6.95</x:v>
      </x:c>
      <x:c r="I20" s="142">
        <x:f t="shared" si="3"/>
        <x:v>1.33</x:v>
      </x:c>
      <x:c r="J20" s="141">
        <x:f t="shared" si="4"/>
        <x:v>1.2366548042704626</x:v>
      </x:c>
      <x:c r="K20" s="144" t="s">
        <x:v>250</x:v>
      </x:c>
      <x:c r="L20" s="75"/>
    </x:row>
    <x:row r="21" spans="1:12">
      <x:c r="A21" s="137" t="s">
        <x:v>122</x:v>
      </x:c>
      <x:c r="B21" s="138" t="s">
        <x:v>155</x:v>
      </x:c>
      <x:c r="C21" s="139">
        <x:v>3.61</x:v>
      </x:c>
      <x:c r="D21" s="140">
        <x:v>5.31</x:v>
      </x:c>
      <x:c r="E21" s="139">
        <x:f t="shared" si="0"/>
        <x:v>1.6999999999999997</x:v>
      </x:c>
      <x:c r="F21" s="141">
        <x:f t="shared" si="1"/>
        <x:v>1.4709141274238227</x:v>
      </x:c>
      <x:c r="G21" s="142">
        <x:v>3.87</x:v>
      </x:c>
      <x:c r="H21" s="143">
        <x:v>4.79</x:v>
      </x:c>
      <x:c r="I21" s="142">
        <x:f t="shared" si="3"/>
        <x:v>0.91999999999999993</x:v>
      </x:c>
      <x:c r="J21" s="141">
        <x:f t="shared" si="4"/>
        <x:v>1.2377260981912144</x:v>
      </x:c>
      <x:c r="K21" s="144" t="s">
        <x:v>250</x:v>
      </x:c>
      <x:c r="L21" s="75"/>
    </x:row>
    <x:row r="22" spans="1:12">
      <x:c r="A22" s="69" t="s">
        <x:v>113</x:v>
      </x:c>
      <x:c r="B22" s="70" t="s">
        <x:v>39</x:v>
      </x:c>
      <x:c r="C22" s="71">
        <x:v>15.62</x:v>
      </x:c>
      <x:c r="D22" s="126">
        <x:v>15.62</x:v>
      </x:c>
      <x:c r="E22" s="71">
        <x:f t="shared" si="0"/>
        <x:v>0</x:v>
      </x:c>
      <x:c r="F22" s="125">
        <x:f t="shared" si="1"/>
        <x:v>1</x:v>
      </x:c>
      <x:c r="G22" s="66">
        <x:v>17.82</x:v>
      </x:c>
      <x:c r="H22" s="135">
        <x:f t="shared" si="2"/>
        <x:v>17.82</x:v>
      </x:c>
      <x:c r="I22" s="66">
        <x:f t="shared" si="3"/>
        <x:v>0</x:v>
      </x:c>
      <x:c r="J22" s="125">
        <x:f t="shared" si="4"/>
        <x:v>1</x:v>
      </x:c>
      <x:c r="K22" s="112"/>
      <x:c r="L22" s="75"/>
    </x:row>
    <x:row r="23" spans="1:12">
      <x:c r="A23" s="69" t="s">
        <x:v>123</x:v>
      </x:c>
      <x:c r="B23" s="70" t="s">
        <x:v>38</x:v>
      </x:c>
      <x:c r="C23" s="71">
        <x:v>4.0599999999999996</x:v>
      </x:c>
      <x:c r="D23" s="126">
        <x:v>4.0599999999999996</x:v>
      </x:c>
      <x:c r="E23" s="71">
        <x:f t="shared" si="0"/>
        <x:v>0</x:v>
      </x:c>
      <x:c r="F23" s="125">
        <x:f t="shared" si="1"/>
        <x:v>1</x:v>
      </x:c>
      <x:c r="G23" s="66">
        <x:v>4.3899999999999997</x:v>
      </x:c>
      <x:c r="H23" s="135">
        <x:f t="shared" si="2"/>
        <x:v>4.3899999999999997</x:v>
      </x:c>
      <x:c r="I23" s="66">
        <x:f t="shared" si="3"/>
        <x:v>0</x:v>
      </x:c>
      <x:c r="J23" s="125">
        <x:f t="shared" si="4"/>
        <x:v>1</x:v>
      </x:c>
      <x:c r="K23" s="112"/>
      <x:c r="L23" s="75"/>
    </x:row>
    <x:row r="24" spans="1:12">
      <x:c r="A24" s="69" t="s">
        <x:v>124</x:v>
      </x:c>
      <x:c r="B24" s="70" t="s">
        <x:v>136</x:v>
      </x:c>
      <x:c r="C24" s="71">
        <x:v>4.9800000000000004</x:v>
      </x:c>
      <x:c r="D24" s="126">
        <x:v>4.9800000000000004</x:v>
      </x:c>
      <x:c r="E24" s="71">
        <x:f t="shared" si="0"/>
        <x:v>0</x:v>
      </x:c>
      <x:c r="F24" s="125">
        <x:f t="shared" si="1"/>
        <x:v>1</x:v>
      </x:c>
      <x:c r="G24" s="66">
        <x:v>5.4</x:v>
      </x:c>
      <x:c r="H24" s="135">
        <x:f t="shared" si="2"/>
        <x:v>5.4</x:v>
      </x:c>
      <x:c r="I24" s="66">
        <x:f t="shared" si="3"/>
        <x:v>0</x:v>
      </x:c>
      <x:c r="J24" s="125">
        <x:f t="shared" si="4"/>
        <x:v>1</x:v>
      </x:c>
      <x:c r="K24" s="112"/>
      <x:c r="L24" s="75"/>
    </x:row>
    <x:row r="25" spans="1:12">
      <x:c r="A25" s="69" t="s">
        <x:v>125</x:v>
      </x:c>
      <x:c r="B25" s="70" t="s">
        <x:v>37</x:v>
      </x:c>
      <x:c r="C25" s="71">
        <x:v>3.64</x:v>
      </x:c>
      <x:c r="D25" s="126">
        <x:v>3.64</x:v>
      </x:c>
      <x:c r="E25" s="71">
        <x:f t="shared" si="0"/>
        <x:v>0</x:v>
      </x:c>
      <x:c r="F25" s="125">
        <x:f t="shared" si="1"/>
        <x:v>1</x:v>
      </x:c>
      <x:c r="G25" s="66">
        <x:v>3.93</x:v>
      </x:c>
      <x:c r="H25" s="135">
        <x:f t="shared" si="2"/>
        <x:v>3.93</x:v>
      </x:c>
      <x:c r="I25" s="66">
        <x:f t="shared" si="3"/>
        <x:v>0</x:v>
      </x:c>
      <x:c r="J25" s="125">
        <x:f t="shared" si="4"/>
        <x:v>1</x:v>
      </x:c>
      <x:c r="K25" s="112"/>
      <x:c r="L25" s="75"/>
    </x:row>
    <x:row r="26" spans="1:12">
      <x:c r="A26" s="69" t="s">
        <x:v>126</x:v>
      </x:c>
      <x:c r="B26" s="70" t="s">
        <x:v>156</x:v>
      </x:c>
      <x:c r="C26" s="71">
        <x:v>71.13</x:v>
      </x:c>
      <x:c r="D26" s="126">
        <x:v>71.13</x:v>
      </x:c>
      <x:c r="E26" s="71">
        <x:f t="shared" si="0"/>
        <x:v>0</x:v>
      </x:c>
      <x:c r="F26" s="125">
        <x:f t="shared" si="1"/>
        <x:v>1</x:v>
      </x:c>
      <x:c r="G26" s="66">
        <x:v>81.19</x:v>
      </x:c>
      <x:c r="H26" s="135">
        <x:f t="shared" si="2"/>
        <x:v>81.19</x:v>
      </x:c>
      <x:c r="I26" s="66">
        <x:f t="shared" si="3"/>
        <x:v>0</x:v>
      </x:c>
      <x:c r="J26" s="125">
        <x:f t="shared" si="4"/>
        <x:v>1</x:v>
      </x:c>
      <x:c r="K26" s="112"/>
      <x:c r="L26" s="75"/>
    </x:row>
    <x:row r="27" spans="1:12">
      <x:c r="A27" s="69" t="s">
        <x:v>127</x:v>
      </x:c>
      <x:c r="B27" s="70" t="s">
        <x:v>33</x:v>
      </x:c>
      <x:c r="C27" s="71">
        <x:v>0.56000000000000005</x:v>
      </x:c>
      <x:c r="D27" s="126">
        <x:v>0.56000000000000005</x:v>
      </x:c>
      <x:c r="E27" s="71">
        <x:f t="shared" si="0"/>
        <x:v>0</x:v>
      </x:c>
      <x:c r="F27" s="125">
        <x:f t="shared" si="1"/>
        <x:v>1</x:v>
      </x:c>
      <x:c r="G27" s="66">
        <x:v>0.61</x:v>
      </x:c>
      <x:c r="H27" s="135">
        <x:f t="shared" si="2"/>
        <x:v>0.61</x:v>
      </x:c>
      <x:c r="I27" s="66">
        <x:f t="shared" si="3"/>
        <x:v>0</x:v>
      </x:c>
      <x:c r="J27" s="125">
        <x:f t="shared" si="4"/>
        <x:v>1</x:v>
      </x:c>
      <x:c r="K27" s="112"/>
      <x:c r="L27" s="75"/>
    </x:row>
    <x:row r="28" spans="1:12">
      <x:c r="A28" s="69" t="s">
        <x:v>128</x:v>
      </x:c>
      <x:c r="B28" s="70" t="s">
        <x:v>40</x:v>
      </x:c>
      <x:c r="C28" s="71">
        <x:v>0.56000000000000005</x:v>
      </x:c>
      <x:c r="D28" s="126">
        <x:v>0.56000000000000005</x:v>
      </x:c>
      <x:c r="E28" s="71">
        <x:f t="shared" si="0"/>
        <x:v>0</x:v>
      </x:c>
      <x:c r="F28" s="125">
        <x:f t="shared" si="1"/>
        <x:v>1</x:v>
      </x:c>
      <x:c r="G28" s="66">
        <x:v>0.63</x:v>
      </x:c>
      <x:c r="H28" s="135">
        <x:f t="shared" si="2"/>
        <x:v>0.63</x:v>
      </x:c>
      <x:c r="I28" s="66">
        <x:f t="shared" si="3"/>
        <x:v>0</x:v>
      </x:c>
      <x:c r="J28" s="125">
        <x:f t="shared" si="4"/>
        <x:v>1</x:v>
      </x:c>
      <x:c r="K28" s="112"/>
      <x:c r="L28" s="75"/>
    </x:row>
    <x:row r="29" spans="1:12">
      <x:c r="A29" s="69" t="s">
        <x:v>129</x:v>
      </x:c>
      <x:c r="B29" s="70" t="s">
        <x:v>130</x:v>
      </x:c>
      <x:c r="C29" s="71">
        <x:v>10.02</x:v>
      </x:c>
      <x:c r="D29" s="126">
        <x:v>10.02</x:v>
      </x:c>
      <x:c r="E29" s="71">
        <x:f t="shared" si="0"/>
        <x:v>0</x:v>
      </x:c>
      <x:c r="F29" s="125">
        <x:f t="shared" si="1"/>
        <x:v>1</x:v>
      </x:c>
      <x:c r="G29" s="66">
        <x:v>11.43</x:v>
      </x:c>
      <x:c r="H29" s="135">
        <x:f t="shared" si="2"/>
        <x:v>11.43</x:v>
      </x:c>
      <x:c r="I29" s="66">
        <x:f t="shared" si="3"/>
        <x:v>0</x:v>
      </x:c>
      <x:c r="J29" s="125">
        <x:f t="shared" si="4"/>
        <x:v>1</x:v>
      </x:c>
      <x:c r="K29" s="112"/>
      <x:c r="L29" s="75"/>
    </x:row>
    <x:row r="30" spans="1:12">
      <x:c r="A30" s="100" t="s">
        <x:v>131</x:v>
      </x:c>
      <x:c r="B30" s="101" t="s">
        <x:v>217</x:v>
      </x:c>
      <x:c r="C30" s="102">
        <x:v>37.380000000000003</x:v>
      </x:c>
      <x:c r="D30" s="126">
        <x:v>37.380000000000003</x:v>
      </x:c>
      <x:c r="E30" s="71">
        <x:f t="shared" si="0"/>
        <x:v>0</x:v>
      </x:c>
      <x:c r="F30" s="125">
        <x:f t="shared" si="1"/>
        <x:v>1</x:v>
      </x:c>
      <x:c r="G30" s="103">
        <x:v>34.99</x:v>
      </x:c>
      <x:c r="H30" s="135">
        <x:f t="shared" si="2"/>
        <x:v>34.99</x:v>
      </x:c>
      <x:c r="I30" s="66">
        <x:f t="shared" si="3"/>
        <x:v>0</x:v>
      </x:c>
      <x:c r="J30" s="125">
        <x:f t="shared" si="4"/>
        <x:v>1</x:v>
      </x:c>
      <x:c r="K30" s="112"/>
      <x:c r="L30" s="75"/>
    </x:row>
    <x:row r="31" spans="1:12">
      <x:c r="A31" s="69" t="s">
        <x:v>132</x:v>
      </x:c>
      <x:c r="B31" s="70" t="s">
        <x:v>157</x:v>
      </x:c>
      <x:c r="C31" s="71">
        <x:v>4.66</x:v>
      </x:c>
      <x:c r="D31" s="126">
        <x:v>4.66</x:v>
      </x:c>
      <x:c r="E31" s="71">
        <x:f t="shared" si="0"/>
        <x:v>0</x:v>
      </x:c>
      <x:c r="F31" s="125">
        <x:f t="shared" si="1"/>
        <x:v>1</x:v>
      </x:c>
      <x:c r="G31" s="66">
        <x:v>5.4</x:v>
      </x:c>
      <x:c r="H31" s="135">
        <x:f t="shared" si="2"/>
        <x:v>5.4</x:v>
      </x:c>
      <x:c r="I31" s="66">
        <x:f t="shared" si="3"/>
        <x:v>0</x:v>
      </x:c>
      <x:c r="J31" s="125">
        <x:f t="shared" si="4"/>
        <x:v>1</x:v>
      </x:c>
      <x:c r="K31" s="112"/>
      <x:c r="L31" s="75"/>
    </x:row>
    <x:row r="32" spans="1:12">
      <x:c r="A32" s="69" t="s">
        <x:v>133</x:v>
      </x:c>
      <x:c r="B32" s="70" t="s">
        <x:v>158</x:v>
      </x:c>
      <x:c r="C32" s="71">
        <x:v>4.46</x:v>
      </x:c>
      <x:c r="D32" s="126">
        <x:v>4.46</x:v>
      </x:c>
      <x:c r="E32" s="71">
        <x:f t="shared" si="0"/>
        <x:v>0</x:v>
      </x:c>
      <x:c r="F32" s="125">
        <x:f t="shared" si="1"/>
        <x:v>1</x:v>
      </x:c>
      <x:c r="G32" s="66">
        <x:v>5.25</x:v>
      </x:c>
      <x:c r="H32" s="135">
        <x:f t="shared" si="2"/>
        <x:v>5.25</x:v>
      </x:c>
      <x:c r="I32" s="66">
        <x:f t="shared" si="3"/>
        <x:v>0</x:v>
      </x:c>
      <x:c r="J32" s="125">
        <x:f t="shared" si="4"/>
        <x:v>1</x:v>
      </x:c>
      <x:c r="K32" s="112"/>
      <x:c r="L32" s="75"/>
    </x:row>
    <x:row r="33" spans="1:12">
      <x:c r="A33" s="69" t="s">
        <x:v>134</x:v>
      </x:c>
      <x:c r="B33" s="70" t="s">
        <x:v>159</x:v>
      </x:c>
      <x:c r="C33" s="71">
        <x:v>4.3600000000000003</x:v>
      </x:c>
      <x:c r="D33" s="126">
        <x:v>4.3600000000000003</x:v>
      </x:c>
      <x:c r="E33" s="71">
        <x:f t="shared" si="0"/>
        <x:v>0</x:v>
      </x:c>
      <x:c r="F33" s="125">
        <x:f t="shared" si="1"/>
        <x:v>1</x:v>
      </x:c>
      <x:c r="G33" s="66">
        <x:v>5.14</x:v>
      </x:c>
      <x:c r="H33" s="135">
        <x:f t="shared" si="2"/>
        <x:v>5.14</x:v>
      </x:c>
      <x:c r="I33" s="66">
        <x:f t="shared" si="3"/>
        <x:v>0</x:v>
      </x:c>
      <x:c r="J33" s="125">
        <x:f t="shared" si="4"/>
        <x:v>1</x:v>
      </x:c>
      <x:c r="K33" s="112"/>
      <x:c r="L33" s="75"/>
    </x:row>
    <x:row r="34" spans="1:12">
      <x:c r="A34" s="69" t="s">
        <x:v>135</x:v>
      </x:c>
      <x:c r="B34" s="70" t="s">
        <x:v>216</x:v>
      </x:c>
      <x:c r="C34" s="71">
        <x:v>16.09</x:v>
      </x:c>
      <x:c r="D34" s="126">
        <x:v>16.09</x:v>
      </x:c>
      <x:c r="E34" s="71">
        <x:f t="shared" si="0"/>
        <x:v>0</x:v>
      </x:c>
      <x:c r="F34" s="125">
        <x:f t="shared" si="1"/>
        <x:v>1</x:v>
      </x:c>
      <x:c r="G34" s="66">
        <x:v>16.12</x:v>
      </x:c>
      <x:c r="H34" s="135">
        <x:f t="shared" si="2"/>
        <x:v>16.12</x:v>
      </x:c>
      <x:c r="I34" s="66">
        <x:f t="shared" si="3"/>
        <x:v>0</x:v>
      </x:c>
      <x:c r="J34" s="125">
        <x:f t="shared" si="4"/>
        <x:v>1</x:v>
      </x:c>
      <x:c r="K34" s="112"/>
      <x:c r="L34" s="75"/>
    </x:row>
    <x:row r="35" spans="1:12">
      <x:c r="A35" s="52" t="s">
        <x:v>162</x:v>
      </x:c>
      <x:c r="B35" s="61" t="s">
        <x:v>247</x:v>
      </x:c>
      <x:c r="C35" s="66">
        <x:v>7.59</x:v>
      </x:c>
      <x:c r="D35" s="126">
        <x:v>7.14</x:v>
      </x:c>
      <x:c r="E35" s="71">
        <x:f t="shared" si="0"/>
        <x:v>-0.45000000000000018</x:v>
      </x:c>
      <x:c r="F35" s="125">
        <x:f t="shared" si="1"/>
        <x:v>0.94071146245059289</x:v>
      </x:c>
      <x:c r="G35" s="66">
        <x:v>7.41</x:v>
      </x:c>
      <x:c r="H35" s="127">
        <x:v>6.97</x:v>
      </x:c>
      <x:c r="I35" s="66">
        <x:f t="shared" si="3"/>
        <x:v>-0.44000000000000039</x:v>
      </x:c>
      <x:c r="J35" s="125">
        <x:f t="shared" si="4"/>
        <x:v>0.94062078272604588</x:v>
      </x:c>
      <x:c r="K35" s="52"/>
      <x:c r="L35" s="75"/>
    </x:row>
    <x:row r="36" spans="1:12">
      <x:c r="A36" s="52" t="s">
        <x:v>163</x:v>
      </x:c>
      <x:c r="B36" s="61" t="s">
        <x:v>248</x:v>
      </x:c>
      <x:c r="C36" s="66">
        <x:v>10.28</x:v>
      </x:c>
      <x:c r="D36" s="126">
        <x:v>9.69</x:v>
      </x:c>
      <x:c r="E36" s="71">
        <x:f t="shared" si="0"/>
        <x:v>-0.58999999999999986</x:v>
      </x:c>
      <x:c r="F36" s="125">
        <x:f t="shared" si="1"/>
        <x:v>0.94260700389105057</x:v>
      </x:c>
      <x:c r="G36" s="66">
        <x:v>10.029999999999999</x:v>
      </x:c>
      <x:c r="H36" s="127">
        <x:v>9.4499999999999993</x:v>
      </x:c>
      <x:c r="I36" s="66">
        <x:f t="shared" si="3"/>
        <x:v>-0.58000000000000007</x:v>
      </x:c>
      <x:c r="J36" s="125">
        <x:f t="shared" si="4"/>
        <x:v>0.94217347956131603</x:v>
      </x:c>
      <x:c r="K36" s="52"/>
      <x:c r="L36" s="75"/>
    </x:row>
    <x:row r="37" spans="1:12">
      <x:c r="A37" s="52" t="s">
        <x:v>202</x:v>
      </x:c>
      <x:c r="B37" s="61" t="s">
        <x:v>201</x:v>
      </x:c>
      <x:c r="C37" s="66">
        <x:v>6.59</x:v>
      </x:c>
      <x:c r="D37" s="126">
        <x:v>6.38</x:v>
      </x:c>
      <x:c r="E37" s="71">
        <x:f t="shared" si="0"/>
        <x:v>-0.20999999999999996</x:v>
      </x:c>
      <x:c r="F37" s="125">
        <x:f t="shared" si="1"/>
        <x:v>0.96813353566009108</x:v>
      </x:c>
      <x:c r="G37" s="66">
        <x:v>6.31</x:v>
      </x:c>
      <x:c r="H37" s="127">
        <x:v>6.11</x:v>
      </x:c>
      <x:c r="I37" s="66">
        <x:f t="shared" si="3"/>
        <x:v>-0.19999999999999929</x:v>
      </x:c>
      <x:c r="J37" s="125">
        <x:f t="shared" si="4"/>
        <x:v>0.96830427892234561</x:v>
      </x:c>
      <x:c r="K37" s="52"/>
      <x:c r="L37" s="75"/>
    </x:row>
  </x:sheetData>
  <x:phoneticPr fontId="2" type="noConversion"/>
  <x:pageMargins left="0.7" right="0.7" top="0.75" bottom="0.75" header="0.3" footer="0.3"/>
  <x:pageSetup paperSize="9"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e8450c8b-69af-46ef-b020-9f342a94410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4C48EED396788249BB0E1DB38EC6BA6D" ma:contentTypeVersion="9" ma:contentTypeDescription="새 문서를 만듭니다." ma:contentTypeScope="" ma:versionID="9f6e2334658423b236b6949b17f5b5ff">
  <xsd:schema xmlns:xsd="http://www.w3.org/2001/XMLSchema" xmlns:xs="http://www.w3.org/2001/XMLSchema" xmlns:p="http://schemas.microsoft.com/office/2006/metadata/properties" xmlns:ns2="e8450c8b-69af-46ef-b020-9f342a944101" targetNamespace="http://schemas.microsoft.com/office/2006/metadata/properties" ma:root="true" ma:fieldsID="682194e653a89da4ac210ce0354bb898" ns2:_="">
    <xsd:import namespace="e8450c8b-69af-46ef-b020-9f342a9441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_Flow_SignoffStatu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450c8b-69af-46ef-b020-9f342a9441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11" nillable="true" ma:displayName="사인 오프 상태" ma:internalName="_x0024_Resources_x003a_core_x002c_Signoff_Status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879F8C-4F9F-4164-A711-DB0B58DE0B62}">
  <ds:schemaRefs>
    <ds:schemaRef ds:uri="http://schemas.microsoft.com/office/2006/metadata/properties"/>
    <ds:schemaRef ds:uri="http://schemas.microsoft.com/office/infopath/2007/PartnerControls"/>
    <ds:schemaRef ds:uri="e8450c8b-69af-46ef-b020-9f342a944101"/>
  </ds:schemaRefs>
</ds:datastoreItem>
</file>

<file path=customXml/itemProps2.xml><?xml version="1.0" encoding="utf-8"?>
<ds:datastoreItem xmlns:ds="http://schemas.openxmlformats.org/officeDocument/2006/customXml" ds:itemID="{298148C6-562C-4428-9331-056A5AAB54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529EE3-2FDC-4472-A427-DEC5B40C67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450c8b-69af-46ef-b020-9f342a9441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bb2a0ad-c6f0-41b0-b595-1248caa91295}" enabled="1" method="Privileged" siteId="{1757bd3c-a2e2-4dd3-9a67-139612e5469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환율기준</vt:lpstr>
      <vt:lpstr>사업계획</vt:lpstr>
      <vt:lpstr>노무비,급여(PLN)</vt:lpstr>
      <vt:lpstr>임대용역(PLN)</vt:lpstr>
      <vt:lpstr>기계경비(PLN)</vt:lpstr>
      <vt:lpstr>운반비(PLN),통관물류(PLN)</vt:lpstr>
      <vt:lpstr>인원급여리스트(PLN)</vt:lpstr>
      <vt:lpstr>관세(PLN)</vt:lpstr>
      <vt:lpstr>판매가,매입가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고태호 선임매니저 [Tae Ho Goh]</cp:lastModifiedBy>
  <dcterms:created xsi:type="dcterms:W3CDTF">2019-11-06T17:16:52Z</dcterms:created>
  <dcterms:modified xsi:type="dcterms:W3CDTF">2026-02-03T05:03:42Z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0x0101004C48EED396788249BB0E1DB38EC6BA6D</vt:lpwstr>
  </property>
</Properties>
</file>