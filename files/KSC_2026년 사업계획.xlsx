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saveExternalLinkValues="0" hidePivotFieldList="1"/>
  <mc:AlternateContent xmlns:mc="http://schemas.openxmlformats.org/markup-compatibility/2006">
    <mc:Choice Requires="x15">
      <x15ac:absPath xmlns:x15ac="http://schemas.microsoft.com/office/spreadsheetml/2010/11/ac" url="https://kyungshino365.sharepoint.com/sites/gabirel/Shared Documents/Workstation/사업계획/2026년/"/>
    </mc:Choice>
  </mc:AlternateContent>
  <xr:revisionPtr revIDLastSave="1" documentId="11_A6D948F6829CD6015CBF34DF0C013BCDFB82C321" xr6:coauthVersionLast="47" xr6:coauthVersionMax="47" xr10:uidLastSave="{6FC196CE-443A-4423-BD79-85A669205D42}"/>
  <x:bookViews>
    <x:workbookView xWindow="-28920" yWindow="-120" windowWidth="29040" windowHeight="17520" tabRatio="729" firstSheet="5" activeTab="5" xr2:uid="{1ABB88A9-8BB9-42D1-B119-F2EF558D10D6}"/>
  </x:bookViews>
  <x:sheets>
    <x:sheet name="1. 경신전선 요약" sheetId="34" state="hidden" r:id="rId1"/>
    <x:sheet name="2. 손익계산서" sheetId="28" state="hidden" r:id="rId2"/>
    <x:sheet name="3. 손익계산서 월별실적" sheetId="27" state="hidden" r:id="rId3"/>
    <x:sheet name="4. PA요약" sheetId="51" state="hidden" r:id="rId4"/>
    <x:sheet name="pa data(26년1월)" sheetId="119" state="hidden" r:id="rId5"/>
    <x:sheet name="(계획)손익계산서 월별계획" sheetId="30" r:id="rId6"/>
    <x:sheet name="(계획)26년 매출매입 월별계획" sheetId="120" r:id="rId7"/>
    <x:sheet name="(계획)비용계획 상세_26년" sheetId="122" r:id="rId8"/>
    <x:sheet name="Sheet2" sheetId="123" state="hidden" r:id="rId9"/>
    <x:sheet name="매출추이" sheetId="107" state="hidden" r:id="rId10"/>
    <x:sheet name="계획비1" sheetId="116" state="hidden" r:id="rId11"/>
    <x:sheet name="전월비1" sheetId="117" state="hidden" r:id="rId12"/>
    <x:sheet name="계획비" sheetId="112" state="hidden" r:id="rId13"/>
    <x:sheet name="실적" sheetId="114" state="hidden" r:id="rId14"/>
    <x:sheet name="계획" sheetId="110" state="hidden" r:id="rId15"/>
    <x:sheet name="Sheet1" sheetId="121" state="hidden" r:id="rId16"/>
  </x:sheets>
  <x:externalReferences>
    <x:externalReference r:id="rId17"/>
    <x:externalReference r:id="rId18"/>
    <x:externalReference r:id="rId19"/>
  </x:externalReferences>
  <x:definedNames>
    <x:definedName name="_xlnm._FilterDatabase" localSheetId="6" hidden="1">#REF!</x:definedName>
    <x:definedName name="_xlnm._FilterDatabase" localSheetId="7" hidden="1">'(계획)비용계획 상세_26년'!$A$1:$AE$1503</x:definedName>
    <x:definedName name="_xlnm._FilterDatabase" localSheetId="5" hidden="1">#REF!</x:definedName>
    <x:definedName name="_xlnm._FilterDatabase" localSheetId="1" hidden="1">#REF!</x:definedName>
    <x:definedName name="_xlnm._FilterDatabase" localSheetId="4" hidden="1">'pa data(26년1월)'!$A$8:$Z$160</x:definedName>
    <x:definedName name="_xlnm._FilterDatabase" localSheetId="14" hidden="1">#REF!</x:definedName>
    <x:definedName name="_xlnm._FilterDatabase" localSheetId="12" hidden="1">#REF!</x:definedName>
    <x:definedName name="_xlnm._FilterDatabase" localSheetId="13" hidden="1">#REF!</x:definedName>
    <x:definedName name="_xlnm._FilterDatabase" hidden="1">#REF!</x:definedName>
    <x:definedName name="_xlnm.Criteria" localSheetId="5">'[1]NA Sourcing'!#REF!</x:definedName>
    <x:definedName name="_xlnm.Criteria" localSheetId="14">'[1]NA Sourcing'!#REF!</x:definedName>
    <x:definedName name="_xlnm.Criteria" localSheetId="12">'[1]NA Sourcing'!#REF!</x:definedName>
    <x:definedName name="_xlnm.Criteria" localSheetId="13">'[1]NA Sourcing'!#REF!</x:definedName>
    <x:definedName name="_xlnm.Criteria">'[1]NA Sourcing'!#REF!</x:definedName>
    <x:definedName name="_xlnm.Database" localSheetId="6">#REF!</x:definedName>
    <x:definedName name="_xlnm.Database" localSheetId="5">#REF!</x:definedName>
    <x:definedName name="_xlnm.Database" localSheetId="14">#REF!</x:definedName>
    <x:definedName name="_xlnm.Database" localSheetId="12">#REF!</x:definedName>
    <x:definedName name="_xlnm.Database" localSheetId="13">#REF!</x:definedName>
    <x:definedName name="_xlnm.Database">#REF!</x:definedName>
    <x:definedName name="_xlnm.Extract" localSheetId="5">#REF!</x:definedName>
    <x:definedName name="_xlnm.Extract" localSheetId="14">#REF!</x:definedName>
    <x:definedName name="_xlnm.Extract" localSheetId="12">#REF!</x:definedName>
    <x:definedName name="_xlnm.Extract" localSheetId="13">#REF!</x:definedName>
    <x:definedName name="_xlnm.Extract">[2]예산계획!$T$10:$AK$145</x:definedName>
    <x:definedName name="_xlnm.Print_Area" localSheetId="6">#REF!</x:definedName>
    <x:definedName name="_xlnm.Print_Area" localSheetId="5">#REF!</x:definedName>
    <x:definedName name="_xlnm.Print_Area" localSheetId="14">#REF!</x:definedName>
    <x:definedName name="_xlnm.Print_Area" localSheetId="12">#REF!</x:definedName>
    <x:definedName name="_xlnm.Print_Area" localSheetId="13">#REF!</x:definedName>
    <x:definedName name="_xlnm.Print_Area">#REF!</x:definedName>
    <x:definedName name="_xlnm.Print_Titles" localSheetId="6">#REF!,#REF!</x:definedName>
    <x:definedName name="_xlnm.Print_Titles" localSheetId="5">#REF!</x:definedName>
    <x:definedName name="_xlnm.Print_Titles" localSheetId="14">#REF!</x:definedName>
    <x:definedName name="_xlnm.Print_Titles" localSheetId="12">#REF!</x:definedName>
    <x:definedName name="_xlnm.Print_Titles" localSheetId="13">#REF!</x:definedName>
    <x:definedName name="_xlnm.Print_Titles">#REF!,#REF!</x:definedName>
    <x:definedName name="_xlnm.Recorder" localSheetId="6">#REF!</x:definedName>
    <x:definedName name="_xlnm.Recorder">[3]Macro1!$A$5:$A$16384</x:definedName>
  </x:definedNames>
  <x:calcPr calcId="191029"/>
  <x:pivotCaches>
    <x:pivotCache cacheId="1" r:id="rId20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P55" i="120" l="1"/>
  <c r="O55" i="120"/>
  <c r="N55" i="120"/>
  <c r="M55" i="120"/>
  <c r="L55" i="120"/>
  <c r="K55" i="120"/>
  <c r="J55" i="120"/>
  <c r="I55" i="120"/>
  <c r="H55" i="120"/>
  <c r="G55" i="120"/>
  <c r="F55" i="120"/>
  <c r="E55" i="120"/>
  <c r="Q54" i="120"/>
  <c r="P42" i="120"/>
  <c r="O42" i="120"/>
  <c r="N42" i="120"/>
  <c r="M42" i="120"/>
  <c r="L42" i="120"/>
  <c r="K42" i="120"/>
  <c r="J42" i="120"/>
  <c r="I42" i="120"/>
  <c r="H42" i="120"/>
  <c r="G42" i="120"/>
  <c r="F42" i="120"/>
  <c r="E42" i="120"/>
  <c r="Q41" i="120"/>
  <c r="Q58" i="120" l="1"/>
  <c r="Q67" i="120"/>
  <c r="W971" i="122" l="1"/>
  <c r="X971" i="122" s="1"/>
  <c r="W970" i="122"/>
  <c r="X970" i="122" s="1"/>
  <c r="W969" i="122"/>
  <c r="X969" i="122" s="1"/>
  <c r="W968" i="122"/>
  <c r="X968" i="122" s="1"/>
  <c r="W967" i="122"/>
  <c r="X967" i="122" s="1"/>
  <c r="W966" i="122"/>
  <c r="X966" i="122" s="1"/>
  <c r="W965" i="122"/>
  <c r="X965" i="122" s="1"/>
  <c r="W964" i="122"/>
  <c r="X964" i="122" s="1"/>
  <c r="W963" i="122"/>
  <c r="X963" i="122" s="1"/>
  <c r="W962" i="122"/>
  <c r="X962" i="122" s="1"/>
  <c r="W961" i="122"/>
  <c r="X961" i="122" s="1"/>
  <c r="W960" i="122"/>
  <c r="X960" i="122" s="1"/>
  <c r="W959" i="122"/>
  <c r="X959" i="122" s="1"/>
  <c r="W958" i="122"/>
  <c r="X958" i="122" s="1"/>
  <c r="W957" i="122"/>
  <c r="X957" i="122" s="1"/>
  <c r="W956" i="122"/>
  <c r="X956" i="122" s="1"/>
  <c r="W955" i="122"/>
  <c r="X955" i="122" s="1"/>
  <c r="W954" i="122"/>
  <c r="X954" i="122" s="1"/>
  <c r="W953" i="122"/>
  <c r="X953" i="122" s="1"/>
  <c r="W952" i="122"/>
  <c r="X952" i="122" s="1"/>
  <c r="W951" i="122"/>
  <c r="X951" i="122" s="1"/>
  <c r="W950" i="122"/>
  <c r="X950" i="122" s="1"/>
  <c r="W949" i="122"/>
  <c r="X949" i="122" s="1"/>
  <c r="W948" i="122"/>
  <c r="X948" i="122" s="1"/>
  <c r="W947" i="122"/>
  <c r="X947" i="122" s="1"/>
  <c r="W946" i="122"/>
  <c r="X946" i="122" s="1"/>
  <c r="W945" i="122"/>
  <c r="X945" i="122" s="1"/>
  <c r="W944" i="122"/>
  <c r="X944" i="122" s="1"/>
  <c r="W943" i="122"/>
  <c r="X943" i="122" s="1"/>
  <c r="W942" i="122"/>
  <c r="X942" i="122" s="1"/>
  <c r="W941" i="122"/>
  <c r="X941" i="122" s="1"/>
  <c r="W940" i="122"/>
  <c r="X940" i="122" s="1"/>
  <c r="W939" i="122"/>
  <c r="X939" i="122" s="1"/>
  <c r="W938" i="122"/>
  <c r="X938" i="122" s="1"/>
  <c r="W937" i="122"/>
  <c r="X937" i="122" s="1"/>
  <c r="W936" i="122"/>
  <c r="X936" i="122" s="1"/>
  <c r="W935" i="122"/>
  <c r="X935" i="122" s="1"/>
  <c r="W934" i="122"/>
  <c r="X934" i="122" s="1"/>
  <c r="W933" i="122"/>
  <c r="X933" i="122" s="1"/>
  <c r="W932" i="122"/>
  <c r="X932" i="122" s="1"/>
  <c r="W931" i="122"/>
  <c r="X931" i="122" s="1"/>
  <c r="W930" i="122"/>
  <c r="X930" i="122" s="1"/>
  <c r="W929" i="122"/>
  <c r="X929" i="122" s="1"/>
  <c r="W928" i="122"/>
  <c r="X928" i="122" s="1"/>
  <c r="W927" i="122"/>
  <c r="X927" i="122" s="1"/>
  <c r="W926" i="122"/>
  <c r="X926" i="122" s="1"/>
  <c r="W925" i="122"/>
  <c r="X925" i="122" s="1"/>
  <c r="W924" i="122"/>
  <c r="X924" i="122" s="1"/>
  <c r="W923" i="122"/>
  <c r="X923" i="122" s="1"/>
  <c r="W922" i="122"/>
  <c r="X922" i="122" s="1"/>
  <c r="W921" i="122"/>
  <c r="X921" i="122" s="1"/>
  <c r="W920" i="122"/>
  <c r="X920" i="122" s="1"/>
  <c r="W919" i="122"/>
  <c r="X919" i="122" s="1"/>
  <c r="W918" i="122"/>
  <c r="X918" i="122" s="1"/>
  <c r="W917" i="122"/>
  <c r="X917" i="122" s="1"/>
  <c r="W916" i="122"/>
  <c r="X916" i="122" s="1"/>
  <c r="W915" i="122"/>
  <c r="X915" i="122" s="1"/>
  <c r="W914" i="122"/>
  <c r="X914" i="122" s="1"/>
  <c r="W913" i="122"/>
  <c r="X913" i="122" s="1"/>
  <c r="W912" i="122"/>
  <c r="X912" i="122" s="1"/>
  <c r="W911" i="122"/>
  <c r="X911" i="122" s="1"/>
  <c r="W910" i="122"/>
  <c r="X910" i="122" s="1"/>
  <c r="W909" i="122"/>
  <c r="X909" i="122" s="1"/>
  <c r="W908" i="122"/>
  <c r="X908" i="122" s="1"/>
  <c r="W907" i="122"/>
  <c r="X907" i="122" s="1"/>
  <c r="W906" i="122"/>
  <c r="X906" i="122" s="1"/>
  <c r="W905" i="122"/>
  <c r="X905" i="122" s="1"/>
  <c r="W904" i="122"/>
  <c r="X904" i="122" s="1"/>
  <c r="W903" i="122"/>
  <c r="X903" i="122" s="1"/>
  <c r="W902" i="122"/>
  <c r="X902" i="122" s="1"/>
  <c r="W901" i="122"/>
  <c r="X901" i="122" s="1"/>
  <c r="W900" i="122"/>
  <c r="X900" i="122" s="1"/>
  <c r="W899" i="122"/>
  <c r="X899" i="122" s="1"/>
  <c r="W898" i="122"/>
  <c r="X898" i="122" s="1"/>
  <c r="W897" i="122"/>
  <c r="X897" i="122" s="1"/>
  <c r="W896" i="122"/>
  <c r="X896" i="122" s="1"/>
  <c r="W895" i="122"/>
  <c r="X895" i="122" s="1"/>
  <c r="W894" i="122"/>
  <c r="X894" i="122" s="1"/>
  <c r="W893" i="122"/>
  <c r="X893" i="122" s="1"/>
  <c r="W892" i="122"/>
  <c r="X892" i="122" s="1"/>
  <c r="W891" i="122"/>
  <c r="X891" i="122" s="1"/>
  <c r="W890" i="122"/>
  <c r="X890" i="122" s="1"/>
  <c r="W889" i="122"/>
  <c r="X889" i="122" s="1"/>
  <c r="W888" i="122"/>
  <c r="X888" i="122" s="1"/>
  <c r="W887" i="122"/>
  <c r="X887" i="122" s="1"/>
  <c r="W886" i="122"/>
  <c r="X886" i="122" s="1"/>
  <c r="W885" i="122"/>
  <c r="X885" i="122" s="1"/>
  <c r="W884" i="122"/>
  <c r="X884" i="122" s="1"/>
  <c r="W883" i="122"/>
  <c r="X883" i="122" s="1"/>
  <c r="W882" i="122"/>
  <c r="X882" i="122" s="1"/>
  <c r="W881" i="122"/>
  <c r="X881" i="122" s="1"/>
  <c r="W880" i="122"/>
  <c r="X880" i="122" s="1"/>
  <c r="W879" i="122"/>
  <c r="X879" i="122" s="1"/>
  <c r="W878" i="122"/>
  <c r="X878" i="122" s="1"/>
  <c r="W877" i="122"/>
  <c r="X877" i="122" s="1"/>
  <c r="W876" i="122"/>
  <c r="X876" i="122" s="1"/>
  <c r="W875" i="122"/>
  <c r="X875" i="122" s="1"/>
  <c r="W874" i="122"/>
  <c r="X874" i="122" s="1"/>
  <c r="W873" i="122"/>
  <c r="X873" i="122" s="1"/>
  <c r="W872" i="122"/>
  <c r="X872" i="122" s="1"/>
  <c r="W871" i="122"/>
  <c r="X871" i="122" s="1"/>
  <c r="W870" i="122"/>
  <c r="X870" i="122" s="1"/>
  <c r="W869" i="122"/>
  <c r="X869" i="122" s="1"/>
  <c r="W868" i="122"/>
  <c r="X868" i="122" s="1"/>
  <c r="W867" i="122"/>
  <c r="X867" i="122" s="1"/>
  <c r="W866" i="122"/>
  <c r="X866" i="122" s="1"/>
  <c r="W865" i="122"/>
  <c r="X865" i="122" s="1"/>
  <c r="W864" i="122"/>
  <c r="X864" i="122" s="1"/>
  <c r="W863" i="122"/>
  <c r="X863" i="122" s="1"/>
  <c r="W862" i="122"/>
  <c r="X862" i="122" s="1"/>
  <c r="W861" i="122"/>
  <c r="X861" i="122" s="1"/>
  <c r="W860" i="122"/>
  <c r="X860" i="122" s="1"/>
  <c r="W859" i="122"/>
  <c r="X859" i="122" s="1"/>
  <c r="W858" i="122"/>
  <c r="X858" i="122" s="1"/>
  <c r="W857" i="122"/>
  <c r="X857" i="122" s="1"/>
  <c r="W856" i="122"/>
  <c r="X856" i="122" s="1"/>
  <c r="W855" i="122"/>
  <c r="X855" i="122" s="1"/>
  <c r="W854" i="122"/>
  <c r="X854" i="122" s="1"/>
  <c r="W853" i="122"/>
  <c r="X853" i="122" s="1"/>
  <c r="W852" i="122"/>
  <c r="X852" i="122" s="1"/>
  <c r="W851" i="122"/>
  <c r="X851" i="122" s="1"/>
  <c r="W850" i="122"/>
  <c r="X850" i="122" s="1"/>
  <c r="W849" i="122"/>
  <c r="X849" i="122" s="1"/>
  <c r="W848" i="122"/>
  <c r="X848" i="122" s="1"/>
  <c r="W847" i="122"/>
  <c r="X847" i="122" s="1"/>
  <c r="W846" i="122"/>
  <c r="X846" i="122" s="1"/>
  <c r="W845" i="122"/>
  <c r="X845" i="122" s="1"/>
  <c r="W844" i="122"/>
  <c r="X844" i="122" s="1"/>
  <c r="W843" i="122"/>
  <c r="X843" i="122" s="1"/>
  <c r="W842" i="122"/>
  <c r="X842" i="122" s="1"/>
  <c r="W841" i="122"/>
  <c r="X841" i="122" s="1"/>
  <c r="W840" i="122"/>
  <c r="X840" i="122" s="1"/>
  <c r="W839" i="122"/>
  <c r="X839" i="122" s="1"/>
  <c r="W838" i="122"/>
  <c r="X838" i="122" s="1"/>
  <c r="W837" i="122"/>
  <c r="X837" i="122" s="1"/>
  <c r="W836" i="122"/>
  <c r="X836" i="122" s="1"/>
  <c r="W835" i="122"/>
  <c r="X835" i="122" s="1"/>
  <c r="W834" i="122"/>
  <c r="X834" i="122" s="1"/>
  <c r="W833" i="122"/>
  <c r="X833" i="122" s="1"/>
  <c r="W832" i="122"/>
  <c r="X832" i="122" s="1"/>
  <c r="W831" i="122"/>
  <c r="X831" i="122" s="1"/>
  <c r="W830" i="122"/>
  <c r="X830" i="122" s="1"/>
  <c r="W829" i="122"/>
  <c r="X829" i="122" s="1"/>
  <c r="W828" i="122"/>
  <c r="X828" i="122" s="1"/>
  <c r="W827" i="122"/>
  <c r="X827" i="122" s="1"/>
  <c r="W826" i="122"/>
  <c r="X826" i="122" s="1"/>
  <c r="W825" i="122"/>
  <c r="X825" i="122" s="1"/>
  <c r="W824" i="122"/>
  <c r="X824" i="122" s="1"/>
  <c r="W823" i="122"/>
  <c r="X823" i="122" s="1"/>
  <c r="W822" i="122"/>
  <c r="X822" i="122" s="1"/>
  <c r="W821" i="122"/>
  <c r="X821" i="122" s="1"/>
  <c r="W820" i="122"/>
  <c r="X820" i="122" s="1"/>
  <c r="W819" i="122"/>
  <c r="X819" i="122" s="1"/>
  <c r="W818" i="122"/>
  <c r="X818" i="122" s="1"/>
  <c r="W817" i="122"/>
  <c r="X817" i="122" s="1"/>
  <c r="W816" i="122"/>
  <c r="X816" i="122" s="1"/>
  <c r="W815" i="122"/>
  <c r="X815" i="122" s="1"/>
  <c r="W814" i="122"/>
  <c r="X814" i="122" s="1"/>
  <c r="W813" i="122"/>
  <c r="X813" i="122" s="1"/>
  <c r="W812" i="122"/>
  <c r="X812" i="122" s="1"/>
  <c r="W811" i="122"/>
  <c r="X811" i="122" s="1"/>
  <c r="W810" i="122"/>
  <c r="X810" i="122" s="1"/>
  <c r="W809" i="122"/>
  <c r="X809" i="122" s="1"/>
  <c r="W808" i="122"/>
  <c r="X808" i="122" s="1"/>
  <c r="W807" i="122"/>
  <c r="X807" i="122" s="1"/>
  <c r="W806" i="122"/>
  <c r="X806" i="122" s="1"/>
  <c r="W805" i="122"/>
  <c r="X805" i="122" s="1"/>
  <c r="W804" i="122"/>
  <c r="X804" i="122" s="1"/>
  <c r="W803" i="122"/>
  <c r="X803" i="122" s="1"/>
  <c r="W802" i="122"/>
  <c r="X802" i="122" s="1"/>
  <c r="W801" i="122"/>
  <c r="X801" i="122" s="1"/>
  <c r="W800" i="122"/>
  <c r="X800" i="122" s="1"/>
  <c r="W799" i="122"/>
  <c r="X799" i="122" s="1"/>
  <c r="W798" i="122"/>
  <c r="X798" i="122" s="1"/>
  <c r="W797" i="122"/>
  <c r="X797" i="122" s="1"/>
  <c r="W796" i="122"/>
  <c r="X796" i="122" s="1"/>
  <c r="W795" i="122"/>
  <c r="X795" i="122" s="1"/>
  <c r="W794" i="122"/>
  <c r="X794" i="122" s="1"/>
  <c r="W793" i="122"/>
  <c r="X793" i="122" s="1"/>
  <c r="W792" i="122"/>
  <c r="X792" i="122" s="1"/>
  <c r="W791" i="122"/>
  <c r="X791" i="122" s="1"/>
  <c r="W790" i="122"/>
  <c r="X790" i="122" s="1"/>
  <c r="W789" i="122"/>
  <c r="X789" i="122" s="1"/>
  <c r="W788" i="122"/>
  <c r="X788" i="122" s="1"/>
  <c r="W787" i="122"/>
  <c r="X787" i="122" s="1"/>
  <c r="W786" i="122"/>
  <c r="X786" i="122" s="1"/>
  <c r="W785" i="122"/>
  <c r="X785" i="122" s="1"/>
  <c r="W784" i="122"/>
  <c r="X784" i="122" s="1"/>
  <c r="W783" i="122"/>
  <c r="X783" i="122" s="1"/>
  <c r="W782" i="122"/>
  <c r="X782" i="122" s="1"/>
  <c r="W781" i="122"/>
  <c r="X781" i="122" s="1"/>
  <c r="H4" i="122" l="1"/>
  <c r="I4" i="122"/>
  <c r="H5" i="122"/>
  <c r="I5" i="122"/>
  <c r="H6" i="122"/>
  <c r="I6" i="122"/>
  <c r="H7" i="122"/>
  <c r="I7" i="122"/>
  <c r="H8" i="122"/>
  <c r="I8" i="122"/>
  <c r="H9" i="122"/>
  <c r="I9" i="122"/>
  <c r="H10" i="122"/>
  <c r="I10" i="122"/>
  <c r="H11" i="122"/>
  <c r="I11" i="122"/>
  <c r="H12" i="122"/>
  <c r="I12" i="122"/>
  <c r="H13" i="122"/>
  <c r="I13" i="122"/>
  <c r="H14" i="122"/>
  <c r="I14" i="122"/>
  <c r="H15" i="122"/>
  <c r="I15" i="122"/>
  <c r="H16" i="122"/>
  <c r="I16" i="122"/>
  <c r="H17" i="122"/>
  <c r="I17" i="122"/>
  <c r="H18" i="122"/>
  <c r="I18" i="122"/>
  <c r="H19" i="122"/>
  <c r="I19" i="122"/>
  <c r="H20" i="122"/>
  <c r="I20" i="122"/>
  <c r="H21" i="122"/>
  <c r="I21" i="122"/>
  <c r="H22" i="122"/>
  <c r="I22" i="122"/>
  <c r="H23" i="122"/>
  <c r="I23" i="122"/>
  <c r="H24" i="122"/>
  <c r="I24" i="122"/>
  <c r="H25" i="122"/>
  <c r="I25" i="122"/>
  <c r="H26" i="122"/>
  <c r="I26" i="122"/>
  <c r="H27" i="122"/>
  <c r="I27" i="122"/>
  <c r="H28" i="122"/>
  <c r="I28" i="122"/>
  <c r="H29" i="122"/>
  <c r="I29" i="122"/>
  <c r="H30" i="122"/>
  <c r="I30" i="122"/>
  <c r="H31" i="122"/>
  <c r="I31" i="122"/>
  <c r="H32" i="122"/>
  <c r="I32" i="122"/>
  <c r="H33" i="122"/>
  <c r="I33" i="122"/>
  <c r="H34" i="122"/>
  <c r="I34" i="122"/>
  <c r="H35" i="122"/>
  <c r="I35" i="122"/>
  <c r="H36" i="122"/>
  <c r="I36" i="122"/>
  <c r="H37" i="122"/>
  <c r="I37" i="122"/>
  <c r="H38" i="122"/>
  <c r="I38" i="122"/>
  <c r="H39" i="122"/>
  <c r="I39" i="122"/>
  <c r="H40" i="122"/>
  <c r="I40" i="122"/>
  <c r="H41" i="122"/>
  <c r="I41" i="122"/>
  <c r="H42" i="122"/>
  <c r="I42" i="122"/>
  <c r="H43" i="122"/>
  <c r="I43" i="122"/>
  <c r="H44" i="122"/>
  <c r="I44" i="122"/>
  <c r="H45" i="122"/>
  <c r="I45" i="122"/>
  <c r="H46" i="122"/>
  <c r="I46" i="122"/>
  <c r="H47" i="122"/>
  <c r="I47" i="122"/>
  <c r="H48" i="122"/>
  <c r="I48" i="122"/>
  <c r="H49" i="122"/>
  <c r="I49" i="122"/>
  <c r="H50" i="122"/>
  <c r="I50" i="122"/>
  <c r="H51" i="122"/>
  <c r="I51" i="122"/>
  <c r="H52" i="122"/>
  <c r="I52" i="122"/>
  <c r="H53" i="122"/>
  <c r="I53" i="122"/>
  <c r="H54" i="122"/>
  <c r="I54" i="122"/>
  <c r="H55" i="122"/>
  <c r="I55" i="122"/>
  <c r="H56" i="122"/>
  <c r="I56" i="122"/>
  <c r="H57" i="122"/>
  <c r="I57" i="122"/>
  <c r="H58" i="122"/>
  <c r="I58" i="122"/>
  <c r="H59" i="122"/>
  <c r="I59" i="122"/>
  <c r="H60" i="122"/>
  <c r="I60" i="122"/>
  <c r="H61" i="122"/>
  <c r="I61" i="122"/>
  <c r="H62" i="122"/>
  <c r="I62" i="122"/>
  <c r="H63" i="122"/>
  <c r="I63" i="122"/>
  <c r="H64" i="122"/>
  <c r="I64" i="122"/>
  <c r="H65" i="122"/>
  <c r="I65" i="122"/>
  <c r="H66" i="122"/>
  <c r="I66" i="122"/>
  <c r="H67" i="122"/>
  <c r="I67" i="122"/>
  <c r="H68" i="122"/>
  <c r="I68" i="122"/>
  <c r="H69" i="122"/>
  <c r="I69" i="122"/>
  <c r="H70" i="122"/>
  <c r="I70" i="122"/>
  <c r="H71" i="122"/>
  <c r="I71" i="122"/>
  <c r="H72" i="122"/>
  <c r="I72" i="122"/>
  <c r="H73" i="122"/>
  <c r="I73" i="122"/>
  <c r="H74" i="122"/>
  <c r="I74" i="122"/>
  <c r="H75" i="122"/>
  <c r="I75" i="122"/>
  <c r="H76" i="122"/>
  <c r="I76" i="122"/>
  <c r="H77" i="122"/>
  <c r="I77" i="122"/>
  <c r="H78" i="122"/>
  <c r="I78" i="122"/>
  <c r="H79" i="122"/>
  <c r="I79" i="122"/>
  <c r="H80" i="122"/>
  <c r="I80" i="122"/>
  <c r="H81" i="122"/>
  <c r="I81" i="122"/>
  <c r="H82" i="122"/>
  <c r="I82" i="122"/>
  <c r="H83" i="122"/>
  <c r="I83" i="122"/>
  <c r="H84" i="122"/>
  <c r="I84" i="122"/>
  <c r="H85" i="122"/>
  <c r="I85" i="122"/>
  <c r="H86" i="122"/>
  <c r="I86" i="122"/>
  <c r="H87" i="122"/>
  <c r="I87" i="122"/>
  <c r="H88" i="122"/>
  <c r="I88" i="122"/>
  <c r="H89" i="122"/>
  <c r="I89" i="122"/>
  <c r="H90" i="122"/>
  <c r="I90" i="122"/>
  <c r="H91" i="122"/>
  <c r="I91" i="122"/>
  <c r="H92" i="122"/>
  <c r="I92" i="122"/>
  <c r="H93" i="122"/>
  <c r="I93" i="122"/>
  <c r="H94" i="122"/>
  <c r="I94" i="122"/>
  <c r="H95" i="122"/>
  <c r="I95" i="122"/>
  <c r="H96" i="122"/>
  <c r="I96" i="122"/>
  <c r="H97" i="122"/>
  <c r="I97" i="122"/>
  <c r="H98" i="122"/>
  <c r="I98" i="122"/>
  <c r="H99" i="122"/>
  <c r="I99" i="122"/>
  <c r="H100" i="122"/>
  <c r="I100" i="122"/>
  <c r="H101" i="122"/>
  <c r="I101" i="122"/>
  <c r="H102" i="122"/>
  <c r="I102" i="122"/>
  <c r="H103" i="122"/>
  <c r="I103" i="122"/>
  <c r="H104" i="122"/>
  <c r="I104" i="122"/>
  <c r="H105" i="122"/>
  <c r="I105" i="122"/>
  <c r="H106" i="122"/>
  <c r="I106" i="122"/>
  <c r="H107" i="122"/>
  <c r="I107" i="122"/>
  <c r="H108" i="122"/>
  <c r="I108" i="122"/>
  <c r="H109" i="122"/>
  <c r="I109" i="122"/>
  <c r="H110" i="122"/>
  <c r="I110" i="122"/>
  <c r="H111" i="122"/>
  <c r="I111" i="122"/>
  <c r="H112" i="122"/>
  <c r="I112" i="122"/>
  <c r="H113" i="122"/>
  <c r="I113" i="122"/>
  <c r="H114" i="122"/>
  <c r="I114" i="122"/>
  <c r="H115" i="122"/>
  <c r="I115" i="122"/>
  <c r="H116" i="122"/>
  <c r="I116" i="122"/>
  <c r="H117" i="122"/>
  <c r="I117" i="122"/>
  <c r="H118" i="122"/>
  <c r="I118" i="122"/>
  <c r="H119" i="122"/>
  <c r="I119" i="122"/>
  <c r="H120" i="122"/>
  <c r="I120" i="122"/>
  <c r="H121" i="122"/>
  <c r="I121" i="122"/>
  <c r="H122" i="122"/>
  <c r="I122" i="122"/>
  <c r="H123" i="122"/>
  <c r="I123" i="122"/>
  <c r="H124" i="122"/>
  <c r="I124" i="122"/>
  <c r="H125" i="122"/>
  <c r="I125" i="122"/>
  <c r="H126" i="122"/>
  <c r="I126" i="122"/>
  <c r="H127" i="122"/>
  <c r="I127" i="122"/>
  <c r="H128" i="122"/>
  <c r="I128" i="122"/>
  <c r="H129" i="122"/>
  <c r="I129" i="122"/>
  <c r="H130" i="122"/>
  <c r="I130" i="122"/>
  <c r="H131" i="122"/>
  <c r="I131" i="122"/>
  <c r="H132" i="122"/>
  <c r="I132" i="122"/>
  <c r="H133" i="122"/>
  <c r="I133" i="122"/>
  <c r="H134" i="122"/>
  <c r="I134" i="122"/>
  <c r="H135" i="122"/>
  <c r="I135" i="122"/>
  <c r="H136" i="122"/>
  <c r="I136" i="122"/>
  <c r="H137" i="122"/>
  <c r="I137" i="122"/>
  <c r="H138" i="122"/>
  <c r="I138" i="122"/>
  <c r="H139" i="122"/>
  <c r="I139" i="122"/>
  <c r="H140" i="122"/>
  <c r="I140" i="122"/>
  <c r="H141" i="122"/>
  <c r="I141" i="122"/>
  <c r="H142" i="122"/>
  <c r="I142" i="122"/>
  <c r="H143" i="122"/>
  <c r="I143" i="122"/>
  <c r="I144" i="122"/>
  <c r="H145" i="122"/>
  <c r="I145" i="122"/>
  <c r="H146" i="122"/>
  <c r="I146" i="122"/>
  <c r="H147" i="122"/>
  <c r="I147" i="122"/>
  <c r="H148" i="122"/>
  <c r="I148" i="122"/>
  <c r="H149" i="122"/>
  <c r="I149" i="122"/>
  <c r="H150" i="122"/>
  <c r="I150" i="122"/>
  <c r="I151" i="122"/>
  <c r="I152" i="122"/>
  <c r="I153" i="122"/>
  <c r="H154" i="122"/>
  <c r="I154" i="122"/>
  <c r="I155" i="122"/>
  <c r="I156" i="122"/>
  <c r="H157" i="122"/>
  <c r="I157" i="122"/>
  <c r="I158" i="122"/>
  <c r="I159" i="122"/>
  <c r="H160" i="122"/>
  <c r="I160" i="122"/>
  <c r="H161" i="122"/>
  <c r="I161" i="122"/>
  <c r="H162" i="122"/>
  <c r="I162" i="122"/>
  <c r="H163" i="122"/>
  <c r="I163" i="122"/>
  <c r="H164" i="122"/>
  <c r="I164" i="122"/>
  <c r="H165" i="122"/>
  <c r="I165" i="122"/>
  <c r="H166" i="122"/>
  <c r="I166" i="122"/>
  <c r="H167" i="122"/>
  <c r="I167" i="122"/>
  <c r="H168" i="122"/>
  <c r="I168" i="122"/>
  <c r="H169" i="122"/>
  <c r="I169" i="122"/>
  <c r="H170" i="122"/>
  <c r="I170" i="122"/>
  <c r="H171" i="122"/>
  <c r="I171" i="122"/>
  <c r="H172" i="122"/>
  <c r="I172" i="122"/>
  <c r="H173" i="122"/>
  <c r="I173" i="122"/>
  <c r="H174" i="122"/>
  <c r="I174" i="122"/>
  <c r="H175" i="122"/>
  <c r="I175" i="122"/>
  <c r="I176" i="122"/>
  <c r="I177" i="122"/>
  <c r="I178" i="122"/>
  <c r="I179" i="122"/>
  <c r="I180" i="122"/>
  <c r="I181" i="122"/>
  <c r="I182" i="122"/>
  <c r="I183" i="122"/>
  <c r="H184" i="122"/>
  <c r="I184" i="122"/>
  <c r="H185" i="122"/>
  <c r="I185" i="122"/>
  <c r="H186" i="122"/>
  <c r="I186" i="122"/>
  <c r="H187" i="122"/>
  <c r="I187" i="122"/>
  <c r="H188" i="122"/>
  <c r="I188" i="122"/>
  <c r="H189" i="122"/>
  <c r="I189" i="122"/>
  <c r="H190" i="122"/>
  <c r="I190" i="122"/>
  <c r="H191" i="122"/>
  <c r="I191" i="122"/>
  <c r="H192" i="122"/>
  <c r="I192" i="122"/>
  <c r="H193" i="122"/>
  <c r="I193" i="122"/>
  <c r="H194" i="122"/>
  <c r="I194" i="122"/>
  <c r="H195" i="122"/>
  <c r="I195" i="122"/>
  <c r="H196" i="122"/>
  <c r="I196" i="122"/>
  <c r="H197" i="122"/>
  <c r="I197" i="122"/>
  <c r="H198" i="122"/>
  <c r="I198" i="122"/>
  <c r="H199" i="122"/>
  <c r="I199" i="122"/>
  <c r="H200" i="122"/>
  <c r="I200" i="122"/>
  <c r="H201" i="122"/>
  <c r="I201" i="122"/>
  <c r="H202" i="122"/>
  <c r="I202" i="122"/>
  <c r="H203" i="122"/>
  <c r="I203" i="122"/>
  <c r="H204" i="122"/>
  <c r="I204" i="122"/>
  <c r="H205" i="122"/>
  <c r="I205" i="122"/>
  <c r="H206" i="122"/>
  <c r="I206" i="122"/>
  <c r="H207" i="122"/>
  <c r="I207" i="122"/>
  <c r="H208" i="122"/>
  <c r="I208" i="122"/>
  <c r="H209" i="122"/>
  <c r="I209" i="122"/>
  <c r="H210" i="122"/>
  <c r="I210" i="122"/>
  <c r="H211" i="122"/>
  <c r="I211" i="122"/>
  <c r="H212" i="122"/>
  <c r="I212" i="122"/>
  <c r="H213" i="122"/>
  <c r="I213" i="122"/>
  <c r="H214" i="122"/>
  <c r="I214" i="122"/>
  <c r="H215" i="122"/>
  <c r="I215" i="122"/>
  <c r="H216" i="122"/>
  <c r="I216" i="122"/>
  <c r="H217" i="122"/>
  <c r="I217" i="122"/>
  <c r="H218" i="122"/>
  <c r="I218" i="122"/>
  <c r="H219" i="122"/>
  <c r="I219" i="122"/>
  <c r="H220" i="122"/>
  <c r="I220" i="122"/>
  <c r="H221" i="122"/>
  <c r="I221" i="122"/>
  <c r="H222" i="122"/>
  <c r="I222" i="122"/>
  <c r="H223" i="122"/>
  <c r="I223" i="122"/>
  <c r="H224" i="122"/>
  <c r="I224" i="122"/>
  <c r="H225" i="122"/>
  <c r="I225" i="122"/>
  <c r="H226" i="122"/>
  <c r="I226" i="122"/>
  <c r="H227" i="122"/>
  <c r="I227" i="122"/>
  <c r="H228" i="122"/>
  <c r="I228" i="122"/>
  <c r="H229" i="122"/>
  <c r="I229" i="122"/>
  <c r="H230" i="122"/>
  <c r="I230" i="122"/>
  <c r="H231" i="122"/>
  <c r="I231" i="122"/>
  <c r="H232" i="122"/>
  <c r="I232" i="122"/>
  <c r="H233" i="122"/>
  <c r="I233" i="122"/>
  <c r="H234" i="122"/>
  <c r="I234" i="122"/>
  <c r="H235" i="122"/>
  <c r="I235" i="122"/>
  <c r="H236" i="122"/>
  <c r="I236" i="122"/>
  <c r="H237" i="122"/>
  <c r="I237" i="122"/>
  <c r="H238" i="122"/>
  <c r="I238" i="122"/>
  <c r="H239" i="122"/>
  <c r="I239" i="122"/>
  <c r="H240" i="122"/>
  <c r="I240" i="122"/>
  <c r="H241" i="122"/>
  <c r="I241" i="122"/>
  <c r="H242" i="122"/>
  <c r="I242" i="122"/>
  <c r="H243" i="122"/>
  <c r="I243" i="122"/>
  <c r="H244" i="122"/>
  <c r="I244" i="122"/>
  <c r="H245" i="122"/>
  <c r="I245" i="122"/>
  <c r="H246" i="122"/>
  <c r="I246" i="122"/>
  <c r="H247" i="122"/>
  <c r="I247" i="122"/>
  <c r="H248" i="122"/>
  <c r="I248" i="122"/>
  <c r="H249" i="122"/>
  <c r="I249" i="122"/>
  <c r="H250" i="122"/>
  <c r="I250" i="122"/>
  <c r="H251" i="122"/>
  <c r="I251" i="122"/>
  <c r="H252" i="122"/>
  <c r="I252" i="122"/>
  <c r="H253" i="122"/>
  <c r="I253" i="122"/>
  <c r="H254" i="122"/>
  <c r="I254" i="122"/>
  <c r="H255" i="122"/>
  <c r="I255" i="122"/>
  <c r="H256" i="122"/>
  <c r="I256" i="122"/>
  <c r="H257" i="122"/>
  <c r="I257" i="122"/>
  <c r="H258" i="122"/>
  <c r="I258" i="122"/>
  <c r="H259" i="122"/>
  <c r="I259" i="122"/>
  <c r="H260" i="122"/>
  <c r="I260" i="122"/>
  <c r="H261" i="122"/>
  <c r="I261" i="122"/>
  <c r="H262" i="122"/>
  <c r="I262" i="122"/>
  <c r="H263" i="122"/>
  <c r="I263" i="122"/>
  <c r="H264" i="122"/>
  <c r="I264" i="122"/>
  <c r="H265" i="122"/>
  <c r="I265" i="122"/>
  <c r="H266" i="122"/>
  <c r="I266" i="122"/>
  <c r="H267" i="122"/>
  <c r="I267" i="122"/>
  <c r="H268" i="122"/>
  <c r="I268" i="122"/>
  <c r="H269" i="122"/>
  <c r="I269" i="122"/>
  <c r="H270" i="122"/>
  <c r="I270" i="122"/>
  <c r="H271" i="122"/>
  <c r="I271" i="122"/>
  <c r="H272" i="122"/>
  <c r="I272" i="122"/>
  <c r="H273" i="122"/>
  <c r="I273" i="122"/>
  <c r="H274" i="122"/>
  <c r="I274" i="122"/>
  <c r="H275" i="122"/>
  <c r="I275" i="122"/>
  <c r="H276" i="122"/>
  <c r="I276" i="122"/>
  <c r="H277" i="122"/>
  <c r="I277" i="122"/>
  <c r="H278" i="122"/>
  <c r="I278" i="122"/>
  <c r="H279" i="122"/>
  <c r="I279" i="122"/>
  <c r="H280" i="122"/>
  <c r="I280" i="122"/>
  <c r="H281" i="122"/>
  <c r="I281" i="122"/>
  <c r="H282" i="122"/>
  <c r="I282" i="122"/>
  <c r="H283" i="122"/>
  <c r="I283" i="122"/>
  <c r="H284" i="122"/>
  <c r="I284" i="122"/>
  <c r="H285" i="122"/>
  <c r="I285" i="122"/>
  <c r="H286" i="122"/>
  <c r="I286" i="122"/>
  <c r="H287" i="122"/>
  <c r="I287" i="122"/>
  <c r="H288" i="122"/>
  <c r="I288" i="122"/>
  <c r="H289" i="122"/>
  <c r="I289" i="122"/>
  <c r="H290" i="122"/>
  <c r="I290" i="122"/>
  <c r="H291" i="122"/>
  <c r="I291" i="122"/>
  <c r="H292" i="122"/>
  <c r="I292" i="122"/>
  <c r="H293" i="122"/>
  <c r="I293" i="122"/>
  <c r="H294" i="122"/>
  <c r="I294" i="122"/>
  <c r="H295" i="122"/>
  <c r="I295" i="122"/>
  <c r="H296" i="122"/>
  <c r="I296" i="122"/>
  <c r="H297" i="122"/>
  <c r="I297" i="122"/>
  <c r="H298" i="122"/>
  <c r="I298" i="122"/>
  <c r="H299" i="122"/>
  <c r="I299" i="122"/>
  <c r="H300" i="122"/>
  <c r="I300" i="122"/>
  <c r="H301" i="122"/>
  <c r="I301" i="122"/>
  <c r="H302" i="122"/>
  <c r="I302" i="122"/>
  <c r="H303" i="122"/>
  <c r="I303" i="122"/>
  <c r="H304" i="122"/>
  <c r="I304" i="122"/>
  <c r="H305" i="122"/>
  <c r="I305" i="122"/>
  <c r="H306" i="122"/>
  <c r="I306" i="122"/>
  <c r="H307" i="122"/>
  <c r="I307" i="122"/>
  <c r="H308" i="122"/>
  <c r="I308" i="122"/>
  <c r="H309" i="122"/>
  <c r="I309" i="122"/>
  <c r="H310" i="122"/>
  <c r="I310" i="122"/>
  <c r="H311" i="122"/>
  <c r="I311" i="122"/>
  <c r="H312" i="122"/>
  <c r="I312" i="122"/>
  <c r="H313" i="122"/>
  <c r="I313" i="122"/>
  <c r="H314" i="122"/>
  <c r="I314" i="122"/>
  <c r="H315" i="122"/>
  <c r="I315" i="122"/>
  <c r="H316" i="122"/>
  <c r="I316" i="122"/>
  <c r="H317" i="122"/>
  <c r="I317" i="122"/>
  <c r="H318" i="122"/>
  <c r="I318" i="122"/>
  <c r="H319" i="122"/>
  <c r="I319" i="122"/>
  <c r="H320" i="122"/>
  <c r="I320" i="122"/>
  <c r="H321" i="122"/>
  <c r="I321" i="122"/>
  <c r="H322" i="122"/>
  <c r="I322" i="122"/>
  <c r="H323" i="122"/>
  <c r="I323" i="122"/>
  <c r="H324" i="122"/>
  <c r="I324" i="122"/>
  <c r="H325" i="122"/>
  <c r="I325" i="122"/>
  <c r="H326" i="122"/>
  <c r="I326" i="122"/>
  <c r="H327" i="122"/>
  <c r="I327" i="122"/>
  <c r="H328" i="122"/>
  <c r="I328" i="122"/>
  <c r="H329" i="122"/>
  <c r="I329" i="122"/>
  <c r="H330" i="122"/>
  <c r="I330" i="122"/>
  <c r="H331" i="122"/>
  <c r="I331" i="122"/>
  <c r="H332" i="122"/>
  <c r="I332" i="122"/>
  <c r="H333" i="122"/>
  <c r="I333" i="122"/>
  <c r="H334" i="122"/>
  <c r="I334" i="122"/>
  <c r="H335" i="122"/>
  <c r="I335" i="122"/>
  <c r="H336" i="122"/>
  <c r="I336" i="122"/>
  <c r="H337" i="122"/>
  <c r="I337" i="122"/>
  <c r="H338" i="122"/>
  <c r="I338" i="122"/>
  <c r="H339" i="122"/>
  <c r="I339" i="122"/>
  <c r="H340" i="122"/>
  <c r="I340" i="122"/>
  <c r="H341" i="122"/>
  <c r="I341" i="122"/>
  <c r="H342" i="122"/>
  <c r="I342" i="122"/>
  <c r="H343" i="122"/>
  <c r="I343" i="122"/>
  <c r="H344" i="122"/>
  <c r="I344" i="122"/>
  <c r="H345" i="122"/>
  <c r="I345" i="122"/>
  <c r="H346" i="122"/>
  <c r="I346" i="122"/>
  <c r="H347" i="122"/>
  <c r="I347" i="122"/>
  <c r="H348" i="122"/>
  <c r="I348" i="122"/>
  <c r="H349" i="122"/>
  <c r="I349" i="122"/>
  <c r="H350" i="122"/>
  <c r="I350" i="122"/>
  <c r="H351" i="122"/>
  <c r="I351" i="122"/>
  <c r="H352" i="122"/>
  <c r="I352" i="122"/>
  <c r="H353" i="122"/>
  <c r="I353" i="122"/>
  <c r="H354" i="122"/>
  <c r="I354" i="122"/>
  <c r="H355" i="122"/>
  <c r="I355" i="122"/>
  <c r="H356" i="122"/>
  <c r="I356" i="122"/>
  <c r="H357" i="122"/>
  <c r="I357" i="122"/>
  <c r="H358" i="122"/>
  <c r="I358" i="122"/>
  <c r="H359" i="122"/>
  <c r="I359" i="122"/>
  <c r="H360" i="122"/>
  <c r="I360" i="122"/>
  <c r="H361" i="122"/>
  <c r="I361" i="122"/>
  <c r="H362" i="122"/>
  <c r="I362" i="122"/>
  <c r="H363" i="122"/>
  <c r="I363" i="122"/>
  <c r="H364" i="122"/>
  <c r="I364" i="122"/>
  <c r="H365" i="122"/>
  <c r="I365" i="122"/>
  <c r="H366" i="122"/>
  <c r="I366" i="122"/>
  <c r="H367" i="122"/>
  <c r="I367" i="122"/>
  <c r="H368" i="122"/>
  <c r="I368" i="122"/>
  <c r="H369" i="122"/>
  <c r="I369" i="122"/>
  <c r="H370" i="122"/>
  <c r="I370" i="122"/>
  <c r="H371" i="122"/>
  <c r="I371" i="122"/>
  <c r="H372" i="122"/>
  <c r="I372" i="122"/>
  <c r="H373" i="122"/>
  <c r="I373" i="122"/>
  <c r="H374" i="122"/>
  <c r="I374" i="122"/>
  <c r="H375" i="122"/>
  <c r="I375" i="122"/>
  <c r="H376" i="122"/>
  <c r="I376" i="122"/>
  <c r="H377" i="122"/>
  <c r="I377" i="122"/>
  <c r="H378" i="122"/>
  <c r="I378" i="122"/>
  <c r="H379" i="122"/>
  <c r="I379" i="122"/>
  <c r="H380" i="122"/>
  <c r="I380" i="122"/>
  <c r="H381" i="122"/>
  <c r="I381" i="122"/>
  <c r="H382" i="122"/>
  <c r="I382" i="122"/>
  <c r="H383" i="122"/>
  <c r="I383" i="122"/>
  <c r="H384" i="122"/>
  <c r="I384" i="122"/>
  <c r="H385" i="122"/>
  <c r="I385" i="122"/>
  <c r="H386" i="122"/>
  <c r="I386" i="122"/>
  <c r="H387" i="122"/>
  <c r="I387" i="122"/>
  <c r="H388" i="122"/>
  <c r="I388" i="122"/>
  <c r="H389" i="122"/>
  <c r="I389" i="122"/>
  <c r="H390" i="122"/>
  <c r="I390" i="122"/>
  <c r="H391" i="122"/>
  <c r="I391" i="122"/>
  <c r="H392" i="122"/>
  <c r="I392" i="122"/>
  <c r="H393" i="122"/>
  <c r="I393" i="122"/>
  <c r="H394" i="122"/>
  <c r="I394" i="122"/>
  <c r="H395" i="122"/>
  <c r="I395" i="122"/>
  <c r="H396" i="122"/>
  <c r="I396" i="122"/>
  <c r="H397" i="122"/>
  <c r="I397" i="122"/>
  <c r="H398" i="122"/>
  <c r="I398" i="122"/>
  <c r="H399" i="122"/>
  <c r="I399" i="122"/>
  <c r="H400" i="122"/>
  <c r="I400" i="122"/>
  <c r="H401" i="122"/>
  <c r="I401" i="122"/>
  <c r="H402" i="122"/>
  <c r="I402" i="122"/>
  <c r="H403" i="122"/>
  <c r="I403" i="122"/>
  <c r="H404" i="122"/>
  <c r="I404" i="122"/>
  <c r="H405" i="122"/>
  <c r="I405" i="122"/>
  <c r="H406" i="122"/>
  <c r="I406" i="122"/>
  <c r="H407" i="122"/>
  <c r="I407" i="122"/>
  <c r="H408" i="122"/>
  <c r="I408" i="122"/>
  <c r="H409" i="122"/>
  <c r="I409" i="122"/>
  <c r="H410" i="122"/>
  <c r="I410" i="122"/>
  <c r="H411" i="122"/>
  <c r="I411" i="122"/>
  <c r="H412" i="122"/>
  <c r="I412" i="122"/>
  <c r="H413" i="122"/>
  <c r="I413" i="122"/>
  <c r="H414" i="122"/>
  <c r="I414" i="122"/>
  <c r="H415" i="122"/>
  <c r="I415" i="122"/>
  <c r="H416" i="122"/>
  <c r="I416" i="122"/>
  <c r="H417" i="122"/>
  <c r="I417" i="122"/>
  <c r="H418" i="122"/>
  <c r="I418" i="122"/>
  <c r="H419" i="122"/>
  <c r="I419" i="122"/>
  <c r="H420" i="122"/>
  <c r="I420" i="122"/>
  <c r="H421" i="122"/>
  <c r="I421" i="122"/>
  <c r="H422" i="122"/>
  <c r="I422" i="122"/>
  <c r="H423" i="122"/>
  <c r="I423" i="122"/>
  <c r="H424" i="122"/>
  <c r="I424" i="122"/>
  <c r="H425" i="122"/>
  <c r="I425" i="122"/>
  <c r="H426" i="122"/>
  <c r="I426" i="122"/>
  <c r="H427" i="122"/>
  <c r="I427" i="122"/>
  <c r="H428" i="122"/>
  <c r="I428" i="122"/>
  <c r="H429" i="122"/>
  <c r="I429" i="122"/>
  <c r="H430" i="122"/>
  <c r="I430" i="122"/>
  <c r="H431" i="122"/>
  <c r="I431" i="122"/>
  <c r="H432" i="122"/>
  <c r="I432" i="122"/>
  <c r="H433" i="122"/>
  <c r="I433" i="122"/>
  <c r="H434" i="122"/>
  <c r="I434" i="122"/>
  <c r="H435" i="122"/>
  <c r="I435" i="122"/>
  <c r="H436" i="122"/>
  <c r="I436" i="122"/>
  <c r="H437" i="122"/>
  <c r="I437" i="122"/>
  <c r="H438" i="122"/>
  <c r="I438" i="122"/>
  <c r="H439" i="122"/>
  <c r="I439" i="122"/>
  <c r="H440" i="122"/>
  <c r="I440" i="122"/>
  <c r="H441" i="122"/>
  <c r="I441" i="122"/>
  <c r="H442" i="122"/>
  <c r="I442" i="122"/>
  <c r="H443" i="122"/>
  <c r="I443" i="122"/>
  <c r="H444" i="122"/>
  <c r="I444" i="122"/>
  <c r="H445" i="122"/>
  <c r="I445" i="122"/>
  <c r="H446" i="122"/>
  <c r="I446" i="122"/>
  <c r="H447" i="122"/>
  <c r="I447" i="122"/>
  <c r="H448" i="122"/>
  <c r="I448" i="122"/>
  <c r="H449" i="122"/>
  <c r="I449" i="122"/>
  <c r="H450" i="122"/>
  <c r="I450" i="122"/>
  <c r="H451" i="122"/>
  <c r="I451" i="122"/>
  <c r="H452" i="122"/>
  <c r="I452" i="122"/>
  <c r="H453" i="122"/>
  <c r="I453" i="122"/>
  <c r="H454" i="122"/>
  <c r="I454" i="122"/>
  <c r="H455" i="122"/>
  <c r="I455" i="122"/>
  <c r="H456" i="122"/>
  <c r="I456" i="122"/>
  <c r="H457" i="122"/>
  <c r="I457" i="122"/>
  <c r="H458" i="122"/>
  <c r="I458" i="122"/>
  <c r="H459" i="122"/>
  <c r="I459" i="122"/>
  <c r="H460" i="122"/>
  <c r="I460" i="122"/>
  <c r="H461" i="122"/>
  <c r="I461" i="122"/>
  <c r="H462" i="122"/>
  <c r="I462" i="122"/>
  <c r="H463" i="122"/>
  <c r="I463" i="122"/>
  <c r="H464" i="122"/>
  <c r="I464" i="122"/>
  <c r="H465" i="122"/>
  <c r="I465" i="122"/>
  <c r="H466" i="122"/>
  <c r="I466" i="122"/>
  <c r="H467" i="122"/>
  <c r="I467" i="122"/>
  <c r="H468" i="122"/>
  <c r="I468" i="122"/>
  <c r="H469" i="122"/>
  <c r="I469" i="122"/>
  <c r="H470" i="122"/>
  <c r="I470" i="122"/>
  <c r="H471" i="122"/>
  <c r="I471" i="122"/>
  <c r="H472" i="122"/>
  <c r="I472" i="122"/>
  <c r="H473" i="122"/>
  <c r="I473" i="122"/>
  <c r="H474" i="122"/>
  <c r="I474" i="122"/>
  <c r="H475" i="122"/>
  <c r="I475" i="122"/>
  <c r="H476" i="122"/>
  <c r="I476" i="122"/>
  <c r="H477" i="122"/>
  <c r="I477" i="122"/>
  <c r="H478" i="122"/>
  <c r="I478" i="122"/>
  <c r="H479" i="122"/>
  <c r="I479" i="122"/>
  <c r="H480" i="122"/>
  <c r="I480" i="122"/>
  <c r="H481" i="122"/>
  <c r="I481" i="122"/>
  <c r="H482" i="122"/>
  <c r="I482" i="122"/>
  <c r="H483" i="122"/>
  <c r="I483" i="122"/>
  <c r="H484" i="122"/>
  <c r="I484" i="122"/>
  <c r="H485" i="122"/>
  <c r="I485" i="122"/>
  <c r="H486" i="122"/>
  <c r="I486" i="122"/>
  <c r="H487" i="122"/>
  <c r="I487" i="122"/>
  <c r="H488" i="122"/>
  <c r="I488" i="122"/>
  <c r="H489" i="122"/>
  <c r="I489" i="122"/>
  <c r="H490" i="122"/>
  <c r="I490" i="122"/>
  <c r="H491" i="122"/>
  <c r="I491" i="122"/>
  <c r="H492" i="122"/>
  <c r="I492" i="122"/>
  <c r="H493" i="122"/>
  <c r="I493" i="122"/>
  <c r="H494" i="122"/>
  <c r="I494" i="122"/>
  <c r="H495" i="122"/>
  <c r="I495" i="122"/>
  <c r="H496" i="122"/>
  <c r="I496" i="122"/>
  <c r="H497" i="122"/>
  <c r="I497" i="122"/>
  <c r="H498" i="122"/>
  <c r="I498" i="122"/>
  <c r="H499" i="122"/>
  <c r="I499" i="122"/>
  <c r="H500" i="122"/>
  <c r="I500" i="122"/>
  <c r="H501" i="122"/>
  <c r="I501" i="122"/>
  <c r="H502" i="122"/>
  <c r="I502" i="122"/>
  <c r="H503" i="122"/>
  <c r="I503" i="122"/>
  <c r="H504" i="122"/>
  <c r="I504" i="122"/>
  <c r="H505" i="122"/>
  <c r="I505" i="122"/>
  <c r="H506" i="122"/>
  <c r="I506" i="122"/>
  <c r="H507" i="122"/>
  <c r="I507" i="122"/>
  <c r="H508" i="122"/>
  <c r="I508" i="122"/>
  <c r="H509" i="122"/>
  <c r="I509" i="122"/>
  <c r="H510" i="122"/>
  <c r="I510" i="122"/>
  <c r="H511" i="122"/>
  <c r="I511" i="122"/>
  <c r="H512" i="122"/>
  <c r="I512" i="122"/>
  <c r="H513" i="122"/>
  <c r="I513" i="122"/>
  <c r="H514" i="122"/>
  <c r="I514" i="122"/>
  <c r="H515" i="122"/>
  <c r="I515" i="122"/>
  <c r="H516" i="122"/>
  <c r="I516" i="122"/>
  <c r="H517" i="122"/>
  <c r="I517" i="122"/>
  <c r="H518" i="122"/>
  <c r="I518" i="122"/>
  <c r="H519" i="122"/>
  <c r="I519" i="122"/>
  <c r="H520" i="122"/>
  <c r="I520" i="122"/>
  <c r="H521" i="122"/>
  <c r="I521" i="122"/>
  <c r="H522" i="122"/>
  <c r="I522" i="122"/>
  <c r="H523" i="122"/>
  <c r="I523" i="122"/>
  <c r="H524" i="122"/>
  <c r="I524" i="122"/>
  <c r="H525" i="122"/>
  <c r="I525" i="122"/>
  <c r="H526" i="122"/>
  <c r="I526" i="122"/>
  <c r="H527" i="122"/>
  <c r="I527" i="122"/>
  <c r="H528" i="122"/>
  <c r="I528" i="122"/>
  <c r="H529" i="122"/>
  <c r="I529" i="122"/>
  <c r="H530" i="122"/>
  <c r="I530" i="122"/>
  <c r="H531" i="122"/>
  <c r="I531" i="122"/>
  <c r="H532" i="122"/>
  <c r="I532" i="122"/>
  <c r="H533" i="122"/>
  <c r="I533" i="122"/>
  <c r="H534" i="122"/>
  <c r="I534" i="122"/>
  <c r="H535" i="122"/>
  <c r="I535" i="122"/>
  <c r="H536" i="122"/>
  <c r="I536" i="122"/>
  <c r="H537" i="122"/>
  <c r="I537" i="122"/>
  <c r="H538" i="122"/>
  <c r="I538" i="122"/>
  <c r="H539" i="122"/>
  <c r="I539" i="122"/>
  <c r="H540" i="122"/>
  <c r="I540" i="122"/>
  <c r="H541" i="122"/>
  <c r="I541" i="122"/>
  <c r="H542" i="122"/>
  <c r="I542" i="122"/>
  <c r="H543" i="122"/>
  <c r="I543" i="122"/>
  <c r="H544" i="122"/>
  <c r="I544" i="122"/>
  <c r="H545" i="122"/>
  <c r="I545" i="122"/>
  <c r="H546" i="122"/>
  <c r="I546" i="122"/>
  <c r="H547" i="122"/>
  <c r="I547" i="122"/>
  <c r="H548" i="122"/>
  <c r="I548" i="122"/>
  <c r="H549" i="122"/>
  <c r="I549" i="122"/>
  <c r="H550" i="122"/>
  <c r="I550" i="122"/>
  <c r="H551" i="122"/>
  <c r="I551" i="122"/>
  <c r="H552" i="122"/>
  <c r="I552" i="122"/>
  <c r="H553" i="122"/>
  <c r="I553" i="122"/>
  <c r="H554" i="122"/>
  <c r="I554" i="122"/>
  <c r="H555" i="122"/>
  <c r="I555" i="122"/>
  <c r="H556" i="122"/>
  <c r="I556" i="122"/>
  <c r="H557" i="122"/>
  <c r="I557" i="122"/>
  <c r="H558" i="122"/>
  <c r="I558" i="122"/>
  <c r="H559" i="122"/>
  <c r="I559" i="122"/>
  <c r="H560" i="122"/>
  <c r="I560" i="122"/>
  <c r="H561" i="122"/>
  <c r="I561" i="122"/>
  <c r="H562" i="122"/>
  <c r="I562" i="122"/>
  <c r="H563" i="122"/>
  <c r="I563" i="122"/>
  <c r="H564" i="122"/>
  <c r="I564" i="122"/>
  <c r="H565" i="122"/>
  <c r="I565" i="122"/>
  <c r="H566" i="122"/>
  <c r="I566" i="122"/>
  <c r="H567" i="122"/>
  <c r="I567" i="122"/>
  <c r="H568" i="122"/>
  <c r="I568" i="122"/>
  <c r="H569" i="122"/>
  <c r="I569" i="122"/>
  <c r="H570" i="122"/>
  <c r="I570" i="122"/>
  <c r="H571" i="122"/>
  <c r="I571" i="122"/>
  <c r="H572" i="122"/>
  <c r="I572" i="122"/>
  <c r="H573" i="122"/>
  <c r="I573" i="122"/>
  <c r="H574" i="122"/>
  <c r="I574" i="122"/>
  <c r="H575" i="122"/>
  <c r="I575" i="122"/>
  <c r="H576" i="122"/>
  <c r="I576" i="122"/>
  <c r="H577" i="122"/>
  <c r="I577" i="122"/>
  <c r="H578" i="122"/>
  <c r="I578" i="122"/>
  <c r="H579" i="122"/>
  <c r="I579" i="122"/>
  <c r="H580" i="122"/>
  <c r="I580" i="122"/>
  <c r="H581" i="122"/>
  <c r="I581" i="122"/>
  <c r="H582" i="122"/>
  <c r="I582" i="122"/>
  <c r="H583" i="122"/>
  <c r="I583" i="122"/>
  <c r="H584" i="122"/>
  <c r="I584" i="122"/>
  <c r="H585" i="122"/>
  <c r="I585" i="122"/>
  <c r="H586" i="122"/>
  <c r="I586" i="122"/>
  <c r="H587" i="122"/>
  <c r="I587" i="122"/>
  <c r="H588" i="122"/>
  <c r="I588" i="122"/>
  <c r="H589" i="122"/>
  <c r="I589" i="122"/>
  <c r="H590" i="122"/>
  <c r="I590" i="122"/>
  <c r="H591" i="122"/>
  <c r="I591" i="122"/>
  <c r="H592" i="122"/>
  <c r="I592" i="122"/>
  <c r="H593" i="122"/>
  <c r="I593" i="122"/>
  <c r="H594" i="122"/>
  <c r="I594" i="122"/>
  <c r="H595" i="122"/>
  <c r="I595" i="122"/>
  <c r="H596" i="122"/>
  <c r="I596" i="122"/>
  <c r="H597" i="122"/>
  <c r="I597" i="122"/>
  <c r="H598" i="122"/>
  <c r="I598" i="122"/>
  <c r="H599" i="122"/>
  <c r="I599" i="122"/>
  <c r="H600" i="122"/>
  <c r="I600" i="122"/>
  <c r="H601" i="122"/>
  <c r="I601" i="122"/>
  <c r="H602" i="122"/>
  <c r="I602" i="122"/>
  <c r="H603" i="122"/>
  <c r="I603" i="122"/>
  <c r="H604" i="122"/>
  <c r="I604" i="122"/>
  <c r="H605" i="122"/>
  <c r="I605" i="122"/>
  <c r="H606" i="122"/>
  <c r="I606" i="122"/>
  <c r="H607" i="122"/>
  <c r="I607" i="122"/>
  <c r="H608" i="122"/>
  <c r="I608" i="122"/>
  <c r="H609" i="122"/>
  <c r="I609" i="122"/>
  <c r="H610" i="122"/>
  <c r="I610" i="122"/>
  <c r="H611" i="122"/>
  <c r="I611" i="122"/>
  <c r="H612" i="122"/>
  <c r="I612" i="122"/>
  <c r="H613" i="122"/>
  <c r="I613" i="122"/>
  <c r="H614" i="122"/>
  <c r="I614" i="122"/>
  <c r="H615" i="122"/>
  <c r="I615" i="122"/>
  <c r="H616" i="122"/>
  <c r="I616" i="122"/>
  <c r="H617" i="122"/>
  <c r="I617" i="122"/>
  <c r="H618" i="122"/>
  <c r="I618" i="122"/>
  <c r="H619" i="122"/>
  <c r="I619" i="122"/>
  <c r="H620" i="122"/>
  <c r="I620" i="122"/>
  <c r="H621" i="122"/>
  <c r="I621" i="122"/>
  <c r="H622" i="122"/>
  <c r="I622" i="122"/>
  <c r="H623" i="122"/>
  <c r="I623" i="122"/>
  <c r="H624" i="122"/>
  <c r="I624" i="122"/>
  <c r="H625" i="122"/>
  <c r="I625" i="122"/>
  <c r="H626" i="122"/>
  <c r="I626" i="122"/>
  <c r="H627" i="122"/>
  <c r="I627" i="122"/>
  <c r="H628" i="122"/>
  <c r="I628" i="122"/>
  <c r="H629" i="122"/>
  <c r="I629" i="122"/>
  <c r="H630" i="122"/>
  <c r="I630" i="122"/>
  <c r="H631" i="122"/>
  <c r="I631" i="122"/>
  <c r="H632" i="122"/>
  <c r="I632" i="122"/>
  <c r="H633" i="122"/>
  <c r="I633" i="122"/>
  <c r="H634" i="122"/>
  <c r="I634" i="122"/>
  <c r="H635" i="122"/>
  <c r="I635" i="122"/>
  <c r="H636" i="122"/>
  <c r="I636" i="122"/>
  <c r="H637" i="122"/>
  <c r="I637" i="122"/>
  <c r="H638" i="122"/>
  <c r="I638" i="122"/>
  <c r="H639" i="122"/>
  <c r="I639" i="122"/>
  <c r="H640" i="122"/>
  <c r="I640" i="122"/>
  <c r="H641" i="122"/>
  <c r="I641" i="122"/>
  <c r="H642" i="122"/>
  <c r="I642" i="122"/>
  <c r="H643" i="122"/>
  <c r="I643" i="122"/>
  <c r="H644" i="122"/>
  <c r="I644" i="122"/>
  <c r="H645" i="122"/>
  <c r="I645" i="122"/>
  <c r="H646" i="122"/>
  <c r="I646" i="122"/>
  <c r="H647" i="122"/>
  <c r="I647" i="122"/>
  <c r="H648" i="122"/>
  <c r="I648" i="122"/>
  <c r="H649" i="122"/>
  <c r="I649" i="122"/>
  <c r="H650" i="122"/>
  <c r="I650" i="122"/>
  <c r="H651" i="122"/>
  <c r="I651" i="122"/>
  <c r="H652" i="122"/>
  <c r="I652" i="122"/>
  <c r="H653" i="122"/>
  <c r="I653" i="122"/>
  <c r="H654" i="122"/>
  <c r="I654" i="122"/>
  <c r="H655" i="122"/>
  <c r="I655" i="122"/>
  <c r="H656" i="122"/>
  <c r="I656" i="122"/>
  <c r="H657" i="122"/>
  <c r="I657" i="122"/>
  <c r="H658" i="122"/>
  <c r="I658" i="122"/>
  <c r="H659" i="122"/>
  <c r="I659" i="122"/>
  <c r="H660" i="122"/>
  <c r="I660" i="122"/>
  <c r="H661" i="122"/>
  <c r="I661" i="122"/>
  <c r="H662" i="122"/>
  <c r="I662" i="122"/>
  <c r="H663" i="122"/>
  <c r="I663" i="122"/>
  <c r="H664" i="122"/>
  <c r="I664" i="122"/>
  <c r="H665" i="122"/>
  <c r="I665" i="122"/>
  <c r="H666" i="122"/>
  <c r="I666" i="122"/>
  <c r="H667" i="122"/>
  <c r="I667" i="122"/>
  <c r="H668" i="122"/>
  <c r="I668" i="122"/>
  <c r="H669" i="122"/>
  <c r="I669" i="122"/>
  <c r="H670" i="122"/>
  <c r="I670" i="122"/>
  <c r="H671" i="122"/>
  <c r="I671" i="122"/>
  <c r="H672" i="122"/>
  <c r="I672" i="122"/>
  <c r="H673" i="122"/>
  <c r="I673" i="122"/>
  <c r="H674" i="122"/>
  <c r="I674" i="122"/>
  <c r="H675" i="122"/>
  <c r="I675" i="122"/>
  <c r="H676" i="122"/>
  <c r="I676" i="122"/>
  <c r="H677" i="122"/>
  <c r="I677" i="122"/>
  <c r="H678" i="122"/>
  <c r="I678" i="122"/>
  <c r="H679" i="122"/>
  <c r="I679" i="122"/>
  <c r="H680" i="122"/>
  <c r="I680" i="122"/>
  <c r="H681" i="122"/>
  <c r="I681" i="122"/>
  <c r="H682" i="122"/>
  <c r="I682" i="122"/>
  <c r="H683" i="122"/>
  <c r="I683" i="122"/>
  <c r="H684" i="122"/>
  <c r="I684" i="122"/>
  <c r="H685" i="122"/>
  <c r="I685" i="122"/>
  <c r="H686" i="122"/>
  <c r="I686" i="122"/>
  <c r="H687" i="122"/>
  <c r="I687" i="122"/>
  <c r="H688" i="122"/>
  <c r="I688" i="122"/>
  <c r="H689" i="122"/>
  <c r="I689" i="122"/>
  <c r="H690" i="122"/>
  <c r="I690" i="122"/>
  <c r="H691" i="122"/>
  <c r="I691" i="122"/>
  <c r="H692" i="122"/>
  <c r="I692" i="122"/>
  <c r="H693" i="122"/>
  <c r="I693" i="122"/>
  <c r="H694" i="122"/>
  <c r="I694" i="122"/>
  <c r="H695" i="122"/>
  <c r="I695" i="122"/>
  <c r="H696" i="122"/>
  <c r="I696" i="122"/>
  <c r="H697" i="122"/>
  <c r="I697" i="122"/>
  <c r="H698" i="122"/>
  <c r="I698" i="122"/>
  <c r="H699" i="122"/>
  <c r="I699" i="122"/>
  <c r="H700" i="122"/>
  <c r="I700" i="122"/>
  <c r="H701" i="122"/>
  <c r="I701" i="122"/>
  <c r="H702" i="122"/>
  <c r="I702" i="122"/>
  <c r="H703" i="122"/>
  <c r="I703" i="122"/>
  <c r="H704" i="122"/>
  <c r="I704" i="122"/>
  <c r="H705" i="122"/>
  <c r="I705" i="122"/>
  <c r="H706" i="122"/>
  <c r="I706" i="122"/>
  <c r="H707" i="122"/>
  <c r="I707" i="122"/>
  <c r="H708" i="122"/>
  <c r="I708" i="122"/>
  <c r="H709" i="122"/>
  <c r="I709" i="122"/>
  <c r="H710" i="122"/>
  <c r="I710" i="122"/>
  <c r="H711" i="122"/>
  <c r="I711" i="122"/>
  <c r="H712" i="122"/>
  <c r="I712" i="122"/>
  <c r="H713" i="122"/>
  <c r="I713" i="122"/>
  <c r="H714" i="122"/>
  <c r="I714" i="122"/>
  <c r="H715" i="122"/>
  <c r="I715" i="122"/>
  <c r="H716" i="122"/>
  <c r="I716" i="122"/>
  <c r="H717" i="122"/>
  <c r="I717" i="122"/>
  <c r="H718" i="122"/>
  <c r="I718" i="122"/>
  <c r="H719" i="122"/>
  <c r="I719" i="122"/>
  <c r="H720" i="122"/>
  <c r="I720" i="122"/>
  <c r="H721" i="122"/>
  <c r="I721" i="122"/>
  <c r="H722" i="122"/>
  <c r="I722" i="122"/>
  <c r="H723" i="122"/>
  <c r="I723" i="122"/>
  <c r="H724" i="122"/>
  <c r="I724" i="122"/>
  <c r="H725" i="122"/>
  <c r="I725" i="122"/>
  <c r="H726" i="122"/>
  <c r="I726" i="122"/>
  <c r="H727" i="122"/>
  <c r="I727" i="122"/>
  <c r="H728" i="122"/>
  <c r="I728" i="122"/>
  <c r="H729" i="122"/>
  <c r="I729" i="122"/>
  <c r="H730" i="122"/>
  <c r="I730" i="122"/>
  <c r="H731" i="122"/>
  <c r="I731" i="122"/>
  <c r="H732" i="122"/>
  <c r="I732" i="122"/>
  <c r="H733" i="122"/>
  <c r="I733" i="122"/>
  <c r="H734" i="122"/>
  <c r="I734" i="122"/>
  <c r="H735" i="122"/>
  <c r="I735" i="122"/>
  <c r="H736" i="122"/>
  <c r="I736" i="122"/>
  <c r="H737" i="122"/>
  <c r="I737" i="122"/>
  <c r="H738" i="122"/>
  <c r="I738" i="122"/>
  <c r="H739" i="122"/>
  <c r="I739" i="122"/>
  <c r="H740" i="122"/>
  <c r="I740" i="122"/>
  <c r="H741" i="122"/>
  <c r="I741" i="122"/>
  <c r="H742" i="122"/>
  <c r="I742" i="122"/>
  <c r="H743" i="122"/>
  <c r="I743" i="122"/>
  <c r="H744" i="122"/>
  <c r="I744" i="122"/>
  <c r="H745" i="122"/>
  <c r="I745" i="122"/>
  <c r="H746" i="122"/>
  <c r="I746" i="122"/>
  <c r="H747" i="122"/>
  <c r="I747" i="122"/>
  <c r="H748" i="122"/>
  <c r="I748" i="122"/>
  <c r="H749" i="122"/>
  <c r="I749" i="122"/>
  <c r="H750" i="122"/>
  <c r="I750" i="122"/>
  <c r="H751" i="122"/>
  <c r="I751" i="122"/>
  <c r="H752" i="122"/>
  <c r="I752" i="122"/>
  <c r="H753" i="122"/>
  <c r="I753" i="122"/>
  <c r="H754" i="122"/>
  <c r="I754" i="122"/>
  <c r="H755" i="122"/>
  <c r="I755" i="122"/>
  <c r="H756" i="122"/>
  <c r="I756" i="122"/>
  <c r="H757" i="122"/>
  <c r="I757" i="122"/>
  <c r="H758" i="122"/>
  <c r="I758" i="122"/>
  <c r="H759" i="122"/>
  <c r="I759" i="122"/>
  <c r="H760" i="122"/>
  <c r="I760" i="122"/>
  <c r="H761" i="122"/>
  <c r="I761" i="122"/>
  <c r="H762" i="122"/>
  <c r="I762" i="122"/>
  <c r="H763" i="122"/>
  <c r="I763" i="122"/>
  <c r="H764" i="122"/>
  <c r="I764" i="122"/>
  <c r="H765" i="122"/>
  <c r="I765" i="122"/>
  <c r="H766" i="122"/>
  <c r="I766" i="122"/>
  <c r="H767" i="122"/>
  <c r="I767" i="122"/>
  <c r="H768" i="122"/>
  <c r="I768" i="122"/>
  <c r="H769" i="122"/>
  <c r="I769" i="122"/>
  <c r="H770" i="122"/>
  <c r="I770" i="122"/>
  <c r="H771" i="122"/>
  <c r="I771" i="122"/>
  <c r="H772" i="122"/>
  <c r="I772" i="122"/>
  <c r="H773" i="122"/>
  <c r="I773" i="122"/>
  <c r="H774" i="122"/>
  <c r="I774" i="122"/>
  <c r="H775" i="122"/>
  <c r="I775" i="122"/>
  <c r="H776" i="122"/>
  <c r="I776" i="122"/>
  <c r="H777" i="122"/>
  <c r="I777" i="122"/>
  <c r="H778" i="122"/>
  <c r="I778" i="122"/>
  <c r="H779" i="122"/>
  <c r="I779" i="122"/>
  <c r="H780" i="122"/>
  <c r="I780" i="122"/>
  <c r="H781" i="122"/>
  <c r="I781" i="122"/>
  <c r="H782" i="122"/>
  <c r="I782" i="122"/>
  <c r="H783" i="122"/>
  <c r="I783" i="122"/>
  <c r="H784" i="122"/>
  <c r="I784" i="122"/>
  <c r="H785" i="122"/>
  <c r="I785" i="122"/>
  <c r="H786" i="122"/>
  <c r="I786" i="122"/>
  <c r="H787" i="122"/>
  <c r="I787" i="122"/>
  <c r="H788" i="122"/>
  <c r="I788" i="122"/>
  <c r="H789" i="122"/>
  <c r="I789" i="122"/>
  <c r="H790" i="122"/>
  <c r="I790" i="122"/>
  <c r="H791" i="122"/>
  <c r="I791" i="122"/>
  <c r="H792" i="122"/>
  <c r="I792" i="122"/>
  <c r="H793" i="122"/>
  <c r="I793" i="122"/>
  <c r="H794" i="122"/>
  <c r="I794" i="122"/>
  <c r="H795" i="122"/>
  <c r="I795" i="122"/>
  <c r="H796" i="122"/>
  <c r="I796" i="122"/>
  <c r="H797" i="122"/>
  <c r="I797" i="122"/>
  <c r="H798" i="122"/>
  <c r="I798" i="122"/>
  <c r="H799" i="122"/>
  <c r="I799" i="122"/>
  <c r="H800" i="122"/>
  <c r="I800" i="122"/>
  <c r="H801" i="122"/>
  <c r="I801" i="122"/>
  <c r="H802" i="122"/>
  <c r="I802" i="122"/>
  <c r="H803" i="122"/>
  <c r="I803" i="122"/>
  <c r="H804" i="122"/>
  <c r="I804" i="122"/>
  <c r="H805" i="122"/>
  <c r="I805" i="122"/>
  <c r="H806" i="122"/>
  <c r="I806" i="122"/>
  <c r="H807" i="122"/>
  <c r="I807" i="122"/>
  <c r="H808" i="122"/>
  <c r="I808" i="122"/>
  <c r="H809" i="122"/>
  <c r="I809" i="122"/>
  <c r="H810" i="122"/>
  <c r="I810" i="122"/>
  <c r="H811" i="122"/>
  <c r="I811" i="122"/>
  <c r="H812" i="122"/>
  <c r="I812" i="122"/>
  <c r="H813" i="122"/>
  <c r="I813" i="122"/>
  <c r="H814" i="122"/>
  <c r="I814" i="122"/>
  <c r="H815" i="122"/>
  <c r="I815" i="122"/>
  <c r="H816" i="122"/>
  <c r="I816" i="122"/>
  <c r="H817" i="122"/>
  <c r="I817" i="122"/>
  <c r="H818" i="122"/>
  <c r="I818" i="122"/>
  <c r="H819" i="122"/>
  <c r="I819" i="122"/>
  <c r="H820" i="122"/>
  <c r="I820" i="122"/>
  <c r="H821" i="122"/>
  <c r="I821" i="122"/>
  <c r="H822" i="122"/>
  <c r="I822" i="122"/>
  <c r="H823" i="122"/>
  <c r="I823" i="122"/>
  <c r="H824" i="122"/>
  <c r="I824" i="122"/>
  <c r="H825" i="122"/>
  <c r="I825" i="122"/>
  <c r="H826" i="122"/>
  <c r="I826" i="122"/>
  <c r="H827" i="122"/>
  <c r="I827" i="122"/>
  <c r="H828" i="122"/>
  <c r="I828" i="122"/>
  <c r="H829" i="122"/>
  <c r="I829" i="122"/>
  <c r="H830" i="122"/>
  <c r="I830" i="122"/>
  <c r="H831" i="122"/>
  <c r="I831" i="122"/>
  <c r="H832" i="122"/>
  <c r="I832" i="122"/>
  <c r="H833" i="122"/>
  <c r="I833" i="122"/>
  <c r="H834" i="122"/>
  <c r="I834" i="122"/>
  <c r="H835" i="122"/>
  <c r="I835" i="122"/>
  <c r="H836" i="122"/>
  <c r="I836" i="122"/>
  <c r="H837" i="122"/>
  <c r="I837" i="122"/>
  <c r="H838" i="122"/>
  <c r="I838" i="122"/>
  <c r="H839" i="122"/>
  <c r="I839" i="122"/>
  <c r="H840" i="122"/>
  <c r="I840" i="122"/>
  <c r="H841" i="122"/>
  <c r="I841" i="122"/>
  <c r="H842" i="122"/>
  <c r="I842" i="122"/>
  <c r="H843" i="122"/>
  <c r="I843" i="122"/>
  <c r="H844" i="122"/>
  <c r="I844" i="122"/>
  <c r="H845" i="122"/>
  <c r="I845" i="122"/>
  <c r="H846" i="122"/>
  <c r="I846" i="122"/>
  <c r="H847" i="122"/>
  <c r="I847" i="122"/>
  <c r="H848" i="122"/>
  <c r="I848" i="122"/>
  <c r="H849" i="122"/>
  <c r="I849" i="122"/>
  <c r="H850" i="122"/>
  <c r="I850" i="122"/>
  <c r="H851" i="122"/>
  <c r="I851" i="122"/>
  <c r="H852" i="122"/>
  <c r="I852" i="122"/>
  <c r="H853" i="122"/>
  <c r="I853" i="122"/>
  <c r="H854" i="122"/>
  <c r="I854" i="122"/>
  <c r="H855" i="122"/>
  <c r="I855" i="122"/>
  <c r="H856" i="122"/>
  <c r="I856" i="122"/>
  <c r="H857" i="122"/>
  <c r="I857" i="122"/>
  <c r="H858" i="122"/>
  <c r="I858" i="122"/>
  <c r="H859" i="122"/>
  <c r="I859" i="122"/>
  <c r="H860" i="122"/>
  <c r="I860" i="122"/>
  <c r="H861" i="122"/>
  <c r="I861" i="122"/>
  <c r="H862" i="122"/>
  <c r="I862" i="122"/>
  <c r="H863" i="122"/>
  <c r="I863" i="122"/>
  <c r="H864" i="122"/>
  <c r="I864" i="122"/>
  <c r="H865" i="122"/>
  <c r="I865" i="122"/>
  <c r="H866" i="122"/>
  <c r="I866" i="122"/>
  <c r="H867" i="122"/>
  <c r="I867" i="122"/>
  <c r="H868" i="122"/>
  <c r="I868" i="122"/>
  <c r="H869" i="122"/>
  <c r="I869" i="122"/>
  <c r="H870" i="122"/>
  <c r="I870" i="122"/>
  <c r="H871" i="122"/>
  <c r="I871" i="122"/>
  <c r="H872" i="122"/>
  <c r="I872" i="122"/>
  <c r="H873" i="122"/>
  <c r="I873" i="122"/>
  <c r="H874" i="122"/>
  <c r="I874" i="122"/>
  <c r="H875" i="122"/>
  <c r="I875" i="122"/>
  <c r="H876" i="122"/>
  <c r="I876" i="122"/>
  <c r="H877" i="122"/>
  <c r="I877" i="122"/>
  <c r="H878" i="122"/>
  <c r="I878" i="122"/>
  <c r="H879" i="122"/>
  <c r="I879" i="122"/>
  <c r="H880" i="122"/>
  <c r="I880" i="122"/>
  <c r="H881" i="122"/>
  <c r="I881" i="122"/>
  <c r="H882" i="122"/>
  <c r="I882" i="122"/>
  <c r="H883" i="122"/>
  <c r="I883" i="122"/>
  <c r="H884" i="122"/>
  <c r="I884" i="122"/>
  <c r="H885" i="122"/>
  <c r="I885" i="122"/>
  <c r="H886" i="122"/>
  <c r="I886" i="122"/>
  <c r="H887" i="122"/>
  <c r="I887" i="122"/>
  <c r="H888" i="122"/>
  <c r="I888" i="122"/>
  <c r="H889" i="122"/>
  <c r="I889" i="122"/>
  <c r="H890" i="122"/>
  <c r="I890" i="122"/>
  <c r="H891" i="122"/>
  <c r="I891" i="122"/>
  <c r="H892" i="122"/>
  <c r="I892" i="122"/>
  <c r="H893" i="122"/>
  <c r="I893" i="122"/>
  <c r="H894" i="122"/>
  <c r="I894" i="122"/>
  <c r="H895" i="122"/>
  <c r="I895" i="122"/>
  <c r="H896" i="122"/>
  <c r="I896" i="122"/>
  <c r="H897" i="122"/>
  <c r="I897" i="122"/>
  <c r="H898" i="122"/>
  <c r="I898" i="122"/>
  <c r="H899" i="122"/>
  <c r="I899" i="122"/>
  <c r="H900" i="122"/>
  <c r="I900" i="122"/>
  <c r="H901" i="122"/>
  <c r="I901" i="122"/>
  <c r="H902" i="122"/>
  <c r="I902" i="122"/>
  <c r="H903" i="122"/>
  <c r="I903" i="122"/>
  <c r="H904" i="122"/>
  <c r="I904" i="122"/>
  <c r="H905" i="122"/>
  <c r="I905" i="122"/>
  <c r="H906" i="122"/>
  <c r="I906" i="122"/>
  <c r="H907" i="122"/>
  <c r="I907" i="122"/>
  <c r="H908" i="122"/>
  <c r="I908" i="122"/>
  <c r="H909" i="122"/>
  <c r="I909" i="122"/>
  <c r="H910" i="122"/>
  <c r="I910" i="122"/>
  <c r="H911" i="122"/>
  <c r="I911" i="122"/>
  <c r="H912" i="122"/>
  <c r="I912" i="122"/>
  <c r="H913" i="122"/>
  <c r="I913" i="122"/>
  <c r="H914" i="122"/>
  <c r="I914" i="122"/>
  <c r="H915" i="122"/>
  <c r="I915" i="122"/>
  <c r="H916" i="122"/>
  <c r="I916" i="122"/>
  <c r="H917" i="122"/>
  <c r="I917" i="122"/>
  <c r="H918" i="122"/>
  <c r="I918" i="122"/>
  <c r="H919" i="122"/>
  <c r="I919" i="122"/>
  <c r="H920" i="122"/>
  <c r="I920" i="122"/>
  <c r="H921" i="122"/>
  <c r="I921" i="122"/>
  <c r="H922" i="122"/>
  <c r="I922" i="122"/>
  <c r="H923" i="122"/>
  <c r="I923" i="122"/>
  <c r="H924" i="122"/>
  <c r="I924" i="122"/>
  <c r="H925" i="122"/>
  <c r="I925" i="122"/>
  <c r="H926" i="122"/>
  <c r="I926" i="122"/>
  <c r="H927" i="122"/>
  <c r="I927" i="122"/>
  <c r="H928" i="122"/>
  <c r="I928" i="122"/>
  <c r="H929" i="122"/>
  <c r="I929" i="122"/>
  <c r="H930" i="122"/>
  <c r="I930" i="122"/>
  <c r="H931" i="122"/>
  <c r="I931" i="122"/>
  <c r="H932" i="122"/>
  <c r="I932" i="122"/>
  <c r="H933" i="122"/>
  <c r="I933" i="122"/>
  <c r="H934" i="122"/>
  <c r="I934" i="122"/>
  <c r="H935" i="122"/>
  <c r="I935" i="122"/>
  <c r="H936" i="122"/>
  <c r="I936" i="122"/>
  <c r="H937" i="122"/>
  <c r="I937" i="122"/>
  <c r="H938" i="122"/>
  <c r="I938" i="122"/>
  <c r="H939" i="122"/>
  <c r="I939" i="122"/>
  <c r="H940" i="122"/>
  <c r="I940" i="122"/>
  <c r="H941" i="122"/>
  <c r="I941" i="122"/>
  <c r="H942" i="122"/>
  <c r="I942" i="122"/>
  <c r="H943" i="122"/>
  <c r="I943" i="122"/>
  <c r="H944" i="122"/>
  <c r="I944" i="122"/>
  <c r="H945" i="122"/>
  <c r="I945" i="122"/>
  <c r="H946" i="122"/>
  <c r="I946" i="122"/>
  <c r="H947" i="122"/>
  <c r="I947" i="122"/>
  <c r="H948" i="122"/>
  <c r="I948" i="122"/>
  <c r="H949" i="122"/>
  <c r="I949" i="122"/>
  <c r="H950" i="122"/>
  <c r="I950" i="122"/>
  <c r="H951" i="122"/>
  <c r="I951" i="122"/>
  <c r="H952" i="122"/>
  <c r="I952" i="122"/>
  <c r="H953" i="122"/>
  <c r="I953" i="122"/>
  <c r="H954" i="122"/>
  <c r="I954" i="122"/>
  <c r="H955" i="122"/>
  <c r="I955" i="122"/>
  <c r="H956" i="122"/>
  <c r="I956" i="122"/>
  <c r="H957" i="122"/>
  <c r="I957" i="122"/>
  <c r="H958" i="122"/>
  <c r="I958" i="122"/>
  <c r="H959" i="122"/>
  <c r="I959" i="122"/>
  <c r="H960" i="122"/>
  <c r="I960" i="122"/>
  <c r="H961" i="122"/>
  <c r="I961" i="122"/>
  <c r="H962" i="122"/>
  <c r="I962" i="122"/>
  <c r="H963" i="122"/>
  <c r="I963" i="122"/>
  <c r="H964" i="122"/>
  <c r="I964" i="122"/>
  <c r="H965" i="122"/>
  <c r="I965" i="122"/>
  <c r="H966" i="122"/>
  <c r="I966" i="122"/>
  <c r="H967" i="122"/>
  <c r="I967" i="122"/>
  <c r="H968" i="122"/>
  <c r="I968" i="122"/>
  <c r="H969" i="122"/>
  <c r="I969" i="122"/>
  <c r="H970" i="122"/>
  <c r="I970" i="122"/>
  <c r="H971" i="122"/>
  <c r="I971" i="122"/>
  <c r="H972" i="122"/>
  <c r="I972" i="122"/>
  <c r="H973" i="122"/>
  <c r="I973" i="122"/>
  <c r="H974" i="122"/>
  <c r="I974" i="122"/>
  <c r="H975" i="122"/>
  <c r="I975" i="122"/>
  <c r="H976" i="122"/>
  <c r="I976" i="122"/>
  <c r="H977" i="122"/>
  <c r="I977" i="122"/>
  <c r="H978" i="122"/>
  <c r="I978" i="122"/>
  <c r="H979" i="122"/>
  <c r="I979" i="122"/>
  <c r="H980" i="122"/>
  <c r="I980" i="122"/>
  <c r="H981" i="122"/>
  <c r="I981" i="122"/>
  <c r="H982" i="122"/>
  <c r="I982" i="122"/>
  <c r="H983" i="122"/>
  <c r="I983" i="122"/>
  <c r="H984" i="122"/>
  <c r="I984" i="122"/>
  <c r="H985" i="122"/>
  <c r="I985" i="122"/>
  <c r="H986" i="122"/>
  <c r="I986" i="122"/>
  <c r="H987" i="122"/>
  <c r="I987" i="122"/>
  <c r="H988" i="122"/>
  <c r="I988" i="122"/>
  <c r="H989" i="122"/>
  <c r="I989" i="122"/>
  <c r="H990" i="122"/>
  <c r="I990" i="122"/>
  <c r="H991" i="122"/>
  <c r="I991" i="122"/>
  <c r="H992" i="122"/>
  <c r="I992" i="122"/>
  <c r="H993" i="122"/>
  <c r="I993" i="122"/>
  <c r="H994" i="122"/>
  <c r="I994" i="122"/>
  <c r="H995" i="122"/>
  <c r="I995" i="122"/>
  <c r="H996" i="122"/>
  <c r="I996" i="122"/>
  <c r="H997" i="122"/>
  <c r="I997" i="122"/>
  <c r="H998" i="122"/>
  <c r="I998" i="122"/>
  <c r="H999" i="122"/>
  <c r="I999" i="122"/>
  <c r="H1000" i="122"/>
  <c r="I1000" i="122"/>
  <c r="H1001" i="122"/>
  <c r="I1001" i="122"/>
  <c r="H1002" i="122"/>
  <c r="I1002" i="122"/>
  <c r="H1003" i="122"/>
  <c r="I1003" i="122"/>
  <c r="H1004" i="122"/>
  <c r="I1004" i="122"/>
  <c r="H1005" i="122"/>
  <c r="I1005" i="122"/>
  <c r="H1006" i="122"/>
  <c r="I1006" i="122"/>
  <c r="H1007" i="122"/>
  <c r="I1007" i="122"/>
  <c r="H1008" i="122"/>
  <c r="I1008" i="122"/>
  <c r="H1009" i="122"/>
  <c r="I1009" i="122"/>
  <c r="H1010" i="122"/>
  <c r="I1010" i="122"/>
  <c r="H1011" i="122"/>
  <c r="I1011" i="122"/>
  <c r="H1012" i="122"/>
  <c r="I1012" i="122"/>
  <c r="H1013" i="122"/>
  <c r="I1013" i="122"/>
  <c r="H1014" i="122"/>
  <c r="I1014" i="122"/>
  <c r="H1015" i="122"/>
  <c r="I1015" i="122"/>
  <c r="H1016" i="122"/>
  <c r="I1016" i="122"/>
  <c r="H1017" i="122"/>
  <c r="I1017" i="122"/>
  <c r="H1018" i="122"/>
  <c r="I1018" i="122"/>
  <c r="H1019" i="122"/>
  <c r="I1019" i="122"/>
  <c r="H1020" i="122"/>
  <c r="I1020" i="122"/>
  <c r="H1021" i="122"/>
  <c r="I1021" i="122"/>
  <c r="H1022" i="122"/>
  <c r="I1022" i="122"/>
  <c r="H1023" i="122"/>
  <c r="I1023" i="122"/>
  <c r="H1024" i="122"/>
  <c r="I1024" i="122"/>
  <c r="H1025" i="122"/>
  <c r="I1025" i="122"/>
  <c r="H1026" i="122"/>
  <c r="I1026" i="122"/>
  <c r="H1027" i="122"/>
  <c r="I1027" i="122"/>
  <c r="H1028" i="122"/>
  <c r="I1028" i="122"/>
  <c r="H1029" i="122"/>
  <c r="I1029" i="122"/>
  <c r="H1030" i="122"/>
  <c r="I1030" i="122"/>
  <c r="H1031" i="122"/>
  <c r="I1031" i="122"/>
  <c r="H1032" i="122"/>
  <c r="I1032" i="122"/>
  <c r="H1033" i="122"/>
  <c r="I1033" i="122"/>
  <c r="H1034" i="122"/>
  <c r="I1034" i="122"/>
  <c r="H1035" i="122"/>
  <c r="I1035" i="122"/>
  <c r="H1036" i="122"/>
  <c r="I1036" i="122"/>
  <c r="H1037" i="122"/>
  <c r="I1037" i="122"/>
  <c r="H1038" i="122"/>
  <c r="I1038" i="122"/>
  <c r="H1039" i="122"/>
  <c r="I1039" i="122"/>
  <c r="H1040" i="122"/>
  <c r="I1040" i="122"/>
  <c r="H1041" i="122"/>
  <c r="I1041" i="122"/>
  <c r="H1042" i="122"/>
  <c r="I1042" i="122"/>
  <c r="H1043" i="122"/>
  <c r="I1043" i="122"/>
  <c r="H1044" i="122"/>
  <c r="I1044" i="122"/>
  <c r="H1045" i="122"/>
  <c r="I1045" i="122"/>
  <c r="H1046" i="122"/>
  <c r="I1046" i="122"/>
  <c r="H1047" i="122"/>
  <c r="I1047" i="122"/>
  <c r="H1048" i="122"/>
  <c r="I1048" i="122"/>
  <c r="H1049" i="122"/>
  <c r="I1049" i="122"/>
  <c r="H1050" i="122"/>
  <c r="I1050" i="122"/>
  <c r="H1051" i="122"/>
  <c r="I1051" i="122"/>
  <c r="H1052" i="122"/>
  <c r="I1052" i="122"/>
  <c r="H1053" i="122"/>
  <c r="I1053" i="122"/>
  <c r="H1054" i="122"/>
  <c r="I1054" i="122"/>
  <c r="H1055" i="122"/>
  <c r="I1055" i="122"/>
  <c r="H1056" i="122"/>
  <c r="I1056" i="122"/>
  <c r="H1057" i="122"/>
  <c r="I1057" i="122"/>
  <c r="H1058" i="122"/>
  <c r="I1058" i="122"/>
  <c r="H1059" i="122"/>
  <c r="I1059" i="122"/>
  <c r="H1060" i="122"/>
  <c r="I1060" i="122"/>
  <c r="H1061" i="122"/>
  <c r="I1061" i="122"/>
  <c r="H1062" i="122"/>
  <c r="I1062" i="122"/>
  <c r="H1063" i="122"/>
  <c r="I1063" i="122"/>
  <c r="H1064" i="122"/>
  <c r="I1064" i="122"/>
  <c r="H1065" i="122"/>
  <c r="I1065" i="122"/>
  <c r="H1066" i="122"/>
  <c r="I1066" i="122"/>
  <c r="H1067" i="122"/>
  <c r="I1067" i="122"/>
  <c r="H1068" i="122"/>
  <c r="I1068" i="122"/>
  <c r="H1069" i="122"/>
  <c r="I1069" i="122"/>
  <c r="H1070" i="122"/>
  <c r="I1070" i="122"/>
  <c r="H1071" i="122"/>
  <c r="I1071" i="122"/>
  <c r="H1072" i="122"/>
  <c r="I1072" i="122"/>
  <c r="H1073" i="122"/>
  <c r="I1073" i="122"/>
  <c r="H1074" i="122"/>
  <c r="I1074" i="122"/>
  <c r="H1075" i="122"/>
  <c r="I1075" i="122"/>
  <c r="H1076" i="122"/>
  <c r="I1076" i="122"/>
  <c r="H1077" i="122"/>
  <c r="I1077" i="122"/>
  <c r="H1078" i="122"/>
  <c r="I1078" i="122"/>
  <c r="H1079" i="122"/>
  <c r="I1079" i="122"/>
  <c r="H1080" i="122"/>
  <c r="I1080" i="122"/>
  <c r="H1081" i="122"/>
  <c r="I1081" i="122"/>
  <c r="H1082" i="122"/>
  <c r="I1082" i="122"/>
  <c r="H1083" i="122"/>
  <c r="I1083" i="122"/>
  <c r="H1084" i="122"/>
  <c r="I1084" i="122"/>
  <c r="H1085" i="122"/>
  <c r="I1085" i="122"/>
  <c r="H1086" i="122"/>
  <c r="I1086" i="122"/>
  <c r="H1087" i="122"/>
  <c r="I1087" i="122"/>
  <c r="H1088" i="122"/>
  <c r="I1088" i="122"/>
  <c r="H1089" i="122"/>
  <c r="I1089" i="122"/>
  <c r="H1090" i="122"/>
  <c r="I1090" i="122"/>
  <c r="H1091" i="122"/>
  <c r="I1091" i="122"/>
  <c r="H1092" i="122"/>
  <c r="I1092" i="122"/>
  <c r="H1093" i="122"/>
  <c r="I1093" i="122"/>
  <c r="H1094" i="122"/>
  <c r="I1094" i="122"/>
  <c r="H1095" i="122"/>
  <c r="I1095" i="122"/>
  <c r="H1096" i="122"/>
  <c r="I1096" i="122"/>
  <c r="H1097" i="122"/>
  <c r="I1097" i="122"/>
  <c r="H1098" i="122"/>
  <c r="I1098" i="122"/>
  <c r="H1099" i="122"/>
  <c r="I1099" i="122"/>
  <c r="H1100" i="122"/>
  <c r="I1100" i="122"/>
  <c r="H1101" i="122"/>
  <c r="I1101" i="122"/>
  <c r="H1102" i="122"/>
  <c r="I1102" i="122"/>
  <c r="H1103" i="122"/>
  <c r="I1103" i="122"/>
  <c r="H1104" i="122"/>
  <c r="I1104" i="122"/>
  <c r="H1105" i="122"/>
  <c r="I1105" i="122"/>
  <c r="H1106" i="122"/>
  <c r="I1106" i="122"/>
  <c r="H1107" i="122"/>
  <c r="I1107" i="122"/>
  <c r="H1108" i="122"/>
  <c r="I1108" i="122"/>
  <c r="H1109" i="122"/>
  <c r="I1109" i="122"/>
  <c r="H1110" i="122"/>
  <c r="I1110" i="122"/>
  <c r="H1111" i="122"/>
  <c r="I1111" i="122"/>
  <c r="H1112" i="122"/>
  <c r="I1112" i="122"/>
  <c r="H1113" i="122"/>
  <c r="I1113" i="122"/>
  <c r="H1114" i="122"/>
  <c r="I1114" i="122"/>
  <c r="H1115" i="122"/>
  <c r="I1115" i="122"/>
  <c r="H1116" i="122"/>
  <c r="I1116" i="122"/>
  <c r="H1117" i="122"/>
  <c r="I1117" i="122"/>
  <c r="H1118" i="122"/>
  <c r="I1118" i="122"/>
  <c r="H1119" i="122"/>
  <c r="I1119" i="122"/>
  <c r="H1120" i="122"/>
  <c r="I1120" i="122"/>
  <c r="H1121" i="122"/>
  <c r="I1121" i="122"/>
  <c r="H1122" i="122"/>
  <c r="I1122" i="122"/>
  <c r="H1123" i="122"/>
  <c r="I1123" i="122"/>
  <c r="H1124" i="122"/>
  <c r="I1124" i="122"/>
  <c r="H1125" i="122"/>
  <c r="I1125" i="122"/>
  <c r="H1126" i="122"/>
  <c r="I1126" i="122"/>
  <c r="H1127" i="122"/>
  <c r="I1127" i="122"/>
  <c r="H1128" i="122"/>
  <c r="I1128" i="122"/>
  <c r="H1129" i="122"/>
  <c r="I1129" i="122"/>
  <c r="H1130" i="122"/>
  <c r="I1130" i="122"/>
  <c r="H1131" i="122"/>
  <c r="I1131" i="122"/>
  <c r="H1132" i="122"/>
  <c r="I1132" i="122"/>
  <c r="H1133" i="122"/>
  <c r="I1133" i="122"/>
  <c r="H1134" i="122"/>
  <c r="I1134" i="122"/>
  <c r="H1135" i="122"/>
  <c r="I1135" i="122"/>
  <c r="H1136" i="122"/>
  <c r="I1136" i="122"/>
  <c r="H1137" i="122"/>
  <c r="I1137" i="122"/>
  <c r="H1138" i="122"/>
  <c r="I1138" i="122"/>
  <c r="H1139" i="122"/>
  <c r="I1139" i="122"/>
  <c r="H1140" i="122"/>
  <c r="I1140" i="122"/>
  <c r="H1141" i="122"/>
  <c r="I1141" i="122"/>
  <c r="H1142" i="122"/>
  <c r="I1142" i="122"/>
  <c r="H1143" i="122"/>
  <c r="I1143" i="122"/>
  <c r="H1144" i="122"/>
  <c r="I1144" i="122"/>
  <c r="H1145" i="122"/>
  <c r="I1145" i="122"/>
  <c r="H1146" i="122"/>
  <c r="I1146" i="122"/>
  <c r="H1147" i="122"/>
  <c r="I1147" i="122"/>
  <c r="H1148" i="122"/>
  <c r="I1148" i="122"/>
  <c r="H1149" i="122"/>
  <c r="I1149" i="122"/>
  <c r="H1150" i="122"/>
  <c r="I1150" i="122"/>
  <c r="H1151" i="122"/>
  <c r="I1151" i="122"/>
  <c r="H1152" i="122"/>
  <c r="I1152" i="122"/>
  <c r="H1153" i="122"/>
  <c r="I1153" i="122"/>
  <c r="H1154" i="122"/>
  <c r="I1154" i="122"/>
  <c r="H1155" i="122"/>
  <c r="I1155" i="122"/>
  <c r="H1156" i="122"/>
  <c r="I1156" i="122"/>
  <c r="H1157" i="122"/>
  <c r="I1157" i="122"/>
  <c r="H1158" i="122"/>
  <c r="I1158" i="122"/>
  <c r="H1159" i="122"/>
  <c r="I1159" i="122"/>
  <c r="H1160" i="122"/>
  <c r="I1160" i="122"/>
  <c r="H1161" i="122"/>
  <c r="I1161" i="122"/>
  <c r="H1162" i="122"/>
  <c r="I1162" i="122"/>
  <c r="H1163" i="122"/>
  <c r="I1163" i="122"/>
  <c r="H1164" i="122"/>
  <c r="I1164" i="122"/>
  <c r="H1165" i="122"/>
  <c r="I1165" i="122"/>
  <c r="H1166" i="122"/>
  <c r="I1166" i="122"/>
  <c r="H1167" i="122"/>
  <c r="I1167" i="122"/>
  <c r="H1168" i="122"/>
  <c r="I1168" i="122"/>
  <c r="H1169" i="122"/>
  <c r="I1169" i="122"/>
  <c r="H1170" i="122"/>
  <c r="I1170" i="122"/>
  <c r="H1171" i="122"/>
  <c r="I1171" i="122"/>
  <c r="H1172" i="122"/>
  <c r="I1172" i="122"/>
  <c r="H1173" i="122"/>
  <c r="I1173" i="122"/>
  <c r="H1174" i="122"/>
  <c r="I1174" i="122"/>
  <c r="H1175" i="122"/>
  <c r="I1175" i="122"/>
  <c r="H1176" i="122"/>
  <c r="I1176" i="122"/>
  <c r="H1177" i="122"/>
  <c r="I1177" i="122"/>
  <c r="H1178" i="122"/>
  <c r="I1178" i="122"/>
  <c r="H1179" i="122"/>
  <c r="I1179" i="122"/>
  <c r="H1180" i="122"/>
  <c r="I1180" i="122"/>
  <c r="H1181" i="122"/>
  <c r="I1181" i="122"/>
  <c r="H1182" i="122"/>
  <c r="I1182" i="122"/>
  <c r="H1183" i="122"/>
  <c r="I1183" i="122"/>
  <c r="H1184" i="122"/>
  <c r="I1184" i="122"/>
  <c r="H1185" i="122"/>
  <c r="I1185" i="122"/>
  <c r="H1186" i="122"/>
  <c r="I1186" i="122"/>
  <c r="H1187" i="122"/>
  <c r="I1187" i="122"/>
  <c r="H1188" i="122"/>
  <c r="I1188" i="122"/>
  <c r="H1189" i="122"/>
  <c r="I1189" i="122"/>
  <c r="H1190" i="122"/>
  <c r="I1190" i="122"/>
  <c r="H1191" i="122"/>
  <c r="I1191" i="122"/>
  <c r="H1192" i="122"/>
  <c r="I1192" i="122"/>
  <c r="H1193" i="122"/>
  <c r="I1193" i="122"/>
  <c r="H1194" i="122"/>
  <c r="I1194" i="122"/>
  <c r="H1195" i="122"/>
  <c r="I1195" i="122"/>
  <c r="H1196" i="122"/>
  <c r="I1196" i="122"/>
  <c r="H1197" i="122"/>
  <c r="I1197" i="122"/>
  <c r="H1198" i="122"/>
  <c r="I1198" i="122"/>
  <c r="H1199" i="122"/>
  <c r="I1199" i="122"/>
  <c r="H1200" i="122"/>
  <c r="I1200" i="122"/>
  <c r="H1201" i="122"/>
  <c r="I1201" i="122"/>
  <c r="H1202" i="122"/>
  <c r="I1202" i="122"/>
  <c r="H1203" i="122"/>
  <c r="I1203" i="122"/>
  <c r="H1204" i="122"/>
  <c r="I1204" i="122"/>
  <c r="H1205" i="122"/>
  <c r="I1205" i="122"/>
  <c r="H1206" i="122"/>
  <c r="I1206" i="122"/>
  <c r="H1207" i="122"/>
  <c r="I1207" i="122"/>
  <c r="H1208" i="122"/>
  <c r="I1208" i="122"/>
  <c r="H1209" i="122"/>
  <c r="I1209" i="122"/>
  <c r="H1210" i="122"/>
  <c r="I1210" i="122"/>
  <c r="H1211" i="122"/>
  <c r="I1211" i="122"/>
  <c r="H1212" i="122"/>
  <c r="I1212" i="122"/>
  <c r="H1213" i="122"/>
  <c r="I1213" i="122"/>
  <c r="H1214" i="122"/>
  <c r="I1214" i="122"/>
  <c r="H1215" i="122"/>
  <c r="I1215" i="122"/>
  <c r="H1216" i="122"/>
  <c r="I1216" i="122"/>
  <c r="H1217" i="122"/>
  <c r="I1217" i="122"/>
  <c r="H1218" i="122"/>
  <c r="I1218" i="122"/>
  <c r="H1219" i="122"/>
  <c r="I1219" i="122"/>
  <c r="H1220" i="122"/>
  <c r="I1220" i="122"/>
  <c r="H1221" i="122"/>
  <c r="I1221" i="122"/>
  <c r="H1222" i="122"/>
  <c r="I1222" i="122"/>
  <c r="H1223" i="122"/>
  <c r="I1223" i="122"/>
  <c r="H1224" i="122"/>
  <c r="I1224" i="122"/>
  <c r="H1225" i="122"/>
  <c r="I1225" i="122"/>
  <c r="H1226" i="122"/>
  <c r="I1226" i="122"/>
  <c r="H1227" i="122"/>
  <c r="I1227" i="122"/>
  <c r="H1228" i="122"/>
  <c r="I1228" i="122"/>
  <c r="H1229" i="122"/>
  <c r="I1229" i="122"/>
  <c r="H1230" i="122"/>
  <c r="I1230" i="122"/>
  <c r="H1231" i="122"/>
  <c r="I1231" i="122"/>
  <c r="H1232" i="122"/>
  <c r="I1232" i="122"/>
  <c r="H1233" i="122"/>
  <c r="I1233" i="122"/>
  <c r="H1234" i="122"/>
  <c r="I1234" i="122"/>
  <c r="H1235" i="122"/>
  <c r="I1235" i="122"/>
  <c r="H1236" i="122"/>
  <c r="I1236" i="122"/>
  <c r="H1237" i="122"/>
  <c r="I1237" i="122"/>
  <c r="H1238" i="122"/>
  <c r="I1238" i="122"/>
  <c r="H1239" i="122"/>
  <c r="I1239" i="122"/>
  <c r="H1240" i="122"/>
  <c r="I1240" i="122"/>
  <c r="H1241" i="122"/>
  <c r="I1241" i="122"/>
  <c r="H1242" i="122"/>
  <c r="I1242" i="122"/>
  <c r="H1243" i="122"/>
  <c r="I1243" i="122"/>
  <c r="H1244" i="122"/>
  <c r="I1244" i="122"/>
  <c r="H1245" i="122"/>
  <c r="I1245" i="122"/>
  <c r="H1246" i="122"/>
  <c r="I1246" i="122"/>
  <c r="H1247" i="122"/>
  <c r="I1247" i="122"/>
  <c r="H1248" i="122"/>
  <c r="I1248" i="122"/>
  <c r="H1249" i="122"/>
  <c r="I1249" i="122"/>
  <c r="H1250" i="122"/>
  <c r="I1250" i="122"/>
  <c r="H1251" i="122"/>
  <c r="I1251" i="122"/>
  <c r="H1252" i="122"/>
  <c r="I1252" i="122"/>
  <c r="H1253" i="122"/>
  <c r="I1253" i="122"/>
  <c r="H1254" i="122"/>
  <c r="I1254" i="122"/>
  <c r="H1255" i="122"/>
  <c r="I1255" i="122"/>
  <c r="H1256" i="122"/>
  <c r="I1256" i="122"/>
  <c r="H1257" i="122"/>
  <c r="I1257" i="122"/>
  <c r="H1258" i="122"/>
  <c r="I1258" i="122"/>
  <c r="H1259" i="122"/>
  <c r="I1259" i="122"/>
  <c r="H1260" i="122"/>
  <c r="I1260" i="122"/>
  <c r="H1261" i="122"/>
  <c r="I1261" i="122"/>
  <c r="H1262" i="122"/>
  <c r="I1262" i="122"/>
  <c r="H1263" i="122"/>
  <c r="I1263" i="122"/>
  <c r="H1264" i="122"/>
  <c r="I1264" i="122"/>
  <c r="H1265" i="122"/>
  <c r="I1265" i="122"/>
  <c r="H1266" i="122"/>
  <c r="I1266" i="122"/>
  <c r="H1267" i="122"/>
  <c r="I1267" i="122"/>
  <c r="H1268" i="122"/>
  <c r="I1268" i="122"/>
  <c r="H1269" i="122"/>
  <c r="I1269" i="122"/>
  <c r="H1270" i="122"/>
  <c r="I1270" i="122"/>
  <c r="H1271" i="122"/>
  <c r="I1271" i="122"/>
  <c r="H1272" i="122"/>
  <c r="I1272" i="122"/>
  <c r="H1273" i="122"/>
  <c r="I1273" i="122"/>
  <c r="H1274" i="122"/>
  <c r="I1274" i="122"/>
  <c r="H1275" i="122"/>
  <c r="I1275" i="122"/>
  <c r="H1276" i="122"/>
  <c r="I1276" i="122"/>
  <c r="H1277" i="122"/>
  <c r="I1277" i="122"/>
  <c r="H1278" i="122"/>
  <c r="I1278" i="122"/>
  <c r="H1279" i="122"/>
  <c r="I1279" i="122"/>
  <c r="H1280" i="122"/>
  <c r="I1280" i="122"/>
  <c r="H1281" i="122"/>
  <c r="I1281" i="122"/>
  <c r="H1282" i="122"/>
  <c r="I1282" i="122"/>
  <c r="H1283" i="122"/>
  <c r="I1283" i="122"/>
  <c r="H1284" i="122"/>
  <c r="I1284" i="122"/>
  <c r="H1285" i="122"/>
  <c r="I1285" i="122"/>
  <c r="H1286" i="122"/>
  <c r="I1286" i="122"/>
  <c r="H1287" i="122"/>
  <c r="I1287" i="122"/>
  <c r="H1288" i="122"/>
  <c r="I1288" i="122"/>
  <c r="H1289" i="122"/>
  <c r="I1289" i="122"/>
  <c r="H1290" i="122"/>
  <c r="I1290" i="122"/>
  <c r="H1291" i="122"/>
  <c r="I1291" i="122"/>
  <c r="H1292" i="122"/>
  <c r="I1292" i="122"/>
  <c r="H1293" i="122"/>
  <c r="I1293" i="122"/>
  <c r="H1294" i="122"/>
  <c r="I1294" i="122"/>
  <c r="H1295" i="122"/>
  <c r="I1295" i="122"/>
  <c r="H1296" i="122"/>
  <c r="I1296" i="122"/>
  <c r="H1297" i="122"/>
  <c r="I1297" i="122"/>
  <c r="H1298" i="122"/>
  <c r="I1298" i="122"/>
  <c r="H1299" i="122"/>
  <c r="I1299" i="122"/>
  <c r="H1300" i="122"/>
  <c r="I1300" i="122"/>
  <c r="H1301" i="122"/>
  <c r="I1301" i="122"/>
  <c r="H1302" i="122"/>
  <c r="I1302" i="122"/>
  <c r="H1303" i="122"/>
  <c r="I1303" i="122"/>
  <c r="H1304" i="122"/>
  <c r="I1304" i="122"/>
  <c r="H1305" i="122"/>
  <c r="I1305" i="122"/>
  <c r="H1306" i="122"/>
  <c r="I1306" i="122"/>
  <c r="H1307" i="122"/>
  <c r="I1307" i="122"/>
  <c r="H1308" i="122"/>
  <c r="I1308" i="122"/>
  <c r="H1309" i="122"/>
  <c r="I1309" i="122"/>
  <c r="H1310" i="122"/>
  <c r="I1310" i="122"/>
  <c r="H1311" i="122"/>
  <c r="I1311" i="122"/>
  <c r="H1312" i="122"/>
  <c r="I1312" i="122"/>
  <c r="H1313" i="122"/>
  <c r="I1313" i="122"/>
  <c r="H1314" i="122"/>
  <c r="I1314" i="122"/>
  <c r="H1315" i="122"/>
  <c r="I1315" i="122"/>
  <c r="H1316" i="122"/>
  <c r="I1316" i="122"/>
  <c r="H1317" i="122"/>
  <c r="I1317" i="122"/>
  <c r="H1318" i="122"/>
  <c r="I1318" i="122"/>
  <c r="H1319" i="122"/>
  <c r="I1319" i="122"/>
  <c r="H1320" i="122"/>
  <c r="I1320" i="122"/>
  <c r="H1321" i="122"/>
  <c r="I1321" i="122"/>
  <c r="H1322" i="122"/>
  <c r="I1322" i="122"/>
  <c r="H1323" i="122"/>
  <c r="I1323" i="122"/>
  <c r="H1324" i="122"/>
  <c r="I1324" i="122"/>
  <c r="H1325" i="122"/>
  <c r="I1325" i="122"/>
  <c r="H1326" i="122"/>
  <c r="I1326" i="122"/>
  <c r="H1327" i="122"/>
  <c r="I1327" i="122"/>
  <c r="H1328" i="122"/>
  <c r="I1328" i="122"/>
  <c r="H1329" i="122"/>
  <c r="I1329" i="122"/>
  <c r="H1330" i="122"/>
  <c r="I1330" i="122"/>
  <c r="H1331" i="122"/>
  <c r="I1331" i="122"/>
  <c r="H1332" i="122"/>
  <c r="I1332" i="122"/>
  <c r="H1333" i="122"/>
  <c r="I1333" i="122"/>
  <c r="H1334" i="122"/>
  <c r="I1334" i="122"/>
  <c r="H1335" i="122"/>
  <c r="I1335" i="122"/>
  <c r="H1336" i="122"/>
  <c r="I1336" i="122"/>
  <c r="H1337" i="122"/>
  <c r="I1337" i="122"/>
  <c r="H1338" i="122"/>
  <c r="I1338" i="122"/>
  <c r="H1339" i="122"/>
  <c r="I1339" i="122"/>
  <c r="H1340" i="122"/>
  <c r="I1340" i="122"/>
  <c r="H1341" i="122"/>
  <c r="I1341" i="122"/>
  <c r="H1342" i="122"/>
  <c r="I1342" i="122"/>
  <c r="H1343" i="122"/>
  <c r="I1343" i="122"/>
  <c r="H1344" i="122"/>
  <c r="I1344" i="122"/>
  <c r="H1345" i="122"/>
  <c r="I1345" i="122"/>
  <c r="H1346" i="122"/>
  <c r="I1346" i="122"/>
  <c r="H1347" i="122"/>
  <c r="I1347" i="122"/>
  <c r="H1348" i="122"/>
  <c r="I1348" i="122"/>
  <c r="H1349" i="122"/>
  <c r="I1349" i="122"/>
  <c r="H1350" i="122"/>
  <c r="I1350" i="122"/>
  <c r="H1351" i="122"/>
  <c r="I1351" i="122"/>
  <c r="H1352" i="122"/>
  <c r="I1352" i="122"/>
  <c r="H1353" i="122"/>
  <c r="I1353" i="122"/>
  <c r="H1354" i="122"/>
  <c r="I1354" i="122"/>
  <c r="H1355" i="122"/>
  <c r="I1355" i="122"/>
  <c r="H1356" i="122"/>
  <c r="I1356" i="122"/>
  <c r="H1357" i="122"/>
  <c r="I1357" i="122"/>
  <c r="H1358" i="122"/>
  <c r="I1358" i="122"/>
  <c r="H1359" i="122"/>
  <c r="I1359" i="122"/>
  <c r="H1360" i="122"/>
  <c r="I1360" i="122"/>
  <c r="H1361" i="122"/>
  <c r="I1361" i="122"/>
  <c r="H1362" i="122"/>
  <c r="I1362" i="122"/>
  <c r="H1363" i="122"/>
  <c r="I1363" i="122"/>
  <c r="H1364" i="122"/>
  <c r="I1364" i="122"/>
  <c r="H1365" i="122"/>
  <c r="I1365" i="122"/>
  <c r="H1366" i="122"/>
  <c r="I1366" i="122"/>
  <c r="H1367" i="122"/>
  <c r="I1367" i="122"/>
  <c r="H1368" i="122"/>
  <c r="I1368" i="122"/>
  <c r="H1369" i="122"/>
  <c r="I1369" i="122"/>
  <c r="H1370" i="122"/>
  <c r="I1370" i="122"/>
  <c r="H1371" i="122"/>
  <c r="I1371" i="122"/>
  <c r="H1372" i="122"/>
  <c r="I1372" i="122"/>
  <c r="H1373" i="122"/>
  <c r="I1373" i="122"/>
  <c r="H1374" i="122"/>
  <c r="I1374" i="122"/>
  <c r="H1375" i="122"/>
  <c r="I1375" i="122"/>
  <c r="H1376" i="122"/>
  <c r="I1376" i="122"/>
  <c r="H1377" i="122"/>
  <c r="I1377" i="122"/>
  <c r="H1378" i="122"/>
  <c r="I1378" i="122"/>
  <c r="H1379" i="122"/>
  <c r="I1379" i="122"/>
  <c r="H1380" i="122"/>
  <c r="I1380" i="122"/>
  <c r="H1381" i="122"/>
  <c r="I1381" i="122"/>
  <c r="H1382" i="122"/>
  <c r="I1382" i="122"/>
  <c r="H1383" i="122"/>
  <c r="I1383" i="122"/>
  <c r="H1384" i="122"/>
  <c r="I1384" i="122"/>
  <c r="H1385" i="122"/>
  <c r="I1385" i="122"/>
  <c r="H1386" i="122"/>
  <c r="I1386" i="122"/>
  <c r="H1387" i="122"/>
  <c r="I1387" i="122"/>
  <c r="H1388" i="122"/>
  <c r="I1388" i="122"/>
  <c r="H1389" i="122"/>
  <c r="I1389" i="122"/>
  <c r="H1390" i="122"/>
  <c r="I1390" i="122"/>
  <c r="H1391" i="122"/>
  <c r="I1391" i="122"/>
  <c r="H1392" i="122"/>
  <c r="I1392" i="122"/>
  <c r="H1393" i="122"/>
  <c r="I1393" i="122"/>
  <c r="H1394" i="122"/>
  <c r="I1394" i="122"/>
  <c r="H1395" i="122"/>
  <c r="I1395" i="122"/>
  <c r="H1396" i="122"/>
  <c r="I1396" i="122"/>
  <c r="H1397" i="122"/>
  <c r="I1397" i="122"/>
  <c r="H1398" i="122"/>
  <c r="I1398" i="122"/>
  <c r="H1399" i="122"/>
  <c r="I1399" i="122"/>
  <c r="H1400" i="122"/>
  <c r="I1400" i="122"/>
  <c r="H1401" i="122"/>
  <c r="I1401" i="122"/>
  <c r="H1402" i="122"/>
  <c r="I1402" i="122"/>
  <c r="H1403" i="122"/>
  <c r="I1403" i="122"/>
  <c r="H1404" i="122"/>
  <c r="I1404" i="122"/>
  <c r="H1405" i="122"/>
  <c r="I1405" i="122"/>
  <c r="H1406" i="122"/>
  <c r="I1406" i="122"/>
  <c r="H1407" i="122"/>
  <c r="I1407" i="122"/>
  <c r="H1408" i="122"/>
  <c r="I1408" i="122"/>
  <c r="H1409" i="122"/>
  <c r="I1409" i="122"/>
  <c r="H1410" i="122"/>
  <c r="I1410" i="122"/>
  <c r="H1411" i="122"/>
  <c r="I1411" i="122"/>
  <c r="H1412" i="122"/>
  <c r="I1412" i="122"/>
  <c r="H1413" i="122"/>
  <c r="I1413" i="122"/>
  <c r="H1414" i="122"/>
  <c r="I1414" i="122"/>
  <c r="H1415" i="122"/>
  <c r="I1415" i="122"/>
  <c r="H1416" i="122"/>
  <c r="I1416" i="122"/>
  <c r="H1417" i="122"/>
  <c r="I1417" i="122"/>
  <c r="H1418" i="122"/>
  <c r="I1418" i="122"/>
  <c r="H1419" i="122"/>
  <c r="I1419" i="122"/>
  <c r="H1420" i="122"/>
  <c r="I1420" i="122"/>
  <c r="H1421" i="122"/>
  <c r="I1421" i="122"/>
  <c r="H1422" i="122"/>
  <c r="I1422" i="122"/>
  <c r="H1423" i="122"/>
  <c r="I1423" i="122"/>
  <c r="H1424" i="122"/>
  <c r="I1424" i="122"/>
  <c r="H1425" i="122"/>
  <c r="I1425" i="122"/>
  <c r="H1426" i="122"/>
  <c r="I1426" i="122"/>
  <c r="H1427" i="122"/>
  <c r="I1427" i="122"/>
  <c r="H1428" i="122"/>
  <c r="I1428" i="122"/>
  <c r="H1429" i="122"/>
  <c r="I1429" i="122"/>
  <c r="H1430" i="122"/>
  <c r="I1430" i="122"/>
  <c r="H1431" i="122"/>
  <c r="I1431" i="122"/>
  <c r="H1432" i="122"/>
  <c r="I1432" i="122"/>
  <c r="H1433" i="122"/>
  <c r="I1433" i="122"/>
  <c r="H1434" i="122"/>
  <c r="I1434" i="122"/>
  <c r="H1435" i="122"/>
  <c r="I1435" i="122"/>
  <c r="H1436" i="122"/>
  <c r="I1436" i="122"/>
  <c r="H1437" i="122"/>
  <c r="I1437" i="122"/>
  <c r="H1438" i="122"/>
  <c r="I1438" i="122"/>
  <c r="H1439" i="122"/>
  <c r="I1439" i="122"/>
  <c r="H1440" i="122"/>
  <c r="I1440" i="122"/>
  <c r="H1441" i="122"/>
  <c r="I1441" i="122"/>
  <c r="H1442" i="122"/>
  <c r="I1442" i="122"/>
  <c r="H1443" i="122"/>
  <c r="I1443" i="122"/>
  <c r="H1444" i="122"/>
  <c r="I1444" i="122"/>
  <c r="H1445" i="122"/>
  <c r="I1445" i="122"/>
  <c r="H1446" i="122"/>
  <c r="I1446" i="122"/>
  <c r="H1447" i="122"/>
  <c r="I1447" i="122"/>
  <c r="H1448" i="122"/>
  <c r="I1448" i="122"/>
  <c r="H1449" i="122"/>
  <c r="I1449" i="122"/>
  <c r="H1450" i="122"/>
  <c r="I1450" i="122"/>
  <c r="H1451" i="122"/>
  <c r="I1451" i="122"/>
  <c r="H1452" i="122"/>
  <c r="I1452" i="122"/>
  <c r="H1453" i="122"/>
  <c r="I1453" i="122"/>
  <c r="H1454" i="122"/>
  <c r="I1454" i="122"/>
  <c r="H1455" i="122"/>
  <c r="I1455" i="122"/>
  <c r="H1456" i="122"/>
  <c r="I1456" i="122"/>
  <c r="H1457" i="122"/>
  <c r="I1457" i="122"/>
  <c r="H1458" i="122"/>
  <c r="I1458" i="122"/>
  <c r="H1459" i="122"/>
  <c r="I1459" i="122"/>
  <c r="H1460" i="122"/>
  <c r="I1460" i="122"/>
  <c r="H1461" i="122"/>
  <c r="I1461" i="122"/>
  <c r="H1462" i="122"/>
  <c r="I1462" i="122"/>
  <c r="H1463" i="122"/>
  <c r="I1463" i="122"/>
  <c r="H1464" i="122"/>
  <c r="I1464" i="122"/>
  <c r="H1465" i="122"/>
  <c r="I1465" i="122"/>
  <c r="H1466" i="122"/>
  <c r="I1466" i="122"/>
  <c r="H1467" i="122"/>
  <c r="I1467" i="122"/>
  <c r="H1468" i="122"/>
  <c r="I1468" i="122"/>
  <c r="H1469" i="122"/>
  <c r="I1469" i="122"/>
  <c r="H1470" i="122"/>
  <c r="I1470" i="122"/>
  <c r="H1471" i="122"/>
  <c r="I1471" i="122"/>
  <c r="H1472" i="122"/>
  <c r="I1472" i="122"/>
  <c r="H1473" i="122"/>
  <c r="I1473" i="122"/>
  <c r="H1474" i="122"/>
  <c r="I1474" i="122"/>
  <c r="H1475" i="122"/>
  <c r="I1475" i="122"/>
  <c r="H1476" i="122"/>
  <c r="I1476" i="122"/>
  <c r="H1477" i="122"/>
  <c r="I1477" i="122"/>
  <c r="H1478" i="122"/>
  <c r="I1478" i="122"/>
  <c r="H1479" i="122"/>
  <c r="I1479" i="122"/>
  <c r="H1480" i="122"/>
  <c r="I1480" i="122"/>
  <c r="H1481" i="122"/>
  <c r="I1481" i="122"/>
  <c r="H1482" i="122"/>
  <c r="I1482" i="122"/>
  <c r="H1483" i="122"/>
  <c r="I1483" i="122"/>
  <c r="H1484" i="122"/>
  <c r="I1484" i="122"/>
  <c r="H1485" i="122"/>
  <c r="I1485" i="122"/>
  <c r="H1486" i="122"/>
  <c r="I1486" i="122"/>
  <c r="H1487" i="122"/>
  <c r="I1487" i="122"/>
  <c r="H1488" i="122"/>
  <c r="I1488" i="122"/>
  <c r="H1489" i="122"/>
  <c r="I1489" i="122"/>
  <c r="H1490" i="122"/>
  <c r="I1490" i="122"/>
  <c r="H1491" i="122"/>
  <c r="I1491" i="122"/>
  <c r="H1492" i="122"/>
  <c r="I1492" i="122"/>
  <c r="H1493" i="122"/>
  <c r="I1493" i="122"/>
  <c r="H1494" i="122"/>
  <c r="I1494" i="122"/>
  <c r="H1495" i="122"/>
  <c r="I1495" i="122"/>
  <c r="H1496" i="122"/>
  <c r="I1496" i="122"/>
  <c r="H1497" i="122"/>
  <c r="I1497" i="122"/>
  <c r="H1498" i="122"/>
  <c r="I1498" i="122"/>
  <c r="H1499" i="122"/>
  <c r="I1499" i="122"/>
  <c r="H1500" i="122"/>
  <c r="I1500" i="122"/>
  <c r="H1501" i="122"/>
  <c r="I1501" i="122"/>
  <c r="H1502" i="122"/>
  <c r="I1502" i="122"/>
  <c r="H1503" i="122"/>
  <c r="I1503" i="122"/>
  <c r="C4" i="122"/>
  <c r="B4" i="122" s="1"/>
  <c r="C5" i="122"/>
  <c r="B5" i="122" s="1"/>
  <c r="C6" i="122"/>
  <c r="B6" i="122" s="1"/>
  <c r="C7" i="122"/>
  <c r="B7" i="122" s="1"/>
  <c r="C8" i="122"/>
  <c r="B8" i="122" s="1"/>
  <c r="C9" i="122"/>
  <c r="B9" i="122" s="1"/>
  <c r="C10" i="122"/>
  <c r="B10" i="122" s="1"/>
  <c r="C11" i="122"/>
  <c r="B11" i="122" s="1"/>
  <c r="C12" i="122"/>
  <c r="B12" i="122" s="1"/>
  <c r="C13" i="122"/>
  <c r="B13" i="122" s="1"/>
  <c r="C14" i="122"/>
  <c r="B14" i="122" s="1"/>
  <c r="C15" i="122"/>
  <c r="B15" i="122" s="1"/>
  <c r="C16" i="122"/>
  <c r="B16" i="122" s="1"/>
  <c r="C17" i="122"/>
  <c r="B17" i="122" s="1"/>
  <c r="C18" i="122"/>
  <c r="B18" i="122" s="1"/>
  <c r="C19" i="122"/>
  <c r="B19" i="122" s="1"/>
  <c r="C20" i="122"/>
  <c r="B20" i="122" s="1"/>
  <c r="C21" i="122"/>
  <c r="B21" i="122" s="1"/>
  <c r="C22" i="122"/>
  <c r="B22" i="122" s="1"/>
  <c r="C23" i="122"/>
  <c r="B23" i="122" s="1"/>
  <c r="C24" i="122"/>
  <c r="B24" i="122" s="1"/>
  <c r="C25" i="122"/>
  <c r="B25" i="122" s="1"/>
  <c r="C26" i="122"/>
  <c r="B26" i="122" s="1"/>
  <c r="C27" i="122"/>
  <c r="B27" i="122" s="1"/>
  <c r="C28" i="122"/>
  <c r="B28" i="122" s="1"/>
  <c r="C29" i="122"/>
  <c r="B29" i="122" s="1"/>
  <c r="C30" i="122"/>
  <c r="B30" i="122" s="1"/>
  <c r="C31" i="122"/>
  <c r="B31" i="122" s="1"/>
  <c r="C32" i="122"/>
  <c r="B32" i="122" s="1"/>
  <c r="C33" i="122"/>
  <c r="B33" i="122" s="1"/>
  <c r="C34" i="122"/>
  <c r="B34" i="122" s="1"/>
  <c r="C35" i="122"/>
  <c r="B35" i="122" s="1"/>
  <c r="C36" i="122"/>
  <c r="B36" i="122" s="1"/>
  <c r="C37" i="122"/>
  <c r="B37" i="122" s="1"/>
  <c r="C38" i="122"/>
  <c r="B38" i="122" s="1"/>
  <c r="C39" i="122"/>
  <c r="B39" i="122" s="1"/>
  <c r="C40" i="122"/>
  <c r="B40" i="122" s="1"/>
  <c r="C41" i="122"/>
  <c r="B41" i="122" s="1"/>
  <c r="C42" i="122"/>
  <c r="B42" i="122" s="1"/>
  <c r="C43" i="122"/>
  <c r="B43" i="122" s="1"/>
  <c r="C44" i="122"/>
  <c r="B44" i="122" s="1"/>
  <c r="C45" i="122"/>
  <c r="B45" i="122" s="1"/>
  <c r="C46" i="122"/>
  <c r="B46" i="122" s="1"/>
  <c r="C47" i="122"/>
  <c r="B47" i="122" s="1"/>
  <c r="C48" i="122"/>
  <c r="B48" i="122" s="1"/>
  <c r="C49" i="122"/>
  <c r="B49" i="122" s="1"/>
  <c r="C50" i="122"/>
  <c r="B50" i="122" s="1"/>
  <c r="C51" i="122"/>
  <c r="B51" i="122" s="1"/>
  <c r="C52" i="122"/>
  <c r="B52" i="122" s="1"/>
  <c r="C53" i="122"/>
  <c r="B53" i="122" s="1"/>
  <c r="C54" i="122"/>
  <c r="B54" i="122" s="1"/>
  <c r="C55" i="122"/>
  <c r="B55" i="122" s="1"/>
  <c r="C56" i="122"/>
  <c r="B56" i="122" s="1"/>
  <c r="C57" i="122"/>
  <c r="B57" i="122" s="1"/>
  <c r="C58" i="122"/>
  <c r="B58" i="122" s="1"/>
  <c r="C59" i="122"/>
  <c r="B59" i="122" s="1"/>
  <c r="C60" i="122"/>
  <c r="B60" i="122" s="1"/>
  <c r="C61" i="122"/>
  <c r="B61" i="122" s="1"/>
  <c r="C62" i="122"/>
  <c r="B62" i="122" s="1"/>
  <c r="C63" i="122"/>
  <c r="B63" i="122" s="1"/>
  <c r="C64" i="122"/>
  <c r="B64" i="122" s="1"/>
  <c r="C65" i="122"/>
  <c r="B65" i="122" s="1"/>
  <c r="C66" i="122"/>
  <c r="B66" i="122" s="1"/>
  <c r="C67" i="122"/>
  <c r="B67" i="122" s="1"/>
  <c r="C68" i="122"/>
  <c r="B68" i="122" s="1"/>
  <c r="C69" i="122"/>
  <c r="B69" i="122" s="1"/>
  <c r="C70" i="122"/>
  <c r="B70" i="122" s="1"/>
  <c r="C71" i="122"/>
  <c r="B71" i="122" s="1"/>
  <c r="C72" i="122"/>
  <c r="B72" i="122" s="1"/>
  <c r="C73" i="122"/>
  <c r="B73" i="122" s="1"/>
  <c r="C74" i="122"/>
  <c r="B74" i="122" s="1"/>
  <c r="C75" i="122"/>
  <c r="B75" i="122" s="1"/>
  <c r="C76" i="122"/>
  <c r="B76" i="122" s="1"/>
  <c r="C77" i="122"/>
  <c r="B77" i="122" s="1"/>
  <c r="C78" i="122"/>
  <c r="B78" i="122" s="1"/>
  <c r="C79" i="122"/>
  <c r="B79" i="122" s="1"/>
  <c r="C80" i="122"/>
  <c r="B80" i="122" s="1"/>
  <c r="C81" i="122"/>
  <c r="B81" i="122" s="1"/>
  <c r="C82" i="122"/>
  <c r="B82" i="122" s="1"/>
  <c r="C83" i="122"/>
  <c r="B83" i="122" s="1"/>
  <c r="C84" i="122"/>
  <c r="B84" i="122" s="1"/>
  <c r="C85" i="122"/>
  <c r="B85" i="122" s="1"/>
  <c r="C86" i="122"/>
  <c r="B86" i="122" s="1"/>
  <c r="C87" i="122"/>
  <c r="B87" i="122" s="1"/>
  <c r="C88" i="122"/>
  <c r="B88" i="122" s="1"/>
  <c r="C89" i="122"/>
  <c r="B89" i="122" s="1"/>
  <c r="C90" i="122"/>
  <c r="B90" i="122" s="1"/>
  <c r="C91" i="122"/>
  <c r="B91" i="122" s="1"/>
  <c r="C92" i="122"/>
  <c r="B92" i="122" s="1"/>
  <c r="C93" i="122"/>
  <c r="B93" i="122" s="1"/>
  <c r="C94" i="122"/>
  <c r="B94" i="122" s="1"/>
  <c r="C95" i="122"/>
  <c r="B95" i="122" s="1"/>
  <c r="C96" i="122"/>
  <c r="B96" i="122" s="1"/>
  <c r="C97" i="122"/>
  <c r="B97" i="122" s="1"/>
  <c r="C98" i="122"/>
  <c r="B98" i="122" s="1"/>
  <c r="C99" i="122"/>
  <c r="B99" i="122" s="1"/>
  <c r="C100" i="122"/>
  <c r="B100" i="122" s="1"/>
  <c r="C101" i="122"/>
  <c r="B101" i="122" s="1"/>
  <c r="C102" i="122"/>
  <c r="B102" i="122" s="1"/>
  <c r="C103" i="122"/>
  <c r="B103" i="122" s="1"/>
  <c r="C104" i="122"/>
  <c r="B104" i="122" s="1"/>
  <c r="C105" i="122"/>
  <c r="B105" i="122" s="1"/>
  <c r="C106" i="122"/>
  <c r="B106" i="122" s="1"/>
  <c r="C107" i="122"/>
  <c r="B107" i="122" s="1"/>
  <c r="C108" i="122"/>
  <c r="B108" i="122" s="1"/>
  <c r="C109" i="122"/>
  <c r="B109" i="122" s="1"/>
  <c r="C110" i="122"/>
  <c r="B110" i="122" s="1"/>
  <c r="C111" i="122"/>
  <c r="B111" i="122" s="1"/>
  <c r="C112" i="122"/>
  <c r="B112" i="122" s="1"/>
  <c r="C113" i="122"/>
  <c r="B113" i="122" s="1"/>
  <c r="C114" i="122"/>
  <c r="B114" i="122" s="1"/>
  <c r="C115" i="122"/>
  <c r="B115" i="122" s="1"/>
  <c r="C116" i="122"/>
  <c r="B116" i="122" s="1"/>
  <c r="C117" i="122"/>
  <c r="B117" i="122" s="1"/>
  <c r="C118" i="122"/>
  <c r="B118" i="122" s="1"/>
  <c r="C119" i="122"/>
  <c r="B119" i="122" s="1"/>
  <c r="C120" i="122"/>
  <c r="B120" i="122" s="1"/>
  <c r="C121" i="122"/>
  <c r="B121" i="122" s="1"/>
  <c r="C122" i="122"/>
  <c r="B122" i="122" s="1"/>
  <c r="C123" i="122"/>
  <c r="B123" i="122" s="1"/>
  <c r="C124" i="122"/>
  <c r="B124" i="122" s="1"/>
  <c r="C125" i="122"/>
  <c r="B125" i="122" s="1"/>
  <c r="C126" i="122"/>
  <c r="B126" i="122" s="1"/>
  <c r="C127" i="122"/>
  <c r="B127" i="122" s="1"/>
  <c r="C128" i="122"/>
  <c r="B128" i="122" s="1"/>
  <c r="C129" i="122"/>
  <c r="B129" i="122" s="1"/>
  <c r="C130" i="122"/>
  <c r="B130" i="122" s="1"/>
  <c r="C131" i="122"/>
  <c r="B131" i="122" s="1"/>
  <c r="C132" i="122"/>
  <c r="B132" i="122" s="1"/>
  <c r="C133" i="122"/>
  <c r="B133" i="122" s="1"/>
  <c r="C134" i="122"/>
  <c r="B134" i="122" s="1"/>
  <c r="C135" i="122"/>
  <c r="B135" i="122" s="1"/>
  <c r="C136" i="122"/>
  <c r="B136" i="122" s="1"/>
  <c r="C137" i="122"/>
  <c r="B137" i="122" s="1"/>
  <c r="C138" i="122"/>
  <c r="B138" i="122" s="1"/>
  <c r="C139" i="122"/>
  <c r="B139" i="122" s="1"/>
  <c r="C140" i="122"/>
  <c r="B140" i="122" s="1"/>
  <c r="C141" i="122"/>
  <c r="B141" i="122" s="1"/>
  <c r="C142" i="122"/>
  <c r="B142" i="122" s="1"/>
  <c r="C143" i="122"/>
  <c r="B143" i="122" s="1"/>
  <c r="C144" i="122"/>
  <c r="B144" i="122" s="1"/>
  <c r="C145" i="122"/>
  <c r="B145" i="122" s="1"/>
  <c r="C146" i="122"/>
  <c r="B146" i="122" s="1"/>
  <c r="C147" i="122"/>
  <c r="B147" i="122" s="1"/>
  <c r="C148" i="122"/>
  <c r="B148" i="122" s="1"/>
  <c r="C149" i="122"/>
  <c r="B149" i="122" s="1"/>
  <c r="C150" i="122"/>
  <c r="B150" i="122" s="1"/>
  <c r="C151" i="122"/>
  <c r="B151" i="122" s="1"/>
  <c r="C152" i="122"/>
  <c r="B152" i="122" s="1"/>
  <c r="C153" i="122"/>
  <c r="B153" i="122" s="1"/>
  <c r="C154" i="122"/>
  <c r="B154" i="122" s="1"/>
  <c r="C155" i="122"/>
  <c r="B155" i="122" s="1"/>
  <c r="C156" i="122"/>
  <c r="B156" i="122" s="1"/>
  <c r="C157" i="122"/>
  <c r="B157" i="122" s="1"/>
  <c r="C158" i="122"/>
  <c r="B158" i="122" s="1"/>
  <c r="C159" i="122"/>
  <c r="B159" i="122" s="1"/>
  <c r="C160" i="122"/>
  <c r="B160" i="122" s="1"/>
  <c r="C161" i="122"/>
  <c r="B161" i="122" s="1"/>
  <c r="C162" i="122"/>
  <c r="B162" i="122" s="1"/>
  <c r="C163" i="122"/>
  <c r="B163" i="122" s="1"/>
  <c r="C164" i="122"/>
  <c r="B164" i="122" s="1"/>
  <c r="C165" i="122"/>
  <c r="B165" i="122" s="1"/>
  <c r="C166" i="122"/>
  <c r="B166" i="122" s="1"/>
  <c r="C167" i="122"/>
  <c r="B167" i="122" s="1"/>
  <c r="C168" i="122"/>
  <c r="B168" i="122" s="1"/>
  <c r="C169" i="122"/>
  <c r="B169" i="122" s="1"/>
  <c r="C170" i="122"/>
  <c r="B170" i="122" s="1"/>
  <c r="C171" i="122"/>
  <c r="B171" i="122" s="1"/>
  <c r="C172" i="122"/>
  <c r="B172" i="122" s="1"/>
  <c r="C173" i="122"/>
  <c r="B173" i="122" s="1"/>
  <c r="C174" i="122"/>
  <c r="B174" i="122" s="1"/>
  <c r="C175" i="122"/>
  <c r="B175" i="122" s="1"/>
  <c r="C176" i="122"/>
  <c r="B176" i="122" s="1"/>
  <c r="C177" i="122"/>
  <c r="B177" i="122" s="1"/>
  <c r="C178" i="122"/>
  <c r="B178" i="122" s="1"/>
  <c r="C179" i="122"/>
  <c r="B179" i="122" s="1"/>
  <c r="C180" i="122"/>
  <c r="B180" i="122" s="1"/>
  <c r="C181" i="122"/>
  <c r="B181" i="122" s="1"/>
  <c r="C182" i="122"/>
  <c r="B182" i="122" s="1"/>
  <c r="C183" i="122"/>
  <c r="B183" i="122" s="1"/>
  <c r="C184" i="122"/>
  <c r="B184" i="122" s="1"/>
  <c r="C185" i="122"/>
  <c r="B185" i="122" s="1"/>
  <c r="C186" i="122"/>
  <c r="B186" i="122" s="1"/>
  <c r="C187" i="122"/>
  <c r="B187" i="122" s="1"/>
  <c r="C188" i="122"/>
  <c r="B188" i="122" s="1"/>
  <c r="C189" i="122"/>
  <c r="B189" i="122" s="1"/>
  <c r="C190" i="122"/>
  <c r="B190" i="122" s="1"/>
  <c r="C191" i="122"/>
  <c r="B191" i="122" s="1"/>
  <c r="C192" i="122"/>
  <c r="B192" i="122" s="1"/>
  <c r="C193" i="122"/>
  <c r="B193" i="122" s="1"/>
  <c r="C194" i="122"/>
  <c r="B194" i="122" s="1"/>
  <c r="C195" i="122"/>
  <c r="B195" i="122" s="1"/>
  <c r="C196" i="122"/>
  <c r="B196" i="122" s="1"/>
  <c r="C197" i="122"/>
  <c r="B197" i="122" s="1"/>
  <c r="C198" i="122"/>
  <c r="B198" i="122" s="1"/>
  <c r="C199" i="122"/>
  <c r="B199" i="122" s="1"/>
  <c r="C200" i="122"/>
  <c r="B200" i="122" s="1"/>
  <c r="C201" i="122"/>
  <c r="B201" i="122" s="1"/>
  <c r="C202" i="122"/>
  <c r="B202" i="122" s="1"/>
  <c r="C203" i="122"/>
  <c r="B203" i="122" s="1"/>
  <c r="C204" i="122"/>
  <c r="B204" i="122" s="1"/>
  <c r="C205" i="122"/>
  <c r="B205" i="122" s="1"/>
  <c r="C206" i="122"/>
  <c r="B206" i="122" s="1"/>
  <c r="C207" i="122"/>
  <c r="B207" i="122" s="1"/>
  <c r="C208" i="122"/>
  <c r="B208" i="122" s="1"/>
  <c r="C209" i="122"/>
  <c r="B209" i="122" s="1"/>
  <c r="C210" i="122"/>
  <c r="B210" i="122" s="1"/>
  <c r="C211" i="122"/>
  <c r="B211" i="122" s="1"/>
  <c r="C212" i="122"/>
  <c r="B212" i="122" s="1"/>
  <c r="C213" i="122"/>
  <c r="B213" i="122" s="1"/>
  <c r="C214" i="122"/>
  <c r="B214" i="122" s="1"/>
  <c r="C215" i="122"/>
  <c r="B215" i="122" s="1"/>
  <c r="C216" i="122"/>
  <c r="B216" i="122" s="1"/>
  <c r="C217" i="122"/>
  <c r="B217" i="122" s="1"/>
  <c r="C218" i="122"/>
  <c r="B218" i="122" s="1"/>
  <c r="C219" i="122"/>
  <c r="B219" i="122" s="1"/>
  <c r="C220" i="122"/>
  <c r="B220" i="122" s="1"/>
  <c r="C221" i="122"/>
  <c r="B221" i="122" s="1"/>
  <c r="C222" i="122"/>
  <c r="B222" i="122" s="1"/>
  <c r="C223" i="122"/>
  <c r="B223" i="122" s="1"/>
  <c r="C224" i="122"/>
  <c r="B224" i="122" s="1"/>
  <c r="C225" i="122"/>
  <c r="B225" i="122" s="1"/>
  <c r="C226" i="122"/>
  <c r="B226" i="122" s="1"/>
  <c r="C227" i="122"/>
  <c r="B227" i="122" s="1"/>
  <c r="C228" i="122"/>
  <c r="B228" i="122" s="1"/>
  <c r="C229" i="122"/>
  <c r="B229" i="122" s="1"/>
  <c r="C230" i="122"/>
  <c r="B230" i="122" s="1"/>
  <c r="C231" i="122"/>
  <c r="B231" i="122" s="1"/>
  <c r="C232" i="122"/>
  <c r="B232" i="122" s="1"/>
  <c r="C233" i="122"/>
  <c r="B233" i="122" s="1"/>
  <c r="C234" i="122"/>
  <c r="B234" i="122" s="1"/>
  <c r="C235" i="122"/>
  <c r="B235" i="122" s="1"/>
  <c r="C236" i="122"/>
  <c r="B236" i="122" s="1"/>
  <c r="C237" i="122"/>
  <c r="B237" i="122" s="1"/>
  <c r="C238" i="122"/>
  <c r="B238" i="122" s="1"/>
  <c r="C239" i="122"/>
  <c r="B239" i="122" s="1"/>
  <c r="C240" i="122"/>
  <c r="B240" i="122" s="1"/>
  <c r="C241" i="122"/>
  <c r="B241" i="122" s="1"/>
  <c r="C242" i="122"/>
  <c r="B242" i="122" s="1"/>
  <c r="C243" i="122"/>
  <c r="B243" i="122" s="1"/>
  <c r="C244" i="122"/>
  <c r="B244" i="122" s="1"/>
  <c r="C245" i="122"/>
  <c r="B245" i="122" s="1"/>
  <c r="C246" i="122"/>
  <c r="B246" i="122" s="1"/>
  <c r="C247" i="122"/>
  <c r="B247" i="122" s="1"/>
  <c r="C248" i="122"/>
  <c r="B248" i="122" s="1"/>
  <c r="C249" i="122"/>
  <c r="B249" i="122" s="1"/>
  <c r="C250" i="122"/>
  <c r="B250" i="122" s="1"/>
  <c r="C251" i="122"/>
  <c r="B251" i="122" s="1"/>
  <c r="C252" i="122"/>
  <c r="B252" i="122" s="1"/>
  <c r="C253" i="122"/>
  <c r="B253" i="122" s="1"/>
  <c r="C254" i="122"/>
  <c r="B254" i="122" s="1"/>
  <c r="C255" i="122"/>
  <c r="B255" i="122" s="1"/>
  <c r="C256" i="122"/>
  <c r="B256" i="122" s="1"/>
  <c r="C257" i="122"/>
  <c r="B257" i="122" s="1"/>
  <c r="C258" i="122"/>
  <c r="B258" i="122" s="1"/>
  <c r="C259" i="122"/>
  <c r="B259" i="122" s="1"/>
  <c r="C260" i="122"/>
  <c r="B260" i="122" s="1"/>
  <c r="C261" i="122"/>
  <c r="B261" i="122" s="1"/>
  <c r="C262" i="122"/>
  <c r="B262" i="122" s="1"/>
  <c r="C263" i="122"/>
  <c r="B263" i="122" s="1"/>
  <c r="C264" i="122"/>
  <c r="B264" i="122" s="1"/>
  <c r="C265" i="122"/>
  <c r="B265" i="122" s="1"/>
  <c r="C266" i="122"/>
  <c r="B266" i="122" s="1"/>
  <c r="C267" i="122"/>
  <c r="B267" i="122" s="1"/>
  <c r="C268" i="122"/>
  <c r="B268" i="122" s="1"/>
  <c r="C269" i="122"/>
  <c r="B269" i="122" s="1"/>
  <c r="C270" i="122"/>
  <c r="B270" i="122" s="1"/>
  <c r="C271" i="122"/>
  <c r="B271" i="122" s="1"/>
  <c r="C272" i="122"/>
  <c r="B272" i="122" s="1"/>
  <c r="C273" i="122"/>
  <c r="B273" i="122" s="1"/>
  <c r="C274" i="122"/>
  <c r="B274" i="122" s="1"/>
  <c r="C275" i="122"/>
  <c r="B275" i="122" s="1"/>
  <c r="C276" i="122"/>
  <c r="B276" i="122" s="1"/>
  <c r="C277" i="122"/>
  <c r="B277" i="122" s="1"/>
  <c r="C278" i="122"/>
  <c r="B278" i="122" s="1"/>
  <c r="C279" i="122"/>
  <c r="B279" i="122" s="1"/>
  <c r="C280" i="122"/>
  <c r="B280" i="122" s="1"/>
  <c r="C281" i="122"/>
  <c r="B281" i="122" s="1"/>
  <c r="C282" i="122"/>
  <c r="B282" i="122" s="1"/>
  <c r="C283" i="122"/>
  <c r="B283" i="122" s="1"/>
  <c r="C284" i="122"/>
  <c r="B284" i="122" s="1"/>
  <c r="C285" i="122"/>
  <c r="B285" i="122" s="1"/>
  <c r="C286" i="122"/>
  <c r="B286" i="122" s="1"/>
  <c r="C287" i="122"/>
  <c r="B287" i="122" s="1"/>
  <c r="C288" i="122"/>
  <c r="B288" i="122" s="1"/>
  <c r="C289" i="122"/>
  <c r="B289" i="122" s="1"/>
  <c r="C290" i="122"/>
  <c r="B290" i="122" s="1"/>
  <c r="C291" i="122"/>
  <c r="B291" i="122" s="1"/>
  <c r="C292" i="122"/>
  <c r="B292" i="122" s="1"/>
  <c r="C293" i="122"/>
  <c r="B293" i="122" s="1"/>
  <c r="C294" i="122"/>
  <c r="B294" i="122" s="1"/>
  <c r="C295" i="122"/>
  <c r="B295" i="122" s="1"/>
  <c r="C296" i="122"/>
  <c r="B296" i="122" s="1"/>
  <c r="C297" i="122"/>
  <c r="B297" i="122" s="1"/>
  <c r="C298" i="122"/>
  <c r="B298" i="122" s="1"/>
  <c r="C299" i="122"/>
  <c r="B299" i="122" s="1"/>
  <c r="C300" i="122"/>
  <c r="B300" i="122" s="1"/>
  <c r="C301" i="122"/>
  <c r="B301" i="122" s="1"/>
  <c r="C302" i="122"/>
  <c r="B302" i="122" s="1"/>
  <c r="C303" i="122"/>
  <c r="B303" i="122" s="1"/>
  <c r="C304" i="122"/>
  <c r="B304" i="122" s="1"/>
  <c r="C305" i="122"/>
  <c r="B305" i="122" s="1"/>
  <c r="C306" i="122"/>
  <c r="B306" i="122" s="1"/>
  <c r="C307" i="122"/>
  <c r="B307" i="122" s="1"/>
  <c r="C308" i="122"/>
  <c r="B308" i="122" s="1"/>
  <c r="C309" i="122"/>
  <c r="B309" i="122" s="1"/>
  <c r="C310" i="122"/>
  <c r="B310" i="122" s="1"/>
  <c r="C311" i="122"/>
  <c r="B311" i="122" s="1"/>
  <c r="C312" i="122"/>
  <c r="B312" i="122" s="1"/>
  <c r="C313" i="122"/>
  <c r="B313" i="122" s="1"/>
  <c r="C314" i="122"/>
  <c r="B314" i="122" s="1"/>
  <c r="C315" i="122"/>
  <c r="B315" i="122" s="1"/>
  <c r="C316" i="122"/>
  <c r="B316" i="122" s="1"/>
  <c r="C317" i="122"/>
  <c r="B317" i="122" s="1"/>
  <c r="C318" i="122"/>
  <c r="B318" i="122" s="1"/>
  <c r="C319" i="122"/>
  <c r="B319" i="122" s="1"/>
  <c r="C320" i="122"/>
  <c r="B320" i="122" s="1"/>
  <c r="C321" i="122"/>
  <c r="B321" i="122" s="1"/>
  <c r="C322" i="122"/>
  <c r="B322" i="122" s="1"/>
  <c r="C323" i="122"/>
  <c r="B323" i="122" s="1"/>
  <c r="C324" i="122"/>
  <c r="B324" i="122" s="1"/>
  <c r="C325" i="122"/>
  <c r="B325" i="122" s="1"/>
  <c r="C326" i="122"/>
  <c r="B326" i="122" s="1"/>
  <c r="C327" i="122"/>
  <c r="B327" i="122" s="1"/>
  <c r="C328" i="122"/>
  <c r="B328" i="122" s="1"/>
  <c r="C329" i="122"/>
  <c r="B329" i="122" s="1"/>
  <c r="C330" i="122"/>
  <c r="B330" i="122" s="1"/>
  <c r="C331" i="122"/>
  <c r="B331" i="122" s="1"/>
  <c r="C332" i="122"/>
  <c r="B332" i="122" s="1"/>
  <c r="C333" i="122"/>
  <c r="B333" i="122" s="1"/>
  <c r="C334" i="122"/>
  <c r="B334" i="122" s="1"/>
  <c r="C335" i="122"/>
  <c r="B335" i="122" s="1"/>
  <c r="C336" i="122"/>
  <c r="B336" i="122" s="1"/>
  <c r="C337" i="122"/>
  <c r="B337" i="122" s="1"/>
  <c r="C338" i="122"/>
  <c r="B338" i="122" s="1"/>
  <c r="C339" i="122"/>
  <c r="B339" i="122" s="1"/>
  <c r="C340" i="122"/>
  <c r="B340" i="122" s="1"/>
  <c r="C341" i="122"/>
  <c r="B341" i="122" s="1"/>
  <c r="C342" i="122"/>
  <c r="B342" i="122" s="1"/>
  <c r="C343" i="122"/>
  <c r="B343" i="122" s="1"/>
  <c r="C344" i="122"/>
  <c r="B344" i="122" s="1"/>
  <c r="C345" i="122"/>
  <c r="B345" i="122" s="1"/>
  <c r="C346" i="122"/>
  <c r="B346" i="122" s="1"/>
  <c r="C347" i="122"/>
  <c r="B347" i="122" s="1"/>
  <c r="C348" i="122"/>
  <c r="B348" i="122" s="1"/>
  <c r="C349" i="122"/>
  <c r="B349" i="122" s="1"/>
  <c r="C350" i="122"/>
  <c r="B350" i="122" s="1"/>
  <c r="C351" i="122"/>
  <c r="B351" i="122" s="1"/>
  <c r="C352" i="122"/>
  <c r="B352" i="122" s="1"/>
  <c r="C353" i="122"/>
  <c r="B353" i="122" s="1"/>
  <c r="C354" i="122"/>
  <c r="B354" i="122" s="1"/>
  <c r="C355" i="122"/>
  <c r="B355" i="122" s="1"/>
  <c r="C356" i="122"/>
  <c r="B356" i="122" s="1"/>
  <c r="C357" i="122"/>
  <c r="B357" i="122" s="1"/>
  <c r="C358" i="122"/>
  <c r="B358" i="122" s="1"/>
  <c r="C359" i="122"/>
  <c r="B359" i="122" s="1"/>
  <c r="C360" i="122"/>
  <c r="B360" i="122" s="1"/>
  <c r="C361" i="122"/>
  <c r="B361" i="122" s="1"/>
  <c r="C362" i="122"/>
  <c r="B362" i="122" s="1"/>
  <c r="C363" i="122"/>
  <c r="B363" i="122" s="1"/>
  <c r="C364" i="122"/>
  <c r="B364" i="122" s="1"/>
  <c r="C365" i="122"/>
  <c r="B365" i="122" s="1"/>
  <c r="C366" i="122"/>
  <c r="B366" i="122" s="1"/>
  <c r="C367" i="122"/>
  <c r="B367" i="122" s="1"/>
  <c r="C368" i="122"/>
  <c r="B368" i="122" s="1"/>
  <c r="C369" i="122"/>
  <c r="B369" i="122" s="1"/>
  <c r="C370" i="122"/>
  <c r="B370" i="122" s="1"/>
  <c r="C371" i="122"/>
  <c r="B371" i="122" s="1"/>
  <c r="C372" i="122"/>
  <c r="B372" i="122" s="1"/>
  <c r="C373" i="122"/>
  <c r="B373" i="122" s="1"/>
  <c r="C374" i="122"/>
  <c r="B374" i="122" s="1"/>
  <c r="C375" i="122"/>
  <c r="B375" i="122" s="1"/>
  <c r="C376" i="122"/>
  <c r="B376" i="122" s="1"/>
  <c r="C377" i="122"/>
  <c r="B377" i="122" s="1"/>
  <c r="C378" i="122"/>
  <c r="B378" i="122" s="1"/>
  <c r="C379" i="122"/>
  <c r="B379" i="122" s="1"/>
  <c r="C380" i="122"/>
  <c r="B380" i="122" s="1"/>
  <c r="C381" i="122"/>
  <c r="B381" i="122" s="1"/>
  <c r="C382" i="122"/>
  <c r="B382" i="122" s="1"/>
  <c r="C383" i="122"/>
  <c r="B383" i="122" s="1"/>
  <c r="C384" i="122"/>
  <c r="B384" i="122" s="1"/>
  <c r="C385" i="122"/>
  <c r="B385" i="122" s="1"/>
  <c r="C386" i="122"/>
  <c r="B386" i="122" s="1"/>
  <c r="C387" i="122"/>
  <c r="B387" i="122" s="1"/>
  <c r="C388" i="122"/>
  <c r="B388" i="122" s="1"/>
  <c r="C389" i="122"/>
  <c r="B389" i="122" s="1"/>
  <c r="C390" i="122"/>
  <c r="B390" i="122" s="1"/>
  <c r="C391" i="122"/>
  <c r="B391" i="122" s="1"/>
  <c r="C392" i="122"/>
  <c r="B392" i="122" s="1"/>
  <c r="C393" i="122"/>
  <c r="B393" i="122" s="1"/>
  <c r="C394" i="122"/>
  <c r="B394" i="122" s="1"/>
  <c r="C395" i="122"/>
  <c r="B395" i="122" s="1"/>
  <c r="C396" i="122"/>
  <c r="B396" i="122" s="1"/>
  <c r="C397" i="122"/>
  <c r="B397" i="122" s="1"/>
  <c r="C398" i="122"/>
  <c r="B398" i="122" s="1"/>
  <c r="C399" i="122"/>
  <c r="B399" i="122" s="1"/>
  <c r="C400" i="122"/>
  <c r="B400" i="122" s="1"/>
  <c r="C401" i="122"/>
  <c r="B401" i="122" s="1"/>
  <c r="C402" i="122"/>
  <c r="B402" i="122" s="1"/>
  <c r="C403" i="122"/>
  <c r="B403" i="122" s="1"/>
  <c r="C404" i="122"/>
  <c r="B404" i="122" s="1"/>
  <c r="C405" i="122"/>
  <c r="B405" i="122" s="1"/>
  <c r="C406" i="122"/>
  <c r="B406" i="122" s="1"/>
  <c r="C407" i="122"/>
  <c r="B407" i="122" s="1"/>
  <c r="C408" i="122"/>
  <c r="B408" i="122" s="1"/>
  <c r="C409" i="122"/>
  <c r="B409" i="122" s="1"/>
  <c r="C410" i="122"/>
  <c r="B410" i="122" s="1"/>
  <c r="C411" i="122"/>
  <c r="B411" i="122" s="1"/>
  <c r="C412" i="122"/>
  <c r="B412" i="122" s="1"/>
  <c r="C413" i="122"/>
  <c r="B413" i="122" s="1"/>
  <c r="C414" i="122"/>
  <c r="B414" i="122" s="1"/>
  <c r="C415" i="122"/>
  <c r="B415" i="122" s="1"/>
  <c r="C416" i="122"/>
  <c r="B416" i="122" s="1"/>
  <c r="C417" i="122"/>
  <c r="B417" i="122" s="1"/>
  <c r="C418" i="122"/>
  <c r="B418" i="122" s="1"/>
  <c r="C419" i="122"/>
  <c r="B419" i="122" s="1"/>
  <c r="C420" i="122"/>
  <c r="B420" i="122" s="1"/>
  <c r="C421" i="122"/>
  <c r="B421" i="122" s="1"/>
  <c r="C422" i="122"/>
  <c r="B422" i="122" s="1"/>
  <c r="C423" i="122"/>
  <c r="B423" i="122" s="1"/>
  <c r="C424" i="122"/>
  <c r="B424" i="122" s="1"/>
  <c r="C425" i="122"/>
  <c r="B425" i="122" s="1"/>
  <c r="C426" i="122"/>
  <c r="B426" i="122" s="1"/>
  <c r="C427" i="122"/>
  <c r="B427" i="122" s="1"/>
  <c r="C428" i="122"/>
  <c r="B428" i="122" s="1"/>
  <c r="C429" i="122"/>
  <c r="B429" i="122" s="1"/>
  <c r="C430" i="122"/>
  <c r="B430" i="122" s="1"/>
  <c r="C431" i="122"/>
  <c r="B431" i="122" s="1"/>
  <c r="C432" i="122"/>
  <c r="B432" i="122" s="1"/>
  <c r="C433" i="122"/>
  <c r="B433" i="122" s="1"/>
  <c r="C434" i="122"/>
  <c r="B434" i="122" s="1"/>
  <c r="C435" i="122"/>
  <c r="B435" i="122" s="1"/>
  <c r="C436" i="122"/>
  <c r="B436" i="122" s="1"/>
  <c r="C437" i="122"/>
  <c r="B437" i="122" s="1"/>
  <c r="C438" i="122"/>
  <c r="B438" i="122" s="1"/>
  <c r="C439" i="122"/>
  <c r="B439" i="122" s="1"/>
  <c r="C440" i="122"/>
  <c r="B440" i="122" s="1"/>
  <c r="C441" i="122"/>
  <c r="B441" i="122" s="1"/>
  <c r="C442" i="122"/>
  <c r="B442" i="122" s="1"/>
  <c r="C443" i="122"/>
  <c r="B443" i="122" s="1"/>
  <c r="C444" i="122"/>
  <c r="B444" i="122" s="1"/>
  <c r="C445" i="122"/>
  <c r="B445" i="122" s="1"/>
  <c r="C446" i="122"/>
  <c r="B446" i="122" s="1"/>
  <c r="C447" i="122"/>
  <c r="B447" i="122" s="1"/>
  <c r="C448" i="122"/>
  <c r="B448" i="122" s="1"/>
  <c r="C449" i="122"/>
  <c r="B449" i="122" s="1"/>
  <c r="C450" i="122"/>
  <c r="B450" i="122" s="1"/>
  <c r="C451" i="122"/>
  <c r="B451" i="122" s="1"/>
  <c r="C452" i="122"/>
  <c r="B452" i="122" s="1"/>
  <c r="C453" i="122"/>
  <c r="B453" i="122" s="1"/>
  <c r="C454" i="122"/>
  <c r="B454" i="122" s="1"/>
  <c r="C455" i="122"/>
  <c r="B455" i="122" s="1"/>
  <c r="C456" i="122"/>
  <c r="B456" i="122" s="1"/>
  <c r="C457" i="122"/>
  <c r="B457" i="122" s="1"/>
  <c r="C458" i="122"/>
  <c r="B458" i="122" s="1"/>
  <c r="C459" i="122"/>
  <c r="B459" i="122" s="1"/>
  <c r="C460" i="122"/>
  <c r="B460" i="122" s="1"/>
  <c r="C461" i="122"/>
  <c r="B461" i="122" s="1"/>
  <c r="C462" i="122"/>
  <c r="B462" i="122" s="1"/>
  <c r="C463" i="122"/>
  <c r="B463" i="122" s="1"/>
  <c r="C464" i="122"/>
  <c r="B464" i="122" s="1"/>
  <c r="C465" i="122"/>
  <c r="B465" i="122" s="1"/>
  <c r="C466" i="122"/>
  <c r="B466" i="122" s="1"/>
  <c r="C467" i="122"/>
  <c r="B467" i="122" s="1"/>
  <c r="C468" i="122"/>
  <c r="B468" i="122" s="1"/>
  <c r="C469" i="122"/>
  <c r="B469" i="122" s="1"/>
  <c r="C470" i="122"/>
  <c r="B470" i="122" s="1"/>
  <c r="C471" i="122"/>
  <c r="B471" i="122" s="1"/>
  <c r="C472" i="122"/>
  <c r="B472" i="122" s="1"/>
  <c r="C473" i="122"/>
  <c r="B473" i="122" s="1"/>
  <c r="C474" i="122"/>
  <c r="B474" i="122" s="1"/>
  <c r="C475" i="122"/>
  <c r="B475" i="122" s="1"/>
  <c r="C476" i="122"/>
  <c r="B476" i="122" s="1"/>
  <c r="C477" i="122"/>
  <c r="B477" i="122" s="1"/>
  <c r="C478" i="122"/>
  <c r="B478" i="122" s="1"/>
  <c r="C479" i="122"/>
  <c r="B479" i="122" s="1"/>
  <c r="C480" i="122"/>
  <c r="B480" i="122" s="1"/>
  <c r="C481" i="122"/>
  <c r="B481" i="122" s="1"/>
  <c r="C482" i="122"/>
  <c r="B482" i="122" s="1"/>
  <c r="C483" i="122"/>
  <c r="B483" i="122" s="1"/>
  <c r="C484" i="122"/>
  <c r="B484" i="122" s="1"/>
  <c r="C485" i="122"/>
  <c r="B485" i="122" s="1"/>
  <c r="C486" i="122"/>
  <c r="B486" i="122" s="1"/>
  <c r="C487" i="122"/>
  <c r="B487" i="122" s="1"/>
  <c r="C488" i="122"/>
  <c r="B488" i="122" s="1"/>
  <c r="C489" i="122"/>
  <c r="B489" i="122" s="1"/>
  <c r="C490" i="122"/>
  <c r="B490" i="122" s="1"/>
  <c r="C491" i="122"/>
  <c r="B491" i="122" s="1"/>
  <c r="C492" i="122"/>
  <c r="B492" i="122" s="1"/>
  <c r="C493" i="122"/>
  <c r="B493" i="122" s="1"/>
  <c r="C494" i="122"/>
  <c r="B494" i="122" s="1"/>
  <c r="C495" i="122"/>
  <c r="B495" i="122" s="1"/>
  <c r="C496" i="122"/>
  <c r="B496" i="122" s="1"/>
  <c r="C497" i="122"/>
  <c r="B497" i="122" s="1"/>
  <c r="C498" i="122"/>
  <c r="B498" i="122" s="1"/>
  <c r="C499" i="122"/>
  <c r="B499" i="122" s="1"/>
  <c r="C500" i="122"/>
  <c r="B500" i="122" s="1"/>
  <c r="C501" i="122"/>
  <c r="B501" i="122" s="1"/>
  <c r="C502" i="122"/>
  <c r="B502" i="122" s="1"/>
  <c r="C503" i="122"/>
  <c r="B503" i="122" s="1"/>
  <c r="C504" i="122"/>
  <c r="B504" i="122" s="1"/>
  <c r="C505" i="122"/>
  <c r="B505" i="122" s="1"/>
  <c r="C506" i="122"/>
  <c r="B506" i="122" s="1"/>
  <c r="C507" i="122"/>
  <c r="B507" i="122" s="1"/>
  <c r="C508" i="122"/>
  <c r="B508" i="122" s="1"/>
  <c r="C509" i="122"/>
  <c r="B509" i="122" s="1"/>
  <c r="C510" i="122"/>
  <c r="B510" i="122" s="1"/>
  <c r="C511" i="122"/>
  <c r="B511" i="122" s="1"/>
  <c r="C512" i="122"/>
  <c r="B512" i="122" s="1"/>
  <c r="C513" i="122"/>
  <c r="B513" i="122" s="1"/>
  <c r="C514" i="122"/>
  <c r="B514" i="122" s="1"/>
  <c r="C515" i="122"/>
  <c r="B515" i="122" s="1"/>
  <c r="C516" i="122"/>
  <c r="B516" i="122" s="1"/>
  <c r="C517" i="122"/>
  <c r="B517" i="122" s="1"/>
  <c r="C518" i="122"/>
  <c r="B518" i="122" s="1"/>
  <c r="C519" i="122"/>
  <c r="B519" i="122" s="1"/>
  <c r="C520" i="122"/>
  <c r="B520" i="122" s="1"/>
  <c r="C521" i="122"/>
  <c r="B521" i="122" s="1"/>
  <c r="C522" i="122"/>
  <c r="B522" i="122" s="1"/>
  <c r="C523" i="122"/>
  <c r="B523" i="122" s="1"/>
  <c r="C524" i="122"/>
  <c r="B524" i="122" s="1"/>
  <c r="C525" i="122"/>
  <c r="B525" i="122" s="1"/>
  <c r="C526" i="122"/>
  <c r="B526" i="122" s="1"/>
  <c r="C527" i="122"/>
  <c r="B527" i="122" s="1"/>
  <c r="C528" i="122"/>
  <c r="B528" i="122" s="1"/>
  <c r="C529" i="122"/>
  <c r="B529" i="122" s="1"/>
  <c r="C530" i="122"/>
  <c r="B530" i="122" s="1"/>
  <c r="C531" i="122"/>
  <c r="B531" i="122" s="1"/>
  <c r="C532" i="122"/>
  <c r="B532" i="122" s="1"/>
  <c r="C533" i="122"/>
  <c r="B533" i="122" s="1"/>
  <c r="C534" i="122"/>
  <c r="B534" i="122" s="1"/>
  <c r="C535" i="122"/>
  <c r="B535" i="122" s="1"/>
  <c r="C536" i="122"/>
  <c r="B536" i="122" s="1"/>
  <c r="C537" i="122"/>
  <c r="B537" i="122" s="1"/>
  <c r="C538" i="122"/>
  <c r="B538" i="122" s="1"/>
  <c r="C539" i="122"/>
  <c r="B539" i="122" s="1"/>
  <c r="C540" i="122"/>
  <c r="B540" i="122" s="1"/>
  <c r="C541" i="122"/>
  <c r="B541" i="122" s="1"/>
  <c r="C542" i="122"/>
  <c r="B542" i="122" s="1"/>
  <c r="C543" i="122"/>
  <c r="B543" i="122" s="1"/>
  <c r="C544" i="122"/>
  <c r="B544" i="122" s="1"/>
  <c r="C545" i="122"/>
  <c r="B545" i="122" s="1"/>
  <c r="C546" i="122"/>
  <c r="B546" i="122" s="1"/>
  <c r="C547" i="122"/>
  <c r="B547" i="122" s="1"/>
  <c r="C548" i="122"/>
  <c r="B548" i="122" s="1"/>
  <c r="C549" i="122"/>
  <c r="B549" i="122" s="1"/>
  <c r="C550" i="122"/>
  <c r="B550" i="122" s="1"/>
  <c r="C551" i="122"/>
  <c r="B551" i="122" s="1"/>
  <c r="C552" i="122"/>
  <c r="B552" i="122" s="1"/>
  <c r="C553" i="122"/>
  <c r="B553" i="122" s="1"/>
  <c r="C554" i="122"/>
  <c r="B554" i="122" s="1"/>
  <c r="C555" i="122"/>
  <c r="B555" i="122" s="1"/>
  <c r="C556" i="122"/>
  <c r="B556" i="122" s="1"/>
  <c r="C557" i="122"/>
  <c r="B557" i="122" s="1"/>
  <c r="C558" i="122"/>
  <c r="B558" i="122" s="1"/>
  <c r="C559" i="122"/>
  <c r="B559" i="122" s="1"/>
  <c r="C560" i="122"/>
  <c r="B560" i="122" s="1"/>
  <c r="C561" i="122"/>
  <c r="B561" i="122" s="1"/>
  <c r="C562" i="122"/>
  <c r="B562" i="122" s="1"/>
  <c r="C563" i="122"/>
  <c r="B563" i="122" s="1"/>
  <c r="C564" i="122"/>
  <c r="B564" i="122" s="1"/>
  <c r="C565" i="122"/>
  <c r="B565" i="122" s="1"/>
  <c r="C566" i="122"/>
  <c r="B566" i="122" s="1"/>
  <c r="C567" i="122"/>
  <c r="B567" i="122" s="1"/>
  <c r="C568" i="122"/>
  <c r="B568" i="122" s="1"/>
  <c r="C569" i="122"/>
  <c r="B569" i="122" s="1"/>
  <c r="C570" i="122"/>
  <c r="B570" i="122" s="1"/>
  <c r="C571" i="122"/>
  <c r="B571" i="122" s="1"/>
  <c r="C572" i="122"/>
  <c r="B572" i="122" s="1"/>
  <c r="C573" i="122"/>
  <c r="B573" i="122" s="1"/>
  <c r="C574" i="122"/>
  <c r="B574" i="122" s="1"/>
  <c r="C575" i="122"/>
  <c r="B575" i="122" s="1"/>
  <c r="C576" i="122"/>
  <c r="B576" i="122" s="1"/>
  <c r="C577" i="122"/>
  <c r="B577" i="122" s="1"/>
  <c r="C578" i="122"/>
  <c r="B578" i="122" s="1"/>
  <c r="C579" i="122"/>
  <c r="B579" i="122" s="1"/>
  <c r="C580" i="122"/>
  <c r="B580" i="122" s="1"/>
  <c r="C581" i="122"/>
  <c r="B581" i="122" s="1"/>
  <c r="C582" i="122"/>
  <c r="B582" i="122" s="1"/>
  <c r="C583" i="122"/>
  <c r="B583" i="122" s="1"/>
  <c r="C584" i="122"/>
  <c r="B584" i="122" s="1"/>
  <c r="C585" i="122"/>
  <c r="B585" i="122" s="1"/>
  <c r="C586" i="122"/>
  <c r="B586" i="122" s="1"/>
  <c r="C587" i="122"/>
  <c r="B587" i="122" s="1"/>
  <c r="C588" i="122"/>
  <c r="B588" i="122" s="1"/>
  <c r="C589" i="122"/>
  <c r="B589" i="122" s="1"/>
  <c r="C590" i="122"/>
  <c r="B590" i="122" s="1"/>
  <c r="C591" i="122"/>
  <c r="B591" i="122" s="1"/>
  <c r="C592" i="122"/>
  <c r="B592" i="122" s="1"/>
  <c r="C593" i="122"/>
  <c r="B593" i="122" s="1"/>
  <c r="C594" i="122"/>
  <c r="B594" i="122" s="1"/>
  <c r="C595" i="122"/>
  <c r="B595" i="122" s="1"/>
  <c r="C596" i="122"/>
  <c r="B596" i="122" s="1"/>
  <c r="C597" i="122"/>
  <c r="B597" i="122" s="1"/>
  <c r="C598" i="122"/>
  <c r="B598" i="122" s="1"/>
  <c r="C599" i="122"/>
  <c r="B599" i="122" s="1"/>
  <c r="C600" i="122"/>
  <c r="B600" i="122" s="1"/>
  <c r="C601" i="122"/>
  <c r="B601" i="122" s="1"/>
  <c r="C602" i="122"/>
  <c r="B602" i="122" s="1"/>
  <c r="C603" i="122"/>
  <c r="B603" i="122" s="1"/>
  <c r="C604" i="122"/>
  <c r="B604" i="122" s="1"/>
  <c r="C605" i="122"/>
  <c r="B605" i="122" s="1"/>
  <c r="C606" i="122"/>
  <c r="B606" i="122" s="1"/>
  <c r="C607" i="122"/>
  <c r="B607" i="122" s="1"/>
  <c r="C608" i="122"/>
  <c r="B608" i="122" s="1"/>
  <c r="C609" i="122"/>
  <c r="B609" i="122" s="1"/>
  <c r="C610" i="122"/>
  <c r="B610" i="122" s="1"/>
  <c r="C611" i="122"/>
  <c r="B611" i="122" s="1"/>
  <c r="C612" i="122"/>
  <c r="B612" i="122" s="1"/>
  <c r="C613" i="122"/>
  <c r="B613" i="122" s="1"/>
  <c r="C614" i="122"/>
  <c r="B614" i="122" s="1"/>
  <c r="C615" i="122"/>
  <c r="B615" i="122" s="1"/>
  <c r="C616" i="122"/>
  <c r="B616" i="122" s="1"/>
  <c r="C617" i="122"/>
  <c r="B617" i="122" s="1"/>
  <c r="C618" i="122"/>
  <c r="B618" i="122" s="1"/>
  <c r="C619" i="122"/>
  <c r="B619" i="122" s="1"/>
  <c r="C620" i="122"/>
  <c r="B620" i="122" s="1"/>
  <c r="C621" i="122"/>
  <c r="B621" i="122" s="1"/>
  <c r="C622" i="122"/>
  <c r="B622" i="122" s="1"/>
  <c r="C623" i="122"/>
  <c r="B623" i="122" s="1"/>
  <c r="C624" i="122"/>
  <c r="B624" i="122" s="1"/>
  <c r="C625" i="122"/>
  <c r="B625" i="122" s="1"/>
  <c r="C626" i="122"/>
  <c r="B626" i="122" s="1"/>
  <c r="C627" i="122"/>
  <c r="B627" i="122" s="1"/>
  <c r="C628" i="122"/>
  <c r="B628" i="122" s="1"/>
  <c r="C629" i="122"/>
  <c r="B629" i="122" s="1"/>
  <c r="C630" i="122"/>
  <c r="B630" i="122" s="1"/>
  <c r="C631" i="122"/>
  <c r="B631" i="122" s="1"/>
  <c r="C632" i="122"/>
  <c r="B632" i="122" s="1"/>
  <c r="C633" i="122"/>
  <c r="B633" i="122" s="1"/>
  <c r="C634" i="122"/>
  <c r="B634" i="122" s="1"/>
  <c r="C635" i="122"/>
  <c r="B635" i="122" s="1"/>
  <c r="C636" i="122"/>
  <c r="B636" i="122" s="1"/>
  <c r="C637" i="122"/>
  <c r="B637" i="122" s="1"/>
  <c r="C638" i="122"/>
  <c r="B638" i="122" s="1"/>
  <c r="C639" i="122"/>
  <c r="B639" i="122" s="1"/>
  <c r="C640" i="122"/>
  <c r="B640" i="122" s="1"/>
  <c r="C641" i="122"/>
  <c r="B641" i="122" s="1"/>
  <c r="C642" i="122"/>
  <c r="B642" i="122" s="1"/>
  <c r="C643" i="122"/>
  <c r="B643" i="122" s="1"/>
  <c r="C644" i="122"/>
  <c r="B644" i="122" s="1"/>
  <c r="C645" i="122"/>
  <c r="B645" i="122" s="1"/>
  <c r="C646" i="122"/>
  <c r="B646" i="122" s="1"/>
  <c r="C647" i="122"/>
  <c r="B647" i="122" s="1"/>
  <c r="C648" i="122"/>
  <c r="B648" i="122" s="1"/>
  <c r="C649" i="122"/>
  <c r="B649" i="122" s="1"/>
  <c r="C650" i="122"/>
  <c r="B650" i="122" s="1"/>
  <c r="C651" i="122"/>
  <c r="B651" i="122" s="1"/>
  <c r="C652" i="122"/>
  <c r="B652" i="122" s="1"/>
  <c r="C653" i="122"/>
  <c r="B653" i="122" s="1"/>
  <c r="C654" i="122"/>
  <c r="B654" i="122" s="1"/>
  <c r="C655" i="122"/>
  <c r="B655" i="122" s="1"/>
  <c r="C656" i="122"/>
  <c r="B656" i="122" s="1"/>
  <c r="C657" i="122"/>
  <c r="B657" i="122" s="1"/>
  <c r="C658" i="122"/>
  <c r="B658" i="122" s="1"/>
  <c r="C659" i="122"/>
  <c r="B659" i="122" s="1"/>
  <c r="C660" i="122"/>
  <c r="B660" i="122" s="1"/>
  <c r="C661" i="122"/>
  <c r="B661" i="122" s="1"/>
  <c r="C662" i="122"/>
  <c r="B662" i="122" s="1"/>
  <c r="C663" i="122"/>
  <c r="B663" i="122" s="1"/>
  <c r="C664" i="122"/>
  <c r="B664" i="122" s="1"/>
  <c r="C665" i="122"/>
  <c r="B665" i="122" s="1"/>
  <c r="C666" i="122"/>
  <c r="B666" i="122" s="1"/>
  <c r="C667" i="122"/>
  <c r="B667" i="122" s="1"/>
  <c r="C668" i="122"/>
  <c r="B668" i="122" s="1"/>
  <c r="C669" i="122"/>
  <c r="B669" i="122" s="1"/>
  <c r="C670" i="122"/>
  <c r="B670" i="122" s="1"/>
  <c r="C671" i="122"/>
  <c r="B671" i="122" s="1"/>
  <c r="C672" i="122"/>
  <c r="B672" i="122" s="1"/>
  <c r="C673" i="122"/>
  <c r="B673" i="122" s="1"/>
  <c r="C674" i="122"/>
  <c r="B674" i="122" s="1"/>
  <c r="C675" i="122"/>
  <c r="B675" i="122" s="1"/>
  <c r="C676" i="122"/>
  <c r="B676" i="122" s="1"/>
  <c r="C677" i="122"/>
  <c r="B677" i="122" s="1"/>
  <c r="C678" i="122"/>
  <c r="B678" i="122" s="1"/>
  <c r="C679" i="122"/>
  <c r="B679" i="122" s="1"/>
  <c r="C680" i="122"/>
  <c r="B680" i="122" s="1"/>
  <c r="C681" i="122"/>
  <c r="B681" i="122" s="1"/>
  <c r="C682" i="122"/>
  <c r="B682" i="122" s="1"/>
  <c r="C683" i="122"/>
  <c r="B683" i="122" s="1"/>
  <c r="C684" i="122"/>
  <c r="B684" i="122" s="1"/>
  <c r="C685" i="122"/>
  <c r="B685" i="122" s="1"/>
  <c r="C686" i="122"/>
  <c r="B686" i="122" s="1"/>
  <c r="C687" i="122"/>
  <c r="B687" i="122" s="1"/>
  <c r="C688" i="122"/>
  <c r="B688" i="122" s="1"/>
  <c r="C689" i="122"/>
  <c r="B689" i="122" s="1"/>
  <c r="C690" i="122"/>
  <c r="B690" i="122" s="1"/>
  <c r="C691" i="122"/>
  <c r="B691" i="122" s="1"/>
  <c r="C692" i="122"/>
  <c r="B692" i="122" s="1"/>
  <c r="C693" i="122"/>
  <c r="B693" i="122" s="1"/>
  <c r="C694" i="122"/>
  <c r="B694" i="122" s="1"/>
  <c r="C695" i="122"/>
  <c r="B695" i="122" s="1"/>
  <c r="C696" i="122"/>
  <c r="B696" i="122" s="1"/>
  <c r="C697" i="122"/>
  <c r="B697" i="122" s="1"/>
  <c r="C698" i="122"/>
  <c r="B698" i="122" s="1"/>
  <c r="C699" i="122"/>
  <c r="B699" i="122" s="1"/>
  <c r="C700" i="122"/>
  <c r="B700" i="122" s="1"/>
  <c r="C701" i="122"/>
  <c r="B701" i="122" s="1"/>
  <c r="C702" i="122"/>
  <c r="B702" i="122" s="1"/>
  <c r="C703" i="122"/>
  <c r="B703" i="122" s="1"/>
  <c r="C704" i="122"/>
  <c r="B704" i="122" s="1"/>
  <c r="C705" i="122"/>
  <c r="B705" i="122" s="1"/>
  <c r="C706" i="122"/>
  <c r="B706" i="122" s="1"/>
  <c r="C707" i="122"/>
  <c r="B707" i="122" s="1"/>
  <c r="C708" i="122"/>
  <c r="B708" i="122" s="1"/>
  <c r="C709" i="122"/>
  <c r="B709" i="122" s="1"/>
  <c r="C710" i="122"/>
  <c r="B710" i="122" s="1"/>
  <c r="C711" i="122"/>
  <c r="B711" i="122" s="1"/>
  <c r="C712" i="122"/>
  <c r="B712" i="122" s="1"/>
  <c r="C713" i="122"/>
  <c r="B713" i="122" s="1"/>
  <c r="C714" i="122"/>
  <c r="B714" i="122" s="1"/>
  <c r="C715" i="122"/>
  <c r="B715" i="122" s="1"/>
  <c r="C716" i="122"/>
  <c r="B716" i="122" s="1"/>
  <c r="C717" i="122"/>
  <c r="B717" i="122" s="1"/>
  <c r="C718" i="122"/>
  <c r="B718" i="122" s="1"/>
  <c r="C719" i="122"/>
  <c r="B719" i="122" s="1"/>
  <c r="C720" i="122"/>
  <c r="B720" i="122" s="1"/>
  <c r="C721" i="122"/>
  <c r="B721" i="122" s="1"/>
  <c r="C722" i="122"/>
  <c r="B722" i="122" s="1"/>
  <c r="C723" i="122"/>
  <c r="B723" i="122" s="1"/>
  <c r="C724" i="122"/>
  <c r="B724" i="122" s="1"/>
  <c r="C725" i="122"/>
  <c r="B725" i="122" s="1"/>
  <c r="C726" i="122"/>
  <c r="B726" i="122" s="1"/>
  <c r="C727" i="122"/>
  <c r="B727" i="122" s="1"/>
  <c r="C728" i="122"/>
  <c r="B728" i="122" s="1"/>
  <c r="C729" i="122"/>
  <c r="B729" i="122" s="1"/>
  <c r="C730" i="122"/>
  <c r="B730" i="122" s="1"/>
  <c r="C731" i="122"/>
  <c r="B731" i="122" s="1"/>
  <c r="C732" i="122"/>
  <c r="B732" i="122" s="1"/>
  <c r="C733" i="122"/>
  <c r="B733" i="122" s="1"/>
  <c r="C734" i="122"/>
  <c r="B734" i="122" s="1"/>
  <c r="C735" i="122"/>
  <c r="B735" i="122" s="1"/>
  <c r="C736" i="122"/>
  <c r="B736" i="122" s="1"/>
  <c r="C737" i="122"/>
  <c r="B737" i="122" s="1"/>
  <c r="C738" i="122"/>
  <c r="B738" i="122" s="1"/>
  <c r="C739" i="122"/>
  <c r="B739" i="122" s="1"/>
  <c r="C740" i="122"/>
  <c r="B740" i="122" s="1"/>
  <c r="C741" i="122"/>
  <c r="B741" i="122" s="1"/>
  <c r="C742" i="122"/>
  <c r="B742" i="122" s="1"/>
  <c r="C743" i="122"/>
  <c r="B743" i="122" s="1"/>
  <c r="C744" i="122"/>
  <c r="B744" i="122" s="1"/>
  <c r="C745" i="122"/>
  <c r="B745" i="122" s="1"/>
  <c r="C746" i="122"/>
  <c r="B746" i="122" s="1"/>
  <c r="C747" i="122"/>
  <c r="B747" i="122" s="1"/>
  <c r="C748" i="122"/>
  <c r="B748" i="122" s="1"/>
  <c r="C749" i="122"/>
  <c r="B749" i="122" s="1"/>
  <c r="C750" i="122"/>
  <c r="B750" i="122" s="1"/>
  <c r="C751" i="122"/>
  <c r="B751" i="122" s="1"/>
  <c r="C752" i="122"/>
  <c r="B752" i="122" s="1"/>
  <c r="C753" i="122"/>
  <c r="B753" i="122" s="1"/>
  <c r="C754" i="122"/>
  <c r="B754" i="122" s="1"/>
  <c r="C755" i="122"/>
  <c r="B755" i="122" s="1"/>
  <c r="C756" i="122"/>
  <c r="B756" i="122" s="1"/>
  <c r="C757" i="122"/>
  <c r="B757" i="122" s="1"/>
  <c r="C758" i="122"/>
  <c r="B758" i="122" s="1"/>
  <c r="C759" i="122"/>
  <c r="B759" i="122" s="1"/>
  <c r="C760" i="122"/>
  <c r="B760" i="122" s="1"/>
  <c r="C761" i="122"/>
  <c r="B761" i="122" s="1"/>
  <c r="C762" i="122"/>
  <c r="B762" i="122" s="1"/>
  <c r="C763" i="122"/>
  <c r="B763" i="122" s="1"/>
  <c r="C764" i="122"/>
  <c r="B764" i="122" s="1"/>
  <c r="C765" i="122"/>
  <c r="B765" i="122" s="1"/>
  <c r="C766" i="122"/>
  <c r="B766" i="122" s="1"/>
  <c r="C767" i="122"/>
  <c r="B767" i="122" s="1"/>
  <c r="C768" i="122"/>
  <c r="B768" i="122" s="1"/>
  <c r="C769" i="122"/>
  <c r="B769" i="122" s="1"/>
  <c r="C770" i="122"/>
  <c r="B770" i="122" s="1"/>
  <c r="C771" i="122"/>
  <c r="B771" i="122" s="1"/>
  <c r="C772" i="122"/>
  <c r="B772" i="122" s="1"/>
  <c r="C773" i="122"/>
  <c r="B773" i="122" s="1"/>
  <c r="C774" i="122"/>
  <c r="B774" i="122" s="1"/>
  <c r="C775" i="122"/>
  <c r="B775" i="122" s="1"/>
  <c r="C776" i="122"/>
  <c r="B776" i="122" s="1"/>
  <c r="C777" i="122"/>
  <c r="B777" i="122" s="1"/>
  <c r="C778" i="122"/>
  <c r="B778" i="122" s="1"/>
  <c r="C779" i="122"/>
  <c r="B779" i="122" s="1"/>
  <c r="C780" i="122"/>
  <c r="B780" i="122" s="1"/>
  <c r="C781" i="122"/>
  <c r="B781" i="122" s="1"/>
  <c r="C782" i="122"/>
  <c r="B782" i="122" s="1"/>
  <c r="C783" i="122"/>
  <c r="B783" i="122" s="1"/>
  <c r="C784" i="122"/>
  <c r="B784" i="122" s="1"/>
  <c r="C785" i="122"/>
  <c r="B785" i="122" s="1"/>
  <c r="C786" i="122"/>
  <c r="B786" i="122" s="1"/>
  <c r="C787" i="122"/>
  <c r="B787" i="122" s="1"/>
  <c r="C788" i="122"/>
  <c r="B788" i="122" s="1"/>
  <c r="C789" i="122"/>
  <c r="B789" i="122" s="1"/>
  <c r="C790" i="122"/>
  <c r="B790" i="122" s="1"/>
  <c r="C791" i="122"/>
  <c r="B791" i="122" s="1"/>
  <c r="C792" i="122"/>
  <c r="B792" i="122" s="1"/>
  <c r="C793" i="122"/>
  <c r="B793" i="122" s="1"/>
  <c r="C794" i="122"/>
  <c r="B794" i="122" s="1"/>
  <c r="C795" i="122"/>
  <c r="B795" i="122" s="1"/>
  <c r="C796" i="122"/>
  <c r="B796" i="122" s="1"/>
  <c r="C797" i="122"/>
  <c r="B797" i="122" s="1"/>
  <c r="C798" i="122"/>
  <c r="B798" i="122" s="1"/>
  <c r="C799" i="122"/>
  <c r="B799" i="122" s="1"/>
  <c r="C800" i="122"/>
  <c r="B800" i="122" s="1"/>
  <c r="C801" i="122"/>
  <c r="B801" i="122" s="1"/>
  <c r="C802" i="122"/>
  <c r="B802" i="122" s="1"/>
  <c r="C803" i="122"/>
  <c r="B803" i="122" s="1"/>
  <c r="C804" i="122"/>
  <c r="B804" i="122" s="1"/>
  <c r="C805" i="122"/>
  <c r="B805" i="122" s="1"/>
  <c r="C806" i="122"/>
  <c r="B806" i="122" s="1"/>
  <c r="C807" i="122"/>
  <c r="B807" i="122" s="1"/>
  <c r="C808" i="122"/>
  <c r="B808" i="122" s="1"/>
  <c r="C809" i="122"/>
  <c r="B809" i="122" s="1"/>
  <c r="C810" i="122"/>
  <c r="B810" i="122" s="1"/>
  <c r="C811" i="122"/>
  <c r="B811" i="122" s="1"/>
  <c r="C812" i="122"/>
  <c r="B812" i="122" s="1"/>
  <c r="C813" i="122"/>
  <c r="B813" i="122" s="1"/>
  <c r="C814" i="122"/>
  <c r="B814" i="122" s="1"/>
  <c r="C815" i="122"/>
  <c r="B815" i="122" s="1"/>
  <c r="C816" i="122"/>
  <c r="B816" i="122" s="1"/>
  <c r="C817" i="122"/>
  <c r="B817" i="122" s="1"/>
  <c r="C818" i="122"/>
  <c r="B818" i="122" s="1"/>
  <c r="C819" i="122"/>
  <c r="B819" i="122" s="1"/>
  <c r="C820" i="122"/>
  <c r="B820" i="122" s="1"/>
  <c r="C821" i="122"/>
  <c r="B821" i="122" s="1"/>
  <c r="C822" i="122"/>
  <c r="B822" i="122" s="1"/>
  <c r="C823" i="122"/>
  <c r="B823" i="122" s="1"/>
  <c r="C824" i="122"/>
  <c r="B824" i="122" s="1"/>
  <c r="C825" i="122"/>
  <c r="B825" i="122" s="1"/>
  <c r="C826" i="122"/>
  <c r="B826" i="122" s="1"/>
  <c r="C827" i="122"/>
  <c r="B827" i="122" s="1"/>
  <c r="C828" i="122"/>
  <c r="B828" i="122" s="1"/>
  <c r="C829" i="122"/>
  <c r="B829" i="122" s="1"/>
  <c r="C830" i="122"/>
  <c r="B830" i="122" s="1"/>
  <c r="C831" i="122"/>
  <c r="B831" i="122" s="1"/>
  <c r="C832" i="122"/>
  <c r="B832" i="122" s="1"/>
  <c r="C833" i="122"/>
  <c r="B833" i="122" s="1"/>
  <c r="C834" i="122"/>
  <c r="B834" i="122" s="1"/>
  <c r="C835" i="122"/>
  <c r="B835" i="122" s="1"/>
  <c r="C836" i="122"/>
  <c r="B836" i="122" s="1"/>
  <c r="C837" i="122"/>
  <c r="B837" i="122" s="1"/>
  <c r="C838" i="122"/>
  <c r="B838" i="122" s="1"/>
  <c r="C839" i="122"/>
  <c r="B839" i="122" s="1"/>
  <c r="C840" i="122"/>
  <c r="B840" i="122" s="1"/>
  <c r="C841" i="122"/>
  <c r="B841" i="122" s="1"/>
  <c r="C842" i="122"/>
  <c r="B842" i="122" s="1"/>
  <c r="C843" i="122"/>
  <c r="B843" i="122" s="1"/>
  <c r="C844" i="122"/>
  <c r="B844" i="122" s="1"/>
  <c r="C845" i="122"/>
  <c r="B845" i="122" s="1"/>
  <c r="C846" i="122"/>
  <c r="B846" i="122" s="1"/>
  <c r="C847" i="122"/>
  <c r="B847" i="122" s="1"/>
  <c r="C848" i="122"/>
  <c r="B848" i="122" s="1"/>
  <c r="C849" i="122"/>
  <c r="B849" i="122" s="1"/>
  <c r="C850" i="122"/>
  <c r="B850" i="122" s="1"/>
  <c r="C851" i="122"/>
  <c r="B851" i="122" s="1"/>
  <c r="C852" i="122"/>
  <c r="B852" i="122" s="1"/>
  <c r="C853" i="122"/>
  <c r="B853" i="122" s="1"/>
  <c r="C854" i="122"/>
  <c r="B854" i="122" s="1"/>
  <c r="C855" i="122"/>
  <c r="B855" i="122" s="1"/>
  <c r="C856" i="122"/>
  <c r="B856" i="122" s="1"/>
  <c r="C857" i="122"/>
  <c r="B857" i="122" s="1"/>
  <c r="C858" i="122"/>
  <c r="B858" i="122" s="1"/>
  <c r="C859" i="122"/>
  <c r="B859" i="122" s="1"/>
  <c r="C860" i="122"/>
  <c r="B860" i="122" s="1"/>
  <c r="C861" i="122"/>
  <c r="B861" i="122" s="1"/>
  <c r="C862" i="122"/>
  <c r="B862" i="122" s="1"/>
  <c r="C863" i="122"/>
  <c r="B863" i="122" s="1"/>
  <c r="C864" i="122"/>
  <c r="B864" i="122" s="1"/>
  <c r="C865" i="122"/>
  <c r="B865" i="122" s="1"/>
  <c r="C866" i="122"/>
  <c r="B866" i="122" s="1"/>
  <c r="C867" i="122"/>
  <c r="B867" i="122" s="1"/>
  <c r="C868" i="122"/>
  <c r="B868" i="122" s="1"/>
  <c r="C869" i="122"/>
  <c r="B869" i="122" s="1"/>
  <c r="C870" i="122"/>
  <c r="B870" i="122" s="1"/>
  <c r="C871" i="122"/>
  <c r="B871" i="122" s="1"/>
  <c r="C872" i="122"/>
  <c r="B872" i="122" s="1"/>
  <c r="C873" i="122"/>
  <c r="B873" i="122" s="1"/>
  <c r="C874" i="122"/>
  <c r="B874" i="122" s="1"/>
  <c r="C875" i="122"/>
  <c r="B875" i="122" s="1"/>
  <c r="C876" i="122"/>
  <c r="B876" i="122" s="1"/>
  <c r="C877" i="122"/>
  <c r="B877" i="122" s="1"/>
  <c r="C878" i="122"/>
  <c r="B878" i="122" s="1"/>
  <c r="C879" i="122"/>
  <c r="B879" i="122" s="1"/>
  <c r="C880" i="122"/>
  <c r="B880" i="122" s="1"/>
  <c r="C881" i="122"/>
  <c r="B881" i="122" s="1"/>
  <c r="C882" i="122"/>
  <c r="B882" i="122" s="1"/>
  <c r="C883" i="122"/>
  <c r="B883" i="122" s="1"/>
  <c r="C884" i="122"/>
  <c r="B884" i="122" s="1"/>
  <c r="C885" i="122"/>
  <c r="B885" i="122" s="1"/>
  <c r="C886" i="122"/>
  <c r="B886" i="122" s="1"/>
  <c r="C887" i="122"/>
  <c r="B887" i="122" s="1"/>
  <c r="C888" i="122"/>
  <c r="B888" i="122" s="1"/>
  <c r="C889" i="122"/>
  <c r="B889" i="122" s="1"/>
  <c r="C890" i="122"/>
  <c r="B890" i="122" s="1"/>
  <c r="C891" i="122"/>
  <c r="B891" i="122" s="1"/>
  <c r="C892" i="122"/>
  <c r="B892" i="122" s="1"/>
  <c r="C893" i="122"/>
  <c r="B893" i="122" s="1"/>
  <c r="C894" i="122"/>
  <c r="B894" i="122" s="1"/>
  <c r="C895" i="122"/>
  <c r="B895" i="122" s="1"/>
  <c r="C896" i="122"/>
  <c r="B896" i="122" s="1"/>
  <c r="C897" i="122"/>
  <c r="B897" i="122" s="1"/>
  <c r="C898" i="122"/>
  <c r="B898" i="122" s="1"/>
  <c r="C899" i="122"/>
  <c r="B899" i="122" s="1"/>
  <c r="C900" i="122"/>
  <c r="B900" i="122" s="1"/>
  <c r="C901" i="122"/>
  <c r="B901" i="122" s="1"/>
  <c r="C902" i="122"/>
  <c r="B902" i="122" s="1"/>
  <c r="C903" i="122"/>
  <c r="B903" i="122" s="1"/>
  <c r="C904" i="122"/>
  <c r="B904" i="122" s="1"/>
  <c r="C905" i="122"/>
  <c r="B905" i="122" s="1"/>
  <c r="C906" i="122"/>
  <c r="B906" i="122" s="1"/>
  <c r="C907" i="122"/>
  <c r="B907" i="122" s="1"/>
  <c r="C908" i="122"/>
  <c r="B908" i="122" s="1"/>
  <c r="C909" i="122"/>
  <c r="B909" i="122" s="1"/>
  <c r="C910" i="122"/>
  <c r="B910" i="122" s="1"/>
  <c r="C911" i="122"/>
  <c r="B911" i="122" s="1"/>
  <c r="C912" i="122"/>
  <c r="B912" i="122" s="1"/>
  <c r="C913" i="122"/>
  <c r="B913" i="122" s="1"/>
  <c r="C914" i="122"/>
  <c r="B914" i="122" s="1"/>
  <c r="C915" i="122"/>
  <c r="B915" i="122" s="1"/>
  <c r="C916" i="122"/>
  <c r="B916" i="122" s="1"/>
  <c r="C917" i="122"/>
  <c r="B917" i="122" s="1"/>
  <c r="C918" i="122"/>
  <c r="B918" i="122" s="1"/>
  <c r="C919" i="122"/>
  <c r="B919" i="122" s="1"/>
  <c r="C920" i="122"/>
  <c r="B920" i="122" s="1"/>
  <c r="C921" i="122"/>
  <c r="B921" i="122" s="1"/>
  <c r="C922" i="122"/>
  <c r="B922" i="122" s="1"/>
  <c r="C923" i="122"/>
  <c r="B923" i="122" s="1"/>
  <c r="C924" i="122"/>
  <c r="B924" i="122" s="1"/>
  <c r="C925" i="122"/>
  <c r="B925" i="122" s="1"/>
  <c r="C926" i="122"/>
  <c r="B926" i="122" s="1"/>
  <c r="C927" i="122"/>
  <c r="B927" i="122" s="1"/>
  <c r="C928" i="122"/>
  <c r="B928" i="122" s="1"/>
  <c r="C929" i="122"/>
  <c r="B929" i="122" s="1"/>
  <c r="C930" i="122"/>
  <c r="B930" i="122" s="1"/>
  <c r="C931" i="122"/>
  <c r="B931" i="122" s="1"/>
  <c r="C932" i="122"/>
  <c r="B932" i="122" s="1"/>
  <c r="C933" i="122"/>
  <c r="B933" i="122" s="1"/>
  <c r="C934" i="122"/>
  <c r="B934" i="122" s="1"/>
  <c r="C935" i="122"/>
  <c r="B935" i="122" s="1"/>
  <c r="C936" i="122"/>
  <c r="B936" i="122" s="1"/>
  <c r="C937" i="122"/>
  <c r="B937" i="122" s="1"/>
  <c r="C938" i="122"/>
  <c r="B938" i="122" s="1"/>
  <c r="C939" i="122"/>
  <c r="B939" i="122" s="1"/>
  <c r="C940" i="122"/>
  <c r="B940" i="122" s="1"/>
  <c r="C941" i="122"/>
  <c r="B941" i="122" s="1"/>
  <c r="C942" i="122"/>
  <c r="B942" i="122" s="1"/>
  <c r="C943" i="122"/>
  <c r="B943" i="122" s="1"/>
  <c r="C944" i="122"/>
  <c r="B944" i="122" s="1"/>
  <c r="C945" i="122"/>
  <c r="B945" i="122" s="1"/>
  <c r="C946" i="122"/>
  <c r="B946" i="122" s="1"/>
  <c r="C947" i="122"/>
  <c r="B947" i="122" s="1"/>
  <c r="C948" i="122"/>
  <c r="B948" i="122" s="1"/>
  <c r="C949" i="122"/>
  <c r="B949" i="122" s="1"/>
  <c r="C950" i="122"/>
  <c r="B950" i="122" s="1"/>
  <c r="C951" i="122"/>
  <c r="B951" i="122" s="1"/>
  <c r="C952" i="122"/>
  <c r="B952" i="122" s="1"/>
  <c r="C953" i="122"/>
  <c r="B953" i="122" s="1"/>
  <c r="C954" i="122"/>
  <c r="B954" i="122" s="1"/>
  <c r="C955" i="122"/>
  <c r="B955" i="122" s="1"/>
  <c r="C956" i="122"/>
  <c r="B956" i="122" s="1"/>
  <c r="C957" i="122"/>
  <c r="B957" i="122" s="1"/>
  <c r="C958" i="122"/>
  <c r="B958" i="122" s="1"/>
  <c r="C959" i="122"/>
  <c r="B959" i="122" s="1"/>
  <c r="C960" i="122"/>
  <c r="B960" i="122" s="1"/>
  <c r="C961" i="122"/>
  <c r="B961" i="122" s="1"/>
  <c r="C962" i="122"/>
  <c r="B962" i="122" s="1"/>
  <c r="C963" i="122"/>
  <c r="B963" i="122" s="1"/>
  <c r="C964" i="122"/>
  <c r="B964" i="122" s="1"/>
  <c r="C965" i="122"/>
  <c r="B965" i="122" s="1"/>
  <c r="C966" i="122"/>
  <c r="B966" i="122" s="1"/>
  <c r="C967" i="122"/>
  <c r="B967" i="122" s="1"/>
  <c r="C968" i="122"/>
  <c r="B968" i="122" s="1"/>
  <c r="C969" i="122"/>
  <c r="B969" i="122" s="1"/>
  <c r="C970" i="122"/>
  <c r="B970" i="122" s="1"/>
  <c r="C971" i="122"/>
  <c r="B971" i="122" s="1"/>
  <c r="C972" i="122"/>
  <c r="B972" i="122" s="1"/>
  <c r="C973" i="122"/>
  <c r="B973" i="122" s="1"/>
  <c r="C974" i="122"/>
  <c r="B974" i="122" s="1"/>
  <c r="C975" i="122"/>
  <c r="B975" i="122" s="1"/>
  <c r="C976" i="122"/>
  <c r="B976" i="122" s="1"/>
  <c r="C977" i="122"/>
  <c r="B977" i="122" s="1"/>
  <c r="C978" i="122"/>
  <c r="B978" i="122" s="1"/>
  <c r="C979" i="122"/>
  <c r="B979" i="122" s="1"/>
  <c r="C980" i="122"/>
  <c r="B980" i="122" s="1"/>
  <c r="C981" i="122"/>
  <c r="B981" i="122" s="1"/>
  <c r="C982" i="122"/>
  <c r="B982" i="122" s="1"/>
  <c r="C983" i="122"/>
  <c r="B983" i="122" s="1"/>
  <c r="C984" i="122"/>
  <c r="B984" i="122" s="1"/>
  <c r="C985" i="122"/>
  <c r="B985" i="122" s="1"/>
  <c r="C986" i="122"/>
  <c r="B986" i="122" s="1"/>
  <c r="C987" i="122"/>
  <c r="B987" i="122" s="1"/>
  <c r="C988" i="122"/>
  <c r="B988" i="122" s="1"/>
  <c r="C989" i="122"/>
  <c r="B989" i="122" s="1"/>
  <c r="C990" i="122"/>
  <c r="B990" i="122" s="1"/>
  <c r="C991" i="122"/>
  <c r="B991" i="122" s="1"/>
  <c r="C992" i="122"/>
  <c r="B992" i="122" s="1"/>
  <c r="C993" i="122"/>
  <c r="B993" i="122" s="1"/>
  <c r="C994" i="122"/>
  <c r="B994" i="122" s="1"/>
  <c r="C995" i="122"/>
  <c r="B995" i="122" s="1"/>
  <c r="C996" i="122"/>
  <c r="B996" i="122" s="1"/>
  <c r="C997" i="122"/>
  <c r="B997" i="122" s="1"/>
  <c r="C998" i="122"/>
  <c r="B998" i="122" s="1"/>
  <c r="C999" i="122"/>
  <c r="B999" i="122" s="1"/>
  <c r="C1000" i="122"/>
  <c r="B1000" i="122" s="1"/>
  <c r="C1001" i="122"/>
  <c r="B1001" i="122" s="1"/>
  <c r="C1002" i="122"/>
  <c r="B1002" i="122" s="1"/>
  <c r="C1003" i="122"/>
  <c r="B1003" i="122" s="1"/>
  <c r="C1004" i="122"/>
  <c r="B1004" i="122" s="1"/>
  <c r="C1005" i="122"/>
  <c r="B1005" i="122" s="1"/>
  <c r="C1006" i="122"/>
  <c r="B1006" i="122" s="1"/>
  <c r="C1007" i="122"/>
  <c r="B1007" i="122" s="1"/>
  <c r="C1008" i="122"/>
  <c r="B1008" i="122" s="1"/>
  <c r="C1009" i="122"/>
  <c r="B1009" i="122" s="1"/>
  <c r="C1010" i="122"/>
  <c r="B1010" i="122" s="1"/>
  <c r="C1011" i="122"/>
  <c r="B1011" i="122" s="1"/>
  <c r="C1012" i="122"/>
  <c r="B1012" i="122" s="1"/>
  <c r="C1013" i="122"/>
  <c r="B1013" i="122" s="1"/>
  <c r="C1014" i="122"/>
  <c r="B1014" i="122" s="1"/>
  <c r="C1015" i="122"/>
  <c r="B1015" i="122" s="1"/>
  <c r="C1016" i="122"/>
  <c r="B1016" i="122" s="1"/>
  <c r="C1017" i="122"/>
  <c r="B1017" i="122" s="1"/>
  <c r="C1018" i="122"/>
  <c r="B1018" i="122" s="1"/>
  <c r="C1019" i="122"/>
  <c r="B1019" i="122" s="1"/>
  <c r="C1020" i="122"/>
  <c r="B1020" i="122" s="1"/>
  <c r="C1021" i="122"/>
  <c r="B1021" i="122" s="1"/>
  <c r="C1022" i="122"/>
  <c r="B1022" i="122" s="1"/>
  <c r="C1023" i="122"/>
  <c r="B1023" i="122" s="1"/>
  <c r="C1024" i="122"/>
  <c r="B1024" i="122" s="1"/>
  <c r="C1025" i="122"/>
  <c r="B1025" i="122" s="1"/>
  <c r="C1026" i="122"/>
  <c r="B1026" i="122" s="1"/>
  <c r="C1027" i="122"/>
  <c r="B1027" i="122" s="1"/>
  <c r="C1028" i="122"/>
  <c r="B1028" i="122" s="1"/>
  <c r="C1029" i="122"/>
  <c r="B1029" i="122" s="1"/>
  <c r="C1030" i="122"/>
  <c r="B1030" i="122" s="1"/>
  <c r="C1031" i="122"/>
  <c r="B1031" i="122" s="1"/>
  <c r="C1032" i="122"/>
  <c r="B1032" i="122" s="1"/>
  <c r="C1033" i="122"/>
  <c r="B1033" i="122" s="1"/>
  <c r="C1034" i="122"/>
  <c r="B1034" i="122" s="1"/>
  <c r="C1035" i="122"/>
  <c r="B1035" i="122" s="1"/>
  <c r="C1036" i="122"/>
  <c r="B1036" i="122" s="1"/>
  <c r="C1037" i="122"/>
  <c r="B1037" i="122" s="1"/>
  <c r="C1038" i="122"/>
  <c r="B1038" i="122" s="1"/>
  <c r="C1039" i="122"/>
  <c r="B1039" i="122" s="1"/>
  <c r="C1040" i="122"/>
  <c r="B1040" i="122" s="1"/>
  <c r="C1041" i="122"/>
  <c r="B1041" i="122" s="1"/>
  <c r="C1042" i="122"/>
  <c r="B1042" i="122" s="1"/>
  <c r="C1043" i="122"/>
  <c r="B1043" i="122" s="1"/>
  <c r="C1044" i="122"/>
  <c r="B1044" i="122" s="1"/>
  <c r="C1045" i="122"/>
  <c r="B1045" i="122" s="1"/>
  <c r="C1046" i="122"/>
  <c r="B1046" i="122" s="1"/>
  <c r="C1047" i="122"/>
  <c r="B1047" i="122" s="1"/>
  <c r="C1048" i="122"/>
  <c r="B1048" i="122" s="1"/>
  <c r="C1049" i="122"/>
  <c r="B1049" i="122" s="1"/>
  <c r="C1050" i="122"/>
  <c r="B1050" i="122" s="1"/>
  <c r="C1051" i="122"/>
  <c r="B1051" i="122" s="1"/>
  <c r="C1052" i="122"/>
  <c r="B1052" i="122" s="1"/>
  <c r="C1053" i="122"/>
  <c r="B1053" i="122" s="1"/>
  <c r="C1054" i="122"/>
  <c r="B1054" i="122" s="1"/>
  <c r="C1055" i="122"/>
  <c r="B1055" i="122" s="1"/>
  <c r="C1056" i="122"/>
  <c r="B1056" i="122" s="1"/>
  <c r="C1057" i="122"/>
  <c r="B1057" i="122" s="1"/>
  <c r="C1058" i="122"/>
  <c r="B1058" i="122" s="1"/>
  <c r="C1059" i="122"/>
  <c r="B1059" i="122" s="1"/>
  <c r="C1060" i="122"/>
  <c r="B1060" i="122" s="1"/>
  <c r="C1061" i="122"/>
  <c r="B1061" i="122" s="1"/>
  <c r="C1062" i="122"/>
  <c r="B1062" i="122" s="1"/>
  <c r="C1063" i="122"/>
  <c r="B1063" i="122" s="1"/>
  <c r="C1064" i="122"/>
  <c r="B1064" i="122" s="1"/>
  <c r="C1065" i="122"/>
  <c r="B1065" i="122" s="1"/>
  <c r="C1066" i="122"/>
  <c r="B1066" i="122" s="1"/>
  <c r="C1067" i="122"/>
  <c r="B1067" i="122" s="1"/>
  <c r="C1068" i="122"/>
  <c r="B1068" i="122" s="1"/>
  <c r="C1069" i="122"/>
  <c r="B1069" i="122" s="1"/>
  <c r="C1070" i="122"/>
  <c r="B1070" i="122" s="1"/>
  <c r="C1071" i="122"/>
  <c r="B1071" i="122" s="1"/>
  <c r="C1072" i="122"/>
  <c r="B1072" i="122" s="1"/>
  <c r="C1073" i="122"/>
  <c r="B1073" i="122" s="1"/>
  <c r="C1074" i="122"/>
  <c r="B1074" i="122" s="1"/>
  <c r="C1075" i="122"/>
  <c r="B1075" i="122" s="1"/>
  <c r="C1076" i="122"/>
  <c r="B1076" i="122" s="1"/>
  <c r="C1077" i="122"/>
  <c r="B1077" i="122" s="1"/>
  <c r="C1078" i="122"/>
  <c r="B1078" i="122" s="1"/>
  <c r="C1079" i="122"/>
  <c r="B1079" i="122" s="1"/>
  <c r="C1080" i="122"/>
  <c r="B1080" i="122" s="1"/>
  <c r="C1081" i="122"/>
  <c r="B1081" i="122" s="1"/>
  <c r="C1082" i="122"/>
  <c r="B1082" i="122" s="1"/>
  <c r="C1083" i="122"/>
  <c r="B1083" i="122" s="1"/>
  <c r="C1084" i="122"/>
  <c r="B1084" i="122" s="1"/>
  <c r="C1085" i="122"/>
  <c r="B1085" i="122" s="1"/>
  <c r="C1086" i="122"/>
  <c r="B1086" i="122" s="1"/>
  <c r="C1087" i="122"/>
  <c r="B1087" i="122" s="1"/>
  <c r="C1088" i="122"/>
  <c r="B1088" i="122" s="1"/>
  <c r="C1089" i="122"/>
  <c r="B1089" i="122" s="1"/>
  <c r="C1090" i="122"/>
  <c r="B1090" i="122" s="1"/>
  <c r="C1091" i="122"/>
  <c r="B1091" i="122" s="1"/>
  <c r="C1092" i="122"/>
  <c r="B1092" i="122" s="1"/>
  <c r="C1093" i="122"/>
  <c r="B1093" i="122" s="1"/>
  <c r="C1094" i="122"/>
  <c r="B1094" i="122" s="1"/>
  <c r="C1095" i="122"/>
  <c r="B1095" i="122" s="1"/>
  <c r="C1096" i="122"/>
  <c r="B1096" i="122" s="1"/>
  <c r="C1097" i="122"/>
  <c r="B1097" i="122" s="1"/>
  <c r="C1098" i="122"/>
  <c r="B1098" i="122" s="1"/>
  <c r="C1099" i="122"/>
  <c r="B1099" i="122" s="1"/>
  <c r="C1100" i="122"/>
  <c r="B1100" i="122" s="1"/>
  <c r="C1101" i="122"/>
  <c r="B1101" i="122" s="1"/>
  <c r="C1102" i="122"/>
  <c r="B1102" i="122" s="1"/>
  <c r="C1103" i="122"/>
  <c r="B1103" i="122" s="1"/>
  <c r="C1104" i="122"/>
  <c r="B1104" i="122" s="1"/>
  <c r="C1105" i="122"/>
  <c r="B1105" i="122" s="1"/>
  <c r="C1106" i="122"/>
  <c r="B1106" i="122" s="1"/>
  <c r="C1107" i="122"/>
  <c r="B1107" i="122" s="1"/>
  <c r="C1108" i="122"/>
  <c r="B1108" i="122" s="1"/>
  <c r="C1109" i="122"/>
  <c r="B1109" i="122" s="1"/>
  <c r="C1110" i="122"/>
  <c r="B1110" i="122" s="1"/>
  <c r="C1111" i="122"/>
  <c r="B1111" i="122" s="1"/>
  <c r="C1112" i="122"/>
  <c r="B1112" i="122" s="1"/>
  <c r="C1113" i="122"/>
  <c r="B1113" i="122" s="1"/>
  <c r="C1114" i="122"/>
  <c r="B1114" i="122" s="1"/>
  <c r="C1115" i="122"/>
  <c r="B1115" i="122" s="1"/>
  <c r="C1116" i="122"/>
  <c r="B1116" i="122" s="1"/>
  <c r="C1117" i="122"/>
  <c r="B1117" i="122" s="1"/>
  <c r="C1118" i="122"/>
  <c r="B1118" i="122" s="1"/>
  <c r="C1119" i="122"/>
  <c r="B1119" i="122" s="1"/>
  <c r="C1120" i="122"/>
  <c r="B1120" i="122" s="1"/>
  <c r="C1121" i="122"/>
  <c r="B1121" i="122" s="1"/>
  <c r="C1122" i="122"/>
  <c r="B1122" i="122" s="1"/>
  <c r="C1123" i="122"/>
  <c r="B1123" i="122" s="1"/>
  <c r="C1124" i="122"/>
  <c r="B1124" i="122" s="1"/>
  <c r="C1125" i="122"/>
  <c r="B1125" i="122" s="1"/>
  <c r="C1126" i="122"/>
  <c r="B1126" i="122" s="1"/>
  <c r="C1127" i="122"/>
  <c r="B1127" i="122" s="1"/>
  <c r="C1128" i="122"/>
  <c r="B1128" i="122" s="1"/>
  <c r="C1129" i="122"/>
  <c r="B1129" i="122" s="1"/>
  <c r="C1130" i="122"/>
  <c r="B1130" i="122" s="1"/>
  <c r="C1131" i="122"/>
  <c r="B1131" i="122" s="1"/>
  <c r="C1132" i="122"/>
  <c r="B1132" i="122" s="1"/>
  <c r="C1133" i="122"/>
  <c r="B1133" i="122" s="1"/>
  <c r="C1134" i="122"/>
  <c r="B1134" i="122" s="1"/>
  <c r="C1135" i="122"/>
  <c r="B1135" i="122" s="1"/>
  <c r="C1136" i="122"/>
  <c r="B1136" i="122" s="1"/>
  <c r="C1137" i="122"/>
  <c r="B1137" i="122" s="1"/>
  <c r="C1138" i="122"/>
  <c r="B1138" i="122" s="1"/>
  <c r="C1139" i="122"/>
  <c r="B1139" i="122" s="1"/>
  <c r="C1140" i="122"/>
  <c r="B1140" i="122" s="1"/>
  <c r="C1141" i="122"/>
  <c r="B1141" i="122" s="1"/>
  <c r="C1142" i="122"/>
  <c r="B1142" i="122" s="1"/>
  <c r="C1143" i="122"/>
  <c r="B1143" i="122" s="1"/>
  <c r="C1144" i="122"/>
  <c r="B1144" i="122" s="1"/>
  <c r="C1145" i="122"/>
  <c r="B1145" i="122" s="1"/>
  <c r="C1146" i="122"/>
  <c r="B1146" i="122" s="1"/>
  <c r="C1147" i="122"/>
  <c r="B1147" i="122" s="1"/>
  <c r="C1148" i="122"/>
  <c r="B1148" i="122" s="1"/>
  <c r="C1149" i="122"/>
  <c r="B1149" i="122" s="1"/>
  <c r="C1150" i="122"/>
  <c r="B1150" i="122" s="1"/>
  <c r="C1151" i="122"/>
  <c r="B1151" i="122" s="1"/>
  <c r="C1152" i="122"/>
  <c r="B1152" i="122" s="1"/>
  <c r="C1153" i="122"/>
  <c r="B1153" i="122" s="1"/>
  <c r="C1154" i="122"/>
  <c r="B1154" i="122" s="1"/>
  <c r="C1155" i="122"/>
  <c r="B1155" i="122" s="1"/>
  <c r="C1156" i="122"/>
  <c r="B1156" i="122" s="1"/>
  <c r="C1157" i="122"/>
  <c r="B1157" i="122" s="1"/>
  <c r="C1158" i="122"/>
  <c r="B1158" i="122" s="1"/>
  <c r="C1159" i="122"/>
  <c r="B1159" i="122" s="1"/>
  <c r="C1160" i="122"/>
  <c r="B1160" i="122" s="1"/>
  <c r="C1161" i="122"/>
  <c r="B1161" i="122" s="1"/>
  <c r="C1162" i="122"/>
  <c r="B1162" i="122" s="1"/>
  <c r="C1163" i="122"/>
  <c r="B1163" i="122" s="1"/>
  <c r="C1164" i="122"/>
  <c r="B1164" i="122" s="1"/>
  <c r="C1165" i="122"/>
  <c r="B1165" i="122" s="1"/>
  <c r="C1166" i="122"/>
  <c r="B1166" i="122" s="1"/>
  <c r="C1167" i="122"/>
  <c r="B1167" i="122" s="1"/>
  <c r="C1168" i="122"/>
  <c r="B1168" i="122" s="1"/>
  <c r="C1169" i="122"/>
  <c r="B1169" i="122" s="1"/>
  <c r="C1170" i="122"/>
  <c r="B1170" i="122" s="1"/>
  <c r="C1171" i="122"/>
  <c r="B1171" i="122" s="1"/>
  <c r="C1172" i="122"/>
  <c r="B1172" i="122" s="1"/>
  <c r="C1173" i="122"/>
  <c r="B1173" i="122" s="1"/>
  <c r="C1174" i="122"/>
  <c r="B1174" i="122" s="1"/>
  <c r="C1175" i="122"/>
  <c r="B1175" i="122" s="1"/>
  <c r="C1176" i="122"/>
  <c r="B1176" i="122" s="1"/>
  <c r="C1177" i="122"/>
  <c r="B1177" i="122" s="1"/>
  <c r="C1178" i="122"/>
  <c r="B1178" i="122" s="1"/>
  <c r="C1179" i="122"/>
  <c r="B1179" i="122" s="1"/>
  <c r="C1180" i="122"/>
  <c r="B1180" i="122" s="1"/>
  <c r="C1181" i="122"/>
  <c r="B1181" i="122" s="1"/>
  <c r="C1182" i="122"/>
  <c r="B1182" i="122" s="1"/>
  <c r="C1183" i="122"/>
  <c r="B1183" i="122" s="1"/>
  <c r="C1184" i="122"/>
  <c r="B1184" i="122" s="1"/>
  <c r="C1185" i="122"/>
  <c r="B1185" i="122" s="1"/>
  <c r="C1186" i="122"/>
  <c r="B1186" i="122" s="1"/>
  <c r="C1187" i="122"/>
  <c r="B1187" i="122" s="1"/>
  <c r="C1188" i="122"/>
  <c r="B1188" i="122" s="1"/>
  <c r="C1189" i="122"/>
  <c r="B1189" i="122" s="1"/>
  <c r="C1190" i="122"/>
  <c r="B1190" i="122" s="1"/>
  <c r="C1191" i="122"/>
  <c r="B1191" i="122" s="1"/>
  <c r="C1192" i="122"/>
  <c r="B1192" i="122" s="1"/>
  <c r="C1193" i="122"/>
  <c r="B1193" i="122" s="1"/>
  <c r="C1194" i="122"/>
  <c r="B1194" i="122" s="1"/>
  <c r="C1195" i="122"/>
  <c r="B1195" i="122" s="1"/>
  <c r="C1196" i="122"/>
  <c r="B1196" i="122" s="1"/>
  <c r="C1197" i="122"/>
  <c r="B1197" i="122" s="1"/>
  <c r="C1198" i="122"/>
  <c r="B1198" i="122" s="1"/>
  <c r="C1199" i="122"/>
  <c r="B1199" i="122" s="1"/>
  <c r="C1200" i="122"/>
  <c r="B1200" i="122" s="1"/>
  <c r="C1201" i="122"/>
  <c r="B1201" i="122" s="1"/>
  <c r="C1202" i="122"/>
  <c r="B1202" i="122" s="1"/>
  <c r="C1203" i="122"/>
  <c r="B1203" i="122" s="1"/>
  <c r="C1204" i="122"/>
  <c r="B1204" i="122" s="1"/>
  <c r="C1205" i="122"/>
  <c r="B1205" i="122" s="1"/>
  <c r="C1206" i="122"/>
  <c r="B1206" i="122" s="1"/>
  <c r="C1207" i="122"/>
  <c r="B1207" i="122" s="1"/>
  <c r="C1208" i="122"/>
  <c r="B1208" i="122" s="1"/>
  <c r="C1209" i="122"/>
  <c r="B1209" i="122" s="1"/>
  <c r="C1210" i="122"/>
  <c r="B1210" i="122" s="1"/>
  <c r="C1211" i="122"/>
  <c r="B1211" i="122" s="1"/>
  <c r="C1212" i="122"/>
  <c r="B1212" i="122" s="1"/>
  <c r="C1213" i="122"/>
  <c r="B1213" i="122" s="1"/>
  <c r="C1214" i="122"/>
  <c r="B1214" i="122" s="1"/>
  <c r="C1215" i="122"/>
  <c r="B1215" i="122" s="1"/>
  <c r="C1216" i="122"/>
  <c r="B1216" i="122" s="1"/>
  <c r="C1217" i="122"/>
  <c r="B1217" i="122" s="1"/>
  <c r="C1218" i="122"/>
  <c r="B1218" i="122" s="1"/>
  <c r="C1219" i="122"/>
  <c r="B1219" i="122" s="1"/>
  <c r="C1220" i="122"/>
  <c r="B1220" i="122" s="1"/>
  <c r="C1221" i="122"/>
  <c r="B1221" i="122" s="1"/>
  <c r="C1222" i="122"/>
  <c r="B1222" i="122" s="1"/>
  <c r="C1223" i="122"/>
  <c r="B1223" i="122" s="1"/>
  <c r="C1224" i="122"/>
  <c r="B1224" i="122" s="1"/>
  <c r="C1225" i="122"/>
  <c r="B1225" i="122" s="1"/>
  <c r="C1226" i="122"/>
  <c r="B1226" i="122" s="1"/>
  <c r="C1227" i="122"/>
  <c r="B1227" i="122" s="1"/>
  <c r="C1228" i="122"/>
  <c r="B1228" i="122" s="1"/>
  <c r="C1229" i="122"/>
  <c r="B1229" i="122" s="1"/>
  <c r="C1230" i="122"/>
  <c r="B1230" i="122" s="1"/>
  <c r="C1231" i="122"/>
  <c r="B1231" i="122" s="1"/>
  <c r="C1232" i="122"/>
  <c r="B1232" i="122" s="1"/>
  <c r="C1233" i="122"/>
  <c r="B1233" i="122" s="1"/>
  <c r="C1234" i="122"/>
  <c r="B1234" i="122" s="1"/>
  <c r="C1235" i="122"/>
  <c r="B1235" i="122" s="1"/>
  <c r="C1236" i="122"/>
  <c r="B1236" i="122" s="1"/>
  <c r="C1237" i="122"/>
  <c r="B1237" i="122" s="1"/>
  <c r="C1238" i="122"/>
  <c r="B1238" i="122" s="1"/>
  <c r="C1239" i="122"/>
  <c r="B1239" i="122" s="1"/>
  <c r="C1240" i="122"/>
  <c r="B1240" i="122" s="1"/>
  <c r="C1241" i="122"/>
  <c r="B1241" i="122" s="1"/>
  <c r="C1242" i="122"/>
  <c r="B1242" i="122" s="1"/>
  <c r="C1243" i="122"/>
  <c r="B1243" i="122" s="1"/>
  <c r="C1244" i="122"/>
  <c r="B1244" i="122" s="1"/>
  <c r="C1245" i="122"/>
  <c r="B1245" i="122" s="1"/>
  <c r="C1246" i="122"/>
  <c r="B1246" i="122" s="1"/>
  <c r="C1247" i="122"/>
  <c r="B1247" i="122" s="1"/>
  <c r="C1248" i="122"/>
  <c r="B1248" i="122" s="1"/>
  <c r="C1249" i="122"/>
  <c r="B1249" i="122" s="1"/>
  <c r="C1250" i="122"/>
  <c r="B1250" i="122" s="1"/>
  <c r="C1251" i="122"/>
  <c r="B1251" i="122" s="1"/>
  <c r="C1252" i="122"/>
  <c r="B1252" i="122" s="1"/>
  <c r="C1253" i="122"/>
  <c r="B1253" i="122" s="1"/>
  <c r="C1254" i="122"/>
  <c r="B1254" i="122" s="1"/>
  <c r="C1255" i="122"/>
  <c r="B1255" i="122" s="1"/>
  <c r="C1256" i="122"/>
  <c r="B1256" i="122" s="1"/>
  <c r="C1257" i="122"/>
  <c r="B1257" i="122" s="1"/>
  <c r="C1258" i="122"/>
  <c r="B1258" i="122" s="1"/>
  <c r="C1259" i="122"/>
  <c r="B1259" i="122" s="1"/>
  <c r="C1260" i="122"/>
  <c r="B1260" i="122" s="1"/>
  <c r="C1261" i="122"/>
  <c r="B1261" i="122" s="1"/>
  <c r="C1262" i="122"/>
  <c r="B1262" i="122" s="1"/>
  <c r="C1263" i="122"/>
  <c r="B1263" i="122" s="1"/>
  <c r="C1264" i="122"/>
  <c r="B1264" i="122" s="1"/>
  <c r="C1265" i="122"/>
  <c r="B1265" i="122" s="1"/>
  <c r="C1266" i="122"/>
  <c r="B1266" i="122" s="1"/>
  <c r="C1267" i="122"/>
  <c r="B1267" i="122" s="1"/>
  <c r="C1268" i="122"/>
  <c r="B1268" i="122" s="1"/>
  <c r="C1269" i="122"/>
  <c r="B1269" i="122" s="1"/>
  <c r="C1270" i="122"/>
  <c r="B1270" i="122" s="1"/>
  <c r="C1271" i="122"/>
  <c r="B1271" i="122" s="1"/>
  <c r="C1272" i="122"/>
  <c r="B1272" i="122" s="1"/>
  <c r="C1273" i="122"/>
  <c r="B1273" i="122" s="1"/>
  <c r="C1274" i="122"/>
  <c r="B1274" i="122" s="1"/>
  <c r="C1275" i="122"/>
  <c r="B1275" i="122" s="1"/>
  <c r="C1276" i="122"/>
  <c r="B1276" i="122" s="1"/>
  <c r="C1277" i="122"/>
  <c r="B1277" i="122" s="1"/>
  <c r="C1278" i="122"/>
  <c r="B1278" i="122" s="1"/>
  <c r="C1279" i="122"/>
  <c r="B1279" i="122" s="1"/>
  <c r="C1280" i="122"/>
  <c r="B1280" i="122" s="1"/>
  <c r="C1281" i="122"/>
  <c r="B1281" i="122" s="1"/>
  <c r="C1282" i="122"/>
  <c r="B1282" i="122" s="1"/>
  <c r="C1283" i="122"/>
  <c r="B1283" i="122" s="1"/>
  <c r="C1284" i="122"/>
  <c r="B1284" i="122" s="1"/>
  <c r="C1285" i="122"/>
  <c r="B1285" i="122" s="1"/>
  <c r="C1286" i="122"/>
  <c r="B1286" i="122" s="1"/>
  <c r="C1287" i="122"/>
  <c r="B1287" i="122" s="1"/>
  <c r="C1288" i="122"/>
  <c r="B1288" i="122" s="1"/>
  <c r="C1289" i="122"/>
  <c r="B1289" i="122" s="1"/>
  <c r="C1290" i="122"/>
  <c r="B1290" i="122" s="1"/>
  <c r="C1291" i="122"/>
  <c r="B1291" i="122" s="1"/>
  <c r="C1292" i="122"/>
  <c r="B1292" i="122" s="1"/>
  <c r="C1293" i="122"/>
  <c r="B1293" i="122" s="1"/>
  <c r="C1294" i="122"/>
  <c r="B1294" i="122" s="1"/>
  <c r="C1295" i="122"/>
  <c r="B1295" i="122" s="1"/>
  <c r="C1296" i="122"/>
  <c r="B1296" i="122" s="1"/>
  <c r="C1297" i="122"/>
  <c r="B1297" i="122" s="1"/>
  <c r="C1298" i="122"/>
  <c r="B1298" i="122" s="1"/>
  <c r="C1299" i="122"/>
  <c r="B1299" i="122" s="1"/>
  <c r="C1300" i="122"/>
  <c r="B1300" i="122" s="1"/>
  <c r="C1301" i="122"/>
  <c r="B1301" i="122" s="1"/>
  <c r="C1302" i="122"/>
  <c r="B1302" i="122" s="1"/>
  <c r="C1303" i="122"/>
  <c r="B1303" i="122" s="1"/>
  <c r="C1304" i="122"/>
  <c r="B1304" i="122" s="1"/>
  <c r="C1305" i="122"/>
  <c r="B1305" i="122" s="1"/>
  <c r="C1306" i="122"/>
  <c r="B1306" i="122" s="1"/>
  <c r="C1307" i="122"/>
  <c r="B1307" i="122" s="1"/>
  <c r="C1308" i="122"/>
  <c r="B1308" i="122" s="1"/>
  <c r="C1309" i="122"/>
  <c r="B1309" i="122" s="1"/>
  <c r="C1310" i="122"/>
  <c r="B1310" i="122" s="1"/>
  <c r="C1311" i="122"/>
  <c r="B1311" i="122" s="1"/>
  <c r="C1312" i="122"/>
  <c r="B1312" i="122" s="1"/>
  <c r="C1313" i="122"/>
  <c r="B1313" i="122" s="1"/>
  <c r="C1314" i="122"/>
  <c r="B1314" i="122" s="1"/>
  <c r="C1315" i="122"/>
  <c r="B1315" i="122" s="1"/>
  <c r="C1316" i="122"/>
  <c r="B1316" i="122" s="1"/>
  <c r="C1317" i="122"/>
  <c r="B1317" i="122" s="1"/>
  <c r="C1318" i="122"/>
  <c r="B1318" i="122" s="1"/>
  <c r="C1319" i="122"/>
  <c r="B1319" i="122" s="1"/>
  <c r="C1320" i="122"/>
  <c r="B1320" i="122" s="1"/>
  <c r="C1321" i="122"/>
  <c r="B1321" i="122" s="1"/>
  <c r="C1322" i="122"/>
  <c r="B1322" i="122" s="1"/>
  <c r="C1323" i="122"/>
  <c r="B1323" i="122" s="1"/>
  <c r="C1324" i="122"/>
  <c r="B1324" i="122" s="1"/>
  <c r="C1325" i="122"/>
  <c r="B1325" i="122" s="1"/>
  <c r="C1326" i="122"/>
  <c r="B1326" i="122" s="1"/>
  <c r="C1327" i="122"/>
  <c r="B1327" i="122" s="1"/>
  <c r="C1328" i="122"/>
  <c r="B1328" i="122" s="1"/>
  <c r="C1329" i="122"/>
  <c r="B1329" i="122" s="1"/>
  <c r="C1330" i="122"/>
  <c r="B1330" i="122" s="1"/>
  <c r="C1331" i="122"/>
  <c r="B1331" i="122" s="1"/>
  <c r="C1332" i="122"/>
  <c r="B1332" i="122" s="1"/>
  <c r="C1333" i="122"/>
  <c r="B1333" i="122" s="1"/>
  <c r="C1334" i="122"/>
  <c r="B1334" i="122" s="1"/>
  <c r="C1335" i="122"/>
  <c r="B1335" i="122" s="1"/>
  <c r="C1336" i="122"/>
  <c r="B1336" i="122" s="1"/>
  <c r="C1337" i="122"/>
  <c r="B1337" i="122" s="1"/>
  <c r="C1338" i="122"/>
  <c r="B1338" i="122" s="1"/>
  <c r="C1339" i="122"/>
  <c r="B1339" i="122" s="1"/>
  <c r="C1340" i="122"/>
  <c r="B1340" i="122" s="1"/>
  <c r="C1341" i="122"/>
  <c r="B1341" i="122" s="1"/>
  <c r="C1342" i="122"/>
  <c r="B1342" i="122" s="1"/>
  <c r="C1343" i="122"/>
  <c r="B1343" i="122" s="1"/>
  <c r="C1344" i="122"/>
  <c r="B1344" i="122" s="1"/>
  <c r="C1345" i="122"/>
  <c r="B1345" i="122" s="1"/>
  <c r="C1346" i="122"/>
  <c r="B1346" i="122" s="1"/>
  <c r="C1347" i="122"/>
  <c r="B1347" i="122" s="1"/>
  <c r="C1348" i="122"/>
  <c r="B1348" i="122" s="1"/>
  <c r="C1349" i="122"/>
  <c r="B1349" i="122" s="1"/>
  <c r="C1350" i="122"/>
  <c r="B1350" i="122" s="1"/>
  <c r="C1351" i="122"/>
  <c r="B1351" i="122" s="1"/>
  <c r="C1352" i="122"/>
  <c r="B1352" i="122" s="1"/>
  <c r="C1353" i="122"/>
  <c r="B1353" i="122" s="1"/>
  <c r="C1354" i="122"/>
  <c r="B1354" i="122" s="1"/>
  <c r="C1355" i="122"/>
  <c r="B1355" i="122" s="1"/>
  <c r="C1356" i="122"/>
  <c r="B1356" i="122" s="1"/>
  <c r="C1357" i="122"/>
  <c r="B1357" i="122" s="1"/>
  <c r="C1358" i="122"/>
  <c r="B1358" i="122" s="1"/>
  <c r="C1359" i="122"/>
  <c r="B1359" i="122" s="1"/>
  <c r="C1360" i="122"/>
  <c r="B1360" i="122" s="1"/>
  <c r="C1361" i="122"/>
  <c r="B1361" i="122" s="1"/>
  <c r="C1362" i="122"/>
  <c r="B1362" i="122" s="1"/>
  <c r="C1363" i="122"/>
  <c r="B1363" i="122" s="1"/>
  <c r="C1364" i="122"/>
  <c r="B1364" i="122" s="1"/>
  <c r="C1365" i="122"/>
  <c r="B1365" i="122" s="1"/>
  <c r="C1366" i="122"/>
  <c r="B1366" i="122" s="1"/>
  <c r="C1367" i="122"/>
  <c r="B1367" i="122" s="1"/>
  <c r="C1368" i="122"/>
  <c r="B1368" i="122" s="1"/>
  <c r="C1369" i="122"/>
  <c r="B1369" i="122" s="1"/>
  <c r="C1370" i="122"/>
  <c r="B1370" i="122" s="1"/>
  <c r="C1371" i="122"/>
  <c r="B1371" i="122" s="1"/>
  <c r="C1372" i="122"/>
  <c r="B1372" i="122" s="1"/>
  <c r="C1373" i="122"/>
  <c r="B1373" i="122" s="1"/>
  <c r="C1374" i="122"/>
  <c r="B1374" i="122" s="1"/>
  <c r="C1375" i="122"/>
  <c r="B1375" i="122" s="1"/>
  <c r="C1376" i="122"/>
  <c r="B1376" i="122" s="1"/>
  <c r="C1377" i="122"/>
  <c r="B1377" i="122" s="1"/>
  <c r="C1378" i="122"/>
  <c r="B1378" i="122" s="1"/>
  <c r="C1379" i="122"/>
  <c r="B1379" i="122" s="1"/>
  <c r="C1380" i="122"/>
  <c r="B1380" i="122" s="1"/>
  <c r="C1381" i="122"/>
  <c r="B1381" i="122" s="1"/>
  <c r="C1382" i="122"/>
  <c r="B1382" i="122" s="1"/>
  <c r="C1383" i="122"/>
  <c r="B1383" i="122" s="1"/>
  <c r="C1384" i="122"/>
  <c r="B1384" i="122" s="1"/>
  <c r="C1385" i="122"/>
  <c r="B1385" i="122" s="1"/>
  <c r="C1386" i="122"/>
  <c r="B1386" i="122" s="1"/>
  <c r="C1387" i="122"/>
  <c r="B1387" i="122" s="1"/>
  <c r="C1388" i="122"/>
  <c r="B1388" i="122" s="1"/>
  <c r="C1389" i="122"/>
  <c r="B1389" i="122" s="1"/>
  <c r="C1390" i="122"/>
  <c r="B1390" i="122" s="1"/>
  <c r="C1391" i="122"/>
  <c r="B1391" i="122" s="1"/>
  <c r="C1392" i="122"/>
  <c r="B1392" i="122" s="1"/>
  <c r="C1393" i="122"/>
  <c r="B1393" i="122" s="1"/>
  <c r="C1394" i="122"/>
  <c r="B1394" i="122" s="1"/>
  <c r="C1395" i="122"/>
  <c r="B1395" i="122" s="1"/>
  <c r="C1396" i="122"/>
  <c r="B1396" i="122" s="1"/>
  <c r="C1397" i="122"/>
  <c r="B1397" i="122" s="1"/>
  <c r="C1398" i="122"/>
  <c r="B1398" i="122" s="1"/>
  <c r="C1399" i="122"/>
  <c r="B1399" i="122" s="1"/>
  <c r="C1400" i="122"/>
  <c r="B1400" i="122" s="1"/>
  <c r="C1401" i="122"/>
  <c r="B1401" i="122" s="1"/>
  <c r="C1402" i="122"/>
  <c r="B1402" i="122" s="1"/>
  <c r="C1403" i="122"/>
  <c r="B1403" i="122" s="1"/>
  <c r="C1404" i="122"/>
  <c r="B1404" i="122" s="1"/>
  <c r="C1405" i="122"/>
  <c r="B1405" i="122" s="1"/>
  <c r="C1406" i="122"/>
  <c r="B1406" i="122" s="1"/>
  <c r="C1407" i="122"/>
  <c r="B1407" i="122" s="1"/>
  <c r="C1408" i="122"/>
  <c r="B1408" i="122" s="1"/>
  <c r="C1409" i="122"/>
  <c r="B1409" i="122" s="1"/>
  <c r="C1410" i="122"/>
  <c r="B1410" i="122" s="1"/>
  <c r="C1411" i="122"/>
  <c r="B1411" i="122" s="1"/>
  <c r="C1412" i="122"/>
  <c r="B1412" i="122" s="1"/>
  <c r="C1413" i="122"/>
  <c r="B1413" i="122" s="1"/>
  <c r="C1414" i="122"/>
  <c r="B1414" i="122" s="1"/>
  <c r="C1415" i="122"/>
  <c r="B1415" i="122" s="1"/>
  <c r="C1416" i="122"/>
  <c r="B1416" i="122" s="1"/>
  <c r="C1417" i="122"/>
  <c r="B1417" i="122" s="1"/>
  <c r="C1418" i="122"/>
  <c r="B1418" i="122" s="1"/>
  <c r="C1419" i="122"/>
  <c r="B1419" i="122" s="1"/>
  <c r="C1420" i="122"/>
  <c r="B1420" i="122" s="1"/>
  <c r="C1421" i="122"/>
  <c r="B1421" i="122" s="1"/>
  <c r="C1422" i="122"/>
  <c r="B1422" i="122" s="1"/>
  <c r="C1423" i="122"/>
  <c r="B1423" i="122" s="1"/>
  <c r="C1424" i="122"/>
  <c r="B1424" i="122" s="1"/>
  <c r="C1425" i="122"/>
  <c r="B1425" i="122" s="1"/>
  <c r="C1426" i="122"/>
  <c r="B1426" i="122" s="1"/>
  <c r="C1427" i="122"/>
  <c r="B1427" i="122" s="1"/>
  <c r="C1428" i="122"/>
  <c r="B1428" i="122" s="1"/>
  <c r="C1429" i="122"/>
  <c r="B1429" i="122" s="1"/>
  <c r="C1430" i="122"/>
  <c r="B1430" i="122" s="1"/>
  <c r="C1431" i="122"/>
  <c r="B1431" i="122" s="1"/>
  <c r="C1432" i="122"/>
  <c r="B1432" i="122" s="1"/>
  <c r="C1433" i="122"/>
  <c r="B1433" i="122" s="1"/>
  <c r="C1434" i="122"/>
  <c r="B1434" i="122" s="1"/>
  <c r="C1435" i="122"/>
  <c r="B1435" i="122" s="1"/>
  <c r="C1436" i="122"/>
  <c r="B1436" i="122" s="1"/>
  <c r="C1437" i="122"/>
  <c r="B1437" i="122" s="1"/>
  <c r="C1438" i="122"/>
  <c r="B1438" i="122" s="1"/>
  <c r="C1439" i="122"/>
  <c r="B1439" i="122" s="1"/>
  <c r="C1440" i="122"/>
  <c r="B1440" i="122" s="1"/>
  <c r="C1441" i="122"/>
  <c r="B1441" i="122" s="1"/>
  <c r="C1442" i="122"/>
  <c r="B1442" i="122" s="1"/>
  <c r="C1443" i="122"/>
  <c r="B1443" i="122" s="1"/>
  <c r="C1444" i="122"/>
  <c r="B1444" i="122" s="1"/>
  <c r="C1445" i="122"/>
  <c r="B1445" i="122" s="1"/>
  <c r="C1446" i="122"/>
  <c r="B1446" i="122" s="1"/>
  <c r="C1447" i="122"/>
  <c r="B1447" i="122" s="1"/>
  <c r="C1448" i="122"/>
  <c r="B1448" i="122" s="1"/>
  <c r="C1449" i="122"/>
  <c r="B1449" i="122" s="1"/>
  <c r="C1450" i="122"/>
  <c r="B1450" i="122" s="1"/>
  <c r="C1451" i="122"/>
  <c r="B1451" i="122" s="1"/>
  <c r="C1452" i="122"/>
  <c r="B1452" i="122" s="1"/>
  <c r="C1453" i="122"/>
  <c r="B1453" i="122" s="1"/>
  <c r="C1454" i="122"/>
  <c r="B1454" i="122" s="1"/>
  <c r="C1455" i="122"/>
  <c r="B1455" i="122" s="1"/>
  <c r="C1456" i="122"/>
  <c r="B1456" i="122" s="1"/>
  <c r="C1457" i="122"/>
  <c r="B1457" i="122" s="1"/>
  <c r="C1458" i="122"/>
  <c r="B1458" i="122" s="1"/>
  <c r="C1459" i="122"/>
  <c r="B1459" i="122" s="1"/>
  <c r="C1460" i="122"/>
  <c r="B1460" i="122" s="1"/>
  <c r="C1461" i="122"/>
  <c r="B1461" i="122" s="1"/>
  <c r="C1462" i="122"/>
  <c r="B1462" i="122" s="1"/>
  <c r="C1463" i="122"/>
  <c r="B1463" i="122" s="1"/>
  <c r="C1464" i="122"/>
  <c r="B1464" i="122" s="1"/>
  <c r="C1465" i="122"/>
  <c r="B1465" i="122" s="1"/>
  <c r="C1466" i="122"/>
  <c r="B1466" i="122" s="1"/>
  <c r="C1467" i="122"/>
  <c r="B1467" i="122" s="1"/>
  <c r="C1468" i="122"/>
  <c r="B1468" i="122" s="1"/>
  <c r="C1469" i="122"/>
  <c r="B1469" i="122" s="1"/>
  <c r="C1470" i="122"/>
  <c r="B1470" i="122" s="1"/>
  <c r="C1471" i="122"/>
  <c r="B1471" i="122" s="1"/>
  <c r="C1472" i="122"/>
  <c r="B1472" i="122" s="1"/>
  <c r="C1473" i="122"/>
  <c r="B1473" i="122" s="1"/>
  <c r="C1474" i="122"/>
  <c r="B1474" i="122" s="1"/>
  <c r="C1475" i="122"/>
  <c r="B1475" i="122" s="1"/>
  <c r="C1476" i="122"/>
  <c r="B1476" i="122" s="1"/>
  <c r="C1477" i="122"/>
  <c r="B1477" i="122" s="1"/>
  <c r="C1478" i="122"/>
  <c r="B1478" i="122" s="1"/>
  <c r="C1479" i="122"/>
  <c r="B1479" i="122" s="1"/>
  <c r="C1480" i="122"/>
  <c r="B1480" i="122" s="1"/>
  <c r="C1481" i="122"/>
  <c r="B1481" i="122" s="1"/>
  <c r="C1482" i="122"/>
  <c r="B1482" i="122" s="1"/>
  <c r="C1483" i="122"/>
  <c r="B1483" i="122" s="1"/>
  <c r="C1484" i="122"/>
  <c r="B1484" i="122" s="1"/>
  <c r="C1485" i="122"/>
  <c r="B1485" i="122" s="1"/>
  <c r="C1486" i="122"/>
  <c r="B1486" i="122" s="1"/>
  <c r="C1487" i="122"/>
  <c r="B1487" i="122" s="1"/>
  <c r="C1488" i="122"/>
  <c r="B1488" i="122" s="1"/>
  <c r="C1489" i="122"/>
  <c r="B1489" i="122" s="1"/>
  <c r="C1490" i="122"/>
  <c r="B1490" i="122" s="1"/>
  <c r="C1491" i="122"/>
  <c r="B1491" i="122" s="1"/>
  <c r="C1492" i="122"/>
  <c r="B1492" i="122" s="1"/>
  <c r="C1493" i="122"/>
  <c r="B1493" i="122" s="1"/>
  <c r="C1494" i="122"/>
  <c r="B1494" i="122" s="1"/>
  <c r="C1495" i="122"/>
  <c r="B1495" i="122" s="1"/>
  <c r="C1496" i="122"/>
  <c r="B1496" i="122" s="1"/>
  <c r="C1497" i="122"/>
  <c r="B1497" i="122" s="1"/>
  <c r="C1498" i="122"/>
  <c r="B1498" i="122" s="1"/>
  <c r="C1499" i="122"/>
  <c r="B1499" i="122" s="1"/>
  <c r="C1500" i="122"/>
  <c r="B1500" i="122" s="1"/>
  <c r="C1501" i="122"/>
  <c r="B1501" i="122" s="1"/>
  <c r="C1502" i="122"/>
  <c r="B1502" i="122" s="1"/>
  <c r="C1503" i="122"/>
  <c r="B1503" i="122" s="1"/>
  <c r="E4" i="122"/>
  <c r="E5" i="122"/>
  <c r="E6" i="122"/>
  <c r="E7" i="122"/>
  <c r="E8" i="122"/>
  <c r="E9" i="122"/>
  <c r="E10" i="122"/>
  <c r="E11" i="122"/>
  <c r="E12" i="122"/>
  <c r="E13" i="122"/>
  <c r="E14" i="122"/>
  <c r="E15" i="122"/>
  <c r="E16" i="122"/>
  <c r="E17" i="122"/>
  <c r="E18" i="122"/>
  <c r="E19" i="122"/>
  <c r="E20" i="122"/>
  <c r="E21" i="122"/>
  <c r="E22" i="122"/>
  <c r="E23" i="122"/>
  <c r="E24" i="122"/>
  <c r="E25" i="122"/>
  <c r="E26" i="122"/>
  <c r="E27" i="122"/>
  <c r="E28" i="122"/>
  <c r="E29" i="122"/>
  <c r="E30" i="122"/>
  <c r="E31" i="122"/>
  <c r="E32" i="122"/>
  <c r="E33" i="122"/>
  <c r="E34" i="122"/>
  <c r="E35" i="122"/>
  <c r="E36" i="122"/>
  <c r="E37" i="122"/>
  <c r="E38" i="122"/>
  <c r="E39" i="122"/>
  <c r="E40" i="122"/>
  <c r="E41" i="122"/>
  <c r="E42" i="122"/>
  <c r="E43" i="122"/>
  <c r="E44" i="122"/>
  <c r="E45" i="122"/>
  <c r="E46" i="122"/>
  <c r="E47" i="122"/>
  <c r="E48" i="122"/>
  <c r="E49" i="122"/>
  <c r="E50" i="122"/>
  <c r="E51" i="122"/>
  <c r="E52" i="122"/>
  <c r="E53" i="122"/>
  <c r="E54" i="122"/>
  <c r="E55" i="122"/>
  <c r="E56" i="122"/>
  <c r="E57" i="122"/>
  <c r="E58" i="122"/>
  <c r="E59" i="122"/>
  <c r="E60" i="122"/>
  <c r="E61" i="122"/>
  <c r="E62" i="122"/>
  <c r="E63" i="122"/>
  <c r="E64" i="122"/>
  <c r="E65" i="122"/>
  <c r="E66" i="122"/>
  <c r="E67" i="122"/>
  <c r="E68" i="122"/>
  <c r="E69" i="122"/>
  <c r="E70" i="122"/>
  <c r="E71" i="122"/>
  <c r="E72" i="122"/>
  <c r="E73" i="122"/>
  <c r="E74" i="122"/>
  <c r="E75" i="122"/>
  <c r="E76" i="122"/>
  <c r="E77" i="122"/>
  <c r="E78" i="122"/>
  <c r="E79" i="122"/>
  <c r="E80" i="122"/>
  <c r="E81" i="122"/>
  <c r="E82" i="122"/>
  <c r="E83" i="122"/>
  <c r="E84" i="122"/>
  <c r="E85" i="122"/>
  <c r="E86" i="122"/>
  <c r="E87" i="122"/>
  <c r="E88" i="122"/>
  <c r="E89" i="122"/>
  <c r="E90" i="122"/>
  <c r="E91" i="122"/>
  <c r="E92" i="122"/>
  <c r="E93" i="122"/>
  <c r="E94" i="122"/>
  <c r="E95" i="122"/>
  <c r="E96" i="122"/>
  <c r="E97" i="122"/>
  <c r="E98" i="122"/>
  <c r="E99" i="122"/>
  <c r="E100" i="122"/>
  <c r="E101" i="122"/>
  <c r="E102" i="122"/>
  <c r="E103" i="122"/>
  <c r="E104" i="122"/>
  <c r="E105" i="122"/>
  <c r="E106" i="122"/>
  <c r="E107" i="122"/>
  <c r="E108" i="122"/>
  <c r="E109" i="122"/>
  <c r="E110" i="122"/>
  <c r="E111" i="122"/>
  <c r="E112" i="122"/>
  <c r="E113" i="122"/>
  <c r="E114" i="122"/>
  <c r="E115" i="122"/>
  <c r="E116" i="122"/>
  <c r="E117" i="122"/>
  <c r="E118" i="122"/>
  <c r="E119" i="122"/>
  <c r="E120" i="122"/>
  <c r="E121" i="122"/>
  <c r="E122" i="122"/>
  <c r="E123" i="122"/>
  <c r="E124" i="122"/>
  <c r="E125" i="122"/>
  <c r="E126" i="122"/>
  <c r="E127" i="122"/>
  <c r="E128" i="122"/>
  <c r="E129" i="122"/>
  <c r="E130" i="122"/>
  <c r="E131" i="122"/>
  <c r="E132" i="122"/>
  <c r="E133" i="122"/>
  <c r="E134" i="122"/>
  <c r="E135" i="122"/>
  <c r="E136" i="122"/>
  <c r="E137" i="122"/>
  <c r="E138" i="122"/>
  <c r="E139" i="122"/>
  <c r="E140" i="122"/>
  <c r="E141" i="122"/>
  <c r="E142" i="122"/>
  <c r="E143" i="122"/>
  <c r="E144" i="122"/>
  <c r="E145" i="122"/>
  <c r="E146" i="122"/>
  <c r="E147" i="122"/>
  <c r="E148" i="122"/>
  <c r="E149" i="122"/>
  <c r="E150" i="122"/>
  <c r="E151" i="122"/>
  <c r="E152" i="122"/>
  <c r="E153" i="122"/>
  <c r="E154" i="122"/>
  <c r="E155" i="122"/>
  <c r="E156" i="122"/>
  <c r="E157" i="122"/>
  <c r="E158" i="122"/>
  <c r="E159" i="122"/>
  <c r="E160" i="122"/>
  <c r="E161" i="122"/>
  <c r="E162" i="122"/>
  <c r="E163" i="122"/>
  <c r="E164" i="122"/>
  <c r="E165" i="122"/>
  <c r="E166" i="122"/>
  <c r="E167" i="122"/>
  <c r="E168" i="122"/>
  <c r="E169" i="122"/>
  <c r="E170" i="122"/>
  <c r="E171" i="122"/>
  <c r="E172" i="122"/>
  <c r="E173" i="122"/>
  <c r="E174" i="122"/>
  <c r="E175" i="122"/>
  <c r="E176" i="122"/>
  <c r="E177" i="122"/>
  <c r="E178" i="122"/>
  <c r="E179" i="122"/>
  <c r="E180" i="122"/>
  <c r="E181" i="122"/>
  <c r="E182" i="122"/>
  <c r="E183" i="122"/>
  <c r="E184" i="122"/>
  <c r="E185" i="122"/>
  <c r="E186" i="122"/>
  <c r="E187" i="122"/>
  <c r="E188" i="122"/>
  <c r="E189" i="122"/>
  <c r="E190" i="122"/>
  <c r="E191" i="122"/>
  <c r="E192" i="122"/>
  <c r="E193" i="122"/>
  <c r="E194" i="122"/>
  <c r="E195" i="122"/>
  <c r="E196" i="122"/>
  <c r="E197" i="122"/>
  <c r="E198" i="122"/>
  <c r="E199" i="122"/>
  <c r="E200" i="122"/>
  <c r="E201" i="122"/>
  <c r="E202" i="122"/>
  <c r="E203" i="122"/>
  <c r="E204" i="122"/>
  <c r="E205" i="122"/>
  <c r="E206" i="122"/>
  <c r="E207" i="122"/>
  <c r="E208" i="122"/>
  <c r="E209" i="122"/>
  <c r="E210" i="122"/>
  <c r="E211" i="122"/>
  <c r="E212" i="122"/>
  <c r="E213" i="122"/>
  <c r="E214" i="122"/>
  <c r="E215" i="122"/>
  <c r="E216" i="122"/>
  <c r="E217" i="122"/>
  <c r="E218" i="122"/>
  <c r="E219" i="122"/>
  <c r="E220" i="122"/>
  <c r="E221" i="122"/>
  <c r="E222" i="122"/>
  <c r="E223" i="122"/>
  <c r="E224" i="122"/>
  <c r="E225" i="122"/>
  <c r="E226" i="122"/>
  <c r="E227" i="122"/>
  <c r="E228" i="122"/>
  <c r="E229" i="122"/>
  <c r="E230" i="122"/>
  <c r="E231" i="122"/>
  <c r="E232" i="122"/>
  <c r="E233" i="122"/>
  <c r="E234" i="122"/>
  <c r="E235" i="122"/>
  <c r="E236" i="122"/>
  <c r="E237" i="122"/>
  <c r="E238" i="122"/>
  <c r="E239" i="122"/>
  <c r="E240" i="122"/>
  <c r="E241" i="122"/>
  <c r="E242" i="122"/>
  <c r="E243" i="122"/>
  <c r="E244" i="122"/>
  <c r="E245" i="122"/>
  <c r="E246" i="122"/>
  <c r="E247" i="122"/>
  <c r="E248" i="122"/>
  <c r="E249" i="122"/>
  <c r="E250" i="122"/>
  <c r="E251" i="122"/>
  <c r="E252" i="122"/>
  <c r="E253" i="122"/>
  <c r="E254" i="122"/>
  <c r="E255" i="122"/>
  <c r="E256" i="122"/>
  <c r="E257" i="122"/>
  <c r="E258" i="122"/>
  <c r="E259" i="122"/>
  <c r="E260" i="122"/>
  <c r="E261" i="122"/>
  <c r="E262" i="122"/>
  <c r="E263" i="122"/>
  <c r="E264" i="122"/>
  <c r="E265" i="122"/>
  <c r="E266" i="122"/>
  <c r="E267" i="122"/>
  <c r="E268" i="122"/>
  <c r="E269" i="122"/>
  <c r="E270" i="122"/>
  <c r="E271" i="122"/>
  <c r="E272" i="122"/>
  <c r="E273" i="122"/>
  <c r="E274" i="122"/>
  <c r="E275" i="122"/>
  <c r="E276" i="122"/>
  <c r="E277" i="122"/>
  <c r="E278" i="122"/>
  <c r="E279" i="122"/>
  <c r="E280" i="122"/>
  <c r="E281" i="122"/>
  <c r="E282" i="122"/>
  <c r="E283" i="122"/>
  <c r="E284" i="122"/>
  <c r="E285" i="122"/>
  <c r="E286" i="122"/>
  <c r="E287" i="122"/>
  <c r="E288" i="122"/>
  <c r="E289" i="122"/>
  <c r="E290" i="122"/>
  <c r="E291" i="122"/>
  <c r="E292" i="122"/>
  <c r="E293" i="122"/>
  <c r="E294" i="122"/>
  <c r="E295" i="122"/>
  <c r="E296" i="122"/>
  <c r="E297" i="122"/>
  <c r="E298" i="122"/>
  <c r="E299" i="122"/>
  <c r="E300" i="122"/>
  <c r="E301" i="122"/>
  <c r="E302" i="122"/>
  <c r="E303" i="122"/>
  <c r="E304" i="122"/>
  <c r="E305" i="122"/>
  <c r="E306" i="122"/>
  <c r="E307" i="122"/>
  <c r="E308" i="122"/>
  <c r="E309" i="122"/>
  <c r="E310" i="122"/>
  <c r="E311" i="122"/>
  <c r="E312" i="122"/>
  <c r="E313" i="122"/>
  <c r="E314" i="122"/>
  <c r="E315" i="122"/>
  <c r="E316" i="122"/>
  <c r="E317" i="122"/>
  <c r="E318" i="122"/>
  <c r="E319" i="122"/>
  <c r="E320" i="122"/>
  <c r="E321" i="122"/>
  <c r="E322" i="122"/>
  <c r="E323" i="122"/>
  <c r="E324" i="122"/>
  <c r="E325" i="122"/>
  <c r="E326" i="122"/>
  <c r="E327" i="122"/>
  <c r="E328" i="122"/>
  <c r="E329" i="122"/>
  <c r="E330" i="122"/>
  <c r="E331" i="122"/>
  <c r="E332" i="122"/>
  <c r="E333" i="122"/>
  <c r="E334" i="122"/>
  <c r="E335" i="122"/>
  <c r="E336" i="122"/>
  <c r="E337" i="122"/>
  <c r="E338" i="122"/>
  <c r="E339" i="122"/>
  <c r="E340" i="122"/>
  <c r="E341" i="122"/>
  <c r="E342" i="122"/>
  <c r="E343" i="122"/>
  <c r="E344" i="122"/>
  <c r="E345" i="122"/>
  <c r="E346" i="122"/>
  <c r="E347" i="122"/>
  <c r="E348" i="122"/>
  <c r="E349" i="122"/>
  <c r="E350" i="122"/>
  <c r="E351" i="122"/>
  <c r="E352" i="122"/>
  <c r="E353" i="122"/>
  <c r="E354" i="122"/>
  <c r="E355" i="122"/>
  <c r="E356" i="122"/>
  <c r="E357" i="122"/>
  <c r="E358" i="122"/>
  <c r="E359" i="122"/>
  <c r="E360" i="122"/>
  <c r="E361" i="122"/>
  <c r="E362" i="122"/>
  <c r="E363" i="122"/>
  <c r="E364" i="122"/>
  <c r="E365" i="122"/>
  <c r="E366" i="122"/>
  <c r="E367" i="122"/>
  <c r="E368" i="122"/>
  <c r="E369" i="122"/>
  <c r="E370" i="122"/>
  <c r="E371" i="122"/>
  <c r="E372" i="122"/>
  <c r="E373" i="122"/>
  <c r="E374" i="122"/>
  <c r="E375" i="122"/>
  <c r="E376" i="122"/>
  <c r="E377" i="122"/>
  <c r="E378" i="122"/>
  <c r="E379" i="122"/>
  <c r="E380" i="122"/>
  <c r="E381" i="122"/>
  <c r="E382" i="122"/>
  <c r="E383" i="122"/>
  <c r="E384" i="122"/>
  <c r="E385" i="122"/>
  <c r="E386" i="122"/>
  <c r="E387" i="122"/>
  <c r="E388" i="122"/>
  <c r="E389" i="122"/>
  <c r="E390" i="122"/>
  <c r="E391" i="122"/>
  <c r="E392" i="122"/>
  <c r="E393" i="122"/>
  <c r="E394" i="122"/>
  <c r="E395" i="122"/>
  <c r="E396" i="122"/>
  <c r="E397" i="122"/>
  <c r="E398" i="122"/>
  <c r="E399" i="122"/>
  <c r="E400" i="122"/>
  <c r="E401" i="122"/>
  <c r="E402" i="122"/>
  <c r="E403" i="122"/>
  <c r="E404" i="122"/>
  <c r="E405" i="122"/>
  <c r="E406" i="122"/>
  <c r="E407" i="122"/>
  <c r="E408" i="122"/>
  <c r="E409" i="122"/>
  <c r="E410" i="122"/>
  <c r="E411" i="122"/>
  <c r="E412" i="122"/>
  <c r="E413" i="122"/>
  <c r="E414" i="122"/>
  <c r="E415" i="122"/>
  <c r="E416" i="122"/>
  <c r="E417" i="122"/>
  <c r="E418" i="122"/>
  <c r="E419" i="122"/>
  <c r="E420" i="122"/>
  <c r="E421" i="122"/>
  <c r="E422" i="122"/>
  <c r="E423" i="122"/>
  <c r="E424" i="122"/>
  <c r="E425" i="122"/>
  <c r="E426" i="122"/>
  <c r="E427" i="122"/>
  <c r="E428" i="122"/>
  <c r="E429" i="122"/>
  <c r="E430" i="122"/>
  <c r="E431" i="122"/>
  <c r="E432" i="122"/>
  <c r="E433" i="122"/>
  <c r="E434" i="122"/>
  <c r="E435" i="122"/>
  <c r="E436" i="122"/>
  <c r="E437" i="122"/>
  <c r="E438" i="122"/>
  <c r="E439" i="122"/>
  <c r="E440" i="122"/>
  <c r="E441" i="122"/>
  <c r="E442" i="122"/>
  <c r="E443" i="122"/>
  <c r="E444" i="122"/>
  <c r="E445" i="122"/>
  <c r="E446" i="122"/>
  <c r="E447" i="122"/>
  <c r="E448" i="122"/>
  <c r="E449" i="122"/>
  <c r="E450" i="122"/>
  <c r="E451" i="122"/>
  <c r="E452" i="122"/>
  <c r="E453" i="122"/>
  <c r="E454" i="122"/>
  <c r="E455" i="122"/>
  <c r="E456" i="122"/>
  <c r="E457" i="122"/>
  <c r="E458" i="122"/>
  <c r="E459" i="122"/>
  <c r="E460" i="122"/>
  <c r="E461" i="122"/>
  <c r="E462" i="122"/>
  <c r="E463" i="122"/>
  <c r="E464" i="122"/>
  <c r="E465" i="122"/>
  <c r="E466" i="122"/>
  <c r="E467" i="122"/>
  <c r="E468" i="122"/>
  <c r="E469" i="122"/>
  <c r="E470" i="122"/>
  <c r="E471" i="122"/>
  <c r="E472" i="122"/>
  <c r="E473" i="122"/>
  <c r="E474" i="122"/>
  <c r="E475" i="122"/>
  <c r="E476" i="122"/>
  <c r="E477" i="122"/>
  <c r="E478" i="122"/>
  <c r="E479" i="122"/>
  <c r="E480" i="122"/>
  <c r="E481" i="122"/>
  <c r="E482" i="122"/>
  <c r="E483" i="122"/>
  <c r="E484" i="122"/>
  <c r="E485" i="122"/>
  <c r="E486" i="122"/>
  <c r="E487" i="122"/>
  <c r="E488" i="122"/>
  <c r="E489" i="122"/>
  <c r="E490" i="122"/>
  <c r="E491" i="122"/>
  <c r="E492" i="122"/>
  <c r="E493" i="122"/>
  <c r="E494" i="122"/>
  <c r="E495" i="122"/>
  <c r="E496" i="122"/>
  <c r="E497" i="122"/>
  <c r="E498" i="122"/>
  <c r="E499" i="122"/>
  <c r="E500" i="122"/>
  <c r="E501" i="122"/>
  <c r="E502" i="122"/>
  <c r="E503" i="122"/>
  <c r="E504" i="122"/>
  <c r="E505" i="122"/>
  <c r="E506" i="122"/>
  <c r="E507" i="122"/>
  <c r="E508" i="122"/>
  <c r="E509" i="122"/>
  <c r="E510" i="122"/>
  <c r="E511" i="122"/>
  <c r="E512" i="122"/>
  <c r="E513" i="122"/>
  <c r="E514" i="122"/>
  <c r="E515" i="122"/>
  <c r="E516" i="122"/>
  <c r="E517" i="122"/>
  <c r="E518" i="122"/>
  <c r="E519" i="122"/>
  <c r="E520" i="122"/>
  <c r="E521" i="122"/>
  <c r="E522" i="122"/>
  <c r="E523" i="122"/>
  <c r="E524" i="122"/>
  <c r="E525" i="122"/>
  <c r="E526" i="122"/>
  <c r="E527" i="122"/>
  <c r="E528" i="122"/>
  <c r="E529" i="122"/>
  <c r="E530" i="122"/>
  <c r="E531" i="122"/>
  <c r="E532" i="122"/>
  <c r="E533" i="122"/>
  <c r="E534" i="122"/>
  <c r="E535" i="122"/>
  <c r="E536" i="122"/>
  <c r="E537" i="122"/>
  <c r="E538" i="122"/>
  <c r="E539" i="122"/>
  <c r="E540" i="122"/>
  <c r="E541" i="122"/>
  <c r="E542" i="122"/>
  <c r="E543" i="122"/>
  <c r="E544" i="122"/>
  <c r="E545" i="122"/>
  <c r="E546" i="122"/>
  <c r="E547" i="122"/>
  <c r="E548" i="122"/>
  <c r="E549" i="122"/>
  <c r="E550" i="122"/>
  <c r="E551" i="122"/>
  <c r="E552" i="122"/>
  <c r="E553" i="122"/>
  <c r="E554" i="122"/>
  <c r="E555" i="122"/>
  <c r="E556" i="122"/>
  <c r="E557" i="122"/>
  <c r="E558" i="122"/>
  <c r="E559" i="122"/>
  <c r="E560" i="122"/>
  <c r="E561" i="122"/>
  <c r="E562" i="122"/>
  <c r="E563" i="122"/>
  <c r="E564" i="122"/>
  <c r="E565" i="122"/>
  <c r="E566" i="122"/>
  <c r="E567" i="122"/>
  <c r="E568" i="122"/>
  <c r="E569" i="122"/>
  <c r="E570" i="122"/>
  <c r="E571" i="122"/>
  <c r="E572" i="122"/>
  <c r="E573" i="122"/>
  <c r="E574" i="122"/>
  <c r="E575" i="122"/>
  <c r="E576" i="122"/>
  <c r="E577" i="122"/>
  <c r="E578" i="122"/>
  <c r="E579" i="122"/>
  <c r="E580" i="122"/>
  <c r="E581" i="122"/>
  <c r="E582" i="122"/>
  <c r="E583" i="122"/>
  <c r="E584" i="122"/>
  <c r="E585" i="122"/>
  <c r="E586" i="122"/>
  <c r="E587" i="122"/>
  <c r="E588" i="122"/>
  <c r="E589" i="122"/>
  <c r="E590" i="122"/>
  <c r="E591" i="122"/>
  <c r="E592" i="122"/>
  <c r="E593" i="122"/>
  <c r="E594" i="122"/>
  <c r="E595" i="122"/>
  <c r="E596" i="122"/>
  <c r="E597" i="122"/>
  <c r="E598" i="122"/>
  <c r="E599" i="122"/>
  <c r="E600" i="122"/>
  <c r="E601" i="122"/>
  <c r="E602" i="122"/>
  <c r="E603" i="122"/>
  <c r="E604" i="122"/>
  <c r="E605" i="122"/>
  <c r="E606" i="122"/>
  <c r="E607" i="122"/>
  <c r="E608" i="122"/>
  <c r="E609" i="122"/>
  <c r="E610" i="122"/>
  <c r="E611" i="122"/>
  <c r="E612" i="122"/>
  <c r="E613" i="122"/>
  <c r="E614" i="122"/>
  <c r="E615" i="122"/>
  <c r="E616" i="122"/>
  <c r="E617" i="122"/>
  <c r="E618" i="122"/>
  <c r="E619" i="122"/>
  <c r="E620" i="122"/>
  <c r="E621" i="122"/>
  <c r="E622" i="122"/>
  <c r="E623" i="122"/>
  <c r="E624" i="122"/>
  <c r="E625" i="122"/>
  <c r="E626" i="122"/>
  <c r="E627" i="122"/>
  <c r="E628" i="122"/>
  <c r="E629" i="122"/>
  <c r="E630" i="122"/>
  <c r="E631" i="122"/>
  <c r="E632" i="122"/>
  <c r="E633" i="122"/>
  <c r="E634" i="122"/>
  <c r="E635" i="122"/>
  <c r="E636" i="122"/>
  <c r="E637" i="122"/>
  <c r="E638" i="122"/>
  <c r="E639" i="122"/>
  <c r="E640" i="122"/>
  <c r="E641" i="122"/>
  <c r="E642" i="122"/>
  <c r="E643" i="122"/>
  <c r="E644" i="122"/>
  <c r="E645" i="122"/>
  <c r="E646" i="122"/>
  <c r="E647" i="122"/>
  <c r="E648" i="122"/>
  <c r="E649" i="122"/>
  <c r="E650" i="122"/>
  <c r="E651" i="122"/>
  <c r="E652" i="122"/>
  <c r="E653" i="122"/>
  <c r="E654" i="122"/>
  <c r="E655" i="122"/>
  <c r="E656" i="122"/>
  <c r="E657" i="122"/>
  <c r="E658" i="122"/>
  <c r="E659" i="122"/>
  <c r="E660" i="122"/>
  <c r="E661" i="122"/>
  <c r="E662" i="122"/>
  <c r="E663" i="122"/>
  <c r="E664" i="122"/>
  <c r="E665" i="122"/>
  <c r="E666" i="122"/>
  <c r="E667" i="122"/>
  <c r="E668" i="122"/>
  <c r="E669" i="122"/>
  <c r="E670" i="122"/>
  <c r="E671" i="122"/>
  <c r="E672" i="122"/>
  <c r="E673" i="122"/>
  <c r="E674" i="122"/>
  <c r="E675" i="122"/>
  <c r="E676" i="122"/>
  <c r="E677" i="122"/>
  <c r="E678" i="122"/>
  <c r="E679" i="122"/>
  <c r="E680" i="122"/>
  <c r="E681" i="122"/>
  <c r="E682" i="122"/>
  <c r="E683" i="122"/>
  <c r="E684" i="122"/>
  <c r="E685" i="122"/>
  <c r="E686" i="122"/>
  <c r="E687" i="122"/>
  <c r="E688" i="122"/>
  <c r="E689" i="122"/>
  <c r="E690" i="122"/>
  <c r="E691" i="122"/>
  <c r="E692" i="122"/>
  <c r="E693" i="122"/>
  <c r="E694" i="122"/>
  <c r="E695" i="122"/>
  <c r="E696" i="122"/>
  <c r="E697" i="122"/>
  <c r="E698" i="122"/>
  <c r="E699" i="122"/>
  <c r="E700" i="122"/>
  <c r="E701" i="122"/>
  <c r="E702" i="122"/>
  <c r="E703" i="122"/>
  <c r="E704" i="122"/>
  <c r="E705" i="122"/>
  <c r="E706" i="122"/>
  <c r="E707" i="122"/>
  <c r="E708" i="122"/>
  <c r="E709" i="122"/>
  <c r="E710" i="122"/>
  <c r="E711" i="122"/>
  <c r="E712" i="122"/>
  <c r="E713" i="122"/>
  <c r="E714" i="122"/>
  <c r="E715" i="122"/>
  <c r="E716" i="122"/>
  <c r="E717" i="122"/>
  <c r="E718" i="122"/>
  <c r="E719" i="122"/>
  <c r="E720" i="122"/>
  <c r="E721" i="122"/>
  <c r="E722" i="122"/>
  <c r="E723" i="122"/>
  <c r="E724" i="122"/>
  <c r="E725" i="122"/>
  <c r="E726" i="122"/>
  <c r="E727" i="122"/>
  <c r="E728" i="122"/>
  <c r="E729" i="122"/>
  <c r="E730" i="122"/>
  <c r="E731" i="122"/>
  <c r="E732" i="122"/>
  <c r="E733" i="122"/>
  <c r="E734" i="122"/>
  <c r="E735" i="122"/>
  <c r="E736" i="122"/>
  <c r="E737" i="122"/>
  <c r="E738" i="122"/>
  <c r="E739" i="122"/>
  <c r="E740" i="122"/>
  <c r="E741" i="122"/>
  <c r="E742" i="122"/>
  <c r="E743" i="122"/>
  <c r="E744" i="122"/>
  <c r="E745" i="122"/>
  <c r="E746" i="122"/>
  <c r="E747" i="122"/>
  <c r="E748" i="122"/>
  <c r="E749" i="122"/>
  <c r="E750" i="122"/>
  <c r="E751" i="122"/>
  <c r="E752" i="122"/>
  <c r="E753" i="122"/>
  <c r="E754" i="122"/>
  <c r="E755" i="122"/>
  <c r="E756" i="122"/>
  <c r="E757" i="122"/>
  <c r="E758" i="122"/>
  <c r="E759" i="122"/>
  <c r="E760" i="122"/>
  <c r="E761" i="122"/>
  <c r="E762" i="122"/>
  <c r="E763" i="122"/>
  <c r="E764" i="122"/>
  <c r="E765" i="122"/>
  <c r="E766" i="122"/>
  <c r="E767" i="122"/>
  <c r="E768" i="122"/>
  <c r="E769" i="122"/>
  <c r="E770" i="122"/>
  <c r="E771" i="122"/>
  <c r="E772" i="122"/>
  <c r="E773" i="122"/>
  <c r="E774" i="122"/>
  <c r="E775" i="122"/>
  <c r="E776" i="122"/>
  <c r="E777" i="122"/>
  <c r="E778" i="122"/>
  <c r="E779" i="122"/>
  <c r="E780" i="122"/>
  <c r="E781" i="122"/>
  <c r="E782" i="122"/>
  <c r="E783" i="122"/>
  <c r="E784" i="122"/>
  <c r="E785" i="122"/>
  <c r="E786" i="122"/>
  <c r="E787" i="122"/>
  <c r="E788" i="122"/>
  <c r="E789" i="122"/>
  <c r="E790" i="122"/>
  <c r="E791" i="122"/>
  <c r="E792" i="122"/>
  <c r="E793" i="122"/>
  <c r="E794" i="122"/>
  <c r="E795" i="122"/>
  <c r="E796" i="122"/>
  <c r="E797" i="122"/>
  <c r="E798" i="122"/>
  <c r="E799" i="122"/>
  <c r="E800" i="122"/>
  <c r="E801" i="122"/>
  <c r="E802" i="122"/>
  <c r="E803" i="122"/>
  <c r="E804" i="122"/>
  <c r="E805" i="122"/>
  <c r="E806" i="122"/>
  <c r="E807" i="122"/>
  <c r="E808" i="122"/>
  <c r="E809" i="122"/>
  <c r="E810" i="122"/>
  <c r="E811" i="122"/>
  <c r="E812" i="122"/>
  <c r="E813" i="122"/>
  <c r="E814" i="122"/>
  <c r="E815" i="122"/>
  <c r="E816" i="122"/>
  <c r="E817" i="122"/>
  <c r="E818" i="122"/>
  <c r="E819" i="122"/>
  <c r="E820" i="122"/>
  <c r="E821" i="122"/>
  <c r="E822" i="122"/>
  <c r="E823" i="122"/>
  <c r="E824" i="122"/>
  <c r="E825" i="122"/>
  <c r="E826" i="122"/>
  <c r="E827" i="122"/>
  <c r="E828" i="122"/>
  <c r="E829" i="122"/>
  <c r="E830" i="122"/>
  <c r="E831" i="122"/>
  <c r="E832" i="122"/>
  <c r="E833" i="122"/>
  <c r="E834" i="122"/>
  <c r="E835" i="122"/>
  <c r="E836" i="122"/>
  <c r="E837" i="122"/>
  <c r="E838" i="122"/>
  <c r="E839" i="122"/>
  <c r="E840" i="122"/>
  <c r="E841" i="122"/>
  <c r="E842" i="122"/>
  <c r="E843" i="122"/>
  <c r="E844" i="122"/>
  <c r="E845" i="122"/>
  <c r="E846" i="122"/>
  <c r="E847" i="122"/>
  <c r="E848" i="122"/>
  <c r="E849" i="122"/>
  <c r="E850" i="122"/>
  <c r="E851" i="122"/>
  <c r="E852" i="122"/>
  <c r="E853" i="122"/>
  <c r="E854" i="122"/>
  <c r="E855" i="122"/>
  <c r="E856" i="122"/>
  <c r="E857" i="122"/>
  <c r="E858" i="122"/>
  <c r="E859" i="122"/>
  <c r="E860" i="122"/>
  <c r="E861" i="122"/>
  <c r="E862" i="122"/>
  <c r="E863" i="122"/>
  <c r="E864" i="122"/>
  <c r="E865" i="122"/>
  <c r="E866" i="122"/>
  <c r="E867" i="122"/>
  <c r="E868" i="122"/>
  <c r="E869" i="122"/>
  <c r="E870" i="122"/>
  <c r="E871" i="122"/>
  <c r="E872" i="122"/>
  <c r="E873" i="122"/>
  <c r="E874" i="122"/>
  <c r="E875" i="122"/>
  <c r="E876" i="122"/>
  <c r="E877" i="122"/>
  <c r="E878" i="122"/>
  <c r="E879" i="122"/>
  <c r="E880" i="122"/>
  <c r="E881" i="122"/>
  <c r="E882" i="122"/>
  <c r="E883" i="122"/>
  <c r="E884" i="122"/>
  <c r="E885" i="122"/>
  <c r="E886" i="122"/>
  <c r="E887" i="122"/>
  <c r="E888" i="122"/>
  <c r="E889" i="122"/>
  <c r="E890" i="122"/>
  <c r="E891" i="122"/>
  <c r="E892" i="122"/>
  <c r="E893" i="122"/>
  <c r="E894" i="122"/>
  <c r="E895" i="122"/>
  <c r="E896" i="122"/>
  <c r="E897" i="122"/>
  <c r="E898" i="122"/>
  <c r="E899" i="122"/>
  <c r="E900" i="122"/>
  <c r="E901" i="122"/>
  <c r="E902" i="122"/>
  <c r="E903" i="122"/>
  <c r="E904" i="122"/>
  <c r="E905" i="122"/>
  <c r="E906" i="122"/>
  <c r="E907" i="122"/>
  <c r="E908" i="122"/>
  <c r="E909" i="122"/>
  <c r="E910" i="122"/>
  <c r="E911" i="122"/>
  <c r="E912" i="122"/>
  <c r="E913" i="122"/>
  <c r="E914" i="122"/>
  <c r="E915" i="122"/>
  <c r="E916" i="122"/>
  <c r="E917" i="122"/>
  <c r="E918" i="122"/>
  <c r="E919" i="122"/>
  <c r="E920" i="122"/>
  <c r="E921" i="122"/>
  <c r="E922" i="122"/>
  <c r="E923" i="122"/>
  <c r="E924" i="122"/>
  <c r="E925" i="122"/>
  <c r="E926" i="122"/>
  <c r="E927" i="122"/>
  <c r="E928" i="122"/>
  <c r="E929" i="122"/>
  <c r="E930" i="122"/>
  <c r="E931" i="122"/>
  <c r="E932" i="122"/>
  <c r="E933" i="122"/>
  <c r="E934" i="122"/>
  <c r="E935" i="122"/>
  <c r="E936" i="122"/>
  <c r="E937" i="122"/>
  <c r="E938" i="122"/>
  <c r="E939" i="122"/>
  <c r="E940" i="122"/>
  <c r="E941" i="122"/>
  <c r="E942" i="122"/>
  <c r="E943" i="122"/>
  <c r="E944" i="122"/>
  <c r="E945" i="122"/>
  <c r="E946" i="122"/>
  <c r="E947" i="122"/>
  <c r="E948" i="122"/>
  <c r="E949" i="122"/>
  <c r="E950" i="122"/>
  <c r="E951" i="122"/>
  <c r="E952" i="122"/>
  <c r="E953" i="122"/>
  <c r="E954" i="122"/>
  <c r="E955" i="122"/>
  <c r="E956" i="122"/>
  <c r="E957" i="122"/>
  <c r="E958" i="122"/>
  <c r="E959" i="122"/>
  <c r="E960" i="122"/>
  <c r="E961" i="122"/>
  <c r="E962" i="122"/>
  <c r="E963" i="122"/>
  <c r="E964" i="122"/>
  <c r="E965" i="122"/>
  <c r="E966" i="122"/>
  <c r="E967" i="122"/>
  <c r="E968" i="122"/>
  <c r="E969" i="122"/>
  <c r="E970" i="122"/>
  <c r="E971" i="122"/>
  <c r="E972" i="122"/>
  <c r="E973" i="122"/>
  <c r="E974" i="122"/>
  <c r="E975" i="122"/>
  <c r="E976" i="122"/>
  <c r="E977" i="122"/>
  <c r="E978" i="122"/>
  <c r="E979" i="122"/>
  <c r="E980" i="122"/>
  <c r="E981" i="122"/>
  <c r="E982" i="122"/>
  <c r="E983" i="122"/>
  <c r="E984" i="122"/>
  <c r="E985" i="122"/>
  <c r="E986" i="122"/>
  <c r="E987" i="122"/>
  <c r="E988" i="122"/>
  <c r="E989" i="122"/>
  <c r="E990" i="122"/>
  <c r="E991" i="122"/>
  <c r="E992" i="122"/>
  <c r="E993" i="122"/>
  <c r="E994" i="122"/>
  <c r="E995" i="122"/>
  <c r="E996" i="122"/>
  <c r="E997" i="122"/>
  <c r="E998" i="122"/>
  <c r="E999" i="122"/>
  <c r="E1000" i="122"/>
  <c r="E1001" i="122"/>
  <c r="E1002" i="122"/>
  <c r="E1003" i="122"/>
  <c r="E1004" i="122"/>
  <c r="E1005" i="122"/>
  <c r="E1006" i="122"/>
  <c r="E1007" i="122"/>
  <c r="E1008" i="122"/>
  <c r="E1009" i="122"/>
  <c r="E1010" i="122"/>
  <c r="E1011" i="122"/>
  <c r="E1012" i="122"/>
  <c r="E1013" i="122"/>
  <c r="E1014" i="122"/>
  <c r="E1015" i="122"/>
  <c r="E1016" i="122"/>
  <c r="E1017" i="122"/>
  <c r="E1018" i="122"/>
  <c r="E1019" i="122"/>
  <c r="E1020" i="122"/>
  <c r="E1021" i="122"/>
  <c r="E1022" i="122"/>
  <c r="E1023" i="122"/>
  <c r="E1024" i="122"/>
  <c r="E1025" i="122"/>
  <c r="E1026" i="122"/>
  <c r="E1027" i="122"/>
  <c r="E1028" i="122"/>
  <c r="E1029" i="122"/>
  <c r="E1030" i="122"/>
  <c r="E1031" i="122"/>
  <c r="E1032" i="122"/>
  <c r="E1033" i="122"/>
  <c r="E1034" i="122"/>
  <c r="E1035" i="122"/>
  <c r="E1036" i="122"/>
  <c r="E1037" i="122"/>
  <c r="E1038" i="122"/>
  <c r="E1039" i="122"/>
  <c r="E1040" i="122"/>
  <c r="E1041" i="122"/>
  <c r="E1042" i="122"/>
  <c r="E1043" i="122"/>
  <c r="E1044" i="122"/>
  <c r="E1045" i="122"/>
  <c r="E1046" i="122"/>
  <c r="E1047" i="122"/>
  <c r="E1048" i="122"/>
  <c r="E1049" i="122"/>
  <c r="E1050" i="122"/>
  <c r="E1051" i="122"/>
  <c r="E1052" i="122"/>
  <c r="E1053" i="122"/>
  <c r="E1054" i="122"/>
  <c r="E1055" i="122"/>
  <c r="E1056" i="122"/>
  <c r="E1057" i="122"/>
  <c r="E1058" i="122"/>
  <c r="E1059" i="122"/>
  <c r="E1060" i="122"/>
  <c r="E1061" i="122"/>
  <c r="E1062" i="122"/>
  <c r="E1063" i="122"/>
  <c r="E1064" i="122"/>
  <c r="E1065" i="122"/>
  <c r="E1066" i="122"/>
  <c r="E1067" i="122"/>
  <c r="E1068" i="122"/>
  <c r="E1069" i="122"/>
  <c r="E1070" i="122"/>
  <c r="E1071" i="122"/>
  <c r="E1072" i="122"/>
  <c r="E1073" i="122"/>
  <c r="E1074" i="122"/>
  <c r="E1075" i="122"/>
  <c r="E1076" i="122"/>
  <c r="E1077" i="122"/>
  <c r="E1078" i="122"/>
  <c r="E1079" i="122"/>
  <c r="E1080" i="122"/>
  <c r="E1081" i="122"/>
  <c r="E1082" i="122"/>
  <c r="E1083" i="122"/>
  <c r="E1084" i="122"/>
  <c r="E1085" i="122"/>
  <c r="E1086" i="122"/>
  <c r="E1087" i="122"/>
  <c r="E1088" i="122"/>
  <c r="E1089" i="122"/>
  <c r="E1090" i="122"/>
  <c r="E1091" i="122"/>
  <c r="E1092" i="122"/>
  <c r="E1093" i="122"/>
  <c r="E1094" i="122"/>
  <c r="E1095" i="122"/>
  <c r="E1096" i="122"/>
  <c r="E1097" i="122"/>
  <c r="E1098" i="122"/>
  <c r="E1099" i="122"/>
  <c r="E1100" i="122"/>
  <c r="E1101" i="122"/>
  <c r="E1102" i="122"/>
  <c r="E1103" i="122"/>
  <c r="E1104" i="122"/>
  <c r="E1105" i="122"/>
  <c r="E1106" i="122"/>
  <c r="E1107" i="122"/>
  <c r="E1108" i="122"/>
  <c r="E1109" i="122"/>
  <c r="E1110" i="122"/>
  <c r="E1111" i="122"/>
  <c r="E1112" i="122"/>
  <c r="E1113" i="122"/>
  <c r="E1114" i="122"/>
  <c r="E1115" i="122"/>
  <c r="E1116" i="122"/>
  <c r="E1117" i="122"/>
  <c r="E1118" i="122"/>
  <c r="E1119" i="122"/>
  <c r="E1120" i="122"/>
  <c r="E1121" i="122"/>
  <c r="E1122" i="122"/>
  <c r="E1123" i="122"/>
  <c r="E1124" i="122"/>
  <c r="E1125" i="122"/>
  <c r="E1126" i="122"/>
  <c r="E1127" i="122"/>
  <c r="E1128" i="122"/>
  <c r="E1129" i="122"/>
  <c r="E1130" i="122"/>
  <c r="E1131" i="122"/>
  <c r="E1132" i="122"/>
  <c r="E1133" i="122"/>
  <c r="E1134" i="122"/>
  <c r="E1135" i="122"/>
  <c r="E1136" i="122"/>
  <c r="E1137" i="122"/>
  <c r="E1138" i="122"/>
  <c r="E1139" i="122"/>
  <c r="E1140" i="122"/>
  <c r="E1141" i="122"/>
  <c r="E1142" i="122"/>
  <c r="E1143" i="122"/>
  <c r="E1144" i="122"/>
  <c r="E1145" i="122"/>
  <c r="E1146" i="122"/>
  <c r="E1147" i="122"/>
  <c r="E1148" i="122"/>
  <c r="E1149" i="122"/>
  <c r="E1150" i="122"/>
  <c r="E1151" i="122"/>
  <c r="E1152" i="122"/>
  <c r="E1153" i="122"/>
  <c r="E1154" i="122"/>
  <c r="E1155" i="122"/>
  <c r="E1156" i="122"/>
  <c r="E1157" i="122"/>
  <c r="E1158" i="122"/>
  <c r="E1159" i="122"/>
  <c r="E1160" i="122"/>
  <c r="E1161" i="122"/>
  <c r="E1162" i="122"/>
  <c r="E1163" i="122"/>
  <c r="E1164" i="122"/>
  <c r="E1165" i="122"/>
  <c r="E1166" i="122"/>
  <c r="E1167" i="122"/>
  <c r="E1168" i="122"/>
  <c r="E1169" i="122"/>
  <c r="E1170" i="122"/>
  <c r="E1171" i="122"/>
  <c r="E1172" i="122"/>
  <c r="E1173" i="122"/>
  <c r="E1174" i="122"/>
  <c r="E1175" i="122"/>
  <c r="E1176" i="122"/>
  <c r="E1177" i="122"/>
  <c r="E1178" i="122"/>
  <c r="E1179" i="122"/>
  <c r="E1180" i="122"/>
  <c r="E1181" i="122"/>
  <c r="E1182" i="122"/>
  <c r="E1183" i="122"/>
  <c r="E1184" i="122"/>
  <c r="E1185" i="122"/>
  <c r="E1186" i="122"/>
  <c r="E1187" i="122"/>
  <c r="E1188" i="122"/>
  <c r="E1189" i="122"/>
  <c r="E1190" i="122"/>
  <c r="E1191" i="122"/>
  <c r="E1192" i="122"/>
  <c r="E1193" i="122"/>
  <c r="E1194" i="122"/>
  <c r="E1195" i="122"/>
  <c r="E1196" i="122"/>
  <c r="E1197" i="122"/>
  <c r="E1198" i="122"/>
  <c r="E1199" i="122"/>
  <c r="E1200" i="122"/>
  <c r="E1201" i="122"/>
  <c r="E1202" i="122"/>
  <c r="E1203" i="122"/>
  <c r="E1204" i="122"/>
  <c r="E1205" i="122"/>
  <c r="E1206" i="122"/>
  <c r="E1207" i="122"/>
  <c r="E1208" i="122"/>
  <c r="E1209" i="122"/>
  <c r="E1210" i="122"/>
  <c r="E1211" i="122"/>
  <c r="E1212" i="122"/>
  <c r="E1213" i="122"/>
  <c r="E1214" i="122"/>
  <c r="E1215" i="122"/>
  <c r="E1216" i="122"/>
  <c r="E1217" i="122"/>
  <c r="E1218" i="122"/>
  <c r="E1219" i="122"/>
  <c r="E1220" i="122"/>
  <c r="E1221" i="122"/>
  <c r="E1222" i="122"/>
  <c r="E1223" i="122"/>
  <c r="E1224" i="122"/>
  <c r="E1225" i="122"/>
  <c r="E1226" i="122"/>
  <c r="E1227" i="122"/>
  <c r="E1228" i="122"/>
  <c r="E1229" i="122"/>
  <c r="E1230" i="122"/>
  <c r="E1231" i="122"/>
  <c r="E1232" i="122"/>
  <c r="E1233" i="122"/>
  <c r="E1234" i="122"/>
  <c r="E1235" i="122"/>
  <c r="E1236" i="122"/>
  <c r="E1237" i="122"/>
  <c r="E1238" i="122"/>
  <c r="E1239" i="122"/>
  <c r="E1240" i="122"/>
  <c r="E1241" i="122"/>
  <c r="E1242" i="122"/>
  <c r="E1243" i="122"/>
  <c r="E1244" i="122"/>
  <c r="E1245" i="122"/>
  <c r="E1246" i="122"/>
  <c r="E1247" i="122"/>
  <c r="E1248" i="122"/>
  <c r="E1249" i="122"/>
  <c r="E1250" i="122"/>
  <c r="E1251" i="122"/>
  <c r="E1252" i="122"/>
  <c r="E1253" i="122"/>
  <c r="E1254" i="122"/>
  <c r="E1255" i="122"/>
  <c r="E1256" i="122"/>
  <c r="E1257" i="122"/>
  <c r="E1258" i="122"/>
  <c r="E1259" i="122"/>
  <c r="E1260" i="122"/>
  <c r="E1261" i="122"/>
  <c r="E1262" i="122"/>
  <c r="E1263" i="122"/>
  <c r="E1264" i="122"/>
  <c r="E1265" i="122"/>
  <c r="E1266" i="122"/>
  <c r="E1267" i="122"/>
  <c r="E1268" i="122"/>
  <c r="E1269" i="122"/>
  <c r="E1270" i="122"/>
  <c r="E1271" i="122"/>
  <c r="E1272" i="122"/>
  <c r="E1273" i="122"/>
  <c r="E1274" i="122"/>
  <c r="E1275" i="122"/>
  <c r="E1276" i="122"/>
  <c r="E1277" i="122"/>
  <c r="E1278" i="122"/>
  <c r="E1279" i="122"/>
  <c r="E1280" i="122"/>
  <c r="E1281" i="122"/>
  <c r="E1282" i="122"/>
  <c r="E1283" i="122"/>
  <c r="E1284" i="122"/>
  <c r="E1285" i="122"/>
  <c r="E1286" i="122"/>
  <c r="E1287" i="122"/>
  <c r="E1288" i="122"/>
  <c r="E1289" i="122"/>
  <c r="E1290" i="122"/>
  <c r="E1291" i="122"/>
  <c r="E1292" i="122"/>
  <c r="E1293" i="122"/>
  <c r="E1294" i="122"/>
  <c r="E1295" i="122"/>
  <c r="E1296" i="122"/>
  <c r="E1297" i="122"/>
  <c r="E1298" i="122"/>
  <c r="E1299" i="122"/>
  <c r="E1300" i="122"/>
  <c r="E1301" i="122"/>
  <c r="E1302" i="122"/>
  <c r="E1303" i="122"/>
  <c r="E1304" i="122"/>
  <c r="E1305" i="122"/>
  <c r="E1306" i="122"/>
  <c r="E1307" i="122"/>
  <c r="E1308" i="122"/>
  <c r="E1309" i="122"/>
  <c r="E1310" i="122"/>
  <c r="E1311" i="122"/>
  <c r="E1312" i="122"/>
  <c r="E1313" i="122"/>
  <c r="E1314" i="122"/>
  <c r="E1315" i="122"/>
  <c r="E1316" i="122"/>
  <c r="E1317" i="122"/>
  <c r="E1318" i="122"/>
  <c r="E1319" i="122"/>
  <c r="E1320" i="122"/>
  <c r="E1321" i="122"/>
  <c r="E1322" i="122"/>
  <c r="E1323" i="122"/>
  <c r="E1324" i="122"/>
  <c r="E1325" i="122"/>
  <c r="E1326" i="122"/>
  <c r="E1327" i="122"/>
  <c r="E1328" i="122"/>
  <c r="E1329" i="122"/>
  <c r="E1330" i="122"/>
  <c r="E1331" i="122"/>
  <c r="E1332" i="122"/>
  <c r="E1333" i="122"/>
  <c r="E1334" i="122"/>
  <c r="E1335" i="122"/>
  <c r="E1336" i="122"/>
  <c r="E1337" i="122"/>
  <c r="E1338" i="122"/>
  <c r="E1339" i="122"/>
  <c r="E1340" i="122"/>
  <c r="E1341" i="122"/>
  <c r="E1342" i="122"/>
  <c r="E1343" i="122"/>
  <c r="E1344" i="122"/>
  <c r="E1345" i="122"/>
  <c r="E1346" i="122"/>
  <c r="E1347" i="122"/>
  <c r="E1348" i="122"/>
  <c r="E1349" i="122"/>
  <c r="E1350" i="122"/>
  <c r="E1351" i="122"/>
  <c r="E1352" i="122"/>
  <c r="E1353" i="122"/>
  <c r="E1354" i="122"/>
  <c r="E1355" i="122"/>
  <c r="E1356" i="122"/>
  <c r="E1357" i="122"/>
  <c r="E1358" i="122"/>
  <c r="E1359" i="122"/>
  <c r="E1360" i="122"/>
  <c r="E1361" i="122"/>
  <c r="E1362" i="122"/>
  <c r="E1363" i="122"/>
  <c r="E1364" i="122"/>
  <c r="E1365" i="122"/>
  <c r="E1366" i="122"/>
  <c r="E1367" i="122"/>
  <c r="E1368" i="122"/>
  <c r="E1369" i="122"/>
  <c r="E1370" i="122"/>
  <c r="E1371" i="122"/>
  <c r="E1372" i="122"/>
  <c r="E1373" i="122"/>
  <c r="E1374" i="122"/>
  <c r="E1375" i="122"/>
  <c r="E1376" i="122"/>
  <c r="E1377" i="122"/>
  <c r="E1378" i="122"/>
  <c r="E1379" i="122"/>
  <c r="E1380" i="122"/>
  <c r="E1381" i="122"/>
  <c r="E1382" i="122"/>
  <c r="E1383" i="122"/>
  <c r="E1384" i="122"/>
  <c r="E1385" i="122"/>
  <c r="E1386" i="122"/>
  <c r="E1387" i="122"/>
  <c r="E1388" i="122"/>
  <c r="E1389" i="122"/>
  <c r="E1390" i="122"/>
  <c r="E1391" i="122"/>
  <c r="E1392" i="122"/>
  <c r="E1393" i="122"/>
  <c r="E1394" i="122"/>
  <c r="E1395" i="122"/>
  <c r="E1396" i="122"/>
  <c r="E1397" i="122"/>
  <c r="E1398" i="122"/>
  <c r="E1399" i="122"/>
  <c r="E1400" i="122"/>
  <c r="E1401" i="122"/>
  <c r="E1402" i="122"/>
  <c r="E1403" i="122"/>
  <c r="E1404" i="122"/>
  <c r="E1405" i="122"/>
  <c r="E1406" i="122"/>
  <c r="E1407" i="122"/>
  <c r="E1408" i="122"/>
  <c r="E1409" i="122"/>
  <c r="E1410" i="122"/>
  <c r="E1411" i="122"/>
  <c r="E1412" i="122"/>
  <c r="E1413" i="122"/>
  <c r="E1414" i="122"/>
  <c r="E1415" i="122"/>
  <c r="E1416" i="122"/>
  <c r="E1417" i="122"/>
  <c r="E1418" i="122"/>
  <c r="E1419" i="122"/>
  <c r="E1420" i="122"/>
  <c r="E1421" i="122"/>
  <c r="E1422" i="122"/>
  <c r="E1423" i="122"/>
  <c r="E1424" i="122"/>
  <c r="E1425" i="122"/>
  <c r="E1426" i="122"/>
  <c r="E1427" i="122"/>
  <c r="E1428" i="122"/>
  <c r="E1429" i="122"/>
  <c r="E1430" i="122"/>
  <c r="E1431" i="122"/>
  <c r="E1432" i="122"/>
  <c r="E1433" i="122"/>
  <c r="E1434" i="122"/>
  <c r="E1435" i="122"/>
  <c r="E1436" i="122"/>
  <c r="E1437" i="122"/>
  <c r="E1438" i="122"/>
  <c r="E1439" i="122"/>
  <c r="E1440" i="122"/>
  <c r="E1441" i="122"/>
  <c r="E1442" i="122"/>
  <c r="E1443" i="122"/>
  <c r="E1444" i="122"/>
  <c r="E1445" i="122"/>
  <c r="E1446" i="122"/>
  <c r="E1447" i="122"/>
  <c r="E1448" i="122"/>
  <c r="E1449" i="122"/>
  <c r="E1450" i="122"/>
  <c r="E1451" i="122"/>
  <c r="E1452" i="122"/>
  <c r="E1453" i="122"/>
  <c r="E1454" i="122"/>
  <c r="E1455" i="122"/>
  <c r="E1456" i="122"/>
  <c r="E1457" i="122"/>
  <c r="E1458" i="122"/>
  <c r="E1459" i="122"/>
  <c r="E1460" i="122"/>
  <c r="E1461" i="122"/>
  <c r="E1462" i="122"/>
  <c r="E1463" i="122"/>
  <c r="E1464" i="122"/>
  <c r="E1465" i="122"/>
  <c r="E1466" i="122"/>
  <c r="E1467" i="122"/>
  <c r="E1468" i="122"/>
  <c r="E1469" i="122"/>
  <c r="E1470" i="122"/>
  <c r="E1471" i="122"/>
  <c r="E1472" i="122"/>
  <c r="E1473" i="122"/>
  <c r="E1474" i="122"/>
  <c r="E1475" i="122"/>
  <c r="E1476" i="122"/>
  <c r="E1477" i="122"/>
  <c r="E1478" i="122"/>
  <c r="E1479" i="122"/>
  <c r="E1480" i="122"/>
  <c r="E1481" i="122"/>
  <c r="E1482" i="122"/>
  <c r="E1483" i="122"/>
  <c r="E1484" i="122"/>
  <c r="E1485" i="122"/>
  <c r="E1486" i="122"/>
  <c r="E1487" i="122"/>
  <c r="E1488" i="122"/>
  <c r="E1489" i="122"/>
  <c r="E1490" i="122"/>
  <c r="E1491" i="122"/>
  <c r="E1492" i="122"/>
  <c r="E1493" i="122"/>
  <c r="E1494" i="122"/>
  <c r="E1495" i="122"/>
  <c r="E1496" i="122"/>
  <c r="E1497" i="122"/>
  <c r="E1498" i="122"/>
  <c r="E1499" i="122"/>
  <c r="E1500" i="122"/>
  <c r="E1501" i="122"/>
  <c r="E1502" i="122"/>
  <c r="E1503" i="122"/>
  <c r="I3" i="122"/>
  <c r="H3" i="122"/>
  <c r="E3" i="122"/>
  <c r="C3" i="122"/>
  <c r="B3" i="122" s="1"/>
  <c r="P24" i="30" l="1"/>
  <c r="O24" i="30"/>
  <c r="N24" i="30"/>
  <c r="M24" i="30"/>
  <c r="L24" i="30"/>
  <c r="K24" i="30"/>
  <c r="J24" i="30"/>
  <c r="I24" i="30"/>
  <c r="H24" i="30"/>
  <c r="F24" i="30"/>
  <c r="E24" i="30"/>
  <c r="G24" i="30"/>
  <c r="N139" i="120"/>
  <c r="M139" i="120"/>
  <c r="L139" i="120"/>
  <c r="K139" i="120"/>
  <c r="J139" i="120"/>
  <c r="I139" i="120"/>
  <c r="H139" i="120"/>
  <c r="G139" i="120"/>
  <c r="F139" i="120"/>
  <c r="E139" i="120"/>
  <c r="Q137" i="120"/>
  <c r="Q136" i="120"/>
  <c r="Q135" i="120"/>
  <c r="Q134" i="120"/>
  <c r="Q133" i="120"/>
  <c r="Q132" i="120"/>
  <c r="Q131" i="120"/>
  <c r="Q130" i="120"/>
  <c r="Q129" i="120"/>
  <c r="Q120" i="120"/>
  <c r="Q119" i="120"/>
  <c r="Q113" i="120"/>
  <c r="E115" i="120"/>
  <c r="F115" i="120"/>
  <c r="G115" i="120"/>
  <c r="H115" i="120"/>
  <c r="I115" i="120"/>
  <c r="J115" i="120"/>
  <c r="K115" i="120"/>
  <c r="L115" i="120"/>
  <c r="M115" i="120"/>
  <c r="N115" i="120"/>
  <c r="O115" i="120"/>
  <c r="P115" i="120"/>
  <c r="N90" i="120" l="1"/>
  <c r="M90" i="120"/>
  <c r="L90" i="120"/>
  <c r="K90" i="120"/>
  <c r="J90" i="120"/>
  <c r="I90" i="120"/>
  <c r="H90" i="120"/>
  <c r="G90" i="120"/>
  <c r="F90" i="120"/>
  <c r="E90" i="120"/>
  <c r="Q89" i="120"/>
  <c r="Q88" i="120"/>
  <c r="Q87" i="120"/>
  <c r="Q86" i="120"/>
  <c r="Q85" i="120"/>
  <c r="Q84" i="120"/>
  <c r="Q83" i="120"/>
  <c r="Q82" i="120"/>
  <c r="Q81" i="120"/>
  <c r="Q80" i="120"/>
  <c r="Q72" i="120"/>
  <c r="O68" i="120"/>
  <c r="N68" i="120"/>
  <c r="M68" i="120"/>
  <c r="L68" i="120"/>
  <c r="K68" i="120"/>
  <c r="J68" i="120"/>
  <c r="I68" i="120"/>
  <c r="H68" i="120"/>
  <c r="G68" i="120"/>
  <c r="F68" i="120"/>
  <c r="E68" i="120"/>
  <c r="P68" i="120"/>
  <c r="E75" i="120"/>
  <c r="F75" i="120"/>
  <c r="G75" i="120"/>
  <c r="H75" i="120"/>
  <c r="I75" i="120"/>
  <c r="J75" i="120"/>
  <c r="K75" i="120"/>
  <c r="L75" i="120"/>
  <c r="M75" i="120"/>
  <c r="N75" i="120"/>
  <c r="O75" i="120"/>
  <c r="P75" i="120"/>
  <c r="Q56" i="120" l="1"/>
  <c r="Q53" i="120"/>
  <c r="Q52" i="120"/>
  <c r="Q51" i="120"/>
  <c r="Q50" i="120"/>
  <c r="Q49" i="120"/>
  <c r="Q48" i="120"/>
  <c r="Q47" i="120"/>
  <c r="P43" i="120"/>
  <c r="O43" i="120"/>
  <c r="N43" i="120"/>
  <c r="M43" i="120"/>
  <c r="L43" i="120"/>
  <c r="K43" i="120"/>
  <c r="J43" i="120"/>
  <c r="I43" i="120"/>
  <c r="H43" i="120"/>
  <c r="G43" i="120"/>
  <c r="F43" i="120"/>
  <c r="E43" i="120"/>
  <c r="Q38" i="120"/>
  <c r="Q40" i="120"/>
  <c r="Q39" i="120"/>
  <c r="Q37" i="120"/>
  <c r="Q36" i="120"/>
  <c r="Q35" i="120"/>
  <c r="Q34" i="120"/>
  <c r="Q29" i="120"/>
  <c r="Q28" i="120"/>
  <c r="Q27" i="120"/>
  <c r="Q26" i="120"/>
  <c r="Q25" i="120"/>
  <c r="Q24" i="120"/>
  <c r="Q23" i="120"/>
  <c r="Q22" i="120"/>
  <c r="Q21" i="120"/>
  <c r="Q20" i="120"/>
  <c r="Q19" i="120"/>
  <c r="Q14" i="120"/>
  <c r="Q13" i="120"/>
  <c r="Q12" i="120"/>
  <c r="Q11" i="120"/>
  <c r="Q10" i="120"/>
  <c r="Q9" i="120"/>
  <c r="Q8" i="120"/>
  <c r="Q7" i="120"/>
  <c r="Q6" i="120"/>
  <c r="Q5" i="120"/>
  <c r="Q4" i="120"/>
  <c r="L14" i="112"/>
  <c r="C67" i="117"/>
  <c r="C66" i="117"/>
  <c r="C65" i="117"/>
  <c r="C64" i="117"/>
  <c r="C63" i="117"/>
  <c r="C62" i="117"/>
  <c r="C61" i="117"/>
  <c r="C60" i="117"/>
  <c r="C59" i="117"/>
  <c r="C58" i="117"/>
  <c r="C57" i="117"/>
  <c r="C56" i="117"/>
  <c r="C55" i="117"/>
  <c r="C54" i="117"/>
  <c r="C51" i="117"/>
  <c r="C50" i="117"/>
  <c r="C49" i="117"/>
  <c r="C48" i="117"/>
  <c r="C47" i="117"/>
  <c r="C46" i="117"/>
  <c r="C45" i="117"/>
  <c r="C44" i="117"/>
  <c r="C43" i="117"/>
  <c r="C42" i="117"/>
  <c r="C41" i="117"/>
  <c r="C40" i="117"/>
  <c r="C39" i="117"/>
  <c r="C38" i="117"/>
  <c r="C37" i="117"/>
  <c r="C36" i="117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20" i="117"/>
  <c r="C15" i="117"/>
  <c r="C14" i="117"/>
  <c r="C13" i="117"/>
  <c r="C12" i="117"/>
  <c r="C10" i="117"/>
  <c r="C9" i="117"/>
  <c r="C8" i="117"/>
  <c r="C7" i="117"/>
  <c r="D67" i="117"/>
  <c r="D66" i="117"/>
  <c r="D65" i="117"/>
  <c r="D64" i="117"/>
  <c r="D63" i="117"/>
  <c r="D62" i="117"/>
  <c r="D61" i="117"/>
  <c r="D60" i="117"/>
  <c r="D59" i="117"/>
  <c r="D58" i="117"/>
  <c r="D57" i="117"/>
  <c r="D56" i="117"/>
  <c r="D55" i="117"/>
  <c r="D54" i="117"/>
  <c r="D51" i="117"/>
  <c r="D50" i="117"/>
  <c r="D49" i="117"/>
  <c r="D48" i="117"/>
  <c r="D47" i="117"/>
  <c r="D46" i="117"/>
  <c r="D45" i="117"/>
  <c r="D44" i="117"/>
  <c r="D43" i="117"/>
  <c r="D42" i="117"/>
  <c r="D41" i="117"/>
  <c r="D40" i="117"/>
  <c r="D39" i="117"/>
  <c r="D38" i="117"/>
  <c r="D37" i="117"/>
  <c r="D36" i="117"/>
  <c r="D33" i="117"/>
  <c r="D32" i="117"/>
  <c r="D31" i="117"/>
  <c r="D30" i="117"/>
  <c r="D29" i="117"/>
  <c r="D28" i="117"/>
  <c r="D27" i="117"/>
  <c r="D26" i="117"/>
  <c r="D25" i="117"/>
  <c r="D24" i="117"/>
  <c r="D23" i="117"/>
  <c r="D22" i="117"/>
  <c r="D21" i="117"/>
  <c r="D20" i="117"/>
  <c r="D15" i="117"/>
  <c r="D14" i="117"/>
  <c r="D13" i="117"/>
  <c r="D12" i="117"/>
  <c r="D10" i="117"/>
  <c r="D9" i="117"/>
  <c r="D8" i="117"/>
  <c r="D7" i="117"/>
  <c r="C40" i="116"/>
  <c r="D67" i="116"/>
  <c r="D66" i="116"/>
  <c r="D65" i="116"/>
  <c r="D64" i="116"/>
  <c r="D63" i="116"/>
  <c r="D62" i="116"/>
  <c r="D61" i="116"/>
  <c r="D60" i="116"/>
  <c r="D59" i="116"/>
  <c r="D58" i="116"/>
  <c r="D57" i="116"/>
  <c r="D56" i="116"/>
  <c r="D55" i="116"/>
  <c r="D54" i="116"/>
  <c r="D51" i="116"/>
  <c r="D50" i="116"/>
  <c r="D49" i="116"/>
  <c r="D48" i="116"/>
  <c r="D47" i="116"/>
  <c r="D46" i="116"/>
  <c r="D45" i="116"/>
  <c r="D44" i="116"/>
  <c r="D43" i="116"/>
  <c r="D42" i="116"/>
  <c r="D41" i="116"/>
  <c r="D40" i="116"/>
  <c r="D39" i="116"/>
  <c r="D38" i="116"/>
  <c r="D37" i="116"/>
  <c r="D36" i="116"/>
  <c r="D33" i="116"/>
  <c r="D32" i="116"/>
  <c r="D31" i="116"/>
  <c r="D30" i="116"/>
  <c r="D29" i="116"/>
  <c r="D28" i="116"/>
  <c r="D27" i="116"/>
  <c r="D26" i="116"/>
  <c r="D25" i="116"/>
  <c r="D24" i="116"/>
  <c r="D23" i="116"/>
  <c r="D22" i="116"/>
  <c r="D21" i="116"/>
  <c r="D20" i="116"/>
  <c r="D15" i="116"/>
  <c r="D14" i="116"/>
  <c r="D13" i="116"/>
  <c r="D12" i="116"/>
  <c r="D10" i="116"/>
  <c r="D9" i="116"/>
  <c r="D8" i="116"/>
  <c r="D7" i="116"/>
  <c r="K81" i="107"/>
  <c r="K80" i="107"/>
  <c r="K79" i="107"/>
  <c r="K78" i="107"/>
  <c r="K77" i="107"/>
  <c r="K76" i="107"/>
  <c r="K75" i="107"/>
  <c r="K74" i="107"/>
  <c r="K73" i="107"/>
  <c r="K72" i="107"/>
  <c r="K71" i="107"/>
  <c r="K70" i="107"/>
  <c r="K69" i="107"/>
  <c r="K68" i="107"/>
  <c r="K67" i="107"/>
  <c r="K57" i="107"/>
  <c r="K56" i="107"/>
  <c r="K55" i="107"/>
  <c r="K54" i="107"/>
  <c r="K53" i="107"/>
  <c r="K52" i="107"/>
  <c r="K51" i="107"/>
  <c r="K50" i="107"/>
  <c r="K49" i="107"/>
  <c r="K48" i="107"/>
  <c r="K47" i="107"/>
  <c r="K46" i="107"/>
  <c r="K45" i="107"/>
  <c r="K44" i="107"/>
  <c r="K43" i="107"/>
  <c r="K42" i="107"/>
  <c r="K41" i="107"/>
  <c r="K40" i="107"/>
  <c r="K36" i="107"/>
  <c r="K35" i="107"/>
  <c r="K34" i="107"/>
  <c r="K33" i="107"/>
  <c r="K32" i="107"/>
  <c r="K31" i="107"/>
  <c r="K30" i="107"/>
  <c r="K29" i="107"/>
  <c r="K28" i="107"/>
  <c r="K27" i="107"/>
  <c r="K26" i="107"/>
  <c r="K25" i="107"/>
  <c r="K24" i="107"/>
  <c r="K23" i="107"/>
  <c r="K22" i="107"/>
  <c r="K21" i="107"/>
  <c r="K17" i="107"/>
  <c r="K16" i="107"/>
  <c r="K15" i="107"/>
  <c r="K14" i="107"/>
  <c r="K13" i="107"/>
  <c r="K12" i="107"/>
  <c r="K11" i="107"/>
  <c r="K10" i="107"/>
  <c r="K9" i="107"/>
  <c r="K8" i="107"/>
  <c r="K7" i="107"/>
  <c r="K6" i="107"/>
  <c r="K5" i="107"/>
  <c r="K4" i="107"/>
  <c r="K3" i="107"/>
  <c r="Q43" i="120" l="1"/>
  <c r="Q55" i="120"/>
  <c r="Q42" i="120"/>
  <c r="J81" i="107"/>
  <c r="J80" i="107"/>
  <c r="J79" i="107"/>
  <c r="J78" i="107"/>
  <c r="J77" i="107"/>
  <c r="J76" i="107"/>
  <c r="J75" i="107"/>
  <c r="J74" i="107"/>
  <c r="J73" i="107"/>
  <c r="J72" i="107"/>
  <c r="J71" i="107"/>
  <c r="J70" i="107"/>
  <c r="J69" i="107"/>
  <c r="J68" i="107"/>
  <c r="J67" i="107"/>
  <c r="J57" i="107"/>
  <c r="J56" i="107"/>
  <c r="J55" i="107"/>
  <c r="J54" i="107"/>
  <c r="J53" i="107"/>
  <c r="J52" i="107"/>
  <c r="J51" i="107"/>
  <c r="J50" i="107"/>
  <c r="J49" i="107"/>
  <c r="J48" i="107"/>
  <c r="J47" i="107"/>
  <c r="J46" i="107"/>
  <c r="J45" i="107"/>
  <c r="J44" i="107"/>
  <c r="J43" i="107"/>
  <c r="J42" i="107"/>
  <c r="J41" i="107"/>
  <c r="J40" i="107"/>
  <c r="J36" i="107"/>
  <c r="J35" i="107"/>
  <c r="J34" i="107"/>
  <c r="J33" i="107"/>
  <c r="J32" i="107"/>
  <c r="J31" i="107"/>
  <c r="J30" i="107"/>
  <c r="J29" i="107"/>
  <c r="J28" i="107"/>
  <c r="J27" i="107"/>
  <c r="J26" i="107"/>
  <c r="J25" i="107"/>
  <c r="J24" i="107"/>
  <c r="J23" i="107"/>
  <c r="J22" i="107"/>
  <c r="J21" i="107"/>
  <c r="J17" i="107"/>
  <c r="J16" i="107"/>
  <c r="J15" i="107"/>
  <c r="J14" i="107"/>
  <c r="J13" i="107"/>
  <c r="J12" i="107"/>
  <c r="J11" i="107"/>
  <c r="J10" i="107"/>
  <c r="J9" i="107"/>
  <c r="J8" i="107"/>
  <c r="J7" i="107"/>
  <c r="J6" i="107"/>
  <c r="J5" i="107"/>
  <c r="J4" i="107"/>
  <c r="J3" i="107"/>
  <c r="I81" i="107" l="1"/>
  <c r="I80" i="107"/>
  <c r="I79" i="107"/>
  <c r="I78" i="107"/>
  <c r="I77" i="107"/>
  <c r="I76" i="107"/>
  <c r="I75" i="107"/>
  <c r="I74" i="107"/>
  <c r="I73" i="107"/>
  <c r="I72" i="107"/>
  <c r="I71" i="107"/>
  <c r="I70" i="107"/>
  <c r="I69" i="107"/>
  <c r="I68" i="107"/>
  <c r="I67" i="107"/>
  <c r="I57" i="107"/>
  <c r="I56" i="107"/>
  <c r="I55" i="107"/>
  <c r="I54" i="107"/>
  <c r="I53" i="107"/>
  <c r="I52" i="107"/>
  <c r="I51" i="107"/>
  <c r="I50" i="107"/>
  <c r="I49" i="107"/>
  <c r="I48" i="107"/>
  <c r="I47" i="107"/>
  <c r="I46" i="107"/>
  <c r="I45" i="107"/>
  <c r="I44" i="107"/>
  <c r="I43" i="107"/>
  <c r="I42" i="107"/>
  <c r="I41" i="107"/>
  <c r="I40" i="107"/>
  <c r="I36" i="107"/>
  <c r="I35" i="107"/>
  <c r="I34" i="107"/>
  <c r="I33" i="107"/>
  <c r="I32" i="107"/>
  <c r="I31" i="107"/>
  <c r="I30" i="107"/>
  <c r="I29" i="107"/>
  <c r="I28" i="107"/>
  <c r="I27" i="107"/>
  <c r="I26" i="107"/>
  <c r="I25" i="107"/>
  <c r="I24" i="107"/>
  <c r="I23" i="107"/>
  <c r="I22" i="107"/>
  <c r="I21" i="107"/>
  <c r="I17" i="107"/>
  <c r="I16" i="107"/>
  <c r="I15" i="107"/>
  <c r="I14" i="107"/>
  <c r="I13" i="107"/>
  <c r="I12" i="107"/>
  <c r="I11" i="107"/>
  <c r="I10" i="107"/>
  <c r="I9" i="107"/>
  <c r="I8" i="107"/>
  <c r="I7" i="107"/>
  <c r="I6" i="107"/>
  <c r="I5" i="107"/>
  <c r="I4" i="107"/>
  <c r="I3" i="107"/>
  <c r="H81" i="107" l="1"/>
  <c r="H80" i="107"/>
  <c r="H79" i="107"/>
  <c r="H78" i="107"/>
  <c r="H77" i="107"/>
  <c r="H76" i="107"/>
  <c r="H75" i="107"/>
  <c r="H74" i="107"/>
  <c r="H73" i="107"/>
  <c r="H72" i="107"/>
  <c r="H71" i="107"/>
  <c r="H70" i="107"/>
  <c r="H69" i="107"/>
  <c r="H68" i="107"/>
  <c r="H67" i="107"/>
  <c r="H57" i="107"/>
  <c r="H56" i="107"/>
  <c r="H55" i="107"/>
  <c r="H54" i="107"/>
  <c r="H53" i="107"/>
  <c r="H52" i="107"/>
  <c r="H51" i="107"/>
  <c r="H50" i="107"/>
  <c r="H49" i="107"/>
  <c r="H48" i="107"/>
  <c r="H47" i="107"/>
  <c r="H46" i="107"/>
  <c r="H45" i="107"/>
  <c r="H44" i="107"/>
  <c r="H43" i="107"/>
  <c r="H42" i="107"/>
  <c r="H41" i="107"/>
  <c r="H40" i="107"/>
  <c r="H36" i="107"/>
  <c r="H35" i="107"/>
  <c r="H34" i="107"/>
  <c r="H33" i="107"/>
  <c r="H32" i="107"/>
  <c r="H31" i="107"/>
  <c r="H30" i="107"/>
  <c r="H29" i="107"/>
  <c r="H28" i="107"/>
  <c r="H27" i="107"/>
  <c r="H26" i="107"/>
  <c r="H25" i="107"/>
  <c r="H24" i="107"/>
  <c r="H23" i="107"/>
  <c r="H22" i="107"/>
  <c r="H21" i="107"/>
  <c r="H17" i="107"/>
  <c r="H16" i="107"/>
  <c r="H15" i="107"/>
  <c r="H14" i="107"/>
  <c r="H13" i="107"/>
  <c r="H12" i="107"/>
  <c r="H11" i="107"/>
  <c r="H10" i="107"/>
  <c r="H9" i="107"/>
  <c r="H8" i="107"/>
  <c r="H7" i="107"/>
  <c r="H6" i="107"/>
  <c r="H5" i="107"/>
  <c r="H4" i="107"/>
  <c r="H3" i="107"/>
  <c r="G81" i="107" l="1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F81" i="107" l="1"/>
  <c r="F80" i="107"/>
  <c r="F79" i="107"/>
  <c r="F78" i="107"/>
  <c r="F77" i="107"/>
  <c r="F76" i="107"/>
  <c r="F75" i="107"/>
  <c r="F74" i="107"/>
  <c r="F73" i="107"/>
  <c r="F72" i="107"/>
  <c r="F71" i="107"/>
  <c r="F70" i="107"/>
  <c r="F69" i="107"/>
  <c r="F68" i="107"/>
  <c r="F67" i="107"/>
  <c r="F57" i="107"/>
  <c r="F56" i="107"/>
  <c r="F55" i="107"/>
  <c r="F54" i="107"/>
  <c r="F53" i="107"/>
  <c r="F52" i="107"/>
  <c r="F51" i="107"/>
  <c r="F50" i="107"/>
  <c r="F49" i="107"/>
  <c r="F48" i="107"/>
  <c r="F47" i="107"/>
  <c r="F46" i="107"/>
  <c r="F45" i="107"/>
  <c r="F44" i="107"/>
  <c r="F43" i="107"/>
  <c r="F42" i="107"/>
  <c r="F41" i="107"/>
  <c r="F40" i="107"/>
  <c r="F36" i="107"/>
  <c r="F35" i="107"/>
  <c r="F34" i="107"/>
  <c r="F33" i="107"/>
  <c r="F32" i="107"/>
  <c r="F31" i="107"/>
  <c r="F30" i="107"/>
  <c r="F29" i="107"/>
  <c r="F28" i="107"/>
  <c r="F27" i="107"/>
  <c r="F26" i="107"/>
  <c r="F25" i="107"/>
  <c r="F24" i="107"/>
  <c r="F23" i="107"/>
  <c r="F22" i="107"/>
  <c r="F21" i="107"/>
  <c r="F17" i="107"/>
  <c r="F16" i="107"/>
  <c r="F15" i="107"/>
  <c r="F14" i="107"/>
  <c r="F13" i="107"/>
  <c r="F12" i="107"/>
  <c r="F11" i="107"/>
  <c r="F10" i="107"/>
  <c r="F9" i="107"/>
  <c r="F8" i="107"/>
  <c r="F7" i="107"/>
  <c r="F6" i="107"/>
  <c r="F5" i="107"/>
  <c r="F4" i="107"/>
  <c r="F3" i="107"/>
  <c r="B57" i="107" l="1"/>
  <c r="C57" i="107"/>
  <c r="D57" i="107"/>
  <c r="E57" i="107"/>
  <c r="L57" i="107"/>
  <c r="M57" i="107"/>
  <c r="E81" i="107"/>
  <c r="E80" i="107"/>
  <c r="E79" i="107"/>
  <c r="E78" i="107"/>
  <c r="E77" i="107"/>
  <c r="E76" i="107"/>
  <c r="E75" i="107"/>
  <c r="E74" i="107"/>
  <c r="E73" i="107"/>
  <c r="E72" i="107"/>
  <c r="E71" i="107"/>
  <c r="E70" i="107"/>
  <c r="E69" i="107"/>
  <c r="E68" i="107"/>
  <c r="E67" i="107"/>
  <c r="E56" i="107"/>
  <c r="E55" i="107"/>
  <c r="E54" i="107"/>
  <c r="E53" i="107"/>
  <c r="E52" i="107"/>
  <c r="E51" i="107"/>
  <c r="E50" i="107"/>
  <c r="E49" i="107"/>
  <c r="E48" i="107"/>
  <c r="E47" i="107"/>
  <c r="E46" i="107"/>
  <c r="E45" i="107"/>
  <c r="E44" i="107"/>
  <c r="E43" i="107"/>
  <c r="E42" i="107"/>
  <c r="E41" i="107"/>
  <c r="E40" i="107"/>
  <c r="E36" i="107"/>
  <c r="E35" i="107"/>
  <c r="E34" i="107"/>
  <c r="E33" i="107"/>
  <c r="E32" i="107"/>
  <c r="E31" i="107"/>
  <c r="E30" i="107"/>
  <c r="E29" i="107"/>
  <c r="E28" i="107"/>
  <c r="E27" i="107"/>
  <c r="E26" i="107"/>
  <c r="E25" i="107"/>
  <c r="E24" i="107"/>
  <c r="E23" i="107"/>
  <c r="E22" i="107"/>
  <c r="E21" i="107"/>
  <c r="E17" i="107"/>
  <c r="E16" i="107"/>
  <c r="E15" i="107"/>
  <c r="E14" i="107"/>
  <c r="E13" i="107"/>
  <c r="E12" i="107"/>
  <c r="E11" i="107"/>
  <c r="E10" i="107"/>
  <c r="E9" i="107"/>
  <c r="E8" i="107"/>
  <c r="E7" i="107"/>
  <c r="E6" i="107"/>
  <c r="E5" i="107"/>
  <c r="E4" i="107"/>
  <c r="E3" i="107"/>
  <c r="D81" i="107"/>
  <c r="D80" i="107"/>
  <c r="D79" i="107"/>
  <c r="D78" i="107"/>
  <c r="D77" i="107"/>
  <c r="D76" i="107"/>
  <c r="D75" i="107"/>
  <c r="D74" i="107"/>
  <c r="D73" i="107"/>
  <c r="D72" i="107"/>
  <c r="D71" i="107"/>
  <c r="D70" i="107"/>
  <c r="D69" i="107"/>
  <c r="D68" i="107"/>
  <c r="D67" i="107"/>
  <c r="D56" i="107"/>
  <c r="D55" i="107"/>
  <c r="D54" i="107"/>
  <c r="D53" i="107"/>
  <c r="D52" i="107"/>
  <c r="D51" i="107"/>
  <c r="D50" i="107"/>
  <c r="D49" i="107"/>
  <c r="D48" i="107"/>
  <c r="D47" i="107"/>
  <c r="D46" i="107"/>
  <c r="D45" i="107"/>
  <c r="D44" i="107"/>
  <c r="D43" i="107"/>
  <c r="D42" i="107"/>
  <c r="D41" i="107"/>
  <c r="D40" i="107"/>
  <c r="D36" i="107"/>
  <c r="D35" i="107"/>
  <c r="D34" i="107"/>
  <c r="D33" i="107"/>
  <c r="D32" i="107"/>
  <c r="D31" i="107"/>
  <c r="D30" i="107"/>
  <c r="D29" i="107"/>
  <c r="D28" i="107"/>
  <c r="D27" i="107"/>
  <c r="D26" i="107"/>
  <c r="D25" i="107"/>
  <c r="D24" i="107"/>
  <c r="D23" i="107"/>
  <c r="D22" i="107"/>
  <c r="D21" i="107"/>
  <c r="D17" i="107"/>
  <c r="D16" i="107"/>
  <c r="D15" i="107"/>
  <c r="D14" i="107"/>
  <c r="D13" i="107"/>
  <c r="D12" i="107"/>
  <c r="D11" i="107"/>
  <c r="D10" i="107"/>
  <c r="D9" i="107"/>
  <c r="D8" i="107"/>
  <c r="D7" i="107"/>
  <c r="D6" i="107"/>
  <c r="D5" i="107"/>
  <c r="D4" i="107"/>
  <c r="D3" i="107"/>
  <c r="G17" i="114" l="1"/>
  <c r="H17" i="114"/>
  <c r="C81" i="107" l="1"/>
  <c r="C80" i="107"/>
  <c r="C79" i="107"/>
  <c r="C78" i="107"/>
  <c r="C77" i="107"/>
  <c r="C76" i="107"/>
  <c r="C75" i="107"/>
  <c r="C74" i="107"/>
  <c r="C73" i="107"/>
  <c r="C72" i="107"/>
  <c r="C71" i="107"/>
  <c r="C70" i="107"/>
  <c r="C69" i="107"/>
  <c r="C68" i="107"/>
  <c r="C67" i="107"/>
  <c r="C56" i="107"/>
  <c r="C55" i="107"/>
  <c r="C54" i="107"/>
  <c r="C53" i="107"/>
  <c r="C52" i="107"/>
  <c r="C51" i="107"/>
  <c r="C50" i="107"/>
  <c r="C49" i="107"/>
  <c r="C48" i="107"/>
  <c r="C47" i="107"/>
  <c r="C46" i="107"/>
  <c r="C45" i="107"/>
  <c r="C44" i="107"/>
  <c r="C43" i="107"/>
  <c r="C42" i="107"/>
  <c r="C41" i="107"/>
  <c r="C40" i="107"/>
  <c r="C36" i="107"/>
  <c r="C35" i="107"/>
  <c r="C34" i="107"/>
  <c r="C33" i="107"/>
  <c r="C32" i="107"/>
  <c r="C31" i="107"/>
  <c r="C30" i="107"/>
  <c r="C29" i="107"/>
  <c r="C28" i="107"/>
  <c r="C27" i="107"/>
  <c r="C26" i="107"/>
  <c r="C25" i="107"/>
  <c r="C24" i="107"/>
  <c r="C23" i="107"/>
  <c r="C22" i="107"/>
  <c r="C21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F17" i="114" l="1"/>
  <c r="D82" i="110" l="1"/>
  <c r="P53" i="110"/>
  <c r="O53" i="110"/>
  <c r="N53" i="110"/>
  <c r="M53" i="110"/>
  <c r="L53" i="110"/>
  <c r="K53" i="110"/>
  <c r="J53" i="110"/>
  <c r="I53" i="110"/>
  <c r="H53" i="110"/>
  <c r="G53" i="110"/>
  <c r="F53" i="110"/>
  <c r="E53" i="110"/>
  <c r="P15" i="110"/>
  <c r="O15" i="110"/>
  <c r="N15" i="110"/>
  <c r="M15" i="110"/>
  <c r="L15" i="110"/>
  <c r="K15" i="110"/>
  <c r="J15" i="110"/>
  <c r="I15" i="110"/>
  <c r="H15" i="110"/>
  <c r="G15" i="110"/>
  <c r="F15" i="110"/>
  <c r="P14" i="110"/>
  <c r="O14" i="110"/>
  <c r="N14" i="110"/>
  <c r="M14" i="110"/>
  <c r="L14" i="110"/>
  <c r="K14" i="110"/>
  <c r="J14" i="110"/>
  <c r="I14" i="110"/>
  <c r="H14" i="110"/>
  <c r="G14" i="110"/>
  <c r="F14" i="110"/>
  <c r="P13" i="110"/>
  <c r="O13" i="110"/>
  <c r="N13" i="110"/>
  <c r="M13" i="110"/>
  <c r="L13" i="110"/>
  <c r="K13" i="110"/>
  <c r="J13" i="110"/>
  <c r="I13" i="110"/>
  <c r="H13" i="110"/>
  <c r="G13" i="110"/>
  <c r="F13" i="110"/>
  <c r="P26" i="110"/>
  <c r="O26" i="110"/>
  <c r="N26" i="110"/>
  <c r="M26" i="110"/>
  <c r="L26" i="110"/>
  <c r="K26" i="110"/>
  <c r="J26" i="110"/>
  <c r="I26" i="110"/>
  <c r="H26" i="110"/>
  <c r="G26" i="110"/>
  <c r="F26" i="110"/>
  <c r="P25" i="110"/>
  <c r="O25" i="110"/>
  <c r="N25" i="110"/>
  <c r="M25" i="110"/>
  <c r="L25" i="110"/>
  <c r="K25" i="110"/>
  <c r="J25" i="110"/>
  <c r="I25" i="110"/>
  <c r="H25" i="110"/>
  <c r="G25" i="110"/>
  <c r="F25" i="110"/>
  <c r="P24" i="110"/>
  <c r="O24" i="110"/>
  <c r="N24" i="110"/>
  <c r="M24" i="110"/>
  <c r="L24" i="110"/>
  <c r="K24" i="110"/>
  <c r="J24" i="110"/>
  <c r="I24" i="110"/>
  <c r="H24" i="110"/>
  <c r="G24" i="110"/>
  <c r="F24" i="110"/>
  <c r="E25" i="110"/>
  <c r="E26" i="110"/>
  <c r="E24" i="110"/>
  <c r="P21" i="110"/>
  <c r="P20" i="110" s="1"/>
  <c r="O21" i="110"/>
  <c r="O20" i="110" s="1"/>
  <c r="N21" i="110"/>
  <c r="N20" i="110" s="1"/>
  <c r="M21" i="110"/>
  <c r="M20" i="110" s="1"/>
  <c r="L21" i="110"/>
  <c r="L20" i="110" s="1"/>
  <c r="K21" i="110"/>
  <c r="K20" i="110" s="1"/>
  <c r="J21" i="110"/>
  <c r="J20" i="110" s="1"/>
  <c r="I21" i="110"/>
  <c r="I20" i="110" s="1"/>
  <c r="H21" i="110"/>
  <c r="H20" i="110" s="1"/>
  <c r="G21" i="110"/>
  <c r="G20" i="110" s="1"/>
  <c r="F21" i="110"/>
  <c r="F20" i="110" s="1"/>
  <c r="E21" i="110"/>
  <c r="E20" i="110" s="1"/>
  <c r="E14" i="110"/>
  <c r="E15" i="110"/>
  <c r="E13" i="110"/>
  <c r="P9" i="110"/>
  <c r="O9" i="110"/>
  <c r="N9" i="110"/>
  <c r="M9" i="110"/>
  <c r="L9" i="110"/>
  <c r="K9" i="110"/>
  <c r="J9" i="110"/>
  <c r="I9" i="110"/>
  <c r="H9" i="110"/>
  <c r="G9" i="110"/>
  <c r="F9" i="110"/>
  <c r="E9" i="110"/>
  <c r="P46" i="114"/>
  <c r="O46" i="114"/>
  <c r="P45" i="114"/>
  <c r="O45" i="114"/>
  <c r="P44" i="114"/>
  <c r="O44" i="114"/>
  <c r="P43" i="114"/>
  <c r="O43" i="114"/>
  <c r="P42" i="114"/>
  <c r="O42" i="114"/>
  <c r="P41" i="114"/>
  <c r="O41" i="114"/>
  <c r="P40" i="114"/>
  <c r="O40" i="114"/>
  <c r="P39" i="114"/>
  <c r="O39" i="114"/>
  <c r="P38" i="114"/>
  <c r="O38" i="114"/>
  <c r="P37" i="114"/>
  <c r="O37" i="114"/>
  <c r="P36" i="114"/>
  <c r="O36" i="114"/>
  <c r="P35" i="114"/>
  <c r="O35" i="114"/>
  <c r="P34" i="114"/>
  <c r="O34" i="114"/>
  <c r="P33" i="114"/>
  <c r="O33" i="114"/>
  <c r="P64" i="114"/>
  <c r="O64" i="114"/>
  <c r="P63" i="114"/>
  <c r="O63" i="114"/>
  <c r="P62" i="114"/>
  <c r="O62" i="114"/>
  <c r="P61" i="114"/>
  <c r="O61" i="114"/>
  <c r="P60" i="114"/>
  <c r="O60" i="114"/>
  <c r="P59" i="114"/>
  <c r="O59" i="114"/>
  <c r="P58" i="114"/>
  <c r="O58" i="114"/>
  <c r="P57" i="114"/>
  <c r="O57" i="114"/>
  <c r="P56" i="114"/>
  <c r="O56" i="114"/>
  <c r="P55" i="114"/>
  <c r="O55" i="114"/>
  <c r="P54" i="114"/>
  <c r="O54" i="114"/>
  <c r="P53" i="114"/>
  <c r="O53" i="114"/>
  <c r="P52" i="114"/>
  <c r="O52" i="114"/>
  <c r="P51" i="114"/>
  <c r="O51" i="114"/>
  <c r="P50" i="114"/>
  <c r="O50" i="114"/>
  <c r="P49" i="114"/>
  <c r="O49" i="114"/>
  <c r="P80" i="114"/>
  <c r="O80" i="114"/>
  <c r="N80" i="114"/>
  <c r="M80" i="114"/>
  <c r="L80" i="114"/>
  <c r="K80" i="114"/>
  <c r="J80" i="114"/>
  <c r="I80" i="114"/>
  <c r="H80" i="114"/>
  <c r="G80" i="114"/>
  <c r="F80" i="114"/>
  <c r="E80" i="114"/>
  <c r="P79" i="114"/>
  <c r="O79" i="114"/>
  <c r="N79" i="114"/>
  <c r="M79" i="114"/>
  <c r="L79" i="114"/>
  <c r="K79" i="114"/>
  <c r="J79" i="114"/>
  <c r="I79" i="114"/>
  <c r="H79" i="114"/>
  <c r="G79" i="114"/>
  <c r="F79" i="114"/>
  <c r="E79" i="114"/>
  <c r="P78" i="114"/>
  <c r="O78" i="114"/>
  <c r="N78" i="114"/>
  <c r="M78" i="114"/>
  <c r="L78" i="114"/>
  <c r="K78" i="114"/>
  <c r="J78" i="114"/>
  <c r="I78" i="114"/>
  <c r="H78" i="114"/>
  <c r="G78" i="114"/>
  <c r="F78" i="114"/>
  <c r="E78" i="114"/>
  <c r="P77" i="114"/>
  <c r="O77" i="114"/>
  <c r="N77" i="114"/>
  <c r="M77" i="114"/>
  <c r="L77" i="114"/>
  <c r="K77" i="114"/>
  <c r="J77" i="114"/>
  <c r="I77" i="114"/>
  <c r="H77" i="114"/>
  <c r="G77" i="114"/>
  <c r="F77" i="114"/>
  <c r="E77" i="114"/>
  <c r="P76" i="114"/>
  <c r="O76" i="114"/>
  <c r="N76" i="114"/>
  <c r="M76" i="114"/>
  <c r="L76" i="114"/>
  <c r="K76" i="114"/>
  <c r="J76" i="114"/>
  <c r="I76" i="114"/>
  <c r="H76" i="114"/>
  <c r="G76" i="114"/>
  <c r="F76" i="114"/>
  <c r="E76" i="114"/>
  <c r="P75" i="114"/>
  <c r="O75" i="114"/>
  <c r="N75" i="114"/>
  <c r="M75" i="114"/>
  <c r="L75" i="114"/>
  <c r="K75" i="114"/>
  <c r="J75" i="114"/>
  <c r="I75" i="114"/>
  <c r="H75" i="114"/>
  <c r="G75" i="114"/>
  <c r="F75" i="114"/>
  <c r="E75" i="114"/>
  <c r="P74" i="114"/>
  <c r="O74" i="114"/>
  <c r="N74" i="114"/>
  <c r="M74" i="114"/>
  <c r="L74" i="114"/>
  <c r="K74" i="114"/>
  <c r="J74" i="114"/>
  <c r="I74" i="114"/>
  <c r="H74" i="114"/>
  <c r="G74" i="114"/>
  <c r="F74" i="114"/>
  <c r="E74" i="114"/>
  <c r="P73" i="114"/>
  <c r="O73" i="114"/>
  <c r="N73" i="114"/>
  <c r="M73" i="114"/>
  <c r="L73" i="114"/>
  <c r="K73" i="114"/>
  <c r="J73" i="114"/>
  <c r="I73" i="114"/>
  <c r="H73" i="114"/>
  <c r="G73" i="114"/>
  <c r="F73" i="114"/>
  <c r="E73" i="114"/>
  <c r="P72" i="114"/>
  <c r="O72" i="114"/>
  <c r="N72" i="114"/>
  <c r="M72" i="114"/>
  <c r="L72" i="114"/>
  <c r="K72" i="114"/>
  <c r="J72" i="114"/>
  <c r="I72" i="114"/>
  <c r="H72" i="114"/>
  <c r="G72" i="114"/>
  <c r="F72" i="114"/>
  <c r="E72" i="114"/>
  <c r="P71" i="114"/>
  <c r="O71" i="114"/>
  <c r="N71" i="114"/>
  <c r="M71" i="114"/>
  <c r="L71" i="114"/>
  <c r="K71" i="114"/>
  <c r="J71" i="114"/>
  <c r="I71" i="114"/>
  <c r="H71" i="114"/>
  <c r="G71" i="114"/>
  <c r="F71" i="114"/>
  <c r="E71" i="114"/>
  <c r="P70" i="114"/>
  <c r="O70" i="114"/>
  <c r="N70" i="114"/>
  <c r="M70" i="114"/>
  <c r="L70" i="114"/>
  <c r="K70" i="114"/>
  <c r="J70" i="114"/>
  <c r="I70" i="114"/>
  <c r="H70" i="114"/>
  <c r="G70" i="114"/>
  <c r="F70" i="114"/>
  <c r="E70" i="114"/>
  <c r="P69" i="114"/>
  <c r="O69" i="114"/>
  <c r="N69" i="114"/>
  <c r="M69" i="114"/>
  <c r="L69" i="114"/>
  <c r="K69" i="114"/>
  <c r="J69" i="114"/>
  <c r="I69" i="114"/>
  <c r="H69" i="114"/>
  <c r="G69" i="114"/>
  <c r="F69" i="114"/>
  <c r="E69" i="114"/>
  <c r="P68" i="114"/>
  <c r="O68" i="114"/>
  <c r="N68" i="114"/>
  <c r="M68" i="114"/>
  <c r="L68" i="114"/>
  <c r="K68" i="114"/>
  <c r="J68" i="114"/>
  <c r="I68" i="114"/>
  <c r="H68" i="114"/>
  <c r="G68" i="114"/>
  <c r="F68" i="114"/>
  <c r="E68" i="114"/>
  <c r="P67" i="114"/>
  <c r="O67" i="114"/>
  <c r="N67" i="114"/>
  <c r="M67" i="114"/>
  <c r="L67" i="114"/>
  <c r="K67" i="114"/>
  <c r="J67" i="114"/>
  <c r="I67" i="114"/>
  <c r="H67" i="114"/>
  <c r="G67" i="114"/>
  <c r="F67" i="114"/>
  <c r="E67" i="114"/>
  <c r="N64" i="114"/>
  <c r="M64" i="114"/>
  <c r="L64" i="114"/>
  <c r="K64" i="114"/>
  <c r="J64" i="114"/>
  <c r="I64" i="114"/>
  <c r="H64" i="114"/>
  <c r="G64" i="114"/>
  <c r="F64" i="114"/>
  <c r="E64" i="114"/>
  <c r="N63" i="114"/>
  <c r="M63" i="114"/>
  <c r="L63" i="114"/>
  <c r="K63" i="114"/>
  <c r="J63" i="114"/>
  <c r="I63" i="114"/>
  <c r="H63" i="114"/>
  <c r="G63" i="114"/>
  <c r="F63" i="114"/>
  <c r="E63" i="114"/>
  <c r="N62" i="114"/>
  <c r="M62" i="114"/>
  <c r="L62" i="114"/>
  <c r="K62" i="114"/>
  <c r="J62" i="114"/>
  <c r="I62" i="114"/>
  <c r="H62" i="114"/>
  <c r="G62" i="114"/>
  <c r="F62" i="114"/>
  <c r="E62" i="114"/>
  <c r="N61" i="114"/>
  <c r="M61" i="114"/>
  <c r="L61" i="114"/>
  <c r="K61" i="114"/>
  <c r="J61" i="114"/>
  <c r="I61" i="114"/>
  <c r="H61" i="114"/>
  <c r="G61" i="114"/>
  <c r="F61" i="114"/>
  <c r="E61" i="114"/>
  <c r="N60" i="114"/>
  <c r="M60" i="114"/>
  <c r="L60" i="114"/>
  <c r="K60" i="114"/>
  <c r="J60" i="114"/>
  <c r="I60" i="114"/>
  <c r="H60" i="114"/>
  <c r="G60" i="114"/>
  <c r="F60" i="114"/>
  <c r="E60" i="114"/>
  <c r="N59" i="114"/>
  <c r="M59" i="114"/>
  <c r="L59" i="114"/>
  <c r="K59" i="114"/>
  <c r="J59" i="114"/>
  <c r="I59" i="114"/>
  <c r="H59" i="114"/>
  <c r="G59" i="114"/>
  <c r="F59" i="114"/>
  <c r="E59" i="114"/>
  <c r="N58" i="114"/>
  <c r="M58" i="114"/>
  <c r="L58" i="114"/>
  <c r="K58" i="114"/>
  <c r="J58" i="114"/>
  <c r="I58" i="114"/>
  <c r="H58" i="114"/>
  <c r="G58" i="114"/>
  <c r="F58" i="114"/>
  <c r="E58" i="114"/>
  <c r="N57" i="114"/>
  <c r="M57" i="114"/>
  <c r="L57" i="114"/>
  <c r="K57" i="114"/>
  <c r="J57" i="114"/>
  <c r="I57" i="114"/>
  <c r="H57" i="114"/>
  <c r="G57" i="114"/>
  <c r="F57" i="114"/>
  <c r="E57" i="114"/>
  <c r="N56" i="114"/>
  <c r="M56" i="114"/>
  <c r="L56" i="114"/>
  <c r="K56" i="114"/>
  <c r="J56" i="114"/>
  <c r="I56" i="114"/>
  <c r="H56" i="114"/>
  <c r="G56" i="114"/>
  <c r="F56" i="114"/>
  <c r="E56" i="114"/>
  <c r="N55" i="114"/>
  <c r="M55" i="114"/>
  <c r="L55" i="114"/>
  <c r="K55" i="114"/>
  <c r="J55" i="114"/>
  <c r="I55" i="114"/>
  <c r="H55" i="114"/>
  <c r="G55" i="114"/>
  <c r="F55" i="114"/>
  <c r="E55" i="114"/>
  <c r="N54" i="114"/>
  <c r="M54" i="114"/>
  <c r="L54" i="114"/>
  <c r="K54" i="114"/>
  <c r="J54" i="114"/>
  <c r="I54" i="114"/>
  <c r="H54" i="114"/>
  <c r="G54" i="114"/>
  <c r="F54" i="114"/>
  <c r="E54" i="114"/>
  <c r="N53" i="114"/>
  <c r="M53" i="114"/>
  <c r="L53" i="114"/>
  <c r="K53" i="114"/>
  <c r="J53" i="114"/>
  <c r="I53" i="114"/>
  <c r="H53" i="114"/>
  <c r="G53" i="114"/>
  <c r="F53" i="114"/>
  <c r="E53" i="114"/>
  <c r="N52" i="114"/>
  <c r="M52" i="114"/>
  <c r="L52" i="114"/>
  <c r="K52" i="114"/>
  <c r="J52" i="114"/>
  <c r="I52" i="114"/>
  <c r="H52" i="114"/>
  <c r="G52" i="114"/>
  <c r="F52" i="114"/>
  <c r="E52" i="114"/>
  <c r="N51" i="114"/>
  <c r="M51" i="114"/>
  <c r="L51" i="114"/>
  <c r="K51" i="114"/>
  <c r="J51" i="114"/>
  <c r="I51" i="114"/>
  <c r="H51" i="114"/>
  <c r="G51" i="114"/>
  <c r="F51" i="114"/>
  <c r="E51" i="114"/>
  <c r="N50" i="114"/>
  <c r="M50" i="114"/>
  <c r="L50" i="114"/>
  <c r="K50" i="114"/>
  <c r="J50" i="114"/>
  <c r="I50" i="114"/>
  <c r="H50" i="114"/>
  <c r="G50" i="114"/>
  <c r="F50" i="114"/>
  <c r="E50" i="114"/>
  <c r="N49" i="114"/>
  <c r="M49" i="114"/>
  <c r="L49" i="114"/>
  <c r="K49" i="114"/>
  <c r="J49" i="114"/>
  <c r="I49" i="114"/>
  <c r="H49" i="114"/>
  <c r="G49" i="114"/>
  <c r="F49" i="114"/>
  <c r="E49" i="114"/>
  <c r="N46" i="114"/>
  <c r="M46" i="114"/>
  <c r="L46" i="114"/>
  <c r="K46" i="114"/>
  <c r="J46" i="114"/>
  <c r="I46" i="114"/>
  <c r="H46" i="114"/>
  <c r="G46" i="114"/>
  <c r="F46" i="114"/>
  <c r="E46" i="114"/>
  <c r="N45" i="114"/>
  <c r="M45" i="114"/>
  <c r="L45" i="114"/>
  <c r="K45" i="114"/>
  <c r="J45" i="114"/>
  <c r="I45" i="114"/>
  <c r="H45" i="114"/>
  <c r="G45" i="114"/>
  <c r="F45" i="114"/>
  <c r="E45" i="114"/>
  <c r="N44" i="114"/>
  <c r="M44" i="114"/>
  <c r="L44" i="114"/>
  <c r="K44" i="114"/>
  <c r="J44" i="114"/>
  <c r="I44" i="114"/>
  <c r="H44" i="114"/>
  <c r="G44" i="114"/>
  <c r="F44" i="114"/>
  <c r="E44" i="114"/>
  <c r="N43" i="114"/>
  <c r="M43" i="114"/>
  <c r="L43" i="114"/>
  <c r="K43" i="114"/>
  <c r="J43" i="114"/>
  <c r="I43" i="114"/>
  <c r="H43" i="114"/>
  <c r="G43" i="114"/>
  <c r="F43" i="114"/>
  <c r="E43" i="114"/>
  <c r="N42" i="114"/>
  <c r="M42" i="114"/>
  <c r="L42" i="114"/>
  <c r="K42" i="114"/>
  <c r="J42" i="114"/>
  <c r="I42" i="114"/>
  <c r="H42" i="114"/>
  <c r="G42" i="114"/>
  <c r="F42" i="114"/>
  <c r="E42" i="114"/>
  <c r="N41" i="114"/>
  <c r="M41" i="114"/>
  <c r="L41" i="114"/>
  <c r="K41" i="114"/>
  <c r="J41" i="114"/>
  <c r="I41" i="114"/>
  <c r="H41" i="114"/>
  <c r="G41" i="114"/>
  <c r="F41" i="114"/>
  <c r="E41" i="114"/>
  <c r="N40" i="114"/>
  <c r="M40" i="114"/>
  <c r="L40" i="114"/>
  <c r="K40" i="114"/>
  <c r="J40" i="114"/>
  <c r="I40" i="114"/>
  <c r="H40" i="114"/>
  <c r="G40" i="114"/>
  <c r="F40" i="114"/>
  <c r="E40" i="114"/>
  <c r="N39" i="114"/>
  <c r="M39" i="114"/>
  <c r="L39" i="114"/>
  <c r="K39" i="114"/>
  <c r="J39" i="114"/>
  <c r="I39" i="114"/>
  <c r="H39" i="114"/>
  <c r="G39" i="114"/>
  <c r="F39" i="114"/>
  <c r="E39" i="114"/>
  <c r="N38" i="114"/>
  <c r="M38" i="114"/>
  <c r="L38" i="114"/>
  <c r="K38" i="114"/>
  <c r="J38" i="114"/>
  <c r="I38" i="114"/>
  <c r="H38" i="114"/>
  <c r="G38" i="114"/>
  <c r="F38" i="114"/>
  <c r="E38" i="114"/>
  <c r="N37" i="114"/>
  <c r="M37" i="114"/>
  <c r="L37" i="114"/>
  <c r="K37" i="114"/>
  <c r="J37" i="114"/>
  <c r="I37" i="114"/>
  <c r="H37" i="114"/>
  <c r="G37" i="114"/>
  <c r="F37" i="114"/>
  <c r="E37" i="114"/>
  <c r="N36" i="114"/>
  <c r="M36" i="114"/>
  <c r="L36" i="114"/>
  <c r="K36" i="114"/>
  <c r="J36" i="114"/>
  <c r="I36" i="114"/>
  <c r="H36" i="114"/>
  <c r="G36" i="114"/>
  <c r="F36" i="114"/>
  <c r="E36" i="114"/>
  <c r="N35" i="114"/>
  <c r="M35" i="114"/>
  <c r="L35" i="114"/>
  <c r="K35" i="114"/>
  <c r="J35" i="114"/>
  <c r="I35" i="114"/>
  <c r="H35" i="114"/>
  <c r="G35" i="114"/>
  <c r="F35" i="114"/>
  <c r="E35" i="114"/>
  <c r="N34" i="114"/>
  <c r="M34" i="114"/>
  <c r="L34" i="114"/>
  <c r="K34" i="114"/>
  <c r="J34" i="114"/>
  <c r="I34" i="114"/>
  <c r="H34" i="114"/>
  <c r="G34" i="114"/>
  <c r="F34" i="114"/>
  <c r="E34" i="114"/>
  <c r="N33" i="114"/>
  <c r="M33" i="114"/>
  <c r="L33" i="114"/>
  <c r="K33" i="114"/>
  <c r="J33" i="114"/>
  <c r="I33" i="114"/>
  <c r="H33" i="114"/>
  <c r="G33" i="114"/>
  <c r="F33" i="114"/>
  <c r="E33" i="114"/>
  <c r="L67" i="107" l="1"/>
  <c r="M67" i="107"/>
  <c r="L68" i="107"/>
  <c r="M68" i="107"/>
  <c r="L69" i="107"/>
  <c r="M69" i="107"/>
  <c r="L70" i="107"/>
  <c r="M70" i="107"/>
  <c r="L71" i="107"/>
  <c r="M71" i="107"/>
  <c r="L72" i="107"/>
  <c r="M72" i="107"/>
  <c r="L73" i="107"/>
  <c r="M73" i="107"/>
  <c r="L74" i="107"/>
  <c r="M74" i="107"/>
  <c r="L75" i="107"/>
  <c r="M75" i="107"/>
  <c r="L76" i="107"/>
  <c r="M76" i="107"/>
  <c r="L77" i="107"/>
  <c r="M77" i="107"/>
  <c r="L78" i="107"/>
  <c r="M78" i="107"/>
  <c r="L79" i="107"/>
  <c r="M79" i="107"/>
  <c r="L80" i="107"/>
  <c r="M80" i="107"/>
  <c r="L81" i="107"/>
  <c r="M81" i="107"/>
  <c r="L40" i="107"/>
  <c r="M40" i="107"/>
  <c r="L41" i="107"/>
  <c r="M41" i="107"/>
  <c r="L42" i="107"/>
  <c r="M42" i="107"/>
  <c r="L43" i="107"/>
  <c r="M43" i="107"/>
  <c r="L44" i="107"/>
  <c r="M44" i="107"/>
  <c r="L45" i="107"/>
  <c r="M45" i="107"/>
  <c r="L46" i="107"/>
  <c r="M46" i="107"/>
  <c r="L47" i="107"/>
  <c r="M47" i="107"/>
  <c r="L48" i="107"/>
  <c r="M48" i="107"/>
  <c r="L49" i="107"/>
  <c r="M49" i="107"/>
  <c r="L50" i="107"/>
  <c r="M50" i="107"/>
  <c r="L51" i="107"/>
  <c r="M51" i="107"/>
  <c r="L52" i="107"/>
  <c r="M52" i="107"/>
  <c r="L53" i="107"/>
  <c r="M53" i="107"/>
  <c r="L54" i="107"/>
  <c r="M54" i="107"/>
  <c r="L55" i="107"/>
  <c r="M55" i="107"/>
  <c r="L56" i="107"/>
  <c r="M56" i="107"/>
  <c r="L3" i="107"/>
  <c r="M3" i="107"/>
  <c r="L4" i="107"/>
  <c r="M4" i="107"/>
  <c r="L5" i="107"/>
  <c r="M5" i="107"/>
  <c r="L6" i="107"/>
  <c r="M6" i="107"/>
  <c r="L7" i="107"/>
  <c r="M7" i="107"/>
  <c r="L8" i="107"/>
  <c r="M8" i="107"/>
  <c r="L9" i="107"/>
  <c r="M9" i="107"/>
  <c r="L10" i="107"/>
  <c r="M10" i="107"/>
  <c r="L11" i="107"/>
  <c r="M11" i="107"/>
  <c r="L12" i="107"/>
  <c r="M12" i="107"/>
  <c r="L13" i="107"/>
  <c r="M13" i="107"/>
  <c r="L14" i="107"/>
  <c r="M14" i="107"/>
  <c r="L15" i="107"/>
  <c r="M15" i="107"/>
  <c r="L16" i="107"/>
  <c r="M16" i="107"/>
  <c r="L17" i="107"/>
  <c r="M17" i="107"/>
  <c r="L21" i="107"/>
  <c r="M21" i="107"/>
  <c r="L22" i="107"/>
  <c r="M22" i="107"/>
  <c r="L23" i="107"/>
  <c r="M23" i="107"/>
  <c r="L24" i="107"/>
  <c r="M24" i="107"/>
  <c r="L25" i="107"/>
  <c r="M25" i="107"/>
  <c r="L26" i="107"/>
  <c r="M26" i="107"/>
  <c r="L27" i="107"/>
  <c r="M27" i="107"/>
  <c r="L28" i="107"/>
  <c r="M28" i="107"/>
  <c r="L29" i="107"/>
  <c r="M29" i="107"/>
  <c r="L30" i="107"/>
  <c r="M30" i="107"/>
  <c r="L31" i="107"/>
  <c r="M31" i="107"/>
  <c r="L32" i="107"/>
  <c r="M32" i="107"/>
  <c r="L33" i="107"/>
  <c r="M33" i="107"/>
  <c r="L34" i="107"/>
  <c r="M34" i="107"/>
  <c r="L35" i="107"/>
  <c r="M35" i="107"/>
  <c r="L36" i="107"/>
  <c r="M36" i="107"/>
  <c r="B56" i="107"/>
  <c r="B81" i="107"/>
  <c r="B80" i="107"/>
  <c r="B79" i="107"/>
  <c r="B78" i="107"/>
  <c r="B77" i="107"/>
  <c r="B76" i="107"/>
  <c r="B75" i="107"/>
  <c r="B74" i="107"/>
  <c r="B73" i="107"/>
  <c r="B72" i="107"/>
  <c r="B71" i="107"/>
  <c r="B70" i="107"/>
  <c r="B69" i="107"/>
  <c r="B68" i="107"/>
  <c r="B67" i="107"/>
  <c r="B55" i="107"/>
  <c r="B54" i="107"/>
  <c r="B53" i="107"/>
  <c r="B52" i="107"/>
  <c r="B51" i="107"/>
  <c r="B50" i="107"/>
  <c r="B49" i="107"/>
  <c r="B48" i="107"/>
  <c r="B47" i="107"/>
  <c r="B46" i="107"/>
  <c r="B45" i="107"/>
  <c r="B44" i="107"/>
  <c r="B43" i="107"/>
  <c r="B42" i="107"/>
  <c r="B41" i="107"/>
  <c r="B40" i="107"/>
  <c r="B36" i="107"/>
  <c r="B35" i="107"/>
  <c r="B34" i="107"/>
  <c r="B33" i="107"/>
  <c r="B32" i="107"/>
  <c r="B31" i="107"/>
  <c r="B30" i="107"/>
  <c r="B29" i="107"/>
  <c r="B28" i="107"/>
  <c r="B27" i="107"/>
  <c r="B26" i="107"/>
  <c r="B25" i="107"/>
  <c r="B24" i="107"/>
  <c r="B23" i="107"/>
  <c r="B22" i="107"/>
  <c r="B21" i="107"/>
  <c r="B17" i="107"/>
  <c r="B16" i="107"/>
  <c r="B15" i="107"/>
  <c r="B14" i="107"/>
  <c r="B13" i="107"/>
  <c r="B12" i="107"/>
  <c r="B11" i="107"/>
  <c r="B10" i="107"/>
  <c r="B9" i="107"/>
  <c r="B8" i="107"/>
  <c r="B7" i="107"/>
  <c r="B6" i="107"/>
  <c r="B5" i="107"/>
  <c r="B4" i="107"/>
  <c r="B3" i="107"/>
  <c r="I100" i="119"/>
  <c r="I101" i="119"/>
  <c r="I102" i="119"/>
  <c r="I103" i="119"/>
  <c r="I104" i="119"/>
  <c r="I105" i="119"/>
  <c r="I106" i="119"/>
  <c r="I107" i="119"/>
  <c r="I108" i="119"/>
  <c r="I109" i="119"/>
  <c r="I110" i="119"/>
  <c r="I111" i="119"/>
  <c r="I112" i="119"/>
  <c r="I113" i="119"/>
  <c r="I114" i="119"/>
  <c r="I115" i="119"/>
  <c r="I116" i="119"/>
  <c r="I117" i="119"/>
  <c r="I118" i="119"/>
  <c r="I119" i="119"/>
  <c r="I120" i="119"/>
  <c r="I121" i="119"/>
  <c r="I122" i="119"/>
  <c r="I123" i="119"/>
  <c r="I124" i="119"/>
  <c r="I125" i="119"/>
  <c r="I126" i="119"/>
  <c r="I127" i="119"/>
  <c r="I128" i="119"/>
  <c r="I129" i="119"/>
  <c r="I130" i="119"/>
  <c r="I131" i="119"/>
  <c r="I132" i="119"/>
  <c r="I133" i="119"/>
  <c r="I134" i="119"/>
  <c r="I135" i="119"/>
  <c r="I136" i="119"/>
  <c r="I137" i="119"/>
  <c r="I138" i="119"/>
  <c r="I139" i="119"/>
  <c r="I140" i="119"/>
  <c r="I141" i="119"/>
  <c r="I142" i="119"/>
  <c r="I143" i="119"/>
  <c r="I144" i="119"/>
  <c r="I145" i="119"/>
  <c r="I146" i="119"/>
  <c r="I147" i="119"/>
  <c r="I148" i="119"/>
  <c r="I149" i="119"/>
  <c r="I150" i="119"/>
  <c r="I151" i="119"/>
  <c r="I152" i="119"/>
  <c r="I153" i="119"/>
  <c r="I154" i="119"/>
  <c r="I155" i="119"/>
  <c r="I156" i="119"/>
  <c r="I157" i="119"/>
  <c r="I158" i="119"/>
  <c r="I159" i="119"/>
  <c r="I160" i="119"/>
  <c r="F7" i="119"/>
  <c r="L114" i="119" s="1"/>
  <c r="L6" i="119"/>
  <c r="M1" i="107" l="1"/>
  <c r="L1" i="107"/>
  <c r="J17" i="114"/>
  <c r="N17" i="114"/>
  <c r="I17" i="114"/>
  <c r="K17" i="114"/>
  <c r="E17" i="114"/>
  <c r="L17" i="114"/>
  <c r="M17" i="114"/>
  <c r="K148" i="119"/>
  <c r="K147" i="119"/>
  <c r="K109" i="119"/>
  <c r="K124" i="119"/>
  <c r="L156" i="119"/>
  <c r="L132" i="119"/>
  <c r="K132" i="119"/>
  <c r="L107" i="119"/>
  <c r="K143" i="119"/>
  <c r="L123" i="119"/>
  <c r="K153" i="119"/>
  <c r="K117" i="119"/>
  <c r="L148" i="119"/>
  <c r="L151" i="119"/>
  <c r="K127" i="119"/>
  <c r="L115" i="119"/>
  <c r="K139" i="119"/>
  <c r="J139" i="119" s="1"/>
  <c r="M139" i="119" s="1"/>
  <c r="L139" i="119"/>
  <c r="L154" i="119"/>
  <c r="K130" i="119"/>
  <c r="K115" i="119"/>
  <c r="K107" i="119"/>
  <c r="J107" i="119" s="1"/>
  <c r="M107" i="119" s="1"/>
  <c r="L146" i="119"/>
  <c r="K138" i="119"/>
  <c r="L122" i="119"/>
  <c r="L153" i="119"/>
  <c r="K122" i="119"/>
  <c r="K114" i="119"/>
  <c r="J114" i="119" s="1"/>
  <c r="M114" i="119" s="1"/>
  <c r="L128" i="119"/>
  <c r="L105" i="119"/>
  <c r="K160" i="119"/>
  <c r="K152" i="119"/>
  <c r="L120" i="119"/>
  <c r="L112" i="119"/>
  <c r="L104" i="119"/>
  <c r="L144" i="119"/>
  <c r="L136" i="119"/>
  <c r="K128" i="119"/>
  <c r="L143" i="119"/>
  <c r="K135" i="119"/>
  <c r="L127" i="119"/>
  <c r="K120" i="119"/>
  <c r="K112" i="119"/>
  <c r="J112" i="119" s="1"/>
  <c r="M112" i="119" s="1"/>
  <c r="K104" i="119"/>
  <c r="J104" i="119" s="1"/>
  <c r="M104" i="119" s="1"/>
  <c r="L158" i="119"/>
  <c r="K119" i="119"/>
  <c r="K158" i="119"/>
  <c r="K150" i="119"/>
  <c r="L110" i="119"/>
  <c r="K134" i="119"/>
  <c r="L141" i="119"/>
  <c r="L133" i="119"/>
  <c r="L125" i="119"/>
  <c r="K157" i="119"/>
  <c r="K141" i="119"/>
  <c r="K125" i="119"/>
  <c r="L117" i="119"/>
  <c r="L109" i="119"/>
  <c r="L113" i="119"/>
  <c r="L103" i="119"/>
  <c r="L142" i="119"/>
  <c r="L137" i="119"/>
  <c r="K133" i="119"/>
  <c r="K123" i="119"/>
  <c r="L118" i="119"/>
  <c r="K113" i="119"/>
  <c r="L108" i="119"/>
  <c r="L157" i="119"/>
  <c r="L152" i="119"/>
  <c r="L147" i="119"/>
  <c r="K142" i="119"/>
  <c r="K137" i="119"/>
  <c r="K118" i="119"/>
  <c r="J118" i="119" s="1"/>
  <c r="M118" i="119" s="1"/>
  <c r="K108" i="119"/>
  <c r="J108" i="119" s="1"/>
  <c r="M108" i="119" s="1"/>
  <c r="K103" i="119"/>
  <c r="K102" i="119"/>
  <c r="J132" i="119"/>
  <c r="M132" i="119" s="1"/>
  <c r="L102" i="119"/>
  <c r="K156" i="119"/>
  <c r="K151" i="119"/>
  <c r="K146" i="119"/>
  <c r="K136" i="119"/>
  <c r="L131" i="119"/>
  <c r="L140" i="119"/>
  <c r="K131" i="119"/>
  <c r="L126" i="119"/>
  <c r="L121" i="119"/>
  <c r="L116" i="119"/>
  <c r="L111" i="119"/>
  <c r="L106" i="119"/>
  <c r="J141" i="119"/>
  <c r="M141" i="119" s="1"/>
  <c r="L155" i="119"/>
  <c r="L145" i="119"/>
  <c r="K140" i="119"/>
  <c r="K126" i="119"/>
  <c r="K121" i="119"/>
  <c r="K116" i="119"/>
  <c r="K111" i="119"/>
  <c r="K106" i="119"/>
  <c r="L101" i="119"/>
  <c r="L160" i="119"/>
  <c r="K155" i="119"/>
  <c r="L150" i="119"/>
  <c r="K145" i="119"/>
  <c r="L135" i="119"/>
  <c r="J135" i="119" s="1"/>
  <c r="M135" i="119" s="1"/>
  <c r="L130" i="119"/>
  <c r="K101" i="119"/>
  <c r="J101" i="119" s="1"/>
  <c r="M101" i="119" s="1"/>
  <c r="J109" i="119"/>
  <c r="M109" i="119" s="1"/>
  <c r="J130" i="119"/>
  <c r="M130" i="119" s="1"/>
  <c r="L100" i="119"/>
  <c r="L159" i="119"/>
  <c r="K154" i="119"/>
  <c r="J154" i="119" s="1"/>
  <c r="M154" i="119" s="1"/>
  <c r="L149" i="119"/>
  <c r="K144" i="119"/>
  <c r="J144" i="119" s="1"/>
  <c r="M144" i="119" s="1"/>
  <c r="L129" i="119"/>
  <c r="K110" i="119"/>
  <c r="K105" i="119"/>
  <c r="K100" i="119"/>
  <c r="K159" i="119"/>
  <c r="K149" i="119"/>
  <c r="J149" i="119" s="1"/>
  <c r="M149" i="119" s="1"/>
  <c r="L138" i="119"/>
  <c r="J138" i="119" s="1"/>
  <c r="M138" i="119" s="1"/>
  <c r="L134" i="119"/>
  <c r="K129" i="119"/>
  <c r="L124" i="119"/>
  <c r="L119" i="119"/>
  <c r="J148" i="119" l="1"/>
  <c r="M148" i="119" s="1"/>
  <c r="J134" i="119"/>
  <c r="M134" i="119" s="1"/>
  <c r="S17" i="114"/>
  <c r="J125" i="119"/>
  <c r="M125" i="119" s="1"/>
  <c r="J100" i="119"/>
  <c r="M100" i="119" s="1"/>
  <c r="J160" i="119"/>
  <c r="M160" i="119" s="1"/>
  <c r="J150" i="119"/>
  <c r="M150" i="119" s="1"/>
  <c r="J157" i="119"/>
  <c r="M157" i="119" s="1"/>
  <c r="J147" i="119"/>
  <c r="M147" i="119" s="1"/>
  <c r="J115" i="119"/>
  <c r="M115" i="119" s="1"/>
  <c r="J136" i="119"/>
  <c r="M136" i="119" s="1"/>
  <c r="J158" i="119"/>
  <c r="M158" i="119" s="1"/>
  <c r="J128" i="119"/>
  <c r="M128" i="119" s="1"/>
  <c r="J146" i="119"/>
  <c r="M146" i="119" s="1"/>
  <c r="J121" i="119"/>
  <c r="M121" i="119" s="1"/>
  <c r="J151" i="119"/>
  <c r="M151" i="119" s="1"/>
  <c r="J153" i="119"/>
  <c r="M153" i="119" s="1"/>
  <c r="J117" i="119"/>
  <c r="M117" i="119" s="1"/>
  <c r="J143" i="119"/>
  <c r="M143" i="119" s="1"/>
  <c r="J124" i="119"/>
  <c r="M124" i="119" s="1"/>
  <c r="J126" i="119"/>
  <c r="M126" i="119" s="1"/>
  <c r="J156" i="119"/>
  <c r="M156" i="119" s="1"/>
  <c r="J123" i="119"/>
  <c r="M123" i="119" s="1"/>
  <c r="J127" i="119"/>
  <c r="M127" i="119" s="1"/>
  <c r="J129" i="119"/>
  <c r="M129" i="119" s="1"/>
  <c r="J133" i="119"/>
  <c r="M133" i="119" s="1"/>
  <c r="J120" i="119"/>
  <c r="M120" i="119" s="1"/>
  <c r="J122" i="119"/>
  <c r="M122" i="119" s="1"/>
  <c r="J110" i="119"/>
  <c r="M110" i="119" s="1"/>
  <c r="J105" i="119"/>
  <c r="M105" i="119" s="1"/>
  <c r="J131" i="119"/>
  <c r="M131" i="119" s="1"/>
  <c r="J152" i="119"/>
  <c r="M152" i="119" s="1"/>
  <c r="J119" i="119"/>
  <c r="M119" i="119" s="1"/>
  <c r="J111" i="119"/>
  <c r="M111" i="119" s="1"/>
  <c r="J103" i="119"/>
  <c r="M103" i="119" s="1"/>
  <c r="J142" i="119"/>
  <c r="M142" i="119" s="1"/>
  <c r="J137" i="119"/>
  <c r="M137" i="119" s="1"/>
  <c r="J140" i="119"/>
  <c r="M140" i="119" s="1"/>
  <c r="J155" i="119"/>
  <c r="M155" i="119" s="1"/>
  <c r="J159" i="119"/>
  <c r="M159" i="119" s="1"/>
  <c r="J116" i="119"/>
  <c r="M116" i="119" s="1"/>
  <c r="J113" i="119"/>
  <c r="M113" i="119" s="1"/>
  <c r="J145" i="119"/>
  <c r="M145" i="119" s="1"/>
  <c r="J106" i="119"/>
  <c r="M106" i="119" s="1"/>
  <c r="J102" i="119"/>
  <c r="M102" i="119" s="1"/>
  <c r="W780" i="122" l="1"/>
  <c r="X780" i="122" s="1"/>
  <c r="W779" i="122"/>
  <c r="X779" i="122" s="1"/>
  <c r="W778" i="122"/>
  <c r="X778" i="122" s="1"/>
  <c r="W777" i="122"/>
  <c r="X777" i="122" s="1"/>
  <c r="W776" i="122"/>
  <c r="X776" i="122" s="1"/>
  <c r="W775" i="122"/>
  <c r="X775" i="122" s="1"/>
  <c r="W774" i="122"/>
  <c r="X774" i="122" s="1"/>
  <c r="W773" i="122"/>
  <c r="X773" i="122" s="1"/>
  <c r="W772" i="122"/>
  <c r="X772" i="122" s="1"/>
  <c r="W771" i="122"/>
  <c r="X771" i="122" s="1"/>
  <c r="W770" i="122"/>
  <c r="X770" i="122" s="1"/>
  <c r="W769" i="122"/>
  <c r="X769" i="122" s="1"/>
  <c r="W768" i="122"/>
  <c r="X768" i="122" s="1"/>
  <c r="W767" i="122"/>
  <c r="X767" i="122" s="1"/>
  <c r="W766" i="122"/>
  <c r="X766" i="122" s="1"/>
  <c r="W765" i="122"/>
  <c r="X765" i="122" s="1"/>
  <c r="W764" i="122"/>
  <c r="X764" i="122" s="1"/>
  <c r="W763" i="122"/>
  <c r="X763" i="122" s="1"/>
  <c r="W762" i="122"/>
  <c r="X762" i="122" s="1"/>
  <c r="W761" i="122"/>
  <c r="X761" i="122" s="1"/>
  <c r="W760" i="122"/>
  <c r="X760" i="122" s="1"/>
  <c r="W759" i="122"/>
  <c r="X759" i="122" s="1"/>
  <c r="W758" i="122"/>
  <c r="X758" i="122" s="1"/>
  <c r="W757" i="122"/>
  <c r="X757" i="122" s="1"/>
  <c r="W756" i="122"/>
  <c r="X756" i="122" s="1"/>
  <c r="Q148" i="120" l="1"/>
  <c r="W755" i="122" l="1"/>
  <c r="X755" i="122" s="1"/>
  <c r="W754" i="122"/>
  <c r="X754" i="122" s="1"/>
  <c r="W753" i="122"/>
  <c r="X753" i="122" s="1"/>
  <c r="W752" i="122"/>
  <c r="X752" i="122" s="1"/>
  <c r="W751" i="122"/>
  <c r="X751" i="122" s="1"/>
  <c r="W750" i="122"/>
  <c r="X750" i="122" s="1"/>
  <c r="W749" i="122"/>
  <c r="X749" i="122" s="1"/>
  <c r="W748" i="122"/>
  <c r="X748" i="122" s="1"/>
  <c r="W747" i="122"/>
  <c r="X747" i="122" s="1"/>
  <c r="W746" i="122"/>
  <c r="X746" i="122" s="1"/>
  <c r="W745" i="122"/>
  <c r="X745" i="122" s="1"/>
  <c r="W744" i="122"/>
  <c r="X744" i="122" s="1"/>
  <c r="W743" i="122"/>
  <c r="X743" i="122" s="1"/>
  <c r="W742" i="122"/>
  <c r="X742" i="122" s="1"/>
  <c r="W741" i="122"/>
  <c r="X741" i="122" s="1"/>
  <c r="W740" i="122"/>
  <c r="X740" i="122" s="1"/>
  <c r="W739" i="122"/>
  <c r="X739" i="122" s="1"/>
  <c r="W738" i="122"/>
  <c r="X738" i="122" s="1"/>
  <c r="W737" i="122"/>
  <c r="X737" i="122" s="1"/>
  <c r="W736" i="122"/>
  <c r="X736" i="122" s="1"/>
  <c r="W735" i="122"/>
  <c r="X735" i="122" s="1"/>
  <c r="W734" i="122"/>
  <c r="X734" i="122" s="1"/>
  <c r="W733" i="122"/>
  <c r="X733" i="122" s="1"/>
  <c r="W732" i="122"/>
  <c r="X732" i="122" s="1"/>
  <c r="W731" i="122"/>
  <c r="X731" i="122" s="1"/>
  <c r="W730" i="122"/>
  <c r="X730" i="122" s="1"/>
  <c r="W729" i="122"/>
  <c r="X729" i="122" s="1"/>
  <c r="W728" i="122"/>
  <c r="X728" i="122" s="1"/>
  <c r="W727" i="122"/>
  <c r="X727" i="122" s="1"/>
  <c r="W726" i="122"/>
  <c r="X726" i="122" s="1"/>
  <c r="W725" i="122"/>
  <c r="X725" i="122" s="1"/>
  <c r="W724" i="122"/>
  <c r="X724" i="122" s="1"/>
  <c r="W723" i="122"/>
  <c r="X723" i="122" s="1"/>
  <c r="W722" i="122"/>
  <c r="X722" i="122" s="1"/>
  <c r="W721" i="122"/>
  <c r="X721" i="122" s="1"/>
  <c r="W720" i="122"/>
  <c r="X720" i="122" s="1"/>
  <c r="W719" i="122"/>
  <c r="X719" i="122" s="1"/>
  <c r="W718" i="122"/>
  <c r="X718" i="122" s="1"/>
  <c r="W717" i="122"/>
  <c r="X717" i="122" s="1"/>
  <c r="W716" i="122"/>
  <c r="X716" i="122" s="1"/>
  <c r="W715" i="122"/>
  <c r="X715" i="122" s="1"/>
  <c r="W714" i="122"/>
  <c r="X714" i="122" s="1"/>
  <c r="W713" i="122"/>
  <c r="X713" i="122" s="1"/>
  <c r="W712" i="122"/>
  <c r="X712" i="122" s="1"/>
  <c r="W711" i="122"/>
  <c r="X711" i="122" s="1"/>
  <c r="W710" i="122"/>
  <c r="X710" i="122" s="1"/>
  <c r="W709" i="122"/>
  <c r="X709" i="122" s="1"/>
  <c r="W708" i="122"/>
  <c r="X708" i="122" s="1"/>
  <c r="W707" i="122"/>
  <c r="X707" i="122" s="1"/>
  <c r="W706" i="122"/>
  <c r="X706" i="122" s="1"/>
  <c r="W705" i="122"/>
  <c r="X705" i="122" s="1"/>
  <c r="W704" i="122"/>
  <c r="X704" i="122" s="1"/>
  <c r="W703" i="122"/>
  <c r="X703" i="122" s="1"/>
  <c r="W702" i="122"/>
  <c r="X702" i="122" s="1"/>
  <c r="W701" i="122"/>
  <c r="X701" i="122" s="1"/>
  <c r="W700" i="122"/>
  <c r="X700" i="122" s="1"/>
  <c r="W699" i="122"/>
  <c r="X699" i="122" s="1"/>
  <c r="W698" i="122"/>
  <c r="X698" i="122" s="1"/>
  <c r="W697" i="122"/>
  <c r="X697" i="122" s="1"/>
  <c r="W696" i="122"/>
  <c r="X696" i="122" s="1"/>
  <c r="W695" i="122"/>
  <c r="X695" i="122" s="1"/>
  <c r="W694" i="122"/>
  <c r="X694" i="122" s="1"/>
  <c r="W693" i="122"/>
  <c r="X693" i="122" s="1"/>
  <c r="W692" i="122"/>
  <c r="X692" i="122" s="1"/>
  <c r="W691" i="122"/>
  <c r="X691" i="122" s="1"/>
  <c r="W690" i="122"/>
  <c r="X690" i="122" s="1"/>
  <c r="W689" i="122"/>
  <c r="X689" i="122" s="1"/>
  <c r="W688" i="122"/>
  <c r="X688" i="122" s="1"/>
  <c r="W687" i="122"/>
  <c r="X687" i="122" s="1"/>
  <c r="W686" i="122"/>
  <c r="X686" i="122" s="1"/>
  <c r="W685" i="122"/>
  <c r="X685" i="122" s="1"/>
  <c r="W684" i="122"/>
  <c r="X684" i="122" s="1"/>
  <c r="W683" i="122"/>
  <c r="X683" i="122" s="1"/>
  <c r="W682" i="122"/>
  <c r="X682" i="122" s="1"/>
  <c r="W681" i="122"/>
  <c r="X681" i="122" s="1"/>
  <c r="W680" i="122"/>
  <c r="X680" i="122" s="1"/>
  <c r="W679" i="122"/>
  <c r="X679" i="122" s="1"/>
  <c r="W678" i="122"/>
  <c r="X678" i="122" s="1"/>
  <c r="W677" i="122"/>
  <c r="X677" i="122" s="1"/>
  <c r="W676" i="122"/>
  <c r="X676" i="122" s="1"/>
  <c r="W675" i="122"/>
  <c r="X675" i="122" s="1"/>
  <c r="W674" i="122"/>
  <c r="X674" i="122" s="1"/>
  <c r="W673" i="122"/>
  <c r="X673" i="122" s="1"/>
  <c r="W672" i="122"/>
  <c r="X672" i="122" s="1"/>
  <c r="W671" i="122"/>
  <c r="X671" i="122" s="1"/>
  <c r="W670" i="122"/>
  <c r="X670" i="122" s="1"/>
  <c r="W669" i="122"/>
  <c r="X669" i="122" s="1"/>
  <c r="W668" i="122"/>
  <c r="X668" i="122" s="1"/>
  <c r="W667" i="122"/>
  <c r="X667" i="122" s="1"/>
  <c r="W666" i="122"/>
  <c r="X666" i="122" s="1"/>
  <c r="W665" i="122"/>
  <c r="X665" i="122" s="1"/>
  <c r="W664" i="122"/>
  <c r="X664" i="122" s="1"/>
  <c r="W663" i="122"/>
  <c r="X663" i="122" s="1"/>
  <c r="W662" i="122"/>
  <c r="X662" i="122" s="1"/>
  <c r="W661" i="122"/>
  <c r="X661" i="122" s="1"/>
  <c r="W660" i="122"/>
  <c r="X660" i="122" s="1"/>
  <c r="W659" i="122"/>
  <c r="X659" i="122" s="1"/>
  <c r="W658" i="122"/>
  <c r="X658" i="122" s="1"/>
  <c r="W657" i="122"/>
  <c r="X657" i="122" s="1"/>
  <c r="W656" i="122"/>
  <c r="X656" i="122" s="1"/>
  <c r="W655" i="122"/>
  <c r="X655" i="122" s="1"/>
  <c r="W654" i="122"/>
  <c r="X654" i="122" s="1"/>
  <c r="W653" i="122"/>
  <c r="X653" i="122" s="1"/>
  <c r="W652" i="122"/>
  <c r="X652" i="122" s="1"/>
  <c r="W651" i="122"/>
  <c r="X651" i="122" s="1"/>
  <c r="W650" i="122"/>
  <c r="X650" i="122" s="1"/>
  <c r="W649" i="122"/>
  <c r="X649" i="122" s="1"/>
  <c r="W648" i="122"/>
  <c r="X648" i="122" s="1"/>
  <c r="W647" i="122"/>
  <c r="X647" i="122" s="1"/>
  <c r="W646" i="122"/>
  <c r="X646" i="122" s="1"/>
  <c r="W645" i="122"/>
  <c r="X645" i="122" s="1"/>
  <c r="W644" i="122"/>
  <c r="X644" i="122" s="1"/>
  <c r="W643" i="122"/>
  <c r="X643" i="122" s="1"/>
  <c r="W642" i="122"/>
  <c r="X642" i="122" s="1"/>
  <c r="W641" i="122"/>
  <c r="X641" i="122" s="1"/>
  <c r="W640" i="122"/>
  <c r="X640" i="122" s="1"/>
  <c r="W639" i="122"/>
  <c r="X639" i="122" s="1"/>
  <c r="W638" i="122"/>
  <c r="X638" i="122" s="1"/>
  <c r="W637" i="122"/>
  <c r="X637" i="122" s="1"/>
  <c r="W636" i="122"/>
  <c r="X636" i="122" s="1"/>
  <c r="W635" i="122"/>
  <c r="X635" i="122" s="1"/>
  <c r="W634" i="122"/>
  <c r="X634" i="122" s="1"/>
  <c r="W633" i="122"/>
  <c r="X633" i="122" s="1"/>
  <c r="W632" i="122"/>
  <c r="X632" i="122" s="1"/>
  <c r="W631" i="122"/>
  <c r="X631" i="122" s="1"/>
  <c r="W630" i="122"/>
  <c r="X630" i="122" s="1"/>
  <c r="W629" i="122"/>
  <c r="X629" i="122" s="1"/>
  <c r="W628" i="122"/>
  <c r="X628" i="122" s="1"/>
  <c r="W627" i="122"/>
  <c r="X627" i="122" s="1"/>
  <c r="W626" i="122"/>
  <c r="X626" i="122" s="1"/>
  <c r="W625" i="122"/>
  <c r="X625" i="122" s="1"/>
  <c r="W624" i="122"/>
  <c r="X624" i="122" s="1"/>
  <c r="W623" i="122"/>
  <c r="X623" i="122" s="1"/>
  <c r="W622" i="122"/>
  <c r="X622" i="122" s="1"/>
  <c r="W621" i="122"/>
  <c r="X621" i="122" s="1"/>
  <c r="W620" i="122"/>
  <c r="X620" i="122" s="1"/>
  <c r="W619" i="122"/>
  <c r="X619" i="122" s="1"/>
  <c r="W618" i="122"/>
  <c r="X618" i="122" s="1"/>
  <c r="W617" i="122"/>
  <c r="X617" i="122" s="1"/>
  <c r="W616" i="122"/>
  <c r="X616" i="122" s="1"/>
  <c r="W615" i="122"/>
  <c r="X615" i="122" s="1"/>
  <c r="W614" i="122"/>
  <c r="X614" i="122" s="1"/>
  <c r="W613" i="122"/>
  <c r="X613" i="122" s="1"/>
  <c r="W612" i="122"/>
  <c r="X612" i="122" s="1"/>
  <c r="W611" i="122"/>
  <c r="X611" i="122" s="1"/>
  <c r="W610" i="122"/>
  <c r="X610" i="122" s="1"/>
  <c r="W609" i="122"/>
  <c r="X609" i="122" s="1"/>
  <c r="W608" i="122"/>
  <c r="X608" i="122" s="1"/>
  <c r="W607" i="122"/>
  <c r="X607" i="122" s="1"/>
  <c r="W606" i="122"/>
  <c r="X606" i="122" s="1"/>
  <c r="W605" i="122"/>
  <c r="X605" i="122" s="1"/>
  <c r="W604" i="122"/>
  <c r="X604" i="122" s="1"/>
  <c r="W603" i="122"/>
  <c r="X603" i="122" s="1"/>
  <c r="W602" i="122"/>
  <c r="X602" i="122" s="1"/>
  <c r="W601" i="122"/>
  <c r="X601" i="122" s="1"/>
  <c r="W600" i="122"/>
  <c r="X600" i="122" s="1"/>
  <c r="W599" i="122"/>
  <c r="X599" i="122" s="1"/>
  <c r="W598" i="122"/>
  <c r="X598" i="122" s="1"/>
  <c r="W597" i="122"/>
  <c r="X597" i="122" s="1"/>
  <c r="W596" i="122"/>
  <c r="X596" i="122" s="1"/>
  <c r="W595" i="122"/>
  <c r="X595" i="122" s="1"/>
  <c r="W594" i="122"/>
  <c r="X594" i="122" s="1"/>
  <c r="W593" i="122"/>
  <c r="X593" i="122" s="1"/>
  <c r="W592" i="122"/>
  <c r="X592" i="122" s="1"/>
  <c r="W591" i="122"/>
  <c r="X591" i="122" s="1"/>
  <c r="W590" i="122"/>
  <c r="X590" i="122" s="1"/>
  <c r="W589" i="122"/>
  <c r="X589" i="122" s="1"/>
  <c r="W588" i="122"/>
  <c r="X588" i="122" s="1"/>
  <c r="W587" i="122"/>
  <c r="X587" i="122" s="1"/>
  <c r="W586" i="122"/>
  <c r="X586" i="122" s="1"/>
  <c r="W585" i="122"/>
  <c r="X585" i="122" s="1"/>
  <c r="W584" i="122"/>
  <c r="X584" i="122" s="1"/>
  <c r="W583" i="122"/>
  <c r="X583" i="122" s="1"/>
  <c r="W582" i="122"/>
  <c r="X582" i="122" s="1"/>
  <c r="W581" i="122"/>
  <c r="X581" i="122" s="1"/>
  <c r="W580" i="122"/>
  <c r="X580" i="122" s="1"/>
  <c r="W579" i="122"/>
  <c r="X579" i="122" s="1"/>
  <c r="W578" i="122"/>
  <c r="X578" i="122" s="1"/>
  <c r="W577" i="122"/>
  <c r="X577" i="122" s="1"/>
  <c r="W576" i="122"/>
  <c r="X576" i="122" s="1"/>
  <c r="W575" i="122"/>
  <c r="X575" i="122" s="1"/>
  <c r="W574" i="122"/>
  <c r="X574" i="122" s="1"/>
  <c r="W573" i="122"/>
  <c r="X573" i="122" s="1"/>
  <c r="W572" i="122"/>
  <c r="X572" i="122" s="1"/>
  <c r="W571" i="122"/>
  <c r="X571" i="122" s="1"/>
  <c r="W570" i="122"/>
  <c r="X570" i="122" s="1"/>
  <c r="W569" i="122"/>
  <c r="X569" i="122" s="1"/>
  <c r="W568" i="122"/>
  <c r="X568" i="122" s="1"/>
  <c r="W567" i="122"/>
  <c r="X567" i="122" s="1"/>
  <c r="W566" i="122"/>
  <c r="X566" i="122" s="1"/>
  <c r="W565" i="122"/>
  <c r="X565" i="122" s="1"/>
  <c r="W564" i="122"/>
  <c r="X564" i="122" s="1"/>
  <c r="W563" i="122"/>
  <c r="X563" i="122" s="1"/>
  <c r="W562" i="122"/>
  <c r="X562" i="122" s="1"/>
  <c r="W561" i="122"/>
  <c r="X561" i="122" s="1"/>
  <c r="W560" i="122"/>
  <c r="X560" i="122" s="1"/>
  <c r="W559" i="122"/>
  <c r="X559" i="122" s="1"/>
  <c r="W558" i="122"/>
  <c r="X558" i="122" s="1"/>
  <c r="W557" i="122"/>
  <c r="X557" i="122" s="1"/>
  <c r="W556" i="122"/>
  <c r="X556" i="122" s="1"/>
  <c r="W555" i="122"/>
  <c r="X555" i="122" s="1"/>
  <c r="W554" i="122"/>
  <c r="X554" i="122" s="1"/>
  <c r="W553" i="122"/>
  <c r="X553" i="122" s="1"/>
  <c r="W552" i="122"/>
  <c r="X552" i="122" s="1"/>
  <c r="W551" i="122"/>
  <c r="X551" i="122" s="1"/>
  <c r="W550" i="122"/>
  <c r="X550" i="122" s="1"/>
  <c r="W549" i="122"/>
  <c r="X549" i="122" s="1"/>
  <c r="W548" i="122"/>
  <c r="X548" i="122" s="1"/>
  <c r="W547" i="122"/>
  <c r="X547" i="122" s="1"/>
  <c r="W546" i="122"/>
  <c r="X546" i="122" s="1"/>
  <c r="W545" i="122"/>
  <c r="X545" i="122" s="1"/>
  <c r="W544" i="122"/>
  <c r="X544" i="122" s="1"/>
  <c r="W543" i="122"/>
  <c r="X543" i="122" s="1"/>
  <c r="W542" i="122"/>
  <c r="X542" i="122" s="1"/>
  <c r="W541" i="122"/>
  <c r="X541" i="122" s="1"/>
  <c r="W540" i="122"/>
  <c r="X540" i="122" s="1"/>
  <c r="W539" i="122"/>
  <c r="X539" i="122" s="1"/>
  <c r="W538" i="122"/>
  <c r="X538" i="122" s="1"/>
  <c r="W537" i="122"/>
  <c r="X537" i="122" s="1"/>
  <c r="W536" i="122"/>
  <c r="X536" i="122" s="1"/>
  <c r="W535" i="122"/>
  <c r="X535" i="122" s="1"/>
  <c r="W534" i="122"/>
  <c r="X534" i="122" s="1"/>
  <c r="W533" i="122"/>
  <c r="X533" i="122" s="1"/>
  <c r="W532" i="122"/>
  <c r="X532" i="122" s="1"/>
  <c r="W531" i="122"/>
  <c r="X531" i="122" s="1"/>
  <c r="W530" i="122"/>
  <c r="X530" i="122" s="1"/>
  <c r="W529" i="122"/>
  <c r="X529" i="122" s="1"/>
  <c r="W528" i="122"/>
  <c r="X528" i="122" s="1"/>
  <c r="W527" i="122"/>
  <c r="X527" i="122" s="1"/>
  <c r="W526" i="122"/>
  <c r="X526" i="122" s="1"/>
  <c r="W525" i="122"/>
  <c r="X525" i="122" s="1"/>
  <c r="W524" i="122"/>
  <c r="X524" i="122" s="1"/>
  <c r="W523" i="122"/>
  <c r="X523" i="122" s="1"/>
  <c r="W522" i="122"/>
  <c r="X522" i="122" s="1"/>
  <c r="W521" i="122"/>
  <c r="X521" i="122" s="1"/>
  <c r="W520" i="122"/>
  <c r="X520" i="122" s="1"/>
  <c r="W519" i="122"/>
  <c r="X519" i="122" s="1"/>
  <c r="W518" i="122"/>
  <c r="X518" i="122" s="1"/>
  <c r="W517" i="122"/>
  <c r="X517" i="122" s="1"/>
  <c r="W516" i="122"/>
  <c r="X516" i="122" s="1"/>
  <c r="W515" i="122"/>
  <c r="X515" i="122" s="1"/>
  <c r="W514" i="122"/>
  <c r="X514" i="122" s="1"/>
  <c r="W513" i="122"/>
  <c r="X513" i="122" s="1"/>
  <c r="W512" i="122"/>
  <c r="X512" i="122" s="1"/>
  <c r="W511" i="122"/>
  <c r="X511" i="122" s="1"/>
  <c r="W510" i="122"/>
  <c r="X510" i="122" s="1"/>
  <c r="W509" i="122"/>
  <c r="X509" i="122" s="1"/>
  <c r="W508" i="122"/>
  <c r="X508" i="122" s="1"/>
  <c r="W507" i="122"/>
  <c r="X507" i="122" s="1"/>
  <c r="W506" i="122"/>
  <c r="X506" i="122" s="1"/>
  <c r="W505" i="122"/>
  <c r="X505" i="122" s="1"/>
  <c r="W504" i="122"/>
  <c r="X504" i="122" s="1"/>
  <c r="W503" i="122"/>
  <c r="X503" i="122" s="1"/>
  <c r="W502" i="122"/>
  <c r="X502" i="122" s="1"/>
  <c r="W501" i="122"/>
  <c r="X501" i="122" s="1"/>
  <c r="W500" i="122"/>
  <c r="X500" i="122" s="1"/>
  <c r="W499" i="122"/>
  <c r="X499" i="122" s="1"/>
  <c r="W498" i="122"/>
  <c r="X498" i="122" s="1"/>
  <c r="W497" i="122"/>
  <c r="X497" i="122" s="1"/>
  <c r="W496" i="122"/>
  <c r="X496" i="122" s="1"/>
  <c r="W495" i="122"/>
  <c r="X495" i="122" s="1"/>
  <c r="W494" i="122"/>
  <c r="W493" i="122"/>
  <c r="X493" i="122" s="1"/>
  <c r="W492" i="122"/>
  <c r="X492" i="122" s="1"/>
  <c r="W491" i="122"/>
  <c r="X491" i="122" s="1"/>
  <c r="W490" i="122"/>
  <c r="X490" i="122" s="1"/>
  <c r="W489" i="122"/>
  <c r="X489" i="122" s="1"/>
  <c r="W488" i="122"/>
  <c r="X488" i="122" s="1"/>
  <c r="W487" i="122"/>
  <c r="X487" i="122" s="1"/>
  <c r="W486" i="122"/>
  <c r="X486" i="122" s="1"/>
  <c r="W485" i="122"/>
  <c r="X485" i="122" s="1"/>
  <c r="W484" i="122"/>
  <c r="X484" i="122" s="1"/>
  <c r="W483" i="122"/>
  <c r="X483" i="122" s="1"/>
  <c r="W482" i="122"/>
  <c r="X482" i="122" s="1"/>
  <c r="W481" i="122"/>
  <c r="W480" i="122"/>
  <c r="X480" i="122" s="1"/>
  <c r="W479" i="122"/>
  <c r="X479" i="122" s="1"/>
  <c r="W478" i="122"/>
  <c r="X478" i="122" s="1"/>
  <c r="W477" i="122"/>
  <c r="W476" i="122"/>
  <c r="X476" i="122" s="1"/>
  <c r="W475" i="122"/>
  <c r="X475" i="122" s="1"/>
  <c r="W474" i="122"/>
  <c r="X474" i="122" s="1"/>
  <c r="W473" i="122"/>
  <c r="X473" i="122" s="1"/>
  <c r="W472" i="122"/>
  <c r="X472" i="122" s="1"/>
  <c r="W471" i="122"/>
  <c r="X471" i="122" s="1"/>
  <c r="W470" i="122"/>
  <c r="X470" i="122" s="1"/>
  <c r="W469" i="122"/>
  <c r="X469" i="122" s="1"/>
  <c r="W468" i="122"/>
  <c r="X468" i="122" s="1"/>
  <c r="W467" i="122"/>
  <c r="X467" i="122" s="1"/>
  <c r="W466" i="122"/>
  <c r="X466" i="122" s="1"/>
  <c r="W465" i="122"/>
  <c r="X465" i="122" s="1"/>
  <c r="W464" i="122"/>
  <c r="X464" i="122" s="1"/>
  <c r="W463" i="122"/>
  <c r="W462" i="122"/>
  <c r="X462" i="122" s="1"/>
  <c r="W461" i="122"/>
  <c r="X461" i="122" s="1"/>
  <c r="W460" i="122"/>
  <c r="X460" i="122" s="1"/>
  <c r="W459" i="122"/>
  <c r="X459" i="122" s="1"/>
  <c r="W458" i="122"/>
  <c r="X458" i="122" s="1"/>
  <c r="W457" i="122"/>
  <c r="X457" i="122" s="1"/>
  <c r="W456" i="122"/>
  <c r="X456" i="122" s="1"/>
  <c r="W455" i="122"/>
  <c r="X455" i="122" s="1"/>
  <c r="W454" i="122"/>
  <c r="X454" i="122" s="1"/>
  <c r="W453" i="122"/>
  <c r="X453" i="122" s="1"/>
  <c r="W452" i="122"/>
  <c r="X452" i="122" s="1"/>
  <c r="W451" i="122"/>
  <c r="X451" i="122" s="1"/>
  <c r="W450" i="122"/>
  <c r="X450" i="122" s="1"/>
  <c r="W449" i="122"/>
  <c r="X449" i="122" s="1"/>
  <c r="W448" i="122"/>
  <c r="X448" i="122" s="1"/>
  <c r="W447" i="122"/>
  <c r="X447" i="122" s="1"/>
  <c r="W446" i="122"/>
  <c r="X446" i="122" s="1"/>
  <c r="W445" i="122"/>
  <c r="X445" i="122" s="1"/>
  <c r="W444" i="122"/>
  <c r="W443" i="122"/>
  <c r="X443" i="122" s="1"/>
  <c r="W442" i="122"/>
  <c r="X442" i="122" s="1"/>
  <c r="W441" i="122"/>
  <c r="X441" i="122" s="1"/>
  <c r="W440" i="122"/>
  <c r="X440" i="122" s="1"/>
  <c r="W439" i="122"/>
  <c r="X439" i="122" s="1"/>
  <c r="W438" i="122"/>
  <c r="X438" i="122" s="1"/>
  <c r="W437" i="122"/>
  <c r="X437" i="122" s="1"/>
  <c r="W436" i="122"/>
  <c r="X436" i="122" s="1"/>
  <c r="W435" i="122"/>
  <c r="X435" i="122" s="1"/>
  <c r="W434" i="122"/>
  <c r="X434" i="122" s="1"/>
  <c r="W433" i="122"/>
  <c r="X433" i="122" s="1"/>
  <c r="W432" i="122"/>
  <c r="X432" i="122" s="1"/>
  <c r="W431" i="122"/>
  <c r="X431" i="122" s="1"/>
  <c r="W430" i="122"/>
  <c r="X430" i="122" s="1"/>
  <c r="W429" i="122"/>
  <c r="X429" i="122" s="1"/>
  <c r="W428" i="122"/>
  <c r="X428" i="122" s="1"/>
  <c r="W427" i="122"/>
  <c r="X427" i="122" s="1"/>
  <c r="W426" i="122"/>
  <c r="W425" i="122"/>
  <c r="X425" i="122" s="1"/>
  <c r="W424" i="122"/>
  <c r="X424" i="122" s="1"/>
  <c r="W423" i="122"/>
  <c r="X423" i="122" s="1"/>
  <c r="W422" i="122"/>
  <c r="X422" i="122" s="1"/>
  <c r="W421" i="122"/>
  <c r="X421" i="122" s="1"/>
  <c r="W420" i="122"/>
  <c r="X420" i="122" s="1"/>
  <c r="W419" i="122"/>
  <c r="X419" i="122" s="1"/>
  <c r="W418" i="122"/>
  <c r="X418" i="122" s="1"/>
  <c r="W417" i="122"/>
  <c r="X417" i="122" s="1"/>
  <c r="W416" i="122"/>
  <c r="X416" i="122" s="1"/>
  <c r="W415" i="122"/>
  <c r="W414" i="122"/>
  <c r="X414" i="122" s="1"/>
  <c r="W413" i="122"/>
  <c r="X413" i="122" s="1"/>
  <c r="W412" i="122"/>
  <c r="X412" i="122" s="1"/>
  <c r="W411" i="122"/>
  <c r="X411" i="122" s="1"/>
  <c r="W410" i="122"/>
  <c r="X410" i="122" s="1"/>
  <c r="W409" i="122"/>
  <c r="X409" i="122" s="1"/>
  <c r="W408" i="122"/>
  <c r="X408" i="122" s="1"/>
  <c r="W407" i="122"/>
  <c r="X407" i="122" s="1"/>
  <c r="W406" i="122"/>
  <c r="X406" i="122" s="1"/>
  <c r="W405" i="122"/>
  <c r="X405" i="122" s="1"/>
  <c r="W404" i="122"/>
  <c r="X404" i="122" s="1"/>
  <c r="W403" i="122"/>
  <c r="X403" i="122" s="1"/>
  <c r="W402" i="122"/>
  <c r="X402" i="122" s="1"/>
  <c r="W401" i="122"/>
  <c r="X401" i="122" s="1"/>
  <c r="W400" i="122"/>
  <c r="X400" i="122" s="1"/>
  <c r="W399" i="122"/>
  <c r="X399" i="122" s="1"/>
  <c r="W398" i="122"/>
  <c r="X398" i="122" s="1"/>
  <c r="W397" i="122"/>
  <c r="X397" i="122" s="1"/>
  <c r="W396" i="122"/>
  <c r="X396" i="122" s="1"/>
  <c r="W395" i="122"/>
  <c r="W394" i="122"/>
  <c r="X394" i="122" s="1"/>
  <c r="W393" i="122"/>
  <c r="X393" i="122" s="1"/>
  <c r="W392" i="122"/>
  <c r="X392" i="122" s="1"/>
  <c r="W391" i="122"/>
  <c r="X391" i="122" s="1"/>
  <c r="W390" i="122"/>
  <c r="X390" i="122" s="1"/>
  <c r="W389" i="122"/>
  <c r="X389" i="122" s="1"/>
  <c r="W388" i="122"/>
  <c r="X388" i="122" s="1"/>
  <c r="W387" i="122"/>
  <c r="X387" i="122" s="1"/>
  <c r="W386" i="122"/>
  <c r="X386" i="122" s="1"/>
  <c r="W385" i="122"/>
  <c r="X385" i="122" s="1"/>
  <c r="W384" i="122"/>
  <c r="X384" i="122" s="1"/>
  <c r="W383" i="122"/>
  <c r="X383" i="122" s="1"/>
  <c r="W382" i="122"/>
  <c r="W381" i="122"/>
  <c r="X381" i="122" s="1"/>
  <c r="W380" i="122"/>
  <c r="X380" i="122" s="1"/>
  <c r="W379" i="122"/>
  <c r="X379" i="122" s="1"/>
  <c r="W378" i="122"/>
  <c r="X378" i="122" s="1"/>
  <c r="W377" i="122"/>
  <c r="X377" i="122" s="1"/>
  <c r="W376" i="122"/>
  <c r="X376" i="122" s="1"/>
  <c r="W375" i="122"/>
  <c r="X375" i="122" s="1"/>
  <c r="W374" i="122"/>
  <c r="X374" i="122" s="1"/>
  <c r="W373" i="122"/>
  <c r="X373" i="122" s="1"/>
  <c r="W372" i="122"/>
  <c r="X372" i="122" s="1"/>
  <c r="W371" i="122"/>
  <c r="X371" i="122" s="1"/>
  <c r="W370" i="122"/>
  <c r="X370" i="122" s="1"/>
  <c r="W369" i="122"/>
  <c r="W368" i="122"/>
  <c r="X368" i="122" s="1"/>
  <c r="W367" i="122"/>
  <c r="X367" i="122" s="1"/>
  <c r="W366" i="122"/>
  <c r="X366" i="122" s="1"/>
  <c r="W365" i="122"/>
  <c r="X365" i="122" s="1"/>
  <c r="W364" i="122"/>
  <c r="X364" i="122" s="1"/>
  <c r="W363" i="122"/>
  <c r="X363" i="122" s="1"/>
  <c r="W362" i="122"/>
  <c r="X362" i="122" s="1"/>
  <c r="W361" i="122"/>
  <c r="X361" i="122" s="1"/>
  <c r="W360" i="122"/>
  <c r="X360" i="122" s="1"/>
  <c r="W359" i="122"/>
  <c r="X359" i="122" s="1"/>
  <c r="W358" i="122"/>
  <c r="X358" i="122" s="1"/>
  <c r="W357" i="122"/>
  <c r="X357" i="122" s="1"/>
  <c r="W356" i="122"/>
  <c r="X356" i="122" s="1"/>
  <c r="W355" i="122"/>
  <c r="X355" i="122" s="1"/>
  <c r="W354" i="122"/>
  <c r="X354" i="122" s="1"/>
  <c r="W353" i="122"/>
  <c r="X353" i="122" s="1"/>
  <c r="W352" i="122"/>
  <c r="X352" i="122" s="1"/>
  <c r="W351" i="122"/>
  <c r="X351" i="122" s="1"/>
  <c r="W350" i="122"/>
  <c r="X350" i="122" s="1"/>
  <c r="W349" i="122"/>
  <c r="X349" i="122" s="1"/>
  <c r="W348" i="122"/>
  <c r="W347" i="122"/>
  <c r="X347" i="122" s="1"/>
  <c r="W346" i="122"/>
  <c r="X346" i="122" s="1"/>
  <c r="W345" i="122"/>
  <c r="X345" i="122" s="1"/>
  <c r="W344" i="122"/>
  <c r="X344" i="122" s="1"/>
  <c r="W343" i="122"/>
  <c r="X343" i="122" s="1"/>
  <c r="W342" i="122"/>
  <c r="X342" i="122" s="1"/>
  <c r="W341" i="122"/>
  <c r="X341" i="122" s="1"/>
  <c r="W340" i="122"/>
  <c r="X340" i="122" s="1"/>
  <c r="W339" i="122"/>
  <c r="X339" i="122" s="1"/>
  <c r="W338" i="122"/>
  <c r="X338" i="122" s="1"/>
  <c r="W337" i="122"/>
  <c r="X337" i="122" s="1"/>
  <c r="W336" i="122"/>
  <c r="X336" i="122" s="1"/>
  <c r="W335" i="122"/>
  <c r="X335" i="122" s="1"/>
  <c r="W334" i="122"/>
  <c r="X334" i="122" s="1"/>
  <c r="W333" i="122"/>
  <c r="X333" i="122" s="1"/>
  <c r="W332" i="122"/>
  <c r="X332" i="122" s="1"/>
  <c r="W331" i="122"/>
  <c r="X331" i="122" s="1"/>
  <c r="W330" i="122"/>
  <c r="X330" i="122" s="1"/>
  <c r="W329" i="122"/>
  <c r="X329" i="122" s="1"/>
  <c r="W328" i="122"/>
  <c r="X328" i="122" s="1"/>
  <c r="W327" i="122"/>
  <c r="X327" i="122" s="1"/>
  <c r="W326" i="122"/>
  <c r="X326" i="122" s="1"/>
  <c r="W325" i="122"/>
  <c r="W324" i="122"/>
  <c r="X324" i="122" s="1"/>
  <c r="W323" i="122"/>
  <c r="X323" i="122" s="1"/>
  <c r="W322" i="122"/>
  <c r="X322" i="122" s="1"/>
  <c r="W321" i="122"/>
  <c r="X321" i="122" s="1"/>
  <c r="W320" i="122"/>
  <c r="X320" i="122" s="1"/>
  <c r="W319" i="122"/>
  <c r="X319" i="122" s="1"/>
  <c r="W318" i="122"/>
  <c r="X318" i="122" s="1"/>
  <c r="W317" i="122"/>
  <c r="X317" i="122" s="1"/>
  <c r="W316" i="122"/>
  <c r="X316" i="122" s="1"/>
  <c r="W315" i="122"/>
  <c r="X315" i="122" s="1"/>
  <c r="W314" i="122"/>
  <c r="X314" i="122" s="1"/>
  <c r="W313" i="122"/>
  <c r="X313" i="122" s="1"/>
  <c r="W312" i="122"/>
  <c r="X312" i="122" s="1"/>
  <c r="W311" i="122"/>
  <c r="X311" i="122" s="1"/>
  <c r="W310" i="122"/>
  <c r="X310" i="122" s="1"/>
  <c r="W309" i="122"/>
  <c r="X309" i="122" s="1"/>
  <c r="W308" i="122"/>
  <c r="X308" i="122" s="1"/>
  <c r="W307" i="122"/>
  <c r="X307" i="122" s="1"/>
  <c r="W306" i="122"/>
  <c r="X306" i="122" s="1"/>
  <c r="W305" i="122"/>
  <c r="X305" i="122" s="1"/>
  <c r="W304" i="122"/>
  <c r="W303" i="122"/>
  <c r="W302" i="122"/>
  <c r="X302" i="122" s="1"/>
  <c r="W301" i="122"/>
  <c r="X301" i="122" s="1"/>
  <c r="W300" i="122"/>
  <c r="X300" i="122" s="1"/>
  <c r="W299" i="122"/>
  <c r="X299" i="122" s="1"/>
  <c r="W298" i="122"/>
  <c r="X298" i="122" s="1"/>
  <c r="W297" i="122"/>
  <c r="X297" i="122" s="1"/>
  <c r="W296" i="122"/>
  <c r="X296" i="122" s="1"/>
  <c r="W295" i="122"/>
  <c r="X295" i="122" s="1"/>
  <c r="W294" i="122"/>
  <c r="X294" i="122" s="1"/>
  <c r="W293" i="122"/>
  <c r="X293" i="122" s="1"/>
  <c r="W292" i="122"/>
  <c r="X292" i="122" s="1"/>
  <c r="W291" i="122"/>
  <c r="X291" i="122" s="1"/>
  <c r="W290" i="122"/>
  <c r="X290" i="122" s="1"/>
  <c r="W289" i="122"/>
  <c r="X289" i="122" s="1"/>
  <c r="W288" i="122"/>
  <c r="X288" i="122" s="1"/>
  <c r="W287" i="122"/>
  <c r="X287" i="122" s="1"/>
  <c r="W286" i="122"/>
  <c r="X286" i="122" s="1"/>
  <c r="W285" i="122"/>
  <c r="X285" i="122" s="1"/>
  <c r="W284" i="122"/>
  <c r="X284" i="122" s="1"/>
  <c r="W283" i="122"/>
  <c r="X283" i="122" s="1"/>
  <c r="W282" i="122"/>
  <c r="X282" i="122" s="1"/>
  <c r="W281" i="122"/>
  <c r="X281" i="122" s="1"/>
  <c r="W280" i="122"/>
  <c r="X280" i="122" s="1"/>
  <c r="W279" i="122"/>
  <c r="X279" i="122" s="1"/>
  <c r="W278" i="122"/>
  <c r="X278" i="122" s="1"/>
  <c r="W277" i="122"/>
  <c r="X277" i="122" s="1"/>
  <c r="W276" i="122"/>
  <c r="X276" i="122" s="1"/>
  <c r="W275" i="122"/>
  <c r="X275" i="122" s="1"/>
  <c r="W274" i="122"/>
  <c r="X274" i="122" s="1"/>
  <c r="W273" i="122"/>
  <c r="X273" i="122" s="1"/>
  <c r="W272" i="122"/>
  <c r="X272" i="122" s="1"/>
  <c r="W271" i="122"/>
  <c r="X271" i="122" s="1"/>
  <c r="W270" i="122"/>
  <c r="X270" i="122" s="1"/>
  <c r="W269" i="122"/>
  <c r="X269" i="122" s="1"/>
  <c r="W268" i="122"/>
  <c r="X268" i="122" s="1"/>
  <c r="W267" i="122"/>
  <c r="X267" i="122" s="1"/>
  <c r="W266" i="122"/>
  <c r="X266" i="122" s="1"/>
  <c r="W265" i="122"/>
  <c r="X265" i="122" s="1"/>
  <c r="W264" i="122"/>
  <c r="X264" i="122" s="1"/>
  <c r="W263" i="122"/>
  <c r="X263" i="122" s="1"/>
  <c r="W262" i="122"/>
  <c r="X262" i="122" s="1"/>
  <c r="W261" i="122"/>
  <c r="X261" i="122" s="1"/>
  <c r="W260" i="122"/>
  <c r="X260" i="122" s="1"/>
  <c r="W259" i="122"/>
  <c r="X259" i="122" s="1"/>
  <c r="W258" i="122"/>
  <c r="X258" i="122" s="1"/>
  <c r="W257" i="122"/>
  <c r="X257" i="122" s="1"/>
  <c r="W256" i="122"/>
  <c r="X256" i="122" s="1"/>
  <c r="W255" i="122"/>
  <c r="X255" i="122" s="1"/>
  <c r="W254" i="122"/>
  <c r="X254" i="122" s="1"/>
  <c r="W253" i="122"/>
  <c r="X253" i="122" s="1"/>
  <c r="W252" i="122"/>
  <c r="X252" i="122" s="1"/>
  <c r="W251" i="122"/>
  <c r="X251" i="122" s="1"/>
  <c r="W250" i="122"/>
  <c r="X250" i="122" s="1"/>
  <c r="W249" i="122"/>
  <c r="X249" i="122" s="1"/>
  <c r="W248" i="122"/>
  <c r="X248" i="122" s="1"/>
  <c r="W247" i="122"/>
  <c r="X247" i="122" s="1"/>
  <c r="W246" i="122"/>
  <c r="X246" i="122" s="1"/>
  <c r="W245" i="122"/>
  <c r="X245" i="122" s="1"/>
  <c r="W244" i="122"/>
  <c r="X244" i="122" s="1"/>
  <c r="W243" i="122"/>
  <c r="X243" i="122" s="1"/>
  <c r="W242" i="122"/>
  <c r="X242" i="122" s="1"/>
  <c r="W241" i="122"/>
  <c r="X241" i="122" s="1"/>
  <c r="W240" i="122"/>
  <c r="X240" i="122" s="1"/>
  <c r="W239" i="122"/>
  <c r="X239" i="122" s="1"/>
  <c r="W238" i="122"/>
  <c r="X238" i="122" s="1"/>
  <c r="W237" i="122"/>
  <c r="X237" i="122" s="1"/>
  <c r="W236" i="122"/>
  <c r="X236" i="122" s="1"/>
  <c r="W235" i="122"/>
  <c r="X235" i="122" s="1"/>
  <c r="W234" i="122"/>
  <c r="X234" i="122" s="1"/>
  <c r="W233" i="122"/>
  <c r="X233" i="122" s="1"/>
  <c r="W232" i="122"/>
  <c r="X232" i="122" s="1"/>
  <c r="W231" i="122"/>
  <c r="X231" i="122" s="1"/>
  <c r="W230" i="122"/>
  <c r="X230" i="122" s="1"/>
  <c r="W229" i="122"/>
  <c r="X229" i="122" s="1"/>
  <c r="W228" i="122"/>
  <c r="X228" i="122" s="1"/>
  <c r="W227" i="122"/>
  <c r="X227" i="122" s="1"/>
  <c r="W226" i="122"/>
  <c r="X226" i="122" s="1"/>
  <c r="W225" i="122"/>
  <c r="X225" i="122" s="1"/>
  <c r="W224" i="122"/>
  <c r="X224" i="122" s="1"/>
  <c r="W223" i="122"/>
  <c r="X223" i="122" s="1"/>
  <c r="W222" i="122"/>
  <c r="X222" i="122" s="1"/>
  <c r="W221" i="122"/>
  <c r="X221" i="122" s="1"/>
  <c r="W220" i="122"/>
  <c r="X220" i="122" s="1"/>
  <c r="W219" i="122"/>
  <c r="X219" i="122" s="1"/>
  <c r="W218" i="122"/>
  <c r="X218" i="122" s="1"/>
  <c r="W217" i="122"/>
  <c r="X217" i="122" s="1"/>
  <c r="W216" i="122"/>
  <c r="X216" i="122" s="1"/>
  <c r="W215" i="122"/>
  <c r="X215" i="122" s="1"/>
  <c r="W214" i="122"/>
  <c r="X214" i="122" s="1"/>
  <c r="W213" i="122"/>
  <c r="X213" i="122" s="1"/>
  <c r="W212" i="122"/>
  <c r="X212" i="122" s="1"/>
  <c r="W211" i="122"/>
  <c r="X211" i="122" s="1"/>
  <c r="W210" i="122"/>
  <c r="X210" i="122" s="1"/>
  <c r="W209" i="122"/>
  <c r="X209" i="122" s="1"/>
  <c r="W208" i="122"/>
  <c r="X208" i="122" s="1"/>
  <c r="W207" i="122"/>
  <c r="X207" i="122" s="1"/>
  <c r="W206" i="122"/>
  <c r="X206" i="122" s="1"/>
  <c r="W205" i="122"/>
  <c r="X205" i="122" s="1"/>
  <c r="W204" i="122"/>
  <c r="X204" i="122" s="1"/>
  <c r="W203" i="122"/>
  <c r="X203" i="122" s="1"/>
  <c r="W202" i="122"/>
  <c r="X202" i="122" s="1"/>
  <c r="W201" i="122"/>
  <c r="X201" i="122" s="1"/>
  <c r="W200" i="122"/>
  <c r="X200" i="122" s="1"/>
  <c r="W199" i="122"/>
  <c r="X199" i="122" s="1"/>
  <c r="W198" i="122"/>
  <c r="X198" i="122" s="1"/>
  <c r="W197" i="122"/>
  <c r="X197" i="122" s="1"/>
  <c r="W196" i="122"/>
  <c r="X196" i="122" s="1"/>
  <c r="W195" i="122"/>
  <c r="X195" i="122" s="1"/>
  <c r="W194" i="122"/>
  <c r="X194" i="122" s="1"/>
  <c r="W193" i="122"/>
  <c r="X193" i="122" s="1"/>
  <c r="W192" i="122"/>
  <c r="X192" i="122" s="1"/>
  <c r="W191" i="122"/>
  <c r="X191" i="122" s="1"/>
  <c r="W190" i="122"/>
  <c r="X190" i="122" s="1"/>
  <c r="W189" i="122"/>
  <c r="X189" i="122" s="1"/>
  <c r="W188" i="122"/>
  <c r="X188" i="122" s="1"/>
  <c r="W187" i="122"/>
  <c r="X187" i="122" s="1"/>
  <c r="W186" i="122"/>
  <c r="X186" i="122" s="1"/>
  <c r="W185" i="122"/>
  <c r="X185" i="122" s="1"/>
  <c r="W184" i="122"/>
  <c r="X184" i="122" s="1"/>
  <c r="W183" i="122"/>
  <c r="X183" i="122" s="1"/>
  <c r="W182" i="122"/>
  <c r="X182" i="122" s="1"/>
  <c r="W181" i="122"/>
  <c r="X181" i="122" s="1"/>
  <c r="W180" i="122"/>
  <c r="X180" i="122" s="1"/>
  <c r="W179" i="122"/>
  <c r="X179" i="122" s="1"/>
  <c r="W178" i="122"/>
  <c r="X178" i="122" s="1"/>
  <c r="W177" i="122"/>
  <c r="X177" i="122" s="1"/>
  <c r="W176" i="122"/>
  <c r="X176" i="122" s="1"/>
  <c r="W175" i="122"/>
  <c r="X175" i="122" s="1"/>
  <c r="W174" i="122"/>
  <c r="X174" i="122" s="1"/>
  <c r="W173" i="122"/>
  <c r="X173" i="122" s="1"/>
  <c r="W172" i="122"/>
  <c r="X172" i="122" s="1"/>
  <c r="W171" i="122"/>
  <c r="X171" i="122" s="1"/>
  <c r="W170" i="122"/>
  <c r="X170" i="122" s="1"/>
  <c r="W169" i="122"/>
  <c r="X169" i="122" s="1"/>
  <c r="W168" i="122"/>
  <c r="X168" i="122" s="1"/>
  <c r="W167" i="122"/>
  <c r="X167" i="122" s="1"/>
  <c r="W166" i="122"/>
  <c r="X166" i="122" s="1"/>
  <c r="W165" i="122"/>
  <c r="X165" i="122" s="1"/>
  <c r="W164" i="122"/>
  <c r="X164" i="122" s="1"/>
  <c r="W163" i="122"/>
  <c r="X163" i="122" s="1"/>
  <c r="W162" i="122"/>
  <c r="X162" i="122" s="1"/>
  <c r="W161" i="122"/>
  <c r="X161" i="122" s="1"/>
  <c r="W160" i="122"/>
  <c r="X160" i="122" s="1"/>
  <c r="W159" i="122"/>
  <c r="X159" i="122" s="1"/>
  <c r="W158" i="122"/>
  <c r="X158" i="122" s="1"/>
  <c r="W157" i="122"/>
  <c r="X157" i="122" s="1"/>
  <c r="W156" i="122"/>
  <c r="X156" i="122" s="1"/>
  <c r="W155" i="122"/>
  <c r="X155" i="122" s="1"/>
  <c r="W154" i="122"/>
  <c r="X154" i="122" s="1"/>
  <c r="W153" i="122"/>
  <c r="X153" i="122" s="1"/>
  <c r="W152" i="122"/>
  <c r="X152" i="122" s="1"/>
  <c r="W151" i="122"/>
  <c r="X151" i="122" s="1"/>
  <c r="W150" i="122"/>
  <c r="X150" i="122" s="1"/>
  <c r="W149" i="122"/>
  <c r="X149" i="122" s="1"/>
  <c r="W148" i="122"/>
  <c r="X148" i="122" s="1"/>
  <c r="W147" i="122"/>
  <c r="X147" i="122" s="1"/>
  <c r="W146" i="122"/>
  <c r="X146" i="122" s="1"/>
  <c r="W145" i="122"/>
  <c r="X145" i="122" s="1"/>
  <c r="W144" i="122"/>
  <c r="X144" i="122" s="1"/>
  <c r="W143" i="122"/>
  <c r="X143" i="122" s="1"/>
  <c r="W142" i="122"/>
  <c r="X142" i="122" s="1"/>
  <c r="W141" i="122"/>
  <c r="X141" i="122" s="1"/>
  <c r="W140" i="122"/>
  <c r="X140" i="122" s="1"/>
  <c r="W139" i="122"/>
  <c r="X139" i="122" s="1"/>
  <c r="W138" i="122"/>
  <c r="X138" i="122" s="1"/>
  <c r="W137" i="122"/>
  <c r="X137" i="122" s="1"/>
  <c r="W136" i="122"/>
  <c r="X136" i="122" s="1"/>
  <c r="W135" i="122"/>
  <c r="X135" i="122" s="1"/>
  <c r="W134" i="122"/>
  <c r="X134" i="122" s="1"/>
  <c r="W133" i="122"/>
  <c r="X133" i="122" s="1"/>
  <c r="W132" i="122"/>
  <c r="X132" i="122" s="1"/>
  <c r="W131" i="122"/>
  <c r="X131" i="122" s="1"/>
  <c r="W130" i="122"/>
  <c r="X130" i="122" s="1"/>
  <c r="W129" i="122"/>
  <c r="X129" i="122" s="1"/>
  <c r="W128" i="122"/>
  <c r="X128" i="122" s="1"/>
  <c r="W127" i="122"/>
  <c r="X127" i="122" s="1"/>
  <c r="W126" i="122"/>
  <c r="X126" i="122" s="1"/>
  <c r="W125" i="122"/>
  <c r="X125" i="122" s="1"/>
  <c r="W124" i="122"/>
  <c r="X124" i="122" s="1"/>
  <c r="W123" i="122"/>
  <c r="X123" i="122" s="1"/>
  <c r="W122" i="122"/>
  <c r="X122" i="122" s="1"/>
  <c r="W121" i="122"/>
  <c r="X121" i="122" s="1"/>
  <c r="W120" i="122"/>
  <c r="X120" i="122" s="1"/>
  <c r="W119" i="122"/>
  <c r="X119" i="122" s="1"/>
  <c r="W118" i="122"/>
  <c r="X118" i="122" s="1"/>
  <c r="W117" i="122"/>
  <c r="X117" i="122" s="1"/>
  <c r="W116" i="122"/>
  <c r="X116" i="122" s="1"/>
  <c r="W115" i="122"/>
  <c r="X115" i="122" s="1"/>
  <c r="W114" i="122"/>
  <c r="X114" i="122" s="1"/>
  <c r="W113" i="122"/>
  <c r="X113" i="122" s="1"/>
  <c r="W112" i="122"/>
  <c r="X112" i="122" s="1"/>
  <c r="W111" i="122"/>
  <c r="X111" i="122" s="1"/>
  <c r="W110" i="122"/>
  <c r="X110" i="122" s="1"/>
  <c r="W109" i="122"/>
  <c r="X109" i="122" s="1"/>
  <c r="W108" i="122"/>
  <c r="X108" i="122" s="1"/>
  <c r="W107" i="122"/>
  <c r="X107" i="122" s="1"/>
  <c r="W106" i="122"/>
  <c r="X106" i="122" s="1"/>
  <c r="W105" i="122"/>
  <c r="X105" i="122" s="1"/>
  <c r="W104" i="122"/>
  <c r="X104" i="122" s="1"/>
  <c r="W103" i="122"/>
  <c r="X103" i="122" s="1"/>
  <c r="W102" i="122"/>
  <c r="X102" i="122" s="1"/>
  <c r="W101" i="122"/>
  <c r="X101" i="122" s="1"/>
  <c r="W100" i="122"/>
  <c r="X100" i="122" s="1"/>
  <c r="W99" i="122"/>
  <c r="X99" i="122" s="1"/>
  <c r="W98" i="122"/>
  <c r="X98" i="122" s="1"/>
  <c r="W97" i="122"/>
  <c r="X97" i="122" s="1"/>
  <c r="W96" i="122"/>
  <c r="X96" i="122" s="1"/>
  <c r="W95" i="122"/>
  <c r="X95" i="122" s="1"/>
  <c r="W94" i="122"/>
  <c r="X94" i="122" s="1"/>
  <c r="W93" i="122"/>
  <c r="X93" i="122" s="1"/>
  <c r="W92" i="122"/>
  <c r="X92" i="122" s="1"/>
  <c r="W91" i="122"/>
  <c r="X91" i="122" s="1"/>
  <c r="W90" i="122"/>
  <c r="X90" i="122" s="1"/>
  <c r="W89" i="122"/>
  <c r="X89" i="122" s="1"/>
  <c r="W88" i="122"/>
  <c r="X88" i="122" s="1"/>
  <c r="W87" i="122"/>
  <c r="X87" i="122" s="1"/>
  <c r="W86" i="122"/>
  <c r="X86" i="122" s="1"/>
  <c r="W85" i="122"/>
  <c r="X85" i="122" s="1"/>
  <c r="W84" i="122"/>
  <c r="X84" i="122" s="1"/>
  <c r="W83" i="122"/>
  <c r="X83" i="122" s="1"/>
  <c r="W82" i="122"/>
  <c r="X82" i="122" s="1"/>
  <c r="W81" i="122"/>
  <c r="X81" i="122" s="1"/>
  <c r="W80" i="122"/>
  <c r="X80" i="122" s="1"/>
  <c r="W79" i="122"/>
  <c r="X79" i="122" s="1"/>
  <c r="W78" i="122"/>
  <c r="X78" i="122" s="1"/>
  <c r="W77" i="122"/>
  <c r="X77" i="122" s="1"/>
  <c r="W76" i="122"/>
  <c r="X76" i="122" s="1"/>
  <c r="W75" i="122"/>
  <c r="X75" i="122" s="1"/>
  <c r="W74" i="122"/>
  <c r="X74" i="122" s="1"/>
  <c r="W73" i="122"/>
  <c r="X73" i="122" s="1"/>
  <c r="W72" i="122"/>
  <c r="X72" i="122" s="1"/>
  <c r="W71" i="122"/>
  <c r="X71" i="122" s="1"/>
  <c r="W70" i="122"/>
  <c r="X70" i="122" s="1"/>
  <c r="W69" i="122"/>
  <c r="X69" i="122" s="1"/>
  <c r="W68" i="122"/>
  <c r="X68" i="122" s="1"/>
  <c r="W67" i="122"/>
  <c r="X67" i="122" s="1"/>
  <c r="W66" i="122"/>
  <c r="X66" i="122" s="1"/>
  <c r="W65" i="122"/>
  <c r="X65" i="122" s="1"/>
  <c r="W64" i="122"/>
  <c r="X64" i="122" s="1"/>
  <c r="W63" i="122"/>
  <c r="X63" i="122" s="1"/>
  <c r="W62" i="122"/>
  <c r="X62" i="122" s="1"/>
  <c r="W61" i="122"/>
  <c r="W60" i="122"/>
  <c r="X60" i="122" s="1"/>
  <c r="W59" i="122"/>
  <c r="X59" i="122" s="1"/>
  <c r="W58" i="122"/>
  <c r="X58" i="122" s="1"/>
  <c r="W57" i="122"/>
  <c r="X57" i="122" s="1"/>
  <c r="W56" i="122"/>
  <c r="X56" i="122" s="1"/>
  <c r="W55" i="122"/>
  <c r="X55" i="122" s="1"/>
  <c r="W54" i="122"/>
  <c r="X54" i="122" s="1"/>
  <c r="W53" i="122"/>
  <c r="X53" i="122" s="1"/>
  <c r="W52" i="122"/>
  <c r="X52" i="122" s="1"/>
  <c r="W51" i="122"/>
  <c r="X51" i="122" s="1"/>
  <c r="W50" i="122"/>
  <c r="X50" i="122" s="1"/>
  <c r="W49" i="122"/>
  <c r="X49" i="122" s="1"/>
  <c r="W48" i="122"/>
  <c r="X48" i="122" s="1"/>
  <c r="W47" i="122"/>
  <c r="X47" i="122" s="1"/>
  <c r="W46" i="122"/>
  <c r="X46" i="122" s="1"/>
  <c r="W45" i="122"/>
  <c r="X45" i="122" s="1"/>
  <c r="W44" i="122"/>
  <c r="X44" i="122" s="1"/>
  <c r="W43" i="122"/>
  <c r="X43" i="122" s="1"/>
  <c r="W42" i="122"/>
  <c r="X42" i="122" s="1"/>
  <c r="W41" i="122"/>
  <c r="X41" i="122" s="1"/>
  <c r="W40" i="122"/>
  <c r="X40" i="122" s="1"/>
  <c r="W39" i="122"/>
  <c r="X39" i="122" s="1"/>
  <c r="W38" i="122"/>
  <c r="X38" i="122" s="1"/>
  <c r="W37" i="122"/>
  <c r="X37" i="122" s="1"/>
  <c r="W36" i="122"/>
  <c r="X36" i="122" s="1"/>
  <c r="W35" i="122"/>
  <c r="X35" i="122" s="1"/>
  <c r="W34" i="122"/>
  <c r="X34" i="122" s="1"/>
  <c r="W33" i="122"/>
  <c r="X33" i="122" s="1"/>
  <c r="W32" i="122"/>
  <c r="X32" i="122" s="1"/>
  <c r="W31" i="122"/>
  <c r="X31" i="122" s="1"/>
  <c r="W30" i="122"/>
  <c r="X30" i="122" s="1"/>
  <c r="W29" i="122"/>
  <c r="X29" i="122" s="1"/>
  <c r="W28" i="122"/>
  <c r="X28" i="122" s="1"/>
  <c r="W27" i="122"/>
  <c r="X27" i="122" s="1"/>
  <c r="W26" i="122"/>
  <c r="X26" i="122" s="1"/>
  <c r="W25" i="122"/>
  <c r="X25" i="122" s="1"/>
  <c r="W24" i="122"/>
  <c r="X24" i="122" s="1"/>
  <c r="W23" i="122"/>
  <c r="X23" i="122" s="1"/>
  <c r="W22" i="122"/>
  <c r="X22" i="122" s="1"/>
  <c r="W21" i="122"/>
  <c r="X21" i="122" s="1"/>
  <c r="W20" i="122"/>
  <c r="X20" i="122" s="1"/>
  <c r="W19" i="122"/>
  <c r="X19" i="122" s="1"/>
  <c r="W17" i="122"/>
  <c r="W16" i="122"/>
  <c r="W15" i="122"/>
  <c r="W14" i="122"/>
  <c r="W13" i="122"/>
  <c r="W12" i="122"/>
  <c r="W11" i="122"/>
  <c r="W10" i="122"/>
  <c r="W9" i="122"/>
  <c r="W8" i="122"/>
  <c r="W7" i="122"/>
  <c r="W6" i="122"/>
  <c r="W5" i="122"/>
  <c r="W4" i="122"/>
  <c r="W3" i="122"/>
  <c r="M37" i="110" l="1"/>
  <c r="O37" i="110"/>
  <c r="F37" i="110"/>
  <c r="L37" i="110"/>
  <c r="P37" i="110"/>
  <c r="X17" i="122"/>
  <c r="X12" i="122"/>
  <c r="X7" i="122"/>
  <c r="X8" i="122"/>
  <c r="X3" i="122"/>
  <c r="X6" i="122"/>
  <c r="X14" i="122"/>
  <c r="X61" i="122"/>
  <c r="X9" i="122"/>
  <c r="X4" i="122"/>
  <c r="X13" i="122"/>
  <c r="X15" i="122"/>
  <c r="X5" i="122"/>
  <c r="X10" i="122"/>
  <c r="X481" i="122"/>
  <c r="X16" i="122"/>
  <c r="X11" i="122"/>
  <c r="X477" i="122"/>
  <c r="X494" i="122"/>
  <c r="X382" i="122"/>
  <c r="X463" i="122"/>
  <c r="X303" i="122"/>
  <c r="X444" i="122"/>
  <c r="X415" i="122"/>
  <c r="X325" i="122"/>
  <c r="X304" i="122"/>
  <c r="X395" i="122"/>
  <c r="X426" i="122"/>
  <c r="X369" i="122"/>
  <c r="X348" i="122"/>
  <c r="P67" i="30"/>
  <c r="P80" i="110" s="1"/>
  <c r="L66" i="30"/>
  <c r="L79" i="110" s="1"/>
  <c r="H65" i="30"/>
  <c r="P63" i="30"/>
  <c r="P76" i="110" s="1"/>
  <c r="L62" i="30"/>
  <c r="L75" i="110" s="1"/>
  <c r="H61" i="30"/>
  <c r="P59" i="30"/>
  <c r="P72" i="110" s="1"/>
  <c r="L58" i="30"/>
  <c r="L71" i="110" s="1"/>
  <c r="H57" i="30"/>
  <c r="P55" i="30"/>
  <c r="P68" i="110" s="1"/>
  <c r="L54" i="30"/>
  <c r="L67" i="110" s="1"/>
  <c r="H51" i="30"/>
  <c r="P49" i="30"/>
  <c r="P62" i="110" s="1"/>
  <c r="L48" i="30"/>
  <c r="L61" i="110" s="1"/>
  <c r="H47" i="30"/>
  <c r="P45" i="30"/>
  <c r="P58" i="110" s="1"/>
  <c r="L44" i="30"/>
  <c r="L57" i="110" s="1"/>
  <c r="H43" i="30"/>
  <c r="P41" i="30"/>
  <c r="P54" i="110" s="1"/>
  <c r="H39" i="30"/>
  <c r="O67" i="30"/>
  <c r="O80" i="110" s="1"/>
  <c r="K66" i="30"/>
  <c r="G65" i="30"/>
  <c r="O63" i="30"/>
  <c r="O76" i="110" s="1"/>
  <c r="K62" i="30"/>
  <c r="G61" i="30"/>
  <c r="O59" i="30"/>
  <c r="O72" i="110" s="1"/>
  <c r="K58" i="30"/>
  <c r="G57" i="30"/>
  <c r="O55" i="30"/>
  <c r="O68" i="110" s="1"/>
  <c r="K54" i="30"/>
  <c r="G51" i="30"/>
  <c r="O49" i="30"/>
  <c r="O62" i="110" s="1"/>
  <c r="K48" i="30"/>
  <c r="G47" i="30"/>
  <c r="O45" i="30"/>
  <c r="O58" i="110" s="1"/>
  <c r="K44" i="30"/>
  <c r="G43" i="30"/>
  <c r="O41" i="30"/>
  <c r="O54" i="110" s="1"/>
  <c r="G39" i="30"/>
  <c r="O37" i="30"/>
  <c r="O50" i="110" s="1"/>
  <c r="N67" i="30"/>
  <c r="J66" i="30"/>
  <c r="F65" i="30"/>
  <c r="F78" i="110" s="1"/>
  <c r="N63" i="30"/>
  <c r="J62" i="30"/>
  <c r="F61" i="30"/>
  <c r="F74" i="110" s="1"/>
  <c r="N59" i="30"/>
  <c r="J58" i="30"/>
  <c r="F57" i="30"/>
  <c r="F70" i="110" s="1"/>
  <c r="N55" i="30"/>
  <c r="J54" i="30"/>
  <c r="F51" i="30"/>
  <c r="F64" i="110" s="1"/>
  <c r="N49" i="30"/>
  <c r="J48" i="30"/>
  <c r="F47" i="30"/>
  <c r="F60" i="110" s="1"/>
  <c r="N45" i="30"/>
  <c r="J44" i="30"/>
  <c r="F43" i="30"/>
  <c r="F56" i="110" s="1"/>
  <c r="N41" i="30"/>
  <c r="F39" i="30"/>
  <c r="F52" i="110" s="1"/>
  <c r="N37" i="30"/>
  <c r="M67" i="30"/>
  <c r="M80" i="110" s="1"/>
  <c r="I66" i="30"/>
  <c r="E65" i="30"/>
  <c r="M63" i="30"/>
  <c r="M76" i="110" s="1"/>
  <c r="I62" i="30"/>
  <c r="E61" i="30"/>
  <c r="M59" i="30"/>
  <c r="M72" i="110" s="1"/>
  <c r="I58" i="30"/>
  <c r="E57" i="30"/>
  <c r="M55" i="30"/>
  <c r="M68" i="110" s="1"/>
  <c r="I54" i="30"/>
  <c r="E51" i="30"/>
  <c r="M49" i="30"/>
  <c r="M62" i="110" s="1"/>
  <c r="I48" i="30"/>
  <c r="E47" i="30"/>
  <c r="M45" i="30"/>
  <c r="M58" i="110" s="1"/>
  <c r="I44" i="30"/>
  <c r="E43" i="30"/>
  <c r="M41" i="30"/>
  <c r="M54" i="110" s="1"/>
  <c r="E39" i="30"/>
  <c r="L67" i="30"/>
  <c r="L80" i="110" s="1"/>
  <c r="H66" i="30"/>
  <c r="P64" i="30"/>
  <c r="P77" i="110" s="1"/>
  <c r="L63" i="30"/>
  <c r="L76" i="110" s="1"/>
  <c r="H62" i="30"/>
  <c r="P60" i="30"/>
  <c r="P73" i="110" s="1"/>
  <c r="L59" i="30"/>
  <c r="L72" i="110" s="1"/>
  <c r="H58" i="30"/>
  <c r="P56" i="30"/>
  <c r="P69" i="110" s="1"/>
  <c r="L55" i="30"/>
  <c r="L68" i="110" s="1"/>
  <c r="H54" i="30"/>
  <c r="P50" i="30"/>
  <c r="P63" i="110" s="1"/>
  <c r="L49" i="30"/>
  <c r="L62" i="110" s="1"/>
  <c r="H48" i="30"/>
  <c r="P46" i="30"/>
  <c r="P59" i="110" s="1"/>
  <c r="L45" i="30"/>
  <c r="L58" i="110" s="1"/>
  <c r="H44" i="30"/>
  <c r="P42" i="30"/>
  <c r="P55" i="110" s="1"/>
  <c r="L41" i="30"/>
  <c r="L54" i="110" s="1"/>
  <c r="P38" i="30"/>
  <c r="P51" i="110" s="1"/>
  <c r="L37" i="30"/>
  <c r="L50" i="110" s="1"/>
  <c r="H36" i="30"/>
  <c r="P32" i="30"/>
  <c r="P45" i="110" s="1"/>
  <c r="K67" i="30"/>
  <c r="G66" i="30"/>
  <c r="O64" i="30"/>
  <c r="O77" i="110" s="1"/>
  <c r="K63" i="30"/>
  <c r="G62" i="30"/>
  <c r="O60" i="30"/>
  <c r="O73" i="110" s="1"/>
  <c r="K59" i="30"/>
  <c r="G58" i="30"/>
  <c r="O56" i="30"/>
  <c r="O69" i="110" s="1"/>
  <c r="K55" i="30"/>
  <c r="G54" i="30"/>
  <c r="O50" i="30"/>
  <c r="O63" i="110" s="1"/>
  <c r="K49" i="30"/>
  <c r="G48" i="30"/>
  <c r="O46" i="30"/>
  <c r="O59" i="110" s="1"/>
  <c r="K45" i="30"/>
  <c r="G44" i="30"/>
  <c r="O42" i="30"/>
  <c r="O55" i="110" s="1"/>
  <c r="K41" i="30"/>
  <c r="O38" i="30"/>
  <c r="O51" i="110" s="1"/>
  <c r="K37" i="30"/>
  <c r="G36" i="30"/>
  <c r="O32" i="30"/>
  <c r="O45" i="110" s="1"/>
  <c r="K31" i="30"/>
  <c r="G30" i="30"/>
  <c r="O28" i="30"/>
  <c r="O41" i="110" s="1"/>
  <c r="K27" i="30"/>
  <c r="G26" i="30"/>
  <c r="K23" i="30"/>
  <c r="G22" i="30"/>
  <c r="O20" i="30"/>
  <c r="O33" i="110" s="1"/>
  <c r="J67" i="30"/>
  <c r="F66" i="30"/>
  <c r="F79" i="110" s="1"/>
  <c r="N64" i="30"/>
  <c r="J63" i="30"/>
  <c r="F62" i="30"/>
  <c r="F75" i="110" s="1"/>
  <c r="N60" i="30"/>
  <c r="J59" i="30"/>
  <c r="F58" i="30"/>
  <c r="F71" i="110" s="1"/>
  <c r="N56" i="30"/>
  <c r="J55" i="30"/>
  <c r="F54" i="30"/>
  <c r="F67" i="110" s="1"/>
  <c r="N50" i="30"/>
  <c r="J49" i="30"/>
  <c r="F48" i="30"/>
  <c r="F61" i="110" s="1"/>
  <c r="N46" i="30"/>
  <c r="J45" i="30"/>
  <c r="F44" i="30"/>
  <c r="F57" i="110" s="1"/>
  <c r="N42" i="30"/>
  <c r="J41" i="30"/>
  <c r="N38" i="30"/>
  <c r="J37" i="30"/>
  <c r="F36" i="30"/>
  <c r="F49" i="110" s="1"/>
  <c r="N32" i="30"/>
  <c r="J31" i="30"/>
  <c r="F30" i="30"/>
  <c r="F43" i="110" s="1"/>
  <c r="N28" i="30"/>
  <c r="J27" i="30"/>
  <c r="F26" i="30"/>
  <c r="F39" i="110" s="1"/>
  <c r="J23" i="30"/>
  <c r="F22" i="30"/>
  <c r="F35" i="110" s="1"/>
  <c r="N20" i="30"/>
  <c r="I67" i="30"/>
  <c r="E66" i="30"/>
  <c r="M64" i="30"/>
  <c r="M77" i="110" s="1"/>
  <c r="I63" i="30"/>
  <c r="E62" i="30"/>
  <c r="M60" i="30"/>
  <c r="M73" i="110" s="1"/>
  <c r="I59" i="30"/>
  <c r="E58" i="30"/>
  <c r="M56" i="30"/>
  <c r="M69" i="110" s="1"/>
  <c r="I55" i="30"/>
  <c r="E54" i="30"/>
  <c r="M50" i="30"/>
  <c r="M63" i="110" s="1"/>
  <c r="I49" i="30"/>
  <c r="E48" i="30"/>
  <c r="M46" i="30"/>
  <c r="M59" i="110" s="1"/>
  <c r="I45" i="30"/>
  <c r="E44" i="30"/>
  <c r="M42" i="30"/>
  <c r="M55" i="110" s="1"/>
  <c r="I41" i="30"/>
  <c r="M38" i="30"/>
  <c r="M51" i="110" s="1"/>
  <c r="I37" i="30"/>
  <c r="E36" i="30"/>
  <c r="M32" i="30"/>
  <c r="M45" i="110" s="1"/>
  <c r="I31" i="30"/>
  <c r="E30" i="30"/>
  <c r="M28" i="30"/>
  <c r="M41" i="110" s="1"/>
  <c r="I27" i="30"/>
  <c r="E26" i="30"/>
  <c r="I23" i="30"/>
  <c r="E22" i="30"/>
  <c r="M20" i="30"/>
  <c r="M33" i="110" s="1"/>
  <c r="H67" i="30"/>
  <c r="P65" i="30"/>
  <c r="P78" i="110" s="1"/>
  <c r="L64" i="30"/>
  <c r="L77" i="110" s="1"/>
  <c r="H63" i="30"/>
  <c r="P61" i="30"/>
  <c r="P74" i="110" s="1"/>
  <c r="L60" i="30"/>
  <c r="L73" i="110" s="1"/>
  <c r="H59" i="30"/>
  <c r="P57" i="30"/>
  <c r="P70" i="110" s="1"/>
  <c r="L56" i="30"/>
  <c r="L69" i="110" s="1"/>
  <c r="H55" i="30"/>
  <c r="P51" i="30"/>
  <c r="P64" i="110" s="1"/>
  <c r="L50" i="30"/>
  <c r="L63" i="110" s="1"/>
  <c r="H49" i="30"/>
  <c r="P47" i="30"/>
  <c r="P60" i="110" s="1"/>
  <c r="L46" i="30"/>
  <c r="L59" i="110" s="1"/>
  <c r="H45" i="30"/>
  <c r="P43" i="30"/>
  <c r="P56" i="110" s="1"/>
  <c r="L42" i="30"/>
  <c r="L55" i="110" s="1"/>
  <c r="H41" i="30"/>
  <c r="P39" i="30"/>
  <c r="P52" i="110" s="1"/>
  <c r="L38" i="30"/>
  <c r="L51" i="110" s="1"/>
  <c r="H37" i="30"/>
  <c r="G67" i="30"/>
  <c r="O65" i="30"/>
  <c r="O78" i="110" s="1"/>
  <c r="K64" i="30"/>
  <c r="G63" i="30"/>
  <c r="O61" i="30"/>
  <c r="O74" i="110" s="1"/>
  <c r="K60" i="30"/>
  <c r="G59" i="30"/>
  <c r="O57" i="30"/>
  <c r="O70" i="110" s="1"/>
  <c r="K56" i="30"/>
  <c r="G55" i="30"/>
  <c r="O51" i="30"/>
  <c r="O64" i="110" s="1"/>
  <c r="K50" i="30"/>
  <c r="G49" i="30"/>
  <c r="O47" i="30"/>
  <c r="O60" i="110" s="1"/>
  <c r="K46" i="30"/>
  <c r="G45" i="30"/>
  <c r="O43" i="30"/>
  <c r="O56" i="110" s="1"/>
  <c r="K42" i="30"/>
  <c r="G41" i="30"/>
  <c r="O39" i="30"/>
  <c r="O52" i="110" s="1"/>
  <c r="K38" i="30"/>
  <c r="F67" i="30"/>
  <c r="F80" i="110" s="1"/>
  <c r="N65" i="30"/>
  <c r="J64" i="30"/>
  <c r="F63" i="30"/>
  <c r="F76" i="110" s="1"/>
  <c r="N61" i="30"/>
  <c r="J60" i="30"/>
  <c r="F59" i="30"/>
  <c r="F72" i="110" s="1"/>
  <c r="N57" i="30"/>
  <c r="J56" i="30"/>
  <c r="F55" i="30"/>
  <c r="F68" i="110" s="1"/>
  <c r="N51" i="30"/>
  <c r="J50" i="30"/>
  <c r="F49" i="30"/>
  <c r="F62" i="110" s="1"/>
  <c r="N47" i="30"/>
  <c r="J46" i="30"/>
  <c r="F45" i="30"/>
  <c r="F58" i="110" s="1"/>
  <c r="N43" i="30"/>
  <c r="J42" i="30"/>
  <c r="F41" i="30"/>
  <c r="F54" i="110" s="1"/>
  <c r="N39" i="30"/>
  <c r="E67" i="30"/>
  <c r="M65" i="30"/>
  <c r="M78" i="110" s="1"/>
  <c r="I64" i="30"/>
  <c r="E63" i="30"/>
  <c r="M61" i="30"/>
  <c r="M74" i="110" s="1"/>
  <c r="I60" i="30"/>
  <c r="E59" i="30"/>
  <c r="M57" i="30"/>
  <c r="M70" i="110" s="1"/>
  <c r="I56" i="30"/>
  <c r="E55" i="30"/>
  <c r="M51" i="30"/>
  <c r="M64" i="110" s="1"/>
  <c r="I50" i="30"/>
  <c r="E49" i="30"/>
  <c r="M47" i="30"/>
  <c r="M60" i="110" s="1"/>
  <c r="I46" i="30"/>
  <c r="E45" i="30"/>
  <c r="M43" i="30"/>
  <c r="M56" i="110" s="1"/>
  <c r="I42" i="30"/>
  <c r="E41" i="30"/>
  <c r="M39" i="30"/>
  <c r="M52" i="110" s="1"/>
  <c r="I38" i="30"/>
  <c r="P66" i="30"/>
  <c r="P79" i="110" s="1"/>
  <c r="L65" i="30"/>
  <c r="L78" i="110" s="1"/>
  <c r="H64" i="30"/>
  <c r="P62" i="30"/>
  <c r="P75" i="110" s="1"/>
  <c r="L61" i="30"/>
  <c r="L74" i="110" s="1"/>
  <c r="H60" i="30"/>
  <c r="P58" i="30"/>
  <c r="P71" i="110" s="1"/>
  <c r="L57" i="30"/>
  <c r="L70" i="110" s="1"/>
  <c r="H56" i="30"/>
  <c r="P54" i="30"/>
  <c r="P67" i="110" s="1"/>
  <c r="L51" i="30"/>
  <c r="L64" i="110" s="1"/>
  <c r="H50" i="30"/>
  <c r="P48" i="30"/>
  <c r="P61" i="110" s="1"/>
  <c r="L47" i="30"/>
  <c r="L60" i="110" s="1"/>
  <c r="H46" i="30"/>
  <c r="P44" i="30"/>
  <c r="P57" i="110" s="1"/>
  <c r="L43" i="30"/>
  <c r="L56" i="110" s="1"/>
  <c r="H42" i="30"/>
  <c r="L39" i="30"/>
  <c r="L52" i="110" s="1"/>
  <c r="H38" i="30"/>
  <c r="P36" i="30"/>
  <c r="P49" i="110" s="1"/>
  <c r="O66" i="30"/>
  <c r="O79" i="110" s="1"/>
  <c r="K65" i="30"/>
  <c r="G64" i="30"/>
  <c r="O62" i="30"/>
  <c r="O75" i="110" s="1"/>
  <c r="K61" i="30"/>
  <c r="G60" i="30"/>
  <c r="O58" i="30"/>
  <c r="O71" i="110" s="1"/>
  <c r="K57" i="30"/>
  <c r="G56" i="30"/>
  <c r="O54" i="30"/>
  <c r="O67" i="110" s="1"/>
  <c r="K51" i="30"/>
  <c r="G50" i="30"/>
  <c r="O48" i="30"/>
  <c r="O61" i="110" s="1"/>
  <c r="K47" i="30"/>
  <c r="G46" i="30"/>
  <c r="O44" i="30"/>
  <c r="O57" i="110" s="1"/>
  <c r="K43" i="30"/>
  <c r="G42" i="30"/>
  <c r="K39" i="30"/>
  <c r="G38" i="30"/>
  <c r="O36" i="30"/>
  <c r="O49" i="110" s="1"/>
  <c r="K33" i="30"/>
  <c r="G32" i="30"/>
  <c r="O30" i="30"/>
  <c r="O43" i="110" s="1"/>
  <c r="K29" i="30"/>
  <c r="G28" i="30"/>
  <c r="O26" i="30"/>
  <c r="O39" i="110" s="1"/>
  <c r="K25" i="30"/>
  <c r="O22" i="30"/>
  <c r="O35" i="110" s="1"/>
  <c r="K21" i="30"/>
  <c r="G20" i="30"/>
  <c r="N66" i="30"/>
  <c r="J65" i="30"/>
  <c r="F64" i="30"/>
  <c r="F77" i="110" s="1"/>
  <c r="N62" i="30"/>
  <c r="J61" i="30"/>
  <c r="F60" i="30"/>
  <c r="F73" i="110" s="1"/>
  <c r="N58" i="30"/>
  <c r="J57" i="30"/>
  <c r="F56" i="30"/>
  <c r="F69" i="110" s="1"/>
  <c r="N54" i="30"/>
  <c r="J51" i="30"/>
  <c r="F50" i="30"/>
  <c r="F63" i="110" s="1"/>
  <c r="N48" i="30"/>
  <c r="J47" i="30"/>
  <c r="F46" i="30"/>
  <c r="F59" i="110" s="1"/>
  <c r="N44" i="30"/>
  <c r="J43" i="30"/>
  <c r="F42" i="30"/>
  <c r="F55" i="110" s="1"/>
  <c r="J39" i="30"/>
  <c r="F38" i="30"/>
  <c r="F51" i="110" s="1"/>
  <c r="N36" i="30"/>
  <c r="J33" i="30"/>
  <c r="F32" i="30"/>
  <c r="F45" i="110" s="1"/>
  <c r="N30" i="30"/>
  <c r="J29" i="30"/>
  <c r="F28" i="30"/>
  <c r="F41" i="110" s="1"/>
  <c r="N26" i="30"/>
  <c r="M66" i="30"/>
  <c r="M79" i="110" s="1"/>
  <c r="I43" i="30"/>
  <c r="P33" i="30"/>
  <c r="P46" i="110" s="1"/>
  <c r="P31" i="30"/>
  <c r="P44" i="110" s="1"/>
  <c r="P29" i="30"/>
  <c r="P42" i="110" s="1"/>
  <c r="E28" i="30"/>
  <c r="H26" i="30"/>
  <c r="L22" i="30"/>
  <c r="L35" i="110" s="1"/>
  <c r="P20" i="30"/>
  <c r="P33" i="110" s="1"/>
  <c r="I65" i="30"/>
  <c r="E42" i="30"/>
  <c r="O33" i="30"/>
  <c r="O46" i="110" s="1"/>
  <c r="O31" i="30"/>
  <c r="O44" i="110" s="1"/>
  <c r="O29" i="30"/>
  <c r="O42" i="110" s="1"/>
  <c r="P27" i="30"/>
  <c r="P40" i="110" s="1"/>
  <c r="P25" i="30"/>
  <c r="P38" i="110" s="1"/>
  <c r="K22" i="30"/>
  <c r="L20" i="30"/>
  <c r="L33" i="110" s="1"/>
  <c r="E64" i="30"/>
  <c r="N33" i="30"/>
  <c r="N31" i="30"/>
  <c r="N29" i="30"/>
  <c r="M62" i="30"/>
  <c r="M75" i="110" s="1"/>
  <c r="I39" i="30"/>
  <c r="M33" i="30"/>
  <c r="M46" i="110" s="1"/>
  <c r="M31" i="30"/>
  <c r="M44" i="110" s="1"/>
  <c r="M29" i="30"/>
  <c r="M42" i="110" s="1"/>
  <c r="N27" i="30"/>
  <c r="I61" i="30"/>
  <c r="J38" i="30"/>
  <c r="L33" i="30"/>
  <c r="L46" i="110" s="1"/>
  <c r="L31" i="30"/>
  <c r="L44" i="110" s="1"/>
  <c r="L29" i="30"/>
  <c r="L42" i="110" s="1"/>
  <c r="M27" i="30"/>
  <c r="M40" i="110" s="1"/>
  <c r="E60" i="30"/>
  <c r="E38" i="30"/>
  <c r="I33" i="30"/>
  <c r="H31" i="30"/>
  <c r="I29" i="30"/>
  <c r="L27" i="30"/>
  <c r="L40" i="110" s="1"/>
  <c r="L25" i="30"/>
  <c r="L38" i="110" s="1"/>
  <c r="O23" i="30"/>
  <c r="O36" i="110" s="1"/>
  <c r="M58" i="30"/>
  <c r="M71" i="110" s="1"/>
  <c r="P37" i="30"/>
  <c r="P50" i="110" s="1"/>
  <c r="H33" i="30"/>
  <c r="G31" i="30"/>
  <c r="H29" i="30"/>
  <c r="H27" i="30"/>
  <c r="J25" i="30"/>
  <c r="N23" i="30"/>
  <c r="O21" i="30"/>
  <c r="O34" i="110" s="1"/>
  <c r="F20" i="30"/>
  <c r="F33" i="110" s="1"/>
  <c r="I57" i="30"/>
  <c r="M37" i="30"/>
  <c r="M50" i="110" s="1"/>
  <c r="G33" i="30"/>
  <c r="F31" i="30"/>
  <c r="F44" i="110" s="1"/>
  <c r="G29" i="30"/>
  <c r="G27" i="30"/>
  <c r="I25" i="30"/>
  <c r="M23" i="30"/>
  <c r="M36" i="110" s="1"/>
  <c r="N21" i="30"/>
  <c r="E20" i="30"/>
  <c r="E56" i="30"/>
  <c r="G37" i="30"/>
  <c r="F33" i="30"/>
  <c r="F46" i="110" s="1"/>
  <c r="E31" i="30"/>
  <c r="F29" i="30"/>
  <c r="F42" i="110" s="1"/>
  <c r="F27" i="30"/>
  <c r="F40" i="110" s="1"/>
  <c r="H25" i="30"/>
  <c r="L23" i="30"/>
  <c r="L36" i="110" s="1"/>
  <c r="M21" i="30"/>
  <c r="M34" i="110" s="1"/>
  <c r="M54" i="30"/>
  <c r="M67" i="110" s="1"/>
  <c r="F37" i="30"/>
  <c r="F50" i="110" s="1"/>
  <c r="I51" i="30"/>
  <c r="E37" i="30"/>
  <c r="L32" i="30"/>
  <c r="L45" i="110" s="1"/>
  <c r="M30" i="30"/>
  <c r="M43" i="110" s="1"/>
  <c r="P28" i="30"/>
  <c r="P41" i="110" s="1"/>
  <c r="P26" i="30"/>
  <c r="P39" i="110" s="1"/>
  <c r="E50" i="30"/>
  <c r="M36" i="30"/>
  <c r="M49" i="110" s="1"/>
  <c r="K32" i="30"/>
  <c r="L30" i="30"/>
  <c r="L43" i="110" s="1"/>
  <c r="L28" i="30"/>
  <c r="L41" i="110" s="1"/>
  <c r="M26" i="30"/>
  <c r="M39" i="110" s="1"/>
  <c r="E25" i="30"/>
  <c r="M48" i="30"/>
  <c r="M61" i="110" s="1"/>
  <c r="L36" i="30"/>
  <c r="L49" i="110" s="1"/>
  <c r="J32" i="30"/>
  <c r="K30" i="30"/>
  <c r="K28" i="30"/>
  <c r="L26" i="30"/>
  <c r="L39" i="110" s="1"/>
  <c r="I47" i="30"/>
  <c r="K36" i="30"/>
  <c r="I32" i="30"/>
  <c r="J30" i="30"/>
  <c r="J28" i="30"/>
  <c r="K26" i="30"/>
  <c r="E46" i="30"/>
  <c r="J36" i="30"/>
  <c r="H32" i="30"/>
  <c r="I30" i="30"/>
  <c r="I28" i="30"/>
  <c r="J26" i="30"/>
  <c r="N22" i="30"/>
  <c r="F21" i="30"/>
  <c r="F34" i="110" s="1"/>
  <c r="M44" i="30"/>
  <c r="M57" i="110" s="1"/>
  <c r="J21" i="30"/>
  <c r="I36" i="30"/>
  <c r="I21" i="30"/>
  <c r="E33" i="30"/>
  <c r="H21" i="30"/>
  <c r="E32" i="30"/>
  <c r="G21" i="30"/>
  <c r="P30" i="30"/>
  <c r="P43" i="110" s="1"/>
  <c r="P23" i="30"/>
  <c r="P36" i="110" s="1"/>
  <c r="E21" i="30"/>
  <c r="H30" i="30"/>
  <c r="H23" i="30"/>
  <c r="K20" i="30"/>
  <c r="G23" i="30"/>
  <c r="E29" i="30"/>
  <c r="J20" i="30"/>
  <c r="H28" i="30"/>
  <c r="F23" i="30"/>
  <c r="F36" i="110" s="1"/>
  <c r="I20" i="30"/>
  <c r="O27" i="30"/>
  <c r="O40" i="110" s="1"/>
  <c r="E23" i="30"/>
  <c r="H20" i="30"/>
  <c r="E27" i="30"/>
  <c r="P22" i="30"/>
  <c r="P35" i="110" s="1"/>
  <c r="I26" i="30"/>
  <c r="M22" i="30"/>
  <c r="M35" i="110" s="1"/>
  <c r="O25" i="30"/>
  <c r="O38" i="110" s="1"/>
  <c r="J22" i="30"/>
  <c r="N25" i="30"/>
  <c r="I22" i="30"/>
  <c r="M25" i="30"/>
  <c r="M38" i="110" s="1"/>
  <c r="H22" i="30"/>
  <c r="G25" i="30"/>
  <c r="F25" i="30"/>
  <c r="F38" i="110" s="1"/>
  <c r="P21" i="30"/>
  <c r="P34" i="110" s="1"/>
  <c r="L21" i="30"/>
  <c r="L34" i="110" s="1"/>
  <c r="W18" i="122"/>
  <c r="X18" i="122" s="1"/>
  <c r="N52" i="110" l="1"/>
  <c r="C39" i="116"/>
  <c r="N34" i="110"/>
  <c r="C21" i="116"/>
  <c r="N43" i="110"/>
  <c r="C30" i="116"/>
  <c r="N74" i="110"/>
  <c r="C61" i="116"/>
  <c r="N62" i="110"/>
  <c r="C49" i="116"/>
  <c r="N63" i="110"/>
  <c r="C50" i="116"/>
  <c r="N49" i="110"/>
  <c r="C36" i="116"/>
  <c r="N78" i="110"/>
  <c r="C65" i="116"/>
  <c r="N68" i="110"/>
  <c r="C55" i="116"/>
  <c r="N35" i="110"/>
  <c r="C22" i="116"/>
  <c r="N75" i="110"/>
  <c r="C62" i="116"/>
  <c r="N56" i="110"/>
  <c r="C43" i="116"/>
  <c r="N41" i="110"/>
  <c r="C28" i="116"/>
  <c r="N69" i="110"/>
  <c r="C56" i="116"/>
  <c r="N37" i="110"/>
  <c r="C24" i="116"/>
  <c r="N38" i="110"/>
  <c r="C25" i="116"/>
  <c r="N72" i="110"/>
  <c r="C59" i="116"/>
  <c r="N42" i="110"/>
  <c r="C29" i="116"/>
  <c r="N79" i="110"/>
  <c r="C66" i="116"/>
  <c r="N60" i="110"/>
  <c r="C47" i="116"/>
  <c r="N45" i="110"/>
  <c r="C32" i="116"/>
  <c r="N44" i="110"/>
  <c r="C31" i="116"/>
  <c r="N57" i="110"/>
  <c r="C44" i="116"/>
  <c r="N73" i="110"/>
  <c r="C60" i="116"/>
  <c r="N50" i="110"/>
  <c r="C37" i="116"/>
  <c r="N40" i="110"/>
  <c r="C27" i="116"/>
  <c r="N46" i="110"/>
  <c r="C33" i="116"/>
  <c r="N76" i="110"/>
  <c r="C63" i="116"/>
  <c r="N64" i="110"/>
  <c r="C51" i="116"/>
  <c r="N51" i="110"/>
  <c r="C38" i="116"/>
  <c r="N54" i="110"/>
  <c r="C41" i="116"/>
  <c r="N36" i="110"/>
  <c r="C23" i="116"/>
  <c r="N61" i="110"/>
  <c r="C48" i="116"/>
  <c r="N77" i="110"/>
  <c r="C64" i="116"/>
  <c r="N55" i="110"/>
  <c r="C42" i="116"/>
  <c r="N80" i="110"/>
  <c r="C67" i="116"/>
  <c r="N39" i="110"/>
  <c r="C26" i="116"/>
  <c r="N70" i="110"/>
  <c r="C57" i="116"/>
  <c r="N58" i="110"/>
  <c r="C45" i="116"/>
  <c r="N67" i="110"/>
  <c r="C54" i="116"/>
  <c r="N71" i="110"/>
  <c r="C58" i="116"/>
  <c r="N33" i="110"/>
  <c r="C20" i="116"/>
  <c r="N59" i="110"/>
  <c r="C46" i="116"/>
  <c r="K39" i="110"/>
  <c r="K63" i="110"/>
  <c r="K36" i="110"/>
  <c r="K62" i="110"/>
  <c r="K79" i="110"/>
  <c r="K42" i="110"/>
  <c r="K46" i="110"/>
  <c r="K69" i="110"/>
  <c r="K57" i="110"/>
  <c r="K41" i="110"/>
  <c r="K74" i="110"/>
  <c r="K40" i="110"/>
  <c r="K43" i="110"/>
  <c r="K68" i="110"/>
  <c r="K61" i="110"/>
  <c r="K78" i="110"/>
  <c r="K51" i="110"/>
  <c r="K44" i="110"/>
  <c r="K72" i="110"/>
  <c r="K52" i="110"/>
  <c r="K67" i="110"/>
  <c r="K37" i="110"/>
  <c r="K73" i="110"/>
  <c r="K77" i="110"/>
  <c r="K55" i="110"/>
  <c r="K50" i="110"/>
  <c r="K33" i="110"/>
  <c r="K60" i="110"/>
  <c r="K76" i="110"/>
  <c r="K56" i="110"/>
  <c r="K34" i="110"/>
  <c r="K54" i="110"/>
  <c r="K71" i="110"/>
  <c r="K38" i="110"/>
  <c r="K59" i="110"/>
  <c r="K35" i="110"/>
  <c r="K64" i="110"/>
  <c r="K80" i="110"/>
  <c r="K58" i="110"/>
  <c r="K75" i="110"/>
  <c r="K45" i="110"/>
  <c r="K49" i="110"/>
  <c r="K70" i="110"/>
  <c r="J70" i="110"/>
  <c r="J38" i="110"/>
  <c r="J34" i="110"/>
  <c r="J36" i="110"/>
  <c r="J62" i="110"/>
  <c r="J46" i="110"/>
  <c r="J77" i="110"/>
  <c r="J67" i="110"/>
  <c r="J74" i="110"/>
  <c r="J55" i="110"/>
  <c r="J40" i="110"/>
  <c r="J68" i="110"/>
  <c r="J50" i="110"/>
  <c r="J54" i="110"/>
  <c r="J33" i="110"/>
  <c r="J45" i="110"/>
  <c r="J39" i="110"/>
  <c r="J52" i="110"/>
  <c r="J71" i="110"/>
  <c r="J49" i="110"/>
  <c r="J41" i="110"/>
  <c r="J35" i="110"/>
  <c r="J78" i="110"/>
  <c r="J59" i="110"/>
  <c r="J44" i="110"/>
  <c r="J72" i="110"/>
  <c r="J56" i="110"/>
  <c r="J75" i="110"/>
  <c r="J37" i="110"/>
  <c r="J63" i="110"/>
  <c r="J60" i="110"/>
  <c r="J76" i="110"/>
  <c r="J69" i="110"/>
  <c r="J57" i="110"/>
  <c r="J64" i="110"/>
  <c r="J80" i="110"/>
  <c r="J43" i="110"/>
  <c r="J58" i="110"/>
  <c r="J79" i="110"/>
  <c r="J51" i="110"/>
  <c r="J42" i="110"/>
  <c r="J73" i="110"/>
  <c r="J61" i="110"/>
  <c r="I33" i="110"/>
  <c r="I49" i="110"/>
  <c r="I60" i="110"/>
  <c r="I74" i="110"/>
  <c r="I71" i="110"/>
  <c r="I69" i="110"/>
  <c r="I34" i="110"/>
  <c r="I46" i="110"/>
  <c r="I59" i="110"/>
  <c r="I36" i="110"/>
  <c r="I62" i="110"/>
  <c r="I70" i="110"/>
  <c r="I78" i="110"/>
  <c r="I75" i="110"/>
  <c r="I38" i="110"/>
  <c r="I40" i="110"/>
  <c r="I64" i="110"/>
  <c r="I52" i="110"/>
  <c r="I63" i="110"/>
  <c r="I68" i="110"/>
  <c r="I41" i="110"/>
  <c r="I42" i="110"/>
  <c r="I79" i="110"/>
  <c r="I35" i="110"/>
  <c r="I43" i="110"/>
  <c r="I44" i="110"/>
  <c r="I57" i="110"/>
  <c r="I50" i="110"/>
  <c r="I61" i="110"/>
  <c r="I56" i="110"/>
  <c r="I73" i="110"/>
  <c r="I76" i="110"/>
  <c r="I51" i="110"/>
  <c r="I54" i="110"/>
  <c r="I67" i="110"/>
  <c r="I72" i="110"/>
  <c r="I39" i="110"/>
  <c r="I45" i="110"/>
  <c r="I77" i="110"/>
  <c r="I80" i="110"/>
  <c r="I55" i="110"/>
  <c r="I58" i="110"/>
  <c r="I37" i="110"/>
  <c r="H46" i="110"/>
  <c r="H63" i="110"/>
  <c r="H58" i="110"/>
  <c r="H74" i="110"/>
  <c r="H41" i="110"/>
  <c r="H79" i="110"/>
  <c r="H52" i="110"/>
  <c r="H34" i="110"/>
  <c r="H35" i="110"/>
  <c r="H69" i="110"/>
  <c r="H62" i="110"/>
  <c r="H57" i="110"/>
  <c r="H78" i="110"/>
  <c r="H56" i="110"/>
  <c r="H36" i="110"/>
  <c r="H39" i="110"/>
  <c r="H73" i="110"/>
  <c r="H68" i="110"/>
  <c r="H61" i="110"/>
  <c r="H60" i="110"/>
  <c r="H45" i="110"/>
  <c r="H38" i="110"/>
  <c r="H51" i="110"/>
  <c r="H77" i="110"/>
  <c r="H72" i="110"/>
  <c r="H67" i="110"/>
  <c r="H43" i="110"/>
  <c r="H55" i="110"/>
  <c r="H50" i="110"/>
  <c r="H64" i="110"/>
  <c r="H44" i="110"/>
  <c r="H33" i="110"/>
  <c r="H76" i="110"/>
  <c r="H71" i="110"/>
  <c r="H37" i="110"/>
  <c r="H40" i="110"/>
  <c r="H59" i="110"/>
  <c r="H54" i="110"/>
  <c r="H70" i="110"/>
  <c r="H42" i="110"/>
  <c r="H49" i="110"/>
  <c r="H80" i="110"/>
  <c r="H75" i="110"/>
  <c r="G45" i="110"/>
  <c r="G68" i="110"/>
  <c r="G56" i="110"/>
  <c r="G75" i="110"/>
  <c r="G38" i="110"/>
  <c r="G73" i="110"/>
  <c r="G39" i="110"/>
  <c r="G33" i="110"/>
  <c r="G67" i="110"/>
  <c r="G40" i="110"/>
  <c r="G51" i="110"/>
  <c r="G72" i="110"/>
  <c r="G60" i="110"/>
  <c r="G42" i="110"/>
  <c r="G77" i="110"/>
  <c r="G43" i="110"/>
  <c r="G36" i="110"/>
  <c r="G55" i="110"/>
  <c r="G71" i="110"/>
  <c r="G46" i="110"/>
  <c r="G76" i="110"/>
  <c r="G64" i="110"/>
  <c r="G59" i="110"/>
  <c r="G54" i="110"/>
  <c r="G49" i="110"/>
  <c r="G80" i="110"/>
  <c r="G70" i="110"/>
  <c r="G58" i="110"/>
  <c r="G34" i="110"/>
  <c r="G63" i="110"/>
  <c r="G79" i="110"/>
  <c r="G37" i="110"/>
  <c r="G57" i="110"/>
  <c r="G74" i="110"/>
  <c r="G50" i="110"/>
  <c r="G41" i="110"/>
  <c r="G62" i="110"/>
  <c r="G69" i="110"/>
  <c r="G52" i="110"/>
  <c r="G44" i="110"/>
  <c r="G35" i="110"/>
  <c r="G61" i="110"/>
  <c r="G78" i="110"/>
  <c r="E80" i="110"/>
  <c r="E33" i="110"/>
  <c r="E58" i="110"/>
  <c r="E35" i="110"/>
  <c r="E61" i="110"/>
  <c r="E50" i="110"/>
  <c r="E55" i="110"/>
  <c r="E74" i="110"/>
  <c r="E39" i="110"/>
  <c r="E62" i="110"/>
  <c r="E67" i="110"/>
  <c r="E52" i="110"/>
  <c r="E78" i="110"/>
  <c r="E43" i="110"/>
  <c r="E56" i="110"/>
  <c r="E38" i="110"/>
  <c r="E41" i="110"/>
  <c r="E68" i="110"/>
  <c r="E71" i="110"/>
  <c r="E34" i="110"/>
  <c r="E51" i="110"/>
  <c r="E49" i="110"/>
  <c r="E60" i="110"/>
  <c r="E37" i="110"/>
  <c r="E42" i="110"/>
  <c r="E59" i="110"/>
  <c r="E73" i="110"/>
  <c r="E77" i="110"/>
  <c r="E72" i="110"/>
  <c r="E75" i="110"/>
  <c r="E40" i="110"/>
  <c r="E44" i="110"/>
  <c r="E45" i="110"/>
  <c r="E64" i="110"/>
  <c r="E36" i="110"/>
  <c r="E63" i="110"/>
  <c r="E76" i="110"/>
  <c r="E79" i="110"/>
  <c r="E46" i="110"/>
  <c r="E69" i="110"/>
  <c r="E54" i="110"/>
  <c r="E57" i="110"/>
  <c r="E70" i="110"/>
  <c r="E26" i="121" l="1"/>
  <c r="F26" i="121"/>
  <c r="G26" i="121"/>
  <c r="H26" i="121"/>
  <c r="I26" i="121"/>
  <c r="J26" i="121"/>
  <c r="K26" i="121"/>
  <c r="L26" i="121"/>
  <c r="M26" i="121"/>
  <c r="N26" i="121"/>
  <c r="O26" i="121"/>
  <c r="D26" i="121"/>
  <c r="E20" i="121"/>
  <c r="F20" i="121"/>
  <c r="G20" i="121"/>
  <c r="H20" i="121"/>
  <c r="I20" i="121"/>
  <c r="J20" i="121"/>
  <c r="K20" i="121"/>
  <c r="L20" i="121"/>
  <c r="M20" i="121"/>
  <c r="N20" i="121"/>
  <c r="O20" i="121"/>
  <c r="D20" i="121"/>
  <c r="E15" i="121"/>
  <c r="F15" i="121"/>
  <c r="G15" i="121"/>
  <c r="H15" i="121"/>
  <c r="I15" i="121"/>
  <c r="J15" i="121"/>
  <c r="K15" i="121"/>
  <c r="L15" i="121"/>
  <c r="M15" i="121"/>
  <c r="N15" i="121"/>
  <c r="O15" i="121"/>
  <c r="D15" i="121"/>
  <c r="E14" i="121"/>
  <c r="F14" i="121"/>
  <c r="G14" i="121"/>
  <c r="H14" i="121"/>
  <c r="I14" i="121"/>
  <c r="J14" i="121"/>
  <c r="K14" i="121"/>
  <c r="L14" i="121"/>
  <c r="M14" i="121"/>
  <c r="N14" i="121"/>
  <c r="O14" i="121"/>
  <c r="D14" i="121"/>
  <c r="E13" i="121"/>
  <c r="F13" i="121"/>
  <c r="G13" i="121"/>
  <c r="H13" i="121"/>
  <c r="I13" i="121"/>
  <c r="J13" i="121"/>
  <c r="K13" i="121"/>
  <c r="L13" i="121"/>
  <c r="M13" i="121"/>
  <c r="N13" i="121"/>
  <c r="O13" i="121"/>
  <c r="D13" i="121"/>
  <c r="E12" i="121"/>
  <c r="F12" i="121"/>
  <c r="G12" i="121"/>
  <c r="H12" i="121"/>
  <c r="I12" i="121"/>
  <c r="J12" i="121"/>
  <c r="K12" i="121"/>
  <c r="L12" i="121"/>
  <c r="M12" i="121"/>
  <c r="N12" i="121"/>
  <c r="O12" i="121"/>
  <c r="D12" i="121"/>
  <c r="H16" i="121" l="1"/>
  <c r="G16" i="121"/>
  <c r="L16" i="121"/>
  <c r="I16" i="121"/>
  <c r="F16" i="121"/>
  <c r="E16" i="121"/>
  <c r="O16" i="121"/>
  <c r="N16" i="121"/>
  <c r="J16" i="121"/>
  <c r="D16" i="121"/>
  <c r="K16" i="121"/>
  <c r="M16" i="121"/>
  <c r="E8" i="121"/>
  <c r="E24" i="121" s="1"/>
  <c r="E30" i="121" s="1"/>
  <c r="F8" i="121"/>
  <c r="F24" i="121" s="1"/>
  <c r="F30" i="121" s="1"/>
  <c r="G8" i="121"/>
  <c r="G24" i="121" s="1"/>
  <c r="G30" i="121" s="1"/>
  <c r="H8" i="121"/>
  <c r="H24" i="121" s="1"/>
  <c r="H30" i="121" s="1"/>
  <c r="I8" i="121"/>
  <c r="I24" i="121" s="1"/>
  <c r="I30" i="121" s="1"/>
  <c r="J8" i="121"/>
  <c r="J24" i="121" s="1"/>
  <c r="J30" i="121" s="1"/>
  <c r="K8" i="121"/>
  <c r="K24" i="121" s="1"/>
  <c r="K30" i="121" s="1"/>
  <c r="L8" i="121"/>
  <c r="L24" i="121" s="1"/>
  <c r="L30" i="121" s="1"/>
  <c r="M8" i="121"/>
  <c r="M24" i="121" s="1"/>
  <c r="M30" i="121" s="1"/>
  <c r="N8" i="121"/>
  <c r="N24" i="121" s="1"/>
  <c r="N30" i="121" s="1"/>
  <c r="O8" i="121"/>
  <c r="O24" i="121" s="1"/>
  <c r="O30" i="121" s="1"/>
  <c r="D8" i="121"/>
  <c r="D24" i="121" s="1"/>
  <c r="D30" i="121" s="1"/>
  <c r="E7" i="121"/>
  <c r="E23" i="121" s="1"/>
  <c r="E29" i="121" s="1"/>
  <c r="F7" i="121"/>
  <c r="F23" i="121" s="1"/>
  <c r="F29" i="121" s="1"/>
  <c r="G7" i="121"/>
  <c r="G23" i="121" s="1"/>
  <c r="G29" i="121" s="1"/>
  <c r="H7" i="121"/>
  <c r="H23" i="121" s="1"/>
  <c r="H29" i="121" s="1"/>
  <c r="I7" i="121"/>
  <c r="I23" i="121" s="1"/>
  <c r="I29" i="121" s="1"/>
  <c r="J7" i="121"/>
  <c r="J23" i="121" s="1"/>
  <c r="J29" i="121" s="1"/>
  <c r="K7" i="121"/>
  <c r="K23" i="121" s="1"/>
  <c r="K29" i="121" s="1"/>
  <c r="L7" i="121"/>
  <c r="L23" i="121" s="1"/>
  <c r="L29" i="121" s="1"/>
  <c r="M7" i="121"/>
  <c r="M23" i="121" s="1"/>
  <c r="M29" i="121" s="1"/>
  <c r="N7" i="121"/>
  <c r="N23" i="121" s="1"/>
  <c r="N29" i="121" s="1"/>
  <c r="O7" i="121"/>
  <c r="O23" i="121" s="1"/>
  <c r="O29" i="121" s="1"/>
  <c r="D7" i="121"/>
  <c r="D23" i="121" s="1"/>
  <c r="D29" i="121" s="1"/>
  <c r="E6" i="121"/>
  <c r="E22" i="121" s="1"/>
  <c r="E28" i="121" s="1"/>
  <c r="F6" i="121"/>
  <c r="F22" i="121" s="1"/>
  <c r="F28" i="121" s="1"/>
  <c r="G6" i="121"/>
  <c r="G22" i="121" s="1"/>
  <c r="G28" i="121" s="1"/>
  <c r="H6" i="121"/>
  <c r="H22" i="121" s="1"/>
  <c r="H28" i="121" s="1"/>
  <c r="I6" i="121"/>
  <c r="I22" i="121" s="1"/>
  <c r="I28" i="121" s="1"/>
  <c r="J6" i="121"/>
  <c r="J22" i="121" s="1"/>
  <c r="J28" i="121" s="1"/>
  <c r="K6" i="121"/>
  <c r="K22" i="121" s="1"/>
  <c r="K28" i="121" s="1"/>
  <c r="L6" i="121"/>
  <c r="L22" i="121" s="1"/>
  <c r="L28" i="121" s="1"/>
  <c r="M6" i="121"/>
  <c r="M22" i="121" s="1"/>
  <c r="M28" i="121" s="1"/>
  <c r="N6" i="121"/>
  <c r="N22" i="121" s="1"/>
  <c r="N28" i="121" s="1"/>
  <c r="O6" i="121"/>
  <c r="O22" i="121" s="1"/>
  <c r="O28" i="121" s="1"/>
  <c r="D6" i="121"/>
  <c r="D22" i="121" s="1"/>
  <c r="D28" i="121" s="1"/>
  <c r="E5" i="121"/>
  <c r="E21" i="121" s="1"/>
  <c r="E27" i="121" s="1"/>
  <c r="F5" i="121"/>
  <c r="F21" i="121" s="1"/>
  <c r="F27" i="121" s="1"/>
  <c r="G5" i="121"/>
  <c r="G21" i="121" s="1"/>
  <c r="G27" i="121" s="1"/>
  <c r="H5" i="121"/>
  <c r="H21" i="121" s="1"/>
  <c r="H27" i="121" s="1"/>
  <c r="I5" i="121"/>
  <c r="I21" i="121" s="1"/>
  <c r="I27" i="121" s="1"/>
  <c r="J5" i="121"/>
  <c r="J21" i="121" s="1"/>
  <c r="J27" i="121" s="1"/>
  <c r="K5" i="121"/>
  <c r="K21" i="121" s="1"/>
  <c r="K27" i="121" s="1"/>
  <c r="L5" i="121"/>
  <c r="L21" i="121" s="1"/>
  <c r="L27" i="121" s="1"/>
  <c r="M5" i="121"/>
  <c r="M21" i="121" s="1"/>
  <c r="M27" i="121" s="1"/>
  <c r="N5" i="121"/>
  <c r="N21" i="121" s="1"/>
  <c r="N27" i="121" s="1"/>
  <c r="O5" i="121"/>
  <c r="O21" i="121" s="1"/>
  <c r="O27" i="121" s="1"/>
  <c r="D5" i="121"/>
  <c r="D21" i="121" s="1"/>
  <c r="D27" i="121" s="1"/>
  <c r="D9" i="121" l="1"/>
  <c r="D25" i="121" s="1"/>
  <c r="D31" i="121" s="1"/>
  <c r="E9" i="121"/>
  <c r="E25" i="121" s="1"/>
  <c r="E31" i="121" s="1"/>
  <c r="F9" i="121"/>
  <c r="F25" i="121" s="1"/>
  <c r="F31" i="121" s="1"/>
  <c r="G9" i="121"/>
  <c r="G25" i="121" s="1"/>
  <c r="G31" i="121" s="1"/>
  <c r="H9" i="121"/>
  <c r="H25" i="121" s="1"/>
  <c r="H31" i="121" s="1"/>
  <c r="I9" i="121"/>
  <c r="I25" i="121" s="1"/>
  <c r="I31" i="121" s="1"/>
  <c r="J9" i="121"/>
  <c r="J25" i="121" s="1"/>
  <c r="J31" i="121" s="1"/>
  <c r="K9" i="121"/>
  <c r="K25" i="121" s="1"/>
  <c r="K31" i="121" s="1"/>
  <c r="L9" i="121"/>
  <c r="L25" i="121" s="1"/>
  <c r="L31" i="121" s="1"/>
  <c r="M9" i="121"/>
  <c r="M25" i="121" s="1"/>
  <c r="M31" i="121" s="1"/>
  <c r="N9" i="121"/>
  <c r="N25" i="121" s="1"/>
  <c r="N31" i="121" s="1"/>
  <c r="O9" i="121"/>
  <c r="O25" i="121" s="1"/>
  <c r="O31" i="121" s="1"/>
  <c r="Q144" i="120"/>
  <c r="P139" i="120"/>
  <c r="O139" i="120"/>
  <c r="Q138" i="120"/>
  <c r="Q128" i="120"/>
  <c r="P123" i="120"/>
  <c r="O123" i="120"/>
  <c r="N123" i="120"/>
  <c r="M123" i="120"/>
  <c r="K123" i="120"/>
  <c r="J123" i="120"/>
  <c r="I123" i="120"/>
  <c r="H123" i="120"/>
  <c r="G123" i="120"/>
  <c r="F123" i="120"/>
  <c r="E123" i="120"/>
  <c r="Q122" i="120"/>
  <c r="Q121" i="120"/>
  <c r="L123" i="120"/>
  <c r="P117" i="120"/>
  <c r="O117" i="120"/>
  <c r="N117" i="120"/>
  <c r="M117" i="120"/>
  <c r="L117" i="120"/>
  <c r="K117" i="120"/>
  <c r="J117" i="120"/>
  <c r="I117" i="120"/>
  <c r="H117" i="120"/>
  <c r="G117" i="120"/>
  <c r="F117" i="120"/>
  <c r="E117" i="120"/>
  <c r="Q116" i="120"/>
  <c r="N111" i="120"/>
  <c r="N15" i="30" s="1"/>
  <c r="Q114" i="120"/>
  <c r="Q112" i="120"/>
  <c r="Q104" i="120"/>
  <c r="Q103" i="120"/>
  <c r="Q102" i="120"/>
  <c r="Q101" i="120"/>
  <c r="P100" i="120"/>
  <c r="O100" i="120"/>
  <c r="N100" i="120"/>
  <c r="M100" i="120"/>
  <c r="L100" i="120"/>
  <c r="K100" i="120"/>
  <c r="J100" i="120"/>
  <c r="I100" i="120"/>
  <c r="H100" i="120"/>
  <c r="G100" i="120"/>
  <c r="F100" i="120"/>
  <c r="E100" i="120"/>
  <c r="Q69" i="120"/>
  <c r="Q95" i="120"/>
  <c r="P90" i="120"/>
  <c r="O90" i="120"/>
  <c r="Q79" i="120"/>
  <c r="Q100" i="120" l="1"/>
  <c r="K111" i="120"/>
  <c r="K15" i="30" s="1"/>
  <c r="K28" i="110" s="1"/>
  <c r="I111" i="120"/>
  <c r="I15" i="30" s="1"/>
  <c r="I28" i="110" s="1"/>
  <c r="C15" i="116"/>
  <c r="N28" i="110"/>
  <c r="Q139" i="120"/>
  <c r="H111" i="120"/>
  <c r="H15" i="30" s="1"/>
  <c r="H28" i="110" s="1"/>
  <c r="Q118" i="120"/>
  <c r="E111" i="120"/>
  <c r="E15" i="30" s="1"/>
  <c r="E28" i="110" s="1"/>
  <c r="J111" i="120"/>
  <c r="J15" i="30" s="1"/>
  <c r="J28" i="110" s="1"/>
  <c r="M111" i="120"/>
  <c r="M15" i="30" s="1"/>
  <c r="M28" i="110" s="1"/>
  <c r="Q90" i="120"/>
  <c r="L111" i="120"/>
  <c r="L15" i="30" s="1"/>
  <c r="L28" i="110" s="1"/>
  <c r="Q115" i="120"/>
  <c r="Q123" i="120"/>
  <c r="F111" i="120"/>
  <c r="F15" i="30" s="1"/>
  <c r="F28" i="110" s="1"/>
  <c r="G111" i="120"/>
  <c r="G15" i="30" s="1"/>
  <c r="G28" i="110" s="1"/>
  <c r="Q117" i="120"/>
  <c r="P111" i="120"/>
  <c r="P15" i="30" s="1"/>
  <c r="P28" i="110" s="1"/>
  <c r="O111" i="120"/>
  <c r="O15" i="30" s="1"/>
  <c r="O28" i="110" s="1"/>
  <c r="Q111" i="120" l="1"/>
  <c r="Q74" i="120"/>
  <c r="Q73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N64" i="120"/>
  <c r="N10" i="30" s="1"/>
  <c r="Q66" i="120"/>
  <c r="Q65" i="120"/>
  <c r="Q68" i="120" l="1"/>
  <c r="K64" i="120"/>
  <c r="K10" i="30" s="1"/>
  <c r="K17" i="110" s="1"/>
  <c r="C10" i="116"/>
  <c r="N17" i="110"/>
  <c r="L64" i="120"/>
  <c r="L10" i="30" s="1"/>
  <c r="L17" i="110" s="1"/>
  <c r="O64" i="120"/>
  <c r="O10" i="30" s="1"/>
  <c r="O17" i="110" s="1"/>
  <c r="P64" i="120"/>
  <c r="P10" i="30" s="1"/>
  <c r="P17" i="110" s="1"/>
  <c r="F64" i="120"/>
  <c r="F10" i="30" s="1"/>
  <c r="F17" i="110" s="1"/>
  <c r="H64" i="120"/>
  <c r="H10" i="30" s="1"/>
  <c r="H17" i="110" s="1"/>
  <c r="G64" i="120"/>
  <c r="G10" i="30" s="1"/>
  <c r="G17" i="110" s="1"/>
  <c r="I64" i="120"/>
  <c r="I10" i="30" s="1"/>
  <c r="I17" i="110" s="1"/>
  <c r="M64" i="120"/>
  <c r="M10" i="30" s="1"/>
  <c r="M17" i="110" s="1"/>
  <c r="J64" i="120"/>
  <c r="J10" i="30" s="1"/>
  <c r="J17" i="110" s="1"/>
  <c r="Q71" i="120"/>
  <c r="Q75" i="120" s="1"/>
  <c r="E64" i="120"/>
  <c r="E10" i="30" s="1"/>
  <c r="E17" i="110" s="1"/>
  <c r="Q70" i="120"/>
  <c r="Q64" i="120" l="1"/>
  <c r="P14" i="30"/>
  <c r="P23" i="110" s="1"/>
  <c r="P27" i="110" s="1"/>
  <c r="O14" i="30"/>
  <c r="O23" i="110" s="1"/>
  <c r="O27" i="110" s="1"/>
  <c r="N14" i="30"/>
  <c r="M14" i="30"/>
  <c r="M23" i="110" s="1"/>
  <c r="M27" i="110" s="1"/>
  <c r="L14" i="30"/>
  <c r="L23" i="110" s="1"/>
  <c r="L27" i="110" s="1"/>
  <c r="K14" i="30"/>
  <c r="K23" i="110" s="1"/>
  <c r="K27" i="110" s="1"/>
  <c r="J14" i="30"/>
  <c r="J23" i="110" s="1"/>
  <c r="J27" i="110" s="1"/>
  <c r="I14" i="30"/>
  <c r="I23" i="110" s="1"/>
  <c r="I27" i="110" s="1"/>
  <c r="H14" i="30"/>
  <c r="H23" i="110" s="1"/>
  <c r="H27" i="110" s="1"/>
  <c r="G14" i="30"/>
  <c r="G23" i="110" s="1"/>
  <c r="G27" i="110" s="1"/>
  <c r="F14" i="30"/>
  <c r="F23" i="110" s="1"/>
  <c r="F27" i="110" s="1"/>
  <c r="E14" i="30"/>
  <c r="E23" i="110" s="1"/>
  <c r="E27" i="110" s="1"/>
  <c r="P13" i="30"/>
  <c r="O13" i="30"/>
  <c r="N13" i="30"/>
  <c r="C13" i="116" s="1"/>
  <c r="M13" i="30"/>
  <c r="L13" i="30"/>
  <c r="K13" i="30"/>
  <c r="J13" i="30"/>
  <c r="I13" i="30"/>
  <c r="H13" i="30"/>
  <c r="G13" i="30"/>
  <c r="F13" i="30"/>
  <c r="E13" i="30"/>
  <c r="P12" i="30"/>
  <c r="O12" i="30"/>
  <c r="N12" i="30"/>
  <c r="C12" i="116" s="1"/>
  <c r="M12" i="30"/>
  <c r="L12" i="30"/>
  <c r="K12" i="30"/>
  <c r="J12" i="30"/>
  <c r="I12" i="30"/>
  <c r="H12" i="30"/>
  <c r="G12" i="30"/>
  <c r="F12" i="30"/>
  <c r="E12" i="30"/>
  <c r="P9" i="30"/>
  <c r="P12" i="110" s="1"/>
  <c r="P16" i="110" s="1"/>
  <c r="O9" i="30"/>
  <c r="O12" i="110" s="1"/>
  <c r="O16" i="110" s="1"/>
  <c r="N9" i="30"/>
  <c r="M9" i="30"/>
  <c r="M12" i="110" s="1"/>
  <c r="M16" i="110" s="1"/>
  <c r="L9" i="30"/>
  <c r="L12" i="110" s="1"/>
  <c r="L16" i="110" s="1"/>
  <c r="K9" i="30"/>
  <c r="K12" i="110" s="1"/>
  <c r="K16" i="110" s="1"/>
  <c r="J9" i="30"/>
  <c r="J12" i="110" s="1"/>
  <c r="J16" i="110" s="1"/>
  <c r="I9" i="30"/>
  <c r="I12" i="110" s="1"/>
  <c r="I16" i="110" s="1"/>
  <c r="H9" i="30"/>
  <c r="H12" i="110" s="1"/>
  <c r="H16" i="110" s="1"/>
  <c r="G9" i="30"/>
  <c r="G12" i="110" s="1"/>
  <c r="G16" i="110" s="1"/>
  <c r="F9" i="30"/>
  <c r="F12" i="110" s="1"/>
  <c r="F16" i="110" s="1"/>
  <c r="E9" i="30"/>
  <c r="E12" i="110" s="1"/>
  <c r="E16" i="110" s="1"/>
  <c r="P8" i="30"/>
  <c r="O8" i="30"/>
  <c r="N8" i="30"/>
  <c r="C8" i="116" s="1"/>
  <c r="M8" i="30"/>
  <c r="L8" i="30"/>
  <c r="K8" i="30"/>
  <c r="J8" i="30"/>
  <c r="I8" i="30"/>
  <c r="H8" i="30"/>
  <c r="G8" i="30"/>
  <c r="F8" i="30"/>
  <c r="E8" i="30"/>
  <c r="P7" i="30"/>
  <c r="O7" i="30"/>
  <c r="N7" i="30"/>
  <c r="C7" i="116" s="1"/>
  <c r="M7" i="30"/>
  <c r="L7" i="30"/>
  <c r="K7" i="30"/>
  <c r="J7" i="30"/>
  <c r="I7" i="30"/>
  <c r="H7" i="30"/>
  <c r="G7" i="30"/>
  <c r="F7" i="30"/>
  <c r="E7" i="30"/>
  <c r="B53" i="120"/>
  <c r="B52" i="120"/>
  <c r="B51" i="120"/>
  <c r="B50" i="120"/>
  <c r="B49" i="120"/>
  <c r="B48" i="120"/>
  <c r="B47" i="120"/>
  <c r="C9" i="116" l="1"/>
  <c r="N12" i="110"/>
  <c r="N16" i="110" s="1"/>
  <c r="C14" i="116"/>
  <c r="N23" i="110"/>
  <c r="N27" i="110" s="1"/>
  <c r="N10" i="114"/>
  <c r="N15" i="114"/>
  <c r="N14" i="114"/>
  <c r="N7" i="114"/>
  <c r="N19" i="114"/>
  <c r="N20" i="114"/>
  <c r="N23" i="114"/>
  <c r="N28" i="114"/>
  <c r="N66" i="114" l="1"/>
  <c r="N9" i="114"/>
  <c r="N8" i="114"/>
  <c r="N12" i="114"/>
  <c r="N32" i="114"/>
  <c r="N48" i="114"/>
  <c r="N18" i="114"/>
  <c r="N13" i="114"/>
  <c r="N6" i="114" l="1"/>
  <c r="N29" i="114" s="1"/>
  <c r="N16" i="114"/>
  <c r="N11" i="114"/>
  <c r="N31" i="114"/>
  <c r="N81" i="114" l="1"/>
  <c r="N82" i="114" s="1"/>
  <c r="N30" i="114"/>
  <c r="K6" i="119" l="1"/>
  <c r="I99" i="119"/>
  <c r="I98" i="119"/>
  <c r="I97" i="119"/>
  <c r="I96" i="119"/>
  <c r="I95" i="119"/>
  <c r="I94" i="119"/>
  <c r="I93" i="119"/>
  <c r="I92" i="119"/>
  <c r="I91" i="119"/>
  <c r="I90" i="119"/>
  <c r="I89" i="119"/>
  <c r="I88" i="119"/>
  <c r="I87" i="119"/>
  <c r="I86" i="119"/>
  <c r="I85" i="119"/>
  <c r="I84" i="119"/>
  <c r="I83" i="119"/>
  <c r="I82" i="119"/>
  <c r="I81" i="119"/>
  <c r="I80" i="119"/>
  <c r="I79" i="119"/>
  <c r="I78" i="119"/>
  <c r="I77" i="119"/>
  <c r="I76" i="119"/>
  <c r="I75" i="119"/>
  <c r="I74" i="119"/>
  <c r="I73" i="119"/>
  <c r="I72" i="119"/>
  <c r="I71" i="119"/>
  <c r="I70" i="119"/>
  <c r="I69" i="119"/>
  <c r="I68" i="119"/>
  <c r="I67" i="119"/>
  <c r="I66" i="119"/>
  <c r="I65" i="119"/>
  <c r="I64" i="119"/>
  <c r="I63" i="119"/>
  <c r="I62" i="119"/>
  <c r="I61" i="119"/>
  <c r="I60" i="119"/>
  <c r="I59" i="119"/>
  <c r="I58" i="119"/>
  <c r="I57" i="119"/>
  <c r="I56" i="119"/>
  <c r="I55" i="119"/>
  <c r="I54" i="119"/>
  <c r="I53" i="119"/>
  <c r="I52" i="119"/>
  <c r="I51" i="119"/>
  <c r="I50" i="119"/>
  <c r="I49" i="119"/>
  <c r="I48" i="119"/>
  <c r="I47" i="119"/>
  <c r="I46" i="119"/>
  <c r="I45" i="119"/>
  <c r="I44" i="119"/>
  <c r="I43" i="119"/>
  <c r="I42" i="119"/>
  <c r="I41" i="119"/>
  <c r="I40" i="119"/>
  <c r="I39" i="119"/>
  <c r="I38" i="119"/>
  <c r="I37" i="119"/>
  <c r="I36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H7" i="119"/>
  <c r="R2" i="119" s="1"/>
  <c r="S2" i="119" s="1"/>
  <c r="G7" i="119"/>
  <c r="L99" i="119"/>
  <c r="I6" i="119"/>
  <c r="M6" i="119" s="1"/>
  <c r="V5" i="119"/>
  <c r="U5" i="119"/>
  <c r="V4" i="119"/>
  <c r="U4" i="119"/>
  <c r="Q4" i="119"/>
  <c r="H4" i="119"/>
  <c r="G4" i="119"/>
  <c r="F4" i="119"/>
  <c r="V3" i="119"/>
  <c r="U3" i="119"/>
  <c r="H3" i="119"/>
  <c r="G3" i="119"/>
  <c r="F3" i="119"/>
  <c r="V2" i="119"/>
  <c r="U2" i="119"/>
  <c r="H2" i="119"/>
  <c r="G2" i="119"/>
  <c r="F2" i="119"/>
  <c r="V1" i="119"/>
  <c r="U1" i="119"/>
  <c r="H1" i="119"/>
  <c r="G1" i="119"/>
  <c r="F1" i="119"/>
  <c r="F5" i="119" l="1"/>
  <c r="H5" i="119"/>
  <c r="I7" i="119"/>
  <c r="G5" i="119"/>
  <c r="U6" i="119"/>
  <c r="V6" i="119"/>
  <c r="K13" i="119"/>
  <c r="L24" i="119"/>
  <c r="L32" i="119"/>
  <c r="K35" i="119"/>
  <c r="L43" i="119"/>
  <c r="L51" i="119"/>
  <c r="L59" i="119"/>
  <c r="L67" i="119"/>
  <c r="L75" i="119"/>
  <c r="L83" i="119"/>
  <c r="L91" i="119"/>
  <c r="L16" i="119"/>
  <c r="K10" i="119"/>
  <c r="L13" i="119"/>
  <c r="K19" i="119"/>
  <c r="K27" i="119"/>
  <c r="L35" i="119"/>
  <c r="K38" i="119"/>
  <c r="K46" i="119"/>
  <c r="K54" i="119"/>
  <c r="K62" i="119"/>
  <c r="K70" i="119"/>
  <c r="K78" i="119"/>
  <c r="J78" i="119" s="1"/>
  <c r="M78" i="119" s="1"/>
  <c r="K86" i="119"/>
  <c r="J86" i="119" s="1"/>
  <c r="M86" i="119" s="1"/>
  <c r="K94" i="119"/>
  <c r="J94" i="119" s="1"/>
  <c r="M94" i="119" s="1"/>
  <c r="L10" i="119"/>
  <c r="L46" i="119"/>
  <c r="L54" i="119"/>
  <c r="L62" i="119"/>
  <c r="L70" i="119"/>
  <c r="L78" i="119"/>
  <c r="L86" i="119"/>
  <c r="L94" i="119"/>
  <c r="K57" i="119"/>
  <c r="K65" i="119"/>
  <c r="K73" i="119"/>
  <c r="K81" i="119"/>
  <c r="K89" i="119"/>
  <c r="J89" i="119" s="1"/>
  <c r="M89" i="119" s="1"/>
  <c r="K97" i="119"/>
  <c r="L27" i="119"/>
  <c r="L49" i="119"/>
  <c r="L65" i="119"/>
  <c r="L73" i="119"/>
  <c r="L89" i="119"/>
  <c r="L97" i="119"/>
  <c r="L22" i="119"/>
  <c r="L30" i="119"/>
  <c r="L41" i="119"/>
  <c r="L57" i="119"/>
  <c r="L81" i="119"/>
  <c r="K17" i="119"/>
  <c r="K36" i="119"/>
  <c r="K60" i="119"/>
  <c r="K68" i="119"/>
  <c r="J68" i="119" s="1"/>
  <c r="M68" i="119" s="1"/>
  <c r="K76" i="119"/>
  <c r="K84" i="119"/>
  <c r="K92" i="119"/>
  <c r="K11" i="119"/>
  <c r="L14" i="119"/>
  <c r="L17" i="119"/>
  <c r="L25" i="119"/>
  <c r="L33" i="119"/>
  <c r="L36" i="119"/>
  <c r="L44" i="119"/>
  <c r="L52" i="119"/>
  <c r="L60" i="119"/>
  <c r="L68" i="119"/>
  <c r="L76" i="119"/>
  <c r="L84" i="119"/>
  <c r="L92" i="119"/>
  <c r="K14" i="119"/>
  <c r="K25" i="119"/>
  <c r="K33" i="119"/>
  <c r="K44" i="119"/>
  <c r="K52" i="119"/>
  <c r="L11" i="119"/>
  <c r="K20" i="119"/>
  <c r="K28" i="119"/>
  <c r="K39" i="119"/>
  <c r="K47" i="119"/>
  <c r="K55" i="119"/>
  <c r="K63" i="119"/>
  <c r="K71" i="119"/>
  <c r="K79" i="119"/>
  <c r="K87" i="119"/>
  <c r="K95" i="119"/>
  <c r="K30" i="119"/>
  <c r="K49" i="119"/>
  <c r="L47" i="119"/>
  <c r="L55" i="119"/>
  <c r="L71" i="119"/>
  <c r="L95" i="119"/>
  <c r="K23" i="119"/>
  <c r="K31" i="119"/>
  <c r="K42" i="119"/>
  <c r="K50" i="119"/>
  <c r="K58" i="119"/>
  <c r="K66" i="119"/>
  <c r="K74" i="119"/>
  <c r="K82" i="119"/>
  <c r="K90" i="119"/>
  <c r="K98" i="119"/>
  <c r="K15" i="119"/>
  <c r="L23" i="119"/>
  <c r="L31" i="119"/>
  <c r="L42" i="119"/>
  <c r="L50" i="119"/>
  <c r="L58" i="119"/>
  <c r="L66" i="119"/>
  <c r="L74" i="119"/>
  <c r="L82" i="119"/>
  <c r="L90" i="119"/>
  <c r="L98" i="119"/>
  <c r="K41" i="119"/>
  <c r="L5" i="119"/>
  <c r="L63" i="119"/>
  <c r="L87" i="119"/>
  <c r="K12" i="119"/>
  <c r="L15" i="119"/>
  <c r="K18" i="119"/>
  <c r="K26" i="119"/>
  <c r="K34" i="119"/>
  <c r="K37" i="119"/>
  <c r="K45" i="119"/>
  <c r="K53" i="119"/>
  <c r="K61" i="119"/>
  <c r="K69" i="119"/>
  <c r="K77" i="119"/>
  <c r="K85" i="119"/>
  <c r="K93" i="119"/>
  <c r="L20" i="119"/>
  <c r="L28" i="119"/>
  <c r="L39" i="119"/>
  <c r="L79" i="119"/>
  <c r="K9" i="119"/>
  <c r="L12" i="119"/>
  <c r="L18" i="119"/>
  <c r="L26" i="119"/>
  <c r="L34" i="119"/>
  <c r="L37" i="119"/>
  <c r="L45" i="119"/>
  <c r="L53" i="119"/>
  <c r="L61" i="119"/>
  <c r="L69" i="119"/>
  <c r="L77" i="119"/>
  <c r="L85" i="119"/>
  <c r="L93" i="119"/>
  <c r="L9" i="119"/>
  <c r="K21" i="119"/>
  <c r="K29" i="119"/>
  <c r="K40" i="119"/>
  <c r="K48" i="119"/>
  <c r="K56" i="119"/>
  <c r="K64" i="119"/>
  <c r="K72" i="119"/>
  <c r="K80" i="119"/>
  <c r="K88" i="119"/>
  <c r="K96" i="119"/>
  <c r="L19" i="119"/>
  <c r="K22" i="119"/>
  <c r="R1" i="119"/>
  <c r="L21" i="119"/>
  <c r="L29" i="119"/>
  <c r="L40" i="119"/>
  <c r="L48" i="119"/>
  <c r="L56" i="119"/>
  <c r="L64" i="119"/>
  <c r="L72" i="119"/>
  <c r="L80" i="119"/>
  <c r="L88" i="119"/>
  <c r="L96" i="119"/>
  <c r="K99" i="119"/>
  <c r="J99" i="119" s="1"/>
  <c r="M99" i="119" s="1"/>
  <c r="L38" i="119"/>
  <c r="K16" i="119"/>
  <c r="K24" i="119"/>
  <c r="K32" i="119"/>
  <c r="K43" i="119"/>
  <c r="K51" i="119"/>
  <c r="K59" i="119"/>
  <c r="K67" i="119"/>
  <c r="K75" i="119"/>
  <c r="K83" i="119"/>
  <c r="K91" i="119"/>
  <c r="M32" i="114"/>
  <c r="M7" i="114"/>
  <c r="M19" i="114"/>
  <c r="M18" i="114" s="1"/>
  <c r="M20" i="114"/>
  <c r="M23" i="114"/>
  <c r="M28" i="114"/>
  <c r="J25" i="119" l="1"/>
  <c r="M25" i="119" s="1"/>
  <c r="J14" i="119"/>
  <c r="M14" i="119" s="1"/>
  <c r="J97" i="119"/>
  <c r="M97" i="119" s="1"/>
  <c r="M48" i="114"/>
  <c r="J17" i="119"/>
  <c r="M17" i="119" s="1"/>
  <c r="J76" i="119"/>
  <c r="M76" i="119" s="1"/>
  <c r="J16" i="119"/>
  <c r="M16" i="119" s="1"/>
  <c r="J70" i="119"/>
  <c r="M70" i="119" s="1"/>
  <c r="J82" i="119"/>
  <c r="M82" i="119" s="1"/>
  <c r="J74" i="119"/>
  <c r="M74" i="119" s="1"/>
  <c r="J41" i="119"/>
  <c r="M41" i="119" s="1"/>
  <c r="J13" i="119"/>
  <c r="M13" i="119" s="1"/>
  <c r="M66" i="114"/>
  <c r="M31" i="114" s="1"/>
  <c r="J84" i="119"/>
  <c r="M84" i="119" s="1"/>
  <c r="J47" i="119"/>
  <c r="M47" i="119" s="1"/>
  <c r="J60" i="119"/>
  <c r="M60" i="119" s="1"/>
  <c r="J88" i="119"/>
  <c r="M88" i="119" s="1"/>
  <c r="J36" i="119"/>
  <c r="M36" i="119" s="1"/>
  <c r="J62" i="119"/>
  <c r="M62" i="119" s="1"/>
  <c r="J58" i="119"/>
  <c r="M58" i="119" s="1"/>
  <c r="J35" i="119"/>
  <c r="M35" i="119" s="1"/>
  <c r="J96" i="119"/>
  <c r="M96" i="119" s="1"/>
  <c r="J93" i="119"/>
  <c r="M93" i="119" s="1"/>
  <c r="J55" i="119"/>
  <c r="M55" i="119" s="1"/>
  <c r="J23" i="119"/>
  <c r="M23" i="119" s="1"/>
  <c r="J87" i="119"/>
  <c r="M87" i="119" s="1"/>
  <c r="J66" i="119"/>
  <c r="M66" i="119" s="1"/>
  <c r="J63" i="119"/>
  <c r="M63" i="119" s="1"/>
  <c r="J40" i="119"/>
  <c r="M40" i="119" s="1"/>
  <c r="J11" i="119"/>
  <c r="M11" i="119" s="1"/>
  <c r="J72" i="119"/>
  <c r="M72" i="119" s="1"/>
  <c r="J53" i="119"/>
  <c r="M53" i="119" s="1"/>
  <c r="J37" i="119"/>
  <c r="M37" i="119" s="1"/>
  <c r="J61" i="119"/>
  <c r="M61" i="119" s="1"/>
  <c r="J34" i="119"/>
  <c r="M34" i="119" s="1"/>
  <c r="J45" i="119"/>
  <c r="M45" i="119" s="1"/>
  <c r="J29" i="119"/>
  <c r="M29" i="119" s="1"/>
  <c r="J43" i="119"/>
  <c r="M43" i="119" s="1"/>
  <c r="J21" i="119"/>
  <c r="M21" i="119" s="1"/>
  <c r="J30" i="119"/>
  <c r="M30" i="119" s="1"/>
  <c r="J44" i="119"/>
  <c r="M44" i="119" s="1"/>
  <c r="J24" i="119"/>
  <c r="M24" i="119" s="1"/>
  <c r="J90" i="119"/>
  <c r="M90" i="119" s="1"/>
  <c r="J33" i="119"/>
  <c r="M33" i="119" s="1"/>
  <c r="J92" i="119"/>
  <c r="M92" i="119" s="1"/>
  <c r="J80" i="119"/>
  <c r="M80" i="119" s="1"/>
  <c r="L7" i="119"/>
  <c r="J91" i="119"/>
  <c r="M91" i="119" s="1"/>
  <c r="J39" i="119"/>
  <c r="M39" i="119" s="1"/>
  <c r="J81" i="119"/>
  <c r="M81" i="119" s="1"/>
  <c r="J73" i="119"/>
  <c r="M73" i="119" s="1"/>
  <c r="J54" i="119"/>
  <c r="M54" i="119" s="1"/>
  <c r="J75" i="119"/>
  <c r="M75" i="119" s="1"/>
  <c r="J26" i="119"/>
  <c r="M26" i="119" s="1"/>
  <c r="J95" i="119"/>
  <c r="M95" i="119" s="1"/>
  <c r="J65" i="119"/>
  <c r="M65" i="119" s="1"/>
  <c r="J46" i="119"/>
  <c r="M46" i="119" s="1"/>
  <c r="J9" i="119"/>
  <c r="K7" i="119"/>
  <c r="J83" i="119"/>
  <c r="M83" i="119" s="1"/>
  <c r="J67" i="119"/>
  <c r="M67" i="119" s="1"/>
  <c r="J64" i="119"/>
  <c r="M64" i="119" s="1"/>
  <c r="J85" i="119"/>
  <c r="M85" i="119" s="1"/>
  <c r="J50" i="119"/>
  <c r="M50" i="119" s="1"/>
  <c r="J28" i="119"/>
  <c r="M28" i="119" s="1"/>
  <c r="J57" i="119"/>
  <c r="M57" i="119" s="1"/>
  <c r="J38" i="119"/>
  <c r="M38" i="119" s="1"/>
  <c r="J18" i="119"/>
  <c r="M18" i="119" s="1"/>
  <c r="J51" i="119"/>
  <c r="M51" i="119" s="1"/>
  <c r="J77" i="119"/>
  <c r="M77" i="119" s="1"/>
  <c r="J15" i="119"/>
  <c r="M15" i="119" s="1"/>
  <c r="J42" i="119"/>
  <c r="M42" i="119" s="1"/>
  <c r="J20" i="119"/>
  <c r="M20" i="119" s="1"/>
  <c r="J27" i="119"/>
  <c r="M27" i="119" s="1"/>
  <c r="J49" i="119"/>
  <c r="M49" i="119" s="1"/>
  <c r="J59" i="119"/>
  <c r="M59" i="119" s="1"/>
  <c r="J12" i="119"/>
  <c r="M12" i="119" s="1"/>
  <c r="J79" i="119"/>
  <c r="M79" i="119" s="1"/>
  <c r="J19" i="119"/>
  <c r="M19" i="119" s="1"/>
  <c r="J56" i="119"/>
  <c r="M56" i="119" s="1"/>
  <c r="J32" i="119"/>
  <c r="M32" i="119" s="1"/>
  <c r="J48" i="119"/>
  <c r="M48" i="119" s="1"/>
  <c r="J69" i="119"/>
  <c r="M69" i="119" s="1"/>
  <c r="J98" i="119"/>
  <c r="M98" i="119" s="1"/>
  <c r="J31" i="119"/>
  <c r="M31" i="119" s="1"/>
  <c r="J22" i="119"/>
  <c r="M22" i="119" s="1"/>
  <c r="J71" i="119"/>
  <c r="M71" i="119" s="1"/>
  <c r="J52" i="119"/>
  <c r="M52" i="119" s="1"/>
  <c r="J10" i="119"/>
  <c r="M10" i="119" s="1"/>
  <c r="M9" i="114"/>
  <c r="S9" i="114" s="1"/>
  <c r="M15" i="114"/>
  <c r="S15" i="114" s="1"/>
  <c r="M14" i="114"/>
  <c r="S14" i="114" s="1"/>
  <c r="M8" i="114" l="1"/>
  <c r="S8" i="114" s="1"/>
  <c r="J7" i="119"/>
  <c r="R3" i="119" s="1"/>
  <c r="M9" i="119"/>
  <c r="M7" i="119" s="1"/>
  <c r="M10" i="114"/>
  <c r="S10" i="114" s="1"/>
  <c r="M13" i="114"/>
  <c r="S13" i="114" s="1"/>
  <c r="M12" i="114"/>
  <c r="S12" i="114" s="1"/>
  <c r="S3" i="119" l="1"/>
  <c r="R4" i="119"/>
  <c r="Q6" i="119" s="1"/>
  <c r="M16" i="114"/>
  <c r="S16" i="114" s="1"/>
  <c r="M6" i="114"/>
  <c r="M29" i="114" s="1"/>
  <c r="M11" i="114"/>
  <c r="S11" i="114" s="1"/>
  <c r="P82" i="114"/>
  <c r="O82" i="114"/>
  <c r="C35" i="117"/>
  <c r="C11" i="117"/>
  <c r="C6" i="117"/>
  <c r="E67" i="117"/>
  <c r="F66" i="117"/>
  <c r="E65" i="117"/>
  <c r="E64" i="117"/>
  <c r="E63" i="117"/>
  <c r="E62" i="117"/>
  <c r="F61" i="117"/>
  <c r="F59" i="117"/>
  <c r="F58" i="117"/>
  <c r="F57" i="117"/>
  <c r="F56" i="117"/>
  <c r="F55" i="117"/>
  <c r="F52" i="117"/>
  <c r="E52" i="117"/>
  <c r="F51" i="117"/>
  <c r="F50" i="117"/>
  <c r="F49" i="117"/>
  <c r="F46" i="117"/>
  <c r="E45" i="117"/>
  <c r="F44" i="117"/>
  <c r="E43" i="117"/>
  <c r="F42" i="117"/>
  <c r="E40" i="117"/>
  <c r="E39" i="117"/>
  <c r="F34" i="117"/>
  <c r="E34" i="117"/>
  <c r="F33" i="117"/>
  <c r="E32" i="117"/>
  <c r="F28" i="117"/>
  <c r="F26" i="117"/>
  <c r="F25" i="117"/>
  <c r="F24" i="117"/>
  <c r="F15" i="117"/>
  <c r="F14" i="117"/>
  <c r="F13" i="117"/>
  <c r="E12" i="117"/>
  <c r="D11" i="117"/>
  <c r="E10" i="117"/>
  <c r="F9" i="117"/>
  <c r="F8" i="117"/>
  <c r="F7" i="117"/>
  <c r="D6" i="117"/>
  <c r="M81" i="114" l="1"/>
  <c r="M82" i="114" s="1"/>
  <c r="M30" i="114"/>
  <c r="E26" i="117"/>
  <c r="F12" i="117"/>
  <c r="E11" i="117"/>
  <c r="E13" i="117"/>
  <c r="E15" i="117"/>
  <c r="D16" i="117"/>
  <c r="D17" i="117" s="1"/>
  <c r="F10" i="117"/>
  <c r="E7" i="117"/>
  <c r="E8" i="117"/>
  <c r="E9" i="117"/>
  <c r="F63" i="117"/>
  <c r="D53" i="117"/>
  <c r="F64" i="117"/>
  <c r="F67" i="117"/>
  <c r="E57" i="117"/>
  <c r="F62" i="117"/>
  <c r="E56" i="117"/>
  <c r="E54" i="117"/>
  <c r="E58" i="117"/>
  <c r="E59" i="117"/>
  <c r="F60" i="117"/>
  <c r="E46" i="117"/>
  <c r="D35" i="117"/>
  <c r="F35" i="117" s="1"/>
  <c r="F47" i="117"/>
  <c r="F40" i="117"/>
  <c r="E51" i="117"/>
  <c r="E42" i="117"/>
  <c r="F48" i="117"/>
  <c r="F37" i="117"/>
  <c r="F39" i="117"/>
  <c r="E38" i="117"/>
  <c r="F41" i="117"/>
  <c r="F45" i="117"/>
  <c r="F43" i="117"/>
  <c r="D19" i="117"/>
  <c r="E31" i="117"/>
  <c r="E24" i="117"/>
  <c r="E20" i="117"/>
  <c r="F21" i="117"/>
  <c r="E29" i="117"/>
  <c r="E25" i="117"/>
  <c r="F22" i="117"/>
  <c r="F30" i="117"/>
  <c r="F23" i="117"/>
  <c r="F27" i="117"/>
  <c r="E60" i="117"/>
  <c r="E47" i="117"/>
  <c r="E41" i="117"/>
  <c r="F29" i="117"/>
  <c r="E22" i="117"/>
  <c r="E23" i="117"/>
  <c r="F31" i="117"/>
  <c r="E30" i="117"/>
  <c r="C16" i="117"/>
  <c r="C17" i="117" s="1"/>
  <c r="C19" i="117"/>
  <c r="F20" i="117"/>
  <c r="F11" i="117"/>
  <c r="E37" i="117"/>
  <c r="E48" i="117"/>
  <c r="E36" i="117"/>
  <c r="E27" i="117"/>
  <c r="F32" i="117"/>
  <c r="F38" i="117"/>
  <c r="E49" i="117"/>
  <c r="F65" i="117"/>
  <c r="F36" i="117"/>
  <c r="E21" i="117"/>
  <c r="E44" i="117"/>
  <c r="E55" i="117"/>
  <c r="E6" i="117"/>
  <c r="F54" i="117"/>
  <c r="E14" i="117"/>
  <c r="E33" i="117"/>
  <c r="E66" i="117"/>
  <c r="E28" i="117"/>
  <c r="E50" i="117"/>
  <c r="E61" i="117"/>
  <c r="C53" i="117"/>
  <c r="F6" i="117"/>
  <c r="F16" i="117" l="1"/>
  <c r="E16" i="117"/>
  <c r="F19" i="117"/>
  <c r="E19" i="117"/>
  <c r="D18" i="117"/>
  <c r="D68" i="117" s="1"/>
  <c r="D69" i="117" s="1"/>
  <c r="E35" i="117"/>
  <c r="E53" i="117"/>
  <c r="F53" i="117"/>
  <c r="C18" i="117"/>
  <c r="C68" i="117" s="1"/>
  <c r="C69" i="117" s="1"/>
  <c r="E17" i="117" l="1"/>
  <c r="F68" i="117"/>
  <c r="E68" i="117"/>
  <c r="F18" i="117"/>
  <c r="E18" i="117"/>
  <c r="F7" i="112" l="1"/>
  <c r="F28" i="112"/>
  <c r="F33" i="112"/>
  <c r="F34" i="112"/>
  <c r="F35" i="112"/>
  <c r="F36" i="112"/>
  <c r="F38" i="112"/>
  <c r="F40" i="112"/>
  <c r="F41" i="112"/>
  <c r="F42" i="112"/>
  <c r="F43" i="112"/>
  <c r="F44" i="112"/>
  <c r="F46" i="112"/>
  <c r="F49" i="112"/>
  <c r="F51" i="112"/>
  <c r="F52" i="112"/>
  <c r="F53" i="112"/>
  <c r="F55" i="112"/>
  <c r="F58" i="112"/>
  <c r="F59" i="112"/>
  <c r="F60" i="112"/>
  <c r="F61" i="112"/>
  <c r="F64" i="112"/>
  <c r="F68" i="112"/>
  <c r="F69" i="112"/>
  <c r="F70" i="112"/>
  <c r="F72" i="112"/>
  <c r="F75" i="112"/>
  <c r="F76" i="112"/>
  <c r="F77" i="112"/>
  <c r="F78" i="112"/>
  <c r="F79" i="112"/>
  <c r="F52" i="116"/>
  <c r="F34" i="116"/>
  <c r="E52" i="116"/>
  <c r="E34" i="116"/>
  <c r="D19" i="116"/>
  <c r="D11" i="116"/>
  <c r="F20" i="114"/>
  <c r="G20" i="114"/>
  <c r="H20" i="114"/>
  <c r="I20" i="114"/>
  <c r="I18" i="114" s="1"/>
  <c r="J20" i="114"/>
  <c r="K20" i="114"/>
  <c r="L20" i="114"/>
  <c r="E20" i="114"/>
  <c r="F28" i="114"/>
  <c r="G28" i="114"/>
  <c r="H28" i="114"/>
  <c r="I28" i="114"/>
  <c r="J28" i="114"/>
  <c r="K28" i="114"/>
  <c r="L28" i="114"/>
  <c r="E28" i="114"/>
  <c r="F23" i="114"/>
  <c r="G23" i="114"/>
  <c r="H23" i="114"/>
  <c r="I23" i="114"/>
  <c r="J23" i="114"/>
  <c r="J18" i="114" s="1"/>
  <c r="K23" i="114"/>
  <c r="L23" i="114"/>
  <c r="E23" i="114"/>
  <c r="F19" i="114"/>
  <c r="F18" i="114" s="1"/>
  <c r="G19" i="114"/>
  <c r="H19" i="114"/>
  <c r="I19" i="114"/>
  <c r="J19" i="114"/>
  <c r="K19" i="114"/>
  <c r="L19" i="114"/>
  <c r="E19" i="114"/>
  <c r="F7" i="114"/>
  <c r="G7" i="114"/>
  <c r="H7" i="114"/>
  <c r="I7" i="114"/>
  <c r="J7" i="114"/>
  <c r="K7" i="114"/>
  <c r="L7" i="114"/>
  <c r="E7" i="114"/>
  <c r="L66" i="114"/>
  <c r="K66" i="114"/>
  <c r="J66" i="114"/>
  <c r="I66" i="114"/>
  <c r="H66" i="114"/>
  <c r="G66" i="114"/>
  <c r="F66" i="114"/>
  <c r="E66" i="114"/>
  <c r="C56" i="114"/>
  <c r="L48" i="114"/>
  <c r="K48" i="114"/>
  <c r="J48" i="114"/>
  <c r="H48" i="114"/>
  <c r="G48" i="114"/>
  <c r="F48" i="114"/>
  <c r="E48" i="114"/>
  <c r="C37" i="114"/>
  <c r="L32" i="114"/>
  <c r="K32" i="114"/>
  <c r="J32" i="114"/>
  <c r="I32" i="114"/>
  <c r="H32" i="114"/>
  <c r="G32" i="114"/>
  <c r="F32" i="114"/>
  <c r="E32" i="114"/>
  <c r="C80" i="114"/>
  <c r="C79" i="114"/>
  <c r="C78" i="114"/>
  <c r="C77" i="114"/>
  <c r="C76" i="114"/>
  <c r="C75" i="114"/>
  <c r="C74" i="114"/>
  <c r="C73" i="114"/>
  <c r="C72" i="114"/>
  <c r="C71" i="114"/>
  <c r="C70" i="114"/>
  <c r="C69" i="114"/>
  <c r="C68" i="114"/>
  <c r="C67" i="114"/>
  <c r="C64" i="114"/>
  <c r="C63" i="114"/>
  <c r="C62" i="114"/>
  <c r="C61" i="114"/>
  <c r="C60" i="114"/>
  <c r="C59" i="114"/>
  <c r="C58" i="114"/>
  <c r="C57" i="114"/>
  <c r="C55" i="114"/>
  <c r="C54" i="114"/>
  <c r="C53" i="114"/>
  <c r="C52" i="114"/>
  <c r="C51" i="114"/>
  <c r="C50" i="114"/>
  <c r="C49" i="114"/>
  <c r="C46" i="114"/>
  <c r="C45" i="114"/>
  <c r="C44" i="114"/>
  <c r="C43" i="114"/>
  <c r="C42" i="114"/>
  <c r="C41" i="114"/>
  <c r="C40" i="114"/>
  <c r="C39" i="114"/>
  <c r="C38" i="114"/>
  <c r="C36" i="114"/>
  <c r="C35" i="114"/>
  <c r="C34" i="114"/>
  <c r="C33" i="114"/>
  <c r="C27" i="114"/>
  <c r="C26" i="114"/>
  <c r="C25" i="114"/>
  <c r="C24" i="114"/>
  <c r="C22" i="114"/>
  <c r="C21" i="114"/>
  <c r="F65" i="112"/>
  <c r="F47" i="112"/>
  <c r="F20" i="112"/>
  <c r="F17" i="112"/>
  <c r="F16" i="112"/>
  <c r="F15" i="112"/>
  <c r="F14" i="112"/>
  <c r="F13" i="112"/>
  <c r="F10" i="112"/>
  <c r="F9" i="112"/>
  <c r="F80" i="112"/>
  <c r="F74" i="112"/>
  <c r="F73" i="112"/>
  <c r="F71" i="112"/>
  <c r="F67" i="112"/>
  <c r="F63" i="112"/>
  <c r="F62" i="112"/>
  <c r="F57" i="112"/>
  <c r="F56" i="112"/>
  <c r="F54" i="112"/>
  <c r="F45" i="112"/>
  <c r="F39" i="112"/>
  <c r="F37" i="112"/>
  <c r="F23" i="112"/>
  <c r="F12" i="112"/>
  <c r="F8" i="112"/>
  <c r="C27" i="110"/>
  <c r="C26" i="110"/>
  <c r="C25" i="110"/>
  <c r="C24" i="110"/>
  <c r="C22" i="110"/>
  <c r="C21" i="110"/>
  <c r="C17" i="110"/>
  <c r="C16" i="110"/>
  <c r="C15" i="110"/>
  <c r="C14" i="110"/>
  <c r="C13" i="110"/>
  <c r="C10" i="110"/>
  <c r="C9" i="110"/>
  <c r="P18" i="110"/>
  <c r="F8" i="110"/>
  <c r="G8" i="110"/>
  <c r="H8" i="110"/>
  <c r="I8" i="110"/>
  <c r="J8" i="110"/>
  <c r="K8" i="110"/>
  <c r="L8" i="110"/>
  <c r="M8" i="110"/>
  <c r="N8" i="110"/>
  <c r="O8" i="110"/>
  <c r="O6" i="110" s="1"/>
  <c r="P8" i="110"/>
  <c r="E8" i="110"/>
  <c r="K18" i="114" l="1"/>
  <c r="E18" i="114"/>
  <c r="L18" i="114"/>
  <c r="C23" i="110"/>
  <c r="C12" i="110"/>
  <c r="E6" i="110"/>
  <c r="C8" i="110"/>
  <c r="G18" i="114"/>
  <c r="O18" i="110"/>
  <c r="O29" i="110" s="1"/>
  <c r="C19" i="110"/>
  <c r="I18" i="110"/>
  <c r="F18" i="110"/>
  <c r="G18" i="110"/>
  <c r="H18" i="110"/>
  <c r="L18" i="110"/>
  <c r="M18" i="110"/>
  <c r="C28" i="110"/>
  <c r="N18" i="110"/>
  <c r="C20" i="110"/>
  <c r="J18" i="110"/>
  <c r="K18" i="110"/>
  <c r="J31" i="114"/>
  <c r="K31" i="114"/>
  <c r="C28" i="114"/>
  <c r="C19" i="114"/>
  <c r="C7" i="114"/>
  <c r="C20" i="114"/>
  <c r="I48" i="114"/>
  <c r="I31" i="114" s="1"/>
  <c r="D6" i="116"/>
  <c r="D16" i="116" s="1"/>
  <c r="D17" i="116" s="1"/>
  <c r="D53" i="116"/>
  <c r="D35" i="116"/>
  <c r="F50" i="112"/>
  <c r="F19" i="112"/>
  <c r="L31" i="114"/>
  <c r="C23" i="114"/>
  <c r="F6" i="112"/>
  <c r="C66" i="114"/>
  <c r="E31" i="114"/>
  <c r="F31" i="114"/>
  <c r="G31" i="114"/>
  <c r="H31" i="114"/>
  <c r="H18" i="114"/>
  <c r="C32" i="114"/>
  <c r="F48" i="112"/>
  <c r="E18" i="110"/>
  <c r="J6" i="110"/>
  <c r="L6" i="110"/>
  <c r="P6" i="110"/>
  <c r="N6" i="110"/>
  <c r="M6" i="110"/>
  <c r="K6" i="110"/>
  <c r="I6" i="110"/>
  <c r="H6" i="110"/>
  <c r="G6" i="110"/>
  <c r="F6" i="110"/>
  <c r="C51" i="110"/>
  <c r="C77" i="110"/>
  <c r="C40" i="110"/>
  <c r="N48" i="110"/>
  <c r="O66" i="110"/>
  <c r="I32" i="110"/>
  <c r="C50" i="110"/>
  <c r="I48" i="110"/>
  <c r="C54" i="110"/>
  <c r="C34" i="110"/>
  <c r="K32" i="110"/>
  <c r="L32" i="110"/>
  <c r="P32" i="110"/>
  <c r="H32" i="110"/>
  <c r="M32" i="110"/>
  <c r="C74" i="110"/>
  <c r="C57" i="110"/>
  <c r="L66" i="110"/>
  <c r="C55" i="110"/>
  <c r="C35" i="110"/>
  <c r="C39" i="110"/>
  <c r="C58" i="110"/>
  <c r="C62" i="110"/>
  <c r="C78" i="110"/>
  <c r="O32" i="110"/>
  <c r="C43" i="110"/>
  <c r="G32" i="110"/>
  <c r="F66" i="110"/>
  <c r="C76" i="110"/>
  <c r="C80" i="110"/>
  <c r="C44" i="110"/>
  <c r="F48" i="110"/>
  <c r="G48" i="110"/>
  <c r="C53" i="110"/>
  <c r="F32" i="110"/>
  <c r="C42" i="110"/>
  <c r="C46" i="110"/>
  <c r="K48" i="110"/>
  <c r="C67" i="110"/>
  <c r="C71" i="110"/>
  <c r="C72" i="110"/>
  <c r="M48" i="110"/>
  <c r="H48" i="110"/>
  <c r="C75" i="110"/>
  <c r="C79" i="110"/>
  <c r="C33" i="110"/>
  <c r="J48" i="110"/>
  <c r="C52" i="110"/>
  <c r="C56" i="110"/>
  <c r="C37" i="110"/>
  <c r="C38" i="110"/>
  <c r="O48" i="110"/>
  <c r="C60" i="110"/>
  <c r="G66" i="110"/>
  <c r="C41" i="110"/>
  <c r="C45" i="110"/>
  <c r="L48" i="110"/>
  <c r="I66" i="110"/>
  <c r="C68" i="110"/>
  <c r="C61" i="110"/>
  <c r="J66" i="110"/>
  <c r="C70" i="110"/>
  <c r="N66" i="110"/>
  <c r="K66" i="110"/>
  <c r="J32" i="110"/>
  <c r="C59" i="110"/>
  <c r="C63" i="110"/>
  <c r="C64" i="110"/>
  <c r="P66" i="110"/>
  <c r="H66" i="110"/>
  <c r="C36" i="110"/>
  <c r="N32" i="110"/>
  <c r="P48" i="110"/>
  <c r="M66" i="110"/>
  <c r="C69" i="110"/>
  <c r="C73" i="110"/>
  <c r="C49" i="110"/>
  <c r="E32" i="110"/>
  <c r="E66" i="110"/>
  <c r="C7" i="110"/>
  <c r="E48" i="110"/>
  <c r="C48" i="114" l="1"/>
  <c r="C18" i="114"/>
  <c r="C18" i="110"/>
  <c r="D18" i="116"/>
  <c r="F32" i="112"/>
  <c r="F29" i="112"/>
  <c r="F31" i="112"/>
  <c r="F66" i="112"/>
  <c r="F18" i="112"/>
  <c r="C31" i="114"/>
  <c r="H29" i="110"/>
  <c r="H30" i="110" s="1"/>
  <c r="P31" i="110"/>
  <c r="F31" i="110"/>
  <c r="N29" i="110"/>
  <c r="N30" i="110" s="1"/>
  <c r="J29" i="110"/>
  <c r="G31" i="110"/>
  <c r="M29" i="110"/>
  <c r="M30" i="110" s="1"/>
  <c r="P29" i="110"/>
  <c r="P30" i="110" s="1"/>
  <c r="O31" i="110"/>
  <c r="O81" i="110" s="1"/>
  <c r="O82" i="110" s="1"/>
  <c r="N31" i="110"/>
  <c r="K31" i="110"/>
  <c r="L31" i="110"/>
  <c r="H31" i="110"/>
  <c r="I29" i="110"/>
  <c r="I30" i="110" s="1"/>
  <c r="I31" i="110"/>
  <c r="K29" i="110"/>
  <c r="K30" i="110" s="1"/>
  <c r="M31" i="110"/>
  <c r="E29" i="110"/>
  <c r="L29" i="110"/>
  <c r="L30" i="110" s="1"/>
  <c r="C66" i="110"/>
  <c r="C6" i="110"/>
  <c r="J31" i="110"/>
  <c r="F29" i="110"/>
  <c r="F30" i="110" s="1"/>
  <c r="C48" i="110"/>
  <c r="G29" i="110"/>
  <c r="E31" i="110"/>
  <c r="C32" i="110"/>
  <c r="O30" i="110"/>
  <c r="D68" i="116" l="1"/>
  <c r="D69" i="116" s="1"/>
  <c r="E30" i="110"/>
  <c r="C29" i="110"/>
  <c r="C30" i="110" s="1"/>
  <c r="F81" i="112"/>
  <c r="F30" i="112"/>
  <c r="H81" i="110"/>
  <c r="H82" i="110" s="1"/>
  <c r="J81" i="110"/>
  <c r="J82" i="110" s="1"/>
  <c r="J30" i="110"/>
  <c r="I81" i="110"/>
  <c r="I82" i="110" s="1"/>
  <c r="M81" i="110"/>
  <c r="M82" i="110" s="1"/>
  <c r="C31" i="110"/>
  <c r="K81" i="110"/>
  <c r="K82" i="110" s="1"/>
  <c r="P81" i="110"/>
  <c r="P82" i="110" s="1"/>
  <c r="N81" i="110"/>
  <c r="N82" i="110" s="1"/>
  <c r="L81" i="110"/>
  <c r="L82" i="110" s="1"/>
  <c r="G30" i="110"/>
  <c r="G81" i="110"/>
  <c r="G82" i="110" s="1"/>
  <c r="F81" i="110"/>
  <c r="F82" i="110" s="1"/>
  <c r="E81" i="110"/>
  <c r="E82" i="110" s="1"/>
  <c r="C81" i="110" l="1"/>
  <c r="C82" i="110" s="1"/>
  <c r="L15" i="114" l="1"/>
  <c r="L14" i="114"/>
  <c r="L8" i="114" l="1"/>
  <c r="L9" i="114"/>
  <c r="L10" i="114"/>
  <c r="L13" i="114"/>
  <c r="L12" i="114"/>
  <c r="L11" i="114" l="1"/>
  <c r="L6" i="114"/>
  <c r="L29" i="114" s="1"/>
  <c r="L16" i="114"/>
  <c r="L30" i="114" l="1"/>
  <c r="L81" i="114"/>
  <c r="L82" i="114" s="1"/>
  <c r="I8" i="114" l="1"/>
  <c r="I15" i="114"/>
  <c r="I14" i="114"/>
  <c r="H8" i="114"/>
  <c r="H15" i="114"/>
  <c r="H14" i="114"/>
  <c r="G9" i="114"/>
  <c r="G8" i="114"/>
  <c r="G15" i="114"/>
  <c r="G14" i="114"/>
  <c r="F9" i="114"/>
  <c r="F8" i="114"/>
  <c r="F15" i="114"/>
  <c r="F14" i="114"/>
  <c r="E9" i="114"/>
  <c r="E8" i="114"/>
  <c r="E3" i="114" s="1"/>
  <c r="E1" i="114" s="1"/>
  <c r="E14" i="114"/>
  <c r="E15" i="114"/>
  <c r="F3" i="114" l="1"/>
  <c r="F1" i="114" s="1"/>
  <c r="I9" i="114"/>
  <c r="H9" i="114"/>
  <c r="H12" i="114"/>
  <c r="H13" i="114"/>
  <c r="G12" i="114"/>
  <c r="G13" i="114"/>
  <c r="F10" i="114"/>
  <c r="E10" i="114"/>
  <c r="E13" i="114"/>
  <c r="E12" i="114"/>
  <c r="F12" i="114"/>
  <c r="F13" i="114"/>
  <c r="I10" i="114"/>
  <c r="I13" i="114"/>
  <c r="I12" i="114"/>
  <c r="G10" i="114"/>
  <c r="H10" i="114"/>
  <c r="I16" i="114" l="1"/>
  <c r="F16" i="114"/>
  <c r="F6" i="114"/>
  <c r="F29" i="114" s="1"/>
  <c r="F11" i="114"/>
  <c r="G6" i="114"/>
  <c r="G29" i="114" s="1"/>
  <c r="G11" i="114"/>
  <c r="I11" i="114"/>
  <c r="I6" i="114"/>
  <c r="I29" i="114" s="1"/>
  <c r="G16" i="114"/>
  <c r="E11" i="114"/>
  <c r="E6" i="114"/>
  <c r="E29" i="114" s="1"/>
  <c r="H11" i="114"/>
  <c r="H6" i="114"/>
  <c r="H29" i="114" s="1"/>
  <c r="H16" i="114"/>
  <c r="E16" i="114"/>
  <c r="I81" i="114" l="1"/>
  <c r="I82" i="114" s="1"/>
  <c r="I30" i="114"/>
  <c r="E30" i="114"/>
  <c r="E81" i="114"/>
  <c r="E82" i="114" s="1"/>
  <c r="G30" i="114"/>
  <c r="G81" i="114"/>
  <c r="G82" i="114" s="1"/>
  <c r="H81" i="114"/>
  <c r="H82" i="114" s="1"/>
  <c r="H30" i="114"/>
  <c r="F30" i="114"/>
  <c r="F81" i="114"/>
  <c r="F82" i="114" s="1"/>
  <c r="L7" i="28"/>
  <c r="L8" i="28"/>
  <c r="L9" i="28"/>
  <c r="L10" i="28"/>
  <c r="K8" i="114" l="1"/>
  <c r="K9" i="114" l="1"/>
  <c r="K12" i="114"/>
  <c r="K13" i="114"/>
  <c r="K14" i="114"/>
  <c r="K15" i="114"/>
  <c r="K10" i="114"/>
  <c r="K11" i="114" l="1"/>
  <c r="K6" i="114"/>
  <c r="K16" i="114"/>
  <c r="K29" i="114" l="1"/>
  <c r="K30" i="114" l="1"/>
  <c r="K81" i="114"/>
  <c r="K82" i="114" l="1"/>
  <c r="F67" i="28" l="1"/>
  <c r="F66" i="28"/>
  <c r="F65" i="28"/>
  <c r="F64" i="28"/>
  <c r="F63" i="28"/>
  <c r="F62" i="28"/>
  <c r="F61" i="28"/>
  <c r="F60" i="28"/>
  <c r="F59" i="28"/>
  <c r="F58" i="28"/>
  <c r="F57" i="28"/>
  <c r="F56" i="28"/>
  <c r="F55" i="28"/>
  <c r="F54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5" i="28"/>
  <c r="F14" i="28"/>
  <c r="F13" i="28"/>
  <c r="F12" i="28"/>
  <c r="F10" i="28"/>
  <c r="F9" i="28"/>
  <c r="F8" i="28"/>
  <c r="F7" i="28"/>
  <c r="C24" i="27"/>
  <c r="P35" i="27"/>
  <c r="E40" i="116" l="1"/>
  <c r="F40" i="116"/>
  <c r="F10" i="116"/>
  <c r="E10" i="116"/>
  <c r="C6" i="116"/>
  <c r="F7" i="116"/>
  <c r="E7" i="116"/>
  <c r="F13" i="116"/>
  <c r="E13" i="116"/>
  <c r="E15" i="116"/>
  <c r="F15" i="116"/>
  <c r="F14" i="116"/>
  <c r="E14" i="116"/>
  <c r="E8" i="116"/>
  <c r="F8" i="116"/>
  <c r="C11" i="116"/>
  <c r="F12" i="116"/>
  <c r="E12" i="116"/>
  <c r="E9" i="116"/>
  <c r="F9" i="116"/>
  <c r="E40" i="28"/>
  <c r="E10" i="28"/>
  <c r="E12" i="28"/>
  <c r="E14" i="28"/>
  <c r="E15" i="28"/>
  <c r="E8" i="28"/>
  <c r="E7" i="28"/>
  <c r="E9" i="28"/>
  <c r="E13" i="28"/>
  <c r="G6" i="30"/>
  <c r="O6" i="30"/>
  <c r="C10" i="30"/>
  <c r="H11" i="30"/>
  <c r="L6" i="30"/>
  <c r="P11" i="30"/>
  <c r="K6" i="30"/>
  <c r="G11" i="30"/>
  <c r="O11" i="30"/>
  <c r="C40" i="30"/>
  <c r="C15" i="30"/>
  <c r="P6" i="30"/>
  <c r="H6" i="30"/>
  <c r="L11" i="30"/>
  <c r="C8" i="30"/>
  <c r="C12" i="30"/>
  <c r="C14" i="30"/>
  <c r="C7" i="30"/>
  <c r="C9" i="30"/>
  <c r="M6" i="30"/>
  <c r="C13" i="30"/>
  <c r="M11" i="30"/>
  <c r="I11" i="30"/>
  <c r="J6" i="30"/>
  <c r="F6" i="30"/>
  <c r="N6" i="30"/>
  <c r="J11" i="30"/>
  <c r="F11" i="30"/>
  <c r="N11" i="30"/>
  <c r="K11" i="30"/>
  <c r="E11" i="30"/>
  <c r="I6" i="30"/>
  <c r="E6" i="30"/>
  <c r="C16" i="116" l="1"/>
  <c r="C17" i="116" s="1"/>
  <c r="F6" i="116"/>
  <c r="E6" i="116"/>
  <c r="J15" i="114"/>
  <c r="F11" i="116"/>
  <c r="E11" i="116"/>
  <c r="L16" i="30"/>
  <c r="L17" i="30" s="1"/>
  <c r="G16" i="30"/>
  <c r="G17" i="30" s="1"/>
  <c r="H16" i="30"/>
  <c r="H17" i="30" s="1"/>
  <c r="O16" i="30"/>
  <c r="O17" i="30" s="1"/>
  <c r="K16" i="30"/>
  <c r="K17" i="30" s="1"/>
  <c r="P16" i="30"/>
  <c r="P17" i="30" s="1"/>
  <c r="J16" i="30"/>
  <c r="J17" i="30" s="1"/>
  <c r="F16" i="30"/>
  <c r="F17" i="30" s="1"/>
  <c r="I16" i="30"/>
  <c r="I17" i="30" s="1"/>
  <c r="M16" i="30"/>
  <c r="M17" i="30" s="1"/>
  <c r="N16" i="30"/>
  <c r="N17" i="30" s="1"/>
  <c r="C11" i="30"/>
  <c r="E16" i="30"/>
  <c r="E17" i="30" s="1"/>
  <c r="C6" i="30"/>
  <c r="C15" i="114" l="1"/>
  <c r="J14" i="114"/>
  <c r="F16" i="116"/>
  <c r="E16" i="116"/>
  <c r="E17" i="116" s="1"/>
  <c r="C16" i="30"/>
  <c r="C17" i="30" s="1"/>
  <c r="C14" i="114" l="1"/>
  <c r="C17" i="114"/>
  <c r="J8" i="114"/>
  <c r="J10" i="114"/>
  <c r="J13" i="114"/>
  <c r="J12" i="114"/>
  <c r="J9" i="114"/>
  <c r="C9" i="114" l="1"/>
  <c r="C13" i="114"/>
  <c r="C10" i="114"/>
  <c r="J16" i="114"/>
  <c r="C12" i="114"/>
  <c r="J11" i="114"/>
  <c r="J6" i="114"/>
  <c r="C8" i="114"/>
  <c r="C11" i="114" l="1"/>
  <c r="C16" i="114"/>
  <c r="J29" i="114"/>
  <c r="C6" i="114"/>
  <c r="E63" i="28"/>
  <c r="E45" i="28"/>
  <c r="E66" i="28"/>
  <c r="E58" i="28"/>
  <c r="E48" i="28"/>
  <c r="E39" i="28"/>
  <c r="E29" i="28"/>
  <c r="E61" i="28"/>
  <c r="E51" i="28"/>
  <c r="E43" i="28"/>
  <c r="E64" i="28"/>
  <c r="E56" i="28"/>
  <c r="E46" i="28"/>
  <c r="E37" i="28"/>
  <c r="E27" i="28"/>
  <c r="E67" i="28"/>
  <c r="E49" i="28"/>
  <c r="E41" i="28"/>
  <c r="E33" i="28"/>
  <c r="E65" i="28"/>
  <c r="E57" i="28"/>
  <c r="E47" i="28"/>
  <c r="E38" i="28"/>
  <c r="E31" i="28"/>
  <c r="E60" i="28"/>
  <c r="E42" i="116" l="1"/>
  <c r="F42" i="116"/>
  <c r="E49" i="116"/>
  <c r="F49" i="116"/>
  <c r="F27" i="116"/>
  <c r="E27" i="116"/>
  <c r="F64" i="116"/>
  <c r="E64" i="116"/>
  <c r="F63" i="116"/>
  <c r="E63" i="116"/>
  <c r="F32" i="116"/>
  <c r="E32" i="116"/>
  <c r="E21" i="116"/>
  <c r="F21" i="116"/>
  <c r="F58" i="116"/>
  <c r="E58" i="116"/>
  <c r="F33" i="116"/>
  <c r="E33" i="116"/>
  <c r="F48" i="116"/>
  <c r="E48" i="116"/>
  <c r="F56" i="116"/>
  <c r="E56" i="116"/>
  <c r="E61" i="116"/>
  <c r="F61" i="116"/>
  <c r="F47" i="116"/>
  <c r="E47" i="116"/>
  <c r="F28" i="116"/>
  <c r="E28" i="116"/>
  <c r="F39" i="116"/>
  <c r="E39" i="116"/>
  <c r="F31" i="116"/>
  <c r="E31" i="116"/>
  <c r="F30" i="116"/>
  <c r="E30" i="116"/>
  <c r="E67" i="116"/>
  <c r="F67" i="116"/>
  <c r="F46" i="116"/>
  <c r="E46" i="116"/>
  <c r="F38" i="116"/>
  <c r="E38" i="116"/>
  <c r="E62" i="116"/>
  <c r="F62" i="116"/>
  <c r="F60" i="116"/>
  <c r="E60" i="116"/>
  <c r="C19" i="116"/>
  <c r="E20" i="116"/>
  <c r="F20" i="116"/>
  <c r="F51" i="116"/>
  <c r="E51" i="116"/>
  <c r="C53" i="116"/>
  <c r="F54" i="116"/>
  <c r="E54" i="116"/>
  <c r="E41" i="116"/>
  <c r="F41" i="116"/>
  <c r="E24" i="116"/>
  <c r="F24" i="116"/>
  <c r="E25" i="116"/>
  <c r="F25" i="116"/>
  <c r="E45" i="116"/>
  <c r="F45" i="116"/>
  <c r="E26" i="116"/>
  <c r="F26" i="116"/>
  <c r="F55" i="116"/>
  <c r="E55" i="116"/>
  <c r="F29" i="116"/>
  <c r="E29" i="116"/>
  <c r="F66" i="116"/>
  <c r="E66" i="116"/>
  <c r="F57" i="116"/>
  <c r="E57" i="116"/>
  <c r="F65" i="116"/>
  <c r="E65" i="116"/>
  <c r="F50" i="116"/>
  <c r="E50" i="116"/>
  <c r="E22" i="116"/>
  <c r="F22" i="116"/>
  <c r="F59" i="116"/>
  <c r="E59" i="116"/>
  <c r="E37" i="116"/>
  <c r="F37" i="116"/>
  <c r="C35" i="116"/>
  <c r="F36" i="116"/>
  <c r="E36" i="116"/>
  <c r="E43" i="116"/>
  <c r="F43" i="116"/>
  <c r="E23" i="116"/>
  <c r="F23" i="116"/>
  <c r="E44" i="116"/>
  <c r="F44" i="116"/>
  <c r="J81" i="114"/>
  <c r="J30" i="114"/>
  <c r="C29" i="114"/>
  <c r="C30" i="114" s="1"/>
  <c r="E44" i="28"/>
  <c r="E25" i="28"/>
  <c r="E59" i="28"/>
  <c r="E23" i="28"/>
  <c r="F35" i="30"/>
  <c r="G35" i="30"/>
  <c r="L19" i="30"/>
  <c r="C65" i="30"/>
  <c r="N19" i="30"/>
  <c r="I19" i="30"/>
  <c r="C67" i="30"/>
  <c r="C49" i="30"/>
  <c r="O19" i="30"/>
  <c r="C43" i="30"/>
  <c r="C37" i="30"/>
  <c r="F19" i="30"/>
  <c r="E42" i="28"/>
  <c r="C42" i="30"/>
  <c r="N35" i="30"/>
  <c r="C66" i="30"/>
  <c r="O35" i="30"/>
  <c r="L53" i="30"/>
  <c r="C59" i="30"/>
  <c r="C51" i="30"/>
  <c r="C60" i="30"/>
  <c r="C39" i="30"/>
  <c r="C32" i="30"/>
  <c r="E32" i="28"/>
  <c r="E21" i="28"/>
  <c r="C21" i="30"/>
  <c r="C56" i="30"/>
  <c r="E35" i="30"/>
  <c r="E36" i="28"/>
  <c r="C36" i="30"/>
  <c r="J35" i="30"/>
  <c r="C20" i="30"/>
  <c r="E20" i="28"/>
  <c r="E19" i="30"/>
  <c r="I35" i="30"/>
  <c r="F53" i="30"/>
  <c r="E62" i="28"/>
  <c r="C62" i="30"/>
  <c r="C23" i="30"/>
  <c r="C45" i="30"/>
  <c r="M35" i="30"/>
  <c r="C47" i="30"/>
  <c r="J53" i="30"/>
  <c r="E50" i="28"/>
  <c r="C50" i="30"/>
  <c r="G53" i="30"/>
  <c r="C28" i="30"/>
  <c r="E28" i="28"/>
  <c r="C27" i="30"/>
  <c r="C48" i="30"/>
  <c r="G19" i="30"/>
  <c r="C30" i="30"/>
  <c r="E30" i="28"/>
  <c r="N53" i="30"/>
  <c r="P35" i="30"/>
  <c r="M53" i="30"/>
  <c r="E55" i="28"/>
  <c r="C55" i="30"/>
  <c r="C24" i="30"/>
  <c r="E24" i="28"/>
  <c r="C63" i="30"/>
  <c r="C33" i="30"/>
  <c r="C46" i="30"/>
  <c r="E26" i="28"/>
  <c r="C26" i="30"/>
  <c r="C58" i="30"/>
  <c r="E54" i="28"/>
  <c r="C54" i="30"/>
  <c r="E53" i="30"/>
  <c r="J19" i="30"/>
  <c r="C38" i="30"/>
  <c r="H19" i="30"/>
  <c r="O53" i="30"/>
  <c r="K35" i="30"/>
  <c r="H53" i="30"/>
  <c r="P19" i="30"/>
  <c r="P53" i="30"/>
  <c r="I53" i="30"/>
  <c r="C64" i="30"/>
  <c r="L35" i="30"/>
  <c r="C29" i="30"/>
  <c r="C22" i="30"/>
  <c r="E22" i="28"/>
  <c r="C61" i="30"/>
  <c r="H35" i="30"/>
  <c r="M19" i="30"/>
  <c r="C41" i="30"/>
  <c r="K19" i="30"/>
  <c r="C31" i="30"/>
  <c r="C44" i="30"/>
  <c r="K53" i="30"/>
  <c r="C25" i="30"/>
  <c r="C57" i="30"/>
  <c r="I18" i="30" l="1"/>
  <c r="I68" i="30" s="1"/>
  <c r="I69" i="30" s="1"/>
  <c r="C18" i="116"/>
  <c r="E19" i="116"/>
  <c r="F19" i="116"/>
  <c r="E53" i="116"/>
  <c r="F53" i="116"/>
  <c r="F35" i="116"/>
  <c r="E35" i="116"/>
  <c r="J82" i="114"/>
  <c r="C81" i="114"/>
  <c r="H18" i="30"/>
  <c r="H68" i="30" s="1"/>
  <c r="H69" i="30" s="1"/>
  <c r="L18" i="30"/>
  <c r="L68" i="30" s="1"/>
  <c r="L69" i="30" s="1"/>
  <c r="N18" i="30"/>
  <c r="N68" i="30" s="1"/>
  <c r="N69" i="30" s="1"/>
  <c r="O18" i="30"/>
  <c r="O68" i="30" s="1"/>
  <c r="O69" i="30" s="1"/>
  <c r="M18" i="30"/>
  <c r="M68" i="30" s="1"/>
  <c r="M69" i="30" s="1"/>
  <c r="P18" i="30"/>
  <c r="P68" i="30" s="1"/>
  <c r="P69" i="30" s="1"/>
  <c r="J18" i="30"/>
  <c r="J68" i="30" s="1"/>
  <c r="J69" i="30" s="1"/>
  <c r="E18" i="30"/>
  <c r="C19" i="30"/>
  <c r="C53" i="30"/>
  <c r="K18" i="30"/>
  <c r="K68" i="30" s="1"/>
  <c r="K69" i="30" s="1"/>
  <c r="C35" i="30"/>
  <c r="F18" i="30"/>
  <c r="F68" i="30" s="1"/>
  <c r="F69" i="30" s="1"/>
  <c r="G18" i="30"/>
  <c r="G68" i="30" s="1"/>
  <c r="G69" i="30" s="1"/>
  <c r="F18" i="116" l="1"/>
  <c r="E18" i="116"/>
  <c r="C68" i="116"/>
  <c r="C69" i="116" s="1"/>
  <c r="E68" i="30"/>
  <c r="C18" i="30"/>
  <c r="F68" i="116" l="1"/>
  <c r="E68" i="116"/>
  <c r="C68" i="30"/>
  <c r="C69" i="30" s="1"/>
  <c r="E69" i="30"/>
  <c r="S21" i="28" l="1"/>
  <c r="R20" i="28"/>
  <c r="S22" i="28"/>
  <c r="R22" i="28"/>
  <c r="R21" i="28"/>
  <c r="S20" i="28"/>
  <c r="E6" i="28"/>
  <c r="T21" i="28" l="1"/>
  <c r="T20" i="28"/>
  <c r="T22" i="28"/>
  <c r="L19" i="27" l="1"/>
  <c r="H6" i="27" l="1"/>
  <c r="E1" i="107" s="1"/>
  <c r="J15" i="28" l="1"/>
  <c r="J14" i="28"/>
  <c r="N6" i="27" l="1"/>
  <c r="K1" i="107" s="1"/>
  <c r="J6" i="27"/>
  <c r="G1" i="107" s="1"/>
  <c r="G6" i="27"/>
  <c r="D1" i="107" s="1"/>
  <c r="F6" i="27"/>
  <c r="C1" i="107" s="1"/>
  <c r="P11" i="27"/>
  <c r="O11" i="27"/>
  <c r="K11" i="27"/>
  <c r="I11" i="27"/>
  <c r="G11" i="27"/>
  <c r="H11" i="27" l="1"/>
  <c r="J11" i="27"/>
  <c r="E11" i="27"/>
  <c r="F19" i="27" l="1"/>
  <c r="C9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P53" i="27"/>
  <c r="O53" i="27"/>
  <c r="N53" i="27"/>
  <c r="M53" i="27"/>
  <c r="L53" i="27"/>
  <c r="K53" i="27"/>
  <c r="J53" i="27"/>
  <c r="I53" i="27"/>
  <c r="H53" i="27"/>
  <c r="G53" i="27"/>
  <c r="F53" i="27"/>
  <c r="E53" i="27"/>
  <c r="O35" i="27"/>
  <c r="N35" i="27"/>
  <c r="M35" i="27"/>
  <c r="L35" i="27"/>
  <c r="K35" i="27"/>
  <c r="J35" i="27"/>
  <c r="I35" i="27"/>
  <c r="H35" i="27"/>
  <c r="G35" i="27"/>
  <c r="F35" i="27"/>
  <c r="E35" i="27"/>
  <c r="P19" i="27"/>
  <c r="O19" i="27"/>
  <c r="N19" i="27"/>
  <c r="M19" i="27"/>
  <c r="J19" i="27"/>
  <c r="I19" i="27"/>
  <c r="H19" i="27"/>
  <c r="G19" i="27"/>
  <c r="O18" i="27" l="1"/>
  <c r="M18" i="27"/>
  <c r="I18" i="27"/>
  <c r="L18" i="27"/>
  <c r="P18" i="27"/>
  <c r="N18" i="27"/>
  <c r="J18" i="27"/>
  <c r="H18" i="27"/>
  <c r="G18" i="27"/>
  <c r="F18" i="27"/>
  <c r="C35" i="28"/>
  <c r="C19" i="28"/>
  <c r="C53" i="28"/>
  <c r="C18" i="28" l="1"/>
  <c r="D19" i="34" l="1"/>
  <c r="D9" i="34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3" i="27"/>
  <c r="C32" i="27"/>
  <c r="C31" i="27"/>
  <c r="C30" i="27"/>
  <c r="C29" i="27"/>
  <c r="C28" i="27"/>
  <c r="C27" i="27"/>
  <c r="C26" i="27"/>
  <c r="C25" i="27"/>
  <c r="D20" i="34"/>
  <c r="D21" i="34"/>
  <c r="L67" i="28"/>
  <c r="L66" i="28"/>
  <c r="L65" i="28"/>
  <c r="L64" i="28"/>
  <c r="L63" i="28"/>
  <c r="L62" i="28"/>
  <c r="L61" i="28"/>
  <c r="L60" i="28"/>
  <c r="L59" i="28"/>
  <c r="L58" i="28"/>
  <c r="L57" i="28"/>
  <c r="L56" i="28"/>
  <c r="L55" i="28"/>
  <c r="L54" i="28"/>
  <c r="J67" i="28"/>
  <c r="J66" i="28"/>
  <c r="J65" i="28"/>
  <c r="J64" i="28"/>
  <c r="J63" i="28"/>
  <c r="J62" i="28"/>
  <c r="J61" i="28"/>
  <c r="J60" i="28"/>
  <c r="J59" i="28"/>
  <c r="J58" i="28"/>
  <c r="J57" i="28"/>
  <c r="J56" i="28"/>
  <c r="J55" i="28"/>
  <c r="J54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J36" i="28"/>
  <c r="H36" i="28"/>
  <c r="L33" i="28"/>
  <c r="L32" i="28"/>
  <c r="L31" i="28"/>
  <c r="L30" i="28"/>
  <c r="L29" i="28"/>
  <c r="L28" i="28"/>
  <c r="L27" i="28"/>
  <c r="L26" i="28"/>
  <c r="L25" i="28"/>
  <c r="L24" i="28"/>
  <c r="M39" i="34" s="1"/>
  <c r="L23" i="28"/>
  <c r="L22" i="28"/>
  <c r="L21" i="28"/>
  <c r="L20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H33" i="28"/>
  <c r="H32" i="28"/>
  <c r="H31" i="28"/>
  <c r="H30" i="28"/>
  <c r="H29" i="28"/>
  <c r="H28" i="28"/>
  <c r="H27" i="28"/>
  <c r="H26" i="28"/>
  <c r="H25" i="28"/>
  <c r="H24" i="28"/>
  <c r="I39" i="34" s="1"/>
  <c r="H23" i="28"/>
  <c r="H22" i="28"/>
  <c r="H21" i="28"/>
  <c r="J9" i="28"/>
  <c r="S9" i="28" s="1"/>
  <c r="T9" i="28" s="1"/>
  <c r="H15" i="28"/>
  <c r="H14" i="28"/>
  <c r="H13" i="28"/>
  <c r="H12" i="28"/>
  <c r="H10" i="28"/>
  <c r="H9" i="28"/>
  <c r="H8" i="28"/>
  <c r="E6" i="27"/>
  <c r="B1" i="107" s="1"/>
  <c r="U8" i="28" l="1"/>
  <c r="V8" i="28" s="1"/>
  <c r="U10" i="28"/>
  <c r="V10" i="28" s="1"/>
  <c r="U9" i="28"/>
  <c r="V9" i="28" s="1"/>
  <c r="I8" i="34"/>
  <c r="R67" i="28"/>
  <c r="Q67" i="28"/>
  <c r="R61" i="28"/>
  <c r="Q61" i="28"/>
  <c r="R64" i="28"/>
  <c r="Q64" i="28"/>
  <c r="I10" i="34"/>
  <c r="I9" i="34"/>
  <c r="D24" i="28"/>
  <c r="D32" i="28"/>
  <c r="D23" i="28"/>
  <c r="D25" i="28"/>
  <c r="D26" i="28"/>
  <c r="D27" i="28"/>
  <c r="D28" i="28"/>
  <c r="D33" i="28"/>
  <c r="D21" i="28"/>
  <c r="D29" i="28"/>
  <c r="D31" i="28"/>
  <c r="D22" i="28"/>
  <c r="D30" i="28"/>
  <c r="D42" i="28"/>
  <c r="D50" i="28"/>
  <c r="D47" i="28"/>
  <c r="D40" i="28"/>
  <c r="D43" i="28"/>
  <c r="D51" i="28"/>
  <c r="D44" i="28"/>
  <c r="D39" i="28"/>
  <c r="D48" i="28"/>
  <c r="D49" i="28"/>
  <c r="D37" i="28"/>
  <c r="D45" i="28"/>
  <c r="D41" i="28"/>
  <c r="D38" i="28"/>
  <c r="D46" i="28"/>
  <c r="D56" i="28"/>
  <c r="D64" i="28"/>
  <c r="D63" i="28"/>
  <c r="D57" i="28"/>
  <c r="D65" i="28"/>
  <c r="D58" i="28"/>
  <c r="D66" i="28"/>
  <c r="D59" i="28"/>
  <c r="D67" i="28"/>
  <c r="D60" i="28"/>
  <c r="D55" i="28"/>
  <c r="D62" i="28"/>
  <c r="I13" i="28"/>
  <c r="E53" i="28"/>
  <c r="D54" i="28"/>
  <c r="E35" i="28"/>
  <c r="D36" i="28"/>
  <c r="F35" i="28"/>
  <c r="F19" i="28"/>
  <c r="D61" i="28"/>
  <c r="K9" i="34"/>
  <c r="I15" i="28"/>
  <c r="I14" i="34"/>
  <c r="I14" i="28"/>
  <c r="I15" i="34"/>
  <c r="F9" i="34"/>
  <c r="I12" i="34"/>
  <c r="I13" i="34"/>
  <c r="L35" i="28"/>
  <c r="J35" i="28"/>
  <c r="H35" i="28"/>
  <c r="H53" i="28"/>
  <c r="L53" i="28"/>
  <c r="J53" i="28"/>
  <c r="I38" i="34" l="1"/>
  <c r="W14" i="34"/>
  <c r="W15" i="34"/>
  <c r="W13" i="34"/>
  <c r="S67" i="28"/>
  <c r="R12" i="34"/>
  <c r="S12" i="34" s="1"/>
  <c r="D35" i="28"/>
  <c r="E20" i="34" s="1"/>
  <c r="F53" i="28"/>
  <c r="G21" i="34" s="1"/>
  <c r="K21" i="34"/>
  <c r="K20" i="34"/>
  <c r="M20" i="34"/>
  <c r="I20" i="34"/>
  <c r="M21" i="34"/>
  <c r="I21" i="34"/>
  <c r="F21" i="34"/>
  <c r="G20" i="34"/>
  <c r="D18" i="34"/>
  <c r="D53" i="28" l="1"/>
  <c r="E21" i="34" s="1"/>
  <c r="J8" i="28"/>
  <c r="C8" i="28"/>
  <c r="D8" i="34" s="1"/>
  <c r="F8" i="34" l="1"/>
  <c r="K8" i="34"/>
  <c r="O26" i="28"/>
  <c r="G26" i="28"/>
  <c r="N26" i="28"/>
  <c r="J7" i="28" l="1"/>
  <c r="J12" i="28"/>
  <c r="J10" i="28"/>
  <c r="S10" i="28" s="1"/>
  <c r="T10" i="28" s="1"/>
  <c r="K14" i="28"/>
  <c r="J20" i="28"/>
  <c r="E19" i="28" s="1"/>
  <c r="H7" i="28"/>
  <c r="I12" i="28" s="1"/>
  <c r="F10" i="34" l="1"/>
  <c r="K12" i="28"/>
  <c r="J6" i="28"/>
  <c r="K15" i="28"/>
  <c r="F7" i="34"/>
  <c r="K10" i="34"/>
  <c r="F15" i="34"/>
  <c r="K12" i="34"/>
  <c r="I7" i="34"/>
  <c r="W12" i="34" s="1"/>
  <c r="K14" i="34"/>
  <c r="T14" i="34" s="1"/>
  <c r="K7" i="34"/>
  <c r="F14" i="34"/>
  <c r="K15" i="34"/>
  <c r="L19" i="28"/>
  <c r="L18" i="28" s="1"/>
  <c r="H11" i="28"/>
  <c r="H6" i="28"/>
  <c r="O39" i="28"/>
  <c r="O43" i="28"/>
  <c r="O47" i="28"/>
  <c r="O51" i="28"/>
  <c r="O55" i="28"/>
  <c r="O59" i="28"/>
  <c r="O63" i="28"/>
  <c r="O67" i="28"/>
  <c r="O22" i="28"/>
  <c r="O36" i="28"/>
  <c r="O40" i="28"/>
  <c r="O44" i="28"/>
  <c r="O48" i="28"/>
  <c r="O56" i="28"/>
  <c r="O60" i="28"/>
  <c r="O64" i="28"/>
  <c r="N43" i="28"/>
  <c r="N51" i="28"/>
  <c r="N59" i="28"/>
  <c r="N67" i="28"/>
  <c r="N23" i="28"/>
  <c r="N37" i="28"/>
  <c r="O41" i="28"/>
  <c r="O45" i="28"/>
  <c r="O49" i="28"/>
  <c r="O53" i="28"/>
  <c r="O57" i="28"/>
  <c r="N61" i="28"/>
  <c r="O65" i="28"/>
  <c r="O20" i="28"/>
  <c r="O38" i="28"/>
  <c r="O42" i="28"/>
  <c r="O46" i="28"/>
  <c r="O50" i="28"/>
  <c r="O54" i="28"/>
  <c r="O58" i="28"/>
  <c r="O62" i="28"/>
  <c r="O66" i="28"/>
  <c r="N39" i="28"/>
  <c r="N47" i="28"/>
  <c r="N55" i="28"/>
  <c r="N63" i="28"/>
  <c r="N41" i="28"/>
  <c r="N49" i="28"/>
  <c r="N57" i="28"/>
  <c r="O23" i="28"/>
  <c r="O37" i="28"/>
  <c r="O61" i="28"/>
  <c r="N22" i="28"/>
  <c r="N36" i="28"/>
  <c r="N38" i="28"/>
  <c r="N40" i="28"/>
  <c r="N42" i="28"/>
  <c r="N44" i="28"/>
  <c r="N46" i="28"/>
  <c r="N48" i="28"/>
  <c r="N50" i="28"/>
  <c r="N54" i="28"/>
  <c r="N56" i="28"/>
  <c r="N58" i="28"/>
  <c r="N60" i="28"/>
  <c r="N62" i="28"/>
  <c r="N64" i="28"/>
  <c r="N66" i="28"/>
  <c r="N45" i="28"/>
  <c r="N53" i="28"/>
  <c r="G49" i="28"/>
  <c r="G23" i="28"/>
  <c r="G43" i="28"/>
  <c r="G47" i="28"/>
  <c r="G53" i="28"/>
  <c r="G55" i="28"/>
  <c r="G59" i="28"/>
  <c r="G63" i="28"/>
  <c r="G67" i="28"/>
  <c r="G37" i="28"/>
  <c r="G41" i="28"/>
  <c r="G45" i="28"/>
  <c r="G51" i="28"/>
  <c r="G57" i="28"/>
  <c r="G61" i="28"/>
  <c r="G22" i="28"/>
  <c r="G36" i="28"/>
  <c r="G38" i="28"/>
  <c r="G40" i="28"/>
  <c r="G42" i="28"/>
  <c r="G46" i="28"/>
  <c r="G48" i="28"/>
  <c r="G50" i="28"/>
  <c r="G54" i="28"/>
  <c r="G56" i="28"/>
  <c r="G58" i="28"/>
  <c r="G62" i="28"/>
  <c r="G64" i="28"/>
  <c r="G66" i="28"/>
  <c r="T12" i="34" l="1"/>
  <c r="T15" i="34"/>
  <c r="F18" i="28"/>
  <c r="L14" i="34"/>
  <c r="K38" i="34"/>
  <c r="L15" i="34"/>
  <c r="L12" i="34"/>
  <c r="F12" i="34"/>
  <c r="F20" i="34"/>
  <c r="H21" i="34"/>
  <c r="I6" i="34"/>
  <c r="O21" i="34"/>
  <c r="P21" i="34"/>
  <c r="F6" i="34"/>
  <c r="I11" i="34"/>
  <c r="M19" i="34"/>
  <c r="H16" i="28"/>
  <c r="I9" i="28"/>
  <c r="I8" i="28"/>
  <c r="I7" i="28"/>
  <c r="N65" i="28"/>
  <c r="G60" i="28"/>
  <c r="G65" i="28"/>
  <c r="G39" i="28"/>
  <c r="G44" i="28"/>
  <c r="J7" i="34" l="1"/>
  <c r="J14" i="34"/>
  <c r="J8" i="34"/>
  <c r="J15" i="34"/>
  <c r="J9" i="34"/>
  <c r="I16" i="34"/>
  <c r="J13" i="28" l="1"/>
  <c r="E11" i="28" l="1"/>
  <c r="E16" i="28" s="1"/>
  <c r="S8" i="28"/>
  <c r="J11" i="28"/>
  <c r="F13" i="34"/>
  <c r="C11" i="28"/>
  <c r="D11" i="34" s="1"/>
  <c r="T8" i="28" l="1"/>
  <c r="F11" i="34"/>
  <c r="C16" i="28" l="1"/>
  <c r="D16" i="34" s="1"/>
  <c r="C68" i="28" l="1"/>
  <c r="D22" i="34" s="1"/>
  <c r="C15" i="28" l="1"/>
  <c r="D15" i="34" s="1"/>
  <c r="C14" i="28"/>
  <c r="D14" i="34" s="1"/>
  <c r="C12" i="28"/>
  <c r="D12" i="34" s="1"/>
  <c r="C10" i="28"/>
  <c r="D10" i="34" s="1"/>
  <c r="C7" i="28" l="1"/>
  <c r="D7" i="34" s="1"/>
  <c r="C13" i="28"/>
  <c r="D13" i="34" s="1"/>
  <c r="K13" i="28"/>
  <c r="C6" i="28" l="1"/>
  <c r="D6" i="34" s="1"/>
  <c r="C17" i="28"/>
  <c r="D17" i="34" s="1"/>
  <c r="C69" i="28"/>
  <c r="D23" i="34" s="1"/>
  <c r="K13" i="34"/>
  <c r="T13" i="34" s="1"/>
  <c r="I32" i="28"/>
  <c r="L13" i="34" l="1"/>
  <c r="K11" i="34"/>
  <c r="K6" i="34"/>
  <c r="K23" i="28"/>
  <c r="K25" i="28"/>
  <c r="K28" i="28"/>
  <c r="K30" i="28"/>
  <c r="K32" i="28"/>
  <c r="K31" i="28"/>
  <c r="K27" i="28"/>
  <c r="K29" i="28"/>
  <c r="K26" i="28"/>
  <c r="K33" i="28"/>
  <c r="K24" i="28"/>
  <c r="J16" i="28"/>
  <c r="K9" i="28"/>
  <c r="K8" i="28"/>
  <c r="K7" i="28"/>
  <c r="I30" i="28"/>
  <c r="I31" i="28"/>
  <c r="I28" i="28"/>
  <c r="I27" i="28"/>
  <c r="I26" i="28"/>
  <c r="I25" i="28"/>
  <c r="I21" i="28"/>
  <c r="K20" i="28"/>
  <c r="K21" i="28"/>
  <c r="K22" i="28"/>
  <c r="I23" i="28"/>
  <c r="I22" i="28"/>
  <c r="I24" i="28"/>
  <c r="K64" i="28"/>
  <c r="K60" i="28"/>
  <c r="K56" i="28"/>
  <c r="K48" i="28"/>
  <c r="K44" i="28"/>
  <c r="K40" i="28"/>
  <c r="K36" i="28"/>
  <c r="K67" i="28"/>
  <c r="K63" i="28"/>
  <c r="K59" i="28"/>
  <c r="K55" i="28"/>
  <c r="K51" i="28"/>
  <c r="K47" i="28"/>
  <c r="K43" i="28"/>
  <c r="K39" i="28"/>
  <c r="K35" i="28"/>
  <c r="K11" i="28"/>
  <c r="K66" i="28"/>
  <c r="K62" i="28"/>
  <c r="K58" i="28"/>
  <c r="K54" i="28"/>
  <c r="K50" i="28"/>
  <c r="K46" i="28"/>
  <c r="K42" i="28"/>
  <c r="K38" i="28"/>
  <c r="K10" i="28"/>
  <c r="K65" i="28"/>
  <c r="K61" i="28"/>
  <c r="K57" i="28"/>
  <c r="K53" i="28"/>
  <c r="K49" i="28"/>
  <c r="K45" i="28"/>
  <c r="K41" i="28"/>
  <c r="K37" i="28"/>
  <c r="K6" i="28"/>
  <c r="I66" i="28"/>
  <c r="I62" i="28"/>
  <c r="I58" i="28"/>
  <c r="I54" i="28"/>
  <c r="I50" i="28"/>
  <c r="I46" i="28"/>
  <c r="I42" i="28"/>
  <c r="I38" i="28"/>
  <c r="I10" i="28"/>
  <c r="I67" i="28"/>
  <c r="I55" i="28"/>
  <c r="I47" i="28"/>
  <c r="I39" i="28"/>
  <c r="I65" i="28"/>
  <c r="I61" i="28"/>
  <c r="I57" i="28"/>
  <c r="I53" i="28"/>
  <c r="I49" i="28"/>
  <c r="I45" i="28"/>
  <c r="I41" i="28"/>
  <c r="I37" i="28"/>
  <c r="I6" i="28"/>
  <c r="I11" i="28"/>
  <c r="I64" i="28"/>
  <c r="I60" i="28"/>
  <c r="I56" i="28"/>
  <c r="I48" i="28"/>
  <c r="I44" i="28"/>
  <c r="I40" i="28"/>
  <c r="I36" i="28"/>
  <c r="I63" i="28"/>
  <c r="I59" i="28"/>
  <c r="I51" i="28"/>
  <c r="I43" i="28"/>
  <c r="I35" i="28"/>
  <c r="E17" i="28" l="1"/>
  <c r="F16" i="34"/>
  <c r="J11" i="34"/>
  <c r="L6" i="34"/>
  <c r="L9" i="34"/>
  <c r="J6" i="34"/>
  <c r="L21" i="34"/>
  <c r="L10" i="34"/>
  <c r="J13" i="34"/>
  <c r="J10" i="34"/>
  <c r="L11" i="34"/>
  <c r="L7" i="34"/>
  <c r="J20" i="34"/>
  <c r="J21" i="34"/>
  <c r="J12" i="34"/>
  <c r="L20" i="34"/>
  <c r="L8" i="34"/>
  <c r="K16" i="34"/>
  <c r="I29" i="28"/>
  <c r="F17" i="34" l="1"/>
  <c r="G27" i="28" l="1"/>
  <c r="N27" i="28" l="1"/>
  <c r="O27" i="28"/>
  <c r="G28" i="28" l="1"/>
  <c r="G25" i="28" l="1"/>
  <c r="O28" i="28"/>
  <c r="N28" i="28"/>
  <c r="N25" i="28" l="1"/>
  <c r="O25" i="28"/>
  <c r="J16" i="27" l="1"/>
  <c r="H16" i="27"/>
  <c r="G16" i="27"/>
  <c r="H17" i="27" l="1"/>
  <c r="J17" i="27"/>
  <c r="J68" i="27"/>
  <c r="G17" i="27"/>
  <c r="G68" i="27"/>
  <c r="H68" i="27"/>
  <c r="H69" i="27" l="1"/>
  <c r="J69" i="27"/>
  <c r="G69" i="27"/>
  <c r="G31" i="28" l="1"/>
  <c r="O31" i="28" l="1"/>
  <c r="N31" i="28"/>
  <c r="N30" i="28" l="1"/>
  <c r="O30" i="28"/>
  <c r="G30" i="28" l="1"/>
  <c r="E16" i="27" l="1"/>
  <c r="E17" i="27" l="1"/>
  <c r="G21" i="28" l="1"/>
  <c r="N21" i="28"/>
  <c r="O21" i="28"/>
  <c r="M18" i="34" l="1"/>
  <c r="N35" i="28"/>
  <c r="O35" i="28"/>
  <c r="G35" i="28"/>
  <c r="P20" i="34" l="1"/>
  <c r="H20" i="34"/>
  <c r="O20" i="34"/>
  <c r="N32" i="28" l="1"/>
  <c r="O32" i="28"/>
  <c r="G32" i="28"/>
  <c r="G29" i="28"/>
  <c r="O29" i="28" l="1"/>
  <c r="N29" i="28"/>
  <c r="N24" i="28" l="1"/>
  <c r="O24" i="28"/>
  <c r="G24" i="28"/>
  <c r="G33" i="28" l="1"/>
  <c r="I16" i="28" l="1"/>
  <c r="H17" i="28"/>
  <c r="I17" i="34" l="1"/>
  <c r="J16" i="34"/>
  <c r="I33" i="28"/>
  <c r="K16" i="28"/>
  <c r="J17" i="28"/>
  <c r="L16" i="34" l="1"/>
  <c r="K17" i="34"/>
  <c r="N33" i="28"/>
  <c r="O33" i="28"/>
  <c r="J19" i="28" l="1"/>
  <c r="F19" i="34" l="1"/>
  <c r="E18" i="28"/>
  <c r="K19" i="34"/>
  <c r="J18" i="28"/>
  <c r="Q18" i="28" s="1"/>
  <c r="K19" i="28"/>
  <c r="O19" i="28"/>
  <c r="E68" i="28" l="1"/>
  <c r="F18" i="34"/>
  <c r="K18" i="28"/>
  <c r="L18" i="34" s="1"/>
  <c r="L19" i="34"/>
  <c r="K18" i="34"/>
  <c r="P19" i="34"/>
  <c r="J68" i="28"/>
  <c r="O18" i="28"/>
  <c r="F22" i="34" l="1"/>
  <c r="E69" i="28"/>
  <c r="F23" i="34" s="1"/>
  <c r="K22" i="34"/>
  <c r="P18" i="34"/>
  <c r="J69" i="28"/>
  <c r="K68" i="28"/>
  <c r="L22" i="34" l="1"/>
  <c r="K23" i="34"/>
  <c r="H20" i="28" l="1"/>
  <c r="E19" i="27"/>
  <c r="E18" i="27" l="1"/>
  <c r="E68" i="27" s="1"/>
  <c r="G20" i="28"/>
  <c r="D20" i="28"/>
  <c r="H19" i="28"/>
  <c r="I20" i="28"/>
  <c r="D19" i="28"/>
  <c r="N20" i="28"/>
  <c r="N19" i="28" l="1"/>
  <c r="O19" i="34" s="1"/>
  <c r="H18" i="28"/>
  <c r="R18" i="28" s="1"/>
  <c r="I19" i="34"/>
  <c r="I19" i="28"/>
  <c r="J19" i="34" s="1"/>
  <c r="E69" i="27"/>
  <c r="G19" i="28"/>
  <c r="G19" i="34"/>
  <c r="D18" i="28"/>
  <c r="H68" i="28" l="1"/>
  <c r="I18" i="34"/>
  <c r="N18" i="28"/>
  <c r="O18" i="34" s="1"/>
  <c r="H19" i="34"/>
  <c r="E19" i="34"/>
  <c r="G18" i="28"/>
  <c r="G18" i="34"/>
  <c r="I22" i="34" l="1"/>
  <c r="H69" i="28"/>
  <c r="I23" i="34" s="1"/>
  <c r="I68" i="28"/>
  <c r="J22" i="34" s="1"/>
  <c r="H18" i="34"/>
  <c r="E18" i="34"/>
  <c r="K6" i="27" l="1"/>
  <c r="H1" i="107" s="1"/>
  <c r="K16" i="27" l="1"/>
  <c r="C21" i="27"/>
  <c r="C22" i="27"/>
  <c r="C23" i="27"/>
  <c r="C20" i="27"/>
  <c r="K19" i="27"/>
  <c r="K17" i="27" l="1"/>
  <c r="K18" i="27"/>
  <c r="C19" i="27"/>
  <c r="C18" i="27" l="1"/>
  <c r="K68" i="27"/>
  <c r="K69" i="27" l="1"/>
  <c r="L6" i="27"/>
  <c r="I1" i="107" s="1"/>
  <c r="L12" i="28" l="1"/>
  <c r="C12" i="27"/>
  <c r="M12" i="34" l="1"/>
  <c r="O12" i="28"/>
  <c r="N12" i="28"/>
  <c r="O12" i="34" s="1"/>
  <c r="G12" i="34" l="1"/>
  <c r="D12" i="28"/>
  <c r="E12" i="34" s="1"/>
  <c r="G12" i="28"/>
  <c r="H12" i="34" s="1"/>
  <c r="P12" i="34"/>
  <c r="L11" i="27"/>
  <c r="N11" i="27"/>
  <c r="M11" i="27"/>
  <c r="N16" i="27" l="1"/>
  <c r="N68" i="27" s="1"/>
  <c r="L16" i="27"/>
  <c r="N17" i="27" l="1"/>
  <c r="L68" i="27"/>
  <c r="L17" i="27"/>
  <c r="N69" i="27" l="1"/>
  <c r="L69" i="27"/>
  <c r="O6" i="27" l="1"/>
  <c r="O16" i="27" l="1"/>
  <c r="O68" i="27" l="1"/>
  <c r="O17" i="27"/>
  <c r="O69" i="27" l="1"/>
  <c r="P6" i="27"/>
  <c r="P16" i="27" l="1"/>
  <c r="P17" i="27" l="1"/>
  <c r="P68" i="27"/>
  <c r="P69" i="27" l="1"/>
  <c r="F11" i="27" l="1"/>
  <c r="C15" i="27"/>
  <c r="C14" i="27"/>
  <c r="L14" i="28"/>
  <c r="L13" i="28"/>
  <c r="C13" i="27"/>
  <c r="L15" i="28"/>
  <c r="M14" i="34" l="1"/>
  <c r="F16" i="27"/>
  <c r="F17" i="27" s="1"/>
  <c r="O14" i="28"/>
  <c r="P14" i="34" s="1"/>
  <c r="O13" i="28"/>
  <c r="P13" i="34" s="1"/>
  <c r="C11" i="27"/>
  <c r="G15" i="28"/>
  <c r="H15" i="34" s="1"/>
  <c r="G15" i="34"/>
  <c r="D15" i="28"/>
  <c r="E15" i="34" s="1"/>
  <c r="M15" i="34"/>
  <c r="N13" i="28"/>
  <c r="O13" i="34" s="1"/>
  <c r="M13" i="34"/>
  <c r="N14" i="28"/>
  <c r="O14" i="34" s="1"/>
  <c r="F11" i="28"/>
  <c r="O15" i="28"/>
  <c r="P15" i="34" s="1"/>
  <c r="L11" i="28"/>
  <c r="N15" i="28"/>
  <c r="O15" i="34" s="1"/>
  <c r="F68" i="27" l="1"/>
  <c r="O11" i="28"/>
  <c r="P11" i="34" s="1"/>
  <c r="M11" i="34"/>
  <c r="N11" i="28"/>
  <c r="O11" i="34" s="1"/>
  <c r="G13" i="34"/>
  <c r="D13" i="28"/>
  <c r="E13" i="34" s="1"/>
  <c r="G13" i="28"/>
  <c r="H13" i="34" s="1"/>
  <c r="G14" i="28"/>
  <c r="H14" i="34" s="1"/>
  <c r="D14" i="28"/>
  <c r="E14" i="34" s="1"/>
  <c r="G14" i="34"/>
  <c r="F69" i="27" l="1"/>
  <c r="G11" i="28"/>
  <c r="H11" i="34" s="1"/>
  <c r="G11" i="34"/>
  <c r="D11" i="28"/>
  <c r="E11" i="34" s="1"/>
  <c r="I6" i="27" l="1"/>
  <c r="F1" i="107" s="1"/>
  <c r="I16" i="27" l="1"/>
  <c r="I68" i="27" s="1"/>
  <c r="I17" i="27" l="1"/>
  <c r="I69" i="27"/>
  <c r="D10" i="28" l="1"/>
  <c r="E10" i="34" s="1"/>
  <c r="C7" i="27"/>
  <c r="G9" i="28"/>
  <c r="H9" i="34" s="1"/>
  <c r="G8" i="28"/>
  <c r="H8" i="34" s="1"/>
  <c r="Q10" i="28"/>
  <c r="U11" i="28" s="1"/>
  <c r="O7" i="28"/>
  <c r="P7" i="34" s="1"/>
  <c r="M6" i="27"/>
  <c r="J1" i="107" s="1"/>
  <c r="Q9" i="28"/>
  <c r="R9" i="28" s="1"/>
  <c r="C8" i="27"/>
  <c r="C10" i="27"/>
  <c r="C9" i="27"/>
  <c r="R10" i="28" l="1"/>
  <c r="S11" i="28"/>
  <c r="N8" i="28"/>
  <c r="O8" i="34" s="1"/>
  <c r="Q8" i="28"/>
  <c r="U7" i="28" s="1"/>
  <c r="C6" i="27"/>
  <c r="C16" i="27" s="1"/>
  <c r="C17" i="27" s="1"/>
  <c r="F6" i="28"/>
  <c r="G6" i="34" s="1"/>
  <c r="M14" i="28"/>
  <c r="O9" i="28"/>
  <c r="P9" i="34" s="1"/>
  <c r="M15" i="28"/>
  <c r="M8" i="34"/>
  <c r="G9" i="34"/>
  <c r="D9" i="28"/>
  <c r="E9" i="34" s="1"/>
  <c r="N9" i="28"/>
  <c r="O9" i="34" s="1"/>
  <c r="G7" i="28"/>
  <c r="H7" i="34" s="1"/>
  <c r="N10" i="28"/>
  <c r="O10" i="34" s="1"/>
  <c r="L6" i="28"/>
  <c r="M9" i="28" s="1"/>
  <c r="N9" i="34" s="1"/>
  <c r="D8" i="28"/>
  <c r="E8" i="34" s="1"/>
  <c r="M13" i="28"/>
  <c r="G10" i="34"/>
  <c r="O10" i="28"/>
  <c r="P10" i="34" s="1"/>
  <c r="O8" i="28"/>
  <c r="P8" i="34" s="1"/>
  <c r="G10" i="28"/>
  <c r="H10" i="34" s="1"/>
  <c r="M16" i="27"/>
  <c r="M9" i="34"/>
  <c r="M10" i="34"/>
  <c r="N7" i="28"/>
  <c r="O7" i="34" s="1"/>
  <c r="G7" i="34"/>
  <c r="D7" i="28"/>
  <c r="E7" i="34" s="1"/>
  <c r="M7" i="34"/>
  <c r="AA7" i="34" s="1"/>
  <c r="G8" i="34"/>
  <c r="M12" i="28"/>
  <c r="AA9" i="34" l="1"/>
  <c r="Z9" i="34"/>
  <c r="AA10" i="34"/>
  <c r="Z10" i="34"/>
  <c r="AA8" i="34"/>
  <c r="Z8" i="34"/>
  <c r="U12" i="34"/>
  <c r="Z7" i="34"/>
  <c r="U15" i="34"/>
  <c r="V15" i="34" s="1"/>
  <c r="R13" i="34"/>
  <c r="U14" i="34"/>
  <c r="N13" i="34"/>
  <c r="U13" i="34"/>
  <c r="N12" i="34"/>
  <c r="R8" i="28"/>
  <c r="S7" i="28"/>
  <c r="F16" i="28"/>
  <c r="G16" i="28" s="1"/>
  <c r="H16" i="34" s="1"/>
  <c r="D6" i="28"/>
  <c r="E6" i="34" s="1"/>
  <c r="G6" i="28"/>
  <c r="H6" i="34" s="1"/>
  <c r="M10" i="28"/>
  <c r="N10" i="34" s="1"/>
  <c r="M68" i="27"/>
  <c r="M17" i="27"/>
  <c r="M7" i="28"/>
  <c r="N7" i="34" s="1"/>
  <c r="M8" i="28"/>
  <c r="N8" i="34" s="1"/>
  <c r="M38" i="34"/>
  <c r="N15" i="34"/>
  <c r="M64" i="28"/>
  <c r="M19" i="28"/>
  <c r="N19" i="34" s="1"/>
  <c r="O6" i="28"/>
  <c r="P6" i="34" s="1"/>
  <c r="M33" i="28"/>
  <c r="M67" i="28"/>
  <c r="M37" i="28"/>
  <c r="M60" i="28"/>
  <c r="M39" i="28"/>
  <c r="M28" i="28"/>
  <c r="M65" i="28"/>
  <c r="M44" i="28"/>
  <c r="M51" i="28"/>
  <c r="M11" i="28"/>
  <c r="N11" i="34" s="1"/>
  <c r="M47" i="28"/>
  <c r="M58" i="28"/>
  <c r="M46" i="28"/>
  <c r="M53" i="28"/>
  <c r="L16" i="28"/>
  <c r="M59" i="28"/>
  <c r="M41" i="28"/>
  <c r="N6" i="28"/>
  <c r="O6" i="34" s="1"/>
  <c r="M42" i="28"/>
  <c r="M23" i="28"/>
  <c r="M24" i="28"/>
  <c r="M6" i="34"/>
  <c r="M30" i="28"/>
  <c r="M25" i="28"/>
  <c r="M32" i="28"/>
  <c r="M6" i="28"/>
  <c r="N6" i="34" s="1"/>
  <c r="M21" i="28"/>
  <c r="I18" i="28"/>
  <c r="J18" i="34" s="1"/>
  <c r="M29" i="28"/>
  <c r="M56" i="28"/>
  <c r="M18" i="28"/>
  <c r="N18" i="34" s="1"/>
  <c r="M20" i="28"/>
  <c r="M38" i="28"/>
  <c r="M35" i="28"/>
  <c r="N20" i="34" s="1"/>
  <c r="M22" i="28"/>
  <c r="M55" i="28"/>
  <c r="M40" i="28"/>
  <c r="M63" i="28"/>
  <c r="M66" i="28"/>
  <c r="M31" i="28"/>
  <c r="M61" i="28"/>
  <c r="M50" i="28"/>
  <c r="M48" i="28"/>
  <c r="M45" i="28"/>
  <c r="M57" i="28"/>
  <c r="M36" i="28"/>
  <c r="M54" i="28"/>
  <c r="M27" i="28"/>
  <c r="M49" i="28"/>
  <c r="M62" i="28"/>
  <c r="M26" i="28"/>
  <c r="M43" i="28"/>
  <c r="N14" i="34"/>
  <c r="N21" i="34" l="1"/>
  <c r="X15" i="34"/>
  <c r="S13" i="34"/>
  <c r="F68" i="28"/>
  <c r="G22" i="34" s="1"/>
  <c r="D16" i="28"/>
  <c r="E16" i="34" s="1"/>
  <c r="F17" i="28"/>
  <c r="G17" i="34" s="1"/>
  <c r="G16" i="34"/>
  <c r="M16" i="34"/>
  <c r="L17" i="28"/>
  <c r="M17" i="34" s="1"/>
  <c r="L68" i="28"/>
  <c r="O68" i="28" s="1"/>
  <c r="M16" i="28"/>
  <c r="N16" i="34" s="1"/>
  <c r="N16" i="28"/>
  <c r="C68" i="27"/>
  <c r="C69" i="27" s="1"/>
  <c r="M69" i="27"/>
  <c r="F69" i="28" l="1"/>
  <c r="G23" i="34" s="1"/>
  <c r="G68" i="28"/>
  <c r="O16" i="34"/>
  <c r="O16" i="28"/>
  <c r="P16" i="34" s="1"/>
  <c r="M68" i="28"/>
  <c r="N22" i="34" s="1"/>
  <c r="L69" i="28"/>
  <c r="M23" i="34" s="1"/>
  <c r="M22" i="34"/>
  <c r="N68" i="28"/>
  <c r="Z22" i="34" l="1"/>
  <c r="AA22" i="34"/>
  <c r="P22" i="34"/>
  <c r="O22" i="34"/>
  <c r="S18" i="34"/>
  <c r="S17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정재영 [Jae Young Jeong]</author>
  </authors>
  <commentList>
    <comment ref="C33" authorId="0" shapeId="0" xr:uid="{48EB19CC-00F5-4AB8-95CE-D588C95AB57D}">
      <text>
        <r>
          <rPr>
            <b/>
            <sz val="9"/>
            <color indexed="81"/>
            <rFont val="돋움"/>
            <family val="3"/>
            <charset val="129"/>
          </rPr>
          <t>정재영</t>
        </r>
        <r>
          <rPr>
            <b/>
            <sz val="9"/>
            <color indexed="81"/>
            <rFont val="Tahoma"/>
            <family val="2"/>
          </rPr>
          <t xml:space="preserve"> [Jae Young Jeong]:</t>
        </r>
        <r>
          <rPr>
            <sz val="9"/>
            <color indexed="81"/>
            <rFont val="Tahoma"/>
            <family val="2"/>
          </rPr>
          <t xml:space="preserve">
ZWMR0250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김민정 </author>
  </authors>
  <commentList>
    <comment ref="L71" authorId="0" shapeId="0" xr:uid="{3E334541-6A13-4959-822B-4C62A652B954}">
      <text>
        <r>
          <rPr>
            <b/>
            <sz val="9"/>
            <color indexed="81"/>
            <rFont val="Tahoma"/>
            <family val="2"/>
          </rPr>
          <t>Hi-Ni</t>
        </r>
      </text>
    </comment>
    <comment ref="D112" authorId="0" shapeId="0" xr:uid="{C626DDAB-F993-4959-8349-19C7CE184D51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tc={077BAB10-E536-4C81-8FAF-D822D0AC8BD6}</author>
  </authors>
  <commentList>
    <comment ref="I56" authorId="0" shapeId="0" xr:uid="{077BAB10-E536-4C81-8FAF-D822D0AC8BD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전선-&gt;전장 이관(평가수수료관련)</t>
      </text>
    </comment>
  </commentList>
</comments>
</file>

<file path=xl/sharedStrings.xml><?xml version="1.0" encoding="utf-8"?>
<sst xmlns="http://schemas.openxmlformats.org/spreadsheetml/2006/main" count="4141" uniqueCount="859">
  <si>
    <t>12. lst y</t>
  </si>
  <si>
    <t xml:space="preserve">               MONTH</t>
    <phoneticPr fontId="7" type="noConversion"/>
  </si>
  <si>
    <t>[판매비]</t>
  </si>
  <si>
    <t>[관리비]</t>
  </si>
  <si>
    <t>[연구개발비]</t>
  </si>
  <si>
    <t>부품</t>
    <phoneticPr fontId="7" type="noConversion"/>
  </si>
  <si>
    <t>기타</t>
    <phoneticPr fontId="7" type="noConversion"/>
  </si>
  <si>
    <t>1월</t>
    <phoneticPr fontId="7" type="noConversion"/>
  </si>
  <si>
    <t>년계</t>
    <phoneticPr fontId="7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</si>
  <si>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</si>
  <si>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</si>
  <si>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</si>
  <si>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</si>
  <si>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</si>
  <si>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</si>
  <si>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</si>
  <si>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</si>
  <si>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</si>
  <si>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</si>
  <si>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</si>
  <si>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(단위:원)</t>
    <phoneticPr fontId="7" type="noConversion"/>
  </si>
  <si>
    <t>구분</t>
  </si>
  <si>
    <t>Ⅰ. 매출액</t>
  </si>
  <si>
    <t>Ⅱ. 매출원가</t>
  </si>
  <si>
    <t>Ⅲ. 매출총이익</t>
  </si>
  <si>
    <t xml:space="preserve">     (이익률)</t>
  </si>
  <si>
    <t>Ⅳ.판매관리비</t>
  </si>
  <si>
    <t>Ⅴ.영업이익</t>
  </si>
  <si>
    <t xml:space="preserve">  (이익률)</t>
  </si>
  <si>
    <t>Ⅵ.영업외수익</t>
  </si>
  <si>
    <t>Ⅶ. 영업외비용</t>
  </si>
  <si>
    <t>Ⅷ 법인세</t>
  </si>
  <si>
    <t>Ⅸ.당기손익</t>
  </si>
  <si>
    <t xml:space="preserve"> (이익률)</t>
  </si>
  <si>
    <t>복리후생비</t>
  </si>
  <si>
    <t>여비교통비</t>
  </si>
  <si>
    <t>감가상각비</t>
  </si>
  <si>
    <t>광고선전비</t>
  </si>
  <si>
    <t>운반비</t>
  </si>
  <si>
    <t>포장비</t>
  </si>
  <si>
    <t>지급수수료</t>
  </si>
  <si>
    <t>구   분</t>
    <phoneticPr fontId="14" type="noConversion"/>
  </si>
  <si>
    <t>인건비</t>
  </si>
  <si>
    <t>유지비용</t>
  </si>
  <si>
    <t>세금,보험</t>
  </si>
  <si>
    <t>개발비</t>
  </si>
  <si>
    <t>충당비용</t>
  </si>
  <si>
    <t>외주비</t>
  </si>
  <si>
    <t>기타비용</t>
  </si>
  <si>
    <t>인건비</t>
    <phoneticPr fontId="7" type="noConversion"/>
  </si>
  <si>
    <t>유지비용</t>
    <phoneticPr fontId="7" type="noConversion"/>
  </si>
  <si>
    <t>세금,보험</t>
    <phoneticPr fontId="7" type="noConversion"/>
  </si>
  <si>
    <t>복리후생비</t>
    <phoneticPr fontId="7" type="noConversion"/>
  </si>
  <si>
    <t>운반비</t>
    <phoneticPr fontId="7" type="noConversion"/>
  </si>
  <si>
    <t>포장비</t>
    <phoneticPr fontId="7" type="noConversion"/>
  </si>
  <si>
    <t>광고선전비</t>
    <phoneticPr fontId="7" type="noConversion"/>
  </si>
  <si>
    <t>지급수수료</t>
    <phoneticPr fontId="7" type="noConversion"/>
  </si>
  <si>
    <t>여비교통비</t>
    <phoneticPr fontId="7" type="noConversion"/>
  </si>
  <si>
    <t>감가상각비</t>
    <phoneticPr fontId="7" type="noConversion"/>
  </si>
  <si>
    <t>개발비</t>
    <phoneticPr fontId="7" type="noConversion"/>
  </si>
  <si>
    <t>충당비용</t>
    <phoneticPr fontId="7" type="noConversion"/>
  </si>
  <si>
    <t>외주비</t>
    <phoneticPr fontId="7" type="noConversion"/>
  </si>
  <si>
    <t>기타비용</t>
    <phoneticPr fontId="7" type="noConversion"/>
  </si>
  <si>
    <t>투자비지원</t>
  </si>
  <si>
    <t>자회사지원</t>
  </si>
  <si>
    <t>유지비(금형 등)</t>
  </si>
  <si>
    <t>Ⅰ. 재료비</t>
  </si>
  <si>
    <t>Ⅱ. 노무비</t>
  </si>
  <si>
    <t>Ⅲ. 경비</t>
  </si>
  <si>
    <t>Ⅳ. 당기총제조비용</t>
    <phoneticPr fontId="7" type="noConversion"/>
  </si>
  <si>
    <t>(단위:백만원)</t>
    <phoneticPr fontId="7" type="noConversion"/>
  </si>
  <si>
    <t>원  가
구성비</t>
    <phoneticPr fontId="7" type="noConversion"/>
  </si>
  <si>
    <t>후생비_기타식대</t>
  </si>
  <si>
    <t>수도광열비_기타</t>
  </si>
  <si>
    <t>경상연구비_연구개발소모품비</t>
  </si>
  <si>
    <t>지급수수료_기타</t>
  </si>
  <si>
    <t>소모품비_기타</t>
  </si>
  <si>
    <t>동력비</t>
  </si>
  <si>
    <t>1월</t>
  </si>
  <si>
    <t>급여_직원본봉</t>
  </si>
  <si>
    <t>EA000005</t>
  </si>
  <si>
    <t>사업관리팀(E)</t>
  </si>
  <si>
    <t>EB000005</t>
  </si>
  <si>
    <t>생산기술팀(E)</t>
  </si>
  <si>
    <t>EB000006</t>
  </si>
  <si>
    <t>KA100001</t>
  </si>
  <si>
    <t>부회장</t>
  </si>
  <si>
    <t>KA320000</t>
  </si>
  <si>
    <t>기획팀</t>
  </si>
  <si>
    <t>KA320001</t>
  </si>
  <si>
    <t>기획담당</t>
  </si>
  <si>
    <t>KB300000</t>
  </si>
  <si>
    <t>인사총무팀</t>
  </si>
  <si>
    <t>KD100002</t>
  </si>
  <si>
    <t>인사총무담당</t>
  </si>
  <si>
    <t>KD100003</t>
  </si>
  <si>
    <t>재경담당</t>
  </si>
  <si>
    <t>KD200000</t>
  </si>
  <si>
    <t>재경팀</t>
  </si>
  <si>
    <t>EA000002</t>
  </si>
  <si>
    <t>전장설계1팀(E)</t>
  </si>
  <si>
    <t>EA000003</t>
  </si>
  <si>
    <t>전장설계2팀(E)</t>
  </si>
  <si>
    <t>EA110000</t>
  </si>
  <si>
    <t>EB000002</t>
  </si>
  <si>
    <t>제품개발팀(E)</t>
  </si>
  <si>
    <t>EB000003</t>
  </si>
  <si>
    <t>제수당_고정수당</t>
  </si>
  <si>
    <t>제수당_변동수당</t>
  </si>
  <si>
    <t>상여_특별상여</t>
  </si>
  <si>
    <t>퇴직급여충당금전입</t>
  </si>
  <si>
    <t>후생비_학자금</t>
  </si>
  <si>
    <t>후생비_부서지원비</t>
  </si>
  <si>
    <t>후생비_시상금</t>
  </si>
  <si>
    <t>EA000001</t>
  </si>
  <si>
    <t>후생비_경조금</t>
  </si>
  <si>
    <t>후생비_외근식대</t>
  </si>
  <si>
    <t>후생비_관리식대</t>
  </si>
  <si>
    <t>후생비_통근버스</t>
  </si>
  <si>
    <t>KS000000</t>
  </si>
  <si>
    <t>KiB 클러스터</t>
  </si>
  <si>
    <t>후생비_식당경비</t>
  </si>
  <si>
    <t>후생비_행사지원비</t>
  </si>
  <si>
    <t>후생비_안전보건장비</t>
  </si>
  <si>
    <t>후생비_식대(생산성향상)</t>
  </si>
  <si>
    <t>후생비_자기계발비</t>
  </si>
  <si>
    <t>후생비_연월차수당</t>
  </si>
  <si>
    <t>후생비_기타</t>
  </si>
  <si>
    <t>교육훈련비_사외교육</t>
  </si>
  <si>
    <t>기타</t>
  </si>
  <si>
    <t>교육훈련비_사내교육</t>
  </si>
  <si>
    <t>여비교통비_국내출장</t>
  </si>
  <si>
    <t>여비교통비_해외출장</t>
  </si>
  <si>
    <t>여비교통비_시내</t>
  </si>
  <si>
    <t>여비교통비_교육</t>
  </si>
  <si>
    <t>여비교통비_기타</t>
  </si>
  <si>
    <t>통신비_전화료</t>
  </si>
  <si>
    <t>통신비_우편료</t>
  </si>
  <si>
    <t>통신비_기타</t>
  </si>
  <si>
    <t>수도광열비_상하수도</t>
  </si>
  <si>
    <t>세금과공과_재산세</t>
  </si>
  <si>
    <t>세금과공과_간주임대료</t>
  </si>
  <si>
    <t>세금과공과_장애인고용부담금</t>
  </si>
  <si>
    <t>세금과공과_국민건강보험료</t>
  </si>
  <si>
    <t>세금과공과_국민연금</t>
  </si>
  <si>
    <t>세금과공과_기타</t>
  </si>
  <si>
    <t>지급임차료_기타</t>
  </si>
  <si>
    <t>감가상각비_건물</t>
  </si>
  <si>
    <t>감가상각비_구축물</t>
  </si>
  <si>
    <t>감가상각비_비품</t>
  </si>
  <si>
    <t>EB000004</t>
  </si>
  <si>
    <t>감가상각비_시험설비</t>
  </si>
  <si>
    <t>수선비_기타</t>
  </si>
  <si>
    <t>보험료_산재보험</t>
  </si>
  <si>
    <t>접대비_경조금</t>
  </si>
  <si>
    <t>접대비_법인카드</t>
  </si>
  <si>
    <t>운반비_항공</t>
  </si>
  <si>
    <t>운반비_택배</t>
  </si>
  <si>
    <t>경상연구비_연구용역비</t>
  </si>
  <si>
    <t>경상연구비_시험분석비</t>
  </si>
  <si>
    <t>경상연구비_특허비</t>
  </si>
  <si>
    <t>경상연구비_안전관리</t>
  </si>
  <si>
    <t>경상연구비_기타</t>
  </si>
  <si>
    <t>지급수수료_금융기관수수료</t>
  </si>
  <si>
    <t>지급수수료_송금수수료</t>
  </si>
  <si>
    <t>지급수수료_회계감사수수료</t>
  </si>
  <si>
    <t>지급수수료_세무조정수수료</t>
  </si>
  <si>
    <t>지급수수료_경비시스템</t>
  </si>
  <si>
    <t>지급수수료-시험수수료</t>
  </si>
  <si>
    <t>지급수수료-용역수수료</t>
  </si>
  <si>
    <t>지급수수료-검교정수수료</t>
  </si>
  <si>
    <t>지급수수료-방역수수료</t>
  </si>
  <si>
    <t>지급수수료-전산유지정비</t>
  </si>
  <si>
    <t>지급수수료-통관수수료</t>
  </si>
  <si>
    <t>도서인쇄비_인쇄비</t>
  </si>
  <si>
    <t>도서인쇄비_도서구입</t>
  </si>
  <si>
    <t>도서인쇄비_신문구독</t>
  </si>
  <si>
    <t>도서인쇄비_기타</t>
  </si>
  <si>
    <t>소모품비_전산소모품</t>
  </si>
  <si>
    <t>소모품비_문구</t>
  </si>
  <si>
    <t>차량유지비_유류대</t>
  </si>
  <si>
    <t>차량유지비_기타</t>
  </si>
  <si>
    <t xml:space="preserve">F   Y </t>
    <phoneticPr fontId="7" type="noConversion"/>
  </si>
  <si>
    <t>W/H</t>
    <phoneticPr fontId="7" type="noConversion"/>
  </si>
  <si>
    <t>부품</t>
  </si>
  <si>
    <t>SK on VW MEB (EVO)</t>
  </si>
  <si>
    <t>1월</t>
    <phoneticPr fontId="14" type="noConversion"/>
  </si>
  <si>
    <t>합 계</t>
    <phoneticPr fontId="14" type="noConversion"/>
  </si>
  <si>
    <t>년계획
 진척률</t>
    <phoneticPr fontId="7" type="noConversion"/>
  </si>
  <si>
    <t>달성률</t>
  </si>
  <si>
    <t>달성률</t>
    <phoneticPr fontId="7" type="noConversion"/>
  </si>
  <si>
    <t>누  계
계  획</t>
  </si>
  <si>
    <t>누  계
계  획</t>
    <phoneticPr fontId="7" type="noConversion"/>
  </si>
  <si>
    <t>누계
 실적</t>
  </si>
  <si>
    <t>전 월
실 적</t>
    <phoneticPr fontId="7" type="noConversion"/>
  </si>
  <si>
    <t>매  출
구성비</t>
    <phoneticPr fontId="7" type="noConversion"/>
  </si>
  <si>
    <t>당 월 
계 획</t>
    <phoneticPr fontId="7" type="noConversion"/>
  </si>
  <si>
    <t>당 월
 실 적</t>
    <phoneticPr fontId="7" type="noConversion"/>
  </si>
  <si>
    <t>전 월
대 비</t>
    <phoneticPr fontId="7" type="noConversion"/>
  </si>
  <si>
    <t>계 획
대 비</t>
    <phoneticPr fontId="7" type="noConversion"/>
  </si>
  <si>
    <t>구   분</t>
    <phoneticPr fontId="7" type="noConversion"/>
  </si>
  <si>
    <t>당 월 
실 적</t>
    <phoneticPr fontId="7" type="noConversion"/>
  </si>
  <si>
    <t>컨테이너 효율</t>
    <phoneticPr fontId="7" type="noConversion"/>
  </si>
  <si>
    <t>항공운송비</t>
    <phoneticPr fontId="7" type="noConversion"/>
  </si>
  <si>
    <t>누 계
 실 적</t>
    <phoneticPr fontId="7" type="noConversion"/>
  </si>
  <si>
    <t>누 계
계 획</t>
    <phoneticPr fontId="7" type="noConversion"/>
  </si>
  <si>
    <t>매   출
구성비</t>
    <phoneticPr fontId="7" type="noConversion"/>
  </si>
  <si>
    <t>▣ 관리지표</t>
    <phoneticPr fontId="7" type="noConversion"/>
  </si>
  <si>
    <t>매출액 합계</t>
  </si>
  <si>
    <t>매출원가 합계</t>
  </si>
  <si>
    <t>매출총이익</t>
  </si>
  <si>
    <t>고객</t>
  </si>
  <si>
    <t>행 레이블</t>
  </si>
  <si>
    <t>총합계</t>
  </si>
  <si>
    <t>구분</t>
    <phoneticPr fontId="7" type="noConversion"/>
  </si>
  <si>
    <t>KSCE</t>
  </si>
  <si>
    <t>합계 : 매출액 합계</t>
  </si>
  <si>
    <t>합계 : 영업이익</t>
  </si>
  <si>
    <t>제품군별 손익요약</t>
    <phoneticPr fontId="7" type="noConversion"/>
  </si>
  <si>
    <t>고객별 손익요약</t>
    <phoneticPr fontId="7" type="noConversion"/>
  </si>
  <si>
    <t>-</t>
    <phoneticPr fontId="7" type="noConversion"/>
  </si>
  <si>
    <t>▣ 당월  주요 손익증감 내역</t>
    <phoneticPr fontId="7" type="noConversion"/>
  </si>
  <si>
    <t xml:space="preserve">  - 해외법인 부품 C/C</t>
    <phoneticPr fontId="7" type="noConversion"/>
  </si>
  <si>
    <t>KSCCZ</t>
  </si>
  <si>
    <t>품질비용(대체출고)</t>
    <phoneticPr fontId="7" type="noConversion"/>
  </si>
  <si>
    <t>원   가
구성비</t>
    <phoneticPr fontId="7" type="noConversion"/>
  </si>
  <si>
    <t xml:space="preserve">  - 운반비</t>
    <phoneticPr fontId="7" type="noConversion"/>
  </si>
  <si>
    <t>CHANGZHOU KYUNGSHIN</t>
  </si>
  <si>
    <t>Kyungshin Cable Euro</t>
  </si>
  <si>
    <t>Kyungshin Cable Inte</t>
  </si>
  <si>
    <t>기타 판관비</t>
    <phoneticPr fontId="7" type="noConversion"/>
  </si>
  <si>
    <t>총판관비</t>
    <phoneticPr fontId="7" type="noConversion"/>
  </si>
  <si>
    <t>영업이익</t>
    <phoneticPr fontId="7" type="noConversion"/>
  </si>
  <si>
    <t>고객명</t>
    <phoneticPr fontId="7" type="noConversion"/>
  </si>
  <si>
    <t>합계 : 매출총이익</t>
  </si>
  <si>
    <t>.................</t>
  </si>
  <si>
    <t xml:space="preserve">  - 기타매출 이익</t>
    <phoneticPr fontId="7" type="noConversion"/>
  </si>
  <si>
    <t>(단위 : 원)</t>
    <phoneticPr fontId="7" type="noConversion"/>
  </si>
  <si>
    <t>Ⅴ.영업이익</t>
    <phoneticPr fontId="7" type="noConversion"/>
  </si>
  <si>
    <t>Ⅴ. 당기제품제조원가</t>
    <phoneticPr fontId="7" type="noConversion"/>
  </si>
  <si>
    <t>제품코드</t>
    <phoneticPr fontId="7" type="noConversion"/>
  </si>
  <si>
    <t>제품명</t>
    <phoneticPr fontId="7" type="noConversion"/>
  </si>
  <si>
    <t xml:space="preserve">  -  제품폐기</t>
    <phoneticPr fontId="7" type="noConversion"/>
  </si>
  <si>
    <t>매출수량</t>
    <phoneticPr fontId="7" type="noConversion"/>
  </si>
  <si>
    <t>구매팀(E)</t>
  </si>
  <si>
    <t>EP000002</t>
  </si>
  <si>
    <t>생산기획팀(E)</t>
  </si>
  <si>
    <t>ES000001</t>
  </si>
  <si>
    <t>영업팀(E)</t>
  </si>
  <si>
    <t>EQ000002</t>
  </si>
  <si>
    <t>부품품질팀(E)</t>
  </si>
  <si>
    <t>ET000001</t>
  </si>
  <si>
    <t>시작평가팀(E)</t>
  </si>
  <si>
    <t>EP000001</t>
  </si>
  <si>
    <t>생산부문(E)</t>
  </si>
  <si>
    <t>구매영업부문(E)</t>
  </si>
  <si>
    <t>EQ000001</t>
  </si>
  <si>
    <t>품질부문(E)</t>
  </si>
  <si>
    <t>감가상각비_기계장치</t>
  </si>
  <si>
    <t>운반비_특송</t>
  </si>
  <si>
    <t>경상연구비_정부과제</t>
  </si>
  <si>
    <t>지급수수료-보건대행료</t>
  </si>
  <si>
    <t>합계</t>
  </si>
  <si>
    <t>(백만)</t>
  </si>
  <si>
    <t>NO</t>
    <phoneticPr fontId="45" type="noConversion"/>
  </si>
  <si>
    <t>구분</t>
    <phoneticPr fontId="46" type="noConversion"/>
  </si>
  <si>
    <t>사업장</t>
    <phoneticPr fontId="46" type="noConversion"/>
  </si>
  <si>
    <t>합계</t>
    <phoneticPr fontId="46" type="noConversion"/>
  </si>
  <si>
    <t>비고</t>
    <phoneticPr fontId="46" type="noConversion"/>
  </si>
  <si>
    <t>부품</t>
    <phoneticPr fontId="46" type="noConversion"/>
  </si>
  <si>
    <t>KSC</t>
  </si>
  <si>
    <t>KSCP</t>
  </si>
  <si>
    <t>KSCM</t>
  </si>
  <si>
    <t>제품/
상품</t>
    <phoneticPr fontId="46" type="noConversion"/>
  </si>
  <si>
    <t>ISUZU</t>
    <phoneticPr fontId="46" type="noConversion"/>
  </si>
  <si>
    <t>GEN3</t>
  </si>
  <si>
    <t>KSCI</t>
    <phoneticPr fontId="46" type="noConversion"/>
  </si>
  <si>
    <t>프로젝트명</t>
  </si>
  <si>
    <t>SK on FORD BEV-K</t>
  </si>
  <si>
    <t>유상사급</t>
    <phoneticPr fontId="46" type="noConversion"/>
  </si>
  <si>
    <t>합계 (유상사급 제외)</t>
    <phoneticPr fontId="46" type="noConversion"/>
  </si>
  <si>
    <t>서브원</t>
  </si>
  <si>
    <t>EBA02150AD</t>
  </si>
  <si>
    <t>제품명</t>
  </si>
  <si>
    <t>고객명</t>
  </si>
  <si>
    <t>값</t>
  </si>
  <si>
    <t>기타 요약</t>
  </si>
  <si>
    <t>부품 요약</t>
  </si>
  <si>
    <t>합계 : 매출원가 합계</t>
  </si>
  <si>
    <t>합계 : 총판관비</t>
  </si>
  <si>
    <t>매출액</t>
    <phoneticPr fontId="7" type="noConversion"/>
  </si>
  <si>
    <t>EEA00597AB</t>
  </si>
  <si>
    <t>EEA00596AB</t>
  </si>
  <si>
    <t>EEA00595AB</t>
  </si>
  <si>
    <r>
      <t>WH</t>
    </r>
    <r>
      <rPr>
        <sz val="10"/>
        <rFont val="맑은 고딕"/>
        <family val="3"/>
        <charset val="129"/>
      </rPr>
      <t>제품</t>
    </r>
    <phoneticPr fontId="7" type="noConversion"/>
  </si>
  <si>
    <t>전체 운반비</t>
    <phoneticPr fontId="7" type="noConversion"/>
  </si>
  <si>
    <t>계획</t>
    <phoneticPr fontId="7" type="noConversion"/>
  </si>
  <si>
    <t>전월</t>
    <phoneticPr fontId="7" type="noConversion"/>
  </si>
  <si>
    <t>합계 : 매출총이익율</t>
  </si>
  <si>
    <t>합계 : 영업이익율</t>
  </si>
  <si>
    <t>인건비</t>
    <phoneticPr fontId="14" type="noConversion"/>
  </si>
  <si>
    <t>누계 계획</t>
    <phoneticPr fontId="14" type="noConversion"/>
  </si>
  <si>
    <t>누계 실적</t>
    <phoneticPr fontId="14" type="noConversion"/>
  </si>
  <si>
    <t>지급수수료비</t>
    <phoneticPr fontId="14" type="noConversion"/>
  </si>
  <si>
    <t>개발비</t>
    <phoneticPr fontId="14" type="noConversion"/>
  </si>
  <si>
    <t>EBA02112AF</t>
    <phoneticPr fontId="7" type="noConversion"/>
  </si>
  <si>
    <t>EBA02150AF</t>
    <phoneticPr fontId="7" type="noConversion"/>
  </si>
  <si>
    <t>미이관예상</t>
    <phoneticPr fontId="7" type="noConversion"/>
  </si>
  <si>
    <t>품질경영팀(E)</t>
  </si>
  <si>
    <t>전장사업부(E)</t>
  </si>
  <si>
    <t>지급임차료_건물임차료</t>
  </si>
  <si>
    <t>감가상각비_공구와기구</t>
  </si>
  <si>
    <t>운반비_국내일반</t>
  </si>
  <si>
    <t>소모품비-소모재료</t>
  </si>
  <si>
    <t>대표이사</t>
  </si>
  <si>
    <t>후생비_공상비</t>
  </si>
  <si>
    <t>지급수수료-심사수수료</t>
  </si>
  <si>
    <t>소모공구비_일반</t>
  </si>
  <si>
    <t>KA300001</t>
  </si>
  <si>
    <t>Plofit and Loss statement   Plan FY 2024</t>
    <phoneticPr fontId="7" type="noConversion"/>
  </si>
  <si>
    <t>PSA_PHEV</t>
    <phoneticPr fontId="46" type="noConversion"/>
  </si>
  <si>
    <t>고 객</t>
    <phoneticPr fontId="14" type="noConversion"/>
  </si>
  <si>
    <t>FORD</t>
  </si>
  <si>
    <t>FORD 소계</t>
  </si>
  <si>
    <t>LGES</t>
  </si>
  <si>
    <t>LGES 소계</t>
  </si>
  <si>
    <t>SKOn</t>
  </si>
  <si>
    <t>SKOn 소계</t>
  </si>
  <si>
    <t>항 목</t>
    <phoneticPr fontId="14" type="noConversion"/>
  </si>
  <si>
    <t>해외사업장 판매용 포장자재 매입 (MEB TRAY)</t>
    <phoneticPr fontId="14" type="noConversion"/>
  </si>
  <si>
    <t>상품</t>
    <phoneticPr fontId="7" type="noConversion"/>
  </si>
  <si>
    <t>시험/평가비</t>
    <phoneticPr fontId="7" type="noConversion"/>
  </si>
  <si>
    <t>해외출장비</t>
    <phoneticPr fontId="7" type="noConversion"/>
  </si>
  <si>
    <t>용역</t>
    <phoneticPr fontId="7" type="noConversion"/>
  </si>
  <si>
    <t>상품</t>
  </si>
  <si>
    <t>주식회사 경신 화성공장</t>
  </si>
  <si>
    <t>(주)엘지에너지솔루션</t>
  </si>
  <si>
    <t>LGESWA (LG Energy So</t>
  </si>
  <si>
    <t>상품 요약</t>
  </si>
  <si>
    <t>매출</t>
    <phoneticPr fontId="7" type="noConversion"/>
  </si>
  <si>
    <t>KYUNGSHIN CABLE POLA</t>
  </si>
  <si>
    <t>POWERLOGICS BATHIEN</t>
  </si>
  <si>
    <t>매출액</t>
    <phoneticPr fontId="7" type="noConversion"/>
  </si>
  <si>
    <t>매출원가</t>
    <phoneticPr fontId="7" type="noConversion"/>
  </si>
  <si>
    <t>매출총이익</t>
    <phoneticPr fontId="7" type="noConversion"/>
  </si>
  <si>
    <t>매출총이익률</t>
    <phoneticPr fontId="7" type="noConversion"/>
  </si>
  <si>
    <t>판관비</t>
    <phoneticPr fontId="7" type="noConversion"/>
  </si>
  <si>
    <t>영업이익</t>
    <phoneticPr fontId="7" type="noConversion"/>
  </si>
  <si>
    <t>영업이익률</t>
    <phoneticPr fontId="7" type="noConversion"/>
  </si>
  <si>
    <t>에스케이온 주식회사</t>
  </si>
  <si>
    <t>당월실적</t>
    <phoneticPr fontId="14" type="noConversion"/>
  </si>
  <si>
    <t>당월계획</t>
    <phoneticPr fontId="14" type="noConversion"/>
  </si>
  <si>
    <t>전월실적</t>
    <phoneticPr fontId="14" type="noConversion"/>
  </si>
  <si>
    <t>KYUNGSHIN CABLE TURK</t>
  </si>
  <si>
    <t>BlueOval SK, LLC</t>
  </si>
  <si>
    <t>건우전장(주)</t>
  </si>
  <si>
    <t>SKBA(SK BATTERY AMER</t>
  </si>
  <si>
    <t>계획비</t>
    <phoneticPr fontId="7" type="noConversion"/>
  </si>
  <si>
    <t>전월비</t>
    <phoneticPr fontId="7" type="noConversion"/>
  </si>
  <si>
    <t>주식회사 영화무역</t>
  </si>
  <si>
    <r>
      <t>5월</t>
    </r>
    <r>
      <rPr>
        <sz val="10"/>
        <rFont val="Arial Unicode MS"/>
        <family val="2"/>
      </rPr>
      <t/>
    </r>
  </si>
  <si>
    <r>
      <t>6월</t>
    </r>
    <r>
      <rPr>
        <sz val="10"/>
        <rFont val="Arial Unicode MS"/>
        <family val="2"/>
      </rPr>
      <t/>
    </r>
  </si>
  <si>
    <r>
      <t>7월</t>
    </r>
    <r>
      <rPr>
        <sz val="10"/>
        <rFont val="Arial Unicode MS"/>
        <family val="2"/>
      </rPr>
      <t/>
    </r>
  </si>
  <si>
    <r>
      <t>8월</t>
    </r>
    <r>
      <rPr>
        <sz val="10"/>
        <rFont val="Arial Unicode MS"/>
        <family val="2"/>
      </rPr>
      <t/>
    </r>
  </si>
  <si>
    <r>
      <t>9월</t>
    </r>
    <r>
      <rPr>
        <sz val="10"/>
        <rFont val="Arial Unicode MS"/>
        <family val="2"/>
      </rPr>
      <t/>
    </r>
  </si>
  <si>
    <r>
      <t>10월</t>
    </r>
    <r>
      <rPr>
        <sz val="10"/>
        <rFont val="Arial Unicode MS"/>
        <family val="2"/>
      </rPr>
      <t/>
    </r>
  </si>
  <si>
    <r>
      <t>11월</t>
    </r>
    <r>
      <rPr>
        <sz val="10"/>
        <rFont val="Arial Unicode MS"/>
        <family val="2"/>
      </rPr>
      <t/>
    </r>
  </si>
  <si>
    <r>
      <t>12월</t>
    </r>
    <r>
      <rPr>
        <sz val="10"/>
        <rFont val="Arial Unicode MS"/>
        <family val="2"/>
      </rPr>
      <t/>
    </r>
  </si>
  <si>
    <t>2월</t>
    <phoneticPr fontId="7" type="noConversion"/>
  </si>
  <si>
    <t>3월</t>
    <phoneticPr fontId="7" type="noConversion"/>
  </si>
  <si>
    <t>4월</t>
    <phoneticPr fontId="7" type="noConversion"/>
  </si>
  <si>
    <t>WH제품</t>
    <phoneticPr fontId="7" type="noConversion"/>
  </si>
  <si>
    <t>PJT</t>
  </si>
  <si>
    <t>PJT</t>
    <phoneticPr fontId="7" type="noConversion"/>
  </si>
  <si>
    <t>비고</t>
    <phoneticPr fontId="7" type="noConversion"/>
  </si>
  <si>
    <t>fi</t>
    <phoneticPr fontId="7" type="noConversion"/>
  </si>
  <si>
    <t>co</t>
    <phoneticPr fontId="7" type="noConversion"/>
  </si>
  <si>
    <t xml:space="preserve">  ISUZU</t>
  </si>
  <si>
    <t xml:space="preserve">  ISUZU</t>
    <phoneticPr fontId="7" type="noConversion"/>
  </si>
  <si>
    <t xml:space="preserve">  GEN3</t>
  </si>
  <si>
    <t xml:space="preserve">  GEN3</t>
    <phoneticPr fontId="7" type="noConversion"/>
  </si>
  <si>
    <t xml:space="preserve">  KSCE</t>
  </si>
  <si>
    <t xml:space="preserve">  KSCE</t>
    <phoneticPr fontId="7" type="noConversion"/>
  </si>
  <si>
    <t xml:space="preserve">  KSCI</t>
  </si>
  <si>
    <t xml:space="preserve">  KSCI</t>
    <phoneticPr fontId="7" type="noConversion"/>
  </si>
  <si>
    <t xml:space="preserve">  KSCP</t>
  </si>
  <si>
    <t xml:space="preserve">  KSCP</t>
    <phoneticPr fontId="7" type="noConversion"/>
  </si>
  <si>
    <t xml:space="preserve">  부품기타</t>
  </si>
  <si>
    <t xml:space="preserve">  부품기타</t>
    <phoneticPr fontId="7" type="noConversion"/>
  </si>
  <si>
    <t>당기</t>
    <phoneticPr fontId="7" type="noConversion"/>
  </si>
  <si>
    <t>증감</t>
    <phoneticPr fontId="7" type="noConversion"/>
  </si>
  <si>
    <t>증감율(%)</t>
    <phoneticPr fontId="7" type="noConversion"/>
  </si>
  <si>
    <t>(단위:원)</t>
  </si>
  <si>
    <t xml:space="preserve">  상품기타</t>
    <phoneticPr fontId="7" type="noConversion"/>
  </si>
  <si>
    <t>당월</t>
    <phoneticPr fontId="7" type="noConversion"/>
  </si>
  <si>
    <t>에이팸(주)</t>
  </si>
  <si>
    <t>㈜ 파워로직스</t>
  </si>
  <si>
    <t>BEV-G/H_KSCI</t>
    <phoneticPr fontId="46" type="noConversion"/>
  </si>
  <si>
    <t>BEV-G/H_GP</t>
  </si>
  <si>
    <t>25.01월</t>
  </si>
  <si>
    <t>25.02월</t>
  </si>
  <si>
    <t>25.03월</t>
  </si>
  <si>
    <t>25.04월</t>
  </si>
  <si>
    <t>25.05월</t>
  </si>
  <si>
    <t>25.06월</t>
  </si>
  <si>
    <t>25.07월</t>
  </si>
  <si>
    <t>25.08월</t>
  </si>
  <si>
    <t>25.09월</t>
  </si>
  <si>
    <t>25.10월</t>
  </si>
  <si>
    <t>25.11월</t>
  </si>
  <si>
    <t>25.12월</t>
  </si>
  <si>
    <t>KSGP</t>
  </si>
  <si>
    <t>KSCI</t>
  </si>
  <si>
    <t>유상사급</t>
  </si>
  <si>
    <t>KSGP</t>
    <phoneticPr fontId="46" type="noConversion"/>
  </si>
  <si>
    <t>ISUZU</t>
  </si>
  <si>
    <t>매출</t>
  </si>
  <si>
    <t>WAVE1</t>
  </si>
  <si>
    <t>BEV-G</t>
  </si>
  <si>
    <t>KSGP</t>
    <phoneticPr fontId="7" type="noConversion"/>
  </si>
  <si>
    <t>매입</t>
    <phoneticPr fontId="7" type="noConversion"/>
  </si>
  <si>
    <t>SK on FORD BEV-V</t>
  </si>
  <si>
    <t>입력</t>
  </si>
  <si>
    <t>계정</t>
  </si>
  <si>
    <t>코스트 센터</t>
  </si>
  <si>
    <t>개월(계획)</t>
    <phoneticPr fontId="14" type="noConversion"/>
  </si>
  <si>
    <t>부서</t>
  </si>
  <si>
    <t>분류</t>
  </si>
  <si>
    <t>코드</t>
  </si>
  <si>
    <t>내역</t>
  </si>
  <si>
    <t>그룹</t>
  </si>
  <si>
    <t>성격</t>
  </si>
  <si>
    <t>합계</t>
    <phoneticPr fontId="14" type="noConversion"/>
  </si>
  <si>
    <t>월 평균</t>
    <phoneticPr fontId="14" type="noConversion"/>
  </si>
  <si>
    <t>비고</t>
    <phoneticPr fontId="14" type="noConversion"/>
  </si>
  <si>
    <t>급여</t>
  </si>
  <si>
    <t>KA300002</t>
  </si>
  <si>
    <t>자문위원</t>
  </si>
  <si>
    <t>상여</t>
  </si>
  <si>
    <t>퇴직급여</t>
  </si>
  <si>
    <t>후생비</t>
  </si>
  <si>
    <t>세금과공과</t>
  </si>
  <si>
    <t>세금과공과_고용보험료</t>
  </si>
  <si>
    <t>교육훈련비</t>
  </si>
  <si>
    <t>기부금_지정</t>
  </si>
  <si>
    <t>후생비_선물대</t>
  </si>
  <si>
    <t>지급임차료</t>
  </si>
  <si>
    <t>연구개발부문(E)</t>
  </si>
  <si>
    <t>도서인쇄비</t>
  </si>
  <si>
    <t>소모품비</t>
  </si>
  <si>
    <t>차량유지비</t>
  </si>
  <si>
    <t>접대비</t>
  </si>
  <si>
    <t>수도광열비</t>
  </si>
  <si>
    <t>통신비</t>
  </si>
  <si>
    <t>경상연구비</t>
  </si>
  <si>
    <t>수선비</t>
  </si>
  <si>
    <t>수선비</t>
    <phoneticPr fontId="7" type="noConversion"/>
  </si>
  <si>
    <t>[연구개발비]</t>
    <phoneticPr fontId="14" type="noConversion"/>
  </si>
  <si>
    <t>[관리비]</t>
    <phoneticPr fontId="7" type="noConversion"/>
  </si>
  <si>
    <t>[판매비]</t>
    <phoneticPr fontId="7" type="noConversion"/>
  </si>
  <si>
    <t>도서인쇄비_홍보자료</t>
  </si>
  <si>
    <t>소모품비-영선소모품</t>
  </si>
  <si>
    <t>소모품비-소모성비품</t>
  </si>
  <si>
    <t>소모품비-금형매입</t>
  </si>
  <si>
    <t>소모품비-금형수선</t>
  </si>
  <si>
    <t>차량유지비_수리비</t>
  </si>
  <si>
    <t>유형자산처분이익_공구와기구</t>
  </si>
  <si>
    <t>영업외수익</t>
  </si>
  <si>
    <t>유형자산처분이익_기계장치</t>
  </si>
  <si>
    <t>유형자산처분이익_차량운반구</t>
  </si>
  <si>
    <t>유형자산처분이익_비품</t>
  </si>
  <si>
    <t>유형자산처분이익_시험설비</t>
  </si>
  <si>
    <t>로열티수익</t>
  </si>
  <si>
    <t>잡수익_클래임</t>
  </si>
  <si>
    <t>잡수익_기타</t>
  </si>
  <si>
    <t>영업외비용</t>
  </si>
  <si>
    <t>재고자산폐기손실-상품</t>
  </si>
  <si>
    <t>재고자산폐기손실-제품</t>
  </si>
  <si>
    <t>재고자산폐기손실-반제품</t>
  </si>
  <si>
    <t>유형자산처분손실_기계장치</t>
  </si>
  <si>
    <t>유형자산폐기손실_공구와기구</t>
  </si>
  <si>
    <t>유형자산폐기손실_비품</t>
  </si>
  <si>
    <t>잡손실_클래임</t>
  </si>
  <si>
    <t>잡손실_기타</t>
  </si>
  <si>
    <t>이자수익_예적금</t>
  </si>
  <si>
    <t>이자수익_기타</t>
  </si>
  <si>
    <t>외환차익_예적금</t>
  </si>
  <si>
    <t>외환차익_외상매출금</t>
  </si>
  <si>
    <t>외환차익_미수금</t>
  </si>
  <si>
    <t>외환차익_외상매입금</t>
  </si>
  <si>
    <t>외환차익_미지급금</t>
  </si>
  <si>
    <t>외화환산이익_외상매출금</t>
  </si>
  <si>
    <t>외화환산이익_미수금</t>
  </si>
  <si>
    <t>외화환산이익_외상매입금</t>
  </si>
  <si>
    <t>외화환산이익_미지급금</t>
  </si>
  <si>
    <t>이자비용_일반차입이자</t>
  </si>
  <si>
    <t>이자비용_무역금융</t>
  </si>
  <si>
    <t>이자비용_기타</t>
  </si>
  <si>
    <t>외환차손_영업_예적금</t>
  </si>
  <si>
    <t>외환차손_영업_외상매출금</t>
  </si>
  <si>
    <t>외환차손_영업_미수금</t>
  </si>
  <si>
    <t>외환차손_영업_외상매입금</t>
  </si>
  <si>
    <t>외환차손_영업_미지급금</t>
  </si>
  <si>
    <t>외화환산손실_영업_외상매출금</t>
  </si>
  <si>
    <t>외화환산손실_영업_미수금</t>
  </si>
  <si>
    <t>외화환산손실_영업_외상매입금</t>
  </si>
  <si>
    <t>외화환산손실_영업_미지급금</t>
  </si>
  <si>
    <t>법인세비용_법인세</t>
  </si>
  <si>
    <t>법인세비용_주민세</t>
  </si>
  <si>
    <t>세금과공과_수입관세</t>
  </si>
  <si>
    <t>경상연구비_견품-원재료(CC)</t>
  </si>
  <si>
    <t>운반비_B/B제품</t>
  </si>
  <si>
    <t>임대매출원가</t>
  </si>
  <si>
    <t>매출원가</t>
  </si>
  <si>
    <t>기부금_법정</t>
  </si>
  <si>
    <t>지분법이익</t>
  </si>
  <si>
    <t>지분법손실</t>
  </si>
  <si>
    <t>원재료 매출원가-수기</t>
  </si>
  <si>
    <t>기타매출원가</t>
  </si>
  <si>
    <t>재료비_제품투입비</t>
  </si>
  <si>
    <t>재료비</t>
  </si>
  <si>
    <t>재료비_포장재_합판보빈</t>
  </si>
  <si>
    <t>재료비_포장재_기타</t>
  </si>
  <si>
    <t>원재료비_수기(SCR)</t>
  </si>
  <si>
    <t>상여_정기상여</t>
  </si>
  <si>
    <t>퇴직급여(DC형)</t>
  </si>
  <si>
    <t>후생비_회의체운영식대</t>
  </si>
  <si>
    <t>후생비_피복비</t>
  </si>
  <si>
    <t>후생비_제지원금</t>
  </si>
  <si>
    <t>후생비_노조관련식대</t>
  </si>
  <si>
    <t>후생비_식대_현장관리식대</t>
  </si>
  <si>
    <t>후생비_TFT PROJECT</t>
  </si>
  <si>
    <t>교육훈련비_외부강사료</t>
  </si>
  <si>
    <t>교육훈련비_기타</t>
  </si>
  <si>
    <t>수도광열비_유류비</t>
  </si>
  <si>
    <t>수도광열비_가스_기타</t>
  </si>
  <si>
    <t>세금과공과_인지세</t>
  </si>
  <si>
    <t>세금과공과_협회비</t>
  </si>
  <si>
    <t>세금과공과_사업소세_종업원</t>
  </si>
  <si>
    <t>감가상각비_차량운반구</t>
  </si>
  <si>
    <t>수선비_공구와기구</t>
  </si>
  <si>
    <t>수선비_기계장치</t>
  </si>
  <si>
    <t>수선비_비품</t>
  </si>
  <si>
    <t>수선비_시험설비</t>
  </si>
  <si>
    <t>수선비_정비자재</t>
  </si>
  <si>
    <t>보험료_자동차보험</t>
  </si>
  <si>
    <t>보험료</t>
  </si>
  <si>
    <t>보험료_화재_건물</t>
  </si>
  <si>
    <t>보험료_화재_기계장치</t>
  </si>
  <si>
    <t>보험료_화재_기타</t>
  </si>
  <si>
    <t>접대비_화한대</t>
  </si>
  <si>
    <t>접대비_개인카드등</t>
  </si>
  <si>
    <t>접대비_기타</t>
  </si>
  <si>
    <t>운반비_선박</t>
  </si>
  <si>
    <t>운반비_해외_전장전용</t>
  </si>
  <si>
    <t>견본비_제품</t>
  </si>
  <si>
    <t>경상연구비_견품및재료비-상품</t>
  </si>
  <si>
    <t>경상연구비_견품및재료비-제품</t>
  </si>
  <si>
    <t>경상연구비_견품및재료비-반제품</t>
  </si>
  <si>
    <t>경상연구비_견품및재료비-원재료</t>
  </si>
  <si>
    <t>경상연구비_자료검색비</t>
  </si>
  <si>
    <t>경상연구비_소모품비(판매)</t>
  </si>
  <si>
    <t>경상연구비_(안전)자료구입비</t>
  </si>
  <si>
    <t>경상연구비_(안전)실험실유지보수비</t>
  </si>
  <si>
    <t>경상연구비_(안전)보호장비구입비</t>
  </si>
  <si>
    <t>경상연구비_(안전)전문가활용비</t>
  </si>
  <si>
    <t>경상연구비_(안전)수수료</t>
  </si>
  <si>
    <t>경상연구비_(안전)여비및회의비</t>
  </si>
  <si>
    <t>용역수수료_기타</t>
  </si>
  <si>
    <t>용역수수료</t>
  </si>
  <si>
    <t>지급수수료_컨설팅수수료</t>
  </si>
  <si>
    <t>지급수수료-임대파렛트사용료</t>
  </si>
  <si>
    <t>지급수수료-폐유.폐기물처리비</t>
  </si>
  <si>
    <t>지급수수료-법정측정수수료</t>
  </si>
  <si>
    <t>지급수수료-여권발급</t>
  </si>
  <si>
    <t>지급수수료_보전</t>
  </si>
  <si>
    <t>*3%로 수정</t>
    <phoneticPr fontId="7" type="noConversion"/>
  </si>
  <si>
    <t>2025년
계   획</t>
    <phoneticPr fontId="7" type="noConversion"/>
  </si>
  <si>
    <t>외근시 교통료: 50,000원/월</t>
  </si>
  <si>
    <t>사이버연수원 교육비 외: 400,000원/월</t>
  </si>
  <si>
    <t>DHL: 50,000원/월</t>
  </si>
  <si>
    <t>특허 출원 비용: 500,000원/월</t>
  </si>
  <si>
    <t>사이버연수원 교육 수강: 100,000원/월</t>
  </si>
  <si>
    <t>사외 교육 수강: 150,000원/월</t>
  </si>
  <si>
    <t>교육 출장 교통비: 20,000원/월</t>
  </si>
  <si>
    <t>교통비: 50,000원/월</t>
  </si>
  <si>
    <t>시험 시료 고객 발송 외: 50,000원/월</t>
  </si>
  <si>
    <t>외근 주차비 등: 50,000원/월</t>
  </si>
  <si>
    <t>여비교통비_교육,품질 업무 능력 향상 교육훈련: 40,000원/월</t>
  </si>
  <si>
    <t>여비교통비_기타: 10,000원/월</t>
  </si>
  <si>
    <t>협력사, 고객사 , 해와사업장 접대 : 500,000원/월</t>
  </si>
  <si>
    <t>지급수수료_기타: 50,000원/월</t>
  </si>
  <si>
    <t>소모품비_기타: 20,000원/월</t>
  </si>
  <si>
    <t>섹션 분석 외: 300,000원/월</t>
  </si>
  <si>
    <t>섹션 분석 외: 1,000,000원/월</t>
  </si>
  <si>
    <t>박람회 티켓: 20,000원/월</t>
  </si>
  <si>
    <t>특근 및 야근식대: 208,000원/월</t>
  </si>
  <si>
    <t>해외출장시 취급수수료,신용평가수수료, 국제사업자등록증 갱신: 141,000원/월</t>
  </si>
  <si>
    <t>부품/샘플 택배: 1,900원/월</t>
  </si>
  <si>
    <t>국내 내륙운송료, HANDLING CHARGE: 66,000원/월</t>
  </si>
  <si>
    <t>계약서 및 서류 등기발송: 1,000원/월</t>
  </si>
  <si>
    <t>고객사, 부품협력사 업무협의 및 부품/공정점검: 50,000원x월2회X4명</t>
  </si>
  <si>
    <t>고객사, 부품협력사 업무협의 및 부품/공정점검: 13,000원x월2회X8명</t>
  </si>
  <si>
    <t>도서구입비: 40,000원/월</t>
  </si>
  <si>
    <t xml:space="preserve">국내공장용 치공구 등 구매: 생기팀 투자계획+공장별 정기발주(년평균) </t>
  </si>
  <si>
    <t xml:space="preserve">협력사 금형수리 발생시 비용지급: 분기별 금형수선비 반영 </t>
  </si>
  <si>
    <t>부품/샘플 택배: 9,000원/월</t>
  </si>
  <si>
    <t>KA300000</t>
  </si>
  <si>
    <t>임대매출원가</t>
    <phoneticPr fontId="7" type="noConversion"/>
  </si>
  <si>
    <t>기타</t>
    <phoneticPr fontId="7" type="noConversion"/>
  </si>
  <si>
    <t>매입</t>
    <phoneticPr fontId="7" type="noConversion"/>
  </si>
  <si>
    <t>보험료</t>
    <phoneticPr fontId="7" type="noConversion"/>
  </si>
  <si>
    <t>사장_금지 (미사용)</t>
  </si>
  <si>
    <t>PBMS</t>
  </si>
  <si>
    <t>Happynarae America L</t>
  </si>
  <si>
    <t>KSCE</t>
    <phoneticPr fontId="7" type="noConversion"/>
  </si>
  <si>
    <t xml:space="preserve">  상품기타</t>
  </si>
  <si>
    <t>주식회사 글로우원</t>
  </si>
  <si>
    <t>KSCI</t>
    <phoneticPr fontId="7" type="noConversion"/>
  </si>
  <si>
    <t>1. 월 손익/원가 요약</t>
    <phoneticPr fontId="7" type="noConversion"/>
  </si>
  <si>
    <t>Plofit and Loss statement   FY 2026</t>
    <phoneticPr fontId="7" type="noConversion"/>
  </si>
  <si>
    <t>▣ '26년 전장사업부 상품 매출 계획</t>
    <phoneticPr fontId="45" type="noConversion"/>
  </si>
  <si>
    <t>▣ '26년 전장사업부 상품 매입 계획</t>
    <phoneticPr fontId="45" type="noConversion"/>
  </si>
  <si>
    <t>▣ '26년 전장사업부 부품 매출 계획</t>
    <phoneticPr fontId="45" type="noConversion"/>
  </si>
  <si>
    <t>▣ '26년 전장사업부 부품 매입 계획</t>
    <phoneticPr fontId="45" type="noConversion"/>
  </si>
  <si>
    <t>▣ '26년 금형 매출 계획</t>
  </si>
  <si>
    <t>▣ '26년 설비 매출 계획</t>
  </si>
  <si>
    <t>▣ '26년 포장비 매출 계획</t>
  </si>
  <si>
    <t>▣ '26년 샘플 매출 계획</t>
  </si>
  <si>
    <t>▣ '26년 금형 매입 계획</t>
  </si>
  <si>
    <t>▣ '26년 설비 매입 계획</t>
  </si>
  <si>
    <t>▣ '26년 포장비 매입 계획</t>
  </si>
  <si>
    <t>▶EV-V4 전선 수급처 미확정으로 단가 미반영</t>
  </si>
  <si>
    <t>FORD BEV-H 26MY</t>
  </si>
  <si>
    <t>FORD Ev-V4</t>
  </si>
  <si>
    <t>FORD BEV-V</t>
  </si>
  <si>
    <t>SK on FORD BEV-H (TP)</t>
  </si>
  <si>
    <t>SK on FORD EREV-T3H</t>
  </si>
  <si>
    <t>FORD Ev-V4 (버스바A'ssy 1라인)</t>
  </si>
  <si>
    <t>FORD Ev-V4 (버스바 2차라인)</t>
  </si>
  <si>
    <t>SK on VW MEB (GEN1) PCB Pin Map 변경 라인 개조</t>
  </si>
  <si>
    <t>PSA WAVE1 (A/S)</t>
  </si>
  <si>
    <t>EREV-T3H TPV 샘플</t>
  </si>
  <si>
    <t>EREV-T3H TPV DV평가</t>
  </si>
  <si>
    <t>Plofit and Loss statement   Plan FY 2026</t>
    <phoneticPr fontId="7" type="noConversion"/>
  </si>
  <si>
    <t>2026년
계    획</t>
    <phoneticPr fontId="7" type="noConversion"/>
  </si>
  <si>
    <t>후생비_교류활동비</t>
    <phoneticPr fontId="7" type="noConversion"/>
  </si>
  <si>
    <t>후생비</t>
    <phoneticPr fontId="7" type="noConversion"/>
  </si>
  <si>
    <t>세르비아 EV-V4 수익성 점검.</t>
  </si>
  <si>
    <t>고객사, 협력사 접대</t>
  </si>
  <si>
    <t>SK on FORD EREV-T3H 생산라인 외근 외</t>
  </si>
  <si>
    <t>전정사업부 퀵 이용비용 처리.</t>
  </si>
  <si>
    <t>사외창고 설비보관료</t>
  </si>
  <si>
    <t>특근식대</t>
  </si>
  <si>
    <t>외근시 주차료.</t>
  </si>
  <si>
    <t>시작 샘플 생산 라인</t>
  </si>
  <si>
    <t>전기세</t>
  </si>
  <si>
    <t>지게차대여</t>
  </si>
  <si>
    <t>쓰레기처리비</t>
  </si>
  <si>
    <t>컴프레셔 임대</t>
  </si>
  <si>
    <t xml:space="preserve">정취 209시간 기준 </t>
  </si>
  <si>
    <t>청소비용</t>
  </si>
  <si>
    <t>인터넷비용</t>
  </si>
  <si>
    <t>수도세</t>
  </si>
  <si>
    <t>중석식대</t>
  </si>
  <si>
    <t>생수</t>
  </si>
  <si>
    <t>교육비 여비 : 18,000원</t>
  </si>
  <si>
    <t>고객사 업무협의 및 원가 실사: 700,000원/월</t>
  </si>
  <si>
    <t>터키, 유럽, 북미 업무협의 및 동향파악: 8,750,000원/월</t>
  </si>
  <si>
    <t>고객사 및 협력사 외근시 교통비: 97,000원/월</t>
  </si>
  <si>
    <t>박람회 티켓: 90,000원/월</t>
  </si>
  <si>
    <t>고객사 외근시 식대: 156,000원/월</t>
  </si>
  <si>
    <t>고객사 접식대, 선물대, 경조금: 1,500,000원/월</t>
  </si>
  <si>
    <t>외화송금수수료: 6,000원/월</t>
  </si>
  <si>
    <t>샘플 수출입 통관 수수료: 45,000원/월</t>
  </si>
  <si>
    <t>외근시 주차비용: 35,000원/월</t>
  </si>
  <si>
    <t>항공 : 330,000원/월</t>
  </si>
  <si>
    <t>국내일반 : 90,000원/월</t>
  </si>
  <si>
    <t>DHL 운반비: 500,000원/월</t>
  </si>
  <si>
    <t>교육시 여비: 10,000원/월 (사외교육)</t>
  </si>
  <si>
    <t>외근시 교통비: 100,000원/월  (KTX,택시)</t>
  </si>
  <si>
    <t>해외출장시 취급수수료, 관세환급위임수수료: 650,000원/월(레드캡 출장 항공권발권수수료, 인천관세법인)</t>
  </si>
  <si>
    <t>샘플 수출입 통관 수수료: 177,000원/월 (타이코,어니,구디 등 수입품 인천관세법인 통관,관세)</t>
  </si>
  <si>
    <t>외근시 주차비용: 30,000원/월</t>
  </si>
  <si>
    <t>DHL 운반비: 250,000원/월</t>
  </si>
  <si>
    <t>항공: 250,000원/월 (해외 사업장 제품샘플 수입 항공료_팍트라)</t>
  </si>
  <si>
    <t>고객 방문 대응 및 협력사 품질 지원 등 외근에 따른 시내교통비</t>
  </si>
  <si>
    <t>26년 년간 교육 계획에 따른 사외교육 참석 시내교통비</t>
  </si>
  <si>
    <t>IATF16949 사후심사 3자심사 인증 심사 수수료</t>
  </si>
  <si>
    <t>고품분석, 공용 품질검증용 지그제작 및 부자재 비용 등 소모품 구매</t>
  </si>
  <si>
    <t>외근/사외 교육에 따른 차량 유류비</t>
  </si>
  <si>
    <t>기타식대: 26,000원/월</t>
  </si>
  <si>
    <t>여비교통비_시내: 80,000원/월</t>
  </si>
  <si>
    <t>DHL(해와사업장 고품 접수/발송): 200,000원/월</t>
  </si>
  <si>
    <t>택배/우편: 5,000원/월</t>
  </si>
  <si>
    <t>소모품비_문구: 40,000원/월</t>
  </si>
  <si>
    <t>차량유지비_기타: 20,000원/월</t>
  </si>
  <si>
    <t>차량유지비_유류대: 200,000원/월</t>
  </si>
  <si>
    <t>프로젝트외 소모품(공구/지퍼백등): 분기당 21만원 → '25년과 동일</t>
  </si>
  <si>
    <t>Hi-PASS/K-TAX: 분기당 9만원 → '25년과 동일</t>
  </si>
  <si>
    <t>고객사 &amp; 국내 사업장 대응: 분기당 15만원 → '25년과 동일</t>
  </si>
  <si>
    <t>부품/제품 수입 세관 수수료: PV Test용 시료 수입 증가 예상 → '25년과 동일
 - BEV-V, BEV-K, EV-V4 등</t>
  </si>
  <si>
    <t>주차비: SKO 대전 방문 등의 역사 주차 증대 → '25년과 동일</t>
  </si>
  <si>
    <t>야근식대: 고객 해외사업장 미팅(Webex, Teams) 증대 → '25년과 동일
 - 유럽 / 북미 등</t>
  </si>
  <si>
    <t>CTO 교육</t>
  </si>
  <si>
    <t>외근시 식대</t>
  </si>
  <si>
    <t>특근 및 훈련시 식대</t>
  </si>
  <si>
    <t>외근시 교통료</t>
  </si>
  <si>
    <t>교육일잡비</t>
  </si>
  <si>
    <t>리워크 및 업무지원 출장</t>
  </si>
  <si>
    <t>고객사 및 해외자동차 박람회</t>
  </si>
  <si>
    <t>사외교육</t>
  </si>
  <si>
    <t>사이버 연수원 교육비</t>
  </si>
  <si>
    <t>업체 샘플 발송 및 수신</t>
  </si>
  <si>
    <t>우편</t>
  </si>
  <si>
    <t>DHL</t>
  </si>
  <si>
    <t>외근시 주차비</t>
  </si>
  <si>
    <t>고객 식사접대 및 선물</t>
  </si>
  <si>
    <t>항공권 지급 수수료</t>
  </si>
  <si>
    <t>설계 관련 도서 구매</t>
  </si>
  <si>
    <t>특허 출원 및 유지 비용</t>
  </si>
  <si>
    <t>사무 비품 구매 비용</t>
  </si>
  <si>
    <t>사무 문구 구매 비용</t>
  </si>
  <si>
    <t>선행과제 샘플 제작 등</t>
  </si>
  <si>
    <t>신뢰성평가 및 지그 비용</t>
  </si>
  <si>
    <t>해석 Tool 유지 비용</t>
  </si>
  <si>
    <t>연구소 안전진단 비용</t>
  </si>
  <si>
    <t>안전 위생 보호 장비 구매 비용</t>
  </si>
  <si>
    <t>외근 식대: 208,000원/월 (13,000원/1인)</t>
  </si>
  <si>
    <t>특근, 훈련 및 회의시 식대: 65,000원/월</t>
  </si>
  <si>
    <t>교육시 여비교통비: 50,000원/월</t>
  </si>
  <si>
    <t>국내출장여비 (프로젝트 대응, 제작점검, 업무지원 등): 100,000원/월</t>
  </si>
  <si>
    <t>사외교육: 500,000원/월</t>
  </si>
  <si>
    <t>택배 (업체 샘플 발송 및 수신): 15,000원/월</t>
  </si>
  <si>
    <t>주차비 : 20,000원/월</t>
  </si>
  <si>
    <t>고객사/협력사 접식대, 선물 및 다과 구매: 250,000원/월</t>
  </si>
  <si>
    <t>기술자문비용_구루이앤이: 8,300,000원/월 (단, 12월은 8,700,000원)</t>
  </si>
  <si>
    <t>IPC 회원사 가입 : 6,200,000원/년 (12월 집행. $4,200)</t>
  </si>
  <si>
    <t>설계 관련 도서 구매(IPC 규격 등): 200,000원/월</t>
  </si>
  <si>
    <t>기술연구, 샘플제작, 부품/장비 구매 등 비용 : 2,000,000원/월</t>
  </si>
  <si>
    <t>설계 전용 공구/기타 소모품 구매 : 100,000원/월</t>
  </si>
  <si>
    <t>사무 용품 구매 : 100,000원/월</t>
  </si>
  <si>
    <t>Ford 팀센터 연간 유지비 (2copy): 5,700,000원/년</t>
  </si>
  <si>
    <t>시뮬레이션(해석)/시험 비용: 1,000,000원/월</t>
  </si>
  <si>
    <t>국내 출장 여비 및 교통비: 100,000원/월</t>
  </si>
  <si>
    <t>고객접대(LG/SK/Ford/기타): 300,000원/월 (SKon 남동공단 방문 대응 등)</t>
  </si>
  <si>
    <t>외근 유류비: 400,000원/월</t>
  </si>
  <si>
    <t>특근 및 야근 식대: 100,000원/월</t>
  </si>
  <si>
    <t>평가 : 주 1회/인, 시작 : 주 5회/3인 (프로젝트 운영 시): 13,000원/건</t>
  </si>
  <si>
    <t>CE1 외 신규 프로젝트 시작 업무 관련 해외출장</t>
  </si>
  <si>
    <t>시험 설비 수리비 외</t>
  </si>
  <si>
    <t>연 1회, 시험장비 및 계측기 검교정 진행</t>
  </si>
  <si>
    <t>연 1회, 방사선발생장치 등록면허세 납부</t>
  </si>
  <si>
    <t>PV - 진동시험 비용 기준</t>
  </si>
  <si>
    <t>4M - CNT 위치변경 및 FPCB 설계 변경 및 양산정기시험</t>
  </si>
  <si>
    <t>양산정기 - 스펙 미확정 → 예상 견적 기입</t>
  </si>
  <si>
    <t>양산정기 - 분석 및 환경 시험</t>
  </si>
  <si>
    <t>양산정기</t>
  </si>
  <si>
    <t>DV - 상세 시험 항목 추후 협의 예정</t>
  </si>
  <si>
    <t>월 평균 20회 산출 (재고실사, 협력사 점검 등)</t>
  </si>
  <si>
    <t>국내 출장 (허밍 재고실사 4회 *2명)</t>
  </si>
  <si>
    <t>1인 년 2회 = 30,000원 * 2회 * 8명 = 480,000</t>
  </si>
  <si>
    <t>25년 예산 월 500,000원 (25년 1~9월 실적 3,195,848 / 월 평균 435,000원 비용 집행)</t>
  </si>
  <si>
    <t>25년 예산과 동일</t>
  </si>
  <si>
    <t>주차료 등 월 60,000원</t>
  </si>
  <si>
    <t>인사총무팀(임금)</t>
  </si>
  <si>
    <t>인사총무팀(육성)</t>
  </si>
  <si>
    <t>인사총무팀(후생)</t>
  </si>
  <si>
    <t>협력사, 해외공장 현지화 및 점검: 6,666,667원/월 (년간 8000만원)</t>
  </si>
  <si>
    <t>고객사, 협력사 접식대, 선물대, 경조금: 1,200,000원/월</t>
  </si>
  <si>
    <t>샘플 제작용 자재 구매(EREV T3H TPV 샘플공급), 선행 개발 대응</t>
  </si>
  <si>
    <t>생산 샘플 품질검증 - 남동공단 (프로젝트 Hold)</t>
  </si>
  <si>
    <t>KSCE EV-V4, KSCCZ CE1, S750 W/H (※ EV2020 BFA 설계변경 출장 LGES 부담 비용 반영 제외, KSGP 전산화 협업 IT팀 일정 미확정 당해년 출장 제외, 그외 인원/일정 축소 등)</t>
  </si>
  <si>
    <t>고객 사업장 방문/관계사/해외사업장 접대 등 고객대응 (북미사업부 출장 기간 접대비 제외)</t>
  </si>
  <si>
    <t>해외사업장/국내 외주생산 제품 고품분석 의뢰에 따른 외부기관 분석 비용 (SKO 관련 고품분석 비용 축소)</t>
  </si>
  <si>
    <t>해외출장 항공비 지급수수료 (26년 북미 출장 계획 취소)</t>
  </si>
  <si>
    <t xml:space="preserve">국제규격(IPC, CQI), 완성차 요구사항 등 구매 비용 - 전장설계1팀 구매요청 </t>
  </si>
  <si>
    <t>협력사 점검 외근 식대 : 156,000원/월</t>
  </si>
  <si>
    <t xml:space="preserve">품질 업무 능력 향상 교육훈련: 800,000/월 </t>
  </si>
  <si>
    <t>협력사 점검, 고객사 대응 출장 : 200,000원/월</t>
  </si>
  <si>
    <t>해외사업장 품질 업무 대응 출장: 2,800,000원/월</t>
  </si>
  <si>
    <t xml:space="preserve">외근식대: 13,000원/인 (1회/월 x 7명로 축소)｜협력사/고객사 대응    ▶ 2회 → 1회 축소 </t>
  </si>
  <si>
    <t xml:space="preserve">고객접대(SK/LG/Ford/기타): '25년 450,000/월 대비 축소｜SKON, FORD 등 고객 대응｜SKON : BEV-K/V 외 / FORD : EV-V4 외｜고객 동반 해외 출장 대응   ▶ SKO BEV-K/V 접대비 제외 </t>
  </si>
  <si>
    <t>고객사 대응/해외사업장 출장 지원 등(900만원/분기). 터키, 세르비아 외 계획   ▶ 튀르키예, 세르비아로 출장지 축소로 비용 감축 (SKO BEV-K/V 출장 제외)</t>
  </si>
  <si>
    <t xml:space="preserve">해외 DHL 발송: 분기당 60만원 → '25년과 동일   ▶ 20만원 → 10만원 비용 축소 (SKO BEV-G,H,K,V DHL 비용 제외)
</t>
  </si>
  <si>
    <t>협력사/고객사 샘플 발송(택배): 분기당 9만원 → '25년과 동일  ▶ SKO BEV-K/V 샘플 공급 등의 행위 삭제 (월 3만원 → 1.5만원)</t>
  </si>
  <si>
    <t>여권/비자 발급 및 항공권 취급 수수료: 분기당 21만원 → '25년과 동일  ▶ SKO BEV-K/V 출장 제외 (월 7만원 → 5만원)</t>
  </si>
  <si>
    <t xml:space="preserve">시험 수수료: 월 10만원    </t>
  </si>
  <si>
    <t>해외출장여비 (프로젝트 대응, 제작점검, 전시회 참석 등): 2,000,000원/월</t>
  </si>
  <si>
    <t>분석시험실 소모품 : 몰딩액 등 월 70만원, 시작운영 소모품 구매 : 100,,000원/월</t>
  </si>
  <si>
    <t>DV(2P10S, 2P12S,1P20S,1P24S) - 120,000,000원/1variant*4 → 내부 시험 통한 비용 절감 반영</t>
  </si>
  <si>
    <t>25년 이월 비용 : 45,500,000원 → 25년 시험 완료, 비용은 26년 집행)</t>
  </si>
  <si>
    <t>해외 출장 (2인, 1,2,4분기 : KSCE &amp; 3분기 : KSGP)
- 1분기 KSCE 2명 반영(2주) -&gt; 시스템 유효성 검증
- 3분기 KSCE 2명(4주) -&gt; Local SCM 구축
- 4분기 KSGP 2명 반영(4주) -&gt; 관리지표 구축</t>
  </si>
  <si>
    <t>기존 계획 350,600,000원 / -12,600,000원 / 3.6%감소</t>
  </si>
  <si>
    <t>기존 계획 18,300,000원 / -400,000원 / 2.2%감소</t>
  </si>
  <si>
    <t>기존 계획 422,000,000원 / -11,000,000원 / 2.6%감소</t>
  </si>
  <si>
    <t>1. CC율: KSCI 20%, KSCE 3%</t>
  </si>
  <si>
    <t>'26년 신규</t>
  </si>
  <si>
    <t>EOL 설비개조 외</t>
  </si>
  <si>
    <t>디지털조립판도 외</t>
  </si>
  <si>
    <t>SKOn FORD BEV-K SMA/BSA 1라인</t>
  </si>
  <si>
    <t>2026년
계   획</t>
    <phoneticPr fontId="7" type="noConversion"/>
  </si>
  <si>
    <t>사무직 : 기본급, 기능직 : 기본급/주휴수당</t>
  </si>
  <si>
    <t>사무직 : 역할급, 통상수당, 기능직 : 통상수당</t>
  </si>
  <si>
    <t>연장/휴일/휴일연장/심야/대체휴무수당</t>
  </si>
  <si>
    <t>퇴직충당금</t>
  </si>
  <si>
    <t>26년 연월차수당 정산</t>
  </si>
  <si>
    <t>대학 16학기(100%), 고교상한(45만원), 중학교입학금(20만원), 유치원지원금(년2회限, 30만원), 25년 대학수험생 및 중학교 입학반영</t>
  </si>
  <si>
    <t>예비군훈련, 1일 4시간 이상 훈련시, 식대 5000원 지원</t>
  </si>
  <si>
    <t>건강보험 3.595%, 요양보험 13.14% (인상 ↑)</t>
  </si>
  <si>
    <t>26.01~06월 4.50%, 26.07~12월 4.75% / 26년 정년(월)이후 제외 반영</t>
  </si>
  <si>
    <t>사업주 부담금 : 고용보험료(실업+고용안정직업능력)1.35%</t>
  </si>
  <si>
    <t>사외교육 집행</t>
  </si>
  <si>
    <t>사내포상 기준 포상금지급(장기근속, 우수모범사원, 캐치프레이즈 등)</t>
  </si>
  <si>
    <t>문구류구매</t>
  </si>
  <si>
    <t>노트북/모니터 구매</t>
  </si>
  <si>
    <t>대리운전</t>
  </si>
  <si>
    <t>설계용 소프트웨어</t>
  </si>
  <si>
    <t>SAP S/4 HANA</t>
  </si>
  <si>
    <t>IT 유지보수 실비정산</t>
  </si>
  <si>
    <t>사업용 솔루션 유지보수(전장)</t>
  </si>
  <si>
    <t>렌터카</t>
  </si>
  <si>
    <t>세차</t>
  </si>
  <si>
    <t>외근출장유류</t>
  </si>
  <si>
    <t>장기근속포상</t>
  </si>
  <si>
    <t>동호회비</t>
  </si>
  <si>
    <t>화환(결혼,부고)</t>
  </si>
  <si>
    <t>경조금(결혼,부고)</t>
  </si>
  <si>
    <t>장례지원도우미/조사용품</t>
  </si>
  <si>
    <t>생산성향상식비</t>
  </si>
  <si>
    <t>행사지원비</t>
  </si>
  <si>
    <t>복지몰</t>
  </si>
  <si>
    <t>단체보험</t>
  </si>
  <si>
    <t>건강검진</t>
  </si>
  <si>
    <t>전장시험라인 구축(SEM)</t>
  </si>
  <si>
    <t>전장시험라인 구축(현미경)</t>
  </si>
  <si>
    <t>전장시험라인 구축(X-ray)</t>
  </si>
  <si>
    <t>전장시험라인 구축(인장시험기)</t>
  </si>
  <si>
    <t>전장시험라인 구축(자동연마기 외)</t>
  </si>
  <si>
    <t>전장시험라인 구축(냉난방기)</t>
  </si>
  <si>
    <t>상무보 : 400만원</t>
  </si>
  <si>
    <t>상무 : 600만원</t>
  </si>
  <si>
    <t>비인원 : 200만원</t>
  </si>
  <si>
    <t>상무보 : 150만원</t>
  </si>
  <si>
    <t>상무 : 200만원</t>
  </si>
  <si>
    <t>사업부장 : 1000만원</t>
  </si>
  <si>
    <t>부서지원비 : 인당 4만원/월</t>
  </si>
  <si>
    <t>임원교류회 20만원/인 격월(5,10월 홀딩스 주관)</t>
  </si>
  <si>
    <t>운반비_기타</t>
  </si>
  <si>
    <t>운반비</t>
    <phoneticPr fontId="7" type="noConversion"/>
  </si>
  <si>
    <t>인사총무팀(진단)</t>
  </si>
  <si>
    <t>FORD P833 CE1</t>
  </si>
  <si>
    <t>FORD ev-V4</t>
  </si>
  <si>
    <t>르노 EV2020</t>
  </si>
  <si>
    <t>LGES ISUZU</t>
  </si>
  <si>
    <t>SK on VW MEB (GEN1)</t>
  </si>
  <si>
    <t>BMW 12V HAF</t>
  </si>
  <si>
    <t>FORD S750 HV W/H</t>
  </si>
  <si>
    <t>PJT</t>
    <phoneticPr fontId="7" type="noConversion"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</si>
</sst>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6">
    <x:numFmt numFmtId="41" formatCode="_-* #,##0_-;\-* #,##0_-;_-* &quot;-&quot;_-;_-@_-"/>
    <x:numFmt numFmtId="43" formatCode="_-* #,##0.00_-;\-* #,##0.00_-;_-* &quot;-&quot;??_-;_-@_-"/>
    <x:numFmt numFmtId="176" formatCode="#,##0_ "/>
    <x:numFmt numFmtId="177" formatCode="0.0%"/>
    <x:numFmt numFmtId="178" formatCode="0.0000%"/>
    <x:numFmt numFmtId="179" formatCode="##&quot;월&quot;"/>
    <x:numFmt numFmtId="180" formatCode="#,##0,,"/>
    <x:numFmt numFmtId="181" formatCode="#,##0.0_ "/>
    <x:numFmt numFmtId="182" formatCode="0_);[Red]\(0\)"/>
    <x:numFmt numFmtId="183" formatCode="#,##0.00_ "/>
    <x:numFmt numFmtId="184" formatCode="#,##0.0000000000000_ "/>
    <x:numFmt numFmtId="185" formatCode="#,##0.0,,"/>
    <x:numFmt numFmtId="186" formatCode="0.00000%"/>
    <x:numFmt numFmtId="187" formatCode="#,##0.000"/>
    <x:numFmt numFmtId="188" formatCode="_-* #,##0.00_-;\-* #,##0.00_-;_-* &quot;-&quot;_-;_-@_-"/>
    <x:numFmt numFmtId="189" formatCode="_-* #,##0.0_-;\-* #,##0.0_-;_-* &quot;-&quot;_-;_-@_-"/>
  </x:numFmts>
  <x:fonts count="73">
    <x:font>
      <x:sz val="10"/>
      <x:name val="Arial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0"/>
      <x:name val="Arial"/>
      <x:family val="2"/>
    </x:font>
    <x:font>
      <x:sz val="8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0"/>
      <x:name val="Arial"/>
      <x:family val="2"/>
    </x:font>
    <x:font>
      <x:b/>
      <x:sz val="10"/>
      <x:name val="맑은 고딕"/>
      <x:family val="3"/>
      <x:charset val="129"/>
      <x:scheme val="minor"/>
    </x:font>
    <x:font>
      <x:sz val="10"/>
      <x:name val="Calibri"/>
      <x:family val="2"/>
    </x:font>
    <x:font>
      <x:b/>
      <x:sz val="13"/>
      <x:name val="Calibri"/>
      <x:family val="2"/>
    </x:font>
    <x:font>
      <x:b/>
      <x:sz val="10"/>
      <x:name val="Calibri"/>
      <x:family val="2"/>
    </x:font>
    <x:font>
      <x:sz val="8"/>
      <x:name val="맑은 고딕"/>
      <x:family val="2"/>
      <x:charset val="129"/>
      <x:scheme val="minor"/>
    </x:font>
    <x:font>
      <x:sz val="12"/>
      <x:name val="宋体"/>
      <x:family val="3"/>
      <x:charset val="255"/>
    </x:font>
    <x:font>
      <x:sz val="11"/>
      <x:color indexed="20"/>
      <x:name val="宋体"/>
      <x:family val="3"/>
      <x:charset val="255"/>
    </x:font>
    <x:font>
      <x:sz val="11"/>
      <x:color indexed="17"/>
      <x:name val="宋体"/>
      <x:family val="3"/>
      <x:charset val="255"/>
    </x:font>
    <x:font>
      <x:b/>
      <x:sz val="15"/>
      <x:color indexed="56"/>
      <x:name val="宋体"/>
      <x:family val="3"/>
      <x:charset val="255"/>
    </x:font>
    <x:font>
      <x:b/>
      <x:sz val="13"/>
      <x:color indexed="56"/>
      <x:name val="宋体"/>
      <x:family val="3"/>
      <x:charset val="255"/>
    </x:font>
    <x:font>
      <x:b/>
      <x:sz val="11"/>
      <x:color indexed="56"/>
      <x:name val="宋体"/>
      <x:family val="3"/>
      <x:charset val="255"/>
    </x:font>
    <x:font>
      <x:sz val="11"/>
      <x:color indexed="60"/>
      <x:name val="宋体"/>
      <x:family val="3"/>
      <x:charset val="255"/>
    </x:font>
    <x:font>
      <x:b/>
      <x:sz val="18"/>
      <x:color indexed="56"/>
      <x:name val="宋体"/>
      <x:family val="3"/>
      <x:charset val="255"/>
    </x:font>
    <x:font>
      <x:sz val="11"/>
      <x:color indexed="10"/>
      <x:name val="宋体"/>
      <x:family val="3"/>
      <x:charset val="255"/>
    </x:font>
    <x:font>
      <x:sz val="11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15"/>
      <x:name val="맑은 고딕"/>
      <x:family val="3"/>
      <x:charset val="129"/>
      <x:scheme val="minor"/>
    </x:font>
    <x:font>
      <x:b/>
      <x:sz val="13"/>
      <x:name val="맑은 고딕"/>
      <x:family val="3"/>
      <x:charset val="129"/>
      <x:scheme val="minor"/>
    </x:font>
    <x:font>
      <x:b/>
      <x:sz val="13"/>
      <x:color theme="5"/>
      <x:name val="맑은 고딕"/>
      <x:family val="3"/>
      <x:charset val="129"/>
      <x:scheme val="minor"/>
    </x:font>
    <x:font>
      <x:sz val="11"/>
      <x:color rgb="FFFF0000"/>
      <x:name val="맑은 고딕"/>
      <x:family val="3"/>
      <x:charset val="129"/>
      <x:scheme val="minor"/>
    </x:font>
    <x:font>
      <x:b/>
      <x:sz val="11"/>
      <x:color theme="0"/>
      <x:name val="맑은 고딕"/>
      <x:family val="3"/>
      <x:charset val="129"/>
      <x:scheme val="minor"/>
    </x:font>
    <x:font>
      <x:sz val="11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b/>
      <x:sz val="14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ajor"/>
    </x:font>
    <x:font>
      <x:sz val="10"/>
      <x:name val="돋움"/>
      <x:family val="3"/>
      <x:charset val="129"/>
    </x:font>
    <x:font>
      <x:sz val="10"/>
      <x:name val="맑은 고딕"/>
      <x:family val="3"/>
      <x:charset val="129"/>
    </x:font>
    <x:font>
      <x:b/>
      <x:sz val="10"/>
      <x:color theme="1"/>
      <x:name val="Arial"/>
      <x:family val="2"/>
    </x:font>
    <x:font>
      <x:b/>
      <x:sz val="14"/>
      <x:name val="맑은 고딕"/>
      <x:family val="3"/>
      <x:charset val="129"/>
      <x:scheme val="major"/>
    </x:font>
    <x:font>
      <x:b/>
      <x:sz val="10"/>
      <x:color theme="1"/>
      <x:name val="맑은 고딕"/>
      <x:family val="3"/>
      <x:charset val="129"/>
    </x:font>
    <x:font>
      <x:b/>
      <x:sz val="9"/>
      <x:color indexed="81"/>
      <x:name val="Tahoma"/>
      <x:family val="2"/>
    </x:font>
    <x:font>
      <x:b/>
      <x:sz val="9"/>
      <x:color indexed="81"/>
      <x:name val="돋움"/>
      <x:family val="3"/>
      <x:charset val="129"/>
    </x:font>
    <x:font>
      <x:sz val="9"/>
      <x:color indexed="81"/>
      <x:name val="Tahoma"/>
      <x:family val="2"/>
    </x:font>
    <x:font>
      <x:sz val="10"/>
      <x:color theme="1"/>
      <x:name val="Arial"/>
      <x:family val="2"/>
    </x:font>
    <x:font>
      <x:sz val="10"/>
      <x:color rgb="FF0000FF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굴림"/>
      <x:family val="3"/>
      <x:charset val="129"/>
    </x:font>
    <x:font>
      <x:b/>
      <x:sz val="10"/>
      <x:name val="Arial"/>
      <x:family val="2"/>
    </x:font>
    <x:font>
      <x:sz val="10"/>
      <x:color theme="1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</x:font>
    <x:font>
      <x:sz val="10"/>
      <x:name val="Arial Unicode MS"/>
      <x:family val="2"/>
    </x:font>
    <x:font>
      <x:b/>
      <x:sz val="10"/>
      <x:color theme="1"/>
      <x:name val="Arial Unicode MS"/>
      <x:family val="2"/>
      <x:charset val="129"/>
    </x:font>
    <x:font>
      <x:sz val="10"/>
      <x:name val="Arial Unicode MS"/>
      <x:family val="2"/>
      <x:charset val="129"/>
    </x:font>
    <x:font>
      <x:sz val="20"/>
      <x:color theme="1"/>
      <x:name val="맑은 고딕"/>
      <x:family val="3"/>
      <x:charset val="129"/>
      <x:scheme val="minor"/>
    </x:font>
    <x:font>
      <x:b/>
      <x:sz val="13"/>
      <x:color theme="1"/>
      <x:name val="맑은 고딕"/>
      <x:family val="3"/>
      <x:charset val="129"/>
      <x:scheme val="minor"/>
    </x:font>
    <x:font>
      <x:sz val="13"/>
      <x:color theme="1"/>
      <x:name val="맑은 고딕"/>
      <x:family val="3"/>
      <x:charset val="129"/>
      <x:scheme val="minor"/>
    </x:font>
    <x:font>
      <x:sz val="10"/>
      <x:color theme="0"/>
      <x:name val="Arial"/>
      <x:family val="2"/>
    </x:font>
    <x:font>
      <x:sz val="10"/>
      <x:color theme="0"/>
      <x:name val="맑은 고딕"/>
      <x:family val="2"/>
      <x:charset val="129"/>
    </x:font>
    <x:font>
      <x:sz val="10"/>
      <x:color theme="0"/>
      <x:name val="맑은 고딕"/>
      <x:family val="3"/>
      <x:charset val="129"/>
      <x:scheme val="minor"/>
    </x:font>
    <x:font>
      <x:sz val="10"/>
      <x:color theme="0"/>
      <x:name val="Arial Unicode MS"/>
      <x:family val="2"/>
      <x:charset val="129"/>
    </x:font>
    <x:font>
      <x:b/>
      <x:i/>
      <x:sz val="10"/>
      <x:name val="맑은 고딕"/>
      <x:family val="3"/>
      <x:charset val="129"/>
      <x:scheme val="minor"/>
    </x:font>
    <x:font>
      <x:b/>
      <x:i/>
      <x:sz val="11"/>
      <x:name val="맑은 고딕"/>
      <x:family val="3"/>
      <x:charset val="129"/>
      <x:scheme val="minor"/>
    </x:font>
    <x:font>
      <x:i/>
      <x:sz val="11"/>
      <x:name val="맑은 고딕"/>
      <x:family val="3"/>
      <x:charset val="129"/>
      <x:scheme val="minor"/>
    </x:font>
    <x:font>
      <x:i/>
      <x:sz val="10"/>
      <x:color theme="0"/>
      <x:name val="Arial"/>
      <x:family val="2"/>
    </x:font>
    <x:font>
      <x:sz val="10"/>
      <x:color rgb="FF0000FF"/>
      <x:name val="Arial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15"/>
      <x:color theme="1"/>
      <x:name val="맑은 고딕"/>
      <x:family val="3"/>
      <x:charset val="129"/>
      <x:scheme val="minor"/>
    </x:font>
    <x:font>
      <x:sz val="10"/>
      <x:name val="Arial Unicode MS"/>
      <x:family val="2"/>
    </x:font>
    <x:font>
      <x:sz val="10"/>
      <x:name val="굴림"/>
      <x:family val="3"/>
      <x:charset val="129"/>
    </x:font>
    <x:font>
      <x:b/>
      <x:sz val="8"/>
      <x:color theme="0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2"/>
      <x:charset val="129"/>
    </x:font>
  </x:fonts>
  <x:fills count="29">
    <x:fill>
      <x:patternFill patternType="none"/>
    </x:fill>
    <x:fill>
      <x:patternFill patternType="gray125"/>
    </x:fill>
    <x:fill>
      <x:patternFill patternType="solid">
        <x:fgColor theme="8" tint="0.79998168889431442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indexed="26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indexed="19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6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4" tint="-0.499984740745262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theme="3" tint="0.79998168889431442"/>
        <x:bgColor indexed="64"/>
      </x:patternFill>
    </x:fill>
  </x:fills>
  <x:borders count="10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hair">
        <x:color theme="0" tint="-0.34998626667073579"/>
      </x:right>
      <x:top/>
      <x:bottom/>
      <x:diagonal/>
    </x:border>
    <x:border>
      <x:left style="hair">
        <x:color theme="0" tint="-0.34998626667073579"/>
      </x:left>
      <x:right/>
      <x:top/>
      <x:bottom/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/>
      <x:right style="thin">
        <x:color theme="0" tint="-0.14996795556505021"/>
      </x:right>
      <x:top/>
      <x:bottom/>
      <x:diagonal/>
    </x:border>
    <x:border>
      <x:left/>
      <x:right style="hair">
        <x:color theme="0" tint="-0.24994659260841701"/>
      </x:right>
      <x:top/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medium">
        <x:color theme="0" tint="-0.34998626667073579"/>
      </x:bottom>
      <x:diagonal/>
    </x:border>
    <x:border>
      <x:left/>
      <x:right style="hair">
        <x:color theme="0" tint="-0.24994659260841701"/>
      </x:right>
      <x:top/>
      <x:bottom style="medium">
        <x:color theme="0" tint="-0.34998626667073579"/>
      </x:bottom>
      <x:diagonal/>
    </x:border>
    <x:border>
      <x:left style="hair">
        <x:color theme="0" tint="-0.34998626667073579"/>
      </x:left>
      <x:right/>
      <x:top/>
      <x:bottom style="medium">
        <x:color theme="0" tint="-0.34998626667073579"/>
      </x:bottom>
      <x:diagonal/>
    </x:border>
    <x:border>
      <x:left/>
      <x:right style="hair">
        <x:color theme="0" tint="-0.34998626667073579"/>
      </x:right>
      <x:top/>
      <x:bottom style="medium">
        <x:color theme="0" tint="-0.34998626667073579"/>
      </x:bottom>
      <x:diagonal/>
    </x:border>
    <x:border>
      <x:left/>
      <x:right/>
      <x:top/>
      <x:bottom style="thin">
        <x:color theme="4" tint="0.39997558519241921"/>
      </x:bottom>
      <x:diagonal/>
    </x:border>
    <x:border>
      <x:left/>
      <x:right/>
      <x:top style="thin">
        <x:color theme="4" tint="0.39997558519241921"/>
      </x:top>
      <x:bottom/>
      <x:diagonal/>
    </x:border>
    <x:border>
      <x:left/>
      <x:right style="hair">
        <x:color theme="0" tint="-0.24994659260841701"/>
      </x:right>
      <x:top/>
      <x:bottom style="thin">
        <x:color theme="0"/>
      </x:bottom>
      <x:diagonal/>
    </x:border>
    <x:border>
      <x:left/>
      <x:right/>
      <x:top/>
      <x:bottom style="thin">
        <x:color theme="0"/>
      </x:bottom>
      <x:diagonal/>
    </x:border>
    <x:border>
      <x:left style="hair">
        <x:color theme="0" tint="-0.34998626667073579"/>
      </x:left>
      <x:right/>
      <x:top/>
      <x:bottom style="thin">
        <x:color theme="0"/>
      </x:bottom>
      <x:diagonal/>
    </x:border>
    <x:border>
      <x:left/>
      <x:right style="hair">
        <x:color theme="0" tint="-0.34998626667073579"/>
      </x:right>
      <x:top/>
      <x:bottom style="thin">
        <x:color theme="0"/>
      </x:bottom>
      <x:diagonal/>
    </x:border>
    <x:border>
      <x:left/>
      <x:right style="hair">
        <x:color theme="0" tint="-0.24994659260841701"/>
      </x:right>
      <x:top style="thin">
        <x:color theme="0"/>
      </x:top>
      <x:bottom style="thin">
        <x:color theme="0"/>
      </x:bottom>
      <x:diagonal/>
    </x:border>
    <x:border>
      <x:left/>
      <x:right/>
      <x:top style="thin">
        <x:color theme="0"/>
      </x:top>
      <x:bottom style="thin">
        <x:color theme="0"/>
      </x:bottom>
      <x:diagonal/>
    </x:border>
    <x:border>
      <x:left style="hair">
        <x:color theme="0" tint="-0.34998626667073579"/>
      </x:left>
      <x:right/>
      <x:top style="thin">
        <x:color theme="0"/>
      </x:top>
      <x:bottom style="thin">
        <x:color theme="0"/>
      </x:bottom>
      <x:diagonal/>
    </x:border>
    <x:border>
      <x:left/>
      <x:right style="hair">
        <x:color theme="0" tint="-0.34998626667073579"/>
      </x:right>
      <x:top style="thin">
        <x:color theme="0"/>
      </x:top>
      <x:bottom style="thin">
        <x:color theme="0"/>
      </x:bottom>
      <x:diagonal/>
    </x:border>
    <x:border>
      <x:left style="hair">
        <x:color theme="0" tint="-0.34998626667073579"/>
      </x:left>
      <x:right style="hair">
        <x:color theme="0" tint="-0.34998626667073579"/>
      </x:right>
      <x:top/>
      <x:bottom/>
      <x:diagonal/>
    </x:border>
    <x:border>
      <x:left style="hair">
        <x:color theme="0" tint="-4.9989318521683403E-2"/>
      </x:left>
      <x:right/>
      <x:top/>
      <x:bottom style="thin">
        <x:color theme="0"/>
      </x:bottom>
      <x:diagonal/>
    </x:border>
    <x:border>
      <x:left style="hair">
        <x:color theme="0" tint="-4.9989318521683403E-2"/>
      </x:left>
      <x:right/>
      <x:top style="thin">
        <x:color theme="0"/>
      </x:top>
      <x:bottom style="thin">
        <x:color theme="0"/>
      </x:bottom>
      <x:diagonal/>
    </x:border>
    <x:border>
      <x:left style="medium">
        <x:color rgb="FFFF0000"/>
      </x:left>
      <x:right style="medium">
        <x:color rgb="FFFF0000"/>
      </x:right>
      <x:top style="medium">
        <x:color rgb="FFFF0000"/>
      </x:top>
      <x:bottom/>
      <x:diagonal/>
    </x:border>
    <x:border>
      <x:left style="medium">
        <x:color rgb="FFFF0000"/>
      </x:left>
      <x:right style="medium">
        <x:color rgb="FFFF0000"/>
      </x:right>
      <x:top/>
      <x:bottom/>
      <x:diagonal/>
    </x:border>
    <x:border>
      <x:left style="medium">
        <x:color rgb="FFFF0000"/>
      </x:left>
      <x:right style="medium">
        <x:color rgb="FFFF0000"/>
      </x:right>
      <x:top/>
      <x:bottom style="medium">
        <x:color rgb="FFFF0000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/>
      <x:top style="thin">
        <x:color theme="4"/>
      </x:top>
      <x:bottom style="thin">
        <x:color theme="4"/>
      </x:bottom>
      <x:diagonal/>
    </x:border>
    <x:border>
      <x:left style="medium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/>
      <x:top style="thin">
        <x:color theme="4" tint="0.39991454817346722"/>
      </x:top>
      <x:bottom style="thin">
        <x:color theme="4" tint="0.39991454817346722"/>
      </x:bottom>
      <x:diagonal/>
    </x:border>
    <x:border>
      <x:left/>
      <x:right style="thin">
        <x:color theme="4" tint="0.399945066682943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/>
      <x:top/>
      <x:bottom/>
      <x:diagonal/>
    </x:border>
    <x:border>
      <x:left/>
      <x:right style="thin">
        <x:color theme="4" tint="0.39994506668294322"/>
      </x:right>
      <x:top/>
      <x:bottom/>
      <x:diagonal/>
    </x:border>
    <x:border>
      <x:left style="thin">
        <x:color theme="4" tint="0.39994506668294322"/>
      </x:left>
      <x:right style="thin">
        <x:color theme="4" tint="0.39994506668294322"/>
      </x:right>
      <x:top/>
      <x:bottom style="hair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/>
      <x:bottom style="hair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hair">
        <x:color theme="4" tint="0.39991454817346722"/>
      </x:top>
      <x:bottom style="hair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hair">
        <x:color theme="4" tint="0.39991454817346722"/>
      </x:top>
      <x:bottom style="hair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hair">
        <x:color theme="4" tint="0.39991454817346722"/>
      </x:top>
      <x:bottom/>
      <x:diagonal/>
    </x:border>
    <x:border>
      <x:left style="thin">
        <x:color theme="4" tint="0.39994506668294322"/>
      </x:left>
      <x:right style="medium">
        <x:color theme="4" tint="0.39994506668294322"/>
      </x:right>
      <x:top style="hair">
        <x:color theme="4" tint="0.39991454817346722"/>
      </x:top>
      <x:bottom/>
      <x:diagonal/>
    </x:border>
    <x:border>
      <x:left style="medium">
        <x:color theme="4" tint="0.39994506668294322"/>
      </x:left>
      <x:right/>
      <x:top style="thin">
        <x:color theme="4" tint="0.39991454817346722"/>
      </x:top>
      <x:bottom style="medium">
        <x:color theme="4" tint="0.39994506668294322"/>
      </x:bottom>
      <x:diagonal/>
    </x:border>
    <x:border>
      <x:left/>
      <x:right style="thin">
        <x:color theme="4" tint="0.39994506668294322"/>
      </x:right>
      <x:top style="thin">
        <x:color theme="4" tint="0.39991454817346722"/>
      </x:top>
      <x:bottom style="medium">
        <x:color theme="4" tint="0.399945066682943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thin">
        <x:color theme="4" tint="0.39991454817346722"/>
      </x:top>
      <x:bottom style="medium">
        <x:color theme="4" tint="0.399945066682943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thin">
        <x:color theme="4" tint="0.39991454817346722"/>
      </x:top>
      <x:bottom style="medium">
        <x:color theme="4" tint="0.39994506668294322"/>
      </x:bottom>
      <x:diagonal/>
    </x:border>
    <x:border>
      <x:left style="medium">
        <x:color theme="4" tint="0.39991454817346722"/>
      </x:left>
      <x:right style="thin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medium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medium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medium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medium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thin">
        <x:color theme="4" tint="0.39991454817346722"/>
      </x:left>
      <x:right style="medium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45066682943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45066682943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medium">
        <x:color theme="4" tint="0.39994506668294322"/>
      </x:top>
      <x:bottom style="thin">
        <x:color theme="4" tint="0.39994506668294322"/>
      </x:bottom>
      <x:diagonal/>
    </x:border>
    <x:border>
      <x:left style="medium">
        <x:color theme="4" tint="0.39994506668294322"/>
      </x:left>
      <x:right style="thin">
        <x:color theme="4" tint="0.39994506668294322"/>
      </x:right>
      <x:top style="thin">
        <x:color theme="4" tint="0.39994506668294322"/>
      </x:top>
      <x:bottom style="medium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thin">
        <x:color theme="4" tint="0.39994506668294322"/>
      </x:top>
      <x:bottom style="medium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thin">
        <x:color theme="4" tint="0.39994506668294322"/>
      </x:top>
      <x:bottom style="medium">
        <x:color theme="4" tint="0.39991454817346722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/>
      <x:diagonal/>
    </x:border>
    <x:border>
      <x:left style="thin">
        <x:color theme="4" tint="0.39991454817346722"/>
      </x:left>
      <x:right style="medium">
        <x:color theme="4" tint="0.39991454817346722"/>
      </x:right>
      <x:top style="thin">
        <x:color theme="4" tint="0.39991454817346722"/>
      </x:top>
      <x:bottom/>
      <x:diagonal/>
    </x:border>
    <x:border>
      <x:left style="medium">
        <x:color theme="4" tint="0.39994506668294322"/>
      </x:left>
      <x:right style="thin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1454817346722"/>
      </x:right>
      <x:top/>
      <x:bottom style="thin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/>
      <x:bottom style="thin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thin">
        <x:color theme="0" tint="-0.499984740745262"/>
      </x:left>
      <x:right style="thin">
        <x:color theme="0" tint="-0.499984740745262"/>
      </x:right>
      <x:top/>
      <x:bottom/>
      <x:diagonal/>
    </x:border>
    <x:border>
      <x:left/>
      <x:right style="thin">
        <x:color theme="0" tint="-0.499984740745262"/>
      </x:right>
      <x:top/>
      <x:bottom/>
      <x:diagonal/>
    </x:border>
    <x:border>
      <x:left style="thin">
        <x:color theme="0" tint="-0.499984740745262"/>
      </x:left>
      <x:right/>
      <x:top/>
      <x:bottom/>
      <x:diagonal/>
    </x:border>
    <x:border>
      <x:left style="thin">
        <x:color theme="0" tint="-0.499984740745262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thin">
        <x:color theme="0" tint="-0.499984740745262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 style="thin">
        <x:color theme="0" tint="-0.499984740745262"/>
      </x:left>
      <x:right style="dotted">
        <x:color theme="0" tint="-0.499984740745262"/>
      </x:right>
      <x:top/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dotted">
        <x:color theme="0" tint="-0.499984740745262"/>
      </x:right>
      <x:top/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thin">
        <x:color theme="0" tint="-0.499984740745262"/>
      </x:right>
      <x:top/>
      <x:bottom style="dashed">
        <x:color theme="0" tint="-0.499984740745262"/>
      </x:bottom>
      <x:diagonal/>
    </x:border>
    <x:border>
      <x:left style="thin">
        <x:color theme="0" tint="-0.499984740745262"/>
      </x:left>
      <x:right style="thin">
        <x:color theme="0" tint="-0.499984740745262"/>
      </x:right>
      <x:top/>
      <x:bottom style="dashed">
        <x:color theme="0" tint="-0.499984740745262"/>
      </x:bottom>
      <x:diagonal/>
    </x:border>
    <x:border>
      <x:left style="thin">
        <x:color theme="0" tint="-0.499984740745262"/>
      </x:left>
      <x:right/>
      <x:top/>
      <x:bottom style="dashed">
        <x:color theme="0" tint="-0.499984740745262"/>
      </x:bottom>
      <x:diagonal/>
    </x:border>
    <x:border>
      <x:left/>
      <x:right/>
      <x:top/>
      <x:bottom style="dashed">
        <x:color theme="0" tint="-0.499984740745262"/>
      </x:bottom>
      <x:diagonal/>
    </x:border>
    <x:border>
      <x:left style="thin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thin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thin">
        <x:color theme="0" tint="-0.499984740745262"/>
      </x:left>
      <x:right/>
      <x:top style="dashed">
        <x:color theme="0" tint="-0.499984740745262"/>
      </x:top>
      <x:bottom style="dashed">
        <x:color theme="0" tint="-0.499984740745262"/>
      </x:bottom>
      <x:diagonal/>
    </x:border>
    <x:border>
      <x:left/>
      <x:right/>
      <x:top style="dashed">
        <x:color theme="0" tint="-0.499984740745262"/>
      </x:top>
      <x:bottom style="dashed">
        <x:color theme="0" tint="-0.499984740745262"/>
      </x:bottom>
      <x:diagonal/>
    </x:border>
    <x:border>
      <x:left style="thin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/>
      <x:diagonal/>
    </x:border>
    <x:border>
      <x:left style="dotted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/>
      <x:diagonal/>
    </x:border>
    <x:border>
      <x:left style="dotted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/>
      <x:diagonal/>
    </x:border>
    <x:border>
      <x:left style="thin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/>
      <x:diagonal/>
    </x:border>
    <x:border>
      <x:left style="thin">
        <x:color theme="0" tint="-0.499984740745262"/>
      </x:left>
      <x:right/>
      <x:top style="dashed">
        <x:color theme="0" tint="-0.499984740745262"/>
      </x:top>
      <x:bottom/>
      <x:diagonal/>
    </x:border>
    <x:border>
      <x:left/>
      <x:right/>
      <x:top style="dashed">
        <x:color theme="0" tint="-0.499984740745262"/>
      </x:top>
      <x:bottom/>
      <x:diagonal/>
    </x:border>
    <x:border>
      <x:left style="thin">
        <x:color theme="4" tint="0.39994506668294322"/>
      </x:left>
      <x:right style="thin">
        <x:color theme="4" tint="0.39994506668294322"/>
      </x:right>
      <x:top/>
      <x:bottom/>
      <x:diagonal/>
    </x:border>
  </x:borders>
  <x:cellStyleXfs count="16">
    <x:xf numFmtId="0" fontId="0" fillId="0" borderId="0"/>
    <x:xf numFmtId="41" fontId="6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0" borderId="6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15" fillId="9" borderId="9" applyNumberFormat="0" applyFont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55" fillId="20" borderId="39" xfId="0" applyFont="1" applyFill="1" applyBorder="1" applyAlignment="1">
      <x:alignment horizontal="center" vertical="center"/>
    </x:xf>
    <x:xf numFmtId="177" fontId="32" fillId="16" borderId="22" xfId="2" applyNumberFormat="1" applyFont="1" applyFill="1" applyBorder="1" applyAlignment="1">
      <x:alignment horizontal="left" vertical="center" wrapText="1"/>
    </x:xf>
    <x:xf numFmtId="176" fontId="10" fillId="0" borderId="0" xfId="0" applyNumberFormat="1" applyFont="1" applyAlignment="1">
      <x:alignment vertical="center"/>
    </x:xf>
  </x:cellStyleXfs>
  <x:cellXfs count="505">
    <x:xf numFmtId="0" fontId="0" fillId="0" borderId="0" xfId="0" applyAlignment="1">
      <x:alignment vertical="top"/>
    </x:xf>
    <x:xf numFmtId="0" fontId="69" fillId="25" borderId="0" xfId="15" applyNumberFormat="1" applyFont="1" applyFill="1" applyBorder="1" applyAlignment="1">
      <x:alignment horizontal="center" vertical="center"/>
    </x:xf>
    <x:xf numFmtId="0" fontId="69" fillId="25" borderId="86" xfId="15" applyNumberFormat="1" applyFont="1" applyFill="1" applyBorder="1" applyAlignment="1">
      <x:alignment horizontal="center" vertical="center"/>
    </x:xf>
    <x:xf numFmtId="0" fontId="55" fillId="0" borderId="39" xfId="13" applyFont="1" applyFill="1" applyBorder="1">
      <x:alignment horizontal="center" vertical="center"/>
    </x:xf>
    <x:xf numFmtId="0" fontId="55" fillId="0" borderId="1" xfId="13" applyFont="1" applyFill="1" applyBorder="1">
      <x:alignment horizontal="center" vertical="center"/>
    </x:xf>
    <x:xf numFmtId="177" fontId="32" fillId="16" borderId="22" xfId="2" applyNumberFormat="1" applyFont="1" applyFill="1" applyBorder="1" applyAlignment="1">
      <x:alignment horizontal="left" vertical="center" wrapText="1"/>
    </x:xf>
    <x:xf numFmtId="176" fontId="10" fillId="0" borderId="0" xfId="0" applyNumberFormat="1" applyFont="1" applyAlignment="1">
      <x:alignment vertical="center"/>
    </x:xf>
    <x:xf numFmtId="176" fontId="11" fillId="0" borderId="0" xfId="0" applyNumberFormat="1" applyFont="1" applyAlignment="1">
      <x:alignment horizontal="right" vertical="center"/>
    </x:xf>
    <x:xf numFmtId="176" fontId="11" fillId="0" borderId="0" xfId="0" applyNumberFormat="1" applyFont="1" applyAlignment="1">
      <x:alignment vertical="center"/>
    </x:xf>
    <x:xf numFmtId="176" fontId="12" fillId="0" borderId="0" xfId="0" applyNumberFormat="1" applyFont="1" applyAlignment="1">
      <x:alignment horizontal="right" vertical="center"/>
    </x:xf>
    <x:xf numFmtId="176" fontId="13" fillId="0" borderId="0" xfId="0" applyNumberFormat="1" applyFont="1" applyAlignment="1">
      <x:alignment vertical="center"/>
    </x:xf>
    <x:xf numFmtId="9" fontId="11" fillId="0" borderId="0" xfId="2" applyFont="1" applyAlignment="1">
      <x:alignment vertical="center"/>
    </x:xf>
    <x:xf numFmtId="0" fontId="25" fillId="5" borderId="0" xfId="0" applyFont="1" applyFill="1" applyAlignment="1">
      <x:alignment vertical="center"/>
    </x:xf>
    <x:xf numFmtId="176" fontId="8" fillId="0" borderId="0" xfId="0" applyNumberFormat="1" applyFont="1" applyAlignment="1">
      <x:alignment vertical="center"/>
    </x:xf>
    <x:xf numFmtId="176" fontId="8" fillId="0" borderId="0" xfId="0" applyNumberFormat="1" applyFont="1" applyAlignment="1">
      <x:alignment horizontal="right" vertical="center"/>
    </x:xf>
    <x:xf numFmtId="176" fontId="26" fillId="0" borderId="0" xfId="0" applyNumberFormat="1" applyFont="1" applyAlignment="1">
      <x:alignment vertical="center"/>
    </x:xf>
    <x:xf numFmtId="176" fontId="27" fillId="0" borderId="0" xfId="0" applyNumberFormat="1" applyFont="1" applyAlignment="1">
      <x:alignment horizontal="right" vertical="center"/>
    </x:xf>
    <x:xf numFmtId="176" fontId="10" fillId="10" borderId="0" xfId="0" applyNumberFormat="1" applyFont="1" applyFill="1" applyAlignment="1">
      <x:alignment vertical="center"/>
    </x:xf>
    <x:xf numFmtId="176" fontId="10" fillId="10" borderId="0" xfId="0" applyNumberFormat="1" applyFont="1" applyFill="1" applyAlignment="1">
      <x:alignment horizontal="right" vertical="center"/>
    </x:xf>
    <x:xf numFmtId="176" fontId="10" fillId="2" borderId="0" xfId="0" applyNumberFormat="1" applyFont="1" applyFill="1" applyAlignment="1">
      <x:alignment vertical="center"/>
    </x:xf>
    <x:xf numFmtId="176" fontId="10" fillId="2" borderId="0" xfId="0" applyNumberFormat="1" applyFont="1" applyFill="1" applyAlignment="1">
      <x:alignment horizontal="right" vertical="center"/>
    </x:xf>
    <x:xf numFmtId="9" fontId="8" fillId="0" borderId="0" xfId="2" applyFont="1" applyAlignment="1">
      <x:alignment vertical="center"/>
    </x:xf>
    <x:xf numFmtId="9" fontId="8" fillId="0" borderId="0" xfId="2" applyFont="1" applyBorder="1" applyAlignment="1">
      <x:alignment vertical="center"/>
    </x:xf>
    <x:xf numFmtId="9" fontId="8" fillId="0" borderId="0" xfId="2" applyFont="1" applyBorder="1" applyAlignment="1">
      <x:alignment horizontal="right" vertical="center"/>
    </x:xf>
    <x:xf numFmtId="176" fontId="10" fillId="5" borderId="0" xfId="0" applyNumberFormat="1" applyFont="1" applyFill="1" applyAlignment="1">
      <x:alignment horizontal="right" vertical="center"/>
    </x:xf>
    <x:xf numFmtId="176" fontId="10" fillId="5" borderId="0" xfId="0" applyNumberFormat="1" applyFont="1" applyFill="1" applyAlignment="1">
      <x:alignment vertical="center"/>
    </x:xf>
    <x:xf numFmtId="176" fontId="8" fillId="0" borderId="0" xfId="0" applyNumberFormat="1" applyFont="1" applyAlignment="1">
      <x:alignment horizontal="left" vertical="center" indent="1"/>
    </x:xf>
    <x:xf numFmtId="0" fontId="8" fillId="0" borderId="0" xfId="0" quotePrefix="1" applyFont="1" applyAlignment="1">
      <x:alignment vertical="center"/>
    </x:xf>
    <x:xf numFmtId="176" fontId="8" fillId="5" borderId="0" xfId="0" applyNumberFormat="1" applyFont="1" applyFill="1" applyAlignment="1">
      <x:alignment horizontal="right" vertical="center"/>
    </x:xf>
    <x:xf numFmtId="176" fontId="8" fillId="5" borderId="0" xfId="0" applyNumberFormat="1" applyFont="1" applyFill="1" applyAlignment="1">
      <x:alignment vertical="center"/>
    </x:xf>
    <x:xf numFmtId="9" fontId="10" fillId="0" borderId="0" xfId="2" applyFont="1" applyAlignment="1">
      <x:alignment vertical="center"/>
    </x:xf>
    <x:xf numFmtId="9" fontId="10" fillId="10" borderId="0" xfId="2" applyFont="1" applyFill="1" applyBorder="1" applyAlignment="1">
      <x:alignment vertical="center"/>
    </x:xf>
    <x:xf numFmtId="9" fontId="10" fillId="10" borderId="0" xfId="2" applyFont="1" applyFill="1" applyAlignment="1">
      <x:alignment horizontal="right" vertical="center"/>
    </x:xf>
    <x:xf numFmtId="9" fontId="10" fillId="10" borderId="0" xfId="2" applyFont="1" applyFill="1" applyBorder="1" applyAlignment="1">
      <x:alignment horizontal="right" vertical="center"/>
    </x:xf>
    <x:xf numFmtId="176" fontId="10" fillId="4" borderId="0" xfId="0" applyNumberFormat="1" applyFont="1" applyFill="1" applyAlignment="1">
      <x:alignment vertical="center"/>
    </x:xf>
    <x:xf numFmtId="176" fontId="10" fillId="4" borderId="0" xfId="0" applyNumberFormat="1" applyFont="1" applyFill="1" applyAlignment="1">
      <x:alignment horizontal="right" vertical="center"/>
    </x:xf>
    <x:xf numFmtId="9" fontId="10" fillId="4" borderId="0" xfId="2" applyFont="1" applyFill="1" applyBorder="1" applyAlignment="1">
      <x:alignment vertical="center"/>
    </x:xf>
    <x:xf numFmtId="176" fontId="28" fillId="0" borderId="0" xfId="0" applyNumberFormat="1" applyFont="1" applyAlignment="1">
      <x:alignment horizontal="right" vertical="center"/>
    </x:xf>
    <x:xf numFmtId="9" fontId="8" fillId="0" borderId="10" xfId="2" applyFont="1" applyBorder="1" applyAlignment="1">
      <x:alignment horizontal="right" vertical="center"/>
    </x:xf>
    <x:xf numFmtId="9" fontId="10" fillId="10" borderId="10" xfId="2" applyFont="1" applyFill="1" applyBorder="1" applyAlignment="1">
      <x:alignment horizontal="right" vertical="center"/>
    </x:xf>
    <x:xf numFmtId="176" fontId="10" fillId="10" borderId="10" xfId="0" applyNumberFormat="1" applyFont="1" applyFill="1" applyBorder="1" applyAlignment="1">
      <x:alignment vertical="center"/>
    </x:xf>
    <x:xf numFmtId="176" fontId="10" fillId="2" borderId="10" xfId="0" applyNumberFormat="1" applyFont="1" applyFill="1" applyBorder="1" applyAlignment="1">
      <x:alignment vertical="center"/>
    </x:xf>
    <x:xf numFmtId="176" fontId="8" fillId="0" borderId="10" xfId="0" applyNumberFormat="1" applyFont="1" applyBorder="1" applyAlignment="1">
      <x:alignment vertical="center"/>
    </x:xf>
    <x:xf numFmtId="0" fontId="25" fillId="5" borderId="10" xfId="0" applyFont="1" applyFill="1" applyBorder="1" applyAlignment="1">
      <x:alignment vertical="center"/>
    </x:xf>
    <x:xf numFmtId="0" fontId="8" fillId="0" borderId="10" xfId="0" applyFont="1" applyBorder="1" applyAlignment="1">
      <x:alignment vertical="center"/>
    </x:xf>
    <x:xf numFmtId="0" fontId="8" fillId="0" borderId="10" xfId="0" quotePrefix="1" applyFont="1" applyBorder="1" applyAlignment="1">
      <x:alignment vertical="center"/>
    </x:xf>
    <x:xf numFmtId="9" fontId="10" fillId="2" borderId="10" xfId="2" applyFont="1" applyFill="1" applyBorder="1" applyAlignment="1">
      <x:alignment horizontal="right" vertical="center"/>
    </x:xf>
    <x:xf numFmtId="9" fontId="25" fillId="5" borderId="10" xfId="2" applyFont="1" applyFill="1" applyBorder="1" applyAlignment="1">
      <x:alignment horizontal="right" vertical="center"/>
    </x:xf>
    <x:xf numFmtId="9" fontId="8" fillId="0" borderId="10" xfId="2" quotePrefix="1" applyFont="1" applyBorder="1" applyAlignment="1">
      <x:alignment horizontal="right" vertical="center"/>
    </x:xf>
    <x:xf numFmtId="177" fontId="8" fillId="0" borderId="0" xfId="2" applyNumberFormat="1" applyFont="1" applyAlignment="1">
      <x:alignment horizontal="right" vertical="center"/>
    </x:xf>
    <x:xf numFmtId="177" fontId="28" fillId="0" borderId="0" xfId="2" applyNumberFormat="1" applyFont="1" applyFill="1" applyAlignment="1">
      <x:alignment horizontal="right" vertical="center"/>
    </x:xf>
    <x:xf numFmtId="177" fontId="10" fillId="10" borderId="10" xfId="2" applyNumberFormat="1" applyFont="1" applyFill="1" applyBorder="1" applyAlignment="1">
      <x:alignment horizontal="right" vertical="center"/>
    </x:xf>
    <x:xf numFmtId="177" fontId="10" fillId="2" borderId="10" xfId="2" applyNumberFormat="1" applyFont="1" applyFill="1" applyBorder="1" applyAlignment="1">
      <x:alignment horizontal="right" vertical="center"/>
    </x:xf>
    <x:xf numFmtId="177" fontId="8" fillId="0" borderId="10" xfId="2" applyNumberFormat="1" applyFont="1" applyBorder="1" applyAlignment="1">
      <x:alignment horizontal="right" vertical="center"/>
    </x:xf>
    <x:xf numFmtId="177" fontId="25" fillId="5" borderId="10" xfId="2" applyNumberFormat="1" applyFont="1" applyFill="1" applyBorder="1" applyAlignment="1">
      <x:alignment horizontal="right" vertical="center"/>
    </x:xf>
    <x:xf numFmtId="177" fontId="8" fillId="0" borderId="10" xfId="2" quotePrefix="1" applyNumberFormat="1" applyFont="1" applyBorder="1" applyAlignment="1">
      <x:alignment horizontal="right" vertical="center"/>
    </x:xf>
    <x:xf numFmtId="177" fontId="8" fillId="0" borderId="0" xfId="2" applyNumberFormat="1" applyFont="1" applyBorder="1" applyAlignment="1">
      <x:alignment horizontal="right" vertical="center"/>
    </x:xf>
    <x:xf numFmtId="177" fontId="10" fillId="10" borderId="0" xfId="2" applyNumberFormat="1" applyFont="1" applyFill="1" applyBorder="1" applyAlignment="1">
      <x:alignment horizontal="right" vertical="center"/>
    </x:xf>
    <x:xf numFmtId="177" fontId="10" fillId="2" borderId="0" xfId="2" applyNumberFormat="1" applyFont="1" applyFill="1" applyBorder="1" applyAlignment="1">
      <x:alignment horizontal="right" vertical="center"/>
    </x:xf>
    <x:xf numFmtId="177" fontId="25" fillId="5" borderId="0" xfId="2" applyNumberFormat="1" applyFont="1" applyFill="1" applyBorder="1" applyAlignment="1">
      <x:alignment horizontal="right" vertical="center"/>
    </x:xf>
    <x:xf numFmtId="177" fontId="8" fillId="0" borderId="0" xfId="2" quotePrefix="1" applyNumberFormat="1" applyFont="1" applyBorder="1" applyAlignment="1">
      <x:alignment horizontal="right" vertical="center"/>
    </x:xf>
    <x:xf numFmtId="177" fontId="27" fillId="0" borderId="0" xfId="2" applyNumberFormat="1" applyFont="1" applyBorder="1" applyAlignment="1">
      <x:alignment horizontal="right" vertical="center"/>
    </x:xf>
    <x:xf numFmtId="176" fontId="25" fillId="5" borderId="0" xfId="0" applyNumberFormat="1" applyFont="1" applyFill="1" applyAlignment="1">
      <x:alignment horizontal="right" vertical="center"/>
    </x:xf>
    <x:xf numFmtId="176" fontId="8" fillId="0" borderId="0" xfId="0" quotePrefix="1" applyNumberFormat="1" applyFont="1" applyAlignment="1">
      <x:alignment horizontal="right" vertical="center"/>
    </x:xf>
    <x:xf numFmtId="177" fontId="10" fillId="10" borderId="10" xfId="2" applyNumberFormat="1" applyFont="1" applyFill="1" applyBorder="1" applyAlignment="1">
      <x:alignment vertical="center"/>
    </x:xf>
    <x:xf numFmtId="177" fontId="8" fillId="0" borderId="0" xfId="2" applyNumberFormat="1" applyFont="1" applyAlignment="1">
      <x:alignment vertical="center"/>
    </x:xf>
    <x:xf numFmtId="177" fontId="8" fillId="0" borderId="10" xfId="2" applyNumberFormat="1" applyFont="1" applyBorder="1" applyAlignment="1">
      <x:alignment vertical="center"/>
    </x:xf>
    <x:xf numFmtId="176" fontId="10" fillId="10" borderId="10" xfId="0" applyNumberFormat="1" applyFont="1" applyFill="1" applyBorder="1" applyAlignment="1">
      <x:alignment horizontal="center" vertical="center"/>
    </x:xf>
    <x:xf numFmtId="0" fontId="8" fillId="0" borderId="0" xfId="0" applyFont="1" applyAlignment="1">
      <x:alignment horizontal="left" vertical="center" indent="1"/>
    </x:xf>
    <x:xf numFmtId="177" fontId="8" fillId="0" borderId="0" xfId="2" applyNumberFormat="1" applyFont="1" applyBorder="1" applyAlignment="1">
      <x:alignment vertical="center"/>
    </x:xf>
    <x:xf numFmtId="41" fontId="0" fillId="0" borderId="0" xfId="1" applyFont="1" applyAlignment="1">
      <x:alignment vertical="top"/>
    </x:xf>
    <x:xf numFmtId="0" fontId="0" fillId="0" borderId="0" xfId="0" applyAlignment="1">
      <x:alignment vertical="center"/>
    </x:xf>
    <x:xf numFmtId="41" fontId="0" fillId="0" borderId="0" xfId="1" applyFont="1">
      <x:alignment vertical="center"/>
    </x:xf>
    <x:xf numFmtId="0" fontId="25" fillId="0" borderId="0" xfId="0" applyFont="1" applyAlignment="1">
      <x:alignment vertical="center"/>
    </x:xf>
    <x:xf numFmtId="176" fontId="8" fillId="0" borderId="0" xfId="1" applyNumberFormat="1" applyFont="1" applyAlignment="1"/>
    <x:xf numFmtId="176" fontId="8" fillId="0" borderId="0" xfId="0" quotePrefix="1" applyNumberFormat="1" applyFont="1" applyAlignment="1">
      <x:alignment vertical="center"/>
    </x:xf>
    <x:xf numFmtId="176" fontId="10" fillId="4" borderId="0" xfId="2" applyNumberFormat="1" applyFont="1" applyFill="1" applyAlignment="1">
      <x:alignment horizontal="right" vertical="center"/>
    </x:xf>
    <x:xf numFmtId="176" fontId="10" fillId="4" borderId="0" xfId="2" applyNumberFormat="1" applyFont="1" applyFill="1" applyBorder="1" applyAlignment="1">
      <x:alignment horizontal="right" vertical="center"/>
    </x:xf>
    <x:xf numFmtId="177" fontId="10" fillId="10" borderId="0" xfId="2" applyNumberFormat="1" applyFont="1" applyFill="1" applyBorder="1" applyAlignment="1">
      <x:alignment vertical="center"/>
    </x:xf>
    <x:xf numFmtId="177" fontId="10" fillId="10" borderId="0" xfId="2" applyNumberFormat="1" applyFont="1" applyFill="1" applyAlignment="1">
      <x:alignment horizontal="right" vertical="center"/>
    </x:xf>
    <x:xf numFmtId="177" fontId="10" fillId="0" borderId="0" xfId="2" applyNumberFormat="1" applyFont="1" applyAlignment="1">
      <x:alignment vertical="center"/>
    </x:xf>
    <x:xf numFmtId="176" fontId="8" fillId="0" borderId="0" xfId="0" applyNumberFormat="1" applyFont="1" applyAlignment="1">
      <x:alignment vertical="top"/>
    </x:xf>
    <x:xf numFmtId="177" fontId="10" fillId="10" borderId="10" xfId="2" applyNumberFormat="1" applyFont="1" applyFill="1" applyBorder="1" applyAlignment="1">
      <x:alignment horizontal="right" vertical="center" wrapText="1"/>
    </x:xf>
    <x:xf numFmtId="176" fontId="10" fillId="10" borderId="0" xfId="0" applyNumberFormat="1" applyFont="1" applyFill="1" applyAlignment="1">
      <x:alignment horizontal="right" vertical="center" wrapText="1"/>
    </x:xf>
    <x:xf numFmtId="177" fontId="10" fillId="10" borderId="0" xfId="2" applyNumberFormat="1" applyFont="1" applyFill="1" applyBorder="1" applyAlignment="1">
      <x:alignment horizontal="right" vertical="center" wrapText="1"/>
    </x:xf>
    <x:xf numFmtId="176" fontId="31" fillId="0" borderId="0" xfId="0" applyNumberFormat="1" applyFont="1" applyAlignment="1">
      <x:alignment vertical="center"/>
    </x:xf>
    <x:xf numFmtId="176" fontId="31" fillId="0" borderId="0" xfId="0" applyNumberFormat="1" applyFont="1" applyAlignment="1">
      <x:alignment horizontal="right" vertical="center"/>
    </x:xf>
    <x:xf numFmtId="177" fontId="31" fillId="0" borderId="0" xfId="2" applyNumberFormat="1" applyFont="1" applyAlignment="1">
      <x:alignment horizontal="right" vertical="center"/>
    </x:xf>
    <x:xf numFmtId="177" fontId="31" fillId="0" borderId="0" xfId="2" applyNumberFormat="1" applyFont="1" applyBorder="1" applyAlignment="1">
      <x:alignment horizontal="right" vertical="center"/>
    </x:xf>
    <x:xf numFmtId="176" fontId="31" fillId="0" borderId="0" xfId="0" applyNumberFormat="1" applyFont="1" applyAlignment="1">
      <x:alignment vertical="top"/>
    </x:xf>
    <x:xf numFmtId="177" fontId="32" fillId="0" borderId="0" xfId="2" applyNumberFormat="1" applyFont="1" applyBorder="1" applyAlignment="1">
      <x:alignment horizontal="right" vertical="center"/>
    </x:xf>
    <x:xf numFmtId="176" fontId="31" fillId="0" borderId="0" xfId="2" applyNumberFormat="1" applyFont="1" applyAlignment="1">
      <x:alignment horizontal="right" vertical="center"/>
    </x:xf>
    <x:xf numFmtId="176" fontId="32" fillId="10" borderId="10" xfId="0" applyNumberFormat="1" applyFont="1" applyFill="1" applyBorder="1" applyAlignment="1">
      <x:alignment horizontal="center" vertical="center"/>
    </x:xf>
    <x:xf numFmtId="176" fontId="32" fillId="10" borderId="0" xfId="0" applyNumberFormat="1" applyFont="1" applyFill="1" applyAlignment="1">
      <x:alignment horizontal="right" vertical="center" wrapText="1"/>
    </x:xf>
    <x:xf numFmtId="177" fontId="32" fillId="10" borderId="10" xfId="2" applyNumberFormat="1" applyFont="1" applyFill="1" applyBorder="1" applyAlignment="1">
      <x:alignment horizontal="right" vertical="center" wrapText="1"/>
    </x:xf>
    <x:xf numFmtId="177" fontId="32" fillId="10" borderId="0" xfId="2" applyNumberFormat="1" applyFont="1" applyFill="1" applyBorder="1" applyAlignment="1">
      <x:alignment horizontal="right" vertical="center" wrapText="1"/>
    </x:xf>
    <x:xf numFmtId="176" fontId="32" fillId="2" borderId="10" xfId="0" applyNumberFormat="1" applyFont="1" applyFill="1" applyBorder="1" applyAlignment="1">
      <x:alignment vertical="center"/>
    </x:xf>
    <x:xf numFmtId="176" fontId="32" fillId="2" borderId="0" xfId="0" applyNumberFormat="1" applyFont="1" applyFill="1" applyAlignment="1">
      <x:alignment horizontal="right" vertical="center"/>
    </x:xf>
    <x:xf numFmtId="177" fontId="32" fillId="2" borderId="10" xfId="2" applyNumberFormat="1" applyFont="1" applyFill="1" applyBorder="1" applyAlignment="1">
      <x:alignment horizontal="right" vertical="center"/>
    </x:xf>
    <x:xf numFmtId="177" fontId="32" fillId="2" borderId="0" xfId="2" applyNumberFormat="1" applyFont="1" applyFill="1" applyBorder="1" applyAlignment="1">
      <x:alignment horizontal="right" vertical="center"/>
    </x:xf>
    <x:xf numFmtId="177" fontId="31" fillId="0" borderId="10" xfId="2" applyNumberFormat="1" applyFont="1" applyBorder="1" applyAlignment="1">
      <x:alignment horizontal="right" vertical="center"/>
    </x:xf>
    <x:xf numFmtId="177" fontId="31" fillId="0" borderId="10" xfId="2" applyNumberFormat="1" applyFont="1" applyFill="1" applyBorder="1" applyAlignment="1">
      <x:alignment horizontal="right" vertical="center"/>
    </x:xf>
    <x:xf numFmtId="177" fontId="31" fillId="0" borderId="0" xfId="2" applyNumberFormat="1" applyFont="1" applyFill="1" applyBorder="1" applyAlignment="1">
      <x:alignment horizontal="right" vertical="center"/>
    </x:xf>
    <x:xf numFmtId="177" fontId="31" fillId="0" borderId="10" xfId="2" applyNumberFormat="1" applyFont="1" applyBorder="1" applyAlignment="1">
      <x:alignment vertical="center"/>
    </x:xf>
    <x:xf numFmtId="177" fontId="31" fillId="0" borderId="0" xfId="2" applyNumberFormat="1" applyFont="1" applyFill="1" applyAlignment="1">
      <x:alignment vertical="top"/>
    </x:xf>
    <x:xf numFmtId="176" fontId="32" fillId="10" borderId="10" xfId="0" applyNumberFormat="1" applyFont="1" applyFill="1" applyBorder="1" applyAlignment="1">
      <x:alignment vertical="center"/>
    </x:xf>
    <x:xf numFmtId="176" fontId="32" fillId="10" borderId="0" xfId="0" applyNumberFormat="1" applyFont="1" applyFill="1" applyAlignment="1">
      <x:alignment horizontal="right" vertical="center"/>
    </x:xf>
    <x:xf numFmtId="177" fontId="32" fillId="10" borderId="10" xfId="2" applyNumberFormat="1" applyFont="1" applyFill="1" applyBorder="1" applyAlignment="1">
      <x:alignment horizontal="right" vertical="center"/>
    </x:xf>
    <x:xf numFmtId="177" fontId="32" fillId="10" borderId="0" xfId="2" applyNumberFormat="1" applyFont="1" applyFill="1" applyBorder="1" applyAlignment="1">
      <x:alignment horizontal="right" vertical="center"/>
    </x:xf>
    <x:xf numFmtId="177" fontId="32" fillId="10" borderId="10" xfId="2" applyNumberFormat="1" applyFont="1" applyFill="1" applyBorder="1" applyAlignment="1">
      <x:alignment vertical="center"/>
    </x:xf>
    <x:xf numFmtId="176" fontId="32" fillId="3" borderId="11" xfId="0" applyNumberFormat="1" applyFont="1" applyFill="1" applyBorder="1" applyAlignment="1">
      <x:alignment horizontal="center" vertical="center"/>
    </x:xf>
    <x:xf numFmtId="176" fontId="32" fillId="3" borderId="0" xfId="0" applyNumberFormat="1" applyFont="1" applyFill="1" applyAlignment="1">
      <x:alignment horizontal="right" vertical="center" wrapText="1"/>
    </x:xf>
    <x:xf numFmtId="177" fontId="32" fillId="3" borderId="0" xfId="2" applyNumberFormat="1" applyFont="1" applyFill="1" applyAlignment="1">
      <x:alignment horizontal="right" vertical="center" wrapText="1"/>
    </x:xf>
    <x:xf numFmtId="176" fontId="32" fillId="3" borderId="5" xfId="0" applyNumberFormat="1" applyFont="1" applyFill="1" applyBorder="1" applyAlignment="1">
      <x:alignment horizontal="right" vertical="center" wrapText="1"/>
    </x:xf>
    <x:xf numFmtId="177" fontId="32" fillId="3" borderId="4" xfId="2" applyNumberFormat="1" applyFont="1" applyFill="1" applyBorder="1" applyAlignment="1">
      <x:alignment horizontal="right" vertical="center" wrapText="1"/>
    </x:xf>
    <x:xf numFmtId="177" fontId="32" fillId="3" borderId="0" xfId="2" applyNumberFormat="1" applyFont="1" applyFill="1" applyBorder="1" applyAlignment="1">
      <x:alignment horizontal="right" vertical="center" wrapText="1"/>
    </x:xf>
    <x:xf numFmtId="176" fontId="32" fillId="0" borderId="11" xfId="0" applyNumberFormat="1" applyFont="1" applyBorder="1" applyAlignment="1">
      <x:alignment vertical="center"/>
    </x:xf>
    <x:xf numFmtId="176" fontId="32" fillId="0" borderId="0" xfId="0" applyNumberFormat="1" applyFont="1" applyAlignment="1">
      <x:alignment horizontal="right" vertical="center"/>
    </x:xf>
    <x:xf numFmtId="177" fontId="32" fillId="0" borderId="0" xfId="2" applyNumberFormat="1" applyFont="1" applyFill="1" applyAlignment="1">
      <x:alignment horizontal="right" vertical="center"/>
    </x:xf>
    <x:xf numFmtId="176" fontId="32" fillId="0" borderId="5" xfId="0" applyNumberFormat="1" applyFont="1" applyBorder="1" applyAlignment="1">
      <x:alignment horizontal="right" vertical="center"/>
    </x:xf>
    <x:xf numFmtId="177" fontId="32" fillId="0" borderId="4" xfId="2" applyNumberFormat="1" applyFont="1" applyFill="1" applyBorder="1" applyAlignment="1">
      <x:alignment horizontal="right" vertical="center"/>
    </x:xf>
    <x:xf numFmtId="177" fontId="32" fillId="0" borderId="0" xfId="2" applyNumberFormat="1" applyFont="1" applyFill="1" applyBorder="1" applyAlignment="1">
      <x:alignment horizontal="right" vertical="center"/>
    </x:xf>
    <x:xf numFmtId="176" fontId="32" fillId="17" borderId="0" xfId="0" applyNumberFormat="1" applyFont="1" applyFill="1" applyAlignment="1">
      <x:alignment horizontal="right" vertical="center"/>
    </x:xf>
    <x:xf numFmtId="177" fontId="32" fillId="17" borderId="0" xfId="2" applyNumberFormat="1" applyFont="1" applyFill="1" applyAlignment="1">
      <x:alignment horizontal="right" vertical="center"/>
    </x:xf>
    <x:xf numFmtId="176" fontId="32" fillId="17" borderId="5" xfId="0" applyNumberFormat="1" applyFont="1" applyFill="1" applyBorder="1" applyAlignment="1">
      <x:alignment horizontal="right" vertical="center"/>
    </x:xf>
    <x:xf numFmtId="177" fontId="32" fillId="17" borderId="4" xfId="2" applyNumberFormat="1" applyFont="1" applyFill="1" applyBorder="1" applyAlignment="1">
      <x:alignment horizontal="right" vertical="center"/>
    </x:xf>
    <x:xf numFmtId="176" fontId="24" fillId="0" borderId="0" xfId="0" applyNumberFormat="1" applyFont="1" applyAlignment="1">
      <x:alignment horizontal="right" vertical="center"/>
    </x:xf>
    <x:xf numFmtId="177" fontId="24" fillId="0" borderId="10" xfId="2" applyNumberFormat="1" applyFont="1" applyFill="1" applyBorder="1" applyAlignment="1">
      <x:alignment horizontal="right" vertical="center"/>
    </x:xf>
    <x:xf numFmtId="177" fontId="24" fillId="0" borderId="0" xfId="2" applyNumberFormat="1" applyFont="1" applyFill="1" applyBorder="1" applyAlignment="1">
      <x:alignment horizontal="right" vertical="center"/>
    </x:xf>
    <x:xf numFmtId="176" fontId="31" fillId="0" borderId="11" xfId="0" applyNumberFormat="1" applyFont="1" applyBorder="1" applyAlignment="1">
      <x:alignment vertical="center"/>
    </x:xf>
    <x:xf numFmtId="177" fontId="31" fillId="0" borderId="0" xfId="2" applyNumberFormat="1" applyFont="1" applyFill="1" applyAlignment="1">
      <x:alignment horizontal="right" vertical="center"/>
    </x:xf>
    <x:xf numFmtId="176" fontId="31" fillId="0" borderId="5" xfId="0" applyNumberFormat="1" applyFont="1" applyBorder="1" applyAlignment="1">
      <x:alignment horizontal="right" vertical="center"/>
    </x:xf>
    <x:xf numFmtId="177" fontId="31" fillId="0" borderId="4" xfId="2" applyNumberFormat="1" applyFont="1" applyFill="1" applyBorder="1" applyAlignment="1">
      <x:alignment horizontal="right" vertical="center"/>
    </x:xf>
    <x:xf numFmtId="176" fontId="31" fillId="0" borderId="16" xfId="0" applyNumberFormat="1" applyFont="1" applyBorder="1" applyAlignment="1">
      <x:alignment vertical="center"/>
    </x:xf>
    <x:xf numFmtId="176" fontId="31" fillId="0" borderId="15" xfId="0" applyNumberFormat="1" applyFont="1" applyBorder="1" applyAlignment="1">
      <x:alignment horizontal="right" vertical="center"/>
    </x:xf>
    <x:xf numFmtId="177" fontId="31" fillId="0" borderId="15" xfId="2" applyNumberFormat="1" applyFont="1" applyFill="1" applyBorder="1" applyAlignment="1">
      <x:alignment horizontal="right" vertical="center"/>
    </x:xf>
    <x:xf numFmtId="176" fontId="31" fillId="0" borderId="17" xfId="0" applyNumberFormat="1" applyFont="1" applyBorder="1" applyAlignment="1">
      <x:alignment horizontal="right" vertical="center"/>
    </x:xf>
    <x:xf numFmtId="177" fontId="31" fillId="0" borderId="18" xfId="2" applyNumberFormat="1" applyFont="1" applyFill="1" applyBorder="1" applyAlignment="1">
      <x:alignment horizontal="right" vertical="center"/>
    </x:xf>
    <x:xf numFmtId="176" fontId="33" fillId="0" borderId="0" xfId="0" applyNumberFormat="1" applyFont="1" applyAlignment="1">
      <x:alignment vertical="center"/>
    </x:xf>
    <x:xf numFmtId="0" fontId="24" fillId="0" borderId="10" xfId="0" applyFont="1" applyBorder="1" applyAlignment="1">
      <x:alignment horizontal="left" vertical="center" indent="1"/>
    </x:xf>
    <x:xf numFmtId="176" fontId="32" fillId="17" borderId="11" xfId="0" applyNumberFormat="1" applyFont="1" applyFill="1" applyBorder="1" applyAlignment="1">
      <x:alignment horizontal="left" vertical="center" indent="1"/>
    </x:xf>
    <x:xf numFmtId="0" fontId="6" fillId="0" borderId="0" xfId="0" applyFont="1" applyAlignment="1">
      <x:alignment vertical="top"/>
    </x:xf>
    <x:xf numFmtId="9" fontId="32" fillId="17" borderId="0" xfId="2" applyFont="1" applyFill="1" applyAlignment="1">
      <x:alignment horizontal="right" vertical="center"/>
    </x:xf>
    <x:xf numFmtId="176" fontId="32" fillId="16" borderId="21" xfId="0" applyNumberFormat="1" applyFont="1" applyFill="1" applyBorder="1" applyAlignment="1">
      <x:alignment vertical="center"/>
    </x:xf>
    <x:xf numFmtId="176" fontId="32" fillId="16" borderId="22" xfId="0" applyNumberFormat="1" applyFont="1" applyFill="1" applyBorder="1" applyAlignment="1">
      <x:alignment horizontal="right" vertical="center"/>
    </x:xf>
    <x:xf numFmtId="177" fontId="32" fillId="16" borderId="22" xfId="2" applyNumberFormat="1" applyFont="1" applyFill="1" applyBorder="1" applyAlignment="1">
      <x:alignment horizontal="right" vertical="center"/>
    </x:xf>
    <x:xf numFmtId="176" fontId="32" fillId="16" borderId="23" xfId="0" applyNumberFormat="1" applyFont="1" applyFill="1" applyBorder="1" applyAlignment="1">
      <x:alignment horizontal="right" vertical="center"/>
    </x:xf>
    <x:xf numFmtId="177" fontId="32" fillId="16" borderId="24" xfId="2" applyNumberFormat="1" applyFont="1" applyFill="1" applyBorder="1" applyAlignment="1">
      <x:alignment horizontal="right" vertical="center"/>
    </x:xf>
    <x:xf numFmtId="176" fontId="32" fillId="16" borderId="25" xfId="0" applyNumberFormat="1" applyFont="1" applyFill="1" applyBorder="1" applyAlignment="1">
      <x:alignment vertical="center"/>
    </x:xf>
    <x:xf numFmtId="176" fontId="32" fillId="16" borderId="26" xfId="0" applyNumberFormat="1" applyFont="1" applyFill="1" applyBorder="1" applyAlignment="1">
      <x:alignment horizontal="right" vertical="center"/>
    </x:xf>
    <x:xf numFmtId="177" fontId="32" fillId="16" borderId="26" xfId="2" applyNumberFormat="1" applyFont="1" applyFill="1" applyBorder="1" applyAlignment="1">
      <x:alignment horizontal="right" vertical="center"/>
    </x:xf>
    <x:xf numFmtId="176" fontId="32" fillId="16" borderId="27" xfId="0" applyNumberFormat="1" applyFont="1" applyFill="1" applyBorder="1" applyAlignment="1">
      <x:alignment horizontal="right" vertical="center"/>
    </x:xf>
    <x:xf numFmtId="177" fontId="32" fillId="16" borderId="28" xfId="2" applyNumberFormat="1" applyFont="1" applyFill="1" applyBorder="1" applyAlignment="1">
      <x:alignment horizontal="right" vertical="center"/>
    </x:xf>
    <x:xf numFmtId="176" fontId="31" fillId="0" borderId="26" xfId="0" applyNumberFormat="1" applyFont="1" applyBorder="1" applyAlignment="1">
      <x:alignment vertical="center"/>
    </x:xf>
    <x:xf numFmtId="176" fontId="31" fillId="0" borderId="26" xfId="0" applyNumberFormat="1" applyFont="1" applyBorder="1" applyAlignment="1">
      <x:alignment horizontal="right" vertical="center"/>
    </x:xf>
    <x:xf numFmtId="177" fontId="31" fillId="0" borderId="26" xfId="2" applyNumberFormat="1" applyFont="1" applyBorder="1" applyAlignment="1">
      <x:alignment horizontal="right" vertical="center"/>
    </x:xf>
    <x:xf numFmtId="176" fontId="32" fillId="0" borderId="0" xfId="0" applyNumberFormat="1" applyFont="1" applyAlignment="1">
      <x:alignment vertical="center"/>
    </x:xf>
    <x:xf numFmtId="176" fontId="0" fillId="0" borderId="0" xfId="1" applyNumberFormat="1" applyFont="1" applyAlignment="1">
      <x:alignment horizontal="right" vertical="center"/>
    </x:xf>
    <x:xf numFmtId="0" fontId="34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0" fillId="0" borderId="0" xfId="0" pivotButton="1" applyAlignment="1">
      <x:alignment vertical="center"/>
    </x:xf>
    <x:xf numFmtId="176" fontId="0" fillId="0" borderId="0" xfId="0" applyNumberFormat="1" applyAlignment="1">
      <x:alignment vertical="center"/>
    </x:xf>
    <x:xf numFmtId="0" fontId="0" fillId="0" borderId="0" xfId="0" applyAlignment="1">
      <x:alignment horizontal="left" vertical="center"/>
    </x:xf>
    <x:xf numFmtId="176" fontId="33" fillId="0" borderId="0" xfId="0" applyNumberFormat="1" applyFont="1" applyAlignment="1">
      <x:alignment horizontal="right" vertical="center" wrapText="1"/>
    </x:xf>
    <x:xf numFmtId="177" fontId="31" fillId="0" borderId="32" xfId="2" applyNumberFormat="1" applyFont="1" applyFill="1" applyBorder="1" applyAlignment="1">
      <x:alignment horizontal="right" vertical="center"/>
    </x:xf>
    <x:xf numFmtId="177" fontId="31" fillId="0" borderId="33" xfId="2" applyNumberFormat="1" applyFont="1" applyFill="1" applyBorder="1" applyAlignment="1">
      <x:alignment horizontal="right" vertical="center"/>
    </x:xf>
    <x:xf numFmtId="177" fontId="31" fillId="0" borderId="34" xfId="2" applyNumberFormat="1" applyFont="1" applyFill="1" applyBorder="1" applyAlignment="1">
      <x:alignment horizontal="right" vertical="center"/>
    </x:xf>
    <x:xf numFmtId="181" fontId="31" fillId="0" borderId="0" xfId="0" applyNumberFormat="1" applyFont="1" applyAlignment="1">
      <x:alignment vertical="top"/>
    </x:xf>
    <x:xf numFmtId="176" fontId="34" fillId="0" borderId="0" xfId="1" applyNumberFormat="1" applyFont="1" applyAlignment="1">
      <x:alignment horizontal="right" vertical="center"/>
    </x:xf>
    <x:xf numFmtId="176" fontId="0" fillId="0" borderId="0" xfId="0" applyNumberFormat="1" applyAlignment="1">
      <x:alignment horizontal="right" vertical="center"/>
    </x:xf>
    <x:xf numFmtId="9" fontId="31" fillId="0" borderId="0" xfId="2" applyFont="1" applyFill="1" applyAlignment="1">
      <x:alignment vertical="top"/>
    </x:xf>
    <x:xf numFmtId="41" fontId="31" fillId="0" borderId="26" xfId="1" applyFont="1" applyBorder="1" applyAlignment="1">
      <x:alignment horizontal="right" vertical="center"/>
    </x:xf>
    <x:xf numFmtId="41" fontId="31" fillId="0" borderId="0" xfId="1" applyFont="1" applyFill="1" applyAlignment="1">
      <x:alignment vertical="top"/>
    </x:xf>
    <x:xf numFmtId="3" fontId="0" fillId="0" borderId="0" xfId="0" applyNumberFormat="1" applyAlignment="1">
      <x:alignment vertical="center"/>
    </x:xf>
    <x:xf numFmtId="176" fontId="29" fillId="0" borderId="0" xfId="0" applyNumberFormat="1" applyFont="1" applyAlignment="1">
      <x:alignment vertical="top"/>
    </x:xf>
    <x:xf numFmtId="177" fontId="34" fillId="0" borderId="0" xfId="2" applyNumberFormat="1" applyFont="1" applyAlignment="1">
      <x:alignment horizontal="right" vertical="center"/>
    </x:xf>
    <x:xf numFmtId="183" fontId="31" fillId="0" borderId="0" xfId="0" applyNumberFormat="1" applyFont="1" applyAlignment="1">
      <x:alignment vertical="top"/>
    </x:xf>
    <x:xf numFmtId="182" fontId="6" fillId="19" borderId="35" xfId="0" applyNumberFormat="1" applyFont="1" applyFill="1" applyBorder="1" applyAlignment="1">
      <x:alignment horizontal="center" vertical="center"/>
    </x:xf>
    <x:xf numFmtId="182" fontId="35" fillId="19" borderId="3" xfId="0" applyNumberFormat="1" applyFont="1" applyFill="1" applyBorder="1" applyAlignment="1">
      <x:alignment horizontal="center" vertical="center"/>
    </x:xf>
    <x:xf numFmtId="182" fontId="6" fillId="19" borderId="3" xfId="0" applyNumberFormat="1" applyFont="1" applyFill="1" applyBorder="1" applyAlignment="1">
      <x:alignment horizontal="center" vertical="center"/>
    </x:xf>
    <x:xf numFmtId="0" fontId="6" fillId="18" borderId="0" xfId="0" applyFont="1" applyFill="1" applyAlignment="1">
      <x:alignment horizontal="center" vertical="center"/>
    </x:xf>
    <x:xf numFmtId="0" fontId="36" fillId="18" borderId="0" xfId="0" applyFont="1" applyFill="1" applyAlignment="1">
      <x:alignment horizontal="center" vertical="center"/>
    </x:xf>
    <x:xf numFmtId="9" fontId="31" fillId="0" borderId="0" xfId="2" applyFont="1" applyFill="1" applyBorder="1" applyAlignment="1">
      <x:alignment vertical="top"/>
    </x:xf>
    <x:xf numFmtId="41" fontId="8" fillId="0" borderId="0" xfId="1" applyFont="1" applyAlignment="1">
      <x:alignment vertical="center"/>
    </x:xf>
    <x:xf numFmtId="176" fontId="36" fillId="19" borderId="0" xfId="0" applyNumberFormat="1" applyFont="1" applyFill="1" applyAlignment="1">
      <x:alignment horizontal="center" vertical="center"/>
    </x:xf>
    <x:xf numFmtId="41" fontId="8" fillId="0" borderId="0" xfId="1" applyFont="1" applyAlignment="1">
      <x:alignment horizontal="left" vertical="center" indent="1"/>
    </x:xf>
    <x:xf numFmtId="41" fontId="10" fillId="0" borderId="0" xfId="1" applyFont="1" applyAlignment="1">
      <x:alignment vertical="center"/>
    </x:xf>
    <x:xf numFmtId="176" fontId="44" fillId="0" borderId="0" xfId="0" applyNumberFormat="1" applyFont="1" applyAlignment="1">
      <x:alignment vertical="center"/>
    </x:xf>
    <x:xf numFmtId="176" fontId="44" fillId="0" borderId="0" xfId="0" applyNumberFormat="1" applyFont="1" applyAlignment="1">
      <x:alignment horizontal="right" vertical="center"/>
    </x:xf>
    <x:xf numFmtId="0" fontId="44" fillId="0" borderId="0" xfId="0" quotePrefix="1" applyFont="1" applyAlignment="1">
      <x:alignment vertical="center"/>
    </x:xf>
    <x:xf numFmtId="176" fontId="6" fillId="0" borderId="0" xfId="0" applyNumberFormat="1" applyFont="1" applyAlignment="1">
      <x:alignment vertical="center"/>
    </x:xf>
    <x:xf numFmtId="41" fontId="8" fillId="0" borderId="0" xfId="0" applyNumberFormat="1" applyFont="1" applyAlignment="1">
      <x:alignment vertical="center"/>
    </x:xf>
    <x:xf numFmtId="176" fontId="24" fillId="0" borderId="0" xfId="0" applyNumberFormat="1" applyFont="1" applyAlignment="1">
      <x:alignment vertical="top"/>
    </x:xf>
    <x:xf numFmtId="176" fontId="24" fillId="0" borderId="0" xfId="0" applyNumberFormat="1" applyFont="1" applyAlignment="1">
      <x:alignment horizontal="center" vertical="top"/>
    </x:xf>
    <x:xf numFmtId="9" fontId="24" fillId="0" borderId="0" xfId="2" applyFont="1" applyFill="1" applyAlignment="1">
      <x:alignment vertical="top"/>
    </x:xf>
    <x:xf numFmtId="177" fontId="24" fillId="0" borderId="0" xfId="2" applyNumberFormat="1" applyFont="1" applyFill="1" applyAlignment="1">
      <x:alignment vertical="top"/>
    </x:xf>
    <x:xf numFmtId="3" fontId="43" fillId="0" borderId="0" xfId="0" applyNumberFormat="1" applyFont="1" applyAlignment="1">
      <x:alignment vertical="center"/>
    </x:xf>
    <x:xf numFmtId="176" fontId="43" fillId="0" borderId="0" xfId="0" applyNumberFormat="1" applyFont="1" applyAlignment="1">
      <x:alignment vertical="center"/>
    </x:xf>
    <x:xf numFmtId="3" fontId="24" fillId="0" borderId="0" xfId="0" applyNumberFormat="1" applyFont="1" applyAlignment="1">
      <x:alignment vertical="top"/>
    </x:xf>
    <x:xf numFmtId="41" fontId="24" fillId="0" borderId="0" xfId="1" applyFont="1" applyFill="1" applyAlignment="1">
      <x:alignment vertical="top"/>
    </x:xf>
    <x:xf numFmtId="9" fontId="24" fillId="0" borderId="0" xfId="2" applyFont="1" applyFill="1" applyBorder="1" applyAlignment="1">
      <x:alignment horizontal="right" vertical="center"/>
    </x:xf>
    <x:xf numFmtId="3" fontId="49" fillId="0" borderId="0" xfId="0" applyNumberFormat="1" applyFont="1" applyAlignment="1">
      <x:alignment vertical="center"/>
    </x:xf>
    <x:xf numFmtId="176" fontId="48" fillId="0" borderId="0" xfId="0" applyNumberFormat="1" applyFont="1" applyAlignment="1">
      <x:alignment vertical="center"/>
    </x:xf>
    <x:xf numFmtId="41" fontId="48" fillId="0" borderId="0" xfId="1" applyFont="1" applyAlignment="1">
      <x:alignment horizontal="left" vertical="center" indent="1"/>
    </x:xf>
    <x:xf numFmtId="41" fontId="10" fillId="0" borderId="0" xfId="0" applyNumberFormat="1" applyFont="1" applyAlignment="1">
      <x:alignment vertical="center"/>
    </x:xf>
    <x:xf numFmtId="177" fontId="32" fillId="17" borderId="0" xfId="2" applyNumberFormat="1" applyFont="1" applyFill="1" applyBorder="1" applyAlignment="1">
      <x:alignment horizontal="left" vertical="center"/>
    </x:xf>
    <x:xf numFmtId="177" fontId="32" fillId="17" borderId="0" xfId="2" applyNumberFormat="1" applyFont="1" applyFill="1" applyBorder="1" applyAlignment="1">
      <x:alignment horizontal="right" vertical="center"/>
    </x:xf>
    <x:xf numFmtId="177" fontId="32" fillId="16" borderId="31" xfId="2" applyNumberFormat="1" applyFont="1" applyFill="1" applyBorder="1" applyAlignment="1">
      <x:alignment horizontal="left" vertical="center"/>
    </x:xf>
    <x:xf numFmtId="177" fontId="32" fillId="16" borderId="26" xfId="2" applyNumberFormat="1" applyFont="1" applyFill="1" applyBorder="1" applyAlignment="1">
      <x:alignment horizontal="left" vertical="center"/>
    </x:xf>
    <x:xf numFmtId="180" fontId="0" fillId="0" borderId="0" xfId="0" applyNumberFormat="1" applyAlignment="1">
      <x:alignment horizontal="right" vertical="center"/>
    </x:xf>
    <x:xf numFmtId="3" fontId="6" fillId="0" borderId="0" xfId="0" applyNumberFormat="1" applyFont="1" applyAlignment="1">
      <x:alignment vertical="top"/>
    </x:xf>
    <x:xf numFmtId="176" fontId="6" fillId="0" borderId="0" xfId="0" applyNumberFormat="1" applyFont="1" applyAlignment="1">
      <x:alignment vertical="top"/>
    </x:xf>
    <x:xf numFmtId="41" fontId="6" fillId="0" borderId="0" xfId="1" applyFont="1" applyAlignment="1">
      <x:alignment vertical="top"/>
    </x:xf>
    <x:xf numFmtId="0" fontId="6" fillId="0" borderId="14" xfId="0" applyFont="1" applyBorder="1" applyAlignment="1">
      <x:alignment vertical="center"/>
    </x:xf>
    <x:xf numFmtId="0" fontId="6" fillId="0" borderId="0" xfId="0" applyFont="1" applyAlignment="1">
      <x:alignment vertical="center"/>
    </x:xf>
    <x:xf numFmtId="0" fontId="34" fillId="0" borderId="0" xfId="0" applyFont="1" applyAlignment="1">
      <x:alignment horizontal="center" vertical="center"/>
    </x:xf>
    <x:xf numFmtId="0" fontId="37" fillId="12" borderId="19" xfId="0" applyFont="1" applyFill="1" applyBorder="1" applyAlignment="1">
      <x:alignment vertical="center"/>
    </x:xf>
    <x:xf numFmtId="0" fontId="37" fillId="0" borderId="0" xfId="0" applyFont="1" applyAlignment="1">
      <x:alignment vertical="center"/>
    </x:xf>
    <x:xf numFmtId="0" fontId="37" fillId="0" borderId="41" xfId="0" applyFont="1" applyBorder="1" applyAlignment="1">
      <x:alignment vertical="center"/>
    </x:xf>
    <x:xf numFmtId="0" fontId="37" fillId="12" borderId="20" xfId="0" applyFont="1" applyFill="1" applyBorder="1" applyAlignment="1">
      <x:alignment vertical="center"/>
    </x:xf>
    <x:xf numFmtId="177" fontId="24" fillId="0" borderId="0" xfId="2" applyNumberFormat="1" applyFont="1" applyAlignment="1">
      <x:alignment vertical="top"/>
    </x:xf>
    <x:xf numFmtId="41" fontId="24" fillId="0" borderId="0" xfId="1" applyFont="1" applyAlignment="1">
      <x:alignment vertical="top"/>
    </x:xf>
    <x:xf numFmtId="176" fontId="31" fillId="0" borderId="0" xfId="1" applyNumberFormat="1" applyFont="1" applyFill="1" applyAlignment="1">
      <x:alignment vertical="top"/>
    </x:xf>
    <x:xf numFmtId="176" fontId="49" fillId="0" borderId="0" xfId="0" applyNumberFormat="1" applyFont="1" applyAlignment="1">
      <x:alignment vertical="center"/>
    </x:xf>
    <x:xf numFmtId="3" fontId="36" fillId="0" borderId="0" xfId="0" applyNumberFormat="1" applyFont="1" applyAlignment="1">
      <x:alignment vertical="center"/>
    </x:xf>
    <x:xf numFmtId="9" fontId="0" fillId="0" borderId="0" xfId="0" applyNumberFormat="1" applyAlignment="1">
      <x:alignment horizontal="right" vertical="center"/>
    </x:xf>
    <x:xf numFmtId="9" fontId="34" fillId="0" borderId="0" xfId="2" applyFont="1" applyAlignment="1">
      <x:alignment vertical="center"/>
    </x:xf>
    <x:xf numFmtId="9" fontId="34" fillId="0" borderId="0" xfId="2" applyFont="1" applyAlignment="1">
      <x:alignment horizontal="center" vertical="center"/>
    </x:xf>
    <x:xf numFmtId="0" fontId="50" fillId="0" borderId="0" xfId="0" applyFont="1" applyAlignment="1">
      <x:alignment vertical="center"/>
    </x:xf>
    <x:xf numFmtId="0" fontId="35" fillId="0" borderId="0" xfId="0" applyFont="1" applyAlignment="1">
      <x:alignment vertical="center"/>
    </x:xf>
    <x:xf numFmtId="0" fontId="0" fillId="0" borderId="0" xfId="0" applyAlignment="1">
      <x:alignment horizontal="right" vertical="center"/>
    </x:xf>
    <x:xf numFmtId="176" fontId="8" fillId="0" borderId="0" xfId="0" applyNumberFormat="1" applyFont="1" applyAlignment="1">
      <x:alignment horizontal="center" vertical="center"/>
    </x:xf>
    <x:xf numFmtId="176" fontId="51" fillId="12" borderId="19" xfId="0" applyNumberFormat="1" applyFont="1" applyFill="1" applyBorder="1" applyAlignment="1">
      <x:alignment horizontal="center" vertical="center"/>
    </x:xf>
    <x:xf numFmtId="0" fontId="39" fillId="12" borderId="19" xfId="0" applyFont="1" applyFill="1" applyBorder="1" applyAlignment="1">
      <x:alignment horizontal="center" vertical="center"/>
    </x:xf>
    <x:xf numFmtId="176" fontId="39" fillId="12" borderId="19" xfId="0" applyNumberFormat="1" applyFont="1" applyFill="1" applyBorder="1" applyAlignment="1">
      <x:alignment horizontal="center" vertical="center"/>
    </x:xf>
    <x:xf numFmtId="0" fontId="36" fillId="0" borderId="0" xfId="0" applyFont="1" applyAlignment="1">
      <x:alignment vertical="center"/>
    </x:xf>
    <x:xf numFmtId="176" fontId="31" fillId="0" borderId="0" xfId="1" applyNumberFormat="1" applyFont="1" applyAlignment="1">
      <x:alignment vertical="top"/>
    </x:xf>
    <x:xf numFmtId="41" fontId="6" fillId="0" borderId="0" xfId="1" applyFont="1" applyAlignment="1">
      <x:alignment vertical="center"/>
    </x:xf>
    <x:xf numFmtId="41" fontId="44" fillId="0" borderId="0" xfId="1" applyFont="1" applyAlignment="1">
      <x:alignment vertical="center"/>
    </x:xf>
    <x:xf numFmtId="41" fontId="44" fillId="0" borderId="0" xfId="1" applyFont="1" applyAlignment="1">
      <x:alignment horizontal="left" vertical="center" indent="1"/>
    </x:xf>
    <x:xf numFmtId="41" fontId="48" fillId="0" borderId="0" xfId="1" applyFont="1" applyAlignment="1">
      <x:alignment vertical="center"/>
    </x:xf>
    <x:xf numFmtId="176" fontId="48" fillId="0" borderId="0" xfId="0" applyNumberFormat="1" applyFont="1" applyAlignment="1">
      <x:alignment horizontal="right" vertical="center"/>
    </x:xf>
    <x:xf numFmtId="176" fontId="48" fillId="5" borderId="0" xfId="0" applyNumberFormat="1" applyFont="1" applyFill="1" applyAlignment="1">
      <x:alignment vertical="center"/>
    </x:xf>
    <x:xf numFmtId="179" fontId="33" fillId="0" borderId="0" xfId="0" applyNumberFormat="1" applyFont="1" applyAlignment="1">
      <x:alignment horizontal="left" vertical="center"/>
    </x:xf>
    <x:xf numFmtId="0" fontId="30" fillId="23" borderId="42" xfId="0" applyFont="1" applyFill="1" applyBorder="1" applyAlignment="1">
      <x:alignment horizontal="center" vertical="center"/>
    </x:xf>
    <x:xf numFmtId="0" fontId="30" fillId="23" borderId="43" xfId="0" applyFont="1" applyFill="1" applyBorder="1" applyAlignment="1">
      <x:alignment horizontal="center" vertical="center"/>
    </x:xf>
    <x:xf numFmtId="41" fontId="30" fillId="23" borderId="44" xfId="1" applyFont="1" applyFill="1" applyBorder="1" applyAlignment="1">
      <x:alignment horizontal="center" vertical="center"/>
    </x:xf>
    <x:xf numFmtId="0" fontId="25" fillId="11" borderId="45" xfId="0" applyFont="1" applyFill="1" applyBorder="1" applyAlignment="1">
      <x:alignment vertical="center"/>
    </x:xf>
    <x:xf numFmtId="0" fontId="25" fillId="11" borderId="46" xfId="0" applyFont="1" applyFill="1" applyBorder="1" applyAlignment="1">
      <x:alignment horizontal="center" vertical="center"/>
    </x:xf>
    <x:xf numFmtId="41" fontId="25" fillId="11" borderId="47" xfId="1" applyFont="1" applyFill="1" applyBorder="1">
      <x:alignment vertical="center"/>
    </x:xf>
    <x:xf numFmtId="41" fontId="25" fillId="11" borderId="48" xfId="1" applyFont="1" applyFill="1" applyBorder="1">
      <x:alignment vertical="center"/>
    </x:xf>
    <x:xf numFmtId="0" fontId="0" fillId="14" borderId="49" xfId="0" applyFill="1" applyBorder="1" applyAlignment="1">
      <x:alignment vertical="center"/>
    </x:xf>
    <x:xf numFmtId="0" fontId="0" fillId="14" borderId="50" xfId="0" applyFill="1" applyBorder="1" applyAlignment="1">
      <x:alignment horizontal="center" vertical="center"/>
    </x:xf>
    <x:xf numFmtId="41" fontId="0" fillId="14" borderId="51" xfId="1" applyFont="1" applyFill="1" applyBorder="1">
      <x:alignment vertical="center"/>
    </x:xf>
    <x:xf numFmtId="41" fontId="0" fillId="14" borderId="52" xfId="1" applyFont="1" applyFill="1" applyBorder="1">
      <x:alignment vertical="center"/>
    </x:xf>
    <x:xf numFmtId="41" fontId="0" fillId="14" borderId="53" xfId="1" applyFont="1" applyFill="1" applyBorder="1">
      <x:alignment vertical="center"/>
    </x:xf>
    <x:xf numFmtId="41" fontId="0" fillId="14" borderId="54" xfId="1" applyFont="1" applyFill="1" applyBorder="1">
      <x:alignment vertical="center"/>
    </x:xf>
    <x:xf numFmtId="41" fontId="0" fillId="14" borderId="55" xfId="1" applyFont="1" applyFill="1" applyBorder="1">
      <x:alignment vertical="center"/>
    </x:xf>
    <x:xf numFmtId="41" fontId="0" fillId="14" borderId="56" xfId="1" applyFont="1" applyFill="1" applyBorder="1">
      <x:alignment vertical="center"/>
    </x:xf>
    <x:xf numFmtId="0" fontId="25" fillId="17" borderId="45" xfId="0" applyFont="1" applyFill="1" applyBorder="1" applyAlignment="1">
      <x:alignment vertical="center"/>
    </x:xf>
    <x:xf numFmtId="0" fontId="25" fillId="17" borderId="46" xfId="0" applyFont="1" applyFill="1" applyBorder="1" applyAlignment="1">
      <x:alignment horizontal="center" vertical="center"/>
    </x:xf>
    <x:xf numFmtId="41" fontId="25" fillId="17" borderId="47" xfId="1" applyFont="1" applyFill="1" applyBorder="1">
      <x:alignment vertical="center"/>
    </x:xf>
    <x:xf numFmtId="41" fontId="25" fillId="17" borderId="48" xfId="1" applyFont="1" applyFill="1" applyBorder="1">
      <x:alignment vertical="center"/>
    </x:xf>
    <x:xf numFmtId="0" fontId="25" fillId="17" borderId="57" xfId="0" applyFont="1" applyFill="1" applyBorder="1" applyAlignment="1">
      <x:alignment vertical="center"/>
    </x:xf>
    <x:xf numFmtId="0" fontId="25" fillId="17" borderId="58" xfId="0" applyFont="1" applyFill="1" applyBorder="1" applyAlignment="1">
      <x:alignment horizontal="center" vertical="center"/>
    </x:xf>
    <x:xf numFmtId="41" fontId="25" fillId="17" borderId="59" xfId="1" applyFont="1" applyFill="1" applyBorder="1">
      <x:alignment vertical="center"/>
    </x:xf>
    <x:xf numFmtId="41" fontId="25" fillId="17" borderId="60" xfId="1" applyFont="1" applyFill="1" applyBorder="1">
      <x:alignment vertical="center"/>
    </x:xf>
    <x:xf numFmtId="0" fontId="30" fillId="23" borderId="61" xfId="0" applyFont="1" applyFill="1" applyBorder="1" applyAlignment="1">
      <x:alignment horizontal="center" vertical="center"/>
    </x:xf>
    <x:xf numFmtId="0" fontId="30" fillId="23" borderId="62" xfId="0" applyFont="1" applyFill="1" applyBorder="1" applyAlignment="1">
      <x:alignment horizontal="center" vertical="center"/>
    </x:xf>
    <x:xf numFmtId="0" fontId="30" fillId="23" borderId="63" xfId="0" applyFont="1" applyFill="1" applyBorder="1" applyAlignment="1">
      <x:alignment horizontal="center" vertical="center"/>
    </x:xf>
    <x:xf numFmtId="41" fontId="24" fillId="14" borderId="65" xfId="1" applyFont="1" applyFill="1" applyBorder="1" applyAlignment="1">
      <x:alignment horizontal="center" vertical="center"/>
    </x:xf>
    <x:xf numFmtId="0" fontId="24" fillId="14" borderId="65" xfId="0" applyFont="1" applyFill="1" applyBorder="1" applyAlignment="1">
      <x:alignment vertical="center"/>
    </x:xf>
    <x:xf numFmtId="41" fontId="25" fillId="17" borderId="67" xfId="1" applyFont="1" applyFill="1" applyBorder="1" applyAlignment="1">
      <x:alignment horizontal="center" vertical="center"/>
    </x:xf>
    <x:xf numFmtId="41" fontId="25" fillId="17" borderId="68" xfId="1" applyFont="1" applyFill="1" applyBorder="1">
      <x:alignment vertical="center"/>
    </x:xf>
    <x:xf numFmtId="0" fontId="30" fillId="23" borderId="70" xfId="0" applyFont="1" applyFill="1" applyBorder="1" applyAlignment="1">
      <x:alignment horizontal="center" vertical="center"/>
    </x:xf>
    <x:xf numFmtId="0" fontId="30" fillId="23" borderId="71" xfId="0" applyFont="1" applyFill="1" applyBorder="1" applyAlignment="1">
      <x:alignment horizontal="center" vertical="center"/>
    </x:xf>
    <x:xf numFmtId="0" fontId="30" fillId="23" borderId="72" xfId="0" applyFont="1" applyFill="1" applyBorder="1" applyAlignment="1">
      <x:alignment horizontal="center" vertical="center"/>
    </x:xf>
    <x:xf numFmtId="0" fontId="24" fillId="14" borderId="73" xfId="0" applyFont="1" applyFill="1" applyBorder="1" applyAlignment="1">
      <x:alignment horizontal="center" vertical="center"/>
    </x:xf>
    <x:xf numFmtId="0" fontId="6" fillId="0" borderId="0" xfId="0" applyFont="1" applyAlignment="1">
      <x:alignment horizontal="center" vertical="top"/>
    </x:xf>
    <x:xf numFmtId="176" fontId="6" fillId="19" borderId="0" xfId="0" applyNumberFormat="1" applyFont="1" applyFill="1" applyAlignment="1">
      <x:alignment horizontal="center" vertical="center"/>
    </x:xf>
    <x:xf numFmtId="176" fontId="6" fillId="15" borderId="0" xfId="0" applyNumberFormat="1" applyFont="1" applyFill="1" applyAlignment="1">
      <x:alignment horizontal="center" vertical="center"/>
    </x:xf>
    <x:xf numFmtId="182" fontId="52" fillId="15" borderId="3" xfId="0" applyNumberFormat="1" applyFont="1" applyFill="1" applyBorder="1" applyAlignment="1">
      <x:alignment horizontal="center" vertical="center"/>
    </x:xf>
    <x:xf numFmtId="0" fontId="43" fillId="0" borderId="0" xfId="0" applyFont="1" applyAlignment="1">
      <x:alignment vertical="top"/>
    </x:xf>
    <x:xf numFmtId="3" fontId="43" fillId="0" borderId="0" xfId="0" applyNumberFormat="1" applyFont="1" applyAlignment="1">
      <x:alignment vertical="top"/>
    </x:xf>
    <x:xf numFmtId="41" fontId="6" fillId="0" borderId="0" xfId="0" applyNumberFormat="1" applyFont="1" applyAlignment="1">
      <x:alignment vertical="center"/>
    </x:xf>
    <x:xf numFmtId="0" fontId="37" fillId="0" borderId="19" xfId="0" applyFont="1" applyBorder="1" applyAlignment="1">
      <x:alignment vertical="center"/>
    </x:xf>
    <x:xf numFmtId="0" fontId="51" fillId="12" borderId="19" xfId="0" applyFont="1" applyFill="1" applyBorder="1" applyAlignment="1">
      <x:alignment horizontal="center" vertical="center"/>
    </x:xf>
    <x:xf numFmtId="41" fontId="56" fillId="0" borderId="0" xfId="1" applyFont="1" applyFill="1" applyAlignment="1">
      <x:alignment horizontal="left" vertical="center"/>
    </x:xf>
    <x:xf numFmtId="41" fontId="56" fillId="0" borderId="0" xfId="1" applyFont="1" applyFill="1" applyAlignment="1">
      <x:alignment vertical="top"/>
    </x:xf>
    <x:xf numFmtId="41" fontId="58" fillId="0" borderId="0" xfId="1" applyFont="1" applyFill="1" applyAlignment="1">
      <x:alignment horizontal="left" vertical="center" indent="1"/>
    </x:xf>
    <x:xf numFmtId="41" fontId="56" fillId="0" borderId="0" xfId="1" applyFont="1" applyFill="1" applyAlignment="1">
      <x:alignment horizontal="right" vertical="center"/>
    </x:xf>
    <x:xf numFmtId="176" fontId="56" fillId="0" borderId="0" xfId="1" applyNumberFormat="1" applyFont="1" applyFill="1" applyAlignment="1">
      <x:alignment horizontal="right" vertical="center"/>
    </x:xf>
    <x:xf numFmtId="0" fontId="56" fillId="0" borderId="0" xfId="0" applyFont="1" applyAlignment="1">
      <x:alignment vertical="top"/>
    </x:xf>
    <x:xf numFmtId="176" fontId="56" fillId="0" borderId="0" xfId="0" applyNumberFormat="1" applyFont="1" applyAlignment="1">
      <x:alignment vertical="top"/>
    </x:xf>
    <x:xf numFmtId="41" fontId="56" fillId="0" borderId="0" xfId="0" applyNumberFormat="1" applyFont="1" applyAlignment="1">
      <x:alignment vertical="top"/>
    </x:xf>
    <x:xf numFmtId="176" fontId="57" fillId="0" borderId="0" xfId="0" applyNumberFormat="1" applyFont="1" applyAlignment="1">
      <x:alignment horizontal="right" vertical="top"/>
    </x:xf>
    <x:xf numFmtId="3" fontId="56" fillId="0" borderId="0" xfId="0" applyNumberFormat="1" applyFont="1" applyAlignment="1">
      <x:alignment vertical="top"/>
    </x:xf>
    <x:xf numFmtId="3" fontId="59" fillId="0" borderId="0" xfId="0" applyNumberFormat="1" applyFont="1" applyAlignment="1">
      <x:alignment horizontal="right" vertical="top"/>
    </x:xf>
    <x:xf numFmtId="176" fontId="58" fillId="0" borderId="0" xfId="0" applyNumberFormat="1" applyFont="1" applyAlignment="1">
      <x:alignment vertical="center"/>
    </x:xf>
    <x:xf numFmtId="3" fontId="56" fillId="0" borderId="0" xfId="0" applyNumberFormat="1" applyFont="1" applyAlignment="1">
      <x:alignment vertical="center"/>
    </x:xf>
    <x:xf numFmtId="184" fontId="56" fillId="0" borderId="0" xfId="0" applyNumberFormat="1" applyFont="1" applyAlignment="1">
      <x:alignment vertical="top"/>
    </x:xf>
    <x:xf numFmtId="176" fontId="58" fillId="0" borderId="0" xfId="0" applyNumberFormat="1" applyFont="1" applyAlignment="1">
      <x:alignment horizontal="right" vertical="top"/>
    </x:xf>
    <x:xf numFmtId="0" fontId="56" fillId="0" borderId="0" xfId="0" applyFont="1" applyAlignment="1">
      <x:alignment horizontal="left" vertical="center"/>
    </x:xf>
    <x:xf numFmtId="176" fontId="60" fillId="0" borderId="0" xfId="0" applyNumberFormat="1" applyFont="1" applyAlignment="1">
      <x:alignment vertical="center"/>
    </x:xf>
    <x:xf numFmtId="176" fontId="6" fillId="0" borderId="36" xfId="0" applyNumberFormat="1" applyFont="1" applyBorder="1" applyAlignment="1">
      <x:alignment vertical="center"/>
    </x:xf>
    <x:xf numFmtId="176" fontId="6" fillId="0" borderId="37" xfId="0" applyNumberFormat="1" applyFont="1" applyBorder="1" applyAlignment="1">
      <x:alignment vertical="center"/>
    </x:xf>
    <x:xf numFmtId="3" fontId="6" fillId="0" borderId="0" xfId="0" applyNumberFormat="1" applyFont="1" applyAlignment="1">
      <x:alignment vertical="center"/>
    </x:xf>
    <x:xf numFmtId="176" fontId="6" fillId="0" borderId="38" xfId="0" applyNumberFormat="1" applyFont="1" applyBorder="1" applyAlignment="1">
      <x:alignment vertical="center"/>
    </x:xf>
    <x:xf numFmtId="41" fontId="6" fillId="0" borderId="0" xfId="0" applyNumberFormat="1" applyFont="1" applyAlignment="1">
      <x:alignment vertical="top"/>
    </x:xf>
    <x:xf numFmtId="176" fontId="6" fillId="0" borderId="2" xfId="0" applyNumberFormat="1" applyFont="1" applyBorder="1" applyAlignment="1">
      <x:alignment vertical="center"/>
    </x:xf>
    <x:xf numFmtId="176" fontId="6" fillId="0" borderId="12" xfId="0" applyNumberFormat="1" applyFont="1" applyBorder="1" applyAlignment="1">
      <x:alignment vertical="center"/>
    </x:xf>
    <x:xf numFmtId="181" fontId="61" fillId="17" borderId="29" xfId="0" applyNumberFormat="1" applyFont="1" applyFill="1" applyBorder="1" applyAlignment="1">
      <x:alignment horizontal="right" vertical="center"/>
    </x:xf>
    <x:xf numFmtId="176" fontId="62" fillId="0" borderId="0" xfId="0" applyNumberFormat="1" applyFont="1" applyAlignment="1">
      <x:alignment vertical="top"/>
    </x:xf>
    <x:xf numFmtId="181" fontId="56" fillId="0" borderId="0" xfId="0" applyNumberFormat="1" applyFont="1" applyAlignment="1">
      <x:alignment vertical="top"/>
    </x:xf>
    <x:xf numFmtId="176" fontId="36" fillId="15" borderId="0" xfId="1" applyNumberFormat="1" applyFont="1" applyFill="1" applyAlignment="1">
      <x:alignment horizontal="center" vertical="center"/>
    </x:xf>
    <x:xf numFmtId="177" fontId="32" fillId="16" borderId="30" xfId="2" quotePrefix="1" applyNumberFormat="1" applyFont="1" applyFill="1" applyBorder="1" applyAlignment="1">
      <x:alignment horizontal="left" vertical="center"/>
    </x:xf>
    <x:xf numFmtId="0" fontId="43" fillId="0" borderId="0" xfId="0" applyFont="1" applyAlignment="1">
      <x:alignment horizontal="center" vertical="top"/>
    </x:xf>
    <x:xf numFmtId="0" fontId="43" fillId="0" borderId="0" xfId="0" applyFont="1" applyAlignment="1">
      <x:alignment horizontal="center" vertical="center"/>
    </x:xf>
    <x:xf numFmtId="185" fontId="34" fillId="0" borderId="0" xfId="0" applyNumberFormat="1" applyFont="1" applyAlignment="1">
      <x:alignment vertical="center"/>
    </x:xf>
    <x:xf numFmtId="9" fontId="24" fillId="0" borderId="0" xfId="2" applyFont="1" applyAlignment="1">
      <x:alignment vertical="top"/>
    </x:xf>
    <x:xf numFmtId="3" fontId="63" fillId="0" borderId="0" xfId="0" applyNumberFormat="1" applyFont="1" applyAlignment="1">
      <x:alignment vertical="top"/>
    </x:xf>
    <x:xf numFmtId="176" fontId="63" fillId="0" borderId="0" xfId="0" applyNumberFormat="1" applyFont="1" applyAlignment="1">
      <x:alignment vertical="top"/>
    </x:xf>
    <x:xf numFmtId="43" fontId="56" fillId="0" borderId="0" xfId="0" applyNumberFormat="1" applyFont="1" applyAlignment="1">
      <x:alignment vertical="top"/>
    </x:xf>
    <x:xf numFmtId="176" fontId="32" fillId="17" borderId="29" xfId="0" applyNumberFormat="1" applyFont="1" applyFill="1" applyBorder="1" applyAlignment="1">
      <x:alignment horizontal="right" vertical="center"/>
    </x:xf>
    <x:xf numFmtId="9" fontId="32" fillId="17" borderId="29" xfId="2" applyFont="1" applyFill="1" applyBorder="1" applyAlignment="1">
      <x:alignment horizontal="right" vertical="center"/>
    </x:xf>
    <x:xf numFmtId="181" fontId="32" fillId="17" borderId="29" xfId="0" applyNumberFormat="1" applyFont="1" applyFill="1" applyBorder="1" applyAlignment="1">
      <x:alignment horizontal="right" vertical="center"/>
    </x:xf>
    <x:xf numFmtId="177" fontId="32" fillId="16" borderId="23" xfId="2" quotePrefix="1" applyNumberFormat="1" applyFont="1" applyFill="1" applyBorder="1" applyAlignment="1">
      <x:alignment horizontal="right" vertical="center" wrapText="1"/>
    </x:xf>
    <x:xf numFmtId="180" fontId="64" fillId="0" borderId="0" xfId="0" applyNumberFormat="1" applyFont="1" applyAlignment="1">
      <x:alignment horizontal="right" vertical="center"/>
    </x:xf>
    <x:xf numFmtId="9" fontId="64" fillId="0" borderId="0" xfId="0" applyNumberFormat="1" applyFont="1" applyAlignment="1">
      <x:alignment horizontal="right" vertical="center"/>
    </x:xf>
    <x:xf numFmtId="49" fontId="0" fillId="19" borderId="0" xfId="0" applyNumberFormat="1" applyFill="1" applyAlignment="1">
      <x:alignment vertical="center"/>
    </x:xf>
    <x:xf numFmtId="3" fontId="8" fillId="0" borderId="0" xfId="0" applyNumberFormat="1" applyFont="1" applyAlignment="1">
      <x:alignment horizontal="left" vertical="center" indent="1"/>
    </x:xf>
    <x:xf numFmtId="9" fontId="8" fillId="0" borderId="0" xfId="2" applyFont="1" applyAlignment="1">
      <x:alignment horizontal="right" vertical="center"/>
    </x:xf>
    <x:xf numFmtId="180" fontId="6" fillId="0" borderId="0" xfId="0" applyNumberFormat="1" applyFont="1" applyAlignment="1">
      <x:alignment horizontal="right" vertical="center"/>
    </x:xf>
    <x:xf numFmtId="9" fontId="6" fillId="0" borderId="0" xfId="0" applyNumberFormat="1" applyFont="1" applyAlignment="1">
      <x:alignment horizontal="right" vertical="center"/>
    </x:xf>
    <x:xf numFmtId="180" fontId="47" fillId="0" borderId="41" xfId="0" applyNumberFormat="1" applyFont="1" applyBorder="1" applyAlignment="1">
      <x:alignment horizontal="right" vertical="center"/>
    </x:xf>
    <x:xf numFmtId="9" fontId="47" fillId="0" borderId="41" xfId="0" applyNumberFormat="1" applyFont="1" applyBorder="1" applyAlignment="1">
      <x:alignment horizontal="right" vertical="center"/>
    </x:xf>
    <x:xf numFmtId="180" fontId="47" fillId="12" borderId="20" xfId="0" applyNumberFormat="1" applyFont="1" applyFill="1" applyBorder="1" applyAlignment="1">
      <x:alignment horizontal="right" vertical="center"/>
    </x:xf>
    <x:xf numFmtId="9" fontId="47" fillId="12" borderId="20" xfId="0" applyNumberFormat="1" applyFont="1" applyFill="1" applyBorder="1" applyAlignment="1">
      <x:alignment horizontal="right" vertical="center"/>
    </x:xf>
    <x:xf numFmtId="41" fontId="8" fillId="13" borderId="0" xfId="1" applyFont="1" applyFill="1" applyAlignment="1">
      <x:alignment horizontal="left" vertical="center" indent="1"/>
    </x:xf>
    <x:xf numFmtId="41" fontId="6" fillId="0" borderId="0" xfId="1" applyFont="1" applyAlignment="1">
      <x:alignment horizontal="right" vertical="center"/>
    </x:xf>
    <x:xf numFmtId="41" fontId="6" fillId="19" borderId="0" xfId="1" applyFont="1" applyFill="1" applyAlignment="1">
      <x:alignment horizontal="center" vertical="center"/>
    </x:xf>
    <x:xf numFmtId="41" fontId="6" fillId="0" borderId="0" xfId="1" applyFont="1" applyAlignment="1">
      <x:alignment horizontal="right" vertical="top"/>
    </x:xf>
    <x:xf numFmtId="181" fontId="24" fillId="0" borderId="0" xfId="0" applyNumberFormat="1" applyFont="1" applyAlignment="1">
      <x:alignment vertical="top"/>
    </x:xf>
    <x:xf numFmtId="0" fontId="34" fillId="0" borderId="0" xfId="0" applyFont="1" applyAlignment="1">
      <x:alignment vertical="top"/>
    </x:xf>
    <x:xf numFmtId="0" fontId="34" fillId="0" borderId="0" xfId="0" applyFont="1" applyAlignment="1">
      <x:alignment horizontal="center" vertical="top"/>
    </x:xf>
    <x:xf numFmtId="41" fontId="34" fillId="0" borderId="0" xfId="1" applyFont="1" applyAlignment="1">
      <x:alignment vertical="top"/>
    </x:xf>
    <x:xf numFmtId="41" fontId="34" fillId="0" borderId="0" xfId="0" applyNumberFormat="1" applyFont="1" applyAlignment="1">
      <x:alignment vertical="top"/>
    </x:xf>
    <x:xf numFmtId="186" fontId="6" fillId="0" borderId="0" xfId="2" applyNumberFormat="1" applyFont="1" applyAlignment="1">
      <x:alignment vertical="top"/>
    </x:xf>
    <x:xf numFmtId="187" fontId="0" fillId="0" borderId="0" xfId="0" applyNumberFormat="1" applyAlignment="1">
      <x:alignment vertical="center"/>
    </x:xf>
    <x:xf numFmtId="41" fontId="8" fillId="0" borderId="0" xfId="1" applyFont="1" applyFill="1" applyAlignment="1">
      <x:alignment horizontal="left" vertical="center" indent="1"/>
    </x:xf>
    <x:xf numFmtId="49" fontId="6" fillId="0" borderId="0" xfId="0" applyNumberFormat="1" applyFont="1" applyAlignment="1">
      <x:alignment vertical="top"/>
    </x:xf>
    <x:xf numFmtId="41" fontId="31" fillId="0" borderId="0" xfId="1" applyFont="1" applyAlignment="1">
      <x:alignment vertical="top"/>
    </x:xf>
    <x:xf numFmtId="0" fontId="34" fillId="11" borderId="0" xfId="0" applyFont="1" applyFill="1" applyAlignment="1">
      <x:alignment vertical="top"/>
    </x:xf>
    <x:xf numFmtId="176" fontId="65" fillId="0" borderId="0" xfId="0" applyNumberFormat="1" applyFont="1" applyAlignment="1">
      <x:alignment horizontal="right" vertical="center"/>
    </x:xf>
    <x:xf numFmtId="176" fontId="65" fillId="0" borderId="0" xfId="0" applyNumberFormat="1" applyFont="1" applyAlignment="1">
      <x:alignment vertical="center"/>
    </x:xf>
    <x:xf numFmtId="176" fontId="10" fillId="10" borderId="0" xfId="0" applyNumberFormat="1" applyFont="1" applyFill="1" applyAlignment="1">
      <x:alignment horizontal="center" vertical="center"/>
    </x:xf>
    <x:xf numFmtId="176" fontId="10" fillId="0" borderId="0" xfId="0" applyNumberFormat="1" applyFont="1" applyAlignment="1">
      <x:alignment horizontal="right" vertical="center"/>
    </x:xf>
    <x:xf numFmtId="41" fontId="8" fillId="0" borderId="0" xfId="1" applyFont="1" applyFill="1" applyAlignment="1">
      <x:alignment vertical="center"/>
    </x:xf>
    <x:xf numFmtId="177" fontId="10" fillId="2" borderId="0" xfId="2" applyNumberFormat="1" applyFont="1" applyFill="1" applyAlignment="1">
      <x:alignment horizontal="right" vertical="center"/>
    </x:xf>
    <x:xf numFmtId="177" fontId="10" fillId="0" borderId="0" xfId="2" applyNumberFormat="1" applyFont="1" applyFill="1" applyAlignment="1">
      <x:alignment vertical="center"/>
    </x:xf>
    <x:xf numFmtId="177" fontId="8" fillId="0" borderId="0" xfId="2" applyNumberFormat="1" applyFont="1" applyFill="1" applyAlignment="1">
      <x:alignment vertical="center"/>
    </x:xf>
    <x:xf numFmtId="177" fontId="6" fillId="0" borderId="0" xfId="2" applyNumberFormat="1" applyFont="1" applyAlignment="1">
      <x:alignment vertical="top"/>
    </x:xf>
    <x:xf numFmtId="0" fontId="35" fillId="0" borderId="0" xfId="0" applyFont="1" applyAlignment="1">
      <x:alignment vertical="top"/>
    </x:xf>
    <x:xf numFmtId="9" fontId="6" fillId="0" borderId="0" xfId="2" applyFont="1" applyAlignment="1">
      <x:alignment vertical="top"/>
    </x:xf>
    <x:xf numFmtId="177" fontId="31" fillId="0" borderId="0" xfId="2" applyNumberFormat="1" applyFont="1" applyAlignment="1">
      <x:alignment vertical="top"/>
    </x:xf>
    <x:xf numFmtId="188" fontId="6" fillId="0" borderId="0" xfId="1" applyNumberFormat="1" applyFont="1" applyAlignment="1">
      <x:alignment vertical="top"/>
    </x:xf>
    <x:xf numFmtId="41" fontId="58" fillId="0" borderId="0" xfId="1" applyFont="1" applyFill="1" applyAlignment="1">
      <x:alignment vertical="center"/>
    </x:xf>
    <x:xf numFmtId="181" fontId="11" fillId="0" borderId="0" xfId="0" applyNumberFormat="1" applyFont="1" applyAlignment="1">
      <x:alignment vertical="center"/>
    </x:xf>
    <x:xf numFmtId="0" fontId="5" fillId="0" borderId="0" xfId="13" applyFont="1" applyFill="1" applyBorder="1" applyAlignment="1">
      <x:alignment vertical="center"/>
    </x:xf>
    <x:xf numFmtId="0" fontId="5" fillId="0" borderId="0" xfId="13" applyFont="1" applyFill="1" applyBorder="1">
      <x:alignment horizontal="center" vertical="center"/>
    </x:xf>
    <x:xf numFmtId="185" fontId="5" fillId="0" borderId="0" xfId="13" applyNumberFormat="1" applyFont="1" applyFill="1" applyBorder="1" applyAlignment="1">
      <x:alignment vertical="center"/>
    </x:xf>
    <x:xf numFmtId="185" fontId="55" fillId="0" borderId="1" xfId="14" applyNumberFormat="1" applyFont="1" applyFill="1" applyBorder="1" applyAlignment="1">
      <x:alignment horizontal="right" vertical="center"/>
    </x:xf>
    <x:xf numFmtId="185" fontId="55" fillId="0" borderId="1" xfId="13" applyNumberFormat="1" applyFont="1" applyFill="1" applyBorder="1" applyAlignment="1">
      <x:alignment horizontal="right" vertical="center"/>
    </x:xf>
    <x:xf numFmtId="185" fontId="5" fillId="0" borderId="0" xfId="14" applyNumberFormat="1" applyFont="1" applyFill="1" applyAlignment="1">
      <x:alignment vertical="center"/>
    </x:xf>
    <x:xf numFmtId="41" fontId="5" fillId="0" borderId="0" xfId="14" applyNumberFormat="1" applyFont="1" applyFill="1" applyAlignment="1">
      <x:alignment vertical="center"/>
    </x:xf>
    <x:xf numFmtId="0" fontId="53" fillId="0" borderId="0" xfId="13" applyFont="1" applyFill="1" applyBorder="1" applyAlignment="1">
      <x:alignment horizontal="left" vertical="center"/>
    </x:xf>
    <x:xf numFmtId="0" fontId="5" fillId="0" borderId="0" xfId="13" applyFont="1" applyFill="1" applyBorder="1" applyAlignment="1">
      <x:alignment horizontal="right"/>
    </x:xf>
    <x:xf numFmtId="0" fontId="54" fillId="20" borderId="1" xfId="13" applyFont="1" applyFill="1" applyBorder="1">
      <x:alignment horizontal="center" vertical="center"/>
    </x:xf>
    <x:xf numFmtId="0" fontId="54" fillId="20" borderId="1" xfId="13" quotePrefix="1" applyFont="1" applyFill="1" applyBorder="1">
      <x:alignment horizontal="center" vertical="center"/>
    </x:xf>
    <x:xf numFmtId="41" fontId="5" fillId="0" borderId="0" xfId="13" applyNumberFormat="1" applyFont="1" applyFill="1" applyBorder="1" applyAlignment="1">
      <x:alignment vertical="center"/>
    </x:xf>
    <x:xf numFmtId="0" fontId="54" fillId="5" borderId="1" xfId="13" applyFont="1" applyFill="1" applyBorder="1" applyAlignment="1">
      <x:alignment horizontal="left" vertical="center"/>
    </x:xf>
    <x:xf numFmtId="185" fontId="54" fillId="5" borderId="1" xfId="14" applyNumberFormat="1" applyFont="1" applyFill="1" applyBorder="1" applyAlignment="1">
      <x:alignment horizontal="right" vertical="center"/>
    </x:xf>
    <x:xf numFmtId="185" fontId="54" fillId="5" borderId="1" xfId="13" applyNumberFormat="1" applyFont="1" applyFill="1" applyBorder="1" applyAlignment="1">
      <x:alignment horizontal="left" vertical="center" shrinkToFit="1"/>
    </x:xf>
    <x:xf numFmtId="185" fontId="55" fillId="0" borderId="1" xfId="13" applyNumberFormat="1" applyFont="1" applyFill="1" applyBorder="1" applyAlignment="1">
      <x:alignment horizontal="left" vertical="center" shrinkToFit="1"/>
    </x:xf>
    <x:xf numFmtId="185" fontId="54" fillId="5" borderId="1" xfId="13" applyNumberFormat="1" applyFont="1" applyFill="1" applyBorder="1" applyAlignment="1">
      <x:alignment horizontal="right" vertical="center"/>
    </x:xf>
    <x:xf numFmtId="49" fontId="54" fillId="5" borderId="1" xfId="14" applyNumberFormat="1" applyFont="1" applyFill="1" applyBorder="1" applyAlignment="1">
      <x:alignment horizontal="left" vertical="center" shrinkToFit="1"/>
    </x:xf>
    <x:xf numFmtId="49" fontId="55" fillId="0" borderId="1" xfId="14" applyNumberFormat="1" applyFont="1" applyFill="1" applyBorder="1" applyAlignment="1">
      <x:alignment horizontal="left" vertical="center" shrinkToFit="1"/>
    </x:xf>
    <x:xf numFmtId="0" fontId="54" fillId="5" borderId="39" xfId="13" applyFont="1" applyFill="1" applyBorder="1" applyAlignment="1">
      <x:alignment horizontal="left" vertical="center"/>
    </x:xf>
    <x:xf numFmtId="185" fontId="54" fillId="20" borderId="1" xfId="13" applyNumberFormat="1" applyFont="1" applyFill="1" applyBorder="1" applyAlignment="1">
      <x:alignment horizontal="right" vertical="center"/>
    </x:xf>
    <x:xf numFmtId="185" fontId="54" fillId="20" borderId="1" xfId="13" applyNumberFormat="1" applyFont="1" applyFill="1" applyBorder="1" applyAlignment="1">
      <x:alignment horizontal="left" vertical="center" shrinkToFit="1"/>
    </x:xf>
    <x:xf numFmtId="0" fontId="54" fillId="22" borderId="1" xfId="13" applyFont="1" applyFill="1" applyBorder="1">
      <x:alignment horizontal="center" vertical="center"/>
    </x:xf>
    <x:xf numFmtId="0" fontId="54" fillId="22" borderId="1" xfId="13" quotePrefix="1" applyFont="1" applyFill="1" applyBorder="1">
      <x:alignment horizontal="center" vertical="center"/>
    </x:xf>
    <x:xf numFmtId="41" fontId="55" fillId="0" borderId="1" xfId="14" applyNumberFormat="1" applyFont="1" applyFill="1" applyBorder="1" applyAlignment="1">
      <x:alignment horizontal="left" vertical="center" shrinkToFit="1"/>
    </x:xf>
    <x:xf numFmtId="41" fontId="54" fillId="5" borderId="1" xfId="14" applyNumberFormat="1" applyFont="1" applyFill="1" applyBorder="1" applyAlignment="1">
      <x:alignment horizontal="left" vertical="center" shrinkToFit="1"/>
    </x:xf>
    <x:xf numFmtId="185" fontId="54" fillId="22" borderId="1" xfId="13" applyNumberFormat="1" applyFont="1" applyFill="1" applyBorder="1" applyAlignment="1">
      <x:alignment horizontal="right" vertical="center"/>
    </x:xf>
    <x:xf numFmtId="185" fontId="54" fillId="22" borderId="1" xfId="13" applyNumberFormat="1" applyFont="1" applyFill="1" applyBorder="1" applyAlignment="1">
      <x:alignment horizontal="left" vertical="center" shrinkToFit="1"/>
    </x:xf>
    <x:xf numFmtId="0" fontId="54" fillId="20" borderId="76" xfId="13" applyFont="1" applyFill="1" applyBorder="1">
      <x:alignment horizontal="center" vertical="center"/>
    </x:xf>
    <x:xf numFmtId="0" fontId="55" fillId="20" borderId="76" xfId="13" applyFont="1" applyFill="1" applyBorder="1">
      <x:alignment horizontal="center" vertical="center"/>
    </x:xf>
    <x:xf numFmtId="185" fontId="54" fillId="24" borderId="1" xfId="14" applyNumberFormat="1" applyFont="1" applyFill="1" applyBorder="1" applyAlignment="1">
      <x:alignment horizontal="right" vertical="center"/>
    </x:xf>
    <x:xf numFmtId="185" fontId="54" fillId="24" borderId="1" xfId="13" applyNumberFormat="1" applyFont="1" applyFill="1" applyBorder="1" applyAlignment="1">
      <x:alignment horizontal="right" vertical="center"/>
    </x:xf>
    <x:xf numFmtId="0" fontId="54" fillId="21" borderId="1" xfId="13" applyFont="1" applyFill="1" applyBorder="1">
      <x:alignment horizontal="center" vertical="center"/>
    </x:xf>
    <x:xf numFmtId="185" fontId="54" fillId="21" borderId="1" xfId="13" applyNumberFormat="1" applyFont="1" applyFill="1" applyBorder="1" applyAlignment="1">
      <x:alignment horizontal="right" vertical="center"/>
    </x:xf>
    <x:xf numFmtId="185" fontId="54" fillId="21" borderId="1" xfId="13" applyNumberFormat="1" applyFont="1" applyFill="1" applyBorder="1" applyAlignment="1">
      <x:alignment horizontal="left" vertical="center" shrinkToFit="1"/>
    </x:xf>
    <x:xf numFmtId="185" fontId="54" fillId="22" borderId="1" xfId="13" quotePrefix="1" applyNumberFormat="1" applyFont="1" applyFill="1" applyBorder="1">
      <x:alignment horizontal="center" vertical="center"/>
    </x:xf>
    <x:xf numFmtId="0" fontId="55" fillId="22" borderId="1" xfId="13" applyFont="1" applyFill="1" applyBorder="1">
      <x:alignment horizontal="center" vertical="center"/>
    </x:xf>
    <x:xf numFmtId="41" fontId="55" fillId="0" borderId="1" xfId="14" applyNumberFormat="1" applyFont="1" applyFill="1" applyBorder="1" applyAlignment="1">
      <x:alignment horizontal="right" vertical="center"/>
    </x:xf>
    <x:xf numFmtId="41" fontId="54" fillId="24" borderId="1" xfId="14" applyNumberFormat="1" applyFont="1" applyFill="1" applyBorder="1" applyAlignment="1">
      <x:alignment horizontal="right" vertical="center"/>
    </x:xf>
    <x:xf numFmtId="0" fontId="66" fillId="14" borderId="0" xfId="0" applyFont="1" applyFill="1" applyAlignment="1">
      <x:alignment vertical="center"/>
    </x:xf>
    <x:xf numFmtId="41" fontId="30" fillId="23" borderId="43" xfId="1" quotePrefix="1" applyFont="1" applyFill="1" applyBorder="1" applyAlignment="1">
      <x:alignment horizontal="center" vertical="center"/>
    </x:xf>
    <x:xf numFmtId="0" fontId="4" fillId="0" borderId="0" xfId="13" applyFont="1" applyFill="1" applyBorder="1" applyAlignment="1">
      <x:alignment vertical="center"/>
    </x:xf>
    <x:xf numFmtId="41" fontId="25" fillId="14" borderId="66" xfId="1" applyFont="1" applyFill="1" applyBorder="1">
      <x:alignment vertical="center"/>
    </x:xf>
    <x:xf numFmtId="41" fontId="24" fillId="14" borderId="77" xfId="1" applyFont="1" applyFill="1" applyBorder="1" applyAlignment="1">
      <x:alignment horizontal="center" vertical="center"/>
    </x:xf>
    <x:xf numFmtId="41" fontId="25" fillId="14" borderId="78" xfId="1" applyFont="1" applyFill="1" applyBorder="1">
      <x:alignment vertical="center"/>
    </x:xf>
    <x:xf numFmtId="41" fontId="25" fillId="17" borderId="69" xfId="1" applyFont="1" applyFill="1" applyBorder="1">
      <x:alignment vertical="center"/>
    </x:xf>
    <x:xf numFmtId="41" fontId="24" fillId="14" borderId="74" xfId="1" applyFont="1" applyFill="1" applyBorder="1" applyAlignment="1">
      <x:alignment horizontal="center" vertical="center"/>
    </x:xf>
    <x:xf numFmtId="41" fontId="25" fillId="14" borderId="75" xfId="1" applyFont="1" applyFill="1" applyBorder="1">
      <x:alignment vertical="center"/>
    </x:xf>
    <x:xf numFmtId="0" fontId="30" fillId="23" borderId="79" xfId="0" applyFont="1" applyFill="1" applyBorder="1" applyAlignment="1">
      <x:alignment horizontal="center" vertical="center"/>
    </x:xf>
    <x:xf numFmtId="0" fontId="32" fillId="17" borderId="80" xfId="0" applyFont="1" applyFill="1" applyBorder="1" applyAlignment="1">
      <x:alignment horizontal="center" vertical="center"/>
    </x:xf>
    <x:xf numFmtId="41" fontId="32" fillId="17" borderId="81" xfId="1" applyFont="1" applyFill="1" applyBorder="1" applyAlignment="1">
      <x:alignment horizontal="right" vertical="center"/>
    </x:xf>
    <x:xf numFmtId="0" fontId="24" fillId="14" borderId="82" xfId="0" applyFont="1" applyFill="1" applyBorder="1" applyAlignment="1">
      <x:alignment horizontal="center" vertical="center"/>
    </x:xf>
    <x:xf numFmtId="41" fontId="25" fillId="14" borderId="65" xfId="1" applyFont="1" applyFill="1" applyBorder="1">
      <x:alignment vertical="center"/>
    </x:xf>
    <x:xf numFmtId="0" fontId="0" fillId="14" borderId="65" xfId="0" applyFill="1" applyBorder="1" applyAlignment="1">
      <x:alignment vertical="center"/>
    </x:xf>
    <x:xf numFmtId="41" fontId="0" fillId="14" borderId="65" xfId="1" applyFont="1" applyFill="1" applyBorder="1">
      <x:alignment vertical="center"/>
    </x:xf>
    <x:xf numFmtId="0" fontId="24" fillId="14" borderId="83" xfId="0" applyFont="1" applyFill="1" applyBorder="1" applyAlignment="1">
      <x:alignment horizontal="center" vertical="center"/>
    </x:xf>
    <x:xf numFmtId="0" fontId="0" fillId="14" borderId="68" xfId="0" applyFill="1" applyBorder="1" applyAlignment="1">
      <x:alignment vertical="center"/>
    </x:xf>
    <x:xf numFmtId="41" fontId="24" fillId="14" borderId="68" xfId="1" applyFont="1" applyFill="1" applyBorder="1" applyAlignment="1">
      <x:alignment horizontal="center" vertical="center"/>
    </x:xf>
    <x:xf numFmtId="41" fontId="25" fillId="14" borderId="68" xfId="1" applyFont="1" applyFill="1" applyBorder="1">
      <x:alignment vertical="center"/>
    </x:xf>
    <x:xf numFmtId="41" fontId="24" fillId="14" borderId="65" xfId="1" applyFont="1" applyFill="1" applyBorder="1">
      <x:alignment vertical="center"/>
    </x:xf>
    <x:xf numFmtId="0" fontId="67" fillId="0" borderId="0" xfId="0" applyFont="1" applyAlignment="1">
      <x:alignment vertical="top"/>
    </x:xf>
    <x:xf numFmtId="0" fontId="68" fillId="0" borderId="0" xfId="0" applyFont="1" applyAlignment="1">
      <x:alignment vertical="top"/>
    </x:xf>
    <x:xf numFmtId="41" fontId="47" fillId="0" borderId="0" xfId="1" applyFont="1" applyAlignment="1">
      <x:alignment vertical="top"/>
    </x:xf>
    <x:xf numFmtId="9" fontId="0" fillId="0" borderId="0" xfId="2" applyFont="1" applyAlignment="1">
      <x:alignment vertical="top"/>
    </x:xf>
    <x:xf numFmtId="177" fontId="0" fillId="0" borderId="0" xfId="2" applyNumberFormat="1" applyFont="1" applyAlignment="1">
      <x:alignment vertical="top"/>
    </x:xf>
    <x:xf numFmtId="0" fontId="69" fillId="25" borderId="84" xfId="15" applyNumberFormat="1" applyFont="1" applyFill="1" applyBorder="1" applyAlignment="1">
      <x:alignment horizontal="center" vertical="center"/>
    </x:xf>
    <x:xf numFmtId="0" fontId="69" fillId="25" borderId="85" xfId="15" applyNumberFormat="1" applyFont="1" applyFill="1" applyBorder="1" applyAlignment="1">
      <x:alignment horizontal="center" vertical="center"/>
    </x:xf>
    <x:xf numFmtId="0" fontId="70" fillId="14" borderId="87" xfId="15" applyNumberFormat="1" applyFont="1" applyFill="1" applyBorder="1" applyAlignment="1">
      <x:alignment horizontal="right" vertical="center"/>
    </x:xf>
    <x:xf numFmtId="0" fontId="69" fillId="26" borderId="88" xfId="15" applyNumberFormat="1" applyFont="1" applyFill="1" applyBorder="1" applyAlignment="1">
      <x:alignment horizontal="center" vertical="center"/>
    </x:xf>
    <x:xf numFmtId="0" fontId="71" fillId="25" borderId="0" xfId="15" applyNumberFormat="1" applyFont="1" applyFill="1" applyBorder="1" applyAlignment="1">
      <x:alignment vertical="center"/>
    </x:xf>
    <x:xf numFmtId="0" fontId="71" fillId="27" borderId="0" xfId="15" applyNumberFormat="1" applyFont="1" applyFill="1" applyBorder="1" applyAlignment="1">
      <x:alignment vertical="center"/>
    </x:xf>
    <x:xf numFmtId="0" fontId="71" fillId="28" borderId="84" xfId="15" applyNumberFormat="1" applyFont="1" applyFill="1" applyBorder="1" applyAlignment="1">
      <x:alignment horizontal="center" vertical="center"/>
    </x:xf>
    <x:xf numFmtId="0" fontId="71" fillId="24" borderId="85" xfId="15" applyNumberFormat="1" applyFont="1" applyFill="1" applyBorder="1" applyAlignment="1">
      <x:alignment horizontal="center" vertical="center"/>
    </x:xf>
    <x:xf numFmtId="0" fontId="71" fillId="0" borderId="0" xfId="15" applyNumberFormat="1" applyFont="1" applyFill="1" applyBorder="1" applyAlignment="1" applyProtection="1">
      <x:alignment horizontal="center" vertical="center"/>
      <x:protection locked="0"/>
    </x:xf>
    <x:xf numFmtId="0" fontId="71" fillId="24" borderId="86" xfId="15" applyNumberFormat="1" applyFont="1" applyFill="1" applyBorder="1" applyAlignment="1">
      <x:alignment horizontal="center" vertical="center"/>
    </x:xf>
    <x:xf numFmtId="0" fontId="71" fillId="16" borderId="86" xfId="15" applyNumberFormat="1" applyFont="1" applyBorder="1" applyAlignment="1">
      <x:alignment horizontal="center" vertical="center"/>
    </x:xf>
    <x:xf numFmtId="0" fontId="71" fillId="0" borderId="84" xfId="15" applyNumberFormat="1" applyFont="1" applyFill="1" applyBorder="1" applyAlignment="1" applyProtection="1">
      <x:alignment horizontal="center" vertical="center"/>
      <x:protection locked="0"/>
    </x:xf>
    <x:xf numFmtId="0" fontId="71" fillId="16" borderId="85" xfId="15" applyNumberFormat="1" applyFont="1" applyBorder="1" applyAlignment="1">
      <x:alignment horizontal="center" vertical="center"/>
    </x:xf>
    <x:xf numFmtId="0" fontId="71" fillId="16" borderId="0" xfId="15" applyNumberFormat="1" applyFont="1" applyBorder="1" applyAlignment="1">
      <x:alignment horizontal="center" vertical="center"/>
    </x:xf>
    <x:xf numFmtId="176" fontId="71" fillId="0" borderId="89" xfId="15" applyNumberFormat="1" applyFont="1" applyFill="1" applyBorder="1" applyAlignment="1" applyProtection="1">
      <x:alignment vertical="center"/>
      <x:protection locked="0"/>
    </x:xf>
    <x:xf numFmtId="176" fontId="71" fillId="0" borderId="90" xfId="15" applyNumberFormat="1" applyFont="1" applyFill="1" applyBorder="1" applyAlignment="1" applyProtection="1">
      <x:alignment vertical="center"/>
      <x:protection locked="0"/>
    </x:xf>
    <x:xf numFmtId="176" fontId="71" fillId="0" borderId="91" xfId="15" applyNumberFormat="1" applyFont="1" applyFill="1" applyBorder="1" applyAlignment="1" applyProtection="1">
      <x:alignment vertical="center"/>
      <x:protection locked="0"/>
    </x:xf>
    <x:xf numFmtId="176" fontId="71" fillId="28" borderId="92" xfId="15" applyNumberFormat="1" applyFont="1" applyFill="1" applyBorder="1" applyAlignment="1">
      <x:alignment vertical="center"/>
    </x:xf>
    <x:xf numFmtId="0" fontId="71" fillId="0" borderId="93" xfId="15" applyNumberFormat="1" applyFont="1" applyFill="1" applyBorder="1" applyAlignment="1" applyProtection="1">
      <x:alignment horizontal="left" vertical="center"/>
      <x:protection locked="0"/>
    </x:xf>
    <x:xf numFmtId="0" fontId="71" fillId="0" borderId="94" xfId="15" applyNumberFormat="1" applyFont="1" applyFill="1" applyBorder="1" applyAlignment="1" applyProtection="1">
      <x:alignment vertical="center"/>
      <x:protection locked="0"/>
    </x:xf>
    <x:xf numFmtId="176" fontId="71" fillId="0" borderId="95" xfId="15" applyNumberFormat="1" applyFont="1" applyFill="1" applyBorder="1" applyAlignment="1" applyProtection="1">
      <x:alignment vertical="center"/>
      <x:protection locked="0"/>
    </x:xf>
    <x:xf numFmtId="176" fontId="71" fillId="0" borderId="96" xfId="15" applyNumberFormat="1" applyFont="1" applyFill="1" applyBorder="1" applyAlignment="1" applyProtection="1">
      <x:alignment vertical="center"/>
      <x:protection locked="0"/>
    </x:xf>
    <x:xf numFmtId="176" fontId="71" fillId="0" borderId="97" xfId="15" applyNumberFormat="1" applyFont="1" applyFill="1" applyBorder="1" applyAlignment="1" applyProtection="1">
      <x:alignment vertical="center"/>
      <x:protection locked="0"/>
    </x:xf>
    <x:xf numFmtId="176" fontId="71" fillId="28" borderId="98" xfId="15" applyNumberFormat="1" applyFont="1" applyFill="1" applyBorder="1" applyAlignment="1">
      <x:alignment vertical="center"/>
    </x:xf>
    <x:xf numFmtId="0" fontId="71" fillId="0" borderId="99" xfId="15" applyNumberFormat="1" applyFont="1" applyFill="1" applyBorder="1" applyAlignment="1" applyProtection="1">
      <x:alignment horizontal="left" vertical="center"/>
      <x:protection locked="0"/>
    </x:xf>
    <x:xf numFmtId="0" fontId="71" fillId="0" borderId="100" xfId="15" applyNumberFormat="1" applyFont="1" applyFill="1" applyBorder="1" applyAlignment="1" applyProtection="1">
      <x:alignment vertical="center"/>
      <x:protection locked="0"/>
    </x:xf>
    <x:xf numFmtId="176" fontId="71" fillId="0" borderId="101" xfId="15" applyNumberFormat="1" applyFont="1" applyFill="1" applyBorder="1" applyAlignment="1" applyProtection="1">
      <x:alignment vertical="center"/>
      <x:protection locked="0"/>
    </x:xf>
    <x:xf numFmtId="176" fontId="71" fillId="0" borderId="102" xfId="15" applyNumberFormat="1" applyFont="1" applyFill="1" applyBorder="1" applyAlignment="1" applyProtection="1">
      <x:alignment vertical="center"/>
      <x:protection locked="0"/>
    </x:xf>
    <x:xf numFmtId="176" fontId="71" fillId="0" borderId="103" xfId="15" applyNumberFormat="1" applyFont="1" applyFill="1" applyBorder="1" applyAlignment="1" applyProtection="1">
      <x:alignment vertical="center"/>
      <x:protection locked="0"/>
    </x:xf>
    <x:xf numFmtId="176" fontId="71" fillId="28" borderId="104" xfId="15" applyNumberFormat="1" applyFont="1" applyFill="1" applyBorder="1" applyAlignment="1">
      <x:alignment vertical="center"/>
    </x:xf>
    <x:xf numFmtId="0" fontId="71" fillId="0" borderId="105" xfId="15" applyNumberFormat="1" applyFont="1" applyFill="1" applyBorder="1" applyAlignment="1" applyProtection="1">
      <x:alignment horizontal="left" vertical="center"/>
      <x:protection locked="0"/>
    </x:xf>
    <x:xf numFmtId="0" fontId="71" fillId="0" borderId="106" xfId="15" applyNumberFormat="1" applyFont="1" applyFill="1" applyBorder="1" applyAlignment="1" applyProtection="1">
      <x:alignment vertical="center"/>
      <x:protection locked="0"/>
    </x:xf>
    <x:xf numFmtId="176" fontId="71" fillId="27" borderId="0" xfId="15" applyNumberFormat="1" applyFont="1" applyFill="1" applyBorder="1" applyAlignment="1">
      <x:alignment vertical="center"/>
    </x:xf>
    <x:xf numFmtId="0" fontId="71" fillId="28" borderId="85" xfId="15" applyNumberFormat="1" applyFont="1" applyFill="1" applyBorder="1" applyAlignment="1">
      <x:alignment horizontal="center" vertical="center"/>
    </x:xf>
    <x:xf numFmtId="9" fontId="5" fillId="0" borderId="0" xfId="2" applyFont="1">
      <x:alignment vertical="center"/>
    </x:xf>
    <x:xf numFmtId="0" fontId="3" fillId="0" borderId="0" xfId="13" applyFont="1" applyFill="1" applyBorder="1" applyAlignment="1">
      <x:alignment vertical="center"/>
    </x:xf>
    <x:xf numFmtId="177" fontId="71" fillId="27" borderId="0" xfId="2" applyNumberFormat="1" applyFont="1" applyFill="1">
      <x:alignment vertical="center"/>
    </x:xf>
    <x:xf numFmtId="0" fontId="2" fillId="0" borderId="0" xfId="13" applyFont="1" applyFill="1" applyBorder="1" applyAlignment="1">
      <x:alignment vertical="center"/>
    </x:xf>
    <x:xf numFmtId="41" fontId="6" fillId="0" borderId="0" xfId="1" applyFont="1" applyFill="1" applyAlignment="1">
      <x:alignment horizontal="left" vertical="center"/>
    </x:xf>
    <x:xf numFmtId="41" fontId="6" fillId="0" borderId="0" xfId="1" applyFont="1" applyFill="1" applyAlignment="1">
      <x:alignment vertical="top"/>
    </x:xf>
    <x:xf numFmtId="41" fontId="6" fillId="0" borderId="0" xfId="1" applyFont="1" applyFill="1" applyAlignment="1">
      <x:alignment horizontal="right" vertical="center"/>
    </x:xf>
    <x:xf numFmtId="176" fontId="6" fillId="0" borderId="0" xfId="1" applyNumberFormat="1" applyFont="1" applyFill="1" applyAlignment="1">
      <x:alignment horizontal="right" vertical="center"/>
    </x:xf>
    <x:xf numFmtId="183" fontId="11" fillId="0" borderId="0" xfId="0" applyNumberFormat="1" applyFont="1" applyAlignment="1">
      <x:alignment vertical="center"/>
    </x:xf>
    <x:xf numFmtId="9" fontId="11" fillId="0" borderId="0" xfId="2" applyFont="1" applyAlignment="1">
      <x:alignment horizontal="right" vertical="center"/>
    </x:xf>
    <x:xf numFmtId="0" fontId="72" fillId="0" borderId="0" xfId="0" applyFont="1" applyAlignment="1">
      <x:alignment vertical="center"/>
    </x:xf>
    <x:xf numFmtId="41" fontId="8" fillId="0" borderId="0" xfId="1" applyFont="1" applyAlignment="1">
      <x:alignment horizontal="right" vertical="center"/>
    </x:xf>
    <x:xf numFmtId="189" fontId="44" fillId="0" borderId="0" xfId="1" applyNumberFormat="1" applyFont="1" applyAlignment="1">
      <x:alignment horizontal="left" vertical="center" indent="1"/>
    </x:xf>
    <x:xf numFmtId="0" fontId="1" fillId="0" borderId="0" xfId="13" applyFont="1" applyFill="1" applyBorder="1" applyAlignment="1">
      <x:alignment vertical="center"/>
    </x:xf>
    <x:xf numFmtId="41" fontId="0" fillId="14" borderId="107" xfId="1" applyFont="1" applyFill="1" applyBorder="1">
      <x:alignment vertical="center"/>
    </x:xf>
    <x:xf numFmtId="0" fontId="24" fillId="14" borderId="64" xfId="0" applyFont="1" applyFill="1" applyBorder="1" applyAlignment="1">
      <x:alignment horizontal="left" vertical="center"/>
    </x:xf>
    <x:xf numFmtId="0" fontId="71" fillId="0" borderId="84" xfId="0" applyFont="1" applyBorder="1" applyAlignment="1" applyProtection="1">
      <x:alignment horizontal="center" vertical="center"/>
      <x:protection locked="0"/>
    </x:xf>
    <x:xf numFmtId="0" fontId="5" fillId="0" borderId="0" xfId="13" applyFont="1" applyFill="1" applyBorder="1" applyAlignment="1">
      <x:alignment horizontal="left" vertical="center"/>
    </x:xf>
    <x:xf numFmtId="43" fontId="5" fillId="0" borderId="0" xfId="13" applyNumberFormat="1" applyFont="1" applyFill="1" applyBorder="1">
      <x:alignment horizontal="center" vertical="center"/>
    </x:xf>
    <x:xf numFmtId="43" fontId="5" fillId="0" borderId="0" xfId="13" applyNumberFormat="1" applyFont="1" applyFill="1" applyBorder="1" applyAlignment="1">
      <x:alignment vertical="center"/>
    </x:xf>
    <x:xf numFmtId="178" fontId="5" fillId="0" borderId="0" xfId="2" applyNumberFormat="1" applyFont="1">
      <x:alignment vertical="center"/>
    </x:xf>
    <x:xf numFmtId="0" fontId="55" fillId="20" borderId="0" xfId="13" applyFont="1" applyFill="1" applyBorder="1">
      <x:alignment horizontal="center" vertical="center"/>
    </x:xf>
    <x:xf numFmtId="0" fontId="55" fillId="22" borderId="0" xfId="13" applyFont="1" applyFill="1" applyBorder="1">
      <x:alignment horizontal="center" vertical="center"/>
    </x:xf>
    <x:xf numFmtId="0" fontId="55" fillId="0" borderId="0" xfId="13" applyFont="1" applyFill="1" applyBorder="1">
      <x:alignment horizontal="center" vertical="center"/>
    </x:xf>
    <x:xf numFmtId="41" fontId="5" fillId="0" borderId="0" xfId="1" applyFont="1">
      <x:alignment vertical="center"/>
    </x:xf>
    <x:xf numFmtId="0" fontId="55" fillId="20" borderId="39" xfId="13" applyFont="1" applyFill="1" applyBorder="1">
      <x:alignment horizontal="center" vertical="center"/>
    </x:xf>
    <x:xf numFmtId="0" fontId="55" fillId="20" borderId="13" xfId="13" applyFont="1" applyFill="1" applyBorder="1">
      <x:alignment horizontal="center" vertical="center"/>
    </x:xf>
    <x:xf numFmtId="0" fontId="55" fillId="0" borderId="1" xfId="13" applyFont="1" applyFill="1" applyBorder="1" applyAlignment="1">
      <x:alignment horizontal="center" vertical="center" wrapText="1"/>
    </x:xf>
    <x:xf numFmtId="0" fontId="55" fillId="0" borderId="1" xfId="13" applyFont="1" applyFill="1" applyBorder="1">
      <x:alignment horizontal="center" vertical="center"/>
    </x:xf>
    <x:xf numFmtId="0" fontId="55" fillId="20" borderId="40" xfId="13" applyFont="1" applyFill="1" applyBorder="1">
      <x:alignment horizontal="center" vertical="center"/>
    </x:xf>
    <x:xf numFmtId="0" fontId="55" fillId="0" borderId="39" xfId="13" applyFont="1" applyFill="1" applyBorder="1">
      <x:alignment horizontal="center" vertical="center"/>
    </x:xf>
    <x:xf numFmtId="0" fontId="55" fillId="0" borderId="40" xfId="13" applyFont="1" applyFill="1" applyBorder="1">
      <x:alignment horizontal="center" vertical="center"/>
    </x:xf>
    <x:xf numFmtId="0" fontId="55" fillId="0" borderId="13" xfId="13" applyFont="1" applyFill="1" applyBorder="1">
      <x:alignment horizontal="center" vertical="center"/>
    </x:xf>
    <x:xf numFmtId="0" fontId="55" fillId="22" borderId="39" xfId="13" applyFont="1" applyFill="1" applyBorder="1">
      <x:alignment horizontal="center" vertical="center"/>
    </x:xf>
    <x:xf numFmtId="0" fontId="55" fillId="22" borderId="13" xfId="13" applyFont="1" applyFill="1" applyBorder="1">
      <x:alignment horizontal="center" vertical="center"/>
    </x:xf>
    <x:xf numFmtId="0" fontId="55" fillId="22" borderId="40" xfId="13" applyFont="1" applyFill="1" applyBorder="1">
      <x:alignment horizontal="center" vertical="center"/>
    </x:xf>
    <x:xf numFmtId="0" fontId="69" fillId="25" borderId="86" xfId="15" applyNumberFormat="1" applyFont="1" applyFill="1" applyBorder="1" applyAlignment="1">
      <x:alignment horizontal="center" vertical="center"/>
    </x:xf>
    <x:xf numFmtId="0" fontId="69" fillId="25" borderId="0" xfId="15" applyNumberFormat="1" applyFont="1" applyFill="1" applyAlignment="1">
      <x:alignment horizontal="center" vertical="center"/>
    </x:xf>
  </x:cellXfs>
  <x:cellStyles count="13">
    <x:cellStyle name="Bad" xfId="3" xr:uid="{00000000-0005-0000-0000-0000F8000000}"/>
    <x:cellStyle name="Good" xfId="4" xr:uid="{00000000-0005-0000-0000-000028010000}"/>
    <x:cellStyle name="Heading 1" xfId="5" xr:uid="{00000000-0005-0000-0000-000036010000}"/>
    <x:cellStyle name="Heading 2" xfId="6" xr:uid="{00000000-0005-0000-0000-00003D010000}"/>
    <x:cellStyle name="Heading 3" xfId="7" xr:uid="{00000000-0005-0000-0000-000044010000}"/>
    <x:cellStyle name="Heading 4" xfId="8" xr:uid="{00000000-0005-0000-0000-00004B010000}"/>
    <x:cellStyle name="Neutral" xfId="9" xr:uid="{00000000-0005-0000-0000-00007C010000}"/>
    <x:cellStyle name="Note" xfId="10" xr:uid="{00000000-0005-0000-0000-000087010000}"/>
    <x:cellStyle name="Title" xfId="11" xr:uid="{00000000-0005-0000-0000-0000B2010000}"/>
    <x:cellStyle name="Warning Text" xfId="12" xr:uid="{00000000-0005-0000-0000-0000C3010000}"/>
    <x:cellStyle name="백분율" xfId="2" builtinId="5"/>
    <x:cellStyle name="쉼표 [0]" xfId="1" builtinId="6"/>
    <x:cellStyle name="표준" xfId="0" builtinId="0"/>
  </x:cellStyles>
  <x:dxfs count="37">
    <x:dxf>
      <x:alignment horizontal="right"/>
    </x:dxf>
    <x:dxf>
      <x:numFmt numFmtId="13" formatCode="0%"/>
    </x:dxf>
    <x:dxf>
      <x:numFmt numFmtId="13" formatCode="0%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horizontal="right"/>
    </x:dxf>
    <x:dxf>
      <x:numFmt numFmtId="176" formatCode="#,##0_ "/>
    </x:dxf>
    <x:dxf>
      <x:numFmt numFmtId="176" formatCode="#,##0_ "/>
    </x:dxf>
    <x:dxf>
      <x:alignment horizontal="right"/>
    </x:dxf>
    <x:dxf>
      <x:numFmt numFmtId="13" formatCode="0%"/>
    </x:dxf>
    <x:dxf>
      <x:numFmt numFmtId="13" formatCode="0%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horizontal="right"/>
    </x:dxf>
    <x:dxf>
      <x:numFmt numFmtId="176" formatCode="#,##0_ "/>
    </x:dxf>
    <x:dxf>
      <x:numFmt numFmtId="176" formatCode="#,##0_ "/>
    </x:dxf>
    <x:dxf>
      <x:font>
        <x:color rgb="FF0000FF"/>
      </x:font>
    </x:dxf>
    <x:dxf>
      <x:numFmt numFmtId="13" formatCode="0%"/>
    </x:dxf>
    <x:dxf>
      <x:numFmt numFmtId="180" formatCode="#,##0,,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horizontal="right"/>
    </x:dxf>
    <x:dxf>
      <x:alignment horizontal="right"/>
    </x:dxf>
    <x:dxf>
      <x:numFmt numFmtId="176" formatCode="#,##0_ "/>
    </x:dxf>
    <x:dxf>
      <x:numFmt numFmtId="176" formatCode="#,##0_ "/>
    </x:dxf>
  </x:dxfs>
  <x:tableStyles count="0" defaultTableStyle="TableStyleMedium9" defaultPivotStyle="PivotStyleLight16"/>
  <x:colors>
    <x:mruColors>
      <x:color rgb="FF0000FF"/>
      <x:color rgb="FFFFFF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Spin" dx="16" fmlaLink="$C$4" max="12" min="1" page="1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272143</xdr:colOff>
      <xdr:row>35</xdr:row>
      <xdr:rowOff>10885</xdr:rowOff>
    </xdr:from>
    <xdr:to>
      <xdr:col>9</xdr:col>
      <xdr:colOff>272143</xdr:colOff>
      <xdr:row>39</xdr:row>
      <xdr:rowOff>43542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7935686" y="7870371"/>
          <a:ext cx="0" cy="2057400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391886</xdr:colOff>
      <xdr:row>34</xdr:row>
      <xdr:rowOff>261256</xdr:rowOff>
    </xdr:from>
    <xdr:to>
      <xdr:col>11</xdr:col>
      <xdr:colOff>391886</xdr:colOff>
      <xdr:row>38</xdr:row>
      <xdr:rowOff>511628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764486" y="7815942"/>
          <a:ext cx="0" cy="2057400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1</xdr:row>
          <xdr:rowOff>142875</xdr:rowOff>
        </xdr:from>
        <xdr:to>
          <xdr:col>4</xdr:col>
          <xdr:colOff>466725</xdr:colOff>
          <xdr:row>2</xdr:row>
          <xdr:rowOff>304800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NING\Corporate%20Financial%20Analysis\Competitive%20Data\Market%20Share%20Studies\Year%20End%202000\Market%20Share%20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DATA\&#44288;&#47532;\DISK\&#49324;&#50629;&#44228;&#54925;\95&#50696;&#493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24.27.29/Origin/Documentos/Supplier_Performance/Internal_reports/BOS02T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Lear OV"/>
      <sheetName val="2"/>
      <sheetName val="3f"/>
      <sheetName val="3"/>
      <sheetName val="4f"/>
      <sheetName val="4"/>
      <sheetName val="Market Cov"/>
      <sheetName val="Assump"/>
      <sheetName val="Top1"/>
      <sheetName val="Top2"/>
      <sheetName val="Sum1"/>
      <sheetName val="Sum2"/>
      <sheetName val="NA Sourcing"/>
      <sheetName val="Walk detail"/>
      <sheetName val="Seats"/>
      <sheetName val="Doors"/>
      <sheetName val="F&amp;A"/>
      <sheetName val="IPs"/>
      <sheetName val="Head"/>
      <sheetName val="EDS"/>
      <sheetName val="Appendix"/>
      <sheetName val="Methods"/>
      <sheetName val="Market Summary"/>
      <sheetName val="Global"/>
      <sheetName val="N America"/>
      <sheetName val="W Europe"/>
      <sheetName val="Auto Sales"/>
      <sheetName val="Inputs and Data"/>
      <sheetName val="日英対比表"/>
      <sheetName val="Cost Reduction Programs"/>
      <sheetName val="Analyst"/>
      <sheetName val="Tarifas 2002"/>
      <sheetName val="PTUEMP."/>
      <sheetName val="Commodity names"/>
      <sheetName val="Preços"/>
      <sheetName val="Pareto Top RPN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계획"/>
      <sheetName val="전체예산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S Commodity"/>
      <sheetName val="Macro1"/>
      <sheetName val="Dormants"/>
      <sheetName val="SSD Plant Incremental Projects"/>
      <sheetName val="Resumen"/>
      <sheetName val="Variables"/>
      <sheetName val="BOS02TC"/>
      <sheetName val="ERP 7_06"/>
      <sheetName val="Input"/>
      <sheetName val="Consensus"/>
      <sheetName val="Tbom-tot"/>
      <sheetName val="Sheet2"/>
      <sheetName val="Pareto Top RPN"/>
      <sheetName val="Cost Reduction Programs"/>
      <sheetName val="format"/>
      <sheetName val="LCQ"/>
      <sheetName val="analysis"/>
      <sheetName val="FDR BUDGET 2001 EISENACH"/>
      <sheetName val="COMPARISON SHEET (1)"/>
      <sheetName val="January"/>
      <sheetName val="Parameters"/>
      <sheetName val="Inputs and Data"/>
      <sheetName val="PrgmDescription"/>
      <sheetName val="Plant Scenario"/>
      <sheetName val="Q1 Vol"/>
      <sheetName val="CUMMS"/>
      <sheetName val="MPSUNDER2009"/>
      <sheetName val="planta 169"/>
      <sheetName val="BOS_Commodity"/>
      <sheetName val="SSD_Plant_Incremental_Projects"/>
      <sheetName val="ERP_7_06"/>
      <sheetName val="FDR_BUDGET_2001_EISENACH"/>
      <sheetName val="Pareto_Top_RPN"/>
      <sheetName val="Cost_Reduction_Programs"/>
      <sheetName val="COMPARISON_SHEET_(1)"/>
      <sheetName val="Q1_Vol"/>
      <sheetName val="Inputs_and_Data"/>
      <sheetName val="Plant_Scenario"/>
      <sheetName val="planta_169"/>
      <sheetName val="Rel. Q"/>
      <sheetName val="Summary"/>
      <sheetName val="Sheet1"/>
      <sheetName val="Preços"/>
      <sheetName val="BOS_Commodity1"/>
      <sheetName val="SSD_Plant_Incremental_Projects1"/>
      <sheetName val="ERP_7_061"/>
      <sheetName val="Pareto_Top_RPN1"/>
      <sheetName val="Cost_Reduction_Programs1"/>
      <sheetName val="FDR_BUDGET_2001_EISENACH1"/>
      <sheetName val="COMPARISON_SHEET_(1)1"/>
      <sheetName val="Inputs_and_Data1"/>
      <sheetName val="Plant_Scenario1"/>
      <sheetName val="Q1_Vol1"/>
      <sheetName val="planta_1691"/>
      <sheetName val="Rel__Q"/>
      <sheetName val="QAD-面套库存"/>
      <sheetName val="March 08 - Avg Method"/>
      <sheetName val="List"/>
      <sheetName val="日英対比表"/>
      <sheetName val="BOS_Commodity2"/>
      <sheetName val="SSD_Plant_Incremental_Projects2"/>
      <sheetName val="ERP_7_062"/>
      <sheetName val="Pareto_Top_RPN2"/>
      <sheetName val="Cost_Reduction_Programs2"/>
      <sheetName val="FDR_BUDGET_2001_EISENACH2"/>
      <sheetName val="COMPARISON_SHEET_(1)2"/>
      <sheetName val="Inputs_and_Data2"/>
      <sheetName val="Plant_Scenario2"/>
      <sheetName val="Q1_Vol2"/>
      <sheetName val="planta_1692"/>
      <sheetName val="Rel__Q1"/>
      <sheetName val="March_08_-_Avg_Method"/>
      <sheetName val="Billing_Related"/>
      <sheetName val="BOS_Commodity3"/>
      <sheetName val="SSD_Plant_Incremental_Projects3"/>
      <sheetName val="ERP_7_063"/>
      <sheetName val="Pareto_Top_RPN3"/>
      <sheetName val="Cost_Reduction_Programs3"/>
      <sheetName val="FDR_BUDGET_2001_EISENACH3"/>
      <sheetName val="COMPARISON_SHEET_(1)3"/>
      <sheetName val="Inputs_and_Data3"/>
      <sheetName val="Plant_Scenario3"/>
      <sheetName val="Q1_Vol3"/>
      <sheetName val="planta_1693"/>
      <sheetName val="Rel__Q2"/>
      <sheetName val="March_08_-_Avg_Method1"/>
      <sheetName val="BOS_Commodity4"/>
      <sheetName val="SSD_Plant_Incremental_Projects4"/>
      <sheetName val="ERP_7_064"/>
      <sheetName val="Pareto_Top_RPN4"/>
      <sheetName val="Cost_Reduction_Programs4"/>
      <sheetName val="FDR_BUDGET_2001_EISENACH4"/>
      <sheetName val="COMPARISON_SHEET_(1)4"/>
      <sheetName val="Inputs_and_Data4"/>
      <sheetName val="Plant_Scenario4"/>
      <sheetName val="Q1_Vol4"/>
      <sheetName val="planta_1694"/>
      <sheetName val="Rel__Q3"/>
      <sheetName val="March_08_-_Avg_Method2"/>
      <sheetName val="BOS_Commodity5"/>
      <sheetName val="SSD_Plant_Incremental_Projects5"/>
      <sheetName val="ERP_7_065"/>
      <sheetName val="Pareto_Top_RPN5"/>
      <sheetName val="Cost_Reduction_Programs5"/>
      <sheetName val="FDR_BUDGET_2001_EISENACH5"/>
      <sheetName val="COMPARISON_SHEET_(1)5"/>
      <sheetName val="Inputs_and_Data5"/>
      <sheetName val="Plant_Scenario5"/>
      <sheetName val="Q1_Vol5"/>
      <sheetName val="planta_1695"/>
      <sheetName val="Rel__Q4"/>
      <sheetName val="March_08_-_Avg_Method3"/>
      <sheetName val="Program Info"/>
      <sheetName val="6marzo2008salario"/>
      <sheetName val="BOS_Commodity7"/>
      <sheetName val="SSD_Plant_Incremental_Projects7"/>
      <sheetName val="ERP_7_067"/>
      <sheetName val="Pareto_Top_RPN7"/>
      <sheetName val="Cost_Reduction_Programs7"/>
      <sheetName val="FDR_BUDGET_2001_EISENACH7"/>
      <sheetName val="COMPARISON_SHEET_(1)7"/>
      <sheetName val="Inputs_and_Data7"/>
      <sheetName val="Plant_Scenario7"/>
      <sheetName val="Q1_Vol7"/>
      <sheetName val="planta_1697"/>
      <sheetName val="Rel__Q6"/>
      <sheetName val="March_08_-_Avg_Method5"/>
      <sheetName val="BOS_Commodity6"/>
      <sheetName val="SSD_Plant_Incremental_Projects6"/>
      <sheetName val="ERP_7_066"/>
      <sheetName val="Pareto_Top_RPN6"/>
      <sheetName val="Cost_Reduction_Programs6"/>
      <sheetName val="FDR_BUDGET_2001_EISENACH6"/>
      <sheetName val="COMPARISON_SHEET_(1)6"/>
      <sheetName val="Inputs_and_Data6"/>
      <sheetName val="Plant_Scenario6"/>
      <sheetName val="Q1_Vol6"/>
      <sheetName val="planta_1696"/>
      <sheetName val="Rel__Q5"/>
      <sheetName val="March_08_-_Avg_Method4"/>
      <sheetName val="Input-start"/>
      <sheetName val="V205-ALLEN"/>
      <sheetName val="Program_Info"/>
      <sheetName val="Program_Info1"/>
    </sheetNames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최준석 선임매니저 [CHOI JOON SEOK]" id="{220B2805-CE16-4DE8-9D03-F48AF1D8BBA7}" userId="S::saikunzz@kyungshin.co.kr::cdb6d9ef-7740-4414-9e67-54c93fc0074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최준석 선임매니저 [CHOI JUUN SEOK]" refreshedDate="45975.503666550925" createdVersion="8" refreshedVersion="8" minRefreshableVersion="3" recordCount="99" xr:uid="{883CD3DC-3521-437C-8FE4-CBD9D744C5D8}">
  <cacheSource type="worksheet">
    <worksheetSource ref="A8:M107" sheet="pa data(25년10월)"/>
  </cacheSource>
  <cacheFields count="15">
    <cacheField name="고객" numFmtId="49">
      <sharedItems containsSemiMixedTypes="0" containsString="0" containsNumber="1" containsInteger="1" minValue="100282" maxValue="200189"/>
    </cacheField>
    <cacheField name="고객명" numFmtId="49">
      <sharedItems count="6">
        <s v="(주)엘지에너지솔루션"/>
        <s v="㈜ 파워로직스"/>
        <s v="CHANGZHOU KYUNGSHIN"/>
        <s v="Kyungshin Cable Inte"/>
        <s v="Kyungshin Cable Euro"/>
        <s v="POWERLOGICS BATHIEN"/>
      </sharedItems>
    </cacheField>
    <cacheField name="구분" numFmtId="49">
      <sharedItems count="3">
        <s v="상품"/>
        <s v="기타"/>
        <s v="부품"/>
      </sharedItems>
    </cacheField>
    <cacheField name="제품코드" numFmtId="49">
      <sharedItems/>
    </cacheField>
    <cacheField name="제품명" numFmtId="49">
      <sharedItems count="90">
        <s v="PBMS"/>
        <s v="MBMS"/>
        <s v="JUNCTION BOX 3PACK"/>
        <s v="기타"/>
        <s v="M4X8"/>
        <s v="INTERNAL BFA_4P10S-C"/>
        <s v="INTERNAL BFA_4P10S-D"/>
        <s v="INTERNAL BUSBAR_5P-A"/>
        <s v="INTERNAL BUSBAR_5P-B"/>
        <s v="INTERNAL BUSBAR_5P-C"/>
        <s v="INTERNAL BUSBAR_5P-D"/>
        <s v="INTERNAL BUSBAR_5P-E"/>
        <s v="HV TERMINAL_5P11S (N"/>
        <s v="INTERNAL BUSBAR_4P-H"/>
        <s v="INTERNAL BUSBAR_4P-G"/>
        <s v="INTERNAL BUSBAR_4P-E"/>
        <s v="FPC SUB ASSY_5P11S"/>
        <s v="FPC SUB ASY_4P10S-S("/>
        <s v="FPC SUB ASY_4P10S-R("/>
        <s v="THERMISTOR PAD_15X5X"/>
        <s v="FPC FRAME PAD_5P11S_"/>
        <s v="TAPE_ISOLATION_FPC 4"/>
        <s v="TAPE_ASSY_FPC NTC CO"/>
        <s v="DOUBLE-SIDED TAPE-A"/>
        <s v="DOUBLE-SIDED TAPE-B"/>
        <s v="DOUBLE-SIDED TAPE-C"/>
        <s v="PAD FIRE RETARDANT P"/>
        <s v="THERMISTOR PAD(27X5)"/>
        <s v="TAPE_ISOLATION_FPC_4"/>
        <s v="FPC BENDING FOAM TAP"/>
        <s v="FPC FRAME_4P10S(TP)"/>
        <s v="JOINT TAPE_B(50MM)"/>
        <s v="HEATED TAPE_B(19MM)"/>
        <s v="PE TAPE_O(19MM)*15M("/>
        <s v="PE TAPE_B(19MM)*15M("/>
        <s v="TERMINAL_BUSBAR_POSI"/>
        <s v="TERMINAL_BUSBAR_NEGA"/>
        <s v="INTER_BUSBAR_2P8S"/>
        <s v="AMP_1.2MM(050)_08M_C"/>
        <s v="FRT CASE(HSG)3P ASSY"/>
        <s v="RR CASE(HSG)3P ASSY_"/>
        <s v="CELL UPPER COVER(SKI"/>
        <s v="THERMISTOR - B57358V"/>
        <s v="BOLT-M6 12L(PSA HY P"/>
        <s v="BOLT-M6*20 DOUBLE WA"/>
        <s v="EPDM PAD_6*13.6*6T"/>
        <s v="BOLT-DELTA PT SCREW"/>
        <s v="DSL 1600 E-FLZ/500"/>
        <s v="CERAMIC FUSE_2A_W"/>
        <s v="FPCB-3P8S"/>
        <s v="FPCB_FRONT"/>
        <s v="FPCB_REAR"/>
        <s v="AMP_025(UNSEAL)_28F_"/>
        <s v="AMP_090-III_02M_B"/>
        <s v="AMP_090-III_02M_W"/>
        <s v="AMP_090-III_02F_W"/>
        <s v="AMP_090-III_02F_Y"/>
        <s v="AMP_090-III_06F_W(2R"/>
        <s v="AMP_090-III_08F_W"/>
        <s v="AMP_025(UNSEAL)_12F_"/>
        <s v="AMP_025_16F_W"/>
        <s v="AMP_PICO 22M HEADER_"/>
        <s v="AMP_025_32F_W"/>
        <s v="AMP_025_40F_W"/>
        <s v="JST_040(CPT)_24F_B"/>
        <s v="AMP_025_16M(PCB H-TY"/>
        <s v="AMP_090_KEY HOLE(7PI"/>
        <s v="KUM_7PI(정홀)_GR"/>
        <s v="KUM_B/CABLE(L TYPE)_"/>
        <s v="KUM_STUD(M6)_B"/>
        <s v="B/CABLE-SLOT(7*12)_B"/>
        <s v="MOUNTING BRAKT-CONN"/>
        <s v="PET PAD(TAPE)_50*65_"/>
        <s v="PU(SPONGE PAD)_5*23_"/>
        <s v="PET PAD_7*24_0.13T_투"/>
        <s v="3M9629 (PET TAPE 27X"/>
        <s v="PCB-FRT_3P8S"/>
        <s v="PCB-RR_3P8S"/>
        <s v="무연 SAC305 OM353 #4 ("/>
        <s v="CONFORMAL_COATING"/>
        <s v="AMP_090II(UNSEAL)_RE"/>
        <s v="ERTJ1VG103FM (PANASO"/>
        <s v="SE_WELDING_PLATE_좌방향"/>
        <s v="SE_WELDING_PLATE_우방향"/>
        <s v="C/TUBE_5PI(SLIT)_B"/>
        <s v="KSCE 설비 소모품 (휴먼텍, 큐디"/>
        <s v="KSCE 설비 소모품 (휴먼텍, 매크"/>
        <s v="KSCE 설비 소모품 (리트젠, JL"/>
        <s v="샘풀매출"/>
        <s v="PBMS_ASSY(RG20)"/>
      </sharedItems>
    </cacheField>
    <cacheField name="매출액 합계" numFmtId="3">
      <sharedItems containsSemiMixedTypes="0" containsString="0" containsNumber="1" containsInteger="1" minValue="-1207655" maxValue="541710470"/>
    </cacheField>
    <cacheField name="매출수량" numFmtId="187">
      <sharedItems containsSemiMixedTypes="0" containsString="0" containsNumber="1" containsInteger="1" minValue="-2" maxValue="1755000"/>
    </cacheField>
    <cacheField name="매출원가 합계" numFmtId="3">
      <sharedItems containsSemiMixedTypes="0" containsString="0" containsNumber="1" containsInteger="1" minValue="-619034" maxValue="312612170"/>
    </cacheField>
    <cacheField name="매출총이익" numFmtId="41">
      <sharedItems containsSemiMixedTypes="0" containsString="0" containsNumber="1" containsInteger="1" minValue="-5900629" maxValue="229098300"/>
    </cacheField>
    <cacheField name="총판관비" numFmtId="41">
      <sharedItems containsSemiMixedTypes="0" containsString="0" containsNumber="1" minValue="-475387.14952668233" maxValue="213241526.92785555"/>
    </cacheField>
    <cacheField name="기타 판관비" numFmtId="41">
      <sharedItems containsSemiMixedTypes="0" containsString="0" containsNumber="1" minValue="-466224.01296847709" maxValue="209131274.40406394"/>
    </cacheField>
    <cacheField name="운반비" numFmtId="41">
      <sharedItems containsSemiMixedTypes="0" containsString="0" containsNumber="1" minValue="-9163.136558205264" maxValue="4110252.5237916093"/>
    </cacheField>
    <cacheField name="영업이익" numFmtId="41">
      <sharedItems containsSemiMixedTypes="0" containsString="0" containsNumber="1" minValue="-110913622.95808655" maxValue="15856773.072144449"/>
    </cacheField>
    <cacheField name="매출총이익율" numFmtId="0" formula="매출총이익/'매출액 합계'" databaseField="0"/>
    <cacheField name="영업이익율" numFmtId="0" formula="영업이익/'매출액 합계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00282"/>
    <x v="0"/>
    <x v="0"/>
    <s v="EBA02150AF"/>
    <x v="0"/>
    <n v="541710470"/>
    <n v="1010"/>
    <n v="312612170"/>
    <n v="229098300"/>
    <n v="213241526.92785555"/>
    <n v="209131274.40406394"/>
    <n v="4110252.5237916093"/>
    <n v="15856773.072144449"/>
  </r>
  <r>
    <n v="100282"/>
    <x v="0"/>
    <x v="0"/>
    <s v="EBA02298AB"/>
    <x v="1"/>
    <n v="111432480"/>
    <n v="332"/>
    <n v="62131144"/>
    <n v="49301336"/>
    <n v="43864819.863196887"/>
    <n v="43019320.915848948"/>
    <n v="845498.9473479403"/>
    <n v="5436516.1368031129"/>
  </r>
  <r>
    <n v="100282"/>
    <x v="0"/>
    <x v="0"/>
    <s v="EEA00596AE"/>
    <x v="2"/>
    <n v="95261670"/>
    <n v="42"/>
    <n v="53879826"/>
    <n v="41381844"/>
    <n v="37499264.078276888"/>
    <n v="36776461.878167845"/>
    <n v="722802.20010904246"/>
    <n v="3882579.9217231125"/>
  </r>
  <r>
    <n v="100282"/>
    <x v="0"/>
    <x v="1"/>
    <s v="ZKEXT-ETC"/>
    <x v="3"/>
    <n v="1380000"/>
    <n v="0"/>
    <n v="1380000"/>
    <n v="0"/>
    <n v="543229.86808883457"/>
    <n v="532759.05610169983"/>
    <n v="10470.811987134788"/>
    <n v="-543229.86808883457"/>
  </r>
  <r>
    <n v="100445"/>
    <x v="1"/>
    <x v="0"/>
    <s v="EBA02150AF"/>
    <x v="0"/>
    <n v="16090410"/>
    <n v="30"/>
    <n v="9285510"/>
    <n v="6804900"/>
    <n v="6333906.7404313525"/>
    <n v="6211820.031803879"/>
    <n v="122086.70862747353"/>
    <n v="470993.25956864748"/>
  </r>
  <r>
    <n v="200001"/>
    <x v="2"/>
    <x v="1"/>
    <s v="ZKEXT-ETC"/>
    <x v="3"/>
    <n v="5948688"/>
    <n v="0"/>
    <n v="0"/>
    <n v="5948688"/>
    <n v="2341670.2880736478"/>
    <n v="2296534.3506692094"/>
    <n v="45135.937404438315"/>
    <n v="3607017.7119263522"/>
  </r>
  <r>
    <n v="200009"/>
    <x v="3"/>
    <x v="2"/>
    <s v="BLT00000001"/>
    <x v="4"/>
    <n v="8691780"/>
    <n v="200000"/>
    <n v="8000000"/>
    <n v="691780"/>
    <n v="3421474.2774327332"/>
    <n v="3355525.0062635024"/>
    <n v="65949.271169230735"/>
    <n v="-2729694.2774327332"/>
  </r>
  <r>
    <n v="200009"/>
    <x v="3"/>
    <x v="2"/>
    <s v="BOX00000061"/>
    <x v="5"/>
    <n v="23330402"/>
    <n v="5908"/>
    <n v="21713082"/>
    <n v="1617320"/>
    <n v="9183892.1745793372"/>
    <n v="9006871.7014443558"/>
    <n v="177020.47313498077"/>
    <n v="-7566572.1745793372"/>
  </r>
  <r>
    <n v="200009"/>
    <x v="3"/>
    <x v="2"/>
    <s v="BOX00000062"/>
    <x v="6"/>
    <n v="22154397"/>
    <n v="5908"/>
    <n v="20636052"/>
    <n v="1518345"/>
    <n v="8720963.8839838225"/>
    <n v="8552866.4016103856"/>
    <n v="168097.48237343697"/>
    <n v="-7202618.8839838225"/>
  </r>
  <r>
    <n v="200009"/>
    <x v="3"/>
    <x v="2"/>
    <s v="BUS00000020"/>
    <x v="7"/>
    <n v="13762282"/>
    <n v="8192"/>
    <n v="13024461"/>
    <n v="737821"/>
    <n v="5417451.185116916"/>
    <n v="5313029.252264793"/>
    <n v="104421.93285212271"/>
    <n v="-4679630.185116916"/>
  </r>
  <r>
    <n v="200009"/>
    <x v="3"/>
    <x v="2"/>
    <s v="BUS00000021"/>
    <x v="8"/>
    <n v="146439737"/>
    <n v="56320"/>
    <n v="131501568"/>
    <n v="14938169"/>
    <n v="57645245.661937431"/>
    <n v="56534127.579638541"/>
    <n v="1111118.0822988884"/>
    <n v="-42707076.661937431"/>
  </r>
  <r>
    <n v="200009"/>
    <x v="3"/>
    <x v="2"/>
    <s v="BUS00000022"/>
    <x v="9"/>
    <n v="147545785"/>
    <n v="57600"/>
    <n v="133793280"/>
    <n v="13752505"/>
    <n v="58080635.74102433"/>
    <n v="56961125.469843738"/>
    <n v="1119510.2711805888"/>
    <n v="-44328130.74102433"/>
  </r>
  <r>
    <n v="200009"/>
    <x v="3"/>
    <x v="2"/>
    <s v="BUS00000023"/>
    <x v="10"/>
    <n v="13762281"/>
    <n v="8192"/>
    <n v="13020122"/>
    <n v="742159"/>
    <n v="5417450.791472083"/>
    <n v="5313028.8662075056"/>
    <n v="104421.92526457779"/>
    <n v="-4675291.791472083"/>
  </r>
  <r>
    <n v="200009"/>
    <x v="3"/>
    <x v="2"/>
    <s v="BUS00000024"/>
    <x v="11"/>
    <n v="10946035"/>
    <n v="6400"/>
    <n v="10175360"/>
    <n v="770675"/>
    <n v="4308850.1080766432"/>
    <n v="4225796.5758378049"/>
    <n v="83053.532238838365"/>
    <n v="-3538175.1080766432"/>
  </r>
  <r>
    <n v="200009"/>
    <x v="3"/>
    <x v="2"/>
    <s v="BUS00000045"/>
    <x v="12"/>
    <n v="75171360"/>
    <n v="16000"/>
    <n v="71291200"/>
    <n v="3880160"/>
    <n v="29590817.374535002"/>
    <n v="29020451.303971797"/>
    <n v="570366.07056320633"/>
    <n v="-25710657.374535002"/>
  </r>
  <r>
    <n v="200009"/>
    <x v="3"/>
    <x v="2"/>
    <s v="BUS00000264"/>
    <x v="13"/>
    <n v="14539673"/>
    <n v="9216"/>
    <n v="13653504"/>
    <n v="886169"/>
    <n v="5723467.1346701393"/>
    <n v="5613146.7126865014"/>
    <n v="110320.42198363772"/>
    <n v="-4837298.1346701393"/>
  </r>
  <r>
    <n v="200009"/>
    <x v="3"/>
    <x v="2"/>
    <s v="BUS00000265"/>
    <x v="14"/>
    <n v="11332622"/>
    <n v="7200"/>
    <n v="10666800"/>
    <n v="665822"/>
    <n v="4461028.0827250918"/>
    <n v="4375041.3042589556"/>
    <n v="85986.778466135816"/>
    <n v="-3795206.0827250918"/>
  </r>
  <r>
    <n v="200009"/>
    <x v="3"/>
    <x v="2"/>
    <s v="BUS00000273"/>
    <x v="15"/>
    <n v="204669977"/>
    <n v="100710"/>
    <n v="191751840"/>
    <n v="12918137"/>
    <n v="80567278.70105423"/>
    <n v="79014336.05715698"/>
    <n v="1552942.6438972475"/>
    <n v="-67649141.70105423"/>
  </r>
  <r>
    <n v="200009"/>
    <x v="3"/>
    <x v="2"/>
    <s v="FPC00000042"/>
    <x v="16"/>
    <n v="111355200"/>
    <n v="5000"/>
    <n v="109800000"/>
    <n v="1555200"/>
    <n v="43834398.990583912"/>
    <n v="42989486.408707254"/>
    <n v="844912.58187666081"/>
    <n v="-42279198.990583912"/>
  </r>
  <r>
    <n v="200009"/>
    <x v="3"/>
    <x v="2"/>
    <s v="FPC00000055"/>
    <x v="16"/>
    <n v="185857362"/>
    <n v="8000"/>
    <n v="175680000"/>
    <n v="10177362"/>
    <n v="73161790.030868679"/>
    <n v="71751588.948312998"/>
    <n v="1410201.0825556882"/>
    <n v="-62984428.030868679"/>
  </r>
  <r>
    <n v="200009"/>
    <x v="3"/>
    <x v="2"/>
    <s v="FPC00000063"/>
    <x v="17"/>
    <n v="20033151"/>
    <n v="1000"/>
    <n v="18573000"/>
    <n v="1460151"/>
    <n v="7885946.3587925415"/>
    <n v="7733943.9257266857"/>
    <n v="152002.43306585602"/>
    <n v="-6425795.3587925415"/>
  </r>
  <r>
    <n v="200009"/>
    <x v="3"/>
    <x v="2"/>
    <s v="FPC00000064"/>
    <x v="18"/>
    <n v="20033151"/>
    <n v="1000"/>
    <n v="18573000"/>
    <n v="1460151"/>
    <n v="7885946.3587925415"/>
    <n v="7733943.9257266857"/>
    <n v="152002.43306585602"/>
    <n v="-6425795.3587925415"/>
  </r>
  <r>
    <n v="200009"/>
    <x v="3"/>
    <x v="2"/>
    <s v="PAD00000004"/>
    <x v="19"/>
    <n v="490665"/>
    <n v="50000"/>
    <n v="435000"/>
    <n v="55665"/>
    <n v="193147.74146797686"/>
    <n v="189424.79874068158"/>
    <n v="3722.9427272952839"/>
    <n v="-137482.74146797686"/>
  </r>
  <r>
    <n v="200009"/>
    <x v="3"/>
    <x v="2"/>
    <s v="PAD00000005"/>
    <x v="20"/>
    <n v="52273586"/>
    <n v="65100"/>
    <n v="47360250"/>
    <n v="4913336"/>
    <n v="20577226.976311851"/>
    <n v="20180598.79450075"/>
    <n v="396628.18181110237"/>
    <n v="-15663890.976311851"/>
  </r>
  <r>
    <n v="200009"/>
    <x v="3"/>
    <x v="2"/>
    <s v="PAD00000031"/>
    <x v="21"/>
    <n v="1547698"/>
    <n v="48000"/>
    <n v="1444800"/>
    <n v="102898"/>
    <n v="609243.31911692268"/>
    <n v="597500.09102209331"/>
    <n v="11743.228094829376"/>
    <n v="-506345.31911692268"/>
  </r>
  <r>
    <n v="200009"/>
    <x v="3"/>
    <x v="2"/>
    <s v="PAD00000034"/>
    <x v="22"/>
    <n v="1177596"/>
    <n v="40000"/>
    <n v="1080000"/>
    <n v="97596"/>
    <n v="463554.57952314446"/>
    <n v="454619.51697763579"/>
    <n v="8935.0625455086811"/>
    <n v="-365958.57952314446"/>
  </r>
  <r>
    <n v="200009"/>
    <x v="3"/>
    <x v="2"/>
    <s v="PAD00000040"/>
    <x v="23"/>
    <n v="2422483"/>
    <n v="144000"/>
    <n v="2188800"/>
    <n v="233683"/>
    <n v="953597.91343293083"/>
    <n v="935217.21485682193"/>
    <n v="18380.698576108873"/>
    <n v="-719914.91343293083"/>
  </r>
  <r>
    <n v="200009"/>
    <x v="3"/>
    <x v="2"/>
    <s v="PAD00000041"/>
    <x v="24"/>
    <n v="1233672"/>
    <n v="80000"/>
    <n v="1144000"/>
    <n v="89672"/>
    <n v="485628.60711948463"/>
    <n v="476268.0654051422"/>
    <n v="9360.5417143424274"/>
    <n v="-395956.60711948463"/>
  </r>
  <r>
    <n v="200009"/>
    <x v="3"/>
    <x v="2"/>
    <s v="PAD00000042"/>
    <x v="25"/>
    <n v="2130888"/>
    <n v="80000"/>
    <n v="1936000"/>
    <n v="194888"/>
    <n v="838813.04866092815"/>
    <n v="822644.84024524572"/>
    <n v="16168.208415682375"/>
    <n v="-643925.04866092815"/>
  </r>
  <r>
    <n v="200009"/>
    <x v="3"/>
    <x v="2"/>
    <s v="PAD00000048"/>
    <x v="26"/>
    <n v="25032326"/>
    <n v="7200"/>
    <n v="23234400"/>
    <n v="1797926"/>
    <n v="9853845.7615483385"/>
    <n v="9663911.8636159711"/>
    <n v="189933.89793236656"/>
    <n v="-8055919.7615483385"/>
  </r>
  <r>
    <n v="200009"/>
    <x v="3"/>
    <x v="2"/>
    <s v="PAD00000049"/>
    <x v="27"/>
    <n v="294399"/>
    <n v="15000"/>
    <n v="270000"/>
    <n v="24399"/>
    <n v="115888.64488078612"/>
    <n v="113654.87924440895"/>
    <n v="2233.7656363771703"/>
    <n v="-91489.644880786116"/>
  </r>
  <r>
    <n v="200009"/>
    <x v="3"/>
    <x v="2"/>
    <s v="PAD00000050"/>
    <x v="22"/>
    <n v="133181"/>
    <n v="5000"/>
    <n v="125000"/>
    <n v="8181"/>
    <n v="52426.012363723974"/>
    <n v="51415.495543971367"/>
    <n v="1010.5168197526075"/>
    <n v="-44245.012363723974"/>
  </r>
  <r>
    <n v="200009"/>
    <x v="3"/>
    <x v="2"/>
    <s v="PAD00000051"/>
    <x v="28"/>
    <n v="1042453"/>
    <n v="4400"/>
    <n v="1038400"/>
    <n v="4053"/>
    <n v="410356.23599913763"/>
    <n v="402446.57703651109"/>
    <n v="7909.6589626265377"/>
    <n v="-406303.23599913763"/>
  </r>
  <r>
    <n v="200009"/>
    <x v="3"/>
    <x v="2"/>
    <s v="PAD00000052"/>
    <x v="28"/>
    <n v="1275729"/>
    <n v="10000"/>
    <n v="1280000"/>
    <n v="-4271"/>
    <n v="502184.12781673984"/>
    <n v="492504.47672577208"/>
    <n v="9679.6510909677363"/>
    <n v="-506455.12781673984"/>
  </r>
  <r>
    <n v="200009"/>
    <x v="3"/>
    <x v="2"/>
    <s v="PAD00000053"/>
    <x v="28"/>
    <n v="869178"/>
    <n v="10000"/>
    <n v="870000"/>
    <n v="-822"/>
    <n v="342147.42774327332"/>
    <n v="335552.50062635023"/>
    <n v="6594.9271169230742"/>
    <n v="-342969.42774327332"/>
  </r>
  <r>
    <n v="200009"/>
    <x v="3"/>
    <x v="2"/>
    <s v="PAD00000054"/>
    <x v="29"/>
    <n v="583190"/>
    <n v="26000"/>
    <n v="728000"/>
    <n v="-144810"/>
    <n v="229569.72954400544"/>
    <n v="225144.74922315244"/>
    <n v="4424.9803208529984"/>
    <n v="-374379.72954400547"/>
  </r>
  <r>
    <n v="200009"/>
    <x v="3"/>
    <x v="2"/>
    <s v="PRT00000122"/>
    <x v="30"/>
    <n v="4289814"/>
    <n v="2000"/>
    <n v="3708600"/>
    <n v="581214"/>
    <n v="1688663.1111200266"/>
    <n v="1656113.9547042449"/>
    <n v="32549.156415781625"/>
    <n v="-1107449.1111200266"/>
  </r>
  <r>
    <n v="200009"/>
    <x v="3"/>
    <x v="1"/>
    <s v="ZKEXT-ETC"/>
    <x v="3"/>
    <n v="1151514"/>
    <n v="0"/>
    <n v="0"/>
    <n v="1151514"/>
    <n v="453287.53501626546"/>
    <n v="444550.37081731361"/>
    <n v="8737.1641989518321"/>
    <n v="698226.46498373454"/>
  </r>
  <r>
    <n v="200138"/>
    <x v="4"/>
    <x v="2"/>
    <s v="ATY16-01501"/>
    <x v="31"/>
    <n v="221365"/>
    <n v="120"/>
    <n v="212808"/>
    <n v="8557"/>
    <n v="87139.188224264421"/>
    <n v="85459.571343444069"/>
    <n v="1679.6168808203572"/>
    <n v="-78582.188224264421"/>
  </r>
  <r>
    <n v="200138"/>
    <x v="4"/>
    <x v="2"/>
    <s v="ATY18-05191"/>
    <x v="32"/>
    <n v="524873"/>
    <n v="600"/>
    <n v="504000"/>
    <n v="20873"/>
    <n v="206613.54387926878"/>
    <n v="202631.04641541126"/>
    <n v="3982.497463857535"/>
    <n v="-185740.54387926878"/>
  </r>
  <r>
    <n v="200138"/>
    <x v="4"/>
    <x v="2"/>
    <s v="ATY18-12190"/>
    <x v="33"/>
    <n v="724602"/>
    <n v="600"/>
    <n v="694680"/>
    <n v="29922"/>
    <n v="285235.83251949697"/>
    <n v="279737.88229666953"/>
    <n v="5497.9502228274223"/>
    <n v="-255313.83251949697"/>
  </r>
  <r>
    <n v="200138"/>
    <x v="4"/>
    <x v="2"/>
    <s v="ATY18-12191"/>
    <x v="34"/>
    <n v="461168"/>
    <n v="400"/>
    <n v="463120"/>
    <n v="-1952"/>
    <n v="181536.39985999398"/>
    <n v="178037.26694515123"/>
    <n v="3499.1329148427362"/>
    <n v="-183488.39985999398"/>
  </r>
  <r>
    <n v="200138"/>
    <x v="4"/>
    <x v="2"/>
    <s v="BUS00000076"/>
    <x v="35"/>
    <n v="74597917"/>
    <n v="52380"/>
    <n v="70461577"/>
    <n v="4136340"/>
    <n v="29365084.501167998"/>
    <n v="28799069.455125328"/>
    <n v="566015.04604267108"/>
    <n v="-25228744.501167998"/>
  </r>
  <r>
    <n v="200138"/>
    <x v="4"/>
    <x v="2"/>
    <s v="BUS00000077"/>
    <x v="36"/>
    <n v="52119100"/>
    <n v="36396"/>
    <n v="48959899"/>
    <n v="3159201"/>
    <n v="20516414.360803466"/>
    <n v="20120958.348456599"/>
    <n v="395456.01234686724"/>
    <n v="-17357213.360803466"/>
  </r>
  <r>
    <n v="200138"/>
    <x v="4"/>
    <x v="2"/>
    <s v="BUS00000078"/>
    <x v="37"/>
    <n v="156421234"/>
    <n v="182400"/>
    <n v="149786823"/>
    <n v="6634411"/>
    <n v="61574410.371096194"/>
    <n v="60387557.231958792"/>
    <n v="1186853.1391374029"/>
    <n v="-54939999.371096194"/>
  </r>
  <r>
    <n v="200138"/>
    <x v="4"/>
    <x v="2"/>
    <s v="CAK1B-08304"/>
    <x v="38"/>
    <n v="112480"/>
    <n v="1000"/>
    <n v="115000"/>
    <n v="-2520"/>
    <n v="44277.170697559508"/>
    <n v="43423.72364515884"/>
    <n v="853.44705240066742"/>
    <n v="-46797.170697559508"/>
  </r>
  <r>
    <n v="200138"/>
    <x v="4"/>
    <x v="2"/>
    <s v="CCK55-01088"/>
    <x v="39"/>
    <n v="73452880"/>
    <n v="110000"/>
    <n v="71466963"/>
    <n v="1985917"/>
    <n v="28914346.603728265"/>
    <n v="28357019.577356111"/>
    <n v="557327.02637215459"/>
    <n v="-26928429.603728265"/>
  </r>
  <r>
    <n v="200138"/>
    <x v="4"/>
    <x v="2"/>
    <s v="CCK55-01098"/>
    <x v="40"/>
    <n v="69391500"/>
    <n v="100000"/>
    <n v="68059813"/>
    <n v="1331687"/>
    <n v="27315605.356149543"/>
    <n v="26789094.232957322"/>
    <n v="526511.12319222011"/>
    <n v="-25983918.356149543"/>
  </r>
  <r>
    <n v="200138"/>
    <x v="4"/>
    <x v="2"/>
    <s v="CYY15-04421"/>
    <x v="41"/>
    <n v="84686368"/>
    <n v="95600"/>
    <n v="82541040"/>
    <n v="2145328"/>
    <n v="33336351.099682983"/>
    <n v="32693789.478522614"/>
    <n v="642561.6211603682"/>
    <n v="-31191023.099682983"/>
  </r>
  <r>
    <n v="200138"/>
    <x v="4"/>
    <x v="2"/>
    <s v="EDK43-00091"/>
    <x v="42"/>
    <n v="11488800"/>
    <n v="160000"/>
    <n v="10080000"/>
    <n v="1408800"/>
    <n v="4522506.7452891329"/>
    <n v="4435334.9592327606"/>
    <n v="87171.786056372584"/>
    <n v="-3113706.7452891329"/>
  </r>
  <r>
    <n v="200138"/>
    <x v="4"/>
    <x v="2"/>
    <s v="EGM02-80015"/>
    <x v="43"/>
    <n v="1124800"/>
    <n v="20000"/>
    <n v="1260000"/>
    <n v="-135200"/>
    <n v="442771.70697559515"/>
    <n v="434237.23645158845"/>
    <n v="8534.470524006676"/>
    <n v="-577971.70697559509"/>
  </r>
  <r>
    <n v="200138"/>
    <x v="4"/>
    <x v="2"/>
    <s v="EGM02-82420"/>
    <x v="44"/>
    <n v="562400"/>
    <n v="20000"/>
    <n v="644000"/>
    <n v="-81600"/>
    <n v="221385.85348779758"/>
    <n v="217118.61822579423"/>
    <n v="4267.235262003338"/>
    <n v="-302985.85348779755"/>
  </r>
  <r>
    <n v="200138"/>
    <x v="4"/>
    <x v="2"/>
    <s v="EIJ33-0A014"/>
    <x v="45"/>
    <n v="2225955"/>
    <n v="155000"/>
    <n v="1178000"/>
    <n v="1047955"/>
    <n v="876235.68189976958"/>
    <n v="859346.14835134742"/>
    <n v="16889.533548422191"/>
    <n v="171719.31810023042"/>
  </r>
  <r>
    <n v="200138"/>
    <x v="4"/>
    <x v="2"/>
    <s v="EZZ02-82712"/>
    <x v="46"/>
    <n v="287220"/>
    <n v="10000"/>
    <n v="209500"/>
    <n v="77720"/>
    <n v="113062.66863222833"/>
    <n v="110883.37398081901"/>
    <n v="2179.2946514093146"/>
    <n v="-35342.668632228335"/>
  </r>
  <r>
    <n v="200138"/>
    <x v="4"/>
    <x v="2"/>
    <s v="EZZ14-72000"/>
    <x v="47"/>
    <n v="8817190"/>
    <n v="60"/>
    <n v="8340000"/>
    <n v="477190"/>
    <n v="3470841.2758073863"/>
    <n v="3403940.4506299621"/>
    <n v="66900.825177423918"/>
    <n v="-2993651.2758073863"/>
  </r>
  <r>
    <n v="200138"/>
    <x v="4"/>
    <x v="2"/>
    <s v="FLF45-00202"/>
    <x v="48"/>
    <n v="126017775"/>
    <n v="1755000"/>
    <n v="123218550"/>
    <n v="2799225"/>
    <n v="49606245.862390175"/>
    <n v="48650080.334084339"/>
    <n v="956165.52830583672"/>
    <n v="-46807020.862390175"/>
  </r>
  <r>
    <n v="200138"/>
    <x v="4"/>
    <x v="2"/>
    <s v="FPC00000065"/>
    <x v="49"/>
    <n v="309937680"/>
    <n v="177600"/>
    <n v="298845937"/>
    <n v="11091743"/>
    <n v="122005365.95808655"/>
    <n v="119653699.88923964"/>
    <n v="2351666.0688469177"/>
    <n v="-110913622.95808655"/>
  </r>
  <r>
    <n v="200138"/>
    <x v="4"/>
    <x v="2"/>
    <s v="FPC00000081"/>
    <x v="50"/>
    <n v="102394995"/>
    <n v="67480"/>
    <n v="96159000"/>
    <n v="6235995"/>
    <n v="40307260.599135429"/>
    <n v="39530333.975172669"/>
    <n v="776926.62396275857"/>
    <n v="-34071265.599135429"/>
  </r>
  <r>
    <n v="200138"/>
    <x v="4"/>
    <x v="2"/>
    <s v="FPC00000082"/>
    <x v="51"/>
    <n v="80992204"/>
    <n v="67345"/>
    <n v="76099850"/>
    <n v="4892354"/>
    <n v="31882162.532713033"/>
    <n v="31267630.546837915"/>
    <n v="614531.98587512039"/>
    <n v="-26989808.532713033"/>
  </r>
  <r>
    <n v="200138"/>
    <x v="4"/>
    <x v="2"/>
    <s v="HAJ28-02522"/>
    <x v="52"/>
    <n v="2641737"/>
    <n v="6400"/>
    <n v="2471872"/>
    <n v="169865"/>
    <n v="1039906.1174169522"/>
    <n v="1019861.8192673452"/>
    <n v="20044.298149606882"/>
    <n v="-870041.11741695215"/>
  </r>
  <r>
    <n v="200138"/>
    <x v="4"/>
    <x v="2"/>
    <s v="HAK02-09311"/>
    <x v="53"/>
    <n v="170292"/>
    <n v="4000"/>
    <n v="172640"/>
    <n v="-2348"/>
    <n v="67034.565722162195"/>
    <n v="65742.467522949766"/>
    <n v="1292.098199212433"/>
    <n v="-69382.565722162195"/>
  </r>
  <r>
    <n v="200138"/>
    <x v="4"/>
    <x v="2"/>
    <s v="HAK02-09312"/>
    <x v="54"/>
    <n v="172332"/>
    <n v="4000"/>
    <n v="172640"/>
    <n v="-308"/>
    <n v="67837.601179336998"/>
    <n v="66530.024388491409"/>
    <n v="1307.5767908455889"/>
    <n v="-68145.601179336998"/>
  </r>
  <r>
    <n v="200138"/>
    <x v="4"/>
    <x v="2"/>
    <s v="HAK02-09322"/>
    <x v="55"/>
    <n v="172332"/>
    <n v="4000"/>
    <n v="156400"/>
    <n v="15932"/>
    <n v="67837.601179336998"/>
    <n v="66530.024388491409"/>
    <n v="1307.5767908455889"/>
    <n v="-51905.601179336998"/>
  </r>
  <r>
    <n v="200138"/>
    <x v="4"/>
    <x v="2"/>
    <s v="HAK02-09325"/>
    <x v="56"/>
    <n v="170292"/>
    <n v="4000"/>
    <n v="154760"/>
    <n v="15532"/>
    <n v="67034.565722162195"/>
    <n v="65742.467522949766"/>
    <n v="1292.098199212433"/>
    <n v="-51502.565722162195"/>
  </r>
  <r>
    <n v="200138"/>
    <x v="4"/>
    <x v="2"/>
    <s v="HAK06-09362"/>
    <x v="57"/>
    <n v="97066"/>
    <n v="2280"/>
    <n v="100776"/>
    <n v="-3710"/>
    <n v="38209.529257906404"/>
    <n v="37473.036622875079"/>
    <n v="736.49263503132283"/>
    <n v="-41919.529257906404"/>
  </r>
  <r>
    <n v="200138"/>
    <x v="4"/>
    <x v="2"/>
    <s v="HAK08-09322"/>
    <x v="58"/>
    <n v="229776"/>
    <n v="4000"/>
    <n v="213840"/>
    <n v="15936"/>
    <n v="90450.134905782659"/>
    <n v="88706.699184655212"/>
    <n v="1743.4357211274519"/>
    <n v="-74514.134905782659"/>
  </r>
  <r>
    <n v="200138"/>
    <x v="4"/>
    <x v="2"/>
    <s v="HAK12-02522"/>
    <x v="59"/>
    <n v="201054"/>
    <n v="1400"/>
    <n v="185640"/>
    <n v="15414"/>
    <n v="79143.868042559829"/>
    <n v="77618.36178657331"/>
    <n v="1525.5062559865203"/>
    <n v="-63729.868042559829"/>
  </r>
  <r>
    <n v="200138"/>
    <x v="4"/>
    <x v="2"/>
    <s v="HAK16-02542"/>
    <x v="60"/>
    <n v="516996"/>
    <n v="3600"/>
    <n v="468360"/>
    <n v="48636"/>
    <n v="203512.80353801098"/>
    <n v="199590.07316547423"/>
    <n v="3922.7303725367665"/>
    <n v="-154876.80353801098"/>
  </r>
  <r>
    <n v="200138"/>
    <x v="4"/>
    <x v="2"/>
    <s v="HAK22-02298"/>
    <x v="61"/>
    <n v="57584189"/>
    <n v="72280"/>
    <n v="54932800"/>
    <n v="2651389"/>
    <n v="22667718.401791684"/>
    <n v="22230795.781175282"/>
    <n v="436922.62061640242"/>
    <n v="-20016329.401791684"/>
  </r>
  <r>
    <n v="200138"/>
    <x v="4"/>
    <x v="2"/>
    <s v="HAK32-02542"/>
    <x v="62"/>
    <n v="1294219"/>
    <n v="4800"/>
    <n v="1228032"/>
    <n v="66187"/>
    <n v="509462.62075946637"/>
    <n v="499642.67596296087"/>
    <n v="9819.9447965055078"/>
    <n v="-443275.62075946637"/>
  </r>
  <r>
    <n v="200138"/>
    <x v="4"/>
    <x v="2"/>
    <s v="HAK40-02542"/>
    <x v="63"/>
    <n v="396364"/>
    <n v="1200"/>
    <n v="378024"/>
    <n v="18340"/>
    <n v="156026.64017040786"/>
    <n v="153019.21051644505"/>
    <n v="3007.4296539628212"/>
    <n v="-137686.64017040786"/>
  </r>
  <r>
    <n v="200138"/>
    <x v="4"/>
    <x v="2"/>
    <s v="HJT24-04521"/>
    <x v="64"/>
    <n v="1447589"/>
    <n v="2400"/>
    <n v="1372320"/>
    <n v="75269"/>
    <n v="569835.92863539711"/>
    <n v="558852.28207478521"/>
    <n v="10983.646560611929"/>
    <n v="-494566.92863539711"/>
  </r>
  <r>
    <n v="200138"/>
    <x v="4"/>
    <x v="2"/>
    <s v="HSG00000134"/>
    <x v="65"/>
    <n v="67472743"/>
    <n v="79800"/>
    <n v="73373372"/>
    <n v="-5900629"/>
    <n v="26560296.579334669"/>
    <n v="26048344.111067086"/>
    <n v="511952.46826758329"/>
    <n v="-32460925.579334669"/>
  </r>
  <r>
    <n v="200138"/>
    <x v="4"/>
    <x v="2"/>
    <s v="IAK01-09341"/>
    <x v="66"/>
    <n v="255438"/>
    <n v="6000"/>
    <n v="235260"/>
    <n v="20178"/>
    <n v="100551.84858324329"/>
    <n v="98613.701284424649"/>
    <n v="1938.1472988186495"/>
    <n v="-80373.848583243293"/>
  </r>
  <r>
    <n v="200138"/>
    <x v="4"/>
    <x v="2"/>
    <s v="IKU02-00518"/>
    <x v="67"/>
    <n v="674880"/>
    <n v="24000"/>
    <n v="506400"/>
    <n v="168480"/>
    <n v="265663.02418535709"/>
    <n v="260542.34187095307"/>
    <n v="5120.6823144040045"/>
    <n v="-97183.024185357091"/>
  </r>
  <r>
    <n v="200138"/>
    <x v="4"/>
    <x v="2"/>
    <s v="IKU02-01698"/>
    <x v="68"/>
    <n v="1268410"/>
    <n v="90000"/>
    <n v="1548000"/>
    <n v="-279590"/>
    <n v="499303.04129170923"/>
    <n v="489678.9234419979"/>
    <n v="9624.1178497113324"/>
    <n v="-778893.04129170929"/>
  </r>
  <r>
    <n v="200138"/>
    <x v="4"/>
    <x v="2"/>
    <s v="IKU02-11631"/>
    <x v="69"/>
    <n v="101232"/>
    <n v="3600"/>
    <n v="108000"/>
    <n v="-6768"/>
    <n v="39849.453627803559"/>
    <n v="39081.351280642957"/>
    <n v="768.10234716060074"/>
    <n v="-46617.453627803559"/>
  </r>
  <r>
    <n v="200138"/>
    <x v="4"/>
    <x v="2"/>
    <s v="IKU02-80021"/>
    <x v="70"/>
    <n v="134976"/>
    <n v="4800"/>
    <n v="146400"/>
    <n v="-11424"/>
    <n v="53132.604837071412"/>
    <n v="52108.468374190612"/>
    <n v="1024.136462880801"/>
    <n v="-64556.604837071412"/>
  </r>
  <r>
    <n v="200138"/>
    <x v="4"/>
    <x v="2"/>
    <s v="KYD10-00012"/>
    <x v="71"/>
    <n v="18929519"/>
    <n v="1166"/>
    <n v="18646558"/>
    <n v="282961"/>
    <n v="7451507.3256196305"/>
    <n v="7307878.7499269526"/>
    <n v="143628.57569267807"/>
    <n v="-7168546.3256196305"/>
  </r>
  <r>
    <n v="200138"/>
    <x v="4"/>
    <x v="2"/>
    <s v="KYD10-00052"/>
    <x v="71"/>
    <n v="1399251"/>
    <n v="80"/>
    <n v="1389680"/>
    <n v="9571"/>
    <n v="550807.92474867392"/>
    <n v="540191.04493431863"/>
    <n v="10616.879814355319"/>
    <n v="-541236.92474867392"/>
  </r>
  <r>
    <n v="200138"/>
    <x v="4"/>
    <x v="2"/>
    <s v="OIJ61-05065"/>
    <x v="72"/>
    <n v="33690906"/>
    <n v="391000"/>
    <n v="31280000"/>
    <n v="2410906"/>
    <n v="13262251.030560384"/>
    <n v="13006619.767950071"/>
    <n v="255631.26261031261"/>
    <n v="-10851345.030560384"/>
  </r>
  <r>
    <n v="200138"/>
    <x v="4"/>
    <x v="2"/>
    <s v="OIJ91-0A023"/>
    <x v="73"/>
    <n v="1866930"/>
    <n v="130000"/>
    <n v="1170000"/>
    <n v="696930"/>
    <n v="734907.34610948421"/>
    <n v="720741.93087532371"/>
    <n v="14165.415234160546"/>
    <n v="-37977.346109484206"/>
  </r>
  <r>
    <n v="200138"/>
    <x v="4"/>
    <x v="2"/>
    <s v="OYY61-0A024"/>
    <x v="74"/>
    <n v="11991840"/>
    <n v="280000"/>
    <n v="9716000"/>
    <n v="2275840"/>
    <n v="4720525.8415524717"/>
    <n v="4629537.2169004409"/>
    <n v="90988.624652030761"/>
    <n v="-2444685.8415524717"/>
  </r>
  <r>
    <n v="200138"/>
    <x v="4"/>
    <x v="2"/>
    <s v="PAD00000009"/>
    <x v="75"/>
    <n v="2010540"/>
    <n v="140000"/>
    <n v="1540000"/>
    <n v="470540"/>
    <n v="791438.68042559829"/>
    <n v="776183.6178657331"/>
    <n v="15255.062559865202"/>
    <n v="-320898.68042559829"/>
  </r>
  <r>
    <n v="200138"/>
    <x v="4"/>
    <x v="2"/>
    <s v="PCB00000040"/>
    <x v="76"/>
    <n v="68209091"/>
    <n v="146946"/>
    <n v="65684862"/>
    <n v="2524229"/>
    <n v="26850156.164050229"/>
    <n v="26332616.62225721"/>
    <n v="517539.54179302003"/>
    <n v="-24325927.164050229"/>
  </r>
  <r>
    <n v="200138"/>
    <x v="4"/>
    <x v="2"/>
    <s v="PCB00000041"/>
    <x v="77"/>
    <n v="59852360"/>
    <n v="146946"/>
    <n v="57602832"/>
    <n v="2249528"/>
    <n v="23560572.193916988"/>
    <n v="23106439.723955896"/>
    <n v="454132.46996109188"/>
    <n v="-21311044.193916988"/>
  </r>
  <r>
    <n v="200138"/>
    <x v="4"/>
    <x v="2"/>
    <s v="SOLD0000005"/>
    <x v="78"/>
    <n v="8292639"/>
    <n v="60"/>
    <n v="7826280"/>
    <n v="466359"/>
    <n v="3264354.4855640042"/>
    <n v="3201433.7146609742"/>
    <n v="62920.770903030039"/>
    <n v="-2797995.4855640042"/>
  </r>
  <r>
    <n v="200138"/>
    <x v="4"/>
    <x v="2"/>
    <s v="SOLD0000008"/>
    <x v="79"/>
    <n v="9197528"/>
    <n v="60"/>
    <n v="8700000"/>
    <n v="497528"/>
    <n v="3620559.3639009879"/>
    <n v="3550772.7070644605"/>
    <n v="69786.656836527429"/>
    <n v="-3123031.3639009879"/>
  </r>
  <r>
    <n v="200138"/>
    <x v="4"/>
    <x v="2"/>
    <s v="TAK12-09222"/>
    <x v="80"/>
    <n v="351500"/>
    <n v="25000"/>
    <n v="226250"/>
    <n v="125250"/>
    <n v="138366.15842987347"/>
    <n v="135699.13639112137"/>
    <n v="2667.0220387520858"/>
    <n v="-13116.158429873467"/>
  </r>
  <r>
    <n v="200138"/>
    <x v="4"/>
    <x v="2"/>
    <s v="THMT0000004"/>
    <x v="81"/>
    <n v="1378656"/>
    <n v="48000"/>
    <n v="1344000"/>
    <n v="34656"/>
    <n v="542700.80943469598"/>
    <n v="532240.19510793127"/>
    <n v="10460.614326764711"/>
    <n v="-508044.80943469598"/>
  </r>
  <r>
    <n v="200138"/>
    <x v="4"/>
    <x v="2"/>
    <s v="TML00000084"/>
    <x v="82"/>
    <n v="7700760"/>
    <n v="540000"/>
    <n v="9720000"/>
    <n v="-2019240"/>
    <n v="3031364.3760751989"/>
    <n v="2972934.5136708161"/>
    <n v="58429.862404382679"/>
    <n v="-5050604.3760751989"/>
  </r>
  <r>
    <n v="200138"/>
    <x v="4"/>
    <x v="2"/>
    <s v="TML00000085"/>
    <x v="83"/>
    <n v="3428580"/>
    <n v="240000"/>
    <n v="4320000"/>
    <n v="-891420"/>
    <n v="1349642.7979217512"/>
    <n v="1323628.2931660623"/>
    <n v="26014.504755688835"/>
    <n v="-2241062.7979217512"/>
  </r>
  <r>
    <n v="200138"/>
    <x v="4"/>
    <x v="2"/>
    <s v="UAS04-05003"/>
    <x v="84"/>
    <n v="43083"/>
    <n v="1000"/>
    <n v="35400"/>
    <n v="7683"/>
    <n v="16959.40029483425"/>
    <n v="16632.506097122852"/>
    <n v="326.89419771139723"/>
    <n v="-9276.4002948342495"/>
  </r>
  <r>
    <n v="200138"/>
    <x v="4"/>
    <x v="1"/>
    <s v="ZKEXT-00586"/>
    <x v="85"/>
    <n v="6612019"/>
    <n v="0"/>
    <n v="6535104"/>
    <n v="76915"/>
    <n v="2602787.1080948324"/>
    <n v="2552618.1169322506"/>
    <n v="50168.991162581871"/>
    <n v="-2525872.1080948324"/>
  </r>
  <r>
    <n v="200138"/>
    <x v="4"/>
    <x v="1"/>
    <s v="ZKEXT-00587"/>
    <x v="86"/>
    <n v="12064929"/>
    <n v="0"/>
    <n v="11924585"/>
    <n v="140344"/>
    <n v="4749296.9486747505"/>
    <n v="4657753.7579521928"/>
    <n v="91543.19072255808"/>
    <n v="-4608952.9486747505"/>
  </r>
  <r>
    <n v="200138"/>
    <x v="4"/>
    <x v="1"/>
    <s v="ZKEXT-00588"/>
    <x v="87"/>
    <n v="9730976"/>
    <n v="0"/>
    <n v="9617780"/>
    <n v="113196"/>
    <n v="3830548.4122142144"/>
    <n v="3756714.194716156"/>
    <n v="73834.217498058657"/>
    <n v="-3717352.4122142144"/>
  </r>
  <r>
    <n v="200138"/>
    <x v="4"/>
    <x v="1"/>
    <s v="ZKEXT-SAMPLE"/>
    <x v="88"/>
    <n v="1787625"/>
    <n v="0"/>
    <n v="0"/>
    <n v="1787625"/>
    <n v="703689.34271181386"/>
    <n v="690125.65772739227"/>
    <n v="13563.684984421614"/>
    <n v="1083935.6572881863"/>
  </r>
  <r>
    <n v="200189"/>
    <x v="5"/>
    <x v="0"/>
    <s v="EBA02150AF"/>
    <x v="0"/>
    <n v="-1207655"/>
    <n v="-2"/>
    <n v="-619034"/>
    <n v="-588621"/>
    <n v="-475387.14952668233"/>
    <n v="-466224.01296847709"/>
    <n v="-9163.136558205264"/>
    <n v="-113233.85047331767"/>
  </r>
  <r>
    <n v="200189"/>
    <x v="5"/>
    <x v="0"/>
    <s v="EBA02150AG"/>
    <x v="89"/>
    <n v="3010683"/>
    <n v="5"/>
    <n v="1547585"/>
    <n v="1463098"/>
    <n v="1185139.803584998"/>
    <n v="1162296.1110879958"/>
    <n v="22843.692497002121"/>
    <n v="277958.19641500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2B985-8980-4C4B-8BF7-8A0FB2034D19}" name="피벗 테이블4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>
  <location ref="B22:G26" firstHeaderRow="0" firstDataRow="1" firstDataCol="1"/>
  <pivotFields count="1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numFmtId="176" showAll="0"/>
    <pivotField numFmtId="176" showAll="0"/>
    <pivotField numFmtId="176" showAll="0"/>
    <pivotField dataField="1" numFmtId="176" showAll="0"/>
    <pivotField numFmtId="176" showAll="0"/>
    <pivotField showAll="0"/>
    <pivotField numFmtId="176" showAll="0"/>
    <pivotField dataField="1" numFmtId="176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합계 : 매출액 합계" fld="5" baseField="0" baseItem="0"/>
    <dataField name="합계 : 매출총이익" fld="8" baseField="0" baseItem="0"/>
    <dataField name="합계 : 매출총이익율" fld="13" baseField="0" baseItem="0" numFmtId="9"/>
    <dataField name="합계 : 영업이익" fld="12" baseField="0" baseItem="0"/>
    <dataField name="합계 : 영업이익율" fld="14" baseField="0" baseItem="0" numFmtId="9"/>
  </dataFields>
  <formats count="1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24C68-6589-4D58-A4F0-F9CB62D19C26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>
  <location ref="B3:G10" firstHeaderRow="0" firstDataRow="1" firstDataCol="1"/>
  <pivotFields count="15">
    <pivotField showAll="0"/>
    <pivotField axis="axisRow" showAll="0">
      <items count="7">
        <item x="0"/>
        <item x="4"/>
        <item x="3"/>
        <item x="2"/>
        <item x="5"/>
        <item x="1"/>
        <item t="default"/>
      </items>
    </pivotField>
    <pivotField showAll="0"/>
    <pivotField showAll="0"/>
    <pivotField showAll="0"/>
    <pivotField dataField="1" numFmtId="176" showAll="0"/>
    <pivotField numFmtId="176" showAll="0"/>
    <pivotField numFmtId="176" showAll="0"/>
    <pivotField dataField="1" numFmtId="176" showAll="0"/>
    <pivotField numFmtId="176" showAll="0"/>
    <pivotField showAll="0"/>
    <pivotField numFmtId="176" showAll="0"/>
    <pivotField dataField="1" numFmtId="176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합계 : 매출액 합계" fld="5" baseField="0" baseItem="0"/>
    <dataField name="합계 : 매출총이익" fld="8" baseField="0" baseItem="0"/>
    <dataField name="합계 : 매출총이익율" fld="13" baseField="0" baseItem="0" numFmtId="9"/>
    <dataField name="합계 : 영업이익" fld="12" baseField="0" baseItem="0"/>
    <dataField name="합계 : 영업이익율" fld="14" baseField="0" baseItem="0" numFmtId="9"/>
  </dataFields>
  <formats count="12"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061E4-F088-4EC7-82E2-37EEFD46F1F9}" name="피벗 테이블10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compact="0" compactData="0" gridDropZones="1" multipleFieldFilters="0">
  <location ref="B30:K44" firstHeaderRow="1" firstDataRow="2" firstDataCol="3"/>
  <pivotFields count="15">
    <pivotField compact="0" outline="0" showAll="0"/>
    <pivotField axis="axisRow" compact="0" outline="0" showAll="0" defaultSubtotal="0">
      <items count="6">
        <item sd="0" x="4"/>
        <item sd="0" x="0"/>
        <item sd="0" x="3"/>
        <item sd="0" x="2"/>
        <item sd="0" x="5"/>
        <item x="1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axis="axisRow" compact="0" outline="0" showAll="0">
      <items count="91">
        <item x="45"/>
        <item x="49"/>
        <item x="76"/>
        <item x="77"/>
        <item x="37"/>
        <item x="61"/>
        <item x="36"/>
        <item x="35"/>
        <item x="41"/>
        <item x="39"/>
        <item x="40"/>
        <item x="72"/>
        <item x="73"/>
        <item x="50"/>
        <item x="51"/>
        <item x="78"/>
        <item x="0"/>
        <item x="7"/>
        <item x="8"/>
        <item x="10"/>
        <item x="12"/>
        <item x="16"/>
        <item x="48"/>
        <item x="42"/>
        <item x="47"/>
        <item x="65"/>
        <item x="82"/>
        <item x="1"/>
        <item x="74"/>
        <item x="81"/>
        <item x="83"/>
        <item x="3"/>
        <item x="30"/>
        <item x="62"/>
        <item x="64"/>
        <item x="71"/>
        <item x="5"/>
        <item x="6"/>
        <item x="17"/>
        <item x="18"/>
        <item x="38"/>
        <item x="89"/>
        <item x="88"/>
        <item x="43"/>
        <item x="13"/>
        <item x="14"/>
        <item x="15"/>
        <item x="52"/>
        <item x="79"/>
        <item x="2"/>
        <item x="4"/>
        <item x="9"/>
        <item x="11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44"/>
        <item x="46"/>
        <item x="53"/>
        <item x="54"/>
        <item x="55"/>
        <item x="56"/>
        <item x="57"/>
        <item x="58"/>
        <item x="59"/>
        <item x="60"/>
        <item x="63"/>
        <item x="66"/>
        <item x="67"/>
        <item x="68"/>
        <item x="69"/>
        <item x="70"/>
        <item x="75"/>
        <item x="80"/>
        <item x="84"/>
        <item x="85"/>
        <item x="86"/>
        <item x="87"/>
        <item t="default"/>
      </items>
    </pivotField>
    <pivotField dataField="1" compact="0" numFmtId="176" outline="0" showAll="0"/>
    <pivotField compact="0" numFmtId="176" outline="0" showAll="0"/>
    <pivotField dataField="1" compact="0" numFmtId="176" outline="0" showAll="0"/>
    <pivotField dataField="1" compact="0" numFmtId="176" outline="0" showAll="0"/>
    <pivotField dataField="1" compact="0" numFmtId="176" outline="0" showAll="0"/>
    <pivotField compact="0" outline="0" showAll="0"/>
    <pivotField compact="0" numFmtId="176" outline="0" showAll="0"/>
    <pivotField dataField="1" compact="0" numFmtId="176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3">
    <field x="2"/>
    <field x="1"/>
    <field x="4"/>
  </rowFields>
  <rowItems count="13">
    <i>
      <x/>
      <x/>
    </i>
    <i r="1">
      <x v="2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 v="1"/>
    </i>
    <i r="1">
      <x v="4"/>
    </i>
    <i r="1">
      <x v="5"/>
      <x v="16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매출액 합계" fld="5" baseField="0" baseItem="0"/>
    <dataField name="합계 : 매출원가 합계" fld="7" baseField="0" baseItem="0"/>
    <dataField name="합계 : 매출총이익" fld="8" baseField="0" baseItem="0"/>
    <dataField name="합계 : 매출총이익율" fld="13" baseField="0" baseItem="0" numFmtId="9"/>
    <dataField name="합계 : 총판관비" fld="9" baseField="0" baseItem="0"/>
    <dataField name="합계 : 영업이익" fld="12" baseField="0" baseItem="0"/>
    <dataField name="합계 : 영업이익율" fld="14" baseField="0" baseItem="0" numFmtId="9"/>
  </dataFields>
  <formats count="13">
    <format dxfId="36">
      <pivotArea outline="0" collapsedLevelsAreSubtotals="1" fieldPosition="0"/>
    </format>
    <format dxfId="35">
      <pivotArea dataOnly="0" labelOnly="1" outline="0" fieldPosition="0">
        <references count="1">
          <reference field="4294967294" count="3">
            <x v="0"/>
            <x v="2"/>
            <x v="5"/>
          </reference>
        </references>
      </pivotArea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3">
            <x v="0"/>
            <x v="2"/>
            <x v="5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3">
            <x v="0"/>
            <x v="2"/>
            <x v="5"/>
          </reference>
        </references>
      </pivotArea>
    </format>
    <format dxfId="26">
      <pivotArea outline="0" collapsedLevelsAreSubtotals="1" fieldPosition="0"/>
    </format>
    <format dxfId="25">
      <pivotArea outline="0" fieldPosition="0">
        <references count="1">
          <reference field="4294967294" count="2" selected="0">
            <x v="3"/>
            <x v="6"/>
          </reference>
        </references>
      </pivotArea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6" dT="2024-08-19T04:33:37.39" personId="{220B2805-CE16-4DE8-9D03-F48AF1D8BBA7}" id="{077BAB10-E536-4C81-8FAF-D822D0AC8BD6}">
    <text>전선-&gt;전장 이관(평가수수료관련)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B1:AB46"/>
  <x:sheetViews>
    <x:sheetView showGridLines="0" zoomScale="70" zoomScaleNormal="70" workbookViewId="0">
      <x:selection activeCell="AG18" sqref="AG18"/>
    </x:sheetView>
  </x:sheetViews>
  <x:sheetFormatPr defaultColWidth="11" defaultRowHeight="16.5" zeroHeight="1"/>
  <x:cols>
    <x:col min="1" max="1" width="0.85546875" style="89" customWidth="1"/>
    <x:col min="2" max="2" width="5" style="81" customWidth="1"/>
    <x:col min="3" max="3" width="21.140625" style="153" customWidth="1"/>
    <x:col min="4" max="4" width="14.140625" style="154" customWidth="1"/>
    <x:col min="5" max="5" width="12.140625" style="155" customWidth="1"/>
    <x:col min="6" max="6" width="11" style="154" customWidth="1"/>
    <x:col min="7" max="7" width="10.42578125" style="154" customWidth="1"/>
    <x:col min="8" max="8" width="9.85546875" style="155" customWidth="1"/>
    <x:col min="9" max="9" width="11.140625" style="154" customWidth="1"/>
    <x:col min="10" max="10" width="11.5703125" style="155" customWidth="1"/>
    <x:col min="11" max="11" width="12.5703125" style="154" customWidth="1"/>
    <x:col min="12" max="12" width="10.85546875" style="155" customWidth="1"/>
    <x:col min="13" max="13" width="10.140625" style="154" customWidth="1"/>
    <x:col min="14" max="14" width="10.5703125" style="155" customWidth="1"/>
    <x:col min="15" max="15" width="10.140625" style="155" customWidth="1"/>
    <x:col min="16" max="16" width="15.140625" style="155" customWidth="1"/>
    <x:col min="17" max="17" width="7.42578125" style="89" customWidth="1"/>
    <x:col min="18" max="18" width="12.85546875" style="89" hidden="1" customWidth="1"/>
    <x:col min="19" max="19" width="9.5703125" style="89" hidden="1" customWidth="1"/>
    <x:col min="20" max="20" width="16.5703125" style="89" hidden="1" customWidth="1"/>
    <x:col min="21" max="21" width="16.42578125" style="89" hidden="1" customWidth="1"/>
    <x:col min="22" max="22" width="17.5703125" style="89" hidden="1" customWidth="1"/>
    <x:col min="23" max="27" width="11" style="89" hidden="1" customWidth="1"/>
    <x:col min="28" max="16384" width="11" style="89"/>
  </x:cols>
  <x:sheetData>
    <x:row r="1" spans="3:28" s="89" customFormat="1" ht="9" customHeight="1">
      <x:c r="C1" s="85"/>
      <x:c r="D1" s="86"/>
      <x:c r="E1" s="87"/>
      <x:c r="F1" s="86"/>
      <x:c r="G1" s="86"/>
      <x:c r="H1" s="88"/>
      <x:c r="I1" s="86"/>
      <x:c r="J1" s="88"/>
      <x:c r="K1" s="86"/>
      <x:c r="L1" s="88"/>
      <x:c r="M1" s="86"/>
      <x:c r="N1" s="88"/>
      <x:c r="O1" s="88"/>
      <x:c r="P1" s="88"/>
    </x:row>
    <x:row r="2" spans="3:28" s="89" customFormat="1" hidden="1">
      <x:c r="C2" s="85"/>
      <x:c r="D2" s="86"/>
      <x:c r="E2" s="87"/>
      <x:c r="F2" s="86"/>
      <x:c r="G2" s="86"/>
      <x:c r="H2" s="88"/>
      <x:c r="I2" s="86"/>
      <x:c r="J2" s="88"/>
      <x:c r="K2" s="86"/>
      <x:c r="L2" s="88"/>
      <x:c r="M2" s="86"/>
      <x:c r="N2" s="88"/>
      <x:c r="O2" s="88"/>
      <x:c r="P2" s="88"/>
    </x:row>
    <x:row r="3" spans="3:28" s="89" customFormat="1" hidden="1">
      <x:c r="C3" s="85"/>
      <x:c r="D3" s="86"/>
      <x:c r="E3" s="87"/>
      <x:c r="F3" s="86"/>
      <x:c r="G3" s="86"/>
      <x:c r="H3" s="88"/>
      <x:c r="I3" s="86"/>
      <x:c r="J3" s="88"/>
      <x:c r="K3" s="86"/>
      <x:c r="L3" s="88"/>
      <x:c r="M3" s="86"/>
      <x:c r="N3" s="88"/>
      <x:c r="O3" s="88"/>
      <x:c r="P3" s="90"/>
    </x:row>
    <x:row r="4" spans="3:28" s="89" customFormat="1" ht="18.600000000000001" customHeight="1">
      <x:c r="C4" s="138" t="s">
        <x:v>619</x:v>
      </x:c>
      <x:c r="D4" s="163"/>
      <x:c r="E4" s="243"/>
      <x:c r="G4" s="91"/>
      <x:c r="H4" s="88"/>
      <x:c r="I4" s="86"/>
      <x:c r="J4" s="88"/>
      <x:c r="K4" s="86"/>
      <x:c r="L4" s="88"/>
      <x:c r="M4" s="86"/>
      <x:c r="N4" s="88"/>
      <x:c r="O4" s="88"/>
      <x:c r="P4" s="87" t="s">
        <x:v>70</x:v>
      </x:c>
    </x:row>
    <x:row r="5" spans="3:28" s="89" customFormat="1" ht="34.35" customHeight="1">
      <x:c r="C5" s="92" t="s">
        <x:v>41</x:v>
      </x:c>
      <x:c r="D5" s="93" t="s">
        <x:v>645</x:v>
      </x:c>
      <x:c r="E5" s="94" t="s">
        <x:v>188</x:v>
      </x:c>
      <x:c r="F5" s="93" t="s">
        <x:v>205</x:v>
      </x:c>
      <x:c r="G5" s="93" t="s">
        <x:v>204</x:v>
      </x:c>
      <x:c r="H5" s="94" t="s">
        <x:v>190</x:v>
      </x:c>
      <x:c r="I5" s="93" t="s">
        <x:v>194</x:v>
      </x:c>
      <x:c r="J5" s="94" t="s">
        <x:v>206</x:v>
      </x:c>
      <x:c r="K5" s="93" t="s">
        <x:v>196</x:v>
      </x:c>
      <x:c r="L5" s="94" t="s">
        <x:v>206</x:v>
      </x:c>
      <x:c r="M5" s="93" t="s">
        <x:v>197</x:v>
      </x:c>
      <x:c r="N5" s="94" t="s">
        <x:v>195</x:v>
      </x:c>
      <x:c r="O5" s="95" t="s">
        <x:v>198</x:v>
      </x:c>
      <x:c r="P5" s="95" t="s">
        <x:v>199</x:v>
      </x:c>
    </x:row>
    <x:row r="6" spans="3:28" s="89" customFormat="1" ht="18.600000000000001" customHeight="1">
      <x:c r="C6" s="96" t="s">
        <x:v>22</x:v>
      </x:c>
      <x:c r="D6" s="97">
        <x:f>+'2. 손익계산서'!C6/1000000</x:f>
        <x:v>47498.576182606288</x:v>
      </x:c>
      <x:c r="E6" s="98">
        <x:f ca="1">+'2. 손익계산서'!D6</x:f>
        <x:v>0</x:v>
      </x:c>
      <x:c r="F6" s="97">
        <x:f ca="1">+'2. 손익계산서'!E6/1000000</x:f>
        <x:v>1801.9737452103761</x:v>
      </x:c>
      <x:c r="G6" s="97">
        <x:f ca="1">+'2. 손익계산서'!F6/1000000</x:f>
        <x:v>0</x:v>
      </x:c>
      <x:c r="H6" s="98">
        <x:f ca="1">+'2. 손익계산서'!G6</x:f>
        <x:v>0</x:v>
      </x:c>
      <x:c r="I6" s="97">
        <x:f ca="1">+'2. 손익계산서'!H6/1000000</x:f>
        <x:v>0</x:v>
      </x:c>
      <x:c r="J6" s="98">
        <x:f ca="1">+'2. 손익계산서'!I6</x:f>
        <x:v>0</x:v>
      </x:c>
      <x:c r="K6" s="97">
        <x:f ca="1">+'2. 손익계산서'!J6/1000000</x:f>
        <x:v>1801.9737452103761</x:v>
      </x:c>
      <x:c r="L6" s="98">
        <x:f ca="1">+'2. 손익계산서'!K6</x:f>
        <x:v>1</x:v>
      </x:c>
      <x:c r="M6" s="97">
        <x:f ca="1">+'2. 손익계산서'!L6/1000000</x:f>
        <x:v>0</x:v>
      </x:c>
      <x:c r="N6" s="98">
        <x:f ca="1">+'2. 손익계산서'!M6</x:f>
        <x:v>0</x:v>
      </x:c>
      <x:c r="O6" s="99">
        <x:f ca="1">+'2. 손익계산서'!N6</x:f>
        <x:v>0</x:v>
      </x:c>
      <x:c r="P6" s="99">
        <x:f ca="1">+'2. 손익계산서'!O6</x:f>
        <x:v>0</x:v>
      </x:c>
    </x:row>
    <x:row r="7" spans="3:28" s="89" customFormat="1" ht="15" customHeight="1">
      <x:c r="C7" s="26" t="s">
        <x:v>183</x:v>
      </x:c>
      <x:c r="D7" s="86">
        <x:f>+'2. 손익계산서'!C7/1000000</x:f>
        <x:v>0</x:v>
      </x:c>
      <x:c r="E7" s="100">
        <x:f ca="1">+'2. 손익계산서'!D7</x:f>
        <x:v>0</x:v>
      </x:c>
      <x:c r="F7" s="86">
        <x:f ca="1">+'2. 손익계산서'!E7/1000000</x:f>
        <x:v>0</x:v>
      </x:c>
      <x:c r="G7" s="86">
        <x:f ca="1">+'2. 손익계산서'!F7/1000000</x:f>
        <x:v>0</x:v>
      </x:c>
      <x:c r="H7" s="100">
        <x:f ca="1">+'2. 손익계산서'!G7</x:f>
        <x:v>0</x:v>
      </x:c>
      <x:c r="I7" s="86">
        <x:f ca="1">+'2. 손익계산서'!H7/1000000</x:f>
        <x:v>0</x:v>
      </x:c>
      <x:c r="J7" s="100">
        <x:f ca="1">+'2. 손익계산서'!I7</x:f>
        <x:v>0</x:v>
      </x:c>
      <x:c r="K7" s="86">
        <x:f ca="1">+'2. 손익계산서'!J7/1000000</x:f>
        <x:v>0</x:v>
      </x:c>
      <x:c r="L7" s="100">
        <x:f ca="1">+'2. 손익계산서'!K7</x:f>
        <x:v>0</x:v>
      </x:c>
      <x:c r="M7" s="86">
        <x:f ca="1">+'2. 손익계산서'!L7/1000000</x:f>
        <x:v>0</x:v>
      </x:c>
      <x:c r="N7" s="100">
        <x:f ca="1">+'2. 손익계산서'!M7</x:f>
        <x:v>0</x:v>
      </x:c>
      <x:c r="O7" s="88">
        <x:f ca="1">+'2. 손익계산서'!N7</x:f>
        <x:v>0</x:v>
      </x:c>
      <x:c r="P7" s="88">
        <x:f ca="1">+'2. 손익계산서'!O7</x:f>
        <x:v>0</x:v>
      </x:c>
      <x:c r="S7" s="192"/>
      <x:c r="T7" s="192"/>
      <x:c r="U7" s="192"/>
      <x:c r="V7" s="192"/>
      <x:c r="W7" s="192"/>
      <x:c r="X7" s="192"/>
      <x:c r="Y7" s="192"/>
      <x:c r="Z7" s="192">
        <x:f ca="1">M7-K7</x:f>
        <x:v>0</x:v>
      </x:c>
      <x:c r="AA7" s="89">
        <x:f ca="1">M7-I7</x:f>
        <x:v>0</x:v>
      </x:c>
    </x:row>
    <x:row r="8" spans="3:28" s="89" customFormat="1" ht="15" customHeight="1">
      <x:c r="C8" s="26" t="s">
        <x:v>330</x:v>
      </x:c>
      <x:c r="D8" s="86">
        <x:f>+'2. 손익계산서'!C8/1000000</x:f>
        <x:v>9059.1683499999999</x:v>
      </x:c>
      <x:c r="E8" s="100">
        <x:f ca="1">+'2. 손익계산서'!D8</x:f>
        <x:v>0</x:v>
      </x:c>
      <x:c r="F8" s="86">
        <x:f ca="1">+'2. 손익계산서'!E8/1000000</x:f>
        <x:v>268.00900000000001</x:v>
      </x:c>
      <x:c r="G8" s="86">
        <x:f ca="1">+'2. 손익계산서'!F8/1000000</x:f>
        <x:v>0</x:v>
      </x:c>
      <x:c r="H8" s="100">
        <x:f ca="1">+'2. 손익계산서'!G8</x:f>
        <x:v>0</x:v>
      </x:c>
      <x:c r="I8" s="86">
        <x:f ca="1">+'2. 손익계산서'!H8/1000000</x:f>
        <x:v>0</x:v>
      </x:c>
      <x:c r="J8" s="100">
        <x:f ca="1">+'2. 손익계산서'!I8</x:f>
        <x:v>0</x:v>
      </x:c>
      <x:c r="K8" s="86">
        <x:f ca="1">+'2. 손익계산서'!J8/1000000</x:f>
        <x:v>268.00900000000001</x:v>
      </x:c>
      <x:c r="L8" s="100">
        <x:f ca="1">+'2. 손익계산서'!K8</x:f>
        <x:v>0.14873080182903031</x:v>
      </x:c>
      <x:c r="M8" s="86">
        <x:f ca="1">+'2. 손익계산서'!L8/1000000</x:f>
        <x:v>0</x:v>
      </x:c>
      <x:c r="N8" s="100">
        <x:f ca="1">+'2. 손익계산서'!M8</x:f>
        <x:v>0</x:v>
      </x:c>
      <x:c r="O8" s="88">
        <x:f ca="1">+'2. 손익계산서'!N8</x:f>
        <x:v>0</x:v>
      </x:c>
      <x:c r="P8" s="88">
        <x:f ca="1">+'2. 손익계산서'!O8</x:f>
        <x:v>0</x:v>
      </x:c>
      <x:c r="S8" s="319"/>
      <x:c r="T8" s="220"/>
      <x:c r="U8" s="192"/>
      <x:c r="V8" s="192"/>
      <x:c r="W8" s="192"/>
      <x:c r="X8" s="192"/>
      <x:c r="Y8" s="192"/>
      <x:c r="Z8" s="192">
        <x:f t="shared" ref="Z8:Z10" ca="1" si="0">M8-K8</x:f>
        <x:v>-268.00900000000001</x:v>
      </x:c>
      <x:c r="AA8" s="89">
        <x:f t="shared" ref="AA8:AA10" ca="1" si="1">M8-I8</x:f>
        <x:v>0</x:v>
      </x:c>
    </x:row>
    <x:row r="9" spans="3:28" s="89" customFormat="1" ht="15" customHeight="1">
      <x:c r="C9" s="26" t="s">
        <x:v>5</x:v>
      </x:c>
      <x:c r="D9" s="86">
        <x:f>+'2. 손익계산서'!C9/1000000</x:f>
        <x:v>22049.849603606282</x:v>
      </x:c>
      <x:c r="E9" s="100">
        <x:f ca="1">+'2. 손익계산서'!D9</x:f>
        <x:v>0</x:v>
      </x:c>
      <x:c r="F9" s="86">
        <x:f ca="1">+'2. 손익계산서'!E9/1000000</x:f>
        <x:v>1533.9647452103761</x:v>
      </x:c>
      <x:c r="G9" s="86">
        <x:f ca="1">+'2. 손익계산서'!F9/1000000</x:f>
        <x:v>0</x:v>
      </x:c>
      <x:c r="H9" s="100">
        <x:f ca="1">+'2. 손익계산서'!G9</x:f>
        <x:v>0</x:v>
      </x:c>
      <x:c r="I9" s="86">
        <x:f ca="1">+'2. 손익계산서'!H9/1000000</x:f>
        <x:v>0</x:v>
      </x:c>
      <x:c r="J9" s="100">
        <x:f ca="1">+'2. 손익계산서'!I9</x:f>
        <x:v>0</x:v>
      </x:c>
      <x:c r="K9" s="86">
        <x:f ca="1">+'2. 손익계산서'!J9/1000000</x:f>
        <x:v>1533.9647452103761</x:v>
      </x:c>
      <x:c r="L9" s="100">
        <x:f ca="1">+'2. 손익계산서'!K9</x:f>
        <x:v>0.85126919817096969</x:v>
      </x:c>
      <x:c r="M9" s="86">
        <x:f ca="1">+'2. 손익계산서'!L9/1000000</x:f>
        <x:v>0</x:v>
      </x:c>
      <x:c r="N9" s="100">
        <x:f ca="1">+'2. 손익계산서'!M9</x:f>
        <x:v>0</x:v>
      </x:c>
      <x:c r="O9" s="88">
        <x:f ca="1">+'2. 손익계산서'!N9</x:f>
        <x:v>0</x:v>
      </x:c>
      <x:c r="P9" s="88">
        <x:f ca="1">+'2. 손익계산서'!O9</x:f>
        <x:v>0</x:v>
      </x:c>
      <x:c r="S9" s="192"/>
      <x:c r="T9" s="192"/>
      <x:c r="U9" s="192"/>
      <x:c r="V9" s="192"/>
      <x:c r="W9" s="192"/>
      <x:c r="X9" s="192"/>
      <x:c r="Y9" s="192"/>
      <x:c r="Z9" s="192">
        <x:f t="shared" ca="1" si="0"/>
        <x:v>-1533.9647452103761</x:v>
      </x:c>
      <x:c r="AA9" s="89">
        <x:f t="shared" ca="1" si="1"/>
        <x:v>0</x:v>
      </x:c>
    </x:row>
    <x:row r="10" spans="3:28" s="89" customFormat="1" ht="15" customHeight="1">
      <x:c r="C10" s="26" t="s">
        <x:v>6</x:v>
      </x:c>
      <x:c r="D10" s="86">
        <x:f>+'2. 손익계산서'!C10/1000000</x:f>
        <x:v>16389.558228999998</x:v>
      </x:c>
      <x:c r="E10" s="100">
        <x:f ca="1">+'2. 손익계산서'!D10</x:f>
        <x:v>0</x:v>
      </x:c>
      <x:c r="F10" s="86">
        <x:f ca="1">+'2. 손익계산서'!E10/1000000</x:f>
        <x:v>0</x:v>
      </x:c>
      <x:c r="G10" s="86">
        <x:f ca="1">+'2. 손익계산서'!F10/1000000</x:f>
        <x:v>0</x:v>
      </x:c>
      <x:c r="H10" s="100">
        <x:f ca="1">+'2. 손익계산서'!G10</x:f>
        <x:v>0</x:v>
      </x:c>
      <x:c r="I10" s="86">
        <x:f ca="1">+'2. 손익계산서'!H10/1000000</x:f>
        <x:v>0</x:v>
      </x:c>
      <x:c r="J10" s="100">
        <x:f ca="1">+'2. 손익계산서'!I10</x:f>
        <x:v>0</x:v>
      </x:c>
      <x:c r="K10" s="86">
        <x:f ca="1">+'2. 손익계산서'!J10/1000000</x:f>
        <x:v>0</x:v>
      </x:c>
      <x:c r="L10" s="100">
        <x:f ca="1">+'2. 손익계산서'!K10</x:f>
        <x:v>0</x:v>
      </x:c>
      <x:c r="M10" s="86">
        <x:f ca="1">+'2. 손익계산서'!L10/1000000</x:f>
        <x:v>0</x:v>
      </x:c>
      <x:c r="N10" s="100">
        <x:f ca="1">+'2. 손익계산서'!M10</x:f>
        <x:v>0</x:v>
      </x:c>
      <x:c r="O10" s="88">
        <x:f ca="1">+'2. 손익계산서'!N10</x:f>
        <x:v>0</x:v>
      </x:c>
      <x:c r="P10" s="88">
        <x:f ca="1">+'2. 손익계산서'!O10</x:f>
        <x:v>0</x:v>
      </x:c>
      <x:c r="S10" s="192"/>
      <x:c r="T10" s="221"/>
      <x:c r="U10" s="192"/>
      <x:c r="V10" s="192"/>
      <x:c r="W10" s="192"/>
      <x:c r="X10" s="192"/>
      <x:c r="Y10" s="192"/>
      <x:c r="Z10" s="192">
        <x:f t="shared" ca="1" si="0"/>
        <x:v>0</x:v>
      </x:c>
      <x:c r="AA10" s="89">
        <x:f t="shared" ca="1" si="1"/>
        <x:v>0</x:v>
      </x:c>
    </x:row>
    <x:row r="11" spans="3:28" s="89" customFormat="1" ht="17.45" customHeight="1" thickBot="1">
      <x:c r="C11" s="96" t="s">
        <x:v>23</x:v>
      </x:c>
      <x:c r="D11" s="97">
        <x:f>+'2. 손익계산서'!C11/1000000</x:f>
        <x:v>40951.464023634238</x:v>
      </x:c>
      <x:c r="E11" s="98">
        <x:f ca="1">+'2. 손익계산서'!D11</x:f>
        <x:v>0</x:v>
      </x:c>
      <x:c r="F11" s="97">
        <x:f ca="1">+'2. 손익계산서'!E11/1000000</x:f>
        <x:v>1646.3422034499126</x:v>
      </x:c>
      <x:c r="G11" s="97">
        <x:f ca="1">+'2. 손익계산서'!F11/1000000</x:f>
        <x:v>0</x:v>
      </x:c>
      <x:c r="H11" s="98">
        <x:f ca="1">+'2. 손익계산서'!G11</x:f>
        <x:v>0</x:v>
      </x:c>
      <x:c r="I11" s="97">
        <x:f ca="1">+'2. 손익계산서'!H11/1000000</x:f>
        <x:v>0</x:v>
      </x:c>
      <x:c r="J11" s="98">
        <x:f ca="1">+'2. 손익계산서'!I11</x:f>
        <x:v>0</x:v>
      </x:c>
      <x:c r="K11" s="97">
        <x:f ca="1">+'2. 손익계산서'!J11/1000000</x:f>
        <x:v>1646.3422034499126</x:v>
      </x:c>
      <x:c r="L11" s="98">
        <x:f ca="1">+'2. 손익계산서'!K11</x:f>
        <x:v>0.91363273622929841</x:v>
      </x:c>
      <x:c r="M11" s="97">
        <x:f ca="1">+'2. 손익계산서'!L11/1000000</x:f>
        <x:v>0</x:v>
      </x:c>
      <x:c r="N11" s="98">
        <x:f ca="1">+'2. 손익계산서'!M11</x:f>
        <x:v>0</x:v>
      </x:c>
      <x:c r="O11" s="99">
        <x:f ca="1">+'2. 손익계산서'!N11</x:f>
        <x:v>0</x:v>
      </x:c>
      <x:c r="P11" s="99">
        <x:f ca="1">+'2. 손익계산서'!O11</x:f>
        <x:v>0</x:v>
      </x:c>
      <x:c r="R11" s="172"/>
      <x:c r="S11" s="193"/>
      <x:c r="T11" s="193"/>
      <x:c r="U11" s="192"/>
      <x:c r="V11" s="192"/>
      <x:c r="W11" s="192"/>
      <x:c r="X11" s="192"/>
      <x:c r="Y11" s="192"/>
      <x:c r="Z11" s="192"/>
    </x:row>
    <x:row r="12" spans="3:28" s="89" customFormat="1" ht="15" customHeight="1">
      <x:c r="C12" s="26" t="s">
        <x:v>183</x:v>
      </x:c>
      <x:c r="D12" s="86">
        <x:f>+'2. 손익계산서'!C12/1000000</x:f>
        <x:v>0</x:v>
      </x:c>
      <x:c r="E12" s="101">
        <x:f ca="1">+'2. 손익계산서'!D12</x:f>
        <x:v>0</x:v>
      </x:c>
      <x:c r="F12" s="86">
        <x:f ca="1">+'2. 손익계산서'!E12/1000000</x:f>
        <x:v>0</x:v>
      </x:c>
      <x:c r="G12" s="86">
        <x:f ca="1">+'2. 손익계산서'!F12/1000000</x:f>
        <x:v>0</x:v>
      </x:c>
      <x:c r="H12" s="101">
        <x:f ca="1">+'2. 손익계산서'!G12</x:f>
        <x:v>0</x:v>
      </x:c>
      <x:c r="I12" s="86">
        <x:f ca="1">+'2. 손익계산서'!H12/1000000</x:f>
        <x:v>0</x:v>
      </x:c>
      <x:c r="J12" s="164">
        <x:f ca="1">+'2. 손익계산서'!I12</x:f>
        <x:v>0</x:v>
      </x:c>
      <x:c r="K12" s="86">
        <x:f ca="1">+'2. 손익계산서'!J12/1000000</x:f>
        <x:v>0</x:v>
      </x:c>
      <x:c r="L12" s="102">
        <x:f ca="1">+IFERROR(K12/K7,)</x:f>
        <x:v>0</x:v>
      </x:c>
      <x:c r="M12" s="86">
        <x:f ca="1">+'2. 손익계산서'!L12/1000000</x:f>
        <x:v>0</x:v>
      </x:c>
      <x:c r="N12" s="164">
        <x:f ca="1">+IFERROR(M12/M7,)</x:f>
        <x:v>0</x:v>
      </x:c>
      <x:c r="O12" s="102">
        <x:f ca="1">+'2. 손익계산서'!N12</x:f>
        <x:v>0</x:v>
      </x:c>
      <x:c r="P12" s="102">
        <x:f ca="1">+'2. 손익계산서'!O12</x:f>
        <x:v>0</x:v>
      </x:c>
      <x:c r="R12" s="236">
        <x:f ca="1">(I9)*95%-(I14)</x:f>
        <x:v>0</x:v>
      </x:c>
      <x:c r="S12" s="220" t="e">
        <x:f ca="1">+R12/(I14)</x:f>
        <x:v>#DIV/0!</x:v>
      </x:c>
      <x:c r="T12" s="192">
        <x:f ca="1">K7-K12</x:f>
        <x:v>0</x:v>
      </x:c>
      <x:c r="U12" s="192">
        <x:f ca="1">M7-M12</x:f>
        <x:v>0</x:v>
      </x:c>
      <x:c r="V12" s="192"/>
      <x:c r="W12" s="192">
        <x:f ca="1">+I7-I12</x:f>
        <x:v>0</x:v>
      </x:c>
      <x:c r="X12" s="192"/>
      <x:c r="Y12" s="192"/>
      <x:c r="Z12" s="192"/>
    </x:row>
    <x:row r="13" spans="3:28" s="89" customFormat="1" ht="15" customHeight="1">
      <x:c r="C13" s="26" t="s">
        <x:v>330</x:v>
      </x:c>
      <x:c r="D13" s="86">
        <x:f>+'2. 손익계산서'!C13/1000000</x:f>
        <x:v>5125.8830390000003</x:v>
      </x:c>
      <x:c r="E13" s="101">
        <x:f ca="1">+'2. 손익계산서'!D13</x:f>
        <x:v>0</x:v>
      </x:c>
      <x:c r="F13" s="86">
        <x:f ca="1">+'2. 손익계산서'!E13/1000000</x:f>
        <x:v>154.7585</x:v>
      </x:c>
      <x:c r="G13" s="86">
        <x:f ca="1">+'2. 손익계산서'!F13/1000000</x:f>
        <x:v>0</x:v>
      </x:c>
      <x:c r="H13" s="101">
        <x:f ca="1">+'2. 손익계산서'!G13</x:f>
        <x:v>0</x:v>
      </x:c>
      <x:c r="I13" s="86">
        <x:f ca="1">+'2. 손익계산서'!H13/1000000</x:f>
        <x:v>0</x:v>
      </x:c>
      <x:c r="J13" s="165">
        <x:f ca="1">+'2. 손익계산서'!I13</x:f>
        <x:v>0</x:v>
      </x:c>
      <x:c r="K13" s="86">
        <x:f ca="1">+'2. 손익계산서'!J13/1000000</x:f>
        <x:v>154.7585</x:v>
      </x:c>
      <x:c r="L13" s="102">
        <x:f t="shared" ref="L13:N15" ca="1" si="2">+IFERROR(K13/K8,)</x:f>
        <x:v>0.57743769798775413</x:v>
      </x:c>
      <x:c r="M13" s="86">
        <x:f ca="1">+'2. 손익계산서'!L13/1000000</x:f>
        <x:v>0</x:v>
      </x:c>
      <x:c r="N13" s="165">
        <x:f t="shared" ca="1" si="2"/>
        <x:v>0</x:v>
      </x:c>
      <x:c r="O13" s="102">
        <x:f ca="1">+'2. 손익계산서'!N13</x:f>
        <x:v>0</x:v>
      </x:c>
      <x:c r="P13" s="102">
        <x:f ca="1">+'2. 손익계산서'!O13</x:f>
        <x:v>0</x:v>
      </x:c>
      <x:c r="Q13" s="174"/>
      <x:c r="R13" s="222">
        <x:f ca="1">(M9)*95%-(M14)</x:f>
        <x:v>0</x:v>
      </x:c>
      <x:c r="S13" s="220" t="e">
        <x:f ca="1">+R13/(M14)</x:f>
        <x:v>#DIV/0!</x:v>
      </x:c>
      <x:c r="T13" s="192">
        <x:f t="shared" ref="T13:T15" ca="1" si="3">K8-K13</x:f>
        <x:v>113.25050000000002</x:v>
      </x:c>
      <x:c r="U13" s="192">
        <x:f t="shared" ref="U13:U15" ca="1" si="4">M8-M13</x:f>
        <x:v>0</x:v>
      </x:c>
      <x:c r="V13" s="192"/>
      <x:c r="W13" s="192">
        <x:f t="shared" ref="W13:W15" ca="1" si="5">+I8-I13</x:f>
        <x:v>0</x:v>
      </x:c>
      <x:c r="X13" s="192"/>
      <x:c r="Y13" s="192"/>
      <x:c r="Z13" s="192"/>
    </x:row>
    <x:row r="14" spans="3:28" s="89" customFormat="1" ht="15" customHeight="1">
      <x:c r="C14" s="26" t="s">
        <x:v>5</x:v>
      </x:c>
      <x:c r="D14" s="86">
        <x:f>+'2. 손익계산서'!C14/1000000</x:f>
        <x:v>21403.972895063998</x:v>
      </x:c>
      <x:c r="E14" s="101">
        <x:f ca="1">+'2. 손익계산서'!D14</x:f>
        <x:v>0</x:v>
      </x:c>
      <x:c r="F14" s="86">
        <x:f ca="1">+'2. 손익계산서'!E14/1000000</x:f>
        <x:v>1489.1561310392003</x:v>
      </x:c>
      <x:c r="G14" s="86">
        <x:f ca="1">+'2. 손익계산서'!F14/1000000</x:f>
        <x:v>0</x:v>
      </x:c>
      <x:c r="H14" s="101">
        <x:f ca="1">+'2. 손익계산서'!G14</x:f>
        <x:v>0</x:v>
      </x:c>
      <x:c r="I14" s="86">
        <x:f ca="1">+'2. 손익계산서'!H14/1000000</x:f>
        <x:v>0</x:v>
      </x:c>
      <x:c r="J14" s="165" t="e">
        <x:f ca="1">+'2. 손익계산서'!I14</x:f>
        <x:v>#DIV/0!</x:v>
      </x:c>
      <x:c r="K14" s="86">
        <x:f ca="1">+'2. 손익계산서'!J14/1000000</x:f>
        <x:v>1489.1561310392003</x:v>
      </x:c>
      <x:c r="L14" s="102">
        <x:f t="shared" ca="1" si="2"/>
        <x:v>0.97078901955792307</x:v>
      </x:c>
      <x:c r="M14" s="86">
        <x:f ca="1">+'2. 손익계산서'!L14/1000000</x:f>
        <x:v>0</x:v>
      </x:c>
      <x:c r="N14" s="165">
        <x:f t="shared" ca="1" si="2"/>
        <x:v>0</x:v>
      </x:c>
      <x:c r="O14" s="102">
        <x:f ca="1">+'2. 손익계산서'!N14</x:f>
        <x:v>0</x:v>
      </x:c>
      <x:c r="P14" s="102">
        <x:f ca="1">+'2. 손익계산서'!O14</x:f>
        <x:v>0</x:v>
      </x:c>
      <x:c r="Q14" s="172"/>
      <x:c r="R14" s="170"/>
      <x:c r="S14" s="192"/>
      <x:c r="T14" s="192">
        <x:f t="shared" ca="1" si="3"/>
        <x:v>44.808614171175805</x:v>
      </x:c>
      <x:c r="U14" s="192">
        <x:f t="shared" ca="1" si="4"/>
        <x:v>0</x:v>
      </x:c>
      <x:c r="V14" s="192"/>
      <x:c r="W14" s="192">
        <x:f t="shared" ca="1" si="5"/>
        <x:v>0</x:v>
      </x:c>
      <x:c r="X14" s="192"/>
      <x:c r="Y14" s="192"/>
      <x:c r="Z14" s="192"/>
    </x:row>
    <x:row r="15" spans="3:28" s="89" customFormat="1" ht="15" customHeight="1" thickBot="1">
      <x:c r="C15" s="26" t="s">
        <x:v>6</x:v>
      </x:c>
      <x:c r="D15" s="86">
        <x:f>+'2. 손익계산서'!C15/1000000</x:f>
        <x:v>14421.608089570234</x:v>
      </x:c>
      <x:c r="E15" s="101">
        <x:f ca="1">+'2. 손익계산서'!D15</x:f>
        <x:v>0</x:v>
      </x:c>
      <x:c r="F15" s="86">
        <x:f ca="1">+'2. 손익계산서'!E15/1000000</x:f>
        <x:v>2.427572410712135</x:v>
      </x:c>
      <x:c r="G15" s="86">
        <x:f ca="1">+'2. 손익계산서'!F15/1000000</x:f>
        <x:v>0</x:v>
      </x:c>
      <x:c r="H15" s="101">
        <x:f ca="1">+'2. 손익계산서'!G15</x:f>
        <x:v>0</x:v>
      </x:c>
      <x:c r="I15" s="86">
        <x:f ca="1">+'2. 손익계산서'!H15/1000000</x:f>
        <x:v>0</x:v>
      </x:c>
      <x:c r="J15" s="166" t="e">
        <x:f ca="1">+'2. 손익계산서'!I15</x:f>
        <x:v>#DIV/0!</x:v>
      </x:c>
      <x:c r="K15" s="86">
        <x:f ca="1">+'2. 손익계산서'!J15/1000000</x:f>
        <x:v>2.427572410712135</x:v>
      </x:c>
      <x:c r="L15" s="102">
        <x:f t="shared" ca="1" si="2"/>
        <x:v>0</x:v>
      </x:c>
      <x:c r="M15" s="86">
        <x:f ca="1">+'2. 손익계산서'!L15/1000000</x:f>
        <x:v>0</x:v>
      </x:c>
      <x:c r="N15" s="166">
        <x:f t="shared" ca="1" si="2"/>
        <x:v>0</x:v>
      </x:c>
      <x:c r="O15" s="102">
        <x:f ca="1">+'2. 손익계산서'!N15</x:f>
        <x:v>0</x:v>
      </x:c>
      <x:c r="P15" s="102">
        <x:f ca="1">+'2. 손익계산서'!O15</x:f>
        <x:v>0</x:v>
      </x:c>
      <x:c r="Q15" s="176"/>
      <x:c r="S15" s="192"/>
      <x:c r="T15" s="192">
        <x:f t="shared" ca="1" si="3"/>
        <x:v>-2.427572410712135</x:v>
      </x:c>
      <x:c r="U15" s="192">
        <x:f t="shared" ca="1" si="4"/>
        <x:v>0</x:v>
      </x:c>
      <x:c r="V15" s="192">
        <x:f ca="1">+U15-T15</x:f>
        <x:v>2.427572410712135</x:v>
      </x:c>
      <x:c r="W15" s="192">
        <x:f t="shared" ca="1" si="5"/>
        <x:v>0</x:v>
      </x:c>
      <x:c r="X15" s="192">
        <x:f ca="1">+U15-W15</x:f>
        <x:v>0</x:v>
      </x:c>
      <x:c r="Y15" s="192"/>
      <x:c r="Z15" s="192"/>
    </x:row>
    <x:row r="16" spans="3:28" s="89" customFormat="1" ht="18.600000000000001" customHeight="1">
      <x:c r="C16" s="96" t="s">
        <x:v>24</x:v>
      </x:c>
      <x:c r="D16" s="97">
        <x:f>+'2. 손익계산서'!C16/1000000</x:f>
        <x:v>6547.1121589720442</x:v>
      </x:c>
      <x:c r="E16" s="98">
        <x:f ca="1">+'2. 손익계산서'!D16</x:f>
        <x:v>0</x:v>
      </x:c>
      <x:c r="F16" s="97">
        <x:f ca="1">+'2. 손익계산서'!E16/1000000</x:f>
        <x:v>155.63154176046348</x:v>
      </x:c>
      <x:c r="G16" s="97">
        <x:f ca="1">+'2. 손익계산서'!F16/1000000</x:f>
        <x:v>0</x:v>
      </x:c>
      <x:c r="H16" s="98">
        <x:f ca="1">+'2. 손익계산서'!G16</x:f>
        <x:v>0</x:v>
      </x:c>
      <x:c r="I16" s="97">
        <x:f ca="1">+'2. 손익계산서'!H16/1000000</x:f>
        <x:v>0</x:v>
      </x:c>
      <x:c r="J16" s="98">
        <x:f ca="1">+'2. 손익계산서'!I16</x:f>
        <x:v>0</x:v>
      </x:c>
      <x:c r="K16" s="97">
        <x:f ca="1">+'2. 손익계산서'!J16/1000000</x:f>
        <x:v>155.63154176046348</x:v>
      </x:c>
      <x:c r="L16" s="98">
        <x:f ca="1">+'2. 손익계산서'!K16</x:f>
        <x:v>8.6367263770701544E-2</x:v>
      </x:c>
      <x:c r="M16" s="97">
        <x:f ca="1">+'2. 손익계산서'!L16/1000000</x:f>
        <x:v>0</x:v>
      </x:c>
      <x:c r="N16" s="98">
        <x:f ca="1">+'2. 손익계산서'!M16</x:f>
        <x:v>0</x:v>
      </x:c>
      <x:c r="O16" s="99" t="str">
        <x:f ca="1">+'2. 손익계산서'!N16</x:f>
        <x:v>-</x:v>
      </x:c>
      <x:c r="P16" s="99">
        <x:f ca="1">+'2. 손익계산서'!O16</x:f>
        <x:v>0</x:v>
      </x:c>
      <x:c r="R16" s="170"/>
      <x:c r="S16" s="194"/>
      <x:c r="T16" s="192"/>
      <x:c r="U16" s="192"/>
      <x:c r="V16" s="192" t="s">
        <x:v>357</x:v>
      </x:c>
      <x:c r="W16" s="192"/>
      <x:c r="X16" s="192" t="s">
        <x:v>358</x:v>
      </x:c>
      <x:c r="Y16" s="192"/>
      <x:c r="Z16" s="192"/>
      <x:c r="AB16" s="364"/>
    </x:row>
    <x:row r="17" spans="2:27" s="104" customFormat="1" ht="15" customHeight="1">
      <x:c r="C17" s="103" t="s">
        <x:v>25</x:v>
      </x:c>
      <x:c r="D17" s="88">
        <x:f>+'2. 손익계산서'!C17</x:f>
        <x:v>0.13783807189929118</x:v>
      </x:c>
      <x:c r="E17" s="100"/>
      <x:c r="F17" s="88">
        <x:f ca="1">+'2. 손익계산서'!E17</x:f>
        <x:v>8.6367263770701544E-2</x:v>
      </x:c>
      <x:c r="G17" s="88">
        <x:f ca="1">+'2. 손익계산서'!F17</x:f>
        <x:v>0</x:v>
      </x:c>
      <x:c r="H17" s="100"/>
      <x:c r="I17" s="88">
        <x:f ca="1">+'2. 손익계산서'!H17</x:f>
        <x:v>0</x:v>
      </x:c>
      <x:c r="J17" s="100"/>
      <x:c r="K17" s="88">
        <x:f ca="1">+'2. 손익계산서'!J17</x:f>
        <x:v>8.6367263770701544E-2</x:v>
      </x:c>
      <x:c r="L17" s="100"/>
      <x:c r="M17" s="88">
        <x:f ca="1">+'2. 손익계산서'!L17</x:f>
        <x:v>0</x:v>
      </x:c>
      <x:c r="N17" s="100"/>
      <x:c r="O17" s="88"/>
      <x:c r="P17" s="88"/>
      <x:c r="R17" s="104" t="s">
        <x:v>296</x:v>
      </x:c>
      <x:c r="S17" s="222">
        <x:f ca="1">+M22-K22</x:f>
        <x:v>1212.2964238083898</x:v>
      </x:c>
      <x:c r="T17" s="195"/>
      <x:c r="U17" s="195"/>
      <x:c r="V17" s="195"/>
      <x:c r="W17" s="195"/>
      <x:c r="X17" s="195"/>
      <x:c r="Y17" s="195"/>
      <x:c r="Z17" s="199"/>
    </x:row>
    <x:row r="18" spans="2:27" ht="18.600000000000001" customHeight="1">
      <x:c r="B18" s="89"/>
      <x:c r="C18" s="96" t="s">
        <x:v>26</x:v>
      </x:c>
      <x:c r="D18" s="97">
        <x:f>+'2. 손익계산서'!C18/1000000</x:f>
        <x:v>16095.021254841495</x:v>
      </x:c>
      <x:c r="E18" s="98">
        <x:f ca="1">+'2. 손익계산서'!D18</x:f>
        <x:v>0</x:v>
      </x:c>
      <x:c r="F18" s="97">
        <x:f ca="1">+'2. 손익계산서'!E18/1000000</x:f>
        <x:v>1367.9279655688533</x:v>
      </x:c>
      <x:c r="G18" s="97">
        <x:f ca="1">+'2. 손익계산서'!F18/1000000</x:f>
        <x:v>0</x:v>
      </x:c>
      <x:c r="H18" s="98">
        <x:f ca="1">+'2. 손익계산서'!G18</x:f>
        <x:v>0</x:v>
      </x:c>
      <x:c r="I18" s="97">
        <x:f ca="1">+'2. 손익계산서'!H18/1000000</x:f>
        <x:v>0</x:v>
      </x:c>
      <x:c r="J18" s="98">
        <x:f ca="1">+'2. 손익계산서'!I18</x:f>
        <x:v>0</x:v>
      </x:c>
      <x:c r="K18" s="97">
        <x:f ca="1">+'2. 손익계산서'!J18/1000000</x:f>
        <x:v>1367.9279655688533</x:v>
      </x:c>
      <x:c r="L18" s="98">
        <x:f ca="1">+'2. 손익계산서'!K18</x:f>
        <x:v>0.75912757841494027</x:v>
      </x:c>
      <x:c r="M18" s="97">
        <x:f ca="1">+'2. 손익계산서'!L18/1000000</x:f>
        <x:v>0</x:v>
      </x:c>
      <x:c r="N18" s="98">
        <x:f ca="1">+'2. 손익계산서'!M18</x:f>
        <x:v>0</x:v>
      </x:c>
      <x:c r="O18" s="99">
        <x:f ca="1">+'2. 손익계산서'!N18</x:f>
        <x:v>0</x:v>
      </x:c>
      <x:c r="P18" s="99">
        <x:f ca="1">+'2. 손익계산서'!O18</x:f>
        <x:v>0</x:v>
      </x:c>
      <x:c r="R18" s="224" t="s">
        <x:v>297</x:v>
      </x:c>
      <x:c r="S18" s="223">
        <x:f ca="1">+M22-I22</x:f>
        <x:v>0</x:v>
      </x:c>
      <x:c r="T18" s="196"/>
      <x:c r="U18" s="197"/>
      <x:c r="V18" s="192"/>
      <x:c r="W18" s="192"/>
      <x:c r="X18" s="192"/>
      <x:c r="Y18" s="192"/>
      <x:c r="Z18" s="192"/>
    </x:row>
    <x:row r="19" spans="2:27" ht="15" customHeight="1">
      <x:c r="B19" s="89"/>
      <x:c r="C19" s="139" t="s">
        <x:v>2</x:v>
      </x:c>
      <x:c r="D19" s="126">
        <x:f>+'2. 손익계산서'!C19/1000000</x:f>
        <x:v>1617.6996936571627</x:v>
      </x:c>
      <x:c r="E19" s="127">
        <x:f ca="1">+'2. 손익계산서'!D19</x:f>
        <x:v>0</x:v>
      </x:c>
      <x:c r="F19" s="126">
        <x:f ca="1">+'2. 손익계산서'!E19/1000000</x:f>
        <x:v>141.50640255802415</x:v>
      </x:c>
      <x:c r="G19" s="126">
        <x:f ca="1">+'2. 손익계산서'!F19/1000000</x:f>
        <x:v>0</x:v>
      </x:c>
      <x:c r="H19" s="127">
        <x:f ca="1">+'2. 손익계산서'!G19</x:f>
        <x:v>0</x:v>
      </x:c>
      <x:c r="I19" s="126">
        <x:f ca="1">+'2. 손익계산서'!H19/1000000</x:f>
        <x:v>0</x:v>
      </x:c>
      <x:c r="J19" s="127">
        <x:f ca="1">+'2. 손익계산서'!I19</x:f>
        <x:v>0</x:v>
      </x:c>
      <x:c r="K19" s="126">
        <x:f ca="1">+'2. 손익계산서'!J19/1000000</x:f>
        <x:v>141.50640255802415</x:v>
      </x:c>
      <x:c r="L19" s="127">
        <x:f ca="1">+'2. 손익계산서'!K19</x:f>
        <x:v>7.8528559549852717E-2</x:v>
      </x:c>
      <x:c r="M19" s="126">
        <x:f ca="1">+'2. 손익계산서'!L19/1000000</x:f>
        <x:v>0</x:v>
      </x:c>
      <x:c r="N19" s="127">
        <x:f ca="1">+'2. 손익계산서'!M19</x:f>
        <x:v>0</x:v>
      </x:c>
      <x:c r="O19" s="128">
        <x:f ca="1">+'2. 손익계산서'!N19</x:f>
        <x:v>0</x:v>
      </x:c>
      <x:c r="P19" s="128">
        <x:f ca="1">+'2. 손익계산서'!O19</x:f>
        <x:v>0</x:v>
      </x:c>
      <x:c r="S19" s="198"/>
      <x:c r="T19" s="192"/>
      <x:c r="U19" s="192"/>
      <x:c r="V19" s="199"/>
      <x:c r="W19" s="192"/>
      <x:c r="X19" s="195"/>
      <x:c r="Y19" s="192"/>
      <x:c r="Z19" s="192"/>
    </x:row>
    <x:row r="20" spans="2:27" ht="15" customHeight="1">
      <x:c r="B20" s="89"/>
      <x:c r="C20" s="139" t="s">
        <x:v>3</x:v>
      </x:c>
      <x:c r="D20" s="126">
        <x:f>+'2. 손익계산서'!C35/1000000</x:f>
        <x:v>8903.3639122123914</x:v>
      </x:c>
      <x:c r="E20" s="127">
        <x:f ca="1">+'2. 손익계산서'!D35</x:f>
        <x:v>0</x:v>
      </x:c>
      <x:c r="F20" s="126">
        <x:f ca="1">+'2. 손익계산서'!E35/1000000</x:f>
        <x:v>731.65943327613388</x:v>
      </x:c>
      <x:c r="G20" s="126">
        <x:f ca="1">+'2. 손익계산서'!F35/1000000</x:f>
        <x:v>0</x:v>
      </x:c>
      <x:c r="H20" s="127">
        <x:f ca="1">+'2. 손익계산서'!G35</x:f>
        <x:v>0</x:v>
      </x:c>
      <x:c r="I20" s="126">
        <x:f ca="1">+'2. 손익계산서'!H35/1000000</x:f>
        <x:v>0</x:v>
      </x:c>
      <x:c r="J20" s="127">
        <x:f ca="1">+'2. 손익계산서'!I35</x:f>
        <x:v>0</x:v>
      </x:c>
      <x:c r="K20" s="126">
        <x:f ca="1">+'2. 손익계산서'!J35/1000000</x:f>
        <x:v>731.65943327613388</x:v>
      </x:c>
      <x:c r="L20" s="127">
        <x:f ca="1">+'2. 손익계산서'!K35</x:f>
        <x:v>0.40603223838353675</x:v>
      </x:c>
      <x:c r="M20" s="126">
        <x:f ca="1">+'2. 손익계산서'!L35/1000000</x:f>
        <x:v>0</x:v>
      </x:c>
      <x:c r="N20" s="127">
        <x:f ca="1">+'2. 손익계산서'!M35</x:f>
        <x:v>0</x:v>
      </x:c>
      <x:c r="O20" s="128">
        <x:f ca="1">+'2. 손익계산서'!N35</x:f>
        <x:v>0</x:v>
      </x:c>
      <x:c r="P20" s="128">
        <x:f ca="1">+'2. 손익계산서'!O35</x:f>
        <x:v>0</x:v>
      </x:c>
      <x:c r="S20" s="192"/>
      <x:c r="T20" s="192"/>
      <x:c r="U20" s="192"/>
      <x:c r="V20" s="192"/>
      <x:c r="W20" s="192"/>
      <x:c r="X20" s="195"/>
      <x:c r="Y20" s="192"/>
      <x:c r="Z20" s="192"/>
    </x:row>
    <x:row r="21" spans="2:27" ht="15" customHeight="1">
      <x:c r="B21" s="89"/>
      <x:c r="C21" s="139" t="s">
        <x:v>4</x:v>
      </x:c>
      <x:c r="D21" s="126">
        <x:f>+'2. 손익계산서'!C53/1000000</x:f>
        <x:v>5573.9576489719393</x:v>
      </x:c>
      <x:c r="E21" s="127">
        <x:f ca="1">+'2. 손익계산서'!D53</x:f>
        <x:v>0</x:v>
      </x:c>
      <x:c r="F21" s="126">
        <x:f ca="1">+'2. 손익계산서'!E53/1000000</x:f>
        <x:v>494.76212973469524</x:v>
      </x:c>
      <x:c r="G21" s="126">
        <x:f ca="1">+'2. 손익계산서'!F53/1000000</x:f>
        <x:v>0</x:v>
      </x:c>
      <x:c r="H21" s="127">
        <x:f ca="1">+'2. 손익계산서'!G53</x:f>
        <x:v>0</x:v>
      </x:c>
      <x:c r="I21" s="126">
        <x:f ca="1">+'2. 손익계산서'!H53/1000000</x:f>
        <x:v>0</x:v>
      </x:c>
      <x:c r="J21" s="127">
        <x:f ca="1">+'2. 손익계산서'!I53</x:f>
        <x:v>0</x:v>
      </x:c>
      <x:c r="K21" s="126">
        <x:f ca="1">+'2. 손익계산서'!J53/1000000</x:f>
        <x:v>494.76212973469524</x:v>
      </x:c>
      <x:c r="L21" s="127">
        <x:f ca="1">+'2. 손익계산서'!K53</x:f>
        <x:v>0.27456678048155081</x:v>
      </x:c>
      <x:c r="M21" s="126">
        <x:f ca="1">+'2. 손익계산서'!L53/1000000</x:f>
        <x:v>0</x:v>
      </x:c>
      <x:c r="N21" s="127">
        <x:f ca="1">+'2. 손익계산서'!M53</x:f>
        <x:v>0</x:v>
      </x:c>
      <x:c r="O21" s="128">
        <x:f ca="1">+'2. 손익계산서'!N53</x:f>
        <x:v>0</x:v>
      </x:c>
      <x:c r="P21" s="128">
        <x:f ca="1">+'2. 손익계산서'!O53</x:f>
        <x:v>0</x:v>
      </x:c>
      <x:c r="R21" s="153" t="s">
        <x:v>49</x:v>
      </x:c>
      <x:c r="S21" s="199"/>
      <x:c r="T21" s="200"/>
      <x:c r="U21" s="192"/>
      <x:c r="V21" s="192"/>
      <x:c r="W21" s="192"/>
      <x:c r="X21" s="195"/>
      <x:c r="Y21" s="192"/>
      <x:c r="Z21" s="192"/>
    </x:row>
    <x:row r="22" spans="2:27">
      <x:c r="B22" s="89"/>
      <x:c r="C22" s="105" t="s">
        <x:v>238</x:v>
      </x:c>
      <x:c r="D22" s="106">
        <x:f>+'2. 손익계산서'!C68/1000000</x:f>
        <x:v>-9547.9090958694524</x:v>
      </x:c>
      <x:c r="E22" s="107"/>
      <x:c r="F22" s="106">
        <x:f ca="1">+'2. 손익계산서'!E68/1000000</x:f>
        <x:v>-1212.2964238083898</x:v>
      </x:c>
      <x:c r="G22" s="106">
        <x:f ca="1">+'2. 손익계산서'!F68/1000000</x:f>
        <x:v>0</x:v>
      </x:c>
      <x:c r="H22" s="107"/>
      <x:c r="I22" s="106">
        <x:f ca="1">+'2. 손익계산서'!H68/1000000</x:f>
        <x:v>0</x:v>
      </x:c>
      <x:c r="J22" s="107">
        <x:f ca="1">+'2. 손익계산서'!I68</x:f>
        <x:v>0</x:v>
      </x:c>
      <x:c r="K22" s="106">
        <x:f ca="1">+'2. 손익계산서'!J68/1000000</x:f>
        <x:v>-1212.2964238083898</x:v>
      </x:c>
      <x:c r="L22" s="107">
        <x:f ca="1">+'2. 손익계산서'!K68</x:f>
        <x:v>-0.6727603146442388</x:v>
      </x:c>
      <x:c r="M22" s="106">
        <x:f ca="1">+'2. 손익계산서'!L68/1000000</x:f>
        <x:v>0</x:v>
      </x:c>
      <x:c r="N22" s="107">
        <x:f ca="1">+'2. 손익계산서'!M68</x:f>
        <x:v>0</x:v>
      </x:c>
      <x:c r="O22" s="108" t="str">
        <x:f ca="1">+'2. 손익계산서'!N68</x:f>
        <x:v>-</x:v>
      </x:c>
      <x:c r="P22" s="108" t="str">
        <x:f ca="1">+'2. 손익계산서'!O68</x:f>
        <x:v>-</x:v>
      </x:c>
      <x:c r="R22" s="153" t="s">
        <x:v>332</x:v>
      </x:c>
      <x:c r="S22" s="201"/>
      <x:c r="T22" s="192"/>
      <x:c r="U22" s="192"/>
      <x:c r="V22" s="192"/>
      <x:c r="W22" s="192"/>
      <x:c r="X22" s="195"/>
      <x:c r="Y22" s="192"/>
      <x:c r="Z22" s="342">
        <x:f ca="1">M22-K22</x:f>
        <x:v>1212.2964238083898</x:v>
      </x:c>
      <x:c r="AA22" s="351">
        <x:f ca="1">M22-I22</x:f>
        <x:v>0</x:v>
      </x:c>
    </x:row>
    <x:row r="23" spans="2:27" s="104" customFormat="1">
      <x:c r="C23" s="109" t="s">
        <x:v>28</x:v>
      </x:c>
      <x:c r="D23" s="108">
        <x:f>+'2. 손익계산서'!C69</x:f>
        <x:v>-0.2010146379791031</x:v>
      </x:c>
      <x:c r="E23" s="107"/>
      <x:c r="F23" s="108">
        <x:f ca="1">+'2. 손익계산서'!E69</x:f>
        <x:v>-0.6727603146442388</x:v>
      </x:c>
      <x:c r="G23" s="108">
        <x:f ca="1">+'2. 손익계산서'!F69</x:f>
        <x:v>0</x:v>
      </x:c>
      <x:c r="H23" s="107"/>
      <x:c r="I23" s="108">
        <x:f ca="1">+'2. 손익계산서'!H69</x:f>
        <x:v>0</x:v>
      </x:c>
      <x:c r="J23" s="107"/>
      <x:c r="K23" s="108">
        <x:f ca="1">+'2. 손익계산서'!J69</x:f>
        <x:v>-0.6727603146442388</x:v>
      </x:c>
      <x:c r="L23" s="107"/>
      <x:c r="M23" s="108">
        <x:f ca="1">+'2. 손익계산서'!L69</x:f>
        <x:v>0</x:v>
      </x:c>
      <x:c r="N23" s="107"/>
      <x:c r="O23" s="108"/>
      <x:c r="P23" s="108"/>
      <x:c r="Q23" s="172"/>
      <x:c r="R23" s="153" t="s">
        <x:v>331</x:v>
      </x:c>
      <x:c r="S23" s="194"/>
      <x:c r="T23" s="199"/>
      <x:c r="U23" s="195"/>
      <x:c r="V23" s="14"/>
      <x:c r="W23" s="195"/>
      <x:c r="X23" s="195"/>
      <x:c r="Y23" s="195"/>
      <x:c r="Z23" s="195"/>
    </x:row>
    <x:row r="24" spans="2:27" ht="5.45" customHeight="1">
      <x:c r="B24" s="89"/>
      <x:c r="C24" s="85"/>
      <x:c r="D24" s="86"/>
      <x:c r="E24" s="87"/>
      <x:c r="F24" s="86"/>
      <x:c r="G24" s="86"/>
      <x:c r="H24" s="88"/>
      <x:c r="I24" s="86"/>
      <x:c r="J24" s="88"/>
      <x:c r="K24" s="86"/>
      <x:c r="L24" s="88"/>
      <x:c r="M24" s="86"/>
      <x:c r="N24" s="88"/>
      <x:c r="O24" s="88"/>
      <x:c r="P24" s="88"/>
      <x:c r="R24" s="153" t="s">
        <x:v>333</x:v>
      </x:c>
      <x:c r="S24" s="192"/>
      <x:c r="T24" s="192"/>
      <x:c r="U24" s="192"/>
      <x:c r="V24" s="192"/>
      <x:c r="W24" s="192"/>
      <x:c r="X24" s="195"/>
      <x:c r="Y24" s="192"/>
      <x:c r="Z24" s="192"/>
    </x:row>
    <x:row r="25" spans="2:27" ht="31.35" hidden="1" customHeight="1">
      <x:c r="B25" s="89"/>
      <x:c r="C25" s="110" t="s">
        <x:v>200</x:v>
      </x:c>
      <x:c r="D25" s="111" t="s">
        <x:v>577</x:v>
      </x:c>
      <x:c r="E25" s="112" t="s">
        <x:v>188</x:v>
      </x:c>
      <x:c r="F25" s="113" t="s">
        <x:v>191</x:v>
      </x:c>
      <x:c r="G25" s="111" t="s">
        <x:v>193</x:v>
      </x:c>
      <x:c r="H25" s="114" t="s">
        <x:v>189</x:v>
      </x:c>
      <x:c r="I25" s="111" t="s">
        <x:v>194</x:v>
      </x:c>
      <x:c r="J25" s="114" t="s">
        <x:v>71</x:v>
      </x:c>
      <x:c r="K25" s="111" t="s">
        <x:v>196</x:v>
      </x:c>
      <x:c r="L25" s="114" t="s">
        <x:v>71</x:v>
      </x:c>
      <x:c r="M25" s="111" t="s">
        <x:v>201</x:v>
      </x:c>
      <x:c r="N25" s="114" t="s">
        <x:v>225</x:v>
      </x:c>
      <x:c r="O25" s="115" t="s">
        <x:v>198</x:v>
      </x:c>
      <x:c r="P25" s="115" t="s">
        <x:v>199</x:v>
      </x:c>
      <x:c r="S25" s="192"/>
      <x:c r="T25" s="192"/>
      <x:c r="U25" s="192"/>
      <x:c r="V25" s="192"/>
      <x:c r="W25" s="192"/>
      <x:c r="X25" s="195"/>
      <x:c r="Y25" s="192"/>
      <x:c r="Z25" s="192"/>
    </x:row>
    <x:row r="26" spans="2:27" ht="16.7" hidden="1" customHeight="1">
      <x:c r="B26" s="89"/>
      <x:c r="C26" s="129" t="s">
        <x:v>66</x:v>
      </x:c>
      <x:c r="D26" s="86"/>
      <x:c r="E26" s="130"/>
      <x:c r="F26" s="131"/>
      <x:c r="G26" s="86"/>
      <x:c r="H26" s="132"/>
      <x:c r="I26" s="86"/>
      <x:c r="J26" s="132"/>
      <x:c r="K26" s="86"/>
      <x:c r="L26" s="132"/>
      <x:c r="M26" s="86"/>
      <x:c r="N26" s="132"/>
      <x:c r="O26" s="102"/>
      <x:c r="P26" s="102"/>
      <x:c r="S26" s="192"/>
      <x:c r="T26" s="192"/>
      <x:c r="U26" s="192"/>
      <x:c r="V26" s="192"/>
      <x:c r="W26" s="192"/>
      <x:c r="X26" s="195"/>
      <x:c r="Y26" s="192"/>
      <x:c r="Z26" s="192"/>
    </x:row>
    <x:row r="27" spans="2:27" ht="16.7" hidden="1" customHeight="1">
      <x:c r="B27" s="89"/>
      <x:c r="C27" s="129" t="s">
        <x:v>67</x:v>
      </x:c>
      <x:c r="D27" s="86"/>
      <x:c r="E27" s="130"/>
      <x:c r="F27" s="131"/>
      <x:c r="G27" s="86"/>
      <x:c r="H27" s="132"/>
      <x:c r="I27" s="86"/>
      <x:c r="J27" s="132"/>
      <x:c r="K27" s="86"/>
      <x:c r="L27" s="132"/>
      <x:c r="M27" s="86"/>
      <x:c r="N27" s="132"/>
      <x:c r="O27" s="102"/>
      <x:c r="P27" s="102"/>
      <x:c r="X27" s="104"/>
    </x:row>
    <x:row r="28" spans="2:27" ht="16.7" hidden="1" customHeight="1">
      <x:c r="B28" s="89"/>
      <x:c r="C28" s="129" t="s">
        <x:v>68</x:v>
      </x:c>
      <x:c r="D28" s="86"/>
      <x:c r="E28" s="130"/>
      <x:c r="F28" s="131"/>
      <x:c r="G28" s="86"/>
      <x:c r="H28" s="132"/>
      <x:c r="I28" s="86"/>
      <x:c r="J28" s="132"/>
      <x:c r="K28" s="86"/>
      <x:c r="L28" s="132"/>
      <x:c r="M28" s="86"/>
      <x:c r="N28" s="132"/>
      <x:c r="O28" s="102"/>
      <x:c r="P28" s="102"/>
      <x:c r="X28" s="104"/>
    </x:row>
    <x:row r="29" spans="2:27" ht="16.7" hidden="1" customHeight="1">
      <x:c r="B29" s="89"/>
      <x:c r="C29" s="129" t="s">
        <x:v>69</x:v>
      </x:c>
      <x:c r="D29" s="86"/>
      <x:c r="E29" s="130"/>
      <x:c r="F29" s="131"/>
      <x:c r="G29" s="86"/>
      <x:c r="H29" s="132"/>
      <x:c r="I29" s="86"/>
      <x:c r="J29" s="132"/>
      <x:c r="K29" s="86"/>
      <x:c r="L29" s="132"/>
      <x:c r="M29" s="86"/>
      <x:c r="N29" s="132"/>
      <x:c r="O29" s="102"/>
      <x:c r="P29" s="102"/>
      <x:c r="X29" s="104"/>
    </x:row>
    <x:row r="30" spans="2:27" ht="16.7" hidden="1" customHeight="1" thickBot="1">
      <x:c r="B30" s="89"/>
      <x:c r="C30" s="133" t="s">
        <x:v>239</x:v>
      </x:c>
      <x:c r="D30" s="134"/>
      <x:c r="E30" s="135"/>
      <x:c r="F30" s="136"/>
      <x:c r="G30" s="134"/>
      <x:c r="H30" s="137"/>
      <x:c r="I30" s="134"/>
      <x:c r="J30" s="137"/>
      <x:c r="K30" s="134"/>
      <x:c r="L30" s="137"/>
      <x:c r="M30" s="134"/>
      <x:c r="N30" s="137"/>
      <x:c r="O30" s="135"/>
      <x:c r="P30" s="135"/>
      <x:c r="X30" s="104"/>
    </x:row>
    <x:row r="31" spans="2:27" hidden="1">
      <x:c r="B31" s="89"/>
      <x:c r="C31" s="156" t="s">
        <x:v>207</x:v>
      </x:c>
      <x:c r="D31" s="117"/>
      <x:c r="E31" s="121"/>
      <x:c r="F31" s="117"/>
      <x:c r="G31" s="117"/>
      <x:c r="H31" s="121"/>
      <x:c r="I31" s="117"/>
      <x:c r="J31" s="121"/>
      <x:c r="K31" s="117"/>
      <x:c r="L31" s="121"/>
      <x:c r="M31" s="117"/>
      <x:c r="N31" s="121"/>
      <x:c r="O31" s="121"/>
      <x:c r="P31" s="121"/>
    </x:row>
    <x:row r="32" spans="2:27" ht="23.45" hidden="1" customHeight="1">
      <x:c r="B32" s="89"/>
      <x:c r="C32" s="140" t="s">
        <x:v>203</x:v>
      </x:c>
      <x:c r="D32" s="122"/>
      <x:c r="E32" s="123"/>
      <x:c r="F32" s="124"/>
      <x:c r="G32" s="122"/>
      <x:c r="H32" s="125"/>
      <x:c r="I32" s="323"/>
      <x:c r="J32" s="125"/>
      <x:c r="K32" s="122"/>
      <x:c r="L32" s="125"/>
      <x:c r="M32" s="323"/>
      <x:c r="N32" s="205"/>
      <x:c r="O32" s="206"/>
      <x:c r="P32" s="206"/>
    </x:row>
    <x:row r="33" spans="2:20" ht="21.6" hidden="1" customHeight="1">
      <x:c r="B33" s="89"/>
      <x:c r="C33" s="140" t="s">
        <x:v>202</x:v>
      </x:c>
      <x:c r="D33" s="142"/>
      <x:c r="E33" s="123"/>
      <x:c r="F33" s="124"/>
      <x:c r="G33" s="122"/>
      <x:c r="H33" s="125"/>
      <x:c r="I33" s="324"/>
      <x:c r="J33" s="125"/>
      <x:c r="K33" s="142"/>
      <x:c r="L33" s="125"/>
      <x:c r="M33" s="324"/>
      <x:c r="N33" s="206"/>
      <x:c r="O33" s="206"/>
      <x:c r="P33" s="206"/>
    </x:row>
    <x:row r="34" spans="2:20" ht="22.7" hidden="1" customHeight="1">
      <x:c r="B34" s="89"/>
      <x:c r="C34" s="140" t="s">
        <x:v>224</x:v>
      </x:c>
      <x:c r="D34" s="122" t="s">
        <x:v>220</x:v>
      </x:c>
      <x:c r="E34" s="123"/>
      <x:c r="F34" s="124"/>
      <x:c r="G34" s="122"/>
      <x:c r="H34" s="125"/>
      <x:c r="I34" s="325">
        <x:v>3.2</x:v>
      </x:c>
      <x:c r="J34" s="125"/>
      <x:c r="K34" s="122" t="s">
        <x:v>220</x:v>
      </x:c>
      <x:c r="L34" s="125"/>
      <x:c r="M34" s="311">
        <x:v>3.2</x:v>
      </x:c>
      <x:c r="N34" s="206"/>
      <x:c r="O34" s="206"/>
      <x:c r="P34" s="206"/>
    </x:row>
    <x:row r="35" spans="2:20" ht="24" hidden="1" customHeight="1">
      <x:c r="B35" s="89"/>
      <x:c r="C35" s="116" t="s">
        <x:v>221</x:v>
      </x:c>
      <x:c r="D35" s="117"/>
      <x:c r="E35" s="118"/>
      <x:c r="F35" s="119"/>
      <x:c r="G35" s="117"/>
      <x:c r="H35" s="120"/>
      <x:c r="I35" s="89"/>
      <x:c r="J35" s="121"/>
      <x:c r="K35" s="117"/>
      <x:c r="L35" s="121"/>
      <x:c r="M35" s="312"/>
      <x:c r="N35" s="121"/>
      <x:c r="O35" s="121"/>
      <x:c r="P35" s="121"/>
      <x:c r="S35" s="182"/>
    </x:row>
    <x:row r="36" spans="2:20" ht="33.950000000000003" hidden="1" customHeight="1">
      <x:c r="B36" s="89"/>
      <x:c r="C36" s="143" t="s">
        <x:v>222</x:v>
      </x:c>
      <x:c r="D36" s="144" t="s">
        <x:v>220</x:v>
      </x:c>
      <x:c r="E36" s="145"/>
      <x:c r="F36" s="146"/>
      <x:c r="G36" s="144"/>
      <x:c r="H36" s="147"/>
      <x:c r="I36" s="326"/>
      <x:c r="J36" s="147"/>
      <x:c r="K36" s="144"/>
      <x:c r="L36" s="147"/>
      <x:c r="M36" s="326"/>
      <x:c r="N36" s="15"/>
      <x:c r="O36" s="14"/>
      <x:c r="P36" s="14"/>
      <x:c r="S36" s="167"/>
    </x:row>
    <x:row r="37" spans="2:20" ht="33.950000000000003" hidden="1" customHeight="1">
      <x:c r="B37" s="89"/>
      <x:c r="C37" s="143" t="s">
        <x:v>242</x:v>
      </x:c>
      <x:c r="D37" s="144" t="s">
        <x:v>220</x:v>
      </x:c>
      <x:c r="E37" s="145"/>
      <x:c r="F37" s="146"/>
      <x:c r="G37" s="144"/>
      <x:c r="H37" s="147"/>
      <x:c r="I37" s="151"/>
      <x:c r="J37" s="147"/>
      <x:c r="K37" s="144"/>
      <x:c r="L37" s="147"/>
      <x:c r="M37" s="151"/>
      <x:c r="N37" s="315"/>
      <x:c r="O37" s="5"/>
      <x:c r="P37" s="5"/>
      <x:c r="S37" s="167"/>
    </x:row>
    <x:row r="38" spans="2:20" ht="33.950000000000003" hidden="1" customHeight="1">
      <x:c r="B38" s="89"/>
      <x:c r="C38" s="148" t="s">
        <x:v>236</x:v>
      </x:c>
      <x:c r="D38" s="149" t="s">
        <x:v>220</x:v>
      </x:c>
      <x:c r="E38" s="150"/>
      <x:c r="F38" s="151"/>
      <x:c r="G38" s="149"/>
      <x:c r="H38" s="152"/>
      <x:c r="I38" s="151">
        <x:f ca="1">I10-I15</x:f>
        <x:v>0</x:v>
      </x:c>
      <x:c r="J38" s="152"/>
      <x:c r="K38" s="151">
        <x:f ca="1">+K10-K15</x:f>
        <x:v>-2.427572410712135</x:v>
      </x:c>
      <x:c r="L38" s="152"/>
      <x:c r="M38" s="151">
        <x:f ca="1">+M10-M15</x:f>
        <x:v>0</x:v>
      </x:c>
      <x:c r="N38" s="207"/>
      <x:c r="O38" s="208"/>
      <x:c r="P38" s="208"/>
      <x:c r="S38" s="170"/>
      <x:c r="T38" s="104"/>
    </x:row>
    <x:row r="39" spans="2:20" hidden="1">
      <x:c r="B39" s="89"/>
      <x:c r="C39" s="148" t="s">
        <x:v>226</x:v>
      </x:c>
      <x:c r="D39" s="149" t="s">
        <x:v>220</x:v>
      </x:c>
      <x:c r="E39" s="150"/>
      <x:c r="F39" s="151"/>
      <x:c r="G39" s="149"/>
      <x:c r="H39" s="152"/>
      <x:c r="I39" s="151">
        <x:f ca="1">'2. 손익계산서'!H24/1000000</x:f>
        <x:v>0</x:v>
      </x:c>
      <x:c r="J39" s="152"/>
      <x:c r="K39" s="149"/>
      <x:c r="L39" s="152"/>
      <x:c r="M39" s="151">
        <x:f ca="1">'2. 손익계산서'!L24/1000000</x:f>
        <x:v>0</x:v>
      </x:c>
      <x:c r="N39" s="207"/>
      <x:c r="O39" s="208"/>
      <x:c r="P39" s="208"/>
    </x:row>
    <x:row r="40" spans="2:20">
      <x:c r="B40" s="89"/>
    </x:row>
    <x:row r="41" spans="2:20">
      <x:c r="L41" s="171"/>
    </x:row>
    <x:row r="42" spans="2:20"/>
    <x:row r="43" spans="2:20"/>
    <x:row r="44" spans="2:20"/>
    <x:row r="45" spans="2:20" ht="18.600000000000001" customHeight="1"/>
    <x:row r="46" spans="2:20"/>
  </x:sheetData>
  <x:mergeCells count="1">
    <x:mergeCell ref="N36:P36"/>
  </x:mergeCells>
  <x:phoneticPr fontId="7" type="noConversion"/>
  <x:pageMargins left="0.7" right="0.7" top="0.75" bottom="0.75" header="0.3" footer="0.3"/>
  <x:pageSetup paperSize="9" scale="70" orientation="landscape" r:id="rId1"/>
  <x:drawing r:id="rId2"/>
  <x:legacyDrawing r:id="rId3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dimension ref="B2:Y69"/>
  <x:sheetViews>
    <x:sheetView showGridLines="0" zoomScale="70" zoomScaleNormal="70" workbookViewId="0">
      <x:pane xSplit="3" ySplit="5" topLeftCell="D6" activePane="bottomRight" state="frozen"/>
      <x:selection activeCell="AG18" sqref="AG18"/>
      <x:selection pane="topRight" activeCell="AG18" sqref="AG18"/>
      <x:selection pane="bottomLeft" activeCell="AG18" sqref="AG18"/>
      <x:selection pane="bottomRight" activeCell="AG18" sqref="AG18"/>
    </x:sheetView>
  </x:sheetViews>
  <x:sheetFormatPr defaultColWidth="8.85546875" defaultRowHeight="13.5"/>
  <x:cols>
    <x:col min="1" max="1" width="1.42578125" style="13" customWidth="1"/>
    <x:col min="2" max="2" width="19.140625" style="13" customWidth="1"/>
    <x:col min="3" max="3" width="17.85546875" style="14" customWidth="1"/>
    <x:col min="4" max="4" width="14.140625" style="49" bestFit="1" customWidth="1"/>
    <x:col min="5" max="5" width="21.140625" style="14" customWidth="1"/>
    <x:col min="6" max="6" width="20.42578125" style="14" customWidth="1"/>
    <x:col min="7" max="7" width="12.5703125" style="23" customWidth="1"/>
    <x:col min="8" max="8" width="18.42578125" style="14" customWidth="1"/>
    <x:col min="9" max="9" width="11.42578125" style="56" customWidth="1"/>
    <x:col min="10" max="10" width="16.85546875" style="14" customWidth="1"/>
    <x:col min="11" max="11" width="11.42578125" style="56" bestFit="1" customWidth="1"/>
    <x:col min="12" max="12" width="17.42578125" style="14" bestFit="1" customWidth="1"/>
    <x:col min="13" max="13" width="14.140625" style="56" customWidth="1"/>
    <x:col min="14" max="15" width="11.140625" style="56" bestFit="1" customWidth="1"/>
    <x:col min="16" max="16" width="16.85546875" style="13" customWidth="1"/>
    <x:col min="17" max="17" width="13.140625" style="13" hidden="1" customWidth="1"/>
    <x:col min="18" max="18" width="13.85546875" style="13" hidden="1" customWidth="1"/>
    <x:col min="19" max="19" width="12.42578125" style="13" hidden="1" customWidth="1"/>
    <x:col min="20" max="20" width="8.85546875" style="13" hidden="1" customWidth="1"/>
    <x:col min="21" max="21" width="12.42578125" style="13" hidden="1" customWidth="1"/>
    <x:col min="22" max="24" width="8.85546875" style="13" hidden="1" customWidth="1"/>
    <x:col min="25" max="25" width="14.5703125" style="13" customWidth="1"/>
    <x:col min="26" max="16384" width="8.85546875" style="13"/>
  </x:cols>
  <x:sheetData>
    <x:row r="2" spans="2:22" ht="13.35" customHeight="1"/>
    <x:row r="3" spans="2:22" ht="27.6" customHeight="1">
      <x:c r="B3" s="15" t="s">
        <x:v>620</x:v>
      </x:c>
      <x:c r="O3" s="61"/>
    </x:row>
    <x:row r="4" spans="2:22" ht="14.45" customHeight="1">
      <x:c r="B4" s="37" t="s">
        <x:v>1</x:v>
      </x:c>
      <x:c r="C4" s="37">
        <x:v>1</x:v>
      </x:c>
      <x:c r="D4" s="50"/>
      <x:c r="O4" s="49" t="s">
        <x:v>20</x:v>
      </x:c>
      <x:c r="P4" s="14"/>
      <x:c r="Q4" s="14"/>
    </x:row>
    <x:row r="5" spans="2:22" ht="37.35" customHeight="1">
      <x:c r="B5" s="67" t="s">
        <x:v>41</x:v>
      </x:c>
      <x:c r="C5" s="83" t="s">
        <x:v>801</x:v>
      </x:c>
      <x:c r="D5" s="82" t="s">
        <x:v>188</x:v>
      </x:c>
      <x:c r="E5" s="83" t="s">
        <x:v>192</x:v>
      </x:c>
      <x:c r="F5" s="83" t="s">
        <x:v>204</x:v>
      </x:c>
      <x:c r="G5" s="82" t="s">
        <x:v>190</x:v>
      </x:c>
      <x:c r="H5" s="83" t="s">
        <x:v>194</x:v>
      </x:c>
      <x:c r="I5" s="82" t="s">
        <x:v>195</x:v>
      </x:c>
      <x:c r="J5" s="83" t="s">
        <x:v>196</x:v>
      </x:c>
      <x:c r="K5" s="82" t="s">
        <x:v>195</x:v>
      </x:c>
      <x:c r="L5" s="83" t="s">
        <x:v>197</x:v>
      </x:c>
      <x:c r="M5" s="82" t="s">
        <x:v>195</x:v>
      </x:c>
      <x:c r="N5" s="84" t="s">
        <x:v>198</x:v>
      </x:c>
      <x:c r="O5" s="84" t="s">
        <x:v>199</x:v>
      </x:c>
    </x:row>
    <x:row r="6" spans="2:22" s="6" customFormat="1" ht="20.45" customHeight="1">
      <x:c r="B6" s="41" t="s">
        <x:v>22</x:v>
      </x:c>
      <x:c r="C6" s="20">
        <x:f>+'(계획)손익계산서 월별계획'!C6</x:f>
        <x:v>47498576182.606285</x:v>
      </x:c>
      <x:c r="D6" s="52">
        <x:f t="shared" ref="D6:D16" ca="1" si="0">+IFERROR(F6/C6,)</x:f>
        <x:v>0</x:v>
      </x:c>
      <x:c r="E6" s="20">
        <x:f ca="1">SUM(E7:E10)</x:f>
        <x:v>1801973745.210376</x:v>
      </x:c>
      <x:c r="F6" s="20">
        <x:f ca="1">SUM(F7:F10)</x:f>
        <x:v>0</x:v>
      </x:c>
      <x:c r="G6" s="46">
        <x:f t="shared" ref="G6:G16" ca="1" si="1">+IFERROR(F6/E6,)</x:f>
        <x:v>0</x:v>
      </x:c>
      <x:c r="H6" s="20">
        <x:f ca="1">SUM(H7:H10)</x:f>
        <x:v>0</x:v>
      </x:c>
      <x:c r="I6" s="52">
        <x:f t="shared" ref="I6:I11" ca="1" si="2">+IFERROR(H6/$H$6,)</x:f>
        <x:v>0</x:v>
      </x:c>
      <x:c r="J6" s="20">
        <x:f ca="1">SUM(J7:J10)</x:f>
        <x:v>1801973745.210376</x:v>
      </x:c>
      <x:c r="K6" s="52">
        <x:f ca="1">+IFERROR(J6/$J$6,)</x:f>
        <x:v>1</x:v>
      </x:c>
      <x:c r="L6" s="20">
        <x:f ca="1">SUM(L7:L10)</x:f>
        <x:v>0</x:v>
      </x:c>
      <x:c r="M6" s="52">
        <x:f ca="1">+IFERROR(L6/$L$6,)</x:f>
        <x:v>0</x:v>
      </x:c>
      <x:c r="N6" s="58">
        <x:f t="shared" ref="N6:N15" ca="1" si="3">+IFERROR(L6/H6,)</x:f>
        <x:v>0</x:v>
      </x:c>
      <x:c r="O6" s="58">
        <x:f ca="1">+IFERROR(L6/J6,)</x:f>
        <x:v>0</x:v>
      </x:c>
      <x:c r="Q6" s="6" t="s">
        <x:v>350</x:v>
      </x:c>
      <x:c r="S6" s="6" t="s">
        <x:v>351</x:v>
      </x:c>
      <x:c r="U6" s="6" t="s">
        <x:v>352</x:v>
      </x:c>
    </x:row>
    <x:row r="7" spans="2:22">
      <x:c r="B7" s="13" t="s">
        <x:v>183</x:v>
      </x:c>
      <x:c r="C7" s="14">
        <x:f>+'(계획)손익계산서 월별계획'!C7</x:f>
        <x:v>0</x:v>
      </x:c>
      <x:c r="D7" s="53">
        <x:f t="shared" ca="1" si="0"/>
        <x:v>0</x:v>
      </x:c>
      <x:c r="E7" s="14">
        <x:f ca="1">SUM('(계획)손익계산서 월별계획'!E7:OFFSET('(계획)손익계산서 월별계획'!E7,0,$C$4-1))</x:f>
        <x:v>0</x:v>
      </x:c>
      <x:c r="F7" s="14">
        <x:f ca="1">SUM('3. 손익계산서 월별실적'!E7:OFFSET('3. 손익계산서 월별실적'!E7,0,$C$4-1))</x:f>
        <x:v>0</x:v>
      </x:c>
      <x:c r="G7" s="38">
        <x:f t="shared" ca="1" si="1"/>
        <x:v>0</x:v>
      </x:c>
      <x:c r="H7" s="14">
        <x:f ca="1">OFFSET('3. 손익계산서 월별실적'!E7,0,$C$4-2)</x:f>
        <x:v>0</x:v>
      </x:c>
      <x:c r="I7" s="53">
        <x:f t="shared" ca="1" si="2"/>
        <x:v>0</x:v>
      </x:c>
      <x:c r="J7" s="14">
        <x:f ca="1">OFFSET('(계획)손익계산서 월별계획'!E7,0,$C$4-1)</x:f>
        <x:v>0</x:v>
      </x:c>
      <x:c r="K7" s="53">
        <x:f t="shared" ref="K7:K9" ca="1" si="4">+IFERROR(J7/$J$6,)</x:f>
        <x:v>0</x:v>
      </x:c>
      <x:c r="L7" s="14">
        <x:f ca="1">OFFSET('3. 손익계산서 월별실적'!E7,0,$C$4-1)</x:f>
        <x:v>0</x:v>
      </x:c>
      <x:c r="M7" s="53">
        <x:f t="shared" ref="M7:M10" ca="1" si="5">+IFERROR(L7/$L$6,)</x:f>
        <x:v>0</x:v>
      </x:c>
      <x:c r="N7" s="56">
        <x:f t="shared" ca="1" si="3"/>
        <x:v>0</x:v>
      </x:c>
      <x:c r="O7" s="56">
        <x:f ca="1">+IFERROR(L7/J7,)</x:f>
        <x:v>0</x:v>
      </x:c>
      <x:c r="P7" s="6"/>
      <x:c r="Q7" s="6"/>
      <x:c r="S7" s="13">
        <x:f ca="1">+Q8-S8</x:f>
        <x:v>-113250500</x:v>
      </x:c>
      <x:c r="U7" s="13">
        <x:f ca="1">+Q8-U8</x:f>
        <x:v>0</x:v>
      </x:c>
    </x:row>
    <x:row r="8" spans="2:22">
      <x:c r="B8" s="13" t="s">
        <x:v>330</x:v>
      </x:c>
      <x:c r="C8" s="14">
        <x:f>+'(계획)손익계산서 월별계획'!C8</x:f>
        <x:v>9059168350</x:v>
      </x:c>
      <x:c r="D8" s="53">
        <x:f t="shared" ca="1" si="0"/>
        <x:v>0</x:v>
      </x:c>
      <x:c r="E8" s="14">
        <x:f ca="1">SUM('(계획)손익계산서 월별계획'!E8:OFFSET('(계획)손익계산서 월별계획'!E8,0,$C$4-1))</x:f>
        <x:v>268009000</x:v>
      </x:c>
      <x:c r="F8" s="14">
        <x:f ca="1">SUM('3. 손익계산서 월별실적'!E8:OFFSET('3. 손익계산서 월별실적'!E8,0,$C$4-1))</x:f>
        <x:v>0</x:v>
      </x:c>
      <x:c r="G8" s="38">
        <x:f t="shared" ca="1" si="1"/>
        <x:v>0</x:v>
      </x:c>
      <x:c r="H8" s="14">
        <x:f ca="1">OFFSET('3. 손익계산서 월별실적'!E8,0,$C$4-2)</x:f>
        <x:v>0</x:v>
      </x:c>
      <x:c r="I8" s="53">
        <x:f t="shared" ca="1" si="2"/>
        <x:v>0</x:v>
      </x:c>
      <x:c r="J8" s="14">
        <x:f ca="1">OFFSET('(계획)손익계산서 월별계획'!E8,0,$C$4-1)</x:f>
        <x:v>268009000</x:v>
      </x:c>
      <x:c r="K8" s="53">
        <x:f t="shared" ca="1" si="4"/>
        <x:v>0.14873080182903031</x:v>
      </x:c>
      <x:c r="L8" s="14">
        <x:f ca="1">OFFSET('3. 손익계산서 월별실적'!E8,0,$C$4-1)</x:f>
        <x:v>0</x:v>
      </x:c>
      <x:c r="M8" s="53">
        <x:f t="shared" ca="1" si="5"/>
        <x:v>0</x:v>
      </x:c>
      <x:c r="N8" s="56">
        <x:f t="shared" ca="1" si="3"/>
        <x:v>0</x:v>
      </x:c>
      <x:c r="O8" s="56">
        <x:f ca="1">+IFERROR(L8/J8,)</x:f>
        <x:v>0</x:v>
      </x:c>
      <x:c r="P8" s="6"/>
      <x:c r="Q8" s="6">
        <x:f ca="1">+L8-L13</x:f>
        <x:v>0</x:v>
      </x:c>
      <x:c r="R8" s="21" t="e">
        <x:f ca="1">+Q8/L8</x:f>
        <x:v>#DIV/0!</x:v>
      </x:c>
      <x:c r="S8" s="13">
        <x:f ca="1">+J8-J13</x:f>
        <x:v>113250500</x:v>
      </x:c>
      <x:c r="T8" s="21">
        <x:f ca="1">+S8/J8</x:f>
        <x:v>0.42256230201224587</x:v>
      </x:c>
      <x:c r="U8" s="13">
        <x:f ca="1">+H8-H13</x:f>
        <x:v>0</x:v>
      </x:c>
      <x:c r="V8" s="21" t="e">
        <x:f ca="1">+U8/H8</x:f>
        <x:v>#DIV/0!</x:v>
      </x:c>
    </x:row>
    <x:row r="9" spans="2:22">
      <x:c r="B9" s="13" t="s">
        <x:v>5</x:v>
      </x:c>
      <x:c r="C9" s="14">
        <x:f>+'(계획)손익계산서 월별계획'!C9</x:f>
        <x:v>22049849603.606281</x:v>
      </x:c>
      <x:c r="D9" s="53">
        <x:f t="shared" ca="1" si="0"/>
        <x:v>0</x:v>
      </x:c>
      <x:c r="E9" s="14">
        <x:f ca="1">SUM('(계획)손익계산서 월별계획'!E9:OFFSET('(계획)손익계산서 월별계획'!E9,0,$C$4-1))</x:f>
        <x:v>1533964745.210376</x:v>
      </x:c>
      <x:c r="F9" s="14">
        <x:f ca="1">SUM('3. 손익계산서 월별실적'!E9:OFFSET('3. 손익계산서 월별실적'!E9,0,$C$4-1))</x:f>
        <x:v>0</x:v>
      </x:c>
      <x:c r="G9" s="38">
        <x:f t="shared" ca="1" si="1"/>
        <x:v>0</x:v>
      </x:c>
      <x:c r="H9" s="14">
        <x:f ca="1">OFFSET('3. 손익계산서 월별실적'!E9,0,$C$4-2)</x:f>
        <x:v>0</x:v>
      </x:c>
      <x:c r="I9" s="53">
        <x:f t="shared" ca="1" si="2"/>
        <x:v>0</x:v>
      </x:c>
      <x:c r="J9" s="14">
        <x:f ca="1">OFFSET('(계획)손익계산서 월별계획'!E9,0,$C$4-1)</x:f>
        <x:v>1533964745.210376</x:v>
      </x:c>
      <x:c r="K9" s="53">
        <x:f t="shared" ca="1" si="4"/>
        <x:v>0.85126919817096969</x:v>
      </x:c>
      <x:c r="L9" s="14">
        <x:f ca="1">OFFSET('3. 손익계산서 월별실적'!E9,0,$C$4-1)</x:f>
        <x:v>0</x:v>
      </x:c>
      <x:c r="M9" s="53">
        <x:f t="shared" ca="1" si="5"/>
        <x:v>0</x:v>
      </x:c>
      <x:c r="N9" s="56">
        <x:f t="shared" ca="1" si="3"/>
        <x:v>0</x:v>
      </x:c>
      <x:c r="O9" s="56">
        <x:f ca="1">+IFERROR(L9/J9,)</x:f>
        <x:v>0</x:v>
      </x:c>
      <x:c r="P9" s="6"/>
      <x:c r="Q9" s="6">
        <x:f ca="1">+L9-L14</x:f>
        <x:v>0</x:v>
      </x:c>
      <x:c r="R9" s="21" t="e">
        <x:f ca="1">+Q9/L9</x:f>
        <x:v>#DIV/0!</x:v>
      </x:c>
      <x:c r="S9" s="13">
        <x:f ca="1">+J9-J14</x:f>
        <x:v>44808614.171175718</x:v>
      </x:c>
      <x:c r="T9" s="21">
        <x:f ca="1">+S9/J9</x:f>
        <x:v>2.9210980442076866E-2</x:v>
      </x:c>
      <x:c r="U9" s="13">
        <x:f ca="1">+H9-H14</x:f>
        <x:v>0</x:v>
      </x:c>
      <x:c r="V9" s="21" t="e">
        <x:f ca="1">+U9/H9</x:f>
        <x:v>#DIV/0!</x:v>
      </x:c>
    </x:row>
    <x:row r="10" spans="2:22">
      <x:c r="B10" s="13" t="s">
        <x:v>6</x:v>
      </x:c>
      <x:c r="C10" s="14">
        <x:f>+'(계획)손익계산서 월별계획'!C10</x:f>
        <x:v>16389558229</x:v>
      </x:c>
      <x:c r="D10" s="53">
        <x:f t="shared" ca="1" si="0"/>
        <x:v>0</x:v>
      </x:c>
      <x:c r="E10" s="14">
        <x:f ca="1">SUM('(계획)손익계산서 월별계획'!E10:OFFSET('(계획)손익계산서 월별계획'!E10,0,$C$4-1))</x:f>
        <x:v>0</x:v>
      </x:c>
      <x:c r="F10" s="14">
        <x:f ca="1">SUM('3. 손익계산서 월별실적'!E10:OFFSET('3. 손익계산서 월별실적'!E10,0,$C$4-1))</x:f>
        <x:v>0</x:v>
      </x:c>
      <x:c r="G10" s="38">
        <x:f t="shared" ca="1" si="1"/>
        <x:v>0</x:v>
      </x:c>
      <x:c r="H10" s="14">
        <x:f ca="1">OFFSET('3. 손익계산서 월별실적'!E10,0,$C$4-2)</x:f>
        <x:v>0</x:v>
      </x:c>
      <x:c r="I10" s="53">
        <x:f t="shared" ca="1" si="2"/>
        <x:v>0</x:v>
      </x:c>
      <x:c r="J10" s="14">
        <x:f ca="1">OFFSET('(계획)손익계산서 월별계획'!E10,0,$C$4-1)</x:f>
        <x:v>0</x:v>
      </x:c>
      <x:c r="K10" s="53">
        <x:f t="shared" ref="K10:K11" ca="1" si="6">+IFERROR(J10/$J$6,)</x:f>
        <x:v>0</x:v>
      </x:c>
      <x:c r="L10" s="14">
        <x:f ca="1">OFFSET('3. 손익계산서 월별실적'!E10,0,$C$4-1)</x:f>
        <x:v>0</x:v>
      </x:c>
      <x:c r="M10" s="53">
        <x:f t="shared" ca="1" si="5"/>
        <x:v>0</x:v>
      </x:c>
      <x:c r="N10" s="56">
        <x:f t="shared" ca="1" si="3"/>
        <x:v>0</x:v>
      </x:c>
      <x:c r="O10" s="56">
        <x:f t="shared" ref="O10:O67" ca="1" si="7">+IFERROR(L10/J10,)</x:f>
        <x:v>0</x:v>
      </x:c>
      <x:c r="P10" s="6"/>
      <x:c r="Q10" s="6">
        <x:f ca="1">+L10-L15</x:f>
        <x:v>0</x:v>
      </x:c>
      <x:c r="R10" s="21" t="e">
        <x:f ca="1">+Q10/L10</x:f>
        <x:v>#DIV/0!</x:v>
      </x:c>
      <x:c r="S10" s="13">
        <x:f ca="1">+J10-J15</x:f>
        <x:v>-2427572.410712135</x:v>
      </x:c>
      <x:c r="T10" s="21" t="e">
        <x:f ca="1">+S10/J10</x:f>
        <x:v>#DIV/0!</x:v>
      </x:c>
      <x:c r="U10" s="13">
        <x:f ca="1">+H10-H15</x:f>
        <x:v>0</x:v>
      </x:c>
      <x:c r="V10" s="21" t="e">
        <x:f ca="1">+U10/H10</x:f>
        <x:v>#DIV/0!</x:v>
      </x:c>
    </x:row>
    <x:row r="11" spans="2:22">
      <x:c r="B11" s="41" t="s">
        <x:v>23</x:v>
      </x:c>
      <x:c r="C11" s="20">
        <x:f>+'(계획)손익계산서 월별계획'!C11</x:f>
        <x:v>40951464023.634239</x:v>
      </x:c>
      <x:c r="D11" s="52">
        <x:f t="shared" ca="1" si="0"/>
        <x:v>0</x:v>
      </x:c>
      <x:c r="E11" s="20">
        <x:f t="shared" ref="E11:F11" ca="1" si="8">SUM(E12:E15)</x:f>
        <x:v>1646342203.4499125</x:v>
      </x:c>
      <x:c r="F11" s="20">
        <x:f t="shared" ca="1" si="8"/>
        <x:v>0</x:v>
      </x:c>
      <x:c r="G11" s="46">
        <x:f t="shared" ca="1" si="1"/>
        <x:v>0</x:v>
      </x:c>
      <x:c r="H11" s="20">
        <x:f ca="1">SUM(H12:H15)</x:f>
        <x:v>0</x:v>
      </x:c>
      <x:c r="I11" s="52">
        <x:f t="shared" ca="1" si="2"/>
        <x:v>0</x:v>
      </x:c>
      <x:c r="J11" s="20">
        <x:f ca="1">SUM(J12:J15)</x:f>
        <x:v>1646342203.4499125</x:v>
      </x:c>
      <x:c r="K11" s="52">
        <x:f t="shared" ca="1" si="6"/>
        <x:v>0.91363273622929841</x:v>
      </x:c>
      <x:c r="L11" s="20">
        <x:f ca="1">SUM(L12:L15)</x:f>
        <x:v>0</x:v>
      </x:c>
      <x:c r="M11" s="52">
        <x:f t="shared" ref="M11" ca="1" si="9">+IFERROR(L11/$L$6,)</x:f>
        <x:v>0</x:v>
      </x:c>
      <x:c r="N11" s="58">
        <x:f t="shared" ca="1" si="3"/>
        <x:v>0</x:v>
      </x:c>
      <x:c r="O11" s="58">
        <x:f t="shared" ca="1" si="7"/>
        <x:v>0</x:v>
      </x:c>
      <x:c r="P11" s="6"/>
      <x:c r="Q11" s="6"/>
      <x:c r="S11" s="13">
        <x:f ca="1">+Q10-S10</x:f>
        <x:v>2427572.410712135</x:v>
      </x:c>
      <x:c r="U11" s="13">
        <x:f ca="1">+Q10-U10</x:f>
        <x:v>0</x:v>
      </x:c>
    </x:row>
    <x:row r="12" spans="2:22">
      <x:c r="B12" s="13" t="s">
        <x:v>183</x:v>
      </x:c>
      <x:c r="C12" s="14">
        <x:f>+'(계획)손익계산서 월별계획'!C12</x:f>
        <x:v>0</x:v>
      </x:c>
      <x:c r="D12" s="53">
        <x:f t="shared" ca="1" si="0"/>
        <x:v>0</x:v>
      </x:c>
      <x:c r="E12" s="14">
        <x:f ca="1">SUM('(계획)손익계산서 월별계획'!E12:OFFSET('(계획)손익계산서 월별계획'!E12,0,$C$4-1))</x:f>
        <x:v>0</x:v>
      </x:c>
      <x:c r="F12" s="14">
        <x:f ca="1">SUM('3. 손익계산서 월별실적'!E12:OFFSET('3. 손익계산서 월별실적'!E12,0,$C$4-1))</x:f>
        <x:v>0</x:v>
      </x:c>
      <x:c r="G12" s="38">
        <x:f t="shared" ca="1" si="1"/>
        <x:v>0</x:v>
      </x:c>
      <x:c r="H12" s="14">
        <x:f ca="1">OFFSET('3. 손익계산서 월별실적'!E12,0,$C$4-2)</x:f>
        <x:v>0</x:v>
      </x:c>
      <x:c r="I12" s="53">
        <x:f ca="1">IFERROR(H12/H7,0)</x:f>
        <x:v>0</x:v>
      </x:c>
      <x:c r="J12" s="14">
        <x:f ca="1">OFFSET('(계획)손익계산서 월별계획'!E12,0,$C$4-1)</x:f>
        <x:v>0</x:v>
      </x:c>
      <x:c r="K12" s="53">
        <x:f ca="1">IFERROR(J12/J7,0)</x:f>
        <x:v>0</x:v>
      </x:c>
      <x:c r="L12" s="14">
        <x:f ca="1">OFFSET('3. 손익계산서 월별실적'!E12,0,$C$4-1)</x:f>
        <x:v>0</x:v>
      </x:c>
      <x:c r="M12" s="53">
        <x:f ca="1">IFERROR(L12/L7,0)</x:f>
        <x:v>0</x:v>
      </x:c>
      <x:c r="N12" s="56">
        <x:f t="shared" ca="1" si="3"/>
        <x:v>0</x:v>
      </x:c>
      <x:c r="O12" s="56">
        <x:f t="shared" ca="1" si="7"/>
        <x:v>0</x:v>
      </x:c>
      <x:c r="P12" s="6"/>
      <x:c r="R12" s="6"/>
    </x:row>
    <x:row r="13" spans="2:22">
      <x:c r="B13" s="13" t="s">
        <x:v>330</x:v>
      </x:c>
      <x:c r="C13" s="14">
        <x:f>+'(계획)손익계산서 월별계획'!C13</x:f>
        <x:v>5125883039</x:v>
      </x:c>
      <x:c r="D13" s="53">
        <x:f t="shared" ca="1" si="0"/>
        <x:v>0</x:v>
      </x:c>
      <x:c r="E13" s="14">
        <x:f ca="1">SUM('(계획)손익계산서 월별계획'!E13:OFFSET('(계획)손익계산서 월별계획'!E13,0,$C$4-1))</x:f>
        <x:v>154758500</x:v>
      </x:c>
      <x:c r="F13" s="14">
        <x:f ca="1">SUM('3. 손익계산서 월별실적'!E13:OFFSET('3. 손익계산서 월별실적'!E13,0,$C$4-1))</x:f>
        <x:v>0</x:v>
      </x:c>
      <x:c r="G13" s="38">
        <x:f t="shared" ca="1" si="1"/>
        <x:v>0</x:v>
      </x:c>
      <x:c r="H13" s="14">
        <x:f ca="1">OFFSET('3. 손익계산서 월별실적'!E13,0,$C$4-2)</x:f>
        <x:v>0</x:v>
      </x:c>
      <x:c r="I13" s="53">
        <x:f ca="1">IFERROR(H13/H8,0)</x:f>
        <x:v>0</x:v>
      </x:c>
      <x:c r="J13" s="14">
        <x:f ca="1">OFFSET('(계획)손익계산서 월별계획'!E13,0,$C$4-1)</x:f>
        <x:v>154758500</x:v>
      </x:c>
      <x:c r="K13" s="53">
        <x:f t="shared" ref="K13:M15" ca="1" si="10">+J13/J8</x:f>
        <x:v>0.57743769798775413</x:v>
      </x:c>
      <x:c r="L13" s="14">
        <x:f ca="1">OFFSET('3. 손익계산서 월별실적'!E13,0,$C$4-1)</x:f>
        <x:v>0</x:v>
      </x:c>
      <x:c r="M13" s="53">
        <x:f ca="1">IFERROR(L13/L8,0)</x:f>
        <x:v>0</x:v>
      </x:c>
      <x:c r="N13" s="56">
        <x:f t="shared" ca="1" si="3"/>
        <x:v>0</x:v>
      </x:c>
      <x:c r="O13" s="56">
        <x:f t="shared" ca="1" si="7"/>
        <x:v>0</x:v>
      </x:c>
      <x:c r="P13" s="6"/>
    </x:row>
    <x:row r="14" spans="2:22">
      <x:c r="B14" s="13" t="s">
        <x:v>5</x:v>
      </x:c>
      <x:c r="C14" s="14">
        <x:f>+'(계획)손익계산서 월별계획'!C14</x:f>
        <x:v>21403972895.063999</x:v>
      </x:c>
      <x:c r="D14" s="53">
        <x:f t="shared" ca="1" si="0"/>
        <x:v>0</x:v>
      </x:c>
      <x:c r="E14" s="14">
        <x:f ca="1">SUM('(계획)손익계산서 월별계획'!E14:OFFSET('(계획)손익계산서 월별계획'!E14,0,$C$4-1))</x:f>
        <x:v>1489156131.0392003</x:v>
      </x:c>
      <x:c r="F14" s="14">
        <x:f ca="1">SUM('3. 손익계산서 월별실적'!E14:OFFSET('3. 손익계산서 월별실적'!E14,0,$C$4-1))</x:f>
        <x:v>0</x:v>
      </x:c>
      <x:c r="G14" s="38">
        <x:f t="shared" ca="1" si="1"/>
        <x:v>0</x:v>
      </x:c>
      <x:c r="H14" s="14">
        <x:f ca="1">OFFSET('3. 손익계산서 월별실적'!E14,0,$C$4-2)</x:f>
        <x:v>0</x:v>
      </x:c>
      <x:c r="I14" s="53" t="e">
        <x:f ca="1">+H14/H9</x:f>
        <x:v>#DIV/0!</x:v>
      </x:c>
      <x:c r="J14" s="14">
        <x:f ca="1">OFFSET('(계획)손익계산서 월별계획'!E14,0,$C$4-1)</x:f>
        <x:v>1489156131.0392003</x:v>
      </x:c>
      <x:c r="K14" s="53">
        <x:f t="shared" ca="1" si="10"/>
        <x:v>0.97078901955792318</x:v>
      </x:c>
      <x:c r="L14" s="14">
        <x:f ca="1">OFFSET('3. 손익계산서 월별실적'!E14,0,$C$4-1)</x:f>
        <x:v>0</x:v>
      </x:c>
      <x:c r="M14" s="53" t="e">
        <x:f t="shared" ca="1" si="10"/>
        <x:v>#DIV/0!</x:v>
      </x:c>
      <x:c r="N14" s="56">
        <x:f t="shared" ca="1" si="3"/>
        <x:v>0</x:v>
      </x:c>
      <x:c r="O14" s="56">
        <x:f t="shared" ca="1" si="7"/>
        <x:v>0</x:v>
      </x:c>
      <x:c r="P14" s="6"/>
    </x:row>
    <x:row r="15" spans="2:22">
      <x:c r="B15" s="13" t="s">
        <x:v>6</x:v>
      </x:c>
      <x:c r="C15" s="14">
        <x:f>+'(계획)손익계산서 월별계획'!C15</x:f>
        <x:v>14421608089.570234</x:v>
      </x:c>
      <x:c r="D15" s="53">
        <x:f t="shared" ca="1" si="0"/>
        <x:v>0</x:v>
      </x:c>
      <x:c r="E15" s="14">
        <x:f ca="1">SUM('(계획)손익계산서 월별계획'!E15:OFFSET('(계획)손익계산서 월별계획'!E15,0,$C$4-1))</x:f>
        <x:v>2427572.410712135</x:v>
      </x:c>
      <x:c r="F15" s="14">
        <x:f ca="1">SUM('3. 손익계산서 월별실적'!E15:OFFSET('3. 손익계산서 월별실적'!E15,0,$C$4-1))</x:f>
        <x:v>0</x:v>
      </x:c>
      <x:c r="G15" s="38">
        <x:f t="shared" ca="1" si="1"/>
        <x:v>0</x:v>
      </x:c>
      <x:c r="H15" s="14">
        <x:f ca="1">OFFSET('3. 손익계산서 월별실적'!E15,0,$C$4-2)</x:f>
        <x:v>0</x:v>
      </x:c>
      <x:c r="I15" s="53" t="e">
        <x:f ca="1">+H15/H10</x:f>
        <x:v>#DIV/0!</x:v>
      </x:c>
      <x:c r="J15" s="14">
        <x:f ca="1">OFFSET('(계획)손익계산서 월별계획'!E15,0,$C$4-1)</x:f>
        <x:v>2427572.410712135</x:v>
      </x:c>
      <x:c r="K15" s="53" t="e">
        <x:f t="shared" ca="1" si="10"/>
        <x:v>#DIV/0!</x:v>
      </x:c>
      <x:c r="L15" s="14">
        <x:f ca="1">OFFSET('3. 손익계산서 월별실적'!E15,0,$C$4-1)</x:f>
        <x:v>0</x:v>
      </x:c>
      <x:c r="M15" s="53" t="e">
        <x:f ca="1">+L15/L10</x:f>
        <x:v>#DIV/0!</x:v>
      </x:c>
      <x:c r="N15" s="56">
        <x:f t="shared" ca="1" si="3"/>
        <x:v>0</x:v>
      </x:c>
      <x:c r="O15" s="56">
        <x:f t="shared" ca="1" si="7"/>
        <x:v>0</x:v>
      </x:c>
      <x:c r="P15" s="6"/>
      <x:c r="Q15" s="6"/>
    </x:row>
    <x:row r="16" spans="2:22" s="6" customFormat="1" ht="21.6" customHeight="1">
      <x:c r="B16" s="41" t="s">
        <x:v>24</x:v>
      </x:c>
      <x:c r="C16" s="20">
        <x:f>+'(계획)손익계산서 월별계획'!C16</x:f>
        <x:v>6547112158.972044</x:v>
      </x:c>
      <x:c r="D16" s="52">
        <x:f t="shared" ca="1" si="0"/>
        <x:v>0</x:v>
      </x:c>
      <x:c r="E16" s="20">
        <x:f ca="1">+E6-E11</x:f>
        <x:v>155631541.76046348</x:v>
      </x:c>
      <x:c r="F16" s="20">
        <x:f ca="1">+F6-F11</x:f>
        <x:v>0</x:v>
      </x:c>
      <x:c r="G16" s="46">
        <x:f t="shared" ca="1" si="1"/>
        <x:v>0</x:v>
      </x:c>
      <x:c r="H16" s="20">
        <x:f ca="1">+H6-H11</x:f>
        <x:v>0</x:v>
      </x:c>
      <x:c r="I16" s="52">
        <x:f ca="1">+IFERROR(H16/$H$6,)</x:f>
        <x:v>0</x:v>
      </x:c>
      <x:c r="J16" s="20">
        <x:f ca="1">+J6-J11</x:f>
        <x:v>155631541.76046348</x:v>
      </x:c>
      <x:c r="K16" s="52">
        <x:f t="shared" ref="K16:K33" ca="1" si="11">+IFERROR(J16/$J$6,)</x:f>
        <x:v>8.6367263770701544E-2</x:v>
      </x:c>
      <x:c r="L16" s="20">
        <x:f ca="1">+L6-L11</x:f>
        <x:v>0</x:v>
      </x:c>
      <x:c r="M16" s="52">
        <x:f t="shared" ref="M16:M68" ca="1" si="12">+IFERROR(L16/$L$6,)</x:f>
        <x:v>0</x:v>
      </x:c>
      <x:c r="N16" s="58" t="str">
        <x:f ca="1">+IF(AND(H16&gt;0,L16&gt;0),L16/H16,"-")</x:f>
        <x:v>-</x:v>
      </x:c>
      <x:c r="O16" s="58">
        <x:f ca="1">+IF(AND(J16&gt;0,N16&gt;0),L16/J16,"-")</x:f>
        <x:v>0</x:v>
      </x:c>
    </x:row>
    <x:row r="17" spans="2:20" s="65" customFormat="1">
      <x:c r="B17" s="66" t="s">
        <x:v>25</x:v>
      </x:c>
      <x:c r="C17" s="56">
        <x:f>+'(계획)손익계산서 월별계획'!C17</x:f>
        <x:v>0.13783807189929118</x:v>
      </x:c>
      <x:c r="D17" s="53"/>
      <x:c r="E17" s="56">
        <x:f ca="1">+IFERROR(E16/E6,)</x:f>
        <x:v>8.6367263770701544E-2</x:v>
      </x:c>
      <x:c r="F17" s="56">
        <x:f ca="1">+IFERROR(F16/F6,)</x:f>
        <x:v>0</x:v>
      </x:c>
      <x:c r="G17" s="53"/>
      <x:c r="H17" s="56">
        <x:f ca="1">+IFERROR(H16/H6,)</x:f>
        <x:v>0</x:v>
      </x:c>
      <x:c r="I17" s="53"/>
      <x:c r="J17" s="56">
        <x:f ca="1">+IFERROR(J16/J6,)</x:f>
        <x:v>8.6367263770701544E-2</x:v>
      </x:c>
      <x:c r="K17" s="53"/>
      <x:c r="L17" s="56">
        <x:f ca="1">+IFERROR(L16/L6,)</x:f>
        <x:v>0</x:v>
      </x:c>
      <x:c r="M17" s="53"/>
      <x:c r="N17" s="56"/>
      <x:c r="O17" s="56"/>
      <x:c r="P17" s="6"/>
      <x:c r="Q17" s="6"/>
    </x:row>
    <x:row r="18" spans="2:20">
      <x:c r="B18" s="41" t="s">
        <x:v>26</x:v>
      </x:c>
      <x:c r="C18" s="20">
        <x:f>+'(계획)손익계산서 월별계획'!C18</x:f>
        <x:v>16095021254.841496</x:v>
      </x:c>
      <x:c r="D18" s="52">
        <x:f t="shared" ref="D18:D33" ca="1" si="13">+IFERROR(F18/C18,)</x:f>
        <x:v>0</x:v>
      </x:c>
      <x:c r="E18" s="20">
        <x:f t="shared" ref="E18:F18" ca="1" si="14">+E19+E35+E53</x:f>
        <x:v>1367927965.5688534</x:v>
      </x:c>
      <x:c r="F18" s="20">
        <x:f t="shared" ca="1" si="14"/>
        <x:v>0</x:v>
      </x:c>
      <x:c r="G18" s="46">
        <x:f t="shared" ref="G18:G33" ca="1" si="15">+IFERROR(F18/E18,)</x:f>
        <x:v>0</x:v>
      </x:c>
      <x:c r="H18" s="20">
        <x:f t="shared" ref="H18:L18" ca="1" si="16">+H19+H35+H53</x:f>
        <x:v>0</x:v>
      </x:c>
      <x:c r="I18" s="52">
        <x:f t="shared" ref="I18" ca="1" si="17">+IFERROR(H18/$L$6,)</x:f>
        <x:v>0</x:v>
      </x:c>
      <x:c r="J18" s="20">
        <x:f t="shared" ca="1" si="16"/>
        <x:v>1367927965.5688534</x:v>
      </x:c>
      <x:c r="K18" s="52">
        <x:f t="shared" ca="1" si="11"/>
        <x:v>0.75912757841494027</x:v>
      </x:c>
      <x:c r="L18" s="20">
        <x:f t="shared" ca="1" si="16"/>
        <x:v>0</x:v>
      </x:c>
      <x:c r="M18" s="52">
        <x:f t="shared" ca="1" si="12"/>
        <x:v>0</x:v>
      </x:c>
      <x:c r="N18" s="58">
        <x:f t="shared" ref="N18:N33" ca="1" si="18">+IFERROR(L18/H18,)</x:f>
        <x:v>0</x:v>
      </x:c>
      <x:c r="O18" s="58">
        <x:f t="shared" ca="1" si="7"/>
        <x:v>0</x:v>
      </x:c>
      <x:c r="P18" s="6"/>
      <x:c r="Q18" s="303">
        <x:f ca="1">+L18-J18</x:f>
        <x:v>-1367927965.5688534</x:v>
      </x:c>
      <x:c r="R18" s="303">
        <x:f ca="1">+L18-H18</x:f>
        <x:v>0</x:v>
      </x:c>
    </x:row>
    <x:row r="19" spans="2:20" ht="16.5">
      <x:c r="B19" s="43" t="s">
        <x:v>2</x:v>
      </x:c>
      <x:c r="C19" s="62">
        <x:f>+'(계획)손익계산서 월별계획'!C19</x:f>
        <x:v>1617699693.6571627</x:v>
      </x:c>
      <x:c r="D19" s="54">
        <x:f t="shared" ca="1" si="13"/>
        <x:v>0</x:v>
      </x:c>
      <x:c r="E19" s="62">
        <x:f ca="1">SUM(E20:E34)</x:f>
        <x:v>141506402.55802414</x:v>
      </x:c>
      <x:c r="F19" s="62">
        <x:f ca="1">SUM(F20:F34)</x:f>
        <x:v>0</x:v>
      </x:c>
      <x:c r="G19" s="47">
        <x:f t="shared" ca="1" si="15"/>
        <x:v>0</x:v>
      </x:c>
      <x:c r="H19" s="62">
        <x:f ca="1">SUM(H20:H34)</x:f>
        <x:v>0</x:v>
      </x:c>
      <x:c r="I19" s="54">
        <x:f t="shared" ref="I19:I33" ca="1" si="19">+IFERROR(H19/$H$6,)</x:f>
        <x:v>0</x:v>
      </x:c>
      <x:c r="J19" s="62">
        <x:f ca="1">SUM(J20:J34)</x:f>
        <x:v>141506402.55802414</x:v>
      </x:c>
      <x:c r="K19" s="54">
        <x:f t="shared" ca="1" si="11"/>
        <x:v>7.8528559549852717E-2</x:v>
      </x:c>
      <x:c r="L19" s="62">
        <x:f ca="1">SUM(L20:L34)</x:f>
        <x:v>0</x:v>
      </x:c>
      <x:c r="M19" s="54">
        <x:f t="shared" ca="1" si="12"/>
        <x:v>0</x:v>
      </x:c>
      <x:c r="N19" s="59">
        <x:f t="shared" ca="1" si="18"/>
        <x:v>0</x:v>
      </x:c>
      <x:c r="O19" s="59">
        <x:f t="shared" ca="1" si="7"/>
        <x:v>0</x:v>
      </x:c>
      <x:c r="P19" s="6"/>
      <x:c r="Q19" s="6"/>
      <x:c r="R19" s="231" t="s">
        <x:v>301</x:v>
      </x:c>
      <x:c r="S19" s="231" t="s">
        <x:v>302</x:v>
      </x:c>
    </x:row>
    <x:row r="20" spans="2:20">
      <x:c r="B20" s="42" t="s">
        <x:v>49</x:v>
      </x:c>
      <x:c r="C20" s="14">
        <x:f>+'(계획)손익계산서 월별계획'!C20</x:f>
        <x:v>715264669.55859137</x:v>
      </x:c>
      <x:c r="D20" s="53">
        <x:f t="shared" ca="1" si="13"/>
        <x:v>0</x:v>
      </x:c>
      <x:c r="E20" s="14">
        <x:f ca="1">SUM('(계획)손익계산서 월별계획'!E20:OFFSET('(계획)손익계산서 월별계획'!E20,0,$C$4-1))</x:f>
        <x:v>56724043.558591418</x:v>
      </x:c>
      <x:c r="F20" s="14">
        <x:f ca="1">SUM('3. 손익계산서 월별실적'!E20:OFFSET('3. 손익계산서 월별실적'!E20,0,$C$4-1))</x:f>
        <x:v>0</x:v>
      </x:c>
      <x:c r="G20" s="38">
        <x:f t="shared" ca="1" si="15"/>
        <x:v>0</x:v>
      </x:c>
      <x:c r="H20" s="14">
        <x:f ca="1">OFFSET('3. 손익계산서 월별실적'!E20,0,$C$4-2)</x:f>
        <x:v>0</x:v>
      </x:c>
      <x:c r="I20" s="53">
        <x:f t="shared" ca="1" si="19"/>
        <x:v>0</x:v>
      </x:c>
      <x:c r="J20" s="14">
        <x:f ca="1">OFFSET('(계획)손익계산서 월별계획'!E20,0,$C$4-1)</x:f>
        <x:v>56724043.558591418</x:v>
      </x:c>
      <x:c r="K20" s="53">
        <x:f t="shared" ca="1" si="11"/>
        <x:v>3.1478840193628364E-2</x:v>
      </x:c>
      <x:c r="L20" s="14">
        <x:f ca="1">OFFSET('3. 손익계산서 월별실적'!E20,0,$C$4-1)</x:f>
        <x:v>0</x:v>
      </x:c>
      <x:c r="M20" s="53">
        <x:f t="shared" ca="1" si="12"/>
        <x:v>0</x:v>
      </x:c>
      <x:c r="N20" s="56">
        <x:f t="shared" ca="1" si="18"/>
        <x:v>0</x:v>
      </x:c>
      <x:c r="O20" s="56">
        <x:f t="shared" ca="1" si="7"/>
        <x:v>0</x:v>
      </x:c>
      <x:c r="P20" s="6"/>
      <x:c r="Q20" s="6" t="s">
        <x:v>300</x:v>
      </x:c>
      <x:c r="R20" s="13">
        <x:f ca="1">+E20+E36+E54</x:f>
        <x:v>699515381.81762171</x:v>
      </x:c>
      <x:c r="S20" s="13">
        <x:f ca="1">+F20+F36+F54</x:f>
        <x:v>0</x:v>
      </x:c>
      <x:c r="T20" s="21">
        <x:f ca="1">+S20/R20</x:f>
        <x:v>0</x:v>
      </x:c>
    </x:row>
    <x:row r="21" spans="2:20">
      <x:c r="B21" s="42" t="s">
        <x:v>50</x:v>
      </x:c>
      <x:c r="C21" s="14">
        <x:f>+'(계획)손익계산서 월별계획'!C21</x:f>
        <x:v>12041448</x:v>
      </x:c>
      <x:c r="D21" s="53">
        <x:f t="shared" ca="1" si="13"/>
        <x:v>0</x:v>
      </x:c>
      <x:c r="E21" s="14">
        <x:f ca="1">SUM('(계획)손익계산서 월별계획'!E21:OFFSET('(계획)손익계산서 월별계획'!E21,0,$C$4-1))</x:f>
        <x:v>1003454</x:v>
      </x:c>
      <x:c r="F21" s="14">
        <x:f ca="1">SUM('3. 손익계산서 월별실적'!E21:OFFSET('3. 손익계산서 월별실적'!E21,0,$C$4-1))</x:f>
        <x:v>0</x:v>
      </x:c>
      <x:c r="G21" s="38">
        <x:f t="shared" ca="1" si="15"/>
        <x:v>0</x:v>
      </x:c>
      <x:c r="H21" s="14">
        <x:f ca="1">OFFSET('3. 손익계산서 월별실적'!E21,0,$C$4-2)</x:f>
        <x:v>0</x:v>
      </x:c>
      <x:c r="I21" s="53">
        <x:f t="shared" ca="1" si="19"/>
        <x:v>0</x:v>
      </x:c>
      <x:c r="J21" s="14">
        <x:f ca="1">OFFSET('(계획)손익계산서 월별계획'!E21,0,$C$4-1)</x:f>
        <x:v>1003454</x:v>
      </x:c>
      <x:c r="K21" s="53">
        <x:f t="shared" ca="1" si="11"/>
        <x:v>5.5686382926897152E-4</x:v>
      </x:c>
      <x:c r="L21" s="14">
        <x:f ca="1">OFFSET('3. 손익계산서 월별실적'!E21,0,$C$4-1)</x:f>
        <x:v>0</x:v>
      </x:c>
      <x:c r="M21" s="53">
        <x:f t="shared" ca="1" si="12"/>
        <x:v>0</x:v>
      </x:c>
      <x:c r="N21" s="56">
        <x:f t="shared" ca="1" si="18"/>
        <x:v>0</x:v>
      </x:c>
      <x:c r="O21" s="56">
        <x:f t="shared" ca="1" si="7"/>
        <x:v>0</x:v>
      </x:c>
      <x:c r="P21" s="6"/>
      <x:c r="Q21" s="6" t="s">
        <x:v>303</x:v>
      </x:c>
      <x:c r="R21" s="13">
        <x:f ca="1">SUM(E27,E43,E61)</x:f>
        <x:v>166378847.0917128</x:v>
      </x:c>
      <x:c r="S21" s="13">
        <x:f ca="1">SUM(F27,F43,F61)</x:f>
        <x:v>0</x:v>
      </x:c>
      <x:c r="T21" s="21">
        <x:f ca="1">+S21/R21</x:f>
        <x:v>0</x:v>
      </x:c>
    </x:row>
    <x:row r="22" spans="2:20">
      <x:c r="B22" s="42" t="s">
        <x:v>51</x:v>
      </x:c>
      <x:c r="C22" s="14">
        <x:f>+'(계획)손익계산서 월별계획'!C22</x:f>
        <x:v>60201579.732499987</x:v>
      </x:c>
      <x:c r="D22" s="53">
        <x:f t="shared" ca="1" si="13"/>
        <x:v>0</x:v>
      </x:c>
      <x:c r="E22" s="14">
        <x:f ca="1">SUM('(계획)손익계산서 월별계획'!E22:OFFSET('(계획)손익계산서 월별계획'!E22,0,$C$4-1))</x:f>
        <x:v>4668587.96</x:v>
      </x:c>
      <x:c r="F22" s="14">
        <x:f ca="1">SUM('3. 손익계산서 월별실적'!E22:OFFSET('3. 손익계산서 월별실적'!E22,0,$C$4-1))</x:f>
        <x:v>0</x:v>
      </x:c>
      <x:c r="G22" s="38">
        <x:f t="shared" ca="1" si="15"/>
        <x:v>0</x:v>
      </x:c>
      <x:c r="H22" s="14">
        <x:f ca="1">OFFSET('3. 손익계산서 월별실적'!E22,0,$C$4-2)</x:f>
        <x:v>0</x:v>
      </x:c>
      <x:c r="I22" s="53">
        <x:f t="shared" ca="1" si="19"/>
        <x:v>0</x:v>
      </x:c>
      <x:c r="J22" s="14">
        <x:f ca="1">OFFSET('(계획)손익계산서 월별계획'!E22,0,$C$4-1)</x:f>
        <x:v>4668587.96</x:v>
      </x:c>
      <x:c r="K22" s="53">
        <x:f t="shared" ca="1" si="11"/>
        <x:v>2.5908190795837335E-3</x:v>
      </x:c>
      <x:c r="L22" s="14">
        <x:f ca="1">OFFSET('3. 손익계산서 월별실적'!E22,0,$C$4-1)</x:f>
        <x:v>0</x:v>
      </x:c>
      <x:c r="M22" s="53">
        <x:f t="shared" ca="1" si="12"/>
        <x:v>0</x:v>
      </x:c>
      <x:c r="N22" s="56">
        <x:f t="shared" ca="1" si="18"/>
        <x:v>0</x:v>
      </x:c>
      <x:c r="O22" s="56">
        <x:f t="shared" ca="1" si="7"/>
        <x:v>0</x:v>
      </x:c>
      <x:c r="P22" s="6"/>
      <x:c r="Q22" s="6" t="s">
        <x:v>304</x:v>
      </x:c>
      <x:c r="R22" s="13">
        <x:f ca="1">SUM(E30,E46,E64)</x:f>
        <x:v>165990000</x:v>
      </x:c>
      <x:c r="S22" s="13">
        <x:f ca="1">SUM(F30,F46,F64)</x:f>
        <x:v>0</x:v>
      </x:c>
      <x:c r="T22" s="21">
        <x:f ca="1">+S22/R22</x:f>
        <x:v>0</x:v>
      </x:c>
    </x:row>
    <x:row r="23" spans="2:20">
      <x:c r="B23" s="42" t="s">
        <x:v>52</x:v>
      </x:c>
      <x:c r="C23" s="14">
        <x:f>+'(계획)손익계산서 월별계획'!C23</x:f>
        <x:v>60289268.999999993</x:v>
      </x:c>
      <x:c r="D23" s="53">
        <x:f t="shared" ca="1" si="13"/>
        <x:v>0</x:v>
      </x:c>
      <x:c r="E23" s="14">
        <x:f ca="1">SUM('(계획)손익계산서 월별계획'!E23:OFFSET('(계획)손익계산서 월별계획'!E23,0,$C$4-1))</x:f>
        <x:v>2095697.4166666665</x:v>
      </x:c>
      <x:c r="F23" s="14">
        <x:f ca="1">SUM('3. 손익계산서 월별실적'!E23:OFFSET('3. 손익계산서 월별실적'!E23,0,$C$4-1))</x:f>
        <x:v>0</x:v>
      </x:c>
      <x:c r="G23" s="38">
        <x:f t="shared" ca="1" si="15"/>
        <x:v>0</x:v>
      </x:c>
      <x:c r="H23" s="14">
        <x:f ca="1">OFFSET('3. 손익계산서 월별실적'!E23,0,$C$4-2)</x:f>
        <x:v>0</x:v>
      </x:c>
      <x:c r="I23" s="53">
        <x:f t="shared" ca="1" si="19"/>
        <x:v>0</x:v>
      </x:c>
      <x:c r="J23" s="14">
        <x:f ca="1">OFFSET('(계획)손익계산서 월별계획'!E23,0,$C$4-1)</x:f>
        <x:v>2095697.4166666665</x:v>
      </x:c>
      <x:c r="K23" s="53">
        <x:f t="shared" ca="1" si="11"/>
        <x:v>1.1630010826944647E-3</x:v>
      </x:c>
      <x:c r="L23" s="14">
        <x:f ca="1">OFFSET('3. 손익계산서 월별실적'!E23,0,$C$4-1)</x:f>
        <x:v>0</x:v>
      </x:c>
      <x:c r="M23" s="53">
        <x:f t="shared" ca="1" si="12"/>
        <x:v>0</x:v>
      </x:c>
      <x:c r="N23" s="56">
        <x:f t="shared" ca="1" si="18"/>
        <x:v>0</x:v>
      </x:c>
      <x:c r="O23" s="56">
        <x:f t="shared" ca="1" si="7"/>
        <x:v>0</x:v>
      </x:c>
      <x:c r="P23" s="6"/>
      <x:c r="Q23" s="6"/>
    </x:row>
    <x:row r="24" spans="2:20">
      <x:c r="B24" s="42" t="s">
        <x:v>53</x:v>
      </x:c>
      <x:c r="C24" s="14">
        <x:f>+'(계획)손익계산서 월별계획'!C24</x:f>
        <x:v>622546972.69940484</x:v>
      </x:c>
      <x:c r="D24" s="53">
        <x:f t="shared" ca="1" si="13"/>
        <x:v>0</x:v>
      </x:c>
      <x:c r="E24" s="14">
        <x:f ca="1">SUM('(계획)손익계산서 월별계획'!E24:OFFSET('(계획)손익계산서 월별계획'!E24,0,$C$4-1))</x:f>
        <x:v>64761640.067210503</x:v>
      </x:c>
      <x:c r="F24" s="14">
        <x:f ca="1">SUM('3. 손익계산서 월별실적'!E24:OFFSET('3. 손익계산서 월별실적'!E24,0,$C$4-1))</x:f>
        <x:v>0</x:v>
      </x:c>
      <x:c r="G24" s="38">
        <x:f t="shared" ca="1" si="15"/>
        <x:v>0</x:v>
      </x:c>
      <x:c r="H24" s="14">
        <x:f ca="1">OFFSET('3. 손익계산서 월별실적'!E24,0,$C$4-2)</x:f>
        <x:v>0</x:v>
      </x:c>
      <x:c r="I24" s="53">
        <x:f t="shared" ca="1" si="19"/>
        <x:v>0</x:v>
      </x:c>
      <x:c r="J24" s="14">
        <x:f ca="1">OFFSET('(계획)손익계산서 월별계획'!E24,0,$C$4-1)</x:f>
        <x:v>64761640.067210503</x:v>
      </x:c>
      <x:c r="K24" s="53">
        <x:f t="shared" ca="1" si="11"/>
        <x:v>3.5939280602365127E-2</x:v>
      </x:c>
      <x:c r="L24" s="14">
        <x:f ca="1">OFFSET('3. 손익계산서 월별실적'!E24,0,$C$4-1)</x:f>
        <x:v>0</x:v>
      </x:c>
      <x:c r="M24" s="53">
        <x:f t="shared" ca="1" si="12"/>
        <x:v>0</x:v>
      </x:c>
      <x:c r="N24" s="56">
        <x:f t="shared" ca="1" si="18"/>
        <x:v>0</x:v>
      </x:c>
      <x:c r="O24" s="56">
        <x:f t="shared" ca="1" si="7"/>
        <x:v>0</x:v>
      </x:c>
      <x:c r="P24" s="6"/>
      <x:c r="Q24" s="6"/>
    </x:row>
    <x:row r="25" spans="2:20">
      <x:c r="B25" s="42" t="s">
        <x:v>54</x:v>
      </x:c>
      <x:c r="C25" s="14">
        <x:f>+'(계획)손익계산서 월별계획'!C25</x:f>
        <x:v>0</x:v>
      </x:c>
      <x:c r="D25" s="53">
        <x:f t="shared" ca="1" si="13"/>
        <x:v>0</x:v>
      </x:c>
      <x:c r="E25" s="14">
        <x:f ca="1">SUM('(계획)손익계산서 월별계획'!E25:OFFSET('(계획)손익계산서 월별계획'!E25,0,$C$4-1))</x:f>
        <x:v>0</x:v>
      </x:c>
      <x:c r="F25" s="14">
        <x:f ca="1">SUM('3. 손익계산서 월별실적'!E25:OFFSET('3. 손익계산서 월별실적'!E25,0,$C$4-1))</x:f>
        <x:v>0</x:v>
      </x:c>
      <x:c r="G25" s="38">
        <x:f t="shared" ca="1" si="15"/>
        <x:v>0</x:v>
      </x:c>
      <x:c r="H25" s="14">
        <x:f ca="1">OFFSET('3. 손익계산서 월별실적'!E25,0,$C$4-2)</x:f>
        <x:v>0</x:v>
      </x:c>
      <x:c r="I25" s="53">
        <x:f t="shared" ca="1" si="19"/>
        <x:v>0</x:v>
      </x:c>
      <x:c r="J25" s="14">
        <x:f ca="1">OFFSET('(계획)손익계산서 월별계획'!E25,0,$C$4-1)</x:f>
        <x:v>0</x:v>
      </x:c>
      <x:c r="K25" s="53">
        <x:f t="shared" ca="1" si="11"/>
        <x:v>0</x:v>
      </x:c>
      <x:c r="L25" s="14">
        <x:f ca="1">OFFSET('3. 손익계산서 월별실적'!E25,0,$C$4-1)</x:f>
        <x:v>0</x:v>
      </x:c>
      <x:c r="M25" s="53">
        <x:f t="shared" ca="1" si="12"/>
        <x:v>0</x:v>
      </x:c>
      <x:c r="N25" s="56">
        <x:f t="shared" ca="1" si="18"/>
        <x:v>0</x:v>
      </x:c>
      <x:c r="O25" s="56">
        <x:f t="shared" ref="O25:O26" ca="1" si="20">+IFERROR(L25/J25,)</x:f>
        <x:v>0</x:v>
      </x:c>
      <x:c r="P25" s="6"/>
      <x:c r="Q25" s="6"/>
    </x:row>
    <x:row r="26" spans="2:20">
      <x:c r="B26" s="42" t="s">
        <x:v>55</x:v>
      </x:c>
      <x:c r="C26" s="14">
        <x:f>+'(계획)손익계산서 월별계획'!C26</x:f>
        <x:v>0</x:v>
      </x:c>
      <x:c r="D26" s="53">
        <x:f t="shared" ca="1" si="13"/>
        <x:v>0</x:v>
      </x:c>
      <x:c r="E26" s="14">
        <x:f ca="1">SUM('(계획)손익계산서 월별계획'!E26:OFFSET('(계획)손익계산서 월별계획'!E26,0,$C$4-1))</x:f>
        <x:v>0</x:v>
      </x:c>
      <x:c r="F26" s="14">
        <x:f ca="1">SUM('3. 손익계산서 월별실적'!E26:OFFSET('3. 손익계산서 월별실적'!E26,0,$C$4-1))</x:f>
        <x:v>0</x:v>
      </x:c>
      <x:c r="G26" s="38">
        <x:f t="shared" ca="1" si="15"/>
        <x:v>0</x:v>
      </x:c>
      <x:c r="H26" s="14">
        <x:f ca="1">OFFSET('3. 손익계산서 월별실적'!E26,0,$C$4-2)</x:f>
        <x:v>0</x:v>
      </x:c>
      <x:c r="I26" s="53">
        <x:f t="shared" ca="1" si="19"/>
        <x:v>0</x:v>
      </x:c>
      <x:c r="J26" s="14">
        <x:f ca="1">OFFSET('(계획)손익계산서 월별계획'!E26,0,$C$4-1)</x:f>
        <x:v>0</x:v>
      </x:c>
      <x:c r="K26" s="53">
        <x:f t="shared" ca="1" si="11"/>
        <x:v>0</x:v>
      </x:c>
      <x:c r="L26" s="14">
        <x:f ca="1">OFFSET('3. 손익계산서 월별실적'!E26,0,$C$4-1)</x:f>
        <x:v>0</x:v>
      </x:c>
      <x:c r="M26" s="53">
        <x:f t="shared" ca="1" si="12"/>
        <x:v>0</x:v>
      </x:c>
      <x:c r="N26" s="56">
        <x:f t="shared" ca="1" si="18"/>
        <x:v>0</x:v>
      </x:c>
      <x:c r="O26" s="56">
        <x:f t="shared" ca="1" si="20"/>
        <x:v>0</x:v>
      </x:c>
      <x:c r="P26" s="6"/>
      <x:c r="Q26" s="6"/>
    </x:row>
    <x:row r="27" spans="2:20">
      <x:c r="B27" s="42" t="s">
        <x:v>56</x:v>
      </x:c>
      <x:c r="C27" s="14">
        <x:f>+'(계획)손익계산서 월별계획'!C27</x:f>
        <x:v>2304000</x:v>
      </x:c>
      <x:c r="D27" s="53">
        <x:f t="shared" ca="1" si="13"/>
        <x:v>0</x:v>
      </x:c>
      <x:c r="E27" s="14">
        <x:f ca="1">SUM('(계획)손익계산서 월별계획'!E27:OFFSET('(계획)손익계산서 월별계획'!E27,0,$C$4-1))</x:f>
        <x:v>192000</x:v>
      </x:c>
      <x:c r="F27" s="14">
        <x:f ca="1">SUM('3. 손익계산서 월별실적'!E27:OFFSET('3. 손익계산서 월별실적'!E27,0,$C$4-1))</x:f>
        <x:v>0</x:v>
      </x:c>
      <x:c r="G27" s="38">
        <x:f t="shared" ca="1" si="15"/>
        <x:v>0</x:v>
      </x:c>
      <x:c r="H27" s="14">
        <x:f ca="1">OFFSET('3. 손익계산서 월별실적'!E27,0,$C$4-2)</x:f>
        <x:v>0</x:v>
      </x:c>
      <x:c r="I27" s="53">
        <x:f t="shared" ca="1" si="19"/>
        <x:v>0</x:v>
      </x:c>
      <x:c r="J27" s="14">
        <x:f ca="1">OFFSET('(계획)손익계산서 월별계획'!E27,0,$C$4-1)</x:f>
        <x:v>192000</x:v>
      </x:c>
      <x:c r="K27" s="53">
        <x:f t="shared" ca="1" si="11"/>
        <x:v>1.0654983209957062E-4</x:v>
      </x:c>
      <x:c r="L27" s="14">
        <x:f ca="1">OFFSET('3. 손익계산서 월별실적'!E27,0,$C$4-1)</x:f>
        <x:v>0</x:v>
      </x:c>
      <x:c r="M27" s="53">
        <x:f t="shared" ref="M27:M29" ca="1" si="21">+IFERROR(L27/$L$6,)</x:f>
        <x:v>0</x:v>
      </x:c>
      <x:c r="N27" s="56">
        <x:f t="shared" ca="1" si="18"/>
        <x:v>0</x:v>
      </x:c>
      <x:c r="O27" s="56">
        <x:f t="shared" ref="O27:O29" ca="1" si="22">+IFERROR(L27/J27,)</x:f>
        <x:v>0</x:v>
      </x:c>
      <x:c r="P27" s="6"/>
      <x:c r="Q27" s="6"/>
    </x:row>
    <x:row r="28" spans="2:20">
      <x:c r="B28" s="42" t="s">
        <x:v>57</x:v>
      </x:c>
      <x:c r="C28" s="14">
        <x:f>+'(계획)손익계산서 월별계획'!C28</x:f>
        <x:v>117624999.99999999</x:v>
      </x:c>
      <x:c r="D28" s="53">
        <x:f t="shared" ca="1" si="13"/>
        <x:v>0</x:v>
      </x:c>
      <x:c r="E28" s="14">
        <x:f ca="1">SUM('(계획)손익계산서 월별계획'!E28:OFFSET('(계획)손익계산서 월별계획'!E28,0,$C$4-1))</x:f>
        <x:v>9802083.333333334</x:v>
      </x:c>
      <x:c r="F28" s="14">
        <x:f ca="1">SUM('3. 손익계산서 월별실적'!E28:OFFSET('3. 손익계산서 월별실적'!E28,0,$C$4-1))</x:f>
        <x:v>0</x:v>
      </x:c>
      <x:c r="G28" s="38">
        <x:f t="shared" ca="1" si="15"/>
        <x:v>0</x:v>
      </x:c>
      <x:c r="H28" s="14">
        <x:f ca="1">OFFSET('3. 손익계산서 월별실적'!E28,0,$C$4-2)</x:f>
        <x:v>0</x:v>
      </x:c>
      <x:c r="I28" s="53">
        <x:f t="shared" ca="1" si="19"/>
        <x:v>0</x:v>
      </x:c>
      <x:c r="J28" s="14">
        <x:f ca="1">OFFSET('(계획)손익계산서 월별계획'!E28,0,$C$4-1)</x:f>
        <x:v>9802083.333333334</x:v>
      </x:c>
      <x:c r="K28" s="53">
        <x:f t="shared" ca="1" si="11"/>
        <x:v>5.4396371530868034E-3</x:v>
      </x:c>
      <x:c r="L28" s="14">
        <x:f ca="1">OFFSET('3. 손익계산서 월별실적'!E28,0,$C$4-1)</x:f>
        <x:v>0</x:v>
      </x:c>
      <x:c r="M28" s="53">
        <x:f t="shared" ca="1" si="21"/>
        <x:v>0</x:v>
      </x:c>
      <x:c r="N28" s="56">
        <x:f t="shared" ca="1" si="18"/>
        <x:v>0</x:v>
      </x:c>
      <x:c r="O28" s="56">
        <x:f t="shared" ca="1" si="22"/>
        <x:v>0</x:v>
      </x:c>
      <x:c r="P28" s="6"/>
      <x:c r="Q28" s="6"/>
    </x:row>
    <x:row r="29" spans="2:20">
      <x:c r="B29" s="42" t="s">
        <x:v>58</x:v>
      </x:c>
      <x:c r="C29" s="14">
        <x:f>+'(계획)손익계산서 월별계획'!C29</x:f>
        <x:v>0</x:v>
      </x:c>
      <x:c r="D29" s="53">
        <x:f t="shared" ca="1" si="13"/>
        <x:v>0</x:v>
      </x:c>
      <x:c r="E29" s="14">
        <x:f ca="1">SUM('(계획)손익계산서 월별계획'!E29:OFFSET('(계획)손익계산서 월별계획'!E29,0,$C$4-1))</x:f>
        <x:v>0</x:v>
      </x:c>
      <x:c r="F29" s="14">
        <x:f ca="1">SUM('3. 손익계산서 월별실적'!E29:OFFSET('3. 손익계산서 월별실적'!E29,0,$C$4-1))</x:f>
        <x:v>0</x:v>
      </x:c>
      <x:c r="G29" s="38">
        <x:f t="shared" ca="1" si="15"/>
        <x:v>0</x:v>
      </x:c>
      <x:c r="H29" s="14">
        <x:f ca="1">OFFSET('3. 손익계산서 월별실적'!E29,0,$C$4-2)</x:f>
        <x:v>0</x:v>
      </x:c>
      <x:c r="I29" s="53">
        <x:f t="shared" ca="1" si="19"/>
        <x:v>0</x:v>
      </x:c>
      <x:c r="J29" s="14">
        <x:f ca="1">OFFSET('(계획)손익계산서 월별계획'!E29,0,$C$4-1)</x:f>
        <x:v>0</x:v>
      </x:c>
      <x:c r="K29" s="53">
        <x:f t="shared" ca="1" si="11"/>
        <x:v>0</x:v>
      </x:c>
      <x:c r="L29" s="14">
        <x:f ca="1">OFFSET('3. 손익계산서 월별실적'!E29,0,$C$4-1)</x:f>
        <x:v>0</x:v>
      </x:c>
      <x:c r="M29" s="53">
        <x:f t="shared" ca="1" si="21"/>
        <x:v>0</x:v>
      </x:c>
      <x:c r="N29" s="56">
        <x:f t="shared" ca="1" si="18"/>
        <x:v>0</x:v>
      </x:c>
      <x:c r="O29" s="56">
        <x:f t="shared" ca="1" si="22"/>
        <x:v>0</x:v>
      </x:c>
      <x:c r="P29" s="6"/>
      <x:c r="Q29" s="6"/>
    </x:row>
    <x:row r="30" spans="2:20">
      <x:c r="B30" s="42" t="s">
        <x:v>59</x:v>
      </x:c>
      <x:c r="C30" s="14">
        <x:f>+'(계획)손익계산서 월별계획'!C30</x:f>
        <x:v>0</x:v>
      </x:c>
      <x:c r="D30" s="53">
        <x:f t="shared" ca="1" si="13"/>
        <x:v>0</x:v>
      </x:c>
      <x:c r="E30" s="14">
        <x:f ca="1">SUM('(계획)손익계산서 월별계획'!E30:OFFSET('(계획)손익계산서 월별계획'!E30,0,$C$4-1))</x:f>
        <x:v>0</x:v>
      </x:c>
      <x:c r="F30" s="14">
        <x:f ca="1">SUM('3. 손익계산서 월별실적'!E30:OFFSET('3. 손익계산서 월별실적'!E30,0,$C$4-1))</x:f>
        <x:v>0</x:v>
      </x:c>
      <x:c r="G30" s="38">
        <x:f t="shared" ca="1" si="15"/>
        <x:v>0</x:v>
      </x:c>
      <x:c r="H30" s="14">
        <x:f ca="1">OFFSET('3. 손익계산서 월별실적'!E30,0,$C$4-2)</x:f>
        <x:v>0</x:v>
      </x:c>
      <x:c r="I30" s="53">
        <x:f t="shared" ca="1" si="19"/>
        <x:v>0</x:v>
      </x:c>
      <x:c r="J30" s="14">
        <x:f ca="1">OFFSET('(계획)손익계산서 월별계획'!E30,0,$C$4-1)</x:f>
        <x:v>0</x:v>
      </x:c>
      <x:c r="K30" s="53">
        <x:f t="shared" ca="1" si="11"/>
        <x:v>0</x:v>
      </x:c>
      <x:c r="L30" s="14">
        <x:f ca="1">OFFSET('3. 손익계산서 월별실적'!E30,0,$C$4-1)</x:f>
        <x:v>0</x:v>
      </x:c>
      <x:c r="M30" s="53">
        <x:f t="shared" ref="M30" ca="1" si="23">+IFERROR(L30/$L$6,)</x:f>
        <x:v>0</x:v>
      </x:c>
      <x:c r="N30" s="56">
        <x:f t="shared" ca="1" si="18"/>
        <x:v>0</x:v>
      </x:c>
      <x:c r="O30" s="56">
        <x:f t="shared" ref="O30" ca="1" si="24">+IFERROR(L30/J30,)</x:f>
        <x:v>0</x:v>
      </x:c>
      <x:c r="P30" s="6"/>
      <x:c r="Q30" s="6"/>
    </x:row>
    <x:row r="31" spans="2:20">
      <x:c r="B31" s="42" t="s">
        <x:v>60</x:v>
      </x:c>
      <x:c r="C31" s="14">
        <x:f>+'(계획)손익계산서 월별계획'!C31</x:f>
        <x:v>0</x:v>
      </x:c>
      <x:c r="D31" s="53">
        <x:f t="shared" ca="1" si="13"/>
        <x:v>0</x:v>
      </x:c>
      <x:c r="E31" s="14">
        <x:f ca="1">SUM('(계획)손익계산서 월별계획'!E31:OFFSET('(계획)손익계산서 월별계획'!E31,0,$C$4-1))</x:f>
        <x:v>0</x:v>
      </x:c>
      <x:c r="F31" s="14">
        <x:f ca="1">SUM('3. 손익계산서 월별실적'!E31:OFFSET('3. 손익계산서 월별실적'!E31,0,$C$4-1))</x:f>
        <x:v>0</x:v>
      </x:c>
      <x:c r="G31" s="38">
        <x:f t="shared" ca="1" si="15"/>
        <x:v>0</x:v>
      </x:c>
      <x:c r="H31" s="14">
        <x:f ca="1">OFFSET('3. 손익계산서 월별실적'!E31,0,$C$4-2)</x:f>
        <x:v>0</x:v>
      </x:c>
      <x:c r="I31" s="53">
        <x:f t="shared" ca="1" si="19"/>
        <x:v>0</x:v>
      </x:c>
      <x:c r="J31" s="14">
        <x:f ca="1">OFFSET('(계획)손익계산서 월별계획'!E31,0,$C$4-1)</x:f>
        <x:v>0</x:v>
      </x:c>
      <x:c r="K31" s="53">
        <x:f t="shared" ca="1" si="11"/>
        <x:v>0</x:v>
      </x:c>
      <x:c r="L31" s="14">
        <x:f ca="1">OFFSET('3. 손익계산서 월별실적'!E31,0,$C$4-1)</x:f>
        <x:v>0</x:v>
      </x:c>
      <x:c r="M31" s="53">
        <x:f t="shared" ref="M31" ca="1" si="25">+IFERROR(L31/$L$6,)</x:f>
        <x:v>0</x:v>
      </x:c>
      <x:c r="N31" s="56">
        <x:f t="shared" ca="1" si="18"/>
        <x:v>0</x:v>
      </x:c>
      <x:c r="O31" s="56">
        <x:f t="shared" ref="O31" ca="1" si="26">+IFERROR(L31/J31,)</x:f>
        <x:v>0</x:v>
      </x:c>
      <x:c r="P31" s="6"/>
      <x:c r="Q31" s="6"/>
    </x:row>
    <x:row r="32" spans="2:20">
      <x:c r="B32" s="42" t="s">
        <x:v>61</x:v>
      </x:c>
      <x:c r="C32" s="14">
        <x:f>+'(계획)손익계산서 월별계획'!C32</x:f>
        <x:v>0</x:v>
      </x:c>
      <x:c r="D32" s="53">
        <x:f t="shared" ca="1" si="13"/>
        <x:v>0</x:v>
      </x:c>
      <x:c r="E32" s="14">
        <x:f ca="1">SUM('(계획)손익계산서 월별계획'!E32:OFFSET('(계획)손익계산서 월별계획'!E32,0,$C$4-1))</x:f>
        <x:v>0</x:v>
      </x:c>
      <x:c r="F32" s="14">
        <x:f ca="1">SUM('3. 손익계산서 월별실적'!E32:OFFSET('3. 손익계산서 월별실적'!E32,0,$C$4-1))</x:f>
        <x:v>0</x:v>
      </x:c>
      <x:c r="G32" s="38">
        <x:f t="shared" ca="1" si="15"/>
        <x:v>0</x:v>
      </x:c>
      <x:c r="H32" s="14">
        <x:f ca="1">OFFSET('3. 손익계산서 월별실적'!E32,0,$C$4-2)</x:f>
        <x:v>0</x:v>
      </x:c>
      <x:c r="I32" s="53">
        <x:f t="shared" ca="1" si="19"/>
        <x:v>0</x:v>
      </x:c>
      <x:c r="J32" s="14">
        <x:f ca="1">OFFSET('(계획)손익계산서 월별계획'!E32,0,$C$4-1)</x:f>
        <x:v>0</x:v>
      </x:c>
      <x:c r="K32" s="53">
        <x:f t="shared" ca="1" si="11"/>
        <x:v>0</x:v>
      </x:c>
      <x:c r="L32" s="14">
        <x:f ca="1">OFFSET('3. 손익계산서 월별실적'!E32,0,$C$4-1)</x:f>
        <x:v>0</x:v>
      </x:c>
      <x:c r="M32" s="53">
        <x:f t="shared" ref="M32" ca="1" si="27">+IFERROR(L32/$L$6,)</x:f>
        <x:v>0</x:v>
      </x:c>
      <x:c r="N32" s="56">
        <x:f t="shared" ca="1" si="18"/>
        <x:v>0</x:v>
      </x:c>
      <x:c r="O32" s="56">
        <x:f t="shared" ref="O32" ca="1" si="28">+IFERROR(L32/J32,)</x:f>
        <x:v>0</x:v>
      </x:c>
      <x:c r="P32" s="6"/>
      <x:c r="Q32" s="6"/>
    </x:row>
    <x:row r="33" spans="2:17" s="6" customFormat="1">
      <x:c r="B33" s="42" t="s">
        <x:v>62</x:v>
      </x:c>
      <x:c r="C33" s="14">
        <x:f>+'(계획)손익계산서 월별계획'!C33</x:f>
        <x:v>27426754.666666672</x:v>
      </x:c>
      <x:c r="D33" s="53">
        <x:f t="shared" ca="1" si="13"/>
        <x:v>0</x:v>
      </x:c>
      <x:c r="E33" s="14">
        <x:f ca="1">SUM('(계획)손익계산서 월별계획'!E33:OFFSET('(계획)손익계산서 월별계획'!E33,0,$C$4-1))</x:f>
        <x:v>2258896.222222222</x:v>
      </x:c>
      <x:c r="F33" s="14">
        <x:f ca="1">SUM('3. 손익계산서 월별실적'!E33:OFFSET('3. 손익계산서 월별실적'!E33,0,$C$4-1))</x:f>
        <x:v>0</x:v>
      </x:c>
      <x:c r="G33" s="38">
        <x:f t="shared" ca="1" si="15"/>
        <x:v>0</x:v>
      </x:c>
      <x:c r="H33" s="14">
        <x:f ca="1">OFFSET('3. 손익계산서 월별실적'!E33,0,$C$4-2)</x:f>
        <x:v>0</x:v>
      </x:c>
      <x:c r="I33" s="53">
        <x:f t="shared" ca="1" si="19"/>
        <x:v>0</x:v>
      </x:c>
      <x:c r="J33" s="14">
        <x:f ca="1">OFFSET('(계획)손익계산서 월별계획'!E33,0,$C$4-1)</x:f>
        <x:v>2258896.222222222</x:v>
      </x:c>
      <x:c r="K33" s="53">
        <x:f t="shared" ca="1" si="11"/>
        <x:v>1.2535677771256879E-3</x:v>
      </x:c>
      <x:c r="L33" s="14">
        <x:f ca="1">OFFSET('3. 손익계산서 월별실적'!E33,0,$C$4-1)</x:f>
        <x:v>0</x:v>
      </x:c>
      <x:c r="M33" s="53">
        <x:f t="shared" ca="1" si="12"/>
        <x:v>0</x:v>
      </x:c>
      <x:c r="N33" s="56">
        <x:f t="shared" ca="1" si="18"/>
        <x:v>0</x:v>
      </x:c>
      <x:c r="O33" s="56">
        <x:f t="shared" ca="1" si="7"/>
        <x:v>0</x:v>
      </x:c>
    </x:row>
    <x:row r="34" spans="2:17" s="21" customFormat="1" ht="9.6" customHeight="1">
      <x:c r="B34" s="45"/>
      <x:c r="C34" s="63"/>
      <x:c r="D34" s="55"/>
      <x:c r="E34" s="14"/>
      <x:c r="F34" s="14"/>
      <x:c r="G34" s="48"/>
      <x:c r="H34" s="63"/>
      <x:c r="I34" s="55"/>
      <x:c r="J34" s="14"/>
      <x:c r="K34" s="53"/>
      <x:c r="L34" s="14"/>
      <x:c r="M34" s="53"/>
      <x:c r="N34" s="56"/>
      <x:c r="O34" s="56"/>
      <x:c r="P34" s="6"/>
      <x:c r="Q34" s="6"/>
    </x:row>
    <x:row r="35" spans="2:17" s="6" customFormat="1" ht="16.5">
      <x:c r="B35" s="43" t="s">
        <x:v>3</x:v>
      </x:c>
      <x:c r="C35" s="62">
        <x:f>+'(계획)손익계산서 월별계획'!C35</x:f>
        <x:v>8903363912.2123909</x:v>
      </x:c>
      <x:c r="D35" s="54">
        <x:f t="shared" ref="D35:D67" ca="1" si="29">+IFERROR(F35/C35,)</x:f>
        <x:v>0</x:v>
      </x:c>
      <x:c r="E35" s="62">
        <x:f ca="1">SUM(E36:E51)</x:f>
        <x:v>731659433.27613389</x:v>
      </x:c>
      <x:c r="F35" s="62">
        <x:f ca="1">SUM(F36:F51)</x:f>
        <x:v>0</x:v>
      </x:c>
      <x:c r="G35" s="47">
        <x:f t="shared" ref="G35:G51" ca="1" si="30">+IFERROR(F35/E35,)</x:f>
        <x:v>0</x:v>
      </x:c>
      <x:c r="H35" s="62">
        <x:f ca="1">SUM(H36:H51)</x:f>
        <x:v>0</x:v>
      </x:c>
      <x:c r="I35" s="54">
        <x:f t="shared" ref="I35:I51" ca="1" si="31">+IFERROR(H35/$H$6,)</x:f>
        <x:v>0</x:v>
      </x:c>
      <x:c r="J35" s="62">
        <x:f ca="1">SUM(J36:J51)</x:f>
        <x:v>731659433.27613389</x:v>
      </x:c>
      <x:c r="K35" s="54">
        <x:f t="shared" ref="K35:K68" ca="1" si="32">+IFERROR(J35/$J$6,)</x:f>
        <x:v>0.40603223838353675</x:v>
      </x:c>
      <x:c r="L35" s="62">
        <x:f ca="1">SUM(L36:L51)</x:f>
        <x:v>0</x:v>
      </x:c>
      <x:c r="M35" s="54">
        <x:f t="shared" ca="1" si="12"/>
        <x:v>0</x:v>
      </x:c>
      <x:c r="N35" s="59">
        <x:f t="shared" ref="N35:N51" ca="1" si="33">+IFERROR(L35/H35,)</x:f>
        <x:v>0</x:v>
      </x:c>
      <x:c r="O35" s="59">
        <x:f t="shared" ca="1" si="7"/>
        <x:v>0</x:v>
      </x:c>
    </x:row>
    <x:row r="36" spans="2:17">
      <x:c r="B36" s="44" t="s">
        <x:v>42</x:v>
      </x:c>
      <x:c r="C36" s="14">
        <x:f>+'(계획)손익계산서 월별계획'!C36</x:f>
        <x:v>5184045195.6434135</x:v>
      </x:c>
      <x:c r="D36" s="53">
        <x:f t="shared" ca="1" si="29"/>
        <x:v>0</x:v>
      </x:c>
      <x:c r="E36" s="14">
        <x:f ca="1">SUM('(계획)손익계산서 월별계획'!E36:OFFSET('(계획)손익계산서 월별계획'!E36,0,$C$4-1))</x:f>
        <x:v>407220252.04377949</x:v>
      </x:c>
      <x:c r="F36" s="14">
        <x:f ca="1">SUM('3. 손익계산서 월별실적'!E36:OFFSET('3. 손익계산서 월별실적'!E36,0,$C$4-1))</x:f>
        <x:v>0</x:v>
      </x:c>
      <x:c r="G36" s="38">
        <x:f t="shared" ca="1" si="30"/>
        <x:v>0</x:v>
      </x:c>
      <x:c r="H36" s="14">
        <x:f ca="1">OFFSET('3. 손익계산서 월별실적'!E36,0,$C$4-2)</x:f>
        <x:v>0</x:v>
      </x:c>
      <x:c r="I36" s="53">
        <x:f t="shared" ca="1" si="31"/>
        <x:v>0</x:v>
      </x:c>
      <x:c r="J36" s="14">
        <x:f ca="1">OFFSET('(계획)손익계산서 월별계획'!E36,0,$C$4-1)</x:f>
        <x:v>407220252.04377949</x:v>
      </x:c>
      <x:c r="K36" s="53">
        <x:f t="shared" ca="1" si="32"/>
        <x:v>0.22598567438963299</x:v>
      </x:c>
      <x:c r="L36" s="14">
        <x:f ca="1">OFFSET('3. 손익계산서 월별실적'!E36,0,$C$4-1)</x:f>
        <x:v>0</x:v>
      </x:c>
      <x:c r="M36" s="53">
        <x:f t="shared" ca="1" si="12"/>
        <x:v>0</x:v>
      </x:c>
      <x:c r="N36" s="56">
        <x:f t="shared" ca="1" si="33"/>
        <x:v>0</x:v>
      </x:c>
      <x:c r="O36" s="56">
        <x:f t="shared" ca="1" si="7"/>
        <x:v>0</x:v>
      </x:c>
      <x:c r="P36" s="6"/>
      <x:c r="Q36" s="6"/>
    </x:row>
    <x:row r="37" spans="2:17">
      <x:c r="B37" s="44" t="s">
        <x:v>43</x:v>
      </x:c>
      <x:c r="C37" s="14">
        <x:f>+'(계획)손익계산서 월별계획'!C37</x:f>
        <x:v>443787419.51711595</x:v>
      </x:c>
      <x:c r="D37" s="53">
        <x:f t="shared" ca="1" si="29"/>
        <x:v>0</x:v>
      </x:c>
      <x:c r="E37" s="14">
        <x:f ca="1">SUM('(계획)손익계산서 월별계획'!E37:OFFSET('(계획)손익계산서 월별계획'!E37,0,$C$4-1))</x:f>
        <x:v>26650201.587109305</x:v>
      </x:c>
      <x:c r="F37" s="14">
        <x:f ca="1">SUM('3. 손익계산서 월별실적'!E37:OFFSET('3. 손익계산서 월별실적'!E37,0,$C$4-1))</x:f>
        <x:v>0</x:v>
      </x:c>
      <x:c r="G37" s="38">
        <x:f t="shared" ca="1" si="30"/>
        <x:v>0</x:v>
      </x:c>
      <x:c r="H37" s="14">
        <x:f ca="1">OFFSET('3. 손익계산서 월별실적'!E37,0,$C$4-2)</x:f>
        <x:v>0</x:v>
      </x:c>
      <x:c r="I37" s="53">
        <x:f t="shared" ca="1" si="31"/>
        <x:v>0</x:v>
      </x:c>
      <x:c r="J37" s="14">
        <x:f ca="1">OFFSET('(계획)손익계산서 월별계획'!E37,0,$C$4-1)</x:f>
        <x:v>26650201.587109305</x:v>
      </x:c>
      <x:c r="K37" s="53">
        <x:f t="shared" ca="1" si="32"/>
        <x:v>1.4789450544407327E-2</x:v>
      </x:c>
      <x:c r="L37" s="14">
        <x:f ca="1">OFFSET('3. 손익계산서 월별실적'!E37,0,$C$4-1)</x:f>
        <x:v>0</x:v>
      </x:c>
      <x:c r="M37" s="53">
        <x:f t="shared" ca="1" si="12"/>
        <x:v>0</x:v>
      </x:c>
      <x:c r="N37" s="56">
        <x:f t="shared" ca="1" si="33"/>
        <x:v>0</x:v>
      </x:c>
      <x:c r="O37" s="56">
        <x:f t="shared" ca="1" si="7"/>
        <x:v>0</x:v>
      </x:c>
      <x:c r="P37" s="6"/>
      <x:c r="Q37" s="6"/>
    </x:row>
    <x:row r="38" spans="2:17">
      <x:c r="B38" s="44" t="s">
        <x:v>44</x:v>
      </x:c>
      <x:c r="C38" s="14">
        <x:f>+'(계획)손익계산서 월별계획'!C38</x:f>
        <x:v>473988026.65000492</x:v>
      </x:c>
      <x:c r="D38" s="53">
        <x:f t="shared" ca="1" si="29"/>
        <x:v>0</x:v>
      </x:c>
      <x:c r="E38" s="14">
        <x:f ca="1">SUM('(계획)손익계산서 월별계획'!E38:OFFSET('(계획)손익계산서 월별계획'!E38,0,$C$4-1))</x:f>
        <x:v>38314585.37441659</x:v>
      </x:c>
      <x:c r="F38" s="14">
        <x:f ca="1">SUM('3. 손익계산서 월별실적'!E38:OFFSET('3. 손익계산서 월별실적'!E38,0,$C$4-1))</x:f>
        <x:v>0</x:v>
      </x:c>
      <x:c r="G38" s="38">
        <x:f t="shared" ca="1" si="30"/>
        <x:v>0</x:v>
      </x:c>
      <x:c r="H38" s="14">
        <x:f ca="1">OFFSET('3. 손익계산서 월별실적'!E38,0,$C$4-2)</x:f>
        <x:v>0</x:v>
      </x:c>
      <x:c r="I38" s="53">
        <x:f t="shared" ca="1" si="31"/>
        <x:v>0</x:v>
      </x:c>
      <x:c r="J38" s="14">
        <x:f ca="1">OFFSET('(계획)손익계산서 월별계획'!E38,0,$C$4-1)</x:f>
        <x:v>38314585.37441659</x:v>
      </x:c>
      <x:c r="K38" s="53">
        <x:f t="shared" ca="1" si="32"/>
        <x:v>2.1262565826087248E-2</x:v>
      </x:c>
      <x:c r="L38" s="14">
        <x:f ca="1">OFFSET('3. 손익계산서 월별실적'!E38,0,$C$4-1)</x:f>
        <x:v>0</x:v>
      </x:c>
      <x:c r="M38" s="53">
        <x:f t="shared" ca="1" si="12"/>
        <x:v>0</x:v>
      </x:c>
      <x:c r="N38" s="56">
        <x:f t="shared" ca="1" si="33"/>
        <x:v>0</x:v>
      </x:c>
      <x:c r="O38" s="56">
        <x:f t="shared" ca="1" si="7"/>
        <x:v>0</x:v>
      </x:c>
      <x:c r="P38" s="6"/>
      <x:c r="Q38" s="6"/>
    </x:row>
    <x:row r="39" spans="2:17">
      <x:c r="B39" s="44" t="s">
        <x:v>34</x:v>
      </x:c>
      <x:c r="C39" s="14">
        <x:f>+'(계획)손익계산서 월별계획'!C39</x:f>
        <x:v>371673991.64883161</x:v>
      </x:c>
      <x:c r="D39" s="53">
        <x:f t="shared" ca="1" si="29"/>
        <x:v>0</x:v>
      </x:c>
      <x:c r="E39" s="14">
        <x:f ca="1">SUM('(계획)손익계산서 월별계획'!E39:OFFSET('(계획)손익계산서 월별계획'!E39,0,$C$4-1))</x:f>
        <x:v>17105491.958382115</x:v>
      </x:c>
      <x:c r="F39" s="14">
        <x:f ca="1">SUM('3. 손익계산서 월별실적'!E39:OFFSET('3. 손익계산서 월별실적'!E39,0,$C$4-1))</x:f>
        <x:v>0</x:v>
      </x:c>
      <x:c r="G39" s="38">
        <x:f t="shared" ca="1" si="30"/>
        <x:v>0</x:v>
      </x:c>
      <x:c r="H39" s="14">
        <x:f ca="1">OFFSET('3. 손익계산서 월별실적'!E39,0,$C$4-2)</x:f>
        <x:v>0</x:v>
      </x:c>
      <x:c r="I39" s="53">
        <x:f t="shared" ca="1" si="31"/>
        <x:v>0</x:v>
      </x:c>
      <x:c r="J39" s="14">
        <x:f ca="1">OFFSET('(계획)손익계산서 월별계획'!E39,0,$C$4-1)</x:f>
        <x:v>17105491.958382115</x:v>
      </x:c>
      <x:c r="K39" s="53">
        <x:f t="shared" ca="1" si="32"/>
        <x:v>9.4926421674279664E-3</x:v>
      </x:c>
      <x:c r="L39" s="14">
        <x:f ca="1">OFFSET('3. 손익계산서 월별실적'!E39,0,$C$4-1)</x:f>
        <x:v>0</x:v>
      </x:c>
      <x:c r="M39" s="53">
        <x:f t="shared" ca="1" si="12"/>
        <x:v>0</x:v>
      </x:c>
      <x:c r="N39" s="56">
        <x:f t="shared" ca="1" si="33"/>
        <x:v>0</x:v>
      </x:c>
      <x:c r="O39" s="56">
        <x:f t="shared" ca="1" si="7"/>
        <x:v>0</x:v>
      </x:c>
      <x:c r="P39" s="6"/>
      <x:c r="Q39" s="6"/>
    </x:row>
    <x:row r="40" spans="2:17">
      <x:c r="B40" s="44" t="s">
        <x:v>38</x:v>
      </x:c>
      <x:c r="C40" s="14">
        <x:f>+'(계획)손익계산서 월별계획'!C40</x:f>
        <x:v>0</x:v>
      </x:c>
      <x:c r="D40" s="53">
        <x:f t="shared" ca="1" si="29"/>
        <x:v>0</x:v>
      </x:c>
      <x:c r="E40" s="14">
        <x:f ca="1">SUM('(계획)손익계산서 월별계획'!E40:OFFSET('(계획)손익계산서 월별계획'!E40,0,$C$4-1))</x:f>
        <x:v>0</x:v>
      </x:c>
      <x:c r="F40" s="14">
        <x:f ca="1">SUM('3. 손익계산서 월별실적'!E40:OFFSET('3. 손익계산서 월별실적'!E40,0,$C$4-1))</x:f>
        <x:v>0</x:v>
      </x:c>
      <x:c r="G40" s="38">
        <x:f t="shared" ca="1" si="30"/>
        <x:v>0</x:v>
      </x:c>
      <x:c r="H40" s="14">
        <x:f ca="1">OFFSET('3. 손익계산서 월별실적'!E40,0,$C$4-2)</x:f>
        <x:v>0</x:v>
      </x:c>
      <x:c r="I40" s="53">
        <x:f t="shared" ca="1" si="31"/>
        <x:v>0</x:v>
      </x:c>
      <x:c r="J40" s="14">
        <x:f ca="1">OFFSET('(계획)손익계산서 월별계획'!E40,0,$C$4-1)</x:f>
        <x:v>0</x:v>
      </x:c>
      <x:c r="K40" s="53">
        <x:f t="shared" ca="1" si="32"/>
        <x:v>0</x:v>
      </x:c>
      <x:c r="L40" s="14">
        <x:f ca="1">OFFSET('3. 손익계산서 월별실적'!E40,0,$C$4-1)</x:f>
        <x:v>0</x:v>
      </x:c>
      <x:c r="M40" s="53">
        <x:f t="shared" ca="1" si="12"/>
        <x:v>0</x:v>
      </x:c>
      <x:c r="N40" s="56">
        <x:f t="shared" ca="1" si="33"/>
        <x:v>0</x:v>
      </x:c>
      <x:c r="O40" s="56">
        <x:f t="shared" ca="1" si="7"/>
        <x:v>0</x:v>
      </x:c>
      <x:c r="P40" s="6"/>
      <x:c r="Q40" s="6"/>
    </x:row>
    <x:row r="41" spans="2:17">
      <x:c r="B41" s="44" t="s">
        <x:v>39</x:v>
      </x:c>
      <x:c r="C41" s="14">
        <x:f>+'(계획)손익계산서 월별계획'!C41</x:f>
        <x:v>0</x:v>
      </x:c>
      <x:c r="D41" s="53">
        <x:f t="shared" ca="1" si="29"/>
        <x:v>0</x:v>
      </x:c>
      <x:c r="E41" s="14">
        <x:f ca="1">SUM('(계획)손익계산서 월별계획'!E41:OFFSET('(계획)손익계산서 월별계획'!E41,0,$C$4-1))</x:f>
        <x:v>0</x:v>
      </x:c>
      <x:c r="F41" s="14">
        <x:f ca="1">SUM('3. 손익계산서 월별실적'!E41:OFFSET('3. 손익계산서 월별실적'!E41,0,$C$4-1))</x:f>
        <x:v>0</x:v>
      </x:c>
      <x:c r="G41" s="38">
        <x:f t="shared" ca="1" si="30"/>
        <x:v>0</x:v>
      </x:c>
      <x:c r="H41" s="14">
        <x:f ca="1">OFFSET('3. 손익계산서 월별실적'!E41,0,$C$4-2)</x:f>
        <x:v>0</x:v>
      </x:c>
      <x:c r="I41" s="53">
        <x:f t="shared" ca="1" si="31"/>
        <x:v>0</x:v>
      </x:c>
      <x:c r="J41" s="14">
        <x:f ca="1">OFFSET('(계획)손익계산서 월별계획'!E41,0,$C$4-1)</x:f>
        <x:v>0</x:v>
      </x:c>
      <x:c r="K41" s="53">
        <x:f t="shared" ca="1" si="32"/>
        <x:v>0</x:v>
      </x:c>
      <x:c r="L41" s="14">
        <x:f ca="1">OFFSET('3. 손익계산서 월별실적'!E41,0,$C$4-1)</x:f>
        <x:v>0</x:v>
      </x:c>
      <x:c r="M41" s="53">
        <x:f t="shared" ca="1" si="12"/>
        <x:v>0</x:v>
      </x:c>
      <x:c r="N41" s="56">
        <x:f t="shared" ca="1" si="33"/>
        <x:v>0</x:v>
      </x:c>
      <x:c r="O41" s="56">
        <x:f t="shared" ca="1" si="7"/>
        <x:v>0</x:v>
      </x:c>
      <x:c r="P41" s="6"/>
      <x:c r="Q41" s="6"/>
    </x:row>
    <x:row r="42" spans="2:17">
      <x:c r="B42" s="44" t="s">
        <x:v>37</x:v>
      </x:c>
      <x:c r="C42" s="14">
        <x:f>+'(계획)손익계산서 월별계획'!C42</x:f>
        <x:v>0</x:v>
      </x:c>
      <x:c r="D42" s="53">
        <x:f t="shared" ca="1" si="29"/>
        <x:v>0</x:v>
      </x:c>
      <x:c r="E42" s="14">
        <x:f ca="1">SUM('(계획)손익계산서 월별계획'!E42:OFFSET('(계획)손익계산서 월별계획'!E42,0,$C$4-1))</x:f>
        <x:v>0</x:v>
      </x:c>
      <x:c r="F42" s="14">
        <x:f ca="1">SUM('3. 손익계산서 월별실적'!E42:OFFSET('3. 손익계산서 월별실적'!E42,0,$C$4-1))</x:f>
        <x:v>0</x:v>
      </x:c>
      <x:c r="G42" s="38">
        <x:f t="shared" ca="1" si="30"/>
        <x:v>0</x:v>
      </x:c>
      <x:c r="H42" s="14">
        <x:f ca="1">OFFSET('3. 손익계산서 월별실적'!E42,0,$C$4-2)</x:f>
        <x:v>0</x:v>
      </x:c>
      <x:c r="I42" s="53">
        <x:f t="shared" ca="1" si="31"/>
        <x:v>0</x:v>
      </x:c>
      <x:c r="J42" s="14">
        <x:f ca="1">OFFSET('(계획)손익계산서 월별계획'!E42,0,$C$4-1)</x:f>
        <x:v>0</x:v>
      </x:c>
      <x:c r="K42" s="53">
        <x:f t="shared" ca="1" si="32"/>
        <x:v>0</x:v>
      </x:c>
      <x:c r="L42" s="14">
        <x:f ca="1">OFFSET('3. 손익계산서 월별실적'!E42,0,$C$4-1)</x:f>
        <x:v>0</x:v>
      </x:c>
      <x:c r="M42" s="53">
        <x:f t="shared" ca="1" si="12"/>
        <x:v>0</x:v>
      </x:c>
      <x:c r="N42" s="56">
        <x:f t="shared" ca="1" si="33"/>
        <x:v>0</x:v>
      </x:c>
      <x:c r="O42" s="56">
        <x:f t="shared" ca="1" si="7"/>
        <x:v>0</x:v>
      </x:c>
      <x:c r="P42" s="6"/>
      <x:c r="Q42" s="6"/>
    </x:row>
    <x:row r="43" spans="2:17">
      <x:c r="B43" s="44" t="s">
        <x:v>40</x:v>
      </x:c>
      <x:c r="C43" s="14">
        <x:f>+'(계획)손익계산서 월별계획'!C43</x:f>
        <x:v>1300829164.2543855</x:v>
      </x:c>
      <x:c r="D43" s="53">
        <x:f t="shared" ca="1" si="29"/>
        <x:v>0</x:v>
      </x:c>
      <x:c r="E43" s="14">
        <x:f ca="1">SUM('(계획)손익계산서 월별계획'!E43:OFFSET('(계획)손익계산서 월별계획'!E43,0,$C$4-1))</x:f>
        <x:v>122363848.0917128</x:v>
      </x:c>
      <x:c r="F43" s="14">
        <x:f ca="1">SUM('3. 손익계산서 월별실적'!E43:OFFSET('3. 손익계산서 월별실적'!E43,0,$C$4-1))</x:f>
        <x:v>0</x:v>
      </x:c>
      <x:c r="G43" s="38">
        <x:f t="shared" ca="1" si="30"/>
        <x:v>0</x:v>
      </x:c>
      <x:c r="H43" s="14">
        <x:f ca="1">OFFSET('3. 손익계산서 월별실적'!E43,0,$C$4-2)</x:f>
        <x:v>0</x:v>
      </x:c>
      <x:c r="I43" s="53">
        <x:f t="shared" ca="1" si="31"/>
        <x:v>0</x:v>
      </x:c>
      <x:c r="J43" s="14">
        <x:f ca="1">OFFSET('(계획)손익계산서 월별계획'!E43,0,$C$4-1)</x:f>
        <x:v>122363848.0917128</x:v>
      </x:c>
      <x:c r="K43" s="53">
        <x:f t="shared" ca="1" si="32"/>
        <x:v>6.7905455568902928E-2</x:v>
      </x:c>
      <x:c r="L43" s="14">
        <x:f ca="1">OFFSET('3. 손익계산서 월별실적'!E43,0,$C$4-1)</x:f>
        <x:v>0</x:v>
      </x:c>
      <x:c r="M43" s="53">
        <x:f t="shared" ca="1" si="12"/>
        <x:v>0</x:v>
      </x:c>
      <x:c r="N43" s="56">
        <x:f t="shared" ca="1" si="33"/>
        <x:v>0</x:v>
      </x:c>
      <x:c r="O43" s="56">
        <x:f t="shared" ca="1" si="7"/>
        <x:v>0</x:v>
      </x:c>
      <x:c r="P43" s="6"/>
      <x:c r="Q43" s="6"/>
    </x:row>
    <x:row r="44" spans="2:17">
      <x:c r="B44" s="44" t="s">
        <x:v>35</x:v>
      </x:c>
      <x:c r="C44" s="14">
        <x:f>+'(계획)손익계산서 월별계획'!C44</x:f>
        <x:v>311371798.39092433</x:v>
      </x:c>
      <x:c r="D44" s="53">
        <x:f t="shared" ca="1" si="29"/>
        <x:v>0</x:v>
      </x:c>
      <x:c r="E44" s="14">
        <x:f ca="1">SUM('(계획)손익계산서 월별계획'!E44:OFFSET('(계획)손익계산서 월별계획'!E44,0,$C$4-1))</x:f>
        <x:v>18778864.491560098</x:v>
      </x:c>
      <x:c r="F44" s="14">
        <x:f ca="1">SUM('3. 손익계산서 월별실적'!E44:OFFSET('3. 손익계산서 월별실적'!E44,0,$C$4-1))</x:f>
        <x:v>0</x:v>
      </x:c>
      <x:c r="G44" s="38">
        <x:f t="shared" ca="1" si="30"/>
        <x:v>0</x:v>
      </x:c>
      <x:c r="H44" s="14">
        <x:f ca="1">OFFSET('3. 손익계산서 월별실적'!E44,0,$C$4-2)</x:f>
        <x:v>0</x:v>
      </x:c>
      <x:c r="I44" s="53">
        <x:f t="shared" ca="1" si="31"/>
        <x:v>0</x:v>
      </x:c>
      <x:c r="J44" s="14">
        <x:f ca="1">OFFSET('(계획)손익계산서 월별계획'!E44,0,$C$4-1)</x:f>
        <x:v>18778864.491560098</x:v>
      </x:c>
      <x:c r="K44" s="53">
        <x:f t="shared" ca="1" si="32"/>
        <x:v>1.0421275305189151E-2</x:v>
      </x:c>
      <x:c r="L44" s="14">
        <x:f ca="1">OFFSET('3. 손익계산서 월별실적'!E44,0,$C$4-1)</x:f>
        <x:v>0</x:v>
      </x:c>
      <x:c r="M44" s="53">
        <x:f t="shared" ca="1" si="12"/>
        <x:v>0</x:v>
      </x:c>
      <x:c r="N44" s="56">
        <x:f t="shared" ca="1" si="33"/>
        <x:v>0</x:v>
      </x:c>
      <x:c r="O44" s="56">
        <x:f t="shared" ca="1" si="7"/>
        <x:v>0</x:v>
      </x:c>
      <x:c r="P44" s="6"/>
      <x:c r="Q44" s="6"/>
    </x:row>
    <x:row r="45" spans="2:17">
      <x:c r="B45" s="44" t="s">
        <x:v>36</x:v>
      </x:c>
      <x:c r="C45" s="14">
        <x:f>+'(계획)손익계산서 월별계획'!C45</x:f>
        <x:v>342482677.94829714</x:v>
      </x:c>
      <x:c r="D45" s="53">
        <x:f t="shared" ca="1" si="29"/>
        <x:v>0</x:v>
      </x:c>
      <x:c r="E45" s="14">
        <x:f ca="1">SUM('(계획)손익계산서 월별계획'!E45:OFFSET('(계획)손익계산서 월별계획'!E45,0,$C$4-1))</x:f>
        <x:v>28571640.845887918</x:v>
      </x:c>
      <x:c r="F45" s="14">
        <x:f ca="1">SUM('3. 손익계산서 월별실적'!E45:OFFSET('3. 손익계산서 월별실적'!E45,0,$C$4-1))</x:f>
        <x:v>0</x:v>
      </x:c>
      <x:c r="G45" s="38">
        <x:f t="shared" ca="1" si="30"/>
        <x:v>0</x:v>
      </x:c>
      <x:c r="H45" s="14">
        <x:f ca="1">OFFSET('3. 손익계산서 월별실적'!E45,0,$C$4-2)</x:f>
        <x:v>0</x:v>
      </x:c>
      <x:c r="I45" s="53">
        <x:f t="shared" ca="1" si="31"/>
        <x:v>0</x:v>
      </x:c>
      <x:c r="J45" s="14">
        <x:f ca="1">OFFSET('(계획)손익계산서 월별계획'!E45,0,$C$4-1)</x:f>
        <x:v>28571640.845887918</x:v>
      </x:c>
      <x:c r="K45" s="53">
        <x:f t="shared" ca="1" si="32"/>
        <x:v>1.5855747577805165E-2</x:v>
      </x:c>
      <x:c r="L45" s="14">
        <x:f ca="1">OFFSET('3. 손익계산서 월별실적'!E45,0,$C$4-1)</x:f>
        <x:v>0</x:v>
      </x:c>
      <x:c r="M45" s="53">
        <x:f t="shared" ca="1" si="12"/>
        <x:v>0</x:v>
      </x:c>
      <x:c r="N45" s="56">
        <x:f t="shared" ca="1" si="33"/>
        <x:v>0</x:v>
      </x:c>
      <x:c r="O45" s="56">
        <x:f t="shared" ca="1" si="7"/>
        <x:v>0</x:v>
      </x:c>
      <x:c r="P45" s="6"/>
      <x:c r="Q45" s="6"/>
    </x:row>
    <x:row r="46" spans="2:17">
      <x:c r="B46" s="44" t="s">
        <x:v>45</x:v>
      </x:c>
      <x:c r="C46" s="14">
        <x:f>+'(계획)손익계산서 월별계획'!C46</x:f>
        <x:v>330000000</x:v>
      </x:c>
      <x:c r="D46" s="53">
        <x:f t="shared" ca="1" si="29"/>
        <x:v>0</x:v>
      </x:c>
      <x:c r="E46" s="14">
        <x:f ca="1">SUM('(계획)손익계산서 월별계획'!E46:OFFSET('(계획)손익계산서 월별계획'!E46,0,$C$4-1))</x:f>
        <x:v>62000000</x:v>
      </x:c>
      <x:c r="F46" s="14">
        <x:f ca="1">SUM('3. 손익계산서 월별실적'!E46:OFFSET('3. 손익계산서 월별실적'!E46,0,$C$4-1))</x:f>
        <x:v>0</x:v>
      </x:c>
      <x:c r="G46" s="38">
        <x:f t="shared" ca="1" si="30"/>
        <x:v>0</x:v>
      </x:c>
      <x:c r="H46" s="14">
        <x:f ca="1">OFFSET('3. 손익계산서 월별실적'!E46,0,$C$4-2)</x:f>
        <x:v>0</x:v>
      </x:c>
      <x:c r="I46" s="53">
        <x:f t="shared" ca="1" si="31"/>
        <x:v>0</x:v>
      </x:c>
      <x:c r="J46" s="14">
        <x:f ca="1">OFFSET('(계획)손익계산서 월별계획'!E46,0,$C$4-1)</x:f>
        <x:v>62000000</x:v>
      </x:c>
      <x:c r="K46" s="53">
        <x:f t="shared" ca="1" si="32"/>
        <x:v>3.4406716615486346E-2</x:v>
      </x:c>
      <x:c r="L46" s="14">
        <x:f ca="1">OFFSET('3. 손익계산서 월별실적'!E46,0,$C$4-1)</x:f>
        <x:v>0</x:v>
      </x:c>
      <x:c r="M46" s="53">
        <x:f t="shared" ca="1" si="12"/>
        <x:v>0</x:v>
      </x:c>
      <x:c r="N46" s="56">
        <x:f t="shared" ca="1" si="33"/>
        <x:v>0</x:v>
      </x:c>
      <x:c r="O46" s="56">
        <x:f t="shared" ca="1" si="7"/>
        <x:v>0</x:v>
      </x:c>
      <x:c r="P46" s="6"/>
      <x:c r="Q46" s="6"/>
    </x:row>
    <x:row r="47" spans="2:17">
      <x:c r="B47" s="44" t="s">
        <x:v>46</x:v>
      </x:c>
      <x:c r="C47" s="14">
        <x:f>+'(계획)손익계산서 월별계획'!C47</x:f>
        <x:v>0</x:v>
      </x:c>
      <x:c r="D47" s="53">
        <x:f t="shared" ca="1" si="29"/>
        <x:v>0</x:v>
      </x:c>
      <x:c r="E47" s="14">
        <x:f ca="1">+SUM('(계획)손익계산서 월별계획'!E47:OFFSET('(계획)손익계산서 월별계획'!E47,0,$C$4-1))</x:f>
        <x:v>0</x:v>
      </x:c>
      <x:c r="F47" s="14">
        <x:f ca="1">SUM('3. 손익계산서 월별실적'!E47:OFFSET('3. 손익계산서 월별실적'!E47,0,$C$4-1))</x:f>
        <x:v>0</x:v>
      </x:c>
      <x:c r="G47" s="38">
        <x:f t="shared" ca="1" si="30"/>
        <x:v>0</x:v>
      </x:c>
      <x:c r="H47" s="14">
        <x:f ca="1">OFFSET('3. 손익계산서 월별실적'!E47,0,$C$4-2)</x:f>
        <x:v>0</x:v>
      </x:c>
      <x:c r="I47" s="53">
        <x:f t="shared" ca="1" si="31"/>
        <x:v>0</x:v>
      </x:c>
      <x:c r="J47" s="14">
        <x:f ca="1">OFFSET('(계획)손익계산서 월별계획'!E47,0,$C$4-1)</x:f>
        <x:v>0</x:v>
      </x:c>
      <x:c r="K47" s="53">
        <x:f t="shared" ca="1" si="32"/>
        <x:v>0</x:v>
      </x:c>
      <x:c r="L47" s="14">
        <x:f ca="1">OFFSET('3. 손익계산서 월별실적'!E47,0,$C$4-1)</x:f>
        <x:v>0</x:v>
      </x:c>
      <x:c r="M47" s="53">
        <x:f t="shared" ca="1" si="12"/>
        <x:v>0</x:v>
      </x:c>
      <x:c r="N47" s="56">
        <x:f t="shared" ca="1" si="33"/>
        <x:v>0</x:v>
      </x:c>
      <x:c r="O47" s="56">
        <x:f t="shared" ca="1" si="7"/>
        <x:v>0</x:v>
      </x:c>
      <x:c r="P47" s="6"/>
      <x:c r="Q47" s="6"/>
    </x:row>
    <x:row r="48" spans="2:17">
      <x:c r="B48" s="44" t="s">
        <x:v>47</x:v>
      </x:c>
      <x:c r="C48" s="14">
        <x:f>+'(계획)손익계산서 월별계획'!C48</x:f>
        <x:v>0</x:v>
      </x:c>
      <x:c r="D48" s="53">
        <x:f t="shared" ca="1" si="29"/>
        <x:v>0</x:v>
      </x:c>
      <x:c r="E48" s="14">
        <x:f ca="1">SUM('(계획)손익계산서 월별계획'!E48:OFFSET('(계획)손익계산서 월별계획'!E48,0,$C$4-1))</x:f>
        <x:v>0</x:v>
      </x:c>
      <x:c r="F48" s="14">
        <x:f ca="1">SUM('3. 손익계산서 월별실적'!E48:OFFSET('3. 손익계산서 월별실적'!E48,0,$C$4-1))</x:f>
        <x:v>0</x:v>
      </x:c>
      <x:c r="G48" s="38">
        <x:f t="shared" ca="1" si="30"/>
        <x:v>0</x:v>
      </x:c>
      <x:c r="H48" s="14">
        <x:f ca="1">OFFSET('3. 손익계산서 월별실적'!E48,0,$C$4-2)</x:f>
        <x:v>0</x:v>
      </x:c>
      <x:c r="I48" s="53">
        <x:f t="shared" ca="1" si="31"/>
        <x:v>0</x:v>
      </x:c>
      <x:c r="J48" s="14">
        <x:f ca="1">OFFSET('(계획)손익계산서 월별계획'!E48,0,$C$4-1)</x:f>
        <x:v>0</x:v>
      </x:c>
      <x:c r="K48" s="53">
        <x:f t="shared" ca="1" si="32"/>
        <x:v>0</x:v>
      </x:c>
      <x:c r="L48" s="14">
        <x:f ca="1">OFFSET('3. 손익계산서 월별실적'!E48,0,$C$4-1)</x:f>
        <x:v>0</x:v>
      </x:c>
      <x:c r="M48" s="53">
        <x:f t="shared" ca="1" si="12"/>
        <x:v>0</x:v>
      </x:c>
      <x:c r="N48" s="56">
        <x:f t="shared" ca="1" si="33"/>
        <x:v>0</x:v>
      </x:c>
      <x:c r="O48" s="56">
        <x:f t="shared" ca="1" si="7"/>
        <x:v>0</x:v>
      </x:c>
      <x:c r="P48" s="6"/>
      <x:c r="Q48" s="6"/>
    </x:row>
    <x:row r="49" spans="2:25">
      <x:c r="B49" s="44" t="s">
        <x:v>48</x:v>
      </x:c>
      <x:c r="C49" s="14">
        <x:f>+'(계획)손익계산서 월별계획'!C49</x:f>
        <x:v>145185638.15941823</x:v>
      </x:c>
      <x:c r="D49" s="53">
        <x:f t="shared" ca="1" si="29"/>
        <x:v>0</x:v>
      </x:c>
      <x:c r="E49" s="14">
        <x:f ca="1">SUM('(계획)손익계산서 월별계획'!E49:OFFSET('(계획)손익계산서 월별계획'!E49,0,$C$4-1))</x:f>
        <x:v>10654548.883285508</x:v>
      </x:c>
      <x:c r="F49" s="14">
        <x:f ca="1">SUM('3. 손익계산서 월별실적'!E49:OFFSET('3. 손익계산서 월별실적'!E49,0,$C$4-1))</x:f>
        <x:v>0</x:v>
      </x:c>
      <x:c r="G49" s="38">
        <x:f t="shared" ca="1" si="30"/>
        <x:v>0</x:v>
      </x:c>
      <x:c r="H49" s="14">
        <x:f ca="1">OFFSET('3. 손익계산서 월별실적'!E49,0,$C$4-2)</x:f>
        <x:v>0</x:v>
      </x:c>
      <x:c r="I49" s="53">
        <x:f t="shared" ca="1" si="31"/>
        <x:v>0</x:v>
      </x:c>
      <x:c r="J49" s="14">
        <x:f ca="1">OFFSET('(계획)손익계산서 월별계획'!E49,0,$C$4-1)</x:f>
        <x:v>10654548.883285508</x:v>
      </x:c>
      <x:c r="K49" s="53">
        <x:f t="shared" ca="1" si="32"/>
        <x:v>5.9127103885975958E-3</x:v>
      </x:c>
      <x:c r="L49" s="14">
        <x:f ca="1">OFFSET('3. 손익계산서 월별실적'!E49,0,$C$4-1)</x:f>
        <x:v>0</x:v>
      </x:c>
      <x:c r="M49" s="53">
        <x:f t="shared" ca="1" si="12"/>
        <x:v>0</x:v>
      </x:c>
      <x:c r="N49" s="56">
        <x:f t="shared" ca="1" si="33"/>
        <x:v>0</x:v>
      </x:c>
      <x:c r="O49" s="56">
        <x:f t="shared" ca="1" si="7"/>
        <x:v>0</x:v>
      </x:c>
      <x:c r="P49" s="6"/>
      <x:c r="Q49" s="6"/>
    </x:row>
    <x:row r="50" spans="2:25">
      <x:c r="B50" s="44" t="s">
        <x:v>63</x:v>
      </x:c>
      <x:c r="C50" s="14">
        <x:f>+'(계획)손익계산서 월별계획'!C50</x:f>
        <x:v>0</x:v>
      </x:c>
      <x:c r="D50" s="53">
        <x:f t="shared" ca="1" si="29"/>
        <x:v>0</x:v>
      </x:c>
      <x:c r="E50" s="14">
        <x:f ca="1">SUM('(계획)손익계산서 월별계획'!E50:OFFSET('(계획)손익계산서 월별계획'!E50,0,$C$4-1))</x:f>
        <x:v>0</x:v>
      </x:c>
      <x:c r="F50" s="14">
        <x:f ca="1">SUM('3. 손익계산서 월별실적'!E50:OFFSET('3. 손익계산서 월별실적'!E50,0,$C$4-1))</x:f>
        <x:v>0</x:v>
      </x:c>
      <x:c r="G50" s="38">
        <x:f t="shared" ca="1" si="30"/>
        <x:v>0</x:v>
      </x:c>
      <x:c r="H50" s="14">
        <x:f ca="1">OFFSET('3. 손익계산서 월별실적'!E50,0,$C$4-2)</x:f>
        <x:v>0</x:v>
      </x:c>
      <x:c r="I50" s="53">
        <x:f t="shared" ca="1" si="31"/>
        <x:v>0</x:v>
      </x:c>
      <x:c r="J50" s="14">
        <x:f ca="1">OFFSET('(계획)손익계산서 월별계획'!E50,0,$C$4-1)</x:f>
        <x:v>0</x:v>
      </x:c>
      <x:c r="K50" s="53">
        <x:f t="shared" ca="1" si="32"/>
        <x:v>0</x:v>
      </x:c>
      <x:c r="L50" s="14">
        <x:f ca="1">OFFSET('3. 손익계산서 월별실적'!E50,0,$C$4-1)</x:f>
        <x:v>0</x:v>
      </x:c>
      <x:c r="M50" s="53">
        <x:f t="shared" ca="1" si="12"/>
        <x:v>0</x:v>
      </x:c>
      <x:c r="N50" s="56">
        <x:f t="shared" ca="1" si="33"/>
        <x:v>0</x:v>
      </x:c>
      <x:c r="O50" s="56">
        <x:f t="shared" ca="1" si="7"/>
        <x:v>0</x:v>
      </x:c>
      <x:c r="P50" s="6"/>
      <x:c r="Q50" s="6"/>
    </x:row>
    <x:row r="51" spans="2:25">
      <x:c r="B51" s="44" t="s">
        <x:v>64</x:v>
      </x:c>
      <x:c r="C51" s="14">
        <x:f>+'(계획)손익계산서 월별계획'!C51</x:f>
        <x:v>0</x:v>
      </x:c>
      <x:c r="D51" s="53">
        <x:f t="shared" ca="1" si="29"/>
        <x:v>0</x:v>
      </x:c>
      <x:c r="E51" s="14">
        <x:f ca="1">SUM('(계획)손익계산서 월별계획'!E51:OFFSET('(계획)손익계산서 월별계획'!E51,0,$C$4-1))</x:f>
        <x:v>0</x:v>
      </x:c>
      <x:c r="F51" s="14">
        <x:f ca="1">+SUM('3. 손익계산서 월별실적'!E51:OFFSET('3. 손익계산서 월별실적'!E51,0,$C$4-1))</x:f>
        <x:v>0</x:v>
      </x:c>
      <x:c r="G51" s="38">
        <x:f t="shared" ca="1" si="30"/>
        <x:v>0</x:v>
      </x:c>
      <x:c r="H51" s="14">
        <x:f ca="1">OFFSET('3. 손익계산서 월별실적'!E51,0,$C$4-2)</x:f>
        <x:v>0</x:v>
      </x:c>
      <x:c r="I51" s="53">
        <x:f t="shared" ca="1" si="31"/>
        <x:v>0</x:v>
      </x:c>
      <x:c r="J51" s="14">
        <x:f ca="1">OFFSET('(계획)손익계산서 월별계획'!E51,0,$C$4-1)</x:f>
        <x:v>0</x:v>
      </x:c>
      <x:c r="K51" s="53">
        <x:f t="shared" ca="1" si="32"/>
        <x:v>0</x:v>
      </x:c>
      <x:c r="L51" s="14">
        <x:f ca="1">OFFSET('3. 손익계산서 월별실적'!E51,0,$C$4-1)</x:f>
        <x:v>0</x:v>
      </x:c>
      <x:c r="M51" s="53">
        <x:f t="shared" ca="1" si="12"/>
        <x:v>0</x:v>
      </x:c>
      <x:c r="N51" s="56">
        <x:f t="shared" ca="1" si="33"/>
        <x:v>0</x:v>
      </x:c>
      <x:c r="O51" s="56">
        <x:f t="shared" ca="1" si="7"/>
        <x:v>0</x:v>
      </x:c>
      <x:c r="P51" s="6"/>
      <x:c r="Q51" s="6"/>
    </x:row>
    <x:row r="52" spans="2:25">
      <x:c r="B52" s="45"/>
      <x:c r="C52" s="63"/>
      <x:c r="D52" s="55"/>
      <x:c r="E52" s="63"/>
      <x:c r="F52" s="63"/>
      <x:c r="G52" s="48"/>
      <x:c r="H52" s="63"/>
      <x:c r="I52" s="55"/>
      <x:c r="J52" s="63"/>
      <x:c r="K52" s="55"/>
      <x:c r="L52" s="63"/>
      <x:c r="M52" s="55"/>
      <x:c r="N52" s="60"/>
      <x:c r="O52" s="60"/>
      <x:c r="P52" s="6"/>
      <x:c r="Q52" s="6"/>
    </x:row>
    <x:row r="53" spans="2:25" ht="16.5">
      <x:c r="B53" s="43" t="s">
        <x:v>4</x:v>
      </x:c>
      <x:c r="C53" s="62">
        <x:f>+'(계획)손익계산서 월별계획'!C53</x:f>
        <x:v>5573957648.9719391</x:v>
      </x:c>
      <x:c r="D53" s="54">
        <x:f t="shared" ca="1" si="29"/>
        <x:v>0</x:v>
      </x:c>
      <x:c r="E53" s="62">
        <x:f ca="1">SUM(E54:E67)</x:f>
        <x:v>494762129.73469526</x:v>
      </x:c>
      <x:c r="F53" s="62">
        <x:f ca="1">SUM(F54:F67)</x:f>
        <x:v>0</x:v>
      </x:c>
      <x:c r="G53" s="47">
        <x:f t="shared" ref="G53:G68" ca="1" si="34">+IFERROR(F53/E53,)</x:f>
        <x:v>0</x:v>
      </x:c>
      <x:c r="H53" s="62">
        <x:f ca="1">SUM(H54:H67)</x:f>
        <x:v>0</x:v>
      </x:c>
      <x:c r="I53" s="54">
        <x:f t="shared" ref="I53:I68" ca="1" si="35">+IFERROR(H53/$H$6,)</x:f>
        <x:v>0</x:v>
      </x:c>
      <x:c r="J53" s="62">
        <x:f ca="1">SUM(J54:J67)</x:f>
        <x:v>494762129.73469526</x:v>
      </x:c>
      <x:c r="K53" s="54">
        <x:f t="shared" ca="1" si="32"/>
        <x:v>0.27456678048155081</x:v>
      </x:c>
      <x:c r="L53" s="62">
        <x:f ca="1">SUM(L54:L67)</x:f>
        <x:v>0</x:v>
      </x:c>
      <x:c r="M53" s="54">
        <x:f t="shared" ca="1" si="12"/>
        <x:v>0</x:v>
      </x:c>
      <x:c r="N53" s="59">
        <x:f t="shared" ref="N53:N67" ca="1" si="36">+IFERROR(L53/H53,)</x:f>
        <x:v>0</x:v>
      </x:c>
      <x:c r="O53" s="59">
        <x:f t="shared" ca="1" si="7"/>
        <x:v>0</x:v>
      </x:c>
      <x:c r="P53" s="6"/>
      <x:c r="Q53" s="6"/>
    </x:row>
    <x:row r="54" spans="2:25">
      <x:c r="B54" s="44" t="s">
        <x:v>42</x:v>
      </x:c>
      <x:c r="C54" s="14">
        <x:f>+'(계획)손익계산서 월별계획'!C54</x:f>
        <x:v>3156013165.4410572</x:v>
      </x:c>
      <x:c r="D54" s="53">
        <x:f t="shared" ca="1" si="29"/>
        <x:v>0</x:v>
      </x:c>
      <x:c r="E54" s="14">
        <x:f ca="1">SUM('(계획)손익계산서 월별계획'!E54:OFFSET('(계획)손익계산서 월별계획'!E54,0,$C$4-1))</x:f>
        <x:v>235571086.21525085</x:v>
      </x:c>
      <x:c r="F54" s="14">
        <x:f ca="1">SUM('3. 손익계산서 월별실적'!E54:OFFSET('3. 손익계산서 월별실적'!E54,0,$C$4-1))</x:f>
        <x:v>0</x:v>
      </x:c>
      <x:c r="G54" s="38">
        <x:f t="shared" ca="1" si="34"/>
        <x:v>0</x:v>
      </x:c>
      <x:c r="H54" s="14">
        <x:f ca="1">OFFSET('3. 손익계산서 월별실적'!E54,0,$C$4-2)</x:f>
        <x:v>0</x:v>
      </x:c>
      <x:c r="I54" s="53">
        <x:f t="shared" ca="1" si="35"/>
        <x:v>0</x:v>
      </x:c>
      <x:c r="J54" s="14">
        <x:f ca="1">OFFSET('(계획)손익계산서 월별계획'!E54,0,$C$4-1)</x:f>
        <x:v>235571086.21525085</x:v>
      </x:c>
      <x:c r="K54" s="53">
        <x:f t="shared" ca="1" si="32"/>
        <x:v>0.13072947751952319</x:v>
      </x:c>
      <x:c r="L54" s="14">
        <x:f ca="1">OFFSET('3. 손익계산서 월별실적'!E54,0,$C$4-1)</x:f>
        <x:v>0</x:v>
      </x:c>
      <x:c r="M54" s="53">
        <x:f t="shared" ca="1" si="12"/>
        <x:v>0</x:v>
      </x:c>
      <x:c r="N54" s="56">
        <x:f t="shared" ca="1" si="36"/>
        <x:v>0</x:v>
      </x:c>
      <x:c r="O54" s="56">
        <x:f t="shared" ca="1" si="7"/>
        <x:v>0</x:v>
      </x:c>
      <x:c r="P54" s="6"/>
      <x:c r="Q54" s="6"/>
    </x:row>
    <x:row r="55" spans="2:25">
      <x:c r="B55" s="44" t="s">
        <x:v>65</x:v>
      </x:c>
      <x:c r="C55" s="14">
        <x:f>+'(계획)손익계산서 월별계획'!C55</x:f>
        <x:v>46515370</x:v>
      </x:c>
      <x:c r="D55" s="53">
        <x:f t="shared" ca="1" si="29"/>
        <x:v>0</x:v>
      </x:c>
      <x:c r="E55" s="14">
        <x:f ca="1">SUM('(계획)손익계산서 월별계획'!E55:OFFSET('(계획)손익계산서 월별계획'!E55,0,$C$4-1))</x:f>
        <x:v>3187947.5</x:v>
      </x:c>
      <x:c r="F55" s="14">
        <x:f ca="1">SUM('3. 손익계산서 월별실적'!E55:OFFSET('3. 손익계산서 월별실적'!E55,0,$C$4-1))</x:f>
        <x:v>0</x:v>
      </x:c>
      <x:c r="G55" s="38">
        <x:f t="shared" ca="1" si="34"/>
        <x:v>0</x:v>
      </x:c>
      <x:c r="H55" s="14">
        <x:f ca="1">OFFSET('3. 손익계산서 월별실적'!E55,0,$C$4-2)</x:f>
        <x:v>0</x:v>
      </x:c>
      <x:c r="I55" s="53">
        <x:f t="shared" ca="1" si="35"/>
        <x:v>0</x:v>
      </x:c>
      <x:c r="J55" s="14">
        <x:f ca="1">OFFSET('(계획)손익계산서 월별계획'!E55,0,$C$4-1)</x:f>
        <x:v>3187947.5</x:v>
      </x:c>
      <x:c r="K55" s="53">
        <x:f t="shared" ca="1" si="32"/>
        <x:v>1.7691420357669057E-3</x:v>
      </x:c>
      <x:c r="L55" s="14">
        <x:f ca="1">OFFSET('3. 손익계산서 월별실적'!E55,0,$C$4-1)</x:f>
        <x:v>0</x:v>
      </x:c>
      <x:c r="M55" s="53">
        <x:f t="shared" ca="1" si="12"/>
        <x:v>0</x:v>
      </x:c>
      <x:c r="N55" s="56">
        <x:f t="shared" ca="1" si="36"/>
        <x:v>0</x:v>
      </x:c>
      <x:c r="O55" s="56">
        <x:f t="shared" ca="1" si="7"/>
        <x:v>0</x:v>
      </x:c>
      <x:c r="P55" s="6"/>
      <x:c r="Q55" s="6"/>
    </x:row>
    <x:row r="56" spans="2:25">
      <x:c r="B56" s="44" t="s">
        <x:v>44</x:v>
      </x:c>
      <x:c r="C56" s="14">
        <x:f>+'(계획)손익계산서 월별계획'!C56</x:f>
        <x:v>270193544.19754833</x:v>
      </x:c>
      <x:c r="D56" s="53">
        <x:f t="shared" ca="1" si="29"/>
        <x:v>0</x:v>
      </x:c>
      <x:c r="E56" s="14">
        <x:f ca="1">SUM('(계획)손익계산서 월별계획'!E56:OFFSET('(계획)손익계산서 월별계획'!E56,0,$C$4-1))</x:f>
        <x:v>20846478.075000003</x:v>
      </x:c>
      <x:c r="F56" s="14">
        <x:f ca="1">SUM('3. 손익계산서 월별실적'!E56:OFFSET('3. 손익계산서 월별실적'!E56,0,$C$4-1))</x:f>
        <x:v>0</x:v>
      </x:c>
      <x:c r="G56" s="38">
        <x:f t="shared" ca="1" si="34"/>
        <x:v>0</x:v>
      </x:c>
      <x:c r="H56" s="14">
        <x:f ca="1">OFFSET('3. 손익계산서 월별실적'!E56,0,$C$4-2)</x:f>
        <x:v>0</x:v>
      </x:c>
      <x:c r="I56" s="53">
        <x:f t="shared" ca="1" si="35"/>
        <x:v>0</x:v>
      </x:c>
      <x:c r="J56" s="14">
        <x:f ca="1">OFFSET('(계획)손익계산서 월별계획'!E56,0,$C$4-1)</x:f>
        <x:v>20846478.075000003</x:v>
      </x:c>
      <x:c r="K56" s="53">
        <x:f t="shared" ca="1" si="32"/>
        <x:v>1.15686913477012E-2</x:v>
      </x:c>
      <x:c r="L56" s="14">
        <x:f ca="1">OFFSET('3. 손익계산서 월별실적'!E56,0,$C$4-1)</x:f>
        <x:v>0</x:v>
      </x:c>
      <x:c r="M56" s="53">
        <x:f t="shared" ca="1" si="12"/>
        <x:v>0</x:v>
      </x:c>
      <x:c r="N56" s="56">
        <x:f t="shared" ca="1" si="36"/>
        <x:v>0</x:v>
      </x:c>
      <x:c r="O56" s="56">
        <x:f t="shared" ca="1" si="7"/>
        <x:v>0</x:v>
      </x:c>
      <x:c r="P56" s="6"/>
      <x:c r="Q56" s="6"/>
    </x:row>
    <x:row r="57" spans="2:25">
      <x:c r="B57" s="44" t="s">
        <x:v>34</x:v>
      </x:c>
      <x:c r="C57" s="14">
        <x:f>+'(계획)손익계산서 월별계획'!C57</x:f>
        <x:v>154713216</x:v>
      </x:c>
      <x:c r="D57" s="53">
        <x:f t="shared" ca="1" si="29"/>
        <x:v>0</x:v>
      </x:c>
      <x:c r="E57" s="14">
        <x:f ca="1">SUM('(계획)손익계산서 월별계획'!E57:OFFSET('(계획)손익계산서 월별계획'!E57,0,$C$4-1))</x:f>
        <x:v>8889773.5</x:v>
      </x:c>
      <x:c r="F57" s="14">
        <x:f ca="1">SUM('3. 손익계산서 월별실적'!E57:OFFSET('3. 손익계산서 월별실적'!E57,0,$C$4-1))</x:f>
        <x:v>0</x:v>
      </x:c>
      <x:c r="G57" s="38">
        <x:f t="shared" ca="1" si="34"/>
        <x:v>0</x:v>
      </x:c>
      <x:c r="H57" s="14">
        <x:f ca="1">OFFSET('3. 손익계산서 월별실적'!E57,0,$C$4-2)</x:f>
        <x:v>0</x:v>
      </x:c>
      <x:c r="I57" s="53">
        <x:f t="shared" ca="1" si="35"/>
        <x:v>0</x:v>
      </x:c>
      <x:c r="J57" s="14">
        <x:f ca="1">OFFSET('(계획)손익계산서 월별계획'!E57,0,$C$4-1)</x:f>
        <x:v>8889773.5</x:v>
      </x:c>
      <x:c r="K57" s="53">
        <x:f t="shared" ca="1" si="32"/>
        <x:v>4.9333535095219382E-3</x:v>
      </x:c>
      <x:c r="L57" s="14">
        <x:f ca="1">OFFSET('3. 손익계산서 월별실적'!E57,0,$C$4-1)</x:f>
        <x:v>0</x:v>
      </x:c>
      <x:c r="M57" s="53">
        <x:f t="shared" ca="1" si="12"/>
        <x:v>0</x:v>
      </x:c>
      <x:c r="N57" s="56">
        <x:f t="shared" ca="1" si="36"/>
        <x:v>0</x:v>
      </x:c>
      <x:c r="O57" s="56">
        <x:f t="shared" ca="1" si="7"/>
        <x:v>0</x:v>
      </x:c>
      <x:c r="P57" s="6"/>
      <x:c r="Q57" s="6"/>
    </x:row>
    <x:row r="58" spans="2:25">
      <x:c r="B58" s="44" t="s">
        <x:v>38</x:v>
      </x:c>
      <x:c r="C58" s="14">
        <x:f>+'(계획)손익계산서 월별계획'!C58</x:f>
        <x:v>3720000</x:v>
      </x:c>
      <x:c r="D58" s="53">
        <x:f t="shared" ca="1" si="29"/>
        <x:v>0</x:v>
      </x:c>
      <x:c r="E58" s="14">
        <x:f ca="1">SUM('(계획)손익계산서 월별계획'!E58:OFFSET('(계획)손익계산서 월별계획'!E58,0,$C$4-1))</x:f>
        <x:v>310000</x:v>
      </x:c>
      <x:c r="F58" s="14">
        <x:f ca="1">SUM('3. 손익계산서 월별실적'!E58:OFFSET('3. 손익계산서 월별실적'!E58,0,$C$4-1))</x:f>
        <x:v>0</x:v>
      </x:c>
      <x:c r="G58" s="38">
        <x:f t="shared" ca="1" si="34"/>
        <x:v>0</x:v>
      </x:c>
      <x:c r="H58" s="14">
        <x:f ca="1">OFFSET('3. 손익계산서 월별실적'!E58,0,$C$4-2)</x:f>
        <x:v>0</x:v>
      </x:c>
      <x:c r="I58" s="53">
        <x:f t="shared" ca="1" si="35"/>
        <x:v>0</x:v>
      </x:c>
      <x:c r="J58" s="14">
        <x:f ca="1">OFFSET('(계획)손익계산서 월별계획'!E58,0,$C$4-1)</x:f>
        <x:v>310000</x:v>
      </x:c>
      <x:c r="K58" s="53">
        <x:f t="shared" ca="1" si="32"/>
        <x:v>1.7203358307743173E-4</x:v>
      </x:c>
      <x:c r="L58" s="14">
        <x:f ca="1">OFFSET('3. 손익계산서 월별실적'!E58,0,$C$4-1)</x:f>
        <x:v>0</x:v>
      </x:c>
      <x:c r="M58" s="53">
        <x:f t="shared" ca="1" si="12"/>
        <x:v>0</x:v>
      </x:c>
      <x:c r="N58" s="56">
        <x:f t="shared" ca="1" si="36"/>
        <x:v>0</x:v>
      </x:c>
      <x:c r="O58" s="56">
        <x:f t="shared" ca="1" si="7"/>
        <x:v>0</x:v>
      </x:c>
      <x:c r="P58" s="6"/>
      <x:c r="Q58" s="6"/>
    </x:row>
    <x:row r="59" spans="2:25">
      <x:c r="B59" s="44" t="s">
        <x:v>39</x:v>
      </x:c>
      <x:c r="C59" s="14">
        <x:f>+'(계획)손익계산서 월별계획'!C59</x:f>
        <x:v>0</x:v>
      </x:c>
      <x:c r="D59" s="53">
        <x:f t="shared" ca="1" si="29"/>
        <x:v>0</x:v>
      </x:c>
      <x:c r="E59" s="14">
        <x:f ca="1">SUM('(계획)손익계산서 월별계획'!E59:OFFSET('(계획)손익계산서 월별계획'!E59,0,$C$4-1))</x:f>
        <x:v>0</x:v>
      </x:c>
      <x:c r="F59" s="14">
        <x:f ca="1">+SUM('3. 손익계산서 월별실적'!E59:OFFSET('3. 손익계산서 월별실적'!E59,0,$C$4-1))</x:f>
        <x:v>0</x:v>
      </x:c>
      <x:c r="G59" s="38">
        <x:f t="shared" ca="1" si="34"/>
        <x:v>0</x:v>
      </x:c>
      <x:c r="H59" s="14">
        <x:f ca="1">OFFSET('3. 손익계산서 월별실적'!E59,0,$C$4-2)</x:f>
        <x:v>0</x:v>
      </x:c>
      <x:c r="I59" s="53">
        <x:f t="shared" ca="1" si="35"/>
        <x:v>0</x:v>
      </x:c>
      <x:c r="J59" s="14">
        <x:f ca="1">OFFSET('(계획)손익계산서 월별계획'!E59,0,$C$4-1)</x:f>
        <x:v>0</x:v>
      </x:c>
      <x:c r="K59" s="53">
        <x:f t="shared" ca="1" si="32"/>
        <x:v>0</x:v>
      </x:c>
      <x:c r="L59" s="14">
        <x:f ca="1">OFFSET('3. 손익계산서 월별실적'!E59,0,$C$4-1)</x:f>
        <x:v>0</x:v>
      </x:c>
      <x:c r="M59" s="53">
        <x:f t="shared" ca="1" si="12"/>
        <x:v>0</x:v>
      </x:c>
      <x:c r="N59" s="56">
        <x:f t="shared" ca="1" si="36"/>
        <x:v>0</x:v>
      </x:c>
      <x:c r="O59" s="56">
        <x:f t="shared" ca="1" si="7"/>
        <x:v>0</x:v>
      </x:c>
      <x:c r="P59" s="6"/>
      <x:c r="Q59" s="6"/>
    </x:row>
    <x:row r="60" spans="2:25">
      <x:c r="B60" s="44" t="s">
        <x:v>37</x:v>
      </x:c>
      <x:c r="C60" s="14">
        <x:f>+'(계획)손익계산서 월별계획'!C60</x:f>
        <x:v>0</x:v>
      </x:c>
      <x:c r="D60" s="53">
        <x:f t="shared" ca="1" si="29"/>
        <x:v>0</x:v>
      </x:c>
      <x:c r="E60" s="14">
        <x:f ca="1">SUM('(계획)손익계산서 월별계획'!E60:OFFSET('(계획)손익계산서 월별계획'!E60,0,$C$4-1))</x:f>
        <x:v>0</x:v>
      </x:c>
      <x:c r="F60" s="14">
        <x:f ca="1">SUM('3. 손익계산서 월별실적'!E60:OFFSET('3. 손익계산서 월별실적'!E60,0,$C$4-1))</x:f>
        <x:v>0</x:v>
      </x:c>
      <x:c r="G60" s="38">
        <x:f t="shared" ca="1" si="34"/>
        <x:v>0</x:v>
      </x:c>
      <x:c r="H60" s="14">
        <x:f ca="1">OFFSET('3. 손익계산서 월별실적'!E60,0,$C$4-2)</x:f>
        <x:v>0</x:v>
      </x:c>
      <x:c r="I60" s="53">
        <x:f t="shared" ca="1" si="35"/>
        <x:v>0</x:v>
      </x:c>
      <x:c r="J60" s="14">
        <x:f ca="1">OFFSET('(계획)손익계산서 월별계획'!E60,0,$C$4-1)</x:f>
        <x:v>0</x:v>
      </x:c>
      <x:c r="K60" s="53">
        <x:f t="shared" ca="1" si="32"/>
        <x:v>0</x:v>
      </x:c>
      <x:c r="L60" s="14">
        <x:f ca="1">OFFSET('3. 손익계산서 월별실적'!E60,0,$C$4-1)</x:f>
        <x:v>0</x:v>
      </x:c>
      <x:c r="M60" s="53">
        <x:f t="shared" ca="1" si="12"/>
        <x:v>0</x:v>
      </x:c>
      <x:c r="N60" s="56">
        <x:f t="shared" ca="1" si="36"/>
        <x:v>0</x:v>
      </x:c>
      <x:c r="O60" s="56">
        <x:f t="shared" ca="1" si="7"/>
        <x:v>0</x:v>
      </x:c>
      <x:c r="P60" s="6"/>
      <x:c r="Q60" s="6"/>
    </x:row>
    <x:row r="61" spans="2:25">
      <x:c r="B61" s="44" t="s">
        <x:v>40</x:v>
      </x:c>
      <x:c r="C61" s="14">
        <x:f>+'(계획)손익계산서 월별계획'!C61</x:f>
        <x:v>536975988</x:v>
      </x:c>
      <x:c r="D61" s="53">
        <x:f t="shared" ca="1" si="29"/>
        <x:v>0</x:v>
      </x:c>
      <x:c r="E61" s="14">
        <x:f ca="1">SUM('(계획)손익계산서 월별계획'!E61:OFFSET('(계획)손익계산서 월별계획'!E61,0,$C$4-1))</x:f>
        <x:v>43822999</x:v>
      </x:c>
      <x:c r="F61" s="14">
        <x:f ca="1">SUM('3. 손익계산서 월별실적'!E61:OFFSET('3. 손익계산서 월별실적'!E61,0,$C$4-1))</x:f>
        <x:v>0</x:v>
      </x:c>
      <x:c r="G61" s="38">
        <x:f t="shared" ca="1" si="34"/>
        <x:v>0</x:v>
      </x:c>
      <x:c r="H61" s="14">
        <x:f ca="1">OFFSET('3. 손익계산서 월별실적'!E61,0,$C$4-2)</x:f>
        <x:v>0</x:v>
      </x:c>
      <x:c r="I61" s="53">
        <x:f t="shared" ca="1" si="35"/>
        <x:v>0</x:v>
      </x:c>
      <x:c r="J61" s="14">
        <x:f ca="1">OFFSET('(계획)손익계산서 월별계획'!E61,0,$C$4-1)</x:f>
        <x:v>43822999</x:v>
      </x:c>
      <x:c r="K61" s="53">
        <x:f t="shared" ca="1" si="32"/>
        <x:v>2.4319443674737765E-2</x:v>
      </x:c>
      <x:c r="L61" s="14">
        <x:f ca="1">OFFSET('3. 손익계산서 월별실적'!E61,0,$C$4-1)</x:f>
        <x:v>0</x:v>
      </x:c>
      <x:c r="M61" s="53">
        <x:f t="shared" ca="1" si="12"/>
        <x:v>0</x:v>
      </x:c>
      <x:c r="N61" s="56">
        <x:f t="shared" ca="1" si="36"/>
        <x:v>0</x:v>
      </x:c>
      <x:c r="O61" s="56">
        <x:f t="shared" ca="1" si="7"/>
        <x:v>0</x:v>
      </x:c>
      <x:c r="P61" s="6"/>
      <x:c r="Q61" s="303">
        <x:f ca="1">+L61-J61</x:f>
        <x:v>-43822999</x:v>
      </x:c>
      <x:c r="R61" s="303">
        <x:f ca="1">+L61-H61</x:f>
        <x:v>0</x:v>
      </x:c>
    </x:row>
    <x:row r="62" spans="2:25">
      <x:c r="B62" s="44" t="s">
        <x:v>35</x:v>
      </x:c>
      <x:c r="C62" s="14">
        <x:f>+'(계획)손익계산서 월별계획'!C62</x:f>
        <x:v>209315000.00000006</x:v>
      </x:c>
      <x:c r="D62" s="53">
        <x:f t="shared" ca="1" si="29"/>
        <x:v>0</x:v>
      </x:c>
      <x:c r="E62" s="14">
        <x:f ca="1">SUM('(계획)손익계산서 월별계획'!E62:OFFSET('(계획)손익계산서 월별계획'!E62,0,$C$4-1))</x:f>
        <x:v>53409583.333333336</x:v>
      </x:c>
      <x:c r="F62" s="14">
        <x:f ca="1">SUM('3. 손익계산서 월별실적'!E62:OFFSET('3. 손익계산서 월별실적'!E62,0,$C$4-1))</x:f>
        <x:v>0</x:v>
      </x:c>
      <x:c r="G62" s="38">
        <x:f t="shared" ca="1" si="34"/>
        <x:v>0</x:v>
      </x:c>
      <x:c r="H62" s="14">
        <x:f ca="1">OFFSET('3. 손익계산서 월별실적'!E62,0,$C$4-2)</x:f>
        <x:v>0</x:v>
      </x:c>
      <x:c r="I62" s="53">
        <x:f t="shared" ca="1" si="35"/>
        <x:v>0</x:v>
      </x:c>
      <x:c r="J62" s="14">
        <x:f ca="1">OFFSET('(계획)손익계산서 월별계획'!E62,0,$C$4-1)</x:f>
        <x:v>53409583.333333336</x:v>
      </x:c>
      <x:c r="K62" s="53">
        <x:f t="shared" ca="1" si="32"/>
        <x:v>2.9639490295180686E-2</x:v>
      </x:c>
      <x:c r="L62" s="14">
        <x:f ca="1">OFFSET('3. 손익계산서 월별실적'!E62,0,$C$4-1)</x:f>
        <x:v>0</x:v>
      </x:c>
      <x:c r="M62" s="53">
        <x:f t="shared" ca="1" si="12"/>
        <x:v>0</x:v>
      </x:c>
      <x:c r="N62" s="56">
        <x:f t="shared" ca="1" si="36"/>
        <x:v>0</x:v>
      </x:c>
      <x:c r="O62" s="56">
        <x:f t="shared" ca="1" si="7"/>
        <x:v>0</x:v>
      </x:c>
      <x:c r="P62" s="6"/>
      <x:c r="Q62" s="6"/>
    </x:row>
    <x:row r="63" spans="2:25">
      <x:c r="B63" s="44" t="s">
        <x:v>36</x:v>
      </x:c>
      <x:c r="C63" s="14">
        <x:f>+'(계획)손익계산서 월별계획'!C63</x:f>
        <x:v>216771136</x:v>
      </x:c>
      <x:c r="D63" s="53">
        <x:f t="shared" ca="1" si="29"/>
        <x:v>0</x:v>
      </x:c>
      <x:c r="E63" s="14">
        <x:f ca="1">SUM('(계획)손익계산서 월별계획'!E63:OFFSET('(계획)손익계산서 월별계획'!E63,0,$C$4-1))</x:f>
        <x:v>18064243</x:v>
      </x:c>
      <x:c r="F63" s="14">
        <x:f ca="1">SUM('3. 손익계산서 월별실적'!E63:OFFSET('3. 손익계산서 월별실적'!E63,0,$C$4-1))</x:f>
        <x:v>0</x:v>
      </x:c>
      <x:c r="G63" s="38">
        <x:f t="shared" ca="1" si="34"/>
        <x:v>0</x:v>
      </x:c>
      <x:c r="H63" s="14">
        <x:f ca="1">OFFSET('3. 손익계산서 월별실적'!E63,0,$C$4-2)</x:f>
        <x:v>0</x:v>
      </x:c>
      <x:c r="I63" s="53">
        <x:f t="shared" ca="1" si="35"/>
        <x:v>0</x:v>
      </x:c>
      <x:c r="J63" s="14">
        <x:f ca="1">OFFSET('(계획)손익계산서 월별계획'!E63,0,$C$4-1)</x:f>
        <x:v>18064243</x:v>
      </x:c>
      <x:c r="K63" s="53">
        <x:f t="shared" ca="1" si="32"/>
        <x:v>1.0024698222165852E-2</x:v>
      </x:c>
      <x:c r="L63" s="14">
        <x:f ca="1">OFFSET('3. 손익계산서 월별실적'!E63,0,$C$4-1)</x:f>
        <x:v>0</x:v>
      </x:c>
      <x:c r="M63" s="53">
        <x:f t="shared" ca="1" si="12"/>
        <x:v>0</x:v>
      </x:c>
      <x:c r="N63" s="56">
        <x:f t="shared" ca="1" si="36"/>
        <x:v>0</x:v>
      </x:c>
      <x:c r="O63" s="56">
        <x:f t="shared" ca="1" si="7"/>
        <x:v>0</x:v>
      </x:c>
      <x:c r="P63" s="6"/>
      <x:c r="Q63" s="6"/>
    </x:row>
    <x:row r="64" spans="2:25">
      <x:c r="B64" s="44" t="s">
        <x:v>45</x:v>
      </x:c>
      <x:c r="C64" s="14">
        <x:f>+'(계획)손익계산서 월별계획'!C64</x:f>
        <x:v>890280000</x:v>
      </x:c>
      <x:c r="D64" s="53">
        <x:f t="shared" ca="1" si="29"/>
        <x:v>0</x:v>
      </x:c>
      <x:c r="E64" s="14">
        <x:f ca="1">SUM('(계획)손익계산서 월별계획'!E64:OFFSET('(계획)손익계산서 월별계획'!E64,0,$C$4-1))</x:f>
        <x:v>103990000</x:v>
      </x:c>
      <x:c r="F64" s="14">
        <x:f ca="1">SUM('3. 손익계산서 월별실적'!E64:OFFSET('3. 손익계산서 월별실적'!E64,0,$C$4-1))</x:f>
        <x:v>0</x:v>
      </x:c>
      <x:c r="G64" s="38">
        <x:f t="shared" ca="1" si="34"/>
        <x:v>0</x:v>
      </x:c>
      <x:c r="H64" s="14">
        <x:f ca="1">OFFSET('3. 손익계산서 월별실적'!E64,0,$C$4-2)</x:f>
        <x:v>0</x:v>
      </x:c>
      <x:c r="I64" s="53">
        <x:f t="shared" ca="1" si="35"/>
        <x:v>0</x:v>
      </x:c>
      <x:c r="J64" s="14">
        <x:f ca="1">OFFSET('(계획)손익계산서 월별계획'!E64,0,$C$4-1)</x:f>
        <x:v>103990000</x:v>
      </x:c>
      <x:c r="K64" s="53">
        <x:f t="shared" ca="1" si="32"/>
        <x:v>5.7708942916845564E-2</x:v>
      </x:c>
      <x:c r="L64" s="14">
        <x:f ca="1">OFFSET('3. 손익계산서 월별실적'!E64,0,$C$4-1)</x:f>
        <x:v>0</x:v>
      </x:c>
      <x:c r="M64" s="53">
        <x:f t="shared" ca="1" si="12"/>
        <x:v>0</x:v>
      </x:c>
      <x:c r="N64" s="56">
        <x:f t="shared" ca="1" si="36"/>
        <x:v>0</x:v>
      </x:c>
      <x:c r="O64" s="56">
        <x:f t="shared" ca="1" si="7"/>
        <x:v>0</x:v>
      </x:c>
      <x:c r="P64" s="6"/>
      <x:c r="Q64" s="303">
        <x:f ca="1">+L64-J64</x:f>
        <x:v>-103990000</x:v>
      </x:c>
      <x:c r="R64" s="303">
        <x:f ca="1">+L64-H64</x:f>
        <x:v>0</x:v>
      </x:c>
      <x:c r="Y64" s="183"/>
    </x:row>
    <x:row r="65" spans="2:19">
      <x:c r="B65" s="44" t="s">
        <x:v>46</x:v>
      </x:c>
      <x:c r="C65" s="14">
        <x:f>+'(계획)손익계산서 월별계획'!C65</x:f>
        <x:v>0</x:v>
      </x:c>
      <x:c r="D65" s="53">
        <x:f t="shared" ca="1" si="29"/>
        <x:v>0</x:v>
      </x:c>
      <x:c r="E65" s="14">
        <x:f ca="1">SUM('(계획)손익계산서 월별계획'!E65:OFFSET('(계획)손익계산서 월별계획'!E65,0,$C$4-1))</x:f>
        <x:v>0</x:v>
      </x:c>
      <x:c r="F65" s="14">
        <x:f ca="1">SUM('3. 손익계산서 월별실적'!E65:OFFSET('3. 손익계산서 월별실적'!E65,0,$C$4-1))</x:f>
        <x:v>0</x:v>
      </x:c>
      <x:c r="G65" s="38">
        <x:f t="shared" ca="1" si="34"/>
        <x:v>0</x:v>
      </x:c>
      <x:c r="H65" s="14">
        <x:f ca="1">OFFSET('3. 손익계산서 월별실적'!E65,0,$C$4-2)</x:f>
        <x:v>0</x:v>
      </x:c>
      <x:c r="I65" s="53">
        <x:f t="shared" ca="1" si="35"/>
        <x:v>0</x:v>
      </x:c>
      <x:c r="J65" s="14">
        <x:f ca="1">OFFSET('(계획)손익계산서 월별계획'!E65,0,$C$4-1)</x:f>
        <x:v>0</x:v>
      </x:c>
      <x:c r="K65" s="53">
        <x:f t="shared" ca="1" si="32"/>
        <x:v>0</x:v>
      </x:c>
      <x:c r="L65" s="14">
        <x:f ca="1">OFFSET('3. 손익계산서 월별실적'!E65,0,$C$4-1)</x:f>
        <x:v>0</x:v>
      </x:c>
      <x:c r="M65" s="53">
        <x:f t="shared" ca="1" si="12"/>
        <x:v>0</x:v>
      </x:c>
      <x:c r="N65" s="56">
        <x:f t="shared" ca="1" si="36"/>
        <x:v>0</x:v>
      </x:c>
      <x:c r="O65" s="56">
        <x:f t="shared" ca="1" si="7"/>
        <x:v>0</x:v>
      </x:c>
      <x:c r="P65" s="6"/>
      <x:c r="Q65" s="6"/>
    </x:row>
    <x:row r="66" spans="2:19">
      <x:c r="B66" s="44" t="s">
        <x:v>47</x:v>
      </x:c>
      <x:c r="C66" s="14">
        <x:f>+'(계획)손익계산서 월별계획'!C66</x:f>
        <x:v>0</x:v>
      </x:c>
      <x:c r="D66" s="53">
        <x:f t="shared" ca="1" si="29"/>
        <x:v>0</x:v>
      </x:c>
      <x:c r="E66" s="14">
        <x:f ca="1">SUM('(계획)손익계산서 월별계획'!E66:OFFSET('(계획)손익계산서 월별계획'!E66,0,$C$4-1))</x:f>
        <x:v>0</x:v>
      </x:c>
      <x:c r="F66" s="14">
        <x:f ca="1">SUM('3. 손익계산서 월별실적'!E66:OFFSET('3. 손익계산서 월별실적'!E66,0,$C$4-1))</x:f>
        <x:v>0</x:v>
      </x:c>
      <x:c r="G66" s="38">
        <x:f t="shared" ca="1" si="34"/>
        <x:v>0</x:v>
      </x:c>
      <x:c r="H66" s="14">
        <x:f ca="1">OFFSET('3. 손익계산서 월별실적'!E66,0,$C$4-2)</x:f>
        <x:v>0</x:v>
      </x:c>
      <x:c r="I66" s="53">
        <x:f t="shared" ca="1" si="35"/>
        <x:v>0</x:v>
      </x:c>
      <x:c r="J66" s="14">
        <x:f ca="1">OFFSET('(계획)손익계산서 월별계획'!E66,0,$C$4-1)</x:f>
        <x:v>0</x:v>
      </x:c>
      <x:c r="K66" s="53">
        <x:f t="shared" ca="1" si="32"/>
        <x:v>0</x:v>
      </x:c>
      <x:c r="L66" s="14">
        <x:f ca="1">OFFSET('3. 손익계산서 월별실적'!E66,0,$C$4-1)</x:f>
        <x:v>0</x:v>
      </x:c>
      <x:c r="M66" s="53">
        <x:f t="shared" ca="1" si="12"/>
        <x:v>0</x:v>
      </x:c>
      <x:c r="N66" s="56">
        <x:f t="shared" ca="1" si="36"/>
        <x:v>0</x:v>
      </x:c>
      <x:c r="O66" s="56">
        <x:f t="shared" ca="1" si="7"/>
        <x:v>0</x:v>
      </x:c>
      <x:c r="P66" s="6"/>
      <x:c r="Q66" s="6"/>
    </x:row>
    <x:row r="67" spans="2:19">
      <x:c r="B67" s="44" t="s">
        <x:v>48</x:v>
      </x:c>
      <x:c r="C67" s="14">
        <x:f>+'(계획)손익계산서 월별계획'!C67</x:f>
        <x:v>89460229.333333313</x:v>
      </x:c>
      <x:c r="D67" s="53">
        <x:f t="shared" ca="1" si="29"/>
        <x:v>0</x:v>
      </x:c>
      <x:c r="E67" s="14">
        <x:f ca="1">SUM('(계획)손익계산서 월별계획'!E67:OFFSET('(계획)손익계산서 월별계획'!E67,0,$C$4-1))</x:f>
        <x:v>6670019.111111111</x:v>
      </x:c>
      <x:c r="F67" s="14">
        <x:f ca="1">SUM('3. 손익계산서 월별실적'!E67:OFFSET('3. 손익계산서 월별실적'!E67,0,$C$4-1))</x:f>
        <x:v>0</x:v>
      </x:c>
      <x:c r="G67" s="38">
        <x:f t="shared" ca="1" si="34"/>
        <x:v>0</x:v>
      </x:c>
      <x:c r="H67" s="14">
        <x:f ca="1">OFFSET('3. 손익계산서 월별실적'!E67,0,$C$4-2)</x:f>
        <x:v>0</x:v>
      </x:c>
      <x:c r="I67" s="53">
        <x:f t="shared" ca="1" si="35"/>
        <x:v>0</x:v>
      </x:c>
      <x:c r="J67" s="14">
        <x:f ca="1">OFFSET('(계획)손익계산서 월별계획'!E67,0,$C$4-1)</x:f>
        <x:v>6670019.111111111</x:v>
      </x:c>
      <x:c r="K67" s="53">
        <x:f t="shared" ca="1" si="32"/>
        <x:v>3.7015073770302921E-3</x:v>
      </x:c>
      <x:c r="L67" s="14">
        <x:f ca="1">OFFSET('3. 손익계산서 월별실적'!E67,0,$C$4-1)</x:f>
        <x:v>0</x:v>
      </x:c>
      <x:c r="M67" s="53">
        <x:f t="shared" ca="1" si="12"/>
        <x:v>0</x:v>
      </x:c>
      <x:c r="N67" s="56">
        <x:f t="shared" ca="1" si="36"/>
        <x:v>0</x:v>
      </x:c>
      <x:c r="O67" s="56">
        <x:f t="shared" ca="1" si="7"/>
        <x:v>0</x:v>
      </x:c>
      <x:c r="P67" s="6"/>
      <x:c r="Q67" s="6">
        <x:f ca="1">+L64+L61</x:f>
        <x:v>0</x:v>
      </x:c>
      <x:c r="R67" s="13">
        <x:f ca="1">+J64+J61</x:f>
        <x:v>147812999</x:v>
      </x:c>
      <x:c r="S67" s="13">
        <x:f ca="1">+Q67-R67</x:f>
        <x:v>-147812999</x:v>
      </x:c>
    </x:row>
    <x:row r="68" spans="2:19">
      <x:c r="B68" s="40" t="s">
        <x:v>27</x:v>
      </x:c>
      <x:c r="C68" s="18">
        <x:f>+'(계획)손익계산서 월별계획'!C68</x:f>
        <x:v>-9547909095.8694515</x:v>
      </x:c>
      <x:c r="D68" s="51"/>
      <x:c r="E68" s="18">
        <x:f ca="1">+E16-E18</x:f>
        <x:v>-1212296423.8083899</x:v>
      </x:c>
      <x:c r="F68" s="18">
        <x:f t="shared" ref="F68:L68" ca="1" si="37">+F16-F18</x:f>
        <x:v>0</x:v>
      </x:c>
      <x:c r="G68" s="39">
        <x:f t="shared" ca="1" si="34"/>
        <x:v>0</x:v>
      </x:c>
      <x:c r="H68" s="18">
        <x:f t="shared" ca="1" si="37"/>
        <x:v>0</x:v>
      </x:c>
      <x:c r="I68" s="51">
        <x:f t="shared" ca="1" si="35"/>
        <x:v>0</x:v>
      </x:c>
      <x:c r="J68" s="18">
        <x:f t="shared" ca="1" si="37"/>
        <x:v>-1212296423.8083899</x:v>
      </x:c>
      <x:c r="K68" s="51">
        <x:f t="shared" ca="1" si="32"/>
        <x:v>-0.6727603146442388</x:v>
      </x:c>
      <x:c r="L68" s="18">
        <x:f t="shared" ca="1" si="37"/>
        <x:v>0</x:v>
      </x:c>
      <x:c r="M68" s="51">
        <x:f t="shared" ca="1" si="12"/>
        <x:v>0</x:v>
      </x:c>
      <x:c r="N68" s="57" t="str">
        <x:f ca="1">+IF(AND(H68&gt;0,L68&gt;0),L68/H68,"-")</x:f>
        <x:v>-</x:v>
      </x:c>
      <x:c r="O68" s="57" t="str">
        <x:f ca="1">IF(AND(J68&gt;0,L68&gt;0),L68/J68,"-")</x:f>
        <x:v>-</x:v>
      </x:c>
      <x:c r="P68" s="6"/>
      <x:c r="Q68" s="6"/>
    </x:row>
    <x:row r="69" spans="2:19" s="65" customFormat="1">
      <x:c r="B69" s="64" t="s">
        <x:v>28</x:v>
      </x:c>
      <x:c r="C69" s="57">
        <x:f>+'(계획)손익계산서 월별계획'!C69</x:f>
        <x:v>-0.2010146379791031</x:v>
      </x:c>
      <x:c r="D69" s="51"/>
      <x:c r="E69" s="57">
        <x:f t="shared" ref="E69:L69" ca="1" si="38">+IFERROR(E68/E6,)</x:f>
        <x:v>-0.6727603146442388</x:v>
      </x:c>
      <x:c r="F69" s="57">
        <x:f t="shared" ca="1" si="38"/>
        <x:v>0</x:v>
      </x:c>
      <x:c r="G69" s="51"/>
      <x:c r="H69" s="57">
        <x:f t="shared" ca="1" si="38"/>
        <x:v>0</x:v>
      </x:c>
      <x:c r="I69" s="51"/>
      <x:c r="J69" s="57">
        <x:f t="shared" ca="1" si="38"/>
        <x:v>-0.6727603146442388</x:v>
      </x:c>
      <x:c r="K69" s="51"/>
      <x:c r="L69" s="57">
        <x:f t="shared" ca="1" si="38"/>
        <x:v>0</x:v>
      </x:c>
      <x:c r="M69" s="51"/>
      <x:c r="N69" s="57"/>
      <x:c r="O69" s="57"/>
      <x:c r="P69" s="6"/>
      <x:c r="Q69" s="6"/>
    </x:row>
  </x:sheetData>
  <x:phoneticPr fontId="14" type="noConversion"/>
  <x:pageMargins left="0.7" right="0.7" top="0.75" bottom="0.75" header="0.3" footer="0.3"/>
  <x:pageSetup paperSize="9" scale="65" orientation="landscape" r:id="rId1"/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2049" r:id="rId4" name="Spinner 1">
              <x:controlPr defaultSize="0" print="0" autoFill="0" autoLine="0" autoPict="0">
                <x:anchor moveWithCells="1">
                  <x:from>
                    <xdr:col>3</xdr:col>
                    <xdr:colOff>952500</xdr:colOff>
                    <xdr:row>1</xdr:row>
                    <xdr:rowOff>142875</xdr:rowOff>
                  </x:from>
                  <x:to>
                    <xdr:col>4</xdr:col>
                    <xdr:colOff>466725</xdr:colOff>
                    <xdr:row>2</xdr:row>
                    <xdr:rowOff>304800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B1:U80"/>
  <x:sheetViews>
    <x:sheetView showGridLines="0" zoomScale="55" zoomScaleNormal="55" workbookViewId="0">
      <x:pane xSplit="4" ySplit="5" topLeftCell="E6" activePane="bottomRight" state="frozen"/>
      <x:selection activeCell="AG18" sqref="AG18"/>
      <x:selection pane="topRight" activeCell="AG18" sqref="AG18"/>
      <x:selection pane="bottomLeft" activeCell="AG18" sqref="AG18"/>
      <x:selection pane="bottomRight" activeCell="AG18" sqref="AG18"/>
    </x:sheetView>
  </x:sheetViews>
  <x:sheetFormatPr defaultColWidth="8.85546875" defaultRowHeight="13.5" outlineLevelCol="1"/>
  <x:cols>
    <x:col min="1" max="1" width="1.42578125" style="13" customWidth="1"/>
    <x:col min="2" max="2" width="24.85546875" style="13" customWidth="1"/>
    <x:col min="3" max="3" width="20.140625" style="14" customWidth="1"/>
    <x:col min="4" max="4" width="16" style="14" customWidth="1"/>
    <x:col min="5" max="5" width="19.140625" style="14" customWidth="1" outlineLevel="1"/>
    <x:col min="6" max="6" width="16.85546875" style="14" customWidth="1" outlineLevel="1"/>
    <x:col min="7" max="7" width="14.5703125" style="14" customWidth="1" outlineLevel="1"/>
    <x:col min="8" max="8" width="15.85546875" style="14" customWidth="1" outlineLevel="1"/>
    <x:col min="9" max="9" width="16.42578125" style="14" customWidth="1" outlineLevel="1"/>
    <x:col min="10" max="10" width="16.140625" style="14" customWidth="1" outlineLevel="1"/>
    <x:col min="11" max="11" width="16.85546875" style="14" customWidth="1" outlineLevel="1"/>
    <x:col min="12" max="12" width="15.85546875" style="14" customWidth="1" outlineLevel="1"/>
    <x:col min="13" max="13" width="16.5703125" style="14" customWidth="1" outlineLevel="1"/>
    <x:col min="14" max="14" width="17.140625" style="14" customWidth="1" outlineLevel="1"/>
    <x:col min="15" max="15" width="14.5703125" style="14" customWidth="1" outlineLevel="1"/>
    <x:col min="16" max="16" width="15.85546875" style="14" customWidth="1" outlineLevel="1"/>
    <x:col min="17" max="17" width="24.42578125" style="13" bestFit="1" customWidth="1"/>
    <x:col min="18" max="18" width="15.85546875" style="13" bestFit="1" customWidth="1"/>
    <x:col min="19" max="19" width="15.5703125" style="13" customWidth="1"/>
    <x:col min="20" max="20" width="14.42578125" style="13" customWidth="1"/>
    <x:col min="21" max="21" width="19" style="13" customWidth="1"/>
    <x:col min="22" max="16384" width="8.85546875" style="13"/>
  </x:cols>
  <x:sheetData>
    <x:row r="1" spans="2:21">
      <x:c r="E1" s="478"/>
      <x:c r="F1" s="478"/>
      <x:c r="G1" s="478"/>
      <x:c r="H1" s="478"/>
      <x:c r="I1" s="478"/>
      <x:c r="J1" s="478"/>
      <x:c r="K1" s="478"/>
      <x:c r="L1" s="331"/>
      <x:c r="M1" s="331"/>
      <x:c r="N1" s="331"/>
      <x:c r="Q1" s="21"/>
    </x:row>
    <x:row r="2" spans="2:21" ht="12.75" customHeight="1">
      <x:c r="E2" s="331"/>
      <x:c r="F2" s="331"/>
      <x:c r="G2" s="331"/>
      <x:c r="H2" s="331"/>
      <x:c r="I2" s="331"/>
      <x:c r="J2" s="331"/>
      <x:c r="K2" s="331"/>
      <x:c r="L2" s="331"/>
      <x:c r="M2" s="331"/>
      <x:c r="N2" s="331"/>
    </x:row>
    <x:row r="3" spans="2:21" ht="27.6" customHeight="1">
      <x:c r="B3" s="15" t="s">
        <x:v>620</x:v>
      </x:c>
      <x:c r="E3" s="331"/>
      <x:c r="F3" s="331"/>
      <x:c r="G3" s="331"/>
      <x:c r="H3" s="331"/>
      <x:c r="I3" s="331"/>
      <x:c r="J3" s="331"/>
      <x:c r="K3" s="331"/>
      <x:c r="L3" s="331"/>
      <x:c r="M3" s="331"/>
      <x:c r="N3" s="331"/>
      <x:c r="P3" s="16"/>
    </x:row>
    <x:row r="4" spans="2:21" ht="14.45" customHeight="1">
      <x:c r="E4" s="21"/>
      <x:c r="F4" s="21"/>
      <x:c r="G4" s="21"/>
      <x:c r="H4" s="21"/>
      <x:c r="I4" s="21"/>
      <x:c r="J4" s="21"/>
      <x:c r="N4" s="13"/>
      <x:c r="P4" s="14" t="s">
        <x:v>20</x:v>
      </x:c>
    </x:row>
    <x:row r="5" spans="2:21" ht="25.7" customHeight="1">
      <x:c r="B5" s="17" t="s">
        <x:v>21</x:v>
      </x:c>
      <x:c r="C5" s="18" t="s">
        <x:v>8</x:v>
      </x:c>
      <x:c r="D5" s="18" t="s">
        <x:v>0</x:v>
      </x:c>
      <x:c r="E5" s="18" t="s">
        <x:v>7</x:v>
      </x:c>
      <x:c r="F5" s="18" t="s">
        <x:v>9</x:v>
      </x:c>
      <x:c r="G5" s="18" t="s">
        <x:v>10</x:v>
      </x:c>
      <x:c r="H5" s="18" t="s">
        <x:v>11</x:v>
      </x:c>
      <x:c r="I5" s="18" t="s">
        <x:v>12</x:v>
      </x:c>
      <x:c r="J5" s="18" t="s">
        <x:v>13</x:v>
      </x:c>
      <x:c r="K5" s="18" t="s">
        <x:v>14</x:v>
      </x:c>
      <x:c r="L5" s="18" t="s">
        <x:v>15</x:v>
      </x:c>
      <x:c r="M5" s="18" t="s">
        <x:v>16</x:v>
      </x:c>
      <x:c r="N5" s="18" t="s">
        <x:v>17</x:v>
      </x:c>
      <x:c r="O5" s="18" t="s">
        <x:v>18</x:v>
      </x:c>
      <x:c r="P5" s="18" t="s">
        <x:v>19</x:v>
      </x:c>
    </x:row>
    <x:row r="6" spans="2:21" s="6" customFormat="1" ht="20.45" customHeight="1">
      <x:c r="B6" s="19" t="s">
        <x:v>22</x:v>
      </x:c>
      <x:c r="C6" s="20">
        <x:f t="shared" ref="C6" si="0">SUM(C7:C10)</x:f>
        <x:v>0</x:v>
      </x:c>
      <x:c r="D6" s="20"/>
      <x:c r="E6" s="20">
        <x:f>SUM(E7:E10)</x:f>
        <x:v>0</x:v>
      </x:c>
      <x:c r="F6" s="20">
        <x:f t="shared" ref="F6:O6" si="1">SUM(F7:F10)</x:f>
        <x:v>0</x:v>
      </x:c>
      <x:c r="G6" s="20">
        <x:f t="shared" si="1"/>
        <x:v>0</x:v>
      </x:c>
      <x:c r="H6" s="20">
        <x:f>SUM(H7:H10)</x:f>
        <x:v>0</x:v>
      </x:c>
      <x:c r="I6" s="20">
        <x:f t="shared" si="1"/>
        <x:v>0</x:v>
      </x:c>
      <x:c r="J6" s="20">
        <x:f t="shared" si="1"/>
        <x:v>0</x:v>
      </x:c>
      <x:c r="K6" s="20">
        <x:f t="shared" si="1"/>
        <x:v>0</x:v>
      </x:c>
      <x:c r="L6" s="20">
        <x:f t="shared" si="1"/>
        <x:v>0</x:v>
      </x:c>
      <x:c r="M6" s="20">
        <x:f t="shared" si="1"/>
        <x:v>0</x:v>
      </x:c>
      <x:c r="N6" s="20">
        <x:f t="shared" si="1"/>
        <x:v>0</x:v>
      </x:c>
      <x:c r="O6" s="20">
        <x:f t="shared" si="1"/>
        <x:v>0</x:v>
      </x:c>
      <x:c r="P6" s="20">
        <x:f>SUM(P7:P10)</x:f>
        <x:v>0</x:v>
      </x:c>
    </x:row>
    <x:row r="7" spans="2:21">
      <x:c r="B7" s="13" t="s">
        <x:v>183</x:v>
      </x:c>
      <x:c r="C7" s="14">
        <x:f>SUM(E7:P7)</x:f>
        <x:v>0</x:v>
      </x:c>
      <x:c r="F7" s="161"/>
    </x:row>
    <x:row r="8" spans="2:21">
      <x:c r="B8" s="13" t="s">
        <x:v>330</x:v>
      </x:c>
      <x:c r="C8" s="14">
        <x:f>SUM(E8:P8)</x:f>
        <x:v>0</x:v>
      </x:c>
      <x:c r="F8" s="161"/>
    </x:row>
    <x:row r="9" spans="2:21">
      <x:c r="B9" s="13" t="s">
        <x:v>5</x:v>
      </x:c>
      <x:c r="C9" s="14">
        <x:f>SUM(E9:P9)</x:f>
        <x:v>0</x:v>
      </x:c>
      <x:c r="U9" s="191"/>
    </x:row>
    <x:row r="10" spans="2:21">
      <x:c r="B10" s="13" t="s">
        <x:v>6</x:v>
      </x:c>
      <x:c r="C10" s="14">
        <x:f>SUM(E10:P10)</x:f>
        <x:v>0</x:v>
      </x:c>
      <x:c r="U10" s="191"/>
    </x:row>
    <x:row r="11" spans="2:21" s="6" customFormat="1" ht="21.6" customHeight="1">
      <x:c r="B11" s="19" t="s">
        <x:v>23</x:v>
      </x:c>
      <x:c r="C11" s="20">
        <x:f t="shared" ref="C11" si="2">SUM(C12:C15)</x:f>
        <x:v>0</x:v>
      </x:c>
      <x:c r="D11" s="20"/>
      <x:c r="E11" s="20">
        <x:f>SUM(E12:E15)</x:f>
        <x:v>0</x:v>
      </x:c>
      <x:c r="F11" s="20">
        <x:f t="shared" ref="F11:O11" si="3">SUM(F12:F15)</x:f>
        <x:v>0</x:v>
      </x:c>
      <x:c r="G11" s="20">
        <x:f t="shared" si="3"/>
        <x:v>0</x:v>
      </x:c>
      <x:c r="H11" s="20">
        <x:f>SUM(H12:H15)</x:f>
        <x:v>0</x:v>
      </x:c>
      <x:c r="I11" s="20">
        <x:f t="shared" si="3"/>
        <x:v>0</x:v>
      </x:c>
      <x:c r="J11" s="20">
        <x:f t="shared" si="3"/>
        <x:v>0</x:v>
      </x:c>
      <x:c r="K11" s="20">
        <x:f t="shared" si="3"/>
        <x:v>0</x:v>
      </x:c>
      <x:c r="L11" s="20">
        <x:f t="shared" si="3"/>
        <x:v>0</x:v>
      </x:c>
      <x:c r="M11" s="20">
        <x:f t="shared" si="3"/>
        <x:v>0</x:v>
      </x:c>
      <x:c r="N11" s="20">
        <x:f t="shared" si="3"/>
        <x:v>0</x:v>
      </x:c>
      <x:c r="O11" s="20">
        <x:f t="shared" si="3"/>
        <x:v>0</x:v>
      </x:c>
      <x:c r="P11" s="20">
        <x:f>SUM(P12:P15)</x:f>
        <x:v>0</x:v>
      </x:c>
      <x:c r="S11" s="13"/>
    </x:row>
    <x:row r="12" spans="2:21" s="6" customFormat="1" ht="21.6" customHeight="1">
      <x:c r="B12" s="13" t="s">
        <x:v>183</x:v>
      </x:c>
      <x:c r="C12" s="14">
        <x:f>SUM(E12:P12)</x:f>
        <x:v>0</x:v>
      </x:c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204"/>
    </x:row>
    <x:row r="13" spans="2:21">
      <x:c r="B13" s="13" t="s">
        <x:v>330</x:v>
      </x:c>
      <x:c r="C13" s="14">
        <x:f>SUM(E13:P13)</x:f>
        <x:v>0</x:v>
      </x:c>
      <x:c r="F13" s="190"/>
      <x:c r="Q13" s="191"/>
      <x:c r="R13" s="183"/>
    </x:row>
    <x:row r="14" spans="2:21">
      <x:c r="B14" s="13" t="s">
        <x:v>5</x:v>
      </x:c>
      <x:c r="C14" s="14">
        <x:f>SUM(E14:P14)</x:f>
        <x:v>0</x:v>
      </x:c>
      <x:c r="F14" s="190"/>
      <x:c r="Q14" s="191"/>
      <x:c r="R14" s="183"/>
    </x:row>
    <x:row r="15" spans="2:21">
      <x:c r="B15" s="13" t="s">
        <x:v>6</x:v>
      </x:c>
      <x:c r="C15" s="14">
        <x:f>SUM(E15:P15)</x:f>
        <x:v>0</x:v>
      </x:c>
      <x:c r="F15" s="190"/>
      <x:c r="R15" s="183"/>
    </x:row>
    <x:row r="16" spans="2:21" s="6" customFormat="1" ht="17.45" customHeight="1">
      <x:c r="B16" s="19" t="s">
        <x:v>24</x:v>
      </x:c>
      <x:c r="C16" s="20">
        <x:f>+C6-C11</x:f>
        <x:v>0</x:v>
      </x:c>
      <x:c r="D16" s="20"/>
      <x:c r="E16" s="20">
        <x:f t="shared" ref="E16:P16" si="4">+E6-E11</x:f>
        <x:v>0</x:v>
      </x:c>
      <x:c r="F16" s="20">
        <x:f t="shared" si="4"/>
        <x:v>0</x:v>
      </x:c>
      <x:c r="G16" s="20">
        <x:f t="shared" si="4"/>
        <x:v>0</x:v>
      </x:c>
      <x:c r="H16" s="20">
        <x:f t="shared" si="4"/>
        <x:v>0</x:v>
      </x:c>
      <x:c r="I16" s="20">
        <x:f t="shared" si="4"/>
        <x:v>0</x:v>
      </x:c>
      <x:c r="J16" s="20">
        <x:f t="shared" si="4"/>
        <x:v>0</x:v>
      </x:c>
      <x:c r="K16" s="20">
        <x:f t="shared" si="4"/>
        <x:v>0</x:v>
      </x:c>
      <x:c r="L16" s="20">
        <x:f t="shared" si="4"/>
        <x:v>0</x:v>
      </x:c>
      <x:c r="M16" s="20">
        <x:f t="shared" si="4"/>
        <x:v>0</x:v>
      </x:c>
      <x:c r="N16" s="20">
        <x:f t="shared" si="4"/>
        <x:v>0</x:v>
      </x:c>
      <x:c r="O16" s="20">
        <x:f t="shared" si="4"/>
        <x:v>0</x:v>
      </x:c>
      <x:c r="P16" s="20">
        <x:f t="shared" si="4"/>
        <x:v>0</x:v>
      </x:c>
      <x:c r="R16" s="183"/>
    </x:row>
    <x:row r="17" spans="2:19" s="65" customFormat="1">
      <x:c r="B17" s="69" t="s">
        <x:v>25</x:v>
      </x:c>
      <x:c r="C17" s="49">
        <x:f t="shared" ref="C17:P17" si="5">+IFERROR(C16/C6,)</x:f>
        <x:v>0</x:v>
      </x:c>
      <x:c r="D17" s="49"/>
      <x:c r="E17" s="56">
        <x:f t="shared" si="5"/>
        <x:v>0</x:v>
      </x:c>
      <x:c r="F17" s="56">
        <x:f t="shared" si="5"/>
        <x:v>0</x:v>
      </x:c>
      <x:c r="G17" s="56">
        <x:f t="shared" si="5"/>
        <x:v>0</x:v>
      </x:c>
      <x:c r="H17" s="56">
        <x:f t="shared" si="5"/>
        <x:v>0</x:v>
      </x:c>
      <x:c r="I17" s="49">
        <x:f t="shared" si="5"/>
        <x:v>0</x:v>
      </x:c>
      <x:c r="J17" s="49">
        <x:f t="shared" si="5"/>
        <x:v>0</x:v>
      </x:c>
      <x:c r="K17" s="49">
        <x:f t="shared" si="5"/>
        <x:v>0</x:v>
      </x:c>
      <x:c r="L17" s="49">
        <x:f t="shared" si="5"/>
        <x:v>0</x:v>
      </x:c>
      <x:c r="M17" s="49">
        <x:f t="shared" si="5"/>
        <x:v>0</x:v>
      </x:c>
      <x:c r="N17" s="49">
        <x:f t="shared" si="5"/>
        <x:v>0</x:v>
      </x:c>
      <x:c r="O17" s="49">
        <x:f t="shared" si="5"/>
        <x:v>0</x:v>
      </x:c>
      <x:c r="P17" s="49">
        <x:f t="shared" si="5"/>
        <x:v>0</x:v>
      </x:c>
      <x:c r="R17" s="183"/>
    </x:row>
    <x:row r="18" spans="2:19" s="6" customFormat="1" ht="18.600000000000001" customHeight="1">
      <x:c r="B18" s="19" t="s">
        <x:v>26</x:v>
      </x:c>
      <x:c r="C18" s="20">
        <x:f t="shared" ref="C18:C68" si="6">SUM(E18:P18)</x:f>
        <x:v>0</x:v>
      </x:c>
      <x:c r="D18" s="20"/>
      <x:c r="E18" s="20">
        <x:f>+E19+E35+E53</x:f>
        <x:v>0</x:v>
      </x:c>
      <x:c r="F18" s="20">
        <x:f t="shared" ref="F18:P18" si="7">+F19+F35+F53</x:f>
        <x:v>0</x:v>
      </x:c>
      <x:c r="G18" s="20">
        <x:f t="shared" si="7"/>
        <x:v>0</x:v>
      </x:c>
      <x:c r="H18" s="20">
        <x:f t="shared" si="7"/>
        <x:v>0</x:v>
      </x:c>
      <x:c r="I18" s="20">
        <x:f t="shared" si="7"/>
        <x:v>0</x:v>
      </x:c>
      <x:c r="J18" s="20">
        <x:f t="shared" si="7"/>
        <x:v>0</x:v>
      </x:c>
      <x:c r="K18" s="20">
        <x:f t="shared" si="7"/>
        <x:v>0</x:v>
      </x:c>
      <x:c r="L18" s="20">
        <x:f t="shared" si="7"/>
        <x:v>0</x:v>
      </x:c>
      <x:c r="M18" s="20">
        <x:f t="shared" si="7"/>
        <x:v>0</x:v>
      </x:c>
      <x:c r="N18" s="20">
        <x:f t="shared" si="7"/>
        <x:v>0</x:v>
      </x:c>
      <x:c r="O18" s="20">
        <x:f t="shared" si="7"/>
        <x:v>0</x:v>
      </x:c>
      <x:c r="P18" s="20">
        <x:f t="shared" si="7"/>
        <x:v>0</x:v>
      </x:c>
      <x:c r="R18" s="183"/>
    </x:row>
    <x:row r="19" spans="2:19" ht="16.5">
      <x:c r="B19" s="12" t="s">
        <x:v>2</x:v>
      </x:c>
      <x:c r="C19" s="24">
        <x:f t="shared" si="6"/>
        <x:v>0</x:v>
      </x:c>
      <x:c r="D19" s="24"/>
      <x:c r="E19" s="25">
        <x:f>SUM(E20:E33)</x:f>
        <x:v>0</x:v>
      </x:c>
      <x:c r="F19" s="25">
        <x:f t="shared" ref="F19:P19" si="8">SUM(F20:F33)</x:f>
        <x:v>0</x:v>
      </x:c>
      <x:c r="G19" s="24">
        <x:f t="shared" si="8"/>
        <x:v>0</x:v>
      </x:c>
      <x:c r="H19" s="25">
        <x:f t="shared" si="8"/>
        <x:v>0</x:v>
      </x:c>
      <x:c r="I19" s="25">
        <x:f t="shared" si="8"/>
        <x:v>0</x:v>
      </x:c>
      <x:c r="J19" s="25">
        <x:f t="shared" si="8"/>
        <x:v>0</x:v>
      </x:c>
      <x:c r="K19" s="25">
        <x:f t="shared" si="8"/>
        <x:v>0</x:v>
      </x:c>
      <x:c r="L19" s="25">
        <x:f t="shared" si="8"/>
        <x:v>0</x:v>
      </x:c>
      <x:c r="M19" s="25">
        <x:f t="shared" si="8"/>
        <x:v>0</x:v>
      </x:c>
      <x:c r="N19" s="25">
        <x:f t="shared" si="8"/>
        <x:v>0</x:v>
      </x:c>
      <x:c r="O19" s="25">
        <x:f t="shared" si="8"/>
        <x:v>0</x:v>
      </x:c>
      <x:c r="P19" s="25">
        <x:f t="shared" si="8"/>
        <x:v>0</x:v>
      </x:c>
      <x:c r="R19" s="238"/>
    </x:row>
    <x:row r="20" spans="2:19">
      <x:c r="B20" s="26" t="s">
        <x:v>49</x:v>
      </x:c>
      <x:c r="C20" s="14">
        <x:f t="shared" si="6"/>
        <x:v>0</x:v>
      </x:c>
      <x:c r="H20" s="183"/>
      <x:c r="I20" s="183"/>
      <x:c r="J20" s="183"/>
      <x:c r="K20" s="183"/>
      <x:c r="L20" s="183"/>
      <x:c r="M20" s="240"/>
      <x:c r="N20" s="240"/>
      <x:c r="P20" s="13"/>
      <x:c r="Q20" s="185"/>
      <x:c r="R20" s="238"/>
      <x:c r="S20" s="14"/>
    </x:row>
    <x:row r="21" spans="2:19">
      <x:c r="B21" s="26" t="s">
        <x:v>50</x:v>
      </x:c>
      <x:c r="C21" s="14">
        <x:f t="shared" si="6"/>
        <x:v>0</x:v>
      </x:c>
      <x:c r="D21" s="13"/>
      <x:c r="E21" s="13"/>
      <x:c r="F21" s="13"/>
      <x:c r="G21" s="13"/>
      <x:c r="H21" s="183"/>
      <x:c r="I21" s="183"/>
      <x:c r="J21" s="183"/>
      <x:c r="K21" s="183"/>
      <x:c r="L21" s="185"/>
      <x:c r="M21" s="240"/>
      <x:c r="N21" s="202"/>
      <x:c r="O21" s="13"/>
      <x:c r="P21" s="13"/>
      <x:c r="Q21" s="185"/>
      <x:c r="R21" s="238"/>
    </x:row>
    <x:row r="22" spans="2:19">
      <x:c r="B22" s="26" t="s">
        <x:v>51</x:v>
      </x:c>
      <x:c r="C22" s="14">
        <x:f t="shared" si="6"/>
        <x:v>0</x:v>
      </x:c>
      <x:c r="D22" s="13"/>
      <x:c r="E22" s="13"/>
      <x:c r="F22" s="13"/>
      <x:c r="G22" s="13"/>
      <x:c r="H22" s="185"/>
      <x:c r="I22" s="185"/>
      <x:c r="J22" s="185"/>
      <x:c r="K22" s="185"/>
      <x:c r="L22" s="185"/>
      <x:c r="M22" s="203"/>
      <x:c r="N22" s="202"/>
      <x:c r="O22" s="13"/>
      <x:c r="P22" s="13"/>
      <x:c r="Q22" s="185"/>
      <x:c r="R22" s="239"/>
    </x:row>
    <x:row r="23" spans="2:19">
      <x:c r="B23" s="26" t="s">
        <x:v>52</x:v>
      </x:c>
      <x:c r="C23" s="14">
        <x:f t="shared" si="6"/>
        <x:v>0</x:v>
      </x:c>
      <x:c r="D23" s="13"/>
      <x:c r="E23" s="13"/>
      <x:c r="F23" s="13"/>
      <x:c r="G23" s="13"/>
      <x:c r="H23" s="185"/>
      <x:c r="I23" s="185"/>
      <x:c r="J23" s="185"/>
      <x:c r="K23" s="185"/>
      <x:c r="L23" s="185"/>
      <x:c r="M23" s="203"/>
      <x:c r="N23" s="202"/>
      <x:c r="O23" s="13"/>
      <x:c r="P23" s="13"/>
      <x:c r="Q23" s="185"/>
      <x:c r="R23" s="239"/>
    </x:row>
    <x:row r="24" spans="2:19">
      <x:c r="B24" s="26" t="s">
        <x:v>53</x:v>
      </x:c>
      <x:c r="C24" s="14">
        <x:f>SUM(E24:P24)</x:f>
        <x:v>0</x:v>
      </x:c>
      <x:c r="D24" s="13"/>
      <x:c r="E24" s="13"/>
      <x:c r="F24" s="13"/>
      <x:c r="G24" s="13"/>
      <x:c r="H24" s="185"/>
      <x:c r="I24" s="185"/>
      <x:c r="J24" s="185"/>
      <x:c r="K24" s="185"/>
      <x:c r="L24" s="185"/>
      <x:c r="M24" s="203"/>
      <x:c r="N24" s="202"/>
      <x:c r="O24" s="13"/>
      <x:c r="P24" s="13"/>
      <x:c r="Q24" s="185"/>
      <x:c r="R24" s="239"/>
    </x:row>
    <x:row r="25" spans="2:19">
      <x:c r="B25" s="26" t="s">
        <x:v>54</x:v>
      </x:c>
      <x:c r="C25" s="14">
        <x:f t="shared" si="6"/>
        <x:v>0</x:v>
      </x:c>
      <x:c r="E25" s="13"/>
      <x:c r="F25" s="13"/>
      <x:c r="M25" s="202"/>
      <x:c r="N25" s="202"/>
      <x:c r="Q25" s="185"/>
      <x:c r="R25" s="239"/>
    </x:row>
    <x:row r="26" spans="2:19">
      <x:c r="B26" s="26" t="s">
        <x:v>55</x:v>
      </x:c>
      <x:c r="C26" s="14">
        <x:f t="shared" si="6"/>
        <x:v>0</x:v>
      </x:c>
      <x:c r="D26" s="185"/>
      <x:c r="E26" s="13"/>
      <x:c r="F26" s="13"/>
      <x:c r="H26" s="185"/>
      <x:c r="M26" s="202"/>
      <x:c r="N26" s="202"/>
      <x:c r="O26" s="13"/>
      <x:c r="P26" s="185"/>
      <x:c r="Q26" s="185"/>
      <x:c r="R26" s="239"/>
    </x:row>
    <x:row r="27" spans="2:19">
      <x:c r="B27" s="26" t="s">
        <x:v>56</x:v>
      </x:c>
      <x:c r="C27" s="14">
        <x:f t="shared" si="6"/>
        <x:v>0</x:v>
      </x:c>
      <x:c r="D27" s="13"/>
      <x:c r="E27" s="13"/>
      <x:c r="F27" s="185"/>
      <x:c r="G27" s="13"/>
      <x:c r="H27" s="185"/>
      <x:c r="I27" s="185"/>
      <x:c r="J27" s="185"/>
      <x:c r="K27" s="185"/>
      <x:c r="L27" s="185"/>
      <x:c r="M27" s="203"/>
      <x:c r="N27" s="202"/>
      <x:c r="O27" s="13"/>
      <x:c r="P27" s="13"/>
      <x:c r="Q27" s="185"/>
      <x:c r="R27" s="239"/>
      <x:c r="S27" s="65"/>
    </x:row>
    <x:row r="28" spans="2:19">
      <x:c r="B28" s="26" t="s">
        <x:v>57</x:v>
      </x:c>
      <x:c r="C28" s="14">
        <x:f t="shared" si="6"/>
        <x:v>0</x:v>
      </x:c>
      <x:c r="D28" s="13"/>
      <x:c r="E28" s="13"/>
      <x:c r="F28" s="13"/>
      <x:c r="G28" s="13"/>
      <x:c r="H28" s="185"/>
      <x:c r="I28" s="185"/>
      <x:c r="J28" s="185"/>
      <x:c r="K28" s="185"/>
      <x:c r="L28" s="185"/>
      <x:c r="M28" s="203"/>
      <x:c r="N28" s="202"/>
      <x:c r="O28" s="13"/>
      <x:c r="P28" s="13"/>
      <x:c r="Q28" s="185"/>
      <x:c r="R28" s="239"/>
    </x:row>
    <x:row r="29" spans="2:19">
      <x:c r="B29" s="26" t="s">
        <x:v>58</x:v>
      </x:c>
      <x:c r="C29" s="14">
        <x:f t="shared" si="6"/>
        <x:v>0</x:v>
      </x:c>
      <x:c r="D29" s="13"/>
      <x:c r="E29" s="13"/>
      <x:c r="F29" s="13"/>
      <x:c r="G29" s="13"/>
      <x:c r="H29" s="185"/>
      <x:c r="I29" s="185"/>
      <x:c r="J29" s="185"/>
      <x:c r="K29" s="185"/>
      <x:c r="L29" s="185"/>
      <x:c r="M29" s="203"/>
      <x:c r="N29" s="202"/>
      <x:c r="O29" s="13"/>
      <x:c r="P29" s="13"/>
      <x:c r="Q29" s="185"/>
      <x:c r="R29" s="239"/>
    </x:row>
    <x:row r="30" spans="2:19">
      <x:c r="B30" s="26" t="s">
        <x:v>59</x:v>
      </x:c>
      <x:c r="C30" s="14">
        <x:f t="shared" si="6"/>
        <x:v>0</x:v>
      </x:c>
      <x:c r="D30" s="185"/>
      <x:c r="E30" s="13"/>
      <x:c r="F30" s="13"/>
      <x:c r="M30" s="202"/>
      <x:c r="N30" s="202"/>
      <x:c r="P30" s="185"/>
      <x:c r="Q30" s="185"/>
      <x:c r="R30" s="239"/>
    </x:row>
    <x:row r="31" spans="2:19">
      <x:c r="B31" s="26" t="s">
        <x:v>60</x:v>
      </x:c>
      <x:c r="C31" s="14">
        <x:f t="shared" si="6"/>
        <x:v>0</x:v>
      </x:c>
      <x:c r="E31" s="13"/>
      <x:c r="F31" s="13"/>
      <x:c r="K31" s="74"/>
      <x:c r="M31" s="202"/>
      <x:c r="N31" s="202"/>
      <x:c r="Q31" s="185"/>
      <x:c r="R31" s="239"/>
    </x:row>
    <x:row r="32" spans="2:19">
      <x:c r="B32" s="26" t="s">
        <x:v>61</x:v>
      </x:c>
      <x:c r="C32" s="14">
        <x:f t="shared" si="6"/>
        <x:v>0</x:v>
      </x:c>
      <x:c r="E32" s="13"/>
      <x:c r="F32" s="13"/>
      <x:c r="M32" s="202"/>
      <x:c r="N32" s="202"/>
      <x:c r="Q32" s="185"/>
      <x:c r="R32" s="239"/>
    </x:row>
    <x:row r="33" spans="2:18">
      <x:c r="B33" s="26" t="s">
        <x:v>62</x:v>
      </x:c>
      <x:c r="C33" s="14">
        <x:f t="shared" si="6"/>
        <x:v>0</x:v>
      </x:c>
      <x:c r="D33" s="13"/>
      <x:c r="E33" s="13"/>
      <x:c r="F33" s="13"/>
      <x:c r="G33" s="13"/>
      <x:c r="H33" s="185"/>
      <x:c r="I33" s="185"/>
      <x:c r="J33" s="185"/>
      <x:c r="K33" s="185"/>
      <x:c r="L33" s="185"/>
      <x:c r="M33" s="203"/>
      <x:c r="N33" s="202"/>
      <x:c r="O33" s="13"/>
      <x:c r="P33" s="13"/>
      <x:c r="Q33" s="185"/>
      <x:c r="R33" s="239"/>
    </x:row>
    <x:row r="34" spans="2:18">
      <x:c r="B34" s="27"/>
      <x:c r="E34" s="75"/>
      <x:c r="F34" s="75"/>
      <x:c r="M34" s="241"/>
      <x:c r="N34" s="202"/>
      <x:c r="R34" s="239"/>
    </x:row>
    <x:row r="35" spans="2:18" ht="16.5">
      <x:c r="B35" s="12" t="s">
        <x:v>3</x:v>
      </x:c>
      <x:c r="C35" s="28">
        <x:f t="shared" si="6"/>
        <x:v>0</x:v>
      </x:c>
      <x:c r="D35" s="28"/>
      <x:c r="E35" s="29">
        <x:f>SUM(E36:E51)</x:f>
        <x:v>0</x:v>
      </x:c>
      <x:c r="F35" s="29">
        <x:f t="shared" ref="F35:P35" si="9">SUM(F36:F51)</x:f>
        <x:v>0</x:v>
      </x:c>
      <x:c r="G35" s="28">
        <x:f t="shared" si="9"/>
        <x:v>0</x:v>
      </x:c>
      <x:c r="H35" s="29">
        <x:f t="shared" si="9"/>
        <x:v>0</x:v>
      </x:c>
      <x:c r="I35" s="29">
        <x:f t="shared" si="9"/>
        <x:v>0</x:v>
      </x:c>
      <x:c r="J35" s="29">
        <x:f t="shared" si="9"/>
        <x:v>0</x:v>
      </x:c>
      <x:c r="K35" s="29">
        <x:f t="shared" si="9"/>
        <x:v>0</x:v>
      </x:c>
      <x:c r="L35" s="29">
        <x:f>SUM(L36:L51)</x:f>
        <x:v>0</x:v>
      </x:c>
      <x:c r="M35" s="242">
        <x:f t="shared" si="9"/>
        <x:v>0</x:v>
      </x:c>
      <x:c r="N35" s="242">
        <x:f t="shared" si="9"/>
        <x:v>0</x:v>
      </x:c>
      <x:c r="O35" s="29">
        <x:f t="shared" si="9"/>
        <x:v>0</x:v>
      </x:c>
      <x:c r="P35" s="29">
        <x:f t="shared" si="9"/>
        <x:v>0</x:v>
      </x:c>
      <x:c r="R35" s="239"/>
    </x:row>
    <x:row r="36" spans="2:18">
      <x:c r="B36" s="68" t="s">
        <x:v>42</x:v>
      </x:c>
      <x:c r="C36" s="14">
        <x:f t="shared" si="6"/>
        <x:v>0</x:v>
      </x:c>
      <x:c r="D36" s="13"/>
      <x:c r="E36" s="13"/>
      <x:c r="F36" s="185"/>
      <x:c r="G36" s="13"/>
      <x:c r="H36" s="183"/>
      <x:c r="I36" s="183"/>
      <x:c r="J36" s="183"/>
      <x:c r="K36" s="183"/>
      <x:c r="L36" s="183"/>
      <x:c r="M36" s="240"/>
      <x:c r="N36" s="240"/>
      <x:c r="O36" s="13"/>
      <x:c r="P36" s="13"/>
      <x:c r="Q36" s="185"/>
      <x:c r="R36" s="238"/>
    </x:row>
    <x:row r="37" spans="2:18">
      <x:c r="B37" s="68" t="s">
        <x:v>43</x:v>
      </x:c>
      <x:c r="C37" s="14">
        <x:f t="shared" si="6"/>
        <x:v>0</x:v>
      </x:c>
      <x:c r="D37" s="13"/>
      <x:c r="E37" s="13"/>
      <x:c r="F37" s="185"/>
      <x:c r="G37" s="13"/>
      <x:c r="H37" s="185"/>
      <x:c r="I37" s="185"/>
      <x:c r="J37" s="185"/>
      <x:c r="K37" s="185"/>
      <x:c r="L37" s="185"/>
      <x:c r="M37" s="203"/>
      <x:c r="N37" s="203"/>
      <x:c r="O37" s="13"/>
      <x:c r="P37" s="13"/>
      <x:c r="Q37" s="185"/>
      <x:c r="R37" s="239"/>
    </x:row>
    <x:row r="38" spans="2:18">
      <x:c r="B38" s="68" t="s">
        <x:v>44</x:v>
      </x:c>
      <x:c r="C38" s="14">
        <x:f t="shared" si="6"/>
        <x:v>0</x:v>
      </x:c>
      <x:c r="D38" s="13"/>
      <x:c r="E38" s="13"/>
      <x:c r="F38" s="185"/>
      <x:c r="G38" s="13"/>
      <x:c r="H38" s="185"/>
      <x:c r="I38" s="185"/>
      <x:c r="J38" s="185"/>
      <x:c r="K38" s="185"/>
      <x:c r="L38" s="185"/>
      <x:c r="M38" s="203"/>
      <x:c r="N38" s="203"/>
      <x:c r="O38" s="13"/>
      <x:c r="P38" s="13"/>
      <x:c r="Q38" s="185"/>
      <x:c r="R38" s="239"/>
    </x:row>
    <x:row r="39" spans="2:18">
      <x:c r="B39" s="68" t="s">
        <x:v>34</x:v>
      </x:c>
      <x:c r="C39" s="14">
        <x:f t="shared" si="6"/>
        <x:v>0</x:v>
      </x:c>
      <x:c r="D39" s="13"/>
      <x:c r="E39" s="13"/>
      <x:c r="F39" s="185"/>
      <x:c r="G39" s="13"/>
      <x:c r="H39" s="185"/>
      <x:c r="I39" s="185"/>
      <x:c r="J39" s="185"/>
      <x:c r="K39" s="185"/>
      <x:c r="L39" s="185"/>
      <x:c r="M39" s="203"/>
      <x:c r="N39" s="203"/>
      <x:c r="O39" s="13"/>
      <x:c r="P39" s="13"/>
      <x:c r="Q39" s="185"/>
      <x:c r="R39" s="239"/>
    </x:row>
    <x:row r="40" spans="2:18">
      <x:c r="B40" s="68" t="s">
        <x:v>38</x:v>
      </x:c>
      <x:c r="C40" s="14">
        <x:f t="shared" si="6"/>
        <x:v>0</x:v>
      </x:c>
      <x:c r="D40" s="13"/>
      <x:c r="E40" s="13"/>
      <x:c r="F40" s="185"/>
      <x:c r="G40" s="13"/>
      <x:c r="H40" s="185"/>
      <x:c r="I40" s="185"/>
      <x:c r="J40" s="185"/>
      <x:c r="K40" s="185"/>
      <x:c r="L40" s="185"/>
      <x:c r="M40" s="203"/>
      <x:c r="N40" s="241"/>
      <x:c r="O40" s="13"/>
      <x:c r="P40" s="13"/>
      <x:c r="Q40" s="185"/>
      <x:c r="R40" s="239"/>
    </x:row>
    <x:row r="41" spans="2:18">
      <x:c r="B41" s="68" t="s">
        <x:v>39</x:v>
      </x:c>
      <x:c r="C41" s="14">
        <x:f t="shared" si="6"/>
        <x:v>0</x:v>
      </x:c>
      <x:c r="E41" s="13"/>
      <x:c r="F41" s="13"/>
      <x:c r="M41" s="202"/>
      <x:c r="N41" s="203"/>
      <x:c r="Q41" s="185"/>
      <x:c r="R41" s="239"/>
    </x:row>
    <x:row r="42" spans="2:18">
      <x:c r="B42" s="68" t="s">
        <x:v>37</x:v>
      </x:c>
      <x:c r="C42" s="14">
        <x:f t="shared" si="6"/>
        <x:v>0</x:v>
      </x:c>
      <x:c r="E42" s="13"/>
      <x:c r="F42" s="13"/>
      <x:c r="M42" s="202"/>
      <x:c r="N42" s="203"/>
      <x:c r="Q42" s="185"/>
      <x:c r="R42" s="239"/>
    </x:row>
    <x:row r="43" spans="2:18">
      <x:c r="B43" s="68" t="s">
        <x:v>40</x:v>
      </x:c>
      <x:c r="C43" s="14">
        <x:f t="shared" si="6"/>
        <x:v>0</x:v>
      </x:c>
      <x:c r="D43" s="13"/>
      <x:c r="E43" s="13"/>
      <x:c r="F43" s="185"/>
      <x:c r="G43" s="13"/>
      <x:c r="H43" s="185"/>
      <x:c r="I43" s="349"/>
      <x:c r="J43" s="185"/>
      <x:c r="K43" s="185"/>
      <x:c r="L43" s="185"/>
      <x:c r="M43" s="203"/>
      <x:c r="N43" s="203"/>
      <x:c r="O43" s="13"/>
      <x:c r="P43" s="13"/>
      <x:c r="Q43" s="185"/>
      <x:c r="R43" s="239"/>
    </x:row>
    <x:row r="44" spans="2:18">
      <x:c r="B44" s="68" t="s">
        <x:v>35</x:v>
      </x:c>
      <x:c r="C44" s="14">
        <x:f t="shared" si="6"/>
        <x:v>0</x:v>
      </x:c>
      <x:c r="D44" s="13"/>
      <x:c r="E44" s="13"/>
      <x:c r="F44" s="185"/>
      <x:c r="G44" s="13"/>
      <x:c r="H44" s="185"/>
      <x:c r="I44" s="185"/>
      <x:c r="J44" s="185"/>
      <x:c r="K44" s="185"/>
      <x:c r="L44" s="185"/>
      <x:c r="M44" s="203"/>
      <x:c r="N44" s="203"/>
      <x:c r="O44" s="13"/>
      <x:c r="P44" s="13"/>
      <x:c r="Q44" s="185"/>
      <x:c r="R44" s="239"/>
    </x:row>
    <x:row r="45" spans="2:18">
      <x:c r="B45" s="68" t="s">
        <x:v>36</x:v>
      </x:c>
      <x:c r="C45" s="14">
        <x:f t="shared" si="6"/>
        <x:v>0</x:v>
      </x:c>
      <x:c r="D45" s="13"/>
      <x:c r="E45" s="13"/>
      <x:c r="F45" s="185"/>
      <x:c r="G45" s="13"/>
      <x:c r="H45" s="185"/>
      <x:c r="I45" s="185"/>
      <x:c r="J45" s="185"/>
      <x:c r="K45" s="185"/>
      <x:c r="L45" s="185"/>
      <x:c r="M45" s="203"/>
      <x:c r="N45" s="203"/>
      <x:c r="O45" s="13"/>
      <x:c r="P45" s="13"/>
      <x:c r="Q45" s="185"/>
      <x:c r="R45" s="239"/>
    </x:row>
    <x:row r="46" spans="2:18">
      <x:c r="B46" s="68" t="s">
        <x:v>45</x:v>
      </x:c>
      <x:c r="C46" s="14">
        <x:f t="shared" si="6"/>
        <x:v>0</x:v>
      </x:c>
      <x:c r="E46" s="13"/>
      <x:c r="F46" s="13"/>
      <x:c r="G46" s="13"/>
      <x:c r="H46" s="185"/>
      <x:c r="I46" s="185"/>
      <x:c r="J46" s="185"/>
      <x:c r="K46" s="185"/>
      <x:c r="M46" s="203"/>
      <x:c r="N46" s="203"/>
      <x:c r="Q46" s="185"/>
      <x:c r="R46" s="239"/>
    </x:row>
    <x:row r="47" spans="2:18">
      <x:c r="B47" s="68" t="s">
        <x:v>46</x:v>
      </x:c>
      <x:c r="C47" s="14">
        <x:f t="shared" si="6"/>
        <x:v>0</x:v>
      </x:c>
      <x:c r="E47" s="13"/>
      <x:c r="F47" s="13"/>
      <x:c r="M47" s="202"/>
      <x:c r="N47" s="203"/>
      <x:c r="Q47" s="185"/>
      <x:c r="R47" s="239"/>
    </x:row>
    <x:row r="48" spans="2:18">
      <x:c r="B48" s="68" t="s">
        <x:v>47</x:v>
      </x:c>
      <x:c r="C48" s="14">
        <x:f t="shared" si="6"/>
        <x:v>0</x:v>
      </x:c>
      <x:c r="E48" s="13"/>
      <x:c r="F48" s="13"/>
      <x:c r="M48" s="202"/>
      <x:c r="N48" s="203"/>
      <x:c r="Q48" s="185"/>
      <x:c r="R48" s="239"/>
    </x:row>
    <x:row r="49" spans="2:18">
      <x:c r="B49" s="68" t="s">
        <x:v>48</x:v>
      </x:c>
      <x:c r="C49" s="14">
        <x:f t="shared" si="6"/>
        <x:v>0</x:v>
      </x:c>
      <x:c r="D49" s="13"/>
      <x:c r="E49" s="13"/>
      <x:c r="F49" s="185"/>
      <x:c r="G49" s="13"/>
      <x:c r="H49" s="185"/>
      <x:c r="I49" s="185"/>
      <x:c r="J49" s="185"/>
      <x:c r="K49" s="185"/>
      <x:c r="L49" s="185"/>
      <x:c r="M49" s="203"/>
      <x:c r="N49" s="203"/>
      <x:c r="O49" s="13"/>
      <x:c r="P49" s="13"/>
      <x:c r="Q49" s="185"/>
      <x:c r="R49" s="239"/>
    </x:row>
    <x:row r="50" spans="2:18">
      <x:c r="B50" s="68" t="s">
        <x:v>63</x:v>
      </x:c>
      <x:c r="C50" s="14">
        <x:f t="shared" si="6"/>
        <x:v>0</x:v>
      </x:c>
      <x:c r="E50" s="13"/>
      <x:c r="F50" s="13"/>
      <x:c r="M50" s="202"/>
      <x:c r="N50" s="203"/>
      <x:c r="Q50" s="185"/>
      <x:c r="R50" s="239"/>
    </x:row>
    <x:row r="51" spans="2:18" ht="19.350000000000001" customHeight="1">
      <x:c r="B51" s="68" t="s">
        <x:v>64</x:v>
      </x:c>
      <x:c r="C51" s="14">
        <x:f t="shared" si="6"/>
        <x:v>0</x:v>
      </x:c>
      <x:c r="E51" s="13"/>
      <x:c r="F51" s="13"/>
      <x:c r="M51" s="202"/>
      <x:c r="N51" s="203"/>
      <x:c r="Q51" s="183"/>
      <x:c r="R51" s="239"/>
    </x:row>
    <x:row r="52" spans="2:18" hidden="1">
      <x:c r="B52" s="27"/>
      <x:c r="C52" s="14">
        <x:f t="shared" si="6"/>
        <x:v>0</x:v>
      </x:c>
      <x:c r="E52" s="75"/>
      <x:c r="F52" s="75"/>
      <x:c r="G52" s="14" t="s">
        <x:v>235</x:v>
      </x:c>
      <x:c r="M52" s="241"/>
      <x:c r="N52" s="241"/>
      <x:c r="R52" s="239"/>
    </x:row>
    <x:row r="53" spans="2:18" ht="16.5">
      <x:c r="B53" s="12" t="s">
        <x:v>4</x:v>
      </x:c>
      <x:c r="C53" s="28">
        <x:f t="shared" si="6"/>
        <x:v>0</x:v>
      </x:c>
      <x:c r="D53" s="28"/>
      <x:c r="E53" s="29">
        <x:f>SUM(E54:E67)</x:f>
        <x:v>0</x:v>
      </x:c>
      <x:c r="F53" s="29">
        <x:f t="shared" ref="F53:P53" si="10">SUM(F54:F67)</x:f>
        <x:v>0</x:v>
      </x:c>
      <x:c r="G53" s="28">
        <x:f>SUM(G54:G67)</x:f>
        <x:v>0</x:v>
      </x:c>
      <x:c r="H53" s="29">
        <x:f t="shared" si="10"/>
        <x:v>0</x:v>
      </x:c>
      <x:c r="I53" s="29">
        <x:f t="shared" si="10"/>
        <x:v>0</x:v>
      </x:c>
      <x:c r="J53" s="29">
        <x:f t="shared" si="10"/>
        <x:v>0</x:v>
      </x:c>
      <x:c r="K53" s="29">
        <x:f t="shared" si="10"/>
        <x:v>0</x:v>
      </x:c>
      <x:c r="L53" s="29">
        <x:f>SUM(L54:L67)</x:f>
        <x:v>0</x:v>
      </x:c>
      <x:c r="M53" s="242">
        <x:f t="shared" si="10"/>
        <x:v>0</x:v>
      </x:c>
      <x:c r="N53" s="242">
        <x:f t="shared" si="10"/>
        <x:v>0</x:v>
      </x:c>
      <x:c r="O53" s="29">
        <x:f t="shared" si="10"/>
        <x:v>0</x:v>
      </x:c>
      <x:c r="P53" s="29">
        <x:f t="shared" si="10"/>
        <x:v>0</x:v>
      </x:c>
      <x:c r="R53" s="238"/>
    </x:row>
    <x:row r="54" spans="2:18">
      <x:c r="B54" s="68" t="s">
        <x:v>42</x:v>
      </x:c>
      <x:c r="C54" s="14">
        <x:f t="shared" si="6"/>
        <x:v>0</x:v>
      </x:c>
      <x:c r="D54" s="13"/>
      <x:c r="E54" s="13"/>
      <x:c r="F54" s="185"/>
      <x:c r="G54" s="13"/>
      <x:c r="H54" s="185"/>
      <x:c r="I54" s="185"/>
      <x:c r="J54" s="185"/>
      <x:c r="K54" s="185"/>
      <x:c r="L54" s="185"/>
      <x:c r="M54" s="203"/>
      <x:c r="N54" s="203"/>
      <x:c r="O54" s="13"/>
      <x:c r="P54" s="13"/>
      <x:c r="Q54" s="185"/>
      <x:c r="R54" s="239"/>
    </x:row>
    <x:row r="55" spans="2:18">
      <x:c r="B55" s="68" t="s">
        <x:v>65</x:v>
      </x:c>
      <x:c r="C55" s="14">
        <x:f t="shared" si="6"/>
        <x:v>0</x:v>
      </x:c>
      <x:c r="D55" s="13"/>
      <x:c r="E55" s="13"/>
      <x:c r="F55" s="185"/>
      <x:c r="G55" s="13"/>
      <x:c r="H55" s="185"/>
      <x:c r="I55" s="185"/>
      <x:c r="J55" s="185"/>
      <x:c r="K55" s="185"/>
      <x:c r="L55" s="185"/>
      <x:c r="M55" s="203"/>
      <x:c r="N55" s="203"/>
      <x:c r="O55" s="13"/>
      <x:c r="P55" s="13"/>
      <x:c r="Q55" s="330"/>
      <x:c r="R55" s="239"/>
    </x:row>
    <x:row r="56" spans="2:18">
      <x:c r="B56" s="68" t="s">
        <x:v>44</x:v>
      </x:c>
      <x:c r="C56" s="14">
        <x:f t="shared" ref="C56:C63" si="11">SUM(E56:P56)</x:f>
        <x:v>0</x:v>
      </x:c>
      <x:c r="D56" s="13"/>
      <x:c r="E56" s="13"/>
      <x:c r="F56" s="185"/>
      <x:c r="G56" s="13"/>
      <x:c r="H56" s="185"/>
      <x:c r="I56" s="185"/>
      <x:c r="J56" s="185"/>
      <x:c r="K56" s="185"/>
      <x:c r="L56" s="185"/>
      <x:c r="M56" s="203"/>
      <x:c r="N56" s="203"/>
      <x:c r="O56" s="13"/>
      <x:c r="P56" s="13"/>
      <x:c r="Q56" s="330"/>
      <x:c r="R56" s="239"/>
    </x:row>
    <x:row r="57" spans="2:18">
      <x:c r="B57" s="68" t="s">
        <x:v>34</x:v>
      </x:c>
      <x:c r="C57" s="14">
        <x:f t="shared" si="11"/>
        <x:v>0</x:v>
      </x:c>
      <x:c r="D57" s="13"/>
      <x:c r="E57" s="13"/>
      <x:c r="F57" s="185"/>
      <x:c r="G57" s="13"/>
      <x:c r="H57" s="185"/>
      <x:c r="I57" s="185"/>
      <x:c r="J57" s="185"/>
      <x:c r="K57" s="185"/>
      <x:c r="L57" s="185"/>
      <x:c r="M57" s="203"/>
      <x:c r="N57" s="203"/>
      <x:c r="O57" s="13"/>
      <x:c r="P57" s="13"/>
      <x:c r="Q57" s="330"/>
      <x:c r="R57" s="239"/>
    </x:row>
    <x:row r="58" spans="2:18">
      <x:c r="B58" s="68" t="s">
        <x:v>38</x:v>
      </x:c>
      <x:c r="C58" s="14">
        <x:f t="shared" si="11"/>
        <x:v>0</x:v>
      </x:c>
      <x:c r="D58" s="13"/>
      <x:c r="E58" s="13"/>
      <x:c r="F58" s="185"/>
      <x:c r="G58" s="13"/>
      <x:c r="H58" s="185"/>
      <x:c r="I58" s="185"/>
      <x:c r="J58" s="185"/>
      <x:c r="K58" s="185"/>
      <x:c r="L58" s="185"/>
      <x:c r="M58" s="203"/>
      <x:c r="N58" s="203"/>
      <x:c r="O58" s="13"/>
      <x:c r="P58" s="13"/>
      <x:c r="Q58" s="330"/>
      <x:c r="R58" s="239"/>
    </x:row>
    <x:row r="59" spans="2:18">
      <x:c r="B59" s="68" t="s">
        <x:v>39</x:v>
      </x:c>
      <x:c r="C59" s="14">
        <x:f t="shared" si="11"/>
        <x:v>0</x:v>
      </x:c>
      <x:c r="E59" s="13"/>
      <x:c r="F59" s="13"/>
      <x:c r="M59" s="202"/>
      <x:c r="N59" s="203"/>
      <x:c r="Q59" s="68"/>
      <x:c r="R59" s="239"/>
    </x:row>
    <x:row r="60" spans="2:18">
      <x:c r="B60" s="68" t="s">
        <x:v>37</x:v>
      </x:c>
      <x:c r="C60" s="14">
        <x:f t="shared" si="11"/>
        <x:v>0</x:v>
      </x:c>
      <x:c r="E60" s="13"/>
      <x:c r="F60" s="13"/>
      <x:c r="M60" s="202"/>
      <x:c r="N60" s="203"/>
      <x:c r="Q60" s="68"/>
      <x:c r="R60" s="239"/>
    </x:row>
    <x:row r="61" spans="2:18">
      <x:c r="B61" s="68" t="s">
        <x:v>40</x:v>
      </x:c>
      <x:c r="C61" s="14">
        <x:f t="shared" si="11"/>
        <x:v>0</x:v>
      </x:c>
      <x:c r="D61" s="13"/>
      <x:c r="E61" s="13"/>
      <x:c r="F61" s="185"/>
      <x:c r="G61" s="13"/>
      <x:c r="H61" s="185"/>
      <x:c r="I61" s="185"/>
      <x:c r="J61" s="185"/>
      <x:c r="K61" s="185"/>
      <x:c r="L61" s="185"/>
      <x:c r="M61" s="203"/>
      <x:c r="N61" s="203"/>
      <x:c r="O61" s="13"/>
      <x:c r="P61" s="13"/>
      <x:c r="Q61" s="330"/>
      <x:c r="R61" s="239"/>
    </x:row>
    <x:row r="62" spans="2:18">
      <x:c r="B62" s="68" t="s">
        <x:v>35</x:v>
      </x:c>
      <x:c r="C62" s="14">
        <x:f t="shared" si="11"/>
        <x:v>0</x:v>
      </x:c>
      <x:c r="D62" s="13"/>
      <x:c r="E62" s="13"/>
      <x:c r="F62" s="185"/>
      <x:c r="G62" s="13"/>
      <x:c r="H62" s="185"/>
      <x:c r="I62" s="185"/>
      <x:c r="J62" s="185"/>
      <x:c r="K62" s="185"/>
      <x:c r="L62" s="185"/>
      <x:c r="M62" s="203"/>
      <x:c r="N62" s="203"/>
      <x:c r="O62" s="13"/>
      <x:c r="P62" s="13"/>
      <x:c r="Q62" s="330"/>
      <x:c r="R62" s="239"/>
    </x:row>
    <x:row r="63" spans="2:18">
      <x:c r="B63" s="68" t="s">
        <x:v>36</x:v>
      </x:c>
      <x:c r="C63" s="14">
        <x:f t="shared" si="11"/>
        <x:v>0</x:v>
      </x:c>
      <x:c r="D63" s="13"/>
      <x:c r="E63" s="13"/>
      <x:c r="F63" s="185"/>
      <x:c r="G63" s="13"/>
      <x:c r="H63" s="185"/>
      <x:c r="I63" s="185"/>
      <x:c r="J63" s="185"/>
      <x:c r="K63" s="185"/>
      <x:c r="L63" s="185"/>
      <x:c r="M63" s="203"/>
      <x:c r="N63" s="203"/>
      <x:c r="O63" s="13"/>
      <x:c r="P63" s="13"/>
      <x:c r="Q63" s="330"/>
      <x:c r="R63" s="239"/>
    </x:row>
    <x:row r="64" spans="2:18">
      <x:c r="B64" s="68" t="s">
        <x:v>45</x:v>
      </x:c>
      <x:c r="C64" s="14">
        <x:f t="shared" si="6"/>
        <x:v>0</x:v>
      </x:c>
      <x:c r="D64" s="13"/>
      <x:c r="E64" s="13"/>
      <x:c r="F64" s="185"/>
      <x:c r="G64" s="13"/>
      <x:c r="H64" s="185"/>
      <x:c r="I64" s="185"/>
      <x:c r="J64" s="185"/>
      <x:c r="K64" s="185"/>
      <x:c r="L64" s="185"/>
      <x:c r="M64" s="203"/>
      <x:c r="N64" s="203"/>
      <x:c r="O64" s="13"/>
      <x:c r="P64" s="13"/>
      <x:c r="Q64" s="330"/>
      <x:c r="R64" s="239"/>
    </x:row>
    <x:row r="65" spans="2:18">
      <x:c r="B65" s="68" t="s">
        <x:v>46</x:v>
      </x:c>
      <x:c r="C65" s="14">
        <x:f t="shared" si="6"/>
        <x:v>0</x:v>
      </x:c>
      <x:c r="E65" s="13"/>
      <x:c r="F65" s="13"/>
      <x:c r="M65" s="202"/>
      <x:c r="N65" s="203"/>
      <x:c r="Q65" s="68"/>
      <x:c r="R65" s="239"/>
    </x:row>
    <x:row r="66" spans="2:18">
      <x:c r="B66" s="68" t="s">
        <x:v>47</x:v>
      </x:c>
      <x:c r="C66" s="14">
        <x:f t="shared" si="6"/>
        <x:v>0</x:v>
      </x:c>
      <x:c r="E66" s="13"/>
      <x:c r="F66" s="13"/>
      <x:c r="M66" s="202"/>
      <x:c r="N66" s="203"/>
      <x:c r="Q66" s="68"/>
      <x:c r="R66" s="239"/>
    </x:row>
    <x:row r="67" spans="2:18">
      <x:c r="B67" s="68" t="s">
        <x:v>48</x:v>
      </x:c>
      <x:c r="C67" s="14">
        <x:f t="shared" si="6"/>
        <x:v>0</x:v>
      </x:c>
      <x:c r="D67" s="13"/>
      <x:c r="E67" s="13"/>
      <x:c r="F67" s="13"/>
      <x:c r="G67" s="13"/>
      <x:c r="H67" s="13"/>
      <x:c r="I67" s="185"/>
      <x:c r="J67" s="185"/>
      <x:c r="K67" s="185"/>
      <x:c r="L67" s="185"/>
      <x:c r="M67" s="203"/>
      <x:c r="N67" s="203"/>
      <x:c r="O67" s="13"/>
      <x:c r="P67" s="13"/>
    </x:row>
    <x:row r="68" spans="2:18" s="6" customFormat="1" ht="18.600000000000001" customHeight="1">
      <x:c r="B68" s="17" t="s">
        <x:v>27</x:v>
      </x:c>
      <x:c r="C68" s="18">
        <x:f t="shared" si="6"/>
        <x:v>0</x:v>
      </x:c>
      <x:c r="D68" s="18"/>
      <x:c r="E68" s="18">
        <x:f t="shared" ref="E68:F68" si="12">+E16-E18</x:f>
        <x:v>0</x:v>
      </x:c>
      <x:c r="F68" s="18">
        <x:f t="shared" si="12"/>
        <x:v>0</x:v>
      </x:c>
      <x:c r="G68" s="18">
        <x:f t="shared" ref="G68:P68" si="13">+G16-G18</x:f>
        <x:v>0</x:v>
      </x:c>
      <x:c r="H68" s="18">
        <x:f t="shared" si="13"/>
        <x:v>0</x:v>
      </x:c>
      <x:c r="I68" s="18">
        <x:f t="shared" si="13"/>
        <x:v>0</x:v>
      </x:c>
      <x:c r="J68" s="18">
        <x:f t="shared" si="13"/>
        <x:v>0</x:v>
      </x:c>
      <x:c r="K68" s="18">
        <x:f t="shared" si="13"/>
        <x:v>0</x:v>
      </x:c>
      <x:c r="L68" s="18">
        <x:f t="shared" si="13"/>
        <x:v>0</x:v>
      </x:c>
      <x:c r="M68" s="18">
        <x:f t="shared" si="13"/>
        <x:v>0</x:v>
      </x:c>
      <x:c r="N68" s="18">
        <x:f t="shared" si="13"/>
        <x:v>0</x:v>
      </x:c>
      <x:c r="O68" s="18">
        <x:f t="shared" si="13"/>
        <x:v>0</x:v>
      </x:c>
      <x:c r="P68" s="18">
        <x:f t="shared" si="13"/>
        <x:v>0</x:v>
      </x:c>
      <x:c r="Q68" s="80"/>
    </x:row>
    <x:row r="69" spans="2:18" s="80" customFormat="1">
      <x:c r="B69" s="78" t="s">
        <x:v>28</x:v>
      </x:c>
      <x:c r="C69" s="79">
        <x:f>+IFERROR(C68/C6,)</x:f>
        <x:v>0</x:v>
      </x:c>
      <x:c r="D69" s="57"/>
      <x:c r="E69" s="57">
        <x:f t="shared" ref="E69:F69" si="14">+IFERROR(E68/E6,)</x:f>
        <x:v>0</x:v>
      </x:c>
      <x:c r="F69" s="57">
        <x:f t="shared" si="14"/>
        <x:v>0</x:v>
      </x:c>
      <x:c r="G69" s="57">
        <x:f t="shared" ref="G69:P69" si="15">+IFERROR(G68/G6,)</x:f>
        <x:v>0</x:v>
      </x:c>
      <x:c r="H69" s="57">
        <x:f t="shared" si="15"/>
        <x:v>0</x:v>
      </x:c>
      <x:c r="I69" s="79">
        <x:f t="shared" si="15"/>
        <x:v>0</x:v>
      </x:c>
      <x:c r="J69" s="79">
        <x:f t="shared" si="15"/>
        <x:v>0</x:v>
      </x:c>
      <x:c r="K69" s="79">
        <x:f t="shared" si="15"/>
        <x:v>0</x:v>
      </x:c>
      <x:c r="L69" s="79">
        <x:f t="shared" si="15"/>
        <x:v>0</x:v>
      </x:c>
      <x:c r="M69" s="79">
        <x:f t="shared" si="15"/>
        <x:v>0</x:v>
      </x:c>
      <x:c r="N69" s="79">
        <x:f t="shared" si="15"/>
        <x:v>0</x:v>
      </x:c>
      <x:c r="O69" s="79">
        <x:f t="shared" si="15"/>
        <x:v>0</x:v>
      </x:c>
      <x:c r="P69" s="79">
        <x:f t="shared" si="15"/>
        <x:v>0</x:v>
      </x:c>
      <x:c r="Q69" s="6"/>
    </x:row>
    <x:row r="70" spans="2:18" s="6" customFormat="1" ht="18.600000000000001" hidden="1" customHeight="1">
      <x:c r="B70" s="34" t="s">
        <x:v>29</x:v>
      </x:c>
      <x:c r="C70" s="35"/>
      <x:c r="D70" s="35"/>
      <x:c r="E70" s="13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</x:row>
    <x:row r="71" spans="2:18" s="6" customFormat="1" ht="20.100000000000001" hidden="1" customHeight="1">
      <x:c r="B71" s="34" t="s">
        <x:v>30</x:v>
      </x:c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</x:row>
    <x:row r="72" spans="2:18" s="6" customFormat="1" ht="20.45" hidden="1" customHeight="1">
      <x:c r="B72" s="34" t="s">
        <x:v>31</x:v>
      </x:c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</x:row>
    <x:row r="73" spans="2:18" s="6" customFormat="1" ht="20.45" hidden="1" customHeight="1">
      <x:c r="B73" s="34" t="s">
        <x:v>32</x:v>
      </x:c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0"/>
    </x:row>
    <x:row r="74" spans="2:18" s="30" customFormat="1" hidden="1">
      <x:c r="B74" s="36" t="s">
        <x:v>33</x:v>
      </x:c>
      <x:c r="C74" s="76"/>
      <x:c r="D74" s="76"/>
      <x:c r="E74" s="77"/>
      <x:c r="F74" s="77"/>
      <x:c r="G74" s="77"/>
      <x:c r="H74" s="77"/>
      <x:c r="I74" s="76"/>
      <x:c r="J74" s="76"/>
      <x:c r="K74" s="76"/>
      <x:c r="L74" s="76"/>
      <x:c r="M74" s="76"/>
      <x:c r="N74" s="76"/>
      <x:c r="O74" s="76"/>
      <x:c r="P74" s="76"/>
      <x:c r="Q74" s="13"/>
    </x:row>
    <x:row r="80" spans="2:18">
      <x:c r="F80" s="6"/>
    </x:row>
  </x:sheetData>
  <x:phoneticPr fontId="7" type="noConversion"/>
  <x:pageMargins left="0.7" right="0.7" top="0.75" bottom="0.75" header="0.3" footer="0.3"/>
  <x:pageSetup paperSize="9"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89AEE1-765C-4F2C-B0C5-3AD9E3D3992F}" mc:Ignorable="x14ac xr xr2 xr3">
  <x:dimension ref="B2:W184"/>
  <x:sheetViews>
    <x:sheetView showGridLines="0" topLeftCell="B1" zoomScale="70" zoomScaleNormal="70" workbookViewId="0">
      <x:selection activeCell="AG18" sqref="AG18"/>
    </x:sheetView>
  </x:sheetViews>
  <x:sheetFormatPr defaultColWidth="8.85546875" defaultRowHeight="21" customHeight="1"/>
  <x:cols>
    <x:col min="1" max="1" width="8.85546875" style="158"/>
    <x:col min="2" max="2" width="28.5703125" style="158" bestFit="1" customWidth="1"/>
    <x:col min="3" max="3" width="18" style="168" bestFit="1" customWidth="1"/>
    <x:col min="4" max="4" width="17.28515625" style="168" bestFit="1" customWidth="1"/>
    <x:col min="5" max="5" width="18" style="168" bestFit="1" customWidth="1"/>
    <x:col min="6" max="6" width="20" style="175" bestFit="1" customWidth="1"/>
    <x:col min="7" max="7" width="17.28515625" style="158" bestFit="1" customWidth="1"/>
    <x:col min="8" max="8" width="19.42578125" style="158" bestFit="1" customWidth="1"/>
    <x:col min="9" max="9" width="15.28515625" style="158" bestFit="1" customWidth="1"/>
    <x:col min="10" max="10" width="15.28515625" style="215" bestFit="1" customWidth="1"/>
    <x:col min="11" max="11" width="17.28515625" style="215" bestFit="1" customWidth="1"/>
    <x:col min="12" max="12" width="11.85546875" style="158" bestFit="1" customWidth="1"/>
    <x:col min="13" max="13" width="8.85546875" style="158"/>
    <x:col min="14" max="14" width="11.5703125" style="158" customWidth="1"/>
    <x:col min="15" max="15" width="26.140625" style="158" bestFit="1" customWidth="1"/>
    <x:col min="16" max="16" width="9.5703125" style="158" bestFit="1" customWidth="1"/>
    <x:col min="17" max="17" width="18.85546875" style="158" bestFit="1" customWidth="1"/>
    <x:col min="18" max="18" width="20.85546875" style="158" bestFit="1" customWidth="1"/>
    <x:col min="19" max="19" width="18" style="158" bestFit="1" customWidth="1"/>
    <x:col min="20" max="20" width="20.42578125" style="158" bestFit="1" customWidth="1"/>
    <x:col min="21" max="22" width="15.85546875" style="158" bestFit="1" customWidth="1"/>
    <x:col min="23" max="23" width="18" style="158" bestFit="1" customWidth="1"/>
    <x:col min="24" max="16384" width="8.85546875" style="158"/>
  </x:cols>
  <x:sheetData>
    <x:row r="2" spans="2:10" ht="21" customHeight="1">
      <x:c r="B2" s="159" t="s">
        <x:v>219</x:v>
      </x:c>
      <x:c r="F2" s="168"/>
      <x:c r="G2" s="175" t="s">
        <x:v>237</x:v>
      </x:c>
    </x:row>
    <x:row r="3" spans="2:10" ht="21" customHeight="1">
      <x:c r="B3" s="160" t="s">
        <x:v>212</x:v>
      </x:c>
      <x:c r="C3" s="169" t="s">
        <x:v>216</x:v>
      </x:c>
      <x:c r="D3" s="169" t="s">
        <x:v>234</x:v>
      </x:c>
      <x:c r="E3" s="230" t="s">
        <x:v>298</x:v>
      </x:c>
      <x:c r="F3" s="169" t="s">
        <x:v>217</x:v>
      </x:c>
      <x:c r="G3" s="230" t="s">
        <x:v>299</x:v>
      </x:c>
    </x:row>
    <x:row r="4" spans="2:10" ht="21" customHeight="1">
      <x:c r="B4" s="162" t="s">
        <x:v>336</x:v>
      </x:c>
      <x:c r="C4" s="169">
        <x:v>749784620</x:v>
      </x:c>
      <x:c r="D4" s="169">
        <x:v>319781480</x:v>
      </x:c>
      <x:c r="E4" s="225">
        <x:v>0.42649778545737577</x:v>
      </x:c>
      <x:c r="F4" s="169">
        <x:v>24632639.26258184</x:v>
      </x:c>
      <x:c r="G4" s="225">
        <x:v>3.2852953508944793E-2</x:v>
      </x:c>
      <x:c r="I4" s="226"/>
      <x:c r="J4" s="227"/>
    </x:row>
    <x:row r="5" spans="2:10" ht="21" customHeight="1">
      <x:c r="B5" s="162" t="s">
        <x:v>228</x:v>
      </x:c>
      <x:c r="C5" s="169">
        <x:v>1550103155</x:v>
      </x:c>
      <x:c r="D5" s="169">
        <x:v>55597728</x:v>
      </x:c>
      <x:c r="E5" s="225">
        <x:v>3.5867114921135687E-2</x:v>
      </x:c>
      <x:c r="F5" s="169">
        <x:v>-554592367.95270753</x:v>
      </x:c>
      <x:c r="G5" s="225">
        <x:v>-0.35777771702729522</x:v>
      </x:c>
      <x:c r="I5" s="226"/>
      <x:c r="J5" s="227"/>
    </x:row>
    <x:row r="6" spans="2:10" ht="21" customHeight="1">
      <x:c r="B6" s="162" t="s">
        <x:v>229</x:v>
      </x:c>
      <x:c r="C6" s="169">
        <x:v>1125573567</x:v>
      </x:c>
      <x:c r="D6" s="169">
        <x:v>76877048</x:v>
      </x:c>
      <x:c r="E6" s="225">
        <x:v>6.8300331718788493E-2</x:v>
      </x:c>
      <x:c r="F6" s="169">
        <x:v>-366199169.62731099</x:v>
      </x:c>
      <x:c r="G6" s="225">
        <x:v>-0.32534450022964245</x:v>
      </x:c>
      <x:c r="I6" s="226"/>
      <x:c r="J6" s="227"/>
    </x:row>
    <x:row r="7" spans="2:10" ht="21" customHeight="1">
      <x:c r="B7" s="162" t="s">
        <x:v>227</x:v>
      </x:c>
      <x:c r="C7" s="169">
        <x:v>5948688</x:v>
      </x:c>
      <x:c r="D7" s="169">
        <x:v>5948688</x:v>
      </x:c>
      <x:c r="E7" s="225">
        <x:v>1</x:v>
      </x:c>
      <x:c r="F7" s="169">
        <x:v>3607017.7119263522</x:v>
      </x:c>
      <x:c r="G7" s="225">
        <x:v>0.60635516805156908</x:v>
      </x:c>
      <x:c r="I7" s="226"/>
      <x:c r="J7" s="227"/>
    </x:row>
    <x:row r="8" spans="2:10" ht="21" customHeight="1">
      <x:c r="B8" s="162" t="s">
        <x:v>341</x:v>
      </x:c>
      <x:c r="C8" s="169">
        <x:v>1803028</x:v>
      </x:c>
      <x:c r="D8" s="169">
        <x:v>874477</x:v>
      </x:c>
      <x:c r="E8" s="225">
        <x:v>0.48500466992193131</x:v>
      </x:c>
      <x:c r="F8" s="169">
        <x:v>164724.34594168433</x:v>
      </x:c>
      <x:c r="G8" s="225">
        <x:v>9.1359837973500321E-2</x:v>
      </x:c>
      <x:c r="I8" s="226"/>
      <x:c r="J8" s="227"/>
    </x:row>
    <x:row r="9" spans="2:10" ht="21" customHeight="1">
      <x:c r="B9" s="162" t="s">
        <x:v>396</x:v>
      </x:c>
      <x:c r="C9" s="169">
        <x:v>16090410</x:v>
      </x:c>
      <x:c r="D9" s="169">
        <x:v>6804900</x:v>
      </x:c>
      <x:c r="E9" s="225">
        <x:v>0.42291650741031461</x:v>
      </x:c>
      <x:c r="F9" s="169">
        <x:v>470993.25956864748</x:v>
      </x:c>
      <x:c r="G9" s="225">
        <x:v>2.927167546188366E-2</x:v>
      </x:c>
      <x:c r="I9" s="226"/>
      <x:c r="J9" s="227"/>
    </x:row>
    <x:row r="10" spans="2:10" ht="21" customHeight="1">
      <x:c r="B10" s="162" t="s">
        <x:v>213</x:v>
      </x:c>
      <x:c r="C10" s="169">
        <x:v>3449303468</x:v>
      </x:c>
      <x:c r="D10" s="169">
        <x:v>465884321</x:v>
      </x:c>
      <x:c r="E10" s="225">
        <x:v>0.13506620258904978</x:v>
      </x:c>
      <x:c r="F10" s="169">
        <x:v>-891916163</x:v>
      </x:c>
      <x:c r="G10" s="225">
        <x:v>-0.25857862935938114</x:v>
      </x:c>
      <x:c r="I10" s="226"/>
      <x:c r="J10" s="227"/>
    </x:row>
    <x:row r="11" spans="2:10" ht="21" customHeight="1">
      <x:c r="B11"/>
      <x:c r="C11"/>
      <x:c r="D11"/>
      <x:c r="E11"/>
      <x:c r="F11"/>
      <x:c r="G11"/>
      <x:c r="I11" s="226"/>
      <x:c r="J11" s="227"/>
    </x:row>
    <x:row r="12" spans="2:10" ht="21" customHeight="1">
      <x:c r="B12"/>
      <x:c r="C12"/>
      <x:c r="D12"/>
      <x:c r="E12"/>
      <x:c r="F12"/>
      <x:c r="G12"/>
      <x:c r="I12" s="226"/>
      <x:c r="J12" s="227"/>
    </x:row>
    <x:row r="13" spans="2:10" ht="21" customHeight="1">
      <x:c r="B13"/>
      <x:c r="C13"/>
      <x:c r="D13"/>
      <x:c r="E13"/>
      <x:c r="F13"/>
      <x:c r="G13"/>
      <x:c r="I13" s="226"/>
      <x:c r="J13" s="227"/>
    </x:row>
    <x:row r="14" spans="2:10" ht="21" customHeight="1">
      <x:c r="B14"/>
      <x:c r="C14"/>
      <x:c r="D14"/>
      <x:c r="E14"/>
      <x:c r="F14"/>
      <x:c r="G14"/>
      <x:c r="I14" s="226"/>
      <x:c r="J14" s="227"/>
    </x:row>
    <x:row r="15" spans="2:10" ht="21" customHeight="1">
      <x:c r="B15"/>
      <x:c r="C15"/>
      <x:c r="D15"/>
      <x:c r="E15"/>
      <x:c r="F15"/>
      <x:c r="G15"/>
      <x:c r="I15" s="226"/>
      <x:c r="J15" s="227"/>
    </x:row>
    <x:row r="16" spans="2:10" ht="21" customHeight="1">
      <x:c r="B16"/>
      <x:c r="C16"/>
      <x:c r="D16"/>
      <x:c r="E16"/>
      <x:c r="F16"/>
      <x:c r="G16"/>
    </x:row>
    <x:row r="17" spans="2:23" ht="21" customHeight="1">
      <x:c r="B17"/>
      <x:c r="C17"/>
      <x:c r="D17"/>
      <x:c r="E17"/>
    </x:row>
    <x:row r="18" spans="2:23" ht="21" customHeight="1">
      <x:c r="B18"/>
      <x:c r="C18"/>
      <x:c r="D18"/>
      <x:c r="E18"/>
    </x:row>
    <x:row r="19" spans="2:23" ht="21" customHeight="1">
      <x:c r="B19" s="162"/>
      <x:c r="C19" s="169"/>
      <x:c r="D19" s="169"/>
      <x:c r="E19" s="169"/>
    </x:row>
    <x:row r="20" spans="2:23" ht="21" customHeight="1">
      <x:c r="B20" s="162"/>
      <x:c r="C20" s="169"/>
      <x:c r="D20" s="169"/>
      <x:c r="E20" s="169"/>
    </x:row>
    <x:row r="21" spans="2:23" ht="21" customHeight="1">
      <x:c r="B21" s="159" t="s">
        <x:v>218</x:v>
      </x:c>
      <x:c r="C21" s="157"/>
      <x:c r="D21" s="157"/>
      <x:c r="G21" s="175" t="s">
        <x:v>237</x:v>
      </x:c>
    </x:row>
    <x:row r="22" spans="2:23" ht="21" customHeight="1">
      <x:c r="B22" s="160" t="s">
        <x:v>212</x:v>
      </x:c>
      <x:c r="C22" s="169" t="s">
        <x:v>216</x:v>
      </x:c>
      <x:c r="D22" s="169" t="s">
        <x:v>234</x:v>
      </x:c>
      <x:c r="E22" s="230" t="s">
        <x:v>298</x:v>
      </x:c>
      <x:c r="F22" s="169" t="s">
        <x:v>217</x:v>
      </x:c>
      <x:c r="G22" s="230" t="s">
        <x:v>299</x:v>
      </x:c>
    </x:row>
    <x:row r="23" spans="2:23" ht="21" customHeight="1">
      <x:c r="B23" s="162" t="s">
        <x:v>184</x:v>
      </x:c>
      <x:c r="C23" s="169">
        <x:v>2644329659</x:v>
      </x:c>
      <x:c r="D23" s="169">
        <x:v>129205182</x:v>
      </x:c>
      <x:c r="E23" s="225">
        <x:v>4.8861223319962767E-2</x:v>
      </x:c>
      <x:c r="F23" s="169">
        <x:v>-911721522.23330653</x:v>
      </x:c>
      <x:c r="G23" s="225">
        <x:v>-0.34478360862846813</x:v>
      </x:c>
    </x:row>
    <x:row r="24" spans="2:23" ht="21" customHeight="1">
      <x:c r="B24" s="162" t="s">
        <x:v>129</x:v>
      </x:c>
      <x:c r="C24" s="169">
        <x:v>38675751</x:v>
      </x:c>
      <x:c r="D24" s="169">
        <x:v>9218282</x:v>
      </x:c>
      <x:c r="E24" s="225">
        <x:v>0.23834784746649135</x:v>
      </x:c>
      <x:c r="F24" s="169">
        <x:v>-6006227.5028743586</x:v>
      </x:c>
      <x:c r="G24" s="225">
        <x:v>-0.15529698448193957</x:v>
      </x:c>
    </x:row>
    <x:row r="25" spans="2:23" ht="21" customHeight="1">
      <x:c r="B25" s="162" t="s">
        <x:v>334</x:v>
      </x:c>
      <x:c r="C25" s="169">
        <x:v>766298058</x:v>
      </x:c>
      <x:c r="D25" s="169">
        <x:v>327460857</x:v>
      </x:c>
      <x:c r="E25" s="225">
        <x:v>0.42732831380867209</x:v>
      </x:c>
      <x:c r="F25" s="169">
        <x:v>25811586.736181006</x:v>
      </x:c>
      <x:c r="G25" s="225">
        <x:v>3.368348186024113E-2</x:v>
      </x:c>
    </x:row>
    <x:row r="26" spans="2:23" ht="21" customHeight="1">
      <x:c r="B26" s="162" t="s">
        <x:v>213</x:v>
      </x:c>
      <x:c r="C26" s="169">
        <x:v>3449303468</x:v>
      </x:c>
      <x:c r="D26" s="169">
        <x:v>465884321</x:v>
      </x:c>
      <x:c r="E26" s="225">
        <x:v>0.13506620258904978</x:v>
      </x:c>
      <x:c r="F26" s="169">
        <x:v>-891916162.99999988</x:v>
      </x:c>
      <x:c r="G26" s="225">
        <x:v>-0.25857862935938108</x:v>
      </x:c>
    </x:row>
    <x:row r="27" spans="2:23" ht="21" customHeight="1">
      <x:c r="B27"/>
      <x:c r="C27"/>
      <x:c r="D27"/>
      <x:c r="E27"/>
      <x:c r="F27"/>
      <x:c r="G27"/>
    </x:row>
    <x:row r="28" spans="2:23" ht="21" customHeight="1">
      <x:c r="B28" s="71"/>
      <x:c r="C28" s="157"/>
      <x:c r="D28" s="157"/>
      <x:c r="E28" s="157"/>
    </x:row>
    <x:row r="29" spans="2:23" ht="40.35" customHeight="1">
      <x:c r="B29" s="71"/>
      <x:c r="C29" s="157"/>
      <x:c r="D29" s="157"/>
      <x:c r="E29" s="157"/>
      <x:c r="R29" s="318"/>
    </x:row>
    <x:row r="30" spans="2:23" ht="21" customHeight="1">
      <x:c r="B30" s="71"/>
      <x:c r="C30" s="71"/>
      <x:c r="D30" s="71"/>
      <x:c r="E30" s="160" t="s">
        <x:v>285</x:v>
      </x:c>
      <x:c r="F30" s="71"/>
      <x:c r="G30" s="71"/>
      <x:c r="H30" s="71"/>
      <x:c r="I30" s="71"/>
      <x:c r="J30" s="71"/>
      <x:c r="K30" s="71"/>
      <x:c r="N30" s="216" t="s">
        <x:v>21</x:v>
      </x:c>
      <x:c r="O30" s="216" t="s">
        <x:v>284</x:v>
      </x:c>
      <x:c r="P30" s="216" t="s">
        <x:v>283</x:v>
      </x:c>
      <x:c r="Q30" s="232" t="s">
        <x:v>342</x:v>
      </x:c>
      <x:c r="R30" s="233" t="s">
        <x:v>343</x:v>
      </x:c>
      <x:c r="S30" s="232" t="s">
        <x:v>344</x:v>
      </x:c>
      <x:c r="T30" s="234" t="s">
        <x:v>345</x:v>
      </x:c>
      <x:c r="U30" s="286" t="s">
        <x:v>346</x:v>
      </x:c>
      <x:c r="V30" s="234" t="s">
        <x:v>347</x:v>
      </x:c>
      <x:c r="W30" s="233" t="s">
        <x:v>348</x:v>
      </x:c>
    </x:row>
    <x:row r="31" spans="2:23" ht="21" customHeight="1">
      <x:c r="B31" s="160" t="s">
        <x:v>21</x:v>
      </x:c>
      <x:c r="C31" s="160" t="s">
        <x:v>284</x:v>
      </x:c>
      <x:c r="D31" s="160" t="s">
        <x:v>283</x:v>
      </x:c>
      <x:c r="E31" s="169" t="s">
        <x:v>216</x:v>
      </x:c>
      <x:c r="F31" s="71" t="s">
        <x:v>288</x:v>
      </x:c>
      <x:c r="G31" s="169" t="s">
        <x:v>234</x:v>
      </x:c>
      <x:c r="H31" s="71" t="s">
        <x:v>298</x:v>
      </x:c>
      <x:c r="I31" s="71" t="s">
        <x:v>289</x:v>
      </x:c>
      <x:c r="J31" s="169" t="s">
        <x:v>217</x:v>
      </x:c>
      <x:c r="K31" s="71" t="s">
        <x:v>299</x:v>
      </x:c>
      <x:c r="N31" s="217" t="s">
        <x:v>184</x:v>
      </x:c>
      <x:c r="O31" s="217" t="s">
        <x:v>215</x:v>
      </x:c>
      <x:c r="P31" s="71"/>
      <x:c r="Q31" s="332">
        <x:v>1519907606</x:v>
      </x:c>
      <x:c r="R31" s="332">
        <x:v>1466427958</x:v>
      </x:c>
      <x:c r="S31" s="332">
        <x:v>53479648</x:v>
      </x:c>
      <x:c r="T31" s="333">
        <x:v>3.5186117754055113E-2</x:v>
      </x:c>
      <x:c r="U31" s="332">
        <x:v>598303774.14101207</x:v>
      </x:c>
      <x:c r="V31" s="332">
        <x:v>-544824126.14101195</x:v>
      </x:c>
      <x:c r="W31" s="333">
        <x:v>-0.3584587141943758</x:v>
      </x:c>
    </x:row>
    <x:row r="32" spans="2:23" ht="21" customHeight="1">
      <x:c r="B32" s="71" t="s">
        <x:v>184</x:v>
      </x:c>
      <x:c r="C32" s="71" t="s">
        <x:v>228</x:v>
      </x:c>
      <x:c r="D32" s="71"/>
      <x:c r="E32" s="327">
        <x:v>1519907606</x:v>
      </x:c>
      <x:c r="F32" s="327">
        <x:v>1466427958</x:v>
      </x:c>
      <x:c r="G32" s="327">
        <x:v>53479648</x:v>
      </x:c>
      <x:c r="H32" s="328">
        <x:v>3.5186117754055113E-2</x:v>
      </x:c>
      <x:c r="I32" s="327">
        <x:v>598303774.14101207</x:v>
      </x:c>
      <x:c r="J32" s="327">
        <x:v>-544824126.14101195</x:v>
      </x:c>
      <x:c r="K32" s="328">
        <x:v>-0.3584587141943758</x:v>
      </x:c>
      <x:c r="L32" s="226"/>
      <x:c r="N32" s="217"/>
      <x:c r="O32" s="217" t="s">
        <x:v>412</x:v>
      </x:c>
      <x:c r="P32" s="71"/>
      <x:c r="Q32" s="332">
        <x:v>1124422053</x:v>
      </x:c>
      <x:c r="R32" s="332">
        <x:v>1048696519</x:v>
      </x:c>
      <x:c r="S32" s="332">
        <x:v>75725534</x:v>
      </x:c>
      <x:c r="T32" s="333">
        <x:v>6.7346183577564542E-2</x:v>
      </x:c>
      <x:c r="U32" s="332">
        <x:v>442622930.09229475</x:v>
      </x:c>
      <x:c r="V32" s="332">
        <x:v>-366897396.09229475</x:v>
      </x:c>
      <x:c r="W32" s="333">
        <x:v>-0.32629864837086642</x:v>
      </x:c>
    </x:row>
    <x:row r="33" spans="2:23" ht="21" customHeight="1">
      <x:c r="B33" s="71"/>
      <x:c r="C33" s="71" t="s">
        <x:v>229</x:v>
      </x:c>
      <x:c r="D33" s="71"/>
      <x:c r="E33" s="327">
        <x:v>1124422053</x:v>
      </x:c>
      <x:c r="F33" s="327">
        <x:v>1048696519</x:v>
      </x:c>
      <x:c r="G33" s="327">
        <x:v>75725534</x:v>
      </x:c>
      <x:c r="H33" s="328">
        <x:v>6.7346183577564542E-2</x:v>
      </x:c>
      <x:c r="I33" s="327">
        <x:v>442622930.09229475</x:v>
      </x:c>
      <x:c r="J33" s="327">
        <x:v>-366897396.09229475</x:v>
      </x:c>
      <x:c r="K33" s="328">
        <x:v>-0.32629864837086642</x:v>
      </x:c>
      <x:c r="L33" s="226"/>
      <x:c r="N33" s="217"/>
      <x:c r="O33" s="477"/>
      <x:c r="P33" s="71"/>
      <x:c r="Q33" s="332"/>
      <x:c r="R33" s="332"/>
      <x:c r="S33" s="332"/>
      <x:c r="T33" s="333"/>
      <x:c r="U33" s="332"/>
      <x:c r="V33" s="332"/>
      <x:c r="W33" s="333"/>
    </x:row>
    <x:row r="34" spans="2:23" ht="21" customHeight="1">
      <x:c r="B34" s="71" t="s">
        <x:v>287</x:v>
      </x:c>
      <x:c r="C34" s="71"/>
      <x:c r="D34" s="71"/>
      <x:c r="E34" s="327">
        <x:v>2644329659</x:v>
      </x:c>
      <x:c r="F34" s="327">
        <x:v>2515124477</x:v>
      </x:c>
      <x:c r="G34" s="327">
        <x:v>129205182</x:v>
      </x:c>
      <x:c r="H34" s="328">
        <x:v>4.8861223319962767E-2</x:v>
      </x:c>
      <x:c r="I34" s="327">
        <x:v>1040926704.2333069</x:v>
      </x:c>
      <x:c r="J34" s="327">
        <x:v>-911721522.23330665</x:v>
      </x:c>
      <x:c r="K34" s="328">
        <x:v>-0.34478360862846807</x:v>
      </x:c>
      <x:c r="L34" s="226"/>
      <x:c r="N34" s="285"/>
      <x:c r="O34" s="477"/>
      <x:c r="P34" s="71"/>
      <x:c r="Q34" s="332"/>
      <x:c r="R34" s="332"/>
      <x:c r="S34" s="332"/>
      <x:c r="T34" s="333"/>
      <x:c r="U34" s="332"/>
      <x:c r="V34" s="332"/>
      <x:c r="W34" s="333"/>
    </x:row>
    <x:row r="35" spans="2:23" ht="21" customHeight="1">
      <x:c r="B35" s="71" t="s">
        <x:v>129</x:v>
      </x:c>
      <x:c r="C35" s="71" t="s">
        <x:v>228</x:v>
      </x:c>
      <x:c r="D35" s="71"/>
      <x:c r="E35" s="327">
        <x:v>30195549</x:v>
      </x:c>
      <x:c r="F35" s="327">
        <x:v>28077469</x:v>
      </x:c>
      <x:c r="G35" s="327">
        <x:v>2118080</x:v>
      </x:c>
      <x:c r="H35" s="328">
        <x:v>7.0145437660365115E-2</x:v>
      </x:c>
      <x:c r="I35" s="327">
        <x:v>11886321.811695611</x:v>
      </x:c>
      <x:c r="J35" s="327">
        <x:v>-9768241.8116956111</x:v>
      </x:c>
      <x:c r="K35" s="328">
        <x:v>-0.32349939428806579</x:v>
      </x:c>
      <x:c r="L35" s="226"/>
      <x:c r="N35" s="218" t="s">
        <x:v>287</x:v>
      </x:c>
      <x:c r="O35" s="218"/>
      <x:c r="P35" s="218"/>
      <x:c r="Q35" s="334">
        <x:v>2644329659</x:v>
      </x:c>
      <x:c r="R35" s="334">
        <x:v>2515124477</x:v>
      </x:c>
      <x:c r="S35" s="334">
        <x:v>129205182</x:v>
      </x:c>
      <x:c r="T35" s="335">
        <x:v>4.8861223319962767E-2</x:v>
      </x:c>
      <x:c r="U35" s="334">
        <x:v>1040926704.2333069</x:v>
      </x:c>
      <x:c r="V35" s="334">
        <x:v>-911721522.23330665</x:v>
      </x:c>
      <x:c r="W35" s="335">
        <x:v>-0.34478360862846807</x:v>
      </x:c>
    </x:row>
    <x:row r="36" spans="2:23" ht="21" customHeight="1">
      <x:c r="B36" s="71"/>
      <x:c r="C36" s="71" t="s">
        <x:v>336</x:v>
      </x:c>
      <x:c r="D36" s="71"/>
      <x:c r="E36" s="327">
        <x:v>1380000</x:v>
      </x:c>
      <x:c r="F36" s="327">
        <x:v>1380000</x:v>
      </x:c>
      <x:c r="G36" s="327">
        <x:v>0</x:v>
      </x:c>
      <x:c r="H36" s="328">
        <x:v>0</x:v>
      </x:c>
      <x:c r="I36" s="327">
        <x:v>543229.86808883457</x:v>
      </x:c>
      <x:c r="J36" s="327">
        <x:v>-543229.86808883457</x:v>
      </x:c>
      <x:c r="K36" s="328">
        <x:v>-0.39364483194843086</x:v>
      </x:c>
      <x:c r="L36" s="226"/>
      <x:c r="N36" s="217" t="s">
        <x:v>129</x:v>
      </x:c>
      <x:c r="O36" s="217" t="s">
        <x:v>615</x:v>
      </x:c>
      <x:c r="P36" s="228"/>
      <x:c r="Q36" s="332">
        <x:v>30195549</x:v>
      </x:c>
      <x:c r="R36" s="332">
        <x:v>28077469</x:v>
      </x:c>
      <x:c r="S36" s="332">
        <x:v>2118080</x:v>
      </x:c>
      <x:c r="T36" s="333">
        <x:v>7.0145437660365115E-2</x:v>
      </x:c>
      <x:c r="U36" s="332">
        <x:v>11886321.811695611</x:v>
      </x:c>
      <x:c r="V36" s="332">
        <x:v>-9768241.8116956111</x:v>
      </x:c>
      <x:c r="W36" s="333">
        <x:v>-0.32349939428806579</x:v>
      </x:c>
    </x:row>
    <x:row r="37" spans="2:23" ht="21" customHeight="1">
      <x:c r="B37" s="71"/>
      <x:c r="C37" s="71" t="s">
        <x:v>229</x:v>
      </x:c>
      <x:c r="D37" s="71"/>
      <x:c r="E37" s="327">
        <x:v>1151514</x:v>
      </x:c>
      <x:c r="F37" s="327">
        <x:v>0</x:v>
      </x:c>
      <x:c r="G37" s="327">
        <x:v>1151514</x:v>
      </x:c>
      <x:c r="H37" s="328">
        <x:v>1</x:v>
      </x:c>
      <x:c r="I37" s="327">
        <x:v>453287.53501626546</x:v>
      </x:c>
      <x:c r="J37" s="327">
        <x:v>698226.46498373454</x:v>
      </x:c>
      <x:c r="K37" s="328">
        <x:v>0.60635516805156908</x:v>
      </x:c>
      <x:c r="L37" s="226"/>
      <x:c r="N37" s="217"/>
      <x:c r="O37" s="217" t="s">
        <x:v>336</x:v>
      </x:c>
      <x:c r="P37" s="229"/>
      <x:c r="Q37" s="332">
        <x:v>1380000</x:v>
      </x:c>
      <x:c r="R37" s="332">
        <x:v>1380000</x:v>
      </x:c>
      <x:c r="S37" s="332">
        <x:v>0</x:v>
      </x:c>
      <x:c r="T37" s="333">
        <x:v>0</x:v>
      </x:c>
      <x:c r="U37" s="332">
        <x:v>543229.86808883457</x:v>
      </x:c>
      <x:c r="V37" s="332">
        <x:v>-543229.86808883457</x:v>
      </x:c>
      <x:c r="W37" s="333">
        <x:v>-0.39364483194843086</x:v>
      </x:c>
    </x:row>
    <x:row r="38" spans="2:23" ht="21" customHeight="1">
      <x:c r="B38" s="71"/>
      <x:c r="C38" s="71" t="s">
        <x:v>227</x:v>
      </x:c>
      <x:c r="D38" s="71"/>
      <x:c r="E38" s="327">
        <x:v>5948688</x:v>
      </x:c>
      <x:c r="F38" s="327">
        <x:v>0</x:v>
      </x:c>
      <x:c r="G38" s="327">
        <x:v>5948688</x:v>
      </x:c>
      <x:c r="H38" s="328">
        <x:v>1</x:v>
      </x:c>
      <x:c r="I38" s="327">
        <x:v>2341670.2880736478</x:v>
      </x:c>
      <x:c r="J38" s="327">
        <x:v>3607017.7119263522</x:v>
      </x:c>
      <x:c r="K38" s="328">
        <x:v>0.60635516805156908</x:v>
      </x:c>
      <x:c r="L38" s="226"/>
      <x:c r="N38" s="217"/>
      <x:c r="O38" s="217" t="s">
        <x:v>618</x:v>
      </x:c>
      <x:c r="P38" s="71"/>
      <x:c r="Q38" s="332">
        <x:v>1151514</x:v>
      </x:c>
      <x:c r="R38" s="332">
        <x:v>0</x:v>
      </x:c>
      <x:c r="S38" s="332">
        <x:v>1151514</x:v>
      </x:c>
      <x:c r="T38" s="333">
        <x:v>1</x:v>
      </x:c>
      <x:c r="U38" s="332">
        <x:v>453287.53501626546</x:v>
      </x:c>
      <x:c r="V38" s="332">
        <x:v>698226.46498373454</x:v>
      </x:c>
      <x:c r="W38" s="333">
        <x:v>0.60635516805156908</x:v>
      </x:c>
    </x:row>
    <x:row r="39" spans="2:23" ht="21" customHeight="1">
      <x:c r="B39" s="71" t="s">
        <x:v>286</x:v>
      </x:c>
      <x:c r="C39" s="71"/>
      <x:c r="D39" s="71"/>
      <x:c r="E39" s="327">
        <x:v>38675751</x:v>
      </x:c>
      <x:c r="F39" s="327">
        <x:v>29457469</x:v>
      </x:c>
      <x:c r="G39" s="327">
        <x:v>9218282</x:v>
      </x:c>
      <x:c r="H39" s="328">
        <x:v>0.23834784746649135</x:v>
      </x:c>
      <x:c r="I39" s="327">
        <x:v>15224509.502874358</x:v>
      </x:c>
      <x:c r="J39" s="327">
        <x:v>-6006227.5028743576</x:v>
      </x:c>
      <x:c r="K39" s="328">
        <x:v>-0.15529698448193954</x:v>
      </x:c>
      <x:c r="L39" s="226"/>
      <x:c r="N39" s="217"/>
      <x:c r="O39" s="217" t="s">
        <x:v>223</x:v>
      </x:c>
      <x:c r="P39" s="235"/>
      <x:c r="Q39" s="332">
        <x:v>5948688</x:v>
      </x:c>
      <x:c r="R39" s="332">
        <x:v>0</x:v>
      </x:c>
      <x:c r="S39" s="332">
        <x:v>5948688</x:v>
      </x:c>
      <x:c r="T39" s="333">
        <x:v>1</x:v>
      </x:c>
      <x:c r="U39" s="332">
        <x:v>2341670.2880736478</x:v>
      </x:c>
      <x:c r="V39" s="332">
        <x:v>3607017.7119263522</x:v>
      </x:c>
      <x:c r="W39" s="333">
        <x:v>0.60635516805156908</x:v>
      </x:c>
    </x:row>
    <x:row r="40" spans="2:23" ht="21" customHeight="1">
      <x:c r="B40" s="71" t="s">
        <x:v>334</x:v>
      </x:c>
      <x:c r="C40" s="71" t="s">
        <x:v>336</x:v>
      </x:c>
      <x:c r="D40" s="71"/>
      <x:c r="E40" s="327">
        <x:v>748404620</x:v>
      </x:c>
      <x:c r="F40" s="327">
        <x:v>428623140</x:v>
      </x:c>
      <x:c r="G40" s="327">
        <x:v>319781480</x:v>
      </x:c>
      <x:c r="H40" s="328">
        <x:v>0.42728421425297991</x:v>
      </x:c>
      <x:c r="I40" s="327">
        <x:v>294605610.86932933</x:v>
      </x:c>
      <x:c r="J40" s="327">
        <x:v>25175869.130670674</x:v>
      </x:c>
      <x:c r="K40" s="328">
        <x:v>3.3639382304548944E-2</x:v>
      </x:c>
      <x:c r="L40" s="226"/>
      <x:c r="N40" s="217"/>
      <x:c r="O40" s="217"/>
      <x:c r="P40" s="235"/>
      <x:c r="Q40" s="332"/>
      <x:c r="R40" s="332"/>
      <x:c r="S40" s="332"/>
      <x:c r="T40" s="333"/>
      <x:c r="U40" s="332"/>
      <x:c r="V40" s="332"/>
      <x:c r="W40" s="333"/>
    </x:row>
    <x:row r="41" spans="2:23" ht="21" customHeight="1">
      <x:c r="B41" s="71"/>
      <x:c r="C41" s="71" t="s">
        <x:v>341</x:v>
      </x:c>
      <x:c r="D41" s="71"/>
      <x:c r="E41" s="327">
        <x:v>1803028</x:v>
      </x:c>
      <x:c r="F41" s="327">
        <x:v>928551</x:v>
      </x:c>
      <x:c r="G41" s="327">
        <x:v>874477</x:v>
      </x:c>
      <x:c r="H41" s="328">
        <x:v>0.48500466992193131</x:v>
      </x:c>
      <x:c r="I41" s="327">
        <x:v>709752.65405831567</x:v>
      </x:c>
      <x:c r="J41" s="327">
        <x:v>164724.34594168433</x:v>
      </x:c>
      <x:c r="K41" s="328">
        <x:v>9.1359837973500321E-2</x:v>
      </x:c>
      <x:c r="L41" s="226"/>
      <x:c r="M41" s="217"/>
      <x:c r="N41" s="217"/>
      <x:c r="O41" s="217"/>
      <x:c r="P41" s="235"/>
      <x:c r="Q41" s="332"/>
      <x:c r="R41" s="332"/>
      <x:c r="S41" s="332"/>
      <x:c r="T41" s="333"/>
      <x:c r="U41" s="332"/>
      <x:c r="V41" s="332"/>
      <x:c r="W41" s="333"/>
    </x:row>
    <x:row r="42" spans="2:23" ht="21" customHeight="1">
      <x:c r="B42" s="71"/>
      <x:c r="C42" s="71" t="s">
        <x:v>396</x:v>
      </x:c>
      <x:c r="D42" s="71" t="s">
        <x:v>613</x:v>
      </x:c>
      <x:c r="E42" s="327">
        <x:v>16090410</x:v>
      </x:c>
      <x:c r="F42" s="327">
        <x:v>9285510</x:v>
      </x:c>
      <x:c r="G42" s="327">
        <x:v>6804900</x:v>
      </x:c>
      <x:c r="H42" s="328">
        <x:v>0.42291650741031461</x:v>
      </x:c>
      <x:c r="I42" s="327">
        <x:v>6333906.7404313525</x:v>
      </x:c>
      <x:c r="J42" s="327">
        <x:v>470993.25956864748</x:v>
      </x:c>
      <x:c r="K42" s="328">
        <x:v>2.927167546188366E-2</x:v>
      </x:c>
      <x:c r="L42" s="226"/>
      <x:c r="N42" s="217"/>
      <x:c r="O42" s="217"/>
      <x:c r="P42" s="235"/>
      <x:c r="Q42" s="332"/>
      <x:c r="R42" s="332"/>
      <x:c r="S42" s="332"/>
      <x:c r="T42" s="333"/>
      <x:c r="U42" s="332"/>
      <x:c r="V42" s="332"/>
      <x:c r="W42" s="333"/>
    </x:row>
    <x:row r="43" spans="2:23" ht="21" customHeight="1">
      <x:c r="B43" s="71" t="s">
        <x:v>338</x:v>
      </x:c>
      <x:c r="C43" s="71"/>
      <x:c r="D43" s="71"/>
      <x:c r="E43" s="327">
        <x:v>766298058</x:v>
      </x:c>
      <x:c r="F43" s="327">
        <x:v>438837201</x:v>
      </x:c>
      <x:c r="G43" s="327">
        <x:v>327460857</x:v>
      </x:c>
      <x:c r="H43" s="328">
        <x:v>0.42732831380867209</x:v>
      </x:c>
      <x:c r="I43" s="327">
        <x:v>301649270.26381904</x:v>
      </x:c>
      <x:c r="J43" s="327">
        <x:v>25811586.736181006</x:v>
      </x:c>
      <x:c r="K43" s="328">
        <x:v>3.368348186024113E-2</x:v>
      </x:c>
      <x:c r="L43" s="226"/>
      <x:c r="N43" s="218" t="s">
        <x:v>286</x:v>
      </x:c>
      <x:c r="O43" s="218"/>
      <x:c r="P43" s="218"/>
      <x:c r="Q43" s="334">
        <x:v>38675751</x:v>
      </x:c>
      <x:c r="R43" s="334">
        <x:v>29457469</x:v>
      </x:c>
      <x:c r="S43" s="334">
        <x:v>9218282</x:v>
      </x:c>
      <x:c r="T43" s="335">
        <x:v>0.23834784746649135</x:v>
      </x:c>
      <x:c r="U43" s="334">
        <x:v>15224509.502874358</x:v>
      </x:c>
      <x:c r="V43" s="334">
        <x:v>-6006227.5028743576</x:v>
      </x:c>
      <x:c r="W43" s="335">
        <x:v>-0.15529698448193954</x:v>
      </x:c>
    </x:row>
    <x:row r="44" spans="2:23" ht="21" customHeight="1">
      <x:c r="B44" s="71" t="s">
        <x:v>213</x:v>
      </x:c>
      <x:c r="C44" s="71"/>
      <x:c r="D44" s="71"/>
      <x:c r="E44" s="327">
        <x:v>3449303468</x:v>
      </x:c>
      <x:c r="F44" s="327">
        <x:v>2983419147</x:v>
      </x:c>
      <x:c r="G44" s="327">
        <x:v>465884321</x:v>
      </x:c>
      <x:c r="H44" s="328">
        <x:v>0.13506620258904978</x:v>
      </x:c>
      <x:c r="I44" s="327">
        <x:v>1357800484.0000002</x:v>
      </x:c>
      <x:c r="J44" s="327">
        <x:v>-891916163</x:v>
      </x:c>
      <x:c r="K44" s="328">
        <x:v>-0.25857862935938103</x:v>
      </x:c>
      <x:c r="L44" s="226"/>
      <x:c r="N44" s="217" t="s">
        <x:v>334</x:v>
      </x:c>
      <x:c r="O44" s="217" t="s">
        <x:v>336</x:v>
      </x:c>
      <x:c r="P44" s="214"/>
      <x:c r="Q44" s="332">
        <x:v>748404620</x:v>
      </x:c>
      <x:c r="R44" s="332">
        <x:v>428623140</x:v>
      </x:c>
      <x:c r="S44" s="332">
        <x:v>319781480</x:v>
      </x:c>
      <x:c r="T44" s="333">
        <x:v>0.42728421425297991</x:v>
      </x:c>
      <x:c r="U44" s="332">
        <x:v>294605610.86932933</x:v>
      </x:c>
      <x:c r="V44" s="332">
        <x:v>25175869.130670674</x:v>
      </x:c>
      <x:c r="W44" s="333">
        <x:v>3.3639382304548944E-2</x:v>
      </x:c>
    </x:row>
    <x:row r="45" spans="2:23" ht="21" customHeight="1">
      <x:c r="B45" s="71"/>
      <x:c r="C45" s="71"/>
      <x:c r="D45" s="71"/>
      <x:c r="E45" s="327"/>
      <x:c r="F45" s="327"/>
      <x:c r="G45" s="327"/>
      <x:c r="H45" s="328"/>
      <x:c r="I45" s="327"/>
      <x:c r="J45" s="327"/>
      <x:c r="K45" s="328"/>
      <x:c r="L45" s="226"/>
      <x:c r="N45" s="217"/>
      <x:c r="O45" s="217" t="s">
        <x:v>341</x:v>
      </x:c>
      <x:c r="P45" s="214"/>
      <x:c r="Q45" s="332">
        <x:v>1803028</x:v>
      </x:c>
      <x:c r="R45" s="332">
        <x:v>928551</x:v>
      </x:c>
      <x:c r="S45" s="332">
        <x:v>874477</x:v>
      </x:c>
      <x:c r="T45" s="333">
        <x:v>0.48500466992193131</x:v>
      </x:c>
      <x:c r="U45" s="332">
        <x:v>709752.65405831567</x:v>
      </x:c>
      <x:c r="V45" s="332">
        <x:v>164724.34594168433</x:v>
      </x:c>
      <x:c r="W45" s="333">
        <x:v>9.1359837973500321E-2</x:v>
      </x:c>
    </x:row>
    <x:row r="46" spans="2:23" ht="21" customHeight="1">
      <x:c r="B46"/>
      <x:c r="C46"/>
      <x:c r="D46"/>
      <x:c r="E46"/>
      <x:c r="F46"/>
      <x:c r="G46"/>
      <x:c r="H46"/>
      <x:c r="I46"/>
      <x:c r="J46"/>
      <x:c r="K46"/>
      <x:c r="L46" s="226"/>
      <x:c r="N46" s="217"/>
      <x:c r="O46" s="217" t="s">
        <x:v>396</x:v>
      </x:c>
      <x:c r="P46" s="214"/>
      <x:c r="Q46" s="332">
        <x:v>16090410</x:v>
      </x:c>
      <x:c r="R46" s="332">
        <x:v>9285510</x:v>
      </x:c>
      <x:c r="S46" s="332">
        <x:v>6804900</x:v>
      </x:c>
      <x:c r="T46" s="333">
        <x:v>0.42291650741031461</x:v>
      </x:c>
      <x:c r="U46" s="332">
        <x:v>6333906.7404313525</x:v>
      </x:c>
      <x:c r="V46" s="332">
        <x:v>470993.25956864748</x:v>
      </x:c>
      <x:c r="W46" s="333">
        <x:v>2.927167546188366E-2</x:v>
      </x:c>
    </x:row>
    <x:row r="47" spans="2:23" ht="21" customHeight="1">
      <x:c r="B47"/>
      <x:c r="C47"/>
      <x:c r="D47"/>
      <x:c r="E47"/>
      <x:c r="F47"/>
      <x:c r="G47"/>
      <x:c r="H47"/>
      <x:c r="I47"/>
      <x:c r="J47"/>
      <x:c r="K47"/>
      <x:c r="L47" s="226"/>
      <x:c r="N47" s="218" t="s">
        <x:v>338</x:v>
      </x:c>
      <x:c r="O47" s="218"/>
      <x:c r="P47" s="218"/>
      <x:c r="Q47" s="334">
        <x:v>766298058</x:v>
      </x:c>
      <x:c r="R47" s="334">
        <x:v>438837201</x:v>
      </x:c>
      <x:c r="S47" s="334">
        <x:v>327460857</x:v>
      </x:c>
      <x:c r="T47" s="335">
        <x:v>0.42732831380867209</x:v>
      </x:c>
      <x:c r="U47" s="334">
        <x:v>301649270.26381904</x:v>
      </x:c>
      <x:c r="V47" s="334">
        <x:v>25811586.736181006</x:v>
      </x:c>
      <x:c r="W47" s="335">
        <x:v>3.368348186024113E-2</x:v>
      </x:c>
    </x:row>
    <x:row r="48" spans="2:23" ht="21" customHeight="1">
      <x:c r="B48"/>
      <x:c r="C48"/>
      <x:c r="D48"/>
      <x:c r="E48"/>
      <x:c r="F48"/>
      <x:c r="G48"/>
      <x:c r="H48"/>
      <x:c r="I48"/>
      <x:c r="J48"/>
      <x:c r="K48"/>
      <x:c r="L48" s="226"/>
      <x:c r="N48" s="219" t="s">
        <x:v>213</x:v>
      </x:c>
      <x:c r="O48" s="219"/>
      <x:c r="P48" s="219"/>
      <x:c r="Q48" s="336">
        <x:v>3449303468</x:v>
      </x:c>
      <x:c r="R48" s="336">
        <x:v>2983419147</x:v>
      </x:c>
      <x:c r="S48" s="336">
        <x:v>465884321</x:v>
      </x:c>
      <x:c r="T48" s="337">
        <x:v>0.13506620258904978</x:v>
      </x:c>
      <x:c r="U48" s="336">
        <x:v>1357800484.0000002</x:v>
      </x:c>
      <x:c r="V48" s="336">
        <x:v>-891916163</x:v>
      </x:c>
      <x:c r="W48" s="337">
        <x:v>-0.25857862935938103</x:v>
      </x:c>
    </x:row>
    <x:row r="49" spans="2:20" ht="21" customHeight="1">
      <x:c r="B49"/>
      <x:c r="C49"/>
      <x:c r="D49"/>
      <x:c r="E49"/>
      <x:c r="F49"/>
      <x:c r="G49"/>
      <x:c r="H49"/>
      <x:c r="I49"/>
      <x:c r="J49"/>
      <x:c r="K49"/>
      <x:c r="L49" s="226"/>
    </x:row>
    <x:row r="50" spans="2:20" ht="21" customHeight="1">
      <x:c r="B50"/>
      <x:c r="C50"/>
      <x:c r="D50"/>
      <x:c r="E50"/>
      <x:c r="F50"/>
      <x:c r="G50"/>
      <x:c r="H50"/>
      <x:c r="I50"/>
      <x:c r="J50"/>
      <x:c r="K50"/>
      <x:c r="L50" s="226"/>
    </x:row>
    <x:row r="51" spans="2:20" ht="21" customHeight="1">
      <x:c r="B51"/>
      <x:c r="C51"/>
      <x:c r="D51"/>
      <x:c r="E51"/>
      <x:c r="F51"/>
      <x:c r="G51"/>
      <x:c r="H51"/>
      <x:c r="I51"/>
      <x:c r="J51"/>
      <x:c r="K51"/>
      <x:c r="N51" s="209"/>
      <x:c r="O51" s="209"/>
      <x:c r="P51" s="209"/>
      <x:c r="Q51" s="225"/>
      <x:c r="R51" s="209"/>
      <x:c r="S51" s="209"/>
    </x:row>
    <x:row r="52" spans="2:20" ht="21" customHeight="1">
      <x:c r="B52"/>
      <x:c r="C52"/>
      <x:c r="D52"/>
      <x:c r="E52"/>
      <x:c r="F52"/>
      <x:c r="G52"/>
      <x:c r="H52"/>
      <x:c r="I52"/>
      <x:c r="J52"/>
      <x:c r="K52"/>
      <x:c r="T52" s="225"/>
    </x:row>
    <x:row r="53" spans="2:20" ht="21" customHeight="1">
      <x:c r="B53"/>
      <x:c r="C53"/>
      <x:c r="D53"/>
      <x:c r="E53"/>
      <x:c r="F53"/>
      <x:c r="G53"/>
      <x:c r="H53"/>
      <x:c r="I53"/>
      <x:c r="J53"/>
      <x:c r="K53"/>
    </x:row>
    <x:row r="54" spans="2:20" ht="21" customHeight="1">
      <x:c r="B54"/>
      <x:c r="C54"/>
      <x:c r="D54"/>
      <x:c r="E54"/>
      <x:c r="F54"/>
      <x:c r="G54"/>
      <x:c r="H54"/>
      <x:c r="I54"/>
      <x:c r="J54"/>
      <x:c r="K54"/>
    </x:row>
    <x:row r="55" spans="2:20" ht="21" customHeight="1">
      <x:c r="B55"/>
      <x:c r="C55"/>
      <x:c r="D55"/>
      <x:c r="E55"/>
      <x:c r="F55"/>
      <x:c r="G55"/>
      <x:c r="H55"/>
      <x:c r="I55"/>
      <x:c r="J55"/>
      <x:c r="K55"/>
    </x:row>
    <x:row r="56" spans="2:20" ht="21" customHeight="1">
      <x:c r="B56"/>
      <x:c r="C56"/>
      <x:c r="D56"/>
      <x:c r="E56"/>
      <x:c r="F56"/>
      <x:c r="G56"/>
      <x:c r="H56"/>
      <x:c r="I56"/>
      <x:c r="J56"/>
      <x:c r="K56"/>
    </x:row>
    <x:row r="57" spans="2:20" ht="21" customHeight="1">
      <x:c r="B57"/>
      <x:c r="C57"/>
      <x:c r="D57"/>
      <x:c r="E57"/>
      <x:c r="F57"/>
      <x:c r="G57"/>
      <x:c r="H57"/>
      <x:c r="I57"/>
      <x:c r="J57"/>
      <x:c r="K57"/>
    </x:row>
    <x:row r="58" spans="2:20" ht="21" customHeight="1">
      <x:c r="B58"/>
      <x:c r="C58"/>
      <x:c r="D58"/>
      <x:c r="E58"/>
      <x:c r="F58"/>
      <x:c r="G58"/>
      <x:c r="H58"/>
      <x:c r="I58"/>
      <x:c r="J58"/>
      <x:c r="K58"/>
    </x:row>
    <x:row r="59" spans="2:20" ht="21" customHeight="1">
      <x:c r="B59"/>
      <x:c r="C59"/>
      <x:c r="D59"/>
      <x:c r="E59"/>
      <x:c r="F59"/>
      <x:c r="G59"/>
      <x:c r="H59"/>
      <x:c r="I59"/>
      <x:c r="J59"/>
      <x:c r="K59"/>
    </x:row>
    <x:row r="60" spans="2:20" ht="21" customHeight="1">
      <x:c r="B60"/>
      <x:c r="C60"/>
      <x:c r="D60"/>
      <x:c r="E60"/>
      <x:c r="F60"/>
      <x:c r="G60"/>
      <x:c r="H60"/>
      <x:c r="I60"/>
      <x:c r="J60"/>
      <x:c r="K60"/>
    </x:row>
    <x:row r="61" spans="2:20" ht="21" customHeight="1">
      <x:c r="B61"/>
      <x:c r="C61"/>
      <x:c r="D61"/>
      <x:c r="E61"/>
      <x:c r="F61"/>
      <x:c r="G61"/>
      <x:c r="H61"/>
      <x:c r="I61"/>
      <x:c r="J61"/>
      <x:c r="K61"/>
    </x:row>
    <x:row r="62" spans="2:20" ht="21" customHeight="1">
      <x:c r="B62"/>
      <x:c r="C62"/>
      <x:c r="D62"/>
      <x:c r="E62"/>
      <x:c r="F62"/>
      <x:c r="G62"/>
      <x:c r="H62"/>
      <x:c r="I62"/>
      <x:c r="J62"/>
      <x:c r="K62"/>
    </x:row>
    <x:row r="63" spans="2:20" ht="21" customHeight="1">
      <x:c r="B63"/>
      <x:c r="C63"/>
      <x:c r="D63"/>
      <x:c r="E63"/>
      <x:c r="F63"/>
      <x:c r="G63"/>
      <x:c r="H63"/>
      <x:c r="I63"/>
      <x:c r="J63"/>
      <x:c r="K63"/>
    </x:row>
    <x:row r="64" spans="2:20" ht="21" customHeight="1">
      <x:c r="B64"/>
      <x:c r="C64"/>
      <x:c r="D64"/>
      <x:c r="E64"/>
      <x:c r="F64"/>
      <x:c r="G64"/>
      <x:c r="H64"/>
      <x:c r="I64"/>
      <x:c r="J64"/>
      <x:c r="K64"/>
    </x:row>
    <x:row r="65" spans="2:13" ht="21" customHeight="1">
      <x:c r="B65"/>
      <x:c r="C65"/>
      <x:c r="D65"/>
      <x:c r="E65"/>
      <x:c r="F65"/>
      <x:c r="G65"/>
      <x:c r="H65"/>
      <x:c r="I65"/>
      <x:c r="J65"/>
      <x:c r="K65"/>
    </x:row>
    <x:row r="66" spans="2:13" ht="21" customHeight="1">
      <x:c r="B66"/>
      <x:c r="C66"/>
      <x:c r="D66"/>
      <x:c r="E66"/>
      <x:c r="F66"/>
      <x:c r="G66"/>
      <x:c r="H66"/>
      <x:c r="I66"/>
      <x:c r="J66"/>
      <x:c r="K66"/>
    </x:row>
    <x:row r="67" spans="2:13" ht="21" customHeight="1">
      <x:c r="B67"/>
      <x:c r="C67"/>
      <x:c r="D67"/>
      <x:c r="E67"/>
      <x:c r="F67"/>
      <x:c r="G67"/>
      <x:c r="H67"/>
      <x:c r="I67"/>
      <x:c r="J67"/>
      <x:c r="K67"/>
    </x:row>
    <x:row r="68" spans="2:13" ht="21" customHeight="1">
      <x:c r="B68"/>
      <x:c r="C68"/>
      <x:c r="D68"/>
      <x:c r="E68"/>
      <x:c r="F68"/>
      <x:c r="G68"/>
      <x:c r="H68"/>
      <x:c r="I68"/>
      <x:c r="J68"/>
      <x:c r="K68"/>
    </x:row>
    <x:row r="69" spans="2:13" ht="21" customHeight="1">
      <x:c r="B69"/>
      <x:c r="C69"/>
      <x:c r="D69"/>
      <x:c r="E69"/>
      <x:c r="F69"/>
      <x:c r="G69"/>
      <x:c r="H69"/>
      <x:c r="I69"/>
      <x:c r="J69"/>
      <x:c r="K69"/>
    </x:row>
    <x:row r="70" spans="2:13" ht="13.5">
      <x:c r="B70"/>
      <x:c r="C70"/>
      <x:c r="D70"/>
      <x:c r="E70"/>
      <x:c r="F70"/>
      <x:c r="G70"/>
      <x:c r="H70"/>
      <x:c r="I70"/>
      <x:c r="J70"/>
      <x:c r="K70"/>
    </x:row>
    <x:row r="71" spans="2:13" ht="21" customHeight="1">
      <x:c r="B71"/>
      <x:c r="C71"/>
      <x:c r="D71"/>
      <x:c r="E71"/>
      <x:c r="F71"/>
      <x:c r="G71"/>
      <x:c r="H71"/>
      <x:c r="I71"/>
      <x:c r="J71"/>
      <x:c r="K71"/>
      <x:c r="M71" s="214"/>
    </x:row>
    <x:row r="72" spans="2:13" ht="21" customHeight="1">
      <x:c r="B72"/>
      <x:c r="C72"/>
      <x:c r="D72"/>
      <x:c r="E72"/>
      <x:c r="F72"/>
      <x:c r="G72"/>
      <x:c r="H72"/>
      <x:c r="I72"/>
      <x:c r="J72"/>
      <x:c r="K72"/>
    </x:row>
    <x:row r="73" spans="2:13" ht="21" customHeight="1">
      <x:c r="B73"/>
      <x:c r="C73"/>
      <x:c r="D73"/>
      <x:c r="E73"/>
      <x:c r="F73"/>
      <x:c r="G73"/>
      <x:c r="H73"/>
      <x:c r="I73"/>
      <x:c r="J73"/>
      <x:c r="K73"/>
    </x:row>
    <x:row r="74" spans="2:13" ht="21" customHeight="1">
      <x:c r="B74"/>
      <x:c r="C74"/>
      <x:c r="D74"/>
      <x:c r="E74"/>
      <x:c r="F74"/>
      <x:c r="G74"/>
      <x:c r="H74"/>
      <x:c r="I74"/>
      <x:c r="J74"/>
      <x:c r="K74"/>
    </x:row>
    <x:row r="75" spans="2:13" ht="21" customHeight="1">
      <x:c r="B75"/>
      <x:c r="C75"/>
      <x:c r="D75"/>
      <x:c r="E75"/>
      <x:c r="F75"/>
      <x:c r="G75"/>
      <x:c r="H75"/>
      <x:c r="I75"/>
      <x:c r="J75"/>
      <x:c r="K75"/>
    </x:row>
    <x:row r="76" spans="2:13" ht="21" customHeight="1">
      <x:c r="B76"/>
      <x:c r="C76"/>
      <x:c r="D76"/>
      <x:c r="E76"/>
      <x:c r="F76"/>
      <x:c r="G76"/>
      <x:c r="H76"/>
      <x:c r="I76"/>
      <x:c r="J76"/>
      <x:c r="K76"/>
    </x:row>
    <x:row r="77" spans="2:13" ht="21" customHeight="1">
      <x:c r="B77"/>
      <x:c r="C77"/>
      <x:c r="D77"/>
      <x:c r="E77"/>
      <x:c r="F77"/>
      <x:c r="G77"/>
      <x:c r="H77"/>
      <x:c r="I77"/>
      <x:c r="J77"/>
      <x:c r="K77"/>
    </x:row>
    <x:row r="78" spans="2:13" ht="21" customHeight="1">
      <x:c r="B78"/>
      <x:c r="C78"/>
      <x:c r="D78"/>
      <x:c r="E78"/>
      <x:c r="F78"/>
      <x:c r="G78"/>
      <x:c r="H78"/>
      <x:c r="I78"/>
      <x:c r="J78"/>
      <x:c r="K78"/>
    </x:row>
    <x:row r="79" spans="2:13" ht="21" customHeight="1">
      <x:c r="B79"/>
      <x:c r="C79"/>
      <x:c r="D79"/>
      <x:c r="E79"/>
      <x:c r="F79"/>
      <x:c r="G79"/>
      <x:c r="H79"/>
      <x:c r="I79"/>
      <x:c r="J79"/>
      <x:c r="K79"/>
    </x:row>
    <x:row r="80" spans="2:13" ht="21" customHeight="1">
      <x:c r="B80"/>
      <x:c r="C80"/>
      <x:c r="D80"/>
      <x:c r="E80"/>
      <x:c r="F80"/>
      <x:c r="G80"/>
      <x:c r="H80"/>
      <x:c r="I80"/>
      <x:c r="J80"/>
      <x:c r="K80"/>
    </x:row>
    <x:row r="81" spans="2:11" ht="21" customHeight="1">
      <x:c r="B81"/>
      <x:c r="C81"/>
      <x:c r="D81"/>
      <x:c r="E81"/>
      <x:c r="F81"/>
      <x:c r="G81"/>
      <x:c r="H81"/>
      <x:c r="I81"/>
      <x:c r="J81"/>
      <x:c r="K81"/>
    </x:row>
    <x:row r="82" spans="2:11" ht="21" customHeight="1">
      <x:c r="B82"/>
      <x:c r="C82"/>
      <x:c r="D82"/>
      <x:c r="E82"/>
      <x:c r="F82"/>
      <x:c r="G82"/>
      <x:c r="H82"/>
      <x:c r="I82"/>
      <x:c r="J82"/>
      <x:c r="K82"/>
    </x:row>
    <x:row r="83" spans="2:11" ht="21" customHeight="1">
      <x:c r="B83"/>
      <x:c r="C83"/>
      <x:c r="D83"/>
      <x:c r="E83"/>
      <x:c r="F83"/>
      <x:c r="G83"/>
      <x:c r="H83"/>
      <x:c r="I83"/>
      <x:c r="J83"/>
      <x:c r="K83"/>
    </x:row>
    <x:row r="84" spans="2:11" ht="21" customHeight="1">
      <x:c r="B84"/>
      <x:c r="C84"/>
      <x:c r="D84"/>
      <x:c r="E84"/>
      <x:c r="F84"/>
      <x:c r="G84"/>
      <x:c r="H84"/>
      <x:c r="I84"/>
      <x:c r="J84"/>
      <x:c r="K84"/>
    </x:row>
    <x:row r="85" spans="2:11" ht="21" customHeight="1">
      <x:c r="B85"/>
      <x:c r="C85"/>
      <x:c r="D85"/>
      <x:c r="E85"/>
      <x:c r="F85"/>
      <x:c r="G85"/>
      <x:c r="H85"/>
      <x:c r="I85"/>
      <x:c r="J85"/>
      <x:c r="K85"/>
    </x:row>
    <x:row r="86" spans="2:11" ht="21" customHeight="1">
      <x:c r="B86"/>
      <x:c r="C86"/>
      <x:c r="D86"/>
      <x:c r="E86"/>
      <x:c r="F86"/>
      <x:c r="G86"/>
      <x:c r="H86"/>
      <x:c r="I86"/>
      <x:c r="J86"/>
      <x:c r="K86"/>
    </x:row>
    <x:row r="87" spans="2:11" ht="21" customHeight="1">
      <x:c r="B87"/>
      <x:c r="C87"/>
      <x:c r="D87"/>
      <x:c r="E87"/>
      <x:c r="F87"/>
      <x:c r="G87"/>
      <x:c r="H87"/>
      <x:c r="I87"/>
      <x:c r="J87"/>
      <x:c r="K87"/>
    </x:row>
    <x:row r="88" spans="2:11" ht="21" customHeight="1">
      <x:c r="B88"/>
      <x:c r="C88"/>
      <x:c r="D88"/>
      <x:c r="E88"/>
      <x:c r="F88"/>
      <x:c r="G88"/>
      <x:c r="H88"/>
      <x:c r="I88"/>
      <x:c r="J88"/>
      <x:c r="K88"/>
    </x:row>
    <x:row r="89" spans="2:11" ht="21" customHeight="1">
      <x:c r="B89"/>
      <x:c r="C89"/>
      <x:c r="D89"/>
      <x:c r="E89"/>
      <x:c r="F89"/>
      <x:c r="G89"/>
      <x:c r="H89"/>
      <x:c r="I89"/>
      <x:c r="J89"/>
      <x:c r="K89"/>
    </x:row>
    <x:row r="90" spans="2:11" ht="21" customHeight="1">
      <x:c r="B90"/>
      <x:c r="C90"/>
      <x:c r="D90"/>
      <x:c r="E90"/>
      <x:c r="F90"/>
      <x:c r="G90"/>
      <x:c r="H90"/>
      <x:c r="I90"/>
      <x:c r="J90"/>
      <x:c r="K90"/>
    </x:row>
    <x:row r="91" spans="2:11" ht="21" customHeight="1">
      <x:c r="B91"/>
      <x:c r="C91"/>
      <x:c r="D91"/>
      <x:c r="E91"/>
      <x:c r="F91"/>
      <x:c r="G91"/>
      <x:c r="H91"/>
      <x:c r="I91"/>
      <x:c r="J91"/>
      <x:c r="K91"/>
    </x:row>
    <x:row r="92" spans="2:11" ht="21" customHeight="1">
      <x:c r="B92"/>
      <x:c r="C92"/>
      <x:c r="D92"/>
      <x:c r="E92"/>
      <x:c r="F92"/>
      <x:c r="G92"/>
      <x:c r="H92"/>
      <x:c r="I92"/>
      <x:c r="J92"/>
      <x:c r="K92"/>
    </x:row>
    <x:row r="93" spans="2:11" ht="21" customHeight="1">
      <x:c r="B93"/>
      <x:c r="C93"/>
      <x:c r="D93"/>
      <x:c r="E93"/>
      <x:c r="F93"/>
      <x:c r="G93"/>
      <x:c r="H93"/>
      <x:c r="I93"/>
      <x:c r="J93"/>
      <x:c r="K93"/>
    </x:row>
    <x:row r="94" spans="2:11" ht="21" customHeight="1">
      <x:c r="B94"/>
      <x:c r="C94"/>
      <x:c r="D94"/>
      <x:c r="E94"/>
      <x:c r="F94"/>
      <x:c r="G94"/>
      <x:c r="H94"/>
      <x:c r="I94"/>
      <x:c r="J94"/>
      <x:c r="K94"/>
    </x:row>
    <x:row r="95" spans="2:11" ht="21" customHeight="1">
      <x:c r="B95"/>
      <x:c r="C95"/>
      <x:c r="D95"/>
      <x:c r="E95"/>
      <x:c r="F95"/>
      <x:c r="G95"/>
      <x:c r="H95"/>
      <x:c r="I95"/>
      <x:c r="J95"/>
      <x:c r="K95"/>
    </x:row>
    <x:row r="96" spans="2:11" ht="21" customHeight="1">
      <x:c r="B96"/>
      <x:c r="C96"/>
      <x:c r="D96"/>
      <x:c r="E96"/>
      <x:c r="F96"/>
      <x:c r="G96"/>
      <x:c r="H96"/>
      <x:c r="I96"/>
      <x:c r="J96"/>
      <x:c r="K96"/>
    </x:row>
    <x:row r="97" spans="2:11" ht="21" customHeight="1">
      <x:c r="B97"/>
      <x:c r="C97"/>
      <x:c r="D97"/>
      <x:c r="E97"/>
      <x:c r="F97"/>
      <x:c r="G97"/>
      <x:c r="H97"/>
      <x:c r="I97"/>
      <x:c r="J97"/>
      <x:c r="K97"/>
    </x:row>
    <x:row r="98" spans="2:11" ht="21" customHeight="1">
      <x:c r="B98"/>
      <x:c r="C98"/>
      <x:c r="D98"/>
      <x:c r="E98"/>
      <x:c r="F98"/>
      <x:c r="G98"/>
      <x:c r="H98"/>
      <x:c r="I98"/>
      <x:c r="J98"/>
      <x:c r="K98"/>
    </x:row>
    <x:row r="99" spans="2:11" ht="21" customHeight="1">
      <x:c r="B99"/>
      <x:c r="C99"/>
      <x:c r="D99"/>
      <x:c r="E99"/>
      <x:c r="F99"/>
      <x:c r="G99"/>
      <x:c r="H99"/>
      <x:c r="I99"/>
      <x:c r="J99"/>
      <x:c r="K99"/>
    </x:row>
    <x:row r="100" spans="2:11" ht="21" customHeight="1">
      <x:c r="B100"/>
      <x:c r="C100"/>
      <x:c r="D100"/>
      <x:c r="E100"/>
      <x:c r="F100"/>
      <x:c r="G100"/>
      <x:c r="H100"/>
      <x:c r="I100"/>
      <x:c r="J100"/>
      <x:c r="K100"/>
    </x:row>
    <x:row r="101" spans="2:11" ht="21" customHeight="1">
      <x:c r="B101"/>
      <x:c r="C101"/>
      <x:c r="D101"/>
      <x:c r="E101"/>
      <x:c r="F101"/>
      <x:c r="G101"/>
      <x:c r="H101"/>
      <x:c r="I101"/>
      <x:c r="J101"/>
      <x:c r="K101"/>
    </x:row>
    <x:row r="102" spans="2:11" ht="21" customHeight="1">
      <x:c r="B102"/>
      <x:c r="C102"/>
      <x:c r="D102"/>
      <x:c r="E102"/>
      <x:c r="F102"/>
      <x:c r="G102"/>
      <x:c r="H102"/>
      <x:c r="I102"/>
      <x:c r="J102"/>
      <x:c r="K102"/>
    </x:row>
    <x:row r="103" spans="2:11" ht="21" customHeight="1">
      <x:c r="B103"/>
      <x:c r="C103"/>
      <x:c r="D103"/>
      <x:c r="E103"/>
      <x:c r="F103"/>
      <x:c r="G103"/>
      <x:c r="H103"/>
      <x:c r="I103"/>
      <x:c r="J103"/>
      <x:c r="K103"/>
    </x:row>
    <x:row r="104" spans="2:11" ht="21" customHeight="1">
      <x:c r="B104"/>
      <x:c r="C104"/>
      <x:c r="D104"/>
      <x:c r="E104"/>
      <x:c r="F104"/>
      <x:c r="G104"/>
      <x:c r="H104"/>
      <x:c r="I104"/>
      <x:c r="J104"/>
      <x:c r="K104"/>
    </x:row>
    <x:row r="105" spans="2:11" ht="21" customHeight="1">
      <x:c r="B105"/>
      <x:c r="C105"/>
      <x:c r="D105"/>
      <x:c r="E105"/>
      <x:c r="F105"/>
      <x:c r="G105"/>
      <x:c r="H105"/>
      <x:c r="I105"/>
      <x:c r="J105"/>
      <x:c r="K105"/>
    </x:row>
    <x:row r="106" spans="2:11" ht="21" customHeight="1">
      <x:c r="B106"/>
      <x:c r="C106"/>
      <x:c r="D106"/>
      <x:c r="E106"/>
      <x:c r="F106"/>
      <x:c r="G106"/>
      <x:c r="H106"/>
      <x:c r="I106"/>
      <x:c r="J106"/>
      <x:c r="K106"/>
    </x:row>
    <x:row r="107" spans="2:11" ht="21" customHeight="1">
      <x:c r="B107"/>
      <x:c r="C107"/>
      <x:c r="D107"/>
      <x:c r="E107"/>
      <x:c r="F107"/>
      <x:c r="G107"/>
      <x:c r="H107"/>
      <x:c r="I107"/>
      <x:c r="J107"/>
      <x:c r="K107"/>
    </x:row>
    <x:row r="108" spans="2:11" ht="21" customHeight="1">
      <x:c r="B108"/>
      <x:c r="C108"/>
      <x:c r="D108"/>
      <x:c r="E108"/>
      <x:c r="F108"/>
      <x:c r="G108"/>
      <x:c r="H108"/>
      <x:c r="I108"/>
      <x:c r="J108"/>
      <x:c r="K108"/>
    </x:row>
    <x:row r="109" spans="2:11" ht="21" customHeight="1">
      <x:c r="B109"/>
      <x:c r="C109"/>
      <x:c r="D109"/>
      <x:c r="E109"/>
      <x:c r="F109"/>
      <x:c r="G109"/>
      <x:c r="H109"/>
      <x:c r="I109"/>
      <x:c r="J109"/>
      <x:c r="K109"/>
    </x:row>
    <x:row r="110" spans="2:11" ht="21" customHeight="1">
      <x:c r="B110"/>
      <x:c r="C110"/>
      <x:c r="D110"/>
      <x:c r="E110"/>
      <x:c r="F110"/>
      <x:c r="G110"/>
      <x:c r="H110"/>
      <x:c r="I110"/>
      <x:c r="J110"/>
      <x:c r="K110"/>
    </x:row>
    <x:row r="111" spans="2:11" ht="21" customHeight="1">
      <x:c r="B111"/>
      <x:c r="C111"/>
      <x:c r="D111"/>
      <x:c r="E111"/>
      <x:c r="F111"/>
      <x:c r="G111"/>
      <x:c r="H111"/>
      <x:c r="I111"/>
      <x:c r="J111"/>
      <x:c r="K111"/>
    </x:row>
    <x:row r="112" spans="2:11" ht="21" customHeight="1">
      <x:c r="B112"/>
      <x:c r="C112"/>
      <x:c r="D112"/>
      <x:c r="E112"/>
      <x:c r="F112"/>
      <x:c r="G112"/>
      <x:c r="H112"/>
      <x:c r="I112"/>
      <x:c r="J112"/>
      <x:c r="K112"/>
    </x:row>
    <x:row r="113" spans="2:11" ht="21" customHeight="1">
      <x:c r="B113"/>
      <x:c r="C113"/>
      <x:c r="D113"/>
      <x:c r="E113"/>
      <x:c r="F113"/>
      <x:c r="G113"/>
      <x:c r="H113"/>
      <x:c r="I113"/>
      <x:c r="J113"/>
      <x:c r="K113"/>
    </x:row>
    <x:row r="114" spans="2:11" ht="21" customHeight="1">
      <x:c r="B114"/>
      <x:c r="C114"/>
      <x:c r="D114"/>
      <x:c r="E114"/>
      <x:c r="F114"/>
      <x:c r="G114"/>
      <x:c r="H114"/>
      <x:c r="I114"/>
      <x:c r="J114"/>
      <x:c r="K114"/>
    </x:row>
    <x:row r="115" spans="2:11" ht="21" customHeight="1">
      <x:c r="B115"/>
      <x:c r="C115"/>
      <x:c r="D115"/>
      <x:c r="E115"/>
      <x:c r="F115"/>
      <x:c r="G115"/>
      <x:c r="H115"/>
      <x:c r="I115"/>
      <x:c r="J115"/>
      <x:c r="K115"/>
    </x:row>
    <x:row r="116" spans="2:11" ht="21" customHeight="1">
      <x:c r="B116"/>
      <x:c r="C116"/>
      <x:c r="D116"/>
      <x:c r="E116"/>
      <x:c r="F116"/>
      <x:c r="G116"/>
      <x:c r="H116"/>
      <x:c r="I116"/>
      <x:c r="J116"/>
      <x:c r="K116"/>
    </x:row>
    <x:row r="117" spans="2:11" ht="21" customHeight="1">
      <x:c r="B117"/>
      <x:c r="C117"/>
      <x:c r="D117"/>
      <x:c r="E117"/>
      <x:c r="F117"/>
      <x:c r="G117"/>
      <x:c r="H117"/>
      <x:c r="I117"/>
      <x:c r="J117"/>
      <x:c r="K117"/>
    </x:row>
    <x:row r="118" spans="2:11" ht="21" customHeight="1">
      <x:c r="B118"/>
      <x:c r="C118"/>
      <x:c r="D118"/>
      <x:c r="E118"/>
      <x:c r="F118"/>
      <x:c r="G118"/>
      <x:c r="H118"/>
      <x:c r="I118"/>
      <x:c r="J118"/>
      <x:c r="K118"/>
    </x:row>
    <x:row r="119" spans="2:11" ht="21" customHeight="1">
      <x:c r="B119"/>
      <x:c r="C119"/>
      <x:c r="D119"/>
      <x:c r="E119"/>
      <x:c r="F119"/>
      <x:c r="G119"/>
      <x:c r="H119"/>
      <x:c r="I119"/>
      <x:c r="J119"/>
      <x:c r="K119"/>
    </x:row>
    <x:row r="120" spans="2:11" ht="21" customHeight="1">
      <x:c r="B120"/>
      <x:c r="C120"/>
      <x:c r="D120"/>
      <x:c r="E120"/>
      <x:c r="F120"/>
      <x:c r="G120"/>
      <x:c r="H120"/>
      <x:c r="I120"/>
      <x:c r="J120"/>
      <x:c r="K120"/>
    </x:row>
    <x:row r="121" spans="2:11" ht="21" customHeight="1">
      <x:c r="B121"/>
      <x:c r="C121"/>
      <x:c r="D121"/>
      <x:c r="E121"/>
      <x:c r="F121"/>
      <x:c r="G121"/>
      <x:c r="H121"/>
      <x:c r="I121"/>
      <x:c r="J121"/>
      <x:c r="K121"/>
    </x:row>
    <x:row r="122" spans="2:11" ht="21" customHeight="1">
      <x:c r="B122"/>
      <x:c r="C122"/>
      <x:c r="D122"/>
      <x:c r="E122"/>
      <x:c r="F122"/>
      <x:c r="G122"/>
      <x:c r="H122"/>
      <x:c r="I122"/>
      <x:c r="J122"/>
      <x:c r="K122"/>
    </x:row>
    <x:row r="123" spans="2:11" ht="21" customHeight="1">
      <x:c r="B123"/>
      <x:c r="C123"/>
      <x:c r="D123"/>
      <x:c r="E123"/>
      <x:c r="F123"/>
      <x:c r="G123"/>
      <x:c r="H123"/>
      <x:c r="I123"/>
      <x:c r="J123"/>
      <x:c r="K123"/>
    </x:row>
    <x:row r="124" spans="2:11" ht="21" customHeight="1">
      <x:c r="B124"/>
      <x:c r="C124"/>
      <x:c r="D124"/>
      <x:c r="E124"/>
      <x:c r="F124"/>
      <x:c r="G124"/>
      <x:c r="H124"/>
      <x:c r="I124"/>
      <x:c r="J124"/>
      <x:c r="K124"/>
    </x:row>
    <x:row r="125" spans="2:11" ht="21" customHeight="1">
      <x:c r="B125"/>
      <x:c r="C125"/>
      <x:c r="D125"/>
      <x:c r="E125"/>
      <x:c r="F125"/>
      <x:c r="G125"/>
      <x:c r="H125"/>
      <x:c r="I125"/>
      <x:c r="J125"/>
      <x:c r="K125"/>
    </x:row>
    <x:row r="126" spans="2:11" ht="21" customHeight="1">
      <x:c r="B126"/>
      <x:c r="C126"/>
      <x:c r="D126"/>
      <x:c r="E126"/>
      <x:c r="F126"/>
      <x:c r="G126"/>
      <x:c r="H126"/>
      <x:c r="I126"/>
      <x:c r="J126"/>
      <x:c r="K126"/>
    </x:row>
    <x:row r="127" spans="2:11" ht="21" customHeight="1">
      <x:c r="B127"/>
      <x:c r="C127"/>
      <x:c r="D127"/>
      <x:c r="E127"/>
      <x:c r="F127"/>
      <x:c r="G127"/>
      <x:c r="H127"/>
      <x:c r="I127"/>
      <x:c r="J127"/>
      <x:c r="K127"/>
    </x:row>
    <x:row r="128" spans="2:11" ht="21" customHeight="1">
      <x:c r="B128"/>
      <x:c r="C128"/>
      <x:c r="D128"/>
      <x:c r="E128"/>
      <x:c r="F128"/>
      <x:c r="G128"/>
      <x:c r="H128"/>
      <x:c r="I128"/>
      <x:c r="J128"/>
      <x:c r="K128"/>
    </x:row>
    <x:row r="129" spans="2:11" ht="21" customHeight="1">
      <x:c r="B129"/>
      <x:c r="C129"/>
      <x:c r="D129"/>
      <x:c r="E129"/>
      <x:c r="F129"/>
      <x:c r="G129"/>
      <x:c r="H129"/>
      <x:c r="I129"/>
      <x:c r="J129"/>
      <x:c r="K129"/>
    </x:row>
    <x:row r="130" spans="2:11" ht="21" customHeight="1">
      <x:c r="B130"/>
      <x:c r="C130"/>
      <x:c r="D130"/>
      <x:c r="E130"/>
      <x:c r="F130"/>
      <x:c r="G130"/>
      <x:c r="H130"/>
      <x:c r="I130"/>
      <x:c r="J130"/>
      <x:c r="K130"/>
    </x:row>
    <x:row r="131" spans="2:11" ht="21" customHeight="1">
      <x:c r="B131"/>
      <x:c r="C131"/>
      <x:c r="D131"/>
      <x:c r="E131"/>
      <x:c r="F131"/>
      <x:c r="G131"/>
      <x:c r="H131"/>
      <x:c r="I131"/>
      <x:c r="J131"/>
      <x:c r="K131"/>
    </x:row>
    <x:row r="132" spans="2:11" ht="21" customHeight="1">
      <x:c r="B132"/>
      <x:c r="C132"/>
      <x:c r="D132"/>
      <x:c r="E132"/>
      <x:c r="F132"/>
      <x:c r="G132"/>
      <x:c r="H132"/>
      <x:c r="I132"/>
      <x:c r="J132"/>
      <x:c r="K132"/>
    </x:row>
    <x:row r="133" spans="2:11" ht="21" customHeight="1">
      <x:c r="B133"/>
      <x:c r="C133"/>
      <x:c r="D133"/>
      <x:c r="E133"/>
      <x:c r="F133"/>
      <x:c r="G133"/>
      <x:c r="H133"/>
      <x:c r="I133"/>
      <x:c r="J133"/>
      <x:c r="K133"/>
    </x:row>
    <x:row r="134" spans="2:11" ht="21" customHeight="1">
      <x:c r="B134"/>
      <x:c r="C134"/>
      <x:c r="D134"/>
      <x:c r="E134"/>
      <x:c r="F134"/>
      <x:c r="G134"/>
      <x:c r="H134"/>
      <x:c r="I134"/>
      <x:c r="J134"/>
      <x:c r="K134"/>
    </x:row>
    <x:row r="135" spans="2:11" ht="21" customHeight="1">
      <x:c r="B135"/>
      <x:c r="C135"/>
      <x:c r="D135"/>
      <x:c r="E135"/>
      <x:c r="F135"/>
      <x:c r="G135"/>
      <x:c r="H135"/>
      <x:c r="I135"/>
      <x:c r="J135"/>
      <x:c r="K135"/>
    </x:row>
    <x:row r="136" spans="2:11" ht="21" customHeight="1">
      <x:c r="B136"/>
      <x:c r="C136"/>
      <x:c r="D136"/>
      <x:c r="E136"/>
      <x:c r="F136"/>
      <x:c r="G136"/>
      <x:c r="H136"/>
      <x:c r="I136"/>
      <x:c r="J136"/>
      <x:c r="K136"/>
    </x:row>
    <x:row r="137" spans="2:11" ht="21" customHeight="1">
      <x:c r="B137"/>
      <x:c r="C137"/>
      <x:c r="D137"/>
      <x:c r="E137"/>
      <x:c r="F137"/>
      <x:c r="G137"/>
      <x:c r="H137"/>
      <x:c r="I137"/>
      <x:c r="J137"/>
      <x:c r="K137"/>
    </x:row>
    <x:row r="138" spans="2:11" ht="21" customHeight="1">
      <x:c r="B138"/>
      <x:c r="C138"/>
      <x:c r="D138"/>
      <x:c r="E138"/>
      <x:c r="F138"/>
      <x:c r="G138"/>
      <x:c r="H138"/>
      <x:c r="I138"/>
      <x:c r="J138"/>
      <x:c r="K138"/>
    </x:row>
    <x:row r="139" spans="2:11" ht="21" customHeight="1">
      <x:c r="B139"/>
      <x:c r="C139"/>
      <x:c r="D139"/>
      <x:c r="E139"/>
      <x:c r="F139"/>
      <x:c r="G139"/>
      <x:c r="H139"/>
      <x:c r="I139"/>
      <x:c r="J139"/>
      <x:c r="K139"/>
    </x:row>
    <x:row r="140" spans="2:11" ht="21" customHeight="1">
      <x:c r="B140"/>
      <x:c r="C140"/>
      <x:c r="D140"/>
      <x:c r="E140"/>
      <x:c r="F140"/>
      <x:c r="G140"/>
      <x:c r="H140"/>
      <x:c r="I140"/>
      <x:c r="J140"/>
      <x:c r="K140"/>
    </x:row>
    <x:row r="141" spans="2:11" ht="21" customHeight="1">
      <x:c r="B141"/>
      <x:c r="C141"/>
      <x:c r="D141"/>
      <x:c r="E141"/>
      <x:c r="F141"/>
      <x:c r="G141"/>
      <x:c r="H141"/>
      <x:c r="I141"/>
      <x:c r="J141"/>
      <x:c r="K141"/>
    </x:row>
    <x:row r="142" spans="2:11" ht="21" customHeight="1">
      <x:c r="B142"/>
      <x:c r="C142"/>
      <x:c r="D142"/>
      <x:c r="E142"/>
      <x:c r="F142"/>
      <x:c r="G142"/>
      <x:c r="H142"/>
      <x:c r="I142"/>
      <x:c r="J142"/>
      <x:c r="K142"/>
    </x:row>
    <x:row r="143" spans="2:11" ht="21" customHeight="1">
      <x:c r="B143"/>
      <x:c r="C143"/>
      <x:c r="D143"/>
      <x:c r="E143"/>
      <x:c r="F143"/>
      <x:c r="G143"/>
      <x:c r="H143"/>
      <x:c r="I143"/>
      <x:c r="J143"/>
      <x:c r="K143"/>
    </x:row>
    <x:row r="144" spans="2:11" ht="21" customHeight="1">
      <x:c r="B144"/>
      <x:c r="C144"/>
      <x:c r="D144"/>
      <x:c r="E144"/>
      <x:c r="F144"/>
      <x:c r="G144"/>
      <x:c r="H144"/>
      <x:c r="I144"/>
      <x:c r="J144"/>
      <x:c r="K144"/>
    </x:row>
    <x:row r="145" spans="2:11" ht="21" customHeight="1">
      <x:c r="B145"/>
      <x:c r="C145"/>
      <x:c r="D145"/>
      <x:c r="E145"/>
      <x:c r="F145"/>
      <x:c r="G145"/>
      <x:c r="H145"/>
      <x:c r="I145"/>
      <x:c r="J145"/>
      <x:c r="K145"/>
    </x:row>
    <x:row r="146" spans="2:11" ht="21" customHeight="1">
      <x:c r="B146"/>
      <x:c r="C146"/>
      <x:c r="D146"/>
      <x:c r="E146"/>
      <x:c r="F146"/>
      <x:c r="G146"/>
      <x:c r="H146"/>
      <x:c r="I146"/>
      <x:c r="J146"/>
      <x:c r="K146"/>
    </x:row>
    <x:row r="147" spans="2:11" ht="21" customHeight="1">
      <x:c r="B147"/>
      <x:c r="C147"/>
      <x:c r="D147"/>
      <x:c r="E147"/>
      <x:c r="F147"/>
      <x:c r="G147"/>
      <x:c r="H147"/>
      <x:c r="I147"/>
      <x:c r="J147"/>
      <x:c r="K147"/>
    </x:row>
    <x:row r="148" spans="2:11" ht="21" customHeight="1">
      <x:c r="B148"/>
      <x:c r="C148"/>
      <x:c r="D148"/>
      <x:c r="E148"/>
      <x:c r="F148"/>
      <x:c r="G148"/>
      <x:c r="H148"/>
      <x:c r="I148"/>
      <x:c r="J148"/>
      <x:c r="K148"/>
    </x:row>
    <x:row r="149" spans="2:11" ht="21" customHeight="1">
      <x:c r="B149"/>
      <x:c r="C149"/>
      <x:c r="D149"/>
      <x:c r="E149"/>
      <x:c r="F149"/>
      <x:c r="G149"/>
      <x:c r="H149"/>
      <x:c r="I149"/>
      <x:c r="J149"/>
      <x:c r="K149"/>
    </x:row>
    <x:row r="150" spans="2:11" ht="21" customHeight="1">
      <x:c r="B150"/>
      <x:c r="C150"/>
      <x:c r="D150"/>
      <x:c r="E150"/>
      <x:c r="F150"/>
      <x:c r="G150"/>
      <x:c r="H150"/>
      <x:c r="I150"/>
      <x:c r="J150"/>
      <x:c r="K150"/>
    </x:row>
    <x:row r="151" spans="2:11" ht="21" customHeight="1">
      <x:c r="B151"/>
      <x:c r="C151"/>
      <x:c r="D151"/>
      <x:c r="E151"/>
      <x:c r="F151"/>
      <x:c r="G151"/>
      <x:c r="H151"/>
      <x:c r="I151"/>
      <x:c r="J151"/>
      <x:c r="K151"/>
    </x:row>
    <x:row r="152" spans="2:11" ht="21" customHeight="1">
      <x:c r="B152"/>
      <x:c r="C152"/>
      <x:c r="D152"/>
      <x:c r="E152"/>
      <x:c r="F152"/>
      <x:c r="G152"/>
      <x:c r="H152"/>
      <x:c r="I152"/>
      <x:c r="J152"/>
      <x:c r="K152"/>
    </x:row>
    <x:row r="153" spans="2:11" ht="21" customHeight="1">
      <x:c r="B153"/>
      <x:c r="C153"/>
      <x:c r="D153"/>
      <x:c r="E153"/>
      <x:c r="F153"/>
      <x:c r="G153"/>
      <x:c r="H153"/>
      <x:c r="I153"/>
      <x:c r="J153"/>
      <x:c r="K153"/>
    </x:row>
    <x:row r="154" spans="2:11" ht="21" customHeight="1">
      <x:c r="B154"/>
      <x:c r="C154"/>
      <x:c r="D154"/>
      <x:c r="E154"/>
      <x:c r="F154"/>
      <x:c r="G154"/>
      <x:c r="H154"/>
      <x:c r="I154"/>
      <x:c r="J154"/>
      <x:c r="K154"/>
    </x:row>
    <x:row r="155" spans="2:11" ht="21" customHeight="1">
      <x:c r="B155"/>
      <x:c r="C155"/>
      <x:c r="D155"/>
      <x:c r="E155"/>
      <x:c r="F155"/>
      <x:c r="G155"/>
      <x:c r="H155"/>
      <x:c r="I155"/>
      <x:c r="J155"/>
      <x:c r="K155"/>
    </x:row>
    <x:row r="156" spans="2:11" ht="21" customHeight="1">
      <x:c r="B156"/>
      <x:c r="C156"/>
      <x:c r="D156"/>
      <x:c r="E156"/>
      <x:c r="F156"/>
      <x:c r="G156"/>
      <x:c r="H156"/>
      <x:c r="I156"/>
      <x:c r="J156"/>
      <x:c r="K156"/>
    </x:row>
    <x:row r="157" spans="2:11" ht="21" customHeight="1">
      <x:c r="B157"/>
      <x:c r="C157"/>
      <x:c r="D157"/>
      <x:c r="E157"/>
      <x:c r="F157"/>
      <x:c r="G157"/>
      <x:c r="H157"/>
      <x:c r="I157"/>
      <x:c r="J157"/>
      <x:c r="K157"/>
    </x:row>
    <x:row r="158" spans="2:11" ht="21" customHeight="1">
      <x:c r="B158"/>
      <x:c r="C158"/>
      <x:c r="D158"/>
      <x:c r="E158"/>
      <x:c r="F158"/>
      <x:c r="G158"/>
      <x:c r="H158"/>
      <x:c r="I158"/>
      <x:c r="J158"/>
      <x:c r="K158"/>
    </x:row>
    <x:row r="159" spans="2:11" ht="21" customHeight="1">
      <x:c r="B159"/>
      <x:c r="C159"/>
      <x:c r="D159"/>
      <x:c r="E159"/>
      <x:c r="F159"/>
      <x:c r="G159"/>
      <x:c r="H159"/>
      <x:c r="I159"/>
      <x:c r="J159"/>
      <x:c r="K159"/>
    </x:row>
    <x:row r="160" spans="2:11" ht="21" customHeight="1">
      <x:c r="B160"/>
      <x:c r="C160"/>
      <x:c r="D160"/>
      <x:c r="E160"/>
      <x:c r="F160"/>
      <x:c r="G160"/>
      <x:c r="H160"/>
      <x:c r="I160"/>
      <x:c r="J160"/>
      <x:c r="K160"/>
    </x:row>
    <x:row r="161" spans="2:11" ht="21" customHeight="1">
      <x:c r="B161"/>
      <x:c r="C161"/>
      <x:c r="D161"/>
      <x:c r="E161"/>
      <x:c r="F161"/>
      <x:c r="G161"/>
      <x:c r="H161"/>
      <x:c r="I161"/>
      <x:c r="J161"/>
      <x:c r="K161"/>
    </x:row>
    <x:row r="162" spans="2:11" ht="21" customHeight="1">
      <x:c r="B162"/>
      <x:c r="C162"/>
      <x:c r="D162"/>
      <x:c r="E162"/>
      <x:c r="F162"/>
      <x:c r="G162"/>
      <x:c r="H162"/>
      <x:c r="I162"/>
      <x:c r="J162"/>
      <x:c r="K162"/>
    </x:row>
    <x:row r="163" spans="2:11" ht="21" customHeight="1">
      <x:c r="B163"/>
      <x:c r="C163"/>
      <x:c r="D163"/>
      <x:c r="E163"/>
      <x:c r="F163"/>
      <x:c r="G163"/>
      <x:c r="H163"/>
      <x:c r="I163"/>
      <x:c r="J163"/>
      <x:c r="K163"/>
    </x:row>
    <x:row r="164" spans="2:11" ht="21" customHeight="1">
      <x:c r="B164"/>
      <x:c r="C164"/>
      <x:c r="D164"/>
      <x:c r="E164"/>
      <x:c r="F164"/>
      <x:c r="G164"/>
      <x:c r="H164"/>
      <x:c r="I164"/>
      <x:c r="J164"/>
      <x:c r="K164"/>
    </x:row>
    <x:row r="165" spans="2:11" ht="21" customHeight="1">
      <x:c r="B165"/>
      <x:c r="C165"/>
      <x:c r="D165"/>
      <x:c r="E165"/>
      <x:c r="F165"/>
      <x:c r="G165"/>
      <x:c r="H165"/>
      <x:c r="I165"/>
      <x:c r="J165"/>
      <x:c r="K165"/>
    </x:row>
    <x:row r="166" spans="2:11" ht="21" customHeight="1">
      <x:c r="B166"/>
      <x:c r="C166"/>
      <x:c r="D166"/>
      <x:c r="E166"/>
      <x:c r="F166"/>
      <x:c r="G166"/>
      <x:c r="H166"/>
      <x:c r="I166"/>
      <x:c r="J166"/>
      <x:c r="K166"/>
    </x:row>
    <x:row r="167" spans="2:11" ht="21" customHeight="1">
      <x:c r="B167"/>
      <x:c r="C167"/>
      <x:c r="D167"/>
      <x:c r="E167"/>
      <x:c r="F167"/>
      <x:c r="G167"/>
      <x:c r="H167"/>
      <x:c r="I167"/>
      <x:c r="J167"/>
      <x:c r="K167"/>
    </x:row>
    <x:row r="168" spans="2:11" ht="21" customHeight="1">
      <x:c r="B168"/>
      <x:c r="C168"/>
      <x:c r="D168"/>
      <x:c r="E168"/>
      <x:c r="F168"/>
      <x:c r="G168"/>
      <x:c r="H168"/>
      <x:c r="I168"/>
      <x:c r="J168"/>
      <x:c r="K168"/>
    </x:row>
    <x:row r="169" spans="2:11" ht="21" customHeight="1">
      <x:c r="B169"/>
      <x:c r="C169"/>
      <x:c r="D169"/>
      <x:c r="E169"/>
      <x:c r="F169"/>
      <x:c r="G169"/>
      <x:c r="H169"/>
      <x:c r="I169"/>
      <x:c r="J169"/>
      <x:c r="K169"/>
    </x:row>
    <x:row r="170" spans="2:11" ht="21" customHeight="1">
      <x:c r="B170"/>
      <x:c r="C170"/>
      <x:c r="D170"/>
      <x:c r="E170"/>
      <x:c r="F170"/>
      <x:c r="G170"/>
      <x:c r="H170"/>
      <x:c r="I170"/>
      <x:c r="J170"/>
      <x:c r="K170"/>
    </x:row>
    <x:row r="171" spans="2:11" ht="21" customHeight="1">
      <x:c r="B171"/>
      <x:c r="C171"/>
      <x:c r="D171"/>
      <x:c r="E171"/>
      <x:c r="F171"/>
      <x:c r="G171"/>
      <x:c r="H171"/>
      <x:c r="I171"/>
      <x:c r="J171"/>
      <x:c r="K171"/>
    </x:row>
    <x:row r="172" spans="2:11" ht="21" customHeight="1">
      <x:c r="B172"/>
      <x:c r="C172"/>
      <x:c r="D172"/>
      <x:c r="E172"/>
      <x:c r="F172"/>
      <x:c r="G172"/>
      <x:c r="H172"/>
      <x:c r="I172"/>
      <x:c r="J172"/>
      <x:c r="K172"/>
    </x:row>
    <x:row r="173" spans="2:11" ht="21" customHeight="1">
      <x:c r="B173"/>
      <x:c r="C173"/>
      <x:c r="D173"/>
      <x:c r="E173"/>
      <x:c r="F173"/>
      <x:c r="G173"/>
      <x:c r="H173"/>
      <x:c r="I173"/>
      <x:c r="J173"/>
      <x:c r="K173"/>
    </x:row>
    <x:row r="174" spans="2:11" ht="21" customHeight="1">
      <x:c r="B174"/>
      <x:c r="C174"/>
      <x:c r="D174"/>
      <x:c r="E174"/>
      <x:c r="F174"/>
      <x:c r="G174"/>
      <x:c r="H174"/>
      <x:c r="I174"/>
      <x:c r="J174"/>
      <x:c r="K174"/>
    </x:row>
    <x:row r="175" spans="2:11" ht="21" customHeight="1">
      <x:c r="B175"/>
      <x:c r="C175"/>
      <x:c r="D175"/>
      <x:c r="E175"/>
      <x:c r="F175"/>
      <x:c r="G175"/>
      <x:c r="H175"/>
      <x:c r="I175"/>
      <x:c r="J175"/>
      <x:c r="K175"/>
    </x:row>
    <x:row r="176" spans="2:11" ht="21" customHeight="1">
      <x:c r="B176"/>
      <x:c r="C176"/>
      <x:c r="D176"/>
      <x:c r="E176"/>
      <x:c r="F176"/>
      <x:c r="G176"/>
      <x:c r="H176"/>
      <x:c r="I176"/>
      <x:c r="J176"/>
      <x:c r="K176"/>
    </x:row>
    <x:row r="177" spans="2:11" ht="21" customHeight="1">
      <x:c r="B177"/>
      <x:c r="C177"/>
      <x:c r="D177"/>
      <x:c r="E177"/>
      <x:c r="F177"/>
      <x:c r="G177"/>
      <x:c r="H177"/>
      <x:c r="I177"/>
      <x:c r="J177"/>
      <x:c r="K177"/>
    </x:row>
    <x:row r="178" spans="2:11" ht="21" customHeight="1">
      <x:c r="B178"/>
      <x:c r="C178"/>
      <x:c r="D178"/>
      <x:c r="E178"/>
      <x:c r="F178"/>
      <x:c r="G178"/>
      <x:c r="H178"/>
      <x:c r="I178"/>
      <x:c r="J178"/>
      <x:c r="K178"/>
    </x:row>
    <x:row r="179" spans="2:11" ht="21" customHeight="1">
      <x:c r="B179"/>
      <x:c r="C179"/>
      <x:c r="D179"/>
      <x:c r="E179"/>
      <x:c r="F179"/>
      <x:c r="G179"/>
      <x:c r="H179"/>
      <x:c r="I179"/>
      <x:c r="J179"/>
      <x:c r="K179"/>
    </x:row>
    <x:row r="180" spans="2:11" ht="21" customHeight="1">
      <x:c r="B180"/>
      <x:c r="C180"/>
      <x:c r="D180"/>
      <x:c r="E180"/>
      <x:c r="F180"/>
      <x:c r="G180"/>
      <x:c r="H180"/>
      <x:c r="I180"/>
      <x:c r="J180"/>
      <x:c r="K180"/>
    </x:row>
    <x:row r="181" spans="2:11" ht="21" customHeight="1">
      <x:c r="B181"/>
      <x:c r="C181"/>
      <x:c r="D181"/>
      <x:c r="E181"/>
      <x:c r="F181"/>
      <x:c r="G181"/>
      <x:c r="H181"/>
      <x:c r="I181"/>
      <x:c r="J181"/>
      <x:c r="K181"/>
    </x:row>
    <x:row r="182" spans="2:11" ht="21" customHeight="1">
      <x:c r="B182"/>
      <x:c r="C182"/>
      <x:c r="D182"/>
      <x:c r="E182"/>
      <x:c r="F182"/>
      <x:c r="G182"/>
      <x:c r="H182"/>
      <x:c r="I182"/>
      <x:c r="J182"/>
      <x:c r="K182"/>
    </x:row>
    <x:row r="183" spans="2:11" ht="21" customHeight="1">
      <x:c r="B183"/>
      <x:c r="C183"/>
      <x:c r="D183"/>
      <x:c r="E183"/>
      <x:c r="F183"/>
      <x:c r="G183"/>
      <x:c r="H183"/>
      <x:c r="I183"/>
      <x:c r="J183"/>
      <x:c r="K183"/>
    </x:row>
    <x:row r="184" spans="2:11" ht="21" customHeight="1">
      <x:c r="B184"/>
      <x:c r="C184"/>
      <x:c r="D184"/>
      <x:c r="E184"/>
      <x:c r="F184"/>
      <x:c r="G184"/>
      <x:c r="H184"/>
      <x:c r="I184"/>
      <x:c r="J184"/>
      <x:c r="K184"/>
    </x:row>
  </x:sheetData>
  <x:phoneticPr fontId="7" type="noConversion"/>
  <x:pageMargins left="0.7" right="0.7" top="0.75" bottom="0.75" header="0.3" footer="0.3"/>
  <x:pageSetup paperSize="9" orientation="portrait" r:id="rId4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3A775A-F41C-4285-AD88-157918425102}" mc:Ignorable="x14ac xr xr2 xr3">
  <x:dimension ref="A1:AA160"/>
  <x:sheetViews>
    <x:sheetView zoomScale="70" zoomScaleNormal="70" workbookViewId="0">
      <x:pane xSplit="5" ySplit="8" topLeftCell="F113" activePane="bottomRight" state="frozen"/>
      <x:selection activeCell="D5" sqref="A1:AA138"/>
      <x:selection pane="topRight" activeCell="D5" sqref="A1:AA138"/>
      <x:selection pane="bottomLeft" activeCell="D5" sqref="A1:AA138"/>
      <x:selection pane="bottomRight" activeCell="V130" sqref="V130"/>
    </x:sheetView>
  </x:sheetViews>
  <x:sheetFormatPr defaultColWidth="8.85546875" defaultRowHeight="12.75"/>
  <x:cols>
    <x:col min="1" max="1" width="11" style="278" customWidth="1"/>
    <x:col min="2" max="2" width="28.5703125" style="141" customWidth="1"/>
    <x:col min="3" max="3" width="13.5703125" style="141" customWidth="1"/>
    <x:col min="4" max="4" width="16.42578125" style="141" bestFit="1" customWidth="1"/>
    <x:col min="5" max="5" width="32.42578125" style="141" bestFit="1" customWidth="1"/>
    <x:col min="6" max="6" width="18" style="141" customWidth="1"/>
    <x:col min="7" max="7" width="17.5703125" style="141" bestFit="1" customWidth="1"/>
    <x:col min="8" max="8" width="16.140625" style="141" customWidth="1"/>
    <x:col min="9" max="9" width="15.140625" style="141" bestFit="1" customWidth="1"/>
    <x:col min="10" max="10" width="14.140625" style="141" customWidth="1"/>
    <x:col min="11" max="11" width="16.85546875" style="141" bestFit="1" customWidth="1"/>
    <x:col min="12" max="12" width="16.140625" style="141" bestFit="1" customWidth="1"/>
    <x:col min="13" max="13" width="18.140625" style="141" customWidth="1"/>
    <x:col min="14" max="14" width="14.140625" style="141" customWidth="1"/>
    <x:col min="15" max="15" width="15.140625" style="141" customWidth="1"/>
    <x:col min="16" max="16" width="14.42578125" style="141" customWidth="1"/>
    <x:col min="17" max="17" width="17.85546875" style="141" bestFit="1" customWidth="1"/>
    <x:col min="18" max="18" width="16.140625" style="141" bestFit="1" customWidth="1"/>
    <x:col min="19" max="19" width="13.85546875" style="141" bestFit="1" customWidth="1"/>
    <x:col min="20" max="20" width="13.5703125" style="141" customWidth="1"/>
    <x:col min="21" max="21" width="19.42578125" style="141" customWidth="1"/>
    <x:col min="22" max="22" width="16" style="141" customWidth="1"/>
    <x:col min="23" max="23" width="13.85546875" style="141" bestFit="1" customWidth="1"/>
    <x:col min="24" max="24" width="14.42578125" style="141" bestFit="1" customWidth="1"/>
    <x:col min="25" max="25" width="14.140625" style="141" customWidth="1"/>
    <x:col min="26" max="26" width="9.5703125" style="141" bestFit="1" customWidth="1"/>
    <x:col min="27" max="16384" width="8.85546875" style="141"/>
  </x:cols>
  <x:sheetData>
    <x:row r="1" spans="1:27" s="282" customFormat="1" ht="13.5">
      <x:c r="A1" s="316"/>
      <x:c r="B1" s="283"/>
      <x:c r="C1" s="237"/>
      <x:c r="D1" s="141"/>
      <x:c r="E1" s="177" t="s">
        <x:v>294</x:v>
      </x:c>
      <x:c r="F1" s="304">
        <x:f t="shared" ref="F1:H4" si="0">SUMIF($C$9:$C$974,$E1,F$9:F$974)</x:f>
        <x:v>0</x:v>
      </x:c>
      <x:c r="G1" s="304">
        <x:f t="shared" si="0"/>
        <x:v>0</x:v>
      </x:c>
      <x:c r="H1" s="305">
        <x:f t="shared" si="0"/>
        <x:v>0</x:v>
      </x:c>
      <x:c r="I1" s="292"/>
      <x:c r="J1" s="288"/>
      <x:c r="K1" s="296"/>
      <x:c r="L1" s="296"/>
      <x:c r="M1" s="296"/>
      <x:c r="N1" s="296"/>
      <x:c r="O1" s="296"/>
      <x:c r="P1" s="299"/>
      <x:c r="Q1" s="290">
        <x:v>3105328928</x:v>
      </x:c>
      <x:c r="R1" s="287">
        <x:f>+F7</x:f>
        <x:v>0</x:v>
      </x:c>
      <x:c r="S1" s="141"/>
      <x:c r="T1" s="141" t="s">
        <x:v>282</x:v>
      </x:c>
      <x:c r="U1" s="210">
        <x:f>SUMIF(D:D,$T1,F:F)+SUMIF(D:D,$W1,F:F)</x:f>
        <x:v>0</x:v>
      </x:c>
      <x:c r="V1" s="296">
        <x:f>SUMIF(D:D,$T1,H:H)+SUMIF(D:D,$W1,H:H)</x:f>
        <x:v>0</x:v>
      </x:c>
      <x:c r="W1" s="292" t="s">
        <x:v>306</x:v>
      </x:c>
      <x:c r="X1" s="296"/>
      <x:c r="Y1" s="296"/>
      <x:c r="Z1" s="141"/>
      <x:c r="AA1" s="141"/>
    </x:row>
    <x:row r="2" spans="1:27" s="282" customFormat="1">
      <x:c r="A2" s="316"/>
      <x:c r="B2" s="283"/>
      <x:c r="C2" s="237"/>
      <x:c r="D2" s="141"/>
      <x:c r="E2" s="281" t="s">
        <x:v>330</x:v>
      </x:c>
      <x:c r="F2" s="190">
        <x:f t="shared" si="0"/>
        <x:v>0</x:v>
      </x:c>
      <x:c r="G2" s="190">
        <x:f t="shared" si="0"/>
        <x:v>0</x:v>
      </x:c>
      <x:c r="H2" s="307">
        <x:f t="shared" si="0"/>
        <x:v>0</x:v>
      </x:c>
      <x:c r="I2" s="292"/>
      <x:c r="J2" s="293"/>
      <x:c r="K2" s="294"/>
      <x:c r="L2" s="293"/>
      <x:c r="M2" s="293"/>
      <x:c r="N2" s="296"/>
      <x:c r="O2" s="296"/>
      <x:c r="P2" s="320"/>
      <x:c r="Q2" s="299">
        <x:v>1867677336</x:v>
      </x:c>
      <x:c r="R2" s="287">
        <x:f>+H7</x:f>
        <x:v>0</x:v>
      </x:c>
      <x:c r="S2" s="210">
        <x:f>+Q2-R2</x:f>
        <x:v>1867677336</x:v>
      </x:c>
      <x:c r="T2" s="141" t="s">
        <x:v>291</x:v>
      </x:c>
      <x:c r="U2" s="210">
        <x:f>SUMIF(D:D,$T2,F:F)</x:f>
        <x:v>0</x:v>
      </x:c>
      <x:c r="V2" s="296">
        <x:f>SUMIF(D:D,$T2,H:H)+SUMIF(D:D,$W2,H:H)</x:f>
        <x:v>0</x:v>
      </x:c>
      <x:c r="W2" s="296"/>
      <x:c r="X2" s="296"/>
      <x:c r="Y2" s="296"/>
      <x:c r="Z2" s="210"/>
      <x:c r="AA2" s="141"/>
    </x:row>
    <x:row r="3" spans="1:27" s="282" customFormat="1" ht="13.5">
      <x:c r="A3" s="316"/>
      <x:c r="B3" s="283"/>
      <x:c r="C3" s="237"/>
      <x:c r="D3" s="141"/>
      <x:c r="E3" s="178" t="s">
        <x:v>5</x:v>
      </x:c>
      <x:c r="F3" s="190">
        <x:f t="shared" si="0"/>
        <x:v>0</x:v>
      </x:c>
      <x:c r="G3" s="190">
        <x:f t="shared" si="0"/>
        <x:v>0</x:v>
      </x:c>
      <x:c r="H3" s="307">
        <x:f t="shared" si="0"/>
        <x:v>0</x:v>
      </x:c>
      <x:c r="I3" s="301"/>
      <x:c r="J3" s="295" t="s">
        <x:v>307</x:v>
      </x:c>
      <x:c r="K3" s="296"/>
      <x:c r="L3" s="288"/>
      <x:c r="M3" s="293"/>
      <x:c r="N3" s="296"/>
      <x:c r="O3" s="296"/>
      <x:c r="P3" s="321"/>
      <x:c r="Q3" s="299">
        <x:v>1498140440</x:v>
      </x:c>
      <x:c r="R3" s="288" t="e">
        <x:f>+J7</x:f>
        <x:v>#DIV/0!</x:v>
      </x:c>
      <x:c r="S3" s="210" t="e">
        <x:f>+Q3-R3</x:f>
        <x:v>#DIV/0!</x:v>
      </x:c>
      <x:c r="T3" s="141" t="s">
        <x:v>292</x:v>
      </x:c>
      <x:c r="U3" s="210">
        <x:f>SUMIF(D:D,$T3,F:F)</x:f>
        <x:v>0</x:v>
      </x:c>
      <x:c r="V3" s="296">
        <x:f>SUMIF(D:D,$T3,H:H)+SUMIF(D:D,$W3,H:H)</x:f>
        <x:v>0</x:v>
      </x:c>
      <x:c r="W3" s="296"/>
      <x:c r="X3" s="296"/>
      <x:c r="Y3" s="296"/>
      <x:c r="Z3" s="210"/>
      <x:c r="AA3" s="141"/>
    </x:row>
    <x:row r="4" spans="1:27" s="282" customFormat="1" ht="13.5">
      <x:c r="A4" s="316"/>
      <x:c r="B4" s="283"/>
      <x:c r="C4" s="212"/>
      <x:c r="D4" s="141"/>
      <x:c r="E4" s="179" t="s">
        <x:v>6</x:v>
      </x:c>
      <x:c r="F4" s="190">
        <x:f t="shared" si="0"/>
        <x:v>0</x:v>
      </x:c>
      <x:c r="G4" s="190">
        <x:f t="shared" si="0"/>
        <x:v>0</x:v>
      </x:c>
      <x:c r="H4" s="307">
        <x:f t="shared" si="0"/>
        <x:v>0</x:v>
      </x:c>
      <x:c r="I4" s="296"/>
      <x:c r="J4" s="366"/>
      <x:c r="K4" s="297" t="s">
        <x:v>295</x:v>
      </x:c>
      <x:c r="L4" s="289">
        <x:v>31405400</x:v>
      </x:c>
      <x:c r="M4" s="296"/>
      <x:c r="N4" s="293"/>
      <x:c r="O4" s="322"/>
      <x:c r="P4" s="320"/>
      <x:c r="Q4" s="293">
        <x:f>+Q1-Q2-Q3</x:f>
        <x:v>-260488848</x:v>
      </x:c>
      <x:c r="R4" s="293" t="e">
        <x:f>+R1-R2-R3</x:f>
        <x:v>#DIV/0!</x:v>
      </x:c>
      <x:c r="S4" s="141"/>
      <x:c r="T4" s="141" t="s">
        <x:v>293</x:v>
      </x:c>
      <x:c r="U4" s="210">
        <x:f>SUMIF(D:D,$T4,F:F)</x:f>
        <x:v>0</x:v>
      </x:c>
      <x:c r="V4" s="296">
        <x:f>SUMIF(D:D,$T4,H:H)+SUMIF(D:D,$W4,H:H)</x:f>
        <x:v>0</x:v>
      </x:c>
      <x:c r="W4" s="292"/>
      <x:c r="X4" s="292"/>
      <x:c r="Y4" s="292"/>
      <x:c r="Z4" s="141"/>
      <x:c r="AA4" s="141"/>
    </x:row>
    <x:row r="5" spans="1:27" s="282" customFormat="1" ht="13.5">
      <x:c r="A5" s="317"/>
      <x:c r="B5" s="283"/>
      <x:c r="C5" s="284"/>
      <x:c r="D5" s="214"/>
      <x:c r="E5" s="213"/>
      <x:c r="F5" s="309">
        <x:f>SUM(F1:F4)</x:f>
        <x:v>0</x:v>
      </x:c>
      <x:c r="G5" s="309">
        <x:f>SUM(G1:G4)</x:f>
        <x:v>0</x:v>
      </x:c>
      <x:c r="H5" s="310">
        <x:f>SUM(H1:H4)</x:f>
        <x:v>0</x:v>
      </x:c>
      <x:c r="I5" s="302"/>
      <x:c r="J5" s="294"/>
      <x:c r="K5" s="297" t="s">
        <x:v>290</x:v>
      </x:c>
      <x:c r="L5" s="298">
        <x:f>+F7</x:f>
        <x:v>0</x:v>
      </x:c>
      <x:c r="M5" s="292"/>
      <x:c r="N5" s="293"/>
      <x:c r="O5" s="296"/>
      <x:c r="P5" s="293"/>
      <x:c r="Q5" s="300" t="s">
        <x:v>375</x:v>
      </x:c>
      <x:c r="R5" s="292" t="s">
        <x:v>376</x:v>
      </x:c>
      <x:c r="S5" s="141"/>
      <x:c r="T5" s="350" t="s">
        <x:v>305</x:v>
      </x:c>
      <x:c r="U5" s="210">
        <x:f>SUMIF(D:D,$T5,F:F)</x:f>
        <x:v>0</x:v>
      </x:c>
      <x:c r="V5" s="296">
        <x:f>SUMIF(D:D,$T5,H:H)+SUMIF(D:D,$W5,H:H)</x:f>
        <x:v>0</x:v>
      </x:c>
      <x:c r="W5" s="292"/>
      <x:c r="X5" s="292"/>
      <x:c r="Y5" s="292"/>
      <x:c r="Z5" s="141"/>
      <x:c r="AA5" s="141"/>
    </x:row>
    <x:row r="6" spans="1:27" s="282" customFormat="1" ht="13.5">
      <x:c r="A6" s="317"/>
      <x:c r="B6" s="283"/>
      <x:c r="C6" s="214"/>
      <x:c r="D6" s="81"/>
      <x:c r="E6" s="306"/>
      <x:c r="F6" s="212">
        <x:v>3494964112</x:v>
      </x:c>
      <x:c r="G6" s="471">
        <x:v>7328641</x:v>
      </x:c>
      <x:c r="H6" s="212">
        <x:v>2690181483</x:v>
      </x:c>
      <x:c r="I6" s="472">
        <x:f>+F6-H6</x:f>
        <x:v>804782629</x:v>
      </x:c>
      <x:c r="J6" s="472">
        <x:v>1433155682</x:v>
      </x:c>
      <x:c r="K6" s="472">
        <x:f>J6-L6</x:f>
        <x:v>1382534625</x:v>
      </x:c>
      <x:c r="L6" s="349">
        <x:f>47873947+2747110</x:f>
        <x:v>50621057</x:v>
      </x:c>
      <x:c r="M6" s="308">
        <x:f>I6-J6</x:f>
        <x:v>-628373053</x:v>
      </x:c>
      <x:c r="N6" s="141"/>
      <x:c r="O6" s="211"/>
      <x:c r="P6" s="141"/>
      <x:c r="Q6" s="313" t="e">
        <x:f>+Q4-R4</x:f>
        <x:v>#DIV/0!</x:v>
      </x:c>
      <x:c r="R6" s="288"/>
      <x:c r="S6" s="141"/>
      <x:c r="T6" s="141"/>
      <x:c r="U6" s="210">
        <x:f>SUM(U1:U5)</x:f>
        <x:v>0</x:v>
      </x:c>
      <x:c r="V6" s="296">
        <x:f>SUM(V1:V5)</x:f>
        <x:v>0</x:v>
      </x:c>
      <x:c r="W6" s="292"/>
      <x:c r="X6" s="292"/>
      <x:c r="Y6" s="292"/>
      <x:c r="Z6" s="141"/>
      <x:c r="AA6" s="141"/>
    </x:row>
    <x:row r="7" spans="1:27" s="282" customFormat="1">
      <x:c r="A7" s="317"/>
      <x:c r="B7" s="283"/>
      <x:c r="C7" s="214"/>
      <x:c r="D7" s="214"/>
      <x:c r="E7" s="214"/>
      <x:c r="F7" s="473">
        <x:f>SUM(F9:F974)</x:f>
        <x:v>0</x:v>
      </x:c>
      <x:c r="G7" s="473">
        <x:f t="shared" ref="G7:M7" si="1">SUM(G9:G974)</x:f>
        <x:v>0</x:v>
      </x:c>
      <x:c r="H7" s="473">
        <x:f t="shared" si="1"/>
        <x:v>0</x:v>
      </x:c>
      <x:c r="I7" s="473">
        <x:f t="shared" si="1"/>
        <x:v>0</x:v>
      </x:c>
      <x:c r="J7" s="473" t="e">
        <x:f t="shared" si="1"/>
        <x:v>#DIV/0!</x:v>
      </x:c>
      <x:c r="K7" s="473" t="e">
        <x:f t="shared" si="1"/>
        <x:v>#DIV/0!</x:v>
      </x:c>
      <x:c r="L7" s="473" t="e">
        <x:f t="shared" si="1"/>
        <x:v>#DIV/0!</x:v>
      </x:c>
      <x:c r="M7" s="473" t="e">
        <x:f t="shared" si="1"/>
        <x:v>#DIV/0!</x:v>
      </x:c>
      <x:c r="N7" s="141"/>
      <x:c r="O7" s="210"/>
      <x:c r="P7" s="474"/>
      <x:c r="Q7" s="291"/>
      <x:c r="R7" s="291"/>
      <x:c r="S7" s="141"/>
      <x:c r="T7" s="141"/>
      <x:c r="U7" s="141"/>
      <x:c r="V7" s="141"/>
      <x:c r="W7" s="292"/>
      <x:c r="X7" s="292"/>
      <x:c r="Y7" s="292"/>
    </x:row>
    <x:row r="8" spans="1:27" ht="13.5">
      <x:c r="A8" s="180" t="s">
        <x:v>211</x:v>
      </x:c>
      <x:c r="B8" s="180" t="s">
        <x:v>233</x:v>
      </x:c>
      <x:c r="C8" s="180" t="s">
        <x:v>214</x:v>
      </x:c>
      <x:c r="D8" s="181" t="s">
        <x:v>240</x:v>
      </x:c>
      <x:c r="E8" s="181" t="s">
        <x:v>241</x:v>
      </x:c>
      <x:c r="F8" s="340" t="s">
        <x:v>208</x:v>
      </x:c>
      <x:c r="G8" s="184" t="s">
        <x:v>243</x:v>
      </x:c>
      <x:c r="H8" s="279" t="s">
        <x:v>209</x:v>
      </x:c>
      <x:c r="I8" s="279" t="s">
        <x:v>210</x:v>
      </x:c>
      <x:c r="J8" s="280" t="s">
        <x:v>231</x:v>
      </x:c>
      <x:c r="K8" s="280" t="s">
        <x:v>230</x:v>
      </x:c>
      <x:c r="L8" s="314" t="s">
        <x:v>53</x:v>
      </x:c>
      <x:c r="M8" s="280" t="s">
        <x:v>232</x:v>
      </x:c>
    </x:row>
    <x:row r="9" spans="1:27">
      <x:c r="A9" s="329"/>
      <x:c r="B9" s="329"/>
      <x:c r="C9" s="329"/>
      <x:c r="D9" s="329"/>
      <x:c r="E9" s="329"/>
      <x:c r="F9" s="173"/>
      <x:c r="G9" s="348"/>
      <x:c r="H9" s="72"/>
      <x:c r="I9" s="339">
        <x:f t="shared" ref="I9:I72" si="2">+F9-H9</x:f>
        <x:v>0</x:v>
      </x:c>
      <x:c r="J9" s="341" t="e">
        <x:f t="shared" ref="J9:J36" si="3">SUM(K9:L9)</x:f>
        <x:v>#DIV/0!</x:v>
      </x:c>
      <x:c r="K9" s="341" t="e">
        <x:f t="shared" ref="K9:K72" si="4">+F9/$F$7*$K$6</x:f>
        <x:v>#DIV/0!</x:v>
      </x:c>
      <x:c r="L9" s="341" t="e">
        <x:f t="shared" ref="L9:L72" si="5">+F9/$F$7*$L$6</x:f>
        <x:v>#DIV/0!</x:v>
      </x:c>
      <x:c r="M9" s="341" t="e">
        <x:f t="shared" ref="M9:M72" si="6">+I9-J9</x:f>
        <x:v>#DIV/0!</x:v>
      </x:c>
      <x:c r="N9" s="211"/>
      <x:c r="O9" s="212"/>
      <x:c r="P9" s="212"/>
      <x:c r="Q9" s="212"/>
      <x:c r="R9" s="212"/>
    </x:row>
    <x:row r="10" spans="1:27">
      <x:c r="A10" s="329"/>
      <x:c r="B10" s="329"/>
      <x:c r="C10" s="329"/>
      <x:c r="D10" s="329"/>
      <x:c r="E10" s="329"/>
      <x:c r="F10" s="173"/>
      <x:c r="G10" s="348"/>
      <x:c r="H10" s="72"/>
      <x:c r="I10" s="339">
        <x:f t="shared" si="2"/>
        <x:v>0</x:v>
      </x:c>
      <x:c r="J10" s="341" t="e">
        <x:f t="shared" si="3"/>
        <x:v>#DIV/0!</x:v>
      </x:c>
      <x:c r="K10" s="341" t="e">
        <x:f t="shared" si="4"/>
        <x:v>#DIV/0!</x:v>
      </x:c>
      <x:c r="L10" s="341" t="e">
        <x:f t="shared" si="5"/>
        <x:v>#DIV/0!</x:v>
      </x:c>
      <x:c r="M10" s="341" t="e">
        <x:f t="shared" si="6"/>
        <x:v>#DIV/0!</x:v>
      </x:c>
      <x:c r="N10" s="211"/>
      <x:c r="O10" s="361"/>
      <x:c r="P10" s="212"/>
      <x:c r="Q10" s="212"/>
      <x:c r="R10" s="212"/>
    </x:row>
    <x:row r="11" spans="1:27">
      <x:c r="A11" s="329"/>
      <x:c r="B11" s="329"/>
      <x:c r="C11" s="329"/>
      <x:c r="D11" s="329"/>
      <x:c r="E11" s="329"/>
      <x:c r="F11" s="173"/>
      <x:c r="G11" s="348"/>
      <x:c r="H11" s="72"/>
      <x:c r="I11" s="339">
        <x:f t="shared" si="2"/>
        <x:v>0</x:v>
      </x:c>
      <x:c r="J11" s="341" t="e">
        <x:f t="shared" si="3"/>
        <x:v>#DIV/0!</x:v>
      </x:c>
      <x:c r="K11" s="341" t="e">
        <x:f t="shared" si="4"/>
        <x:v>#DIV/0!</x:v>
      </x:c>
      <x:c r="L11" s="341" t="e">
        <x:f t="shared" si="5"/>
        <x:v>#DIV/0!</x:v>
      </x:c>
      <x:c r="M11" s="341" t="e">
        <x:f t="shared" si="6"/>
        <x:v>#DIV/0!</x:v>
      </x:c>
      <x:c r="N11" s="211"/>
      <x:c r="O11" s="361"/>
      <x:c r="P11" s="212"/>
      <x:c r="Q11" s="212"/>
      <x:c r="R11" s="212"/>
    </x:row>
    <x:row r="12" spans="1:27">
      <x:c r="A12" s="329"/>
      <x:c r="B12" s="329"/>
      <x:c r="C12" s="329"/>
      <x:c r="D12" s="329"/>
      <x:c r="E12" s="329"/>
      <x:c r="F12" s="173"/>
      <x:c r="G12" s="348"/>
      <x:c r="H12" s="72"/>
      <x:c r="I12" s="339">
        <x:f t="shared" si="2"/>
        <x:v>0</x:v>
      </x:c>
      <x:c r="J12" s="341" t="e">
        <x:f t="shared" si="3"/>
        <x:v>#DIV/0!</x:v>
      </x:c>
      <x:c r="K12" s="341" t="e">
        <x:f t="shared" si="4"/>
        <x:v>#DIV/0!</x:v>
      </x:c>
      <x:c r="L12" s="341" t="e">
        <x:f t="shared" si="5"/>
        <x:v>#DIV/0!</x:v>
      </x:c>
      <x:c r="M12" s="341" t="e">
        <x:f t="shared" si="6"/>
        <x:v>#DIV/0!</x:v>
      </x:c>
      <x:c r="N12" s="211"/>
      <x:c r="O12" s="361"/>
      <x:c r="P12" s="212"/>
      <x:c r="Q12" s="212"/>
      <x:c r="R12" s="212"/>
    </x:row>
    <x:row r="13" spans="1:27">
      <x:c r="A13" s="329"/>
      <x:c r="B13" s="329"/>
      <x:c r="C13" s="329"/>
      <x:c r="D13" s="329"/>
      <x:c r="E13" s="329"/>
      <x:c r="F13" s="173"/>
      <x:c r="G13" s="348"/>
      <x:c r="H13" s="72"/>
      <x:c r="I13" s="339">
        <x:f t="shared" si="2"/>
        <x:v>0</x:v>
      </x:c>
      <x:c r="J13" s="341" t="e">
        <x:f t="shared" si="3"/>
        <x:v>#DIV/0!</x:v>
      </x:c>
      <x:c r="K13" s="341" t="e">
        <x:f t="shared" si="4"/>
        <x:v>#DIV/0!</x:v>
      </x:c>
      <x:c r="L13" s="341" t="e">
        <x:f t="shared" si="5"/>
        <x:v>#DIV/0!</x:v>
      </x:c>
      <x:c r="M13" s="341" t="e">
        <x:f t="shared" si="6"/>
        <x:v>#DIV/0!</x:v>
      </x:c>
      <x:c r="N13" s="211"/>
      <x:c r="O13" s="361"/>
      <x:c r="P13" s="212"/>
      <x:c r="Q13" s="212"/>
      <x:c r="R13" s="212"/>
    </x:row>
    <x:row r="14" spans="1:27">
      <x:c r="A14" s="329"/>
      <x:c r="B14" s="329"/>
      <x:c r="C14" s="329"/>
      <x:c r="D14" s="329"/>
      <x:c r="E14" s="329"/>
      <x:c r="F14" s="173"/>
      <x:c r="G14" s="348"/>
      <x:c r="H14" s="72"/>
      <x:c r="I14" s="339">
        <x:f t="shared" si="2"/>
        <x:v>0</x:v>
      </x:c>
      <x:c r="J14" s="341" t="e">
        <x:f t="shared" si="3"/>
        <x:v>#DIV/0!</x:v>
      </x:c>
      <x:c r="K14" s="341" t="e">
        <x:f t="shared" si="4"/>
        <x:v>#DIV/0!</x:v>
      </x:c>
      <x:c r="L14" s="341" t="e">
        <x:f t="shared" si="5"/>
        <x:v>#DIV/0!</x:v>
      </x:c>
      <x:c r="M14" s="341" t="e">
        <x:f t="shared" si="6"/>
        <x:v>#DIV/0!</x:v>
      </x:c>
      <x:c r="N14" s="211"/>
      <x:c r="O14" s="361"/>
      <x:c r="P14" s="212"/>
      <x:c r="Q14" s="212"/>
      <x:c r="R14" s="212"/>
    </x:row>
    <x:row r="15" spans="1:27">
      <x:c r="A15" s="329"/>
      <x:c r="B15" s="329"/>
      <x:c r="C15" s="329"/>
      <x:c r="D15" s="329"/>
      <x:c r="E15" s="329"/>
      <x:c r="F15" s="173"/>
      <x:c r="G15" s="348"/>
      <x:c r="H15" s="72"/>
      <x:c r="I15" s="339">
        <x:f t="shared" si="2"/>
        <x:v>0</x:v>
      </x:c>
      <x:c r="J15" s="341" t="e">
        <x:f t="shared" si="3"/>
        <x:v>#DIV/0!</x:v>
      </x:c>
      <x:c r="K15" s="341" t="e">
        <x:f t="shared" si="4"/>
        <x:v>#DIV/0!</x:v>
      </x:c>
      <x:c r="L15" s="341" t="e">
        <x:f t="shared" si="5"/>
        <x:v>#DIV/0!</x:v>
      </x:c>
      <x:c r="M15" s="341" t="e">
        <x:f t="shared" si="6"/>
        <x:v>#DIV/0!</x:v>
      </x:c>
      <x:c r="N15" s="211"/>
      <x:c r="O15" s="361"/>
      <x:c r="P15" s="212"/>
      <x:c r="Q15" s="212"/>
      <x:c r="R15" s="212"/>
    </x:row>
    <x:row r="16" spans="1:27">
      <x:c r="A16" s="329"/>
      <x:c r="B16" s="329"/>
      <x:c r="C16" s="329"/>
      <x:c r="D16" s="329"/>
      <x:c r="E16" s="329"/>
      <x:c r="F16" s="173"/>
      <x:c r="G16" s="348"/>
      <x:c r="H16" s="72"/>
      <x:c r="I16" s="339">
        <x:f t="shared" si="2"/>
        <x:v>0</x:v>
      </x:c>
      <x:c r="J16" s="341" t="e">
        <x:f t="shared" si="3"/>
        <x:v>#DIV/0!</x:v>
      </x:c>
      <x:c r="K16" s="341" t="e">
        <x:f t="shared" si="4"/>
        <x:v>#DIV/0!</x:v>
      </x:c>
      <x:c r="L16" s="341" t="e">
        <x:f t="shared" si="5"/>
        <x:v>#DIV/0!</x:v>
      </x:c>
      <x:c r="M16" s="341" t="e">
        <x:f t="shared" si="6"/>
        <x:v>#DIV/0!</x:v>
      </x:c>
      <x:c r="N16" s="211"/>
      <x:c r="O16" s="361"/>
      <x:c r="P16" s="212"/>
      <x:c r="Q16" s="212"/>
      <x:c r="R16" s="212"/>
    </x:row>
    <x:row r="17" spans="1:18">
      <x:c r="A17" s="329"/>
      <x:c r="B17" s="329"/>
      <x:c r="C17" s="329"/>
      <x:c r="D17" s="329"/>
      <x:c r="E17" s="329"/>
      <x:c r="F17" s="173"/>
      <x:c r="G17" s="348"/>
      <x:c r="H17" s="72"/>
      <x:c r="I17" s="339">
        <x:f t="shared" si="2"/>
        <x:v>0</x:v>
      </x:c>
      <x:c r="J17" s="341" t="e">
        <x:f t="shared" si="3"/>
        <x:v>#DIV/0!</x:v>
      </x:c>
      <x:c r="K17" s="341" t="e">
        <x:f t="shared" si="4"/>
        <x:v>#DIV/0!</x:v>
      </x:c>
      <x:c r="L17" s="341" t="e">
        <x:f t="shared" si="5"/>
        <x:v>#DIV/0!</x:v>
      </x:c>
      <x:c r="M17" s="341" t="e">
        <x:f t="shared" si="6"/>
        <x:v>#DIV/0!</x:v>
      </x:c>
      <x:c r="N17" s="211"/>
      <x:c r="O17" s="361"/>
      <x:c r="P17" s="212"/>
      <x:c r="Q17" s="212"/>
      <x:c r="R17" s="212"/>
    </x:row>
    <x:row r="18" spans="1:18">
      <x:c r="A18" s="329"/>
      <x:c r="B18" s="329"/>
      <x:c r="C18" s="329"/>
      <x:c r="D18" s="329"/>
      <x:c r="E18" s="329"/>
      <x:c r="F18" s="173"/>
      <x:c r="G18" s="348"/>
      <x:c r="H18" s="72"/>
      <x:c r="I18" s="339">
        <x:f t="shared" si="2"/>
        <x:v>0</x:v>
      </x:c>
      <x:c r="J18" s="341" t="e">
        <x:f t="shared" si="3"/>
        <x:v>#DIV/0!</x:v>
      </x:c>
      <x:c r="K18" s="341" t="e">
        <x:f t="shared" si="4"/>
        <x:v>#DIV/0!</x:v>
      </x:c>
      <x:c r="L18" s="341" t="e">
        <x:f t="shared" si="5"/>
        <x:v>#DIV/0!</x:v>
      </x:c>
      <x:c r="M18" s="341" t="e">
        <x:f t="shared" si="6"/>
        <x:v>#DIV/0!</x:v>
      </x:c>
      <x:c r="N18" s="211"/>
      <x:c r="O18" s="361"/>
      <x:c r="P18" s="212"/>
      <x:c r="Q18" s="212"/>
      <x:c r="R18" s="212"/>
    </x:row>
    <x:row r="19" spans="1:18">
      <x:c r="A19" s="329"/>
      <x:c r="B19" s="329"/>
      <x:c r="C19" s="329"/>
      <x:c r="D19" s="329"/>
      <x:c r="E19" s="329"/>
      <x:c r="F19" s="173"/>
      <x:c r="G19" s="348"/>
      <x:c r="H19" s="72"/>
      <x:c r="I19" s="339">
        <x:f t="shared" si="2"/>
        <x:v>0</x:v>
      </x:c>
      <x:c r="J19" s="341" t="e">
        <x:f t="shared" si="3"/>
        <x:v>#DIV/0!</x:v>
      </x:c>
      <x:c r="K19" s="341" t="e">
        <x:f t="shared" si="4"/>
        <x:v>#DIV/0!</x:v>
      </x:c>
      <x:c r="L19" s="341" t="e">
        <x:f t="shared" si="5"/>
        <x:v>#DIV/0!</x:v>
      </x:c>
      <x:c r="M19" s="341" t="e">
        <x:f t="shared" si="6"/>
        <x:v>#DIV/0!</x:v>
      </x:c>
      <x:c r="N19" s="211"/>
      <x:c r="O19" s="361"/>
      <x:c r="P19" s="212"/>
      <x:c r="Q19" s="212"/>
      <x:c r="R19" s="212"/>
    </x:row>
    <x:row r="20" spans="1:18">
      <x:c r="A20" s="329"/>
      <x:c r="B20" s="329"/>
      <x:c r="C20" s="329"/>
      <x:c r="D20" s="329"/>
      <x:c r="E20" s="329"/>
      <x:c r="F20" s="173"/>
      <x:c r="G20" s="348"/>
      <x:c r="H20" s="72"/>
      <x:c r="I20" s="339">
        <x:f t="shared" si="2"/>
        <x:v>0</x:v>
      </x:c>
      <x:c r="J20" s="341" t="e">
        <x:f t="shared" si="3"/>
        <x:v>#DIV/0!</x:v>
      </x:c>
      <x:c r="K20" s="341" t="e">
        <x:f t="shared" si="4"/>
        <x:v>#DIV/0!</x:v>
      </x:c>
      <x:c r="L20" s="341" t="e">
        <x:f t="shared" si="5"/>
        <x:v>#DIV/0!</x:v>
      </x:c>
      <x:c r="M20" s="341" t="e">
        <x:f t="shared" si="6"/>
        <x:v>#DIV/0!</x:v>
      </x:c>
      <x:c r="N20" s="211"/>
      <x:c r="O20" s="361"/>
      <x:c r="P20" s="212"/>
      <x:c r="Q20" s="212"/>
      <x:c r="R20" s="212"/>
    </x:row>
    <x:row r="21" spans="1:18">
      <x:c r="A21" s="329"/>
      <x:c r="B21" s="329"/>
      <x:c r="C21" s="329"/>
      <x:c r="D21" s="329"/>
      <x:c r="E21" s="329"/>
      <x:c r="F21" s="173"/>
      <x:c r="G21" s="348"/>
      <x:c r="H21" s="72"/>
      <x:c r="I21" s="341">
        <x:f t="shared" si="2"/>
        <x:v>0</x:v>
      </x:c>
      <x:c r="J21" s="341" t="e">
        <x:f t="shared" si="3"/>
        <x:v>#DIV/0!</x:v>
      </x:c>
      <x:c r="K21" s="341" t="e">
        <x:f t="shared" si="4"/>
        <x:v>#DIV/0!</x:v>
      </x:c>
      <x:c r="L21" s="341" t="e">
        <x:f t="shared" si="5"/>
        <x:v>#DIV/0!</x:v>
      </x:c>
      <x:c r="M21" s="341" t="e">
        <x:f t="shared" si="6"/>
        <x:v>#DIV/0!</x:v>
      </x:c>
      <x:c r="N21" s="211"/>
      <x:c r="O21" s="361"/>
      <x:c r="P21" s="212"/>
      <x:c r="Q21" s="212"/>
      <x:c r="R21" s="212"/>
    </x:row>
    <x:row r="22" spans="1:18">
      <x:c r="A22" s="329"/>
      <x:c r="B22" s="329"/>
      <x:c r="C22" s="329"/>
      <x:c r="D22" s="329"/>
      <x:c r="E22" s="329"/>
      <x:c r="F22" s="173"/>
      <x:c r="G22" s="348"/>
      <x:c r="H22" s="72"/>
      <x:c r="I22" s="339">
        <x:f t="shared" si="2"/>
        <x:v>0</x:v>
      </x:c>
      <x:c r="J22" s="341" t="e">
        <x:f t="shared" si="3"/>
        <x:v>#DIV/0!</x:v>
      </x:c>
      <x:c r="K22" s="341" t="e">
        <x:f t="shared" si="4"/>
        <x:v>#DIV/0!</x:v>
      </x:c>
      <x:c r="L22" s="341" t="e">
        <x:f t="shared" si="5"/>
        <x:v>#DIV/0!</x:v>
      </x:c>
      <x:c r="M22" s="341" t="e">
        <x:f t="shared" si="6"/>
        <x:v>#DIV/0!</x:v>
      </x:c>
      <x:c r="N22" s="211"/>
      <x:c r="O22" s="361"/>
      <x:c r="P22" s="212"/>
      <x:c r="Q22" s="212"/>
      <x:c r="R22" s="212"/>
    </x:row>
    <x:row r="23" spans="1:18">
      <x:c r="A23" s="329"/>
      <x:c r="B23" s="329"/>
      <x:c r="C23" s="329"/>
      <x:c r="D23" s="329"/>
      <x:c r="E23" s="329"/>
      <x:c r="F23" s="173"/>
      <x:c r="G23" s="348"/>
      <x:c r="H23" s="72"/>
      <x:c r="I23" s="339">
        <x:f t="shared" si="2"/>
        <x:v>0</x:v>
      </x:c>
      <x:c r="J23" s="341" t="e">
        <x:f t="shared" si="3"/>
        <x:v>#DIV/0!</x:v>
      </x:c>
      <x:c r="K23" s="341" t="e">
        <x:f t="shared" si="4"/>
        <x:v>#DIV/0!</x:v>
      </x:c>
      <x:c r="L23" s="341" t="e">
        <x:f t="shared" si="5"/>
        <x:v>#DIV/0!</x:v>
      </x:c>
      <x:c r="M23" s="341" t="e">
        <x:f t="shared" si="6"/>
        <x:v>#DIV/0!</x:v>
      </x:c>
      <x:c r="N23" s="211"/>
      <x:c r="O23" s="361"/>
      <x:c r="P23" s="212"/>
      <x:c r="Q23" s="212"/>
      <x:c r="R23" s="212"/>
    </x:row>
    <x:row r="24" spans="1:18">
      <x:c r="A24" s="329"/>
      <x:c r="B24" s="329"/>
      <x:c r="C24" s="329"/>
      <x:c r="D24" s="329"/>
      <x:c r="E24" s="329"/>
      <x:c r="F24" s="173"/>
      <x:c r="G24" s="348"/>
      <x:c r="H24" s="72"/>
      <x:c r="I24" s="339">
        <x:f t="shared" si="2"/>
        <x:v>0</x:v>
      </x:c>
      <x:c r="J24" s="341" t="e">
        <x:f t="shared" si="3"/>
        <x:v>#DIV/0!</x:v>
      </x:c>
      <x:c r="K24" s="341" t="e">
        <x:f t="shared" si="4"/>
        <x:v>#DIV/0!</x:v>
      </x:c>
      <x:c r="L24" s="341" t="e">
        <x:f t="shared" si="5"/>
        <x:v>#DIV/0!</x:v>
      </x:c>
      <x:c r="M24" s="341" t="e">
        <x:f t="shared" si="6"/>
        <x:v>#DIV/0!</x:v>
      </x:c>
      <x:c r="N24" s="211"/>
      <x:c r="O24" s="361"/>
      <x:c r="P24" s="212"/>
      <x:c r="Q24" s="212"/>
      <x:c r="R24" s="212"/>
    </x:row>
    <x:row r="25" spans="1:18">
      <x:c r="A25" s="329"/>
      <x:c r="B25" s="329"/>
      <x:c r="C25" s="329"/>
      <x:c r="D25" s="329"/>
      <x:c r="E25" s="329"/>
      <x:c r="F25" s="173"/>
      <x:c r="G25" s="348"/>
      <x:c r="H25" s="72"/>
      <x:c r="I25" s="339">
        <x:f t="shared" si="2"/>
        <x:v>0</x:v>
      </x:c>
      <x:c r="J25" s="341" t="e">
        <x:f t="shared" si="3"/>
        <x:v>#DIV/0!</x:v>
      </x:c>
      <x:c r="K25" s="341" t="e">
        <x:f t="shared" si="4"/>
        <x:v>#DIV/0!</x:v>
      </x:c>
      <x:c r="L25" s="341" t="e">
        <x:f t="shared" si="5"/>
        <x:v>#DIV/0!</x:v>
      </x:c>
      <x:c r="M25" s="341" t="e">
        <x:f t="shared" si="6"/>
        <x:v>#DIV/0!</x:v>
      </x:c>
      <x:c r="N25" s="211"/>
      <x:c r="O25" s="361"/>
      <x:c r="P25" s="212"/>
      <x:c r="Q25" s="212"/>
      <x:c r="R25" s="212"/>
    </x:row>
    <x:row r="26" spans="1:18">
      <x:c r="A26" s="329"/>
      <x:c r="B26" s="329"/>
      <x:c r="C26" s="329"/>
      <x:c r="D26" s="329"/>
      <x:c r="E26" s="329"/>
      <x:c r="F26" s="173"/>
      <x:c r="G26" s="348"/>
      <x:c r="H26" s="72"/>
      <x:c r="I26" s="339">
        <x:f t="shared" si="2"/>
        <x:v>0</x:v>
      </x:c>
      <x:c r="J26" s="341" t="e">
        <x:f t="shared" si="3"/>
        <x:v>#DIV/0!</x:v>
      </x:c>
      <x:c r="K26" s="341" t="e">
        <x:f t="shared" si="4"/>
        <x:v>#DIV/0!</x:v>
      </x:c>
      <x:c r="L26" s="341" t="e">
        <x:f t="shared" si="5"/>
        <x:v>#DIV/0!</x:v>
      </x:c>
      <x:c r="M26" s="341" t="e">
        <x:f t="shared" si="6"/>
        <x:v>#DIV/0!</x:v>
      </x:c>
      <x:c r="N26" s="211"/>
      <x:c r="O26" s="361"/>
      <x:c r="P26" s="212"/>
      <x:c r="Q26" s="212"/>
      <x:c r="R26" s="212"/>
    </x:row>
    <x:row r="27" spans="1:18">
      <x:c r="A27" s="329"/>
      <x:c r="B27" s="329"/>
      <x:c r="C27" s="329"/>
      <x:c r="D27" s="329"/>
      <x:c r="E27" s="329"/>
      <x:c r="F27" s="173"/>
      <x:c r="G27" s="348"/>
      <x:c r="H27" s="72"/>
      <x:c r="I27" s="339">
        <x:f t="shared" si="2"/>
        <x:v>0</x:v>
      </x:c>
      <x:c r="J27" s="341" t="e">
        <x:f t="shared" si="3"/>
        <x:v>#DIV/0!</x:v>
      </x:c>
      <x:c r="K27" s="341" t="e">
        <x:f t="shared" si="4"/>
        <x:v>#DIV/0!</x:v>
      </x:c>
      <x:c r="L27" s="341" t="e">
        <x:f t="shared" si="5"/>
        <x:v>#DIV/0!</x:v>
      </x:c>
      <x:c r="M27" s="341" t="e">
        <x:f t="shared" si="6"/>
        <x:v>#DIV/0!</x:v>
      </x:c>
      <x:c r="N27" s="211"/>
      <x:c r="O27" s="361"/>
      <x:c r="P27" s="212"/>
      <x:c r="Q27" s="212"/>
      <x:c r="R27" s="212"/>
    </x:row>
    <x:row r="28" spans="1:18">
      <x:c r="A28" s="329"/>
      <x:c r="B28" s="329"/>
      <x:c r="C28" s="329"/>
      <x:c r="D28" s="329"/>
      <x:c r="E28" s="329"/>
      <x:c r="F28" s="173"/>
      <x:c r="G28" s="348"/>
      <x:c r="H28" s="72"/>
      <x:c r="I28" s="339">
        <x:f t="shared" si="2"/>
        <x:v>0</x:v>
      </x:c>
      <x:c r="J28" s="341" t="e">
        <x:f t="shared" si="3"/>
        <x:v>#DIV/0!</x:v>
      </x:c>
      <x:c r="K28" s="341" t="e">
        <x:f t="shared" si="4"/>
        <x:v>#DIV/0!</x:v>
      </x:c>
      <x:c r="L28" s="341" t="e">
        <x:f t="shared" si="5"/>
        <x:v>#DIV/0!</x:v>
      </x:c>
      <x:c r="M28" s="341" t="e">
        <x:f t="shared" si="6"/>
        <x:v>#DIV/0!</x:v>
      </x:c>
      <x:c r="N28" s="211"/>
      <x:c r="O28" s="361"/>
      <x:c r="P28" s="212"/>
      <x:c r="Q28" s="212"/>
      <x:c r="R28" s="212"/>
    </x:row>
    <x:row r="29" spans="1:18">
      <x:c r="A29" s="329"/>
      <x:c r="B29" s="329"/>
      <x:c r="C29" s="329"/>
      <x:c r="D29" s="329"/>
      <x:c r="E29" s="329"/>
      <x:c r="F29" s="173"/>
      <x:c r="G29" s="348"/>
      <x:c r="H29" s="72"/>
      <x:c r="I29" s="339">
        <x:f t="shared" si="2"/>
        <x:v>0</x:v>
      </x:c>
      <x:c r="J29" s="341" t="e">
        <x:f t="shared" si="3"/>
        <x:v>#DIV/0!</x:v>
      </x:c>
      <x:c r="K29" s="341" t="e">
        <x:f t="shared" si="4"/>
        <x:v>#DIV/0!</x:v>
      </x:c>
      <x:c r="L29" s="341" t="e">
        <x:f t="shared" si="5"/>
        <x:v>#DIV/0!</x:v>
      </x:c>
      <x:c r="M29" s="341" t="e">
        <x:f t="shared" si="6"/>
        <x:v>#DIV/0!</x:v>
      </x:c>
      <x:c r="N29" s="211"/>
      <x:c r="O29" s="361"/>
      <x:c r="P29" s="212"/>
      <x:c r="Q29" s="212"/>
      <x:c r="R29" s="212"/>
    </x:row>
    <x:row r="30" spans="1:18">
      <x:c r="A30" s="329"/>
      <x:c r="B30" s="329"/>
      <x:c r="C30" s="329"/>
      <x:c r="D30" s="329"/>
      <x:c r="E30" s="329"/>
      <x:c r="F30" s="173"/>
      <x:c r="G30" s="348"/>
      <x:c r="H30" s="72"/>
      <x:c r="I30" s="339">
        <x:f t="shared" si="2"/>
        <x:v>0</x:v>
      </x:c>
      <x:c r="J30" s="341" t="e">
        <x:f t="shared" si="3"/>
        <x:v>#DIV/0!</x:v>
      </x:c>
      <x:c r="K30" s="341" t="e">
        <x:f t="shared" si="4"/>
        <x:v>#DIV/0!</x:v>
      </x:c>
      <x:c r="L30" s="341" t="e">
        <x:f t="shared" si="5"/>
        <x:v>#DIV/0!</x:v>
      </x:c>
      <x:c r="M30" s="341" t="e">
        <x:f t="shared" si="6"/>
        <x:v>#DIV/0!</x:v>
      </x:c>
      <x:c r="N30" s="211"/>
      <x:c r="O30" s="361"/>
      <x:c r="P30" s="212"/>
      <x:c r="Q30" s="212"/>
      <x:c r="R30" s="212"/>
    </x:row>
    <x:row r="31" spans="1:18">
      <x:c r="A31" s="329"/>
      <x:c r="B31" s="329"/>
      <x:c r="C31" s="329"/>
      <x:c r="D31" s="329"/>
      <x:c r="E31" s="329"/>
      <x:c r="F31" s="173"/>
      <x:c r="G31" s="348"/>
      <x:c r="H31" s="72"/>
      <x:c r="I31" s="339">
        <x:f t="shared" si="2"/>
        <x:v>0</x:v>
      </x:c>
      <x:c r="J31" s="341" t="e">
        <x:f t="shared" si="3"/>
        <x:v>#DIV/0!</x:v>
      </x:c>
      <x:c r="K31" s="341" t="e">
        <x:f t="shared" si="4"/>
        <x:v>#DIV/0!</x:v>
      </x:c>
      <x:c r="L31" s="341" t="e">
        <x:f t="shared" si="5"/>
        <x:v>#DIV/0!</x:v>
      </x:c>
      <x:c r="M31" s="341" t="e">
        <x:f t="shared" si="6"/>
        <x:v>#DIV/0!</x:v>
      </x:c>
      <x:c r="N31" s="211"/>
      <x:c r="O31" s="361"/>
      <x:c r="P31" s="212"/>
      <x:c r="Q31" s="212"/>
      <x:c r="R31" s="212"/>
    </x:row>
    <x:row r="32" spans="1:18">
      <x:c r="A32" s="329"/>
      <x:c r="B32" s="329"/>
      <x:c r="C32" s="329"/>
      <x:c r="D32" s="329"/>
      <x:c r="E32" s="329"/>
      <x:c r="F32" s="173"/>
      <x:c r="G32" s="348"/>
      <x:c r="H32" s="72"/>
      <x:c r="I32" s="339">
        <x:f t="shared" si="2"/>
        <x:v>0</x:v>
      </x:c>
      <x:c r="J32" s="341" t="e">
        <x:f t="shared" si="3"/>
        <x:v>#DIV/0!</x:v>
      </x:c>
      <x:c r="K32" s="341" t="e">
        <x:f t="shared" si="4"/>
        <x:v>#DIV/0!</x:v>
      </x:c>
      <x:c r="L32" s="341" t="e">
        <x:f t="shared" si="5"/>
        <x:v>#DIV/0!</x:v>
      </x:c>
      <x:c r="M32" s="341" t="e">
        <x:f t="shared" si="6"/>
        <x:v>#DIV/0!</x:v>
      </x:c>
      <x:c r="N32" s="211"/>
      <x:c r="O32" s="361"/>
      <x:c r="P32" s="212"/>
      <x:c r="Q32" s="212"/>
      <x:c r="R32" s="212"/>
    </x:row>
    <x:row r="33" spans="1:18">
      <x:c r="A33" s="329"/>
      <x:c r="B33" s="329"/>
      <x:c r="C33" s="329"/>
      <x:c r="D33" s="329"/>
      <x:c r="E33" s="329"/>
      <x:c r="F33" s="173"/>
      <x:c r="G33" s="348"/>
      <x:c r="H33" s="72"/>
      <x:c r="I33" s="339">
        <x:f t="shared" si="2"/>
        <x:v>0</x:v>
      </x:c>
      <x:c r="J33" s="341" t="e">
        <x:f t="shared" si="3"/>
        <x:v>#DIV/0!</x:v>
      </x:c>
      <x:c r="K33" s="341" t="e">
        <x:f t="shared" si="4"/>
        <x:v>#DIV/0!</x:v>
      </x:c>
      <x:c r="L33" s="341" t="e">
        <x:f t="shared" si="5"/>
        <x:v>#DIV/0!</x:v>
      </x:c>
      <x:c r="M33" s="341" t="e">
        <x:f t="shared" si="6"/>
        <x:v>#DIV/0!</x:v>
      </x:c>
      <x:c r="N33" s="211"/>
      <x:c r="O33" s="361"/>
      <x:c r="P33" s="212"/>
      <x:c r="Q33" s="212"/>
      <x:c r="R33" s="212"/>
    </x:row>
    <x:row r="34" spans="1:18">
      <x:c r="A34" s="329"/>
      <x:c r="B34" s="329"/>
      <x:c r="C34" s="329"/>
      <x:c r="D34" s="329"/>
      <x:c r="E34" s="329"/>
      <x:c r="F34" s="173"/>
      <x:c r="G34" s="348"/>
      <x:c r="H34" s="72"/>
      <x:c r="I34" s="341">
        <x:f t="shared" si="2"/>
        <x:v>0</x:v>
      </x:c>
      <x:c r="J34" s="341" t="e">
        <x:f t="shared" si="3"/>
        <x:v>#DIV/0!</x:v>
      </x:c>
      <x:c r="K34" s="341" t="e">
        <x:f t="shared" si="4"/>
        <x:v>#DIV/0!</x:v>
      </x:c>
      <x:c r="L34" s="341" t="e">
        <x:f t="shared" si="5"/>
        <x:v>#DIV/0!</x:v>
      </x:c>
      <x:c r="M34" s="341" t="e">
        <x:f t="shared" si="6"/>
        <x:v>#DIV/0!</x:v>
      </x:c>
      <x:c r="N34" s="211"/>
      <x:c r="P34" s="212"/>
      <x:c r="Q34" s="212"/>
      <x:c r="R34" s="212"/>
    </x:row>
    <x:row r="35" spans="1:18">
      <x:c r="A35" s="329"/>
      <x:c r="B35" s="329"/>
      <x:c r="C35" s="329"/>
      <x:c r="D35" s="329"/>
      <x:c r="E35" s="329"/>
      <x:c r="F35" s="173"/>
      <x:c r="G35" s="348"/>
      <x:c r="H35" s="72"/>
      <x:c r="I35" s="339">
        <x:f t="shared" si="2"/>
        <x:v>0</x:v>
      </x:c>
      <x:c r="J35" s="341" t="e">
        <x:f t="shared" si="3"/>
        <x:v>#DIV/0!</x:v>
      </x:c>
      <x:c r="K35" s="341" t="e">
        <x:f t="shared" si="4"/>
        <x:v>#DIV/0!</x:v>
      </x:c>
      <x:c r="L35" s="341" t="e">
        <x:f t="shared" si="5"/>
        <x:v>#DIV/0!</x:v>
      </x:c>
      <x:c r="M35" s="341" t="e">
        <x:f t="shared" si="6"/>
        <x:v>#DIV/0!</x:v>
      </x:c>
      <x:c r="N35" s="211"/>
      <x:c r="P35" s="212"/>
      <x:c r="Q35" s="212"/>
      <x:c r="R35" s="212"/>
    </x:row>
    <x:row r="36" spans="1:18">
      <x:c r="A36" s="329"/>
      <x:c r="B36" s="329"/>
      <x:c r="C36" s="329"/>
      <x:c r="D36" s="329"/>
      <x:c r="E36" s="329"/>
      <x:c r="F36" s="173"/>
      <x:c r="G36" s="348"/>
      <x:c r="H36" s="72"/>
      <x:c r="I36" s="339">
        <x:f t="shared" si="2"/>
        <x:v>0</x:v>
      </x:c>
      <x:c r="J36" s="341" t="e">
        <x:f t="shared" si="3"/>
        <x:v>#DIV/0!</x:v>
      </x:c>
      <x:c r="K36" s="341" t="e">
        <x:f t="shared" si="4"/>
        <x:v>#DIV/0!</x:v>
      </x:c>
      <x:c r="L36" s="341" t="e">
        <x:f t="shared" si="5"/>
        <x:v>#DIV/0!</x:v>
      </x:c>
      <x:c r="M36" s="341" t="e">
        <x:f t="shared" si="6"/>
        <x:v>#DIV/0!</x:v>
      </x:c>
      <x:c r="N36" s="211"/>
      <x:c r="O36" s="361"/>
      <x:c r="P36" s="212"/>
      <x:c r="Q36" s="212"/>
      <x:c r="R36" s="212"/>
    </x:row>
    <x:row r="37" spans="1:18">
      <x:c r="A37" s="329"/>
      <x:c r="B37" s="329"/>
      <x:c r="C37" s="329"/>
      <x:c r="D37" s="329"/>
      <x:c r="E37" s="329"/>
      <x:c r="F37" s="173"/>
      <x:c r="G37" s="348"/>
      <x:c r="H37" s="72"/>
      <x:c r="I37" s="339">
        <x:f t="shared" si="2"/>
        <x:v>0</x:v>
      </x:c>
      <x:c r="J37" s="341" t="e">
        <x:f t="shared" ref="J37:J68" si="7">SUM(K37:L37)</x:f>
        <x:v>#DIV/0!</x:v>
      </x:c>
      <x:c r="K37" s="341" t="e">
        <x:f t="shared" si="4"/>
        <x:v>#DIV/0!</x:v>
      </x:c>
      <x:c r="L37" s="341" t="e">
        <x:f t="shared" si="5"/>
        <x:v>#DIV/0!</x:v>
      </x:c>
      <x:c r="M37" s="341" t="e">
        <x:f t="shared" si="6"/>
        <x:v>#DIV/0!</x:v>
      </x:c>
      <x:c r="N37" s="211"/>
      <x:c r="O37" s="361"/>
      <x:c r="P37" s="212"/>
      <x:c r="Q37" s="212"/>
      <x:c r="R37" s="212"/>
    </x:row>
    <x:row r="38" spans="1:18">
      <x:c r="A38" s="329"/>
      <x:c r="B38" s="329"/>
      <x:c r="C38" s="329"/>
      <x:c r="D38" s="329"/>
      <x:c r="E38" s="329"/>
      <x:c r="F38" s="173"/>
      <x:c r="G38" s="348"/>
      <x:c r="H38" s="72"/>
      <x:c r="I38" s="339">
        <x:f t="shared" si="2"/>
        <x:v>0</x:v>
      </x:c>
      <x:c r="J38" s="341" t="e">
        <x:f t="shared" si="7"/>
        <x:v>#DIV/0!</x:v>
      </x:c>
      <x:c r="K38" s="341" t="e">
        <x:f t="shared" si="4"/>
        <x:v>#DIV/0!</x:v>
      </x:c>
      <x:c r="L38" s="341" t="e">
        <x:f t="shared" si="5"/>
        <x:v>#DIV/0!</x:v>
      </x:c>
      <x:c r="M38" s="341" t="e">
        <x:f t="shared" si="6"/>
        <x:v>#DIV/0!</x:v>
      </x:c>
      <x:c r="N38" s="211"/>
      <x:c r="O38" s="361"/>
      <x:c r="P38" s="212"/>
      <x:c r="Q38" s="212"/>
      <x:c r="R38" s="212"/>
    </x:row>
    <x:row r="39" spans="1:18">
      <x:c r="A39" s="329"/>
      <x:c r="B39" s="329"/>
      <x:c r="C39" s="329"/>
      <x:c r="D39" s="329"/>
      <x:c r="E39" s="329"/>
      <x:c r="F39" s="173"/>
      <x:c r="G39" s="348"/>
      <x:c r="H39" s="72"/>
      <x:c r="I39" s="339">
        <x:f t="shared" si="2"/>
        <x:v>0</x:v>
      </x:c>
      <x:c r="J39" s="341" t="e">
        <x:f t="shared" si="7"/>
        <x:v>#DIV/0!</x:v>
      </x:c>
      <x:c r="K39" s="341" t="e">
        <x:f t="shared" si="4"/>
        <x:v>#DIV/0!</x:v>
      </x:c>
      <x:c r="L39" s="341" t="e">
        <x:f t="shared" si="5"/>
        <x:v>#DIV/0!</x:v>
      </x:c>
      <x:c r="M39" s="341" t="e">
        <x:f t="shared" si="6"/>
        <x:v>#DIV/0!</x:v>
      </x:c>
      <x:c r="N39" s="211"/>
      <x:c r="O39" s="361"/>
      <x:c r="P39" s="212"/>
      <x:c r="Q39" s="212"/>
      <x:c r="R39" s="212"/>
    </x:row>
    <x:row r="40" spans="1:18">
      <x:c r="A40" s="329"/>
      <x:c r="B40" s="329"/>
      <x:c r="C40" s="329"/>
      <x:c r="D40" s="329"/>
      <x:c r="E40" s="329"/>
      <x:c r="F40" s="173"/>
      <x:c r="G40" s="348"/>
      <x:c r="H40" s="72"/>
      <x:c r="I40" s="339">
        <x:f t="shared" si="2"/>
        <x:v>0</x:v>
      </x:c>
      <x:c r="J40" s="341" t="e">
        <x:f t="shared" si="7"/>
        <x:v>#DIV/0!</x:v>
      </x:c>
      <x:c r="K40" s="341" t="e">
        <x:f t="shared" si="4"/>
        <x:v>#DIV/0!</x:v>
      </x:c>
      <x:c r="L40" s="341" t="e">
        <x:f t="shared" si="5"/>
        <x:v>#DIV/0!</x:v>
      </x:c>
      <x:c r="M40" s="341" t="e">
        <x:f t="shared" si="6"/>
        <x:v>#DIV/0!</x:v>
      </x:c>
      <x:c r="N40" s="211"/>
      <x:c r="O40" s="361"/>
      <x:c r="P40" s="212"/>
      <x:c r="Q40" s="212"/>
      <x:c r="R40" s="212"/>
    </x:row>
    <x:row r="41" spans="1:18">
      <x:c r="A41" s="329"/>
      <x:c r="B41" s="329"/>
      <x:c r="C41" s="329"/>
      <x:c r="D41" s="329"/>
      <x:c r="E41" s="329"/>
      <x:c r="F41" s="173"/>
      <x:c r="G41" s="348"/>
      <x:c r="H41" s="72"/>
      <x:c r="I41" s="339">
        <x:f t="shared" si="2"/>
        <x:v>0</x:v>
      </x:c>
      <x:c r="J41" s="341" t="e">
        <x:f t="shared" si="7"/>
        <x:v>#DIV/0!</x:v>
      </x:c>
      <x:c r="K41" s="341" t="e">
        <x:f t="shared" si="4"/>
        <x:v>#DIV/0!</x:v>
      </x:c>
      <x:c r="L41" s="341" t="e">
        <x:f t="shared" si="5"/>
        <x:v>#DIV/0!</x:v>
      </x:c>
      <x:c r="M41" s="341" t="e">
        <x:f t="shared" si="6"/>
        <x:v>#DIV/0!</x:v>
      </x:c>
      <x:c r="N41" s="211"/>
      <x:c r="O41" s="361"/>
      <x:c r="P41" s="212"/>
      <x:c r="Q41" s="212"/>
      <x:c r="R41" s="212"/>
    </x:row>
    <x:row r="42" spans="1:18">
      <x:c r="A42" s="329"/>
      <x:c r="B42" s="329"/>
      <x:c r="C42" s="329"/>
      <x:c r="D42" s="329"/>
      <x:c r="E42" s="329"/>
      <x:c r="F42" s="173"/>
      <x:c r="G42" s="348"/>
      <x:c r="H42" s="72"/>
      <x:c r="I42" s="339">
        <x:f t="shared" si="2"/>
        <x:v>0</x:v>
      </x:c>
      <x:c r="J42" s="341" t="e">
        <x:f t="shared" si="7"/>
        <x:v>#DIV/0!</x:v>
      </x:c>
      <x:c r="K42" s="341" t="e">
        <x:f t="shared" si="4"/>
        <x:v>#DIV/0!</x:v>
      </x:c>
      <x:c r="L42" s="341" t="e">
        <x:f t="shared" si="5"/>
        <x:v>#DIV/0!</x:v>
      </x:c>
      <x:c r="M42" s="341" t="e">
        <x:f t="shared" si="6"/>
        <x:v>#DIV/0!</x:v>
      </x:c>
      <x:c r="N42" s="211"/>
      <x:c r="O42" s="361"/>
      <x:c r="P42" s="212"/>
      <x:c r="Q42" s="212"/>
      <x:c r="R42" s="212"/>
    </x:row>
    <x:row r="43" spans="1:18">
      <x:c r="A43" s="329"/>
      <x:c r="B43" s="329"/>
      <x:c r="C43" s="329"/>
      <x:c r="D43" s="329"/>
      <x:c r="E43" s="329"/>
      <x:c r="F43" s="173"/>
      <x:c r="G43" s="348"/>
      <x:c r="H43" s="72"/>
      <x:c r="I43" s="339">
        <x:f t="shared" si="2"/>
        <x:v>0</x:v>
      </x:c>
      <x:c r="J43" s="341" t="e">
        <x:f t="shared" si="7"/>
        <x:v>#DIV/0!</x:v>
      </x:c>
      <x:c r="K43" s="341" t="e">
        <x:f t="shared" si="4"/>
        <x:v>#DIV/0!</x:v>
      </x:c>
      <x:c r="L43" s="341" t="e">
        <x:f t="shared" si="5"/>
        <x:v>#DIV/0!</x:v>
      </x:c>
      <x:c r="M43" s="341" t="e">
        <x:f t="shared" si="6"/>
        <x:v>#DIV/0!</x:v>
      </x:c>
      <x:c r="N43" s="211"/>
      <x:c r="O43" s="361"/>
      <x:c r="P43" s="212"/>
      <x:c r="Q43" s="212"/>
      <x:c r="R43" s="212"/>
    </x:row>
    <x:row r="44" spans="1:18">
      <x:c r="A44" s="329"/>
      <x:c r="B44" s="329"/>
      <x:c r="C44" s="329"/>
      <x:c r="D44" s="329"/>
      <x:c r="E44" s="329"/>
      <x:c r="F44" s="173"/>
      <x:c r="G44" s="348"/>
      <x:c r="H44" s="72"/>
      <x:c r="I44" s="339">
        <x:f t="shared" si="2"/>
        <x:v>0</x:v>
      </x:c>
      <x:c r="J44" s="341" t="e">
        <x:f t="shared" si="7"/>
        <x:v>#DIV/0!</x:v>
      </x:c>
      <x:c r="K44" s="341" t="e">
        <x:f t="shared" si="4"/>
        <x:v>#DIV/0!</x:v>
      </x:c>
      <x:c r="L44" s="341" t="e">
        <x:f t="shared" si="5"/>
        <x:v>#DIV/0!</x:v>
      </x:c>
      <x:c r="M44" s="341" t="e">
        <x:f t="shared" si="6"/>
        <x:v>#DIV/0!</x:v>
      </x:c>
      <x:c r="N44" s="211"/>
      <x:c r="O44" s="361"/>
      <x:c r="P44" s="212"/>
      <x:c r="Q44" s="212"/>
      <x:c r="R44" s="212"/>
    </x:row>
    <x:row r="45" spans="1:18">
      <x:c r="A45" s="329"/>
      <x:c r="B45" s="329"/>
      <x:c r="C45" s="329"/>
      <x:c r="D45" s="329"/>
      <x:c r="E45" s="329"/>
      <x:c r="F45" s="173"/>
      <x:c r="G45" s="348"/>
      <x:c r="H45" s="72"/>
      <x:c r="I45" s="339">
        <x:f t="shared" si="2"/>
        <x:v>0</x:v>
      </x:c>
      <x:c r="J45" s="341" t="e">
        <x:f t="shared" si="7"/>
        <x:v>#DIV/0!</x:v>
      </x:c>
      <x:c r="K45" s="341" t="e">
        <x:f t="shared" si="4"/>
        <x:v>#DIV/0!</x:v>
      </x:c>
      <x:c r="L45" s="341" t="e">
        <x:f t="shared" si="5"/>
        <x:v>#DIV/0!</x:v>
      </x:c>
      <x:c r="M45" s="341" t="e">
        <x:f t="shared" si="6"/>
        <x:v>#DIV/0!</x:v>
      </x:c>
      <x:c r="N45" s="211"/>
      <x:c r="O45" s="361"/>
      <x:c r="P45" s="212"/>
      <x:c r="Q45" s="212"/>
      <x:c r="R45" s="212"/>
    </x:row>
    <x:row r="46" spans="1:18">
      <x:c r="A46" s="329"/>
      <x:c r="B46" s="329"/>
      <x:c r="C46" s="329"/>
      <x:c r="D46" s="329"/>
      <x:c r="E46" s="329"/>
      <x:c r="F46" s="173"/>
      <x:c r="G46" s="348"/>
      <x:c r="H46" s="72"/>
      <x:c r="I46" s="339">
        <x:f t="shared" si="2"/>
        <x:v>0</x:v>
      </x:c>
      <x:c r="J46" s="341" t="e">
        <x:f t="shared" si="7"/>
        <x:v>#DIV/0!</x:v>
      </x:c>
      <x:c r="K46" s="341" t="e">
        <x:f t="shared" si="4"/>
        <x:v>#DIV/0!</x:v>
      </x:c>
      <x:c r="L46" s="341" t="e">
        <x:f t="shared" si="5"/>
        <x:v>#DIV/0!</x:v>
      </x:c>
      <x:c r="M46" s="341" t="e">
        <x:f t="shared" si="6"/>
        <x:v>#DIV/0!</x:v>
      </x:c>
      <x:c r="N46" s="211"/>
      <x:c r="O46" s="361"/>
      <x:c r="P46" s="212"/>
      <x:c r="Q46" s="365"/>
      <x:c r="R46" s="212"/>
    </x:row>
    <x:row r="47" spans="1:18">
      <x:c r="A47" s="329"/>
      <x:c r="B47" s="329"/>
      <x:c r="C47" s="329"/>
      <x:c r="D47" s="329"/>
      <x:c r="E47" s="329"/>
      <x:c r="F47" s="173"/>
      <x:c r="G47" s="348"/>
      <x:c r="H47" s="72"/>
      <x:c r="I47" s="341">
        <x:f t="shared" si="2"/>
        <x:v>0</x:v>
      </x:c>
      <x:c r="J47" s="341" t="e">
        <x:f t="shared" si="7"/>
        <x:v>#DIV/0!</x:v>
      </x:c>
      <x:c r="K47" s="341" t="e">
        <x:f t="shared" si="4"/>
        <x:v>#DIV/0!</x:v>
      </x:c>
      <x:c r="L47" s="341" t="e">
        <x:f t="shared" si="5"/>
        <x:v>#DIV/0!</x:v>
      </x:c>
      <x:c r="M47" s="341" t="e">
        <x:f t="shared" si="6"/>
        <x:v>#DIV/0!</x:v>
      </x:c>
      <x:c r="N47" s="211"/>
      <x:c r="O47" s="361"/>
      <x:c r="P47" s="212"/>
      <x:c r="Q47" s="212"/>
      <x:c r="R47" s="212"/>
    </x:row>
    <x:row r="48" spans="1:18">
      <x:c r="A48" s="329"/>
      <x:c r="B48" s="329"/>
      <x:c r="C48" s="329"/>
      <x:c r="D48" s="329"/>
      <x:c r="E48" s="329"/>
      <x:c r="F48" s="173"/>
      <x:c r="G48" s="348"/>
      <x:c r="H48" s="72"/>
      <x:c r="I48" s="339">
        <x:f t="shared" si="2"/>
        <x:v>0</x:v>
      </x:c>
      <x:c r="J48" s="341" t="e">
        <x:f t="shared" si="7"/>
        <x:v>#DIV/0!</x:v>
      </x:c>
      <x:c r="K48" s="341" t="e">
        <x:f t="shared" si="4"/>
        <x:v>#DIV/0!</x:v>
      </x:c>
      <x:c r="L48" s="341" t="e">
        <x:f t="shared" si="5"/>
        <x:v>#DIV/0!</x:v>
      </x:c>
      <x:c r="M48" s="341" t="e">
        <x:f t="shared" si="6"/>
        <x:v>#DIV/0!</x:v>
      </x:c>
      <x:c r="N48" s="211"/>
      <x:c r="O48" s="361"/>
      <x:c r="P48" s="212"/>
      <x:c r="Q48" s="212"/>
      <x:c r="R48" s="212"/>
    </x:row>
    <x:row r="49" spans="1:18">
      <x:c r="A49" s="329"/>
      <x:c r="B49" s="329"/>
      <x:c r="C49" s="329"/>
      <x:c r="D49" s="329"/>
      <x:c r="E49" s="329"/>
      <x:c r="F49" s="173"/>
      <x:c r="G49" s="348"/>
      <x:c r="H49" s="72"/>
      <x:c r="I49" s="339">
        <x:f t="shared" si="2"/>
        <x:v>0</x:v>
      </x:c>
      <x:c r="J49" s="341" t="e">
        <x:f t="shared" si="7"/>
        <x:v>#DIV/0!</x:v>
      </x:c>
      <x:c r="K49" s="341" t="e">
        <x:f t="shared" si="4"/>
        <x:v>#DIV/0!</x:v>
      </x:c>
      <x:c r="L49" s="341" t="e">
        <x:f t="shared" si="5"/>
        <x:v>#DIV/0!</x:v>
      </x:c>
      <x:c r="M49" s="341" t="e">
        <x:f t="shared" si="6"/>
        <x:v>#DIV/0!</x:v>
      </x:c>
      <x:c r="N49" s="211"/>
      <x:c r="O49" s="361"/>
      <x:c r="P49" s="212"/>
      <x:c r="Q49" s="212"/>
      <x:c r="R49" s="212"/>
    </x:row>
    <x:row r="50" spans="1:18">
      <x:c r="A50" s="329"/>
      <x:c r="B50" s="329"/>
      <x:c r="C50" s="329"/>
      <x:c r="D50" s="329"/>
      <x:c r="E50" s="329"/>
      <x:c r="F50" s="173"/>
      <x:c r="G50" s="348"/>
      <x:c r="H50" s="72"/>
      <x:c r="I50" s="339">
        <x:f t="shared" si="2"/>
        <x:v>0</x:v>
      </x:c>
      <x:c r="J50" s="341" t="e">
        <x:f t="shared" si="7"/>
        <x:v>#DIV/0!</x:v>
      </x:c>
      <x:c r="K50" s="341" t="e">
        <x:f t="shared" si="4"/>
        <x:v>#DIV/0!</x:v>
      </x:c>
      <x:c r="L50" s="341" t="e">
        <x:f t="shared" si="5"/>
        <x:v>#DIV/0!</x:v>
      </x:c>
      <x:c r="M50" s="341" t="e">
        <x:f t="shared" si="6"/>
        <x:v>#DIV/0!</x:v>
      </x:c>
      <x:c r="N50" s="211"/>
      <x:c r="O50" s="361"/>
      <x:c r="P50" s="212"/>
      <x:c r="Q50" s="212"/>
      <x:c r="R50" s="212"/>
    </x:row>
    <x:row r="51" spans="1:18">
      <x:c r="A51" s="329"/>
      <x:c r="B51" s="329"/>
      <x:c r="C51" s="329"/>
      <x:c r="D51" s="329"/>
      <x:c r="E51" s="329"/>
      <x:c r="F51" s="173"/>
      <x:c r="G51" s="348"/>
      <x:c r="H51" s="72"/>
      <x:c r="I51" s="339">
        <x:f t="shared" si="2"/>
        <x:v>0</x:v>
      </x:c>
      <x:c r="J51" s="341" t="e">
        <x:f t="shared" si="7"/>
        <x:v>#DIV/0!</x:v>
      </x:c>
      <x:c r="K51" s="341" t="e">
        <x:f t="shared" si="4"/>
        <x:v>#DIV/0!</x:v>
      </x:c>
      <x:c r="L51" s="341" t="e">
        <x:f t="shared" si="5"/>
        <x:v>#DIV/0!</x:v>
      </x:c>
      <x:c r="M51" s="341" t="e">
        <x:f t="shared" si="6"/>
        <x:v>#DIV/0!</x:v>
      </x:c>
      <x:c r="N51" s="211"/>
      <x:c r="O51" s="361"/>
      <x:c r="P51" s="212"/>
      <x:c r="Q51" s="212"/>
      <x:c r="R51" s="212"/>
    </x:row>
    <x:row r="52" spans="1:18">
      <x:c r="A52" s="329"/>
      <x:c r="B52" s="329"/>
      <x:c r="C52" s="329"/>
      <x:c r="D52" s="329"/>
      <x:c r="E52" s="329"/>
      <x:c r="F52" s="173"/>
      <x:c r="G52" s="348"/>
      <x:c r="H52" s="72"/>
      <x:c r="I52" s="339">
        <x:f t="shared" si="2"/>
        <x:v>0</x:v>
      </x:c>
      <x:c r="J52" s="341" t="e">
        <x:f t="shared" si="7"/>
        <x:v>#DIV/0!</x:v>
      </x:c>
      <x:c r="K52" s="341" t="e">
        <x:f t="shared" si="4"/>
        <x:v>#DIV/0!</x:v>
      </x:c>
      <x:c r="L52" s="341" t="e">
        <x:f t="shared" si="5"/>
        <x:v>#DIV/0!</x:v>
      </x:c>
      <x:c r="M52" s="341" t="e">
        <x:f t="shared" si="6"/>
        <x:v>#DIV/0!</x:v>
      </x:c>
      <x:c r="N52" s="211"/>
      <x:c r="O52" s="361"/>
      <x:c r="P52" s="212"/>
      <x:c r="Q52" s="212"/>
      <x:c r="R52" s="212"/>
    </x:row>
    <x:row r="53" spans="1:18">
      <x:c r="A53" s="329"/>
      <x:c r="B53" s="329"/>
      <x:c r="C53" s="329"/>
      <x:c r="D53" s="329"/>
      <x:c r="E53" s="329"/>
      <x:c r="F53" s="173"/>
      <x:c r="G53" s="348"/>
      <x:c r="H53" s="72"/>
      <x:c r="I53" s="339">
        <x:f t="shared" si="2"/>
        <x:v>0</x:v>
      </x:c>
      <x:c r="J53" s="341" t="e">
        <x:f t="shared" si="7"/>
        <x:v>#DIV/0!</x:v>
      </x:c>
      <x:c r="K53" s="341" t="e">
        <x:f t="shared" si="4"/>
        <x:v>#DIV/0!</x:v>
      </x:c>
      <x:c r="L53" s="341" t="e">
        <x:f t="shared" si="5"/>
        <x:v>#DIV/0!</x:v>
      </x:c>
      <x:c r="M53" s="341" t="e">
        <x:f t="shared" si="6"/>
        <x:v>#DIV/0!</x:v>
      </x:c>
      <x:c r="N53" s="211"/>
      <x:c r="O53" s="361"/>
      <x:c r="P53" s="212"/>
      <x:c r="Q53" s="212"/>
      <x:c r="R53" s="212"/>
    </x:row>
    <x:row r="54" spans="1:18">
      <x:c r="A54" s="329"/>
      <x:c r="B54" s="329"/>
      <x:c r="C54" s="329"/>
      <x:c r="D54" s="329"/>
      <x:c r="E54" s="329"/>
      <x:c r="F54" s="173"/>
      <x:c r="G54" s="348"/>
      <x:c r="H54" s="72"/>
      <x:c r="I54" s="339">
        <x:f t="shared" si="2"/>
        <x:v>0</x:v>
      </x:c>
      <x:c r="J54" s="341" t="e">
        <x:f t="shared" si="7"/>
        <x:v>#DIV/0!</x:v>
      </x:c>
      <x:c r="K54" s="341" t="e">
        <x:f t="shared" si="4"/>
        <x:v>#DIV/0!</x:v>
      </x:c>
      <x:c r="L54" s="341" t="e">
        <x:f t="shared" si="5"/>
        <x:v>#DIV/0!</x:v>
      </x:c>
      <x:c r="M54" s="341" t="e">
        <x:f t="shared" si="6"/>
        <x:v>#DIV/0!</x:v>
      </x:c>
      <x:c r="N54" s="211"/>
      <x:c r="O54" s="361"/>
      <x:c r="P54" s="237"/>
      <x:c r="Q54" s="212"/>
      <x:c r="R54" s="212"/>
    </x:row>
    <x:row r="55" spans="1:18">
      <x:c r="A55" s="329"/>
      <x:c r="B55" s="329"/>
      <x:c r="C55" s="329"/>
      <x:c r="D55" s="329"/>
      <x:c r="E55" s="329"/>
      <x:c r="F55" s="173"/>
      <x:c r="G55" s="348"/>
      <x:c r="H55" s="72"/>
      <x:c r="I55" s="339">
        <x:f t="shared" si="2"/>
        <x:v>0</x:v>
      </x:c>
      <x:c r="J55" s="341" t="e">
        <x:f t="shared" si="7"/>
        <x:v>#DIV/0!</x:v>
      </x:c>
      <x:c r="K55" s="341" t="e">
        <x:f t="shared" si="4"/>
        <x:v>#DIV/0!</x:v>
      </x:c>
      <x:c r="L55" s="341" t="e">
        <x:f t="shared" si="5"/>
        <x:v>#DIV/0!</x:v>
      </x:c>
      <x:c r="M55" s="341" t="e">
        <x:f t="shared" si="6"/>
        <x:v>#DIV/0!</x:v>
      </x:c>
      <x:c r="N55" s="211"/>
      <x:c r="O55" s="361"/>
      <x:c r="P55" s="212"/>
      <x:c r="Q55" s="212"/>
      <x:c r="R55" s="212"/>
    </x:row>
    <x:row r="56" spans="1:18">
      <x:c r="A56" s="329"/>
      <x:c r="B56" s="329"/>
      <x:c r="C56" s="329"/>
      <x:c r="D56" s="329"/>
      <x:c r="E56" s="329"/>
      <x:c r="F56" s="173"/>
      <x:c r="G56" s="348"/>
      <x:c r="H56" s="72"/>
      <x:c r="I56" s="341">
        <x:f t="shared" si="2"/>
        <x:v>0</x:v>
      </x:c>
      <x:c r="J56" s="341" t="e">
        <x:f t="shared" si="7"/>
        <x:v>#DIV/0!</x:v>
      </x:c>
      <x:c r="K56" s="341" t="e">
        <x:f t="shared" si="4"/>
        <x:v>#DIV/0!</x:v>
      </x:c>
      <x:c r="L56" s="341" t="e">
        <x:f t="shared" si="5"/>
        <x:v>#DIV/0!</x:v>
      </x:c>
      <x:c r="M56" s="341" t="e">
        <x:f t="shared" si="6"/>
        <x:v>#DIV/0!</x:v>
      </x:c>
      <x:c r="N56" s="211"/>
      <x:c r="O56" s="361"/>
      <x:c r="P56" s="212"/>
      <x:c r="Q56" s="212"/>
      <x:c r="R56" s="212"/>
    </x:row>
    <x:row r="57" spans="1:18">
      <x:c r="A57" s="329"/>
      <x:c r="B57" s="329"/>
      <x:c r="C57" s="329"/>
      <x:c r="D57" s="329"/>
      <x:c r="E57" s="329"/>
      <x:c r="F57" s="173"/>
      <x:c r="G57" s="348"/>
      <x:c r="H57" s="72"/>
      <x:c r="I57" s="341">
        <x:f t="shared" si="2"/>
        <x:v>0</x:v>
      </x:c>
      <x:c r="J57" s="341" t="e">
        <x:f t="shared" si="7"/>
        <x:v>#DIV/0!</x:v>
      </x:c>
      <x:c r="K57" s="341" t="e">
        <x:f t="shared" si="4"/>
        <x:v>#DIV/0!</x:v>
      </x:c>
      <x:c r="L57" s="341" t="e">
        <x:f t="shared" si="5"/>
        <x:v>#DIV/0!</x:v>
      </x:c>
      <x:c r="M57" s="341" t="e">
        <x:f t="shared" si="6"/>
        <x:v>#DIV/0!</x:v>
      </x:c>
      <x:c r="N57" s="211"/>
      <x:c r="O57" s="361"/>
      <x:c r="P57" s="212"/>
      <x:c r="Q57" s="212"/>
      <x:c r="R57" s="212"/>
    </x:row>
    <x:row r="58" spans="1:18">
      <x:c r="A58" s="329"/>
      <x:c r="B58" s="329"/>
      <x:c r="C58" s="329"/>
      <x:c r="D58" s="329"/>
      <x:c r="E58" s="329"/>
      <x:c r="F58" s="173"/>
      <x:c r="G58" s="348"/>
      <x:c r="H58" s="72"/>
      <x:c r="I58" s="339">
        <x:f t="shared" si="2"/>
        <x:v>0</x:v>
      </x:c>
      <x:c r="J58" s="341" t="e">
        <x:f t="shared" si="7"/>
        <x:v>#DIV/0!</x:v>
      </x:c>
      <x:c r="K58" s="341" t="e">
        <x:f t="shared" si="4"/>
        <x:v>#DIV/0!</x:v>
      </x:c>
      <x:c r="L58" s="341" t="e">
        <x:f t="shared" si="5"/>
        <x:v>#DIV/0!</x:v>
      </x:c>
      <x:c r="M58" s="341" t="e">
        <x:f t="shared" si="6"/>
        <x:v>#DIV/0!</x:v>
      </x:c>
      <x:c r="N58" s="211"/>
      <x:c r="O58" s="361"/>
      <x:c r="P58" s="212"/>
      <x:c r="Q58" s="212"/>
      <x:c r="R58" s="212"/>
    </x:row>
    <x:row r="59" spans="1:18">
      <x:c r="A59" s="329"/>
      <x:c r="B59" s="329"/>
      <x:c r="C59" s="329"/>
      <x:c r="D59" s="329"/>
      <x:c r="E59" s="329"/>
      <x:c r="F59" s="173"/>
      <x:c r="G59" s="348"/>
      <x:c r="H59" s="72"/>
      <x:c r="I59" s="339">
        <x:f t="shared" si="2"/>
        <x:v>0</x:v>
      </x:c>
      <x:c r="J59" s="341" t="e">
        <x:f t="shared" si="7"/>
        <x:v>#DIV/0!</x:v>
      </x:c>
      <x:c r="K59" s="341" t="e">
        <x:f t="shared" si="4"/>
        <x:v>#DIV/0!</x:v>
      </x:c>
      <x:c r="L59" s="341" t="e">
        <x:f t="shared" si="5"/>
        <x:v>#DIV/0!</x:v>
      </x:c>
      <x:c r="M59" s="341" t="e">
        <x:f t="shared" si="6"/>
        <x:v>#DIV/0!</x:v>
      </x:c>
      <x:c r="N59" s="211"/>
      <x:c r="O59" s="361"/>
      <x:c r="P59" s="212"/>
      <x:c r="Q59" s="212"/>
      <x:c r="R59" s="212"/>
    </x:row>
    <x:row r="60" spans="1:18">
      <x:c r="A60" s="329"/>
      <x:c r="B60" s="329"/>
      <x:c r="C60" s="329"/>
      <x:c r="D60" s="329"/>
      <x:c r="E60" s="329"/>
      <x:c r="F60" s="173"/>
      <x:c r="G60" s="348"/>
      <x:c r="H60" s="72"/>
      <x:c r="I60" s="341">
        <x:f t="shared" si="2"/>
        <x:v>0</x:v>
      </x:c>
      <x:c r="J60" s="341" t="e">
        <x:f t="shared" si="7"/>
        <x:v>#DIV/0!</x:v>
      </x:c>
      <x:c r="K60" s="341" t="e">
        <x:f t="shared" si="4"/>
        <x:v>#DIV/0!</x:v>
      </x:c>
      <x:c r="L60" s="341" t="e">
        <x:f t="shared" si="5"/>
        <x:v>#DIV/0!</x:v>
      </x:c>
      <x:c r="M60" s="341" t="e">
        <x:f t="shared" si="6"/>
        <x:v>#DIV/0!</x:v>
      </x:c>
      <x:c r="N60" s="211"/>
      <x:c r="O60" s="361"/>
      <x:c r="P60" s="212"/>
      <x:c r="Q60" s="212"/>
      <x:c r="R60" s="212"/>
    </x:row>
    <x:row r="61" spans="1:18">
      <x:c r="A61" s="329"/>
      <x:c r="B61" s="329"/>
      <x:c r="C61" s="329"/>
      <x:c r="D61" s="329"/>
      <x:c r="E61" s="329"/>
      <x:c r="F61" s="173"/>
      <x:c r="G61" s="348"/>
      <x:c r="H61" s="72"/>
      <x:c r="I61" s="339">
        <x:f t="shared" si="2"/>
        <x:v>0</x:v>
      </x:c>
      <x:c r="J61" s="341" t="e">
        <x:f t="shared" si="7"/>
        <x:v>#DIV/0!</x:v>
      </x:c>
      <x:c r="K61" s="341" t="e">
        <x:f t="shared" si="4"/>
        <x:v>#DIV/0!</x:v>
      </x:c>
      <x:c r="L61" s="341" t="e">
        <x:f t="shared" si="5"/>
        <x:v>#DIV/0!</x:v>
      </x:c>
      <x:c r="M61" s="341" t="e">
        <x:f t="shared" si="6"/>
        <x:v>#DIV/0!</x:v>
      </x:c>
      <x:c r="N61" s="211"/>
      <x:c r="O61" s="361"/>
      <x:c r="P61" s="212"/>
      <x:c r="Q61" s="212"/>
      <x:c r="R61" s="212"/>
    </x:row>
    <x:row r="62" spans="1:18">
      <x:c r="A62" s="329"/>
      <x:c r="B62" s="329"/>
      <x:c r="C62" s="329"/>
      <x:c r="D62" s="329"/>
      <x:c r="E62" s="329"/>
      <x:c r="F62" s="173"/>
      <x:c r="G62" s="348"/>
      <x:c r="H62" s="72"/>
      <x:c r="I62" s="339">
        <x:f t="shared" si="2"/>
        <x:v>0</x:v>
      </x:c>
      <x:c r="J62" s="341" t="e">
        <x:f t="shared" si="7"/>
        <x:v>#DIV/0!</x:v>
      </x:c>
      <x:c r="K62" s="341" t="e">
        <x:f t="shared" si="4"/>
        <x:v>#DIV/0!</x:v>
      </x:c>
      <x:c r="L62" s="341" t="e">
        <x:f t="shared" si="5"/>
        <x:v>#DIV/0!</x:v>
      </x:c>
      <x:c r="M62" s="341" t="e">
        <x:f t="shared" si="6"/>
        <x:v>#DIV/0!</x:v>
      </x:c>
      <x:c r="N62" s="211"/>
      <x:c r="O62" s="361"/>
      <x:c r="P62" s="212"/>
      <x:c r="Q62" s="212"/>
      <x:c r="R62" s="212"/>
    </x:row>
    <x:row r="63" spans="1:18">
      <x:c r="A63" s="329"/>
      <x:c r="B63" s="329"/>
      <x:c r="C63" s="329"/>
      <x:c r="D63" s="329"/>
      <x:c r="E63" s="329"/>
      <x:c r="F63" s="173"/>
      <x:c r="G63" s="348"/>
      <x:c r="H63" s="72"/>
      <x:c r="I63" s="339">
        <x:f t="shared" si="2"/>
        <x:v>0</x:v>
      </x:c>
      <x:c r="J63" s="341" t="e">
        <x:f t="shared" si="7"/>
        <x:v>#DIV/0!</x:v>
      </x:c>
      <x:c r="K63" s="341" t="e">
        <x:f t="shared" si="4"/>
        <x:v>#DIV/0!</x:v>
      </x:c>
      <x:c r="L63" s="341" t="e">
        <x:f t="shared" si="5"/>
        <x:v>#DIV/0!</x:v>
      </x:c>
      <x:c r="M63" s="341" t="e">
        <x:f t="shared" si="6"/>
        <x:v>#DIV/0!</x:v>
      </x:c>
      <x:c r="N63" s="211"/>
      <x:c r="O63" s="361"/>
      <x:c r="P63" s="212"/>
      <x:c r="Q63" s="212"/>
      <x:c r="R63" s="212"/>
    </x:row>
    <x:row r="64" spans="1:18">
      <x:c r="A64" s="329"/>
      <x:c r="B64" s="329"/>
      <x:c r="C64" s="329"/>
      <x:c r="D64" s="329"/>
      <x:c r="E64" s="329"/>
      <x:c r="F64" s="173"/>
      <x:c r="G64" s="348"/>
      <x:c r="H64" s="72"/>
      <x:c r="I64" s="339">
        <x:f t="shared" si="2"/>
        <x:v>0</x:v>
      </x:c>
      <x:c r="J64" s="341" t="e">
        <x:f t="shared" si="7"/>
        <x:v>#DIV/0!</x:v>
      </x:c>
      <x:c r="K64" s="341" t="e">
        <x:f t="shared" si="4"/>
        <x:v>#DIV/0!</x:v>
      </x:c>
      <x:c r="L64" s="341" t="e">
        <x:f t="shared" si="5"/>
        <x:v>#DIV/0!</x:v>
      </x:c>
      <x:c r="M64" s="341" t="e">
        <x:f t="shared" si="6"/>
        <x:v>#DIV/0!</x:v>
      </x:c>
      <x:c r="N64" s="211"/>
      <x:c r="O64" s="361"/>
      <x:c r="P64" s="212"/>
      <x:c r="Q64" s="212"/>
      <x:c r="R64" s="212"/>
    </x:row>
    <x:row r="65" spans="1:18">
      <x:c r="A65" s="329"/>
      <x:c r="B65" s="329"/>
      <x:c r="C65" s="329"/>
      <x:c r="D65" s="329"/>
      <x:c r="E65" s="329"/>
      <x:c r="F65" s="173"/>
      <x:c r="G65" s="348"/>
      <x:c r="H65" s="72"/>
      <x:c r="I65" s="339">
        <x:f t="shared" si="2"/>
        <x:v>0</x:v>
      </x:c>
      <x:c r="J65" s="341" t="e">
        <x:f t="shared" si="7"/>
        <x:v>#DIV/0!</x:v>
      </x:c>
      <x:c r="K65" s="341" t="e">
        <x:f t="shared" si="4"/>
        <x:v>#DIV/0!</x:v>
      </x:c>
      <x:c r="L65" s="341" t="e">
        <x:f t="shared" si="5"/>
        <x:v>#DIV/0!</x:v>
      </x:c>
      <x:c r="M65" s="341" t="e">
        <x:f t="shared" si="6"/>
        <x:v>#DIV/0!</x:v>
      </x:c>
      <x:c r="N65" s="211"/>
      <x:c r="O65" s="361"/>
      <x:c r="P65" s="212"/>
      <x:c r="Q65" s="212"/>
      <x:c r="R65" s="212"/>
    </x:row>
    <x:row r="66" spans="1:18">
      <x:c r="A66" s="329"/>
      <x:c r="B66" s="329"/>
      <x:c r="C66" s="329"/>
      <x:c r="D66" s="329"/>
      <x:c r="E66" s="329"/>
      <x:c r="F66" s="173"/>
      <x:c r="G66" s="348"/>
      <x:c r="H66" s="72"/>
      <x:c r="I66" s="339">
        <x:f t="shared" si="2"/>
        <x:v>0</x:v>
      </x:c>
      <x:c r="J66" s="341" t="e">
        <x:f t="shared" si="7"/>
        <x:v>#DIV/0!</x:v>
      </x:c>
      <x:c r="K66" s="341" t="e">
        <x:f t="shared" si="4"/>
        <x:v>#DIV/0!</x:v>
      </x:c>
      <x:c r="L66" s="341" t="e">
        <x:f t="shared" si="5"/>
        <x:v>#DIV/0!</x:v>
      </x:c>
      <x:c r="M66" s="341" t="e">
        <x:f t="shared" si="6"/>
        <x:v>#DIV/0!</x:v>
      </x:c>
      <x:c r="N66" s="211"/>
      <x:c r="O66" s="361"/>
      <x:c r="P66" s="212"/>
      <x:c r="Q66" s="212"/>
      <x:c r="R66" s="212"/>
    </x:row>
    <x:row r="67" spans="1:18">
      <x:c r="A67" s="329"/>
      <x:c r="B67" s="329"/>
      <x:c r="C67" s="329"/>
      <x:c r="D67" s="329"/>
      <x:c r="E67" s="329"/>
      <x:c r="F67" s="173"/>
      <x:c r="G67" s="348"/>
      <x:c r="H67" s="72"/>
      <x:c r="I67" s="339">
        <x:f t="shared" si="2"/>
        <x:v>0</x:v>
      </x:c>
      <x:c r="J67" s="341" t="e">
        <x:f t="shared" si="7"/>
        <x:v>#DIV/0!</x:v>
      </x:c>
      <x:c r="K67" s="341" t="e">
        <x:f t="shared" si="4"/>
        <x:v>#DIV/0!</x:v>
      </x:c>
      <x:c r="L67" s="341" t="e">
        <x:f t="shared" si="5"/>
        <x:v>#DIV/0!</x:v>
      </x:c>
      <x:c r="M67" s="341" t="e">
        <x:f t="shared" si="6"/>
        <x:v>#DIV/0!</x:v>
      </x:c>
      <x:c r="N67" s="211"/>
      <x:c r="O67" s="361"/>
      <x:c r="P67" s="212"/>
      <x:c r="Q67" s="212"/>
      <x:c r="R67" s="212"/>
    </x:row>
    <x:row r="68" spans="1:18">
      <x:c r="A68" s="329"/>
      <x:c r="B68" s="329"/>
      <x:c r="C68" s="329"/>
      <x:c r="D68" s="329"/>
      <x:c r="E68" s="329"/>
      <x:c r="F68" s="173"/>
      <x:c r="G68" s="348"/>
      <x:c r="H68" s="72"/>
      <x:c r="I68" s="339">
        <x:f t="shared" si="2"/>
        <x:v>0</x:v>
      </x:c>
      <x:c r="J68" s="341" t="e">
        <x:f t="shared" si="7"/>
        <x:v>#DIV/0!</x:v>
      </x:c>
      <x:c r="K68" s="341" t="e">
        <x:f t="shared" si="4"/>
        <x:v>#DIV/0!</x:v>
      </x:c>
      <x:c r="L68" s="341" t="e">
        <x:f t="shared" si="5"/>
        <x:v>#DIV/0!</x:v>
      </x:c>
      <x:c r="M68" s="341" t="e">
        <x:f t="shared" si="6"/>
        <x:v>#DIV/0!</x:v>
      </x:c>
      <x:c r="N68" s="211"/>
      <x:c r="O68" s="361"/>
      <x:c r="P68" s="212"/>
      <x:c r="Q68" s="212"/>
      <x:c r="R68" s="212"/>
    </x:row>
    <x:row r="69" spans="1:18">
      <x:c r="A69" s="329"/>
      <x:c r="B69" s="329"/>
      <x:c r="C69" s="329"/>
      <x:c r="D69" s="329"/>
      <x:c r="E69" s="329"/>
      <x:c r="F69" s="173"/>
      <x:c r="G69" s="348"/>
      <x:c r="H69" s="72"/>
      <x:c r="I69" s="339">
        <x:f t="shared" si="2"/>
        <x:v>0</x:v>
      </x:c>
      <x:c r="J69" s="341" t="e">
        <x:f t="shared" ref="J69:J75" si="8">SUM(K69:L69)</x:f>
        <x:v>#DIV/0!</x:v>
      </x:c>
      <x:c r="K69" s="341" t="e">
        <x:f t="shared" si="4"/>
        <x:v>#DIV/0!</x:v>
      </x:c>
      <x:c r="L69" s="341" t="e">
        <x:f t="shared" si="5"/>
        <x:v>#DIV/0!</x:v>
      </x:c>
      <x:c r="M69" s="341" t="e">
        <x:f t="shared" si="6"/>
        <x:v>#DIV/0!</x:v>
      </x:c>
      <x:c r="N69" s="211"/>
      <x:c r="O69" s="361"/>
      <x:c r="P69" s="212"/>
      <x:c r="Q69" s="212"/>
      <x:c r="R69" s="212"/>
    </x:row>
    <x:row r="70" spans="1:18">
      <x:c r="A70" s="329"/>
      <x:c r="B70" s="329"/>
      <x:c r="C70" s="329"/>
      <x:c r="D70" s="329"/>
      <x:c r="E70" s="329"/>
      <x:c r="F70" s="173"/>
      <x:c r="G70" s="348"/>
      <x:c r="H70" s="72"/>
      <x:c r="I70" s="339">
        <x:f t="shared" si="2"/>
        <x:v>0</x:v>
      </x:c>
      <x:c r="J70" s="341" t="e">
        <x:f t="shared" si="8"/>
        <x:v>#DIV/0!</x:v>
      </x:c>
      <x:c r="K70" s="341" t="e">
        <x:f t="shared" si="4"/>
        <x:v>#DIV/0!</x:v>
      </x:c>
      <x:c r="L70" s="341" t="e">
        <x:f t="shared" si="5"/>
        <x:v>#DIV/0!</x:v>
      </x:c>
      <x:c r="M70" s="341" t="e">
        <x:f t="shared" si="6"/>
        <x:v>#DIV/0!</x:v>
      </x:c>
      <x:c r="N70" s="211"/>
      <x:c r="O70" s="361"/>
      <x:c r="P70" s="212"/>
      <x:c r="Q70" s="212"/>
      <x:c r="R70" s="212"/>
    </x:row>
    <x:row r="71" spans="1:18">
      <x:c r="A71" s="329"/>
      <x:c r="B71" s="329"/>
      <x:c r="C71" s="329"/>
      <x:c r="D71" s="329"/>
      <x:c r="E71" s="329"/>
      <x:c r="F71" s="173"/>
      <x:c r="G71" s="348"/>
      <x:c r="H71" s="72"/>
      <x:c r="I71" s="339">
        <x:f t="shared" si="2"/>
        <x:v>0</x:v>
      </x:c>
      <x:c r="J71" s="341" t="e">
        <x:f t="shared" si="8"/>
        <x:v>#DIV/0!</x:v>
      </x:c>
      <x:c r="K71" s="341" t="e">
        <x:f t="shared" si="4"/>
        <x:v>#DIV/0!</x:v>
      </x:c>
      <x:c r="L71" s="341" t="e">
        <x:f t="shared" si="5"/>
        <x:v>#DIV/0!</x:v>
      </x:c>
      <x:c r="M71" s="341" t="e">
        <x:f t="shared" si="6"/>
        <x:v>#DIV/0!</x:v>
      </x:c>
      <x:c r="N71" s="211"/>
      <x:c r="O71" s="361"/>
      <x:c r="P71" s="212"/>
      <x:c r="Q71" s="212"/>
      <x:c r="R71" s="212"/>
    </x:row>
    <x:row r="72" spans="1:18">
      <x:c r="A72" s="329"/>
      <x:c r="B72" s="329"/>
      <x:c r="C72" s="329"/>
      <x:c r="D72" s="329"/>
      <x:c r="E72" s="329"/>
      <x:c r="F72" s="173"/>
      <x:c r="G72" s="348"/>
      <x:c r="H72" s="72"/>
      <x:c r="I72" s="339">
        <x:f t="shared" si="2"/>
        <x:v>0</x:v>
      </x:c>
      <x:c r="J72" s="341" t="e">
        <x:f t="shared" si="8"/>
        <x:v>#DIV/0!</x:v>
      </x:c>
      <x:c r="K72" s="341" t="e">
        <x:f t="shared" si="4"/>
        <x:v>#DIV/0!</x:v>
      </x:c>
      <x:c r="L72" s="341" t="e">
        <x:f t="shared" si="5"/>
        <x:v>#DIV/0!</x:v>
      </x:c>
      <x:c r="M72" s="341" t="e">
        <x:f t="shared" si="6"/>
        <x:v>#DIV/0!</x:v>
      </x:c>
      <x:c r="N72" s="211"/>
      <x:c r="O72" s="361"/>
      <x:c r="P72" s="212"/>
      <x:c r="Q72" s="212"/>
      <x:c r="R72" s="212"/>
    </x:row>
    <x:row r="73" spans="1:18">
      <x:c r="A73" s="329"/>
      <x:c r="B73" s="329"/>
      <x:c r="C73" s="329"/>
      <x:c r="D73" s="329"/>
      <x:c r="E73" s="329"/>
      <x:c r="F73" s="173"/>
      <x:c r="G73" s="348"/>
      <x:c r="H73" s="72"/>
      <x:c r="I73" s="339">
        <x:f t="shared" ref="I73:I99" si="9">+F73-H73</x:f>
        <x:v>0</x:v>
      </x:c>
      <x:c r="J73" s="341" t="e">
        <x:f t="shared" si="8"/>
        <x:v>#DIV/0!</x:v>
      </x:c>
      <x:c r="K73" s="341" t="e">
        <x:f t="shared" ref="K73:K99" si="10">+F73/$F$7*$K$6</x:f>
        <x:v>#DIV/0!</x:v>
      </x:c>
      <x:c r="L73" s="341" t="e">
        <x:f t="shared" ref="L73:L99" si="11">+F73/$F$7*$L$6</x:f>
        <x:v>#DIV/0!</x:v>
      </x:c>
      <x:c r="M73" s="341" t="e">
        <x:f t="shared" ref="M73:M99" si="12">+I73-J73</x:f>
        <x:v>#DIV/0!</x:v>
      </x:c>
      <x:c r="N73" s="211"/>
      <x:c r="O73" s="361"/>
      <x:c r="P73" s="212"/>
      <x:c r="Q73" s="212"/>
      <x:c r="R73" s="212"/>
    </x:row>
    <x:row r="74" spans="1:18">
      <x:c r="A74" s="329"/>
      <x:c r="B74" s="329"/>
      <x:c r="C74" s="329"/>
      <x:c r="D74" s="329"/>
      <x:c r="E74" s="329"/>
      <x:c r="F74" s="173"/>
      <x:c r="G74" s="348"/>
      <x:c r="H74" s="72"/>
      <x:c r="I74" s="339">
        <x:f t="shared" si="9"/>
        <x:v>0</x:v>
      </x:c>
      <x:c r="J74" s="341" t="e">
        <x:f t="shared" si="8"/>
        <x:v>#DIV/0!</x:v>
      </x:c>
      <x:c r="K74" s="341" t="e">
        <x:f t="shared" si="10"/>
        <x:v>#DIV/0!</x:v>
      </x:c>
      <x:c r="L74" s="341" t="e">
        <x:f t="shared" si="11"/>
        <x:v>#DIV/0!</x:v>
      </x:c>
      <x:c r="M74" s="341" t="e">
        <x:f t="shared" si="12"/>
        <x:v>#DIV/0!</x:v>
      </x:c>
      <x:c r="N74" s="211"/>
      <x:c r="O74" s="361"/>
      <x:c r="P74" s="212"/>
      <x:c r="Q74" s="212"/>
      <x:c r="R74" s="212"/>
    </x:row>
    <x:row r="75" spans="1:18">
      <x:c r="A75" s="329"/>
      <x:c r="B75" s="329"/>
      <x:c r="C75" s="329"/>
      <x:c r="D75" s="329"/>
      <x:c r="E75" s="329"/>
      <x:c r="F75" s="173"/>
      <x:c r="G75" s="348"/>
      <x:c r="H75" s="72"/>
      <x:c r="I75" s="339">
        <x:f t="shared" si="9"/>
        <x:v>0</x:v>
      </x:c>
      <x:c r="J75" s="341" t="e">
        <x:f t="shared" si="8"/>
        <x:v>#DIV/0!</x:v>
      </x:c>
      <x:c r="K75" s="341" t="e">
        <x:f t="shared" si="10"/>
        <x:v>#DIV/0!</x:v>
      </x:c>
      <x:c r="L75" s="341" t="e">
        <x:f t="shared" si="11"/>
        <x:v>#DIV/0!</x:v>
      </x:c>
      <x:c r="M75" s="341" t="e">
        <x:f t="shared" si="12"/>
        <x:v>#DIV/0!</x:v>
      </x:c>
      <x:c r="N75" s="211"/>
      <x:c r="O75" s="361"/>
      <x:c r="P75" s="212"/>
      <x:c r="Q75" s="212"/>
      <x:c r="R75" s="212"/>
    </x:row>
    <x:row r="76" spans="1:18">
      <x:c r="A76" s="329"/>
      <x:c r="B76" s="329"/>
      <x:c r="C76" s="329"/>
      <x:c r="D76" s="329"/>
      <x:c r="E76" s="329"/>
      <x:c r="F76" s="173"/>
      <x:c r="G76" s="348"/>
      <x:c r="H76" s="72"/>
      <x:c r="I76" s="339">
        <x:f t="shared" si="9"/>
        <x:v>0</x:v>
      </x:c>
      <x:c r="J76" s="341" t="e">
        <x:f t="shared" ref="J76:J99" si="13">SUM(K76:L76)</x:f>
        <x:v>#DIV/0!</x:v>
      </x:c>
      <x:c r="K76" s="341" t="e">
        <x:f t="shared" si="10"/>
        <x:v>#DIV/0!</x:v>
      </x:c>
      <x:c r="L76" s="341" t="e">
        <x:f t="shared" si="11"/>
        <x:v>#DIV/0!</x:v>
      </x:c>
      <x:c r="M76" s="341" t="e">
        <x:f t="shared" si="12"/>
        <x:v>#DIV/0!</x:v>
      </x:c>
      <x:c r="N76" s="211"/>
      <x:c r="O76" s="361"/>
      <x:c r="P76" s="212"/>
      <x:c r="Q76" s="212"/>
      <x:c r="R76" s="212"/>
    </x:row>
    <x:row r="77" spans="1:18">
      <x:c r="A77" s="329"/>
      <x:c r="B77" s="329"/>
      <x:c r="C77" s="329"/>
      <x:c r="D77" s="329"/>
      <x:c r="E77" s="329"/>
      <x:c r="F77" s="173"/>
      <x:c r="G77" s="348"/>
      <x:c r="H77" s="72"/>
      <x:c r="I77" s="339">
        <x:f t="shared" si="9"/>
        <x:v>0</x:v>
      </x:c>
      <x:c r="J77" s="341" t="e">
        <x:f t="shared" si="13"/>
        <x:v>#DIV/0!</x:v>
      </x:c>
      <x:c r="K77" s="341" t="e">
        <x:f t="shared" si="10"/>
        <x:v>#DIV/0!</x:v>
      </x:c>
      <x:c r="L77" s="341" t="e">
        <x:f t="shared" si="11"/>
        <x:v>#DIV/0!</x:v>
      </x:c>
      <x:c r="M77" s="341" t="e">
        <x:f t="shared" si="12"/>
        <x:v>#DIV/0!</x:v>
      </x:c>
      <x:c r="N77" s="211"/>
      <x:c r="O77" s="361"/>
      <x:c r="P77" s="212"/>
      <x:c r="Q77" s="212"/>
      <x:c r="R77" s="212"/>
    </x:row>
    <x:row r="78" spans="1:18">
      <x:c r="A78" s="329"/>
      <x:c r="B78" s="329"/>
      <x:c r="C78" s="329"/>
      <x:c r="D78" s="329"/>
      <x:c r="E78" s="329"/>
      <x:c r="F78" s="173"/>
      <x:c r="G78" s="348"/>
      <x:c r="H78" s="72"/>
      <x:c r="I78" s="339">
        <x:f t="shared" si="9"/>
        <x:v>0</x:v>
      </x:c>
      <x:c r="J78" s="341" t="e">
        <x:f t="shared" si="13"/>
        <x:v>#DIV/0!</x:v>
      </x:c>
      <x:c r="K78" s="341" t="e">
        <x:f t="shared" si="10"/>
        <x:v>#DIV/0!</x:v>
      </x:c>
      <x:c r="L78" s="341" t="e">
        <x:f t="shared" si="11"/>
        <x:v>#DIV/0!</x:v>
      </x:c>
      <x:c r="M78" s="341" t="e">
        <x:f t="shared" si="12"/>
        <x:v>#DIV/0!</x:v>
      </x:c>
      <x:c r="N78" s="211"/>
      <x:c r="O78" s="361"/>
      <x:c r="P78" s="212"/>
      <x:c r="Q78" s="212"/>
      <x:c r="R78" s="212"/>
    </x:row>
    <x:row r="79" spans="1:18">
      <x:c r="A79" s="329"/>
      <x:c r="B79" s="329"/>
      <x:c r="C79" s="329"/>
      <x:c r="D79" s="329"/>
      <x:c r="E79" s="329"/>
      <x:c r="F79" s="173"/>
      <x:c r="G79" s="348"/>
      <x:c r="H79" s="72"/>
      <x:c r="I79" s="339">
        <x:f t="shared" si="9"/>
        <x:v>0</x:v>
      </x:c>
      <x:c r="J79" s="341" t="e">
        <x:f t="shared" si="13"/>
        <x:v>#DIV/0!</x:v>
      </x:c>
      <x:c r="K79" s="341" t="e">
        <x:f t="shared" si="10"/>
        <x:v>#DIV/0!</x:v>
      </x:c>
      <x:c r="L79" s="341" t="e">
        <x:f t="shared" si="11"/>
        <x:v>#DIV/0!</x:v>
      </x:c>
      <x:c r="M79" s="341" t="e">
        <x:f t="shared" si="12"/>
        <x:v>#DIV/0!</x:v>
      </x:c>
      <x:c r="N79" s="211"/>
      <x:c r="O79" s="361"/>
      <x:c r="P79" s="212"/>
      <x:c r="Q79" s="212"/>
      <x:c r="R79" s="212"/>
    </x:row>
    <x:row r="80" spans="1:18">
      <x:c r="A80" s="329"/>
      <x:c r="B80" s="329"/>
      <x:c r="C80" s="329"/>
      <x:c r="D80" s="329"/>
      <x:c r="E80" s="329"/>
      <x:c r="F80" s="173"/>
      <x:c r="G80" s="348"/>
      <x:c r="H80" s="72"/>
      <x:c r="I80" s="339">
        <x:f t="shared" si="9"/>
        <x:v>0</x:v>
      </x:c>
      <x:c r="J80" s="341" t="e">
        <x:f t="shared" si="13"/>
        <x:v>#DIV/0!</x:v>
      </x:c>
      <x:c r="K80" s="341" t="e">
        <x:f t="shared" si="10"/>
        <x:v>#DIV/0!</x:v>
      </x:c>
      <x:c r="L80" s="341" t="e">
        <x:f t="shared" si="11"/>
        <x:v>#DIV/0!</x:v>
      </x:c>
      <x:c r="M80" s="341" t="e">
        <x:f t="shared" si="12"/>
        <x:v>#DIV/0!</x:v>
      </x:c>
      <x:c r="N80" s="211"/>
      <x:c r="O80" s="361"/>
      <x:c r="P80" s="212"/>
      <x:c r="Q80" s="212"/>
      <x:c r="R80" s="212"/>
    </x:row>
    <x:row r="81" spans="1:15">
      <x:c r="A81" s="329"/>
      <x:c r="B81" s="329"/>
      <x:c r="C81" s="329"/>
      <x:c r="D81" s="329"/>
      <x:c r="E81" s="329"/>
      <x:c r="F81" s="173"/>
      <x:c r="G81" s="348"/>
      <x:c r="H81" s="72"/>
      <x:c r="I81" s="339">
        <x:f t="shared" si="9"/>
        <x:v>0</x:v>
      </x:c>
      <x:c r="J81" s="341" t="e">
        <x:f t="shared" si="13"/>
        <x:v>#DIV/0!</x:v>
      </x:c>
      <x:c r="K81" s="341" t="e">
        <x:f t="shared" si="10"/>
        <x:v>#DIV/0!</x:v>
      </x:c>
      <x:c r="L81" s="341" t="e">
        <x:f t="shared" si="11"/>
        <x:v>#DIV/0!</x:v>
      </x:c>
      <x:c r="M81" s="341" t="e">
        <x:f t="shared" si="12"/>
        <x:v>#DIV/0!</x:v>
      </x:c>
      <x:c r="O81" s="361"/>
    </x:row>
    <x:row r="82" spans="1:15">
      <x:c r="A82" s="329"/>
      <x:c r="B82" s="329"/>
      <x:c r="C82" s="329"/>
      <x:c r="D82" s="329"/>
      <x:c r="E82" s="329"/>
      <x:c r="F82" s="173"/>
      <x:c r="G82" s="348"/>
      <x:c r="H82" s="72"/>
      <x:c r="I82" s="339">
        <x:f t="shared" si="9"/>
        <x:v>0</x:v>
      </x:c>
      <x:c r="J82" s="341" t="e">
        <x:f t="shared" si="13"/>
        <x:v>#DIV/0!</x:v>
      </x:c>
      <x:c r="K82" s="341" t="e">
        <x:f t="shared" si="10"/>
        <x:v>#DIV/0!</x:v>
      </x:c>
      <x:c r="L82" s="341" t="e">
        <x:f t="shared" si="11"/>
        <x:v>#DIV/0!</x:v>
      </x:c>
      <x:c r="M82" s="341" t="e">
        <x:f t="shared" si="12"/>
        <x:v>#DIV/0!</x:v>
      </x:c>
      <x:c r="O82" s="361"/>
    </x:row>
    <x:row r="83" spans="1:15">
      <x:c r="A83" s="329"/>
      <x:c r="B83" s="329"/>
      <x:c r="C83" s="329"/>
      <x:c r="D83" s="329"/>
      <x:c r="E83" s="329"/>
      <x:c r="F83" s="173"/>
      <x:c r="G83" s="348"/>
      <x:c r="H83" s="72"/>
      <x:c r="I83" s="339">
        <x:f t="shared" si="9"/>
        <x:v>0</x:v>
      </x:c>
      <x:c r="J83" s="341" t="e">
        <x:f t="shared" si="13"/>
        <x:v>#DIV/0!</x:v>
      </x:c>
      <x:c r="K83" s="341" t="e">
        <x:f t="shared" si="10"/>
        <x:v>#DIV/0!</x:v>
      </x:c>
      <x:c r="L83" s="341" t="e">
        <x:f t="shared" si="11"/>
        <x:v>#DIV/0!</x:v>
      </x:c>
      <x:c r="M83" s="341" t="e">
        <x:f t="shared" si="12"/>
        <x:v>#DIV/0!</x:v>
      </x:c>
      <x:c r="O83" s="361"/>
    </x:row>
    <x:row r="84" spans="1:15">
      <x:c r="A84" s="329"/>
      <x:c r="B84" s="329"/>
      <x:c r="C84" s="329"/>
      <x:c r="D84" s="329"/>
      <x:c r="E84" s="329"/>
      <x:c r="F84" s="173"/>
      <x:c r="G84" s="348"/>
      <x:c r="H84" s="72"/>
      <x:c r="I84" s="339">
        <x:f t="shared" si="9"/>
        <x:v>0</x:v>
      </x:c>
      <x:c r="J84" s="341" t="e">
        <x:f t="shared" si="13"/>
        <x:v>#DIV/0!</x:v>
      </x:c>
      <x:c r="K84" s="341" t="e">
        <x:f t="shared" si="10"/>
        <x:v>#DIV/0!</x:v>
      </x:c>
      <x:c r="L84" s="341" t="e">
        <x:f t="shared" si="11"/>
        <x:v>#DIV/0!</x:v>
      </x:c>
      <x:c r="M84" s="341" t="e">
        <x:f t="shared" si="12"/>
        <x:v>#DIV/0!</x:v>
      </x:c>
      <x:c r="O84" s="361"/>
    </x:row>
    <x:row r="85" spans="1:15">
      <x:c r="A85" s="329"/>
      <x:c r="B85" s="329"/>
      <x:c r="C85" s="329"/>
      <x:c r="D85" s="329"/>
      <x:c r="E85" s="329"/>
      <x:c r="F85" s="173"/>
      <x:c r="G85" s="348"/>
      <x:c r="H85" s="72"/>
      <x:c r="I85" s="339">
        <x:f t="shared" si="9"/>
        <x:v>0</x:v>
      </x:c>
      <x:c r="J85" s="341" t="e">
        <x:f t="shared" si="13"/>
        <x:v>#DIV/0!</x:v>
      </x:c>
      <x:c r="K85" s="341" t="e">
        <x:f t="shared" si="10"/>
        <x:v>#DIV/0!</x:v>
      </x:c>
      <x:c r="L85" s="341" t="e">
        <x:f t="shared" si="11"/>
        <x:v>#DIV/0!</x:v>
      </x:c>
      <x:c r="M85" s="341" t="e">
        <x:f t="shared" si="12"/>
        <x:v>#DIV/0!</x:v>
      </x:c>
      <x:c r="O85" s="361"/>
    </x:row>
    <x:row r="86" spans="1:15">
      <x:c r="A86" s="329"/>
      <x:c r="B86" s="329"/>
      <x:c r="C86" s="329"/>
      <x:c r="D86" s="329"/>
      <x:c r="E86" s="329"/>
      <x:c r="F86" s="173"/>
      <x:c r="G86" s="348"/>
      <x:c r="H86" s="72"/>
      <x:c r="I86" s="339">
        <x:f t="shared" si="9"/>
        <x:v>0</x:v>
      </x:c>
      <x:c r="J86" s="341" t="e">
        <x:f t="shared" si="13"/>
        <x:v>#DIV/0!</x:v>
      </x:c>
      <x:c r="K86" s="341" t="e">
        <x:f t="shared" si="10"/>
        <x:v>#DIV/0!</x:v>
      </x:c>
      <x:c r="L86" s="341" t="e">
        <x:f t="shared" si="11"/>
        <x:v>#DIV/0!</x:v>
      </x:c>
      <x:c r="M86" s="341" t="e">
        <x:f t="shared" si="12"/>
        <x:v>#DIV/0!</x:v>
      </x:c>
      <x:c r="O86" s="361"/>
    </x:row>
    <x:row r="87" spans="1:15">
      <x:c r="A87" s="329"/>
      <x:c r="B87" s="329"/>
      <x:c r="C87" s="329"/>
      <x:c r="D87" s="329"/>
      <x:c r="E87" s="329"/>
      <x:c r="F87" s="173"/>
      <x:c r="G87" s="348"/>
      <x:c r="H87" s="72"/>
      <x:c r="I87" s="339">
        <x:f t="shared" si="9"/>
        <x:v>0</x:v>
      </x:c>
      <x:c r="J87" s="341" t="e">
        <x:f t="shared" si="13"/>
        <x:v>#DIV/0!</x:v>
      </x:c>
      <x:c r="K87" s="341" t="e">
        <x:f t="shared" si="10"/>
        <x:v>#DIV/0!</x:v>
      </x:c>
      <x:c r="L87" s="341" t="e">
        <x:f t="shared" si="11"/>
        <x:v>#DIV/0!</x:v>
      </x:c>
      <x:c r="M87" s="341" t="e">
        <x:f t="shared" si="12"/>
        <x:v>#DIV/0!</x:v>
      </x:c>
      <x:c r="O87" s="361"/>
    </x:row>
    <x:row r="88" spans="1:15">
      <x:c r="A88" s="329"/>
      <x:c r="B88" s="329"/>
      <x:c r="C88" s="329"/>
      <x:c r="D88" s="329"/>
      <x:c r="E88" s="329"/>
      <x:c r="F88" s="173"/>
      <x:c r="G88" s="348"/>
      <x:c r="H88" s="72"/>
      <x:c r="I88" s="339">
        <x:f t="shared" si="9"/>
        <x:v>0</x:v>
      </x:c>
      <x:c r="J88" s="341" t="e">
        <x:f t="shared" si="13"/>
        <x:v>#DIV/0!</x:v>
      </x:c>
      <x:c r="K88" s="341" t="e">
        <x:f t="shared" si="10"/>
        <x:v>#DIV/0!</x:v>
      </x:c>
      <x:c r="L88" s="341" t="e">
        <x:f t="shared" si="11"/>
        <x:v>#DIV/0!</x:v>
      </x:c>
      <x:c r="M88" s="341" t="e">
        <x:f t="shared" si="12"/>
        <x:v>#DIV/0!</x:v>
      </x:c>
      <x:c r="O88" s="361"/>
    </x:row>
    <x:row r="89" spans="1:15">
      <x:c r="A89" s="329"/>
      <x:c r="B89" s="329"/>
      <x:c r="C89" s="329"/>
      <x:c r="D89" s="329"/>
      <x:c r="E89" s="329"/>
      <x:c r="F89" s="173"/>
      <x:c r="G89" s="348"/>
      <x:c r="H89" s="72"/>
      <x:c r="I89" s="339">
        <x:f t="shared" si="9"/>
        <x:v>0</x:v>
      </x:c>
      <x:c r="J89" s="341" t="e">
        <x:f t="shared" si="13"/>
        <x:v>#DIV/0!</x:v>
      </x:c>
      <x:c r="K89" s="341" t="e">
        <x:f t="shared" si="10"/>
        <x:v>#DIV/0!</x:v>
      </x:c>
      <x:c r="L89" s="341" t="e">
        <x:f t="shared" si="11"/>
        <x:v>#DIV/0!</x:v>
      </x:c>
      <x:c r="M89" s="341" t="e">
        <x:f t="shared" si="12"/>
        <x:v>#DIV/0!</x:v>
      </x:c>
      <x:c r="O89" s="361"/>
    </x:row>
    <x:row r="90" spans="1:15">
      <x:c r="A90" s="329"/>
      <x:c r="B90" s="329"/>
      <x:c r="C90" s="329"/>
      <x:c r="D90" s="329"/>
      <x:c r="E90" s="329"/>
      <x:c r="F90" s="173"/>
      <x:c r="G90" s="348"/>
      <x:c r="H90" s="72"/>
      <x:c r="I90" s="339">
        <x:f t="shared" si="9"/>
        <x:v>0</x:v>
      </x:c>
      <x:c r="J90" s="341" t="e">
        <x:f t="shared" si="13"/>
        <x:v>#DIV/0!</x:v>
      </x:c>
      <x:c r="K90" s="341" t="e">
        <x:f t="shared" si="10"/>
        <x:v>#DIV/0!</x:v>
      </x:c>
      <x:c r="L90" s="341" t="e">
        <x:f t="shared" si="11"/>
        <x:v>#DIV/0!</x:v>
      </x:c>
      <x:c r="M90" s="341" t="e">
        <x:f t="shared" si="12"/>
        <x:v>#DIV/0!</x:v>
      </x:c>
      <x:c r="O90" s="361"/>
    </x:row>
    <x:row r="91" spans="1:15">
      <x:c r="A91" s="329"/>
      <x:c r="B91" s="329"/>
      <x:c r="C91" s="329"/>
      <x:c r="D91" s="329"/>
      <x:c r="E91" s="329"/>
      <x:c r="F91" s="173"/>
      <x:c r="G91" s="348"/>
      <x:c r="H91" s="72"/>
      <x:c r="I91" s="339">
        <x:f t="shared" si="9"/>
        <x:v>0</x:v>
      </x:c>
      <x:c r="J91" s="341" t="e">
        <x:f t="shared" si="13"/>
        <x:v>#DIV/0!</x:v>
      </x:c>
      <x:c r="K91" s="341" t="e">
        <x:f t="shared" si="10"/>
        <x:v>#DIV/0!</x:v>
      </x:c>
      <x:c r="L91" s="341" t="e">
        <x:f t="shared" si="11"/>
        <x:v>#DIV/0!</x:v>
      </x:c>
      <x:c r="M91" s="341" t="e">
        <x:f t="shared" si="12"/>
        <x:v>#DIV/0!</x:v>
      </x:c>
      <x:c r="O91" s="361"/>
    </x:row>
    <x:row r="92" spans="1:15">
      <x:c r="A92" s="329"/>
      <x:c r="B92" s="329"/>
      <x:c r="C92" s="329"/>
      <x:c r="D92" s="329"/>
      <x:c r="E92" s="329"/>
      <x:c r="F92" s="173"/>
      <x:c r="G92" s="348"/>
      <x:c r="H92" s="72"/>
      <x:c r="I92" s="339">
        <x:f t="shared" si="9"/>
        <x:v>0</x:v>
      </x:c>
      <x:c r="J92" s="341" t="e">
        <x:f t="shared" si="13"/>
        <x:v>#DIV/0!</x:v>
      </x:c>
      <x:c r="K92" s="341" t="e">
        <x:f t="shared" si="10"/>
        <x:v>#DIV/0!</x:v>
      </x:c>
      <x:c r="L92" s="341" t="e">
        <x:f t="shared" si="11"/>
        <x:v>#DIV/0!</x:v>
      </x:c>
      <x:c r="M92" s="341" t="e">
        <x:f t="shared" si="12"/>
        <x:v>#DIV/0!</x:v>
      </x:c>
      <x:c r="O92" s="361"/>
    </x:row>
    <x:row r="93" spans="1:15">
      <x:c r="A93" s="329"/>
      <x:c r="B93" s="329"/>
      <x:c r="C93" s="329"/>
      <x:c r="D93" s="329"/>
      <x:c r="E93" s="329"/>
      <x:c r="F93" s="173"/>
      <x:c r="G93" s="348"/>
      <x:c r="H93" s="72"/>
      <x:c r="I93" s="339">
        <x:f t="shared" si="9"/>
        <x:v>0</x:v>
      </x:c>
      <x:c r="J93" s="341" t="e">
        <x:f t="shared" si="13"/>
        <x:v>#DIV/0!</x:v>
      </x:c>
      <x:c r="K93" s="341" t="e">
        <x:f t="shared" si="10"/>
        <x:v>#DIV/0!</x:v>
      </x:c>
      <x:c r="L93" s="341" t="e">
        <x:f t="shared" si="11"/>
        <x:v>#DIV/0!</x:v>
      </x:c>
      <x:c r="M93" s="341" t="e">
        <x:f t="shared" si="12"/>
        <x:v>#DIV/0!</x:v>
      </x:c>
      <x:c r="O93" s="361"/>
    </x:row>
    <x:row r="94" spans="1:15">
      <x:c r="A94" s="329"/>
      <x:c r="B94" s="329"/>
      <x:c r="C94" s="329"/>
      <x:c r="D94" s="329"/>
      <x:c r="E94" s="329"/>
      <x:c r="F94" s="173"/>
      <x:c r="G94" s="348"/>
      <x:c r="H94" s="72"/>
      <x:c r="I94" s="339">
        <x:f t="shared" si="9"/>
        <x:v>0</x:v>
      </x:c>
      <x:c r="J94" s="341" t="e">
        <x:f t="shared" si="13"/>
        <x:v>#DIV/0!</x:v>
      </x:c>
      <x:c r="K94" s="341" t="e">
        <x:f t="shared" si="10"/>
        <x:v>#DIV/0!</x:v>
      </x:c>
      <x:c r="L94" s="341" t="e">
        <x:f t="shared" si="11"/>
        <x:v>#DIV/0!</x:v>
      </x:c>
      <x:c r="M94" s="341" t="e">
        <x:f t="shared" si="12"/>
        <x:v>#DIV/0!</x:v>
      </x:c>
      <x:c r="O94" s="361"/>
    </x:row>
    <x:row r="95" spans="1:15">
      <x:c r="A95" s="329"/>
      <x:c r="B95" s="329"/>
      <x:c r="C95" s="329"/>
      <x:c r="D95" s="329"/>
      <x:c r="E95" s="329"/>
      <x:c r="F95" s="173"/>
      <x:c r="G95" s="348"/>
      <x:c r="H95" s="72"/>
      <x:c r="I95" s="339">
        <x:f t="shared" si="9"/>
        <x:v>0</x:v>
      </x:c>
      <x:c r="J95" s="341" t="e">
        <x:f t="shared" si="13"/>
        <x:v>#DIV/0!</x:v>
      </x:c>
      <x:c r="K95" s="341" t="e">
        <x:f t="shared" si="10"/>
        <x:v>#DIV/0!</x:v>
      </x:c>
      <x:c r="L95" s="341" t="e">
        <x:f t="shared" si="11"/>
        <x:v>#DIV/0!</x:v>
      </x:c>
      <x:c r="M95" s="341" t="e">
        <x:f t="shared" si="12"/>
        <x:v>#DIV/0!</x:v>
      </x:c>
      <x:c r="O95" s="361"/>
    </x:row>
    <x:row r="96" spans="1:15">
      <x:c r="A96" s="329"/>
      <x:c r="B96" s="329"/>
      <x:c r="C96" s="329"/>
      <x:c r="D96" s="329"/>
      <x:c r="E96" s="329"/>
      <x:c r="F96" s="173"/>
      <x:c r="G96" s="348"/>
      <x:c r="H96" s="72"/>
      <x:c r="I96" s="339">
        <x:f t="shared" si="9"/>
        <x:v>0</x:v>
      </x:c>
      <x:c r="J96" s="341" t="e">
        <x:f t="shared" si="13"/>
        <x:v>#DIV/0!</x:v>
      </x:c>
      <x:c r="K96" s="341" t="e">
        <x:f t="shared" si="10"/>
        <x:v>#DIV/0!</x:v>
      </x:c>
      <x:c r="L96" s="341" t="e">
        <x:f t="shared" si="11"/>
        <x:v>#DIV/0!</x:v>
      </x:c>
      <x:c r="M96" s="341" t="e">
        <x:f t="shared" si="12"/>
        <x:v>#DIV/0!</x:v>
      </x:c>
      <x:c r="O96" s="361"/>
    </x:row>
    <x:row r="97" spans="1:18">
      <x:c r="A97" s="329"/>
      <x:c r="B97" s="329"/>
      <x:c r="C97" s="329"/>
      <x:c r="D97" s="329"/>
      <x:c r="E97" s="329"/>
      <x:c r="F97" s="173"/>
      <x:c r="G97" s="348"/>
      <x:c r="H97" s="72"/>
      <x:c r="I97" s="339">
        <x:f t="shared" si="9"/>
        <x:v>0</x:v>
      </x:c>
      <x:c r="J97" s="341" t="e">
        <x:f t="shared" si="13"/>
        <x:v>#DIV/0!</x:v>
      </x:c>
      <x:c r="K97" s="341" t="e">
        <x:f t="shared" si="10"/>
        <x:v>#DIV/0!</x:v>
      </x:c>
      <x:c r="L97" s="341" t="e">
        <x:f t="shared" si="11"/>
        <x:v>#DIV/0!</x:v>
      </x:c>
      <x:c r="M97" s="341" t="e">
        <x:f t="shared" si="12"/>
        <x:v>#DIV/0!</x:v>
      </x:c>
      <x:c r="O97" s="361"/>
    </x:row>
    <x:row r="98" spans="1:18">
      <x:c r="A98" s="329"/>
      <x:c r="B98" s="329"/>
      <x:c r="C98" s="329"/>
      <x:c r="D98" s="329"/>
      <x:c r="E98" s="329"/>
      <x:c r="F98" s="173"/>
      <x:c r="G98" s="348"/>
      <x:c r="H98" s="72"/>
      <x:c r="I98" s="339">
        <x:f t="shared" si="9"/>
        <x:v>0</x:v>
      </x:c>
      <x:c r="J98" s="341" t="e">
        <x:f t="shared" si="13"/>
        <x:v>#DIV/0!</x:v>
      </x:c>
      <x:c r="K98" s="341" t="e">
        <x:f t="shared" si="10"/>
        <x:v>#DIV/0!</x:v>
      </x:c>
      <x:c r="L98" s="341" t="e">
        <x:f t="shared" si="11"/>
        <x:v>#DIV/0!</x:v>
      </x:c>
      <x:c r="M98" s="341" t="e">
        <x:f t="shared" si="12"/>
        <x:v>#DIV/0!</x:v>
      </x:c>
      <x:c r="O98" s="361"/>
    </x:row>
    <x:row r="99" spans="1:18">
      <x:c r="A99" s="329"/>
      <x:c r="B99" s="329"/>
      <x:c r="C99" s="329"/>
      <x:c r="D99" s="329"/>
      <x:c r="E99" s="329"/>
      <x:c r="F99" s="173"/>
      <x:c r="G99" s="348"/>
      <x:c r="H99" s="72"/>
      <x:c r="I99" s="339">
        <x:f t="shared" si="9"/>
        <x:v>0</x:v>
      </x:c>
      <x:c r="J99" s="341" t="e">
        <x:f t="shared" si="13"/>
        <x:v>#DIV/0!</x:v>
      </x:c>
      <x:c r="K99" s="341" t="e">
        <x:f t="shared" si="10"/>
        <x:v>#DIV/0!</x:v>
      </x:c>
      <x:c r="L99" s="341" t="e">
        <x:f t="shared" si="11"/>
        <x:v>#DIV/0!</x:v>
      </x:c>
      <x:c r="M99" s="341" t="e">
        <x:f t="shared" si="12"/>
        <x:v>#DIV/0!</x:v>
      </x:c>
      <x:c r="O99" s="361"/>
    </x:row>
    <x:row r="100" spans="1:18">
      <x:c r="A100" s="329"/>
      <x:c r="B100" s="329"/>
      <x:c r="C100" s="329"/>
      <x:c r="D100" s="329"/>
      <x:c r="E100" s="329"/>
      <x:c r="F100" s="173"/>
      <x:c r="G100" s="348"/>
      <x:c r="H100" s="72"/>
      <x:c r="I100" s="339">
        <x:f t="shared" ref="I100:I160" si="14">+F100-H100</x:f>
        <x:v>0</x:v>
      </x:c>
      <x:c r="J100" s="341" t="e">
        <x:f t="shared" ref="J100:J160" si="15">SUM(K100:L100)</x:f>
        <x:v>#DIV/0!</x:v>
      </x:c>
      <x:c r="K100" s="341" t="e">
        <x:f t="shared" ref="K100:K160" si="16">+F100/$F$7*$K$6</x:f>
        <x:v>#DIV/0!</x:v>
      </x:c>
      <x:c r="L100" s="341" t="e">
        <x:f t="shared" ref="L100:L160" si="17">+F100/$F$7*$L$6</x:f>
        <x:v>#DIV/0!</x:v>
      </x:c>
      <x:c r="M100" s="341" t="e">
        <x:f t="shared" ref="M100:M160" si="18">+I100-J100</x:f>
        <x:v>#DIV/0!</x:v>
      </x:c>
    </x:row>
    <x:row r="101" spans="1:18">
      <x:c r="A101" s="329"/>
      <x:c r="B101" s="329"/>
      <x:c r="C101" s="329"/>
      <x:c r="D101" s="329"/>
      <x:c r="E101" s="329"/>
      <x:c r="F101" s="173"/>
      <x:c r="G101" s="348"/>
      <x:c r="H101" s="72"/>
      <x:c r="I101" s="339">
        <x:f t="shared" si="14"/>
        <x:v>0</x:v>
      </x:c>
      <x:c r="J101" s="341" t="e">
        <x:f t="shared" si="15"/>
        <x:v>#DIV/0!</x:v>
      </x:c>
      <x:c r="K101" s="341" t="e">
        <x:f t="shared" si="16"/>
        <x:v>#DIV/0!</x:v>
      </x:c>
      <x:c r="L101" s="341" t="e">
        <x:f t="shared" si="17"/>
        <x:v>#DIV/0!</x:v>
      </x:c>
      <x:c r="M101" s="341" t="e">
        <x:f t="shared" si="18"/>
        <x:v>#DIV/0!</x:v>
      </x:c>
    </x:row>
    <x:row r="102" spans="1:18">
      <x:c r="A102" s="329"/>
      <x:c r="B102" s="329"/>
      <x:c r="C102" s="329"/>
      <x:c r="D102" s="329"/>
      <x:c r="E102" s="329"/>
      <x:c r="F102" s="173"/>
      <x:c r="G102" s="348"/>
      <x:c r="H102" s="72"/>
      <x:c r="I102" s="339">
        <x:f t="shared" si="14"/>
        <x:v>0</x:v>
      </x:c>
      <x:c r="J102" s="341" t="e">
        <x:f t="shared" si="15"/>
        <x:v>#DIV/0!</x:v>
      </x:c>
      <x:c r="K102" s="341" t="e">
        <x:f t="shared" si="16"/>
        <x:v>#DIV/0!</x:v>
      </x:c>
      <x:c r="L102" s="341" t="e">
        <x:f t="shared" si="17"/>
        <x:v>#DIV/0!</x:v>
      </x:c>
      <x:c r="M102" s="341" t="e">
        <x:f t="shared" si="18"/>
        <x:v>#DIV/0!</x:v>
      </x:c>
    </x:row>
    <x:row r="103" spans="1:18">
      <x:c r="A103" s="329"/>
      <x:c r="B103" s="329"/>
      <x:c r="C103" s="329"/>
      <x:c r="D103" s="329"/>
      <x:c r="E103" s="329"/>
      <x:c r="F103" s="173"/>
      <x:c r="I103" s="339">
        <x:f t="shared" si="14"/>
        <x:v>0</x:v>
      </x:c>
      <x:c r="J103" s="341" t="e">
        <x:f t="shared" si="15"/>
        <x:v>#DIV/0!</x:v>
      </x:c>
      <x:c r="K103" s="341" t="e">
        <x:f t="shared" si="16"/>
        <x:v>#DIV/0!</x:v>
      </x:c>
      <x:c r="L103" s="341" t="e">
        <x:f t="shared" si="17"/>
        <x:v>#DIV/0!</x:v>
      </x:c>
      <x:c r="M103" s="341" t="e">
        <x:f t="shared" si="18"/>
        <x:v>#DIV/0!</x:v>
      </x:c>
    </x:row>
    <x:row r="104" spans="1:18">
      <x:c r="A104" s="329"/>
      <x:c r="B104" s="329"/>
      <x:c r="C104" s="329"/>
      <x:c r="D104" s="329"/>
      <x:c r="E104" s="329"/>
      <x:c r="F104" s="173"/>
      <x:c r="I104" s="339">
        <x:f t="shared" si="14"/>
        <x:v>0</x:v>
      </x:c>
      <x:c r="J104" s="341" t="e">
        <x:f t="shared" si="15"/>
        <x:v>#DIV/0!</x:v>
      </x:c>
      <x:c r="K104" s="341" t="e">
        <x:f t="shared" si="16"/>
        <x:v>#DIV/0!</x:v>
      </x:c>
      <x:c r="L104" s="341" t="e">
        <x:f t="shared" si="17"/>
        <x:v>#DIV/0!</x:v>
      </x:c>
      <x:c r="M104" s="341" t="e">
        <x:f t="shared" si="18"/>
        <x:v>#DIV/0!</x:v>
      </x:c>
    </x:row>
    <x:row r="105" spans="1:18">
      <x:c r="A105" s="329"/>
      <x:c r="B105" s="329"/>
      <x:c r="C105" s="329"/>
      <x:c r="D105" s="329"/>
      <x:c r="E105" s="329"/>
      <x:c r="F105" s="173"/>
      <x:c r="I105" s="339">
        <x:f t="shared" si="14"/>
        <x:v>0</x:v>
      </x:c>
      <x:c r="J105" s="341" t="e">
        <x:f t="shared" si="15"/>
        <x:v>#DIV/0!</x:v>
      </x:c>
      <x:c r="K105" s="341" t="e">
        <x:f t="shared" si="16"/>
        <x:v>#DIV/0!</x:v>
      </x:c>
      <x:c r="L105" s="341" t="e">
        <x:f t="shared" si="17"/>
        <x:v>#DIV/0!</x:v>
      </x:c>
      <x:c r="M105" s="341" t="e">
        <x:f t="shared" si="18"/>
        <x:v>#DIV/0!</x:v>
      </x:c>
    </x:row>
    <x:row r="106" spans="1:18">
      <x:c r="A106" s="329"/>
      <x:c r="B106" s="329"/>
      <x:c r="C106" s="329"/>
      <x:c r="D106" s="329"/>
      <x:c r="E106" s="329"/>
      <x:c r="F106" s="173"/>
      <x:c r="I106" s="339">
        <x:f t="shared" si="14"/>
        <x:v>0</x:v>
      </x:c>
      <x:c r="J106" s="341" t="e">
        <x:f t="shared" si="15"/>
        <x:v>#DIV/0!</x:v>
      </x:c>
      <x:c r="K106" s="341" t="e">
        <x:f t="shared" si="16"/>
        <x:v>#DIV/0!</x:v>
      </x:c>
      <x:c r="L106" s="341" t="e">
        <x:f t="shared" si="17"/>
        <x:v>#DIV/0!</x:v>
      </x:c>
      <x:c r="M106" s="341" t="e">
        <x:f t="shared" si="18"/>
        <x:v>#DIV/0!</x:v>
      </x:c>
      <x:c r="Q106" s="362"/>
      <x:c r="R106" s="210"/>
    </x:row>
    <x:row r="107" spans="1:18">
      <x:c r="A107" s="329"/>
      <x:c r="B107" s="329"/>
      <x:c r="C107" s="329"/>
      <x:c r="D107" s="329"/>
      <x:c r="E107" s="329"/>
      <x:c r="F107" s="173"/>
      <x:c r="I107" s="339">
        <x:f t="shared" si="14"/>
        <x:v>0</x:v>
      </x:c>
      <x:c r="J107" s="341" t="e">
        <x:f t="shared" si="15"/>
        <x:v>#DIV/0!</x:v>
      </x:c>
      <x:c r="K107" s="341" t="e">
        <x:f t="shared" si="16"/>
        <x:v>#DIV/0!</x:v>
      </x:c>
      <x:c r="L107" s="341" t="e">
        <x:f t="shared" si="17"/>
        <x:v>#DIV/0!</x:v>
      </x:c>
      <x:c r="M107" s="341" t="e">
        <x:f t="shared" si="18"/>
        <x:v>#DIV/0!</x:v>
      </x:c>
      <x:c r="Q107" s="362"/>
      <x:c r="R107" s="210"/>
    </x:row>
    <x:row r="108" spans="1:18">
      <x:c r="A108" s="329"/>
      <x:c r="B108" s="329"/>
      <x:c r="C108" s="329"/>
      <x:c r="D108" s="329"/>
      <x:c r="E108" s="329"/>
      <x:c r="F108" s="173"/>
      <x:c r="I108" s="339">
        <x:f t="shared" si="14"/>
        <x:v>0</x:v>
      </x:c>
      <x:c r="J108" s="341" t="e">
        <x:f t="shared" si="15"/>
        <x:v>#DIV/0!</x:v>
      </x:c>
      <x:c r="K108" s="341" t="e">
        <x:f t="shared" si="16"/>
        <x:v>#DIV/0!</x:v>
      </x:c>
      <x:c r="L108" s="341" t="e">
        <x:f t="shared" si="17"/>
        <x:v>#DIV/0!</x:v>
      </x:c>
      <x:c r="M108" s="341" t="e">
        <x:f t="shared" si="18"/>
        <x:v>#DIV/0!</x:v>
      </x:c>
      <x:c r="Q108" s="362"/>
      <x:c r="R108" s="210"/>
    </x:row>
    <x:row r="109" spans="1:18">
      <x:c r="A109" s="329"/>
      <x:c r="B109" s="329"/>
      <x:c r="C109" s="329"/>
      <x:c r="D109" s="329"/>
      <x:c r="E109" s="329"/>
      <x:c r="F109" s="173"/>
      <x:c r="I109" s="339">
        <x:f t="shared" si="14"/>
        <x:v>0</x:v>
      </x:c>
      <x:c r="J109" s="341" t="e">
        <x:f t="shared" si="15"/>
        <x:v>#DIV/0!</x:v>
      </x:c>
      <x:c r="K109" s="341" t="e">
        <x:f t="shared" si="16"/>
        <x:v>#DIV/0!</x:v>
      </x:c>
      <x:c r="L109" s="341" t="e">
        <x:f t="shared" si="17"/>
        <x:v>#DIV/0!</x:v>
      </x:c>
      <x:c r="M109" s="341" t="e">
        <x:f t="shared" si="18"/>
        <x:v>#DIV/0!</x:v>
      </x:c>
      <x:c r="R109" s="210"/>
    </x:row>
    <x:row r="110" spans="1:18">
      <x:c r="A110" s="329"/>
      <x:c r="B110" s="329"/>
      <x:c r="C110" s="329"/>
      <x:c r="D110" s="329"/>
      <x:c r="E110" s="329"/>
      <x:c r="F110" s="173"/>
      <x:c r="I110" s="339">
        <x:f t="shared" si="14"/>
        <x:v>0</x:v>
      </x:c>
      <x:c r="J110" s="341" t="e">
        <x:f t="shared" si="15"/>
        <x:v>#DIV/0!</x:v>
      </x:c>
      <x:c r="K110" s="341" t="e">
        <x:f t="shared" si="16"/>
        <x:v>#DIV/0!</x:v>
      </x:c>
      <x:c r="L110" s="341" t="e">
        <x:f t="shared" si="17"/>
        <x:v>#DIV/0!</x:v>
      </x:c>
      <x:c r="M110" s="341" t="e">
        <x:f t="shared" si="18"/>
        <x:v>#DIV/0!</x:v>
      </x:c>
      <x:c r="R110" s="210"/>
    </x:row>
    <x:row r="111" spans="1:18">
      <x:c r="A111" s="329"/>
      <x:c r="B111" s="329"/>
      <x:c r="C111" s="329"/>
      <x:c r="D111" s="329"/>
      <x:c r="E111" s="329"/>
      <x:c r="F111" s="173"/>
      <x:c r="I111" s="339">
        <x:f t="shared" si="14"/>
        <x:v>0</x:v>
      </x:c>
      <x:c r="J111" s="341" t="e">
        <x:f t="shared" si="15"/>
        <x:v>#DIV/0!</x:v>
      </x:c>
      <x:c r="K111" s="341" t="e">
        <x:f t="shared" si="16"/>
        <x:v>#DIV/0!</x:v>
      </x:c>
      <x:c r="L111" s="341" t="e">
        <x:f t="shared" si="17"/>
        <x:v>#DIV/0!</x:v>
      </x:c>
      <x:c r="M111" s="341" t="e">
        <x:f t="shared" si="18"/>
        <x:v>#DIV/0!</x:v>
      </x:c>
      <x:c r="R111" s="210"/>
    </x:row>
    <x:row r="112" spans="1:18">
      <x:c r="A112" s="329"/>
      <x:c r="B112" s="329"/>
      <x:c r="C112" s="329"/>
      <x:c r="D112" s="329"/>
      <x:c r="E112" s="329"/>
      <x:c r="F112" s="173"/>
      <x:c r="G112" s="363"/>
      <x:c r="I112" s="339">
        <x:f t="shared" si="14"/>
        <x:v>0</x:v>
      </x:c>
      <x:c r="J112" s="341" t="e">
        <x:f t="shared" si="15"/>
        <x:v>#DIV/0!</x:v>
      </x:c>
      <x:c r="K112" s="341" t="e">
        <x:f t="shared" si="16"/>
        <x:v>#DIV/0!</x:v>
      </x:c>
      <x:c r="L112" s="341" t="e">
        <x:f t="shared" si="17"/>
        <x:v>#DIV/0!</x:v>
      </x:c>
      <x:c r="M112" s="341" t="e">
        <x:f t="shared" si="18"/>
        <x:v>#DIV/0!</x:v>
      </x:c>
      <x:c r="R112" s="210"/>
    </x:row>
    <x:row r="113" spans="1:18">
      <x:c r="A113" s="329"/>
      <x:c r="B113" s="329"/>
      <x:c r="C113" s="329"/>
      <x:c r="D113" s="329"/>
      <x:c r="E113" s="329"/>
      <x:c r="F113" s="173"/>
      <x:c r="I113" s="339">
        <x:f t="shared" si="14"/>
        <x:v>0</x:v>
      </x:c>
      <x:c r="J113" s="341" t="e">
        <x:f t="shared" si="15"/>
        <x:v>#DIV/0!</x:v>
      </x:c>
      <x:c r="K113" s="341" t="e">
        <x:f t="shared" si="16"/>
        <x:v>#DIV/0!</x:v>
      </x:c>
      <x:c r="L113" s="341" t="e">
        <x:f t="shared" si="17"/>
        <x:v>#DIV/0!</x:v>
      </x:c>
      <x:c r="M113" s="341" t="e">
        <x:f t="shared" si="18"/>
        <x:v>#DIV/0!</x:v>
      </x:c>
      <x:c r="O113" s="347"/>
      <x:c r="R113" s="210"/>
    </x:row>
    <x:row r="114" spans="1:18">
      <x:c r="A114" s="329"/>
      <x:c r="B114" s="329"/>
      <x:c r="C114" s="329"/>
      <x:c r="D114" s="329"/>
      <x:c r="E114" s="329"/>
      <x:c r="F114" s="173"/>
      <x:c r="I114" s="339">
        <x:f t="shared" si="14"/>
        <x:v>0</x:v>
      </x:c>
      <x:c r="J114" s="341" t="e">
        <x:f t="shared" si="15"/>
        <x:v>#DIV/0!</x:v>
      </x:c>
      <x:c r="K114" s="341" t="e">
        <x:f t="shared" si="16"/>
        <x:v>#DIV/0!</x:v>
      </x:c>
      <x:c r="L114" s="341" t="e">
        <x:f t="shared" si="17"/>
        <x:v>#DIV/0!</x:v>
      </x:c>
      <x:c r="M114" s="341" t="e">
        <x:f t="shared" si="18"/>
        <x:v>#DIV/0!</x:v>
      </x:c>
    </x:row>
    <x:row r="115" spans="1:18">
      <x:c r="A115" s="329"/>
      <x:c r="B115" s="329"/>
      <x:c r="C115" s="329"/>
      <x:c r="D115" s="329"/>
      <x:c r="E115" s="329"/>
      <x:c r="F115" s="173"/>
      <x:c r="I115" s="339">
        <x:f t="shared" si="14"/>
        <x:v>0</x:v>
      </x:c>
      <x:c r="J115" s="341" t="e">
        <x:f t="shared" si="15"/>
        <x:v>#DIV/0!</x:v>
      </x:c>
      <x:c r="K115" s="341" t="e">
        <x:f t="shared" si="16"/>
        <x:v>#DIV/0!</x:v>
      </x:c>
      <x:c r="L115" s="341" t="e">
        <x:f t="shared" si="17"/>
        <x:v>#DIV/0!</x:v>
      </x:c>
      <x:c r="M115" s="341" t="e">
        <x:f t="shared" si="18"/>
        <x:v>#DIV/0!</x:v>
      </x:c>
    </x:row>
    <x:row r="116" spans="1:18">
      <x:c r="A116" s="329"/>
      <x:c r="B116" s="329"/>
      <x:c r="C116" s="329"/>
      <x:c r="D116" s="329"/>
      <x:c r="E116" s="329"/>
      <x:c r="F116" s="173"/>
      <x:c r="G116" s="212"/>
      <x:c r="I116" s="339">
        <x:f t="shared" si="14"/>
        <x:v>0</x:v>
      </x:c>
      <x:c r="J116" s="341" t="e">
        <x:f t="shared" si="15"/>
        <x:v>#DIV/0!</x:v>
      </x:c>
      <x:c r="K116" s="341" t="e">
        <x:f t="shared" si="16"/>
        <x:v>#DIV/0!</x:v>
      </x:c>
      <x:c r="L116" s="341" t="e">
        <x:f t="shared" si="17"/>
        <x:v>#DIV/0!</x:v>
      </x:c>
      <x:c r="M116" s="341" t="e">
        <x:f t="shared" si="18"/>
        <x:v>#DIV/0!</x:v>
      </x:c>
    </x:row>
    <x:row r="117" spans="1:18">
      <x:c r="A117" s="329"/>
      <x:c r="B117" s="329"/>
      <x:c r="C117" s="329"/>
      <x:c r="D117" s="329"/>
      <x:c r="E117" s="329"/>
      <x:c r="F117" s="173"/>
      <x:c r="I117" s="339">
        <x:f t="shared" si="14"/>
        <x:v>0</x:v>
      </x:c>
      <x:c r="J117" s="341" t="e">
        <x:f t="shared" si="15"/>
        <x:v>#DIV/0!</x:v>
      </x:c>
      <x:c r="K117" s="341" t="e">
        <x:f t="shared" si="16"/>
        <x:v>#DIV/0!</x:v>
      </x:c>
      <x:c r="L117" s="341" t="e">
        <x:f t="shared" si="17"/>
        <x:v>#DIV/0!</x:v>
      </x:c>
      <x:c r="M117" s="341" t="e">
        <x:f t="shared" si="18"/>
        <x:v>#DIV/0!</x:v>
      </x:c>
      <x:c r="Q117" s="210"/>
    </x:row>
    <x:row r="118" spans="1:18">
      <x:c r="A118" s="329"/>
      <x:c r="B118" s="329"/>
      <x:c r="C118" s="329"/>
      <x:c r="D118" s="329"/>
      <x:c r="E118" s="329"/>
      <x:c r="F118" s="173"/>
      <x:c r="I118" s="339">
        <x:f t="shared" si="14"/>
        <x:v>0</x:v>
      </x:c>
      <x:c r="J118" s="341" t="e">
        <x:f t="shared" si="15"/>
        <x:v>#DIV/0!</x:v>
      </x:c>
      <x:c r="K118" s="341" t="e">
        <x:f t="shared" si="16"/>
        <x:v>#DIV/0!</x:v>
      </x:c>
      <x:c r="L118" s="341" t="e">
        <x:f t="shared" si="17"/>
        <x:v>#DIV/0!</x:v>
      </x:c>
      <x:c r="M118" s="341" t="e">
        <x:f t="shared" si="18"/>
        <x:v>#DIV/0!</x:v>
      </x:c>
      <x:c r="Q118" s="210"/>
    </x:row>
    <x:row r="119" spans="1:18">
      <x:c r="A119" s="329"/>
      <x:c r="B119" s="329"/>
      <x:c r="C119" s="329"/>
      <x:c r="D119" s="329"/>
      <x:c r="E119" s="329"/>
      <x:c r="F119" s="173"/>
      <x:c r="I119" s="339">
        <x:f t="shared" si="14"/>
        <x:v>0</x:v>
      </x:c>
      <x:c r="J119" s="341" t="e">
        <x:f t="shared" si="15"/>
        <x:v>#DIV/0!</x:v>
      </x:c>
      <x:c r="K119" s="341" t="e">
        <x:f t="shared" si="16"/>
        <x:v>#DIV/0!</x:v>
      </x:c>
      <x:c r="L119" s="341" t="e">
        <x:f t="shared" si="17"/>
        <x:v>#DIV/0!</x:v>
      </x:c>
      <x:c r="M119" s="341" t="e">
        <x:f t="shared" si="18"/>
        <x:v>#DIV/0!</x:v>
      </x:c>
      <x:c r="Q119" s="210"/>
    </x:row>
    <x:row r="120" spans="1:18">
      <x:c r="A120" s="329"/>
      <x:c r="B120" s="329"/>
      <x:c r="C120" s="329"/>
      <x:c r="D120" s="329"/>
      <x:c r="E120" s="329"/>
      <x:c r="F120" s="173"/>
      <x:c r="I120" s="339">
        <x:f t="shared" si="14"/>
        <x:v>0</x:v>
      </x:c>
      <x:c r="J120" s="341" t="e">
        <x:f t="shared" si="15"/>
        <x:v>#DIV/0!</x:v>
      </x:c>
      <x:c r="K120" s="341" t="e">
        <x:f t="shared" si="16"/>
        <x:v>#DIV/0!</x:v>
      </x:c>
      <x:c r="L120" s="341" t="e">
        <x:f t="shared" si="17"/>
        <x:v>#DIV/0!</x:v>
      </x:c>
      <x:c r="M120" s="341" t="e">
        <x:f t="shared" si="18"/>
        <x:v>#DIV/0!</x:v>
      </x:c>
      <x:c r="Q120" s="210"/>
    </x:row>
    <x:row r="121" spans="1:18">
      <x:c r="A121" s="329"/>
      <x:c r="B121" s="329"/>
      <x:c r="C121" s="329"/>
      <x:c r="D121" s="329"/>
      <x:c r="E121" s="329"/>
      <x:c r="F121" s="173"/>
      <x:c r="I121" s="339">
        <x:f t="shared" si="14"/>
        <x:v>0</x:v>
      </x:c>
      <x:c r="J121" s="341" t="e">
        <x:f t="shared" si="15"/>
        <x:v>#DIV/0!</x:v>
      </x:c>
      <x:c r="K121" s="341" t="e">
        <x:f t="shared" si="16"/>
        <x:v>#DIV/0!</x:v>
      </x:c>
      <x:c r="L121" s="341" t="e">
        <x:f t="shared" si="17"/>
        <x:v>#DIV/0!</x:v>
      </x:c>
      <x:c r="M121" s="341" t="e">
        <x:f t="shared" si="18"/>
        <x:v>#DIV/0!</x:v>
      </x:c>
      <x:c r="Q121" s="210"/>
    </x:row>
    <x:row r="122" spans="1:18">
      <x:c r="A122" s="329"/>
      <x:c r="B122" s="329"/>
      <x:c r="C122" s="329"/>
      <x:c r="D122" s="329"/>
      <x:c r="E122" s="329"/>
      <x:c r="F122" s="173"/>
      <x:c r="I122" s="339">
        <x:f t="shared" si="14"/>
        <x:v>0</x:v>
      </x:c>
      <x:c r="J122" s="341" t="e">
        <x:f t="shared" si="15"/>
        <x:v>#DIV/0!</x:v>
      </x:c>
      <x:c r="K122" s="341" t="e">
        <x:f t="shared" si="16"/>
        <x:v>#DIV/0!</x:v>
      </x:c>
      <x:c r="L122" s="341" t="e">
        <x:f t="shared" si="17"/>
        <x:v>#DIV/0!</x:v>
      </x:c>
      <x:c r="M122" s="341" t="e">
        <x:f t="shared" si="18"/>
        <x:v>#DIV/0!</x:v>
      </x:c>
      <x:c r="Q122" s="210"/>
    </x:row>
    <x:row r="123" spans="1:18">
      <x:c r="A123" s="329"/>
      <x:c r="B123" s="329"/>
      <x:c r="C123" s="329"/>
      <x:c r="D123" s="329"/>
      <x:c r="E123" s="329"/>
      <x:c r="F123" s="173"/>
      <x:c r="I123" s="339">
        <x:f t="shared" si="14"/>
        <x:v>0</x:v>
      </x:c>
      <x:c r="J123" s="341" t="e">
        <x:f t="shared" si="15"/>
        <x:v>#DIV/0!</x:v>
      </x:c>
      <x:c r="K123" s="341" t="e">
        <x:f t="shared" si="16"/>
        <x:v>#DIV/0!</x:v>
      </x:c>
      <x:c r="L123" s="341" t="e">
        <x:f t="shared" si="17"/>
        <x:v>#DIV/0!</x:v>
      </x:c>
      <x:c r="M123" s="341" t="e">
        <x:f t="shared" si="18"/>
        <x:v>#DIV/0!</x:v>
      </x:c>
      <x:c r="Q123" s="210"/>
    </x:row>
    <x:row r="124" spans="1:18">
      <x:c r="A124" s="329"/>
      <x:c r="B124" s="329"/>
      <x:c r="C124" s="329"/>
      <x:c r="D124" s="329"/>
      <x:c r="E124" s="329"/>
      <x:c r="F124" s="173"/>
      <x:c r="I124" s="339">
        <x:f t="shared" si="14"/>
        <x:v>0</x:v>
      </x:c>
      <x:c r="J124" s="341" t="e">
        <x:f t="shared" si="15"/>
        <x:v>#DIV/0!</x:v>
      </x:c>
      <x:c r="K124" s="341" t="e">
        <x:f t="shared" si="16"/>
        <x:v>#DIV/0!</x:v>
      </x:c>
      <x:c r="L124" s="341" t="e">
        <x:f t="shared" si="17"/>
        <x:v>#DIV/0!</x:v>
      </x:c>
      <x:c r="M124" s="341" t="e">
        <x:f t="shared" si="18"/>
        <x:v>#DIV/0!</x:v>
      </x:c>
    </x:row>
    <x:row r="125" spans="1:18">
      <x:c r="A125" s="329"/>
      <x:c r="B125" s="329"/>
      <x:c r="C125" s="329"/>
      <x:c r="D125" s="329"/>
      <x:c r="E125" s="329"/>
      <x:c r="F125" s="173"/>
      <x:c r="I125" s="339">
        <x:f t="shared" si="14"/>
        <x:v>0</x:v>
      </x:c>
      <x:c r="J125" s="341" t="e">
        <x:f t="shared" si="15"/>
        <x:v>#DIV/0!</x:v>
      </x:c>
      <x:c r="K125" s="341" t="e">
        <x:f t="shared" si="16"/>
        <x:v>#DIV/0!</x:v>
      </x:c>
      <x:c r="L125" s="341" t="e">
        <x:f t="shared" si="17"/>
        <x:v>#DIV/0!</x:v>
      </x:c>
      <x:c r="M125" s="341" t="e">
        <x:f t="shared" si="18"/>
        <x:v>#DIV/0!</x:v>
      </x:c>
    </x:row>
    <x:row r="126" spans="1:18">
      <x:c r="A126" s="329"/>
      <x:c r="B126" s="329"/>
      <x:c r="C126" s="329"/>
      <x:c r="D126" s="329"/>
      <x:c r="E126" s="329"/>
      <x:c r="F126" s="173"/>
      <x:c r="I126" s="339">
        <x:f t="shared" si="14"/>
        <x:v>0</x:v>
      </x:c>
      <x:c r="J126" s="341" t="e">
        <x:f t="shared" si="15"/>
        <x:v>#DIV/0!</x:v>
      </x:c>
      <x:c r="K126" s="341" t="e">
        <x:f t="shared" si="16"/>
        <x:v>#DIV/0!</x:v>
      </x:c>
      <x:c r="L126" s="341" t="e">
        <x:f t="shared" si="17"/>
        <x:v>#DIV/0!</x:v>
      </x:c>
      <x:c r="M126" s="341" t="e">
        <x:f t="shared" si="18"/>
        <x:v>#DIV/0!</x:v>
      </x:c>
    </x:row>
    <x:row r="127" spans="1:18">
      <x:c r="A127" s="329"/>
      <x:c r="B127" s="329"/>
      <x:c r="C127" s="329"/>
      <x:c r="D127" s="329"/>
      <x:c r="E127" s="329"/>
      <x:c r="F127" s="173"/>
      <x:c r="I127" s="339">
        <x:f t="shared" si="14"/>
        <x:v>0</x:v>
      </x:c>
      <x:c r="J127" s="341" t="e">
        <x:f t="shared" si="15"/>
        <x:v>#DIV/0!</x:v>
      </x:c>
      <x:c r="K127" s="341" t="e">
        <x:f t="shared" si="16"/>
        <x:v>#DIV/0!</x:v>
      </x:c>
      <x:c r="L127" s="341" t="e">
        <x:f t="shared" si="17"/>
        <x:v>#DIV/0!</x:v>
      </x:c>
      <x:c r="M127" s="341" t="e">
        <x:f t="shared" si="18"/>
        <x:v>#DIV/0!</x:v>
      </x:c>
    </x:row>
    <x:row r="128" spans="1:18">
      <x:c r="A128" s="329"/>
      <x:c r="B128" s="329"/>
      <x:c r="C128" s="329"/>
      <x:c r="D128" s="329"/>
      <x:c r="E128" s="329"/>
      <x:c r="F128" s="173"/>
      <x:c r="I128" s="339">
        <x:f t="shared" si="14"/>
        <x:v>0</x:v>
      </x:c>
      <x:c r="J128" s="341" t="e">
        <x:f t="shared" si="15"/>
        <x:v>#DIV/0!</x:v>
      </x:c>
      <x:c r="K128" s="341" t="e">
        <x:f t="shared" si="16"/>
        <x:v>#DIV/0!</x:v>
      </x:c>
      <x:c r="L128" s="341" t="e">
        <x:f t="shared" si="17"/>
        <x:v>#DIV/0!</x:v>
      </x:c>
      <x:c r="M128" s="341" t="e">
        <x:f t="shared" si="18"/>
        <x:v>#DIV/0!</x:v>
      </x:c>
    </x:row>
    <x:row r="129" spans="1:17">
      <x:c r="A129" s="329"/>
      <x:c r="B129" s="329"/>
      <x:c r="C129" s="329"/>
      <x:c r="D129" s="329"/>
      <x:c r="E129" s="329"/>
      <x:c r="F129" s="173"/>
      <x:c r="I129" s="339">
        <x:f t="shared" si="14"/>
        <x:v>0</x:v>
      </x:c>
      <x:c r="J129" s="341" t="e">
        <x:f t="shared" si="15"/>
        <x:v>#DIV/0!</x:v>
      </x:c>
      <x:c r="K129" s="341" t="e">
        <x:f t="shared" si="16"/>
        <x:v>#DIV/0!</x:v>
      </x:c>
      <x:c r="L129" s="341" t="e">
        <x:f t="shared" si="17"/>
        <x:v>#DIV/0!</x:v>
      </x:c>
      <x:c r="M129" s="341" t="e">
        <x:f t="shared" si="18"/>
        <x:v>#DIV/0!</x:v>
      </x:c>
    </x:row>
    <x:row r="130" spans="1:17">
      <x:c r="A130" s="329"/>
      <x:c r="B130" s="329"/>
      <x:c r="C130" s="329"/>
      <x:c r="D130" s="329"/>
      <x:c r="E130" s="329"/>
      <x:c r="F130" s="173"/>
      <x:c r="I130" s="339">
        <x:f t="shared" si="14"/>
        <x:v>0</x:v>
      </x:c>
      <x:c r="J130" s="341" t="e">
        <x:f t="shared" si="15"/>
        <x:v>#DIV/0!</x:v>
      </x:c>
      <x:c r="K130" s="341" t="e">
        <x:f t="shared" si="16"/>
        <x:v>#DIV/0!</x:v>
      </x:c>
      <x:c r="L130" s="341" t="e">
        <x:f t="shared" si="17"/>
        <x:v>#DIV/0!</x:v>
      </x:c>
      <x:c r="M130" s="341" t="e">
        <x:f t="shared" si="18"/>
        <x:v>#DIV/0!</x:v>
      </x:c>
    </x:row>
    <x:row r="131" spans="1:17">
      <x:c r="A131" s="329"/>
      <x:c r="B131" s="329"/>
      <x:c r="C131" s="329"/>
      <x:c r="D131" s="329"/>
      <x:c r="E131" s="329"/>
      <x:c r="F131" s="173"/>
      <x:c r="I131" s="339">
        <x:f t="shared" si="14"/>
        <x:v>0</x:v>
      </x:c>
      <x:c r="J131" s="341" t="e">
        <x:f t="shared" si="15"/>
        <x:v>#DIV/0!</x:v>
      </x:c>
      <x:c r="K131" s="341" t="e">
        <x:f t="shared" si="16"/>
        <x:v>#DIV/0!</x:v>
      </x:c>
      <x:c r="L131" s="341" t="e">
        <x:f t="shared" si="17"/>
        <x:v>#DIV/0!</x:v>
      </x:c>
      <x:c r="M131" s="341" t="e">
        <x:f t="shared" si="18"/>
        <x:v>#DIV/0!</x:v>
      </x:c>
    </x:row>
    <x:row r="132" spans="1:17">
      <x:c r="A132" s="329"/>
      <x:c r="B132" s="329"/>
      <x:c r="C132" s="329"/>
      <x:c r="D132" s="329"/>
      <x:c r="E132" s="329"/>
      <x:c r="F132" s="173"/>
      <x:c r="I132" s="339">
        <x:f t="shared" si="14"/>
        <x:v>0</x:v>
      </x:c>
      <x:c r="J132" s="341" t="e">
        <x:f t="shared" si="15"/>
        <x:v>#DIV/0!</x:v>
      </x:c>
      <x:c r="K132" s="341" t="e">
        <x:f t="shared" si="16"/>
        <x:v>#DIV/0!</x:v>
      </x:c>
      <x:c r="L132" s="341" t="e">
        <x:f t="shared" si="17"/>
        <x:v>#DIV/0!</x:v>
      </x:c>
      <x:c r="M132" s="341" t="e">
        <x:f t="shared" si="18"/>
        <x:v>#DIV/0!</x:v>
      </x:c>
    </x:row>
    <x:row r="133" spans="1:17">
      <x:c r="A133" s="329"/>
      <x:c r="B133" s="329"/>
      <x:c r="C133" s="329"/>
      <x:c r="D133" s="329"/>
      <x:c r="E133" s="329"/>
      <x:c r="F133" s="173"/>
      <x:c r="I133" s="339">
        <x:f t="shared" si="14"/>
        <x:v>0</x:v>
      </x:c>
      <x:c r="J133" s="341" t="e">
        <x:f t="shared" si="15"/>
        <x:v>#DIV/0!</x:v>
      </x:c>
      <x:c r="K133" s="341" t="e">
        <x:f t="shared" si="16"/>
        <x:v>#DIV/0!</x:v>
      </x:c>
      <x:c r="L133" s="341" t="e">
        <x:f t="shared" si="17"/>
        <x:v>#DIV/0!</x:v>
      </x:c>
      <x:c r="M133" s="341" t="e">
        <x:f t="shared" si="18"/>
        <x:v>#DIV/0!</x:v>
      </x:c>
      <x:c r="Q133" s="210"/>
    </x:row>
    <x:row r="134" spans="1:17">
      <x:c r="A134" s="329"/>
      <x:c r="B134" s="329"/>
      <x:c r="C134" s="329"/>
      <x:c r="D134" s="329"/>
      <x:c r="E134" s="329"/>
      <x:c r="F134" s="173"/>
      <x:c r="I134" s="339">
        <x:f t="shared" si="14"/>
        <x:v>0</x:v>
      </x:c>
      <x:c r="J134" s="341" t="e">
        <x:f t="shared" si="15"/>
        <x:v>#DIV/0!</x:v>
      </x:c>
      <x:c r="K134" s="341" t="e">
        <x:f t="shared" si="16"/>
        <x:v>#DIV/0!</x:v>
      </x:c>
      <x:c r="L134" s="341" t="e">
        <x:f t="shared" si="17"/>
        <x:v>#DIV/0!</x:v>
      </x:c>
      <x:c r="M134" s="341" t="e">
        <x:f t="shared" si="18"/>
        <x:v>#DIV/0!</x:v>
      </x:c>
      <x:c r="Q134" s="210"/>
    </x:row>
    <x:row r="135" spans="1:17">
      <x:c r="A135" s="329"/>
      <x:c r="B135" s="329"/>
      <x:c r="C135" s="329"/>
      <x:c r="D135" s="329"/>
      <x:c r="E135" s="329"/>
      <x:c r="F135" s="173"/>
      <x:c r="I135" s="339">
        <x:f t="shared" si="14"/>
        <x:v>0</x:v>
      </x:c>
      <x:c r="J135" s="341" t="e">
        <x:f t="shared" si="15"/>
        <x:v>#DIV/0!</x:v>
      </x:c>
      <x:c r="K135" s="341" t="e">
        <x:f t="shared" si="16"/>
        <x:v>#DIV/0!</x:v>
      </x:c>
      <x:c r="L135" s="341" t="e">
        <x:f t="shared" si="17"/>
        <x:v>#DIV/0!</x:v>
      </x:c>
      <x:c r="M135" s="341" t="e">
        <x:f t="shared" si="18"/>
        <x:v>#DIV/0!</x:v>
      </x:c>
      <x:c r="Q135" s="210"/>
    </x:row>
    <x:row r="136" spans="1:17">
      <x:c r="A136" s="329"/>
      <x:c r="B136" s="329"/>
      <x:c r="C136" s="329"/>
      <x:c r="D136" s="329"/>
      <x:c r="E136" s="329"/>
      <x:c r="F136" s="173"/>
      <x:c r="I136" s="339">
        <x:f t="shared" si="14"/>
        <x:v>0</x:v>
      </x:c>
      <x:c r="J136" s="341" t="e">
        <x:f t="shared" si="15"/>
        <x:v>#DIV/0!</x:v>
      </x:c>
      <x:c r="K136" s="341" t="e">
        <x:f t="shared" si="16"/>
        <x:v>#DIV/0!</x:v>
      </x:c>
      <x:c r="L136" s="341" t="e">
        <x:f t="shared" si="17"/>
        <x:v>#DIV/0!</x:v>
      </x:c>
      <x:c r="M136" s="341" t="e">
        <x:f t="shared" si="18"/>
        <x:v>#DIV/0!</x:v>
      </x:c>
    </x:row>
    <x:row r="137" spans="1:17">
      <x:c r="A137" s="329"/>
      <x:c r="B137" s="329"/>
      <x:c r="C137" s="329"/>
      <x:c r="D137" s="329"/>
      <x:c r="E137" s="329"/>
      <x:c r="F137" s="173"/>
      <x:c r="I137" s="339">
        <x:f t="shared" si="14"/>
        <x:v>0</x:v>
      </x:c>
      <x:c r="J137" s="341" t="e">
        <x:f t="shared" si="15"/>
        <x:v>#DIV/0!</x:v>
      </x:c>
      <x:c r="K137" s="341" t="e">
        <x:f t="shared" si="16"/>
        <x:v>#DIV/0!</x:v>
      </x:c>
      <x:c r="L137" s="341" t="e">
        <x:f t="shared" si="17"/>
        <x:v>#DIV/0!</x:v>
      </x:c>
      <x:c r="M137" s="341" t="e">
        <x:f t="shared" si="18"/>
        <x:v>#DIV/0!</x:v>
      </x:c>
    </x:row>
    <x:row r="138" spans="1:17">
      <x:c r="A138" s="329"/>
      <x:c r="B138" s="329"/>
      <x:c r="C138" s="329"/>
      <x:c r="D138" s="329"/>
      <x:c r="E138" s="329"/>
      <x:c r="F138" s="173"/>
      <x:c r="I138" s="339">
        <x:f t="shared" si="14"/>
        <x:v>0</x:v>
      </x:c>
      <x:c r="J138" s="341" t="e">
        <x:f t="shared" si="15"/>
        <x:v>#DIV/0!</x:v>
      </x:c>
      <x:c r="K138" s="341" t="e">
        <x:f t="shared" si="16"/>
        <x:v>#DIV/0!</x:v>
      </x:c>
      <x:c r="L138" s="341" t="e">
        <x:f t="shared" si="17"/>
        <x:v>#DIV/0!</x:v>
      </x:c>
      <x:c r="M138" s="341" t="e">
        <x:f t="shared" si="18"/>
        <x:v>#DIV/0!</x:v>
      </x:c>
    </x:row>
    <x:row r="139" spans="1:17">
      <x:c r="A139" s="329"/>
      <x:c r="B139" s="329"/>
      <x:c r="C139" s="329"/>
      <x:c r="D139" s="329"/>
      <x:c r="E139" s="329"/>
      <x:c r="F139" s="173"/>
      <x:c r="I139" s="339">
        <x:f t="shared" si="14"/>
        <x:v>0</x:v>
      </x:c>
      <x:c r="J139" s="341" t="e">
        <x:f t="shared" si="15"/>
        <x:v>#DIV/0!</x:v>
      </x:c>
      <x:c r="K139" s="341" t="e">
        <x:f t="shared" si="16"/>
        <x:v>#DIV/0!</x:v>
      </x:c>
      <x:c r="L139" s="341" t="e">
        <x:f t="shared" si="17"/>
        <x:v>#DIV/0!</x:v>
      </x:c>
      <x:c r="M139" s="341" t="e">
        <x:f t="shared" si="18"/>
        <x:v>#DIV/0!</x:v>
      </x:c>
    </x:row>
    <x:row r="140" spans="1:17">
      <x:c r="A140" s="329"/>
      <x:c r="B140" s="329"/>
      <x:c r="C140" s="329"/>
      <x:c r="D140" s="329"/>
      <x:c r="E140" s="329"/>
      <x:c r="F140" s="173"/>
      <x:c r="I140" s="339">
        <x:f t="shared" si="14"/>
        <x:v>0</x:v>
      </x:c>
      <x:c r="J140" s="341" t="e">
        <x:f t="shared" si="15"/>
        <x:v>#DIV/0!</x:v>
      </x:c>
      <x:c r="K140" s="341" t="e">
        <x:f t="shared" si="16"/>
        <x:v>#DIV/0!</x:v>
      </x:c>
      <x:c r="L140" s="341" t="e">
        <x:f t="shared" si="17"/>
        <x:v>#DIV/0!</x:v>
      </x:c>
      <x:c r="M140" s="341" t="e">
        <x:f t="shared" si="18"/>
        <x:v>#DIV/0!</x:v>
      </x:c>
    </x:row>
    <x:row r="141" spans="1:17">
      <x:c r="A141" s="329"/>
      <x:c r="B141" s="329"/>
      <x:c r="C141" s="329"/>
      <x:c r="D141" s="329"/>
      <x:c r="E141" s="329"/>
      <x:c r="F141" s="173"/>
      <x:c r="I141" s="339">
        <x:f t="shared" si="14"/>
        <x:v>0</x:v>
      </x:c>
      <x:c r="J141" s="341" t="e">
        <x:f t="shared" si="15"/>
        <x:v>#DIV/0!</x:v>
      </x:c>
      <x:c r="K141" s="341" t="e">
        <x:f t="shared" si="16"/>
        <x:v>#DIV/0!</x:v>
      </x:c>
      <x:c r="L141" s="341" t="e">
        <x:f t="shared" si="17"/>
        <x:v>#DIV/0!</x:v>
      </x:c>
      <x:c r="M141" s="341" t="e">
        <x:f t="shared" si="18"/>
        <x:v>#DIV/0!</x:v>
      </x:c>
    </x:row>
    <x:row r="142" spans="1:17">
      <x:c r="A142" s="329"/>
      <x:c r="B142" s="329"/>
      <x:c r="C142" s="329"/>
      <x:c r="D142" s="329"/>
      <x:c r="E142" s="329"/>
      <x:c r="F142" s="173"/>
      <x:c r="I142" s="339">
        <x:f t="shared" si="14"/>
        <x:v>0</x:v>
      </x:c>
      <x:c r="J142" s="341" t="e">
        <x:f t="shared" si="15"/>
        <x:v>#DIV/0!</x:v>
      </x:c>
      <x:c r="K142" s="341" t="e">
        <x:f t="shared" si="16"/>
        <x:v>#DIV/0!</x:v>
      </x:c>
      <x:c r="L142" s="341" t="e">
        <x:f t="shared" si="17"/>
        <x:v>#DIV/0!</x:v>
      </x:c>
      <x:c r="M142" s="341" t="e">
        <x:f t="shared" si="18"/>
        <x:v>#DIV/0!</x:v>
      </x:c>
    </x:row>
    <x:row r="143" spans="1:17">
      <x:c r="A143" s="329"/>
      <x:c r="B143" s="329"/>
      <x:c r="C143" s="329"/>
      <x:c r="D143" s="329"/>
      <x:c r="E143" s="329"/>
      <x:c r="F143" s="173"/>
      <x:c r="I143" s="339">
        <x:f t="shared" si="14"/>
        <x:v>0</x:v>
      </x:c>
      <x:c r="J143" s="341" t="e">
        <x:f t="shared" si="15"/>
        <x:v>#DIV/0!</x:v>
      </x:c>
      <x:c r="K143" s="341" t="e">
        <x:f t="shared" si="16"/>
        <x:v>#DIV/0!</x:v>
      </x:c>
      <x:c r="L143" s="341" t="e">
        <x:f t="shared" si="17"/>
        <x:v>#DIV/0!</x:v>
      </x:c>
      <x:c r="M143" s="341" t="e">
        <x:f t="shared" si="18"/>
        <x:v>#DIV/0!</x:v>
      </x:c>
    </x:row>
    <x:row r="144" spans="1:17">
      <x:c r="A144" s="329"/>
      <x:c r="B144" s="329"/>
      <x:c r="C144" s="329"/>
      <x:c r="D144" s="329"/>
      <x:c r="E144" s="329"/>
      <x:c r="F144" s="173"/>
      <x:c r="I144" s="339">
        <x:f t="shared" si="14"/>
        <x:v>0</x:v>
      </x:c>
      <x:c r="J144" s="341" t="e">
        <x:f t="shared" si="15"/>
        <x:v>#DIV/0!</x:v>
      </x:c>
      <x:c r="K144" s="341" t="e">
        <x:f t="shared" si="16"/>
        <x:v>#DIV/0!</x:v>
      </x:c>
      <x:c r="L144" s="341" t="e">
        <x:f t="shared" si="17"/>
        <x:v>#DIV/0!</x:v>
      </x:c>
      <x:c r="M144" s="341" t="e">
        <x:f t="shared" si="18"/>
        <x:v>#DIV/0!</x:v>
      </x:c>
    </x:row>
    <x:row r="145" spans="1:15">
      <x:c r="A145" s="329"/>
      <x:c r="B145" s="329"/>
      <x:c r="C145" s="329"/>
      <x:c r="D145" s="329"/>
      <x:c r="E145" s="329"/>
      <x:c r="F145" s="173"/>
      <x:c r="I145" s="339">
        <x:f t="shared" si="14"/>
        <x:v>0</x:v>
      </x:c>
      <x:c r="J145" s="341" t="e">
        <x:f t="shared" si="15"/>
        <x:v>#DIV/0!</x:v>
      </x:c>
      <x:c r="K145" s="341" t="e">
        <x:f t="shared" si="16"/>
        <x:v>#DIV/0!</x:v>
      </x:c>
      <x:c r="L145" s="341" t="e">
        <x:f t="shared" si="17"/>
        <x:v>#DIV/0!</x:v>
      </x:c>
      <x:c r="M145" s="341" t="e">
        <x:f t="shared" si="18"/>
        <x:v>#DIV/0!</x:v>
      </x:c>
    </x:row>
    <x:row r="146" spans="1:15">
      <x:c r="A146" s="329"/>
      <x:c r="B146" s="329"/>
      <x:c r="C146" s="329"/>
      <x:c r="D146" s="329"/>
      <x:c r="E146" s="329"/>
      <x:c r="F146" s="173"/>
      <x:c r="I146" s="339">
        <x:f t="shared" si="14"/>
        <x:v>0</x:v>
      </x:c>
      <x:c r="J146" s="341" t="e">
        <x:f t="shared" si="15"/>
        <x:v>#DIV/0!</x:v>
      </x:c>
      <x:c r="K146" s="341" t="e">
        <x:f t="shared" si="16"/>
        <x:v>#DIV/0!</x:v>
      </x:c>
      <x:c r="L146" s="341" t="e">
        <x:f t="shared" si="17"/>
        <x:v>#DIV/0!</x:v>
      </x:c>
      <x:c r="M146" s="341" t="e">
        <x:f t="shared" si="18"/>
        <x:v>#DIV/0!</x:v>
      </x:c>
    </x:row>
    <x:row r="147" spans="1:15">
      <x:c r="A147" s="329"/>
      <x:c r="B147" s="329"/>
      <x:c r="C147" s="329"/>
      <x:c r="D147" s="329"/>
      <x:c r="E147" s="329"/>
      <x:c r="F147" s="173"/>
      <x:c r="I147" s="339">
        <x:f t="shared" si="14"/>
        <x:v>0</x:v>
      </x:c>
      <x:c r="J147" s="341" t="e">
        <x:f t="shared" si="15"/>
        <x:v>#DIV/0!</x:v>
      </x:c>
      <x:c r="K147" s="341" t="e">
        <x:f t="shared" si="16"/>
        <x:v>#DIV/0!</x:v>
      </x:c>
      <x:c r="L147" s="341" t="e">
        <x:f t="shared" si="17"/>
        <x:v>#DIV/0!</x:v>
      </x:c>
      <x:c r="M147" s="341" t="e">
        <x:f t="shared" si="18"/>
        <x:v>#DIV/0!</x:v>
      </x:c>
    </x:row>
    <x:row r="148" spans="1:15">
      <x:c r="A148" s="329"/>
      <x:c r="B148" s="329"/>
      <x:c r="C148" s="329"/>
      <x:c r="D148" s="329"/>
      <x:c r="E148" s="329"/>
      <x:c r="F148" s="173"/>
      <x:c r="I148" s="339">
        <x:f t="shared" si="14"/>
        <x:v>0</x:v>
      </x:c>
      <x:c r="J148" s="341" t="e">
        <x:f t="shared" si="15"/>
        <x:v>#DIV/0!</x:v>
      </x:c>
      <x:c r="K148" s="341" t="e">
        <x:f t="shared" si="16"/>
        <x:v>#DIV/0!</x:v>
      </x:c>
      <x:c r="L148" s="341" t="e">
        <x:f t="shared" si="17"/>
        <x:v>#DIV/0!</x:v>
      </x:c>
      <x:c r="M148" s="341" t="e">
        <x:f t="shared" si="18"/>
        <x:v>#DIV/0!</x:v>
      </x:c>
    </x:row>
    <x:row r="149" spans="1:15">
      <x:c r="A149" s="329"/>
      <x:c r="B149" s="329"/>
      <x:c r="C149" s="329"/>
      <x:c r="D149" s="329"/>
      <x:c r="E149" s="329"/>
      <x:c r="F149" s="173"/>
      <x:c r="I149" s="339">
        <x:f t="shared" si="14"/>
        <x:v>0</x:v>
      </x:c>
      <x:c r="J149" s="341" t="e">
        <x:f t="shared" si="15"/>
        <x:v>#DIV/0!</x:v>
      </x:c>
      <x:c r="K149" s="341" t="e">
        <x:f t="shared" si="16"/>
        <x:v>#DIV/0!</x:v>
      </x:c>
      <x:c r="L149" s="341" t="e">
        <x:f t="shared" si="17"/>
        <x:v>#DIV/0!</x:v>
      </x:c>
      <x:c r="M149" s="341" t="e">
        <x:f t="shared" si="18"/>
        <x:v>#DIV/0!</x:v>
      </x:c>
    </x:row>
    <x:row r="150" spans="1:15">
      <x:c r="A150" s="329"/>
      <x:c r="B150" s="329"/>
      <x:c r="C150" s="329"/>
      <x:c r="D150" s="329"/>
      <x:c r="E150" s="329"/>
      <x:c r="F150" s="173"/>
      <x:c r="I150" s="339">
        <x:f t="shared" si="14"/>
        <x:v>0</x:v>
      </x:c>
      <x:c r="J150" s="341" t="e">
        <x:f t="shared" si="15"/>
        <x:v>#DIV/0!</x:v>
      </x:c>
      <x:c r="K150" s="341" t="e">
        <x:f t="shared" si="16"/>
        <x:v>#DIV/0!</x:v>
      </x:c>
      <x:c r="L150" s="341" t="e">
        <x:f t="shared" si="17"/>
        <x:v>#DIV/0!</x:v>
      </x:c>
      <x:c r="M150" s="341" t="e">
        <x:f t="shared" si="18"/>
        <x:v>#DIV/0!</x:v>
      </x:c>
    </x:row>
    <x:row r="151" spans="1:15">
      <x:c r="A151" s="329"/>
      <x:c r="B151" s="329"/>
      <x:c r="C151" s="329"/>
      <x:c r="D151" s="329"/>
      <x:c r="E151" s="329"/>
      <x:c r="F151" s="173"/>
      <x:c r="I151" s="339">
        <x:f t="shared" si="14"/>
        <x:v>0</x:v>
      </x:c>
      <x:c r="J151" s="341" t="e">
        <x:f t="shared" si="15"/>
        <x:v>#DIV/0!</x:v>
      </x:c>
      <x:c r="K151" s="341" t="e">
        <x:f t="shared" si="16"/>
        <x:v>#DIV/0!</x:v>
      </x:c>
      <x:c r="L151" s="341" t="e">
        <x:f t="shared" si="17"/>
        <x:v>#DIV/0!</x:v>
      </x:c>
      <x:c r="M151" s="341" t="e">
        <x:f t="shared" si="18"/>
        <x:v>#DIV/0!</x:v>
      </x:c>
    </x:row>
    <x:row r="152" spans="1:15">
      <x:c r="A152" s="329"/>
      <x:c r="B152" s="329"/>
      <x:c r="C152" s="329"/>
      <x:c r="D152" s="329"/>
      <x:c r="E152" s="329"/>
      <x:c r="F152" s="173"/>
      <x:c r="I152" s="339">
        <x:f t="shared" si="14"/>
        <x:v>0</x:v>
      </x:c>
      <x:c r="J152" s="341" t="e">
        <x:f t="shared" si="15"/>
        <x:v>#DIV/0!</x:v>
      </x:c>
      <x:c r="K152" s="341" t="e">
        <x:f t="shared" si="16"/>
        <x:v>#DIV/0!</x:v>
      </x:c>
      <x:c r="L152" s="341" t="e">
        <x:f t="shared" si="17"/>
        <x:v>#DIV/0!</x:v>
      </x:c>
      <x:c r="M152" s="341" t="e">
        <x:f t="shared" si="18"/>
        <x:v>#DIV/0!</x:v>
      </x:c>
    </x:row>
    <x:row r="153" spans="1:15">
      <x:c r="A153" s="329"/>
      <x:c r="B153" s="329"/>
      <x:c r="C153" s="329"/>
      <x:c r="D153" s="329"/>
      <x:c r="E153" s="329"/>
      <x:c r="F153" s="173"/>
      <x:c r="I153" s="339">
        <x:f t="shared" si="14"/>
        <x:v>0</x:v>
      </x:c>
      <x:c r="J153" s="341" t="e">
        <x:f t="shared" si="15"/>
        <x:v>#DIV/0!</x:v>
      </x:c>
      <x:c r="K153" s="341" t="e">
        <x:f t="shared" si="16"/>
        <x:v>#DIV/0!</x:v>
      </x:c>
      <x:c r="L153" s="341" t="e">
        <x:f t="shared" si="17"/>
        <x:v>#DIV/0!</x:v>
      </x:c>
      <x:c r="M153" s="341" t="e">
        <x:f t="shared" si="18"/>
        <x:v>#DIV/0!</x:v>
      </x:c>
    </x:row>
    <x:row r="154" spans="1:15">
      <x:c r="A154" s="329"/>
      <x:c r="B154" s="329"/>
      <x:c r="C154" s="329"/>
      <x:c r="D154" s="329"/>
      <x:c r="E154" s="329"/>
      <x:c r="F154" s="173"/>
      <x:c r="I154" s="339">
        <x:f t="shared" si="14"/>
        <x:v>0</x:v>
      </x:c>
      <x:c r="J154" s="341" t="e">
        <x:f t="shared" si="15"/>
        <x:v>#DIV/0!</x:v>
      </x:c>
      <x:c r="K154" s="341" t="e">
        <x:f t="shared" si="16"/>
        <x:v>#DIV/0!</x:v>
      </x:c>
      <x:c r="L154" s="341" t="e">
        <x:f t="shared" si="17"/>
        <x:v>#DIV/0!</x:v>
      </x:c>
      <x:c r="M154" s="341" t="e">
        <x:f t="shared" si="18"/>
        <x:v>#DIV/0!</x:v>
      </x:c>
    </x:row>
    <x:row r="155" spans="1:15">
      <x:c r="A155" s="329"/>
      <x:c r="B155" s="329"/>
      <x:c r="C155" s="329"/>
      <x:c r="D155" s="329"/>
      <x:c r="E155" s="329"/>
      <x:c r="F155" s="173"/>
      <x:c r="I155" s="339">
        <x:f t="shared" si="14"/>
        <x:v>0</x:v>
      </x:c>
      <x:c r="J155" s="341" t="e">
        <x:f t="shared" si="15"/>
        <x:v>#DIV/0!</x:v>
      </x:c>
      <x:c r="K155" s="341" t="e">
        <x:f t="shared" si="16"/>
        <x:v>#DIV/0!</x:v>
      </x:c>
      <x:c r="L155" s="341" t="e">
        <x:f t="shared" si="17"/>
        <x:v>#DIV/0!</x:v>
      </x:c>
      <x:c r="M155" s="341" t="e">
        <x:f t="shared" si="18"/>
        <x:v>#DIV/0!</x:v>
      </x:c>
    </x:row>
    <x:row r="156" spans="1:15">
      <x:c r="A156" s="329"/>
      <x:c r="B156" s="329"/>
      <x:c r="C156" s="329"/>
      <x:c r="D156" s="329"/>
      <x:c r="E156" s="329"/>
      <x:c r="F156" s="173"/>
      <x:c r="I156" s="339">
        <x:f t="shared" si="14"/>
        <x:v>0</x:v>
      </x:c>
      <x:c r="J156" s="341" t="e">
        <x:f t="shared" si="15"/>
        <x:v>#DIV/0!</x:v>
      </x:c>
      <x:c r="K156" s="341" t="e">
        <x:f t="shared" si="16"/>
        <x:v>#DIV/0!</x:v>
      </x:c>
      <x:c r="L156" s="341" t="e">
        <x:f t="shared" si="17"/>
        <x:v>#DIV/0!</x:v>
      </x:c>
      <x:c r="M156" s="341" t="e">
        <x:f t="shared" si="18"/>
        <x:v>#DIV/0!</x:v>
      </x:c>
    </x:row>
    <x:row r="157" spans="1:15">
      <x:c r="A157" s="329"/>
      <x:c r="B157" s="329"/>
      <x:c r="C157" s="329"/>
      <x:c r="D157" s="329"/>
      <x:c r="E157" s="329"/>
      <x:c r="F157" s="173"/>
      <x:c r="I157" s="339">
        <x:f t="shared" si="14"/>
        <x:v>0</x:v>
      </x:c>
      <x:c r="J157" s="341" t="e">
        <x:f t="shared" si="15"/>
        <x:v>#DIV/0!</x:v>
      </x:c>
      <x:c r="K157" s="341" t="e">
        <x:f t="shared" si="16"/>
        <x:v>#DIV/0!</x:v>
      </x:c>
      <x:c r="L157" s="341" t="e">
        <x:f t="shared" si="17"/>
        <x:v>#DIV/0!</x:v>
      </x:c>
      <x:c r="M157" s="341" t="e">
        <x:f t="shared" si="18"/>
        <x:v>#DIV/0!</x:v>
      </x:c>
    </x:row>
    <x:row r="158" spans="1:15">
      <x:c r="A158" s="329"/>
      <x:c r="B158" s="329"/>
      <x:c r="C158" s="329"/>
      <x:c r="D158" s="329"/>
      <x:c r="E158" s="329"/>
      <x:c r="F158" s="173"/>
      <x:c r="I158" s="339">
        <x:f t="shared" si="14"/>
        <x:v>0</x:v>
      </x:c>
      <x:c r="J158" s="341" t="e">
        <x:f t="shared" si="15"/>
        <x:v>#DIV/0!</x:v>
      </x:c>
      <x:c r="K158" s="341" t="e">
        <x:f t="shared" si="16"/>
        <x:v>#DIV/0!</x:v>
      </x:c>
      <x:c r="L158" s="341" t="e">
        <x:f t="shared" si="17"/>
        <x:v>#DIV/0!</x:v>
      </x:c>
      <x:c r="M158" s="341" t="e">
        <x:f t="shared" si="18"/>
        <x:v>#DIV/0!</x:v>
      </x:c>
    </x:row>
    <x:row r="159" spans="1:15">
      <x:c r="A159" s="329"/>
      <x:c r="B159" s="329"/>
      <x:c r="C159" s="329"/>
      <x:c r="D159" s="329"/>
      <x:c r="E159" s="329"/>
      <x:c r="F159" s="173"/>
      <x:c r="I159" s="339">
        <x:f t="shared" si="14"/>
        <x:v>0</x:v>
      </x:c>
      <x:c r="J159" s="341" t="e">
        <x:f t="shared" si="15"/>
        <x:v>#DIV/0!</x:v>
      </x:c>
      <x:c r="K159" s="341" t="e">
        <x:f t="shared" si="16"/>
        <x:v>#DIV/0!</x:v>
      </x:c>
      <x:c r="L159" s="341" t="e">
        <x:f t="shared" si="17"/>
        <x:v>#DIV/0!</x:v>
      </x:c>
      <x:c r="M159" s="341" t="e">
        <x:f t="shared" si="18"/>
        <x:v>#DIV/0!</x:v>
      </x:c>
      <x:c r="O159" s="212"/>
    </x:row>
    <x:row r="160" spans="1:15">
      <x:c r="A160" s="329"/>
      <x:c r="B160" s="329"/>
      <x:c r="C160" s="329"/>
      <x:c r="D160" s="329"/>
      <x:c r="E160" s="329"/>
      <x:c r="F160" s="173"/>
      <x:c r="I160" s="339">
        <x:f t="shared" si="14"/>
        <x:v>0</x:v>
      </x:c>
      <x:c r="J160" s="341" t="e">
        <x:f t="shared" si="15"/>
        <x:v>#DIV/0!</x:v>
      </x:c>
      <x:c r="K160" s="341" t="e">
        <x:f t="shared" si="16"/>
        <x:v>#DIV/0!</x:v>
      </x:c>
      <x:c r="L160" s="341" t="e">
        <x:f t="shared" si="17"/>
        <x:v>#DIV/0!</x:v>
      </x:c>
      <x:c r="M160" s="341" t="e">
        <x:f t="shared" si="18"/>
        <x:v>#DIV/0!</x:v>
      </x:c>
    </x:row>
  </x:sheetData>
  <x:autoFilter ref="A8:Z160" xr:uid="{0B227C17-6D0B-478A-9860-7EE9F01A9EEC}"/>
  <x:phoneticPr fontId="7" type="noConversion"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300-000000000000}" mc:Ignorable="x14ac xr xr2 xr3">
  <x:dimension ref="B2:U74"/>
  <x:sheetViews>
    <x:sheetView showGridLines="0" tabSelected="1" zoomScale="70" zoomScaleNormal="70" workbookViewId="0">
      <x:pane xSplit="4" ySplit="5" topLeftCell="E16" activePane="bottomRight" state="frozen"/>
      <x:selection activeCell="F15" sqref="F15"/>
      <x:selection pane="topRight" activeCell="F15" sqref="F15"/>
      <x:selection pane="bottomLeft" activeCell="F15" sqref="F15"/>
      <x:selection pane="bottomRight" activeCell="B5" sqref="B5:B69"/>
    </x:sheetView>
  </x:sheetViews>
  <x:sheetFormatPr defaultColWidth="8.85546875" defaultRowHeight="12.75"/>
  <x:cols>
    <x:col min="1" max="1" width="1.42578125" style="8" customWidth="1"/>
    <x:col min="2" max="2" width="21.42578125" style="8" customWidth="1"/>
    <x:col min="3" max="3" width="17.140625" style="7" bestFit="1" customWidth="1"/>
    <x:col min="4" max="4" width="7.85546875" style="7" customWidth="1"/>
    <x:col min="5" max="6" width="16.42578125" style="7" bestFit="1" customWidth="1"/>
    <x:col min="7" max="7" width="16.85546875" style="7" bestFit="1" customWidth="1"/>
    <x:col min="8" max="8" width="16.42578125" style="7" bestFit="1" customWidth="1"/>
    <x:col min="9" max="9" width="13.85546875" style="7" customWidth="1"/>
    <x:col min="10" max="11" width="16.85546875" style="7" bestFit="1" customWidth="1"/>
    <x:col min="12" max="12" width="16.42578125" style="7" bestFit="1" customWidth="1"/>
    <x:col min="13" max="15" width="16.85546875" style="7" bestFit="1" customWidth="1"/>
    <x:col min="16" max="16" width="16.42578125" style="7" customWidth="1"/>
    <x:col min="17" max="19" width="8.85546875" style="8"/>
    <x:col min="20" max="20" width="16.140625" style="8" bestFit="1" customWidth="1"/>
    <x:col min="21" max="16384" width="8.85546875" style="8"/>
  </x:cols>
  <x:sheetData>
    <x:row r="2" spans="2:20" ht="6" customHeight="1"/>
    <x:row r="3" spans="2:20" ht="27.6" customHeight="1">
      <x:c r="B3" s="15" t="s">
        <x:v>644</x:v>
      </x:c>
      <x:c r="P3" s="9"/>
    </x:row>
    <x:row r="4" spans="2:20" ht="14.45" customHeight="1">
      <x:c r="E4" s="8"/>
      <x:c r="F4" s="8"/>
      <x:c r="N4" s="8"/>
      <x:c r="P4" s="14" t="s">
        <x:v>20</x:v>
      </x:c>
    </x:row>
    <x:row r="5" spans="2:20" ht="27.6" customHeight="1">
      <x:c r="B5" s="17" t="s">
        <x:v>41</x:v>
      </x:c>
      <x:c r="C5" s="18" t="s">
        <x:v>182</x:v>
      </x:c>
      <x:c r="D5" s="17" t="s">
        <x:v>0</x:v>
      </x:c>
      <x:c r="E5" s="18" t="s">
        <x:v>7</x:v>
      </x:c>
      <x:c r="F5" s="18" t="s">
        <x:v>9</x:v>
      </x:c>
      <x:c r="G5" s="18" t="s">
        <x:v>10</x:v>
      </x:c>
      <x:c r="H5" s="18" t="s">
        <x:v>11</x:v>
      </x:c>
      <x:c r="I5" s="18" t="s">
        <x:v>12</x:v>
      </x:c>
      <x:c r="J5" s="18" t="s">
        <x:v>13</x:v>
      </x:c>
      <x:c r="K5" s="18" t="s">
        <x:v>14</x:v>
      </x:c>
      <x:c r="L5" s="18" t="s">
        <x:v>15</x:v>
      </x:c>
      <x:c r="M5" s="18" t="s">
        <x:v>16</x:v>
      </x:c>
      <x:c r="N5" s="18" t="s">
        <x:v>17</x:v>
      </x:c>
      <x:c r="O5" s="18" t="s">
        <x:v>18</x:v>
      </x:c>
      <x:c r="P5" s="18" t="s">
        <x:v>19</x:v>
      </x:c>
    </x:row>
    <x:row r="6" spans="2:20" s="10" customFormat="1" ht="20.45" customHeight="1">
      <x:c r="B6" s="19" t="s">
        <x:v>22</x:v>
      </x:c>
      <x:c r="C6" s="20">
        <x:f>SUM(E6:P6)</x:f>
        <x:v>47498576182.606285</x:v>
      </x:c>
      <x:c r="D6" s="19">
        <x:v>0</x:v>
      </x:c>
      <x:c r="E6" s="19">
        <x:f>SUM(E7:E10)</x:f>
        <x:v>1801973745.210376</x:v>
      </x:c>
      <x:c r="F6" s="19">
        <x:f t="shared" ref="F6:P6" si="0">SUM(F7:F10)</x:f>
        <x:v>2267171092.8277717</x:v>
      </x:c>
      <x:c r="G6" s="19">
        <x:f t="shared" si="0"/>
        <x:v>3213691885.8107204</x:v>
      </x:c>
      <x:c r="H6" s="19">
        <x:f t="shared" si="0"/>
        <x:v>5875672551.9337206</x:v>
      </x:c>
      <x:c r="I6" s="19">
        <x:f t="shared" si="0"/>
        <x:v>3036004726.5567708</x:v>
      </x:c>
      <x:c r="J6" s="19">
        <x:f t="shared" si="0"/>
        <x:v>4398740202.3980103</x:v>
      </x:c>
      <x:c r="K6" s="19">
        <x:f t="shared" si="0"/>
        <x:v>4179845415.46527</x:v>
      </x:c>
      <x:c r="L6" s="19">
        <x:f t="shared" si="0"/>
        <x:v>2131670473.4916458</x:v>
      </x:c>
      <x:c r="M6" s="19">
        <x:f t="shared" si="0"/>
        <x:v>2751373188.5337706</x:v>
      </x:c>
      <x:c r="N6" s="19">
        <x:f t="shared" si="0"/>
        <x:v>2666796978.1995096</x:v>
      </x:c>
      <x:c r="O6" s="19">
        <x:f t="shared" si="0"/>
        <x:v>2555575973.9065294</x:v>
      </x:c>
      <x:c r="P6" s="19">
        <x:f t="shared" si="0"/>
        <x:v>12620059948.272186</x:v>
      </x:c>
    </x:row>
    <x:row r="7" spans="2:20" ht="13.5">
      <x:c r="B7" s="13" t="s">
        <x:v>183</x:v>
      </x:c>
      <x:c r="C7" s="241">
        <x:f t="shared" ref="C7:C10" si="1">SUM(E7:P7)</x:f>
        <x:v>0</x:v>
      </x:c>
      <x:c r="D7" s="202"/>
      <x:c r="E7" s="202">
        <x:f>SUMIFS('(계획)26년 매출매입 월별계획'!E:E,'(계획)26년 매출매입 월별계획'!$T:$T,$B7,'(계획)26년 매출매입 월별계획'!$V:$V,"매출")</x:f>
        <x:v>0</x:v>
      </x:c>
      <x:c r="F7" s="202">
        <x:f>SUMIFS('(계획)26년 매출매입 월별계획'!F:F,'(계획)26년 매출매입 월별계획'!$T:$T,$B7,'(계획)26년 매출매입 월별계획'!$V:$V,"매출")</x:f>
        <x:v>0</x:v>
      </x:c>
      <x:c r="G7" s="202">
        <x:f>SUMIFS('(계획)26년 매출매입 월별계획'!G:G,'(계획)26년 매출매입 월별계획'!$T:$T,$B7,'(계획)26년 매출매입 월별계획'!$V:$V,"매출")</x:f>
        <x:v>0</x:v>
      </x:c>
      <x:c r="H7" s="202">
        <x:f>SUMIFS('(계획)26년 매출매입 월별계획'!H:H,'(계획)26년 매출매입 월별계획'!$T:$T,$B7,'(계획)26년 매출매입 월별계획'!$V:$V,"매출")</x:f>
        <x:v>0</x:v>
      </x:c>
      <x:c r="I7" s="202">
        <x:f>SUMIFS('(계획)26년 매출매입 월별계획'!I:I,'(계획)26년 매출매입 월별계획'!$T:$T,$B7,'(계획)26년 매출매입 월별계획'!$V:$V,"매출")</x:f>
        <x:v>0</x:v>
      </x:c>
      <x:c r="J7" s="202">
        <x:f>SUMIFS('(계획)26년 매출매입 월별계획'!J:J,'(계획)26년 매출매입 월별계획'!$T:$T,$B7,'(계획)26년 매출매입 월별계획'!$V:$V,"매출")</x:f>
        <x:v>0</x:v>
      </x:c>
      <x:c r="K7" s="202">
        <x:f>SUMIFS('(계획)26년 매출매입 월별계획'!K:K,'(계획)26년 매출매입 월별계획'!$T:$T,$B7,'(계획)26년 매출매입 월별계획'!$V:$V,"매출")</x:f>
        <x:v>0</x:v>
      </x:c>
      <x:c r="L7" s="202">
        <x:f>SUMIFS('(계획)26년 매출매입 월별계획'!L:L,'(계획)26년 매출매입 월별계획'!$T:$T,$B7,'(계획)26년 매출매입 월별계획'!$V:$V,"매출")</x:f>
        <x:v>0</x:v>
      </x:c>
      <x:c r="M7" s="202">
        <x:f>SUMIFS('(계획)26년 매출매입 월별계획'!M:M,'(계획)26년 매출매입 월별계획'!$T:$T,$B7,'(계획)26년 매출매입 월별계획'!$V:$V,"매출")</x:f>
        <x:v>0</x:v>
      </x:c>
      <x:c r="N7" s="202">
        <x:f>SUMIFS('(계획)26년 매출매입 월별계획'!N:N,'(계획)26년 매출매입 월별계획'!$T:$T,$B7,'(계획)26년 매출매입 월별계획'!$V:$V,"매출")</x:f>
        <x:v>0</x:v>
      </x:c>
      <x:c r="O7" s="202">
        <x:f>SUMIFS('(계획)26년 매출매입 월별계획'!O:O,'(계획)26년 매출매입 월별계획'!$T:$T,$B7,'(계획)26년 매출매입 월별계획'!$V:$V,"매출")</x:f>
        <x:v>0</x:v>
      </x:c>
      <x:c r="P7" s="202">
        <x:f>SUMIFS('(계획)26년 매출매입 월별계획'!P:P,'(계획)26년 매출매입 월별계획'!$T:$T,$B7,'(계획)26년 매출매입 월별계획'!$V:$V,"매출")</x:f>
        <x:v>0</x:v>
      </x:c>
    </x:row>
    <x:row r="8" spans="2:20" ht="13.5">
      <x:c r="B8" s="13" t="s">
        <x:v>330</x:v>
      </x:c>
      <x:c r="C8" s="241">
        <x:f t="shared" si="1"/>
        <x:v>9059168350</x:v>
      </x:c>
      <x:c r="D8" s="202"/>
      <x:c r="E8" s="202">
        <x:f>SUMIFS('(계획)26년 매출매입 월별계획'!E:E,'(계획)26년 매출매입 월별계획'!$T:$T,$B8,'(계획)26년 매출매입 월별계획'!$V:$V,"매출")</x:f>
        <x:v>268009000</x:v>
      </x:c>
      <x:c r="F8" s="202">
        <x:f>SUMIFS('(계획)26년 매출매입 월별계획'!F:F,'(계획)26년 매출매입 월별계획'!$T:$T,$B8,'(계획)26년 매출매입 월별계획'!$V:$V,"매출")</x:f>
        <x:v>470499568</x:v>
      </x:c>
      <x:c r="G8" s="202">
        <x:f>SUMIFS('(계획)26년 매출매입 월별계획'!G:G,'(계획)26년 매출매입 월별계획'!$T:$T,$B8,'(계획)26년 매출매입 월별계획'!$V:$V,"매출")</x:f>
        <x:v>581814052</x:v>
      </x:c>
      <x:c r="H8" s="202">
        <x:f>SUMIFS('(계획)26년 매출매입 월별계획'!H:H,'(계획)26년 매출매입 월별계획'!$T:$T,$B8,'(계획)26년 매출매입 월별계획'!$V:$V,"매출")</x:f>
        <x:v>916682560</x:v>
      </x:c>
      <x:c r="I8" s="202">
        <x:f>SUMIFS('(계획)26년 매출매입 월별계획'!I:I,'(계획)26년 매출매입 월별계획'!$T:$T,$B8,'(계획)26년 매출매입 월별계획'!$V:$V,"매출")</x:f>
        <x:v>897375852</x:v>
      </x:c>
      <x:c r="J8" s="202">
        <x:f>SUMIFS('(계획)26년 매출매입 월별계획'!J:J,'(계획)26년 매출매입 월별계획'!$T:$T,$B8,'(계획)26년 매출매입 월별계획'!$V:$V,"매출")</x:f>
        <x:v>903742952</x:v>
      </x:c>
      <x:c r="K8" s="202">
        <x:f>SUMIFS('(계획)26년 매출매입 월별계획'!K:K,'(계획)26년 매출매입 월별계획'!$T:$T,$B8,'(계획)26년 매출매입 월별계획'!$V:$V,"매출")</x:f>
        <x:v>1032380066</x:v>
      </x:c>
      <x:c r="L8" s="202">
        <x:f>SUMIFS('(계획)26년 매출매입 월별계획'!L:L,'(계획)26년 매출매입 월별계획'!$T:$T,$B8,'(계획)26년 매출매입 월별계획'!$V:$V,"매출")</x:f>
        <x:v>832505164</x:v>
      </x:c>
      <x:c r="M8" s="202">
        <x:f>SUMIFS('(계획)26년 매출매입 월별계획'!M:M,'(계획)26년 매출매입 월별계획'!$T:$T,$B8,'(계획)26년 매출매입 월별계획'!$V:$V,"매출")</x:f>
        <x:v>841903084</x:v>
      </x:c>
      <x:c r="N8" s="202">
        <x:f>SUMIFS('(계획)26년 매출매입 월별계획'!N:N,'(계획)26년 매출매입 월별계획'!$T:$T,$B8,'(계획)26년 매출매입 월별계획'!$V:$V,"매출")</x:f>
        <x:v>771418684</x:v>
      </x:c>
      <x:c r="O8" s="202">
        <x:f>SUMIFS('(계획)26년 매출매입 월별계획'!O:O,'(계획)26년 매출매입 월별계획'!$T:$T,$B8,'(계획)26년 매출매입 월별계획'!$V:$V,"매출")</x:f>
        <x:v>771418684</x:v>
      </x:c>
      <x:c r="P8" s="202">
        <x:f>SUMIFS('(계획)26년 매출매입 월별계획'!P:P,'(계획)26년 매출매입 월별계획'!$T:$T,$B8,'(계획)26년 매출매입 월별계획'!$V:$V,"매출")</x:f>
        <x:v>771418684</x:v>
      </x:c>
    </x:row>
    <x:row r="9" spans="2:20" ht="13.5">
      <x:c r="B9" s="13" t="s">
        <x:v>5</x:v>
      </x:c>
      <x:c r="C9" s="241">
        <x:f t="shared" si="1"/>
        <x:v>22049849603.606281</x:v>
      </x:c>
      <x:c r="D9" s="202"/>
      <x:c r="E9" s="202">
        <x:f>SUMIFS('(계획)26년 매출매입 월별계획'!E:E,'(계획)26년 매출매입 월별계획'!$T:$T,$B9,'(계획)26년 매출매입 월별계획'!$V:$V,"매출")</x:f>
        <x:v>1533964745.210376</x:v>
      </x:c>
      <x:c r="F9" s="202">
        <x:f>SUMIFS('(계획)26년 매출매입 월별계획'!F:F,'(계획)26년 매출매입 월별계획'!$T:$T,$B9,'(계획)26년 매출매입 월별계획'!$V:$V,"매출")</x:f>
        <x:v>1796671524.8277717</x:v>
      </x:c>
      <x:c r="G9" s="202">
        <x:f>SUMIFS('(계획)26년 매출매입 월별계획'!G:G,'(계획)26년 매출매입 월별계획'!$T:$T,$B9,'(계획)26년 매출매입 월별계획'!$V:$V,"매출")</x:f>
        <x:v>2125214833.8107207</x:v>
      </x:c>
      <x:c r="H9" s="202">
        <x:f>SUMIFS('(계획)26년 매출매입 월별계획'!H:H,'(계획)26년 매출매입 월별계획'!$T:$T,$B9,'(계획)26년 매출매입 월별계획'!$V:$V,"매출")</x:f>
        <x:v>1966593991.9337206</x:v>
      </x:c>
      <x:c r="I9" s="202">
        <x:f>SUMIFS('(계획)26년 매출매입 월별계획'!I:I,'(계획)26년 매출매입 월별계획'!$T:$T,$B9,'(계획)26년 매출매입 월별계획'!$V:$V,"매출")</x:f>
        <x:v>2066528874.5567708</x:v>
      </x:c>
      <x:c r="J9" s="202">
        <x:f>SUMIFS('(계획)26년 매출매입 월별계획'!J:J,'(계획)26년 매출매입 월별계획'!$T:$T,$B9,'(계획)26년 매출매입 월별계획'!$V:$V,"매출")</x:f>
        <x:v>2159002850.3980103</x:v>
      </x:c>
      <x:c r="K9" s="202">
        <x:f>SUMIFS('(계획)26년 매출매입 월별계획'!K:K,'(계획)26년 매출매입 월별계획'!$T:$T,$B9,'(계획)26년 매출매입 월별계획'!$V:$V,"매출")</x:f>
        <x:v>1700781749.4652703</x:v>
      </x:c>
      <x:c r="L9" s="202">
        <x:f>SUMIFS('(계획)26년 매출매입 월별계획'!L:L,'(계획)26년 매출매입 월별계획'!$T:$T,$B9,'(계획)26년 매출매입 월별계획'!$V:$V,"매출")</x:f>
        <x:v>1299165309.4916458</x:v>
      </x:c>
      <x:c r="M9" s="202">
        <x:f>SUMIFS('(계획)26년 매출매입 월별계획'!M:M,'(계획)26년 매출매입 월별계획'!$T:$T,$B9,'(계획)26년 매출매입 월별계획'!$V:$V,"매출")</x:f>
        <x:v>1750965104.5337703</x:v>
      </x:c>
      <x:c r="N9" s="202">
        <x:f>SUMIFS('(계획)26년 매출매입 월별계획'!N:N,'(계획)26년 매출매입 월별계획'!$T:$T,$B9,'(계획)26년 매출매입 월별계획'!$V:$V,"매출")</x:f>
        <x:v>1895378294.1995096</x:v>
      </x:c>
      <x:c r="O9" s="202">
        <x:f>SUMIFS('(계획)26년 매출매입 월별계획'!O:O,'(계획)26년 매출매입 월별계획'!$T:$T,$B9,'(계획)26년 매출매입 월별계획'!$V:$V,"매출")</x:f>
        <x:v>1784157289.9065292</x:v>
      </x:c>
      <x:c r="P9" s="202">
        <x:f>SUMIFS('(계획)26년 매출매입 월별계획'!P:P,'(계획)26년 매출매입 월별계획'!$T:$T,$B9,'(계획)26년 매출매입 월별계획'!$V:$V,"매출")</x:f>
        <x:v>1971425035.2721863</x:v>
      </x:c>
    </x:row>
    <x:row r="10" spans="2:20" ht="13.5">
      <x:c r="B10" s="13" t="s">
        <x:v>6</x:v>
      </x:c>
      <x:c r="C10" s="241">
        <x:f t="shared" si="1"/>
        <x:v>16389558229</x:v>
      </x:c>
      <x:c r="D10" s="202"/>
      <x:c r="E10" s="202">
        <x:f>SUMIFS('(계획)26년 매출매입 월별계획'!E:E,'(계획)26년 매출매입 월별계획'!$R:$R,'(계획)손익계산서 월별계획'!$B$10,'(계획)26년 매출매입 월별계획'!$V:$V,"매출")</x:f>
        <x:v>0</x:v>
      </x:c>
      <x:c r="F10" s="202">
        <x:f>SUMIFS('(계획)26년 매출매입 월별계획'!F:F,'(계획)26년 매출매입 월별계획'!$R:$R,'(계획)손익계산서 월별계획'!$B$10,'(계획)26년 매출매입 월별계획'!$V:$V,"매출")</x:f>
        <x:v>0</x:v>
      </x:c>
      <x:c r="G10" s="202">
        <x:f>SUMIFS('(계획)26년 매출매입 월별계획'!G:G,'(계획)26년 매출매입 월별계획'!$R:$R,'(계획)손익계산서 월별계획'!$B$10,'(계획)26년 매출매입 월별계획'!$V:$V,"매출")</x:f>
        <x:v>506663000</x:v>
      </x:c>
      <x:c r="H10" s="202">
        <x:f>SUMIFS('(계획)26년 매출매입 월별계획'!H:H,'(계획)26년 매출매입 월별계획'!$R:$R,'(계획)손익계산서 월별계획'!$B$10,'(계획)26년 매출매입 월별계획'!$V:$V,"매출")</x:f>
        <x:v>2992396000</x:v>
      </x:c>
      <x:c r="I10" s="202">
        <x:f>SUMIFS('(계획)26년 매출매입 월별계획'!I:I,'(계획)26년 매출매입 월별계획'!$R:$R,'(계획)손익계산서 월별계획'!$B$10,'(계획)26년 매출매입 월별계획'!$V:$V,"매출")</x:f>
        <x:v>72100000</x:v>
      </x:c>
      <x:c r="J10" s="202">
        <x:f>SUMIFS('(계획)26년 매출매입 월별계획'!J:J,'(계획)26년 매출매입 월별계획'!$R:$R,'(계획)손익계산서 월별계획'!$B$10,'(계획)26년 매출매입 월별계획'!$V:$V,"매출")</x:f>
        <x:v>1335994400</x:v>
      </x:c>
      <x:c r="K10" s="202">
        <x:f>SUMIFS('(계획)26년 매출매입 월별계획'!K:K,'(계획)26년 매출매입 월별계획'!$R:$R,'(계획)손익계산서 월별계획'!$B$10,'(계획)26년 매출매입 월별계획'!$V:$V,"매출")</x:f>
        <x:v>1446683600</x:v>
      </x:c>
      <x:c r="L10" s="202">
        <x:f>SUMIFS('(계획)26년 매출매입 월별계획'!L:L,'(계획)26년 매출매입 월별계획'!$R:$R,'(계획)손익계산서 월별계획'!$B$10,'(계획)26년 매출매입 월별계획'!$V:$V,"매출")</x:f>
        <x:v>0</x:v>
      </x:c>
      <x:c r="M10" s="202">
        <x:f>SUMIFS('(계획)26년 매출매입 월별계획'!M:M,'(계획)26년 매출매입 월별계획'!$R:$R,'(계획)손익계산서 월별계획'!$B$10,'(계획)26년 매출매입 월별계획'!$V:$V,"매출")</x:f>
        <x:v>158505000</x:v>
      </x:c>
      <x:c r="N10" s="202">
        <x:f>SUMIFS('(계획)26년 매출매입 월별계획'!N:N,'(계획)26년 매출매입 월별계획'!$R:$R,'(계획)손익계산서 월별계획'!$B$10,'(계획)26년 매출매입 월별계획'!$V:$V,"매출")</x:f>
        <x:v>0</x:v>
      </x:c>
      <x:c r="O10" s="202">
        <x:f>SUMIFS('(계획)26년 매출매입 월별계획'!O:O,'(계획)26년 매출매입 월별계획'!$R:$R,'(계획)손익계산서 월별계획'!$B$10,'(계획)26년 매출매입 월별계획'!$V:$V,"매출")</x:f>
        <x:v>0</x:v>
      </x:c>
      <x:c r="P10" s="202">
        <x:f>SUMIFS('(계획)26년 매출매입 월별계획'!P:P,'(계획)26년 매출매입 월별계획'!$R:$R,'(계획)손익계산서 월별계획'!$B$10,'(계획)26년 매출매입 월별계획'!$V:$V,"매출")</x:f>
        <x:v>9877216229</x:v>
      </x:c>
    </x:row>
    <x:row r="11" spans="2:20" ht="19.350000000000001" customHeight="1">
      <x:c r="B11" s="19" t="s">
        <x:v>23</x:v>
      </x:c>
      <x:c r="C11" s="20">
        <x:f>SUM(E11:P11)</x:f>
        <x:v>40951464023.634239</x:v>
      </x:c>
      <x:c r="D11" s="19"/>
      <x:c r="E11" s="19">
        <x:f>SUM(E12:E15)</x:f>
        <x:v>1646342203.4499125</x:v>
      </x:c>
      <x:c r="F11" s="19">
        <x:f t="shared" ref="F11:P11" si="2">SUM(F12:F15)</x:f>
        <x:v>2009101919.6831121</x:v>
      </x:c>
      <x:c r="G11" s="19">
        <x:f t="shared" si="2"/>
        <x:v>2523544913.7747126</x:v>
      </x:c>
      <x:c r="H11" s="19">
        <x:f t="shared" si="2"/>
        <x:v>5384973311.4947128</x:v>
      </x:c>
      <x:c r="I11" s="19">
        <x:f t="shared" si="2"/>
        <x:v>2585649516.7957125</x:v>
      </x:c>
      <x:c r="J11" s="19">
        <x:f t="shared" si="2"/>
        <x:v>2935481327.332283</x:v>
      </x:c>
      <x:c r="K11" s="19">
        <x:f t="shared" si="2"/>
        <x:v>3686806224.7942839</x:v>
      </x:c>
      <x:c r="L11" s="19">
        <x:f t="shared" si="2"/>
        <x:v>1735575412.0334835</x:v>
      </x:c>
      <x:c r="M11" s="19">
        <x:f t="shared" si="2"/>
        <x:v>2336955965.7442842</x:v>
      </x:c>
      <x:c r="N11" s="19">
        <x:f t="shared" si="2"/>
        <x:v>2280363126.0022836</x:v>
      </x:c>
      <x:c r="O11" s="19">
        <x:f t="shared" si="2"/>
        <x:v>2172381568.4362841</x:v>
      </x:c>
      <x:c r="P11" s="19">
        <x:f t="shared" si="2"/>
        <x:v>11654288534.093172</x:v>
      </x:c>
    </x:row>
    <x:row r="12" spans="2:20" ht="13.5">
      <x:c r="B12" s="13" t="s">
        <x:v>183</x:v>
      </x:c>
      <x:c r="C12" s="241">
        <x:f t="shared" ref="C12:C15" si="3">SUM(E12:P12)</x:f>
        <x:v>0</x:v>
      </x:c>
      <x:c r="D12" s="202"/>
      <x:c r="E12" s="202">
        <x:f>SUMIFS('(계획)26년 매출매입 월별계획'!E:E,'(계획)26년 매출매입 월별계획'!$T:$T,$B12,'(계획)26년 매출매입 월별계획'!$V:$V,"매입")</x:f>
        <x:v>0</x:v>
      </x:c>
      <x:c r="F12" s="202">
        <x:f>SUMIFS('(계획)26년 매출매입 월별계획'!F:F,'(계획)26년 매출매입 월별계획'!$T:$T,$B12,'(계획)26년 매출매입 월별계획'!$V:$V,"매입")</x:f>
        <x:v>0</x:v>
      </x:c>
      <x:c r="G12" s="202">
        <x:f>SUMIFS('(계획)26년 매출매입 월별계획'!G:G,'(계획)26년 매출매입 월별계획'!$T:$T,$B12,'(계획)26년 매출매입 월별계획'!$V:$V,"매입")</x:f>
        <x:v>0</x:v>
      </x:c>
      <x:c r="H12" s="202">
        <x:f>SUMIFS('(계획)26년 매출매입 월별계획'!H:H,'(계획)26년 매출매입 월별계획'!$T:$T,$B12,'(계획)26년 매출매입 월별계획'!$V:$V,"매입")</x:f>
        <x:v>0</x:v>
      </x:c>
      <x:c r="I12" s="202">
        <x:f>SUMIFS('(계획)26년 매출매입 월별계획'!I:I,'(계획)26년 매출매입 월별계획'!$T:$T,$B12,'(계획)26년 매출매입 월별계획'!$V:$V,"매입")</x:f>
        <x:v>0</x:v>
      </x:c>
      <x:c r="J12" s="202">
        <x:f>SUMIFS('(계획)26년 매출매입 월별계획'!J:J,'(계획)26년 매출매입 월별계획'!$T:$T,$B12,'(계획)26년 매출매입 월별계획'!$V:$V,"매입")</x:f>
        <x:v>0</x:v>
      </x:c>
      <x:c r="K12" s="202">
        <x:f>SUMIFS('(계획)26년 매출매입 월별계획'!K:K,'(계획)26년 매출매입 월별계획'!$T:$T,$B12,'(계획)26년 매출매입 월별계획'!$V:$V,"매입")</x:f>
        <x:v>0</x:v>
      </x:c>
      <x:c r="L12" s="202">
        <x:f>SUMIFS('(계획)26년 매출매입 월별계획'!L:L,'(계획)26년 매출매입 월별계획'!$T:$T,$B12,'(계획)26년 매출매입 월별계획'!$V:$V,"매입")</x:f>
        <x:v>0</x:v>
      </x:c>
      <x:c r="M12" s="202">
        <x:f>SUMIFS('(계획)26년 매출매입 월별계획'!M:M,'(계획)26년 매출매입 월별계획'!$T:$T,$B12,'(계획)26년 매출매입 월별계획'!$V:$V,"매입")</x:f>
        <x:v>0</x:v>
      </x:c>
      <x:c r="N12" s="202">
        <x:f>SUMIFS('(계획)26년 매출매입 월별계획'!N:N,'(계획)26년 매출매입 월별계획'!$T:$T,$B12,'(계획)26년 매출매입 월별계획'!$V:$V,"매입")</x:f>
        <x:v>0</x:v>
      </x:c>
      <x:c r="O12" s="202">
        <x:f>SUMIFS('(계획)26년 매출매입 월별계획'!O:O,'(계획)26년 매출매입 월별계획'!$T:$T,$B12,'(계획)26년 매출매입 월별계획'!$V:$V,"매입")</x:f>
        <x:v>0</x:v>
      </x:c>
      <x:c r="P12" s="202">
        <x:f>SUMIFS('(계획)26년 매출매입 월별계획'!P:P,'(계획)26년 매출매입 월별계획'!$T:$T,$B12,'(계획)26년 매출매입 월별계획'!$V:$V,"매입")</x:f>
        <x:v>0</x:v>
      </x:c>
    </x:row>
    <x:row r="13" spans="2:20" ht="13.5">
      <x:c r="B13" s="13" t="s">
        <x:v>330</x:v>
      </x:c>
      <x:c r="C13" s="241">
        <x:f t="shared" si="3"/>
        <x:v>5125883039</x:v>
      </x:c>
      <x:c r="D13" s="202">
        <x:v>0</x:v>
      </x:c>
      <x:c r="E13" s="202">
        <x:f>SUMIFS('(계획)26년 매출매입 월별계획'!E:E,'(계획)26년 매출매입 월별계획'!$T:$T,$B13,'(계획)26년 매출매입 월별계획'!$V:$V,"매입")</x:f>
        <x:v>154758500</x:v>
      </x:c>
      <x:c r="F13" s="202">
        <x:f>SUMIFS('(계획)26년 매출매입 월별계획'!F:F,'(계획)26년 매출매입 월별계획'!$T:$T,$B13,'(계획)26년 매출매입 월별계획'!$V:$V,"매입")</x:f>
        <x:v>261536528</x:v>
      </x:c>
      <x:c r="G13" s="202">
        <x:f>SUMIFS('(계획)26년 매출매입 월별계획'!G:G,'(계획)26년 매출매입 월별계획'!$T:$T,$B13,'(계획)26년 매출매입 월별계획'!$V:$V,"매입")</x:f>
        <x:v>320539802.00000006</x:v>
      </x:c>
      <x:c r="H13" s="202">
        <x:f>SUMIFS('(계획)26년 매출매입 월별계획'!H:H,'(계획)26년 매출매입 월별계획'!$T:$T,$B13,'(계획)26년 매출매입 월별계획'!$V:$V,"매입")</x:f>
        <x:v>517598810</x:v>
      </x:c>
      <x:c r="I13" s="202">
        <x:f>SUMIFS('(계획)26년 매출매입 월별계획'!I:I,'(계획)26년 매출매입 월별계획'!$T:$T,$B13,'(계획)26년 매출매입 월별계획'!$V:$V,"매입")</x:f>
        <x:v>506557096</x:v>
      </x:c>
      <x:c r="J13" s="202">
        <x:f>SUMIFS('(계획)26년 매출매입 월별계획'!J:J,'(계획)26년 매출매입 월별계획'!$T:$T,$B13,'(계획)26년 매출매입 월별계획'!$V:$V,"매입")</x:f>
        <x:v>510213692</x:v>
      </x:c>
      <x:c r="K13" s="202">
        <x:f>SUMIFS('(계획)26년 매출매입 월별계획'!K:K,'(계획)26년 매출매입 월별계획'!$T:$T,$B13,'(계획)26년 매출매입 월별계획'!$V:$V,"매입")</x:f>
        <x:v>587459976.99999988</x:v>
      </x:c>
      <x:c r="L13" s="202">
        <x:f>SUMIFS('(계획)26년 매출매입 월별계획'!L:L,'(계획)26년 매출매입 월별계획'!$T:$T,$B13,'(계획)26년 매출매입 월별계획'!$V:$V,"매입")</x:f>
        <x:v>472831638.00000006</x:v>
      </x:c>
      <x:c r="M13" s="202">
        <x:f>SUMIFS('(계획)26년 매출매입 월별계획'!M:M,'(계획)26년 매출매입 월별계획'!$T:$T,$B13,'(계획)26년 매출매입 월별계획'!$V:$V,"매입")</x:f>
        <x:v>478071614.00000006</x:v>
      </x:c>
      <x:c r="N13" s="202">
        <x:f>SUMIFS('(계획)26년 매출매입 월별계획'!N:N,'(계획)26년 매출매입 월별계획'!$T:$T,$B13,'(계획)26년 매출매입 월별계획'!$V:$V,"매입")</x:f>
        <x:v>438771794.00000006</x:v>
      </x:c>
      <x:c r="O13" s="202">
        <x:f>SUMIFS('(계획)26년 매출매입 월별계획'!O:O,'(계획)26년 매출매입 월별계획'!$T:$T,$B13,'(계획)26년 매출매입 월별계획'!$V:$V,"매입")</x:f>
        <x:v>438771794.00000006</x:v>
      </x:c>
      <x:c r="P13" s="202">
        <x:f>SUMIFS('(계획)26년 매출매입 월별계획'!P:P,'(계획)26년 매출매입 월별계획'!$T:$T,$B13,'(계획)26년 매출매입 월별계획'!$V:$V,"매입")</x:f>
        <x:v>438771794.00000006</x:v>
      </x:c>
      <x:c r="T13" s="11"/>
    </x:row>
    <x:row r="14" spans="2:20" ht="13.5">
      <x:c r="B14" s="13" t="s">
        <x:v>5</x:v>
      </x:c>
      <x:c r="C14" s="241">
        <x:f t="shared" si="3"/>
        <x:v>21403972895.063999</x:v>
      </x:c>
      <x:c r="D14" s="202"/>
      <x:c r="E14" s="202">
        <x:f>SUMIFS('(계획)26년 매출매입 월별계획'!E:E,'(계획)26년 매출매입 월별계획'!$T:$T,$B14,'(계획)26년 매출매입 월별계획'!$V:$V,"매입")</x:f>
        <x:v>1489156131.0392003</x:v>
      </x:c>
      <x:c r="F14" s="202">
        <x:f>SUMIFS('(계획)26년 매출매입 월별계획'!F:F,'(계획)26년 매출매입 월별계획'!$T:$T,$B14,'(계획)26년 매출매입 월별계획'!$V:$V,"매입")</x:f>
        <x:v>1745137819.2723999</x:v>
      </x:c>
      <x:c r="G14" s="202">
        <x:f>SUMIFS('(계획)26년 매출매입 월별계획'!G:G,'(계획)26년 매출매입 월별계획'!$T:$T,$B14,'(계획)26년 매출매입 월별계획'!$V:$V,"매입")</x:f>
        <x:v>2064577539.3640001</x:v>
      </x:c>
      <x:c r="H14" s="202">
        <x:f>SUMIFS('(계획)26년 매출매입 월별계획'!H:H,'(계획)26년 매출매입 월별계획'!$T:$T,$B14,'(계획)26년 매출매입 월별계획'!$V:$V,"매입")</x:f>
        <x:v>1910046929.0840001</x:v>
      </x:c>
      <x:c r="I14" s="202">
        <x:f>SUMIFS('(계획)26년 매출매입 월별계획'!I:I,'(계획)26년 매출매입 월별계획'!$T:$T,$B14,'(계획)26년 매출매입 월별계획'!$V:$V,"매입")</x:f>
        <x:v>2006664848.385</x:v>
      </x:c>
      <x:c r="J14" s="202">
        <x:f>SUMIFS('(계획)26년 매출매입 월별계획'!J:J,'(계획)26년 매출매입 월별계획'!$T:$T,$B14,'(계획)26년 매출매입 월별계획'!$V:$V,"매입")</x:f>
        <x:v>2095540062.921571</x:v>
      </x:c>
      <x:c r="K14" s="202">
        <x:f>SUMIFS('(계획)26년 매출매입 월별계획'!K:K,'(계획)26년 매출매입 월별계획'!$T:$T,$B14,'(계획)26년 매출매입 월별계획'!$V:$V,"매입")</x:f>
        <x:v>1650235075.3835716</x:v>
      </x:c>
      <x:c r="L14" s="202">
        <x:f>SUMIFS('(계획)26년 매출매입 월별계획'!L:L,'(계획)26년 매출매입 월별계획'!$T:$T,$B14,'(계획)26년 매출매입 월별계획'!$V:$V,"매입")</x:f>
        <x:v>1260316201.6227713</x:v>
      </x:c>
      <x:c r="M14" s="202">
        <x:f>SUMIFS('(계획)26년 매출매입 월별계획'!M:M,'(계획)26년 매출매입 월별계획'!$T:$T,$B14,'(계획)26년 매출매입 월별계획'!$V:$V,"매입")</x:f>
        <x:v>1698956779.3335717</x:v>
      </x:c>
      <x:c r="N14" s="202">
        <x:f>SUMIFS('(계획)26년 매출매입 월별계획'!N:N,'(계획)26년 매출매입 월별계획'!$T:$T,$B14,'(계획)26년 매출매입 월별계획'!$V:$V,"매입")</x:f>
        <x:v>1839163759.5915713</x:v>
      </x:c>
      <x:c r="O14" s="202">
        <x:f>SUMIFS('(계획)26년 매출매입 월별계획'!O:O,'(계획)26년 매출매입 월별계획'!$T:$T,$B14,'(계획)26년 매출매입 월별계획'!$V:$V,"매입")</x:f>
        <x:v>1731182202.0255716</x:v>
      </x:c>
      <x:c r="P14" s="202">
        <x:f>SUMIFS('(계획)26년 매출매입 월별계획'!P:P,'(계획)26년 매출매입 월별계획'!$T:$T,$B14,'(계획)26년 매출매입 월별계획'!$V:$V,"매입")</x:f>
        <x:v>1912995547.040772</x:v>
      </x:c>
    </x:row>
    <x:row r="15" spans="2:20" ht="13.5">
      <x:c r="B15" s="13" t="s">
        <x:v>6</x:v>
      </x:c>
      <x:c r="C15" s="241">
        <x:f t="shared" si="3"/>
        <x:v>14421608089.570234</x:v>
      </x:c>
      <x:c r="D15" s="202"/>
      <x:c r="E15" s="202">
        <x:f>SUMIFS('(계획)26년 매출매입 월별계획'!E:E,'(계획)26년 매출매입 월별계획'!$R:$R,'(계획)손익계산서 월별계획'!$B$15,'(계획)26년 매출매입 월별계획'!$V:$V,"매입")</x:f>
        <x:v>2427572.410712135</x:v>
      </x:c>
      <x:c r="F15" s="202">
        <x:f>SUMIFS('(계획)26년 매출매입 월별계획'!F:F,'(계획)26년 매출매입 월별계획'!$R:$R,'(계획)손익계산서 월별계획'!$B$15,'(계획)26년 매출매입 월별계획'!$V:$V,"매입")</x:f>
        <x:v>2427572.410712135</x:v>
      </x:c>
      <x:c r="G15" s="202">
        <x:f>SUMIFS('(계획)26년 매출매입 월별계획'!G:G,'(계획)26년 매출매입 월별계획'!$R:$R,'(계획)손익계산서 월별계획'!$B$15,'(계획)26년 매출매입 월별계획'!$V:$V,"매입")</x:f>
        <x:v>138427572.41071212</x:v>
      </x:c>
      <x:c r="H15" s="202">
        <x:f>SUMIFS('(계획)26년 매출매입 월별계획'!H:H,'(계획)26년 매출매입 월별계획'!$R:$R,'(계획)손익계산서 월별계획'!$B$15,'(계획)26년 매출매입 월별계획'!$V:$V,"매입")</x:f>
        <x:v>2957327572.4107122</x:v>
      </x:c>
      <x:c r="I15" s="202">
        <x:f>SUMIFS('(계획)26년 매출매입 월별계획'!I:I,'(계획)26년 매출매입 월별계획'!$R:$R,'(계획)손익계산서 월별계획'!$B$15,'(계획)26년 매출매입 월별계획'!$V:$V,"매입")</x:f>
        <x:v>72427572.410712138</x:v>
      </x:c>
      <x:c r="J15" s="202">
        <x:f>SUMIFS('(계획)26년 매출매입 월별계획'!J:J,'(계획)26년 매출매입 월별계획'!$R:$R,'(계획)손익계산서 월별계획'!$B$15,'(계획)26년 매출매입 월별계획'!$V:$V,"매입")</x:f>
        <x:v>329727572.41071212</x:v>
      </x:c>
      <x:c r="K15" s="202">
        <x:f>SUMIFS('(계획)26년 매출매입 월별계획'!K:K,'(계획)26년 매출매입 월별계획'!$R:$R,'(계획)손익계산서 월별계획'!$B$15,'(계획)26년 매출매입 월별계획'!$V:$V,"매입")</x:f>
        <x:v>1449111172.4107122</x:v>
      </x:c>
      <x:c r="L15" s="202">
        <x:f>SUMIFS('(계획)26년 매출매입 월별계획'!L:L,'(계획)26년 매출매입 월별계획'!$R:$R,'(계획)손익계산서 월별계획'!$B$15,'(계획)26년 매출매입 월별계획'!$V:$V,"매입")</x:f>
        <x:v>2427572.410712135</x:v>
      </x:c>
      <x:c r="M15" s="202">
        <x:f>SUMIFS('(계획)26년 매출매입 월별계획'!M:M,'(계획)26년 매출매입 월별계획'!$R:$R,'(계획)손익계산서 월별계획'!$B$15,'(계획)26년 매출매입 월별계획'!$V:$V,"매입")</x:f>
        <x:v>159927572.41071212</x:v>
      </x:c>
      <x:c r="N15" s="202">
        <x:f>SUMIFS('(계획)26년 매출매입 월별계획'!N:N,'(계획)26년 매출매입 월별계획'!$R:$R,'(계획)손익계산서 월별계획'!$B$15,'(계획)26년 매출매입 월별계획'!$V:$V,"매입")</x:f>
        <x:v>2427572.410712135</x:v>
      </x:c>
      <x:c r="O15" s="202">
        <x:f>SUMIFS('(계획)26년 매출매입 월별계획'!O:O,'(계획)26년 매출매입 월별계획'!$R:$R,'(계획)손익계산서 월별계획'!$B$15,'(계획)26년 매출매입 월별계획'!$V:$V,"매입")</x:f>
        <x:v>2427572.410712135</x:v>
      </x:c>
      <x:c r="P15" s="202">
        <x:f>SUMIFS('(계획)26년 매출매입 월별계획'!P:P,'(계획)26년 매출매입 월별계획'!$R:$R,'(계획)손익계산서 월별계획'!$B$15,'(계획)26년 매출매입 월별계획'!$V:$V,"매입")</x:f>
        <x:v>9302521193.0524006</x:v>
      </x:c>
    </x:row>
    <x:row r="16" spans="2:20" s="10" customFormat="1" ht="21.6" customHeight="1">
      <x:c r="B16" s="19" t="s">
        <x:v>24</x:v>
      </x:c>
      <x:c r="C16" s="20">
        <x:f>SUM(E16:P16)</x:f>
        <x:v>6547112158.972044</x:v>
      </x:c>
      <x:c r="D16" s="19">
        <x:v>0</x:v>
      </x:c>
      <x:c r="E16" s="19">
        <x:f>+E6-E11</x:f>
        <x:v>155631541.76046348</x:v>
      </x:c>
      <x:c r="F16" s="19">
        <x:f t="shared" ref="F16:P16" si="4">+F6-F11</x:f>
        <x:v>258069173.14465952</x:v>
      </x:c>
      <x:c r="G16" s="19">
        <x:f t="shared" si="4"/>
        <x:v>690146972.03600788</x:v>
      </x:c>
      <x:c r="H16" s="19">
        <x:f t="shared" si="4"/>
        <x:v>490699240.43900776</x:v>
      </x:c>
      <x:c r="I16" s="19">
        <x:f t="shared" si="4"/>
        <x:v>450355209.76105833</x:v>
      </x:c>
      <x:c r="J16" s="19">
        <x:f t="shared" si="4"/>
        <x:v>1463258875.0657272</x:v>
      </x:c>
      <x:c r="K16" s="19">
        <x:f t="shared" si="4"/>
        <x:v>493039190.67098618</x:v>
      </x:c>
      <x:c r="L16" s="19">
        <x:f t="shared" si="4"/>
        <x:v>396095061.45816231</x:v>
      </x:c>
      <x:c r="M16" s="19">
        <x:f t="shared" si="4"/>
        <x:v>414417222.78948641</x:v>
      </x:c>
      <x:c r="N16" s="19">
        <x:f t="shared" si="4"/>
        <x:v>386433852.19722605</x:v>
      </x:c>
      <x:c r="O16" s="19">
        <x:f t="shared" si="4"/>
        <x:v>383194405.47024536</x:v>
      </x:c>
      <x:c r="P16" s="19">
        <x:f t="shared" si="4"/>
        <x:v>965771414.17901421</x:v>
      </x:c>
    </x:row>
    <x:row r="17" spans="2:16" s="10" customFormat="1" ht="21.6" customHeight="1">
      <x:c r="B17" s="22" t="s">
        <x:v>25</x:v>
      </x:c>
      <x:c r="C17" s="56">
        <x:f>IFERROR(C16/C6,0)</x:f>
        <x:v>0.13783807189929118</x:v>
      </x:c>
      <x:c r="D17" s="56">
        <x:v>0</x:v>
      </x:c>
      <x:c r="E17" s="56">
        <x:f t="shared" ref="E17:P17" si="5">IFERROR(E16/E6,0)</x:f>
        <x:v>8.6367263770701544E-2</x:v>
      </x:c>
      <x:c r="F17" s="56">
        <x:f t="shared" si="5"/>
        <x:v>0.1138287154247269</x:v>
      </x:c>
      <x:c r="G17" s="56">
        <x:f t="shared" si="5"/>
        <x:v>0.21475206602200572</x:v>
      </x:c>
      <x:c r="H17" s="56">
        <x:f t="shared" si="5"/>
        <x:v>8.3513714575111156E-2</x:v>
      </x:c>
      <x:c r="I17" s="56">
        <x:f t="shared" si="5"/>
        <x:v>0.14833811219780954</x:v>
      </x:c>
      <x:c r="J17" s="56">
        <x:f t="shared" si="5"/>
        <x:v>0.33265407997226554</x:v>
      </x:c>
      <x:c r="K17" s="56">
        <x:f t="shared" si="5"/>
        <x:v>0.11795632174500038</x:v>
      </x:c>
      <x:c r="L17" s="56">
        <x:f t="shared" si="5"/>
        <x:v>0.18581439597902027</x:v>
      </x:c>
      <x:c r="M17" s="56">
        <x:f t="shared" si="5"/>
        <x:v>0.15062196016031282</x:v>
      </x:c>
      <x:c r="N17" s="56">
        <x:f t="shared" si="5"/>
        <x:v>0.14490561349673015</x:v>
      </x:c>
      <x:c r="O17" s="56">
        <x:f t="shared" si="5"/>
        <x:v>0.14994443889863426</x:v>
      </x:c>
      <x:c r="P17" s="56">
        <x:f t="shared" si="5"/>
        <x:v>7.6526689899855671E-2</x:v>
      </x:c>
    </x:row>
    <x:row r="18" spans="2:16" ht="13.5">
      <x:c r="B18" s="19" t="s">
        <x:v>26</x:v>
      </x:c>
      <x:c r="C18" s="20">
        <x:f>SUM(E18:P18)</x:f>
        <x:v>16095021254.841496</x:v>
      </x:c>
      <x:c r="D18" s="20"/>
      <x:c r="E18" s="20">
        <x:f>SUM(E19,E35,E53)</x:f>
        <x:v>1367927965.5688534</x:v>
      </x:c>
      <x:c r="F18" s="20">
        <x:f t="shared" ref="F18:P18" si="6">SUM(F19,F35,F53)</x:f>
        <x:v>1547109739.6143179</x:v>
      </x:c>
      <x:c r="G18" s="20">
        <x:f t="shared" si="6"/>
        <x:v>1482787206.1615553</x:v>
      </x:c>
      <x:c r="H18" s="20">
        <x:f t="shared" si="6"/>
        <x:v>1350986979.2776077</x:v>
      </x:c>
      <x:c r="I18" s="20">
        <x:f t="shared" si="6"/>
        <x:v>1196792727.1294651</x:v>
      </x:c>
      <x:c r="J18" s="20">
        <x:f t="shared" si="6"/>
        <x:v>1368846351.9065709</x:v>
      </x:c>
      <x:c r="K18" s="20">
        <x:f t="shared" si="6"/>
        <x:v>1291439041.2174253</x:v>
      </x:c>
      <x:c r="L18" s="20">
        <x:f t="shared" si="6"/>
        <x:v>1241707105.9892671</x:v>
      </x:c>
      <x:c r="M18" s="20">
        <x:f t="shared" si="6"/>
        <x:v>1241590267.5675073</x:v>
      </x:c>
      <x:c r="N18" s="20">
        <x:f t="shared" si="6"/>
        <x:v>1251533951.3979917</x:v>
      </x:c>
      <x:c r="O18" s="20">
        <x:f t="shared" si="6"/>
        <x:v>1315707584.4805663</x:v>
      </x:c>
      <x:c r="P18" s="20">
        <x:f t="shared" si="6"/>
        <x:v>1438592334.5303667</x:v>
      </x:c>
    </x:row>
    <x:row r="19" spans="2:16" ht="16.5">
      <x:c r="B19" s="12" t="s">
        <x:v>2</x:v>
      </x:c>
      <x:c r="C19" s="24">
        <x:f>SUM(E19:P19)</x:f>
        <x:v>1617699693.6571627</x:v>
      </x:c>
      <x:c r="D19" s="24"/>
      <x:c r="E19" s="25">
        <x:f>SUM(E20:E33)</x:f>
        <x:v>141506402.55802414</x:v>
      </x:c>
      <x:c r="F19" s="25">
        <x:f t="shared" ref="F19:P19" si="7">SUM(F20:F33)</x:f>
        <x:v>138311123.44345772</x:v>
      </x:c>
      <x:c r="G19" s="25">
        <x:f t="shared" si="7"/>
        <x:v>133161989.19303241</x:v>
      </x:c>
      <x:c r="H19" s="25">
        <x:f t="shared" si="7"/>
        <x:v>133751192.57706171</x:v>
      </x:c>
      <x:c r="I19" s="25">
        <x:f t="shared" si="7"/>
        <x:v>113642473.35718521</x:v>
      </x:c>
      <x:c r="J19" s="25">
        <x:f t="shared" si="7"/>
        <x:v>140808954.68700004</x:v>
      </x:c>
      <x:c r="K19" s="25">
        <x:f t="shared" si="7"/>
        <x:v>119335037.35718521</x:v>
      </x:c>
      <x:c r="L19" s="25">
        <x:f t="shared" si="7"/>
        <x:v>133023364.35718521</x:v>
      </x:c>
      <x:c r="M19" s="25">
        <x:f t="shared" si="7"/>
        <x:v>135273557.68700001</x:v>
      </x:c>
      <x:c r="N19" s="25">
        <x:f t="shared" si="7"/>
        <x:v>133100932.79693832</x:v>
      </x:c>
      <x:c r="O19" s="25">
        <x:f t="shared" si="7"/>
        <x:v>140679290.57706171</x:v>
      </x:c>
      <x:c r="P19" s="25">
        <x:f t="shared" si="7"/>
        <x:v>155105375.06603104</x:v>
      </x:c>
    </x:row>
    <x:row r="20" spans="2:16" ht="13.5">
      <x:c r="B20" s="26" t="s">
        <x:v>49</x:v>
      </x:c>
      <x:c r="C20" s="241">
        <x:f>SUM(E20:P20)</x:f>
        <x:v>715264669.55859137</x:v>
      </x:c>
      <x:c r="D20" s="241"/>
      <x:c r="E20" s="202">
        <x:f>SUMIFS('(계획)비용계획 상세_26년'!K:K,'(계획)비용계획 상세_26년'!$I:$I,'(계획)손익계산서 월별계획'!$B$19,'(계획)비용계획 상세_26년'!$B:$B,'(계획)손익계산서 월별계획'!$B20)</x:f>
        <x:v>56724043.558591418</x:v>
      </x:c>
      <x:c r="F20" s="202">
        <x:f>SUMIFS('(계획)비용계획 상세_26년'!L:L,'(계획)비용계획 상세_26년'!$I:$I,'(계획)손익계산서 월별계획'!$B$19,'(계획)비용계획 상세_26년'!$B:$B,'(계획)손익계산서 월별계획'!$B20)</x:f>
        <x:v>65666944</x:v>
      </x:c>
      <x:c r="G20" s="202">
        <x:f>SUMIFS('(계획)비용계획 상세_26년'!M:M,'(계획)비용계획 상세_26년'!$I:$I,'(계획)손익계산서 월별계획'!$B$19,'(계획)비용계획 상세_26년'!$B:$B,'(계획)손익계산서 월별계획'!$B20)</x:f>
        <x:v>55820911</x:v>
      </x:c>
      <x:c r="H20" s="202">
        <x:f>SUMIFS('(계획)비용계획 상세_26년'!N:N,'(계획)비용계획 상세_26년'!$I:$I,'(계획)손익계산서 월별계획'!$B$19,'(계획)비용계획 상세_26년'!$B:$B,'(계획)손익계산서 월별계획'!$B20)</x:f>
        <x:v>60638160</x:v>
      </x:c>
      <x:c r="I20" s="202">
        <x:f>SUMIFS('(계획)비용계획 상세_26년'!O:O,'(계획)비용계획 상세_26년'!$I:$I,'(계획)손익계산서 월별계획'!$B$19,'(계획)비용계획 상세_26년'!$B:$B,'(계획)손익계산서 월별계획'!$B20)</x:f>
        <x:v>50594871</x:v>
      </x:c>
      <x:c r="J20" s="202">
        <x:f>SUMIFS('(계획)비용계획 상세_26년'!P:P,'(계획)비용계획 상세_26년'!$I:$I,'(계획)손익계산서 월별계획'!$B$19,'(계획)비용계획 상세_26년'!$B:$B,'(계획)손익계산서 월별계획'!$B20)</x:f>
        <x:v>62780442</x:v>
      </x:c>
      <x:c r="K20" s="202">
        <x:f>SUMIFS('(계획)비용계획 상세_26년'!Q:Q,'(계획)비용계획 상세_26년'!$I:$I,'(계획)손익계산서 월별계획'!$B$19,'(계획)비용계획 상세_26년'!$B:$B,'(계획)손익계산서 월별계획'!$B20)</x:f>
        <x:v>59413755</x:v>
      </x:c>
      <x:c r="L20" s="202">
        <x:f>SUMIFS('(계획)비용계획 상세_26년'!R:R,'(계획)비용계획 상세_26년'!$I:$I,'(계획)손익계산서 월별계획'!$B$19,'(계획)비용계획 상세_26년'!$B:$B,'(계획)손익계산서 월별계획'!$B20)</x:f>
        <x:v>56282442</x:v>
      </x:c>
      <x:c r="M20" s="202">
        <x:f>SUMIFS('(계획)비용계획 상세_26년'!S:S,'(계획)비용계획 상세_26년'!$I:$I,'(계획)손익계산서 월별계획'!$B$19,'(계획)비용계획 상세_26년'!$B:$B,'(계획)손익계산서 월별계획'!$B20)</x:f>
        <x:v>56219110</x:v>
      </x:c>
      <x:c r="N20" s="202">
        <x:f>SUMIFS('(계획)비용계획 상세_26년'!T:T,'(계획)비용계획 상세_26년'!$I:$I,'(계획)손익계산서 월별계획'!$B$19,'(계획)비용계획 상세_26년'!$B:$B,'(계획)손익계산서 월별계획'!$B20)</x:f>
        <x:v>60387440</x:v>
      </x:c>
      <x:c r="O20" s="202">
        <x:f>SUMIFS('(계획)비용계획 상세_26년'!U:U,'(계획)비용계획 상세_26년'!$I:$I,'(계획)손익계산서 월별계획'!$B$19,'(계획)비용계획 상세_26년'!$B:$B,'(계획)손익계산서 월별계획'!$B20)</x:f>
        <x:v>63091228</x:v>
      </x:c>
      <x:c r="P20" s="202">
        <x:f>SUMIFS('(계획)비용계획 상세_26년'!V:V,'(계획)비용계획 상세_26년'!$I:$I,'(계획)손익계산서 월별계획'!$B$19,'(계획)비용계획 상세_26년'!$B:$B,'(계획)손익계산서 월별계획'!$B20)</x:f>
        <x:v>67645323</x:v>
      </x:c>
    </x:row>
    <x:row r="21" spans="2:16" ht="13.5">
      <x:c r="B21" s="26" t="s">
        <x:v>50</x:v>
      </x:c>
      <x:c r="C21" s="241">
        <x:f t="shared" ref="C21:C33" si="8">SUM(E21:P21)</x:f>
        <x:v>12041448</x:v>
      </x:c>
      <x:c r="D21" s="241"/>
      <x:c r="E21" s="202">
        <x:f>SUMIFS('(계획)비용계획 상세_26년'!K:K,'(계획)비용계획 상세_26년'!$I:$I,'(계획)손익계산서 월별계획'!$B$19,'(계획)비용계획 상세_26년'!$B:$B,'(계획)손익계산서 월별계획'!$B21)</x:f>
        <x:v>1003454</x:v>
      </x:c>
      <x:c r="F21" s="202">
        <x:f>SUMIFS('(계획)비용계획 상세_26년'!L:L,'(계획)비용계획 상세_26년'!$I:$I,'(계획)손익계산서 월별계획'!$B$19,'(계획)비용계획 상세_26년'!$B:$B,'(계획)손익계산서 월별계획'!$B21)</x:f>
        <x:v>1003454</x:v>
      </x:c>
      <x:c r="G21" s="202">
        <x:f>SUMIFS('(계획)비용계획 상세_26년'!M:M,'(계획)비용계획 상세_26년'!$I:$I,'(계획)손익계산서 월별계획'!$B$19,'(계획)비용계획 상세_26년'!$B:$B,'(계획)손익계산서 월별계획'!$B21)</x:f>
        <x:v>1003454</x:v>
      </x:c>
      <x:c r="H21" s="202">
        <x:f>SUMIFS('(계획)비용계획 상세_26년'!N:N,'(계획)비용계획 상세_26년'!$I:$I,'(계획)손익계산서 월별계획'!$B$19,'(계획)비용계획 상세_26년'!$B:$B,'(계획)손익계산서 월별계획'!$B21)</x:f>
        <x:v>1003454</x:v>
      </x:c>
      <x:c r="I21" s="202">
        <x:f>SUMIFS('(계획)비용계획 상세_26년'!O:O,'(계획)비용계획 상세_26년'!$I:$I,'(계획)손익계산서 월별계획'!$B$19,'(계획)비용계획 상세_26년'!$B:$B,'(계획)손익계산서 월별계획'!$B21)</x:f>
        <x:v>1003454</x:v>
      </x:c>
      <x:c r="J21" s="202">
        <x:f>SUMIFS('(계획)비용계획 상세_26년'!P:P,'(계획)비용계획 상세_26년'!$I:$I,'(계획)손익계산서 월별계획'!$B$19,'(계획)비용계획 상세_26년'!$B:$B,'(계획)손익계산서 월별계획'!$B21)</x:f>
        <x:v>1003454</x:v>
      </x:c>
      <x:c r="K21" s="202">
        <x:f>SUMIFS('(계획)비용계획 상세_26년'!Q:Q,'(계획)비용계획 상세_26년'!$I:$I,'(계획)손익계산서 월별계획'!$B$19,'(계획)비용계획 상세_26년'!$B:$B,'(계획)손익계산서 월별계획'!$B21)</x:f>
        <x:v>1003454</x:v>
      </x:c>
      <x:c r="L21" s="202">
        <x:f>SUMIFS('(계획)비용계획 상세_26년'!R:R,'(계획)비용계획 상세_26년'!$I:$I,'(계획)손익계산서 월별계획'!$B$19,'(계획)비용계획 상세_26년'!$B:$B,'(계획)손익계산서 월별계획'!$B21)</x:f>
        <x:v>1003454</x:v>
      </x:c>
      <x:c r="M21" s="202">
        <x:f>SUMIFS('(계획)비용계획 상세_26년'!S:S,'(계획)비용계획 상세_26년'!$I:$I,'(계획)손익계산서 월별계획'!$B$19,'(계획)비용계획 상세_26년'!$B:$B,'(계획)손익계산서 월별계획'!$B21)</x:f>
        <x:v>1003454</x:v>
      </x:c>
      <x:c r="N21" s="202">
        <x:f>SUMIFS('(계획)비용계획 상세_26년'!T:T,'(계획)비용계획 상세_26년'!$I:$I,'(계획)손익계산서 월별계획'!$B$19,'(계획)비용계획 상세_26년'!$B:$B,'(계획)손익계산서 월별계획'!$B21)</x:f>
        <x:v>1003454</x:v>
      </x:c>
      <x:c r="O21" s="202">
        <x:f>SUMIFS('(계획)비용계획 상세_26년'!U:U,'(계획)비용계획 상세_26년'!$I:$I,'(계획)손익계산서 월별계획'!$B$19,'(계획)비용계획 상세_26년'!$B:$B,'(계획)손익계산서 월별계획'!$B21)</x:f>
        <x:v>1003454</x:v>
      </x:c>
      <x:c r="P21" s="202">
        <x:f>SUMIFS('(계획)비용계획 상세_26년'!V:V,'(계획)비용계획 상세_26년'!$I:$I,'(계획)손익계산서 월별계획'!$B$19,'(계획)비용계획 상세_26년'!$B:$B,'(계획)손익계산서 월별계획'!$B21)</x:f>
        <x:v>1003454</x:v>
      </x:c>
    </x:row>
    <x:row r="22" spans="2:16" ht="13.5">
      <x:c r="B22" s="26" t="s">
        <x:v>51</x:v>
      </x:c>
      <x:c r="C22" s="241">
        <x:f t="shared" si="8"/>
        <x:v>60201579.732499987</x:v>
      </x:c>
      <x:c r="D22" s="241"/>
      <x:c r="E22" s="202">
        <x:f>SUMIFS('(계획)비용계획 상세_26년'!K:K,'(계획)비용계획 상세_26년'!$I:$I,'(계획)손익계산서 월별계획'!$B$19,'(계획)비용계획 상세_26년'!$B:$B,'(계획)손익계산서 월별계획'!$B22)</x:f>
        <x:v>4668587.96</x:v>
      </x:c>
      <x:c r="F22" s="202">
        <x:f>SUMIFS('(계획)비용계획 상세_26년'!L:L,'(계획)비용계획 상세_26년'!$I:$I,'(계획)손익계산서 월별계획'!$B$19,'(계획)비용계획 상세_26년'!$B:$B,'(계획)손익계산서 월별계획'!$B22)</x:f>
        <x:v>5112317.96</x:v>
      </x:c>
      <x:c r="G22" s="202">
        <x:f>SUMIFS('(계획)비용계획 상세_26년'!M:M,'(계획)비용계획 상세_26년'!$I:$I,'(계획)손익계산서 월별계획'!$B$19,'(계획)비용계획 상세_26년'!$B:$B,'(계획)손익계산서 월별계획'!$B22)</x:f>
        <x:v>4668587.96</x:v>
      </x:c>
      <x:c r="H22" s="202">
        <x:f>SUMIFS('(계획)비용계획 상세_26년'!N:N,'(계획)비용계획 상세_26년'!$I:$I,'(계획)손익계산서 월별계획'!$B$19,'(계획)비용계획 상세_26년'!$B:$B,'(계획)손익계산서 월별계획'!$B22)</x:f>
        <x:v>4796942.3190000001</x:v>
      </x:c>
      <x:c r="I22" s="202">
        <x:f>SUMIFS('(계획)비용계획 상세_26년'!O:O,'(계획)비용계획 상세_26년'!$I:$I,'(계획)손익계산서 월별계획'!$B$19,'(계획)비용계획 상세_26년'!$B:$B,'(계획)손익계산서 월별계획'!$B22)</x:f>
        <x:v>4796942.3190000001</x:v>
      </x:c>
      <x:c r="J22" s="202">
        <x:f>SUMIFS('(계획)비용계획 상세_26년'!P:P,'(계획)비용계획 상세_26년'!$I:$I,'(계획)손익계산서 월별계획'!$B$19,'(계획)비용계획 상세_26년'!$B:$B,'(계획)손익계산서 월별계획'!$B22)</x:f>
        <x:v>4924707.3190000001</x:v>
      </x:c>
      <x:c r="K22" s="202">
        <x:f>SUMIFS('(계획)비용계획 상세_26년'!Q:Q,'(계획)비용계획 상세_26년'!$I:$I,'(계획)손익계산서 월별계획'!$B$19,'(계획)비용계획 상세_26년'!$B:$B,'(계획)손익계산서 월별계획'!$B22)</x:f>
        <x:v>5345622.3190000001</x:v>
      </x:c>
      <x:c r="L22" s="202">
        <x:f>SUMIFS('(계획)비용계획 상세_26년'!R:R,'(계획)비용계획 상세_26년'!$I:$I,'(계획)손익계산서 월별계획'!$B$19,'(계획)비용계획 상세_26년'!$B:$B,'(계획)손익계산서 월별계획'!$B22)</x:f>
        <x:v>4850642.3190000001</x:v>
      </x:c>
      <x:c r="M22" s="202">
        <x:f>SUMIFS('(계획)비용계획 상세_26년'!S:S,'(계획)비용계획 상세_26년'!$I:$I,'(계획)손익계산서 월별계획'!$B$19,'(계획)비용계획 상세_26년'!$B:$B,'(계획)손익계산서 월별계획'!$B22)</x:f>
        <x:v>4850642.3190000001</x:v>
      </x:c>
      <x:c r="N22" s="202">
        <x:f>SUMIFS('(계획)비용계획 상세_26년'!T:T,'(계획)비용계획 상세_26년'!$I:$I,'(계획)손익계산서 월별계획'!$B$19,'(계획)비용계획 상세_26년'!$B:$B,'(계획)손익계산서 월별계획'!$B22)</x:f>
        <x:v>5231972.3190000001</x:v>
      </x:c>
      <x:c r="O22" s="202">
        <x:f>SUMIFS('(계획)비용계획 상세_26년'!U:U,'(계획)비용계획 상세_26년'!$I:$I,'(계획)손익계산서 월별계획'!$B$19,'(계획)비용계획 상세_26년'!$B:$B,'(계획)손익계산서 월별계획'!$B22)</x:f>
        <x:v>5231972.3190000001</x:v>
      </x:c>
      <x:c r="P22" s="202">
        <x:f>SUMIFS('(계획)비용계획 상세_26년'!V:V,'(계획)비용계획 상세_26년'!$I:$I,'(계획)손익계산서 월별계획'!$B$19,'(계획)비용계획 상세_26년'!$B:$B,'(계획)손익계산서 월별계획'!$B22)</x:f>
        <x:v>5722642.3004999999</x:v>
      </x:c>
    </x:row>
    <x:row r="23" spans="2:16" ht="13.5">
      <x:c r="B23" s="26" t="s">
        <x:v>52</x:v>
      </x:c>
      <x:c r="C23" s="241">
        <x:f t="shared" si="8"/>
        <x:v>60289268.999999993</x:v>
      </x:c>
      <x:c r="D23" s="241"/>
      <x:c r="E23" s="202">
        <x:f>SUMIFS('(계획)비용계획 상세_26년'!K:K,'(계획)비용계획 상세_26년'!$I:$I,'(계획)손익계산서 월별계획'!$B$19,'(계획)비용계획 상세_26년'!$B:$B,'(계획)손익계산서 월별계획'!$B23)</x:f>
        <x:v>2095697.4166666665</x:v>
      </x:c>
      <x:c r="F23" s="202">
        <x:f>SUMIFS('(계획)비용계획 상세_26년'!L:L,'(계획)비용계획 상세_26년'!$I:$I,'(계획)손익계산서 월별계획'!$B$19,'(계획)비용계획 상세_26년'!$B:$B,'(계획)손익계산서 월별계획'!$B23)</x:f>
        <x:v>8845697.416666666</x:v>
      </x:c>
      <x:c r="G23" s="202">
        <x:f>SUMIFS('(계획)비용계획 상세_26년'!M:M,'(계획)비용계획 상세_26년'!$I:$I,'(계획)손익계산서 월별계획'!$B$19,'(계획)비용계획 상세_26년'!$B:$B,'(계획)손익계산서 월별계획'!$B23)</x:f>
        <x:v>3981977.4166666665</x:v>
      </x:c>
      <x:c r="H23" s="202">
        <x:f>SUMIFS('(계획)비용계획 상세_26년'!N:N,'(계획)비용계획 상세_26년'!$I:$I,'(계획)손익계산서 월별계획'!$B$19,'(계획)비용계획 상세_26년'!$B:$B,'(계획)손익계산서 월별계획'!$B23)</x:f>
        <x:v>2035697.4166666665</x:v>
      </x:c>
      <x:c r="I23" s="202">
        <x:f>SUMIFS('(계획)비용계획 상세_26년'!O:O,'(계획)비용계획 상세_26년'!$I:$I,'(계획)손익계산서 월별계획'!$B$19,'(계획)비용계획 상세_26년'!$B:$B,'(계획)손익계산서 월별계획'!$B23)</x:f>
        <x:v>1615697.4166666665</x:v>
      </x:c>
      <x:c r="J23" s="202">
        <x:f>SUMIFS('(계획)비용계획 상세_26년'!P:P,'(계획)비용계획 상세_26년'!$I:$I,'(계획)손익계산서 월별계획'!$B$19,'(계획)비용계획 상세_26년'!$B:$B,'(계획)손익계산서 월별계획'!$B23)</x:f>
        <x:v>3220697.4166666665</x:v>
      </x:c>
      <x:c r="K23" s="202">
        <x:f>SUMIFS('(계획)비용계획 상세_26년'!Q:Q,'(계획)비용계획 상세_26년'!$I:$I,'(계획)손익계산서 월별계획'!$B$19,'(계획)비용계획 상세_26년'!$B:$B,'(계획)손익계산서 월별계획'!$B23)</x:f>
        <x:v>1900697.4166666665</x:v>
      </x:c>
      <x:c r="L23" s="202">
        <x:f>SUMIFS('(계획)비용계획 상세_26년'!R:R,'(계획)비용계획 상세_26년'!$I:$I,'(계획)손익계산서 월별계획'!$B$19,'(계획)비용계획 상세_26년'!$B:$B,'(계획)손익계산서 월별계획'!$B23)</x:f>
        <x:v>16415317.416666666</x:v>
      </x:c>
      <x:c r="M23" s="202">
        <x:f>SUMIFS('(계획)비용계획 상세_26년'!S:S,'(계획)비용계획 상세_26년'!$I:$I,'(계획)손익계산서 월별계획'!$B$19,'(계획)비용계획 상세_26년'!$B:$B,'(계획)손익계산서 월별계획'!$B23)</x:f>
        <x:v>5220697.416666666</x:v>
      </x:c>
      <x:c r="N23" s="202">
        <x:f>SUMIFS('(계획)비용계획 상세_26년'!T:T,'(계획)비용계획 상세_26년'!$I:$I,'(계획)손익계산서 월별계획'!$B$19,'(계획)비용계획 상세_26년'!$B:$B,'(계획)손익계산서 월별계획'!$B23)</x:f>
        <x:v>1895697.4166666665</x:v>
      </x:c>
      <x:c r="O23" s="202">
        <x:f>SUMIFS('(계획)비용계획 상세_26년'!U:U,'(계획)비용계획 상세_26년'!$I:$I,'(계획)손익계산서 월별계획'!$B$19,'(계획)비용계획 상세_26년'!$B:$B,'(계획)손익계산서 월별계획'!$B23)</x:f>
        <x:v>1815697.4166666665</x:v>
      </x:c>
      <x:c r="P23" s="202">
        <x:f>SUMIFS('(계획)비용계획 상세_26년'!V:V,'(계획)비용계획 상세_26년'!$I:$I,'(계획)손익계산서 월별계획'!$B$19,'(계획)비용계획 상세_26년'!$B:$B,'(계획)손익계산서 월별계획'!$B23)</x:f>
        <x:v>11245697.416666666</x:v>
      </x:c>
    </x:row>
    <x:row r="24" spans="2:16" ht="13.5">
      <x:c r="B24" s="26" t="s">
        <x:v>53</x:v>
      </x:c>
      <x:c r="C24" s="241">
        <x:f t="shared" si="8"/>
        <x:v>622546972.69940484</x:v>
      </x:c>
      <x:c r="D24" s="241"/>
      <x:c r="E24" s="202">
        <x:f>((SUMIFS('(계획)비용계획 상세_26년'!K:K,'(계획)비용계획 상세_26년'!$I:$I,'(계획)손익계산서 월별계획'!$B$19,'(계획)비용계획 상세_26년'!$B:$B,'(계획)손익계산서 월별계획'!$B24)))+63839740.0672105</x:f>
        <x:v>64761640.067210503</x:v>
      </x:c>
      <x:c r="F24" s="202">
        <x:f>((SUMIFS('(계획)비용계획 상세_26년'!L:L,'(계획)비용계획 상세_26년'!$I:$I,'(계획)손익계산서 월별계획'!$B$19,'(계획)비용계획 상세_26년'!$B:$B,'(계획)손익계산서 월별계획'!$B24)))+44507830.5112355</x:f>
        <x:v>45429730.511235498</x:v>
      </x:c>
      <x:c r="G24" s="202">
        <x:f>((SUMIFS('(계획)비용계획 상세_26년'!M:M,'(계획)비용계획 상세_26년'!$I:$I,'(계획)손익계산서 월별계획'!$B$19,'(계획)비용계획 상세_26년'!$B:$B,'(계획)손익계산서 월별계획'!$B24)))+54512179.2608102</x:f>
        <x:v>55434079.260810196</x:v>
      </x:c>
      <x:c r="H24" s="202">
        <x:f>((SUMIFS('(계획)비용계획 상세_26년'!N:N,'(계획)비용계획 상세_26년'!$I:$I,'(계획)손익계산서 월별계획'!$B$19,'(계획)비용계획 상세_26년'!$B:$B,'(계획)손익계산서 월별계획'!$B24)))+52102059.2858395</x:f>
        <x:v>53023959.285839498</x:v>
      </x:c>
      <x:c r="I24" s="202">
        <x:f>((SUMIFS('(계획)비용계획 상세_26년'!O:O,'(계획)비용계획 상세_26년'!$I:$I,'(계획)손익계산서 월별계획'!$B$19,'(계획)비용계획 상세_26년'!$B:$B,'(계획)손익계산서 월별계획'!$B24)))+42296629.065963</x:f>
        <x:v>43218529.065963</x:v>
      </x:c>
      <x:c r="J24" s="202">
        <x:f>((SUMIFS('(계획)비용계획 상세_26년'!P:P,'(계획)비용계획 상세_26년'!$I:$I,'(계획)손익계산서 월별계획'!$B$19,'(계획)비용계획 상세_26년'!$B:$B,'(계획)손익계산서 월별계획'!$B24)))+55704774.3957778</x:f>
        <x:v>56626674.395777799</x:v>
      </x:c>
      <x:c r="K24" s="202">
        <x:f>((SUMIFS('(계획)비용계획 상세_26년'!Q:Q,'(계획)비용계획 상세_26년'!$I:$I,'(계획)손익계산서 월별계획'!$B$19,'(계획)비용계획 상세_26년'!$B:$B,'(계획)손익계산서 월별계획'!$B24)))+38496629.065963</x:f>
        <x:v>39418529.065963</x:v>
      </x:c>
      <x:c r="L24" s="202">
        <x:f>((SUMIFS('(계획)비용계획 상세_26년'!R:R,'(계획)비용계획 상세_26년'!$I:$I,'(계획)손익계산서 월별계획'!$B$19,'(계획)비용계획 상세_26년'!$B:$B,'(계획)손익계산서 월별계획'!$B24)))+41296629.065963</x:f>
        <x:v>42218529.065963</x:v>
      </x:c>
      <x:c r="M24" s="202">
        <x:f>((SUMIFS('(계획)비용계획 상세_26년'!S:S,'(계획)비용계획 상세_26년'!$I:$I,'(계획)손익계산서 월별계획'!$B$19,'(계획)비용계획 상세_26년'!$B:$B,'(계획)손익계산서 월별계획'!$B24)))+54804774.3957778</x:f>
        <x:v>55726674.395777799</x:v>
      </x:c>
      <x:c r="N24" s="202">
        <x:f>((SUMIFS('(계획)비용계획 상세_26년'!T:T,'(계획)비용계획 상세_26년'!$I:$I,'(계획)손익계산서 월별계획'!$B$19,'(계획)비용계획 상세_26년'!$B:$B,'(계획)손익계산서 월별계획'!$B24)))+51407489.5057161</x:f>
        <x:v>52329389.5057161</x:v>
      </x:c>
      <x:c r="O24" s="202">
        <x:f>((SUMIFS('(계획)비용계획 상세_26년'!U:U,'(계획)비용계획 상세_26년'!$I:$I,'(계획)손익계산서 월별계획'!$B$19,'(계획)비용계획 상세_26년'!$B:$B,'(계획)손익계산서 월별계획'!$B24)))+56202059.2858395</x:f>
        <x:v>57123959.285839498</x:v>
      </x:c>
      <x:c r="P24" s="202">
        <x:f>((SUMIFS('(계획)비용계획 상세_26년'!V:V,'(계획)비용계획 상세_26년'!$I:$I,'(계획)손익계산서 월별계획'!$B$19,'(계획)비용계획 상세_26년'!$B:$B,'(계획)손익계산서 월별계획'!$B24)))+56313378.7933088</x:f>
        <x:v>57235278.793308802</x:v>
      </x:c>
    </x:row>
    <x:row r="25" spans="2:16" ht="13.5">
      <x:c r="B25" s="26" t="s">
        <x:v>54</x:v>
      </x:c>
      <x:c r="C25" s="241">
        <x:f t="shared" si="8"/>
        <x:v>0</x:v>
      </x:c>
      <x:c r="D25" s="241"/>
      <x:c r="E25" s="202">
        <x:f>SUMIFS('(계획)비용계획 상세_26년'!K:K,'(계획)비용계획 상세_26년'!$I:$I,'(계획)손익계산서 월별계획'!$B$19,'(계획)비용계획 상세_26년'!$B:$B,'(계획)손익계산서 월별계획'!$B25)</x:f>
        <x:v>0</x:v>
      </x:c>
      <x:c r="F25" s="202">
        <x:f>SUMIFS('(계획)비용계획 상세_26년'!L:L,'(계획)비용계획 상세_26년'!$I:$I,'(계획)손익계산서 월별계획'!$B$19,'(계획)비용계획 상세_26년'!$B:$B,'(계획)손익계산서 월별계획'!$B25)</x:f>
        <x:v>0</x:v>
      </x:c>
      <x:c r="G25" s="202">
        <x:f>SUMIFS('(계획)비용계획 상세_26년'!M:M,'(계획)비용계획 상세_26년'!$I:$I,'(계획)손익계산서 월별계획'!$B$19,'(계획)비용계획 상세_26년'!$B:$B,'(계획)손익계산서 월별계획'!$B25)</x:f>
        <x:v>0</x:v>
      </x:c>
      <x:c r="H25" s="202">
        <x:f>SUMIFS('(계획)비용계획 상세_26년'!N:N,'(계획)비용계획 상세_26년'!$I:$I,'(계획)손익계산서 월별계획'!$B$19,'(계획)비용계획 상세_26년'!$B:$B,'(계획)손익계산서 월별계획'!$B25)</x:f>
        <x:v>0</x:v>
      </x:c>
      <x:c r="I25" s="202">
        <x:f>SUMIFS('(계획)비용계획 상세_26년'!O:O,'(계획)비용계획 상세_26년'!$I:$I,'(계획)손익계산서 월별계획'!$B$19,'(계획)비용계획 상세_26년'!$B:$B,'(계획)손익계산서 월별계획'!$B25)</x:f>
        <x:v>0</x:v>
      </x:c>
      <x:c r="J25" s="202">
        <x:f>SUMIFS('(계획)비용계획 상세_26년'!P:P,'(계획)비용계획 상세_26년'!$I:$I,'(계획)손익계산서 월별계획'!$B$19,'(계획)비용계획 상세_26년'!$B:$B,'(계획)손익계산서 월별계획'!$B25)</x:f>
        <x:v>0</x:v>
      </x:c>
      <x:c r="K25" s="202">
        <x:f>SUMIFS('(계획)비용계획 상세_26년'!Q:Q,'(계획)비용계획 상세_26년'!$I:$I,'(계획)손익계산서 월별계획'!$B$19,'(계획)비용계획 상세_26년'!$B:$B,'(계획)손익계산서 월별계획'!$B25)</x:f>
        <x:v>0</x:v>
      </x:c>
      <x:c r="L25" s="202">
        <x:f>SUMIFS('(계획)비용계획 상세_26년'!R:R,'(계획)비용계획 상세_26년'!$I:$I,'(계획)손익계산서 월별계획'!$B$19,'(계획)비용계획 상세_26년'!$B:$B,'(계획)손익계산서 월별계획'!$B25)</x:f>
        <x:v>0</x:v>
      </x:c>
      <x:c r="M25" s="202">
        <x:f>SUMIFS('(계획)비용계획 상세_26년'!S:S,'(계획)비용계획 상세_26년'!$I:$I,'(계획)손익계산서 월별계획'!$B$19,'(계획)비용계획 상세_26년'!$B:$B,'(계획)손익계산서 월별계획'!$B25)</x:f>
        <x:v>0</x:v>
      </x:c>
      <x:c r="N25" s="202">
        <x:f>SUMIFS('(계획)비용계획 상세_26년'!T:T,'(계획)비용계획 상세_26년'!$I:$I,'(계획)손익계산서 월별계획'!$B$19,'(계획)비용계획 상세_26년'!$B:$B,'(계획)손익계산서 월별계획'!$B25)</x:f>
        <x:v>0</x:v>
      </x:c>
      <x:c r="O25" s="202">
        <x:f>SUMIFS('(계획)비용계획 상세_26년'!U:U,'(계획)비용계획 상세_26년'!$I:$I,'(계획)손익계산서 월별계획'!$B$19,'(계획)비용계획 상세_26년'!$B:$B,'(계획)손익계산서 월별계획'!$B25)</x:f>
        <x:v>0</x:v>
      </x:c>
      <x:c r="P25" s="202">
        <x:f>SUMIFS('(계획)비용계획 상세_26년'!V:V,'(계획)비용계획 상세_26년'!$I:$I,'(계획)손익계산서 월별계획'!$B$19,'(계획)비용계획 상세_26년'!$B:$B,'(계획)손익계산서 월별계획'!$B25)</x:f>
        <x:v>0</x:v>
      </x:c>
    </x:row>
    <x:row r="26" spans="2:16" ht="13.5">
      <x:c r="B26" s="26" t="s">
        <x:v>55</x:v>
      </x:c>
      <x:c r="C26" s="241">
        <x:f t="shared" si="8"/>
        <x:v>0</x:v>
      </x:c>
      <x:c r="D26" s="241"/>
      <x:c r="E26" s="202">
        <x:f>SUMIFS('(계획)비용계획 상세_26년'!K:K,'(계획)비용계획 상세_26년'!$I:$I,'(계획)손익계산서 월별계획'!$B$19,'(계획)비용계획 상세_26년'!$B:$B,'(계획)손익계산서 월별계획'!$B26)</x:f>
        <x:v>0</x:v>
      </x:c>
      <x:c r="F26" s="202">
        <x:f>SUMIFS('(계획)비용계획 상세_26년'!L:L,'(계획)비용계획 상세_26년'!$I:$I,'(계획)손익계산서 월별계획'!$B$19,'(계획)비용계획 상세_26년'!$B:$B,'(계획)손익계산서 월별계획'!$B26)</x:f>
        <x:v>0</x:v>
      </x:c>
      <x:c r="G26" s="202">
        <x:f>SUMIFS('(계획)비용계획 상세_26년'!M:M,'(계획)비용계획 상세_26년'!$I:$I,'(계획)손익계산서 월별계획'!$B$19,'(계획)비용계획 상세_26년'!$B:$B,'(계획)손익계산서 월별계획'!$B26)</x:f>
        <x:v>0</x:v>
      </x:c>
      <x:c r="H26" s="202">
        <x:f>SUMIFS('(계획)비용계획 상세_26년'!N:N,'(계획)비용계획 상세_26년'!$I:$I,'(계획)손익계산서 월별계획'!$B$19,'(계획)비용계획 상세_26년'!$B:$B,'(계획)손익계산서 월별계획'!$B26)</x:f>
        <x:v>0</x:v>
      </x:c>
      <x:c r="I26" s="202">
        <x:f>SUMIFS('(계획)비용계획 상세_26년'!O:O,'(계획)비용계획 상세_26년'!$I:$I,'(계획)손익계산서 월별계획'!$B$19,'(계획)비용계획 상세_26년'!$B:$B,'(계획)손익계산서 월별계획'!$B26)</x:f>
        <x:v>0</x:v>
      </x:c>
      <x:c r="J26" s="202">
        <x:f>SUMIFS('(계획)비용계획 상세_26년'!P:P,'(계획)비용계획 상세_26년'!$I:$I,'(계획)손익계산서 월별계획'!$B$19,'(계획)비용계획 상세_26년'!$B:$B,'(계획)손익계산서 월별계획'!$B26)</x:f>
        <x:v>0</x:v>
      </x:c>
      <x:c r="K26" s="202">
        <x:f>SUMIFS('(계획)비용계획 상세_26년'!Q:Q,'(계획)비용계획 상세_26년'!$I:$I,'(계획)손익계산서 월별계획'!$B$19,'(계획)비용계획 상세_26년'!$B:$B,'(계획)손익계산서 월별계획'!$B26)</x:f>
        <x:v>0</x:v>
      </x:c>
      <x:c r="L26" s="202">
        <x:f>SUMIFS('(계획)비용계획 상세_26년'!R:R,'(계획)비용계획 상세_26년'!$I:$I,'(계획)손익계산서 월별계획'!$B$19,'(계획)비용계획 상세_26년'!$B:$B,'(계획)손익계산서 월별계획'!$B26)</x:f>
        <x:v>0</x:v>
      </x:c>
      <x:c r="M26" s="202">
        <x:f>SUMIFS('(계획)비용계획 상세_26년'!S:S,'(계획)비용계획 상세_26년'!$I:$I,'(계획)손익계산서 월별계획'!$B$19,'(계획)비용계획 상세_26년'!$B:$B,'(계획)손익계산서 월별계획'!$B26)</x:f>
        <x:v>0</x:v>
      </x:c>
      <x:c r="N26" s="202">
        <x:f>SUMIFS('(계획)비용계획 상세_26년'!T:T,'(계획)비용계획 상세_26년'!$I:$I,'(계획)손익계산서 월별계획'!$B$19,'(계획)비용계획 상세_26년'!$B:$B,'(계획)손익계산서 월별계획'!$B26)</x:f>
        <x:v>0</x:v>
      </x:c>
      <x:c r="O26" s="202">
        <x:f>SUMIFS('(계획)비용계획 상세_26년'!U:U,'(계획)비용계획 상세_26년'!$I:$I,'(계획)손익계산서 월별계획'!$B$19,'(계획)비용계획 상세_26년'!$B:$B,'(계획)손익계산서 월별계획'!$B26)</x:f>
        <x:v>0</x:v>
      </x:c>
      <x:c r="P26" s="202">
        <x:f>SUMIFS('(계획)비용계획 상세_26년'!V:V,'(계획)비용계획 상세_26년'!$I:$I,'(계획)손익계산서 월별계획'!$B$19,'(계획)비용계획 상세_26년'!$B:$B,'(계획)손익계산서 월별계획'!$B26)</x:f>
        <x:v>0</x:v>
      </x:c>
    </x:row>
    <x:row r="27" spans="2:16" ht="13.5">
      <x:c r="B27" s="26" t="s">
        <x:v>56</x:v>
      </x:c>
      <x:c r="C27" s="241">
        <x:f t="shared" si="8"/>
        <x:v>2304000</x:v>
      </x:c>
      <x:c r="D27" s="241"/>
      <x:c r="E27" s="202">
        <x:f>SUMIFS('(계획)비용계획 상세_26년'!K:K,'(계획)비용계획 상세_26년'!$I:$I,'(계획)손익계산서 월별계획'!$B$19,'(계획)비용계획 상세_26년'!$B:$B,'(계획)손익계산서 월별계획'!$B27)</x:f>
        <x:v>192000</x:v>
      </x:c>
      <x:c r="F27" s="202">
        <x:f>SUMIFS('(계획)비용계획 상세_26년'!L:L,'(계획)비용계획 상세_26년'!$I:$I,'(계획)손익계산서 월별계획'!$B$19,'(계획)비용계획 상세_26년'!$B:$B,'(계획)손익계산서 월별계획'!$B27)</x:f>
        <x:v>192000</x:v>
      </x:c>
      <x:c r="G27" s="202">
        <x:f>SUMIFS('(계획)비용계획 상세_26년'!M:M,'(계획)비용계획 상세_26년'!$I:$I,'(계획)손익계산서 월별계획'!$B$19,'(계획)비용계획 상세_26년'!$B:$B,'(계획)손익계산서 월별계획'!$B27)</x:f>
        <x:v>192000</x:v>
      </x:c>
      <x:c r="H27" s="202">
        <x:f>SUMIFS('(계획)비용계획 상세_26년'!N:N,'(계획)비용계획 상세_26년'!$I:$I,'(계획)손익계산서 월별계획'!$B$19,'(계획)비용계획 상세_26년'!$B:$B,'(계획)손익계산서 월별계획'!$B27)</x:f>
        <x:v>192000</x:v>
      </x:c>
      <x:c r="I27" s="202">
        <x:f>SUMIFS('(계획)비용계획 상세_26년'!O:O,'(계획)비용계획 상세_26년'!$I:$I,'(계획)손익계산서 월별계획'!$B$19,'(계획)비용계획 상세_26년'!$B:$B,'(계획)손익계산서 월별계획'!$B27)</x:f>
        <x:v>192000</x:v>
      </x:c>
      <x:c r="J27" s="202">
        <x:f>SUMIFS('(계획)비용계획 상세_26년'!P:P,'(계획)비용계획 상세_26년'!$I:$I,'(계획)손익계산서 월별계획'!$B$19,'(계획)비용계획 상세_26년'!$B:$B,'(계획)손익계산서 월별계획'!$B27)</x:f>
        <x:v>192000</x:v>
      </x:c>
      <x:c r="K27" s="202">
        <x:f>SUMIFS('(계획)비용계획 상세_26년'!Q:Q,'(계획)비용계획 상세_26년'!$I:$I,'(계획)손익계산서 월별계획'!$B$19,'(계획)비용계획 상세_26년'!$B:$B,'(계획)손익계산서 월별계획'!$B27)</x:f>
        <x:v>192000</x:v>
      </x:c>
      <x:c r="L27" s="202">
        <x:f>SUMIFS('(계획)비용계획 상세_26년'!R:R,'(계획)비용계획 상세_26년'!$I:$I,'(계획)손익계산서 월별계획'!$B$19,'(계획)비용계획 상세_26년'!$B:$B,'(계획)손익계산서 월별계획'!$B27)</x:f>
        <x:v>192000</x:v>
      </x:c>
      <x:c r="M27" s="202">
        <x:f>SUMIFS('(계획)비용계획 상세_26년'!S:S,'(계획)비용계획 상세_26년'!$I:$I,'(계획)손익계산서 월별계획'!$B$19,'(계획)비용계획 상세_26년'!$B:$B,'(계획)손익계산서 월별계획'!$B27)</x:f>
        <x:v>192000</x:v>
      </x:c>
      <x:c r="N27" s="202">
        <x:f>SUMIFS('(계획)비용계획 상세_26년'!T:T,'(계획)비용계획 상세_26년'!$I:$I,'(계획)손익계산서 월별계획'!$B$19,'(계획)비용계획 상세_26년'!$B:$B,'(계획)손익계산서 월별계획'!$B27)</x:f>
        <x:v>192000</x:v>
      </x:c>
      <x:c r="O27" s="202">
        <x:f>SUMIFS('(계획)비용계획 상세_26년'!U:U,'(계획)비용계획 상세_26년'!$I:$I,'(계획)손익계산서 월별계획'!$B$19,'(계획)비용계획 상세_26년'!$B:$B,'(계획)손익계산서 월별계획'!$B27)</x:f>
        <x:v>192000</x:v>
      </x:c>
      <x:c r="P27" s="202">
        <x:f>SUMIFS('(계획)비용계획 상세_26년'!V:V,'(계획)비용계획 상세_26년'!$I:$I,'(계획)손익계산서 월별계획'!$B$19,'(계획)비용계획 상세_26년'!$B:$B,'(계획)손익계산서 월별계획'!$B27)</x:f>
        <x:v>192000</x:v>
      </x:c>
    </x:row>
    <x:row r="28" spans="2:16" ht="13.5">
      <x:c r="B28" s="26" t="s">
        <x:v>57</x:v>
      </x:c>
      <x:c r="C28" s="241">
        <x:f t="shared" si="8"/>
        <x:v>117624999.99999999</x:v>
      </x:c>
      <x:c r="D28" s="241"/>
      <x:c r="E28" s="202">
        <x:f>SUMIFS('(계획)비용계획 상세_26년'!K:K,'(계획)비용계획 상세_26년'!$I:$I,'(계획)손익계산서 월별계획'!$B$19,'(계획)비용계획 상세_26년'!$B:$B,'(계획)손익계산서 월별계획'!$B28)</x:f>
        <x:v>9802083.333333334</x:v>
      </x:c>
      <x:c r="F28" s="202">
        <x:f>SUMIFS('(계획)비용계획 상세_26년'!L:L,'(계획)비용계획 상세_26년'!$I:$I,'(계획)손익계산서 월별계획'!$B$19,'(계획)비용계획 상세_26년'!$B:$B,'(계획)손익계산서 월별계획'!$B28)</x:f>
        <x:v>9802083.333333334</x:v>
      </x:c>
      <x:c r="G28" s="202">
        <x:f>SUMIFS('(계획)비용계획 상세_26년'!M:M,'(계획)비용계획 상세_26년'!$I:$I,'(계획)손익계산서 월별계획'!$B$19,'(계획)비용계획 상세_26년'!$B:$B,'(계획)손익계산서 월별계획'!$B28)</x:f>
        <x:v>9802083.333333334</x:v>
      </x:c>
      <x:c r="H28" s="202">
        <x:f>SUMIFS('(계획)비용계획 상세_26년'!N:N,'(계획)비용계획 상세_26년'!$I:$I,'(계획)손익계산서 월별계획'!$B$19,'(계획)비용계획 상세_26년'!$B:$B,'(계획)손익계산서 월별계획'!$B28)</x:f>
        <x:v>9802083.333333334</x:v>
      </x:c>
      <x:c r="I28" s="202">
        <x:f>SUMIFS('(계획)비용계획 상세_26년'!O:O,'(계획)비용계획 상세_26년'!$I:$I,'(계획)손익계산서 월별계획'!$B$19,'(계획)비용계획 상세_26년'!$B:$B,'(계획)손익계산서 월별계획'!$B28)</x:f>
        <x:v>9802083.333333334</x:v>
      </x:c>
      <x:c r="J28" s="202">
        <x:f>SUMIFS('(계획)비용계획 상세_26년'!P:P,'(계획)비용계획 상세_26년'!$I:$I,'(계획)손익계산서 월별계획'!$B$19,'(계획)비용계획 상세_26년'!$B:$B,'(계획)손익계산서 월별계획'!$B28)</x:f>
        <x:v>9802083.333333334</x:v>
      </x:c>
      <x:c r="K28" s="202">
        <x:f>SUMIFS('(계획)비용계획 상세_26년'!Q:Q,'(계획)비용계획 상세_26년'!$I:$I,'(계획)손익계산서 월별계획'!$B$19,'(계획)비용계획 상세_26년'!$B:$B,'(계획)손익계산서 월별계획'!$B28)</x:f>
        <x:v>9802083.333333334</x:v>
      </x:c>
      <x:c r="L28" s="202">
        <x:f>SUMIFS('(계획)비용계획 상세_26년'!R:R,'(계획)비용계획 상세_26년'!$I:$I,'(계획)손익계산서 월별계획'!$B$19,'(계획)비용계획 상세_26년'!$B:$B,'(계획)손익계산서 월별계획'!$B28)</x:f>
        <x:v>9802083.333333334</x:v>
      </x:c>
      <x:c r="M28" s="202">
        <x:f>SUMIFS('(계획)비용계획 상세_26년'!S:S,'(계획)비용계획 상세_26년'!$I:$I,'(계획)손익계산서 월별계획'!$B$19,'(계획)비용계획 상세_26년'!$B:$B,'(계획)손익계산서 월별계획'!$B28)</x:f>
        <x:v>9802083.333333334</x:v>
      </x:c>
      <x:c r="N28" s="202">
        <x:f>SUMIFS('(계획)비용계획 상세_26년'!T:T,'(계획)비용계획 상세_26년'!$I:$I,'(계획)손익계산서 월별계획'!$B$19,'(계획)비용계획 상세_26년'!$B:$B,'(계획)손익계산서 월별계획'!$B28)</x:f>
        <x:v>9802083.333333334</x:v>
      </x:c>
      <x:c r="O28" s="202">
        <x:f>SUMIFS('(계획)비용계획 상세_26년'!U:U,'(계획)비용계획 상세_26년'!$I:$I,'(계획)손익계산서 월별계획'!$B$19,'(계획)비용계획 상세_26년'!$B:$B,'(계획)손익계산서 월별계획'!$B28)</x:f>
        <x:v>9802083.333333334</x:v>
      </x:c>
      <x:c r="P28" s="202">
        <x:f>SUMIFS('(계획)비용계획 상세_26년'!V:V,'(계획)비용계획 상세_26년'!$I:$I,'(계획)손익계산서 월별계획'!$B$19,'(계획)비용계획 상세_26년'!$B:$B,'(계획)손익계산서 월별계획'!$B28)</x:f>
        <x:v>9802083.333333334</x:v>
      </x:c>
    </x:row>
    <x:row r="29" spans="2:16" ht="13.5">
      <x:c r="B29" s="26" t="s">
        <x:v>58</x:v>
      </x:c>
      <x:c r="C29" s="241">
        <x:f t="shared" si="8"/>
        <x:v>0</x:v>
      </x:c>
      <x:c r="D29" s="241"/>
      <x:c r="E29" s="202">
        <x:f>SUMIFS('(계획)비용계획 상세_26년'!K:K,'(계획)비용계획 상세_26년'!$I:$I,'(계획)손익계산서 월별계획'!$B$19,'(계획)비용계획 상세_26년'!$B:$B,'(계획)손익계산서 월별계획'!$B29)</x:f>
        <x:v>0</x:v>
      </x:c>
      <x:c r="F29" s="202">
        <x:f>SUMIFS('(계획)비용계획 상세_26년'!L:L,'(계획)비용계획 상세_26년'!$I:$I,'(계획)손익계산서 월별계획'!$B$19,'(계획)비용계획 상세_26년'!$B:$B,'(계획)손익계산서 월별계획'!$B29)</x:f>
        <x:v>0</x:v>
      </x:c>
      <x:c r="G29" s="202">
        <x:f>SUMIFS('(계획)비용계획 상세_26년'!M:M,'(계획)비용계획 상세_26년'!$I:$I,'(계획)손익계산서 월별계획'!$B$19,'(계획)비용계획 상세_26년'!$B:$B,'(계획)손익계산서 월별계획'!$B29)</x:f>
        <x:v>0</x:v>
      </x:c>
      <x:c r="H29" s="202">
        <x:f>SUMIFS('(계획)비용계획 상세_26년'!N:N,'(계획)비용계획 상세_26년'!$I:$I,'(계획)손익계산서 월별계획'!$B$19,'(계획)비용계획 상세_26년'!$B:$B,'(계획)손익계산서 월별계획'!$B29)</x:f>
        <x:v>0</x:v>
      </x:c>
      <x:c r="I29" s="202">
        <x:f>SUMIFS('(계획)비용계획 상세_26년'!O:O,'(계획)비용계획 상세_26년'!$I:$I,'(계획)손익계산서 월별계획'!$B$19,'(계획)비용계획 상세_26년'!$B:$B,'(계획)손익계산서 월별계획'!$B29)</x:f>
        <x:v>0</x:v>
      </x:c>
      <x:c r="J29" s="202">
        <x:f>SUMIFS('(계획)비용계획 상세_26년'!P:P,'(계획)비용계획 상세_26년'!$I:$I,'(계획)손익계산서 월별계획'!$B$19,'(계획)비용계획 상세_26년'!$B:$B,'(계획)손익계산서 월별계획'!$B29)</x:f>
        <x:v>0</x:v>
      </x:c>
      <x:c r="K29" s="202">
        <x:f>SUMIFS('(계획)비용계획 상세_26년'!Q:Q,'(계획)비용계획 상세_26년'!$I:$I,'(계획)손익계산서 월별계획'!$B$19,'(계획)비용계획 상세_26년'!$B:$B,'(계획)손익계산서 월별계획'!$B29)</x:f>
        <x:v>0</x:v>
      </x:c>
      <x:c r="L29" s="202">
        <x:f>SUMIFS('(계획)비용계획 상세_26년'!R:R,'(계획)비용계획 상세_26년'!$I:$I,'(계획)손익계산서 월별계획'!$B$19,'(계획)비용계획 상세_26년'!$B:$B,'(계획)손익계산서 월별계획'!$B29)</x:f>
        <x:v>0</x:v>
      </x:c>
      <x:c r="M29" s="202">
        <x:f>SUMIFS('(계획)비용계획 상세_26년'!S:S,'(계획)비용계획 상세_26년'!$I:$I,'(계획)손익계산서 월별계획'!$B$19,'(계획)비용계획 상세_26년'!$B:$B,'(계획)손익계산서 월별계획'!$B29)</x:f>
        <x:v>0</x:v>
      </x:c>
      <x:c r="N29" s="202">
        <x:f>SUMIFS('(계획)비용계획 상세_26년'!T:T,'(계획)비용계획 상세_26년'!$I:$I,'(계획)손익계산서 월별계획'!$B$19,'(계획)비용계획 상세_26년'!$B:$B,'(계획)손익계산서 월별계획'!$B29)</x:f>
        <x:v>0</x:v>
      </x:c>
      <x:c r="O29" s="202">
        <x:f>SUMIFS('(계획)비용계획 상세_26년'!U:U,'(계획)비용계획 상세_26년'!$I:$I,'(계획)손익계산서 월별계획'!$B$19,'(계획)비용계획 상세_26년'!$B:$B,'(계획)손익계산서 월별계획'!$B29)</x:f>
        <x:v>0</x:v>
      </x:c>
      <x:c r="P29" s="202">
        <x:f>SUMIFS('(계획)비용계획 상세_26년'!V:V,'(계획)비용계획 상세_26년'!$I:$I,'(계획)손익계산서 월별계획'!$B$19,'(계획)비용계획 상세_26년'!$B:$B,'(계획)손익계산서 월별계획'!$B29)</x:f>
        <x:v>0</x:v>
      </x:c>
    </x:row>
    <x:row r="30" spans="2:16" ht="13.5">
      <x:c r="B30" s="26" t="s">
        <x:v>59</x:v>
      </x:c>
      <x:c r="C30" s="241">
        <x:f t="shared" si="8"/>
        <x:v>0</x:v>
      </x:c>
      <x:c r="D30" s="241"/>
      <x:c r="E30" s="202">
        <x:f>SUMIFS('(계획)비용계획 상세_26년'!K:K,'(계획)비용계획 상세_26년'!$I:$I,'(계획)손익계산서 월별계획'!$B$19,'(계획)비용계획 상세_26년'!$B:$B,'(계획)손익계산서 월별계획'!$B30)</x:f>
        <x:v>0</x:v>
      </x:c>
      <x:c r="F30" s="202">
        <x:f>SUMIFS('(계획)비용계획 상세_26년'!L:L,'(계획)비용계획 상세_26년'!$I:$I,'(계획)손익계산서 월별계획'!$B$19,'(계획)비용계획 상세_26년'!$B:$B,'(계획)손익계산서 월별계획'!$B30)</x:f>
        <x:v>0</x:v>
      </x:c>
      <x:c r="G30" s="202">
        <x:f>SUMIFS('(계획)비용계획 상세_26년'!M:M,'(계획)비용계획 상세_26년'!$I:$I,'(계획)손익계산서 월별계획'!$B$19,'(계획)비용계획 상세_26년'!$B:$B,'(계획)손익계산서 월별계획'!$B30)</x:f>
        <x:v>0</x:v>
      </x:c>
      <x:c r="H30" s="202">
        <x:f>SUMIFS('(계획)비용계획 상세_26년'!N:N,'(계획)비용계획 상세_26년'!$I:$I,'(계획)손익계산서 월별계획'!$B$19,'(계획)비용계획 상세_26년'!$B:$B,'(계획)손익계산서 월별계획'!$B30)</x:f>
        <x:v>0</x:v>
      </x:c>
      <x:c r="I30" s="202">
        <x:f>SUMIFS('(계획)비용계획 상세_26년'!O:O,'(계획)비용계획 상세_26년'!$I:$I,'(계획)손익계산서 월별계획'!$B$19,'(계획)비용계획 상세_26년'!$B:$B,'(계획)손익계산서 월별계획'!$B30)</x:f>
        <x:v>0</x:v>
      </x:c>
      <x:c r="J30" s="202">
        <x:f>SUMIFS('(계획)비용계획 상세_26년'!P:P,'(계획)비용계획 상세_26년'!$I:$I,'(계획)손익계산서 월별계획'!$B$19,'(계획)비용계획 상세_26년'!$B:$B,'(계획)손익계산서 월별계획'!$B30)</x:f>
        <x:v>0</x:v>
      </x:c>
      <x:c r="K30" s="202">
        <x:f>SUMIFS('(계획)비용계획 상세_26년'!Q:Q,'(계획)비용계획 상세_26년'!$I:$I,'(계획)손익계산서 월별계획'!$B$19,'(계획)비용계획 상세_26년'!$B:$B,'(계획)손익계산서 월별계획'!$B30)</x:f>
        <x:v>0</x:v>
      </x:c>
      <x:c r="L30" s="202">
        <x:f>SUMIFS('(계획)비용계획 상세_26년'!R:R,'(계획)비용계획 상세_26년'!$I:$I,'(계획)손익계산서 월별계획'!$B$19,'(계획)비용계획 상세_26년'!$B:$B,'(계획)손익계산서 월별계획'!$B30)</x:f>
        <x:v>0</x:v>
      </x:c>
      <x:c r="M30" s="202">
        <x:f>SUMIFS('(계획)비용계획 상세_26년'!S:S,'(계획)비용계획 상세_26년'!$I:$I,'(계획)손익계산서 월별계획'!$B$19,'(계획)비용계획 상세_26년'!$B:$B,'(계획)손익계산서 월별계획'!$B30)</x:f>
        <x:v>0</x:v>
      </x:c>
      <x:c r="N30" s="202">
        <x:f>SUMIFS('(계획)비용계획 상세_26년'!T:T,'(계획)비용계획 상세_26년'!$I:$I,'(계획)손익계산서 월별계획'!$B$19,'(계획)비용계획 상세_26년'!$B:$B,'(계획)손익계산서 월별계획'!$B30)</x:f>
        <x:v>0</x:v>
      </x:c>
      <x:c r="O30" s="202">
        <x:f>SUMIFS('(계획)비용계획 상세_26년'!U:U,'(계획)비용계획 상세_26년'!$I:$I,'(계획)손익계산서 월별계획'!$B$19,'(계획)비용계획 상세_26년'!$B:$B,'(계획)손익계산서 월별계획'!$B30)</x:f>
        <x:v>0</x:v>
      </x:c>
      <x:c r="P30" s="202">
        <x:f>SUMIFS('(계획)비용계획 상세_26년'!V:V,'(계획)비용계획 상세_26년'!$I:$I,'(계획)손익계산서 월별계획'!$B$19,'(계획)비용계획 상세_26년'!$B:$B,'(계획)손익계산서 월별계획'!$B30)</x:f>
        <x:v>0</x:v>
      </x:c>
    </x:row>
    <x:row r="31" spans="2:16" ht="13.5">
      <x:c r="B31" s="26" t="s">
        <x:v>60</x:v>
      </x:c>
      <x:c r="C31" s="241">
        <x:f t="shared" si="8"/>
        <x:v>0</x:v>
      </x:c>
      <x:c r="D31" s="241"/>
      <x:c r="E31" s="202">
        <x:f>SUMIFS('(계획)비용계획 상세_26년'!K:K,'(계획)비용계획 상세_26년'!$I:$I,'(계획)손익계산서 월별계획'!$B$19,'(계획)비용계획 상세_26년'!$B:$B,'(계획)손익계산서 월별계획'!$B31)</x:f>
        <x:v>0</x:v>
      </x:c>
      <x:c r="F31" s="202">
        <x:f>SUMIFS('(계획)비용계획 상세_26년'!L:L,'(계획)비용계획 상세_26년'!$I:$I,'(계획)손익계산서 월별계획'!$B$19,'(계획)비용계획 상세_26년'!$B:$B,'(계획)손익계산서 월별계획'!$B31)</x:f>
        <x:v>0</x:v>
      </x:c>
      <x:c r="G31" s="202">
        <x:f>SUMIFS('(계획)비용계획 상세_26년'!M:M,'(계획)비용계획 상세_26년'!$I:$I,'(계획)손익계산서 월별계획'!$B$19,'(계획)비용계획 상세_26년'!$B:$B,'(계획)손익계산서 월별계획'!$B31)</x:f>
        <x:v>0</x:v>
      </x:c>
      <x:c r="H31" s="202">
        <x:f>SUMIFS('(계획)비용계획 상세_26년'!N:N,'(계획)비용계획 상세_26년'!$I:$I,'(계획)손익계산서 월별계획'!$B$19,'(계획)비용계획 상세_26년'!$B:$B,'(계획)손익계산서 월별계획'!$B31)</x:f>
        <x:v>0</x:v>
      </x:c>
      <x:c r="I31" s="202">
        <x:f>SUMIFS('(계획)비용계획 상세_26년'!O:O,'(계획)비용계획 상세_26년'!$I:$I,'(계획)손익계산서 월별계획'!$B$19,'(계획)비용계획 상세_26년'!$B:$B,'(계획)손익계산서 월별계획'!$B31)</x:f>
        <x:v>0</x:v>
      </x:c>
      <x:c r="J31" s="202">
        <x:f>SUMIFS('(계획)비용계획 상세_26년'!P:P,'(계획)비용계획 상세_26년'!$I:$I,'(계획)손익계산서 월별계획'!$B$19,'(계획)비용계획 상세_26년'!$B:$B,'(계획)손익계산서 월별계획'!$B31)</x:f>
        <x:v>0</x:v>
      </x:c>
      <x:c r="K31" s="202">
        <x:f>SUMIFS('(계획)비용계획 상세_26년'!Q:Q,'(계획)비용계획 상세_26년'!$I:$I,'(계획)손익계산서 월별계획'!$B$19,'(계획)비용계획 상세_26년'!$B:$B,'(계획)손익계산서 월별계획'!$B31)</x:f>
        <x:v>0</x:v>
      </x:c>
      <x:c r="L31" s="202">
        <x:f>SUMIFS('(계획)비용계획 상세_26년'!R:R,'(계획)비용계획 상세_26년'!$I:$I,'(계획)손익계산서 월별계획'!$B$19,'(계획)비용계획 상세_26년'!$B:$B,'(계획)손익계산서 월별계획'!$B31)</x:f>
        <x:v>0</x:v>
      </x:c>
      <x:c r="M31" s="202">
        <x:f>SUMIFS('(계획)비용계획 상세_26년'!S:S,'(계획)비용계획 상세_26년'!$I:$I,'(계획)손익계산서 월별계획'!$B$19,'(계획)비용계획 상세_26년'!$B:$B,'(계획)손익계산서 월별계획'!$B31)</x:f>
        <x:v>0</x:v>
      </x:c>
      <x:c r="N31" s="202">
        <x:f>SUMIFS('(계획)비용계획 상세_26년'!T:T,'(계획)비용계획 상세_26년'!$I:$I,'(계획)손익계산서 월별계획'!$B$19,'(계획)비용계획 상세_26년'!$B:$B,'(계획)손익계산서 월별계획'!$B31)</x:f>
        <x:v>0</x:v>
      </x:c>
      <x:c r="O31" s="202">
        <x:f>SUMIFS('(계획)비용계획 상세_26년'!U:U,'(계획)비용계획 상세_26년'!$I:$I,'(계획)손익계산서 월별계획'!$B$19,'(계획)비용계획 상세_26년'!$B:$B,'(계획)손익계산서 월별계획'!$B31)</x:f>
        <x:v>0</x:v>
      </x:c>
      <x:c r="P31" s="202">
        <x:f>SUMIFS('(계획)비용계획 상세_26년'!V:V,'(계획)비용계획 상세_26년'!$I:$I,'(계획)손익계산서 월별계획'!$B$19,'(계획)비용계획 상세_26년'!$B:$B,'(계획)손익계산서 월별계획'!$B31)</x:f>
        <x:v>0</x:v>
      </x:c>
    </x:row>
    <x:row r="32" spans="2:16" ht="13.5">
      <x:c r="B32" s="26" t="s">
        <x:v>61</x:v>
      </x:c>
      <x:c r="C32" s="241">
        <x:f t="shared" si="8"/>
        <x:v>0</x:v>
      </x:c>
      <x:c r="D32" s="241"/>
      <x:c r="E32" s="202">
        <x:f>SUMIFS('(계획)비용계획 상세_26년'!K:K,'(계획)비용계획 상세_26년'!$I:$I,'(계획)손익계산서 월별계획'!$B$19,'(계획)비용계획 상세_26년'!$B:$B,'(계획)손익계산서 월별계획'!$B32)</x:f>
        <x:v>0</x:v>
      </x:c>
      <x:c r="F32" s="202">
        <x:f>SUMIFS('(계획)비용계획 상세_26년'!L:L,'(계획)비용계획 상세_26년'!$I:$I,'(계획)손익계산서 월별계획'!$B$19,'(계획)비용계획 상세_26년'!$B:$B,'(계획)손익계산서 월별계획'!$B32)</x:f>
        <x:v>0</x:v>
      </x:c>
      <x:c r="G32" s="202">
        <x:f>SUMIFS('(계획)비용계획 상세_26년'!M:M,'(계획)비용계획 상세_26년'!$I:$I,'(계획)손익계산서 월별계획'!$B$19,'(계획)비용계획 상세_26년'!$B:$B,'(계획)손익계산서 월별계획'!$B32)</x:f>
        <x:v>0</x:v>
      </x:c>
      <x:c r="H32" s="202">
        <x:f>SUMIFS('(계획)비용계획 상세_26년'!N:N,'(계획)비용계획 상세_26년'!$I:$I,'(계획)손익계산서 월별계획'!$B$19,'(계획)비용계획 상세_26년'!$B:$B,'(계획)손익계산서 월별계획'!$B32)</x:f>
        <x:v>0</x:v>
      </x:c>
      <x:c r="I32" s="202">
        <x:f>SUMIFS('(계획)비용계획 상세_26년'!O:O,'(계획)비용계획 상세_26년'!$I:$I,'(계획)손익계산서 월별계획'!$B$19,'(계획)비용계획 상세_26년'!$B:$B,'(계획)손익계산서 월별계획'!$B32)</x:f>
        <x:v>0</x:v>
      </x:c>
      <x:c r="J32" s="202">
        <x:f>SUMIFS('(계획)비용계획 상세_26년'!P:P,'(계획)비용계획 상세_26년'!$I:$I,'(계획)손익계산서 월별계획'!$B$19,'(계획)비용계획 상세_26년'!$B:$B,'(계획)손익계산서 월별계획'!$B32)</x:f>
        <x:v>0</x:v>
      </x:c>
      <x:c r="K32" s="202">
        <x:f>SUMIFS('(계획)비용계획 상세_26년'!Q:Q,'(계획)비용계획 상세_26년'!$I:$I,'(계획)손익계산서 월별계획'!$B$19,'(계획)비용계획 상세_26년'!$B:$B,'(계획)손익계산서 월별계획'!$B32)</x:f>
        <x:v>0</x:v>
      </x:c>
      <x:c r="L32" s="202">
        <x:f>SUMIFS('(계획)비용계획 상세_26년'!R:R,'(계획)비용계획 상세_26년'!$I:$I,'(계획)손익계산서 월별계획'!$B$19,'(계획)비용계획 상세_26년'!$B:$B,'(계획)손익계산서 월별계획'!$B32)</x:f>
        <x:v>0</x:v>
      </x:c>
      <x:c r="M32" s="202">
        <x:f>SUMIFS('(계획)비용계획 상세_26년'!S:S,'(계획)비용계획 상세_26년'!$I:$I,'(계획)손익계산서 월별계획'!$B$19,'(계획)비용계획 상세_26년'!$B:$B,'(계획)손익계산서 월별계획'!$B32)</x:f>
        <x:v>0</x:v>
      </x:c>
      <x:c r="N32" s="202">
        <x:f>SUMIFS('(계획)비용계획 상세_26년'!T:T,'(계획)비용계획 상세_26년'!$I:$I,'(계획)손익계산서 월별계획'!$B$19,'(계획)비용계획 상세_26년'!$B:$B,'(계획)손익계산서 월별계획'!$B32)</x:f>
        <x:v>0</x:v>
      </x:c>
      <x:c r="O32" s="202">
        <x:f>SUMIFS('(계획)비용계획 상세_26년'!U:U,'(계획)비용계획 상세_26년'!$I:$I,'(계획)손익계산서 월별계획'!$B$19,'(계획)비용계획 상세_26년'!$B:$B,'(계획)손익계산서 월별계획'!$B32)</x:f>
        <x:v>0</x:v>
      </x:c>
      <x:c r="P32" s="202">
        <x:f>SUMIFS('(계획)비용계획 상세_26년'!V:V,'(계획)비용계획 상세_26년'!$I:$I,'(계획)손익계산서 월별계획'!$B$19,'(계획)비용계획 상세_26년'!$B:$B,'(계획)손익계산서 월별계획'!$B32)</x:f>
        <x:v>0</x:v>
      </x:c>
    </x:row>
    <x:row r="33" spans="2:16" s="10" customFormat="1" ht="17.45" customHeight="1">
      <x:c r="B33" s="26" t="s">
        <x:v>62</x:v>
      </x:c>
      <x:c r="C33" s="241">
        <x:f t="shared" si="8"/>
        <x:v>27426754.666666672</x:v>
      </x:c>
      <x:c r="D33" s="241"/>
      <x:c r="E33" s="202">
        <x:f>SUMIFS('(계획)비용계획 상세_26년'!K:K,'(계획)비용계획 상세_26년'!$I:$I,'(계획)손익계산서 월별계획'!$B$19,'(계획)비용계획 상세_26년'!$B:$B,'(계획)손익계산서 월별계획'!$B33)</x:f>
        <x:v>2258896.222222222</x:v>
      </x:c>
      <x:c r="F33" s="202">
        <x:f>SUMIFS('(계획)비용계획 상세_26년'!L:L,'(계획)비용계획 상세_26년'!$I:$I,'(계획)손익계산서 월별계획'!$B$19,'(계획)비용계획 상세_26년'!$B:$B,'(계획)손익계산서 월별계획'!$B33)</x:f>
        <x:v>2258896.222222222</x:v>
      </x:c>
      <x:c r="G33" s="202">
        <x:f>SUMIFS('(계획)비용계획 상세_26년'!M:M,'(계획)비용계획 상세_26년'!$I:$I,'(계획)손익계산서 월별계획'!$B$19,'(계획)비용계획 상세_26년'!$B:$B,'(계획)손익계산서 월별계획'!$B33)</x:f>
        <x:v>2258896.222222222</x:v>
      </x:c>
      <x:c r="H33" s="202">
        <x:f>SUMIFS('(계획)비용계획 상세_26년'!N:N,'(계획)비용계획 상세_26년'!$I:$I,'(계획)손익계산서 월별계획'!$B$19,'(계획)비용계획 상세_26년'!$B:$B,'(계획)손익계산서 월별계획'!$B33)</x:f>
        <x:v>2258896.222222222</x:v>
      </x:c>
      <x:c r="I33" s="202">
        <x:f>SUMIFS('(계획)비용계획 상세_26년'!O:O,'(계획)비용계획 상세_26년'!$I:$I,'(계획)손익계산서 월별계획'!$B$19,'(계획)비용계획 상세_26년'!$B:$B,'(계획)손익계산서 월별계획'!$B33)</x:f>
        <x:v>2418896.222222222</x:v>
      </x:c>
      <x:c r="J33" s="202">
        <x:f>SUMIFS('(계획)비용계획 상세_26년'!P:P,'(계획)비용계획 상세_26년'!$I:$I,'(계획)손익계산서 월별계획'!$B$19,'(계획)비용계획 상세_26년'!$B:$B,'(계획)손익계산서 월별계획'!$B33)</x:f>
        <x:v>2258896.222222222</x:v>
      </x:c>
      <x:c r="K33" s="202">
        <x:f>SUMIFS('(계획)비용계획 상세_26년'!Q:Q,'(계획)비용계획 상세_26년'!$I:$I,'(계획)손익계산서 월별계획'!$B$19,'(계획)비용계획 상세_26년'!$B:$B,'(계획)손익계산서 월별계획'!$B33)</x:f>
        <x:v>2258896.222222222</x:v>
      </x:c>
      <x:c r="L33" s="202">
        <x:f>SUMIFS('(계획)비용계획 상세_26년'!R:R,'(계획)비용계획 상세_26년'!$I:$I,'(계획)손익계산서 월별계획'!$B$19,'(계획)비용계획 상세_26년'!$B:$B,'(계획)손익계산서 월별계획'!$B33)</x:f>
        <x:v>2258896.222222222</x:v>
      </x:c>
      <x:c r="M33" s="202">
        <x:f>SUMIFS('(계획)비용계획 상세_26년'!S:S,'(계획)비용계획 상세_26년'!$I:$I,'(계획)손익계산서 월별계획'!$B$19,'(계획)비용계획 상세_26년'!$B:$B,'(계획)손익계산서 월별계획'!$B33)</x:f>
        <x:v>2258896.222222222</x:v>
      </x:c>
      <x:c r="N33" s="202">
        <x:f>SUMIFS('(계획)비용계획 상세_26년'!T:T,'(계획)비용계획 상세_26년'!$I:$I,'(계획)손익계산서 월별계획'!$B$19,'(계획)비용계획 상세_26년'!$B:$B,'(계획)손익계산서 월별계획'!$B33)</x:f>
        <x:v>2258896.222222222</x:v>
      </x:c>
      <x:c r="O33" s="202">
        <x:f>SUMIFS('(계획)비용계획 상세_26년'!U:U,'(계획)비용계획 상세_26년'!$I:$I,'(계획)손익계산서 월별계획'!$B$19,'(계획)비용계획 상세_26년'!$B:$B,'(계획)손익계산서 월별계획'!$B33)</x:f>
        <x:v>2418896.222222222</x:v>
      </x:c>
      <x:c r="P33" s="202">
        <x:f>SUMIFS('(계획)비용계획 상세_26년'!V:V,'(계획)비용계획 상세_26년'!$I:$I,'(계획)손익계산서 월별계획'!$B$19,'(계획)비용계획 상세_26년'!$B:$B,'(계획)손익계산서 월별계획'!$B33)</x:f>
        <x:v>2258896.222222222</x:v>
      </x:c>
    </x:row>
    <x:row r="34" spans="2:16" s="11" customFormat="1" ht="9.6" customHeight="1">
      <x:c r="B34" s="27"/>
      <x:c r="C34" s="14"/>
      <x:c r="D34" s="14"/>
      <x:c r="E34" s="189"/>
      <x:c r="F34" s="189"/>
      <x:c r="G34" s="188"/>
      <x:c r="H34" s="188"/>
      <x:c r="I34" s="188"/>
      <x:c r="J34" s="188"/>
      <x:c r="K34" s="188"/>
      <x:c r="L34" s="188"/>
      <x:c r="M34" s="188"/>
      <x:c r="N34" s="188"/>
      <x:c r="O34" s="188"/>
      <x:c r="P34" s="188"/>
    </x:row>
    <x:row r="35" spans="2:16" s="10" customFormat="1" ht="18.600000000000001" customHeight="1">
      <x:c r="B35" s="12" t="s">
        <x:v>3</x:v>
      </x:c>
      <x:c r="C35" s="28">
        <x:f>SUM(E35:P35)</x:f>
        <x:v>8903363912.2123909</x:v>
      </x:c>
      <x:c r="D35" s="28"/>
      <x:c r="E35" s="29">
        <x:f t="shared" ref="E35:O35" si="9">SUM(E36:E51)</x:f>
        <x:v>731659433.27613389</x:v>
      </x:c>
      <x:c r="F35" s="29">
        <x:f t="shared" si="9"/>
        <x:v>851862700.65141571</x:v>
      </x:c>
      <x:c r="G35" s="29">
        <x:f t="shared" si="9"/>
        <x:v>747290337.16572356</x:v>
      </x:c>
      <x:c r="H35" s="29">
        <x:f t="shared" si="9"/>
        <x:v>765386163.74410152</x:v>
      </x:c>
      <x:c r="I35" s="29">
        <x:f t="shared" si="9"/>
        <x:v>659903516.81583548</x:v>
      </x:c>
      <x:c r="J35" s="29">
        <x:f t="shared" si="9"/>
        <x:v>796509007.26312637</x:v>
      </x:c>
      <x:c r="K35" s="29">
        <x:f t="shared" si="9"/>
        <x:v>681087754.9037956</x:v>
      </x:c>
      <x:c r="L35" s="29">
        <x:f t="shared" si="9"/>
        <x:v>712805530.67563736</x:v>
      </x:c>
      <x:c r="M35" s="29">
        <x:f t="shared" si="9"/>
        <x:v>717046650.92406285</x:v>
      </x:c>
      <x:c r="N35" s="29">
        <x:f t="shared" si="9"/>
        <x:v>689389439.64460886</x:v>
      </x:c>
      <x:c r="O35" s="29">
        <x:f t="shared" si="9"/>
        <x:v>725166002.94706011</x:v>
      </x:c>
      <x:c r="P35" s="29">
        <x:f>SUM(P36:P51)</x:f>
        <x:v>825257374.20089126</x:v>
      </x:c>
    </x:row>
    <x:row r="36" spans="2:16" ht="13.5">
      <x:c r="B36" s="68" t="s">
        <x:v>42</x:v>
      </x:c>
      <x:c r="C36" s="241">
        <x:f t="shared" ref="C36:C51" si="10">SUM(E36:P36)</x:f>
        <x:v>5184045195.6434135</x:v>
      </x:c>
      <x:c r="D36" s="241"/>
      <x:c r="E36" s="202">
        <x:f>SUMIFS('(계획)비용계획 상세_26년'!K:K,'(계획)비용계획 상세_26년'!$I:$I,'(계획)손익계산서 월별계획'!$B$35,'(계획)비용계획 상세_26년'!$B:$B,'(계획)손익계산서 월별계획'!$B36)</x:f>
        <x:v>407220252.04377949</x:v>
      </x:c>
      <x:c r="F36" s="202">
        <x:f>SUMIFS('(계획)비용계획 상세_26년'!L:L,'(계획)비용계획 상세_26년'!$I:$I,'(계획)손익계산서 월별계획'!$B$35,'(계획)비용계획 상세_26년'!$B:$B,'(계획)손익계산서 월별계획'!$B36)</x:f>
        <x:v>510703148.58389825</x:v>
      </x:c>
      <x:c r="G36" s="202">
        <x:f>SUMIFS('(계획)비용계획 상세_26년'!M:M,'(계획)비용계획 상세_26년'!$I:$I,'(계획)손익계산서 월별계획'!$B$35,'(계획)비용계획 상세_26년'!$B:$B,'(계획)손익계산서 월별계획'!$B36)</x:f>
        <x:v>413157037.22833771</x:v>
      </x:c>
      <x:c r="H36" s="202">
        <x:f>SUMIFS('(계획)비용계획 상세_26년'!N:N,'(계획)비용계획 상세_26년'!$I:$I,'(계획)손익계산서 월별계획'!$B$35,'(계획)비용계획 상세_26년'!$B:$B,'(계획)손익계산서 월별계획'!$B36)</x:f>
        <x:v>472985080.9496206</x:v>
      </x:c>
      <x:c r="I36" s="202">
        <x:f>SUMIFS('(계획)비용계획 상세_26년'!O:O,'(계획)비용계획 상세_26년'!$I:$I,'(계획)손익계산서 월별계획'!$B$35,'(계획)비용계획 상세_26년'!$B:$B,'(계획)손익계산서 월별계획'!$B36)</x:f>
        <x:v>344337037.04017878</x:v>
      </x:c>
      <x:c r="J36" s="202">
        <x:f>SUMIFS('(계획)비용계획 상세_26년'!P:P,'(계획)비용계획 상세_26년'!$I:$I,'(계획)손익계산서 월별계획'!$B$35,'(계획)비용계획 상세_26년'!$B:$B,'(계획)손익계산서 월별계획'!$B36)</x:f>
        <x:v>476383793.98835915</x:v>
      </x:c>
      <x:c r="K36" s="202">
        <x:f>SUMIFS('(계획)비용계획 상세_26년'!Q:Q,'(계획)비용계획 상세_26년'!$I:$I,'(계획)손익계산서 월별계획'!$B$35,'(계획)비용계획 상세_26년'!$B:$B,'(계획)손익계산서 월별계획'!$B36)</x:f>
        <x:v>402733048.33594197</x:v>
      </x:c>
      <x:c r="L36" s="202">
        <x:f>SUMIFS('(계획)비용계획 상세_26년'!R:R,'(계획)비용계획 상세_26년'!$I:$I,'(계획)손익계산서 월별계획'!$B$35,'(계획)비용계획 상세_26년'!$B:$B,'(계획)손익계산서 월별계획'!$B36)</x:f>
        <x:v>400682435.42900997</x:v>
      </x:c>
      <x:c r="M36" s="202">
        <x:f>SUMIFS('(계획)비용계획 상세_26년'!S:S,'(계획)비용계획 상세_26년'!$I:$I,'(계획)손익계산서 월별계획'!$B$35,'(계획)비용계획 상세_26년'!$B:$B,'(계획)손익계산서 월별계획'!$B36)</x:f>
        <x:v>400267526.36312842</x:v>
      </x:c>
      <x:c r="N36" s="202">
        <x:f>SUMIFS('(계획)비용계획 상세_26년'!T:T,'(계획)비용계획 상세_26년'!$I:$I,'(계획)손익계산서 월별계획'!$B$35,'(계획)비용계획 상세_26년'!$B:$B,'(계획)손익계산서 월별계획'!$B36)</x:f>
        <x:v>430285514.70643061</x:v>
      </x:c>
      <x:c r="O36" s="202">
        <x:f>SUMIFS('(계획)비용계획 상세_26년'!U:U,'(계획)비용계획 상세_26년'!$I:$I,'(계획)손익계산서 월별계획'!$B$35,'(계획)비용계획 상세_26년'!$B:$B,'(계획)손익계산서 월별계획'!$B36)</x:f>
        <x:v>469743014.3837738</x:v>
      </x:c>
      <x:c r="P36" s="202">
        <x:f>SUMIFS('(계획)비용계획 상세_26년'!V:V,'(계획)비용계획 상세_26년'!$I:$I,'(계획)손익계산서 월별계획'!$B$35,'(계획)비용계획 상세_26년'!$B:$B,'(계획)손익계산서 월별계획'!$B36)</x:f>
        <x:v>455547306.59095603</x:v>
      </x:c>
    </x:row>
    <x:row r="37" spans="2:16" ht="13.5">
      <x:c r="B37" s="68" t="s">
        <x:v>43</x:v>
      </x:c>
      <x:c r="C37" s="241">
        <x:f t="shared" si="10"/>
        <x:v>443787419.51711595</x:v>
      </x:c>
      <x:c r="D37" s="241"/>
      <x:c r="E37" s="202">
        <x:f>SUMIFS('(계획)비용계획 상세_26년'!K:K,'(계획)비용계획 상세_26년'!$I:$I,'(계획)손익계산서 월별계획'!$B$35,'(계획)비용계획 상세_26년'!$B:$B,'(계획)손익계산서 월별계획'!$B37)</x:f>
        <x:v>26650201.587109305</x:v>
      </x:c>
      <x:c r="F37" s="202">
        <x:f>SUMIFS('(계획)비용계획 상세_26년'!L:L,'(계획)비용계획 상세_26년'!$I:$I,'(계획)손익계산서 월별계획'!$B$35,'(계획)비용계획 상세_26년'!$B:$B,'(계획)손익계산서 월별계획'!$B37)</x:f>
        <x:v>23495925.856702354</x:v>
      </x:c>
      <x:c r="G37" s="202">
        <x:f>SUMIFS('(계획)비용계획 상세_26년'!M:M,'(계획)비용계획 상세_26년'!$I:$I,'(계획)손익계산서 월별계획'!$B$35,'(계획)비용계획 상세_26년'!$B:$B,'(계획)손익계산서 월별계획'!$B37)</x:f>
        <x:v>61058167.651389115</x:v>
      </x:c>
      <x:c r="H37" s="202">
        <x:f>SUMIFS('(계획)비용계획 상세_26년'!N:N,'(계획)비용계획 상세_26년'!$I:$I,'(계획)손익계산서 월별계획'!$B$35,'(계획)비용계획 상세_26년'!$B:$B,'(계획)손익계산서 월별계획'!$B37)</x:f>
        <x:v>25656652.156738091</x:v>
      </x:c>
      <x:c r="I37" s="202">
        <x:f>SUMIFS('(계획)비용계획 상세_26년'!O:O,'(계획)비용계획 상세_26년'!$I:$I,'(계획)손익계산서 월별계획'!$B$35,'(계획)비용계획 상세_26년'!$B:$B,'(계획)손익계산서 월별계획'!$B37)</x:f>
        <x:v>23500107.258426446</x:v>
      </x:c>
      <x:c r="J37" s="202">
        <x:f>SUMIFS('(계획)비용계획 상세_26년'!P:P,'(계획)비용계획 상세_26년'!$I:$I,'(계획)손익계산서 월별계획'!$B$35,'(계획)비용계획 상세_26년'!$B:$B,'(계획)손익계산서 월별계획'!$B37)</x:f>
        <x:v>70349596.976527929</x:v>
      </x:c>
      <x:c r="K37" s="202">
        <x:f>SUMIFS('(계획)비용계획 상세_26년'!Q:Q,'(계획)비용계획 상세_26년'!$I:$I,'(계획)손익계산서 월별계획'!$B$35,'(계획)비용계획 상세_26년'!$B:$B,'(계획)손익계산서 월별계획'!$B37)</x:f>
        <x:v>23218357.706565745</x:v>
      </x:c>
      <x:c r="L37" s="202">
        <x:f>SUMIFS('(계획)비용계획 상세_26년'!R:R,'(계획)비용계획 상세_26년'!$I:$I,'(계획)손익계산서 월별계획'!$B$35,'(계획)비용계획 상세_26년'!$B:$B,'(계획)손익계산서 월별계획'!$B37)</x:f>
        <x:v>26635801.488395885</x:v>
      </x:c>
      <x:c r="M37" s="202">
        <x:f>SUMIFS('(계획)비용계획 상세_26년'!S:S,'(계획)비용계획 상세_26년'!$I:$I,'(계획)손익계산서 월별계획'!$B$35,'(계획)비용계획 상세_26년'!$B:$B,'(계획)손익계산서 월별계획'!$B37)</x:f>
        <x:v>58513771.431928352</x:v>
      </x:c>
      <x:c r="N37" s="202">
        <x:f>SUMIFS('(계획)비용계획 상세_26년'!T:T,'(계획)비용계획 상세_26년'!$I:$I,'(계획)손익계산서 월별계획'!$B$35,'(계획)비용계획 상세_26년'!$B:$B,'(계획)손익계산서 월별계획'!$B37)</x:f>
        <x:v>23455511.36916985</x:v>
      </x:c>
      <x:c r="O37" s="202">
        <x:f>SUMIFS('(계획)비용계획 상세_26년'!U:U,'(계획)비용계획 상세_26년'!$I:$I,'(계획)손익계산서 월별계획'!$B$35,'(계획)비용계획 상세_26년'!$B:$B,'(계획)손익계산서 월별계획'!$B37)</x:f>
        <x:v>23000360.421949785</x:v>
      </x:c>
      <x:c r="P37" s="202">
        <x:f>SUMIFS('(계획)비용계획 상세_26년'!V:V,'(계획)비용계획 상세_26년'!$I:$I,'(계획)손익계산서 월별계획'!$B$35,'(계획)비용계획 상세_26년'!$B:$B,'(계획)손익계산서 월별계획'!$B37)</x:f>
        <x:v>58252965.612213068</x:v>
      </x:c>
    </x:row>
    <x:row r="38" spans="2:16" ht="13.5">
      <x:c r="B38" s="68" t="s">
        <x:v>44</x:v>
      </x:c>
      <x:c r="C38" s="241">
        <x:f t="shared" si="10"/>
        <x:v>473988026.65000492</x:v>
      </x:c>
      <x:c r="D38" s="241"/>
      <x:c r="E38" s="202">
        <x:f>SUMIFS('(계획)비용계획 상세_26년'!K:K,'(계획)비용계획 상세_26년'!$I:$I,'(계획)손익계산서 월별계획'!$B$35,'(계획)비용계획 상세_26년'!$B:$B,'(계획)손익계산서 월별계획'!$B38)</x:f>
        <x:v>38314585.37441659</x:v>
      </x:c>
      <x:c r="F38" s="202">
        <x:f>SUMIFS('(계획)비용계획 상세_26년'!L:L,'(계획)비용계획 상세_26년'!$I:$I,'(계획)손익계산서 월별계획'!$B$35,'(계획)비용계획 상세_26년'!$B:$B,'(계획)손익계산서 월별계획'!$B38)</x:f>
        <x:v>36361015.10634771</x:v>
      </x:c>
      <x:c r="G38" s="202">
        <x:f>SUMIFS('(계획)비용계획 상세_26년'!M:M,'(계획)비용계획 상세_26년'!$I:$I,'(계획)손익계산서 월별계획'!$B$35,'(계획)비용계획 상세_26년'!$B:$B,'(계획)손익계산서 월별계획'!$B38)</x:f>
        <x:v>33278280.48859496</x:v>
      </x:c>
      <x:c r="H38" s="202">
        <x:f>SUMIFS('(계획)비용계획 상세_26년'!N:N,'(계획)비용계획 상세_26년'!$I:$I,'(계획)손익계산서 월별계획'!$B$35,'(계획)비용계획 상세_26년'!$B:$B,'(계획)손익계산서 월별계획'!$B38)</x:f>
        <x:v>37889952.770366564</x:v>
      </x:c>
      <x:c r="I38" s="202">
        <x:f>SUMIFS('(계획)비용계획 상세_26년'!O:O,'(계획)비용계획 상세_26년'!$I:$I,'(계획)손익계산서 월별계획'!$B$35,'(계획)비용계획 상세_26년'!$B:$B,'(계획)손익계산서 월별계획'!$B38)</x:f>
        <x:v>36086360.626613609</x:v>
      </x:c>
      <x:c r="J38" s="202">
        <x:f>SUMIFS('(계획)비용계획 상세_26년'!P:P,'(계획)비용계획 상세_26년'!$I:$I,'(계획)손익계산서 월별계획'!$B$35,'(계획)비용계획 상세_26년'!$B:$B,'(계획)손익계산서 월별계획'!$B38)</x:f>
        <x:v>34858764.190459251</x:v>
      </x:c>
      <x:c r="K38" s="202">
        <x:f>SUMIFS('(계획)비용계획 상세_26년'!Q:Q,'(계획)비용계획 상세_26년'!$I:$I,'(계획)손익계산서 월별계획'!$B$35,'(계획)비용계획 상세_26년'!$B:$B,'(계획)손익계산서 월별계획'!$B38)</x:f>
        <x:v>51764677.860557295</x:v>
      </x:c>
      <x:c r="L38" s="202">
        <x:f>SUMIFS('(계획)비용계획 상세_26년'!R:R,'(계획)비용계획 상세_26년'!$I:$I,'(계획)손익계산서 월별계획'!$B$35,'(계획)비용계획 상세_26년'!$B:$B,'(계획)손익계산서 월별계획'!$B38)</x:f>
        <x:v>35069686.271805599</x:v>
      </x:c>
      <x:c r="M38" s="202">
        <x:f>SUMIFS('(계획)비용계획 상세_26년'!S:S,'(계획)비용계획 상세_26년'!$I:$I,'(계획)손익계산서 월별계획'!$B$35,'(계획)비용계획 상세_26년'!$B:$B,'(계획)손익계산서 월별계획'!$B38)</x:f>
        <x:v>41906333.096380606</x:v>
      </x:c>
      <x:c r="N38" s="202">
        <x:f>SUMIFS('(계획)비용계획 상세_26년'!T:T,'(계획)비용계획 상세_26년'!$I:$I,'(계획)손익계산서 월별계획'!$B$35,'(계획)비용계획 상세_26년'!$B:$B,'(계획)손익계산서 월별계획'!$B38)</x:f>
        <x:v>46687272.332104705</x:v>
      </x:c>
      <x:c r="O38" s="202">
        <x:f>SUMIFS('(계획)비용계획 상세_26년'!U:U,'(계획)비용계획 상세_26년'!$I:$I,'(계획)손익계산서 월별계획'!$B$35,'(계획)비용계획 상세_26년'!$B:$B,'(계획)손익계산서 월별계획'!$B38)</x:f>
        <x:v>37523677.460426755</x:v>
      </x:c>
      <x:c r="P38" s="202">
        <x:f>SUMIFS('(계획)비용계획 상세_26년'!V:V,'(계획)비용계획 상세_26년'!$I:$I,'(계획)손익계산서 월별계획'!$B$35,'(계획)비용계획 상세_26년'!$B:$B,'(계획)손익계산서 월별계획'!$B38)</x:f>
        <x:v>44247421.07193128</x:v>
      </x:c>
    </x:row>
    <x:row r="39" spans="2:16" ht="13.5">
      <x:c r="B39" s="68" t="s">
        <x:v>34</x:v>
      </x:c>
      <x:c r="C39" s="241">
        <x:f t="shared" si="10"/>
        <x:v>371673991.64883161</x:v>
      </x:c>
      <x:c r="D39" s="241"/>
      <x:c r="E39" s="202">
        <x:f>SUMIFS('(계획)비용계획 상세_26년'!K:K,'(계획)비용계획 상세_26년'!$I:$I,'(계획)손익계산서 월별계획'!$B$35,'(계획)비용계획 상세_26년'!$B:$B,'(계획)손익계산서 월별계획'!$B39)</x:f>
        <x:v>17105491.958382115</x:v>
      </x:c>
      <x:c r="F39" s="202">
        <x:f>SUMIFS('(계획)비용계획 상세_26년'!L:L,'(계획)비용계획 상세_26년'!$I:$I,'(계획)손익계산서 월별계획'!$B$35,'(계획)비용계획 상세_26년'!$B:$B,'(계획)손익계산서 월별계획'!$B39)</x:f>
        <x:v>41837257.625576369</x:v>
      </x:c>
      <x:c r="G39" s="202">
        <x:f>SUMIFS('(계획)비용계획 상세_26년'!M:M,'(계획)비용계획 상세_26년'!$I:$I,'(계획)손익계산서 월별계획'!$B$35,'(계획)비용계획 상세_26년'!$B:$B,'(계획)손익계산서 월별계획'!$B39)</x:f>
        <x:v>25836755.68871161</x:v>
      </x:c>
      <x:c r="H39" s="202">
        <x:f>SUMIFS('(계획)비용계획 상세_26년'!N:N,'(계획)비용계획 상세_26년'!$I:$I,'(계획)손익계산서 월별계획'!$B$35,'(계획)비용계획 상세_26년'!$B:$B,'(계획)손익계산서 월별계획'!$B39)</x:f>
        <x:v>18992835.472590901</x:v>
      </x:c>
      <x:c r="I39" s="202">
        <x:f>SUMIFS('(계획)비용계획 상세_26년'!O:O,'(계획)비용계획 상세_26년'!$I:$I,'(계획)손익계산서 월별계획'!$B$35,'(계획)비용계획 상세_26년'!$B:$B,'(계획)손익계산서 월별계획'!$B39)</x:f>
        <x:v>16975776.075847462</x:v>
      </x:c>
      <x:c r="J39" s="202">
        <x:f>SUMIFS('(계획)비용계획 상세_26년'!P:P,'(계획)비용계획 상세_26년'!$I:$I,'(계획)손익계산서 월별계획'!$B$35,'(계획)비용계획 상세_26년'!$B:$B,'(계획)손익계산서 월별계획'!$B39)</x:f>
        <x:v>18724985.391780552</x:v>
      </x:c>
      <x:c r="K39" s="202">
        <x:f>SUMIFS('(계획)비용계획 상세_26년'!Q:Q,'(계획)비용계획 상세_26년'!$I:$I,'(계획)손익계산서 월별계획'!$B$35,'(계획)비용계획 상세_26년'!$B:$B,'(계획)손익계산서 월별계획'!$B39)</x:f>
        <x:v>15168238.113094889</x:v>
      </x:c>
      <x:c r="L39" s="202">
        <x:f>SUMIFS('(계획)비용계획 상세_26년'!R:R,'(계획)비용계획 상세_26년'!$I:$I,'(계획)손익계산서 월별계획'!$B$35,'(계획)비용계획 상세_26년'!$B:$B,'(계획)손익계산서 월별계획'!$B39)</x:f>
        <x:v>84970399.120141029</x:v>
      </x:c>
      <x:c r="M39" s="202">
        <x:f>SUMIFS('(계획)비용계획 상세_26년'!S:S,'(계획)비용계획 상세_26년'!$I:$I,'(계획)손익계산서 월별계획'!$B$35,'(계획)비용계획 상세_26년'!$B:$B,'(계획)손익계산서 월별계획'!$B39)</x:f>
        <x:v>27740145.594649985</x:v>
      </x:c>
      <x:c r="N39" s="202">
        <x:f>SUMIFS('(계획)비용계획 상세_26년'!T:T,'(계획)비용계획 상세_26년'!$I:$I,'(계획)손익계산서 월별계획'!$B$35,'(계획)비용계획 상세_26년'!$B:$B,'(계획)손익계산서 월별계획'!$B39)</x:f>
        <x:v>14847070.91985989</x:v>
      </x:c>
      <x:c r="O39" s="202">
        <x:f>SUMIFS('(계획)비용계획 상세_26년'!U:U,'(계획)비용계획 상세_26년'!$I:$I,'(계획)손익계산서 월별계획'!$B$35,'(계획)비용계획 상세_26년'!$B:$B,'(계획)손익계산서 월별계획'!$B39)</x:f>
        <x:v>21152490.707569864</x:v>
      </x:c>
      <x:c r="P39" s="202">
        <x:f>SUMIFS('(계획)비용계획 상세_26년'!V:V,'(계획)비용계획 상세_26년'!$I:$I,'(계획)손익계산서 월별계획'!$B$35,'(계획)비용계획 상세_26년'!$B:$B,'(계획)손익계산서 월별계획'!$B39)</x:f>
        <x:v>68322544.98062703</x:v>
      </x:c>
    </x:row>
    <x:row r="40" spans="2:16" ht="13.5">
      <x:c r="B40" s="68" t="s">
        <x:v>38</x:v>
      </x:c>
      <x:c r="C40" s="241">
        <x:f t="shared" si="10"/>
        <x:v>0</x:v>
      </x:c>
      <x:c r="D40" s="241"/>
      <x:c r="E40" s="202"/>
      <x:c r="F40" s="202"/>
      <x:c r="G40" s="202"/>
      <x:c r="H40" s="202"/>
      <x:c r="I40" s="202"/>
      <x:c r="J40" s="202"/>
      <x:c r="K40" s="202"/>
      <x:c r="L40" s="202"/>
      <x:c r="M40" s="202"/>
      <x:c r="N40" s="202"/>
      <x:c r="O40" s="202"/>
      <x:c r="P40" s="202"/>
    </x:row>
    <x:row r="41" spans="2:16" ht="13.5">
      <x:c r="B41" s="68" t="s">
        <x:v>39</x:v>
      </x:c>
      <x:c r="C41" s="241">
        <x:f t="shared" si="10"/>
        <x:v>0</x:v>
      </x:c>
      <x:c r="D41" s="241"/>
      <x:c r="E41" s="202">
        <x:f>SUMIFS('(계획)비용계획 상세_26년'!K:K,'(계획)비용계획 상세_26년'!$I:$I,'(계획)손익계산서 월별계획'!$B$35,'(계획)비용계획 상세_26년'!$B:$B,'(계획)손익계산서 월별계획'!$B41)</x:f>
        <x:v>0</x:v>
      </x:c>
      <x:c r="F41" s="202">
        <x:f>SUMIFS('(계획)비용계획 상세_26년'!L:L,'(계획)비용계획 상세_26년'!$I:$I,'(계획)손익계산서 월별계획'!$B$35,'(계획)비용계획 상세_26년'!$B:$B,'(계획)손익계산서 월별계획'!$B41)</x:f>
        <x:v>0</x:v>
      </x:c>
      <x:c r="G41" s="202">
        <x:f>SUMIFS('(계획)비용계획 상세_26년'!M:M,'(계획)비용계획 상세_26년'!$I:$I,'(계획)손익계산서 월별계획'!$B$35,'(계획)비용계획 상세_26년'!$B:$B,'(계획)손익계산서 월별계획'!$B41)</x:f>
        <x:v>0</x:v>
      </x:c>
      <x:c r="H41" s="202">
        <x:f>SUMIFS('(계획)비용계획 상세_26년'!N:N,'(계획)비용계획 상세_26년'!$I:$I,'(계획)손익계산서 월별계획'!$B$35,'(계획)비용계획 상세_26년'!$B:$B,'(계획)손익계산서 월별계획'!$B41)</x:f>
        <x:v>0</x:v>
      </x:c>
      <x:c r="I41" s="202">
        <x:f>SUMIFS('(계획)비용계획 상세_26년'!O:O,'(계획)비용계획 상세_26년'!$I:$I,'(계획)손익계산서 월별계획'!$B$35,'(계획)비용계획 상세_26년'!$B:$B,'(계획)손익계산서 월별계획'!$B41)</x:f>
        <x:v>0</x:v>
      </x:c>
      <x:c r="J41" s="202">
        <x:f>SUMIFS('(계획)비용계획 상세_26년'!P:P,'(계획)비용계획 상세_26년'!$I:$I,'(계획)손익계산서 월별계획'!$B$35,'(계획)비용계획 상세_26년'!$B:$B,'(계획)손익계산서 월별계획'!$B41)</x:f>
        <x:v>0</x:v>
      </x:c>
      <x:c r="K41" s="202">
        <x:f>SUMIFS('(계획)비용계획 상세_26년'!Q:Q,'(계획)비용계획 상세_26년'!$I:$I,'(계획)손익계산서 월별계획'!$B$35,'(계획)비용계획 상세_26년'!$B:$B,'(계획)손익계산서 월별계획'!$B41)</x:f>
        <x:v>0</x:v>
      </x:c>
      <x:c r="L41" s="202">
        <x:f>SUMIFS('(계획)비용계획 상세_26년'!R:R,'(계획)비용계획 상세_26년'!$I:$I,'(계획)손익계산서 월별계획'!$B$35,'(계획)비용계획 상세_26년'!$B:$B,'(계획)손익계산서 월별계획'!$B41)</x:f>
        <x:v>0</x:v>
      </x:c>
      <x:c r="M41" s="202">
        <x:f>SUMIFS('(계획)비용계획 상세_26년'!S:S,'(계획)비용계획 상세_26년'!$I:$I,'(계획)손익계산서 월별계획'!$B$35,'(계획)비용계획 상세_26년'!$B:$B,'(계획)손익계산서 월별계획'!$B41)</x:f>
        <x:v>0</x:v>
      </x:c>
      <x:c r="N41" s="202">
        <x:f>SUMIFS('(계획)비용계획 상세_26년'!T:T,'(계획)비용계획 상세_26년'!$I:$I,'(계획)손익계산서 월별계획'!$B$35,'(계획)비용계획 상세_26년'!$B:$B,'(계획)손익계산서 월별계획'!$B41)</x:f>
        <x:v>0</x:v>
      </x:c>
      <x:c r="O41" s="202">
        <x:f>SUMIFS('(계획)비용계획 상세_26년'!U:U,'(계획)비용계획 상세_26년'!$I:$I,'(계획)손익계산서 월별계획'!$B$35,'(계획)비용계획 상세_26년'!$B:$B,'(계획)손익계산서 월별계획'!$B41)</x:f>
        <x:v>0</x:v>
      </x:c>
      <x:c r="P41" s="202">
        <x:f>SUMIFS('(계획)비용계획 상세_26년'!V:V,'(계획)비용계획 상세_26년'!$I:$I,'(계획)손익계산서 월별계획'!$B$35,'(계획)비용계획 상세_26년'!$B:$B,'(계획)손익계산서 월별계획'!$B41)</x:f>
        <x:v>0</x:v>
      </x:c>
    </x:row>
    <x:row r="42" spans="2:16" ht="13.5">
      <x:c r="B42" s="68" t="s">
        <x:v>37</x:v>
      </x:c>
      <x:c r="C42" s="241">
        <x:f t="shared" si="10"/>
        <x:v>0</x:v>
      </x:c>
      <x:c r="D42" s="241"/>
      <x:c r="E42" s="202">
        <x:f>SUMIFS('(계획)비용계획 상세_26년'!K:K,'(계획)비용계획 상세_26년'!$I:$I,'(계획)손익계산서 월별계획'!$B$35,'(계획)비용계획 상세_26년'!$B:$B,'(계획)손익계산서 월별계획'!$B42)</x:f>
        <x:v>0</x:v>
      </x:c>
      <x:c r="F42" s="202">
        <x:f>SUMIFS('(계획)비용계획 상세_26년'!L:L,'(계획)비용계획 상세_26년'!$I:$I,'(계획)손익계산서 월별계획'!$B$35,'(계획)비용계획 상세_26년'!$B:$B,'(계획)손익계산서 월별계획'!$B42)</x:f>
        <x:v>0</x:v>
      </x:c>
      <x:c r="G42" s="202">
        <x:f>SUMIFS('(계획)비용계획 상세_26년'!M:M,'(계획)비용계획 상세_26년'!$I:$I,'(계획)손익계산서 월별계획'!$B$35,'(계획)비용계획 상세_26년'!$B:$B,'(계획)손익계산서 월별계획'!$B42)</x:f>
        <x:v>0</x:v>
      </x:c>
      <x:c r="H42" s="202">
        <x:f>SUMIFS('(계획)비용계획 상세_26년'!N:N,'(계획)비용계획 상세_26년'!$I:$I,'(계획)손익계산서 월별계획'!$B$35,'(계획)비용계획 상세_26년'!$B:$B,'(계획)손익계산서 월별계획'!$B42)</x:f>
        <x:v>0</x:v>
      </x:c>
      <x:c r="I42" s="202">
        <x:f>SUMIFS('(계획)비용계획 상세_26년'!O:O,'(계획)비용계획 상세_26년'!$I:$I,'(계획)손익계산서 월별계획'!$B$35,'(계획)비용계획 상세_26년'!$B:$B,'(계획)손익계산서 월별계획'!$B42)</x:f>
        <x:v>0</x:v>
      </x:c>
      <x:c r="J42" s="202">
        <x:f>SUMIFS('(계획)비용계획 상세_26년'!P:P,'(계획)비용계획 상세_26년'!$I:$I,'(계획)손익계산서 월별계획'!$B$35,'(계획)비용계획 상세_26년'!$B:$B,'(계획)손익계산서 월별계획'!$B42)</x:f>
        <x:v>0</x:v>
      </x:c>
      <x:c r="K42" s="202">
        <x:f>SUMIFS('(계획)비용계획 상세_26년'!Q:Q,'(계획)비용계획 상세_26년'!$I:$I,'(계획)손익계산서 월별계획'!$B$35,'(계획)비용계획 상세_26년'!$B:$B,'(계획)손익계산서 월별계획'!$B42)</x:f>
        <x:v>0</x:v>
      </x:c>
      <x:c r="L42" s="202">
        <x:f>SUMIFS('(계획)비용계획 상세_26년'!R:R,'(계획)비용계획 상세_26년'!$I:$I,'(계획)손익계산서 월별계획'!$B$35,'(계획)비용계획 상세_26년'!$B:$B,'(계획)손익계산서 월별계획'!$B42)</x:f>
        <x:v>0</x:v>
      </x:c>
      <x:c r="M42" s="202">
        <x:f>SUMIFS('(계획)비용계획 상세_26년'!S:S,'(계획)비용계획 상세_26년'!$I:$I,'(계획)손익계산서 월별계획'!$B$35,'(계획)비용계획 상세_26년'!$B:$B,'(계획)손익계산서 월별계획'!$B42)</x:f>
        <x:v>0</x:v>
      </x:c>
      <x:c r="N42" s="202">
        <x:f>SUMIFS('(계획)비용계획 상세_26년'!T:T,'(계획)비용계획 상세_26년'!$I:$I,'(계획)손익계산서 월별계획'!$B$35,'(계획)비용계획 상세_26년'!$B:$B,'(계획)손익계산서 월별계획'!$B42)</x:f>
        <x:v>0</x:v>
      </x:c>
      <x:c r="O42" s="202">
        <x:f>SUMIFS('(계획)비용계획 상세_26년'!U:U,'(계획)비용계획 상세_26년'!$I:$I,'(계획)손익계산서 월별계획'!$B$35,'(계획)비용계획 상세_26년'!$B:$B,'(계획)손익계산서 월별계획'!$B42)</x:f>
        <x:v>0</x:v>
      </x:c>
      <x:c r="P42" s="202">
        <x:f>SUMIFS('(계획)비용계획 상세_26년'!V:V,'(계획)비용계획 상세_26년'!$I:$I,'(계획)손익계산서 월별계획'!$B$35,'(계획)비용계획 상세_26년'!$B:$B,'(계획)손익계산서 월별계획'!$B42)</x:f>
        <x:v>0</x:v>
      </x:c>
    </x:row>
    <x:row r="43" spans="2:16" ht="13.5">
      <x:c r="B43" s="68" t="s">
        <x:v>40</x:v>
      </x:c>
      <x:c r="C43" s="241">
        <x:f t="shared" si="10"/>
        <x:v>1300829164.2543855</x:v>
      </x:c>
      <x:c r="D43" s="241"/>
      <x:c r="E43" s="202">
        <x:f>SUMIFS('(계획)비용계획 상세_26년'!K:K,'(계획)비용계획 상세_26년'!$I:$I,'(계획)손익계산서 월별계획'!$B$35,'(계획)비용계획 상세_26년'!$B:$B,'(계획)손익계산서 월별계획'!$B43)</x:f>
        <x:v>122363848.0917128</x:v>
      </x:c>
      <x:c r="F43" s="202">
        <x:f>SUMIFS('(계획)비용계획 상세_26년'!L:L,'(계획)비용계획 상세_26년'!$I:$I,'(계획)손익계산서 월별계획'!$B$35,'(계획)비용계획 상세_26년'!$B:$B,'(계획)손익계산서 월별계획'!$B43)</x:f>
        <x:v>126737245.37587193</x:v>
      </x:c>
      <x:c r="G43" s="202">
        <x:f>SUMIFS('(계획)비용계획 상세_26년'!M:M,'(계획)비용계획 상세_26년'!$I:$I,'(계획)손익계산서 월별계획'!$B$35,'(계획)비용계획 상세_26년'!$B:$B,'(계획)손익계산서 월별계획'!$B43)</x:f>
        <x:v>134168735.28960171</x:v>
      </x:c>
      <x:c r="H43" s="202">
        <x:f>SUMIFS('(계획)비용계획 상세_26년'!N:N,'(계획)비용계획 상세_26년'!$I:$I,'(계획)손익계산서 월별계획'!$B$35,'(계획)비용계획 상세_26년'!$B:$B,'(계획)손익계산서 월별계획'!$B43)</x:f>
        <x:v>133605482.15311083</x:v>
      </x:c>
      <x:c r="I43" s="202">
        <x:f>SUMIFS('(계획)비용계획 상세_26년'!O:O,'(계획)비용계획 상세_26년'!$I:$I,'(계획)손익계산서 월별계획'!$B$35,'(계획)비용계획 상세_26년'!$B:$B,'(계획)손익계산서 월별계획'!$B43)</x:f>
        <x:v>131567654.60718061</x:v>
      </x:c>
      <x:c r="J43" s="202">
        <x:f>SUMIFS('(계획)비용계획 상세_26년'!P:P,'(계획)비용계획 상세_26년'!$I:$I,'(계획)손익계산서 월별계획'!$B$35,'(계획)비용계획 상세_26년'!$B:$B,'(계획)손익계산서 월별계획'!$B43)</x:f>
        <x:v>95764622.079476878</x:v>
      </x:c>
      <x:c r="K43" s="202">
        <x:f>SUMIFS('(계획)비용계획 상세_26년'!Q:Q,'(계획)비용계획 상세_26년'!$I:$I,'(계획)손익계산서 월별계획'!$B$35,'(계획)비용계획 상세_26년'!$B:$B,'(계획)손익계산서 월별계획'!$B43)</x:f>
        <x:v>91160020.679206952</x:v>
      </x:c>
      <x:c r="L43" s="202">
        <x:f>SUMIFS('(계획)비용계획 상세_26년'!R:R,'(계획)비용계획 상세_26년'!$I:$I,'(계획)손익계산서 월별계획'!$B$35,'(계획)비용계획 상세_26년'!$B:$B,'(계획)손익계산서 월별계획'!$B43)</x:f>
        <x:v>81347245.375871927</x:v>
      </x:c>
      <x:c r="M43" s="202">
        <x:f>SUMIFS('(계획)비용계획 상세_26년'!S:S,'(계획)비용계획 상세_26년'!$I:$I,'(계획)손익계산서 월별계획'!$B$35,'(계획)비용계획 상세_26년'!$B:$B,'(계획)손익계산서 월별계획'!$B43)</x:f>
        <x:v>90648331.419847235</x:v>
      </x:c>
      <x:c r="N43" s="202">
        <x:f>SUMIFS('(계획)비용계획 상세_26년'!T:T,'(계획)비용계획 상세_26년'!$I:$I,'(계획)손익계산서 월별계획'!$B$35,'(계획)비용계획 상세_26년'!$B:$B,'(계획)손익계산서 월별계획'!$B43)</x:f>
        <x:v>99981793.359938547</x:v>
      </x:c>
      <x:c r="O43" s="202">
        <x:f>SUMIFS('(계획)비용계획 상세_26년'!U:U,'(계획)비용계획 상세_26년'!$I:$I,'(계획)손익계산서 월별계획'!$B$35,'(계획)비용계획 상세_26년'!$B:$B,'(계획)손익계산서 월별계획'!$B43)</x:f>
        <x:v>91177654.60718061</x:v>
      </x:c>
      <x:c r="P43" s="202">
        <x:f>SUMIFS('(계획)비용계획 상세_26년'!V:V,'(계획)비용계획 상세_26년'!$I:$I,'(계획)손익계산서 월별계획'!$B$35,'(계획)비용계획 상세_26년'!$B:$B,'(계획)손익계산서 월별계획'!$B43)</x:f>
        <x:v>102306531.21538544</x:v>
      </x:c>
    </x:row>
    <x:row r="44" spans="2:16" ht="13.5">
      <x:c r="B44" s="68" t="s">
        <x:v>35</x:v>
      </x:c>
      <x:c r="C44" s="241">
        <x:f t="shared" si="10"/>
        <x:v>311371798.39092433</x:v>
      </x:c>
      <x:c r="D44" s="241"/>
      <x:c r="E44" s="202">
        <x:f>SUMIFS('(계획)비용계획 상세_26년'!K:K,'(계획)비용계획 상세_26년'!$I:$I,'(계획)손익계산서 월별계획'!$B$35,'(계획)비용계획 상세_26년'!$B:$B,'(계획)손익계산서 월별계획'!$B44)</x:f>
        <x:v>18778864.491560098</x:v>
      </x:c>
      <x:c r="F44" s="202">
        <x:f>SUMIFS('(계획)비용계획 상세_26년'!L:L,'(계획)비용계획 상세_26년'!$I:$I,'(계획)손익계산서 월별계획'!$B$35,'(계획)비용계획 상세_26년'!$B:$B,'(계획)손익계산서 월별계획'!$B44)</x:f>
        <x:v>12040585.371066296</x:v>
      </x:c>
      <x:c r="G44" s="202">
        <x:f>SUMIFS('(계획)비용계획 상세_26년'!M:M,'(계획)비용계획 상세_26년'!$I:$I,'(계획)손익계산서 월별계획'!$B$35,'(계획)비용계획 상세_26년'!$B:$B,'(계획)손익계산서 월별계획'!$B44)</x:f>
        <x:v>27451461.52936285</x:v>
      </x:c>
      <x:c r="H44" s="202">
        <x:f>SUMIFS('(계획)비용계획 상세_26년'!N:N,'(계획)비용계획 상세_26년'!$I:$I,'(계획)손익계산서 월별계획'!$B$35,'(계획)비용계획 상세_26년'!$B:$B,'(계획)손익계산서 월별계획'!$B44)</x:f>
        <x:v>14940089.50470902</x:v>
      </x:c>
      <x:c r="I44" s="202">
        <x:f>SUMIFS('(계획)비용계획 상세_26년'!O:O,'(계획)비용계획 상세_26년'!$I:$I,'(계획)손익계산서 월별계획'!$B$35,'(계획)비용계획 상세_26년'!$B:$B,'(계획)손익계산서 월별계획'!$B44)</x:f>
        <x:v>46237930.454524763</x:v>
      </x:c>
      <x:c r="J44" s="202">
        <x:f>SUMIFS('(계획)비용계획 상세_26년'!P:P,'(계획)비용계획 상세_26년'!$I:$I,'(계획)손익계산서 월별계획'!$B$35,'(계획)비용계획 상세_26년'!$B:$B,'(계획)손익계산서 월별계획'!$B44)</x:f>
        <x:v>35205897.518807314</x:v>
      </x:c>
      <x:c r="K44" s="202">
        <x:f>SUMIFS('(계획)비용계획 상세_26년'!Q:Q,'(계획)비용계획 상세_26년'!$I:$I,'(계획)손익계산서 월별계획'!$B$35,'(계획)비용계획 상세_26년'!$B:$B,'(계획)손익계산서 월별계획'!$B44)</x:f>
        <x:v>34608864.491560102</x:v>
      </x:c>
      <x:c r="L44" s="202">
        <x:f>SUMIFS('(계획)비용계획 상세_26년'!R:R,'(계획)비용계획 상세_26년'!$I:$I,'(계획)손익계산서 월별계획'!$B$35,'(계획)비용계획 상세_26년'!$B:$B,'(계획)손익계산서 월별계획'!$B44)</x:f>
        <x:v>23493893.339399703</x:v>
      </x:c>
      <x:c r="M44" s="202">
        <x:f>SUMIFS('(계획)비용계획 상세_26년'!S:S,'(계획)비용계획 상세_26년'!$I:$I,'(계획)손익계산서 월별계획'!$B$35,'(계획)비용계획 상세_26년'!$B:$B,'(계획)손익계산서 월별계획'!$B44)</x:f>
        <x:v>34697274.721955784</x:v>
      </x:c>
      <x:c r="N44" s="202">
        <x:f>SUMIFS('(계획)비용계획 상세_26년'!T:T,'(계획)비용계획 상세_26년'!$I:$I,'(계획)손익계산서 월별계획'!$B$35,'(계획)비용계획 상세_26년'!$B:$B,'(계획)손익계산서 월별계획'!$B44)</x:f>
        <x:v>12494890.067549312</x:v>
      </x:c>
      <x:c r="O44" s="202">
        <x:f>SUMIFS('(계획)비용계획 상세_26년'!U:U,'(계획)비용계획 상세_26년'!$I:$I,'(계획)손익계산서 월별계획'!$B$35,'(계획)비용계획 상세_26년'!$B:$B,'(계획)손익계산서 월별계획'!$B44)</x:f>
        <x:v>19938864.491560098</x:v>
      </x:c>
      <x:c r="P44" s="202">
        <x:f>SUMIFS('(계획)비용계획 상세_26년'!V:V,'(계획)비용계획 상세_26년'!$I:$I,'(계획)손익계산서 월별계획'!$B$35,'(계획)비용계획 상세_26년'!$B:$B,'(계획)손익계산서 월별계획'!$B44)</x:f>
        <x:v>31483182.408869047</x:v>
      </x:c>
    </x:row>
    <x:row r="45" spans="2:16" ht="13.5">
      <x:c r="B45" s="68" t="s">
        <x:v>36</x:v>
      </x:c>
      <x:c r="C45" s="241">
        <x:f t="shared" si="10"/>
        <x:v>342482677.94829714</x:v>
      </x:c>
      <x:c r="D45" s="241"/>
      <x:c r="E45" s="202">
        <x:f>SUMIFS('(계획)비용계획 상세_26년'!K:K,'(계획)비용계획 상세_26년'!$I:$I,'(계획)손익계산서 월별계획'!$B$35,'(계획)비용계획 상세_26년'!$B:$B,'(계획)손익계산서 월별계획'!$B45)</x:f>
        <x:v>28571640.845887918</x:v>
      </x:c>
      <x:c r="F45" s="202">
        <x:f>SUMIFS('(계획)비용계획 상세_26년'!L:L,'(계획)비용계획 상세_26년'!$I:$I,'(계획)손익계산서 월별계획'!$B$35,'(계획)비용계획 상세_26년'!$B:$B,'(계획)손익계산서 월별계획'!$B45)</x:f>
        <x:v>28571651.660420902</x:v>
      </x:c>
      <x:c r="G45" s="202">
        <x:f>SUMIFS('(계획)비용계획 상세_26년'!M:M,'(계획)비용계획 상세_26년'!$I:$I,'(계획)손익계산서 월별계획'!$B$35,'(계획)비용계획 상세_26년'!$B:$B,'(계획)손익계산서 월별계획'!$B45)</x:f>
        <x:v>28571651.606118698</x:v>
      </x:c>
      <x:c r="H45" s="202">
        <x:f>SUMIFS('(계획)비용계획 상세_26년'!N:N,'(계획)비용계획 상세_26년'!$I:$I,'(계획)손익계산서 월별계획'!$B$35,'(계획)비용계획 상세_26년'!$B:$B,'(계획)손익계산서 월별계획'!$B45)</x:f>
        <x:v>28571651.714723103</x:v>
      </x:c>
      <x:c r="I45" s="202">
        <x:f>SUMIFS('(계획)비용계획 상세_26년'!O:O,'(계획)비용계획 상세_26년'!$I:$I,'(계획)손익계산서 월별계획'!$B$35,'(계획)비용계획 상세_26년'!$B:$B,'(계획)손익계산서 월별계획'!$B45)</x:f>
        <x:v>28571651.660420902</x:v>
      </x:c>
      <x:c r="J45" s="202">
        <x:f>SUMIFS('(계획)비용계획 상세_26년'!P:P,'(계획)비용계획 상세_26년'!$I:$I,'(계획)손익계산서 월별계획'!$B$35,'(계획)비용계획 상세_26년'!$B:$B,'(계획)손익계산서 월별계획'!$B45)</x:f>
        <x:v>28571651.4975143</x:v>
      </x:c>
      <x:c r="K45" s="202">
        <x:f>SUMIFS('(계획)비용계획 상세_26년'!Q:Q,'(계획)비용계획 상세_26년'!$I:$I,'(계획)손익계산서 월별계획'!$B$35,'(계획)비용계획 상세_26년'!$B:$B,'(계획)손익계산서 월별계획'!$B45)</x:f>
        <x:v>28571651.660420902</x:v>
      </x:c>
      <x:c r="L45" s="202">
        <x:f>SUMIFS('(계획)비용계획 상세_26년'!R:R,'(계획)비용계획 상세_26년'!$I:$I,'(계획)손익계산서 월별계획'!$B$35,'(계획)비용계획 상세_26년'!$B:$B,'(계획)손익계산서 월별계획'!$B45)</x:f>
        <x:v>28571651.877629701</x:v>
      </x:c>
      <x:c r="M45" s="202">
        <x:f>SUMIFS('(계획)비용계획 상세_26년'!S:S,'(계획)비용계획 상세_26년'!$I:$I,'(계획)손익계산서 월별계획'!$B$35,'(계획)비용계획 상세_26년'!$B:$B,'(계획)손익계산서 월별계획'!$B45)</x:f>
        <x:v>28554139.09271463</x:v>
      </x:c>
      <x:c r="N45" s="202">
        <x:f>SUMIFS('(계획)비용계획 상세_26년'!T:T,'(계획)비용계획 상세_26년'!$I:$I,'(계획)손익계산서 월별계획'!$B$35,'(계획)비용계획 상세_26년'!$B:$B,'(계획)손익계산서 월별계획'!$B45)</x:f>
        <x:v>28554122.147016834</x:v>
      </x:c>
      <x:c r="O45" s="202">
        <x:f>SUMIFS('(계획)비용계획 상세_26년'!U:U,'(계획)비용계획 상세_26년'!$I:$I,'(계획)손익계산서 월별계획'!$B$35,'(계획)비용계획 상세_26년'!$B:$B,'(계획)손익계산서 월별계획'!$B45)</x:f>
        <x:v>28400607.147016834</x:v>
      </x:c>
      <x:c r="P45" s="202">
        <x:f>SUMIFS('(계획)비용계획 상세_26년'!V:V,'(계획)비용계획 상세_26년'!$I:$I,'(계획)손익계산서 월별계획'!$B$35,'(계획)비용계획 상세_26년'!$B:$B,'(계획)손익계산서 월별계획'!$B45)</x:f>
        <x:v>28400607.038412433</x:v>
      </x:c>
    </x:row>
    <x:row r="46" spans="2:16" ht="13.5">
      <x:c r="B46" s="68" t="s">
        <x:v>45</x:v>
      </x:c>
      <x:c r="C46" s="241">
        <x:f t="shared" si="10"/>
        <x:v>330000000</x:v>
      </x:c>
      <x:c r="D46" s="241"/>
      <x:c r="E46" s="202">
        <x:f>SUMIFS('(계획)비용계획 상세_26년'!K:K,'(계획)비용계획 상세_26년'!$I:$I,'(계획)손익계산서 월별계획'!$B$35,'(계획)비용계획 상세_26년'!$B:$B,'(계획)손익계산서 월별계획'!$B46)</x:f>
        <x:v>62000000</x:v>
      </x:c>
      <x:c r="F46" s="202">
        <x:f>SUMIFS('(계획)비용계획 상세_26년'!L:L,'(계획)비용계획 상세_26년'!$I:$I,'(계획)손익계산서 월별계획'!$B$35,'(계획)비용계획 상세_26년'!$B:$B,'(계획)손익계산서 월별계획'!$B46)</x:f>
        <x:v>62000000</x:v>
      </x:c>
      <x:c r="G46" s="202">
        <x:f>SUMIFS('(계획)비용계획 상세_26년'!M:M,'(계획)비용계획 상세_26년'!$I:$I,'(계획)손익계산서 월별계획'!$B$35,'(계획)비용계획 상세_26년'!$B:$B,'(계획)손익계산서 월별계획'!$B46)</x:f>
        <x:v>8000000</x:v>
      </x:c>
      <x:c r="H46" s="202">
        <x:f>SUMIFS('(계획)비용계획 상세_26년'!N:N,'(계획)비용계획 상세_26년'!$I:$I,'(계획)손익계산서 월별계획'!$B$35,'(계획)비용계획 상세_26년'!$B:$B,'(계획)손익계산서 월별계획'!$B46)</x:f>
        <x:v>22000000</x:v>
      </x:c>
      <x:c r="I46" s="202">
        <x:f>SUMIFS('(계획)비용계획 상세_26년'!O:O,'(계획)비용계획 상세_26년'!$I:$I,'(계획)손익계산서 월별계획'!$B$35,'(계획)비용계획 상세_26년'!$B:$B,'(계획)손익계산서 월별계획'!$B46)</x:f>
        <x:v>22000000</x:v>
      </x:c>
      <x:c r="J46" s="202">
        <x:f>SUMIFS('(계획)비용계획 상세_26년'!P:P,'(계획)비용계획 상세_26년'!$I:$I,'(계획)손익계산서 월별계획'!$B$35,'(계획)비용계획 상세_26년'!$B:$B,'(계획)손익계산서 월별계획'!$B46)</x:f>
        <x:v>22000000</x:v>
      </x:c>
      <x:c r="K46" s="202">
        <x:f>SUMIFS('(계획)비용계획 상세_26년'!Q:Q,'(계획)비용계획 상세_26년'!$I:$I,'(계획)손익계산서 월별계획'!$B$35,'(계획)비용계획 상세_26년'!$B:$B,'(계획)손익계산서 월별계획'!$B46)</x:f>
        <x:v>22000000</x:v>
      </x:c>
      <x:c r="L46" s="202">
        <x:f>SUMIFS('(계획)비용계획 상세_26년'!R:R,'(계획)비용계획 상세_26년'!$I:$I,'(계획)손익계산서 월별계획'!$B$35,'(계획)비용계획 상세_26년'!$B:$B,'(계획)손익계산서 월별계획'!$B46)</x:f>
        <x:v>22000000</x:v>
      </x:c>
      <x:c r="M46" s="202">
        <x:f>SUMIFS('(계획)비용계획 상세_26년'!S:S,'(계획)비용계획 상세_26년'!$I:$I,'(계획)손익계산서 월별계획'!$B$35,'(계획)비용계획 상세_26년'!$B:$B,'(계획)손익계산서 월별계획'!$B46)</x:f>
        <x:v>22000000</x:v>
      </x:c>
      <x:c r="N46" s="202">
        <x:f>SUMIFS('(계획)비용계획 상세_26년'!T:T,'(계획)비용계획 상세_26년'!$I:$I,'(계획)손익계산서 월별계획'!$B$35,'(계획)비용계획 상세_26년'!$B:$B,'(계획)손익계산서 월별계획'!$B46)</x:f>
        <x:v>22000000</x:v>
      </x:c>
      <x:c r="O46" s="202">
        <x:f>SUMIFS('(계획)비용계획 상세_26년'!U:U,'(계획)비용계획 상세_26년'!$I:$I,'(계획)손익계산서 월별계획'!$B$35,'(계획)비용계획 상세_26년'!$B:$B,'(계획)손익계산서 월별계획'!$B46)</x:f>
        <x:v>22000000</x:v>
      </x:c>
      <x:c r="P46" s="202">
        <x:f>SUMIFS('(계획)비용계획 상세_26년'!V:V,'(계획)비용계획 상세_26년'!$I:$I,'(계획)손익계산서 월별계획'!$B$35,'(계획)비용계획 상세_26년'!$B:$B,'(계획)손익계산서 월별계획'!$B46)</x:f>
        <x:v>22000000</x:v>
      </x:c>
    </x:row>
    <x:row r="47" spans="2:16" ht="13.5">
      <x:c r="B47" s="68" t="s">
        <x:v>46</x:v>
      </x:c>
      <x:c r="C47" s="241">
        <x:f t="shared" si="10"/>
        <x:v>0</x:v>
      </x:c>
      <x:c r="D47" s="241"/>
      <x:c r="E47" s="202">
        <x:f>SUMIFS('(계획)비용계획 상세_26년'!K:K,'(계획)비용계획 상세_26년'!$I:$I,'(계획)손익계산서 월별계획'!$B$35,'(계획)비용계획 상세_26년'!$B:$B,'(계획)손익계산서 월별계획'!$B47)</x:f>
        <x:v>0</x:v>
      </x:c>
      <x:c r="F47" s="202">
        <x:f>SUMIFS('(계획)비용계획 상세_26년'!L:L,'(계획)비용계획 상세_26년'!$I:$I,'(계획)손익계산서 월별계획'!$B$35,'(계획)비용계획 상세_26년'!$B:$B,'(계획)손익계산서 월별계획'!$B47)</x:f>
        <x:v>0</x:v>
      </x:c>
      <x:c r="G47" s="202">
        <x:f>SUMIFS('(계획)비용계획 상세_26년'!M:M,'(계획)비용계획 상세_26년'!$I:$I,'(계획)손익계산서 월별계획'!$B$35,'(계획)비용계획 상세_26년'!$B:$B,'(계획)손익계산서 월별계획'!$B47)</x:f>
        <x:v>0</x:v>
      </x:c>
      <x:c r="H47" s="202">
        <x:f>SUMIFS('(계획)비용계획 상세_26년'!N:N,'(계획)비용계획 상세_26년'!$I:$I,'(계획)손익계산서 월별계획'!$B$35,'(계획)비용계획 상세_26년'!$B:$B,'(계획)손익계산서 월별계획'!$B47)</x:f>
        <x:v>0</x:v>
      </x:c>
      <x:c r="I47" s="202">
        <x:f>SUMIFS('(계획)비용계획 상세_26년'!O:O,'(계획)비용계획 상세_26년'!$I:$I,'(계획)손익계산서 월별계획'!$B$35,'(계획)비용계획 상세_26년'!$B:$B,'(계획)손익계산서 월별계획'!$B47)</x:f>
        <x:v>0</x:v>
      </x:c>
      <x:c r="J47" s="202">
        <x:f>SUMIFS('(계획)비용계획 상세_26년'!P:P,'(계획)비용계획 상세_26년'!$I:$I,'(계획)손익계산서 월별계획'!$B$35,'(계획)비용계획 상세_26년'!$B:$B,'(계획)손익계산서 월별계획'!$B47)</x:f>
        <x:v>0</x:v>
      </x:c>
      <x:c r="K47" s="202">
        <x:f>SUMIFS('(계획)비용계획 상세_26년'!Q:Q,'(계획)비용계획 상세_26년'!$I:$I,'(계획)손익계산서 월별계획'!$B$35,'(계획)비용계획 상세_26년'!$B:$B,'(계획)손익계산서 월별계획'!$B47)</x:f>
        <x:v>0</x:v>
      </x:c>
      <x:c r="L47" s="202">
        <x:f>SUMIFS('(계획)비용계획 상세_26년'!R:R,'(계획)비용계획 상세_26년'!$I:$I,'(계획)손익계산서 월별계획'!$B$35,'(계획)비용계획 상세_26년'!$B:$B,'(계획)손익계산서 월별계획'!$B47)</x:f>
        <x:v>0</x:v>
      </x:c>
      <x:c r="M47" s="202">
        <x:f>SUMIFS('(계획)비용계획 상세_26년'!S:S,'(계획)비용계획 상세_26년'!$I:$I,'(계획)손익계산서 월별계획'!$B$35,'(계획)비용계획 상세_26년'!$B:$B,'(계획)손익계산서 월별계획'!$B47)</x:f>
        <x:v>0</x:v>
      </x:c>
      <x:c r="N47" s="202">
        <x:f>SUMIFS('(계획)비용계획 상세_26년'!T:T,'(계획)비용계획 상세_26년'!$I:$I,'(계획)손익계산서 월별계획'!$B$35,'(계획)비용계획 상세_26년'!$B:$B,'(계획)손익계산서 월별계획'!$B47)</x:f>
        <x:v>0</x:v>
      </x:c>
      <x:c r="O47" s="202">
        <x:f>SUMIFS('(계획)비용계획 상세_26년'!U:U,'(계획)비용계획 상세_26년'!$I:$I,'(계획)손익계산서 월별계획'!$B$35,'(계획)비용계획 상세_26년'!$B:$B,'(계획)손익계산서 월별계획'!$B47)</x:f>
        <x:v>0</x:v>
      </x:c>
      <x:c r="P47" s="202">
        <x:f>SUMIFS('(계획)비용계획 상세_26년'!V:V,'(계획)비용계획 상세_26년'!$I:$I,'(계획)손익계산서 월별계획'!$B$35,'(계획)비용계획 상세_26년'!$B:$B,'(계획)손익계산서 월별계획'!$B47)</x:f>
        <x:v>0</x:v>
      </x:c>
    </x:row>
    <x:row r="48" spans="2:16" ht="13.5">
      <x:c r="B48" s="68" t="s">
        <x:v>47</x:v>
      </x:c>
      <x:c r="C48" s="241">
        <x:f t="shared" si="10"/>
        <x:v>0</x:v>
      </x:c>
      <x:c r="D48" s="241"/>
      <x:c r="E48" s="202">
        <x:f>SUMIFS('(계획)비용계획 상세_26년'!K:K,'(계획)비용계획 상세_26년'!$I:$I,'(계획)손익계산서 월별계획'!$B$35,'(계획)비용계획 상세_26년'!$B:$B,'(계획)손익계산서 월별계획'!$B48)</x:f>
        <x:v>0</x:v>
      </x:c>
      <x:c r="F48" s="202">
        <x:f>SUMIFS('(계획)비용계획 상세_26년'!L:L,'(계획)비용계획 상세_26년'!$I:$I,'(계획)손익계산서 월별계획'!$B$35,'(계획)비용계획 상세_26년'!$B:$B,'(계획)손익계산서 월별계획'!$B48)</x:f>
        <x:v>0</x:v>
      </x:c>
      <x:c r="G48" s="202">
        <x:f>SUMIFS('(계획)비용계획 상세_26년'!M:M,'(계획)비용계획 상세_26년'!$I:$I,'(계획)손익계산서 월별계획'!$B$35,'(계획)비용계획 상세_26년'!$B:$B,'(계획)손익계산서 월별계획'!$B48)</x:f>
        <x:v>0</x:v>
      </x:c>
      <x:c r="H48" s="202">
        <x:f>SUMIFS('(계획)비용계획 상세_26년'!N:N,'(계획)비용계획 상세_26년'!$I:$I,'(계획)손익계산서 월별계획'!$B$35,'(계획)비용계획 상세_26년'!$B:$B,'(계획)손익계산서 월별계획'!$B48)</x:f>
        <x:v>0</x:v>
      </x:c>
      <x:c r="I48" s="202">
        <x:f>SUMIFS('(계획)비용계획 상세_26년'!O:O,'(계획)비용계획 상세_26년'!$I:$I,'(계획)손익계산서 월별계획'!$B$35,'(계획)비용계획 상세_26년'!$B:$B,'(계획)손익계산서 월별계획'!$B48)</x:f>
        <x:v>0</x:v>
      </x:c>
      <x:c r="J48" s="202">
        <x:f>SUMIFS('(계획)비용계획 상세_26년'!P:P,'(계획)비용계획 상세_26년'!$I:$I,'(계획)손익계산서 월별계획'!$B$35,'(계획)비용계획 상세_26년'!$B:$B,'(계획)손익계산서 월별계획'!$B48)</x:f>
        <x:v>0</x:v>
      </x:c>
      <x:c r="K48" s="202">
        <x:f>SUMIFS('(계획)비용계획 상세_26년'!Q:Q,'(계획)비용계획 상세_26년'!$I:$I,'(계획)손익계산서 월별계획'!$B$35,'(계획)비용계획 상세_26년'!$B:$B,'(계획)손익계산서 월별계획'!$B48)</x:f>
        <x:v>0</x:v>
      </x:c>
      <x:c r="L48" s="202">
        <x:f>SUMIFS('(계획)비용계획 상세_26년'!R:R,'(계획)비용계획 상세_26년'!$I:$I,'(계획)손익계산서 월별계획'!$B$35,'(계획)비용계획 상세_26년'!$B:$B,'(계획)손익계산서 월별계획'!$B48)</x:f>
        <x:v>0</x:v>
      </x:c>
      <x:c r="M48" s="202">
        <x:f>SUMIFS('(계획)비용계획 상세_26년'!S:S,'(계획)비용계획 상세_26년'!$I:$I,'(계획)손익계산서 월별계획'!$B$35,'(계획)비용계획 상세_26년'!$B:$B,'(계획)손익계산서 월별계획'!$B48)</x:f>
        <x:v>0</x:v>
      </x:c>
      <x:c r="N48" s="202">
        <x:f>SUMIFS('(계획)비용계획 상세_26년'!T:T,'(계획)비용계획 상세_26년'!$I:$I,'(계획)손익계산서 월별계획'!$B$35,'(계획)비용계획 상세_26년'!$B:$B,'(계획)손익계산서 월별계획'!$B48)</x:f>
        <x:v>0</x:v>
      </x:c>
      <x:c r="O48" s="202">
        <x:f>SUMIFS('(계획)비용계획 상세_26년'!U:U,'(계획)비용계획 상세_26년'!$I:$I,'(계획)손익계산서 월별계획'!$B$35,'(계획)비용계획 상세_26년'!$B:$B,'(계획)손익계산서 월별계획'!$B48)</x:f>
        <x:v>0</x:v>
      </x:c>
      <x:c r="P48" s="202">
        <x:f>SUMIFS('(계획)비용계획 상세_26년'!V:V,'(계획)비용계획 상세_26년'!$I:$I,'(계획)손익계산서 월별계획'!$B$35,'(계획)비용계획 상세_26년'!$B:$B,'(계획)손익계산서 월별계획'!$B48)</x:f>
        <x:v>0</x:v>
      </x:c>
    </x:row>
    <x:row r="49" spans="2:16" ht="13.5">
      <x:c r="B49" s="68" t="s">
        <x:v>48</x:v>
      </x:c>
      <x:c r="C49" s="241">
        <x:f t="shared" si="10"/>
        <x:v>145185638.15941823</x:v>
      </x:c>
      <x:c r="D49" s="241"/>
      <x:c r="E49" s="202">
        <x:f>SUMIFS('(계획)비용계획 상세_26년'!K:K,'(계획)비용계획 상세_26년'!$I:$I,'(계획)손익계산서 월별계획'!$B$35,'(계획)비용계획 상세_26년'!$B:$B,'(계획)손익계산서 월별계획'!$B49)</x:f>
        <x:v>10654548.883285508</x:v>
      </x:c>
      <x:c r="F49" s="202">
        <x:f>SUMIFS('(계획)비용계획 상세_26년'!L:L,'(계획)비용계획 상세_26년'!$I:$I,'(계획)손익계산서 월별계획'!$B$35,'(계획)비용계획 상세_26년'!$B:$B,'(계획)손익계산서 월별계획'!$B49)</x:f>
        <x:v>10115871.07153186</x:v>
      </x:c>
      <x:c r="G49" s="202">
        <x:f>SUMIFS('(계획)비용계획 상세_26년'!M:M,'(계획)비용계획 상세_26년'!$I:$I,'(계획)손익계산서 월별계획'!$B$35,'(계획)비용계획 상세_26년'!$B:$B,'(계획)손익계산서 월별계획'!$B49)</x:f>
        <x:v>15768247.683607031</x:v>
      </x:c>
      <x:c r="H49" s="202">
        <x:f>SUMIFS('(계획)비용계획 상세_26년'!N:N,'(계획)비용계획 상세_26년'!$I:$I,'(계획)손익계산서 월별계획'!$B$35,'(계획)비용계획 상세_26년'!$B:$B,'(계획)손익계산서 월별계획'!$B49)</x:f>
        <x:v>10744419.02224239</x:v>
      </x:c>
      <x:c r="I49" s="202">
        <x:f>SUMIFS('(계획)비용계획 상세_26년'!O:O,'(계획)비용계획 상세_26년'!$I:$I,'(계획)손익계산서 월별계획'!$B$35,'(계획)비용계획 상세_26년'!$B:$B,'(계획)손익계산서 월별계획'!$B49)</x:f>
        <x:v>10626999.092642922</x:v>
      </x:c>
      <x:c r="J49" s="202">
        <x:f>SUMIFS('(계획)비용계획 상세_26년'!P:P,'(계획)비용계획 상세_26년'!$I:$I,'(계획)손익계산서 월별계획'!$B$35,'(계획)비용계획 상세_26년'!$B:$B,'(계획)손익계산서 월별계획'!$B49)</x:f>
        <x:v>14649695.620201061</x:v>
      </x:c>
      <x:c r="K49" s="202">
        <x:f>SUMIFS('(계획)비용계획 상세_26년'!Q:Q,'(계획)비용계획 상세_26년'!$I:$I,'(계획)손익계산서 월별계획'!$B$35,'(계획)비용계획 상세_26년'!$B:$B,'(계획)손익계산서 월별계획'!$B49)</x:f>
        <x:v>11862896.056447778</x:v>
      </x:c>
      <x:c r="L49" s="202">
        <x:f>SUMIFS('(계획)비용계획 상세_26년'!R:R,'(계획)비용계획 상세_26년'!$I:$I,'(계획)손익계산서 월별계획'!$B$35,'(계획)비용계획 상세_26년'!$B:$B,'(계획)손익계산서 월별계획'!$B49)</x:f>
        <x:v>10034417.773383629</x:v>
      </x:c>
      <x:c r="M49" s="202">
        <x:f>SUMIFS('(계획)비용계획 상세_26년'!S:S,'(계획)비용계획 상세_26년'!$I:$I,'(계획)손익계산서 월별계획'!$B$35,'(계획)비용계획 상세_26년'!$B:$B,'(계획)손익계산서 월별계획'!$B49)</x:f>
        <x:v>12719129.203457791</x:v>
      </x:c>
      <x:c r="N49" s="202">
        <x:f>SUMIFS('(계획)비용계획 상세_26년'!T:T,'(계획)비용계획 상세_26년'!$I:$I,'(계획)손익계산서 월별계획'!$B$35,'(계획)비용계획 상세_26년'!$B:$B,'(계획)손익계산서 월별계획'!$B49)</x:f>
        <x:v>11083264.742539039</x:v>
      </x:c>
      <x:c r="O49" s="202">
        <x:f>SUMIFS('(계획)비용계획 상세_26년'!U:U,'(계획)비용계획 상세_26년'!$I:$I,'(계획)손익계산서 월별계획'!$B$35,'(계획)비용계획 상세_26년'!$B:$B,'(계획)손익계산서 월별계획'!$B49)</x:f>
        <x:v>12229333.727582337</x:v>
      </x:c>
      <x:c r="P49" s="202">
        <x:f>SUMIFS('(계획)비용계획 상세_26년'!V:V,'(계획)비용계획 상세_26년'!$I:$I,'(계획)손익계산서 월별계획'!$B$35,'(계획)비용계획 상세_26년'!$B:$B,'(계획)손익계산서 월별계획'!$B49)</x:f>
        <x:v>14696815.282496884</x:v>
      </x:c>
    </x:row>
    <x:row r="50" spans="2:16" ht="13.5">
      <x:c r="B50" s="68" t="s">
        <x:v>63</x:v>
      </x:c>
      <x:c r="C50" s="241">
        <x:f t="shared" si="10"/>
        <x:v>0</x:v>
      </x:c>
      <x:c r="D50" s="241"/>
      <x:c r="E50" s="202">
        <x:f>SUMIFS('(계획)비용계획 상세_26년'!K:K,'(계획)비용계획 상세_26년'!$I:$I,'(계획)손익계산서 월별계획'!$B$35,'(계획)비용계획 상세_26년'!$B:$B,'(계획)손익계산서 월별계획'!$B50)</x:f>
        <x:v>0</x:v>
      </x:c>
      <x:c r="F50" s="202">
        <x:f>SUMIFS('(계획)비용계획 상세_26년'!L:L,'(계획)비용계획 상세_26년'!$I:$I,'(계획)손익계산서 월별계획'!$B$35,'(계획)비용계획 상세_26년'!$B:$B,'(계획)손익계산서 월별계획'!$B50)</x:f>
        <x:v>0</x:v>
      </x:c>
      <x:c r="G50" s="202">
        <x:f>SUMIFS('(계획)비용계획 상세_26년'!M:M,'(계획)비용계획 상세_26년'!$I:$I,'(계획)손익계산서 월별계획'!$B$35,'(계획)비용계획 상세_26년'!$B:$B,'(계획)손익계산서 월별계획'!$B50)</x:f>
        <x:v>0</x:v>
      </x:c>
      <x:c r="H50" s="202">
        <x:f>SUMIFS('(계획)비용계획 상세_26년'!N:N,'(계획)비용계획 상세_26년'!$I:$I,'(계획)손익계산서 월별계획'!$B$35,'(계획)비용계획 상세_26년'!$B:$B,'(계획)손익계산서 월별계획'!$B50)</x:f>
        <x:v>0</x:v>
      </x:c>
      <x:c r="I50" s="202">
        <x:f>SUMIFS('(계획)비용계획 상세_26년'!O:O,'(계획)비용계획 상세_26년'!$I:$I,'(계획)손익계산서 월별계획'!$B$35,'(계획)비용계획 상세_26년'!$B:$B,'(계획)손익계산서 월별계획'!$B50)</x:f>
        <x:v>0</x:v>
      </x:c>
      <x:c r="J50" s="202">
        <x:f>SUMIFS('(계획)비용계획 상세_26년'!P:P,'(계획)비용계획 상세_26년'!$I:$I,'(계획)손익계산서 월별계획'!$B$35,'(계획)비용계획 상세_26년'!$B:$B,'(계획)손익계산서 월별계획'!$B50)</x:f>
        <x:v>0</x:v>
      </x:c>
      <x:c r="K50" s="202">
        <x:f>SUMIFS('(계획)비용계획 상세_26년'!Q:Q,'(계획)비용계획 상세_26년'!$I:$I,'(계획)손익계산서 월별계획'!$B$35,'(계획)비용계획 상세_26년'!$B:$B,'(계획)손익계산서 월별계획'!$B50)</x:f>
        <x:v>0</x:v>
      </x:c>
      <x:c r="L50" s="202">
        <x:f>SUMIFS('(계획)비용계획 상세_26년'!R:R,'(계획)비용계획 상세_26년'!$I:$I,'(계획)손익계산서 월별계획'!$B$35,'(계획)비용계획 상세_26년'!$B:$B,'(계획)손익계산서 월별계획'!$B50)</x:f>
        <x:v>0</x:v>
      </x:c>
      <x:c r="M50" s="202">
        <x:f>SUMIFS('(계획)비용계획 상세_26년'!S:S,'(계획)비용계획 상세_26년'!$I:$I,'(계획)손익계산서 월별계획'!$B$35,'(계획)비용계획 상세_26년'!$B:$B,'(계획)손익계산서 월별계획'!$B50)</x:f>
        <x:v>0</x:v>
      </x:c>
      <x:c r="N50" s="202">
        <x:f>SUMIFS('(계획)비용계획 상세_26년'!T:T,'(계획)비용계획 상세_26년'!$I:$I,'(계획)손익계산서 월별계획'!$B$35,'(계획)비용계획 상세_26년'!$B:$B,'(계획)손익계산서 월별계획'!$B50)</x:f>
        <x:v>0</x:v>
      </x:c>
      <x:c r="O50" s="202">
        <x:f>SUMIFS('(계획)비용계획 상세_26년'!U:U,'(계획)비용계획 상세_26년'!$I:$I,'(계획)손익계산서 월별계획'!$B$35,'(계획)비용계획 상세_26년'!$B:$B,'(계획)손익계산서 월별계획'!$B50)</x:f>
        <x:v>0</x:v>
      </x:c>
      <x:c r="P50" s="202">
        <x:f>SUMIFS('(계획)비용계획 상세_26년'!V:V,'(계획)비용계획 상세_26년'!$I:$I,'(계획)손익계산서 월별계획'!$B$35,'(계획)비용계획 상세_26년'!$B:$B,'(계획)손익계산서 월별계획'!$B50)</x:f>
        <x:v>0</x:v>
      </x:c>
    </x:row>
    <x:row r="51" spans="2:16" ht="13.5">
      <x:c r="B51" s="68" t="s">
        <x:v>64</x:v>
      </x:c>
      <x:c r="C51" s="241">
        <x:f t="shared" si="10"/>
        <x:v>0</x:v>
      </x:c>
      <x:c r="D51" s="241"/>
      <x:c r="E51" s="202">
        <x:f>SUMIFS('(계획)비용계획 상세_26년'!K:K,'(계획)비용계획 상세_26년'!$I:$I,'(계획)손익계산서 월별계획'!$B$35,'(계획)비용계획 상세_26년'!$B:$B,'(계획)손익계산서 월별계획'!$B51)</x:f>
        <x:v>0</x:v>
      </x:c>
      <x:c r="F51" s="202">
        <x:f>SUMIFS('(계획)비용계획 상세_26년'!L:L,'(계획)비용계획 상세_26년'!$I:$I,'(계획)손익계산서 월별계획'!$B$35,'(계획)비용계획 상세_26년'!$B:$B,'(계획)손익계산서 월별계획'!$B51)</x:f>
        <x:v>0</x:v>
      </x:c>
      <x:c r="G51" s="202">
        <x:f>SUMIFS('(계획)비용계획 상세_26년'!M:M,'(계획)비용계획 상세_26년'!$I:$I,'(계획)손익계산서 월별계획'!$B$35,'(계획)비용계획 상세_26년'!$B:$B,'(계획)손익계산서 월별계획'!$B51)</x:f>
        <x:v>0</x:v>
      </x:c>
      <x:c r="H51" s="202">
        <x:f>SUMIFS('(계획)비용계획 상세_26년'!N:N,'(계획)비용계획 상세_26년'!$I:$I,'(계획)손익계산서 월별계획'!$B$35,'(계획)비용계획 상세_26년'!$B:$B,'(계획)손익계산서 월별계획'!$B51)</x:f>
        <x:v>0</x:v>
      </x:c>
      <x:c r="I51" s="202">
        <x:f>SUMIFS('(계획)비용계획 상세_26년'!O:O,'(계획)비용계획 상세_26년'!$I:$I,'(계획)손익계산서 월별계획'!$B$35,'(계획)비용계획 상세_26년'!$B:$B,'(계획)손익계산서 월별계획'!$B51)</x:f>
        <x:v>0</x:v>
      </x:c>
      <x:c r="J51" s="202">
        <x:f>SUMIFS('(계획)비용계획 상세_26년'!P:P,'(계획)비용계획 상세_26년'!$I:$I,'(계획)손익계산서 월별계획'!$B$35,'(계획)비용계획 상세_26년'!$B:$B,'(계획)손익계산서 월별계획'!$B51)</x:f>
        <x:v>0</x:v>
      </x:c>
      <x:c r="K51" s="202">
        <x:f>SUMIFS('(계획)비용계획 상세_26년'!Q:Q,'(계획)비용계획 상세_26년'!$I:$I,'(계획)손익계산서 월별계획'!$B$35,'(계획)비용계획 상세_26년'!$B:$B,'(계획)손익계산서 월별계획'!$B51)</x:f>
        <x:v>0</x:v>
      </x:c>
      <x:c r="L51" s="202">
        <x:f>SUMIFS('(계획)비용계획 상세_26년'!R:R,'(계획)비용계획 상세_26년'!$I:$I,'(계획)손익계산서 월별계획'!$B$35,'(계획)비용계획 상세_26년'!$B:$B,'(계획)손익계산서 월별계획'!$B51)</x:f>
        <x:v>0</x:v>
      </x:c>
      <x:c r="M51" s="202">
        <x:f>SUMIFS('(계획)비용계획 상세_26년'!S:S,'(계획)비용계획 상세_26년'!$I:$I,'(계획)손익계산서 월별계획'!$B$35,'(계획)비용계획 상세_26년'!$B:$B,'(계획)손익계산서 월별계획'!$B51)</x:f>
        <x:v>0</x:v>
      </x:c>
      <x:c r="N51" s="202">
        <x:f>SUMIFS('(계획)비용계획 상세_26년'!T:T,'(계획)비용계획 상세_26년'!$I:$I,'(계획)손익계산서 월별계획'!$B$35,'(계획)비용계획 상세_26년'!$B:$B,'(계획)손익계산서 월별계획'!$B51)</x:f>
        <x:v>0</x:v>
      </x:c>
      <x:c r="O51" s="202">
        <x:f>SUMIFS('(계획)비용계획 상세_26년'!U:U,'(계획)비용계획 상세_26년'!$I:$I,'(계획)손익계산서 월별계획'!$B$35,'(계획)비용계획 상세_26년'!$B:$B,'(계획)손익계산서 월별계획'!$B51)</x:f>
        <x:v>0</x:v>
      </x:c>
      <x:c r="P51" s="202">
        <x:f>SUMIFS('(계획)비용계획 상세_26년'!V:V,'(계획)비용계획 상세_26년'!$I:$I,'(계획)손익계산서 월별계획'!$B$35,'(계획)비용계획 상세_26년'!$B:$B,'(계획)손익계산서 월별계획'!$B51)</x:f>
        <x:v>0</x:v>
      </x:c>
    </x:row>
    <x:row r="52" spans="2:16" ht="9.6" customHeight="1">
      <x:c r="B52" s="27"/>
      <x:c r="C52" s="14"/>
      <x:c r="D52" s="14"/>
      <x:c r="E52" s="187"/>
      <x:c r="F52" s="187"/>
      <x:c r="G52" s="187"/>
      <x:c r="H52" s="187"/>
      <x:c r="I52" s="187"/>
      <x:c r="J52" s="187"/>
      <x:c r="K52" s="187"/>
      <x:c r="L52" s="187"/>
      <x:c r="M52" s="187"/>
      <x:c r="N52" s="187"/>
      <x:c r="O52" s="187"/>
      <x:c r="P52" s="187"/>
    </x:row>
    <x:row r="53" spans="2:16" ht="16.5">
      <x:c r="B53" s="12" t="s">
        <x:v>457</x:v>
      </x:c>
      <x:c r="C53" s="28">
        <x:f>SUM(E53:P53)</x:f>
        <x:v>5573957648.9719391</x:v>
      </x:c>
      <x:c r="D53" s="28"/>
      <x:c r="E53" s="29">
        <x:f t="shared" ref="E53:O53" si="11">SUM(E54:E67)</x:f>
        <x:v>494762129.73469526</x:v>
      </x:c>
      <x:c r="F53" s="29">
        <x:f t="shared" si="11"/>
        <x:v>556935915.51944447</x:v>
      </x:c>
      <x:c r="G53" s="29">
        <x:f t="shared" si="11"/>
        <x:v>602334879.80279922</x:v>
      </x:c>
      <x:c r="H53" s="29">
        <x:f t="shared" si="11"/>
        <x:v>451849622.95644444</x:v>
      </x:c>
      <x:c r="I53" s="29">
        <x:f t="shared" si="11"/>
        <x:v>423246736.95644438</x:v>
      </x:c>
      <x:c r="J53" s="29">
        <x:f t="shared" si="11"/>
        <x:v>431528389.95644444</x:v>
      </x:c>
      <x:c r="K53" s="29">
        <x:f t="shared" si="11"/>
        <x:v>491016248.95644444</x:v>
      </x:c>
      <x:c r="L53" s="29">
        <x:f t="shared" si="11"/>
        <x:v>395878210.95644444</x:v>
      </x:c>
      <x:c r="M53" s="29">
        <x:f t="shared" si="11"/>
        <x:v>389270058.95644444</x:v>
      </x:c>
      <x:c r="N53" s="29">
        <x:f t="shared" si="11"/>
        <x:v>429043578.95644444</x:v>
      </x:c>
      <x:c r="O53" s="29">
        <x:f t="shared" si="11"/>
        <x:v>449862290.95644444</x:v>
      </x:c>
      <x:c r="P53" s="29">
        <x:f>SUM(P54:P67)</x:f>
        <x:v>458229585.26344442</x:v>
      </x:c>
    </x:row>
    <x:row r="54" spans="2:16" ht="13.5">
      <x:c r="B54" s="68" t="s">
        <x:v>42</x:v>
      </x:c>
      <x:c r="C54" s="241">
        <x:f t="shared" ref="C54:C67" si="12">SUM(E54:P54)</x:f>
        <x:v>3156013165.4410572</x:v>
      </x:c>
      <x:c r="D54" s="241"/>
      <x:c r="E54" s="202">
        <x:f>SUMIFS('(계획)비용계획 상세_26년'!K:K,'(계획)비용계획 상세_26년'!$I:$I,'(계획)손익계산서 월별계획'!$B$53,'(계획)비용계획 상세_26년'!$B:$B,'(계획)손익계산서 월별계획'!$B54)</x:f>
        <x:v>235571086.21525085</x:v>
      </x:c>
      <x:c r="F54" s="202">
        <x:f>SUMIFS('(계획)비용계획 상세_26년'!L:L,'(계획)비용계획 상세_26년'!$I:$I,'(계획)손익계산서 월별계획'!$B$53,'(계획)비용계획 상세_26년'!$B:$B,'(계획)손익계산서 월별계획'!$B54)</x:f>
        <x:v>297382362</x:v>
      </x:c>
      <x:c r="G54" s="202">
        <x:f>SUMIFS('(계획)비용계획 상세_26년'!M:M,'(계획)비용계획 상세_26년'!$I:$I,'(계획)손익계산서 월별계획'!$B$53,'(계획)비용계획 상세_26년'!$B:$B,'(계획)손익계산서 월별계획'!$B54)</x:f>
        <x:v>250220213.22580644</x:v>
      </x:c>
      <x:c r="H54" s="202">
        <x:f>SUMIFS('(계획)비용계획 상세_26년'!N:N,'(계획)비용계획 상세_26년'!$I:$I,'(계획)손익계산서 월별계획'!$B$53,'(계획)비용계획 상세_26년'!$B:$B,'(계획)손익계산서 월별계획'!$B54)</x:f>
        <x:v>273905336</x:v>
      </x:c>
      <x:c r="I54" s="202">
        <x:f>SUMIFS('(계획)비용계획 상세_26년'!O:O,'(계획)비용계획 상세_26년'!$I:$I,'(계획)손익계산서 월별계획'!$B$53,'(계획)비용계획 상세_26년'!$B:$B,'(계획)손익계산서 월별계획'!$B54)</x:f>
        <x:v>219286995</x:v>
      </x:c>
      <x:c r="J54" s="202">
        <x:f>SUMIFS('(계획)비용계획 상세_26년'!P:P,'(계획)비용계획 상세_26년'!$I:$I,'(계획)손익계산서 월별계획'!$B$53,'(계획)비용계획 상세_26년'!$B:$B,'(계획)손익계산서 월별계획'!$B54)</x:f>
        <x:v>277270933</x:v>
      </x:c>
      <x:c r="K54" s="202">
        <x:f>SUMIFS('(계획)비용계획 상세_26년'!Q:Q,'(계획)비용계획 상세_26년'!$I:$I,'(계획)손익계산서 월별계획'!$B$53,'(계획)비용계획 상세_26년'!$B:$B,'(계획)손익계산서 월별계획'!$B54)</x:f>
        <x:v>255298162</x:v>
      </x:c>
      <x:c r="L54" s="202">
        <x:f>SUMIFS('(계획)비용계획 상세_26년'!R:R,'(계획)비용계획 상세_26년'!$I:$I,'(계획)손익계산서 월별계획'!$B$53,'(계획)비용계획 상세_26년'!$B:$B,'(계획)손익계산서 월별계획'!$B54)</x:f>
        <x:v>244681140</x:v>
      </x:c>
      <x:c r="M54" s="202">
        <x:f>SUMIFS('(계획)비용계획 상세_26년'!S:S,'(계획)비용계획 상세_26년'!$I:$I,'(계획)손익계산서 월별계획'!$B$53,'(계획)비용계획 상세_26년'!$B:$B,'(계획)손익계산서 월별계획'!$B54)</x:f>
        <x:v>244311932</x:v>
      </x:c>
      <x:c r="N54" s="202">
        <x:f>SUMIFS('(계획)비용계획 상세_26년'!T:T,'(계획)비용계획 상세_26년'!$I:$I,'(계획)손익계산서 월별계획'!$B$53,'(계획)비용계획 상세_26년'!$B:$B,'(계획)손익계산서 월별계획'!$B54)</x:f>
        <x:v>288005222</x:v>
      </x:c>
      <x:c r="O54" s="202">
        <x:f>SUMIFS('(계획)비용계획 상세_26년'!U:U,'(계획)비용계획 상세_26년'!$I:$I,'(계획)손익계산서 월별계획'!$B$53,'(계획)비용계획 상세_26년'!$B:$B,'(계획)손익계산서 월별계획'!$B54)</x:f>
        <x:v>281683934</x:v>
      </x:c>
      <x:c r="P54" s="202">
        <x:f>SUMIFS('(계획)비용계획 상세_26년'!V:V,'(계획)비용계획 상세_26년'!$I:$I,'(계획)손익계산서 월별계획'!$B$53,'(계획)비용계획 상세_26년'!$B:$B,'(계획)손익계산서 월별계획'!$B54)</x:f>
        <x:v>288395850</x:v>
      </x:c>
    </x:row>
    <x:row r="55" spans="2:16" ht="13.5">
      <x:c r="B55" s="68" t="s">
        <x:v>43</x:v>
      </x:c>
      <x:c r="C55" s="241">
        <x:f t="shared" si="12"/>
        <x:v>46515370</x:v>
      </x:c>
      <x:c r="D55" s="241"/>
      <x:c r="E55" s="202">
        <x:f>SUMIFS('(계획)비용계획 상세_26년'!K:K,'(계획)비용계획 상세_26년'!$I:$I,'(계획)손익계산서 월별계획'!$B$53,'(계획)비용계획 상세_26년'!$B:$B,'(계획)손익계산서 월별계획'!$B55)</x:f>
        <x:v>3187947.5</x:v>
      </x:c>
      <x:c r="F55" s="202">
        <x:f>SUMIFS('(계획)비용계획 상세_26년'!L:L,'(계획)비용계획 상세_26년'!$I:$I,'(계획)손익계산서 월별계획'!$B$53,'(계획)비용계획 상세_26년'!$B:$B,'(계획)손익계산서 월별계획'!$B55)</x:f>
        <x:v>5187947.5</x:v>
      </x:c>
      <x:c r="G55" s="202">
        <x:f>SUMIFS('(계획)비용계획 상세_26년'!M:M,'(계획)비용계획 상세_26년'!$I:$I,'(계획)손익계산서 월별계획'!$B$53,'(계획)비용계획 상세_26년'!$B:$B,'(계획)손익계산서 월별계획'!$B55)</x:f>
        <x:v>3187947.5</x:v>
      </x:c>
      <x:c r="H55" s="202">
        <x:f>SUMIFS('(계획)비용계획 상세_26년'!N:N,'(계획)비용계획 상세_26년'!$I:$I,'(계획)손익계산서 월별계획'!$B$53,'(계획)비용계획 상세_26년'!$B:$B,'(계획)손익계산서 월별계획'!$B55)</x:f>
        <x:v>3187947.5</x:v>
      </x:c>
      <x:c r="I55" s="202">
        <x:f>SUMIFS('(계획)비용계획 상세_26년'!O:O,'(계획)비용계획 상세_26년'!$I:$I,'(계획)손익계산서 월별계획'!$B$53,'(계획)비용계획 상세_26년'!$B:$B,'(계획)손익계산서 월별계획'!$B55)</x:f>
        <x:v>5187947.5</x:v>
      </x:c>
      <x:c r="J55" s="202">
        <x:f>SUMIFS('(계획)비용계획 상세_26년'!P:P,'(계획)비용계획 상세_26년'!$I:$I,'(계획)손익계산서 월별계획'!$B$53,'(계획)비용계획 상세_26년'!$B:$B,'(계획)손익계산서 월별계획'!$B55)</x:f>
        <x:v>4647947.5</x:v>
      </x:c>
      <x:c r="K55" s="202">
        <x:f>SUMIFS('(계획)비용계획 상세_26년'!Q:Q,'(계획)비용계획 상세_26년'!$I:$I,'(계획)손익계산서 월별계획'!$B$53,'(계획)비용계획 상세_26년'!$B:$B,'(계획)손익계산서 월별계획'!$B55)</x:f>
        <x:v>2987947.5</x:v>
      </x:c>
      <x:c r="L55" s="202">
        <x:f>SUMIFS('(계획)비용계획 상세_26년'!R:R,'(계획)비용계획 상세_26년'!$I:$I,'(계획)손익계산서 월별계획'!$B$53,'(계획)비용계획 상세_26년'!$B:$B,'(계획)손익계산서 월별계획'!$B55)</x:f>
        <x:v>4987947.5</x:v>
      </x:c>
      <x:c r="M55" s="202">
        <x:f>SUMIFS('(계획)비용계획 상세_26년'!S:S,'(계획)비용계획 상세_26년'!$I:$I,'(계획)손익계산서 월별계획'!$B$53,'(계획)비용계획 상세_26년'!$B:$B,'(계획)손익계산서 월별계획'!$B55)</x:f>
        <x:v>2987947.5</x:v>
      </x:c>
      <x:c r="N55" s="202">
        <x:f>SUMIFS('(계획)비용계획 상세_26년'!T:T,'(계획)비용계획 상세_26년'!$I:$I,'(계획)손익계산서 월별계획'!$B$53,'(계획)비용계획 상세_26년'!$B:$B,'(계획)손익계산서 월별계획'!$B55)</x:f>
        <x:v>2987947.5</x:v>
      </x:c>
      <x:c r="O55" s="202">
        <x:f>SUMIFS('(계획)비용계획 상세_26년'!U:U,'(계획)비용계획 상세_26년'!$I:$I,'(계획)손익계산서 월별계획'!$B$53,'(계획)비용계획 상세_26년'!$B:$B,'(계획)손익계산서 월별계획'!$B55)</x:f>
        <x:v>4987947.5</x:v>
      </x:c>
      <x:c r="P55" s="202">
        <x:f>SUMIFS('(계획)비용계획 상세_26년'!V:V,'(계획)비용계획 상세_26년'!$I:$I,'(계획)손익계산서 월별계획'!$B$53,'(계획)비용계획 상세_26년'!$B:$B,'(계획)손익계산서 월별계획'!$B55)</x:f>
        <x:v>2987947.5</x:v>
      </x:c>
    </x:row>
    <x:row r="56" spans="2:16" ht="13.5">
      <x:c r="B56" s="68" t="s">
        <x:v>44</x:v>
      </x:c>
      <x:c r="C56" s="241">
        <x:f t="shared" si="12"/>
        <x:v>270193544.19754833</x:v>
      </x:c>
      <x:c r="D56" s="241"/>
      <x:c r="E56" s="202">
        <x:f>SUMIFS('(계획)비용계획 상세_26년'!K:K,'(계획)비용계획 상세_26년'!$I:$I,'(계획)손익계산서 월별계획'!$B$53,'(계획)비용계획 상세_26년'!$B:$B,'(계획)손익계산서 월별계획'!$B56)</x:f>
        <x:v>20846478.075000003</x:v>
      </x:c>
      <x:c r="F56" s="202">
        <x:f>SUMIFS('(계획)비용계획 상세_26년'!L:L,'(계획)비용계획 상세_26년'!$I:$I,'(계획)손익계산서 월별계획'!$B$53,'(계획)비용계획 상세_26년'!$B:$B,'(계획)손익계산서 월별계획'!$B56)</x:f>
        <x:v>22553968.075000003</x:v>
      </x:c>
      <x:c r="G56" s="202">
        <x:f>SUMIFS('(계획)비용계획 상세_26년'!M:M,'(계획)비용계획 상세_26년'!$I:$I,'(계획)손익계산서 월별계획'!$B$53,'(계획)비용계획 상세_26년'!$B:$B,'(계획)손익계산서 월별계획'!$B56)</x:f>
        <x:v>20614001.132548388</x:v>
      </x:c>
      <x:c r="H56" s="202">
        <x:f>SUMIFS('(계획)비용계획 상세_26년'!N:N,'(계획)비용계획 상세_26년'!$I:$I,'(계획)손익계산서 월별계획'!$B$53,'(계획)비용계획 상세_26년'!$B:$B,'(계획)손익계산서 월별계획'!$B56)</x:f>
        <x:v>21664701.511999998</x:v>
      </x:c>
      <x:c r="I56" s="202">
        <x:f>SUMIFS('(계획)비용계획 상세_26년'!O:O,'(계획)비용계획 상세_26년'!$I:$I,'(계획)손익계산서 월별계획'!$B$53,'(계획)비용계획 상세_26년'!$B:$B,'(계획)손익계산서 월별계획'!$B56)</x:f>
        <x:v>21664701.511999998</x:v>
      </x:c>
      <x:c r="J56" s="202">
        <x:f>SUMIFS('(계획)비용계획 상세_26년'!P:P,'(계획)비용계획 상세_26년'!$I:$I,'(계획)손익계산서 월별계획'!$B$53,'(계획)비용계획 상세_26년'!$B:$B,'(계획)손익계산서 월별계획'!$B56)</x:f>
        <x:v>21837871.511999998</x:v>
      </x:c>
      <x:c r="K56" s="202">
        <x:f>SUMIFS('(계획)비용계획 상세_26년'!Q:Q,'(계획)비용계획 상세_26년'!$I:$I,'(계획)손익계산서 월별계획'!$B$53,'(계획)비용계획 상세_26년'!$B:$B,'(계획)손익계산서 월별계획'!$B56)</x:f>
        <x:v>24168501.511999998</x:v>
      </x:c>
      <x:c r="L56" s="202">
        <x:f>SUMIFS('(계획)비용계획 상세_26년'!R:R,'(계획)비용계획 상세_26년'!$I:$I,'(계획)손익계산서 월별계획'!$B$53,'(계획)비용계획 상세_26년'!$B:$B,'(계획)손익계산서 월별계획'!$B56)</x:f>
        <x:v>22008541.511999998</x:v>
      </x:c>
      <x:c r="M56" s="202">
        <x:f>SUMIFS('(계획)비용계획 상세_26년'!S:S,'(계획)비용계획 상세_26년'!$I:$I,'(계획)손익계산서 월별계획'!$B$53,'(계획)비용계획 상세_26년'!$B:$B,'(계획)손익계산서 월별계획'!$B56)</x:f>
        <x:v>22008541.511999998</x:v>
      </x:c>
      <x:c r="N56" s="202">
        <x:f>SUMIFS('(계획)비용계획 상세_26년'!T:T,'(계획)비용계획 상세_26년'!$I:$I,'(계획)손익계산서 월별계획'!$B$53,'(계획)비용계획 상세_26년'!$B:$B,'(계획)손익계산서 월별계획'!$B56)</x:f>
        <x:v>23603771.511999998</x:v>
      </x:c>
      <x:c r="O56" s="202">
        <x:f>SUMIFS('(계획)비용계획 상세_26년'!U:U,'(계획)비용계획 상세_26년'!$I:$I,'(계획)손익계산서 월별계획'!$B$53,'(계획)비용계획 상세_26년'!$B:$B,'(계획)손익계산서 월별계획'!$B56)</x:f>
        <x:v>23603771.511999998</x:v>
      </x:c>
      <x:c r="P56" s="202">
        <x:f>SUMIFS('(계획)비용계획 상세_26년'!V:V,'(계획)비용계획 상세_26년'!$I:$I,'(계획)손익계산서 월별계획'!$B$53,'(계획)비용계획 상세_26년'!$B:$B,'(계획)손익계산서 월별계획'!$B56)</x:f>
        <x:v>25618694.818999998</x:v>
      </x:c>
    </x:row>
    <x:row r="57" spans="2:16" ht="13.5">
      <x:c r="B57" s="68" t="s">
        <x:v>34</x:v>
      </x:c>
      <x:c r="C57" s="241">
        <x:f t="shared" si="12"/>
        <x:v>154713216</x:v>
      </x:c>
      <x:c r="D57" s="241"/>
      <x:c r="E57" s="202">
        <x:f>SUMIFS('(계획)비용계획 상세_26년'!K:K,'(계획)비용계획 상세_26년'!$I:$I,'(계획)손익계산서 월별계획'!$B$53,'(계획)비용계획 상세_26년'!$B:$B,'(계획)손익계산서 월별계획'!$B57)</x:f>
        <x:v>8889773.5</x:v>
      </x:c>
      <x:c r="F57" s="202">
        <x:f>SUMIFS('(계획)비용계획 상세_26년'!L:L,'(계획)비용계획 상세_26년'!$I:$I,'(계획)손익계산서 월별계획'!$B$53,'(계획)비용계획 상세_26년'!$B:$B,'(계획)손익계산서 월별계획'!$B57)</x:f>
        <x:v>12394773.5</x:v>
      </x:c>
      <x:c r="G57" s="202">
        <x:f>SUMIFS('(계획)비용계획 상세_26년'!M:M,'(계획)비용계획 상세_26년'!$I:$I,'(계획)손익계산서 월별계획'!$B$53,'(계획)비용계획 상세_26년'!$B:$B,'(계획)손익계산서 월별계획'!$B57)</x:f>
        <x:v>12745853.5</x:v>
      </x:c>
      <x:c r="H57" s="202">
        <x:f>SUMIFS('(계획)비용계획 상세_26년'!N:N,'(계획)비용계획 상세_26년'!$I:$I,'(계획)손익계산서 월별계획'!$B$53,'(계획)비용계획 상세_26년'!$B:$B,'(계획)손익계산서 월별계획'!$B57)</x:f>
        <x:v>9774773.5</x:v>
      </x:c>
      <x:c r="I57" s="202">
        <x:f>SUMIFS('(계획)비용계획 상세_26년'!O:O,'(계획)비용계획 상세_26년'!$I:$I,'(계획)손익계산서 월별계획'!$B$53,'(계획)비용계획 상세_26년'!$B:$B,'(계획)손익계산서 월별계획'!$B57)</x:f>
        <x:v>9580228.5</x:v>
      </x:c>
      <x:c r="J57" s="202">
        <x:f>SUMIFS('(계획)비용계획 상세_26년'!P:P,'(계획)비용계획 상세_26년'!$I:$I,'(계획)손익계산서 월별계획'!$B$53,'(계획)비용계획 상세_26년'!$B:$B,'(계획)손익계산서 월별계획'!$B57)</x:f>
        <x:v>9404773.5</x:v>
      </x:c>
      <x:c r="K57" s="202">
        <x:f>SUMIFS('(계획)비용계획 상세_26년'!Q:Q,'(계획)비용계획 상세_26년'!$I:$I,'(계획)손익계산서 월별계획'!$B$53,'(계획)비용계획 상세_26년'!$B:$B,'(계획)손익계산서 월별계획'!$B57)</x:f>
        <x:v>8344773.4999999991</x:v>
      </x:c>
      <x:c r="L57" s="202">
        <x:f>SUMIFS('(계획)비용계획 상세_26년'!R:R,'(계획)비용계획 상세_26년'!$I:$I,'(계획)손익계산서 월별계획'!$B$53,'(계획)비용계획 상세_26년'!$B:$B,'(계획)손익계산서 월별계획'!$B57)</x:f>
        <x:v>19483717.5</x:v>
      </x:c>
      <x:c r="M57" s="202">
        <x:f>SUMIFS('(계획)비용계획 상세_26년'!S:S,'(계획)비용계획 상세_26년'!$I:$I,'(계획)손익계산서 월별계획'!$B$53,'(계획)비용계획 상세_26년'!$B:$B,'(계획)손익계산서 월별계획'!$B57)</x:f>
        <x:v>8244773.4999999991</x:v>
      </x:c>
      <x:c r="N57" s="202">
        <x:f>SUMIFS('(계획)비용계획 상세_26년'!T:T,'(계획)비용계획 상세_26년'!$I:$I,'(계획)손익계산서 월별계획'!$B$53,'(계획)비용계획 상세_26년'!$B:$B,'(계획)손익계산서 월별계획'!$B57)</x:f>
        <x:v>8329773.4999999991</x:v>
      </x:c>
      <x:c r="O57" s="202">
        <x:f>SUMIFS('(계획)비용계획 상세_26년'!U:U,'(계획)비용계획 상세_26년'!$I:$I,'(계획)손익계산서 월별계획'!$B$53,'(계획)비용계획 상세_26년'!$B:$B,'(계획)손익계산서 월별계획'!$B57)</x:f>
        <x:v>7209773.4999999991</x:v>
      </x:c>
      <x:c r="P57" s="202">
        <x:f>SUMIFS('(계획)비용계획 상세_26년'!V:V,'(계획)비용계획 상세_26년'!$I:$I,'(계획)손익계산서 월별계획'!$B$53,'(계획)비용계획 상세_26년'!$B:$B,'(계획)손익계산서 월별계획'!$B57)</x:f>
        <x:v>40310228.5</x:v>
      </x:c>
    </x:row>
    <x:row r="58" spans="2:16" ht="13.5">
      <x:c r="B58" s="68" t="s">
        <x:v>38</x:v>
      </x:c>
      <x:c r="C58" s="241">
        <x:f t="shared" si="12"/>
        <x:v>3720000</x:v>
      </x:c>
      <x:c r="D58" s="241"/>
      <x:c r="E58" s="202">
        <x:f>SUMIFS('(계획)비용계획 상세_26년'!K:K,'(계획)비용계획 상세_26년'!$I:$I,'(계획)손익계산서 월별계획'!$B$53,'(계획)비용계획 상세_26년'!$B:$B,'(계획)손익계산서 월별계획'!$B58)</x:f>
        <x:v>310000</x:v>
      </x:c>
      <x:c r="F58" s="202">
        <x:f>SUMIFS('(계획)비용계획 상세_26년'!L:L,'(계획)비용계획 상세_26년'!$I:$I,'(계획)손익계산서 월별계획'!$B$53,'(계획)비용계획 상세_26년'!$B:$B,'(계획)손익계산서 월별계획'!$B58)</x:f>
        <x:v>310000</x:v>
      </x:c>
      <x:c r="G58" s="202">
        <x:f>SUMIFS('(계획)비용계획 상세_26년'!M:M,'(계획)비용계획 상세_26년'!$I:$I,'(계획)손익계산서 월별계획'!$B$53,'(계획)비용계획 상세_26년'!$B:$B,'(계획)손익계산서 월별계획'!$B58)</x:f>
        <x:v>310000</x:v>
      </x:c>
      <x:c r="H58" s="202">
        <x:f>SUMIFS('(계획)비용계획 상세_26년'!N:N,'(계획)비용계획 상세_26년'!$I:$I,'(계획)손익계산서 월별계획'!$B$53,'(계획)비용계획 상세_26년'!$B:$B,'(계획)손익계산서 월별계획'!$B58)</x:f>
        <x:v>310000</x:v>
      </x:c>
      <x:c r="I58" s="202">
        <x:f>SUMIFS('(계획)비용계획 상세_26년'!O:O,'(계획)비용계획 상세_26년'!$I:$I,'(계획)손익계산서 월별계획'!$B$53,'(계획)비용계획 상세_26년'!$B:$B,'(계획)손익계산서 월별계획'!$B58)</x:f>
        <x:v>310000</x:v>
      </x:c>
      <x:c r="J58" s="202">
        <x:f>SUMIFS('(계획)비용계획 상세_26년'!P:P,'(계획)비용계획 상세_26년'!$I:$I,'(계획)손익계산서 월별계획'!$B$53,'(계획)비용계획 상세_26년'!$B:$B,'(계획)손익계산서 월별계획'!$B58)</x:f>
        <x:v>310000</x:v>
      </x:c>
      <x:c r="K58" s="202">
        <x:f>SUMIFS('(계획)비용계획 상세_26년'!Q:Q,'(계획)비용계획 상세_26년'!$I:$I,'(계획)손익계산서 월별계획'!$B$53,'(계획)비용계획 상세_26년'!$B:$B,'(계획)손익계산서 월별계획'!$B58)</x:f>
        <x:v>310000</x:v>
      </x:c>
      <x:c r="L58" s="202">
        <x:f>SUMIFS('(계획)비용계획 상세_26년'!R:R,'(계획)비용계획 상세_26년'!$I:$I,'(계획)손익계산서 월별계획'!$B$53,'(계획)비용계획 상세_26년'!$B:$B,'(계획)손익계산서 월별계획'!$B58)</x:f>
        <x:v>310000</x:v>
      </x:c>
      <x:c r="M58" s="202">
        <x:f>SUMIFS('(계획)비용계획 상세_26년'!S:S,'(계획)비용계획 상세_26년'!$I:$I,'(계획)손익계산서 월별계획'!$B$53,'(계획)비용계획 상세_26년'!$B:$B,'(계획)손익계산서 월별계획'!$B58)</x:f>
        <x:v>310000</x:v>
      </x:c>
      <x:c r="N58" s="202">
        <x:f>SUMIFS('(계획)비용계획 상세_26년'!T:T,'(계획)비용계획 상세_26년'!$I:$I,'(계획)손익계산서 월별계획'!$B$53,'(계획)비용계획 상세_26년'!$B:$B,'(계획)손익계산서 월별계획'!$B58)</x:f>
        <x:v>310000</x:v>
      </x:c>
      <x:c r="O58" s="202">
        <x:f>SUMIFS('(계획)비용계획 상세_26년'!U:U,'(계획)비용계획 상세_26년'!$I:$I,'(계획)손익계산서 월별계획'!$B$53,'(계획)비용계획 상세_26년'!$B:$B,'(계획)손익계산서 월별계획'!$B58)</x:f>
        <x:v>310000</x:v>
      </x:c>
      <x:c r="P58" s="202">
        <x:f>SUMIFS('(계획)비용계획 상세_26년'!V:V,'(계획)비용계획 상세_26년'!$I:$I,'(계획)손익계산서 월별계획'!$B$53,'(계획)비용계획 상세_26년'!$B:$B,'(계획)손익계산서 월별계획'!$B58)</x:f>
        <x:v>310000</x:v>
      </x:c>
    </x:row>
    <x:row r="59" spans="2:16" ht="13.5">
      <x:c r="B59" s="68" t="s">
        <x:v>39</x:v>
      </x:c>
      <x:c r="C59" s="241">
        <x:f t="shared" si="12"/>
        <x:v>0</x:v>
      </x:c>
      <x:c r="D59" s="241"/>
      <x:c r="E59" s="202">
        <x:f>SUMIFS('(계획)비용계획 상세_26년'!K:K,'(계획)비용계획 상세_26년'!$I:$I,'(계획)손익계산서 월별계획'!$B$53,'(계획)비용계획 상세_26년'!$B:$B,'(계획)손익계산서 월별계획'!$B59)</x:f>
        <x:v>0</x:v>
      </x:c>
      <x:c r="F59" s="202">
        <x:f>SUMIFS('(계획)비용계획 상세_26년'!L:L,'(계획)비용계획 상세_26년'!$I:$I,'(계획)손익계산서 월별계획'!$B$53,'(계획)비용계획 상세_26년'!$B:$B,'(계획)손익계산서 월별계획'!$B59)</x:f>
        <x:v>0</x:v>
      </x:c>
      <x:c r="G59" s="202">
        <x:f>SUMIFS('(계획)비용계획 상세_26년'!M:M,'(계획)비용계획 상세_26년'!$I:$I,'(계획)손익계산서 월별계획'!$B$53,'(계획)비용계획 상세_26년'!$B:$B,'(계획)손익계산서 월별계획'!$B59)</x:f>
        <x:v>0</x:v>
      </x:c>
      <x:c r="H59" s="202">
        <x:f>SUMIFS('(계획)비용계획 상세_26년'!N:N,'(계획)비용계획 상세_26년'!$I:$I,'(계획)손익계산서 월별계획'!$B$53,'(계획)비용계획 상세_26년'!$B:$B,'(계획)손익계산서 월별계획'!$B59)</x:f>
        <x:v>0</x:v>
      </x:c>
      <x:c r="I59" s="202">
        <x:f>SUMIFS('(계획)비용계획 상세_26년'!O:O,'(계획)비용계획 상세_26년'!$I:$I,'(계획)손익계산서 월별계획'!$B$53,'(계획)비용계획 상세_26년'!$B:$B,'(계획)손익계산서 월별계획'!$B59)</x:f>
        <x:v>0</x:v>
      </x:c>
      <x:c r="J59" s="202">
        <x:f>SUMIFS('(계획)비용계획 상세_26년'!P:P,'(계획)비용계획 상세_26년'!$I:$I,'(계획)손익계산서 월별계획'!$B$53,'(계획)비용계획 상세_26년'!$B:$B,'(계획)손익계산서 월별계획'!$B59)</x:f>
        <x:v>0</x:v>
      </x:c>
      <x:c r="K59" s="202">
        <x:f>SUMIFS('(계획)비용계획 상세_26년'!Q:Q,'(계획)비용계획 상세_26년'!$I:$I,'(계획)손익계산서 월별계획'!$B$53,'(계획)비용계획 상세_26년'!$B:$B,'(계획)손익계산서 월별계획'!$B59)</x:f>
        <x:v>0</x:v>
      </x:c>
      <x:c r="L59" s="202">
        <x:f>SUMIFS('(계획)비용계획 상세_26년'!R:R,'(계획)비용계획 상세_26년'!$I:$I,'(계획)손익계산서 월별계획'!$B$53,'(계획)비용계획 상세_26년'!$B:$B,'(계획)손익계산서 월별계획'!$B59)</x:f>
        <x:v>0</x:v>
      </x:c>
      <x:c r="M59" s="202">
        <x:f>SUMIFS('(계획)비용계획 상세_26년'!S:S,'(계획)비용계획 상세_26년'!$I:$I,'(계획)손익계산서 월별계획'!$B$53,'(계획)비용계획 상세_26년'!$B:$B,'(계획)손익계산서 월별계획'!$B59)</x:f>
        <x:v>0</x:v>
      </x:c>
      <x:c r="N59" s="202">
        <x:f>SUMIFS('(계획)비용계획 상세_26년'!T:T,'(계획)비용계획 상세_26년'!$I:$I,'(계획)손익계산서 월별계획'!$B$53,'(계획)비용계획 상세_26년'!$B:$B,'(계획)손익계산서 월별계획'!$B59)</x:f>
        <x:v>0</x:v>
      </x:c>
      <x:c r="O59" s="202">
        <x:f>SUMIFS('(계획)비용계획 상세_26년'!U:U,'(계획)비용계획 상세_26년'!$I:$I,'(계획)손익계산서 월별계획'!$B$53,'(계획)비용계획 상세_26년'!$B:$B,'(계획)손익계산서 월별계획'!$B59)</x:f>
        <x:v>0</x:v>
      </x:c>
      <x:c r="P59" s="202">
        <x:f>SUMIFS('(계획)비용계획 상세_26년'!V:V,'(계획)비용계획 상세_26년'!$I:$I,'(계획)손익계산서 월별계획'!$B$53,'(계획)비용계획 상세_26년'!$B:$B,'(계획)손익계산서 월별계획'!$B59)</x:f>
        <x:v>0</x:v>
      </x:c>
    </x:row>
    <x:row r="60" spans="2:16" ht="13.5">
      <x:c r="B60" s="68" t="s">
        <x:v>37</x:v>
      </x:c>
      <x:c r="C60" s="241">
        <x:f t="shared" si="12"/>
        <x:v>0</x:v>
      </x:c>
      <x:c r="D60" s="241"/>
      <x:c r="E60" s="202">
        <x:f>SUMIFS('(계획)비용계획 상세_26년'!K:K,'(계획)비용계획 상세_26년'!$I:$I,'(계획)손익계산서 월별계획'!$B$53,'(계획)비용계획 상세_26년'!$B:$B,'(계획)손익계산서 월별계획'!$B60)</x:f>
        <x:v>0</x:v>
      </x:c>
      <x:c r="F60" s="202">
        <x:f>SUMIFS('(계획)비용계획 상세_26년'!L:L,'(계획)비용계획 상세_26년'!$I:$I,'(계획)손익계산서 월별계획'!$B$53,'(계획)비용계획 상세_26년'!$B:$B,'(계획)손익계산서 월별계획'!$B60)</x:f>
        <x:v>0</x:v>
      </x:c>
      <x:c r="G60" s="202">
        <x:f>SUMIFS('(계획)비용계획 상세_26년'!M:M,'(계획)비용계획 상세_26년'!$I:$I,'(계획)손익계산서 월별계획'!$B$53,'(계획)비용계획 상세_26년'!$B:$B,'(계획)손익계산서 월별계획'!$B60)</x:f>
        <x:v>0</x:v>
      </x:c>
      <x:c r="H60" s="202">
        <x:f>SUMIFS('(계획)비용계획 상세_26년'!N:N,'(계획)비용계획 상세_26년'!$I:$I,'(계획)손익계산서 월별계획'!$B$53,'(계획)비용계획 상세_26년'!$B:$B,'(계획)손익계산서 월별계획'!$B60)</x:f>
        <x:v>0</x:v>
      </x:c>
      <x:c r="I60" s="202">
        <x:f>SUMIFS('(계획)비용계획 상세_26년'!O:O,'(계획)비용계획 상세_26년'!$I:$I,'(계획)손익계산서 월별계획'!$B$53,'(계획)비용계획 상세_26년'!$B:$B,'(계획)손익계산서 월별계획'!$B60)</x:f>
        <x:v>0</x:v>
      </x:c>
      <x:c r="J60" s="202">
        <x:f>SUMIFS('(계획)비용계획 상세_26년'!P:P,'(계획)비용계획 상세_26년'!$I:$I,'(계획)손익계산서 월별계획'!$B$53,'(계획)비용계획 상세_26년'!$B:$B,'(계획)손익계산서 월별계획'!$B60)</x:f>
        <x:v>0</x:v>
      </x:c>
      <x:c r="K60" s="202">
        <x:f>SUMIFS('(계획)비용계획 상세_26년'!Q:Q,'(계획)비용계획 상세_26년'!$I:$I,'(계획)손익계산서 월별계획'!$B$53,'(계획)비용계획 상세_26년'!$B:$B,'(계획)손익계산서 월별계획'!$B60)</x:f>
        <x:v>0</x:v>
      </x:c>
      <x:c r="L60" s="202">
        <x:f>SUMIFS('(계획)비용계획 상세_26년'!R:R,'(계획)비용계획 상세_26년'!$I:$I,'(계획)손익계산서 월별계획'!$B$53,'(계획)비용계획 상세_26년'!$B:$B,'(계획)손익계산서 월별계획'!$B60)</x:f>
        <x:v>0</x:v>
      </x:c>
      <x:c r="M60" s="202">
        <x:f>SUMIFS('(계획)비용계획 상세_26년'!S:S,'(계획)비용계획 상세_26년'!$I:$I,'(계획)손익계산서 월별계획'!$B$53,'(계획)비용계획 상세_26년'!$B:$B,'(계획)손익계산서 월별계획'!$B60)</x:f>
        <x:v>0</x:v>
      </x:c>
      <x:c r="N60" s="202">
        <x:f>SUMIFS('(계획)비용계획 상세_26년'!T:T,'(계획)비용계획 상세_26년'!$I:$I,'(계획)손익계산서 월별계획'!$B$53,'(계획)비용계획 상세_26년'!$B:$B,'(계획)손익계산서 월별계획'!$B60)</x:f>
        <x:v>0</x:v>
      </x:c>
      <x:c r="O60" s="202">
        <x:f>SUMIFS('(계획)비용계획 상세_26년'!U:U,'(계획)비용계획 상세_26년'!$I:$I,'(계획)손익계산서 월별계획'!$B$53,'(계획)비용계획 상세_26년'!$B:$B,'(계획)손익계산서 월별계획'!$B60)</x:f>
        <x:v>0</x:v>
      </x:c>
      <x:c r="P60" s="202">
        <x:f>SUMIFS('(계획)비용계획 상세_26년'!V:V,'(계획)비용계획 상세_26년'!$I:$I,'(계획)손익계산서 월별계획'!$B$53,'(계획)비용계획 상세_26년'!$B:$B,'(계획)손익계산서 월별계획'!$B60)</x:f>
        <x:v>0</x:v>
      </x:c>
    </x:row>
    <x:row r="61" spans="2:16" ht="13.5">
      <x:c r="B61" s="68" t="s">
        <x:v>40</x:v>
      </x:c>
      <x:c r="C61" s="241">
        <x:f t="shared" si="12"/>
        <x:v>536975988</x:v>
      </x:c>
      <x:c r="D61" s="241"/>
      <x:c r="E61" s="202">
        <x:f>SUMIFS('(계획)비용계획 상세_26년'!K:K,'(계획)비용계획 상세_26년'!$I:$I,'(계획)손익계산서 월별계획'!$B$53,'(계획)비용계획 상세_26년'!$B:$B,'(계획)손익계산서 월별계획'!$B61)</x:f>
        <x:v>43822999</x:v>
      </x:c>
      <x:c r="F61" s="202">
        <x:f>SUMIFS('(계획)비용계획 상세_26년'!L:L,'(계획)비용계획 상세_26년'!$I:$I,'(계획)손익계산서 월별계획'!$B$53,'(계획)비용계획 상세_26년'!$B:$B,'(계획)손익계산서 월별계획'!$B61)</x:f>
        <x:v>83072999</x:v>
      </x:c>
      <x:c r="G61" s="202">
        <x:f>SUMIFS('(계획)비용계획 상세_26년'!M:M,'(계획)비용계획 상세_26년'!$I:$I,'(계획)손익계산서 월별계획'!$B$53,'(계획)비용계획 상세_26년'!$B:$B,'(계획)손익계산서 월별계획'!$B61)</x:f>
        <x:v>39222999</x:v>
      </x:c>
      <x:c r="H61" s="202">
        <x:f>SUMIFS('(계획)비용계획 상세_26년'!N:N,'(계획)비용계획 상세_26년'!$I:$I,'(계획)손익계산서 월별계획'!$B$53,'(계획)비용계획 상세_26년'!$B:$B,'(계획)손익계산서 월별계획'!$B61)</x:f>
        <x:v>56472999</x:v>
      </x:c>
      <x:c r="I61" s="202">
        <x:f>SUMIFS('(계획)비용계획 상세_26년'!O:O,'(계획)비용계획 상세_26년'!$I:$I,'(계획)손익계산서 월별계획'!$B$53,'(계획)비용계획 상세_26년'!$B:$B,'(계획)손익계산서 월별계획'!$B61)</x:f>
        <x:v>30522999</x:v>
      </x:c>
      <x:c r="J61" s="202">
        <x:f>SUMIFS('(계획)비용계획 상세_26년'!P:P,'(계획)비용계획 상세_26년'!$I:$I,'(계획)손익계산서 월별계획'!$B$53,'(계획)비용계획 상세_26년'!$B:$B,'(계획)손익계산서 월별계획'!$B61)</x:f>
        <x:v>30522999</x:v>
      </x:c>
      <x:c r="K61" s="202">
        <x:f>SUMIFS('(계획)비용계획 상세_26년'!Q:Q,'(계획)비용계획 상세_26년'!$I:$I,'(계획)손익계산서 월별계획'!$B$53,'(계획)비용계획 상세_26년'!$B:$B,'(계획)손익계산서 월별계획'!$B61)</x:f>
        <x:v>30522999</x:v>
      </x:c>
      <x:c r="L61" s="202">
        <x:f>SUMIFS('(계획)비용계획 상세_26년'!R:R,'(계획)비용계획 상세_26년'!$I:$I,'(계획)손익계산서 월별계획'!$B$53,'(계획)비용계획 상세_26년'!$B:$B,'(계획)손익계산서 월별계획'!$B61)</x:f>
        <x:v>30522999</x:v>
      </x:c>
      <x:c r="M61" s="202">
        <x:f>SUMIFS('(계획)비용계획 상세_26년'!S:S,'(계획)비용계획 상세_26년'!$I:$I,'(계획)손익계산서 월별계획'!$B$53,'(계획)비용계획 상세_26년'!$B:$B,'(계획)손익계산서 월별계획'!$B61)</x:f>
        <x:v>47522999</x:v>
      </x:c>
      <x:c r="N61" s="202">
        <x:f>SUMIFS('(계획)비용계획 상세_26년'!T:T,'(계획)비용계획 상세_26년'!$I:$I,'(계획)손익계산서 월별계획'!$B$53,'(계획)비용계획 상세_26년'!$B:$B,'(계획)손익계산서 월별계획'!$B61)</x:f>
        <x:v>40522999</x:v>
      </x:c>
      <x:c r="O61" s="202">
        <x:f>SUMIFS('(계획)비용계획 상세_26년'!U:U,'(계획)비용계획 상세_26년'!$I:$I,'(계획)손익계산서 월별계획'!$B$53,'(계획)비용계획 상세_26년'!$B:$B,'(계획)손익계산서 월별계획'!$B61)</x:f>
        <x:v>67522999</x:v>
      </x:c>
      <x:c r="P61" s="202">
        <x:f>SUMIFS('(계획)비용계획 상세_26년'!V:V,'(계획)비용계획 상세_26년'!$I:$I,'(계획)손익계산서 월별계획'!$B$53,'(계획)비용계획 상세_26년'!$B:$B,'(계획)손익계산서 월별계획'!$B61)</x:f>
        <x:v>36722999</x:v>
      </x:c>
    </x:row>
    <x:row r="62" spans="2:16" ht="13.5">
      <x:c r="B62" s="68" t="s">
        <x:v>35</x:v>
      </x:c>
      <x:c r="C62" s="241">
        <x:f t="shared" si="12"/>
        <x:v>209315000.00000006</x:v>
      </x:c>
      <x:c r="D62" s="241"/>
      <x:c r="E62" s="202">
        <x:f>SUMIFS('(계획)비용계획 상세_26년'!K:K,'(계획)비용계획 상세_26년'!$I:$I,'(계획)손익계산서 월별계획'!$B$53,'(계획)비용계획 상세_26년'!$B:$B,'(계획)손익계산서 월별계획'!$B62)</x:f>
        <x:v>53409583.333333336</x:v>
      </x:c>
      <x:c r="F62" s="202">
        <x:f>SUMIFS('(계획)비용계획 상세_26년'!L:L,'(계획)비용계획 상세_26년'!$I:$I,'(계획)손익계산서 월별계획'!$B$53,'(계획)비용계획 상세_26년'!$B:$B,'(계획)손익계산서 월별계획'!$B62)</x:f>
        <x:v>7309583.333333333</x:v>
      </x:c>
      <x:c r="G62" s="202">
        <x:f>SUMIFS('(계획)비용계획 상세_26년'!M:M,'(계획)비용계획 상세_26년'!$I:$I,'(계획)손익계산서 월별계획'!$B$53,'(계획)비용계획 상세_26년'!$B:$B,'(계획)손익계산서 월별계획'!$B62)</x:f>
        <x:v>42309583.333333336</x:v>
      </x:c>
      <x:c r="H62" s="202">
        <x:f>SUMIFS('(계획)비용계획 상세_26년'!N:N,'(계획)비용계획 상세_26년'!$I:$I,'(계획)손익계산서 월별계획'!$B$53,'(계획)비용계획 상세_26년'!$B:$B,'(계획)손익계산서 월별계획'!$B62)</x:f>
        <x:v>22309583.333333332</x:v>
      </x:c>
      <x:c r="I62" s="202">
        <x:f>SUMIFS('(계획)비용계획 상세_26년'!O:O,'(계획)비용계획 상세_26년'!$I:$I,'(계획)손익계산서 월별계획'!$B$53,'(계획)비용계획 상세_26년'!$B:$B,'(계획)손익계산서 월별계획'!$B62)</x:f>
        <x:v>7309583.333333333</x:v>
      </x:c>
      <x:c r="J62" s="202">
        <x:f>SUMIFS('(계획)비용계획 상세_26년'!P:P,'(계획)비용계획 상세_26년'!$I:$I,'(계획)손익계산서 월별계획'!$B$53,'(계획)비용계획 상세_26년'!$B:$B,'(계획)손익계산서 월별계획'!$B62)</x:f>
        <x:v>23309583.333333332</x:v>
      </x:c>
      <x:c r="K62" s="202">
        <x:f>SUMIFS('(계획)비용계획 상세_26년'!Q:Q,'(계획)비용계획 상세_26년'!$I:$I,'(계획)손익계산서 월별계획'!$B$53,'(계획)비용계획 상세_26년'!$B:$B,'(계획)손익계산서 월별계획'!$B62)</x:f>
        <x:v>16809583.333333332</x:v>
      </x:c>
      <x:c r="L62" s="202">
        <x:f>SUMIFS('(계획)비용계획 상세_26년'!R:R,'(계획)비용계획 상세_26년'!$I:$I,'(계획)손익계산서 월별계획'!$B$53,'(계획)비용계획 상세_26년'!$B:$B,'(계획)손익계산서 월별계획'!$B62)</x:f>
        <x:v>7309583.333333333</x:v>
      </x:c>
      <x:c r="M62" s="202">
        <x:f>SUMIFS('(계획)비용계획 상세_26년'!S:S,'(계획)비용계획 상세_26년'!$I:$I,'(계획)손익계산서 월별계획'!$B$53,'(계획)비용계획 상세_26년'!$B:$B,'(계획)손익계산서 월별계획'!$B62)</x:f>
        <x:v>7309583.333333333</x:v>
      </x:c>
      <x:c r="N62" s="202">
        <x:f>SUMIFS('(계획)비용계획 상세_26년'!T:T,'(계획)비용계획 상세_26년'!$I:$I,'(계획)손익계산서 월별계획'!$B$53,'(계획)비용계획 상세_26년'!$B:$B,'(계획)손익계산서 월별계획'!$B62)</x:f>
        <x:v>7309583.333333333</x:v>
      </x:c>
      <x:c r="O62" s="202">
        <x:f>SUMIFS('(계획)비용계획 상세_26년'!U:U,'(계획)비용계획 상세_26년'!$I:$I,'(계획)손익계산서 월별계획'!$B$53,'(계획)비용계획 상세_26년'!$B:$B,'(계획)손익계산서 월별계획'!$B62)</x:f>
        <x:v>7309583.333333333</x:v>
      </x:c>
      <x:c r="P62" s="202">
        <x:f>SUMIFS('(계획)비용계획 상세_26년'!V:V,'(계획)비용계획 상세_26년'!$I:$I,'(계획)손익계산서 월별계획'!$B$53,'(계획)비용계획 상세_26년'!$B:$B,'(계획)손익계산서 월별계획'!$B62)</x:f>
        <x:v>7309583.333333333</x:v>
      </x:c>
    </x:row>
    <x:row r="63" spans="2:16" ht="13.5">
      <x:c r="B63" s="68" t="s">
        <x:v>36</x:v>
      </x:c>
      <x:c r="C63" s="241">
        <x:f t="shared" si="12"/>
        <x:v>216771136</x:v>
      </x:c>
      <x:c r="D63" s="241"/>
      <x:c r="E63" s="202">
        <x:f>SUMIFS('(계획)비용계획 상세_26년'!K:K,'(계획)비용계획 상세_26년'!$I:$I,'(계획)손익계산서 월별계획'!$B$53,'(계획)비용계획 상세_26년'!$B:$B,'(계획)손익계산서 월별계획'!$B63)</x:f>
        <x:v>18064243</x:v>
      </x:c>
      <x:c r="F63" s="202">
        <x:f>SUMIFS('(계획)비용계획 상세_26년'!L:L,'(계획)비용계획 상세_26년'!$I:$I,'(계획)손익계산서 월별계획'!$B$53,'(계획)비용계획 상세_26년'!$B:$B,'(계획)손익계산서 월별계획'!$B63)</x:f>
        <x:v>18064263</x:v>
      </x:c>
      <x:c r="G63" s="202">
        <x:f>SUMIFS('(계획)비용계획 상세_26년'!M:M,'(계획)비용계획 상세_26년'!$I:$I,'(계획)손익계산서 월별계획'!$B$53,'(계획)비용계획 상세_26년'!$B:$B,'(계획)손익계산서 월별계획'!$B63)</x:f>
        <x:v>18064263</x:v>
      </x:c>
      <x:c r="H63" s="202">
        <x:f>SUMIFS('(계획)비용계획 상세_26년'!N:N,'(계획)비용계획 상세_26년'!$I:$I,'(계획)손익계산서 월별계획'!$B$53,'(계획)비용계획 상세_26년'!$B:$B,'(계획)손익계산서 월별계획'!$B63)</x:f>
        <x:v>18064263</x:v>
      </x:c>
      <x:c r="I63" s="202">
        <x:f>SUMIFS('(계획)비용계획 상세_26년'!O:O,'(계획)비용계획 상세_26년'!$I:$I,'(계획)손익계산서 월별계획'!$B$53,'(계획)비용계획 상세_26년'!$B:$B,'(계획)손익계산서 월별계획'!$B63)</x:f>
        <x:v>18064263</x:v>
      </x:c>
      <x:c r="J63" s="202">
        <x:f>SUMIFS('(계획)비용계획 상세_26년'!P:P,'(계획)비용계획 상세_26년'!$I:$I,'(계획)손익계산서 월별계획'!$B$53,'(계획)비용계획 상세_26년'!$B:$B,'(계획)손익계산서 월별계획'!$B63)</x:f>
        <x:v>18064263</x:v>
      </x:c>
      <x:c r="K63" s="202">
        <x:f>SUMIFS('(계획)비용계획 상세_26년'!Q:Q,'(계획)비용계획 상세_26년'!$I:$I,'(계획)손익계산서 월별계획'!$B$53,'(계획)비용계획 상세_26년'!$B:$B,'(계획)손익계산서 월별계획'!$B63)</x:f>
        <x:v>18064263</x:v>
      </x:c>
      <x:c r="L63" s="202">
        <x:f>SUMIFS('(계획)비용계획 상세_26년'!R:R,'(계획)비용계획 상세_26년'!$I:$I,'(계획)손익계산서 월별계획'!$B$53,'(계획)비용계획 상세_26년'!$B:$B,'(계획)손익계산서 월별계획'!$B63)</x:f>
        <x:v>18064263</x:v>
      </x:c>
      <x:c r="M63" s="202">
        <x:f>SUMIFS('(계획)비용계획 상세_26년'!S:S,'(계획)비용계획 상세_26년'!$I:$I,'(계획)손익계산서 월별계획'!$B$53,'(계획)비용계획 상세_26년'!$B:$B,'(계획)손익계산서 월별계획'!$B63)</x:f>
        <x:v>18064263</x:v>
      </x:c>
      <x:c r="N63" s="202">
        <x:f>SUMIFS('(계획)비용계획 상세_26년'!T:T,'(계획)비용계획 상세_26년'!$I:$I,'(계획)손익계산서 월별계획'!$B$53,'(계획)비용계획 상세_26년'!$B:$B,'(계획)손익계산서 월별계획'!$B63)</x:f>
        <x:v>18064263</x:v>
      </x:c>
      <x:c r="O63" s="202">
        <x:f>SUMIFS('(계획)비용계획 상세_26년'!U:U,'(계획)비용계획 상세_26년'!$I:$I,'(계획)손익계산서 월별계획'!$B$53,'(계획)비용계획 상세_26년'!$B:$B,'(계획)손익계산서 월별계획'!$B63)</x:f>
        <x:v>18064263</x:v>
      </x:c>
      <x:c r="P63" s="202">
        <x:f>SUMIFS('(계획)비용계획 상세_26년'!V:V,'(계획)비용계획 상세_26년'!$I:$I,'(계획)손익계산서 월별계획'!$B$53,'(계획)비용계획 상세_26년'!$B:$B,'(계획)손익계산서 월별계획'!$B63)</x:f>
        <x:v>18064263</x:v>
      </x:c>
    </x:row>
    <x:row r="64" spans="2:16" ht="13.5">
      <x:c r="B64" s="68" t="s">
        <x:v>45</x:v>
      </x:c>
      <x:c r="C64" s="241">
        <x:f t="shared" si="12"/>
        <x:v>890280000</x:v>
      </x:c>
      <x:c r="D64" s="241"/>
      <x:c r="E64" s="202">
        <x:f>SUMIFS('(계획)비용계획 상세_26년'!K:K,'(계획)비용계획 상세_26년'!$I:$I,'(계획)손익계산서 월별계획'!$B$53,'(계획)비용계획 상세_26년'!$B:$B,'(계획)손익계산서 월별계획'!$B64)</x:f>
        <x:v>103990000</x:v>
      </x:c>
      <x:c r="F64" s="202">
        <x:f>SUMIFS('(계획)비용계획 상세_26년'!L:L,'(계획)비용계획 상세_26년'!$I:$I,'(계획)손익계산서 월별계획'!$B$53,'(계획)비용계획 상세_26년'!$B:$B,'(계획)손익계산서 월별계획'!$B64)</x:f>
        <x:v>103990000</x:v>
      </x:c>
      <x:c r="G64" s="202">
        <x:f>SUMIFS('(계획)비용계획 상세_26년'!M:M,'(계획)비용계획 상세_26년'!$I:$I,'(계획)손익계산서 월별계획'!$B$53,'(계획)비용계획 상세_26년'!$B:$B,'(계획)손익계산서 월별계획'!$B64)</x:f>
        <x:v>199990000</x:v>
      </x:c>
      <x:c r="H64" s="202">
        <x:f>SUMIFS('(계획)비용계획 상세_26년'!N:N,'(계획)비용계획 상세_26년'!$I:$I,'(계획)손익계산서 월별계획'!$B$53,'(계획)비용계획 상세_26년'!$B:$B,'(계획)손익계산서 월별계획'!$B64)</x:f>
        <x:v>39490000</x:v>
      </x:c>
      <x:c r="I64" s="202">
        <x:f>SUMIFS('(계획)비용계획 상세_26년'!O:O,'(계획)비용계획 상세_26년'!$I:$I,'(계획)손익계산서 월별계획'!$B$53,'(계획)비용계획 상세_26년'!$B:$B,'(계획)손익계산서 월별계획'!$B64)</x:f>
        <x:v>103990000</x:v>
      </x:c>
      <x:c r="J64" s="202">
        <x:f>SUMIFS('(계획)비용계획 상세_26년'!P:P,'(계획)비용계획 상세_26년'!$I:$I,'(계획)손익계산서 월별계획'!$B$53,'(계획)비용계획 상세_26년'!$B:$B,'(계획)손익계산서 월별계획'!$B64)</x:f>
        <x:v>39490000</x:v>
      </x:c>
      <x:c r="K64" s="202">
        <x:f>SUMIFS('(계획)비용계획 상세_26년'!Q:Q,'(계획)비용계획 상세_26년'!$I:$I,'(계획)손익계산서 월별계획'!$B$53,'(계획)비용계획 상세_26년'!$B:$B,'(계획)손익계산서 월별계획'!$B64)</x:f>
        <x:v>127990000</x:v>
      </x:c>
      <x:c r="L64" s="202">
        <x:f>SUMIFS('(계획)비용계획 상세_26년'!R:R,'(계획)비용계획 상세_26년'!$I:$I,'(계획)손익계산서 월별계획'!$B$53,'(계획)비용계획 상세_26년'!$B:$B,'(계획)손익계산서 월별계획'!$B64)</x:f>
        <x:v>41990000</x:v>
      </x:c>
      <x:c r="M64" s="202">
        <x:f>SUMIFS('(계획)비용계획 상세_26년'!S:S,'(계획)비용계획 상세_26년'!$I:$I,'(계획)손익계산서 월별계획'!$B$53,'(계획)비용계획 상세_26년'!$B:$B,'(계획)손익계산서 월별계획'!$B64)</x:f>
        <x:v>31990000</x:v>
      </x:c>
      <x:c r="N64" s="202">
        <x:f>SUMIFS('(계획)비용계획 상세_26년'!T:T,'(계획)비용계획 상세_26년'!$I:$I,'(계획)손익계산서 월별계획'!$B$53,'(계획)비용계획 상세_26년'!$B:$B,'(계획)손익계산서 월별계획'!$B64)</x:f>
        <x:v>33390000</x:v>
      </x:c>
      <x:c r="O64" s="202">
        <x:f>SUMIFS('(계획)비용계획 상세_26년'!U:U,'(계획)비용계획 상세_26년'!$I:$I,'(계획)손익계산서 월별계획'!$B$53,'(계획)비용계획 상세_26년'!$B:$B,'(계획)손익계산서 월별계획'!$B64)</x:f>
        <x:v>31990000</x:v>
      </x:c>
      <x:c r="P64" s="202">
        <x:f>SUMIFS('(계획)비용계획 상세_26년'!V:V,'(계획)비용계획 상세_26년'!$I:$I,'(계획)손익계산서 월별계획'!$B$53,'(계획)비용계획 상세_26년'!$B:$B,'(계획)손익계산서 월별계획'!$B64)</x:f>
        <x:v>31990000</x:v>
      </x:c>
    </x:row>
    <x:row r="65" spans="2:21" ht="13.5">
      <x:c r="B65" s="68" t="s">
        <x:v>46</x:v>
      </x:c>
      <x:c r="C65" s="241">
        <x:f t="shared" si="12"/>
        <x:v>0</x:v>
      </x:c>
      <x:c r="D65" s="241"/>
      <x:c r="E65" s="202">
        <x:f>SUMIFS('(계획)비용계획 상세_26년'!K:K,'(계획)비용계획 상세_26년'!$I:$I,'(계획)손익계산서 월별계획'!$B$53,'(계획)비용계획 상세_26년'!$B:$B,'(계획)손익계산서 월별계획'!$B65)</x:f>
        <x:v>0</x:v>
      </x:c>
      <x:c r="F65" s="202">
        <x:f>SUMIFS('(계획)비용계획 상세_26년'!L:L,'(계획)비용계획 상세_26년'!$I:$I,'(계획)손익계산서 월별계획'!$B$53,'(계획)비용계획 상세_26년'!$B:$B,'(계획)손익계산서 월별계획'!$B65)</x:f>
        <x:v>0</x:v>
      </x:c>
      <x:c r="G65" s="202">
        <x:f>SUMIFS('(계획)비용계획 상세_26년'!M:M,'(계획)비용계획 상세_26년'!$I:$I,'(계획)손익계산서 월별계획'!$B$53,'(계획)비용계획 상세_26년'!$B:$B,'(계획)손익계산서 월별계획'!$B65)</x:f>
        <x:v>0</x:v>
      </x:c>
      <x:c r="H65" s="202">
        <x:f>SUMIFS('(계획)비용계획 상세_26년'!N:N,'(계획)비용계획 상세_26년'!$I:$I,'(계획)손익계산서 월별계획'!$B$53,'(계획)비용계획 상세_26년'!$B:$B,'(계획)손익계산서 월별계획'!$B65)</x:f>
        <x:v>0</x:v>
      </x:c>
      <x:c r="I65" s="202">
        <x:f>SUMIFS('(계획)비용계획 상세_26년'!O:O,'(계획)비용계획 상세_26년'!$I:$I,'(계획)손익계산서 월별계획'!$B$53,'(계획)비용계획 상세_26년'!$B:$B,'(계획)손익계산서 월별계획'!$B65)</x:f>
        <x:v>0</x:v>
      </x:c>
      <x:c r="J65" s="202">
        <x:f>SUMIFS('(계획)비용계획 상세_26년'!P:P,'(계획)비용계획 상세_26년'!$I:$I,'(계획)손익계산서 월별계획'!$B$53,'(계획)비용계획 상세_26년'!$B:$B,'(계획)손익계산서 월별계획'!$B65)</x:f>
        <x:v>0</x:v>
      </x:c>
      <x:c r="K65" s="202">
        <x:f>SUMIFS('(계획)비용계획 상세_26년'!Q:Q,'(계획)비용계획 상세_26년'!$I:$I,'(계획)손익계산서 월별계획'!$B$53,'(계획)비용계획 상세_26년'!$B:$B,'(계획)손익계산서 월별계획'!$B65)</x:f>
        <x:v>0</x:v>
      </x:c>
      <x:c r="L65" s="202">
        <x:f>SUMIFS('(계획)비용계획 상세_26년'!R:R,'(계획)비용계획 상세_26년'!$I:$I,'(계획)손익계산서 월별계획'!$B$53,'(계획)비용계획 상세_26년'!$B:$B,'(계획)손익계산서 월별계획'!$B65)</x:f>
        <x:v>0</x:v>
      </x:c>
      <x:c r="M65" s="202">
        <x:f>SUMIFS('(계획)비용계획 상세_26년'!S:S,'(계획)비용계획 상세_26년'!$I:$I,'(계획)손익계산서 월별계획'!$B$53,'(계획)비용계획 상세_26년'!$B:$B,'(계획)손익계산서 월별계획'!$B65)</x:f>
        <x:v>0</x:v>
      </x:c>
      <x:c r="N65" s="202">
        <x:f>SUMIFS('(계획)비용계획 상세_26년'!T:T,'(계획)비용계획 상세_26년'!$I:$I,'(계획)손익계산서 월별계획'!$B$53,'(계획)비용계획 상세_26년'!$B:$B,'(계획)손익계산서 월별계획'!$B65)</x:f>
        <x:v>0</x:v>
      </x:c>
      <x:c r="O65" s="202">
        <x:f>SUMIFS('(계획)비용계획 상세_26년'!U:U,'(계획)비용계획 상세_26년'!$I:$I,'(계획)손익계산서 월별계획'!$B$53,'(계획)비용계획 상세_26년'!$B:$B,'(계획)손익계산서 월별계획'!$B65)</x:f>
        <x:v>0</x:v>
      </x:c>
      <x:c r="P65" s="202">
        <x:f>SUMIFS('(계획)비용계획 상세_26년'!V:V,'(계획)비용계획 상세_26년'!$I:$I,'(계획)손익계산서 월별계획'!$B$53,'(계획)비용계획 상세_26년'!$B:$B,'(계획)손익계산서 월별계획'!$B65)</x:f>
        <x:v>0</x:v>
      </x:c>
    </x:row>
    <x:row r="66" spans="2:21" ht="13.5">
      <x:c r="B66" s="68" t="s">
        <x:v>47</x:v>
      </x:c>
      <x:c r="C66" s="241">
        <x:f t="shared" si="12"/>
        <x:v>0</x:v>
      </x:c>
      <x:c r="D66" s="241"/>
      <x:c r="E66" s="202">
        <x:f>SUMIFS('(계획)비용계획 상세_26년'!K:K,'(계획)비용계획 상세_26년'!$I:$I,'(계획)손익계산서 월별계획'!$B$53,'(계획)비용계획 상세_26년'!$B:$B,'(계획)손익계산서 월별계획'!$B66)</x:f>
        <x:v>0</x:v>
      </x:c>
      <x:c r="F66" s="202">
        <x:f>SUMIFS('(계획)비용계획 상세_26년'!L:L,'(계획)비용계획 상세_26년'!$I:$I,'(계획)손익계산서 월별계획'!$B$53,'(계획)비용계획 상세_26년'!$B:$B,'(계획)손익계산서 월별계획'!$B66)</x:f>
        <x:v>0</x:v>
      </x:c>
      <x:c r="G66" s="202">
        <x:f>SUMIFS('(계획)비용계획 상세_26년'!M:M,'(계획)비용계획 상세_26년'!$I:$I,'(계획)손익계산서 월별계획'!$B$53,'(계획)비용계획 상세_26년'!$B:$B,'(계획)손익계산서 월별계획'!$B66)</x:f>
        <x:v>0</x:v>
      </x:c>
      <x:c r="H66" s="202">
        <x:f>SUMIFS('(계획)비용계획 상세_26년'!N:N,'(계획)비용계획 상세_26년'!$I:$I,'(계획)손익계산서 월별계획'!$B$53,'(계획)비용계획 상세_26년'!$B:$B,'(계획)손익계산서 월별계획'!$B66)</x:f>
        <x:v>0</x:v>
      </x:c>
      <x:c r="I66" s="202">
        <x:f>SUMIFS('(계획)비용계획 상세_26년'!O:O,'(계획)비용계획 상세_26년'!$I:$I,'(계획)손익계산서 월별계획'!$B$53,'(계획)비용계획 상세_26년'!$B:$B,'(계획)손익계산서 월별계획'!$B66)</x:f>
        <x:v>0</x:v>
      </x:c>
      <x:c r="J66" s="202">
        <x:f>SUMIFS('(계획)비용계획 상세_26년'!P:P,'(계획)비용계획 상세_26년'!$I:$I,'(계획)손익계산서 월별계획'!$B$53,'(계획)비용계획 상세_26년'!$B:$B,'(계획)손익계산서 월별계획'!$B66)</x:f>
        <x:v>0</x:v>
      </x:c>
      <x:c r="K66" s="202">
        <x:f>SUMIFS('(계획)비용계획 상세_26년'!Q:Q,'(계획)비용계획 상세_26년'!$I:$I,'(계획)손익계산서 월별계획'!$B$53,'(계획)비용계획 상세_26년'!$B:$B,'(계획)손익계산서 월별계획'!$B66)</x:f>
        <x:v>0</x:v>
      </x:c>
      <x:c r="L66" s="202">
        <x:f>SUMIFS('(계획)비용계획 상세_26년'!R:R,'(계획)비용계획 상세_26년'!$I:$I,'(계획)손익계산서 월별계획'!$B$53,'(계획)비용계획 상세_26년'!$B:$B,'(계획)손익계산서 월별계획'!$B66)</x:f>
        <x:v>0</x:v>
      </x:c>
      <x:c r="M66" s="202">
        <x:f>SUMIFS('(계획)비용계획 상세_26년'!S:S,'(계획)비용계획 상세_26년'!$I:$I,'(계획)손익계산서 월별계획'!$B$53,'(계획)비용계획 상세_26년'!$B:$B,'(계획)손익계산서 월별계획'!$B66)</x:f>
        <x:v>0</x:v>
      </x:c>
      <x:c r="N66" s="202">
        <x:f>SUMIFS('(계획)비용계획 상세_26년'!T:T,'(계획)비용계획 상세_26년'!$I:$I,'(계획)손익계산서 월별계획'!$B$53,'(계획)비용계획 상세_26년'!$B:$B,'(계획)손익계산서 월별계획'!$B66)</x:f>
        <x:v>0</x:v>
      </x:c>
      <x:c r="O66" s="202">
        <x:f>SUMIFS('(계획)비용계획 상세_26년'!U:U,'(계획)비용계획 상세_26년'!$I:$I,'(계획)손익계산서 월별계획'!$B$53,'(계획)비용계획 상세_26년'!$B:$B,'(계획)손익계산서 월별계획'!$B66)</x:f>
        <x:v>0</x:v>
      </x:c>
      <x:c r="P66" s="202">
        <x:f>SUMIFS('(계획)비용계획 상세_26년'!V:V,'(계획)비용계획 상세_26년'!$I:$I,'(계획)손익계산서 월별계획'!$B$53,'(계획)비용계획 상세_26년'!$B:$B,'(계획)손익계산서 월별계획'!$B66)</x:f>
        <x:v>0</x:v>
      </x:c>
    </x:row>
    <x:row r="67" spans="2:21" ht="13.5">
      <x:c r="B67" s="68" t="s">
        <x:v>48</x:v>
      </x:c>
      <x:c r="C67" s="241">
        <x:f t="shared" si="12"/>
        <x:v>89460229.333333313</x:v>
      </x:c>
      <x:c r="D67" s="241"/>
      <x:c r="E67" s="202">
        <x:f>SUMIFS('(계획)비용계획 상세_26년'!K:K,'(계획)비용계획 상세_26년'!$I:$I,'(계획)손익계산서 월별계획'!$B$53,'(계획)비용계획 상세_26년'!$B:$B,'(계획)손익계산서 월별계획'!$B67)</x:f>
        <x:v>6670019.111111111</x:v>
      </x:c>
      <x:c r="F67" s="202">
        <x:f>SUMIFS('(계획)비용계획 상세_26년'!L:L,'(계획)비용계획 상세_26년'!$I:$I,'(계획)손익계산서 월별계획'!$B$53,'(계획)비용계획 상세_26년'!$B:$B,'(계획)손익계산서 월별계획'!$B67)</x:f>
        <x:v>6670019.111111111</x:v>
      </x:c>
      <x:c r="G67" s="202">
        <x:f>SUMIFS('(계획)비용계획 상세_26년'!M:M,'(계획)비용계획 상세_26년'!$I:$I,'(계획)손익계산서 월별계획'!$B$53,'(계획)비용계획 상세_26년'!$B:$B,'(계획)손익계산서 월별계획'!$B67)</x:f>
        <x:v>15670019.11111111</x:v>
      </x:c>
      <x:c r="H67" s="202">
        <x:f>SUMIFS('(계획)비용계획 상세_26년'!N:N,'(계획)비용계획 상세_26년'!$I:$I,'(계획)손익계산서 월별계획'!$B$53,'(계획)비용계획 상세_26년'!$B:$B,'(계획)손익계산서 월별계획'!$B67)</x:f>
        <x:v>6670019.111111111</x:v>
      </x:c>
      <x:c r="I67" s="202">
        <x:f>SUMIFS('(계획)비용계획 상세_26년'!O:O,'(계획)비용계획 상세_26년'!$I:$I,'(계획)손익계산서 월별계획'!$B$53,'(계획)비용계획 상세_26년'!$B:$B,'(계획)손익계산서 월별계획'!$B67)</x:f>
        <x:v>7330019.111111111</x:v>
      </x:c>
      <x:c r="J67" s="202">
        <x:f>SUMIFS('(계획)비용계획 상세_26년'!P:P,'(계획)비용계획 상세_26년'!$I:$I,'(계획)손익계산서 월별계획'!$B$53,'(계획)비용계획 상세_26년'!$B:$B,'(계획)손익계산서 월별계획'!$B67)</x:f>
        <x:v>6670019.111111111</x:v>
      </x:c>
      <x:c r="K67" s="202">
        <x:f>SUMIFS('(계획)비용계획 상세_26년'!Q:Q,'(계획)비용계획 상세_26년'!$I:$I,'(계획)손익계산서 월별계획'!$B$53,'(계획)비용계획 상세_26년'!$B:$B,'(계획)손익계산서 월별계획'!$B67)</x:f>
        <x:v>6520019.111111111</x:v>
      </x:c>
      <x:c r="L67" s="202">
        <x:f>SUMIFS('(계획)비용계획 상세_26년'!R:R,'(계획)비용계획 상세_26년'!$I:$I,'(계획)손익계산서 월별계획'!$B$53,'(계획)비용계획 상세_26년'!$B:$B,'(계획)손익계산서 월별계획'!$B67)</x:f>
        <x:v>6520019.111111111</x:v>
      </x:c>
      <x:c r="M67" s="202">
        <x:f>SUMIFS('(계획)비용계획 상세_26년'!S:S,'(계획)비용계획 상세_26년'!$I:$I,'(계획)손익계산서 월별계획'!$B$53,'(계획)비용계획 상세_26년'!$B:$B,'(계획)손익계산서 월별계획'!$B67)</x:f>
        <x:v>6520019.111111111</x:v>
      </x:c>
      <x:c r="N67" s="202">
        <x:f>SUMIFS('(계획)비용계획 상세_26년'!T:T,'(계획)비용계획 상세_26년'!$I:$I,'(계획)손익계산서 월별계획'!$B$53,'(계획)비용계획 상세_26년'!$B:$B,'(계획)손익계산서 월별계획'!$B67)</x:f>
        <x:v>6520019.111111111</x:v>
      </x:c>
      <x:c r="O67" s="202">
        <x:f>SUMIFS('(계획)비용계획 상세_26년'!U:U,'(계획)비용계획 상세_26년'!$I:$I,'(계획)손익계산서 월별계획'!$B$53,'(계획)비용계획 상세_26년'!$B:$B,'(계획)손익계산서 월별계획'!$B67)</x:f>
        <x:v>7180019.111111111</x:v>
      </x:c>
      <x:c r="P67" s="202">
        <x:f>SUMIFS('(계획)비용계획 상세_26년'!V:V,'(계획)비용계획 상세_26년'!$I:$I,'(계획)손익계산서 월별계획'!$B$53,'(계획)비용계획 상세_26년'!$B:$B,'(계획)손익계산서 월별계획'!$B67)</x:f>
        <x:v>6520019.111111111</x:v>
      </x:c>
    </x:row>
    <x:row r="68" spans="2:21" ht="13.5">
      <x:c r="B68" s="17" t="s">
        <x:v>27</x:v>
      </x:c>
      <x:c r="C68" s="18">
        <x:f>SUM(E68:P68)</x:f>
        <x:v>-9547909095.8694515</x:v>
      </x:c>
      <x:c r="D68" s="18">
        <x:v>0</x:v>
      </x:c>
      <x:c r="E68" s="18">
        <x:f>+E16-E18</x:f>
        <x:v>-1212296423.8083899</x:v>
      </x:c>
      <x:c r="F68" s="18">
        <x:f t="shared" ref="F68:P68" si="13">+F16-F18</x:f>
        <x:v>-1289040566.4696584</x:v>
      </x:c>
      <x:c r="G68" s="18">
        <x:f t="shared" si="13"/>
        <x:v>-792640234.12554741</x:v>
      </x:c>
      <x:c r="H68" s="18">
        <x:f t="shared" si="13"/>
        <x:v>-860287738.83859992</x:v>
      </x:c>
      <x:c r="I68" s="18">
        <x:f t="shared" si="13"/>
        <x:v>-746437517.36840677</x:v>
      </x:c>
      <x:c r="J68" s="18">
        <x:f t="shared" si="13"/>
        <x:v>94412523.159156322</x:v>
      </x:c>
      <x:c r="K68" s="18">
        <x:f t="shared" si="13"/>
        <x:v>-798399850.54643917</x:v>
      </x:c>
      <x:c r="L68" s="18">
        <x:f t="shared" si="13"/>
        <x:v>-845612044.5311048</x:v>
      </x:c>
      <x:c r="M68" s="18">
        <x:f t="shared" si="13"/>
        <x:v>-827173044.77802086</x:v>
      </x:c>
      <x:c r="N68" s="18">
        <x:f t="shared" si="13"/>
        <x:v>-865100099.20076561</x:v>
      </x:c>
      <x:c r="O68" s="18">
        <x:f t="shared" si="13"/>
        <x:v>-932513179.0103209</x:v>
      </x:c>
      <x:c r="P68" s="18">
        <x:f t="shared" si="13"/>
        <x:v>-472820920.35135245</x:v>
      </x:c>
    </x:row>
    <x:row r="69" spans="2:21" ht="13.5">
      <x:c r="B69" s="31" t="s">
        <x:v>28</x:v>
      </x:c>
      <x:c r="C69" s="32">
        <x:f>C68/C6</x:f>
        <x:v>-0.2010146379791031</x:v>
      </x:c>
      <x:c r="D69" s="33">
        <x:v>0</x:v>
      </x:c>
      <x:c r="E69" s="57">
        <x:f>E68/E6</x:f>
        <x:v>-0.6727603146442388</x:v>
      </x:c>
      <x:c r="F69" s="57">
        <x:f t="shared" ref="F69:P69" si="14">F68/F6</x:f>
        <x:v>-0.56856783793140131</x:v>
      </x:c>
      <x:c r="G69" s="57">
        <x:f t="shared" si="14"/>
        <x:v>-0.24664475073832023</x:v>
      </x:c>
      <x:c r="H69" s="57">
        <x:f t="shared" si="14"/>
        <x:v>-0.14641519438578549</x:v>
      </x:c>
      <x:c r="I69" s="79">
        <x:f t="shared" si="14"/>
        <x:v>-0.24586177710433449</x:v>
      </x:c>
      <x:c r="J69" s="79">
        <x:f t="shared" si="14"/>
        <x:v>2.1463537016277193E-2</x:v>
      </x:c>
      <x:c r="K69" s="79">
        <x:f t="shared" si="14"/>
        <x:v>-0.19101181292312627</x:v>
      </x:c>
      <x:c r="L69" s="79">
        <x:f t="shared" si="14"/>
        <x:v>-0.39668985194789713</x:v>
      </x:c>
      <x:c r="M69" s="79">
        <x:f t="shared" si="14"/>
        <x:v>-0.30064007609917437</x:v>
      </x:c>
      <x:c r="N69" s="79">
        <x:f t="shared" si="14"/>
        <x:v>-0.32439668496431201</x:v>
      </x:c>
      <x:c r="O69" s="79">
        <x:f t="shared" si="14"/>
        <x:v>-0.36489354592923862</x:v>
      </x:c>
      <x:c r="P69" s="79">
        <x:f t="shared" si="14"/>
        <x:v>-3.7465822055471804E-2</x:v>
      </x:c>
    </x:row>
    <x:row r="70" spans="2:21">
      <x:c r="U70" s="367"/>
    </x:row>
    <x:row r="71" spans="2:21">
      <x:c r="U71" s="367"/>
    </x:row>
    <x:row r="72" spans="2:21">
      <x:c r="U72" s="367"/>
    </x:row>
    <x:row r="74" spans="2:21">
      <x:c r="C74" s="7">
        <x:v>-9547909095.8694477</x:v>
      </x:c>
    </x:row>
  </x:sheetData>
  <x:phoneticPr fontId="14" type="noConversion"/>
  <x:pageMargins left="0.7" right="0.7" top="0.75" bottom="0.75" header="0.3" footer="0.3"/>
  <x:pageSetup paperSize="9" orientation="portrait" r:id="rId1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2B235E-53A6-4F31-ACB6-80E2033D7E2F}" mc:Ignorable="x14ac xr xr2 xr3">
  <x:sheetPr>
    <x:tabColor theme="4" tint="0.79998168889431442"/>
    <x:pageSetUpPr fitToPage="1"/>
  </x:sheetPr>
  <x:dimension ref="B2:AC148"/>
  <x:sheetViews>
    <x:sheetView topLeftCell="H11" zoomScale="70" zoomScaleNormal="70" workbookViewId="0">
      <x:selection activeCell="X5" sqref="X5:Y22"/>
    </x:sheetView>
  </x:sheetViews>
  <x:sheetFormatPr defaultColWidth="10.42578125" defaultRowHeight="16.5"/>
  <x:cols>
    <x:col min="1" max="1" width="1.7109375" style="368" customWidth="1"/>
    <x:col min="2" max="3" width="10.42578125" style="368"/>
    <x:col min="4" max="4" width="37.140625" style="368" customWidth="1"/>
    <x:col min="5" max="5" width="18.7109375" style="368" customWidth="1"/>
    <x:col min="6" max="8" width="18.7109375" style="369" customWidth="1"/>
    <x:col min="9" max="17" width="18.7109375" style="368" customWidth="1"/>
    <x:col min="18" max="18" width="39.28515625" style="368" customWidth="1"/>
    <x:col min="19" max="19" width="12.85546875" style="368" bestFit="1" customWidth="1"/>
    <x:col min="20" max="20" width="18.5703125" style="368" bestFit="1" customWidth="1"/>
    <x:col min="21" max="22" width="10.42578125" style="368"/>
    <x:col min="23" max="23" width="17.7109375" style="368" bestFit="1" customWidth="1"/>
    <x:col min="24" max="24" width="20.140625" style="368" bestFit="1" customWidth="1"/>
    <x:col min="25" max="25" width="13.85546875" style="368" bestFit="1" customWidth="1"/>
    <x:col min="26" max="28" width="10.42578125" style="368"/>
    <x:col min="29" max="29" width="16.7109375" style="368" bestFit="1" customWidth="1"/>
    <x:col min="30" max="16384" width="10.42578125" style="368"/>
  </x:cols>
  <x:sheetData>
    <x:row r="2" spans="2:29" ht="31.5">
      <x:c r="B2" s="375" t="s">
        <x:v>621</x:v>
      </x:c>
      <x:c r="R2" s="376" t="s">
        <x:v>263</x:v>
      </x:c>
    </x:row>
    <x:row r="3" spans="2:29" ht="30" customHeight="1">
      <x:c r="B3" s="377" t="s">
        <x:v>264</x:v>
      </x:c>
      <x:c r="C3" s="377" t="s">
        <x:v>265</x:v>
      </x:c>
      <x:c r="D3" s="377" t="s">
        <x:v>266</x:v>
      </x:c>
      <x:c r="E3" s="378" t="s">
        <x:v>399</x:v>
      </x:c>
      <x:c r="F3" s="378" t="s">
        <x:v>400</x:v>
      </x:c>
      <x:c r="G3" s="378" t="s">
        <x:v>401</x:v>
      </x:c>
      <x:c r="H3" s="378" t="s">
        <x:v>402</x:v>
      </x:c>
      <x:c r="I3" s="378" t="s">
        <x:v>403</x:v>
      </x:c>
      <x:c r="J3" s="378" t="s">
        <x:v>404</x:v>
      </x:c>
      <x:c r="K3" s="378" t="s">
        <x:v>405</x:v>
      </x:c>
      <x:c r="L3" s="378" t="s">
        <x:v>406</x:v>
      </x:c>
      <x:c r="M3" s="378" t="s">
        <x:v>407</x:v>
      </x:c>
      <x:c r="N3" s="378" t="s">
        <x:v>408</x:v>
      </x:c>
      <x:c r="O3" s="378" t="s">
        <x:v>409</x:v>
      </x:c>
      <x:c r="P3" s="378" t="s">
        <x:v>410</x:v>
      </x:c>
      <x:c r="Q3" s="378" t="s">
        <x:v>267</x:v>
      </x:c>
      <x:c r="R3" s="378" t="s">
        <x:v>268</x:v>
      </x:c>
      <x:c r="W3" s="374"/>
      <x:c r="X3" s="374"/>
      <x:c r="Y3" s="379"/>
      <x:c r="Z3" s="379"/>
      <x:c r="AA3" s="379"/>
      <x:c r="AB3" s="379"/>
      <x:c r="AC3" s="379"/>
    </x:row>
    <x:row r="4" spans="2:29" ht="30" customHeight="1">
      <x:c r="B4" s="492">
        <x:v>1</x:v>
      </x:c>
      <x:c r="C4" s="494" t="s">
        <x:v>273</x:v>
      </x:c>
      <x:c r="D4" s="380" t="s">
        <x:v>270</x:v>
      </x:c>
      <x:c r="E4" s="381"/>
      <x:c r="F4" s="381"/>
      <x:c r="G4" s="381"/>
      <x:c r="H4" s="381"/>
      <x:c r="I4" s="381"/>
      <x:c r="J4" s="381"/>
      <x:c r="K4" s="381"/>
      <x:c r="L4" s="381"/>
      <x:c r="M4" s="381"/>
      <x:c r="N4" s="381"/>
      <x:c r="O4" s="381"/>
      <x:c r="P4" s="381"/>
      <x:c r="Q4" s="381">
        <x:f>SUM(E4:P4)</x:f>
        <x:v>0</x:v>
      </x:c>
      <x:c r="R4" s="382"/>
      <x:c r="S4" s="370"/>
      <x:c r="T4" s="374"/>
      <x:c r="W4" s="374"/>
      <x:c r="X4" s="374"/>
      <x:c r="Y4" s="379"/>
      <x:c r="Z4" s="379"/>
      <x:c r="AA4" s="379"/>
      <x:c r="AB4" s="379"/>
      <x:c r="AC4" s="379"/>
    </x:row>
    <x:row r="5" spans="2:29" ht="30" customHeight="1">
      <x:c r="B5" s="493"/>
      <x:c r="C5" s="494"/>
      <x:c r="D5" s="4" t="s">
        <x:v>274</x:v>
      </x:c>
      <x:c r="E5" s="371">
        <x:v>268009000</x:v>
      </x:c>
      <x:c r="F5" s="371">
        <x:v>470499568</x:v>
      </x:c>
      <x:c r="G5" s="371">
        <x:v>581814052</x:v>
      </x:c>
      <x:c r="H5" s="371">
        <x:v>916682560</x:v>
      </x:c>
      <x:c r="I5" s="371">
        <x:v>897375852</x:v>
      </x:c>
      <x:c r="J5" s="371">
        <x:v>903742952</x:v>
      </x:c>
      <x:c r="K5" s="371">
        <x:v>1032380066</x:v>
      </x:c>
      <x:c r="L5" s="371">
        <x:v>832505164</x:v>
      </x:c>
      <x:c r="M5" s="371">
        <x:v>841903084</x:v>
      </x:c>
      <x:c r="N5" s="371">
        <x:v>771418684</x:v>
      </x:c>
      <x:c r="O5" s="371">
        <x:v>771418684</x:v>
      </x:c>
      <x:c r="P5" s="371">
        <x:v>771418684</x:v>
      </x:c>
      <x:c r="Q5" s="371">
        <x:f t="shared" ref="Q5:Q14" si="0">SUM(E5:P5)</x:f>
        <x:v>9059168350</x:v>
      </x:c>
      <x:c r="R5" s="383"/>
      <x:c r="S5" s="370" t="s">
        <x:v>270</x:v>
      </x:c>
      <x:c r="T5" s="374" t="s">
        <x:v>334</x:v>
      </x:c>
      <x:c r="U5" s="370" t="s">
        <x:v>415</x:v>
      </x:c>
      <x:c r="V5" s="370" t="s">
        <x:v>416</x:v>
      </x:c>
      <x:c r="W5" s="374" t="s">
        <x:v>270</x:v>
      </x:c>
      <x:c r="X5" s="374"/>
      <x:c r="Y5" s="379"/>
      <x:c r="Z5" s="379"/>
      <x:c r="AA5" s="379"/>
      <x:c r="AB5" s="379"/>
      <x:c r="AC5" s="379"/>
    </x:row>
    <x:row r="6" spans="2:29" ht="30" customHeight="1">
      <x:c r="B6" s="492">
        <x:v>2</x:v>
      </x:c>
      <x:c r="C6" s="495"/>
      <x:c r="D6" s="380" t="s">
        <x:v>271</x:v>
      </x:c>
      <x:c r="E6" s="381"/>
      <x:c r="F6" s="381"/>
      <x:c r="G6" s="381"/>
      <x:c r="H6" s="381"/>
      <x:c r="I6" s="381"/>
      <x:c r="J6" s="381"/>
      <x:c r="K6" s="381"/>
      <x:c r="L6" s="381"/>
      <x:c r="M6" s="381"/>
      <x:c r="N6" s="381"/>
      <x:c r="O6" s="381"/>
      <x:c r="P6" s="381"/>
      <x:c r="Q6" s="384">
        <x:f t="shared" si="0"/>
        <x:v>0</x:v>
      </x:c>
      <x:c r="R6" s="385"/>
      <x:c r="S6" s="370"/>
      <x:c r="T6" s="374"/>
      <x:c r="U6" s="370"/>
      <x:c r="V6" s="370"/>
      <x:c r="W6" s="374"/>
      <x:c r="X6" s="374"/>
      <x:c r="Y6" s="379"/>
      <x:c r="Z6" s="379"/>
      <x:c r="AA6" s="379"/>
      <x:c r="AB6" s="379"/>
      <x:c r="AC6" s="379"/>
    </x:row>
    <x:row r="7" spans="2:29" ht="30" customHeight="1">
      <x:c r="B7" s="493"/>
      <x:c r="C7" s="495"/>
      <x:c r="D7" s="4" t="s">
        <x:v>320</x:v>
      </x:c>
      <x:c r="E7" s="371"/>
      <x:c r="F7" s="371"/>
      <x:c r="G7" s="371"/>
      <x:c r="H7" s="371"/>
      <x:c r="I7" s="371"/>
      <x:c r="J7" s="371"/>
      <x:c r="K7" s="371"/>
      <x:c r="L7" s="371"/>
      <x:c r="M7" s="371"/>
      <x:c r="N7" s="371"/>
      <x:c r="O7" s="371"/>
      <x:c r="P7" s="371"/>
      <x:c r="Q7" s="372">
        <x:f t="shared" si="0"/>
        <x:v>0</x:v>
      </x:c>
      <x:c r="R7" s="386"/>
      <x:c r="S7" s="370" t="s">
        <x:v>271</x:v>
      </x:c>
      <x:c r="T7" s="374" t="s">
        <x:v>184</x:v>
      </x:c>
      <x:c r="U7" s="370" t="s">
        <x:v>417</x:v>
      </x:c>
      <x:c r="V7" s="370" t="s">
        <x:v>416</x:v>
      </x:c>
      <x:c r="W7" s="374" t="s">
        <x:v>271</x:v>
      </x:c>
      <x:c r="X7" s="374"/>
      <x:c r="Y7" s="379"/>
      <x:c r="Z7" s="379"/>
      <x:c r="AA7" s="379"/>
      <x:c r="AB7" s="379"/>
      <x:c r="AC7" s="379"/>
    </x:row>
    <x:row r="8" spans="2:29" ht="30" customHeight="1">
      <x:c r="B8" s="492">
        <x:v>3</x:v>
      </x:c>
      <x:c r="C8" s="495"/>
      <x:c r="D8" s="380" t="s">
        <x:v>215</x:v>
      </x:c>
      <x:c r="E8" s="381"/>
      <x:c r="F8" s="381"/>
      <x:c r="G8" s="381"/>
      <x:c r="H8" s="381"/>
      <x:c r="I8" s="381"/>
      <x:c r="J8" s="381"/>
      <x:c r="K8" s="381"/>
      <x:c r="L8" s="381"/>
      <x:c r="M8" s="381"/>
      <x:c r="N8" s="381"/>
      <x:c r="O8" s="381"/>
      <x:c r="P8" s="381"/>
      <x:c r="Q8" s="384">
        <x:f t="shared" si="0"/>
        <x:v>0</x:v>
      </x:c>
      <x:c r="R8" s="385"/>
      <x:c r="S8" s="370"/>
      <x:c r="T8" s="374"/>
      <x:c r="U8" s="370"/>
      <x:c r="V8" s="370"/>
      <x:c r="W8" s="374"/>
      <x:c r="X8" s="374"/>
      <x:c r="AC8" s="379"/>
    </x:row>
    <x:row r="9" spans="2:29" ht="30" customHeight="1">
      <x:c r="B9" s="493"/>
      <x:c r="C9" s="495"/>
      <x:c r="D9" s="4" t="s">
        <x:v>275</x:v>
      </x:c>
      <x:c r="E9" s="371"/>
      <x:c r="F9" s="371"/>
      <x:c r="G9" s="371"/>
      <x:c r="H9" s="371"/>
      <x:c r="I9" s="371"/>
      <x:c r="J9" s="371"/>
      <x:c r="K9" s="371"/>
      <x:c r="L9" s="371"/>
      <x:c r="M9" s="371"/>
      <x:c r="N9" s="371"/>
      <x:c r="O9" s="371"/>
      <x:c r="P9" s="371"/>
      <x:c r="Q9" s="372">
        <x:f t="shared" si="0"/>
        <x:v>0</x:v>
      </x:c>
      <x:c r="R9" s="386"/>
      <x:c r="S9" s="370" t="s">
        <x:v>215</x:v>
      </x:c>
      <x:c r="T9" s="374" t="s">
        <x:v>334</x:v>
      </x:c>
      <x:c r="U9" s="370" t="s">
        <x:v>275</x:v>
      </x:c>
      <x:c r="V9" s="370" t="s">
        <x:v>416</x:v>
      </x:c>
      <x:c r="W9" s="374" t="s">
        <x:v>215</x:v>
      </x:c>
      <x:c r="X9" s="374"/>
      <x:c r="AC9" s="379"/>
    </x:row>
    <x:row r="10" spans="2:29" ht="30" customHeight="1">
      <x:c r="B10" s="492">
        <x:v>4</x:v>
      </x:c>
      <x:c r="C10" s="495"/>
      <x:c r="D10" s="380" t="s">
        <x:v>272</x:v>
      </x:c>
      <x:c r="E10" s="381"/>
      <x:c r="F10" s="381"/>
      <x:c r="G10" s="381"/>
      <x:c r="H10" s="381"/>
      <x:c r="I10" s="381"/>
      <x:c r="J10" s="381"/>
      <x:c r="K10" s="381"/>
      <x:c r="L10" s="381"/>
      <x:c r="M10" s="381"/>
      <x:c r="N10" s="381"/>
      <x:c r="O10" s="381"/>
      <x:c r="P10" s="381"/>
      <x:c r="Q10" s="384">
        <x:f t="shared" si="0"/>
        <x:v>0</x:v>
      </x:c>
      <x:c r="R10" s="382"/>
      <x:c r="S10" s="370"/>
      <x:c r="T10" s="374"/>
      <x:c r="U10" s="370"/>
      <x:c r="V10" s="370"/>
      <x:c r="W10" s="374"/>
      <x:c r="X10" s="374"/>
      <x:c r="AC10" s="379"/>
    </x:row>
    <x:row r="11" spans="2:29" ht="30" customHeight="1">
      <x:c r="B11" s="496"/>
      <x:c r="C11" s="495"/>
      <x:c r="D11" s="3" t="s">
        <x:v>398</x:v>
      </x:c>
      <x:c r="E11" s="371"/>
      <x:c r="F11" s="371"/>
      <x:c r="G11" s="371"/>
      <x:c r="H11" s="371"/>
      <x:c r="I11" s="371"/>
      <x:c r="J11" s="371"/>
      <x:c r="K11" s="371"/>
      <x:c r="L11" s="371"/>
      <x:c r="M11" s="371"/>
      <x:c r="N11" s="371"/>
      <x:c r="O11" s="371"/>
      <x:c r="P11" s="371"/>
      <x:c r="Q11" s="372">
        <x:f t="shared" si="0"/>
        <x:v>0</x:v>
      </x:c>
      <x:c r="R11" s="383"/>
      <x:c r="S11" s="370"/>
      <x:c r="T11" s="374"/>
      <x:c r="U11" s="370"/>
      <x:c r="V11" s="370"/>
      <x:c r="W11" s="374"/>
      <x:c r="X11" s="374"/>
    </x:row>
    <x:row r="12" spans="2:29" ht="30" customHeight="1">
      <x:c r="B12" s="492">
        <x:v>5</x:v>
      </x:c>
      <x:c r="C12" s="495"/>
      <x:c r="D12" s="387" t="s">
        <x:v>276</x:v>
      </x:c>
      <x:c r="E12" s="381"/>
      <x:c r="F12" s="381"/>
      <x:c r="G12" s="381"/>
      <x:c r="H12" s="381"/>
      <x:c r="I12" s="381"/>
      <x:c r="J12" s="381"/>
      <x:c r="K12" s="381"/>
      <x:c r="L12" s="381"/>
      <x:c r="M12" s="381"/>
      <x:c r="N12" s="381"/>
      <x:c r="O12" s="381"/>
      <x:c r="P12" s="381"/>
      <x:c r="Q12" s="384">
        <x:f t="shared" si="0"/>
        <x:v>0</x:v>
      </x:c>
      <x:c r="R12" s="382"/>
      <x:c r="S12" s="370"/>
      <x:c r="T12" s="374"/>
      <x:c r="U12" s="370"/>
      <x:c r="V12" s="370"/>
      <x:c r="W12" s="374"/>
      <x:c r="X12" s="374"/>
    </x:row>
    <x:row r="13" spans="2:29" ht="30" customHeight="1">
      <x:c r="B13" s="493"/>
      <x:c r="C13" s="495"/>
      <x:c r="D13" s="3" t="s">
        <x:v>397</x:v>
      </x:c>
      <x:c r="E13" s="371"/>
      <x:c r="F13" s="371"/>
      <x:c r="G13" s="371"/>
      <x:c r="H13" s="371"/>
      <x:c r="I13" s="371"/>
      <x:c r="J13" s="371"/>
      <x:c r="K13" s="371"/>
      <x:c r="L13" s="371"/>
      <x:c r="M13" s="371"/>
      <x:c r="N13" s="371"/>
      <x:c r="O13" s="371"/>
      <x:c r="P13" s="371"/>
      <x:c r="Q13" s="372">
        <x:f t="shared" si="0"/>
        <x:v>0</x:v>
      </x:c>
      <x:c r="R13" s="383"/>
      <x:c r="S13" s="370" t="s">
        <x:v>412</x:v>
      </x:c>
      <x:c r="T13" s="374" t="s">
        <x:v>184</x:v>
      </x:c>
      <x:c r="U13" s="370" t="s">
        <x:v>418</x:v>
      </x:c>
      <x:c r="V13" s="370" t="s">
        <x:v>416</x:v>
      </x:c>
      <x:c r="W13" s="374" t="s">
        <x:v>412</x:v>
      </x:c>
      <x:c r="X13" s="374"/>
    </x:row>
    <x:row r="14" spans="2:29" ht="30" customHeight="1">
      <x:c r="D14" s="377" t="s">
        <x:v>262</x:v>
      </x:c>
      <x:c r="E14" s="388"/>
      <x:c r="F14" s="388"/>
      <x:c r="G14" s="388"/>
      <x:c r="H14" s="388"/>
      <x:c r="I14" s="388"/>
      <x:c r="J14" s="388"/>
      <x:c r="K14" s="388"/>
      <x:c r="L14" s="388"/>
      <x:c r="M14" s="388"/>
      <x:c r="N14" s="388"/>
      <x:c r="O14" s="388"/>
      <x:c r="P14" s="388"/>
      <x:c r="Q14" s="388">
        <x:f t="shared" si="0"/>
        <x:v>0</x:v>
      </x:c>
      <x:c r="R14" s="389"/>
      <x:c r="S14" s="370"/>
      <x:c r="T14" s="374"/>
      <x:c r="U14" s="370"/>
      <x:c r="V14" s="370"/>
      <x:c r="W14" s="374"/>
      <x:c r="X14" s="374"/>
    </x:row>
    <x:row r="15" spans="2:29">
      <x:c r="F15" s="368"/>
      <x:c r="G15" s="368"/>
      <x:c r="H15" s="368"/>
      <x:c r="S15" s="370"/>
      <x:c r="T15" s="370"/>
      <x:c r="U15" s="370"/>
      <x:c r="V15" s="370"/>
    </x:row>
    <x:row r="16" spans="2:29">
      <x:c r="S16" s="370"/>
      <x:c r="T16" s="370"/>
      <x:c r="U16" s="370"/>
      <x:c r="V16" s="370"/>
    </x:row>
    <x:row r="17" spans="2:25" ht="31.5">
      <x:c r="B17" s="375" t="s">
        <x:v>622</x:v>
      </x:c>
      <x:c r="R17" s="376" t="s">
        <x:v>263</x:v>
      </x:c>
      <x:c r="S17" s="370"/>
      <x:c r="T17" s="370"/>
      <x:c r="U17" s="370"/>
      <x:c r="V17" s="370"/>
    </x:row>
    <x:row r="18" spans="2:25" ht="30" customHeight="1">
      <x:c r="B18" s="390" t="s">
        <x:v>264</x:v>
      </x:c>
      <x:c r="C18" s="390" t="s">
        <x:v>265</x:v>
      </x:c>
      <x:c r="D18" s="390" t="s">
        <x:v>266</x:v>
      </x:c>
      <x:c r="E18" s="391" t="s">
        <x:v>399</x:v>
      </x:c>
      <x:c r="F18" s="391" t="s">
        <x:v>400</x:v>
      </x:c>
      <x:c r="G18" s="391" t="s">
        <x:v>401</x:v>
      </x:c>
      <x:c r="H18" s="391" t="s">
        <x:v>402</x:v>
      </x:c>
      <x:c r="I18" s="391" t="s">
        <x:v>403</x:v>
      </x:c>
      <x:c r="J18" s="391" t="s">
        <x:v>404</x:v>
      </x:c>
      <x:c r="K18" s="391" t="s">
        <x:v>405</x:v>
      </x:c>
      <x:c r="L18" s="391" t="s">
        <x:v>406</x:v>
      </x:c>
      <x:c r="M18" s="391" t="s">
        <x:v>407</x:v>
      </x:c>
      <x:c r="N18" s="391" t="s">
        <x:v>408</x:v>
      </x:c>
      <x:c r="O18" s="391" t="s">
        <x:v>409</x:v>
      </x:c>
      <x:c r="P18" s="391" t="s">
        <x:v>410</x:v>
      </x:c>
      <x:c r="Q18" s="391" t="s">
        <x:v>267</x:v>
      </x:c>
      <x:c r="R18" s="391" t="s">
        <x:v>268</x:v>
      </x:c>
      <x:c r="S18" s="370"/>
      <x:c r="T18" s="370"/>
      <x:c r="U18" s="370"/>
      <x:c r="V18" s="370"/>
    </x:row>
    <x:row r="19" spans="2:25" ht="30" customHeight="1">
      <x:c r="B19" s="500">
        <x:v>1</x:v>
      </x:c>
      <x:c r="C19" s="494" t="s">
        <x:v>273</x:v>
      </x:c>
      <x:c r="D19" s="380" t="s">
        <x:v>270</x:v>
      </x:c>
      <x:c r="E19" s="381"/>
      <x:c r="F19" s="381"/>
      <x:c r="G19" s="381"/>
      <x:c r="H19" s="381"/>
      <x:c r="I19" s="381"/>
      <x:c r="J19" s="381"/>
      <x:c r="K19" s="381"/>
      <x:c r="L19" s="381"/>
      <x:c r="M19" s="381"/>
      <x:c r="N19" s="381"/>
      <x:c r="O19" s="381"/>
      <x:c r="P19" s="381"/>
      <x:c r="Q19" s="381">
        <x:f t="shared" ref="Q19:Q29" si="1">SUM(E19:P19)</x:f>
        <x:v>0</x:v>
      </x:c>
      <x:c r="R19" s="382"/>
      <x:c r="S19" s="370"/>
      <x:c r="T19" s="373"/>
      <x:c r="U19" s="370"/>
      <x:c r="V19" s="370"/>
    </x:row>
    <x:row r="20" spans="2:25" ht="30" customHeight="1">
      <x:c r="B20" s="501"/>
      <x:c r="C20" s="494"/>
      <x:c r="D20" s="4" t="s">
        <x:v>274</x:v>
      </x:c>
      <x:c r="E20" s="371">
        <x:v>154758500</x:v>
      </x:c>
      <x:c r="F20" s="371">
        <x:v>261536528</x:v>
      </x:c>
      <x:c r="G20" s="371">
        <x:v>320539802.00000006</x:v>
      </x:c>
      <x:c r="H20" s="371">
        <x:v>517598810</x:v>
      </x:c>
      <x:c r="I20" s="371">
        <x:v>506557096</x:v>
      </x:c>
      <x:c r="J20" s="371">
        <x:v>510213692</x:v>
      </x:c>
      <x:c r="K20" s="371">
        <x:v>587459976.99999988</x:v>
      </x:c>
      <x:c r="L20" s="371">
        <x:v>472831638.00000006</x:v>
      </x:c>
      <x:c r="M20" s="371">
        <x:v>478071614.00000006</x:v>
      </x:c>
      <x:c r="N20" s="371">
        <x:v>438771794.00000006</x:v>
      </x:c>
      <x:c r="O20" s="371">
        <x:v>438771794.00000006</x:v>
      </x:c>
      <x:c r="P20" s="371">
        <x:v>438771794.00000006</x:v>
      </x:c>
      <x:c r="Q20" s="371">
        <x:f t="shared" si="1"/>
        <x:v>5125883039</x:v>
      </x:c>
      <x:c r="R20" s="383"/>
      <x:c r="S20" s="370" t="s">
        <x:v>270</x:v>
      </x:c>
      <x:c r="T20" s="374" t="s">
        <x:v>334</x:v>
      </x:c>
      <x:c r="U20" s="370" t="s">
        <x:v>415</x:v>
      </x:c>
      <x:c r="V20" s="370" t="s">
        <x:v>420</x:v>
      </x:c>
      <x:c r="W20" s="368" t="s">
        <x:v>270</x:v>
      </x:c>
      <x:c r="X20" s="374"/>
      <x:c r="Y20" s="379"/>
    </x:row>
    <x:row r="21" spans="2:25" ht="30" customHeight="1">
      <x:c r="B21" s="500">
        <x:v>2</x:v>
      </x:c>
      <x:c r="C21" s="495"/>
      <x:c r="D21" s="380" t="s">
        <x:v>271</x:v>
      </x:c>
      <x:c r="E21" s="381"/>
      <x:c r="F21" s="381"/>
      <x:c r="G21" s="381"/>
      <x:c r="H21" s="381"/>
      <x:c r="I21" s="381"/>
      <x:c r="J21" s="381"/>
      <x:c r="K21" s="381"/>
      <x:c r="L21" s="381"/>
      <x:c r="M21" s="381"/>
      <x:c r="N21" s="381"/>
      <x:c r="O21" s="381"/>
      <x:c r="P21" s="381"/>
      <x:c r="Q21" s="384">
        <x:f t="shared" si="1"/>
        <x:v>0</x:v>
      </x:c>
      <x:c r="R21" s="385"/>
      <x:c r="S21" s="370"/>
      <x:c r="T21" s="374"/>
      <x:c r="U21" s="370"/>
      <x:c r="V21" s="370"/>
      <x:c r="X21" s="374"/>
    </x:row>
    <x:row r="22" spans="2:25" ht="30" customHeight="1">
      <x:c r="B22" s="501"/>
      <x:c r="C22" s="495"/>
      <x:c r="D22" s="4" t="s">
        <x:v>320</x:v>
      </x:c>
      <x:c r="E22" s="371"/>
      <x:c r="F22" s="371"/>
      <x:c r="G22" s="371"/>
      <x:c r="H22" s="371"/>
      <x:c r="I22" s="371"/>
      <x:c r="J22" s="371"/>
      <x:c r="K22" s="371"/>
      <x:c r="L22" s="371"/>
      <x:c r="M22" s="371"/>
      <x:c r="N22" s="371"/>
      <x:c r="O22" s="371"/>
      <x:c r="P22" s="371"/>
      <x:c r="Q22" s="371">
        <x:f t="shared" si="1"/>
        <x:v>0</x:v>
      </x:c>
      <x:c r="R22" s="392"/>
      <x:c r="S22" s="370" t="s">
        <x:v>271</x:v>
      </x:c>
      <x:c r="T22" s="374" t="s">
        <x:v>184</x:v>
      </x:c>
      <x:c r="U22" s="370" t="s">
        <x:v>417</x:v>
      </x:c>
      <x:c r="V22" s="370" t="s">
        <x:v>420</x:v>
      </x:c>
      <x:c r="W22" s="368" t="s">
        <x:v>271</x:v>
      </x:c>
      <x:c r="X22" s="374"/>
    </x:row>
    <x:row r="23" spans="2:25" ht="30" customHeight="1">
      <x:c r="B23" s="500">
        <x:v>3</x:v>
      </x:c>
      <x:c r="C23" s="495"/>
      <x:c r="D23" s="380" t="s">
        <x:v>215</x:v>
      </x:c>
      <x:c r="E23" s="381"/>
      <x:c r="F23" s="381"/>
      <x:c r="G23" s="381"/>
      <x:c r="H23" s="381"/>
      <x:c r="I23" s="381"/>
      <x:c r="J23" s="381"/>
      <x:c r="K23" s="381"/>
      <x:c r="L23" s="381"/>
      <x:c r="M23" s="381"/>
      <x:c r="N23" s="381"/>
      <x:c r="O23" s="381"/>
      <x:c r="P23" s="381"/>
      <x:c r="Q23" s="384">
        <x:f t="shared" si="1"/>
        <x:v>0</x:v>
      </x:c>
      <x:c r="R23" s="385"/>
      <x:c r="S23" s="370"/>
      <x:c r="T23" s="374"/>
      <x:c r="U23" s="370"/>
      <x:c r="V23" s="370"/>
      <x:c r="X23" s="374"/>
    </x:row>
    <x:row r="24" spans="2:25" ht="30" customHeight="1">
      <x:c r="B24" s="501"/>
      <x:c r="C24" s="495"/>
      <x:c r="D24" s="4" t="s">
        <x:v>275</x:v>
      </x:c>
      <x:c r="E24" s="371"/>
      <x:c r="F24" s="371"/>
      <x:c r="G24" s="371"/>
      <x:c r="H24" s="371"/>
      <x:c r="I24" s="371"/>
      <x:c r="J24" s="371"/>
      <x:c r="K24" s="371"/>
      <x:c r="L24" s="371"/>
      <x:c r="M24" s="371"/>
      <x:c r="N24" s="371"/>
      <x:c r="O24" s="371"/>
      <x:c r="P24" s="371"/>
      <x:c r="Q24" s="372">
        <x:f t="shared" si="1"/>
        <x:v>0</x:v>
      </x:c>
      <x:c r="R24" s="386"/>
      <x:c r="S24" s="370" t="s">
        <x:v>215</x:v>
      </x:c>
      <x:c r="T24" s="374" t="s">
        <x:v>334</x:v>
      </x:c>
      <x:c r="U24" s="370" t="s">
        <x:v>275</x:v>
      </x:c>
      <x:c r="V24" s="370" t="s">
        <x:v>420</x:v>
      </x:c>
      <x:c r="W24" s="368" t="s">
        <x:v>215</x:v>
      </x:c>
      <x:c r="X24" s="374"/>
    </x:row>
    <x:row r="25" spans="2:25" ht="30" customHeight="1">
      <x:c r="B25" s="500">
        <x:v>4</x:v>
      </x:c>
      <x:c r="C25" s="495"/>
      <x:c r="D25" s="380" t="s">
        <x:v>272</x:v>
      </x:c>
      <x:c r="E25" s="381"/>
      <x:c r="F25" s="381"/>
      <x:c r="G25" s="381"/>
      <x:c r="H25" s="381"/>
      <x:c r="I25" s="381"/>
      <x:c r="J25" s="381"/>
      <x:c r="K25" s="381"/>
      <x:c r="L25" s="381"/>
      <x:c r="M25" s="381"/>
      <x:c r="N25" s="381"/>
      <x:c r="O25" s="381"/>
      <x:c r="P25" s="381"/>
      <x:c r="Q25" s="384">
        <x:f t="shared" si="1"/>
        <x:v>0</x:v>
      </x:c>
      <x:c r="R25" s="393"/>
      <x:c r="S25" s="370"/>
      <x:c r="T25" s="374"/>
      <x:c r="U25" s="370"/>
      <x:c r="V25" s="370"/>
      <x:c r="X25" s="374"/>
    </x:row>
    <x:row r="26" spans="2:25" ht="30" customHeight="1">
      <x:c r="B26" s="502"/>
      <x:c r="C26" s="495"/>
      <x:c r="D26" s="3" t="s">
        <x:v>398</x:v>
      </x:c>
      <x:c r="E26" s="371"/>
      <x:c r="F26" s="371"/>
      <x:c r="G26" s="371"/>
      <x:c r="H26" s="371"/>
      <x:c r="I26" s="371"/>
      <x:c r="J26" s="371"/>
      <x:c r="K26" s="371"/>
      <x:c r="L26" s="371"/>
      <x:c r="M26" s="371"/>
      <x:c r="N26" s="371"/>
      <x:c r="O26" s="371"/>
      <x:c r="P26" s="371"/>
      <x:c r="Q26" s="372">
        <x:f t="shared" si="1"/>
        <x:v>0</x:v>
      </x:c>
      <x:c r="R26" s="383"/>
      <x:c r="S26" s="370"/>
      <x:c r="T26" s="374"/>
      <x:c r="U26" s="370"/>
      <x:c r="V26" s="370"/>
      <x:c r="X26" s="374"/>
    </x:row>
    <x:row r="27" spans="2:25" ht="30" customHeight="1">
      <x:c r="B27" s="500">
        <x:v>5</x:v>
      </x:c>
      <x:c r="C27" s="495"/>
      <x:c r="D27" s="387" t="s">
        <x:v>276</x:v>
      </x:c>
      <x:c r="E27" s="381"/>
      <x:c r="F27" s="381"/>
      <x:c r="G27" s="381"/>
      <x:c r="H27" s="381"/>
      <x:c r="I27" s="381"/>
      <x:c r="J27" s="381"/>
      <x:c r="K27" s="381"/>
      <x:c r="L27" s="381"/>
      <x:c r="M27" s="381"/>
      <x:c r="N27" s="381"/>
      <x:c r="O27" s="381"/>
      <x:c r="P27" s="381"/>
      <x:c r="Q27" s="384">
        <x:f t="shared" si="1"/>
        <x:v>0</x:v>
      </x:c>
      <x:c r="R27" s="382"/>
      <x:c r="S27" s="370"/>
      <x:c r="T27" s="374"/>
      <x:c r="U27" s="370"/>
      <x:c r="V27" s="370"/>
      <x:c r="X27" s="374"/>
    </x:row>
    <x:row r="28" spans="2:25" ht="30" customHeight="1">
      <x:c r="B28" s="501"/>
      <x:c r="C28" s="495"/>
      <x:c r="D28" s="3" t="s">
        <x:v>397</x:v>
      </x:c>
      <x:c r="E28" s="371"/>
      <x:c r="F28" s="371"/>
      <x:c r="G28" s="371"/>
      <x:c r="H28" s="371"/>
      <x:c r="I28" s="371"/>
      <x:c r="J28" s="371"/>
      <x:c r="K28" s="371"/>
      <x:c r="L28" s="371"/>
      <x:c r="M28" s="371"/>
      <x:c r="N28" s="371"/>
      <x:c r="O28" s="371"/>
      <x:c r="P28" s="371"/>
      <x:c r="Q28" s="372">
        <x:f t="shared" si="1"/>
        <x:v>0</x:v>
      </x:c>
      <x:c r="R28" s="383"/>
      <x:c r="S28" s="370" t="s">
        <x:v>412</x:v>
      </x:c>
      <x:c r="T28" s="374" t="s">
        <x:v>184</x:v>
      </x:c>
      <x:c r="U28" s="370" t="s">
        <x:v>418</x:v>
      </x:c>
      <x:c r="V28" s="370" t="s">
        <x:v>420</x:v>
      </x:c>
      <x:c r="W28" s="368" t="s">
        <x:v>412</x:v>
      </x:c>
      <x:c r="X28" s="374"/>
    </x:row>
    <x:row r="29" spans="2:25" ht="30" customHeight="1">
      <x:c r="D29" s="390" t="s">
        <x:v>262</x:v>
      </x:c>
      <x:c r="E29" s="394"/>
      <x:c r="F29" s="394"/>
      <x:c r="G29" s="394"/>
      <x:c r="H29" s="394"/>
      <x:c r="I29" s="394"/>
      <x:c r="J29" s="394"/>
      <x:c r="K29" s="394"/>
      <x:c r="L29" s="394"/>
      <x:c r="M29" s="394"/>
      <x:c r="N29" s="394"/>
      <x:c r="O29" s="394"/>
      <x:c r="P29" s="394"/>
      <x:c r="Q29" s="394">
        <x:f t="shared" si="1"/>
        <x:v>0</x:v>
      </x:c>
      <x:c r="R29" s="395"/>
      <x:c r="S29" s="370"/>
      <x:c r="T29" s="374"/>
    </x:row>
    <x:row r="32" spans="2:25" ht="31.5">
      <x:c r="B32" s="375" t="s">
        <x:v>623</x:v>
      </x:c>
      <x:c r="R32" s="376" t="s">
        <x:v>263</x:v>
      </x:c>
    </x:row>
    <x:row r="33" spans="2:24" ht="19.5">
      <x:c r="B33" s="396" t="s">
        <x:v>264</x:v>
      </x:c>
      <x:c r="C33" s="377" t="s">
        <x:v>265</x:v>
      </x:c>
      <x:c r="D33" s="377" t="s">
        <x:v>266</x:v>
      </x:c>
      <x:c r="E33" s="378" t="s">
        <x:v>399</x:v>
      </x:c>
      <x:c r="F33" s="378" t="s">
        <x:v>400</x:v>
      </x:c>
      <x:c r="G33" s="378" t="s">
        <x:v>401</x:v>
      </x:c>
      <x:c r="H33" s="378" t="s">
        <x:v>402</x:v>
      </x:c>
      <x:c r="I33" s="378" t="s">
        <x:v>403</x:v>
      </x:c>
      <x:c r="J33" s="378" t="s">
        <x:v>404</x:v>
      </x:c>
      <x:c r="K33" s="378" t="s">
        <x:v>405</x:v>
      </x:c>
      <x:c r="L33" s="378" t="s">
        <x:v>406</x:v>
      </x:c>
      <x:c r="M33" s="378" t="s">
        <x:v>407</x:v>
      </x:c>
      <x:c r="N33" s="378" t="s">
        <x:v>408</x:v>
      </x:c>
      <x:c r="O33" s="378" t="s">
        <x:v>409</x:v>
      </x:c>
      <x:c r="P33" s="378" t="s">
        <x:v>410</x:v>
      </x:c>
      <x:c r="Q33" s="378" t="s">
        <x:v>267</x:v>
      </x:c>
      <x:c r="R33" s="378" t="s">
        <x:v>268</x:v>
      </x:c>
    </x:row>
    <x:row r="34" spans="2:24" ht="19.5">
      <x:c r="B34" s="397">
        <x:v>1</x:v>
      </x:c>
      <x:c r="C34" s="495" t="s">
        <x:v>269</x:v>
      </x:c>
      <x:c r="D34" s="4" t="s">
        <x:v>270</x:v>
      </x:c>
      <x:c r="E34" s="371"/>
      <x:c r="F34" s="371"/>
      <x:c r="G34" s="371"/>
      <x:c r="H34" s="371"/>
      <x:c r="I34" s="371"/>
      <x:c r="J34" s="371"/>
      <x:c r="K34" s="371"/>
      <x:c r="L34" s="371"/>
      <x:c r="M34" s="371"/>
      <x:c r="N34" s="371"/>
      <x:c r="O34" s="371"/>
      <x:c r="P34" s="371"/>
      <x:c r="Q34" s="398">
        <x:f t="shared" ref="Q34:Q43" si="2">SUM(E34:P34)</x:f>
        <x:v>0</x:v>
      </x:c>
      <x:c r="R34" s="383"/>
    </x:row>
    <x:row r="35" spans="2:24" ht="19.5">
      <x:c r="B35" s="397">
        <x:v>2</x:v>
      </x:c>
      <x:c r="C35" s="495"/>
      <x:c r="D35" s="4" t="s">
        <x:v>271</x:v>
      </x:c>
      <x:c r="E35" s="371">
        <x:v>7031337.6000000015</x:v>
      </x:c>
      <x:c r="F35" s="371">
        <x:v>3446280.6000000006</x:v>
      </x:c>
      <x:c r="G35" s="371">
        <x:v>1526540.4000000004</x:v>
      </x:c>
      <x:c r="H35" s="371">
        <x:v>6915690.6000000015</x:v>
      </x:c>
      <x:c r="I35" s="371">
        <x:v>2220422.4000000004</x:v>
      </x:c>
      <x:c r="J35" s="371">
        <x:v>1817310.0000000005</x:v>
      </x:c>
      <x:c r="K35" s="371">
        <x:v>1817310.0000000005</x:v>
      </x:c>
      <x:c r="L35" s="371">
        <x:v>1817310.0000000005</x:v>
      </x:c>
      <x:c r="M35" s="371">
        <x:v>1817310.0000000005</x:v>
      </x:c>
      <x:c r="N35" s="371">
        <x:v>1817310.0000000005</x:v>
      </x:c>
      <x:c r="O35" s="371">
        <x:v>1817310.0000000005</x:v>
      </x:c>
      <x:c r="P35" s="371">
        <x:v>1817310.0000000005</x:v>
      </x:c>
      <x:c r="Q35" s="398">
        <x:f t="shared" si="2"/>
        <x:v>33861441.600000001</x:v>
      </x:c>
      <x:c r="R35" s="386"/>
      <x:c r="T35" s="480" t="s">
        <x:v>5</x:v>
      </x:c>
      <x:c r="V35" s="480" t="s">
        <x:v>339</x:v>
      </x:c>
      <x:c r="X35" s="491">
        <x:v>33861441.600000001</x:v>
      </x:c>
    </x:row>
    <x:row r="36" spans="2:24" ht="19.5">
      <x:c r="B36" s="397">
        <x:v>3</x:v>
      </x:c>
      <x:c r="C36" s="495"/>
      <x:c r="D36" s="4" t="s">
        <x:v>215</x:v>
      </x:c>
      <x:c r="E36" s="371">
        <x:v>1526933407.6103761</x:v>
      </x:c>
      <x:c r="F36" s="371">
        <x:v>1781871990.7077718</x:v>
      </x:c>
      <x:c r="G36" s="371">
        <x:v>2106658413.1307206</x:v>
      </x:c>
      <x:c r="H36" s="371">
        <x:v>1948325047.8137207</x:v>
      </x:c>
      <x:c r="I36" s="371">
        <x:v>2026292578.9282207</x:v>
      </x:c>
      <x:c r="J36" s="371">
        <x:v>2069810049.1694601</x:v>
      </x:c>
      <x:c r="K36" s="371">
        <x:v>1617265574.9967203</x:v>
      </x:c>
      <x:c r="L36" s="371">
        <x:v>1215649135.0230958</x:v>
      </x:c>
      <x:c r="M36" s="371">
        <x:v>1667448930.0652204</x:v>
      </x:c>
      <x:c r="N36" s="371">
        <x:v>1811862119.7309597</x:v>
      </x:c>
      <x:c r="O36" s="371">
        <x:v>1700641115.4379792</x:v>
      </x:c>
      <x:c r="P36" s="371">
        <x:v>1887908860.8036363</x:v>
      </x:c>
      <x:c r="Q36" s="399">
        <x:f t="shared" si="2"/>
        <x:v>21360667223.417881</x:v>
      </x:c>
      <x:c r="R36" s="386" t="s">
        <x:v>632</x:v>
      </x:c>
      <x:c r="S36" s="368" t="s">
        <x:v>215</x:v>
      </x:c>
      <x:c r="T36" s="368" t="s">
        <x:v>184</x:v>
      </x:c>
      <x:c r="V36" s="368" t="s">
        <x:v>416</x:v>
      </x:c>
      <x:c r="X36" s="491">
        <x:v>21360667223.417881</x:v>
      </x:c>
    </x:row>
    <x:row r="37" spans="2:24" ht="19.5">
      <x:c r="B37" s="397">
        <x:v>4</x:v>
      </x:c>
      <x:c r="C37" s="495"/>
      <x:c r="D37" s="4" t="s">
        <x:v>223</x:v>
      </x:c>
      <x:c r="E37" s="371">
        <x:v>0</x:v>
      </x:c>
      <x:c r="F37" s="371">
        <x:v>0</x:v>
      </x:c>
      <x:c r="G37" s="371">
        <x:v>0</x:v>
      </x:c>
      <x:c r="H37" s="371">
        <x:v>0</x:v>
      </x:c>
      <x:c r="I37" s="371">
        <x:v>26662619.708549995</x:v>
      </x:c>
      <x:c r="J37" s="371">
        <x:v>76022237.708550021</x:v>
      </x:c>
      <x:c r="K37" s="371">
        <x:v>76022237.708550021</x:v>
      </x:c>
      <x:c r="L37" s="371">
        <x:v>76022237.708550021</x:v>
      </x:c>
      <x:c r="M37" s="371">
        <x:v>76022237.708550021</x:v>
      </x:c>
      <x:c r="N37" s="371">
        <x:v>76022237.708550021</x:v>
      </x:c>
      <x:c r="O37" s="371">
        <x:v>76022237.708550021</x:v>
      </x:c>
      <x:c r="P37" s="371">
        <x:v>76022237.708550021</x:v>
      </x:c>
      <x:c r="Q37" s="399">
        <x:f t="shared" si="2"/>
        <x:v>558818283.66840017</x:v>
      </x:c>
      <x:c r="R37" s="386"/>
      <x:c r="S37" s="368" t="s">
        <x:v>223</x:v>
      </x:c>
      <x:c r="T37" s="368" t="s">
        <x:v>184</x:v>
      </x:c>
      <x:c r="V37" s="368" t="s">
        <x:v>416</x:v>
      </x:c>
      <x:c r="X37" s="491">
        <x:v>558818283.66840017</x:v>
      </x:c>
    </x:row>
    <x:row r="38" spans="2:24" ht="19.5">
      <x:c r="B38" s="397">
        <x:v>5</x:v>
      </x:c>
      <x:c r="C38" s="495"/>
      <x:c r="D38" s="4" t="s">
        <x:v>411</x:v>
      </x:c>
      <x:c r="E38" s="371"/>
      <x:c r="F38" s="371"/>
      <x:c r="G38" s="371"/>
      <x:c r="H38" s="371"/>
      <x:c r="I38" s="371"/>
      <x:c r="J38" s="371"/>
      <x:c r="K38" s="371"/>
      <x:c r="L38" s="371"/>
      <x:c r="M38" s="371"/>
      <x:c r="N38" s="371"/>
      <x:c r="O38" s="371"/>
      <x:c r="P38" s="371"/>
      <x:c r="Q38" s="399">
        <x:f t="shared" si="2"/>
        <x:v>0</x:v>
      </x:c>
      <x:c r="R38" s="383"/>
      <x:c r="S38" s="368" t="s">
        <x:v>419</x:v>
      </x:c>
      <x:c r="T38" s="368" t="s">
        <x:v>184</x:v>
      </x:c>
      <x:c r="V38" s="368" t="s">
        <x:v>416</x:v>
      </x:c>
      <x:c r="X38" s="491">
        <x:v>0</x:v>
      </x:c>
    </x:row>
    <x:row r="39" spans="2:24" ht="19.5">
      <x:c r="B39" s="397">
        <x:v>6</x:v>
      </x:c>
      <x:c r="C39" s="495"/>
      <x:c r="D39" s="4" t="s">
        <x:v>412</x:v>
      </x:c>
      <x:c r="E39" s="371"/>
      <x:c r="F39" s="371"/>
      <x:c r="G39" s="371"/>
      <x:c r="H39" s="371"/>
      <x:c r="I39" s="371"/>
      <x:c r="J39" s="371"/>
      <x:c r="K39" s="371"/>
      <x:c r="L39" s="371"/>
      <x:c r="M39" s="371"/>
      <x:c r="N39" s="371"/>
      <x:c r="O39" s="371"/>
      <x:c r="P39" s="371"/>
      <x:c r="Q39" s="398">
        <x:f t="shared" si="2"/>
        <x:v>0</x:v>
      </x:c>
      <x:c r="R39" s="383"/>
      <x:c r="X39" s="491">
        <x:v>0</x:v>
      </x:c>
    </x:row>
    <x:row r="40" spans="2:24" ht="19.5">
      <x:c r="B40" s="397">
        <x:v>7</x:v>
      </x:c>
      <x:c r="C40" s="495"/>
      <x:c r="D40" s="4" t="s">
        <x:v>413</x:v>
      </x:c>
      <x:c r="E40" s="371">
        <x:v>0</x:v>
      </x:c>
      <x:c r="F40" s="371">
        <x:v>14623812</x:v>
      </x:c>
      <x:c r="G40" s="371">
        <x:v>21935718</x:v>
      </x:c>
      <x:c r="H40" s="371">
        <x:v>14623812</x:v>
      </x:c>
      <x:c r="I40" s="371">
        <x:v>14623812</x:v>
      </x:c>
      <x:c r="J40" s="371">
        <x:v>14623812</x:v>
      </x:c>
      <x:c r="K40" s="371">
        <x:v>7311906</x:v>
      </x:c>
      <x:c r="L40" s="371">
        <x:v>7311906</x:v>
      </x:c>
      <x:c r="M40" s="371">
        <x:v>7311906</x:v>
      </x:c>
      <x:c r="N40" s="371">
        <x:v>7311906</x:v>
      </x:c>
      <x:c r="O40" s="371">
        <x:v>7311906</x:v>
      </x:c>
      <x:c r="P40" s="371">
        <x:v>7311906</x:v>
      </x:c>
      <x:c r="Q40" s="399">
        <x:f t="shared" si="2"/>
        <x:v>124302402</x:v>
      </x:c>
      <x:c r="R40" s="386"/>
      <x:c r="X40" s="491">
        <x:v>124302402</x:v>
      </x:c>
    </x:row>
    <x:row r="41" spans="2:24" ht="19.5">
      <x:c r="B41" s="488"/>
      <x:c r="C41" s="495"/>
      <x:c r="D41" s="4" t="s">
        <x:v>6</x:v>
      </x:c>
      <x:c r="E41" s="371">
        <x:v>0</x:v>
      </x:c>
      <x:c r="F41" s="371">
        <x:v>11353253.520000003</x:v>
      </x:c>
      <x:c r="G41" s="371">
        <x:v>17029880.279999997</x:v>
      </x:c>
      <x:c r="H41" s="371">
        <x:v>11353253.520000003</x:v>
      </x:c>
      <x:c r="I41" s="371">
        <x:v>11353253.520000003</x:v>
      </x:c>
      <x:c r="J41" s="371">
        <x:v>11353253.520000003</x:v>
      </x:c>
      <x:c r="K41" s="371">
        <x:v>5676626.7600000016</x:v>
      </x:c>
      <x:c r="L41" s="371">
        <x:v>5676626.7600000016</x:v>
      </x:c>
      <x:c r="M41" s="371">
        <x:v>5676626.7600000016</x:v>
      </x:c>
      <x:c r="N41" s="371">
        <x:v>5676626.7600000016</x:v>
      </x:c>
      <x:c r="O41" s="371">
        <x:v>5676626.7600000016</x:v>
      </x:c>
      <x:c r="P41" s="371">
        <x:v>5676626.7600000016</x:v>
      </x:c>
      <x:c r="Q41" s="399">
        <x:f t="shared" si="2"/>
        <x:v>96502654.920000046</x:v>
      </x:c>
      <x:c r="R41" s="386"/>
      <x:c r="T41" s="368" t="s">
        <x:v>184</x:v>
      </x:c>
      <x:c r="V41" s="368" t="s">
        <x:v>416</x:v>
      </x:c>
      <x:c r="X41" s="491">
        <x:v>101004146.45999996</x:v>
      </x:c>
    </x:row>
    <x:row r="42" spans="2:24" ht="19.5">
      <x:c r="C42" s="495"/>
      <x:c r="D42" s="400" t="s">
        <x:v>267</x:v>
      </x:c>
      <x:c r="E42" s="401">
        <x:f>SUM(E34:E41)</x:f>
        <x:v>1533964745.210376</x:v>
      </x:c>
      <x:c r="F42" s="401">
        <x:f t="shared" ref="F42:P42" si="3">SUM(F34:F41)</x:f>
        <x:v>1811295336.8277717</x:v>
      </x:c>
      <x:c r="G42" s="401">
        <x:f t="shared" si="3"/>
        <x:v>2147150551.8107207</x:v>
      </x:c>
      <x:c r="H42" s="401">
        <x:f t="shared" si="3"/>
        <x:v>1981217803.9337206</x:v>
      </x:c>
      <x:c r="I42" s="401">
        <x:f t="shared" si="3"/>
        <x:v>2081152686.5567708</x:v>
      </x:c>
      <x:c r="J42" s="401">
        <x:f t="shared" si="3"/>
        <x:v>2173626662.3980103</x:v>
      </x:c>
      <x:c r="K42" s="401">
        <x:f t="shared" si="3"/>
        <x:v>1708093655.4652703</x:v>
      </x:c>
      <x:c r="L42" s="401">
        <x:f t="shared" si="3"/>
        <x:v>1306477215.4916458</x:v>
      </x:c>
      <x:c r="M42" s="401">
        <x:f t="shared" si="3"/>
        <x:v>1758277010.5337703</x:v>
      </x:c>
      <x:c r="N42" s="401">
        <x:f t="shared" si="3"/>
        <x:v>1902690200.1995096</x:v>
      </x:c>
      <x:c r="O42" s="401">
        <x:f t="shared" si="3"/>
        <x:v>1791469195.9065292</x:v>
      </x:c>
      <x:c r="P42" s="401">
        <x:f t="shared" si="3"/>
        <x:v>1978736941.2721863</x:v>
      </x:c>
      <x:c r="Q42" s="401">
        <x:f t="shared" si="2"/>
        <x:v>22174152005.606281</x:v>
      </x:c>
      <x:c r="R42" s="402"/>
    </x:row>
    <x:row r="43" spans="2:24" ht="19.5">
      <x:c r="C43" s="495"/>
      <x:c r="D43" s="377" t="s">
        <x:v>280</x:v>
      </x:c>
      <x:c r="E43" s="388">
        <x:f>E42-E40</x:f>
        <x:v>1533964745.210376</x:v>
      </x:c>
      <x:c r="F43" s="388">
        <x:f t="shared" ref="F43:P43" si="4">F42-F40</x:f>
        <x:v>1796671524.8277717</x:v>
      </x:c>
      <x:c r="G43" s="388">
        <x:f t="shared" si="4"/>
        <x:v>2125214833.8107207</x:v>
      </x:c>
      <x:c r="H43" s="388">
        <x:f t="shared" si="4"/>
        <x:v>1966593991.9337206</x:v>
      </x:c>
      <x:c r="I43" s="388">
        <x:f t="shared" si="4"/>
        <x:v>2066528874.5567708</x:v>
      </x:c>
      <x:c r="J43" s="388">
        <x:f t="shared" si="4"/>
        <x:v>2159002850.3980103</x:v>
      </x:c>
      <x:c r="K43" s="388">
        <x:f t="shared" si="4"/>
        <x:v>1700781749.4652703</x:v>
      </x:c>
      <x:c r="L43" s="388">
        <x:f t="shared" si="4"/>
        <x:v>1299165309.4916458</x:v>
      </x:c>
      <x:c r="M43" s="388">
        <x:f t="shared" si="4"/>
        <x:v>1750965104.5337703</x:v>
      </x:c>
      <x:c r="N43" s="388">
        <x:f t="shared" si="4"/>
        <x:v>1895378294.1995096</x:v>
      </x:c>
      <x:c r="O43" s="388">
        <x:f t="shared" si="4"/>
        <x:v>1784157289.9065292</x:v>
      </x:c>
      <x:c r="P43" s="388">
        <x:f t="shared" si="4"/>
        <x:v>1971425035.2721863</x:v>
      </x:c>
      <x:c r="Q43" s="388">
        <x:f t="shared" si="2"/>
        <x:v>22049849603.606281</x:v>
      </x:c>
      <x:c r="R43" s="389"/>
    </x:row>
    <x:row r="45" spans="2:24" ht="31.5">
      <x:c r="B45" s="375" t="s">
        <x:v>624</x:v>
      </x:c>
      <x:c r="R45" s="376" t="s">
        <x:v>263</x:v>
      </x:c>
    </x:row>
    <x:row r="46" spans="2:24" ht="19.5">
      <x:c r="B46" s="390" t="s">
        <x:v>264</x:v>
      </x:c>
      <x:c r="C46" s="390" t="s">
        <x:v>265</x:v>
      </x:c>
      <x:c r="D46" s="390" t="s">
        <x:v>266</x:v>
      </x:c>
      <x:c r="E46" s="403" t="s">
        <x:v>399</x:v>
      </x:c>
      <x:c r="F46" s="403" t="s">
        <x:v>400</x:v>
      </x:c>
      <x:c r="G46" s="403" t="s">
        <x:v>401</x:v>
      </x:c>
      <x:c r="H46" s="403" t="s">
        <x:v>402</x:v>
      </x:c>
      <x:c r="I46" s="403" t="s">
        <x:v>403</x:v>
      </x:c>
      <x:c r="J46" s="403" t="s">
        <x:v>404</x:v>
      </x:c>
      <x:c r="K46" s="403" t="s">
        <x:v>405</x:v>
      </x:c>
      <x:c r="L46" s="403" t="s">
        <x:v>406</x:v>
      </x:c>
      <x:c r="M46" s="403" t="s">
        <x:v>407</x:v>
      </x:c>
      <x:c r="N46" s="403" t="s">
        <x:v>408</x:v>
      </x:c>
      <x:c r="O46" s="403" t="s">
        <x:v>409</x:v>
      </x:c>
      <x:c r="P46" s="403" t="s">
        <x:v>410</x:v>
      </x:c>
      <x:c r="Q46" s="403" t="s">
        <x:v>267</x:v>
      </x:c>
      <x:c r="R46" s="391" t="s">
        <x:v>268</x:v>
      </x:c>
    </x:row>
    <x:row r="47" spans="2:24" ht="19.5">
      <x:c r="B47" s="404">
        <x:f t="shared" ref="B47:B53" si="5">+B34</x:f>
        <x:v>1</x:v>
      </x:c>
      <x:c r="C47" s="497" t="s">
        <x:v>269</x:v>
      </x:c>
      <x:c r="D47" s="4" t="s">
        <x:v>270</x:v>
      </x:c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6">
        <x:f t="shared" ref="Q47:Q56" si="6">SUM(E47:P47)</x:f>
        <x:v>0</x:v>
      </x:c>
      <x:c r="R47" s="383"/>
    </x:row>
    <x:row r="48" spans="2:24" ht="19.5">
      <x:c r="B48" s="404">
        <x:f t="shared" si="5"/>
        <x:v>2</x:v>
      </x:c>
      <x:c r="C48" s="498"/>
      <x:c r="D48" s="4" t="s">
        <x:v>271</x:v>
      </x:c>
      <x:c r="E48" s="371">
        <x:v>6696512.0000000009</x:v>
      </x:c>
      <x:c r="F48" s="371">
        <x:v>3282172.0000000005</x:v>
      </x:c>
      <x:c r="G48" s="371">
        <x:v>1453848.0000000002</x:v>
      </x:c>
      <x:c r="H48" s="371">
        <x:v>6586372.0000000009</x:v>
      </x:c>
      <x:c r="I48" s="371">
        <x:v>2114688</x:v>
      </x:c>
      <x:c r="J48" s="371">
        <x:v>1730771.4285714289</x:v>
      </x:c>
      <x:c r="K48" s="371">
        <x:v>1730771.4285714289</x:v>
      </x:c>
      <x:c r="L48" s="371">
        <x:v>1730771.4285714289</x:v>
      </x:c>
      <x:c r="M48" s="371">
        <x:v>1730771.4285714289</x:v>
      </x:c>
      <x:c r="N48" s="371">
        <x:v>1730771.4285714289</x:v>
      </x:c>
      <x:c r="O48" s="371">
        <x:v>1730771.4285714289</x:v>
      </x:c>
      <x:c r="P48" s="371">
        <x:v>1730771.4285714289</x:v>
      </x:c>
      <x:c r="Q48" s="399">
        <x:f t="shared" si="6"/>
        <x:v>32248992.000000007</x:v>
      </x:c>
      <x:c r="R48" s="383"/>
      <x:c r="T48" s="480" t="s">
        <x:v>5</x:v>
      </x:c>
      <x:c r="V48" s="480" t="s">
        <x:v>420</x:v>
      </x:c>
    </x:row>
    <x:row r="49" spans="2:22" ht="19.5">
      <x:c r="B49" s="404">
        <x:f t="shared" si="5"/>
        <x:v>3</x:v>
      </x:c>
      <x:c r="C49" s="498"/>
      <x:c r="D49" s="4" t="s">
        <x:v>215</x:v>
      </x:c>
      <x:c r="E49" s="371">
        <x:v>1482459619.0392003</x:v>
      </x:c>
      <x:c r="F49" s="371">
        <x:v>1729972806.5123999</x:v>
      </x:c>
      <x:c r="G49" s="371">
        <x:v>2045299430.224</x:v>
      </x:c>
      <x:c r="H49" s="371">
        <x:v>1891577716.3240001</x:v>
      </x:c>
      <x:c r="I49" s="371">
        <x:v>1967274348.474</x:v>
      </x:c>
      <x:c r="J49" s="371">
        <x:v>2009524319.5819995</x:v>
      </x:c>
      <x:c r="K49" s="371">
        <x:v>1570160752.424</x:v>
      </x:c>
      <x:c r="L49" s="371">
        <x:v>1180241878.6631997</x:v>
      </x:c>
      <x:c r="M49" s="371">
        <x:v>1618882456.3740001</x:v>
      </x:c>
      <x:c r="N49" s="371">
        <x:v>1759089436.6319997</x:v>
      </x:c>
      <x:c r="O49" s="371">
        <x:v>1651107879.066</x:v>
      </x:c>
      <x:c r="P49" s="371">
        <x:v>1832921224.0812004</x:v>
      </x:c>
      <x:c r="Q49" s="399">
        <x:f t="shared" si="6"/>
        <x:v>20738511867.395996</x:v>
      </x:c>
      <x:c r="R49" s="383"/>
      <x:c r="S49" s="368" t="s">
        <x:v>215</x:v>
      </x:c>
      <x:c r="T49" s="368" t="s">
        <x:v>184</x:v>
      </x:c>
      <x:c r="V49" s="368" t="s">
        <x:v>420</x:v>
      </x:c>
    </x:row>
    <x:row r="50" spans="2:22" ht="19.5">
      <x:c r="B50" s="404">
        <x:f t="shared" si="5"/>
        <x:v>4</x:v>
      </x:c>
      <x:c r="C50" s="498"/>
      <x:c r="D50" s="4" t="s">
        <x:v>223</x:v>
      </x:c>
      <x:c r="E50" s="371">
        <x:v>0</x:v>
      </x:c>
      <x:c r="F50" s="371">
        <x:v>0</x:v>
      </x:c>
      <x:c r="G50" s="371">
        <x:v>0</x:v>
      </x:c>
      <x:c r="H50" s="371">
        <x:v>0</x:v>
      </x:c>
      <x:c r="I50" s="371">
        <x:v>25392971.151000001</x:v>
      </x:c>
      <x:c r="J50" s="371">
        <x:v>72402131.150999993</x:v>
      </x:c>
      <x:c r="K50" s="371">
        <x:v>72402131.150999993</x:v>
      </x:c>
      <x:c r="L50" s="371">
        <x:v>72402131.150999993</x:v>
      </x:c>
      <x:c r="M50" s="371">
        <x:v>72402131.150999993</x:v>
      </x:c>
      <x:c r="N50" s="371">
        <x:v>72402131.150999993</x:v>
      </x:c>
      <x:c r="O50" s="371">
        <x:v>72402131.150999993</x:v>
      </x:c>
      <x:c r="P50" s="371">
        <x:v>72402131.150999993</x:v>
      </x:c>
      <x:c r="Q50" s="399">
        <x:f t="shared" si="6"/>
        <x:v>532207889.20800006</x:v>
      </x:c>
      <x:c r="R50" s="383"/>
      <x:c r="S50" s="368" t="s">
        <x:v>223</x:v>
      </x:c>
      <x:c r="T50" s="368" t="s">
        <x:v>184</x:v>
      </x:c>
      <x:c r="V50" s="368" t="s">
        <x:v>420</x:v>
      </x:c>
    </x:row>
    <x:row r="51" spans="2:22" ht="19.5">
      <x:c r="B51" s="404">
        <x:f t="shared" si="5"/>
        <x:v>5</x:v>
      </x:c>
      <x:c r="C51" s="498"/>
      <x:c r="D51" s="4" t="s">
        <x:v>414</x:v>
      </x:c>
      <x:c r="E51" s="371"/>
      <x:c r="F51" s="371"/>
      <x:c r="G51" s="371"/>
      <x:c r="H51" s="371"/>
      <x:c r="I51" s="371"/>
      <x:c r="J51" s="371"/>
      <x:c r="K51" s="371"/>
      <x:c r="L51" s="371"/>
      <x:c r="M51" s="371"/>
      <x:c r="N51" s="371"/>
      <x:c r="O51" s="371"/>
      <x:c r="P51" s="371"/>
      <x:c r="Q51" s="399">
        <x:f t="shared" si="6"/>
        <x:v>0</x:v>
      </x:c>
      <x:c r="R51" s="383"/>
      <x:c r="S51" s="368" t="s">
        <x:v>411</x:v>
      </x:c>
      <x:c r="T51" s="368" t="s">
        <x:v>184</x:v>
      </x:c>
      <x:c r="V51" s="368" t="s">
        <x:v>420</x:v>
      </x:c>
    </x:row>
    <x:row r="52" spans="2:22" ht="19.5">
      <x:c r="B52" s="404">
        <x:f t="shared" si="5"/>
        <x:v>6</x:v>
      </x:c>
      <x:c r="C52" s="498"/>
      <x:c r="D52" s="3" t="s">
        <x:v>276</x:v>
      </x:c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6">
        <x:f t="shared" si="6"/>
        <x:v>0</x:v>
      </x:c>
      <x:c r="R52" s="383"/>
    </x:row>
    <x:row r="53" spans="2:22" ht="19.5">
      <x:c r="B53" s="404">
        <x:f t="shared" si="5"/>
        <x:v>7</x:v>
      </x:c>
      <x:c r="C53" s="499"/>
      <x:c r="D53" s="4" t="s">
        <x:v>279</x:v>
      </x:c>
      <x:c r="E53" s="371">
        <x:v>0</x:v>
      </x:c>
      <x:c r="F53" s="371">
        <x:v>14623812</x:v>
      </x:c>
      <x:c r="G53" s="371">
        <x:v>21935718</x:v>
      </x:c>
      <x:c r="H53" s="371">
        <x:v>14623812</x:v>
      </x:c>
      <x:c r="I53" s="371">
        <x:v>14623812</x:v>
      </x:c>
      <x:c r="J53" s="371">
        <x:v>14623812</x:v>
      </x:c>
      <x:c r="K53" s="371">
        <x:v>7311906</x:v>
      </x:c>
      <x:c r="L53" s="371">
        <x:v>7311906</x:v>
      </x:c>
      <x:c r="M53" s="371">
        <x:v>7311906</x:v>
      </x:c>
      <x:c r="N53" s="371">
        <x:v>7311906</x:v>
      </x:c>
      <x:c r="O53" s="371">
        <x:v>7311906</x:v>
      </x:c>
      <x:c r="P53" s="371">
        <x:v>7311906</x:v>
      </x:c>
      <x:c r="Q53" s="399">
        <x:f t="shared" si="6"/>
        <x:v>124302402</x:v>
      </x:c>
      <x:c r="R53" s="383"/>
    </x:row>
    <x:row r="54" spans="2:22" ht="19.5">
      <x:c r="B54" s="489"/>
      <x:c r="C54" s="490"/>
      <x:c r="D54" s="4" t="s">
        <x:v>6</x:v>
      </x:c>
      <x:c r="E54" s="371">
        <x:v>0</x:v>
      </x:c>
      <x:c r="F54" s="371">
        <x:v>11882840.76</x:v>
      </x:c>
      <x:c r="G54" s="371">
        <x:v>17824261.140000001</x:v>
      </x:c>
      <x:c r="H54" s="371">
        <x:v>11882840.76</x:v>
      </x:c>
      <x:c r="I54" s="371">
        <x:v>11882840.76</x:v>
      </x:c>
      <x:c r="J54" s="371">
        <x:v>11882840.76</x:v>
      </x:c>
      <x:c r="K54" s="371">
        <x:v>5941420.3799999999</x:v>
      </x:c>
      <x:c r="L54" s="371">
        <x:v>5941420.3799999999</x:v>
      </x:c>
      <x:c r="M54" s="371">
        <x:v>5941420.3799999999</x:v>
      </x:c>
      <x:c r="N54" s="371">
        <x:v>5941420.3799999999</x:v>
      </x:c>
      <x:c r="O54" s="371">
        <x:v>5941420.3799999999</x:v>
      </x:c>
      <x:c r="P54" s="371">
        <x:v>5941420.3799999999</x:v>
      </x:c>
      <x:c r="Q54" s="399">
        <x:f t="shared" si="6"/>
        <x:v>101004146.45999996</x:v>
      </x:c>
      <x:c r="R54" s="383"/>
      <x:c r="T54" s="368" t="s">
        <x:v>184</x:v>
      </x:c>
      <x:c r="V54" s="368" t="s">
        <x:v>420</x:v>
      </x:c>
    </x:row>
    <x:row r="55" spans="2:22" ht="19.5">
      <x:c r="D55" s="400" t="s">
        <x:v>267</x:v>
      </x:c>
      <x:c r="E55" s="401">
        <x:f>SUM(E47:E54)</x:f>
        <x:v>1489156131.0392003</x:v>
      </x:c>
      <x:c r="F55" s="401">
        <x:f t="shared" ref="F55:P55" si="7">SUM(F47:F54)</x:f>
        <x:v>1759761631.2723999</x:v>
      </x:c>
      <x:c r="G55" s="401">
        <x:f t="shared" si="7"/>
        <x:v>2086513257.3640001</x:v>
      </x:c>
      <x:c r="H55" s="401">
        <x:f t="shared" si="7"/>
        <x:v>1924670741.0840001</x:v>
      </x:c>
      <x:c r="I55" s="401">
        <x:f t="shared" si="7"/>
        <x:v>2021288660.385</x:v>
      </x:c>
      <x:c r="J55" s="401">
        <x:f t="shared" si="7"/>
        <x:v>2110163874.921571</x:v>
      </x:c>
      <x:c r="K55" s="401">
        <x:f t="shared" si="7"/>
        <x:v>1657546981.3835716</x:v>
      </x:c>
      <x:c r="L55" s="401">
        <x:f t="shared" si="7"/>
        <x:v>1267628107.6227713</x:v>
      </x:c>
      <x:c r="M55" s="401">
        <x:f t="shared" si="7"/>
        <x:v>1706268685.3335717</x:v>
      </x:c>
      <x:c r="N55" s="401">
        <x:f t="shared" si="7"/>
        <x:v>1846475665.5915713</x:v>
      </x:c>
      <x:c r="O55" s="401">
        <x:f t="shared" si="7"/>
        <x:v>1738494108.0255716</x:v>
      </x:c>
      <x:c r="P55" s="401">
        <x:f t="shared" si="7"/>
        <x:v>1920307453.040772</x:v>
      </x:c>
      <x:c r="Q55" s="401">
        <x:f t="shared" si="6"/>
        <x:v>21528275297.063999</x:v>
      </x:c>
      <x:c r="R55" s="402"/>
    </x:row>
    <x:row r="56" spans="2:22" ht="19.5">
      <x:c r="D56" s="390" t="s">
        <x:v>280</x:v>
      </x:c>
      <x:c r="E56" s="394"/>
      <x:c r="F56" s="394"/>
      <x:c r="G56" s="394"/>
      <x:c r="H56" s="394"/>
      <x:c r="I56" s="394"/>
      <x:c r="J56" s="394"/>
      <x:c r="K56" s="394"/>
      <x:c r="L56" s="394"/>
      <x:c r="M56" s="394"/>
      <x:c r="N56" s="394"/>
      <x:c r="O56" s="394"/>
      <x:c r="P56" s="394"/>
      <x:c r="Q56" s="394">
        <x:f t="shared" si="6"/>
        <x:v>0</x:v>
      </x:c>
      <x:c r="R56" s="395"/>
    </x:row>
    <x:row r="58" spans="2:22">
      <x:c r="Q58" s="491">
        <x:f>Q41-Q54</x:f>
        <x:v>-4501491.5399999171</x:v>
      </x:c>
    </x:row>
    <x:row r="62" spans="2:22" ht="24.75" thickBot="1">
      <x:c r="B62" s="407" t="s">
        <x:v>625</x:v>
      </x:c>
    </x:row>
    <x:row r="63" spans="2:22">
      <x:c r="C63" s="244" t="s">
        <x:v>321</x:v>
      </x:c>
      <x:c r="D63" s="245" t="s">
        <x:v>277</x:v>
      </x:c>
      <x:c r="E63" s="408" t="s">
        <x:v>186</x:v>
      </x:c>
      <x:c r="F63" s="408" t="s">
        <x:v>9</x:v>
      </x:c>
      <x:c r="G63" s="408" t="s">
        <x:v>10</x:v>
      </x:c>
      <x:c r="H63" s="408" t="s">
        <x:v>11</x:v>
      </x:c>
      <x:c r="I63" s="408" t="s">
        <x:v>12</x:v>
      </x:c>
      <x:c r="J63" s="408" t="s">
        <x:v>13</x:v>
      </x:c>
      <x:c r="K63" s="408" t="s">
        <x:v>14</x:v>
      </x:c>
      <x:c r="L63" s="408" t="s">
        <x:v>15</x:v>
      </x:c>
      <x:c r="M63" s="408" t="s">
        <x:v>16</x:v>
      </x:c>
      <x:c r="N63" s="408" t="s">
        <x:v>17</x:v>
      </x:c>
      <x:c r="O63" s="408" t="s">
        <x:v>18</x:v>
      </x:c>
      <x:c r="P63" s="408" t="s">
        <x:v>19</x:v>
      </x:c>
      <x:c r="Q63" s="246" t="s">
        <x:v>187</x:v>
      </x:c>
    </x:row>
    <x:row r="64" spans="2:22">
      <x:c r="C64" s="247" t="s">
        <x:v>187</x:v>
      </x:c>
      <x:c r="D64" s="248"/>
      <x:c r="E64" s="249">
        <x:f t="shared" ref="E64:Q64" si="8">E68+E70+E75</x:f>
        <x:v>0</x:v>
      </x:c>
      <x:c r="F64" s="249">
        <x:f t="shared" si="8"/>
        <x:v>0</x:v>
      </x:c>
      <x:c r="G64" s="249">
        <x:f t="shared" si="8"/>
        <x:v>0</x:v>
      </x:c>
      <x:c r="H64" s="249">
        <x:f t="shared" si="8"/>
        <x:v>2954900000</x:v>
      </x:c>
      <x:c r="I64" s="249">
        <x:f t="shared" si="8"/>
        <x:v>0</x:v>
      </x:c>
      <x:c r="J64" s="249">
        <x:f t="shared" si="8"/>
        <x:v>228200000</x:v>
      </x:c>
      <x:c r="K64" s="249">
        <x:f t="shared" si="8"/>
        <x:v>1446683600</x:v>
      </x:c>
      <x:c r="L64" s="249">
        <x:f t="shared" si="8"/>
        <x:v>0</x:v>
      </x:c>
      <x:c r="M64" s="249">
        <x:f t="shared" si="8"/>
        <x:v>124000000</x:v>
      </x:c>
      <x:c r="N64" s="249">
        <x:f t="shared" si="8"/>
        <x:v>0</x:v>
      </x:c>
      <x:c r="O64" s="249">
        <x:f t="shared" si="8"/>
        <x:v>0</x:v>
      </x:c>
      <x:c r="P64" s="249">
        <x:f t="shared" si="8"/>
        <x:v>2535188035</x:v>
      </x:c>
      <x:c r="Q64" s="250">
        <x:f t="shared" si="8"/>
        <x:v>7288971635</x:v>
      </x:c>
      <x:c r="R64" s="409" t="s">
        <x:v>6</x:v>
      </x:c>
      <x:c r="V64" s="409" t="s">
        <x:v>339</x:v>
      </x:c>
    </x:row>
    <x:row r="65" spans="2:20">
      <x:c r="C65" s="251" t="s">
        <x:v>322</x:v>
      </x:c>
      <x:c r="D65" s="252" t="s">
        <x:v>633</x:v>
      </x:c>
      <x:c r="E65" s="255"/>
      <x:c r="F65" s="255"/>
      <x:c r="G65" s="255"/>
      <x:c r="H65" s="255"/>
      <x:c r="I65" s="255"/>
      <x:c r="J65" s="255"/>
      <x:c r="K65" s="255"/>
      <x:c r="L65" s="255"/>
      <x:c r="M65" s="255"/>
      <x:c r="N65" s="255"/>
      <x:c r="O65" s="255"/>
      <x:c r="P65" s="255">
        <x:v>1073500000</x:v>
      </x:c>
      <x:c r="Q65" s="256">
        <x:f>SUM(E65:P65)</x:f>
        <x:v>1073500000</x:v>
      </x:c>
    </x:row>
    <x:row r="66" spans="2:20">
      <x:c r="C66" s="251"/>
      <x:c r="D66" s="252" t="s">
        <x:v>634</x:v>
      </x:c>
      <x:c r="E66" s="255"/>
      <x:c r="F66" s="255"/>
      <x:c r="G66" s="255"/>
      <x:c r="H66" s="255"/>
      <x:c r="I66" s="255"/>
      <x:c r="J66" s="255"/>
      <x:c r="K66" s="255"/>
      <x:c r="L66" s="255"/>
      <x:c r="M66" s="255"/>
      <x:c r="N66" s="255"/>
      <x:c r="O66" s="255"/>
      <x:c r="P66" s="255">
        <x:v>267988435</x:v>
      </x:c>
      <x:c r="Q66" s="256">
        <x:f t="shared" ref="Q66:Q67" si="9">SUM(E66:P66)</x:f>
        <x:v>267988435</x:v>
      </x:c>
    </x:row>
    <x:row r="67" spans="2:20">
      <x:c r="C67" s="251"/>
      <x:c r="D67" s="252" t="s">
        <x:v>635</x:v>
      </x:c>
      <x:c r="E67" s="481"/>
      <x:c r="F67" s="481"/>
      <x:c r="G67" s="481"/>
      <x:c r="H67" s="481"/>
      <x:c r="I67" s="481"/>
      <x:c r="J67" s="481"/>
      <x:c r="K67" s="481"/>
      <x:c r="L67" s="481"/>
      <x:c r="M67" s="481"/>
      <x:c r="N67" s="481"/>
      <x:c r="O67" s="481"/>
      <x:c r="P67" s="481">
        <x:v>38250000</x:v>
      </x:c>
      <x:c r="Q67" s="256">
        <x:f t="shared" si="9"/>
        <x:v>38250000</x:v>
      </x:c>
    </x:row>
    <x:row r="68" spans="2:20">
      <x:c r="C68" s="259" t="s">
        <x:v>323</x:v>
      </x:c>
      <x:c r="D68" s="260"/>
      <x:c r="E68" s="261">
        <x:f t="shared" ref="E68:O68" si="10">SUM(E65:E67)</x:f>
        <x:v>0</x:v>
      </x:c>
      <x:c r="F68" s="261">
        <x:f t="shared" si="10"/>
        <x:v>0</x:v>
      </x:c>
      <x:c r="G68" s="261">
        <x:f t="shared" si="10"/>
        <x:v>0</x:v>
      </x:c>
      <x:c r="H68" s="261">
        <x:f t="shared" si="10"/>
        <x:v>0</x:v>
      </x:c>
      <x:c r="I68" s="261">
        <x:f t="shared" si="10"/>
        <x:v>0</x:v>
      </x:c>
      <x:c r="J68" s="261">
        <x:f t="shared" si="10"/>
        <x:v>0</x:v>
      </x:c>
      <x:c r="K68" s="261">
        <x:f t="shared" si="10"/>
        <x:v>0</x:v>
      </x:c>
      <x:c r="L68" s="261">
        <x:f t="shared" si="10"/>
        <x:v>0</x:v>
      </x:c>
      <x:c r="M68" s="261">
        <x:f t="shared" si="10"/>
        <x:v>0</x:v>
      </x:c>
      <x:c r="N68" s="261">
        <x:f t="shared" si="10"/>
        <x:v>0</x:v>
      </x:c>
      <x:c r="O68" s="261">
        <x:f t="shared" si="10"/>
        <x:v>0</x:v>
      </x:c>
      <x:c r="P68" s="261">
        <x:f>SUM(P65:P67)</x:f>
        <x:v>1379738435</x:v>
      </x:c>
      <x:c r="Q68" s="262">
        <x:f>SUM(Q65:Q67)</x:f>
        <x:v>1379738435</x:v>
      </x:c>
    </x:row>
    <x:row r="69" spans="2:20">
      <x:c r="C69" s="251" t="s">
        <x:v>324</x:v>
      </x:c>
      <x:c r="D69" s="252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4">
        <x:f t="shared" ref="Q69" si="11">SUM(E69:P69)</x:f>
        <x:v>0</x:v>
      </x:c>
    </x:row>
    <x:row r="70" spans="2:20">
      <x:c r="C70" s="259" t="s">
        <x:v>325</x:v>
      </x:c>
      <x:c r="D70" s="260"/>
      <x:c r="E70" s="261">
        <x:f t="shared" ref="E70:Q70" si="12">SUM(E69:E69)</x:f>
        <x:v>0</x:v>
      </x:c>
      <x:c r="F70" s="261">
        <x:f t="shared" si="12"/>
        <x:v>0</x:v>
      </x:c>
      <x:c r="G70" s="261">
        <x:f t="shared" si="12"/>
        <x:v>0</x:v>
      </x:c>
      <x:c r="H70" s="261">
        <x:f t="shared" si="12"/>
        <x:v>0</x:v>
      </x:c>
      <x:c r="I70" s="261">
        <x:f t="shared" si="12"/>
        <x:v>0</x:v>
      </x:c>
      <x:c r="J70" s="261">
        <x:f t="shared" si="12"/>
        <x:v>0</x:v>
      </x:c>
      <x:c r="K70" s="261">
        <x:f t="shared" si="12"/>
        <x:v>0</x:v>
      </x:c>
      <x:c r="L70" s="261">
        <x:f t="shared" si="12"/>
        <x:v>0</x:v>
      </x:c>
      <x:c r="M70" s="261">
        <x:f t="shared" si="12"/>
        <x:v>0</x:v>
      </x:c>
      <x:c r="N70" s="261">
        <x:f t="shared" si="12"/>
        <x:v>0</x:v>
      </x:c>
      <x:c r="O70" s="261">
        <x:f t="shared" si="12"/>
        <x:v>0</x:v>
      </x:c>
      <x:c r="P70" s="261">
        <x:f t="shared" si="12"/>
        <x:v>0</x:v>
      </x:c>
      <x:c r="Q70" s="262">
        <x:f t="shared" si="12"/>
        <x:v>0</x:v>
      </x:c>
    </x:row>
    <x:row r="71" spans="2:20">
      <x:c r="C71" s="251" t="s">
        <x:v>326</x:v>
      </x:c>
      <x:c r="D71" s="252" t="s">
        <x:v>278</x:v>
      </x:c>
      <x:c r="E71" s="253"/>
      <x:c r="F71" s="253"/>
      <x:c r="G71" s="253"/>
      <x:c r="H71" s="253"/>
      <x:c r="I71" s="253"/>
      <x:c r="J71" s="253"/>
      <x:c r="K71" s="253">
        <x:v>1424683600</x:v>
      </x:c>
      <x:c r="L71" s="253"/>
      <x:c r="M71" s="253"/>
      <x:c r="N71" s="253"/>
      <x:c r="O71" s="253"/>
      <x:c r="P71" s="253">
        <x:v>1155449600</x:v>
      </x:c>
      <x:c r="Q71" s="254">
        <x:f t="shared" ref="Q71:Q74" si="13">SUM(E71:P71)</x:f>
        <x:v>2580133200</x:v>
      </x:c>
    </x:row>
    <x:row r="72" spans="2:20">
      <x:c r="C72" s="251"/>
      <x:c r="D72" s="252" t="s">
        <x:v>636</x:v>
      </x:c>
      <x:c r="E72" s="253"/>
      <x:c r="F72" s="253"/>
      <x:c r="G72" s="253"/>
      <x:c r="H72" s="253"/>
      <x:c r="I72" s="253"/>
      <x:c r="J72" s="253"/>
      <x:c r="K72" s="253"/>
      <x:c r="L72" s="253"/>
      <x:c r="M72" s="253">
        <x:v>124000000</x:v>
      </x:c>
      <x:c r="N72" s="253"/>
      <x:c r="O72" s="253"/>
      <x:c r="P72" s="253"/>
      <x:c r="Q72" s="254">
        <x:f t="shared" si="13"/>
        <x:v>124000000</x:v>
      </x:c>
    </x:row>
    <x:row r="73" spans="2:20">
      <x:c r="C73" s="251"/>
      <x:c r="D73" s="252" t="s">
        <x:v>637</x:v>
      </x:c>
      <x:c r="E73" s="255"/>
      <x:c r="F73" s="255"/>
      <x:c r="G73" s="255"/>
      <x:c r="H73" s="255">
        <x:v>2954900000</x:v>
      </x:c>
      <x:c r="I73" s="255"/>
      <x:c r="J73" s="255">
        <x:v>1200000</x:v>
      </x:c>
      <x:c r="K73" s="255">
        <x:v>22000000</x:v>
      </x:c>
      <x:c r="L73" s="255"/>
      <x:c r="M73" s="255"/>
      <x:c r="N73" s="255"/>
      <x:c r="O73" s="255"/>
      <x:c r="P73" s="255"/>
      <x:c r="Q73" s="256">
        <x:f t="shared" si="13"/>
        <x:v>2978100000</x:v>
      </x:c>
    </x:row>
    <x:row r="74" spans="2:20">
      <x:c r="C74" s="251"/>
      <x:c r="D74" s="252" t="s">
        <x:v>185</x:v>
      </x:c>
      <x:c r="E74" s="257"/>
      <x:c r="F74" s="257"/>
      <x:c r="G74" s="257"/>
      <x:c r="H74" s="257"/>
      <x:c r="I74" s="257"/>
      <x:c r="J74" s="257">
        <x:v>227000000</x:v>
      </x:c>
      <x:c r="K74" s="257"/>
      <x:c r="L74" s="257"/>
      <x:c r="M74" s="257"/>
      <x:c r="N74" s="257"/>
      <x:c r="O74" s="257"/>
      <x:c r="P74" s="257"/>
      <x:c r="Q74" s="258">
        <x:f t="shared" si="13"/>
        <x:v>227000000</x:v>
      </x:c>
    </x:row>
    <x:row r="75" spans="2:20" ht="17.25" thickBot="1">
      <x:c r="C75" s="263"/>
      <x:c r="D75" s="264" t="s">
        <x:v>185</x:v>
      </x:c>
      <x:c r="E75" s="265">
        <x:f t="shared" ref="E75:P75" si="14">SUM(E71:E74)</x:f>
        <x:v>0</x:v>
      </x:c>
      <x:c r="F75" s="265">
        <x:f t="shared" si="14"/>
        <x:v>0</x:v>
      </x:c>
      <x:c r="G75" s="265">
        <x:f t="shared" si="14"/>
        <x:v>0</x:v>
      </x:c>
      <x:c r="H75" s="265">
        <x:f t="shared" si="14"/>
        <x:v>2954900000</x:v>
      </x:c>
      <x:c r="I75" s="265">
        <x:f t="shared" si="14"/>
        <x:v>0</x:v>
      </x:c>
      <x:c r="J75" s="265">
        <x:f t="shared" si="14"/>
        <x:v>228200000</x:v>
      </x:c>
      <x:c r="K75" s="265">
        <x:f t="shared" si="14"/>
        <x:v>1446683600</x:v>
      </x:c>
      <x:c r="L75" s="265">
        <x:f t="shared" si="14"/>
        <x:v>0</x:v>
      </x:c>
      <x:c r="M75" s="265">
        <x:f t="shared" si="14"/>
        <x:v>124000000</x:v>
      </x:c>
      <x:c r="N75" s="265">
        <x:f t="shared" si="14"/>
        <x:v>0</x:v>
      </x:c>
      <x:c r="O75" s="265">
        <x:f t="shared" si="14"/>
        <x:v>0</x:v>
      </x:c>
      <x:c r="P75" s="265">
        <x:f t="shared" si="14"/>
        <x:v>1155449600</x:v>
      </x:c>
      <x:c r="Q75" s="266">
        <x:f>SUM(Q71:Q74)</x:f>
        <x:v>5909233200</x:v>
      </x:c>
    </x:row>
    <x:row r="77" spans="2:20" ht="24.75" thickBot="1">
      <x:c r="B77" s="407" t="s">
        <x:v>626</x:v>
      </x:c>
    </x:row>
    <x:row r="78" spans="2:20" ht="19.5">
      <x:c r="C78" s="14" t="s">
        <x:v>328</x:v>
      </x:c>
      <x:c r="D78" s="13"/>
      <x:c r="E78" s="268" t="s">
        <x:v>186</x:v>
      </x:c>
      <x:c r="F78" s="268" t="s">
        <x:v>9</x:v>
      </x:c>
      <x:c r="G78" s="268" t="s">
        <x:v>10</x:v>
      </x:c>
      <x:c r="H78" s="268" t="s">
        <x:v>11</x:v>
      </x:c>
      <x:c r="I78" s="268" t="s">
        <x:v>12</x:v>
      </x:c>
      <x:c r="J78" s="268" t="s">
        <x:v>13</x:v>
      </x:c>
      <x:c r="K78" s="268" t="s">
        <x:v>14</x:v>
      </x:c>
      <x:c r="L78" s="268" t="s">
        <x:v>15</x:v>
      </x:c>
      <x:c r="M78" s="268" t="s">
        <x:v>16</x:v>
      </x:c>
      <x:c r="N78" s="268" t="s">
        <x:v>17</x:v>
      </x:c>
      <x:c r="O78" s="268" t="s">
        <x:v>18</x:v>
      </x:c>
      <x:c r="P78" s="268" t="s">
        <x:v>19</x:v>
      </x:c>
      <x:c r="Q78" s="269" t="s">
        <x:v>187</x:v>
      </x:c>
    </x:row>
    <x:row r="79" spans="2:20">
      <x:c r="C79" s="251" t="s">
        <x:v>638</x:v>
      </x:c>
      <x:c r="D79" s="252"/>
      <x:c r="E79" s="270"/>
      <x:c r="F79" s="270"/>
      <x:c r="G79" s="270">
        <x:v>140080000</x:v>
      </x:c>
      <x:c r="H79" s="270"/>
      <x:c r="I79" s="270"/>
      <x:c r="J79" s="270"/>
      <x:c r="K79" s="270"/>
      <x:c r="L79" s="270"/>
      <x:c r="M79" s="270"/>
      <x:c r="N79" s="270"/>
      <x:c r="O79" s="270"/>
      <x:c r="P79" s="270"/>
      <x:c r="Q79" s="410">
        <x:f t="shared" ref="Q79:Q90" si="15">SUM(E79:P79)</x:f>
        <x:v>140080000</x:v>
      </x:c>
      <x:c r="T79" s="368" t="s">
        <x:v>796</x:v>
      </x:c>
    </x:row>
    <x:row r="80" spans="2:20">
      <x:c r="C80" s="251" t="s">
        <x:v>639</x:v>
      </x:c>
      <x:c r="D80" s="252"/>
      <x:c r="E80" s="411"/>
      <x:c r="F80" s="411"/>
      <x:c r="G80" s="411"/>
      <x:c r="H80" s="411"/>
      <x:c r="I80" s="411">
        <x:v>72100000</x:v>
      </x:c>
      <x:c r="J80" s="411"/>
      <x:c r="K80" s="411"/>
      <x:c r="L80" s="411"/>
      <x:c r="M80" s="411"/>
      <x:c r="N80" s="411"/>
      <x:c r="O80" s="411"/>
      <x:c r="P80" s="411"/>
      <x:c r="Q80" s="412">
        <x:f t="shared" si="15"/>
        <x:v>72100000</x:v>
      </x:c>
    </x:row>
    <x:row r="81" spans="2:22">
      <x:c r="C81" s="251" t="s">
        <x:v>640</x:v>
      </x:c>
      <x:c r="D81" s="252"/>
      <x:c r="E81" s="411"/>
      <x:c r="F81" s="411"/>
      <x:c r="G81" s="411"/>
      <x:c r="H81" s="411"/>
      <x:c r="I81" s="411"/>
      <x:c r="J81" s="411">
        <x:v>102073000</x:v>
      </x:c>
      <x:c r="K81" s="411"/>
      <x:c r="L81" s="411"/>
      <x:c r="M81" s="411"/>
      <x:c r="N81" s="411"/>
      <x:c r="O81" s="411"/>
      <x:c r="P81" s="411"/>
      <x:c r="Q81" s="412">
        <x:f t="shared" si="15"/>
        <x:v>102073000</x:v>
      </x:c>
    </x:row>
    <x:row r="82" spans="2:22">
      <x:c r="C82" s="251" t="s">
        <x:v>641</x:v>
      </x:c>
      <x:c r="D82" s="252"/>
      <x:c r="E82" s="411"/>
      <x:c r="F82" s="411"/>
      <x:c r="G82" s="411"/>
      <x:c r="H82" s="411"/>
      <x:c r="I82" s="411"/>
      <x:c r="J82" s="411"/>
      <x:c r="K82" s="411"/>
      <x:c r="L82" s="411"/>
      <x:c r="M82" s="411">
        <x:v>34505000</x:v>
      </x:c>
      <x:c r="N82" s="411"/>
      <x:c r="O82" s="411"/>
      <x:c r="P82" s="411"/>
      <x:c r="Q82" s="412">
        <x:f t="shared" si="15"/>
        <x:v>34505000</x:v>
      </x:c>
    </x:row>
    <x:row r="83" spans="2:22">
      <x:c r="C83" s="251" t="s">
        <x:v>800</x:v>
      </x:c>
      <x:c r="D83" s="252"/>
      <x:c r="E83" s="411"/>
      <x:c r="F83" s="411"/>
      <x:c r="G83" s="411"/>
      <x:c r="H83" s="411"/>
      <x:c r="I83" s="411"/>
      <x:c r="J83" s="411"/>
      <x:c r="K83" s="411"/>
      <x:c r="L83" s="411"/>
      <x:c r="M83" s="411"/>
      <x:c r="N83" s="411"/>
      <x:c r="O83" s="411"/>
      <x:c r="P83" s="411">
        <x:v>7342028194</x:v>
      </x:c>
      <x:c r="Q83" s="412">
        <x:f t="shared" si="15"/>
        <x:v>7342028194</x:v>
      </x:c>
    </x:row>
    <x:row r="84" spans="2:22">
      <x:c r="C84" s="251"/>
      <x:c r="D84" s="252"/>
      <x:c r="E84" s="411"/>
      <x:c r="F84" s="411"/>
      <x:c r="G84" s="411"/>
      <x:c r="H84" s="411"/>
      <x:c r="I84" s="411"/>
      <x:c r="J84" s="411"/>
      <x:c r="K84" s="411"/>
      <x:c r="L84" s="411"/>
      <x:c r="M84" s="411"/>
      <x:c r="N84" s="411"/>
      <x:c r="O84" s="411"/>
      <x:c r="P84" s="411"/>
      <x:c r="Q84" s="412">
        <x:f t="shared" si="15"/>
        <x:v>0</x:v>
      </x:c>
    </x:row>
    <x:row r="85" spans="2:22">
      <x:c r="C85" s="251"/>
      <x:c r="D85" s="252"/>
      <x:c r="E85" s="411"/>
      <x:c r="F85" s="411"/>
      <x:c r="G85" s="411"/>
      <x:c r="H85" s="411"/>
      <x:c r="I85" s="411"/>
      <x:c r="J85" s="411"/>
      <x:c r="K85" s="411"/>
      <x:c r="L85" s="411"/>
      <x:c r="M85" s="411"/>
      <x:c r="N85" s="411"/>
      <x:c r="O85" s="411"/>
      <x:c r="P85" s="411"/>
      <x:c r="Q85" s="412">
        <x:f t="shared" si="15"/>
        <x:v>0</x:v>
      </x:c>
    </x:row>
    <x:row r="86" spans="2:22">
      <x:c r="C86" s="251"/>
      <x:c r="D86" s="252"/>
      <x:c r="E86" s="411"/>
      <x:c r="F86" s="411"/>
      <x:c r="G86" s="411"/>
      <x:c r="H86" s="411"/>
      <x:c r="I86" s="411"/>
      <x:c r="J86" s="411"/>
      <x:c r="K86" s="411"/>
      <x:c r="L86" s="411"/>
      <x:c r="M86" s="411"/>
      <x:c r="N86" s="411"/>
      <x:c r="O86" s="411"/>
      <x:c r="P86" s="411"/>
      <x:c r="Q86" s="412">
        <x:f t="shared" si="15"/>
        <x:v>0</x:v>
      </x:c>
    </x:row>
    <x:row r="87" spans="2:22">
      <x:c r="C87" s="251"/>
      <x:c r="D87" s="252"/>
      <x:c r="E87" s="411"/>
      <x:c r="F87" s="411"/>
      <x:c r="G87" s="411"/>
      <x:c r="H87" s="411"/>
      <x:c r="I87" s="411"/>
      <x:c r="J87" s="411"/>
      <x:c r="K87" s="411"/>
      <x:c r="L87" s="411"/>
      <x:c r="M87" s="411"/>
      <x:c r="N87" s="411"/>
      <x:c r="O87" s="411"/>
      <x:c r="P87" s="411"/>
      <x:c r="Q87" s="412">
        <x:f t="shared" si="15"/>
        <x:v>0</x:v>
      </x:c>
    </x:row>
    <x:row r="88" spans="2:22">
      <x:c r="C88" s="251"/>
      <x:c r="D88" s="252"/>
      <x:c r="E88" s="411"/>
      <x:c r="F88" s="411"/>
      <x:c r="G88" s="411"/>
      <x:c r="H88" s="411"/>
      <x:c r="I88" s="411"/>
      <x:c r="J88" s="411"/>
      <x:c r="K88" s="411"/>
      <x:c r="L88" s="411"/>
      <x:c r="M88" s="411"/>
      <x:c r="N88" s="411"/>
      <x:c r="O88" s="411"/>
      <x:c r="P88" s="411"/>
      <x:c r="Q88" s="412">
        <x:f t="shared" si="15"/>
        <x:v>0</x:v>
      </x:c>
    </x:row>
    <x:row r="89" spans="2:22">
      <x:c r="C89" s="251"/>
      <x:c r="D89" s="252"/>
      <x:c r="E89" s="411"/>
      <x:c r="F89" s="411"/>
      <x:c r="G89" s="411"/>
      <x:c r="H89" s="411"/>
      <x:c r="I89" s="411"/>
      <x:c r="J89" s="411"/>
      <x:c r="K89" s="411"/>
      <x:c r="L89" s="411"/>
      <x:c r="M89" s="411"/>
      <x:c r="N89" s="411"/>
      <x:c r="O89" s="411"/>
      <x:c r="P89" s="411"/>
      <x:c r="Q89" s="412">
        <x:f t="shared" si="15"/>
        <x:v>0</x:v>
      </x:c>
    </x:row>
    <x:row r="90" spans="2:22" ht="17.25" thickBot="1">
      <x:c r="D90" s="272" t="s">
        <x:v>187</x:v>
      </x:c>
      <x:c r="E90" s="273">
        <x:f t="shared" ref="E90:N90" si="16">SUM(E79:E89)</x:f>
        <x:v>0</x:v>
      </x:c>
      <x:c r="F90" s="273">
        <x:f t="shared" si="16"/>
        <x:v>0</x:v>
      </x:c>
      <x:c r="G90" s="273">
        <x:f t="shared" si="16"/>
        <x:v>140080000</x:v>
      </x:c>
      <x:c r="H90" s="273">
        <x:f t="shared" si="16"/>
        <x:v>0</x:v>
      </x:c>
      <x:c r="I90" s="273">
        <x:f t="shared" si="16"/>
        <x:v>72100000</x:v>
      </x:c>
      <x:c r="J90" s="273">
        <x:f t="shared" si="16"/>
        <x:v>102073000</x:v>
      </x:c>
      <x:c r="K90" s="273">
        <x:f t="shared" si="16"/>
        <x:v>0</x:v>
      </x:c>
      <x:c r="L90" s="273">
        <x:f t="shared" si="16"/>
        <x:v>0</x:v>
      </x:c>
      <x:c r="M90" s="273">
        <x:f t="shared" si="16"/>
        <x:v>34505000</x:v>
      </x:c>
      <x:c r="N90" s="273">
        <x:f t="shared" si="16"/>
        <x:v>0</x:v>
      </x:c>
      <x:c r="O90" s="273">
        <x:f>SUM(O79:O89)</x:f>
        <x:v>0</x:v>
      </x:c>
      <x:c r="P90" s="273">
        <x:f>SUM(P79:P89)</x:f>
        <x:v>7342028194</x:v>
      </x:c>
      <x:c r="Q90" s="413">
        <x:f t="shared" si="15"/>
        <x:v>7690786194</x:v>
      </x:c>
      <x:c r="R90" s="409" t="s">
        <x:v>6</x:v>
      </x:c>
      <x:c r="V90" s="409" t="s">
        <x:v>339</x:v>
      </x:c>
    </x:row>
    <x:row r="93" spans="2:22" ht="24.75" thickBot="1">
      <x:c r="B93" s="407" t="s">
        <x:v>627</x:v>
      </x:c>
      <x:c r="T93" s="467"/>
    </x:row>
    <x:row r="94" spans="2:22">
      <x:c r="D94" s="274" t="s">
        <x:v>328</x:v>
      </x:c>
      <x:c r="E94" s="275" t="s">
        <x:v>186</x:v>
      </x:c>
      <x:c r="F94" s="275" t="s">
        <x:v>9</x:v>
      </x:c>
      <x:c r="G94" s="275" t="s">
        <x:v>10</x:v>
      </x:c>
      <x:c r="H94" s="275" t="s">
        <x:v>11</x:v>
      </x:c>
      <x:c r="I94" s="275" t="s">
        <x:v>12</x:v>
      </x:c>
      <x:c r="J94" s="275" t="s">
        <x:v>13</x:v>
      </x:c>
      <x:c r="K94" s="275" t="s">
        <x:v>14</x:v>
      </x:c>
      <x:c r="L94" s="275" t="s">
        <x:v>15</x:v>
      </x:c>
      <x:c r="M94" s="275" t="s">
        <x:v>16</x:v>
      </x:c>
      <x:c r="N94" s="275" t="s">
        <x:v>17</x:v>
      </x:c>
      <x:c r="O94" s="275" t="s">
        <x:v>18</x:v>
      </x:c>
      <x:c r="P94" s="275" t="s">
        <x:v>19</x:v>
      </x:c>
      <x:c r="Q94" s="276" t="s">
        <x:v>187</x:v>
      </x:c>
      <x:c r="T94" s="467"/>
    </x:row>
    <x:row r="95" spans="2:22" ht="17.25" thickBot="1">
      <x:c r="D95" s="277" t="s">
        <x:v>329</x:v>
      </x:c>
      <x:c r="E95" s="414"/>
      <x:c r="F95" s="414"/>
      <x:c r="G95" s="414"/>
      <x:c r="H95" s="414"/>
      <x:c r="I95" s="414"/>
      <x:c r="J95" s="414"/>
      <x:c r="K95" s="414"/>
      <x:c r="L95" s="414"/>
      <x:c r="M95" s="414"/>
      <x:c r="N95" s="414"/>
      <x:c r="O95" s="414"/>
      <x:c r="P95" s="414"/>
      <x:c r="Q95" s="415">
        <x:f t="shared" ref="Q95" si="17">SUM(E95:P95)</x:f>
        <x:v>0</x:v>
      </x:c>
      <x:c r="R95" s="409" t="s">
        <x:v>6</x:v>
      </x:c>
      <x:c r="T95" s="467"/>
      <x:c r="V95" s="409" t="s">
        <x:v>339</x:v>
      </x:c>
    </x:row>
    <x:row r="96" spans="2:22">
      <x:c r="D96" s="468" t="s">
        <x:v>576</x:v>
      </x:c>
      <x:c r="T96" s="467"/>
    </x:row>
    <x:row r="97" spans="2:22">
      <x:c r="T97" s="467"/>
    </x:row>
    <x:row r="98" spans="2:22" ht="24.75" thickBot="1">
      <x:c r="B98" s="407" t="s">
        <x:v>628</x:v>
      </x:c>
    </x:row>
    <x:row r="99" spans="2:22">
      <x:c r="D99" s="416" t="s">
        <x:v>328</x:v>
      </x:c>
      <x:c r="E99" s="268" t="s">
        <x:v>186</x:v>
      </x:c>
      <x:c r="F99" s="268" t="s">
        <x:v>9</x:v>
      </x:c>
      <x:c r="G99" s="268" t="s">
        <x:v>10</x:v>
      </x:c>
      <x:c r="H99" s="268" t="s">
        <x:v>11</x:v>
      </x:c>
      <x:c r="I99" s="268" t="s">
        <x:v>12</x:v>
      </x:c>
      <x:c r="J99" s="268" t="s">
        <x:v>13</x:v>
      </x:c>
      <x:c r="K99" s="268" t="s">
        <x:v>14</x:v>
      </x:c>
      <x:c r="L99" s="268" t="s">
        <x:v>15</x:v>
      </x:c>
      <x:c r="M99" s="268" t="s">
        <x:v>16</x:v>
      </x:c>
      <x:c r="N99" s="268" t="s">
        <x:v>17</x:v>
      </x:c>
      <x:c r="O99" s="268" t="s">
        <x:v>18</x:v>
      </x:c>
      <x:c r="P99" s="268" t="s">
        <x:v>19</x:v>
      </x:c>
      <x:c r="Q99" s="268" t="s">
        <x:v>187</x:v>
      </x:c>
    </x:row>
    <x:row r="100" spans="2:22">
      <x:c r="D100" s="417" t="s">
        <x:v>187</x:v>
      </x:c>
      <x:c r="E100" s="418">
        <x:f>SUM(E101:E104)</x:f>
        <x:v>0</x:v>
      </x:c>
      <x:c r="F100" s="418">
        <x:f t="shared" ref="F100:Q100" si="18">SUM(F101:F104)</x:f>
        <x:v>0</x:v>
      </x:c>
      <x:c r="G100" s="418">
        <x:f t="shared" si="18"/>
        <x:v>366583000</x:v>
      </x:c>
      <x:c r="H100" s="418">
        <x:f t="shared" si="18"/>
        <x:v>37496000</x:v>
      </x:c>
      <x:c r="I100" s="418">
        <x:f t="shared" si="18"/>
        <x:v>0</x:v>
      </x:c>
      <x:c r="J100" s="418">
        <x:f t="shared" si="18"/>
        <x:v>1005721400</x:v>
      </x:c>
      <x:c r="K100" s="418">
        <x:f t="shared" si="18"/>
        <x:v>0</x:v>
      </x:c>
      <x:c r="L100" s="418">
        <x:f t="shared" si="18"/>
        <x:v>0</x:v>
      </x:c>
      <x:c r="M100" s="418">
        <x:f t="shared" si="18"/>
        <x:v>0</x:v>
      </x:c>
      <x:c r="N100" s="418">
        <x:f t="shared" si="18"/>
        <x:v>0</x:v>
      </x:c>
      <x:c r="O100" s="418">
        <x:f t="shared" si="18"/>
        <x:v>0</x:v>
      </x:c>
      <x:c r="P100" s="418">
        <x:f t="shared" si="18"/>
        <x:v>0</x:v>
      </x:c>
      <x:c r="Q100" s="418">
        <x:f t="shared" si="18"/>
        <x:v>1409800400</x:v>
      </x:c>
      <x:c r="R100" s="409" t="s">
        <x:v>6</x:v>
      </x:c>
      <x:c r="V100" s="409" t="s">
        <x:v>339</x:v>
      </x:c>
    </x:row>
    <x:row r="101" spans="2:22">
      <x:c r="D101" s="419" t="s">
        <x:v>642</x:v>
      </x:c>
      <x:c r="E101" s="270"/>
      <x:c r="F101" s="270"/>
      <x:c r="G101" s="270">
        <x:v>366583000</x:v>
      </x:c>
      <x:c r="H101" s="270">
        <x:v>37496000</x:v>
      </x:c>
      <x:c r="I101" s="270"/>
      <x:c r="J101" s="270">
        <x:v>411000000</x:v>
      </x:c>
      <x:c r="K101" s="270"/>
      <x:c r="L101" s="270"/>
      <x:c r="M101" s="270"/>
      <x:c r="N101" s="270"/>
      <x:c r="O101" s="270"/>
      <x:c r="P101" s="270"/>
      <x:c r="Q101" s="420">
        <x:f t="shared" ref="Q101:Q104" si="19">SUM(E101:P101)</x:f>
        <x:v>815079000</x:v>
      </x:c>
    </x:row>
    <x:row r="102" spans="2:22">
      <x:c r="D102" s="419" t="s">
        <x:v>643</x:v>
      </x:c>
      <x:c r="E102" s="421"/>
      <x:c r="F102" s="421"/>
      <x:c r="G102" s="421"/>
      <x:c r="H102" s="421"/>
      <x:c r="I102" s="421"/>
      <x:c r="J102" s="421">
        <x:v>594721400</x:v>
      </x:c>
      <x:c r="K102" s="421"/>
      <x:c r="L102" s="421"/>
      <x:c r="M102" s="421"/>
      <x:c r="N102" s="422"/>
      <x:c r="O102" s="421"/>
      <x:c r="P102" s="421"/>
      <x:c r="Q102" s="420">
        <x:f t="shared" si="19"/>
        <x:v>594721400</x:v>
      </x:c>
    </x:row>
    <x:row r="103" spans="2:22">
      <x:c r="D103" s="419"/>
      <x:c r="E103" s="421"/>
      <x:c r="F103" s="421"/>
      <x:c r="G103" s="421"/>
      <x:c r="H103" s="270"/>
      <x:c r="I103" s="270"/>
      <x:c r="J103" s="421"/>
      <x:c r="K103" s="421"/>
      <x:c r="L103" s="421"/>
      <x:c r="M103" s="421"/>
      <x:c r="N103" s="421"/>
      <x:c r="O103" s="421"/>
      <x:c r="P103" s="421"/>
      <x:c r="Q103" s="420">
        <x:f t="shared" si="19"/>
        <x:v>0</x:v>
      </x:c>
    </x:row>
    <x:row r="104" spans="2:22" ht="17.25" thickBot="1">
      <x:c r="D104" s="423"/>
      <x:c r="E104" s="424"/>
      <x:c r="F104" s="424"/>
      <x:c r="G104" s="424"/>
      <x:c r="H104" s="425"/>
      <x:c r="I104" s="425"/>
      <x:c r="J104" s="424"/>
      <x:c r="K104" s="424"/>
      <x:c r="L104" s="424"/>
      <x:c r="M104" s="424"/>
      <x:c r="N104" s="424"/>
      <x:c r="O104" s="424"/>
      <x:c r="P104" s="424"/>
      <x:c r="Q104" s="426">
        <x:f t="shared" si="19"/>
        <x:v>0</x:v>
      </x:c>
    </x:row>
    <x:row r="105" spans="2:22">
      <x:c r="D105" s="409"/>
    </x:row>
    <x:row r="109" spans="2:22" ht="24.75" thickBot="1">
      <x:c r="B109" s="407" t="s">
        <x:v>629</x:v>
      </x:c>
    </x:row>
    <x:row r="110" spans="2:22">
      <x:c r="C110" s="244" t="s">
        <x:v>321</x:v>
      </x:c>
      <x:c r="D110" s="245" t="s">
        <x:v>277</x:v>
      </x:c>
      <x:c r="E110" s="408" t="s">
        <x:v>186</x:v>
      </x:c>
      <x:c r="F110" s="408" t="s">
        <x:v>9</x:v>
      </x:c>
      <x:c r="G110" s="408" t="s">
        <x:v>10</x:v>
      </x:c>
      <x:c r="H110" s="408" t="s">
        <x:v>11</x:v>
      </x:c>
      <x:c r="I110" s="408" t="s">
        <x:v>12</x:v>
      </x:c>
      <x:c r="J110" s="408" t="s">
        <x:v>13</x:v>
      </x:c>
      <x:c r="K110" s="408" t="s">
        <x:v>14</x:v>
      </x:c>
      <x:c r="L110" s="408" t="s">
        <x:v>15</x:v>
      </x:c>
      <x:c r="M110" s="408" t="s">
        <x:v>16</x:v>
      </x:c>
      <x:c r="N110" s="408" t="s">
        <x:v>17</x:v>
      </x:c>
      <x:c r="O110" s="408" t="s">
        <x:v>18</x:v>
      </x:c>
      <x:c r="P110" s="408" t="s">
        <x:v>19</x:v>
      </x:c>
      <x:c r="Q110" s="246" t="s">
        <x:v>187</x:v>
      </x:c>
    </x:row>
    <x:row r="111" spans="2:22">
      <x:c r="C111" s="247" t="s">
        <x:v>187</x:v>
      </x:c>
      <x:c r="D111" s="248"/>
      <x:c r="E111" s="249">
        <x:f t="shared" ref="E111:Q111" si="20">E115+E117+E123</x:f>
        <x:v>0</x:v>
      </x:c>
      <x:c r="F111" s="249">
        <x:f t="shared" si="20"/>
        <x:v>0</x:v>
      </x:c>
      <x:c r="G111" s="249">
        <x:f t="shared" si="20"/>
        <x:v>0</x:v>
      </x:c>
      <x:c r="H111" s="249">
        <x:f t="shared" si="20"/>
        <x:v>2954900000</x:v>
      </x:c>
      <x:c r="I111" s="249">
        <x:f t="shared" si="20"/>
        <x:v>0</x:v>
      </x:c>
      <x:c r="J111" s="249">
        <x:f t="shared" si="20"/>
        <x:v>228200000</x:v>
      </x:c>
      <x:c r="K111" s="249">
        <x:f t="shared" si="20"/>
        <x:v>1446683600</x:v>
      </x:c>
      <x:c r="L111" s="249">
        <x:f t="shared" si="20"/>
        <x:v>0</x:v>
      </x:c>
      <x:c r="M111" s="249">
        <x:f t="shared" si="20"/>
        <x:v>124000000</x:v>
      </x:c>
      <x:c r="N111" s="249">
        <x:f t="shared" si="20"/>
        <x:v>0</x:v>
      </x:c>
      <x:c r="O111" s="249">
        <x:f t="shared" si="20"/>
        <x:v>0</x:v>
      </x:c>
      <x:c r="P111" s="249">
        <x:f t="shared" si="20"/>
        <x:v>2535188035</x:v>
      </x:c>
      <x:c r="Q111" s="250">
        <x:f t="shared" si="20"/>
        <x:v>7288971635</x:v>
      </x:c>
      <x:c r="R111" s="409" t="s">
        <x:v>6</x:v>
      </x:c>
      <x:c r="V111" s="409" t="s">
        <x:v>420</x:v>
      </x:c>
    </x:row>
    <x:row r="112" spans="2:22">
      <x:c r="C112" s="251" t="s">
        <x:v>322</x:v>
      </x:c>
      <x:c r="D112" s="252" t="s">
        <x:v>633</x:v>
      </x:c>
      <x:c r="E112" s="255"/>
      <x:c r="F112" s="255"/>
      <x:c r="G112" s="255"/>
      <x:c r="H112" s="255"/>
      <x:c r="I112" s="255"/>
      <x:c r="J112" s="255"/>
      <x:c r="K112" s="255"/>
      <x:c r="L112" s="255"/>
      <x:c r="M112" s="255"/>
      <x:c r="N112" s="255"/>
      <x:c r="O112" s="255"/>
      <x:c r="P112" s="255">
        <x:v>1073500000</x:v>
      </x:c>
      <x:c r="Q112" s="256">
        <x:f>SUM(E112:P112)</x:f>
        <x:v>1073500000</x:v>
      </x:c>
    </x:row>
    <x:row r="113" spans="2:17">
      <x:c r="C113" s="251"/>
      <x:c r="D113" s="252" t="s">
        <x:v>634</x:v>
      </x:c>
      <x:c r="E113" s="255"/>
      <x:c r="F113" s="255"/>
      <x:c r="G113" s="255"/>
      <x:c r="H113" s="255"/>
      <x:c r="I113" s="255"/>
      <x:c r="J113" s="255"/>
      <x:c r="K113" s="255"/>
      <x:c r="L113" s="255"/>
      <x:c r="M113" s="255"/>
      <x:c r="N113" s="255"/>
      <x:c r="O113" s="255"/>
      <x:c r="P113" s="255">
        <x:v>267988435</x:v>
      </x:c>
      <x:c r="Q113" s="256">
        <x:f>SUM(E113:P113)</x:f>
        <x:v>267988435</x:v>
      </x:c>
    </x:row>
    <x:row r="114" spans="2:17">
      <x:c r="C114" s="251"/>
      <x:c r="D114" s="252" t="s">
        <x:v>635</x:v>
      </x:c>
      <x:c r="E114" s="255"/>
      <x:c r="F114" s="255"/>
      <x:c r="G114" s="255"/>
      <x:c r="H114" s="255"/>
      <x:c r="I114" s="255"/>
      <x:c r="J114" s="255"/>
      <x:c r="K114" s="255"/>
      <x:c r="L114" s="255"/>
      <x:c r="M114" s="255"/>
      <x:c r="N114" s="255"/>
      <x:c r="O114" s="255"/>
      <x:c r="P114" s="255">
        <x:v>38250000</x:v>
      </x:c>
      <x:c r="Q114" s="256">
        <x:f t="shared" ref="Q114" si="21">SUM(E114:P114)</x:f>
        <x:v>38250000</x:v>
      </x:c>
    </x:row>
    <x:row r="115" spans="2:17">
      <x:c r="C115" s="259" t="s">
        <x:v>323</x:v>
      </x:c>
      <x:c r="D115" s="260"/>
      <x:c r="E115" s="261">
        <x:f t="shared" ref="E115:Q115" si="22">SUM(E112:E114)</x:f>
        <x:v>0</x:v>
      </x:c>
      <x:c r="F115" s="261">
        <x:f t="shared" si="22"/>
        <x:v>0</x:v>
      </x:c>
      <x:c r="G115" s="261">
        <x:f t="shared" si="22"/>
        <x:v>0</x:v>
      </x:c>
      <x:c r="H115" s="261">
        <x:f t="shared" si="22"/>
        <x:v>0</x:v>
      </x:c>
      <x:c r="I115" s="261">
        <x:f t="shared" si="22"/>
        <x:v>0</x:v>
      </x:c>
      <x:c r="J115" s="261">
        <x:f t="shared" si="22"/>
        <x:v>0</x:v>
      </x:c>
      <x:c r="K115" s="261">
        <x:f t="shared" si="22"/>
        <x:v>0</x:v>
      </x:c>
      <x:c r="L115" s="261">
        <x:f t="shared" si="22"/>
        <x:v>0</x:v>
      </x:c>
      <x:c r="M115" s="261">
        <x:f t="shared" si="22"/>
        <x:v>0</x:v>
      </x:c>
      <x:c r="N115" s="261">
        <x:f t="shared" si="22"/>
        <x:v>0</x:v>
      </x:c>
      <x:c r="O115" s="261">
        <x:f t="shared" si="22"/>
        <x:v>0</x:v>
      </x:c>
      <x:c r="P115" s="261">
        <x:f t="shared" si="22"/>
        <x:v>1379738435</x:v>
      </x:c>
      <x:c r="Q115" s="262">
        <x:f t="shared" si="22"/>
        <x:v>1379738435</x:v>
      </x:c>
    </x:row>
    <x:row r="116" spans="2:17">
      <x:c r="C116" s="251" t="s">
        <x:v>324</x:v>
      </x:c>
      <x:c r="D116" s="252"/>
      <x:c r="E116" s="253"/>
      <x:c r="F116" s="253"/>
      <x:c r="G116" s="253"/>
      <x:c r="H116" s="253"/>
      <x:c r="I116" s="253"/>
      <x:c r="J116" s="253"/>
      <x:c r="K116" s="253"/>
      <x:c r="L116" s="253"/>
      <x:c r="M116" s="253"/>
      <x:c r="N116" s="253"/>
      <x:c r="O116" s="253"/>
      <x:c r="P116" s="253"/>
      <x:c r="Q116" s="254">
        <x:f t="shared" ref="Q116" si="23">SUM(E116:P116)</x:f>
        <x:v>0</x:v>
      </x:c>
    </x:row>
    <x:row r="117" spans="2:17">
      <x:c r="C117" s="259" t="s">
        <x:v>325</x:v>
      </x:c>
      <x:c r="D117" s="260"/>
      <x:c r="E117" s="261">
        <x:f t="shared" ref="E117:Q117" si="24">SUM(E116:E116)</x:f>
        <x:v>0</x:v>
      </x:c>
      <x:c r="F117" s="261">
        <x:f t="shared" si="24"/>
        <x:v>0</x:v>
      </x:c>
      <x:c r="G117" s="261">
        <x:f t="shared" si="24"/>
        <x:v>0</x:v>
      </x:c>
      <x:c r="H117" s="261">
        <x:f t="shared" si="24"/>
        <x:v>0</x:v>
      </x:c>
      <x:c r="I117" s="261">
        <x:f t="shared" si="24"/>
        <x:v>0</x:v>
      </x:c>
      <x:c r="J117" s="261">
        <x:f t="shared" si="24"/>
        <x:v>0</x:v>
      </x:c>
      <x:c r="K117" s="261">
        <x:f t="shared" si="24"/>
        <x:v>0</x:v>
      </x:c>
      <x:c r="L117" s="261">
        <x:f t="shared" si="24"/>
        <x:v>0</x:v>
      </x:c>
      <x:c r="M117" s="261">
        <x:f t="shared" si="24"/>
        <x:v>0</x:v>
      </x:c>
      <x:c r="N117" s="261">
        <x:f t="shared" si="24"/>
        <x:v>0</x:v>
      </x:c>
      <x:c r="O117" s="261">
        <x:f t="shared" si="24"/>
        <x:v>0</x:v>
      </x:c>
      <x:c r="P117" s="261">
        <x:f t="shared" si="24"/>
        <x:v>0</x:v>
      </x:c>
      <x:c r="Q117" s="262">
        <x:f t="shared" si="24"/>
        <x:v>0</x:v>
      </x:c>
    </x:row>
    <x:row r="118" spans="2:17">
      <x:c r="C118" s="251" t="s">
        <x:v>326</x:v>
      </x:c>
      <x:c r="D118" s="252" t="s">
        <x:v>278</x:v>
      </x:c>
      <x:c r="E118" s="253"/>
      <x:c r="F118" s="253"/>
      <x:c r="G118" s="253"/>
      <x:c r="H118" s="253"/>
      <x:c r="I118" s="253"/>
      <x:c r="J118" s="253"/>
      <x:c r="K118" s="253">
        <x:v>1424683600</x:v>
      </x:c>
      <x:c r="L118" s="253"/>
      <x:c r="M118" s="253"/>
      <x:c r="N118" s="253"/>
      <x:c r="O118" s="253"/>
      <x:c r="P118" s="253">
        <x:v>1155449600</x:v>
      </x:c>
      <x:c r="Q118" s="254">
        <x:f t="shared" ref="Q118:Q122" si="25">SUM(E118:P118)</x:f>
        <x:v>2580133200</x:v>
      </x:c>
    </x:row>
    <x:row r="119" spans="2:17">
      <x:c r="C119" s="251"/>
      <x:c r="D119" s="252" t="s">
        <x:v>421</x:v>
      </x:c>
      <x:c r="E119" s="253"/>
      <x:c r="F119" s="253"/>
      <x:c r="G119" s="253"/>
      <x:c r="H119" s="253"/>
      <x:c r="I119" s="253"/>
      <x:c r="J119" s="253"/>
      <x:c r="K119" s="253"/>
      <x:c r="L119" s="253"/>
      <x:c r="M119" s="253"/>
      <x:c r="N119" s="253"/>
      <x:c r="O119" s="253"/>
      <x:c r="P119" s="253"/>
      <x:c r="Q119" s="254">
        <x:f t="shared" si="25"/>
        <x:v>0</x:v>
      </x:c>
    </x:row>
    <x:row r="120" spans="2:17">
      <x:c r="C120" s="251"/>
      <x:c r="D120" s="252" t="s">
        <x:v>636</x:v>
      </x:c>
      <x:c r="E120" s="253"/>
      <x:c r="F120" s="253"/>
      <x:c r="G120" s="253"/>
      <x:c r="H120" s="253"/>
      <x:c r="I120" s="253"/>
      <x:c r="J120" s="253"/>
      <x:c r="K120" s="253"/>
      <x:c r="L120" s="253"/>
      <x:c r="M120" s="253">
        <x:v>124000000</x:v>
      </x:c>
      <x:c r="N120" s="253"/>
      <x:c r="O120" s="253"/>
      <x:c r="P120" s="253"/>
      <x:c r="Q120" s="254">
        <x:f t="shared" si="25"/>
        <x:v>124000000</x:v>
      </x:c>
    </x:row>
    <x:row r="121" spans="2:17">
      <x:c r="C121" s="251"/>
      <x:c r="D121" s="252" t="s">
        <x:v>637</x:v>
      </x:c>
      <x:c r="E121" s="255"/>
      <x:c r="F121" s="255"/>
      <x:c r="G121" s="255"/>
      <x:c r="H121" s="255">
        <x:v>2954900000</x:v>
      </x:c>
      <x:c r="I121" s="255"/>
      <x:c r="J121" s="255">
        <x:v>1200000</x:v>
      </x:c>
      <x:c r="K121" s="255">
        <x:v>22000000</x:v>
      </x:c>
      <x:c r="L121" s="255"/>
      <x:c r="M121" s="255"/>
      <x:c r="N121" s="255"/>
      <x:c r="O121" s="255"/>
      <x:c r="P121" s="255"/>
      <x:c r="Q121" s="256">
        <x:f t="shared" si="25"/>
        <x:v>2978100000</x:v>
      </x:c>
    </x:row>
    <x:row r="122" spans="2:17">
      <x:c r="C122" s="251"/>
      <x:c r="D122" s="252" t="s">
        <x:v>185</x:v>
      </x:c>
      <x:c r="E122" s="257"/>
      <x:c r="F122" s="257"/>
      <x:c r="G122" s="257"/>
      <x:c r="H122" s="257"/>
      <x:c r="I122" s="257"/>
      <x:c r="J122" s="257">
        <x:v>227000000</x:v>
      </x:c>
      <x:c r="K122" s="257"/>
      <x:c r="L122" s="257"/>
      <x:c r="M122" s="257"/>
      <x:c r="N122" s="257"/>
      <x:c r="O122" s="257"/>
      <x:c r="P122" s="257"/>
      <x:c r="Q122" s="258">
        <x:f t="shared" si="25"/>
        <x:v>227000000</x:v>
      </x:c>
    </x:row>
    <x:row r="123" spans="2:17" ht="17.25" thickBot="1">
      <x:c r="C123" s="263" t="s">
        <x:v>327</x:v>
      </x:c>
      <x:c r="D123" s="264"/>
      <x:c r="E123" s="265">
        <x:f t="shared" ref="E123:Q123" si="26">SUM(E118:E122)</x:f>
        <x:v>0</x:v>
      </x:c>
      <x:c r="F123" s="265">
        <x:f t="shared" si="26"/>
        <x:v>0</x:v>
      </x:c>
      <x:c r="G123" s="265">
        <x:f t="shared" si="26"/>
        <x:v>0</x:v>
      </x:c>
      <x:c r="H123" s="265">
        <x:f t="shared" si="26"/>
        <x:v>2954900000</x:v>
      </x:c>
      <x:c r="I123" s="265">
        <x:f t="shared" si="26"/>
        <x:v>0</x:v>
      </x:c>
      <x:c r="J123" s="265">
        <x:f t="shared" si="26"/>
        <x:v>228200000</x:v>
      </x:c>
      <x:c r="K123" s="265">
        <x:f t="shared" si="26"/>
        <x:v>1446683600</x:v>
      </x:c>
      <x:c r="L123" s="265">
        <x:f t="shared" si="26"/>
        <x:v>0</x:v>
      </x:c>
      <x:c r="M123" s="265">
        <x:f t="shared" si="26"/>
        <x:v>124000000</x:v>
      </x:c>
      <x:c r="N123" s="265">
        <x:f t="shared" si="26"/>
        <x:v>0</x:v>
      </x:c>
      <x:c r="O123" s="265">
        <x:f t="shared" si="26"/>
        <x:v>0</x:v>
      </x:c>
      <x:c r="P123" s="265">
        <x:f t="shared" si="26"/>
        <x:v>1155449600</x:v>
      </x:c>
      <x:c r="Q123" s="266">
        <x:f t="shared" si="26"/>
        <x:v>5909233200</x:v>
      </x:c>
    </x:row>
    <x:row r="125" spans="2:17">
      <x:c r="G125" s="485"/>
      <x:c r="I125" s="486"/>
      <x:c r="J125" s="486"/>
      <x:c r="M125" s="486"/>
    </x:row>
    <x:row r="126" spans="2:17" ht="24.75" thickBot="1">
      <x:c r="B126" s="407" t="s">
        <x:v>630</x:v>
      </x:c>
    </x:row>
    <x:row r="127" spans="2:17">
      <x:c r="D127" s="267" t="s">
        <x:v>328</x:v>
      </x:c>
      <x:c r="E127" s="268" t="s">
        <x:v>186</x:v>
      </x:c>
      <x:c r="F127" s="268" t="s">
        <x:v>9</x:v>
      </x:c>
      <x:c r="G127" s="268" t="s">
        <x:v>10</x:v>
      </x:c>
      <x:c r="H127" s="268" t="s">
        <x:v>11</x:v>
      </x:c>
      <x:c r="I127" s="268" t="s">
        <x:v>12</x:v>
      </x:c>
      <x:c r="J127" s="268" t="s">
        <x:v>13</x:v>
      </x:c>
      <x:c r="K127" s="268" t="s">
        <x:v>14</x:v>
      </x:c>
      <x:c r="L127" s="268" t="s">
        <x:v>15</x:v>
      </x:c>
      <x:c r="M127" s="268" t="s">
        <x:v>16</x:v>
      </x:c>
      <x:c r="N127" s="268" t="s">
        <x:v>17</x:v>
      </x:c>
      <x:c r="O127" s="268" t="s">
        <x:v>18</x:v>
      </x:c>
      <x:c r="P127" s="268" t="s">
        <x:v>19</x:v>
      </x:c>
      <x:c r="Q127" s="269" t="s">
        <x:v>187</x:v>
      </x:c>
    </x:row>
    <x:row r="128" spans="2:17">
      <x:c r="D128" s="482" t="s">
        <x:v>638</x:v>
      </x:c>
      <x:c r="E128" s="270"/>
      <x:c r="F128" s="270"/>
      <x:c r="G128" s="270">
        <x:v>136000000</x:v>
      </x:c>
      <x:c r="H128" s="270"/>
      <x:c r="I128" s="270"/>
      <x:c r="J128" s="270"/>
      <x:c r="K128" s="270"/>
      <x:c r="L128" s="270"/>
      <x:c r="M128" s="270"/>
      <x:c r="N128" s="270"/>
      <x:c r="O128" s="270"/>
      <x:c r="P128" s="270"/>
      <x:c r="Q128" s="410">
        <x:f t="shared" ref="Q128:Q139" si="27">SUM(E128:P128)</x:f>
        <x:v>136000000</x:v>
      </x:c>
    </x:row>
    <x:row r="129" spans="2:22">
      <x:c r="D129" s="482" t="s">
        <x:v>639</x:v>
      </x:c>
      <x:c r="E129" s="270"/>
      <x:c r="F129" s="270"/>
      <x:c r="G129" s="270"/>
      <x:c r="H129" s="270"/>
      <x:c r="I129" s="270">
        <x:v>70000000</x:v>
      </x:c>
      <x:c r="J129" s="270"/>
      <x:c r="K129" s="270"/>
      <x:c r="L129" s="270"/>
      <x:c r="M129" s="270"/>
      <x:c r="N129" s="270"/>
      <x:c r="O129" s="270"/>
      <x:c r="P129" s="270"/>
      <x:c r="Q129" s="410">
        <x:f t="shared" si="27"/>
        <x:v>70000000</x:v>
      </x:c>
    </x:row>
    <x:row r="130" spans="2:22">
      <x:c r="D130" s="482" t="s">
        <x:v>640</x:v>
      </x:c>
      <x:c r="E130" s="270"/>
      <x:c r="F130" s="270"/>
      <x:c r="G130" s="270"/>
      <x:c r="H130" s="270"/>
      <x:c r="I130" s="270"/>
      <x:c r="J130" s="270">
        <x:v>99100000</x:v>
      </x:c>
      <x:c r="K130" s="270"/>
      <x:c r="L130" s="270"/>
      <x:c r="M130" s="270"/>
      <x:c r="N130" s="270"/>
      <x:c r="O130" s="270"/>
      <x:c r="P130" s="270"/>
      <x:c r="Q130" s="410">
        <x:f t="shared" si="27"/>
        <x:v>99100000</x:v>
      </x:c>
      <x:c r="R130" s="368" t="s">
        <x:v>797</x:v>
      </x:c>
      <x:c r="S130" s="484" t="s">
        <x:v>798</x:v>
      </x:c>
    </x:row>
    <x:row r="131" spans="2:22">
      <x:c r="D131" s="482" t="s">
        <x:v>641</x:v>
      </x:c>
      <x:c r="E131" s="270"/>
      <x:c r="F131" s="270"/>
      <x:c r="G131" s="270"/>
      <x:c r="H131" s="270"/>
      <x:c r="I131" s="270"/>
      <x:c r="J131" s="270"/>
      <x:c r="K131" s="270"/>
      <x:c r="L131" s="270"/>
      <x:c r="M131" s="270">
        <x:v>33500000</x:v>
      </x:c>
      <x:c r="N131" s="270"/>
      <x:c r="O131" s="270"/>
      <x:c r="P131" s="270"/>
      <x:c r="Q131" s="410">
        <x:f t="shared" si="27"/>
        <x:v>33500000</x:v>
      </x:c>
      <x:c r="R131" s="368" t="s">
        <x:v>797</x:v>
      </x:c>
      <x:c r="S131" s="484" t="s">
        <x:v>799</x:v>
      </x:c>
    </x:row>
    <x:row r="132" spans="2:22">
      <x:c r="D132" s="482" t="s">
        <x:v>800</x:v>
      </x:c>
      <x:c r="E132" s="270"/>
      <x:c r="F132" s="270"/>
      <x:c r="G132" s="270"/>
      <x:c r="H132" s="270"/>
      <x:c r="I132" s="270"/>
      <x:c r="J132" s="270"/>
      <x:c r="K132" s="270"/>
      <x:c r="L132" s="270"/>
      <x:c r="M132" s="270"/>
      <x:c r="N132" s="270"/>
      <x:c r="O132" s="270"/>
      <x:c r="P132" s="270">
        <x:v>6764905585.6416903</x:v>
      </x:c>
      <x:c r="Q132" s="410">
        <x:f t="shared" si="27"/>
        <x:v>6764905585.6416903</x:v>
      </x:c>
    </x:row>
    <x:row r="133" spans="2:22">
      <x:c r="D133" s="482"/>
      <x:c r="E133" s="270"/>
      <x:c r="F133" s="270"/>
      <x:c r="G133" s="270"/>
      <x:c r="H133" s="270"/>
      <x:c r="I133" s="270"/>
      <x:c r="J133" s="270"/>
      <x:c r="K133" s="270"/>
      <x:c r="L133" s="270"/>
      <x:c r="M133" s="270"/>
      <x:c r="N133" s="270"/>
      <x:c r="O133" s="270"/>
      <x:c r="P133" s="270"/>
      <x:c r="Q133" s="410">
        <x:f t="shared" si="27"/>
        <x:v>0</x:v>
      </x:c>
    </x:row>
    <x:row r="134" spans="2:22">
      <x:c r="D134" s="482"/>
      <x:c r="E134" s="270"/>
      <x:c r="F134" s="270"/>
      <x:c r="G134" s="270"/>
      <x:c r="H134" s="270"/>
      <x:c r="I134" s="270"/>
      <x:c r="J134" s="270"/>
      <x:c r="K134" s="270"/>
      <x:c r="L134" s="270"/>
      <x:c r="M134" s="270"/>
      <x:c r="N134" s="270"/>
      <x:c r="O134" s="270"/>
      <x:c r="P134" s="270"/>
      <x:c r="Q134" s="410">
        <x:f t="shared" si="27"/>
        <x:v>0</x:v>
      </x:c>
    </x:row>
    <x:row r="135" spans="2:22">
      <x:c r="D135" s="482"/>
      <x:c r="E135" s="270"/>
      <x:c r="F135" s="270"/>
      <x:c r="G135" s="270"/>
      <x:c r="H135" s="270"/>
      <x:c r="I135" s="270"/>
      <x:c r="J135" s="270"/>
      <x:c r="K135" s="270"/>
      <x:c r="L135" s="270"/>
      <x:c r="M135" s="270"/>
      <x:c r="N135" s="270"/>
      <x:c r="O135" s="270"/>
      <x:c r="P135" s="270"/>
      <x:c r="Q135" s="410">
        <x:f t="shared" si="27"/>
        <x:v>0</x:v>
      </x:c>
    </x:row>
    <x:row r="136" spans="2:22">
      <x:c r="D136" s="482"/>
      <x:c r="E136" s="270"/>
      <x:c r="F136" s="270"/>
      <x:c r="G136" s="270"/>
      <x:c r="H136" s="270"/>
      <x:c r="I136" s="270"/>
      <x:c r="J136" s="270"/>
      <x:c r="K136" s="270"/>
      <x:c r="L136" s="270"/>
      <x:c r="M136" s="270"/>
      <x:c r="N136" s="270"/>
      <x:c r="O136" s="270"/>
      <x:c r="P136" s="270"/>
      <x:c r="Q136" s="410">
        <x:f t="shared" si="27"/>
        <x:v>0</x:v>
      </x:c>
    </x:row>
    <x:row r="137" spans="2:22">
      <x:c r="D137" s="482"/>
      <x:c r="E137" s="270"/>
      <x:c r="F137" s="270"/>
      <x:c r="G137" s="270"/>
      <x:c r="H137" s="270"/>
      <x:c r="I137" s="270"/>
      <x:c r="J137" s="270"/>
      <x:c r="K137" s="270"/>
      <x:c r="L137" s="270"/>
      <x:c r="M137" s="270"/>
      <x:c r="N137" s="270"/>
      <x:c r="O137" s="270"/>
      <x:c r="P137" s="270"/>
      <x:c r="Q137" s="410">
        <x:f t="shared" si="27"/>
        <x:v>0</x:v>
      </x:c>
    </x:row>
    <x:row r="138" spans="2:22">
      <x:c r="D138" s="482"/>
      <x:c r="E138" s="271"/>
      <x:c r="F138" s="271"/>
      <x:c r="G138" s="271"/>
      <x:c r="H138" s="271"/>
      <x:c r="I138" s="271"/>
      <x:c r="J138" s="271"/>
      <x:c r="K138" s="271"/>
      <x:c r="L138" s="271"/>
      <x:c r="M138" s="271"/>
      <x:c r="N138" s="271"/>
      <x:c r="O138" s="427"/>
      <x:c r="P138" s="427"/>
      <x:c r="Q138" s="410">
        <x:f t="shared" si="27"/>
        <x:v>0</x:v>
      </x:c>
    </x:row>
    <x:row r="139" spans="2:22" ht="17.25" thickBot="1">
      <x:c r="D139" s="272" t="s">
        <x:v>187</x:v>
      </x:c>
      <x:c r="E139" s="273">
        <x:f t="shared" ref="E139:N139" si="28">SUM(E128:E138)</x:f>
        <x:v>0</x:v>
      </x:c>
      <x:c r="F139" s="273">
        <x:f t="shared" si="28"/>
        <x:v>0</x:v>
      </x:c>
      <x:c r="G139" s="273">
        <x:f t="shared" si="28"/>
        <x:v>136000000</x:v>
      </x:c>
      <x:c r="H139" s="273">
        <x:f t="shared" si="28"/>
        <x:v>0</x:v>
      </x:c>
      <x:c r="I139" s="273">
        <x:f t="shared" si="28"/>
        <x:v>70000000</x:v>
      </x:c>
      <x:c r="J139" s="273">
        <x:f t="shared" si="28"/>
        <x:v>99100000</x:v>
      </x:c>
      <x:c r="K139" s="273">
        <x:f t="shared" si="28"/>
        <x:v>0</x:v>
      </x:c>
      <x:c r="L139" s="273">
        <x:f t="shared" si="28"/>
        <x:v>0</x:v>
      </x:c>
      <x:c r="M139" s="273">
        <x:f t="shared" si="28"/>
        <x:v>33500000</x:v>
      </x:c>
      <x:c r="N139" s="273">
        <x:f t="shared" si="28"/>
        <x:v>0</x:v>
      </x:c>
      <x:c r="O139" s="273">
        <x:f>SUM(O128:O138)</x:f>
        <x:v>0</x:v>
      </x:c>
      <x:c r="P139" s="273">
        <x:f>SUM(P128:P138)</x:f>
        <x:v>6764905585.6416903</x:v>
      </x:c>
      <x:c r="Q139" s="413">
        <x:f t="shared" si="27"/>
        <x:v>7103505585.6416903</x:v>
      </x:c>
      <x:c r="R139" s="409" t="s">
        <x:v>6</x:v>
      </x:c>
      <x:c r="V139" s="409" t="s">
        <x:v>420</x:v>
      </x:c>
    </x:row>
    <x:row r="141" spans="2:22">
      <x:c r="R141" s="487"/>
    </x:row>
    <x:row r="142" spans="2:22" ht="24.75" thickBot="1">
      <x:c r="B142" s="407" t="s">
        <x:v>631</x:v>
      </x:c>
    </x:row>
    <x:row r="143" spans="2:22">
      <x:c r="D143" s="274" t="s">
        <x:v>328</x:v>
      </x:c>
      <x:c r="E143" s="275" t="s">
        <x:v>186</x:v>
      </x:c>
      <x:c r="F143" s="275" t="s">
        <x:v>9</x:v>
      </x:c>
      <x:c r="G143" s="275" t="s">
        <x:v>10</x:v>
      </x:c>
      <x:c r="H143" s="275" t="s">
        <x:v>11</x:v>
      </x:c>
      <x:c r="I143" s="275" t="s">
        <x:v>12</x:v>
      </x:c>
      <x:c r="J143" s="275" t="s">
        <x:v>13</x:v>
      </x:c>
      <x:c r="K143" s="275" t="s">
        <x:v>14</x:v>
      </x:c>
      <x:c r="L143" s="275" t="s">
        <x:v>15</x:v>
      </x:c>
      <x:c r="M143" s="275" t="s">
        <x:v>16</x:v>
      </x:c>
      <x:c r="N143" s="275" t="s">
        <x:v>17</x:v>
      </x:c>
      <x:c r="O143" s="275" t="s">
        <x:v>18</x:v>
      </x:c>
      <x:c r="P143" s="275" t="s">
        <x:v>19</x:v>
      </x:c>
      <x:c r="Q143" s="276" t="s">
        <x:v>187</x:v>
      </x:c>
    </x:row>
    <x:row r="144" spans="2:22" ht="17.25" thickBot="1">
      <x:c r="D144" s="277" t="s">
        <x:v>329</x:v>
      </x:c>
      <x:c r="E144" s="414"/>
      <x:c r="F144" s="414"/>
      <x:c r="G144" s="414"/>
      <x:c r="H144" s="414"/>
      <x:c r="I144" s="414"/>
      <x:c r="J144" s="414"/>
      <x:c r="K144" s="414"/>
      <x:c r="L144" s="414"/>
      <x:c r="M144" s="414"/>
      <x:c r="N144" s="414"/>
      <x:c r="O144" s="414"/>
      <x:c r="P144" s="414"/>
      <x:c r="Q144" s="415">
        <x:f t="shared" ref="Q144" si="29">SUM(E144:P144)</x:f>
        <x:v>0</x:v>
      </x:c>
      <x:c r="R144" s="409" t="s">
        <x:v>6</x:v>
      </x:c>
      <x:c r="V144" s="409" t="s">
        <x:v>420</x:v>
      </x:c>
    </x:row>
    <x:row r="146" spans="4:22" ht="17.25" thickBot="1"/>
    <x:row r="147" spans="4:22">
      <x:c r="E147" s="275" t="s">
        <x:v>186</x:v>
      </x:c>
      <x:c r="F147" s="275" t="s">
        <x:v>9</x:v>
      </x:c>
      <x:c r="G147" s="275" t="s">
        <x:v>10</x:v>
      </x:c>
      <x:c r="H147" s="275" t="s">
        <x:v>11</x:v>
      </x:c>
      <x:c r="I147" s="275" t="s">
        <x:v>12</x:v>
      </x:c>
      <x:c r="J147" s="275" t="s">
        <x:v>13</x:v>
      </x:c>
      <x:c r="K147" s="275" t="s">
        <x:v>14</x:v>
      </x:c>
      <x:c r="L147" s="275" t="s">
        <x:v>15</x:v>
      </x:c>
      <x:c r="M147" s="275" t="s">
        <x:v>16</x:v>
      </x:c>
      <x:c r="N147" s="275" t="s">
        <x:v>17</x:v>
      </x:c>
      <x:c r="O147" s="275" t="s">
        <x:v>18</x:v>
      </x:c>
      <x:c r="P147" s="275" t="s">
        <x:v>19</x:v>
      </x:c>
      <x:c r="Q147" s="276" t="s">
        <x:v>187</x:v>
      </x:c>
    </x:row>
    <x:row r="148" spans="4:22" ht="17.25" thickBot="1">
      <x:c r="D148" s="470" t="s">
        <x:v>608</x:v>
      </x:c>
      <x:c r="E148" s="414">
        <x:v>2427572.410712135</x:v>
      </x:c>
      <x:c r="F148" s="414">
        <x:v>2427572.410712135</x:v>
      </x:c>
      <x:c r="G148" s="414">
        <x:v>2427572.410712135</x:v>
      </x:c>
      <x:c r="H148" s="414">
        <x:v>2427572.410712135</x:v>
      </x:c>
      <x:c r="I148" s="414">
        <x:v>2427572.410712135</x:v>
      </x:c>
      <x:c r="J148" s="414">
        <x:v>2427572.410712135</x:v>
      </x:c>
      <x:c r="K148" s="414">
        <x:v>2427572.410712135</x:v>
      </x:c>
      <x:c r="L148" s="414">
        <x:v>2427572.410712135</x:v>
      </x:c>
      <x:c r="M148" s="414">
        <x:v>2427572.410712135</x:v>
      </x:c>
      <x:c r="N148" s="414">
        <x:v>2427572.410712135</x:v>
      </x:c>
      <x:c r="O148" s="414">
        <x:v>2427572.410712135</x:v>
      </x:c>
      <x:c r="P148" s="414">
        <x:v>2427572.410712135</x:v>
      </x:c>
      <x:c r="Q148" s="415">
        <x:f t="shared" ref="Q148" si="30">SUM(E148:P148)</x:f>
        <x:v>29130868.928545613</x:v>
      </x:c>
      <x:c r="R148" s="470" t="s">
        <x:v>609</x:v>
      </x:c>
      <x:c r="V148" s="470" t="s">
        <x:v>610</x:v>
      </x:c>
    </x:row>
  </x:sheetData>
  <x:mergeCells count="15">
    <x:mergeCell ref="C78:D78"/>
    <x:mergeCell ref="B4:B5"/>
    <x:mergeCell ref="C4:C13"/>
    <x:mergeCell ref="B6:B7"/>
    <x:mergeCell ref="B8:B9"/>
    <x:mergeCell ref="B10:B11"/>
    <x:mergeCell ref="B12:B13"/>
    <x:mergeCell ref="C34:C43"/>
    <x:mergeCell ref="C47:C53"/>
    <x:mergeCell ref="B19:B20"/>
    <x:mergeCell ref="C19:C28"/>
    <x:mergeCell ref="B21:B22"/>
    <x:mergeCell ref="B23:B24"/>
    <x:mergeCell ref="B25:B26"/>
    <x:mergeCell ref="B27:B28"/>
  </x:mergeCells>
  <x:phoneticPr fontId="7" type="noConversion"/>
  <x:printOptions horizontalCentered="1"/>
  <x:pageMargins left="0.39370078740157483" right="0.39370078740157483" top="0.39370078740157483" bottom="0.39370078740157483" header="0" footer="0"/>
  <x:pageSetup paperSize="9" scale="37" orientation="landscape" r:id="rId1"/>
  <x:legacyDrawing r:id="rId2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A2DBE2-46AF-4902-942C-559712156740}" mc:Ignorable="x14ac xr xr2 xr3">
  <x:sheetPr>
    <x:tabColor theme="9" tint="-0.499984740745262"/>
  </x:sheetPr>
  <x:dimension ref="A1:AQ1503"/>
  <x:sheetViews>
    <x:sheetView showGridLines="0" zoomScale="85" zoomScaleNormal="85" workbookViewId="0">
      <x:pane ySplit="2" topLeftCell="A3" activePane="bottomLeft" state="frozen"/>
      <x:selection pane="bottomLeft" activeCell="P18" sqref="P18"/>
    </x:sheetView>
  </x:sheetViews>
  <x:sheetFormatPr defaultColWidth="9.85546875" defaultRowHeight="20.100000000000001" customHeight="1"/>
  <x:cols>
    <x:col min="1" max="1" width="14.85546875" style="438" bestFit="1" customWidth="1"/>
    <x:col min="2" max="2" width="14.85546875" style="438" customWidth="1"/>
    <x:col min="3" max="3" width="9.140625" style="438" customWidth="1"/>
    <x:col min="4" max="4" width="8.140625" style="438" customWidth="1"/>
    <x:col min="5" max="5" width="25.42578125" style="438" bestFit="1" customWidth="1"/>
    <x:col min="6" max="6" width="13.85546875" style="438" customWidth="1"/>
    <x:col min="7" max="7" width="9.5703125" style="438" customWidth="1"/>
    <x:col min="8" max="8" width="22.5703125" style="438" customWidth="1"/>
    <x:col min="9" max="10" width="9.5703125" style="438" customWidth="1"/>
    <x:col min="11" max="24" width="11.5703125" style="465" customWidth="1"/>
    <x:col min="25" max="36" width="9.85546875" style="438" customWidth="1"/>
    <x:col min="37" max="16384" width="9.85546875" style="438"/>
  </x:cols>
  <x:sheetData>
    <x:row r="1" spans="1:43" ht="20.100000000000001" customHeight="1">
      <x:c r="A1" s="433" t="s">
        <x:v>422</x:v>
      </x:c>
      <x:c r="B1" s="434"/>
      <x:c r="C1" s="434" t="s">
        <x:v>423</x:v>
      </x:c>
      <x:c r="D1" s="1" t="s">
        <x:v>423</x:v>
      </x:c>
      <x:c r="E1" s="2" t="s">
        <x:v>423</x:v>
      </x:c>
      <x:c r="F1" s="2" t="s">
        <x:v>424</x:v>
      </x:c>
      <x:c r="G1" s="433" t="s">
        <x:v>424</x:v>
      </x:c>
      <x:c r="H1" s="434" t="s">
        <x:v>424</x:v>
      </x:c>
      <x:c r="I1" s="1" t="s">
        <x:v>424</x:v>
      </x:c>
      <x:c r="J1" s="434" t="s">
        <x:v>424</x:v>
      </x:c>
      <x:c r="K1" s="1">
        <x:v>2026</x:v>
      </x:c>
      <x:c r="L1" s="1">
        <x:v>2026</x:v>
      </x:c>
      <x:c r="M1" s="1">
        <x:v>2026</x:v>
      </x:c>
      <x:c r="N1" s="1">
        <x:v>2026</x:v>
      </x:c>
      <x:c r="O1" s="1">
        <x:v>2026</x:v>
      </x:c>
      <x:c r="P1" s="1">
        <x:v>2026</x:v>
      </x:c>
      <x:c r="Q1" s="1">
        <x:v>2026</x:v>
      </x:c>
      <x:c r="R1" s="1">
        <x:v>2026</x:v>
      </x:c>
      <x:c r="S1" s="1">
        <x:v>2026</x:v>
      </x:c>
      <x:c r="T1" s="1">
        <x:v>2026</x:v>
      </x:c>
      <x:c r="U1" s="1">
        <x:v>2026</x:v>
      </x:c>
      <x:c r="V1" s="1">
        <x:v>2026</x:v>
      </x:c>
      <x:c r="W1" s="433">
        <x:v>2026</x:v>
      </x:c>
      <x:c r="X1" s="433">
        <x:v>2026</x:v>
      </x:c>
      <x:c r="Y1" s="435">
        <x:v>12</x:v>
      </x:c>
      <x:c r="Z1" s="436" t="s">
        <x:v>425</x:v>
      </x:c>
      <x:c r="AA1" s="437"/>
      <x:c r="AB1" s="437"/>
      <x:c r="AC1" s="437"/>
      <x:c r="AD1" s="437"/>
      <x:c r="AE1" s="437"/>
      <x:c r="AG1" s="469">
        <x:v>5.4302198765488585E-2</x:v>
      </x:c>
    </x:row>
    <x:row r="2" spans="1:43" ht="20.100000000000001" customHeight="1">
      <x:c r="A2" s="433" t="s">
        <x:v>426</x:v>
      </x:c>
      <x:c r="B2" s="434"/>
      <x:c r="C2" s="434" t="s">
        <x:v>427</x:v>
      </x:c>
      <x:c r="D2" s="1" t="s">
        <x:v>428</x:v>
      </x:c>
      <x:c r="E2" s="2" t="s">
        <x:v>429</x:v>
      </x:c>
      <x:c r="F2" s="2" t="s">
        <x:v>430</x:v>
      </x:c>
      <x:c r="G2" s="433" t="s">
        <x:v>428</x:v>
      </x:c>
      <x:c r="H2" s="434" t="s">
        <x:v>429</x:v>
      </x:c>
      <x:c r="I2" s="1" t="s">
        <x:v>431</x:v>
      </x:c>
      <x:c r="J2" s="434" t="s">
        <x:v>427</x:v>
      </x:c>
      <x:c r="K2" s="1">
        <x:v>1</x:v>
      </x:c>
      <x:c r="L2" s="1">
        <x:v>2</x:v>
      </x:c>
      <x:c r="M2" s="1">
        <x:v>3</x:v>
      </x:c>
      <x:c r="N2" s="1">
        <x:v>4</x:v>
      </x:c>
      <x:c r="O2" s="1">
        <x:v>5</x:v>
      </x:c>
      <x:c r="P2" s="1">
        <x:v>6</x:v>
      </x:c>
      <x:c r="Q2" s="1">
        <x:v>7</x:v>
      </x:c>
      <x:c r="R2" s="1">
        <x:v>8</x:v>
      </x:c>
      <x:c r="S2" s="1">
        <x:v>9</x:v>
      </x:c>
      <x:c r="T2" s="1">
        <x:v>10</x:v>
      </x:c>
      <x:c r="U2" s="1">
        <x:v>11</x:v>
      </x:c>
      <x:c r="V2" s="1">
        <x:v>12</x:v>
      </x:c>
      <x:c r="W2" s="433" t="s">
        <x:v>432</x:v>
      </x:c>
      <x:c r="X2" s="433" t="s">
        <x:v>433</x:v>
      </x:c>
      <x:c r="Y2" s="503" t="s">
        <x:v>434</x:v>
      </x:c>
      <x:c r="Z2" s="504"/>
      <x:c r="AA2" s="504"/>
      <x:c r="AB2" s="504"/>
      <x:c r="AC2" s="504"/>
      <x:c r="AD2" s="504"/>
      <x:c r="AE2" s="504"/>
    </x:row>
    <x:row r="3" spans="1:43" ht="20.100000000000001" customHeight="1">
      <x:c r="A3" s="439"/>
      <x:c r="B3" s="466" t="str">
        <x:f t="shared" ref="B3:B66" si="0">IFERROR(VLOOKUP($C3,$AH:$AI,2,),"")</x:f>
        <x:v>여비교통비</x:v>
      </x:c>
      <x:c r="C3" s="440" t="str">
        <x:f t="shared" ref="C3:C66" si="1">IFERROR(VLOOKUP($D3,$AO:$AQ,3,),"")</x:f>
        <x:v>여비교통비</x:v>
      </x:c>
      <x:c r="D3" s="483">
        <x:v>52150103</x:v>
      </x:c>
      <x:c r="E3" s="442" t="str">
        <x:f t="shared" ref="E3:E66" si="2">IFERROR(VLOOKUP($D3,$AO:$AQ,2,),"")</x:f>
        <x:v>여비교통비_해외출장</x:v>
      </x:c>
      <x:c r="F3" s="443"/>
      <x:c r="G3" s="483" t="s">
        <x:v>80</x:v>
      </x:c>
      <x:c r="H3" s="445" t="str">
        <x:f t="shared" ref="H3:H34" si="3">IFERROR(VLOOKUP($G3,$AK:$AL,2,),"")</x:f>
        <x:v>사업관리팀(E)</x:v>
      </x:c>
      <x:c r="I3" s="446" t="str">
        <x:f t="shared" ref="I3:I66" si="4">IFERROR(VLOOKUP($G3,$AK:$AM,3,),"")</x:f>
        <x:v>[관리비]</x:v>
      </x:c>
      <x:c r="J3" s="445"/>
      <x:c r="K3" s="447">
        <x:v>0</x:v>
      </x:c>
      <x:c r="L3" s="448">
        <x:v>0</x:v>
      </x:c>
      <x:c r="M3" s="448"/>
      <x:c r="N3" s="448">
        <x:v>0</x:v>
      </x:c>
      <x:c r="O3" s="448">
        <x:v>5000000</x:v>
      </x:c>
      <x:c r="P3" s="448">
        <x:v>0</x:v>
      </x:c>
      <x:c r="Q3" s="448">
        <x:v>0</x:v>
      </x:c>
      <x:c r="R3" s="448">
        <x:v>0</x:v>
      </x:c>
      <x:c r="S3" s="448">
        <x:v>0</x:v>
      </x:c>
      <x:c r="T3" s="448">
        <x:v>0</x:v>
      </x:c>
      <x:c r="U3" s="448">
        <x:v>0</x:v>
      </x:c>
      <x:c r="V3" s="449">
        <x:v>0</x:v>
      </x:c>
      <x:c r="W3" s="450">
        <x:f t="shared" ref="W3:W17" si="5">IFERROR(SUM(K3:V3),"")</x:f>
        <x:v>5000000</x:v>
      </x:c>
      <x:c r="X3" s="450">
        <x:f>IFERROR($W3/$Y$1,"")</x:f>
        <x:v>416666.66666666669</x:v>
      </x:c>
      <x:c r="Y3" s="451" t="s">
        <x:v>648</x:v>
      </x:c>
      <x:c r="Z3" s="452"/>
      <x:c r="AA3" s="452"/>
      <x:c r="AB3" s="452"/>
      <x:c r="AC3" s="452"/>
      <x:c r="AD3" s="452"/>
      <x:c r="AE3" s="452"/>
      <x:c r="AH3" s="438" t="s">
        <x:v>440</x:v>
      </x:c>
      <x:c r="AI3" s="438" t="s">
        <x:v>34</x:v>
      </x:c>
      <x:c r="AK3" s="438" t="s">
        <x:v>99</x:v>
      </x:c>
      <x:c r="AL3" s="438" t="s">
        <x:v>100</x:v>
      </x:c>
      <x:c r="AM3" s="438" t="s">
        <x:v>4</x:v>
      </x:c>
      <x:c r="AO3" s="438">
        <x:v>42140120</x:v>
      </x:c>
      <x:c r="AP3" s="438" t="s">
        <x:v>517</x:v>
      </x:c>
      <x:c r="AQ3" s="438" t="s">
        <x:v>513</x:v>
      </x:c>
    </x:row>
    <x:row r="4" spans="1:43" ht="20.100000000000001" customHeight="1">
      <x:c r="A4" s="439"/>
      <x:c r="B4" s="466" t="str">
        <x:f t="shared" si="0"/>
        <x:v>기타비용</x:v>
      </x:c>
      <x:c r="C4" s="440" t="str">
        <x:f t="shared" si="1"/>
        <x:v>접대비</x:v>
      </x:c>
      <x:c r="D4" s="441">
        <x:v>52230103</x:v>
      </x:c>
      <x:c r="E4" s="442" t="str">
        <x:f t="shared" si="2"/>
        <x:v>접대비_법인카드</x:v>
      </x:c>
      <x:c r="F4" s="443"/>
      <x:c r="G4" s="444" t="s">
        <x:v>80</x:v>
      </x:c>
      <x:c r="H4" s="445" t="str">
        <x:f t="shared" si="3"/>
        <x:v>사업관리팀(E)</x:v>
      </x:c>
      <x:c r="I4" s="446" t="str">
        <x:f t="shared" si="4"/>
        <x:v>[관리비]</x:v>
      </x:c>
      <x:c r="J4" s="445"/>
      <x:c r="K4" s="453">
        <x:v>100000</x:v>
      </x:c>
      <x:c r="L4" s="454">
        <x:v>100000</x:v>
      </x:c>
      <x:c r="M4" s="454">
        <x:v>100000</x:v>
      </x:c>
      <x:c r="N4" s="454">
        <x:v>100000</x:v>
      </x:c>
      <x:c r="O4" s="454">
        <x:v>100000</x:v>
      </x:c>
      <x:c r="P4" s="454">
        <x:v>100000</x:v>
      </x:c>
      <x:c r="Q4" s="454">
        <x:v>100000</x:v>
      </x:c>
      <x:c r="R4" s="454">
        <x:v>100000</x:v>
      </x:c>
      <x:c r="S4" s="454">
        <x:v>100000</x:v>
      </x:c>
      <x:c r="T4" s="454">
        <x:v>100000</x:v>
      </x:c>
      <x:c r="U4" s="454">
        <x:v>100000</x:v>
      </x:c>
      <x:c r="V4" s="455">
        <x:v>100000</x:v>
      </x:c>
      <x:c r="W4" s="456">
        <x:f t="shared" si="5"/>
        <x:v>1200000</x:v>
      </x:c>
      <x:c r="X4" s="450">
        <x:f t="shared" ref="X4:X17" si="6">IFERROR($W4/$Y$1,"")</x:f>
        <x:v>100000</x:v>
      </x:c>
      <x:c r="Y4" s="457" t="s">
        <x:v>649</x:v>
      </x:c>
      <x:c r="Z4" s="458"/>
      <x:c r="AA4" s="458"/>
      <x:c r="AB4" s="458"/>
      <x:c r="AC4" s="458"/>
      <x:c r="AD4" s="458"/>
      <x:c r="AE4" s="458"/>
      <x:c r="AH4" s="438" t="s">
        <x:v>435</x:v>
      </x:c>
      <x:c r="AI4" s="438" t="s">
        <x:v>42</x:v>
      </x:c>
      <x:c r="AK4" s="438" t="s">
        <x:v>101</x:v>
      </x:c>
      <x:c r="AL4" s="438" t="s">
        <x:v>102</x:v>
      </x:c>
      <x:c r="AM4" s="438" t="s">
        <x:v>4</x:v>
      </x:c>
      <x:c r="AO4" s="438">
        <x:v>42190150</x:v>
      </x:c>
      <x:c r="AP4" s="438" t="s">
        <x:v>518</x:v>
      </x:c>
      <x:c r="AQ4" s="438" t="s">
        <x:v>513</x:v>
      </x:c>
    </x:row>
    <x:row r="5" spans="1:43" ht="20.100000000000001" customHeight="1">
      <x:c r="A5" s="439"/>
      <x:c r="B5" s="466" t="str">
        <x:f t="shared" si="0"/>
        <x:v>복리후생비</x:v>
      </x:c>
      <x:c r="C5" s="440" t="str">
        <x:f t="shared" si="1"/>
        <x:v>후생비</x:v>
      </x:c>
      <x:c r="D5" s="441">
        <x:v>52130123</x:v>
      </x:c>
      <x:c r="E5" s="442" t="str">
        <x:f t="shared" si="2"/>
        <x:v>후생비_외근식대</x:v>
      </x:c>
      <x:c r="F5" s="443"/>
      <x:c r="G5" s="444" t="s">
        <x:v>80</x:v>
      </x:c>
      <x:c r="H5" s="445" t="str">
        <x:f t="shared" si="3"/>
        <x:v>사업관리팀(E)</x:v>
      </x:c>
      <x:c r="I5" s="446" t="str">
        <x:f t="shared" si="4"/>
        <x:v>[관리비]</x:v>
      </x:c>
      <x:c r="J5" s="445"/>
      <x:c r="K5" s="453">
        <x:v>39000</x:v>
      </x:c>
      <x:c r="L5" s="454">
        <x:v>39000</x:v>
      </x:c>
      <x:c r="M5" s="454">
        <x:v>39000</x:v>
      </x:c>
      <x:c r="N5" s="454">
        <x:v>39000</x:v>
      </x:c>
      <x:c r="O5" s="454">
        <x:v>39000</x:v>
      </x:c>
      <x:c r="P5" s="454">
        <x:v>39000</x:v>
      </x:c>
      <x:c r="Q5" s="454">
        <x:v>39000</x:v>
      </x:c>
      <x:c r="R5" s="454">
        <x:v>39000</x:v>
      </x:c>
      <x:c r="S5" s="454">
        <x:v>39000</x:v>
      </x:c>
      <x:c r="T5" s="454">
        <x:v>39000</x:v>
      </x:c>
      <x:c r="U5" s="454">
        <x:v>39000</x:v>
      </x:c>
      <x:c r="V5" s="455">
        <x:v>39000</x:v>
      </x:c>
      <x:c r="W5" s="456">
        <x:f t="shared" si="5"/>
        <x:v>468000</x:v>
      </x:c>
      <x:c r="X5" s="450">
        <x:f t="shared" si="6"/>
        <x:v>39000</x:v>
      </x:c>
      <x:c r="Y5" s="457" t="s">
        <x:v>650</x:v>
      </x:c>
      <x:c r="Z5" s="458"/>
      <x:c r="AA5" s="458"/>
      <x:c r="AB5" s="458"/>
      <x:c r="AC5" s="458"/>
      <x:c r="AD5" s="458"/>
      <x:c r="AE5" s="458"/>
      <x:c r="AH5" s="438" t="s">
        <x:v>438</x:v>
      </x:c>
      <x:c r="AI5" s="438" t="s">
        <x:v>42</x:v>
      </x:c>
      <x:c r="AK5" s="438" t="s">
        <x:v>80</x:v>
      </x:c>
      <x:c r="AL5" s="438" t="s">
        <x:v>81</x:v>
      </x:c>
      <x:c r="AM5" s="438" t="s">
        <x:v>458</x:v>
      </x:c>
      <x:c r="AO5" s="438">
        <x:v>51110121</x:v>
      </x:c>
      <x:c r="AP5" s="438" t="s">
        <x:v>519</x:v>
      </x:c>
      <x:c r="AQ5" s="438" t="s">
        <x:v>520</x:v>
      </x:c>
    </x:row>
    <x:row r="6" spans="1:43" ht="20.100000000000001" customHeight="1">
      <x:c r="A6" s="439"/>
      <x:c r="B6" s="466" t="str">
        <x:f t="shared" si="0"/>
        <x:v>운반비</x:v>
      </x:c>
      <x:c r="C6" s="440" t="str">
        <x:f t="shared" si="1"/>
        <x:v>운반비</x:v>
      </x:c>
      <x:c r="D6" s="441">
        <x:v>52259900</x:v>
      </x:c>
      <x:c r="E6" s="442" t="str">
        <x:f t="shared" si="2"/>
        <x:v>운반비_기타</x:v>
      </x:c>
      <x:c r="F6" s="443"/>
      <x:c r="G6" s="444" t="s">
        <x:v>80</x:v>
      </x:c>
      <x:c r="H6" s="445" t="str">
        <x:f t="shared" si="3"/>
        <x:v>사업관리팀(E)</x:v>
      </x:c>
      <x:c r="I6" s="446" t="str">
        <x:f t="shared" si="4"/>
        <x:v>[관리비]</x:v>
      </x:c>
      <x:c r="J6" s="445"/>
      <x:c r="K6" s="453">
        <x:v>1000000</x:v>
      </x:c>
      <x:c r="L6" s="454">
        <x:v>1000000</x:v>
      </x:c>
      <x:c r="M6" s="454">
        <x:v>1000000</x:v>
      </x:c>
      <x:c r="N6" s="454">
        <x:v>1000000</x:v>
      </x:c>
      <x:c r="O6" s="454">
        <x:v>1000000</x:v>
      </x:c>
      <x:c r="P6" s="454">
        <x:v>1000000</x:v>
      </x:c>
      <x:c r="Q6" s="454">
        <x:v>1000000</x:v>
      </x:c>
      <x:c r="R6" s="454">
        <x:v>1000000</x:v>
      </x:c>
      <x:c r="S6" s="454">
        <x:v>1000000</x:v>
      </x:c>
      <x:c r="T6" s="454">
        <x:v>1000000</x:v>
      </x:c>
      <x:c r="U6" s="454">
        <x:v>1000000</x:v>
      </x:c>
      <x:c r="V6" s="455">
        <x:v>1000000</x:v>
      </x:c>
      <x:c r="W6" s="456">
        <x:f t="shared" si="5"/>
        <x:v>12000000</x:v>
      </x:c>
      <x:c r="X6" s="450">
        <x:f t="shared" si="6"/>
        <x:v>1000000</x:v>
      </x:c>
      <x:c r="Y6" s="457" t="s">
        <x:v>651</x:v>
      </x:c>
      <x:c r="Z6" s="458"/>
      <x:c r="AA6" s="458"/>
      <x:c r="AB6" s="458"/>
      <x:c r="AC6" s="458"/>
      <x:c r="AD6" s="458"/>
      <x:c r="AE6" s="458"/>
      <x:c r="AH6" s="438" t="s">
        <x:v>439</x:v>
      </x:c>
      <x:c r="AI6" s="438" t="s">
        <x:v>42</x:v>
      </x:c>
      <x:c r="AK6" s="438" t="s">
        <x:v>104</x:v>
      </x:c>
      <x:c r="AL6" s="438" t="s">
        <x:v>105</x:v>
      </x:c>
      <x:c r="AM6" s="438" t="s">
        <x:v>4</x:v>
      </x:c>
      <x:c r="AO6" s="438">
        <x:v>51110165</x:v>
      </x:c>
      <x:c r="AP6" s="438" t="s">
        <x:v>521</x:v>
      </x:c>
      <x:c r="AQ6" s="438" t="s">
        <x:v>520</x:v>
      </x:c>
    </x:row>
    <x:row r="7" spans="1:43" ht="20.100000000000001" customHeight="1">
      <x:c r="A7" s="439"/>
      <x:c r="B7" s="466" t="str">
        <x:f t="shared" si="0"/>
        <x:v>지급수수료</x:v>
      </x:c>
      <x:c r="C7" s="440" t="str">
        <x:f t="shared" si="1"/>
        <x:v>지급수수료</x:v>
      </x:c>
      <x:c r="D7" s="441">
        <x:v>52319900</x:v>
      </x:c>
      <x:c r="E7" s="442" t="str">
        <x:f t="shared" si="2"/>
        <x:v>지급수수료_기타</x:v>
      </x:c>
      <x:c r="F7" s="443"/>
      <x:c r="G7" s="444" t="s">
        <x:v>80</x:v>
      </x:c>
      <x:c r="H7" s="445" t="str">
        <x:f t="shared" si="3"/>
        <x:v>사업관리팀(E)</x:v>
      </x:c>
      <x:c r="I7" s="446" t="str">
        <x:f t="shared" si="4"/>
        <x:v>[관리비]</x:v>
      </x:c>
      <x:c r="J7" s="445"/>
      <x:c r="K7" s="453">
        <x:v>2500000</x:v>
      </x:c>
      <x:c r="L7" s="454">
        <x:v>2500000</x:v>
      </x:c>
      <x:c r="M7" s="454">
        <x:v>2500000</x:v>
      </x:c>
      <x:c r="N7" s="454">
        <x:v>2500000</x:v>
      </x:c>
      <x:c r="O7" s="454">
        <x:v>2500000</x:v>
      </x:c>
      <x:c r="P7" s="454">
        <x:v>2500000</x:v>
      </x:c>
      <x:c r="Q7" s="454">
        <x:v>2500000</x:v>
      </x:c>
      <x:c r="R7" s="454">
        <x:v>2500000</x:v>
      </x:c>
      <x:c r="S7" s="454">
        <x:v>2500000</x:v>
      </x:c>
      <x:c r="T7" s="454">
        <x:v>2500000</x:v>
      </x:c>
      <x:c r="U7" s="454">
        <x:v>2500000</x:v>
      </x:c>
      <x:c r="V7" s="455">
        <x:v>2500000</x:v>
      </x:c>
      <x:c r="W7" s="456">
        <x:f t="shared" si="5"/>
        <x:v>30000000</x:v>
      </x:c>
      <x:c r="X7" s="450">
        <x:f t="shared" si="6"/>
        <x:v>2500000</x:v>
      </x:c>
      <x:c r="Y7" s="457" t="s">
        <x:v>652</x:v>
      </x:c>
      <x:c r="Z7" s="458"/>
      <x:c r="AA7" s="458"/>
      <x:c r="AB7" s="458"/>
      <x:c r="AC7" s="458"/>
      <x:c r="AD7" s="458"/>
      <x:c r="AE7" s="458"/>
      <x:c r="AH7" s="438" t="s">
        <x:v>443</x:v>
      </x:c>
      <x:c r="AI7" s="438" t="s">
        <x:v>48</x:v>
      </x:c>
      <x:c r="AK7" s="438" t="s">
        <x:v>106</x:v>
      </x:c>
      <x:c r="AL7" s="438" t="s">
        <x:v>244</x:v>
      </x:c>
      <x:c r="AM7" s="438" t="s">
        <x:v>458</x:v>
      </x:c>
      <x:c r="AO7" s="438">
        <x:v>51110168</x:v>
      </x:c>
      <x:c r="AP7" s="438" t="s">
        <x:v>522</x:v>
      </x:c>
      <x:c r="AQ7" s="438" t="s">
        <x:v>520</x:v>
      </x:c>
    </x:row>
    <x:row r="8" spans="1:43" ht="20.100000000000001" customHeight="1">
      <x:c r="A8" s="439"/>
      <x:c r="B8" s="466" t="str">
        <x:f t="shared" si="0"/>
        <x:v>복리후생비</x:v>
      </x:c>
      <x:c r="C8" s="440" t="str">
        <x:f t="shared" si="1"/>
        <x:v>후생비</x:v>
      </x:c>
      <x:c r="D8" s="441">
        <x:v>52130125</x:v>
      </x:c>
      <x:c r="E8" s="442" t="str">
        <x:f t="shared" si="2"/>
        <x:v>후생비_기타식대</x:v>
      </x:c>
      <x:c r="F8" s="443"/>
      <x:c r="G8" s="444" t="s">
        <x:v>80</x:v>
      </x:c>
      <x:c r="H8" s="445" t="str">
        <x:f t="shared" si="3"/>
        <x:v>사업관리팀(E)</x:v>
      </x:c>
      <x:c r="I8" s="446" t="str">
        <x:f t="shared" si="4"/>
        <x:v>[관리비]</x:v>
      </x:c>
      <x:c r="J8" s="445"/>
      <x:c r="K8" s="453">
        <x:v>13000</x:v>
      </x:c>
      <x:c r="L8" s="454">
        <x:v>13000</x:v>
      </x:c>
      <x:c r="M8" s="454">
        <x:v>13000</x:v>
      </x:c>
      <x:c r="N8" s="454">
        <x:v>13000</x:v>
      </x:c>
      <x:c r="O8" s="454">
        <x:v>13000</x:v>
      </x:c>
      <x:c r="P8" s="454">
        <x:v>13000</x:v>
      </x:c>
      <x:c r="Q8" s="454">
        <x:v>13000</x:v>
      </x:c>
      <x:c r="R8" s="454">
        <x:v>13000</x:v>
      </x:c>
      <x:c r="S8" s="454">
        <x:v>13000</x:v>
      </x:c>
      <x:c r="T8" s="454">
        <x:v>13000</x:v>
      </x:c>
      <x:c r="U8" s="454">
        <x:v>13000</x:v>
      </x:c>
      <x:c r="V8" s="455">
        <x:v>13000</x:v>
      </x:c>
      <x:c r="W8" s="456">
        <x:f t="shared" si="5"/>
        <x:v>156000</x:v>
      </x:c>
      <x:c r="X8" s="450">
        <x:f t="shared" si="6"/>
        <x:v>13000</x:v>
      </x:c>
      <x:c r="Y8" s="457" t="s">
        <x:v>653</x:v>
      </x:c>
      <x:c r="Z8" s="458"/>
      <x:c r="AA8" s="458"/>
      <x:c r="AB8" s="458"/>
      <x:c r="AC8" s="458"/>
      <x:c r="AD8" s="458"/>
      <x:c r="AE8" s="458"/>
      <x:c r="AH8" s="438" t="s">
        <x:v>35</x:v>
      </x:c>
      <x:c r="AI8" s="438" t="s">
        <x:v>35</x:v>
      </x:c>
      <x:c r="AK8" s="438" t="s">
        <x:v>82</x:v>
      </x:c>
      <x:c r="AL8" s="438" t="s">
        <x:v>83</x:v>
      </x:c>
      <x:c r="AM8" s="438" t="s">
        <x:v>458</x:v>
      </x:c>
      <x:c r="AO8" s="438">
        <x:v>51110191</x:v>
      </x:c>
      <x:c r="AP8" s="438" t="s">
        <x:v>523</x:v>
      </x:c>
      <x:c r="AQ8" s="438" t="s">
        <x:v>520</x:v>
      </x:c>
    </x:row>
    <x:row r="9" spans="1:43" ht="20.100000000000001" customHeight="1">
      <x:c r="A9" s="439"/>
      <x:c r="B9" s="466" t="str">
        <x:f t="shared" si="0"/>
        <x:v>기타비용</x:v>
      </x:c>
      <x:c r="C9" s="440" t="str">
        <x:f t="shared" si="1"/>
        <x:v>차량유지비</x:v>
      </x:c>
      <x:c r="D9" s="441">
        <x:v>52359900</x:v>
      </x:c>
      <x:c r="E9" s="442" t="str">
        <x:f t="shared" si="2"/>
        <x:v>차량유지비_기타</x:v>
      </x:c>
      <x:c r="F9" s="443"/>
      <x:c r="G9" s="444" t="s">
        <x:v>80</x:v>
      </x:c>
      <x:c r="H9" s="445" t="str">
        <x:f t="shared" si="3"/>
        <x:v>사업관리팀(E)</x:v>
      </x:c>
      <x:c r="I9" s="446" t="str">
        <x:f t="shared" si="4"/>
        <x:v>[관리비]</x:v>
      </x:c>
      <x:c r="J9" s="445"/>
      <x:c r="K9" s="453">
        <x:v>10000</x:v>
      </x:c>
      <x:c r="L9" s="454">
        <x:v>10000</x:v>
      </x:c>
      <x:c r="M9" s="454">
        <x:v>10000</x:v>
      </x:c>
      <x:c r="N9" s="454">
        <x:v>10000</x:v>
      </x:c>
      <x:c r="O9" s="454">
        <x:v>10000</x:v>
      </x:c>
      <x:c r="P9" s="454">
        <x:v>10000</x:v>
      </x:c>
      <x:c r="Q9" s="454">
        <x:v>10000</x:v>
      </x:c>
      <x:c r="R9" s="454">
        <x:v>10000</x:v>
      </x:c>
      <x:c r="S9" s="454">
        <x:v>10000</x:v>
      </x:c>
      <x:c r="T9" s="454">
        <x:v>10000</x:v>
      </x:c>
      <x:c r="U9" s="454">
        <x:v>10000</x:v>
      </x:c>
      <x:c r="V9" s="455">
        <x:v>10000</x:v>
      </x:c>
      <x:c r="W9" s="456">
        <x:f t="shared" si="5"/>
        <x:v>120000</x:v>
      </x:c>
      <x:c r="X9" s="450">
        <x:f t="shared" si="6"/>
        <x:v>10000</x:v>
      </x:c>
      <x:c r="Y9" s="457" t="s">
        <x:v>654</x:v>
      </x:c>
      <x:c r="Z9" s="458"/>
      <x:c r="AA9" s="458"/>
      <x:c r="AB9" s="458"/>
      <x:c r="AC9" s="458"/>
      <x:c r="AD9" s="458"/>
      <x:c r="AE9" s="458"/>
      <x:c r="AH9" s="438" t="s">
        <x:v>441</x:v>
      </x:c>
      <x:c r="AI9" s="438" t="s">
        <x:v>44</x:v>
      </x:c>
      <x:c r="AK9" s="438" t="s">
        <x:v>84</x:v>
      </x:c>
      <x:c r="AL9" s="438" t="s">
        <x:v>308</x:v>
      </x:c>
      <x:c r="AM9" s="438" t="s">
        <x:v>458</x:v>
      </x:c>
      <x:c r="AO9" s="438">
        <x:v>52110111</x:v>
      </x:c>
      <x:c r="AP9" s="438" t="s">
        <x:v>79</x:v>
      </x:c>
      <x:c r="AQ9" s="438" t="s">
        <x:v>435</x:v>
      </x:c>
    </x:row>
    <x:row r="10" spans="1:43" ht="20.100000000000001" customHeight="1">
      <x:c r="A10" s="439"/>
      <x:c r="B10" s="466" t="str">
        <x:f t="shared" si="0"/>
        <x:v>지급수수료</x:v>
      </x:c>
      <x:c r="C10" s="440" t="str">
        <x:f t="shared" si="1"/>
        <x:v>지급수수료</x:v>
      </x:c>
      <x:c r="D10" s="441">
        <x:v>52310107</x:v>
      </x:c>
      <x:c r="E10" s="442" t="str">
        <x:f t="shared" si="2"/>
        <x:v>지급수수료_경비시스템</x:v>
      </x:c>
      <x:c r="F10" s="443"/>
      <x:c r="G10" s="444" t="s">
        <x:v>80</x:v>
      </x:c>
      <x:c r="H10" s="445" t="str">
        <x:f t="shared" si="3"/>
        <x:v>사업관리팀(E)</x:v>
      </x:c>
      <x:c r="I10" s="446" t="str">
        <x:f t="shared" si="4"/>
        <x:v>[관리비]</x:v>
      </x:c>
      <x:c r="J10" s="445"/>
      <x:c r="K10" s="453">
        <x:v>400000</x:v>
      </x:c>
      <x:c r="L10" s="454">
        <x:v>400000</x:v>
      </x:c>
      <x:c r="M10" s="454">
        <x:v>400000</x:v>
      </x:c>
      <x:c r="N10" s="454">
        <x:v>400000</x:v>
      </x:c>
      <x:c r="O10" s="454">
        <x:v>400000</x:v>
      </x:c>
      <x:c r="P10" s="454">
        <x:v>400000</x:v>
      </x:c>
      <x:c r="Q10" s="454">
        <x:v>400000</x:v>
      </x:c>
      <x:c r="R10" s="454">
        <x:v>400000</x:v>
      </x:c>
      <x:c r="S10" s="454">
        <x:v>400000</x:v>
      </x:c>
      <x:c r="T10" s="454">
        <x:v>400000</x:v>
      </x:c>
      <x:c r="U10" s="454">
        <x:v>400000</x:v>
      </x:c>
      <x:c r="V10" s="455">
        <x:v>400000</x:v>
      </x:c>
      <x:c r="W10" s="456">
        <x:f t="shared" si="5"/>
        <x:v>4800000</x:v>
      </x:c>
      <x:c r="X10" s="450">
        <x:f t="shared" si="6"/>
        <x:v>400000</x:v>
      </x:c>
      <x:c r="Y10" s="457" t="s">
        <x:v>655</x:v>
      </x:c>
      <x:c r="Z10" s="458"/>
      <x:c r="AA10" s="458"/>
      <x:c r="AB10" s="458"/>
      <x:c r="AC10" s="458"/>
      <x:c r="AD10" s="458"/>
      <x:c r="AE10" s="458"/>
      <x:c r="AH10" s="438" t="s">
        <x:v>446</x:v>
      </x:c>
      <x:c r="AI10" s="438" t="s">
        <x:v>43</x:v>
      </x:c>
      <x:c r="AK10" s="438" t="s">
        <x:v>245</x:v>
      </x:c>
      <x:c r="AL10" s="438" t="s">
        <x:v>246</x:v>
      </x:c>
      <x:c r="AM10" s="438" t="s">
        <x:v>458</x:v>
      </x:c>
      <x:c r="AO10" s="438">
        <x:v>52110301</x:v>
      </x:c>
      <x:c r="AP10" s="438" t="s">
        <x:v>107</x:v>
      </x:c>
      <x:c r="AQ10" s="438" t="s">
        <x:v>435</x:v>
      </x:c>
    </x:row>
    <x:row r="11" spans="1:43" ht="20.100000000000001" customHeight="1">
      <x:c r="A11" s="439"/>
      <x:c r="B11" s="466" t="str">
        <x:f t="shared" si="0"/>
        <x:v>지급수수료</x:v>
      </x:c>
      <x:c r="C11" s="440" t="str">
        <x:f t="shared" si="1"/>
        <x:v>지급수수료</x:v>
      </x:c>
      <x:c r="D11" s="441">
        <x:v>52319900</x:v>
      </x:c>
      <x:c r="E11" s="442" t="str">
        <x:f t="shared" si="2"/>
        <x:v>지급수수료_기타</x:v>
      </x:c>
      <x:c r="F11" s="443"/>
      <x:c r="G11" s="444" t="s">
        <x:v>80</x:v>
      </x:c>
      <x:c r="H11" s="445" t="str">
        <x:f t="shared" si="3"/>
        <x:v>사업관리팀(E)</x:v>
      </x:c>
      <x:c r="I11" s="446" t="str">
        <x:f t="shared" si="4"/>
        <x:v>[관리비]</x:v>
      </x:c>
      <x:c r="J11" s="445"/>
      <x:c r="K11" s="453">
        <x:v>2000000</x:v>
      </x:c>
      <x:c r="L11" s="454">
        <x:v>3000000</x:v>
      </x:c>
      <x:c r="M11" s="454">
        <x:v>3000000</x:v>
      </x:c>
      <x:c r="N11" s="454">
        <x:v>3000000</x:v>
      </x:c>
      <x:c r="O11" s="454">
        <x:v>3000000</x:v>
      </x:c>
      <x:c r="P11" s="454">
        <x:v>2000000</x:v>
      </x:c>
      <x:c r="Q11" s="454">
        <x:v>2000000</x:v>
      </x:c>
      <x:c r="R11" s="454">
        <x:v>2000000</x:v>
      </x:c>
      <x:c r="S11" s="454">
        <x:v>2000000</x:v>
      </x:c>
      <x:c r="T11" s="454">
        <x:v>2000000</x:v>
      </x:c>
      <x:c r="U11" s="454">
        <x:v>2000000</x:v>
      </x:c>
      <x:c r="V11" s="455">
        <x:v>2000000</x:v>
      </x:c>
      <x:c r="W11" s="456">
        <x:f t="shared" si="5"/>
        <x:v>28000000</x:v>
      </x:c>
      <x:c r="X11" s="450">
        <x:f t="shared" si="6"/>
        <x:v>2333333.3333333335</x:v>
      </x:c>
      <x:c r="Y11" s="457" t="s">
        <x:v>655</x:v>
      </x:c>
      <x:c r="Z11" s="458" t="s">
        <x:v>656</x:v>
      </x:c>
      <x:c r="AA11" s="458"/>
      <x:c r="AB11" s="458"/>
      <x:c r="AC11" s="458"/>
      <x:c r="AD11" s="458"/>
      <x:c r="AE11" s="458"/>
      <x:c r="AH11" s="438" t="s">
        <x:v>40</x:v>
      </x:c>
      <x:c r="AI11" s="438" t="s">
        <x:v>40</x:v>
      </x:c>
      <x:c r="AK11" s="438" t="s">
        <x:v>256</x:v>
      </x:c>
      <x:c r="AL11" s="438" t="s">
        <x:v>257</x:v>
      </x:c>
      <x:c r="AM11" s="438" t="s">
        <x:v>458</x:v>
      </x:c>
      <x:c r="AO11" s="438">
        <x:v>52110303</x:v>
      </x:c>
      <x:c r="AP11" s="438" t="s">
        <x:v>108</x:v>
      </x:c>
      <x:c r="AQ11" s="438" t="s">
        <x:v>435</x:v>
      </x:c>
    </x:row>
    <x:row r="12" spans="1:43" ht="20.100000000000001" customHeight="1">
      <x:c r="A12" s="439"/>
      <x:c r="B12" s="466" t="str">
        <x:f t="shared" si="0"/>
        <x:v>지급수수료</x:v>
      </x:c>
      <x:c r="C12" s="440" t="str">
        <x:f t="shared" si="1"/>
        <x:v>지급수수료</x:v>
      </x:c>
      <x:c r="D12" s="441">
        <x:v>52319900</x:v>
      </x:c>
      <x:c r="E12" s="442" t="str">
        <x:f t="shared" si="2"/>
        <x:v>지급수수료_기타</x:v>
      </x:c>
      <x:c r="F12" s="443"/>
      <x:c r="G12" s="444" t="s">
        <x:v>80</x:v>
      </x:c>
      <x:c r="H12" s="445" t="str">
        <x:f t="shared" si="3"/>
        <x:v>사업관리팀(E)</x:v>
      </x:c>
      <x:c r="I12" s="446" t="str">
        <x:f t="shared" si="4"/>
        <x:v>[관리비]</x:v>
      </x:c>
      <x:c r="J12" s="445"/>
      <x:c r="K12" s="453">
        <x:v>480000</x:v>
      </x:c>
      <x:c r="L12" s="454">
        <x:v>480000</x:v>
      </x:c>
      <x:c r="M12" s="454">
        <x:v>480000</x:v>
      </x:c>
      <x:c r="N12" s="454">
        <x:v>480000</x:v>
      </x:c>
      <x:c r="O12" s="454">
        <x:v>480000</x:v>
      </x:c>
      <x:c r="P12" s="454">
        <x:v>480000</x:v>
      </x:c>
      <x:c r="Q12" s="454">
        <x:v>480000</x:v>
      </x:c>
      <x:c r="R12" s="454">
        <x:v>480000</x:v>
      </x:c>
      <x:c r="S12" s="454">
        <x:v>480000</x:v>
      </x:c>
      <x:c r="T12" s="454">
        <x:v>480000</x:v>
      </x:c>
      <x:c r="U12" s="454">
        <x:v>480000</x:v>
      </x:c>
      <x:c r="V12" s="455">
        <x:v>480000</x:v>
      </x:c>
      <x:c r="W12" s="456">
        <x:f t="shared" si="5"/>
        <x:v>5760000</x:v>
      </x:c>
      <x:c r="X12" s="450">
        <x:f t="shared" si="6"/>
        <x:v>480000</x:v>
      </x:c>
      <x:c r="Y12" s="457" t="s">
        <x:v>655</x:v>
      </x:c>
      <x:c r="Z12" s="458" t="s">
        <x:v>657</x:v>
      </x:c>
      <x:c r="AA12" s="458"/>
      <x:c r="AB12" s="458"/>
      <x:c r="AC12" s="458"/>
      <x:c r="AD12" s="458"/>
      <x:c r="AE12" s="458"/>
      <x:c r="AH12" s="438" t="s">
        <x:v>449</x:v>
      </x:c>
      <x:c r="AI12" s="438" t="s">
        <x:v>43</x:v>
      </x:c>
      <x:c r="AK12" s="438" t="s">
        <x:v>249</x:v>
      </x:c>
      <x:c r="AL12" s="438" t="s">
        <x:v>250</x:v>
      </x:c>
      <x:c r="AM12" s="438" t="s">
        <x:v>458</x:v>
      </x:c>
      <x:c r="AO12" s="438">
        <x:v>52110511</x:v>
      </x:c>
      <x:c r="AP12" s="438" t="s">
        <x:v>524</x:v>
      </x:c>
      <x:c r="AQ12" s="438" t="s">
        <x:v>438</x:v>
      </x:c>
    </x:row>
    <x:row r="13" spans="1:43" ht="20.100000000000001" customHeight="1">
      <x:c r="A13" s="439"/>
      <x:c r="B13" s="466" t="str">
        <x:f t="shared" si="0"/>
        <x:v>지급수수료</x:v>
      </x:c>
      <x:c r="C13" s="440" t="str">
        <x:f t="shared" si="1"/>
        <x:v>지급수수료</x:v>
      </x:c>
      <x:c r="D13" s="441">
        <x:v>52319900</x:v>
      </x:c>
      <x:c r="E13" s="442" t="str">
        <x:f t="shared" si="2"/>
        <x:v>지급수수료_기타</x:v>
      </x:c>
      <x:c r="F13" s="443"/>
      <x:c r="G13" s="444" t="s">
        <x:v>80</x:v>
      </x:c>
      <x:c r="H13" s="445" t="str">
        <x:f t="shared" si="3"/>
        <x:v>사업관리팀(E)</x:v>
      </x:c>
      <x:c r="I13" s="446" t="str">
        <x:f t="shared" si="4"/>
        <x:v>[관리비]</x:v>
      </x:c>
      <x:c r="J13" s="445"/>
      <x:c r="K13" s="453">
        <x:v>400000</x:v>
      </x:c>
      <x:c r="L13" s="454">
        <x:v>400000</x:v>
      </x:c>
      <x:c r="M13" s="454">
        <x:v>400000</x:v>
      </x:c>
      <x:c r="N13" s="454">
        <x:v>400000</x:v>
      </x:c>
      <x:c r="O13" s="454">
        <x:v>400000</x:v>
      </x:c>
      <x:c r="P13" s="454">
        <x:v>400000</x:v>
      </x:c>
      <x:c r="Q13" s="454">
        <x:v>400000</x:v>
      </x:c>
      <x:c r="R13" s="454">
        <x:v>400000</x:v>
      </x:c>
      <x:c r="S13" s="454">
        <x:v>400000</x:v>
      </x:c>
      <x:c r="T13" s="454">
        <x:v>400000</x:v>
      </x:c>
      <x:c r="U13" s="454">
        <x:v>400000</x:v>
      </x:c>
      <x:c r="V13" s="455">
        <x:v>400000</x:v>
      </x:c>
      <x:c r="W13" s="456">
        <x:f t="shared" si="5"/>
        <x:v>4800000</x:v>
      </x:c>
      <x:c r="X13" s="450">
        <x:f t="shared" si="6"/>
        <x:v>400000</x:v>
      </x:c>
      <x:c r="Y13" s="457" t="s">
        <x:v>655</x:v>
      </x:c>
      <x:c r="Z13" s="458" t="s">
        <x:v>658</x:v>
      </x:c>
      <x:c r="AA13" s="458"/>
      <x:c r="AB13" s="458"/>
      <x:c r="AC13" s="458"/>
      <x:c r="AD13" s="458"/>
      <x:c r="AE13" s="458"/>
      <x:c r="AH13" s="438" t="s">
        <x:v>450</x:v>
      </x:c>
      <x:c r="AI13" s="438" t="s">
        <x:v>48</x:v>
      </x:c>
      <x:c r="AK13" s="438" t="s">
        <x:v>247</x:v>
      </x:c>
      <x:c r="AL13" s="438" t="s">
        <x:v>248</x:v>
      </x:c>
      <x:c r="AM13" s="438" t="s">
        <x:v>459</x:v>
      </x:c>
      <x:c r="AO13" s="438">
        <x:v>52110512</x:v>
      </x:c>
      <x:c r="AP13" s="438" t="s">
        <x:v>109</x:v>
      </x:c>
      <x:c r="AQ13" s="438" t="s">
        <x:v>438</x:v>
      </x:c>
    </x:row>
    <x:row r="14" spans="1:43" ht="20.100000000000001" customHeight="1">
      <x:c r="A14" s="439"/>
      <x:c r="B14" s="466" t="str">
        <x:f t="shared" si="0"/>
        <x:v>지급수수료</x:v>
      </x:c>
      <x:c r="C14" s="440" t="str">
        <x:f t="shared" si="1"/>
        <x:v>지급수수료</x:v>
      </x:c>
      <x:c r="D14" s="441">
        <x:v>52319900</x:v>
      </x:c>
      <x:c r="E14" s="442" t="str">
        <x:f t="shared" si="2"/>
        <x:v>지급수수료_기타</x:v>
      </x:c>
      <x:c r="F14" s="443"/>
      <x:c r="G14" s="444" t="s">
        <x:v>80</x:v>
      </x:c>
      <x:c r="H14" s="445" t="str">
        <x:f t="shared" si="3"/>
        <x:v>사업관리팀(E)</x:v>
      </x:c>
      <x:c r="I14" s="446" t="str">
        <x:f t="shared" si="4"/>
        <x:v>[관리비]</x:v>
      </x:c>
      <x:c r="J14" s="445"/>
      <x:c r="K14" s="453">
        <x:v>1200000</x:v>
      </x:c>
      <x:c r="L14" s="454">
        <x:v>1200000</x:v>
      </x:c>
      <x:c r="M14" s="454">
        <x:v>1200000</x:v>
      </x:c>
      <x:c r="N14" s="454">
        <x:v>1200000</x:v>
      </x:c>
      <x:c r="O14" s="454">
        <x:v>1200000</x:v>
      </x:c>
      <x:c r="P14" s="454">
        <x:v>1200000</x:v>
      </x:c>
      <x:c r="Q14" s="454">
        <x:v>1200000</x:v>
      </x:c>
      <x:c r="R14" s="454">
        <x:v>1200000</x:v>
      </x:c>
      <x:c r="S14" s="454">
        <x:v>1200000</x:v>
      </x:c>
      <x:c r="T14" s="454">
        <x:v>1200000</x:v>
      </x:c>
      <x:c r="U14" s="454">
        <x:v>1200000</x:v>
      </x:c>
      <x:c r="V14" s="455">
        <x:v>1200000</x:v>
      </x:c>
      <x:c r="W14" s="456">
        <x:f t="shared" si="5"/>
        <x:v>14400000</x:v>
      </x:c>
      <x:c r="X14" s="450">
        <x:f t="shared" si="6"/>
        <x:v>1200000</x:v>
      </x:c>
      <x:c r="Y14" s="457" t="s">
        <x:v>655</x:v>
      </x:c>
      <x:c r="Z14" s="458" t="s">
        <x:v>659</x:v>
      </x:c>
      <x:c r="AA14" s="458"/>
      <x:c r="AB14" s="458"/>
      <x:c r="AC14" s="458"/>
      <x:c r="AD14" s="458"/>
      <x:c r="AE14" s="458"/>
      <x:c r="AH14" s="438" t="s">
        <x:v>451</x:v>
      </x:c>
      <x:c r="AI14" s="438" t="s">
        <x:v>48</x:v>
      </x:c>
      <x:c r="AK14" s="438" t="s">
        <x:v>251</x:v>
      </x:c>
      <x:c r="AL14" s="438" t="s">
        <x:v>252</x:v>
      </x:c>
      <x:c r="AM14" s="438" t="s">
        <x:v>4</x:v>
      </x:c>
      <x:c r="AO14" s="438">
        <x:v>52120101</x:v>
      </x:c>
      <x:c r="AP14" s="438" t="s">
        <x:v>110</x:v>
      </x:c>
      <x:c r="AQ14" s="438" t="s">
        <x:v>439</x:v>
      </x:c>
    </x:row>
    <x:row r="15" spans="1:43" ht="20.100000000000001" customHeight="1">
      <x:c r="A15" s="439"/>
      <x:c r="B15" s="466" t="str">
        <x:f t="shared" si="0"/>
        <x:v>지급수수료</x:v>
      </x:c>
      <x:c r="C15" s="440" t="str">
        <x:f t="shared" si="1"/>
        <x:v>지급수수료</x:v>
      </x:c>
      <x:c r="D15" s="441">
        <x:v>52310114</x:v>
      </x:c>
      <x:c r="E15" s="442" t="str">
        <x:f t="shared" si="2"/>
        <x:v>지급수수료-용역수수료</x:v>
      </x:c>
      <x:c r="F15" s="443"/>
      <x:c r="G15" s="444" t="s">
        <x:v>80</x:v>
      </x:c>
      <x:c r="H15" s="445" t="str">
        <x:f t="shared" si="3"/>
        <x:v>사업관리팀(E)</x:v>
      </x:c>
      <x:c r="I15" s="446" t="str">
        <x:f t="shared" si="4"/>
        <x:v>[관리비]</x:v>
      </x:c>
      <x:c r="J15" s="445"/>
      <x:c r="K15" s="453">
        <x:v>35790000</x:v>
      </x:c>
      <x:c r="L15" s="454">
        <x:v>35790000</x:v>
      </x:c>
      <x:c r="M15" s="454">
        <x:v>35790000</x:v>
      </x:c>
      <x:c r="N15" s="454">
        <x:v>35790000</x:v>
      </x:c>
      <x:c r="O15" s="454">
        <x:v>35790000</x:v>
      </x:c>
      <x:c r="P15" s="454"/>
      <x:c r="Q15" s="454"/>
      <x:c r="R15" s="454"/>
      <x:c r="S15" s="454"/>
      <x:c r="T15" s="454"/>
      <x:c r="U15" s="454"/>
      <x:c r="V15" s="455"/>
      <x:c r="W15" s="456">
        <x:f t="shared" si="5"/>
        <x:v>178950000</x:v>
      </x:c>
      <x:c r="X15" s="450">
        <x:f t="shared" si="6"/>
        <x:v>14912500</x:v>
      </x:c>
      <x:c r="Y15" s="457" t="s">
        <x:v>655</x:v>
      </x:c>
      <x:c r="Z15" s="458" t="s">
        <x:v>660</x:v>
      </x:c>
      <x:c r="AA15" s="458"/>
      <x:c r="AB15" s="458"/>
      <x:c r="AC15" s="458"/>
      <x:c r="AD15" s="458"/>
      <x:c r="AE15" s="458"/>
      <x:c r="AH15" s="438" t="s">
        <x:v>38</x:v>
      </x:c>
      <x:c r="AI15" s="438" t="s">
        <x:v>38</x:v>
      </x:c>
      <x:c r="AK15" s="438" t="s">
        <x:v>103</x:v>
      </x:c>
      <x:c r="AL15" s="438" t="s">
        <x:v>309</x:v>
      </x:c>
      <x:c r="AM15" s="438" t="s">
        <x:v>458</x:v>
      </x:c>
      <x:c r="AO15" s="438">
        <x:v>52120102</x:v>
      </x:c>
      <x:c r="AP15" s="438" t="s">
        <x:v>525</x:v>
      </x:c>
      <x:c r="AQ15" s="438" t="s">
        <x:v>439</x:v>
      </x:c>
    </x:row>
    <x:row r="16" spans="1:43" ht="20.100000000000001" customHeight="1">
      <x:c r="A16" s="439"/>
      <x:c r="B16" s="466" t="str">
        <x:f t="shared" si="0"/>
        <x:v>지급수수료</x:v>
      </x:c>
      <x:c r="C16" s="440" t="str">
        <x:f t="shared" si="1"/>
        <x:v>지급수수료</x:v>
      </x:c>
      <x:c r="D16" s="441">
        <x:v>52310114</x:v>
      </x:c>
      <x:c r="E16" s="442" t="str">
        <x:f t="shared" si="2"/>
        <x:v>지급수수료-용역수수료</x:v>
      </x:c>
      <x:c r="F16" s="443"/>
      <x:c r="G16" s="444" t="s">
        <x:v>80</x:v>
      </x:c>
      <x:c r="H16" s="445" t="str">
        <x:f t="shared" si="3"/>
        <x:v>사업관리팀(E)</x:v>
      </x:c>
      <x:c r="I16" s="446" t="str">
        <x:f t="shared" si="4"/>
        <x:v>[관리비]</x:v>
      </x:c>
      <x:c r="J16" s="445"/>
      <x:c r="K16" s="453">
        <x:v>500000</x:v>
      </x:c>
      <x:c r="L16" s="454">
        <x:v>500000</x:v>
      </x:c>
      <x:c r="M16" s="454">
        <x:v>500000</x:v>
      </x:c>
      <x:c r="N16" s="454">
        <x:v>500000</x:v>
      </x:c>
      <x:c r="O16" s="454">
        <x:v>500000</x:v>
      </x:c>
      <x:c r="P16" s="454">
        <x:v>500000</x:v>
      </x:c>
      <x:c r="Q16" s="454">
        <x:v>500000</x:v>
      </x:c>
      <x:c r="R16" s="454">
        <x:v>500000</x:v>
      </x:c>
      <x:c r="S16" s="454">
        <x:v>500000</x:v>
      </x:c>
      <x:c r="T16" s="454">
        <x:v>500000</x:v>
      </x:c>
      <x:c r="U16" s="454">
        <x:v>500000</x:v>
      </x:c>
      <x:c r="V16" s="455">
        <x:v>500000</x:v>
      </x:c>
      <x:c r="W16" s="456">
        <x:f t="shared" si="5"/>
        <x:v>6000000</x:v>
      </x:c>
      <x:c r="X16" s="450">
        <x:f t="shared" si="6"/>
        <x:v>500000</x:v>
      </x:c>
      <x:c r="Y16" s="457" t="s">
        <x:v>655</x:v>
      </x:c>
      <x:c r="Z16" s="458" t="s">
        <x:v>661</x:v>
      </x:c>
      <x:c r="AA16" s="458"/>
      <x:c r="AB16" s="458"/>
      <x:c r="AC16" s="458"/>
      <x:c r="AD16" s="458"/>
      <x:c r="AE16" s="458"/>
      <x:c r="AH16" s="438" t="s">
        <x:v>452</x:v>
      </x:c>
      <x:c r="AI16" s="438" t="s">
        <x:v>43</x:v>
      </x:c>
      <x:c r="AK16" s="438" t="s">
        <x:v>150</x:v>
      </x:c>
      <x:c r="AL16" s="438" t="s">
        <x:v>255</x:v>
      </x:c>
      <x:c r="AM16" s="438" t="s">
        <x:v>459</x:v>
      </x:c>
      <x:c r="AO16" s="438">
        <x:v>52130108</x:v>
      </x:c>
      <x:c r="AP16" s="438" t="s">
        <x:v>111</x:v>
      </x:c>
      <x:c r="AQ16" s="438" t="s">
        <x:v>440</x:v>
      </x:c>
    </x:row>
    <x:row r="17" spans="1:43" ht="20.100000000000001" customHeight="1">
      <x:c r="A17" s="439"/>
      <x:c r="B17" s="466" t="str">
        <x:f t="shared" si="0"/>
        <x:v>유지비용</x:v>
      </x:c>
      <x:c r="C17" s="440" t="str">
        <x:f t="shared" si="1"/>
        <x:v>지급임차료</x:v>
      </x:c>
      <x:c r="D17" s="441">
        <x:v>52190101</x:v>
      </x:c>
      <x:c r="E17" s="442" t="str">
        <x:f t="shared" si="2"/>
        <x:v>지급임차료_건물임차료</x:v>
      </x:c>
      <x:c r="F17" s="443"/>
      <x:c r="G17" s="444" t="s">
        <x:v>80</x:v>
      </x:c>
      <x:c r="H17" s="445" t="str">
        <x:f t="shared" si="3"/>
        <x:v>사업관리팀(E)</x:v>
      </x:c>
      <x:c r="I17" s="446" t="str">
        <x:f t="shared" si="4"/>
        <x:v>[관리비]</x:v>
      </x:c>
      <x:c r="J17" s="445"/>
      <x:c r="K17" s="453">
        <x:v>7800000</x:v>
      </x:c>
      <x:c r="L17" s="454">
        <x:v>7800000</x:v>
      </x:c>
      <x:c r="M17" s="454">
        <x:v>7800000</x:v>
      </x:c>
      <x:c r="N17" s="454">
        <x:v>7800000</x:v>
      </x:c>
      <x:c r="O17" s="454">
        <x:v>7800000</x:v>
      </x:c>
      <x:c r="P17" s="454">
        <x:v>7800000</x:v>
      </x:c>
      <x:c r="Q17" s="454">
        <x:v>7800000</x:v>
      </x:c>
      <x:c r="R17" s="454">
        <x:v>7800000</x:v>
      </x:c>
      <x:c r="S17" s="454">
        <x:v>7800000</x:v>
      </x:c>
      <x:c r="T17" s="454">
        <x:v>7800000</x:v>
      </x:c>
      <x:c r="U17" s="454">
        <x:v>7800000</x:v>
      </x:c>
      <x:c r="V17" s="455">
        <x:v>7800000</x:v>
      </x:c>
      <x:c r="W17" s="456">
        <x:f t="shared" si="5"/>
        <x:v>93600000</x:v>
      </x:c>
      <x:c r="X17" s="450">
        <x:f t="shared" si="6"/>
        <x:v>7800000</x:v>
      </x:c>
      <x:c r="Y17" s="457" t="s">
        <x:v>655</x:v>
      </x:c>
      <x:c r="Z17" s="458"/>
      <x:c r="AA17" s="458"/>
      <x:c r="AB17" s="458"/>
      <x:c r="AC17" s="458"/>
      <x:c r="AD17" s="458"/>
      <x:c r="AE17" s="458"/>
      <x:c r="AH17" s="438" t="s">
        <x:v>77</x:v>
      </x:c>
      <x:c r="AI17" s="438" t="s">
        <x:v>43</x:v>
      </x:c>
      <x:c r="AK17" s="438" t="s">
        <x:v>253</x:v>
      </x:c>
      <x:c r="AL17" s="438" t="s">
        <x:v>254</x:v>
      </x:c>
      <x:c r="AM17" s="438" t="s">
        <x:v>458</x:v>
      </x:c>
      <x:c r="AO17" s="438">
        <x:v>52130109</x:v>
      </x:c>
      <x:c r="AP17" s="438" t="s">
        <x:v>112</x:v>
      </x:c>
      <x:c r="AQ17" s="438" t="s">
        <x:v>440</x:v>
      </x:c>
    </x:row>
    <x:row r="18" spans="1:43" ht="20.100000000000001" customHeight="1">
      <x:c r="A18" s="439"/>
      <x:c r="B18" s="466" t="str">
        <x:f t="shared" si="0"/>
        <x:v>기타비용</x:v>
      </x:c>
      <x:c r="C18" s="440" t="str">
        <x:f t="shared" si="1"/>
        <x:v>통신비</x:v>
      </x:c>
      <x:c r="D18" s="441">
        <x:v>52169900</x:v>
      </x:c>
      <x:c r="E18" s="442" t="str">
        <x:f t="shared" si="2"/>
        <x:v>통신비_기타</x:v>
      </x:c>
      <x:c r="F18" s="443"/>
      <x:c r="G18" s="444" t="s">
        <x:v>80</x:v>
      </x:c>
      <x:c r="H18" s="445" t="str">
        <x:f t="shared" si="3"/>
        <x:v>사업관리팀(E)</x:v>
      </x:c>
      <x:c r="I18" s="446" t="str">
        <x:f t="shared" si="4"/>
        <x:v>[관리비]</x:v>
      </x:c>
      <x:c r="J18" s="445"/>
      <x:c r="K18" s="453">
        <x:v>30000</x:v>
      </x:c>
      <x:c r="L18" s="454">
        <x:v>30000</x:v>
      </x:c>
      <x:c r="M18" s="454">
        <x:v>30000</x:v>
      </x:c>
      <x:c r="N18" s="454">
        <x:v>30000</x:v>
      </x:c>
      <x:c r="O18" s="454">
        <x:v>30000</x:v>
      </x:c>
      <x:c r="P18" s="454">
        <x:v>30000</x:v>
      </x:c>
      <x:c r="Q18" s="454">
        <x:v>30000</x:v>
      </x:c>
      <x:c r="R18" s="454">
        <x:v>30000</x:v>
      </x:c>
      <x:c r="S18" s="454">
        <x:v>30000</x:v>
      </x:c>
      <x:c r="T18" s="454">
        <x:v>30000</x:v>
      </x:c>
      <x:c r="U18" s="454">
        <x:v>30000</x:v>
      </x:c>
      <x:c r="V18" s="455">
        <x:v>30000</x:v>
      </x:c>
      <x:c r="W18" s="456">
        <x:f t="shared" ref="W18:W36" si="7">IFERROR(SUM(K18:V18),"")</x:f>
        <x:v>360000</x:v>
      </x:c>
      <x:c r="X18" s="450">
        <x:f t="shared" ref="X18:X36" si="8">IFERROR($W18/$Y$1,"")</x:f>
        <x:v>30000</x:v>
      </x:c>
      <x:c r="Y18" s="457" t="s">
        <x:v>655</x:v>
      </x:c>
      <x:c r="Z18" s="458" t="s">
        <x:v>662</x:v>
      </x:c>
      <x:c r="AA18" s="458"/>
      <x:c r="AB18" s="458"/>
      <x:c r="AC18" s="458"/>
      <x:c r="AD18" s="458"/>
      <x:c r="AE18" s="458"/>
      <x:c r="AH18" s="438" t="s">
        <x:v>453</x:v>
      </x:c>
      <x:c r="AI18" s="438" t="s">
        <x:v>48</x:v>
      </x:c>
      <x:c r="AK18" s="438" t="s">
        <x:v>114</x:v>
      </x:c>
      <x:c r="AL18" s="438" t="s">
        <x:v>447</x:v>
      </x:c>
      <x:c r="AM18" s="438" t="s">
        <x:v>4</x:v>
      </x:c>
      <x:c r="AO18" s="438">
        <x:v>52130111</x:v>
      </x:c>
      <x:c r="AP18" s="438" t="s">
        <x:v>113</x:v>
      </x:c>
      <x:c r="AQ18" s="438" t="s">
        <x:v>440</x:v>
      </x:c>
    </x:row>
    <x:row r="19" spans="1:43" ht="20.100000000000001" customHeight="1">
      <x:c r="A19" s="439"/>
      <x:c r="B19" s="466" t="str">
        <x:f t="shared" si="0"/>
        <x:v>유지비용</x:v>
      </x:c>
      <x:c r="C19" s="440" t="str">
        <x:f t="shared" si="1"/>
        <x:v>수도광열비</x:v>
      </x:c>
      <x:c r="D19" s="441">
        <x:v>52179900</x:v>
      </x:c>
      <x:c r="E19" s="442" t="str">
        <x:f t="shared" si="2"/>
        <x:v>수도광열비_기타</x:v>
      </x:c>
      <x:c r="F19" s="443"/>
      <x:c r="G19" s="444" t="s">
        <x:v>80</x:v>
      </x:c>
      <x:c r="H19" s="445" t="str">
        <x:f t="shared" si="3"/>
        <x:v>사업관리팀(E)</x:v>
      </x:c>
      <x:c r="I19" s="446" t="str">
        <x:f t="shared" si="4"/>
        <x:v>[관리비]</x:v>
      </x:c>
      <x:c r="J19" s="445"/>
      <x:c r="K19" s="453">
        <x:v>300000</x:v>
      </x:c>
      <x:c r="L19" s="454">
        <x:v>500000</x:v>
      </x:c>
      <x:c r="M19" s="454">
        <x:v>500000</x:v>
      </x:c>
      <x:c r="N19" s="454">
        <x:v>500000</x:v>
      </x:c>
      <x:c r="O19" s="454">
        <x:v>300000</x:v>
      </x:c>
      <x:c r="P19" s="454">
        <x:v>300000</x:v>
      </x:c>
      <x:c r="Q19" s="454">
        <x:v>300000</x:v>
      </x:c>
      <x:c r="R19" s="454">
        <x:v>300000</x:v>
      </x:c>
      <x:c r="S19" s="454">
        <x:v>300000</x:v>
      </x:c>
      <x:c r="T19" s="454">
        <x:v>300000</x:v>
      </x:c>
      <x:c r="U19" s="454">
        <x:v>300000</x:v>
      </x:c>
      <x:c r="V19" s="455">
        <x:v>300000</x:v>
      </x:c>
      <x:c r="W19" s="456">
        <x:f t="shared" si="7"/>
        <x:v>4200000</x:v>
      </x:c>
      <x:c r="X19" s="450">
        <x:f t="shared" si="8"/>
        <x:v>350000</x:v>
      </x:c>
      <x:c r="Y19" s="457" t="s">
        <x:v>655</x:v>
      </x:c>
      <x:c r="Z19" s="458" t="s">
        <x:v>663</x:v>
      </x:c>
      <x:c r="AA19" s="458"/>
      <x:c r="AB19" s="458"/>
      <x:c r="AC19" s="458"/>
      <x:c r="AD19" s="458"/>
      <x:c r="AE19" s="458"/>
      <x:c r="AH19" s="438" t="s">
        <x:v>454</x:v>
      </x:c>
      <x:c r="AI19" s="438" t="s">
        <x:v>45</x:v>
      </x:c>
      <x:c r="AK19" s="438" t="s">
        <x:v>372</x:v>
      </x:c>
      <x:c r="AL19" s="438" t="s">
        <x:v>373</x:v>
      </x:c>
      <x:c r="AM19" s="438" t="s">
        <x:v>4</x:v>
      </x:c>
      <x:c r="AO19" s="438">
        <x:v>52130115</x:v>
      </x:c>
      <x:c r="AP19" s="438" t="s">
        <x:v>526</x:v>
      </x:c>
      <x:c r="AQ19" s="438" t="s">
        <x:v>440</x:v>
      </x:c>
    </x:row>
    <x:row r="20" spans="1:43" ht="20.100000000000001" customHeight="1">
      <x:c r="A20" s="439"/>
      <x:c r="B20" s="466" t="str">
        <x:f t="shared" si="0"/>
        <x:v>복리후생비</x:v>
      </x:c>
      <x:c r="C20" s="440" t="str">
        <x:f t="shared" si="1"/>
        <x:v>후생비</x:v>
      </x:c>
      <x:c r="D20" s="441">
        <x:v>52130125</x:v>
      </x:c>
      <x:c r="E20" s="442" t="str">
        <x:f t="shared" si="2"/>
        <x:v>후생비_기타식대</x:v>
      </x:c>
      <x:c r="F20" s="443"/>
      <x:c r="G20" s="444" t="s">
        <x:v>80</x:v>
      </x:c>
      <x:c r="H20" s="445" t="str">
        <x:f t="shared" si="3"/>
        <x:v>사업관리팀(E)</x:v>
      </x:c>
      <x:c r="I20" s="446" t="str">
        <x:f t="shared" si="4"/>
        <x:v>[관리비]</x:v>
      </x:c>
      <x:c r="J20" s="445"/>
      <x:c r="K20" s="453">
        <x:v>2520000</x:v>
      </x:c>
      <x:c r="L20" s="454">
        <x:v>2520000</x:v>
      </x:c>
      <x:c r="M20" s="454">
        <x:v>2520000</x:v>
      </x:c>
      <x:c r="N20" s="454">
        <x:v>2520000</x:v>
      </x:c>
      <x:c r="O20" s="454">
        <x:v>2520000</x:v>
      </x:c>
      <x:c r="P20" s="454"/>
      <x:c r="Q20" s="454"/>
      <x:c r="R20" s="454"/>
      <x:c r="S20" s="454"/>
      <x:c r="T20" s="454"/>
      <x:c r="U20" s="454"/>
      <x:c r="V20" s="455"/>
      <x:c r="W20" s="456">
        <x:f t="shared" si="7"/>
        <x:v>12600000</x:v>
      </x:c>
      <x:c r="X20" s="450">
        <x:f t="shared" si="8"/>
        <x:v>1050000</x:v>
      </x:c>
      <x:c r="Y20" s="457" t="s">
        <x:v>655</x:v>
      </x:c>
      <x:c r="Z20" s="458" t="s">
        <x:v>664</x:v>
      </x:c>
      <x:c r="AA20" s="458"/>
      <x:c r="AB20" s="458"/>
      <x:c r="AC20" s="458"/>
      <x:c r="AD20" s="458"/>
      <x:c r="AE20" s="458"/>
      <x:c r="AH20" s="438" t="s">
        <x:v>448</x:v>
      </x:c>
      <x:c r="AI20" s="438" t="s">
        <x:v>48</x:v>
      </x:c>
      <x:c r="AK20" s="438" t="s">
        <x:v>85</x:v>
      </x:c>
      <x:c r="AL20" s="438" t="s">
        <x:v>86</x:v>
      </x:c>
      <x:c r="AM20" s="438" t="s">
        <x:v>458</x:v>
      </x:c>
      <x:c r="AO20" s="438">
        <x:v>52130117</x:v>
      </x:c>
      <x:c r="AP20" s="438" t="s">
        <x:v>115</x:v>
      </x:c>
      <x:c r="AQ20" s="438" t="s">
        <x:v>440</x:v>
      </x:c>
    </x:row>
    <x:row r="21" spans="1:43" ht="20.100000000000001" customHeight="1">
      <x:c r="A21" s="439"/>
      <x:c r="B21" s="466" t="str">
        <x:f t="shared" si="0"/>
        <x:v>유지비용</x:v>
      </x:c>
      <x:c r="C21" s="440" t="str">
        <x:f t="shared" si="1"/>
        <x:v>지급임차료</x:v>
      </x:c>
      <x:c r="D21" s="441">
        <x:v>52199900</x:v>
      </x:c>
      <x:c r="E21" s="442" t="str">
        <x:f t="shared" si="2"/>
        <x:v>지급임차료_기타</x:v>
      </x:c>
      <x:c r="F21" s="443"/>
      <x:c r="G21" s="444" t="s">
        <x:v>80</x:v>
      </x:c>
      <x:c r="H21" s="445" t="str">
        <x:f t="shared" si="3"/>
        <x:v>사업관리팀(E)</x:v>
      </x:c>
      <x:c r="I21" s="446" t="str">
        <x:f t="shared" si="4"/>
        <x:v>[관리비]</x:v>
      </x:c>
      <x:c r="J21" s="445"/>
      <x:c r="K21" s="453">
        <x:v>60000</x:v>
      </x:c>
      <x:c r="L21" s="454">
        <x:v>60000</x:v>
      </x:c>
      <x:c r="M21" s="454">
        <x:v>60000</x:v>
      </x:c>
      <x:c r="N21" s="454">
        <x:v>60000</x:v>
      </x:c>
      <x:c r="O21" s="454">
        <x:v>60000</x:v>
      </x:c>
      <x:c r="P21" s="454">
        <x:v>60000</x:v>
      </x:c>
      <x:c r="Q21" s="454">
        <x:v>60000</x:v>
      </x:c>
      <x:c r="R21" s="454">
        <x:v>60000</x:v>
      </x:c>
      <x:c r="S21" s="454">
        <x:v>60000</x:v>
      </x:c>
      <x:c r="T21" s="454">
        <x:v>60000</x:v>
      </x:c>
      <x:c r="U21" s="454">
        <x:v>60000</x:v>
      </x:c>
      <x:c r="V21" s="455">
        <x:v>60000</x:v>
      </x:c>
      <x:c r="W21" s="456">
        <x:f t="shared" si="7"/>
        <x:v>720000</x:v>
      </x:c>
      <x:c r="X21" s="450">
        <x:f t="shared" si="8"/>
        <x:v>60000</x:v>
      </x:c>
      <x:c r="Y21" s="457" t="s">
        <x:v>655</x:v>
      </x:c>
      <x:c r="Z21" s="458" t="s">
        <x:v>665</x:v>
      </x:c>
      <x:c r="AA21" s="458"/>
      <x:c r="AB21" s="458"/>
      <x:c r="AC21" s="458"/>
      <x:c r="AD21" s="458"/>
      <x:c r="AE21" s="458"/>
      <x:c r="AH21" s="438" t="s">
        <x:v>456</x:v>
      </x:c>
      <x:c r="AI21" s="438" t="s">
        <x:v>43</x:v>
      </x:c>
      <x:c r="AK21" s="438" t="s">
        <x:v>318</x:v>
      </x:c>
      <x:c r="AL21" s="438" t="s">
        <x:v>314</x:v>
      </x:c>
      <x:c r="AM21" s="438" t="s">
        <x:v>458</x:v>
      </x:c>
      <x:c r="AO21" s="438">
        <x:v>52130121</x:v>
      </x:c>
      <x:c r="AP21" s="438" t="s">
        <x:v>527</x:v>
      </x:c>
      <x:c r="AQ21" s="438" t="s">
        <x:v>440</x:v>
      </x:c>
    </x:row>
    <x:row r="22" spans="1:43" ht="20.100000000000001" customHeight="1">
      <x:c r="A22" s="439"/>
      <x:c r="B22" s="466" t="str">
        <x:f t="shared" si="0"/>
        <x:v>여비교통비</x:v>
      </x:c>
      <x:c r="C22" s="440" t="str">
        <x:f t="shared" si="1"/>
        <x:v>여비교통비</x:v>
      </x:c>
      <x:c r="D22" s="441">
        <x:v>52150109</x:v>
      </x:c>
      <x:c r="E22" s="442" t="str">
        <x:f t="shared" si="2"/>
        <x:v>여비교통비_교육</x:v>
      </x:c>
      <x:c r="F22" s="443"/>
      <x:c r="G22" s="444" t="s">
        <x:v>247</x:v>
      </x:c>
      <x:c r="H22" s="445" t="str">
        <x:f t="shared" si="3"/>
        <x:v>영업팀(E)</x:v>
      </x:c>
      <x:c r="I22" s="446" t="str">
        <x:f t="shared" si="4"/>
        <x:v>[판매비]</x:v>
      </x:c>
      <x:c r="J22" s="445"/>
      <x:c r="K22" s="447">
        <x:v>18000</x:v>
      </x:c>
      <x:c r="L22" s="448">
        <x:v>18000</x:v>
      </x:c>
      <x:c r="M22" s="448">
        <x:v>18000</x:v>
      </x:c>
      <x:c r="N22" s="448">
        <x:v>18000</x:v>
      </x:c>
      <x:c r="O22" s="448">
        <x:v>18000</x:v>
      </x:c>
      <x:c r="P22" s="448">
        <x:v>18000</x:v>
      </x:c>
      <x:c r="Q22" s="448">
        <x:v>18000</x:v>
      </x:c>
      <x:c r="R22" s="448">
        <x:v>18000</x:v>
      </x:c>
      <x:c r="S22" s="448">
        <x:v>18000</x:v>
      </x:c>
      <x:c r="T22" s="448">
        <x:v>18000</x:v>
      </x:c>
      <x:c r="U22" s="448">
        <x:v>18000</x:v>
      </x:c>
      <x:c r="V22" s="449">
        <x:v>18000</x:v>
      </x:c>
      <x:c r="W22" s="456">
        <x:f t="shared" si="7"/>
        <x:v>216000</x:v>
      </x:c>
      <x:c r="X22" s="450">
        <x:f t="shared" si="8"/>
        <x:v>18000</x:v>
      </x:c>
      <x:c r="Y22" s="457" t="s">
        <x:v>666</x:v>
      </x:c>
      <x:c r="Z22" s="458"/>
      <x:c r="AA22" s="458"/>
      <x:c r="AB22" s="458"/>
      <x:c r="AC22" s="458"/>
      <x:c r="AD22" s="458"/>
      <x:c r="AE22" s="458"/>
      <x:c r="AH22" s="438" t="s">
        <x:v>58</x:v>
      </x:c>
      <x:c r="AI22" s="438" t="s">
        <x:v>58</x:v>
      </x:c>
      <x:c r="AK22" s="438" t="s">
        <x:v>93</x:v>
      </x:c>
      <x:c r="AL22" s="438" t="s">
        <x:v>94</x:v>
      </x:c>
      <x:c r="AM22" s="438" t="s">
        <x:v>458</x:v>
      </x:c>
      <x:c r="AO22" s="438">
        <x:v>52130123</x:v>
      </x:c>
      <x:c r="AP22" s="438" t="s">
        <x:v>116</x:v>
      </x:c>
      <x:c r="AQ22" s="438" t="s">
        <x:v>440</x:v>
      </x:c>
    </x:row>
    <x:row r="23" spans="1:43" ht="20.100000000000001" customHeight="1">
      <x:c r="A23" s="439"/>
      <x:c r="B23" s="466" t="str">
        <x:f t="shared" si="0"/>
        <x:v>여비교통비</x:v>
      </x:c>
      <x:c r="C23" s="440" t="str">
        <x:f t="shared" si="1"/>
        <x:v>여비교통비</x:v>
      </x:c>
      <x:c r="D23" s="441">
        <x:v>52150101</x:v>
      </x:c>
      <x:c r="E23" s="442" t="str">
        <x:f t="shared" si="2"/>
        <x:v>여비교통비_국내출장</x:v>
      </x:c>
      <x:c r="F23" s="443"/>
      <x:c r="G23" s="444" t="s">
        <x:v>247</x:v>
      </x:c>
      <x:c r="H23" s="445" t="str">
        <x:f t="shared" si="3"/>
        <x:v>영업팀(E)</x:v>
      </x:c>
      <x:c r="I23" s="446" t="str">
        <x:f t="shared" si="4"/>
        <x:v>[판매비]</x:v>
      </x:c>
      <x:c r="J23" s="445"/>
      <x:c r="K23" s="453">
        <x:v>700000</x:v>
      </x:c>
      <x:c r="L23" s="454">
        <x:v>700000</x:v>
      </x:c>
      <x:c r="M23" s="454">
        <x:v>700000</x:v>
      </x:c>
      <x:c r="N23" s="454">
        <x:v>700000</x:v>
      </x:c>
      <x:c r="O23" s="454">
        <x:v>700000</x:v>
      </x:c>
      <x:c r="P23" s="454">
        <x:v>700000</x:v>
      </x:c>
      <x:c r="Q23" s="454">
        <x:v>700000</x:v>
      </x:c>
      <x:c r="R23" s="454">
        <x:v>700000</x:v>
      </x:c>
      <x:c r="S23" s="454">
        <x:v>700000</x:v>
      </x:c>
      <x:c r="T23" s="454">
        <x:v>700000</x:v>
      </x:c>
      <x:c r="U23" s="454">
        <x:v>700000</x:v>
      </x:c>
      <x:c r="V23" s="455">
        <x:v>700000</x:v>
      </x:c>
      <x:c r="W23" s="456">
        <x:f t="shared" si="7"/>
        <x:v>8400000</x:v>
      </x:c>
      <x:c r="X23" s="450">
        <x:f t="shared" si="8"/>
        <x:v>700000</x:v>
      </x:c>
      <x:c r="Y23" s="457" t="s">
        <x:v>667</x:v>
      </x:c>
      <x:c r="Z23" s="458"/>
      <x:c r="AA23" s="458"/>
      <x:c r="AB23" s="458"/>
      <x:c r="AC23" s="458"/>
      <x:c r="AD23" s="458"/>
      <x:c r="AE23" s="458"/>
      <x:c r="AH23" s="438" t="s">
        <x:v>611</x:v>
      </x:c>
      <x:c r="AI23" s="438" t="s">
        <x:v>44</x:v>
      </x:c>
      <x:c r="AK23" s="438" t="s">
        <x:v>91</x:v>
      </x:c>
      <x:c r="AL23" s="438" t="s">
        <x:v>92</x:v>
      </x:c>
      <x:c r="AM23" s="438" t="s">
        <x:v>458</x:v>
      </x:c>
      <x:c r="AO23" s="438">
        <x:v>52130124</x:v>
      </x:c>
      <x:c r="AP23" s="438" t="s">
        <x:v>117</x:v>
      </x:c>
      <x:c r="AQ23" s="438" t="s">
        <x:v>440</x:v>
      </x:c>
    </x:row>
    <x:row r="24" spans="1:43" ht="20.100000000000001" customHeight="1">
      <x:c r="A24" s="439"/>
      <x:c r="B24" s="466" t="str">
        <x:f t="shared" si="0"/>
        <x:v>여비교통비</x:v>
      </x:c>
      <x:c r="C24" s="440" t="str">
        <x:f t="shared" si="1"/>
        <x:v>여비교통비</x:v>
      </x:c>
      <x:c r="D24" s="441">
        <x:v>52150103</x:v>
      </x:c>
      <x:c r="E24" s="442" t="str">
        <x:f t="shared" si="2"/>
        <x:v>여비교통비_해외출장</x:v>
      </x:c>
      <x:c r="F24" s="443"/>
      <x:c r="G24" s="444" t="s">
        <x:v>247</x:v>
      </x:c>
      <x:c r="H24" s="445" t="str">
        <x:f t="shared" si="3"/>
        <x:v>영업팀(E)</x:v>
      </x:c>
      <x:c r="I24" s="446" t="str">
        <x:f t="shared" si="4"/>
        <x:v>[판매비]</x:v>
      </x:c>
      <x:c r="J24" s="445"/>
      <x:c r="K24" s="453">
        <x:v>8750000</x:v>
      </x:c>
      <x:c r="L24" s="454">
        <x:v>8750000</x:v>
      </x:c>
      <x:c r="M24" s="454">
        <x:v>8750000</x:v>
      </x:c>
      <x:c r="N24" s="454">
        <x:v>8750000</x:v>
      </x:c>
      <x:c r="O24" s="454">
        <x:v>8750000</x:v>
      </x:c>
      <x:c r="P24" s="454">
        <x:v>8750000</x:v>
      </x:c>
      <x:c r="Q24" s="454">
        <x:v>8750000</x:v>
      </x:c>
      <x:c r="R24" s="454">
        <x:v>8750000</x:v>
      </x:c>
      <x:c r="S24" s="454">
        <x:v>8750000</x:v>
      </x:c>
      <x:c r="T24" s="454">
        <x:v>8750000</x:v>
      </x:c>
      <x:c r="U24" s="454">
        <x:v>8750000</x:v>
      </x:c>
      <x:c r="V24" s="455">
        <x:v>8750000</x:v>
      </x:c>
      <x:c r="W24" s="456">
        <x:f t="shared" si="7"/>
        <x:v>105000000</x:v>
      </x:c>
      <x:c r="X24" s="450">
        <x:f t="shared" si="8"/>
        <x:v>8750000</x:v>
      </x:c>
      <x:c r="Y24" s="457" t="s">
        <x:v>668</x:v>
      </x:c>
      <x:c r="Z24" s="458"/>
      <x:c r="AA24" s="458"/>
      <x:c r="AB24" s="458"/>
      <x:c r="AC24" s="458"/>
      <x:c r="AD24" s="458"/>
      <x:c r="AE24" s="458"/>
      <x:c r="AK24" s="438" t="s">
        <x:v>95</x:v>
      </x:c>
      <x:c r="AL24" s="438" t="s">
        <x:v>96</x:v>
      </x:c>
      <x:c r="AM24" s="438" t="s">
        <x:v>458</x:v>
      </x:c>
      <x:c r="AO24" s="438">
        <x:v>52130125</x:v>
      </x:c>
      <x:c r="AP24" s="438" t="s">
        <x:v>72</x:v>
      </x:c>
      <x:c r="AQ24" s="438" t="s">
        <x:v>440</x:v>
      </x:c>
    </x:row>
    <x:row r="25" spans="1:43" ht="20.100000000000001" customHeight="1">
      <x:c r="A25" s="439"/>
      <x:c r="B25" s="466" t="str">
        <x:f t="shared" si="0"/>
        <x:v>여비교통비</x:v>
      </x:c>
      <x:c r="C25" s="440" t="str">
        <x:f t="shared" si="1"/>
        <x:v>여비교통비</x:v>
      </x:c>
      <x:c r="D25" s="441">
        <x:v>52150105</x:v>
      </x:c>
      <x:c r="E25" s="442" t="str">
        <x:f t="shared" si="2"/>
        <x:v>여비교통비_시내</x:v>
      </x:c>
      <x:c r="F25" s="443"/>
      <x:c r="G25" s="444" t="s">
        <x:v>247</x:v>
      </x:c>
      <x:c r="H25" s="445" t="str">
        <x:f t="shared" si="3"/>
        <x:v>영업팀(E)</x:v>
      </x:c>
      <x:c r="I25" s="446" t="str">
        <x:f t="shared" si="4"/>
        <x:v>[판매비]</x:v>
      </x:c>
      <x:c r="J25" s="445"/>
      <x:c r="K25" s="453">
        <x:v>97000</x:v>
      </x:c>
      <x:c r="L25" s="454">
        <x:v>97000</x:v>
      </x:c>
      <x:c r="M25" s="454">
        <x:v>97000</x:v>
      </x:c>
      <x:c r="N25" s="454">
        <x:v>97000</x:v>
      </x:c>
      <x:c r="O25" s="454">
        <x:v>97000</x:v>
      </x:c>
      <x:c r="P25" s="454">
        <x:v>97000</x:v>
      </x:c>
      <x:c r="Q25" s="454">
        <x:v>97000</x:v>
      </x:c>
      <x:c r="R25" s="454">
        <x:v>97000</x:v>
      </x:c>
      <x:c r="S25" s="454">
        <x:v>97000</x:v>
      </x:c>
      <x:c r="T25" s="454">
        <x:v>97000</x:v>
      </x:c>
      <x:c r="U25" s="454">
        <x:v>97000</x:v>
      </x:c>
      <x:c r="V25" s="455">
        <x:v>97000</x:v>
      </x:c>
      <x:c r="W25" s="456">
        <x:f t="shared" si="7"/>
        <x:v>1164000</x:v>
      </x:c>
      <x:c r="X25" s="450">
        <x:f t="shared" si="8"/>
        <x:v>97000</x:v>
      </x:c>
      <x:c r="Y25" s="457" t="s">
        <x:v>669</x:v>
      </x:c>
      <x:c r="Z25" s="458"/>
      <x:c r="AA25" s="458"/>
      <x:c r="AB25" s="458"/>
      <x:c r="AC25" s="458"/>
      <x:c r="AD25" s="458"/>
      <x:c r="AE25" s="458"/>
      <x:c r="AK25" s="438" t="s">
        <x:v>97</x:v>
      </x:c>
      <x:c r="AL25" s="438" t="s">
        <x:v>98</x:v>
      </x:c>
      <x:c r="AM25" s="438" t="s">
        <x:v>458</x:v>
      </x:c>
      <x:c r="AO25" s="438">
        <x:v>52130126</x:v>
      </x:c>
      <x:c r="AP25" s="438" t="s">
        <x:v>315</x:v>
      </x:c>
      <x:c r="AQ25" s="438" t="s">
        <x:v>440</x:v>
      </x:c>
    </x:row>
    <x:row r="26" spans="1:43" ht="20.100000000000001" customHeight="1">
      <x:c r="A26" s="439"/>
      <x:c r="B26" s="466" t="str">
        <x:f t="shared" si="0"/>
        <x:v>여비교통비</x:v>
      </x:c>
      <x:c r="C26" s="440" t="str">
        <x:f t="shared" si="1"/>
        <x:v>여비교통비</x:v>
      </x:c>
      <x:c r="D26" s="441">
        <x:v>52159900</x:v>
      </x:c>
      <x:c r="E26" s="442" t="str">
        <x:f t="shared" si="2"/>
        <x:v>여비교통비_기타</x:v>
      </x:c>
      <x:c r="F26" s="443"/>
      <x:c r="G26" s="444" t="s">
        <x:v>247</x:v>
      </x:c>
      <x:c r="H26" s="445" t="str">
        <x:f t="shared" si="3"/>
        <x:v>영업팀(E)</x:v>
      </x:c>
      <x:c r="I26" s="446" t="str">
        <x:f t="shared" si="4"/>
        <x:v>[판매비]</x:v>
      </x:c>
      <x:c r="J26" s="445"/>
      <x:c r="K26" s="453">
        <x:v>90000</x:v>
      </x:c>
      <x:c r="L26" s="454">
        <x:v>90000</x:v>
      </x:c>
      <x:c r="M26" s="454">
        <x:v>90000</x:v>
      </x:c>
      <x:c r="N26" s="454">
        <x:v>90000</x:v>
      </x:c>
      <x:c r="O26" s="454">
        <x:v>90000</x:v>
      </x:c>
      <x:c r="P26" s="454">
        <x:v>90000</x:v>
      </x:c>
      <x:c r="Q26" s="454">
        <x:v>90000</x:v>
      </x:c>
      <x:c r="R26" s="454">
        <x:v>90000</x:v>
      </x:c>
      <x:c r="S26" s="454">
        <x:v>90000</x:v>
      </x:c>
      <x:c r="T26" s="454">
        <x:v>90000</x:v>
      </x:c>
      <x:c r="U26" s="454">
        <x:v>90000</x:v>
      </x:c>
      <x:c r="V26" s="455">
        <x:v>90000</x:v>
      </x:c>
      <x:c r="W26" s="456">
        <x:f t="shared" si="7"/>
        <x:v>1080000</x:v>
      </x:c>
      <x:c r="X26" s="450">
        <x:f t="shared" si="8"/>
        <x:v>90000</x:v>
      </x:c>
      <x:c r="Y26" s="457" t="s">
        <x:v>670</x:v>
      </x:c>
      <x:c r="Z26" s="458"/>
      <x:c r="AA26" s="458"/>
      <x:c r="AB26" s="458"/>
      <x:c r="AC26" s="458"/>
      <x:c r="AD26" s="458"/>
      <x:c r="AE26" s="458"/>
      <x:c r="AK26" s="438" t="s">
        <x:v>89</x:v>
      </x:c>
      <x:c r="AL26" s="438" t="s">
        <x:v>90</x:v>
      </x:c>
      <x:c r="AM26" s="438" t="s">
        <x:v>458</x:v>
      </x:c>
      <x:c r="AO26" s="438">
        <x:v>52130127</x:v>
      </x:c>
      <x:c r="AP26" s="438" t="s">
        <x:v>528</x:v>
      </x:c>
      <x:c r="AQ26" s="438" t="s">
        <x:v>440</x:v>
      </x:c>
    </x:row>
    <x:row r="27" spans="1:43" ht="20.100000000000001" customHeight="1">
      <x:c r="A27" s="439"/>
      <x:c r="B27" s="466" t="str">
        <x:f t="shared" si="0"/>
        <x:v>복리후생비</x:v>
      </x:c>
      <x:c r="C27" s="440" t="str">
        <x:f t="shared" si="1"/>
        <x:v>후생비</x:v>
      </x:c>
      <x:c r="D27" s="441">
        <x:v>52130123</x:v>
      </x:c>
      <x:c r="E27" s="442" t="str">
        <x:f t="shared" si="2"/>
        <x:v>후생비_외근식대</x:v>
      </x:c>
      <x:c r="F27" s="443"/>
      <x:c r="G27" s="444" t="s">
        <x:v>247</x:v>
      </x:c>
      <x:c r="H27" s="445" t="str">
        <x:f t="shared" si="3"/>
        <x:v>영업팀(E)</x:v>
      </x:c>
      <x:c r="I27" s="446" t="str">
        <x:f t="shared" si="4"/>
        <x:v>[판매비]</x:v>
      </x:c>
      <x:c r="J27" s="445"/>
      <x:c r="K27" s="453">
        <x:v>156000</x:v>
      </x:c>
      <x:c r="L27" s="454">
        <x:v>156000</x:v>
      </x:c>
      <x:c r="M27" s="454">
        <x:v>156000</x:v>
      </x:c>
      <x:c r="N27" s="454">
        <x:v>156000</x:v>
      </x:c>
      <x:c r="O27" s="454">
        <x:v>156000</x:v>
      </x:c>
      <x:c r="P27" s="454">
        <x:v>156000</x:v>
      </x:c>
      <x:c r="Q27" s="454">
        <x:v>156000</x:v>
      </x:c>
      <x:c r="R27" s="454">
        <x:v>156000</x:v>
      </x:c>
      <x:c r="S27" s="454">
        <x:v>156000</x:v>
      </x:c>
      <x:c r="T27" s="454">
        <x:v>156000</x:v>
      </x:c>
      <x:c r="U27" s="454">
        <x:v>156000</x:v>
      </x:c>
      <x:c r="V27" s="455">
        <x:v>156000</x:v>
      </x:c>
      <x:c r="W27" s="456">
        <x:f t="shared" si="7"/>
        <x:v>1872000</x:v>
      </x:c>
      <x:c r="X27" s="450">
        <x:f t="shared" si="8"/>
        <x:v>156000</x:v>
      </x:c>
      <x:c r="Y27" s="457" t="s">
        <x:v>671</x:v>
      </x:c>
      <x:c r="Z27" s="458"/>
      <x:c r="AA27" s="458"/>
      <x:c r="AB27" s="458"/>
      <x:c r="AC27" s="458"/>
      <x:c r="AD27" s="458"/>
      <x:c r="AE27" s="458"/>
      <x:c r="AK27" s="438" t="s">
        <x:v>87</x:v>
      </x:c>
      <x:c r="AL27" s="438" t="s">
        <x:v>88</x:v>
      </x:c>
      <x:c r="AM27" s="438" t="s">
        <x:v>458</x:v>
      </x:c>
      <x:c r="AO27" s="438">
        <x:v>52130128</x:v>
      </x:c>
      <x:c r="AP27" s="438" t="s">
        <x:v>118</x:v>
      </x:c>
      <x:c r="AQ27" s="438" t="s">
        <x:v>440</x:v>
      </x:c>
    </x:row>
    <x:row r="28" spans="1:43" ht="20.100000000000001" customHeight="1">
      <x:c r="A28" s="439"/>
      <x:c r="B28" s="466" t="str">
        <x:f t="shared" si="0"/>
        <x:v>복리후생비</x:v>
      </x:c>
      <x:c r="C28" s="440" t="str">
        <x:f t="shared" si="1"/>
        <x:v>후생비</x:v>
      </x:c>
      <x:c r="D28" s="441">
        <x:v>52130125</x:v>
      </x:c>
      <x:c r="E28" s="442" t="str">
        <x:f t="shared" si="2"/>
        <x:v>후생비_기타식대</x:v>
      </x:c>
      <x:c r="F28" s="443"/>
      <x:c r="G28" s="444" t="s">
        <x:v>247</x:v>
      </x:c>
      <x:c r="H28" s="445" t="str">
        <x:f t="shared" si="3"/>
        <x:v>영업팀(E)</x:v>
      </x:c>
      <x:c r="I28" s="446" t="str">
        <x:f t="shared" si="4"/>
        <x:v>[판매비]</x:v>
      </x:c>
      <x:c r="J28" s="445"/>
      <x:c r="K28" s="453">
        <x:v>208000</x:v>
      </x:c>
      <x:c r="L28" s="454">
        <x:v>208000</x:v>
      </x:c>
      <x:c r="M28" s="454">
        <x:v>208000</x:v>
      </x:c>
      <x:c r="N28" s="454">
        <x:v>208000</x:v>
      </x:c>
      <x:c r="O28" s="454">
        <x:v>208000</x:v>
      </x:c>
      <x:c r="P28" s="454">
        <x:v>208000</x:v>
      </x:c>
      <x:c r="Q28" s="454">
        <x:v>208000</x:v>
      </x:c>
      <x:c r="R28" s="454">
        <x:v>208000</x:v>
      </x:c>
      <x:c r="S28" s="454">
        <x:v>208000</x:v>
      </x:c>
      <x:c r="T28" s="454">
        <x:v>208000</x:v>
      </x:c>
      <x:c r="U28" s="454">
        <x:v>208000</x:v>
      </x:c>
      <x:c r="V28" s="455">
        <x:v>208000</x:v>
      </x:c>
      <x:c r="W28" s="456">
        <x:f t="shared" si="7"/>
        <x:v>2496000</x:v>
      </x:c>
      <x:c r="X28" s="450">
        <x:f t="shared" si="8"/>
        <x:v>208000</x:v>
      </x:c>
      <x:c r="Y28" s="457" t="s">
        <x:v>596</x:v>
      </x:c>
      <x:c r="Z28" s="458"/>
      <x:c r="AA28" s="458"/>
      <x:c r="AB28" s="458"/>
      <x:c r="AC28" s="458"/>
      <x:c r="AD28" s="458"/>
      <x:c r="AE28" s="458"/>
      <x:c r="AK28" s="438" t="s">
        <x:v>119</x:v>
      </x:c>
      <x:c r="AL28" s="438" t="s">
        <x:v>120</x:v>
      </x:c>
      <x:c r="AM28" s="438" t="s">
        <x:v>458</x:v>
      </x:c>
      <x:c r="AO28" s="438">
        <x:v>52130129</x:v>
      </x:c>
      <x:c r="AP28" s="438" t="s">
        <x:v>121</x:v>
      </x:c>
      <x:c r="AQ28" s="438" t="s">
        <x:v>440</x:v>
      </x:c>
    </x:row>
    <x:row r="29" spans="1:43" ht="20.100000000000001" customHeight="1">
      <x:c r="A29" s="439"/>
      <x:c r="B29" s="466" t="str">
        <x:f t="shared" si="0"/>
        <x:v>기타비용</x:v>
      </x:c>
      <x:c r="C29" s="440" t="str">
        <x:f t="shared" si="1"/>
        <x:v>접대비</x:v>
      </x:c>
      <x:c r="D29" s="441">
        <x:v>52230103</x:v>
      </x:c>
      <x:c r="E29" s="442" t="str">
        <x:f t="shared" si="2"/>
        <x:v>접대비_법인카드</x:v>
      </x:c>
      <x:c r="F29" s="443"/>
      <x:c r="G29" s="444" t="s">
        <x:v>247</x:v>
      </x:c>
      <x:c r="H29" s="445" t="str">
        <x:f t="shared" si="3"/>
        <x:v>영업팀(E)</x:v>
      </x:c>
      <x:c r="I29" s="446" t="str">
        <x:f t="shared" si="4"/>
        <x:v>[판매비]</x:v>
      </x:c>
      <x:c r="J29" s="445"/>
      <x:c r="K29" s="453">
        <x:v>1500000</x:v>
      </x:c>
      <x:c r="L29" s="454">
        <x:v>1500000</x:v>
      </x:c>
      <x:c r="M29" s="454">
        <x:v>1500000</x:v>
      </x:c>
      <x:c r="N29" s="454">
        <x:v>1500000</x:v>
      </x:c>
      <x:c r="O29" s="454">
        <x:v>1500000</x:v>
      </x:c>
      <x:c r="P29" s="454">
        <x:v>1500000</x:v>
      </x:c>
      <x:c r="Q29" s="454">
        <x:v>1500000</x:v>
      </x:c>
      <x:c r="R29" s="454">
        <x:v>1500000</x:v>
      </x:c>
      <x:c r="S29" s="454">
        <x:v>1500000</x:v>
      </x:c>
      <x:c r="T29" s="454">
        <x:v>1500000</x:v>
      </x:c>
      <x:c r="U29" s="454">
        <x:v>1500000</x:v>
      </x:c>
      <x:c r="V29" s="455">
        <x:v>1500000</x:v>
      </x:c>
      <x:c r="W29" s="456">
        <x:f t="shared" si="7"/>
        <x:v>18000000</x:v>
      </x:c>
      <x:c r="X29" s="450">
        <x:f t="shared" si="8"/>
        <x:v>1500000</x:v>
      </x:c>
      <x:c r="Y29" s="457" t="s">
        <x:v>672</x:v>
      </x:c>
      <x:c r="Z29" s="458"/>
      <x:c r="AA29" s="458"/>
      <x:c r="AB29" s="458"/>
      <x:c r="AC29" s="458"/>
      <x:c r="AD29" s="458"/>
      <x:c r="AE29" s="458"/>
      <x:c r="AK29" s="438" t="s">
        <x:v>436</x:v>
      </x:c>
      <x:c r="AL29" s="438" t="s">
        <x:v>437</x:v>
      </x:c>
      <x:c r="AM29" s="438" t="s">
        <x:v>3</x:v>
      </x:c>
      <x:c r="AO29" s="438">
        <x:v>52130131</x:v>
      </x:c>
      <x:c r="AP29" s="438" t="s">
        <x:v>122</x:v>
      </x:c>
      <x:c r="AQ29" s="438" t="s">
        <x:v>440</x:v>
      </x:c>
    </x:row>
    <x:row r="30" spans="1:43" ht="20.100000000000001" customHeight="1">
      <x:c r="A30" s="439"/>
      <x:c r="B30" s="466" t="str">
        <x:f t="shared" si="0"/>
        <x:v>지급수수료</x:v>
      </x:c>
      <x:c r="C30" s="440" t="str">
        <x:f t="shared" si="1"/>
        <x:v>지급수수료</x:v>
      </x:c>
      <x:c r="D30" s="441">
        <x:v>52319900</x:v>
      </x:c>
      <x:c r="E30" s="442" t="str">
        <x:f t="shared" si="2"/>
        <x:v>지급수수료_기타</x:v>
      </x:c>
      <x:c r="F30" s="443"/>
      <x:c r="G30" s="444" t="s">
        <x:v>247</x:v>
      </x:c>
      <x:c r="H30" s="445" t="str">
        <x:f t="shared" si="3"/>
        <x:v>영업팀(E)</x:v>
      </x:c>
      <x:c r="I30" s="446" t="str">
        <x:f t="shared" si="4"/>
        <x:v>[판매비]</x:v>
      </x:c>
      <x:c r="J30" s="445"/>
      <x:c r="K30" s="453">
        <x:v>141000</x:v>
      </x:c>
      <x:c r="L30" s="454">
        <x:v>141000</x:v>
      </x:c>
      <x:c r="M30" s="454">
        <x:v>141000</x:v>
      </x:c>
      <x:c r="N30" s="454">
        <x:v>141000</x:v>
      </x:c>
      <x:c r="O30" s="454">
        <x:v>141000</x:v>
      </x:c>
      <x:c r="P30" s="454">
        <x:v>141000</x:v>
      </x:c>
      <x:c r="Q30" s="454">
        <x:v>141000</x:v>
      </x:c>
      <x:c r="R30" s="454">
        <x:v>141000</x:v>
      </x:c>
      <x:c r="S30" s="454">
        <x:v>141000</x:v>
      </x:c>
      <x:c r="T30" s="454">
        <x:v>141000</x:v>
      </x:c>
      <x:c r="U30" s="454">
        <x:v>141000</x:v>
      </x:c>
      <x:c r="V30" s="455">
        <x:v>141000</x:v>
      </x:c>
      <x:c r="W30" s="456">
        <x:f t="shared" si="7"/>
        <x:v>1692000</x:v>
      </x:c>
      <x:c r="X30" s="450">
        <x:f t="shared" si="8"/>
        <x:v>141000</x:v>
      </x:c>
      <x:c r="Y30" s="457" t="s">
        <x:v>597</x:v>
      </x:c>
      <x:c r="Z30" s="458"/>
      <x:c r="AA30" s="458"/>
      <x:c r="AB30" s="458"/>
      <x:c r="AC30" s="458"/>
      <x:c r="AD30" s="458"/>
      <x:c r="AE30" s="458"/>
      <x:c r="AK30" s="438" t="s">
        <x:v>607</x:v>
      </x:c>
      <x:c r="AL30" s="438" t="s">
        <x:v>612</x:v>
      </x:c>
      <x:c r="AM30" s="438" t="s">
        <x:v>3</x:v>
      </x:c>
      <x:c r="AO30" s="438">
        <x:v>52130132</x:v>
      </x:c>
      <x:c r="AP30" s="438" t="s">
        <x:v>123</x:v>
      </x:c>
      <x:c r="AQ30" s="438" t="s">
        <x:v>440</x:v>
      </x:c>
    </x:row>
    <x:row r="31" spans="1:43" ht="20.100000000000001" customHeight="1">
      <x:c r="A31" s="439"/>
      <x:c r="B31" s="466" t="str">
        <x:f t="shared" si="0"/>
        <x:v>지급수수료</x:v>
      </x:c>
      <x:c r="C31" s="440" t="str">
        <x:f t="shared" si="1"/>
        <x:v>지급수수료</x:v>
      </x:c>
      <x:c r="D31" s="441">
        <x:v>52310102</x:v>
      </x:c>
      <x:c r="E31" s="442" t="str">
        <x:f t="shared" si="2"/>
        <x:v>지급수수료_송금수수료</x:v>
      </x:c>
      <x:c r="F31" s="443"/>
      <x:c r="G31" s="444" t="s">
        <x:v>247</x:v>
      </x:c>
      <x:c r="H31" s="445" t="str">
        <x:f t="shared" si="3"/>
        <x:v>영업팀(E)</x:v>
      </x:c>
      <x:c r="I31" s="446" t="str">
        <x:f t="shared" si="4"/>
        <x:v>[판매비]</x:v>
      </x:c>
      <x:c r="J31" s="445"/>
      <x:c r="K31" s="453">
        <x:v>6000</x:v>
      </x:c>
      <x:c r="L31" s="454">
        <x:v>6000</x:v>
      </x:c>
      <x:c r="M31" s="454">
        <x:v>6000</x:v>
      </x:c>
      <x:c r="N31" s="454">
        <x:v>6000</x:v>
      </x:c>
      <x:c r="O31" s="454">
        <x:v>6000</x:v>
      </x:c>
      <x:c r="P31" s="454">
        <x:v>6000</x:v>
      </x:c>
      <x:c r="Q31" s="454">
        <x:v>6000</x:v>
      </x:c>
      <x:c r="R31" s="454">
        <x:v>6000</x:v>
      </x:c>
      <x:c r="S31" s="454">
        <x:v>6000</x:v>
      </x:c>
      <x:c r="T31" s="454">
        <x:v>6000</x:v>
      </x:c>
      <x:c r="U31" s="454">
        <x:v>6000</x:v>
      </x:c>
      <x:c r="V31" s="455">
        <x:v>6000</x:v>
      </x:c>
      <x:c r="W31" s="456">
        <x:f t="shared" si="7"/>
        <x:v>72000</x:v>
      </x:c>
      <x:c r="X31" s="450">
        <x:f t="shared" si="8"/>
        <x:v>6000</x:v>
      </x:c>
      <x:c r="Y31" s="457" t="s">
        <x:v>673</x:v>
      </x:c>
      <x:c r="Z31" s="458"/>
      <x:c r="AA31" s="458"/>
      <x:c r="AB31" s="458"/>
      <x:c r="AC31" s="458"/>
      <x:c r="AD31" s="458"/>
      <x:c r="AE31" s="458"/>
      <x:c r="AO31" s="438">
        <x:v>52130133</x:v>
      </x:c>
      <x:c r="AP31" s="438" t="s">
        <x:v>445</x:v>
      </x:c>
      <x:c r="AQ31" s="438" t="s">
        <x:v>440</x:v>
      </x:c>
    </x:row>
    <x:row r="32" spans="1:43" ht="20.100000000000001" customHeight="1">
      <x:c r="A32" s="439"/>
      <x:c r="B32" s="466" t="str">
        <x:f t="shared" si="0"/>
        <x:v>지급수수료</x:v>
      </x:c>
      <x:c r="C32" s="440" t="str">
        <x:f t="shared" si="1"/>
        <x:v>지급수수료</x:v>
      </x:c>
      <x:c r="D32" s="441">
        <x:v>52310128</x:v>
      </x:c>
      <x:c r="E32" s="442" t="str">
        <x:f t="shared" si="2"/>
        <x:v>지급수수료-통관수수료</x:v>
      </x:c>
      <x:c r="F32" s="443"/>
      <x:c r="G32" s="444" t="s">
        <x:v>247</x:v>
      </x:c>
      <x:c r="H32" s="445" t="str">
        <x:f t="shared" si="3"/>
        <x:v>영업팀(E)</x:v>
      </x:c>
      <x:c r="I32" s="446" t="str">
        <x:f t="shared" si="4"/>
        <x:v>[판매비]</x:v>
      </x:c>
      <x:c r="J32" s="445"/>
      <x:c r="K32" s="453">
        <x:v>45000</x:v>
      </x:c>
      <x:c r="L32" s="454">
        <x:v>45000</x:v>
      </x:c>
      <x:c r="M32" s="454">
        <x:v>45000</x:v>
      </x:c>
      <x:c r="N32" s="454">
        <x:v>45000</x:v>
      </x:c>
      <x:c r="O32" s="454">
        <x:v>45000</x:v>
      </x:c>
      <x:c r="P32" s="454">
        <x:v>45000</x:v>
      </x:c>
      <x:c r="Q32" s="454">
        <x:v>45000</x:v>
      </x:c>
      <x:c r="R32" s="454">
        <x:v>45000</x:v>
      </x:c>
      <x:c r="S32" s="454">
        <x:v>45000</x:v>
      </x:c>
      <x:c r="T32" s="454">
        <x:v>45000</x:v>
      </x:c>
      <x:c r="U32" s="454">
        <x:v>45000</x:v>
      </x:c>
      <x:c r="V32" s="455">
        <x:v>45000</x:v>
      </x:c>
      <x:c r="W32" s="456">
        <x:f t="shared" si="7"/>
        <x:v>540000</x:v>
      </x:c>
      <x:c r="X32" s="450">
        <x:f t="shared" si="8"/>
        <x:v>45000</x:v>
      </x:c>
      <x:c r="Y32" s="457" t="s">
        <x:v>674</x:v>
      </x:c>
      <x:c r="Z32" s="458"/>
      <x:c r="AA32" s="458"/>
      <x:c r="AB32" s="458"/>
      <x:c r="AC32" s="458"/>
      <x:c r="AD32" s="458"/>
      <x:c r="AE32" s="458"/>
      <x:c r="AO32" s="438">
        <x:v>52130134</x:v>
      </x:c>
      <x:c r="AP32" s="438" t="s">
        <x:v>124</x:v>
      </x:c>
      <x:c r="AQ32" s="438" t="s">
        <x:v>440</x:v>
      </x:c>
    </x:row>
    <x:row r="33" spans="1:43" ht="20.100000000000001" customHeight="1">
      <x:c r="A33" s="439"/>
      <x:c r="B33" s="466" t="str">
        <x:f t="shared" si="0"/>
        <x:v>기타비용</x:v>
      </x:c>
      <x:c r="C33" s="440" t="str">
        <x:f t="shared" si="1"/>
        <x:v>차량유지비</x:v>
      </x:c>
      <x:c r="D33" s="441">
        <x:v>52359900</x:v>
      </x:c>
      <x:c r="E33" s="442" t="str">
        <x:f t="shared" si="2"/>
        <x:v>차량유지비_기타</x:v>
      </x:c>
      <x:c r="F33" s="443"/>
      <x:c r="G33" s="444" t="s">
        <x:v>247</x:v>
      </x:c>
      <x:c r="H33" s="445" t="str">
        <x:f t="shared" si="3"/>
        <x:v>영업팀(E)</x:v>
      </x:c>
      <x:c r="I33" s="446" t="str">
        <x:f t="shared" si="4"/>
        <x:v>[판매비]</x:v>
      </x:c>
      <x:c r="J33" s="445"/>
      <x:c r="K33" s="453">
        <x:v>35000</x:v>
      </x:c>
      <x:c r="L33" s="454">
        <x:v>35000</x:v>
      </x:c>
      <x:c r="M33" s="454">
        <x:v>35000</x:v>
      </x:c>
      <x:c r="N33" s="454">
        <x:v>35000</x:v>
      </x:c>
      <x:c r="O33" s="454">
        <x:v>35000</x:v>
      </x:c>
      <x:c r="P33" s="454">
        <x:v>35000</x:v>
      </x:c>
      <x:c r="Q33" s="454">
        <x:v>35000</x:v>
      </x:c>
      <x:c r="R33" s="454">
        <x:v>35000</x:v>
      </x:c>
      <x:c r="S33" s="454">
        <x:v>35000</x:v>
      </x:c>
      <x:c r="T33" s="454">
        <x:v>35000</x:v>
      </x:c>
      <x:c r="U33" s="454">
        <x:v>35000</x:v>
      </x:c>
      <x:c r="V33" s="455">
        <x:v>35000</x:v>
      </x:c>
      <x:c r="W33" s="456">
        <x:f t="shared" si="7"/>
        <x:v>420000</x:v>
      </x:c>
      <x:c r="X33" s="450">
        <x:f t="shared" si="8"/>
        <x:v>35000</x:v>
      </x:c>
      <x:c r="Y33" s="457" t="s">
        <x:v>675</x:v>
      </x:c>
      <x:c r="Z33" s="458"/>
      <x:c r="AA33" s="458"/>
      <x:c r="AB33" s="458"/>
      <x:c r="AC33" s="458"/>
      <x:c r="AD33" s="458"/>
      <x:c r="AE33" s="458"/>
      <x:c r="AO33" s="438">
        <x:v>52130136</x:v>
      </x:c>
      <x:c r="AP33" s="438" t="s">
        <x:v>529</x:v>
      </x:c>
      <x:c r="AQ33" s="438" t="s">
        <x:v>440</x:v>
      </x:c>
    </x:row>
    <x:row r="34" spans="1:43" ht="20.100000000000001" customHeight="1">
      <x:c r="A34" s="439"/>
      <x:c r="B34" s="466" t="str">
        <x:f t="shared" si="0"/>
        <x:v>기타비용</x:v>
      </x:c>
      <x:c r="C34" s="440" t="str">
        <x:f t="shared" si="1"/>
        <x:v>통신비</x:v>
      </x:c>
      <x:c r="D34" s="441">
        <x:v>52160103</x:v>
      </x:c>
      <x:c r="E34" s="442" t="str">
        <x:f t="shared" si="2"/>
        <x:v>통신비_우편료</x:v>
      </x:c>
      <x:c r="F34" s="443"/>
      <x:c r="G34" s="444" t="s">
        <x:v>247</x:v>
      </x:c>
      <x:c r="H34" s="445" t="str">
        <x:f t="shared" si="3"/>
        <x:v>영업팀(E)</x:v>
      </x:c>
      <x:c r="I34" s="446" t="str">
        <x:f t="shared" si="4"/>
        <x:v>[판매비]</x:v>
      </x:c>
      <x:c r="J34" s="445"/>
      <x:c r="K34" s="453">
        <x:v>1000</x:v>
      </x:c>
      <x:c r="L34" s="454">
        <x:v>1000</x:v>
      </x:c>
      <x:c r="M34" s="454">
        <x:v>1000</x:v>
      </x:c>
      <x:c r="N34" s="454">
        <x:v>1000</x:v>
      </x:c>
      <x:c r="O34" s="454">
        <x:v>1000</x:v>
      </x:c>
      <x:c r="P34" s="454">
        <x:v>1000</x:v>
      </x:c>
      <x:c r="Q34" s="454">
        <x:v>1000</x:v>
      </x:c>
      <x:c r="R34" s="454">
        <x:v>1000</x:v>
      </x:c>
      <x:c r="S34" s="454">
        <x:v>1000</x:v>
      </x:c>
      <x:c r="T34" s="454">
        <x:v>1000</x:v>
      </x:c>
      <x:c r="U34" s="454">
        <x:v>1000</x:v>
      </x:c>
      <x:c r="V34" s="455">
        <x:v>1000</x:v>
      </x:c>
      <x:c r="W34" s="456">
        <x:f t="shared" si="7"/>
        <x:v>12000</x:v>
      </x:c>
      <x:c r="X34" s="450">
        <x:f t="shared" si="8"/>
        <x:v>1000</x:v>
      </x:c>
      <x:c r="Y34" s="457" t="s">
        <x:v>600</x:v>
      </x:c>
      <x:c r="Z34" s="458"/>
      <x:c r="AA34" s="458"/>
      <x:c r="AB34" s="458"/>
      <x:c r="AC34" s="458"/>
      <x:c r="AD34" s="458"/>
      <x:c r="AE34" s="458"/>
      <x:c r="AO34" s="438">
        <x:v>52130137</x:v>
      </x:c>
      <x:c r="AP34" s="438" t="s">
        <x:v>530</x:v>
      </x:c>
      <x:c r="AQ34" s="438" t="s">
        <x:v>440</x:v>
      </x:c>
    </x:row>
    <x:row r="35" spans="1:43" ht="20.100000000000001" customHeight="1">
      <x:c r="A35" s="439"/>
      <x:c r="B35" s="466" t="str">
        <x:f t="shared" si="0"/>
        <x:v>운반비</x:v>
      </x:c>
      <x:c r="C35" s="440" t="str">
        <x:f t="shared" si="1"/>
        <x:v>운반비</x:v>
      </x:c>
      <x:c r="D35" s="441">
        <x:v>52250103</x:v>
      </x:c>
      <x:c r="E35" s="442" t="str">
        <x:f t="shared" si="2"/>
        <x:v>운반비_항공</x:v>
      </x:c>
      <x:c r="F35" s="443"/>
      <x:c r="G35" s="444" t="s">
        <x:v>247</x:v>
      </x:c>
      <x:c r="H35" s="445" t="str">
        <x:f t="shared" ref="H35:H66" si="9">IFERROR(VLOOKUP($G35,$AK:$AL,2,),"")</x:f>
        <x:v>영업팀(E)</x:v>
      </x:c>
      <x:c r="I35" s="446" t="str">
        <x:f t="shared" si="4"/>
        <x:v>[판매비]</x:v>
      </x:c>
      <x:c r="J35" s="445"/>
      <x:c r="K35" s="453">
        <x:v>330000</x:v>
      </x:c>
      <x:c r="L35" s="454">
        <x:v>330000</x:v>
      </x:c>
      <x:c r="M35" s="454">
        <x:v>330000</x:v>
      </x:c>
      <x:c r="N35" s="454">
        <x:v>330000</x:v>
      </x:c>
      <x:c r="O35" s="454">
        <x:v>330000</x:v>
      </x:c>
      <x:c r="P35" s="454">
        <x:v>330000</x:v>
      </x:c>
      <x:c r="Q35" s="454">
        <x:v>330000</x:v>
      </x:c>
      <x:c r="R35" s="454">
        <x:v>330000</x:v>
      </x:c>
      <x:c r="S35" s="454">
        <x:v>330000</x:v>
      </x:c>
      <x:c r="T35" s="454">
        <x:v>330000</x:v>
      </x:c>
      <x:c r="U35" s="454">
        <x:v>330000</x:v>
      </x:c>
      <x:c r="V35" s="455">
        <x:v>330000</x:v>
      </x:c>
      <x:c r="W35" s="456">
        <x:f t="shared" si="7"/>
        <x:v>3960000</x:v>
      </x:c>
      <x:c r="X35" s="450">
        <x:f t="shared" si="8"/>
        <x:v>330000</x:v>
      </x:c>
      <x:c r="Y35" s="457" t="s">
        <x:v>676</x:v>
      </x:c>
      <x:c r="Z35" s="458"/>
      <x:c r="AA35" s="458"/>
      <x:c r="AB35" s="458"/>
      <x:c r="AC35" s="458"/>
      <x:c r="AD35" s="458"/>
      <x:c r="AE35" s="458"/>
      <x:c r="AO35" s="438">
        <x:v>52130138</x:v>
      </x:c>
      <x:c r="AP35" s="438" t="s">
        <x:v>125</x:v>
      </x:c>
      <x:c r="AQ35" s="438" t="s">
        <x:v>440</x:v>
      </x:c>
    </x:row>
    <x:row r="36" spans="1:43" ht="20.100000000000001" customHeight="1">
      <x:c r="A36" s="439"/>
      <x:c r="B36" s="466" t="str">
        <x:f t="shared" si="0"/>
        <x:v>운반비</x:v>
      </x:c>
      <x:c r="C36" s="440" t="str">
        <x:f t="shared" si="1"/>
        <x:v>운반비</x:v>
      </x:c>
      <x:c r="D36" s="441">
        <x:v>52250101</x:v>
      </x:c>
      <x:c r="E36" s="442" t="str">
        <x:f t="shared" si="2"/>
        <x:v>운반비_국내일반</x:v>
      </x:c>
      <x:c r="F36" s="443"/>
      <x:c r="G36" s="444" t="s">
        <x:v>247</x:v>
      </x:c>
      <x:c r="H36" s="445" t="str">
        <x:f t="shared" si="9"/>
        <x:v>영업팀(E)</x:v>
      </x:c>
      <x:c r="I36" s="446" t="str">
        <x:f t="shared" si="4"/>
        <x:v>[판매비]</x:v>
      </x:c>
      <x:c r="J36" s="445"/>
      <x:c r="K36" s="453">
        <x:v>90000</x:v>
      </x:c>
      <x:c r="L36" s="454">
        <x:v>90000</x:v>
      </x:c>
      <x:c r="M36" s="454">
        <x:v>90000</x:v>
      </x:c>
      <x:c r="N36" s="454">
        <x:v>90000</x:v>
      </x:c>
      <x:c r="O36" s="454">
        <x:v>90000</x:v>
      </x:c>
      <x:c r="P36" s="454">
        <x:v>90000</x:v>
      </x:c>
      <x:c r="Q36" s="454">
        <x:v>90000</x:v>
      </x:c>
      <x:c r="R36" s="454">
        <x:v>90000</x:v>
      </x:c>
      <x:c r="S36" s="454">
        <x:v>90000</x:v>
      </x:c>
      <x:c r="T36" s="454">
        <x:v>90000</x:v>
      </x:c>
      <x:c r="U36" s="454">
        <x:v>90000</x:v>
      </x:c>
      <x:c r="V36" s="455">
        <x:v>90000</x:v>
      </x:c>
      <x:c r="W36" s="456">
        <x:f t="shared" si="7"/>
        <x:v>1080000</x:v>
      </x:c>
      <x:c r="X36" s="450">
        <x:f t="shared" si="8"/>
        <x:v>90000</x:v>
      </x:c>
      <x:c r="Y36" s="457" t="s">
        <x:v>677</x:v>
      </x:c>
      <x:c r="Z36" s="458"/>
      <x:c r="AA36" s="458"/>
      <x:c r="AB36" s="458"/>
      <x:c r="AC36" s="458"/>
      <x:c r="AD36" s="458"/>
      <x:c r="AE36" s="458"/>
      <x:c r="AO36" s="438">
        <x:v>52130141</x:v>
      </x:c>
      <x:c r="AP36" s="438" t="s">
        <x:v>126</x:v>
      </x:c>
      <x:c r="AQ36" s="438" t="s">
        <x:v>440</x:v>
      </x:c>
    </x:row>
    <x:row r="37" spans="1:43" ht="20.100000000000001" customHeight="1">
      <x:c r="A37" s="439"/>
      <x:c r="B37" s="466" t="str">
        <x:f t="shared" si="0"/>
        <x:v>운반비</x:v>
      </x:c>
      <x:c r="C37" s="440" t="str">
        <x:f t="shared" si="1"/>
        <x:v>운반비</x:v>
      </x:c>
      <x:c r="D37" s="441">
        <x:v>52250105</x:v>
      </x:c>
      <x:c r="E37" s="442" t="str">
        <x:f t="shared" si="2"/>
        <x:v>운반비_택배</x:v>
      </x:c>
      <x:c r="F37" s="443"/>
      <x:c r="G37" s="444" t="s">
        <x:v>247</x:v>
      </x:c>
      <x:c r="H37" s="445" t="str">
        <x:f t="shared" si="9"/>
        <x:v>영업팀(E)</x:v>
      </x:c>
      <x:c r="I37" s="446" t="str">
        <x:f t="shared" si="4"/>
        <x:v>[판매비]</x:v>
      </x:c>
      <x:c r="J37" s="445"/>
      <x:c r="K37" s="453">
        <x:v>1900</x:v>
      </x:c>
      <x:c r="L37" s="454">
        <x:v>1900</x:v>
      </x:c>
      <x:c r="M37" s="454">
        <x:v>1900</x:v>
      </x:c>
      <x:c r="N37" s="454">
        <x:v>1900</x:v>
      </x:c>
      <x:c r="O37" s="454">
        <x:v>1900</x:v>
      </x:c>
      <x:c r="P37" s="454">
        <x:v>1900</x:v>
      </x:c>
      <x:c r="Q37" s="454">
        <x:v>1900</x:v>
      </x:c>
      <x:c r="R37" s="454">
        <x:v>1900</x:v>
      </x:c>
      <x:c r="S37" s="454">
        <x:v>1900</x:v>
      </x:c>
      <x:c r="T37" s="454">
        <x:v>1900</x:v>
      </x:c>
      <x:c r="U37" s="454">
        <x:v>1900</x:v>
      </x:c>
      <x:c r="V37" s="455">
        <x:v>1900</x:v>
      </x:c>
      <x:c r="W37" s="456">
        <x:f t="shared" ref="W37:W48" si="10">IFERROR(SUM(K37:V37),"")</x:f>
        <x:v>22800</x:v>
      </x:c>
      <x:c r="X37" s="450">
        <x:f t="shared" ref="X37:X48" si="11">IFERROR($W37/$Y$1,"")</x:f>
        <x:v>1900</x:v>
      </x:c>
      <x:c r="Y37" s="457" t="s">
        <x:v>598</x:v>
      </x:c>
      <x:c r="Z37" s="458"/>
      <x:c r="AA37" s="458"/>
      <x:c r="AB37" s="458"/>
      <x:c r="AC37" s="458"/>
      <x:c r="AD37" s="458"/>
      <x:c r="AE37" s="458"/>
      <x:c r="AO37" s="438">
        <x:v>52130151</x:v>
      </x:c>
      <x:c r="AP37" s="438" t="s">
        <x:v>531</x:v>
      </x:c>
      <x:c r="AQ37" s="438" t="s">
        <x:v>440</x:v>
      </x:c>
    </x:row>
    <x:row r="38" spans="1:43" ht="20.100000000000001" customHeight="1">
      <x:c r="A38" s="439"/>
      <x:c r="B38" s="466" t="str">
        <x:f t="shared" si="0"/>
        <x:v>운반비</x:v>
      </x:c>
      <x:c r="C38" s="440" t="str">
        <x:f t="shared" si="1"/>
        <x:v>운반비</x:v>
      </x:c>
      <x:c r="D38" s="441">
        <x:v>52250104</x:v>
      </x:c>
      <x:c r="E38" s="442" t="str">
        <x:f t="shared" si="2"/>
        <x:v>운반비_특송</x:v>
      </x:c>
      <x:c r="F38" s="443"/>
      <x:c r="G38" s="444" t="s">
        <x:v>247</x:v>
      </x:c>
      <x:c r="H38" s="445" t="str">
        <x:f t="shared" si="9"/>
        <x:v>영업팀(E)</x:v>
      </x:c>
      <x:c r="I38" s="446" t="str">
        <x:f t="shared" si="4"/>
        <x:v>[판매비]</x:v>
      </x:c>
      <x:c r="J38" s="445"/>
      <x:c r="K38" s="453">
        <x:v>500000</x:v>
      </x:c>
      <x:c r="L38" s="454">
        <x:v>500000</x:v>
      </x:c>
      <x:c r="M38" s="454">
        <x:v>500000</x:v>
      </x:c>
      <x:c r="N38" s="454">
        <x:v>500000</x:v>
      </x:c>
      <x:c r="O38" s="454">
        <x:v>500000</x:v>
      </x:c>
      <x:c r="P38" s="454">
        <x:v>500000</x:v>
      </x:c>
      <x:c r="Q38" s="454">
        <x:v>500000</x:v>
      </x:c>
      <x:c r="R38" s="454">
        <x:v>500000</x:v>
      </x:c>
      <x:c r="S38" s="454">
        <x:v>500000</x:v>
      </x:c>
      <x:c r="T38" s="454">
        <x:v>500000</x:v>
      </x:c>
      <x:c r="U38" s="454">
        <x:v>500000</x:v>
      </x:c>
      <x:c r="V38" s="455">
        <x:v>500000</x:v>
      </x:c>
      <x:c r="W38" s="456">
        <x:f t="shared" si="10"/>
        <x:v>6000000</x:v>
      </x:c>
      <x:c r="X38" s="450">
        <x:f t="shared" si="11"/>
        <x:v>500000</x:v>
      </x:c>
      <x:c r="Y38" s="457" t="s">
        <x:v>678</x:v>
      </x:c>
      <x:c r="Z38" s="458"/>
      <x:c r="AA38" s="458"/>
      <x:c r="AB38" s="458"/>
      <x:c r="AC38" s="458"/>
      <x:c r="AD38" s="458"/>
      <x:c r="AE38" s="458"/>
      <x:c r="AO38" s="438">
        <x:v>52139900</x:v>
      </x:c>
      <x:c r="AP38" s="438" t="s">
        <x:v>127</x:v>
      </x:c>
      <x:c r="AQ38" s="438" t="s">
        <x:v>440</x:v>
      </x:c>
    </x:row>
    <x:row r="39" spans="1:43" ht="20.100000000000001" customHeight="1">
      <x:c r="A39" s="439"/>
      <x:c r="B39" s="466" t="str">
        <x:f t="shared" si="0"/>
        <x:v>여비교통비</x:v>
      </x:c>
      <x:c r="C39" s="440" t="str">
        <x:f t="shared" si="1"/>
        <x:v>여비교통비</x:v>
      </x:c>
      <x:c r="D39" s="441">
        <x:v>52150109</x:v>
      </x:c>
      <x:c r="E39" s="442" t="str">
        <x:f t="shared" si="2"/>
        <x:v>여비교통비_교육</x:v>
      </x:c>
      <x:c r="F39" s="443"/>
      <x:c r="G39" s="444" t="s">
        <x:v>106</x:v>
      </x:c>
      <x:c r="H39" s="445" t="str">
        <x:f t="shared" si="9"/>
        <x:v>구매팀(E)</x:v>
      </x:c>
      <x:c r="I39" s="446" t="str">
        <x:f t="shared" si="4"/>
        <x:v>[관리비]</x:v>
      </x:c>
      <x:c r="J39" s="445"/>
      <x:c r="K39" s="453">
        <x:v>20000</x:v>
      </x:c>
      <x:c r="L39" s="454">
        <x:v>20000</x:v>
      </x:c>
      <x:c r="M39" s="454">
        <x:v>20000</x:v>
      </x:c>
      <x:c r="N39" s="454">
        <x:v>20000</x:v>
      </x:c>
      <x:c r="O39" s="454">
        <x:v>20000</x:v>
      </x:c>
      <x:c r="P39" s="454">
        <x:v>20000</x:v>
      </x:c>
      <x:c r="Q39" s="454">
        <x:v>20000</x:v>
      </x:c>
      <x:c r="R39" s="454">
        <x:v>20000</x:v>
      </x:c>
      <x:c r="S39" s="454">
        <x:v>20000</x:v>
      </x:c>
      <x:c r="T39" s="454">
        <x:v>20000</x:v>
      </x:c>
      <x:c r="U39" s="454">
        <x:v>20000</x:v>
      </x:c>
      <x:c r="V39" s="455">
        <x:v>20000</x:v>
      </x:c>
      <x:c r="W39" s="456">
        <x:f t="shared" si="10"/>
        <x:v>240000</x:v>
      </x:c>
      <x:c r="X39" s="450">
        <x:f t="shared" si="11"/>
        <x:v>20000</x:v>
      </x:c>
      <x:c r="Y39" s="457" t="s">
        <x:v>679</x:v>
      </x:c>
      <x:c r="Z39" s="458"/>
      <x:c r="AA39" s="458"/>
      <x:c r="AB39" s="458"/>
      <x:c r="AC39" s="458"/>
      <x:c r="AD39" s="458"/>
      <x:c r="AE39" s="458"/>
      <x:c r="AO39" s="438">
        <x:v>52140101</x:v>
      </x:c>
      <x:c r="AP39" s="438" t="s">
        <x:v>128</x:v>
      </x:c>
      <x:c r="AQ39" s="438" t="s">
        <x:v>443</x:v>
      </x:c>
    </x:row>
    <x:row r="40" spans="1:43" ht="20.100000000000001" customHeight="1">
      <x:c r="A40" s="439"/>
      <x:c r="B40" s="466" t="str">
        <x:f t="shared" si="0"/>
        <x:v>여비교통비</x:v>
      </x:c>
      <x:c r="C40" s="440" t="str">
        <x:f t="shared" si="1"/>
        <x:v>여비교통비</x:v>
      </x:c>
      <x:c r="D40" s="441">
        <x:v>52150101</x:v>
      </x:c>
      <x:c r="E40" s="442" t="str">
        <x:f t="shared" si="2"/>
        <x:v>여비교통비_국내출장</x:v>
      </x:c>
      <x:c r="F40" s="443"/>
      <x:c r="G40" s="444" t="s">
        <x:v>106</x:v>
      </x:c>
      <x:c r="H40" s="445" t="str">
        <x:f t="shared" si="9"/>
        <x:v>구매팀(E)</x:v>
      </x:c>
      <x:c r="I40" s="446" t="str">
        <x:f t="shared" si="4"/>
        <x:v>[관리비]</x:v>
      </x:c>
      <x:c r="J40" s="445"/>
      <x:c r="K40" s="453">
        <x:v>400000</x:v>
      </x:c>
      <x:c r="L40" s="454">
        <x:v>400000</x:v>
      </x:c>
      <x:c r="M40" s="454">
        <x:v>400000</x:v>
      </x:c>
      <x:c r="N40" s="454">
        <x:v>400000</x:v>
      </x:c>
      <x:c r="O40" s="454">
        <x:v>400000</x:v>
      </x:c>
      <x:c r="P40" s="454">
        <x:v>400000</x:v>
      </x:c>
      <x:c r="Q40" s="454">
        <x:v>400000</x:v>
      </x:c>
      <x:c r="R40" s="454">
        <x:v>400000</x:v>
      </x:c>
      <x:c r="S40" s="454">
        <x:v>400000</x:v>
      </x:c>
      <x:c r="T40" s="454">
        <x:v>400000</x:v>
      </x:c>
      <x:c r="U40" s="454">
        <x:v>400000</x:v>
      </x:c>
      <x:c r="V40" s="455">
        <x:v>400000</x:v>
      </x:c>
      <x:c r="W40" s="456">
        <x:f t="shared" si="10"/>
        <x:v>4800000</x:v>
      </x:c>
      <x:c r="X40" s="450">
        <x:f t="shared" si="11"/>
        <x:v>400000</x:v>
      </x:c>
      <x:c r="Y40" s="457" t="s">
        <x:v>601</x:v>
      </x:c>
      <x:c r="Z40" s="458"/>
      <x:c r="AA40" s="458"/>
      <x:c r="AB40" s="458"/>
      <x:c r="AC40" s="458"/>
      <x:c r="AD40" s="458"/>
      <x:c r="AE40" s="458"/>
      <x:c r="AO40" s="438">
        <x:v>52140105</x:v>
      </x:c>
      <x:c r="AP40" s="438" t="s">
        <x:v>130</x:v>
      </x:c>
      <x:c r="AQ40" s="438" t="s">
        <x:v>443</x:v>
      </x:c>
    </x:row>
    <x:row r="41" spans="1:43" ht="20.100000000000001" customHeight="1">
      <x:c r="A41" s="439"/>
      <x:c r="B41" s="466" t="str">
        <x:f t="shared" si="0"/>
        <x:v>여비교통비</x:v>
      </x:c>
      <x:c r="C41" s="440" t="str">
        <x:f t="shared" si="1"/>
        <x:v>여비교통비</x:v>
      </x:c>
      <x:c r="D41" s="441">
        <x:v>52150103</x:v>
      </x:c>
      <x:c r="E41" s="442" t="str">
        <x:f t="shared" si="2"/>
        <x:v>여비교통비_해외출장</x:v>
      </x:c>
      <x:c r="F41" s="443"/>
      <x:c r="G41" s="444" t="s">
        <x:v>106</x:v>
      </x:c>
      <x:c r="H41" s="445" t="str">
        <x:f t="shared" si="9"/>
        <x:v>구매팀(E)</x:v>
      </x:c>
      <x:c r="I41" s="446" t="str">
        <x:f t="shared" si="4"/>
        <x:v>[관리비]</x:v>
      </x:c>
      <x:c r="J41" s="445"/>
      <x:c r="K41" s="453">
        <x:v>6666666.666666667</x:v>
      </x:c>
      <x:c r="L41" s="454">
        <x:v>6666666.666666667</x:v>
      </x:c>
      <x:c r="M41" s="454">
        <x:v>6666666.666666667</x:v>
      </x:c>
      <x:c r="N41" s="454">
        <x:v>6666666.666666667</x:v>
      </x:c>
      <x:c r="O41" s="454">
        <x:v>6666666.666666667</x:v>
      </x:c>
      <x:c r="P41" s="454">
        <x:v>6666666.666666667</x:v>
      </x:c>
      <x:c r="Q41" s="454">
        <x:v>6666666.666666667</x:v>
      </x:c>
      <x:c r="R41" s="454">
        <x:v>6666666.666666667</x:v>
      </x:c>
      <x:c r="S41" s="454">
        <x:v>6666666.666666667</x:v>
      </x:c>
      <x:c r="T41" s="454">
        <x:v>6666666.666666667</x:v>
      </x:c>
      <x:c r="U41" s="454">
        <x:v>6666666.666666667</x:v>
      </x:c>
      <x:c r="V41" s="455">
        <x:v>6666666.666666667</x:v>
      </x:c>
      <x:c r="W41" s="456">
        <x:f t="shared" si="10"/>
        <x:v>80000000</x:v>
      </x:c>
      <x:c r="X41" s="450">
        <x:f t="shared" si="11"/>
        <x:v>6666666.666666667</x:v>
      </x:c>
      <x:c r="Y41" s="457" t="s">
        <x:v>768</x:v>
      </x:c>
      <x:c r="Z41" s="458"/>
      <x:c r="AA41" s="458"/>
      <x:c r="AB41" s="458"/>
      <x:c r="AC41" s="458"/>
      <x:c r="AD41" s="458"/>
      <x:c r="AE41" s="458"/>
      <x:c r="AO41" s="438">
        <x:v>52140107</x:v>
      </x:c>
      <x:c r="AP41" s="438" t="s">
        <x:v>532</x:v>
      </x:c>
      <x:c r="AQ41" s="438" t="s">
        <x:v>443</x:v>
      </x:c>
    </x:row>
    <x:row r="42" spans="1:43" ht="20.100000000000001" customHeight="1">
      <x:c r="A42" s="439"/>
      <x:c r="B42" s="466" t="str">
        <x:f t="shared" si="0"/>
        <x:v>여비교통비</x:v>
      </x:c>
      <x:c r="C42" s="440" t="str">
        <x:f t="shared" si="1"/>
        <x:v>여비교통비</x:v>
      </x:c>
      <x:c r="D42" s="441">
        <x:v>52150105</x:v>
      </x:c>
      <x:c r="E42" s="442" t="str">
        <x:f t="shared" si="2"/>
        <x:v>여비교통비_시내</x:v>
      </x:c>
      <x:c r="F42" s="443"/>
      <x:c r="G42" s="444" t="s">
        <x:v>106</x:v>
      </x:c>
      <x:c r="H42" s="445" t="str">
        <x:f t="shared" si="9"/>
        <x:v>구매팀(E)</x:v>
      </x:c>
      <x:c r="I42" s="446" t="str">
        <x:f t="shared" si="4"/>
        <x:v>[관리비]</x:v>
      </x:c>
      <x:c r="J42" s="445"/>
      <x:c r="K42" s="453">
        <x:v>100000</x:v>
      </x:c>
      <x:c r="L42" s="454">
        <x:v>100000</x:v>
      </x:c>
      <x:c r="M42" s="454">
        <x:v>100000</x:v>
      </x:c>
      <x:c r="N42" s="454">
        <x:v>100000</x:v>
      </x:c>
      <x:c r="O42" s="454">
        <x:v>100000</x:v>
      </x:c>
      <x:c r="P42" s="454">
        <x:v>100000</x:v>
      </x:c>
      <x:c r="Q42" s="454">
        <x:v>100000</x:v>
      </x:c>
      <x:c r="R42" s="454">
        <x:v>100000</x:v>
      </x:c>
      <x:c r="S42" s="454">
        <x:v>100000</x:v>
      </x:c>
      <x:c r="T42" s="454">
        <x:v>100000</x:v>
      </x:c>
      <x:c r="U42" s="454">
        <x:v>100000</x:v>
      </x:c>
      <x:c r="V42" s="455">
        <x:v>100000</x:v>
      </x:c>
      <x:c r="W42" s="456">
        <x:f t="shared" si="10"/>
        <x:v>1200000</x:v>
      </x:c>
      <x:c r="X42" s="450">
        <x:f t="shared" si="11"/>
        <x:v>100000</x:v>
      </x:c>
      <x:c r="Y42" s="457" t="s">
        <x:v>680</x:v>
      </x:c>
      <x:c r="Z42" s="458"/>
      <x:c r="AA42" s="458"/>
      <x:c r="AB42" s="458"/>
      <x:c r="AC42" s="458"/>
      <x:c r="AD42" s="458"/>
      <x:c r="AE42" s="458"/>
      <x:c r="AO42" s="438">
        <x:v>52149900</x:v>
      </x:c>
      <x:c r="AP42" s="438" t="s">
        <x:v>533</x:v>
      </x:c>
      <x:c r="AQ42" s="438" t="s">
        <x:v>443</x:v>
      </x:c>
    </x:row>
    <x:row r="43" spans="1:43" ht="20.100000000000001" customHeight="1">
      <x:c r="A43" s="439"/>
      <x:c r="B43" s="466" t="str">
        <x:f t="shared" si="0"/>
        <x:v>여비교통비</x:v>
      </x:c>
      <x:c r="C43" s="440" t="str">
        <x:f t="shared" si="1"/>
        <x:v>여비교통비</x:v>
      </x:c>
      <x:c r="D43" s="441">
        <x:v>52159900</x:v>
      </x:c>
      <x:c r="E43" s="442" t="str">
        <x:f t="shared" si="2"/>
        <x:v>여비교통비_기타</x:v>
      </x:c>
      <x:c r="F43" s="443"/>
      <x:c r="G43" s="444" t="s">
        <x:v>106</x:v>
      </x:c>
      <x:c r="H43" s="445" t="str">
        <x:f t="shared" si="9"/>
        <x:v>구매팀(E)</x:v>
      </x:c>
      <x:c r="I43" s="446" t="str">
        <x:f t="shared" si="4"/>
        <x:v>[관리비]</x:v>
      </x:c>
      <x:c r="J43" s="445"/>
      <x:c r="K43" s="453">
        <x:v>20000</x:v>
      </x:c>
      <x:c r="L43" s="454">
        <x:v>20000</x:v>
      </x:c>
      <x:c r="M43" s="454">
        <x:v>20000</x:v>
      </x:c>
      <x:c r="N43" s="454">
        <x:v>20000</x:v>
      </x:c>
      <x:c r="O43" s="454">
        <x:v>20000</x:v>
      </x:c>
      <x:c r="P43" s="454">
        <x:v>20000</x:v>
      </x:c>
      <x:c r="Q43" s="454">
        <x:v>20000</x:v>
      </x:c>
      <x:c r="R43" s="454">
        <x:v>20000</x:v>
      </x:c>
      <x:c r="S43" s="454">
        <x:v>20000</x:v>
      </x:c>
      <x:c r="T43" s="454">
        <x:v>20000</x:v>
      </x:c>
      <x:c r="U43" s="454">
        <x:v>20000</x:v>
      </x:c>
      <x:c r="V43" s="455">
        <x:v>20000</x:v>
      </x:c>
      <x:c r="W43" s="456">
        <x:f t="shared" si="10"/>
        <x:v>240000</x:v>
      </x:c>
      <x:c r="X43" s="450">
        <x:f t="shared" si="11"/>
        <x:v>20000</x:v>
      </x:c>
      <x:c r="Y43" s="457" t="s">
        <x:v>595</x:v>
      </x:c>
      <x:c r="Z43" s="458"/>
      <x:c r="AA43" s="458"/>
      <x:c r="AB43" s="458"/>
      <x:c r="AC43" s="458"/>
      <x:c r="AD43" s="458"/>
      <x:c r="AE43" s="458"/>
      <x:c r="AO43" s="438">
        <x:v>52150101</x:v>
      </x:c>
      <x:c r="AP43" s="438" t="s">
        <x:v>131</x:v>
      </x:c>
      <x:c r="AQ43" s="438" t="s">
        <x:v>35</x:v>
      </x:c>
    </x:row>
    <x:row r="44" spans="1:43" ht="20.100000000000001" customHeight="1">
      <x:c r="A44" s="439"/>
      <x:c r="B44" s="466" t="str">
        <x:f t="shared" si="0"/>
        <x:v>복리후생비</x:v>
      </x:c>
      <x:c r="C44" s="440" t="str">
        <x:f t="shared" si="1"/>
        <x:v>후생비</x:v>
      </x:c>
      <x:c r="D44" s="441">
        <x:v>52130123</x:v>
      </x:c>
      <x:c r="E44" s="442" t="str">
        <x:f t="shared" si="2"/>
        <x:v>후생비_외근식대</x:v>
      </x:c>
      <x:c r="F44" s="443"/>
      <x:c r="G44" s="444" t="s">
        <x:v>106</x:v>
      </x:c>
      <x:c r="H44" s="445" t="str">
        <x:f t="shared" si="9"/>
        <x:v>구매팀(E)</x:v>
      </x:c>
      <x:c r="I44" s="446" t="str">
        <x:f t="shared" si="4"/>
        <x:v>[관리비]</x:v>
      </x:c>
      <x:c r="J44" s="445"/>
      <x:c r="K44" s="453">
        <x:v>208000</x:v>
      </x:c>
      <x:c r="L44" s="454">
        <x:v>208000</x:v>
      </x:c>
      <x:c r="M44" s="454">
        <x:v>208000</x:v>
      </x:c>
      <x:c r="N44" s="454">
        <x:v>208000</x:v>
      </x:c>
      <x:c r="O44" s="454">
        <x:v>208000</x:v>
      </x:c>
      <x:c r="P44" s="454">
        <x:v>208000</x:v>
      </x:c>
      <x:c r="Q44" s="454">
        <x:v>208000</x:v>
      </x:c>
      <x:c r="R44" s="454">
        <x:v>208000</x:v>
      </x:c>
      <x:c r="S44" s="454">
        <x:v>208000</x:v>
      </x:c>
      <x:c r="T44" s="454">
        <x:v>208000</x:v>
      </x:c>
      <x:c r="U44" s="454">
        <x:v>208000</x:v>
      </x:c>
      <x:c r="V44" s="455">
        <x:v>208000</x:v>
      </x:c>
      <x:c r="W44" s="456">
        <x:f t="shared" si="10"/>
        <x:v>2496000</x:v>
      </x:c>
      <x:c r="X44" s="450">
        <x:f t="shared" si="11"/>
        <x:v>208000</x:v>
      </x:c>
      <x:c r="Y44" s="457" t="s">
        <x:v>602</x:v>
      </x:c>
      <x:c r="Z44" s="458"/>
      <x:c r="AA44" s="458"/>
      <x:c r="AB44" s="458"/>
      <x:c r="AC44" s="458"/>
      <x:c r="AD44" s="458"/>
      <x:c r="AE44" s="458"/>
      <x:c r="AO44" s="438">
        <x:v>52150103</x:v>
      </x:c>
      <x:c r="AP44" s="438" t="s">
        <x:v>132</x:v>
      </x:c>
      <x:c r="AQ44" s="438" t="s">
        <x:v>35</x:v>
      </x:c>
    </x:row>
    <x:row r="45" spans="1:43" ht="20.100000000000001" customHeight="1">
      <x:c r="A45" s="439"/>
      <x:c r="B45" s="466" t="str">
        <x:f t="shared" si="0"/>
        <x:v>기타비용</x:v>
      </x:c>
      <x:c r="C45" s="440" t="str">
        <x:f t="shared" si="1"/>
        <x:v>접대비</x:v>
      </x:c>
      <x:c r="D45" s="441">
        <x:v>52230103</x:v>
      </x:c>
      <x:c r="E45" s="442" t="str">
        <x:f t="shared" si="2"/>
        <x:v>접대비_법인카드</x:v>
      </x:c>
      <x:c r="F45" s="443"/>
      <x:c r="G45" s="444" t="s">
        <x:v>106</x:v>
      </x:c>
      <x:c r="H45" s="445" t="str">
        <x:f t="shared" si="9"/>
        <x:v>구매팀(E)</x:v>
      </x:c>
      <x:c r="I45" s="446" t="str">
        <x:f t="shared" si="4"/>
        <x:v>[관리비]</x:v>
      </x:c>
      <x:c r="J45" s="445"/>
      <x:c r="K45" s="453">
        <x:v>1200000</x:v>
      </x:c>
      <x:c r="L45" s="454">
        <x:v>1200000</x:v>
      </x:c>
      <x:c r="M45" s="454">
        <x:v>1200000</x:v>
      </x:c>
      <x:c r="N45" s="454">
        <x:v>1200000</x:v>
      </x:c>
      <x:c r="O45" s="454">
        <x:v>1200000</x:v>
      </x:c>
      <x:c r="P45" s="454">
        <x:v>1200000</x:v>
      </x:c>
      <x:c r="Q45" s="454">
        <x:v>1200000</x:v>
      </x:c>
      <x:c r="R45" s="454">
        <x:v>1200000</x:v>
      </x:c>
      <x:c r="S45" s="454">
        <x:v>1200000</x:v>
      </x:c>
      <x:c r="T45" s="454">
        <x:v>1200000</x:v>
      </x:c>
      <x:c r="U45" s="454">
        <x:v>1200000</x:v>
      </x:c>
      <x:c r="V45" s="455">
        <x:v>1200000</x:v>
      </x:c>
      <x:c r="W45" s="456">
        <x:f t="shared" si="10"/>
        <x:v>14400000</x:v>
      </x:c>
      <x:c r="X45" s="450">
        <x:f t="shared" si="11"/>
        <x:v>1200000</x:v>
      </x:c>
      <x:c r="Y45" s="457" t="s">
        <x:v>769</x:v>
      </x:c>
      <x:c r="Z45" s="458"/>
      <x:c r="AA45" s="458"/>
      <x:c r="AB45" s="458"/>
      <x:c r="AC45" s="458"/>
      <x:c r="AD45" s="458"/>
      <x:c r="AE45" s="458"/>
      <x:c r="AO45" s="438">
        <x:v>52150105</x:v>
      </x:c>
      <x:c r="AP45" s="438" t="s">
        <x:v>133</x:v>
      </x:c>
      <x:c r="AQ45" s="438" t="s">
        <x:v>35</x:v>
      </x:c>
    </x:row>
    <x:row r="46" spans="1:43" ht="20.100000000000001" customHeight="1">
      <x:c r="A46" s="439"/>
      <x:c r="B46" s="466" t="str">
        <x:f t="shared" si="0"/>
        <x:v>지급수수료</x:v>
      </x:c>
      <x:c r="C46" s="440" t="str">
        <x:f t="shared" si="1"/>
        <x:v>지급수수료</x:v>
      </x:c>
      <x:c r="D46" s="441">
        <x:v>52319900</x:v>
      </x:c>
      <x:c r="E46" s="442" t="str">
        <x:f t="shared" si="2"/>
        <x:v>지급수수료_기타</x:v>
      </x:c>
      <x:c r="F46" s="443"/>
      <x:c r="G46" s="444" t="s">
        <x:v>106</x:v>
      </x:c>
      <x:c r="H46" s="445" t="str">
        <x:f t="shared" si="9"/>
        <x:v>구매팀(E)</x:v>
      </x:c>
      <x:c r="I46" s="446" t="str">
        <x:f t="shared" si="4"/>
        <x:v>[관리비]</x:v>
      </x:c>
      <x:c r="J46" s="445"/>
      <x:c r="K46" s="453">
        <x:v>650000</x:v>
      </x:c>
      <x:c r="L46" s="454">
        <x:v>650000</x:v>
      </x:c>
      <x:c r="M46" s="454">
        <x:v>650000</x:v>
      </x:c>
      <x:c r="N46" s="454">
        <x:v>650000</x:v>
      </x:c>
      <x:c r="O46" s="454">
        <x:v>650000</x:v>
      </x:c>
      <x:c r="P46" s="454">
        <x:v>650000</x:v>
      </x:c>
      <x:c r="Q46" s="454">
        <x:v>650000</x:v>
      </x:c>
      <x:c r="R46" s="454">
        <x:v>650000</x:v>
      </x:c>
      <x:c r="S46" s="454">
        <x:v>650000</x:v>
      </x:c>
      <x:c r="T46" s="454">
        <x:v>650000</x:v>
      </x:c>
      <x:c r="U46" s="454">
        <x:v>650000</x:v>
      </x:c>
      <x:c r="V46" s="455">
        <x:v>650000</x:v>
      </x:c>
      <x:c r="W46" s="456">
        <x:f t="shared" si="10"/>
        <x:v>7800000</x:v>
      </x:c>
      <x:c r="X46" s="450">
        <x:f t="shared" si="11"/>
        <x:v>650000</x:v>
      </x:c>
      <x:c r="Y46" s="457" t="s">
        <x:v>681</x:v>
      </x:c>
      <x:c r="Z46" s="458"/>
      <x:c r="AA46" s="458"/>
      <x:c r="AB46" s="458"/>
      <x:c r="AC46" s="458"/>
      <x:c r="AD46" s="458"/>
      <x:c r="AE46" s="458"/>
      <x:c r="AO46" s="438">
        <x:v>52150109</x:v>
      </x:c>
      <x:c r="AP46" s="438" t="s">
        <x:v>134</x:v>
      </x:c>
      <x:c r="AQ46" s="438" t="s">
        <x:v>35</x:v>
      </x:c>
    </x:row>
    <x:row r="47" spans="1:43" ht="20.100000000000001" customHeight="1">
      <x:c r="A47" s="439"/>
      <x:c r="B47" s="466" t="str">
        <x:f t="shared" si="0"/>
        <x:v>지급수수료</x:v>
      </x:c>
      <x:c r="C47" s="440" t="str">
        <x:f t="shared" si="1"/>
        <x:v>지급수수료</x:v>
      </x:c>
      <x:c r="D47" s="441">
        <x:v>52310128</x:v>
      </x:c>
      <x:c r="E47" s="442" t="str">
        <x:f t="shared" si="2"/>
        <x:v>지급수수료-통관수수료</x:v>
      </x:c>
      <x:c r="F47" s="443"/>
      <x:c r="G47" s="444" t="s">
        <x:v>106</x:v>
      </x:c>
      <x:c r="H47" s="445" t="str">
        <x:f t="shared" si="9"/>
        <x:v>구매팀(E)</x:v>
      </x:c>
      <x:c r="I47" s="446" t="str">
        <x:f t="shared" si="4"/>
        <x:v>[관리비]</x:v>
      </x:c>
      <x:c r="J47" s="445"/>
      <x:c r="K47" s="453">
        <x:v>177000</x:v>
      </x:c>
      <x:c r="L47" s="454">
        <x:v>177000</x:v>
      </x:c>
      <x:c r="M47" s="454">
        <x:v>177000</x:v>
      </x:c>
      <x:c r="N47" s="454">
        <x:v>177000</x:v>
      </x:c>
      <x:c r="O47" s="454">
        <x:v>177000</x:v>
      </x:c>
      <x:c r="P47" s="454">
        <x:v>177000</x:v>
      </x:c>
      <x:c r="Q47" s="454">
        <x:v>177000</x:v>
      </x:c>
      <x:c r="R47" s="454">
        <x:v>177000</x:v>
      </x:c>
      <x:c r="S47" s="454">
        <x:v>177000</x:v>
      </x:c>
      <x:c r="T47" s="454">
        <x:v>177000</x:v>
      </x:c>
      <x:c r="U47" s="454">
        <x:v>177000</x:v>
      </x:c>
      <x:c r="V47" s="455">
        <x:v>177000</x:v>
      </x:c>
      <x:c r="W47" s="456">
        <x:f t="shared" si="10"/>
        <x:v>2124000</x:v>
      </x:c>
      <x:c r="X47" s="450">
        <x:f t="shared" si="11"/>
        <x:v>177000</x:v>
      </x:c>
      <x:c r="Y47" s="457" t="s">
        <x:v>682</x:v>
      </x:c>
      <x:c r="Z47" s="458"/>
      <x:c r="AA47" s="458"/>
      <x:c r="AB47" s="458"/>
      <x:c r="AC47" s="458"/>
      <x:c r="AD47" s="458"/>
      <x:c r="AE47" s="458"/>
      <x:c r="AO47" s="438">
        <x:v>52159900</x:v>
      </x:c>
      <x:c r="AP47" s="438" t="s">
        <x:v>135</x:v>
      </x:c>
      <x:c r="AQ47" s="438" t="s">
        <x:v>35</x:v>
      </x:c>
    </x:row>
    <x:row r="48" spans="1:43" ht="20.100000000000001" customHeight="1">
      <x:c r="A48" s="439"/>
      <x:c r="B48" s="466" t="str">
        <x:f t="shared" si="0"/>
        <x:v>기타비용</x:v>
      </x:c>
      <x:c r="C48" s="440" t="str">
        <x:f t="shared" si="1"/>
        <x:v>도서인쇄비</x:v>
      </x:c>
      <x:c r="D48" s="441">
        <x:v>52320102</x:v>
      </x:c>
      <x:c r="E48" s="442" t="str">
        <x:f t="shared" si="2"/>
        <x:v>도서인쇄비_도서구입</x:v>
      </x:c>
      <x:c r="F48" s="443"/>
      <x:c r="G48" s="444" t="s">
        <x:v>106</x:v>
      </x:c>
      <x:c r="H48" s="445" t="str">
        <x:f t="shared" si="9"/>
        <x:v>구매팀(E)</x:v>
      </x:c>
      <x:c r="I48" s="446" t="str">
        <x:f t="shared" si="4"/>
        <x:v>[관리비]</x:v>
      </x:c>
      <x:c r="J48" s="445"/>
      <x:c r="K48" s="453">
        <x:v>40000</x:v>
      </x:c>
      <x:c r="L48" s="454">
        <x:v>40000</x:v>
      </x:c>
      <x:c r="M48" s="454">
        <x:v>40000</x:v>
      </x:c>
      <x:c r="N48" s="454">
        <x:v>40000</x:v>
      </x:c>
      <x:c r="O48" s="454">
        <x:v>40000</x:v>
      </x:c>
      <x:c r="P48" s="454">
        <x:v>40000</x:v>
      </x:c>
      <x:c r="Q48" s="454">
        <x:v>40000</x:v>
      </x:c>
      <x:c r="R48" s="454">
        <x:v>40000</x:v>
      </x:c>
      <x:c r="S48" s="454">
        <x:v>40000</x:v>
      </x:c>
      <x:c r="T48" s="454">
        <x:v>40000</x:v>
      </x:c>
      <x:c r="U48" s="454">
        <x:v>40000</x:v>
      </x:c>
      <x:c r="V48" s="455">
        <x:v>40000</x:v>
      </x:c>
      <x:c r="W48" s="456">
        <x:f t="shared" si="10"/>
        <x:v>480000</x:v>
      </x:c>
      <x:c r="X48" s="450">
        <x:f t="shared" si="11"/>
        <x:v>40000</x:v>
      </x:c>
      <x:c r="Y48" s="457" t="s">
        <x:v>603</x:v>
      </x:c>
      <x:c r="Z48" s="458"/>
      <x:c r="AA48" s="458"/>
      <x:c r="AB48" s="458"/>
      <x:c r="AC48" s="458"/>
      <x:c r="AD48" s="458"/>
      <x:c r="AE48" s="458"/>
      <x:c r="AO48" s="438">
        <x:v>52160101</x:v>
      </x:c>
      <x:c r="AP48" s="438" t="s">
        <x:v>136</x:v>
      </x:c>
      <x:c r="AQ48" s="438" t="s">
        <x:v>453</x:v>
      </x:c>
    </x:row>
    <x:row r="49" spans="1:43" ht="20.100000000000001" customHeight="1">
      <x:c r="A49" s="439"/>
      <x:c r="B49" s="466" t="str">
        <x:f t="shared" si="0"/>
        <x:v>기타비용</x:v>
      </x:c>
      <x:c r="C49" s="440" t="str">
        <x:f t="shared" si="1"/>
        <x:v>차량유지비</x:v>
      </x:c>
      <x:c r="D49" s="441">
        <x:v>52359900</x:v>
      </x:c>
      <x:c r="E49" s="442" t="str">
        <x:f t="shared" si="2"/>
        <x:v>차량유지비_기타</x:v>
      </x:c>
      <x:c r="F49" s="443"/>
      <x:c r="G49" s="444" t="s">
        <x:v>106</x:v>
      </x:c>
      <x:c r="H49" s="445" t="str">
        <x:f t="shared" si="9"/>
        <x:v>구매팀(E)</x:v>
      </x:c>
      <x:c r="I49" s="446" t="str">
        <x:f t="shared" si="4"/>
        <x:v>[관리비]</x:v>
      </x:c>
      <x:c r="J49" s="445"/>
      <x:c r="K49" s="453">
        <x:v>30000</x:v>
      </x:c>
      <x:c r="L49" s="454">
        <x:v>30000</x:v>
      </x:c>
      <x:c r="M49" s="454">
        <x:v>30000</x:v>
      </x:c>
      <x:c r="N49" s="454">
        <x:v>30000</x:v>
      </x:c>
      <x:c r="O49" s="454">
        <x:v>30000</x:v>
      </x:c>
      <x:c r="P49" s="454">
        <x:v>30000</x:v>
      </x:c>
      <x:c r="Q49" s="454">
        <x:v>30000</x:v>
      </x:c>
      <x:c r="R49" s="454">
        <x:v>30000</x:v>
      </x:c>
      <x:c r="S49" s="454">
        <x:v>30000</x:v>
      </x:c>
      <x:c r="T49" s="454">
        <x:v>30000</x:v>
      </x:c>
      <x:c r="U49" s="454">
        <x:v>30000</x:v>
      </x:c>
      <x:c r="V49" s="455">
        <x:v>30000</x:v>
      </x:c>
      <x:c r="W49" s="456">
        <x:f t="shared" ref="W49:W60" si="12">IFERROR(SUM(K49:V49),"")</x:f>
        <x:v>360000</x:v>
      </x:c>
      <x:c r="X49" s="450">
        <x:f t="shared" ref="X49:X60" si="13">IFERROR($W49/$Y$1,"")</x:f>
        <x:v>30000</x:v>
      </x:c>
      <x:c r="Y49" s="457" t="s">
        <x:v>683</x:v>
      </x:c>
      <x:c r="Z49" s="458"/>
      <x:c r="AA49" s="458"/>
      <x:c r="AB49" s="458"/>
      <x:c r="AC49" s="458"/>
      <x:c r="AD49" s="458"/>
      <x:c r="AE49" s="458"/>
      <x:c r="AO49" s="438">
        <x:v>52160103</x:v>
      </x:c>
      <x:c r="AP49" s="438" t="s">
        <x:v>137</x:v>
      </x:c>
      <x:c r="AQ49" s="438" t="s">
        <x:v>453</x:v>
      </x:c>
    </x:row>
    <x:row r="50" spans="1:43" ht="20.100000000000001" customHeight="1">
      <x:c r="A50" s="439"/>
      <x:c r="B50" s="466" t="str">
        <x:f t="shared" si="0"/>
        <x:v>개발비</x:v>
      </x:c>
      <x:c r="C50" s="440" t="str">
        <x:f t="shared" si="1"/>
        <x:v>경상연구비</x:v>
      </x:c>
      <x:c r="D50" s="441">
        <x:v>52280317</x:v>
      </x:c>
      <x:c r="E50" s="442" t="str">
        <x:f t="shared" si="2"/>
        <x:v>경상연구비_연구개발소모품비</x:v>
      </x:c>
      <x:c r="F50" s="443"/>
      <x:c r="G50" s="444" t="s">
        <x:v>106</x:v>
      </x:c>
      <x:c r="H50" s="445" t="str">
        <x:f t="shared" si="9"/>
        <x:v>구매팀(E)</x:v>
      </x:c>
      <x:c r="I50" s="446" t="str">
        <x:f t="shared" si="4"/>
        <x:v>[관리비]</x:v>
      </x:c>
      <x:c r="J50" s="445"/>
      <x:c r="K50" s="453">
        <x:v>60000000</x:v>
      </x:c>
      <x:c r="L50" s="454">
        <x:v>60000000</x:v>
      </x:c>
      <x:c r="M50" s="454">
        <x:v>6000000</x:v>
      </x:c>
      <x:c r="N50" s="454">
        <x:v>20000000</x:v>
      </x:c>
      <x:c r="O50" s="454">
        <x:v>20000000</x:v>
      </x:c>
      <x:c r="P50" s="454">
        <x:v>20000000</x:v>
      </x:c>
      <x:c r="Q50" s="454">
        <x:v>20000000</x:v>
      </x:c>
      <x:c r="R50" s="454">
        <x:v>20000000</x:v>
      </x:c>
      <x:c r="S50" s="454">
        <x:v>20000000</x:v>
      </x:c>
      <x:c r="T50" s="454">
        <x:v>20000000</x:v>
      </x:c>
      <x:c r="U50" s="454">
        <x:v>20000000</x:v>
      </x:c>
      <x:c r="V50" s="455">
        <x:v>20000000</x:v>
      </x:c>
      <x:c r="W50" s="456">
        <x:f t="shared" si="12"/>
        <x:v>306000000</x:v>
      </x:c>
      <x:c r="X50" s="450">
        <x:f t="shared" si="13"/>
        <x:v>25500000</x:v>
      </x:c>
      <x:c r="Y50" s="457" t="s">
        <x:v>770</x:v>
      </x:c>
      <x:c r="Z50" s="458"/>
      <x:c r="AA50" s="458"/>
      <x:c r="AB50" s="458"/>
      <x:c r="AC50" s="458"/>
      <x:c r="AD50" s="458"/>
      <x:c r="AE50" s="458"/>
      <x:c r="AO50" s="438">
        <x:v>52169900</x:v>
      </x:c>
      <x:c r="AP50" s="438" t="s">
        <x:v>138</x:v>
      </x:c>
      <x:c r="AQ50" s="438" t="s">
        <x:v>453</x:v>
      </x:c>
    </x:row>
    <x:row r="51" spans="1:43" ht="20.100000000000001" customHeight="1">
      <x:c r="A51" s="439"/>
      <x:c r="B51" s="466" t="str">
        <x:f t="shared" si="0"/>
        <x:v>유지비용</x:v>
      </x:c>
      <x:c r="C51" s="440" t="str">
        <x:f t="shared" si="1"/>
        <x:v>소모품비</x:v>
      </x:c>
      <x:c r="D51" s="441">
        <x:v>52339900</x:v>
      </x:c>
      <x:c r="E51" s="442" t="str">
        <x:f t="shared" si="2"/>
        <x:v>소모품비_기타</x:v>
      </x:c>
      <x:c r="F51" s="443"/>
      <x:c r="G51" s="444" t="s">
        <x:v>106</x:v>
      </x:c>
      <x:c r="H51" s="445" t="str">
        <x:f t="shared" si="9"/>
        <x:v>구매팀(E)</x:v>
      </x:c>
      <x:c r="I51" s="446" t="str">
        <x:f t="shared" si="4"/>
        <x:v>[관리비]</x:v>
      </x:c>
      <x:c r="J51" s="445"/>
      <x:c r="K51" s="453">
        <x:v>10000000</x:v>
      </x:c>
      <x:c r="L51" s="454">
        <x:v>10000000</x:v>
      </x:c>
      <x:c r="M51" s="454">
        <x:v>10000000</x:v>
      </x:c>
      <x:c r="N51" s="454">
        <x:v>10000000</x:v>
      </x:c>
      <x:c r="O51" s="454">
        <x:v>10000000</x:v>
      </x:c>
      <x:c r="P51" s="454">
        <x:v>10000000</x:v>
      </x:c>
      <x:c r="Q51" s="454">
        <x:v>10000000</x:v>
      </x:c>
      <x:c r="R51" s="454">
        <x:v>10000000</x:v>
      </x:c>
      <x:c r="S51" s="454">
        <x:v>10000000</x:v>
      </x:c>
      <x:c r="T51" s="454">
        <x:v>10000000</x:v>
      </x:c>
      <x:c r="U51" s="454">
        <x:v>10000000</x:v>
      </x:c>
      <x:c r="V51" s="455">
        <x:v>10000000</x:v>
      </x:c>
      <x:c r="W51" s="456">
        <x:f t="shared" si="12"/>
        <x:v>120000000</x:v>
      </x:c>
      <x:c r="X51" s="450">
        <x:f t="shared" si="13"/>
        <x:v>10000000</x:v>
      </x:c>
      <x:c r="Y51" s="457" t="s">
        <x:v>604</x:v>
      </x:c>
      <x:c r="Z51" s="458"/>
      <x:c r="AA51" s="458"/>
      <x:c r="AB51" s="458"/>
      <x:c r="AC51" s="458"/>
      <x:c r="AD51" s="458"/>
      <x:c r="AE51" s="458"/>
      <x:c r="AO51" s="438">
        <x:v>52170102</x:v>
      </x:c>
      <x:c r="AP51" s="438" t="s">
        <x:v>139</x:v>
      </x:c>
      <x:c r="AQ51" s="438" t="s">
        <x:v>452</x:v>
      </x:c>
    </x:row>
    <x:row r="52" spans="1:43" ht="20.100000000000001" customHeight="1">
      <x:c r="A52" s="439"/>
      <x:c r="B52" s="466" t="str">
        <x:f t="shared" si="0"/>
        <x:v>유지비용</x:v>
      </x:c>
      <x:c r="C52" s="440" t="str">
        <x:f t="shared" si="1"/>
        <x:v>소모품비</x:v>
      </x:c>
      <x:c r="D52" s="441">
        <x:v>52330112</x:v>
      </x:c>
      <x:c r="E52" s="442" t="str">
        <x:f t="shared" si="2"/>
        <x:v>소모품비-금형수선</x:v>
      </x:c>
      <x:c r="F52" s="443"/>
      <x:c r="G52" s="444" t="s">
        <x:v>106</x:v>
      </x:c>
      <x:c r="H52" s="445" t="str">
        <x:f t="shared" si="9"/>
        <x:v>구매팀(E)</x:v>
      </x:c>
      <x:c r="I52" s="446" t="str">
        <x:f t="shared" si="4"/>
        <x:v>[관리비]</x:v>
      </x:c>
      <x:c r="J52" s="445"/>
      <x:c r="K52" s="453">
        <x:v>0</x:v>
      </x:c>
      <x:c r="L52" s="454">
        <x:v>0</x:v>
      </x:c>
      <x:c r="M52" s="454">
        <x:v>35000000</x:v>
      </x:c>
      <x:c r="N52" s="454">
        <x:v>0</x:v>
      </x:c>
      <x:c r="O52" s="454">
        <x:v>0</x:v>
      </x:c>
      <x:c r="P52" s="454">
        <x:v>35000000</x:v>
      </x:c>
      <x:c r="Q52" s="454">
        <x:v>0</x:v>
      </x:c>
      <x:c r="R52" s="454">
        <x:v>0</x:v>
      </x:c>
      <x:c r="S52" s="454">
        <x:v>35000000</x:v>
      </x:c>
      <x:c r="T52" s="454">
        <x:v>0</x:v>
      </x:c>
      <x:c r="U52" s="454">
        <x:v>0</x:v>
      </x:c>
      <x:c r="V52" s="455">
        <x:v>35000000</x:v>
      </x:c>
      <x:c r="W52" s="456">
        <x:f t="shared" si="12"/>
        <x:v>140000000</x:v>
      </x:c>
      <x:c r="X52" s="450">
        <x:f t="shared" si="13"/>
        <x:v>11666666.666666666</x:v>
      </x:c>
      <x:c r="Y52" s="457" t="s">
        <x:v>605</x:v>
      </x:c>
      <x:c r="Z52" s="458"/>
      <x:c r="AA52" s="458"/>
      <x:c r="AB52" s="458"/>
      <x:c r="AC52" s="458"/>
      <x:c r="AD52" s="458"/>
      <x:c r="AE52" s="458"/>
      <x:c r="AO52" s="438">
        <x:v>52170103</x:v>
      </x:c>
      <x:c r="AP52" s="438" t="s">
        <x:v>534</x:v>
      </x:c>
      <x:c r="AQ52" s="438" t="s">
        <x:v>452</x:v>
      </x:c>
    </x:row>
    <x:row r="53" spans="1:43" ht="20.100000000000001" customHeight="1">
      <x:c r="A53" s="439"/>
      <x:c r="B53" s="466" t="str">
        <x:f t="shared" si="0"/>
        <x:v>운반비</x:v>
      </x:c>
      <x:c r="C53" s="440" t="str">
        <x:f t="shared" si="1"/>
        <x:v>운반비</x:v>
      </x:c>
      <x:c r="D53" s="441">
        <x:v>52250101</x:v>
      </x:c>
      <x:c r="E53" s="442" t="str">
        <x:f t="shared" si="2"/>
        <x:v>운반비_국내일반</x:v>
      </x:c>
      <x:c r="F53" s="443"/>
      <x:c r="G53" s="444" t="s">
        <x:v>106</x:v>
      </x:c>
      <x:c r="H53" s="445" t="str">
        <x:f t="shared" si="9"/>
        <x:v>구매팀(E)</x:v>
      </x:c>
      <x:c r="I53" s="446" t="str">
        <x:f t="shared" si="4"/>
        <x:v>[관리비]</x:v>
      </x:c>
      <x:c r="J53" s="445"/>
      <x:c r="K53" s="453">
        <x:v>66000</x:v>
      </x:c>
      <x:c r="L53" s="454">
        <x:v>66000</x:v>
      </x:c>
      <x:c r="M53" s="454">
        <x:v>66000</x:v>
      </x:c>
      <x:c r="N53" s="454">
        <x:v>66000</x:v>
      </x:c>
      <x:c r="O53" s="454">
        <x:v>66000</x:v>
      </x:c>
      <x:c r="P53" s="454">
        <x:v>66000</x:v>
      </x:c>
      <x:c r="Q53" s="454">
        <x:v>66000</x:v>
      </x:c>
      <x:c r="R53" s="454">
        <x:v>66000</x:v>
      </x:c>
      <x:c r="S53" s="454">
        <x:v>66000</x:v>
      </x:c>
      <x:c r="T53" s="454">
        <x:v>66000</x:v>
      </x:c>
      <x:c r="U53" s="454">
        <x:v>66000</x:v>
      </x:c>
      <x:c r="V53" s="455">
        <x:v>66000</x:v>
      </x:c>
      <x:c r="W53" s="456">
        <x:f t="shared" si="12"/>
        <x:v>792000</x:v>
      </x:c>
      <x:c r="X53" s="450">
        <x:f t="shared" si="13"/>
        <x:v>66000</x:v>
      </x:c>
      <x:c r="Y53" s="457" t="s">
        <x:v>599</x:v>
      </x:c>
      <x:c r="Z53" s="458"/>
      <x:c r="AA53" s="458"/>
      <x:c r="AB53" s="458"/>
      <x:c r="AC53" s="458"/>
      <x:c r="AD53" s="458"/>
      <x:c r="AE53" s="458"/>
      <x:c r="AO53" s="438">
        <x:v>52170107</x:v>
      </x:c>
      <x:c r="AP53" s="438" t="s">
        <x:v>535</x:v>
      </x:c>
      <x:c r="AQ53" s="438" t="s">
        <x:v>452</x:v>
      </x:c>
    </x:row>
    <x:row r="54" spans="1:43" ht="20.100000000000001" customHeight="1">
      <x:c r="A54" s="439"/>
      <x:c r="B54" s="466" t="str">
        <x:f t="shared" si="0"/>
        <x:v>운반비</x:v>
      </x:c>
      <x:c r="C54" s="440" t="str">
        <x:f t="shared" si="1"/>
        <x:v>운반비</x:v>
      </x:c>
      <x:c r="D54" s="441">
        <x:v>52250105</x:v>
      </x:c>
      <x:c r="E54" s="442" t="str">
        <x:f t="shared" si="2"/>
        <x:v>운반비_택배</x:v>
      </x:c>
      <x:c r="F54" s="443"/>
      <x:c r="G54" s="444" t="s">
        <x:v>106</x:v>
      </x:c>
      <x:c r="H54" s="445" t="str">
        <x:f t="shared" si="9"/>
        <x:v>구매팀(E)</x:v>
      </x:c>
      <x:c r="I54" s="446" t="str">
        <x:f t="shared" si="4"/>
        <x:v>[관리비]</x:v>
      </x:c>
      <x:c r="J54" s="445"/>
      <x:c r="K54" s="453">
        <x:v>9000</x:v>
      </x:c>
      <x:c r="L54" s="454">
        <x:v>9000</x:v>
      </x:c>
      <x:c r="M54" s="454">
        <x:v>9000</x:v>
      </x:c>
      <x:c r="N54" s="454">
        <x:v>9000</x:v>
      </x:c>
      <x:c r="O54" s="454">
        <x:v>9000</x:v>
      </x:c>
      <x:c r="P54" s="454">
        <x:v>9000</x:v>
      </x:c>
      <x:c r="Q54" s="454">
        <x:v>9000</x:v>
      </x:c>
      <x:c r="R54" s="454">
        <x:v>9000</x:v>
      </x:c>
      <x:c r="S54" s="454">
        <x:v>9000</x:v>
      </x:c>
      <x:c r="T54" s="454">
        <x:v>9000</x:v>
      </x:c>
      <x:c r="U54" s="454">
        <x:v>9000</x:v>
      </x:c>
      <x:c r="V54" s="455">
        <x:v>9000</x:v>
      </x:c>
      <x:c r="W54" s="456">
        <x:f t="shared" si="12"/>
        <x:v>108000</x:v>
      </x:c>
      <x:c r="X54" s="450">
        <x:f t="shared" si="13"/>
        <x:v>9000</x:v>
      </x:c>
      <x:c r="Y54" s="457" t="s">
        <x:v>606</x:v>
      </x:c>
      <x:c r="Z54" s="458"/>
      <x:c r="AA54" s="458"/>
      <x:c r="AB54" s="458"/>
      <x:c r="AC54" s="458"/>
      <x:c r="AD54" s="458"/>
      <x:c r="AE54" s="458"/>
      <x:c r="AO54" s="438">
        <x:v>52179900</x:v>
      </x:c>
      <x:c r="AP54" s="438" t="s">
        <x:v>73</x:v>
      </x:c>
      <x:c r="AQ54" s="438" t="s">
        <x:v>452</x:v>
      </x:c>
    </x:row>
    <x:row r="55" spans="1:43" ht="20.100000000000001" customHeight="1">
      <x:c r="A55" s="439"/>
      <x:c r="B55" s="466" t="str">
        <x:f t="shared" si="0"/>
        <x:v>운반비</x:v>
      </x:c>
      <x:c r="C55" s="440" t="str">
        <x:f t="shared" si="1"/>
        <x:v>운반비</x:v>
      </x:c>
      <x:c r="D55" s="441">
        <x:v>52250104</x:v>
      </x:c>
      <x:c r="E55" s="442" t="str">
        <x:f t="shared" si="2"/>
        <x:v>운반비_특송</x:v>
      </x:c>
      <x:c r="F55" s="443"/>
      <x:c r="G55" s="444" t="s">
        <x:v>106</x:v>
      </x:c>
      <x:c r="H55" s="445" t="str">
        <x:f t="shared" si="9"/>
        <x:v>구매팀(E)</x:v>
      </x:c>
      <x:c r="I55" s="446" t="str">
        <x:f t="shared" si="4"/>
        <x:v>[관리비]</x:v>
      </x:c>
      <x:c r="J55" s="445"/>
      <x:c r="K55" s="453">
        <x:v>250000</x:v>
      </x:c>
      <x:c r="L55" s="454">
        <x:v>250000</x:v>
      </x:c>
      <x:c r="M55" s="454">
        <x:v>250000</x:v>
      </x:c>
      <x:c r="N55" s="454">
        <x:v>250000</x:v>
      </x:c>
      <x:c r="O55" s="454">
        <x:v>250000</x:v>
      </x:c>
      <x:c r="P55" s="454">
        <x:v>250000</x:v>
      </x:c>
      <x:c r="Q55" s="454">
        <x:v>250000</x:v>
      </x:c>
      <x:c r="R55" s="454">
        <x:v>250000</x:v>
      </x:c>
      <x:c r="S55" s="454">
        <x:v>250000</x:v>
      </x:c>
      <x:c r="T55" s="454">
        <x:v>250000</x:v>
      </x:c>
      <x:c r="U55" s="454">
        <x:v>250000</x:v>
      </x:c>
      <x:c r="V55" s="455">
        <x:v>250000</x:v>
      </x:c>
      <x:c r="W55" s="456">
        <x:f t="shared" si="12"/>
        <x:v>3000000</x:v>
      </x:c>
      <x:c r="X55" s="450">
        <x:f t="shared" si="13"/>
        <x:v>250000</x:v>
      </x:c>
      <x:c r="Y55" s="457" t="s">
        <x:v>684</x:v>
      </x:c>
      <x:c r="Z55" s="458"/>
      <x:c r="AA55" s="458"/>
      <x:c r="AB55" s="458"/>
      <x:c r="AC55" s="458"/>
      <x:c r="AD55" s="458"/>
      <x:c r="AE55" s="458"/>
      <x:c r="AO55" s="438">
        <x:v>52180103</x:v>
      </x:c>
      <x:c r="AP55" s="438" t="s">
        <x:v>536</x:v>
      </x:c>
      <x:c r="AQ55" s="438" t="s">
        <x:v>441</x:v>
      </x:c>
    </x:row>
    <x:row r="56" spans="1:43" ht="20.100000000000001" customHeight="1">
      <x:c r="A56" s="439"/>
      <x:c r="B56" s="466" t="str">
        <x:f t="shared" si="0"/>
        <x:v>운반비</x:v>
      </x:c>
      <x:c r="C56" s="440" t="str">
        <x:f t="shared" si="1"/>
        <x:v>운반비</x:v>
      </x:c>
      <x:c r="D56" s="441">
        <x:v>52250103</x:v>
      </x:c>
      <x:c r="E56" s="442" t="str">
        <x:f t="shared" si="2"/>
        <x:v>운반비_항공</x:v>
      </x:c>
      <x:c r="F56" s="443"/>
      <x:c r="G56" s="444" t="s">
        <x:v>106</x:v>
      </x:c>
      <x:c r="H56" s="445" t="str">
        <x:f t="shared" si="9"/>
        <x:v>구매팀(E)</x:v>
      </x:c>
      <x:c r="I56" s="446" t="str">
        <x:f t="shared" si="4"/>
        <x:v>[관리비]</x:v>
      </x:c>
      <x:c r="J56" s="445"/>
      <x:c r="K56" s="453">
        <x:v>250000</x:v>
      </x:c>
      <x:c r="L56" s="454">
        <x:v>250000</x:v>
      </x:c>
      <x:c r="M56" s="454">
        <x:v>250000</x:v>
      </x:c>
      <x:c r="N56" s="454">
        <x:v>250000</x:v>
      </x:c>
      <x:c r="O56" s="454">
        <x:v>250000</x:v>
      </x:c>
      <x:c r="P56" s="454">
        <x:v>250000</x:v>
      </x:c>
      <x:c r="Q56" s="454">
        <x:v>250000</x:v>
      </x:c>
      <x:c r="R56" s="454">
        <x:v>250000</x:v>
      </x:c>
      <x:c r="S56" s="454">
        <x:v>250000</x:v>
      </x:c>
      <x:c r="T56" s="454">
        <x:v>250000</x:v>
      </x:c>
      <x:c r="U56" s="454">
        <x:v>250000</x:v>
      </x:c>
      <x:c r="V56" s="455">
        <x:v>250000</x:v>
      </x:c>
      <x:c r="W56" s="456">
        <x:f t="shared" si="12"/>
        <x:v>3000000</x:v>
      </x:c>
      <x:c r="X56" s="450">
        <x:f t="shared" si="13"/>
        <x:v>250000</x:v>
      </x:c>
      <x:c r="Y56" s="457" t="s">
        <x:v>685</x:v>
      </x:c>
      <x:c r="Z56" s="458"/>
      <x:c r="AA56" s="458"/>
      <x:c r="AB56" s="458"/>
      <x:c r="AC56" s="458"/>
      <x:c r="AD56" s="458"/>
      <x:c r="AE56" s="458"/>
      <x:c r="AO56" s="438">
        <x:v>52180111</x:v>
      </x:c>
      <x:c r="AP56" s="438" t="s">
        <x:v>537</x:v>
      </x:c>
      <x:c r="AQ56" s="438" t="s">
        <x:v>441</x:v>
      </x:c>
    </x:row>
    <x:row r="57" spans="1:43" ht="20.100000000000001" customHeight="1">
      <x:c r="A57" s="439"/>
      <x:c r="B57" s="466" t="str">
        <x:f t="shared" si="0"/>
        <x:v>복리후생비</x:v>
      </x:c>
      <x:c r="C57" s="440" t="str">
        <x:f t="shared" si="1"/>
        <x:v>후생비</x:v>
      </x:c>
      <x:c r="D57" s="441">
        <x:v>52130123</x:v>
      </x:c>
      <x:c r="E57" s="442" t="str">
        <x:f t="shared" si="2"/>
        <x:v>후생비_외근식대</x:v>
      </x:c>
      <x:c r="F57" s="443"/>
      <x:c r="G57" s="444" t="s">
        <x:v>84</x:v>
      </x:c>
      <x:c r="H57" s="445" t="str">
        <x:f t="shared" si="9"/>
        <x:v>품질경영팀(E)</x:v>
      </x:c>
      <x:c r="I57" s="446" t="str">
        <x:f t="shared" si="4"/>
        <x:v>[관리비]</x:v>
      </x:c>
      <x:c r="J57" s="445"/>
      <x:c r="K57" s="453">
        <x:v>130000</x:v>
      </x:c>
      <x:c r="L57" s="454">
        <x:v>130000</x:v>
      </x:c>
      <x:c r="M57" s="454">
        <x:v>130000</x:v>
      </x:c>
      <x:c r="N57" s="454">
        <x:v>130000</x:v>
      </x:c>
      <x:c r="O57" s="454">
        <x:v>130000</x:v>
      </x:c>
      <x:c r="P57" s="454">
        <x:v>130000</x:v>
      </x:c>
      <x:c r="Q57" s="454">
        <x:v>130000</x:v>
      </x:c>
      <x:c r="R57" s="454">
        <x:v>130000</x:v>
      </x:c>
      <x:c r="S57" s="454">
        <x:v>130000</x:v>
      </x:c>
      <x:c r="T57" s="454">
        <x:v>65000</x:v>
      </x:c>
      <x:c r="U57" s="454">
        <x:v>65000</x:v>
      </x:c>
      <x:c r="V57" s="455">
        <x:v>65000</x:v>
      </x:c>
      <x:c r="W57" s="456">
        <x:f t="shared" si="12"/>
        <x:v>1365000</x:v>
      </x:c>
      <x:c r="X57" s="450">
        <x:f t="shared" si="13"/>
        <x:v>113750</x:v>
      </x:c>
      <x:c r="Y57" s="457" t="s">
        <x:v>771</x:v>
      </x:c>
      <x:c r="Z57" s="458"/>
      <x:c r="AA57" s="458"/>
      <x:c r="AB57" s="458"/>
      <x:c r="AC57" s="458"/>
      <x:c r="AD57" s="458"/>
      <x:c r="AE57" s="458"/>
      <x:c r="AO57" s="438">
        <x:v>52180113</x:v>
      </x:c>
      <x:c r="AP57" s="438" t="s">
        <x:v>140</x:v>
      </x:c>
      <x:c r="AQ57" s="438" t="s">
        <x:v>441</x:v>
      </x:c>
    </x:row>
    <x:row r="58" spans="1:43" ht="20.100000000000001" customHeight="1">
      <x:c r="A58" s="439"/>
      <x:c r="B58" s="466" t="str">
        <x:f t="shared" si="0"/>
        <x:v>여비교통비</x:v>
      </x:c>
      <x:c r="C58" s="440" t="str">
        <x:f t="shared" si="1"/>
        <x:v>여비교통비</x:v>
      </x:c>
      <x:c r="D58" s="441">
        <x:v>52150103</x:v>
      </x:c>
      <x:c r="E58" s="442" t="str">
        <x:f t="shared" si="2"/>
        <x:v>여비교통비_해외출장</x:v>
      </x:c>
      <x:c r="F58" s="443"/>
      <x:c r="G58" s="444" t="s">
        <x:v>84</x:v>
      </x:c>
      <x:c r="H58" s="445" t="str">
        <x:f t="shared" si="9"/>
        <x:v>품질경영팀(E)</x:v>
      </x:c>
      <x:c r="I58" s="446" t="str">
        <x:f t="shared" si="4"/>
        <x:v>[관리비]</x:v>
      </x:c>
      <x:c r="J58" s="445"/>
      <x:c r="K58" s="453">
        <x:v>7840000</x:v>
      </x:c>
      <x:c r="L58" s="454">
        <x:v>1080000</x:v>
      </x:c>
      <x:c r="M58" s="454">
        <x:v>1080000</x:v>
      </x:c>
      <x:c r="N58" s="454">
        <x:v>0</x:v>
      </x:c>
      <x:c r="O58" s="454">
        <x:v>28610000</x:v>
      </x:c>
      <x:c r="P58" s="454">
        <x:v>23610000</x:v>
      </x:c>
      <x:c r="Q58" s="454">
        <x:v>23610000</x:v>
      </x:c>
      <x:c r="R58" s="454">
        <x:v>0</x:v>
      </x:c>
      <x:c r="S58" s="454">
        <x:v>0</x:v>
      </x:c>
      <x:c r="T58" s="454">
        <x:v>0</x:v>
      </x:c>
      <x:c r="U58" s="454">
        <x:v>0</x:v>
      </x:c>
      <x:c r="V58" s="455">
        <x:v>0</x:v>
      </x:c>
      <x:c r="W58" s="456">
        <x:f t="shared" si="12"/>
        <x:v>85830000</x:v>
      </x:c>
      <x:c r="X58" s="450">
        <x:f t="shared" si="13"/>
        <x:v>7152500</x:v>
      </x:c>
      <x:c r="Y58" s="457" t="s">
        <x:v>772</x:v>
      </x:c>
      <x:c r="Z58" s="458"/>
      <x:c r="AA58" s="458"/>
      <x:c r="AB58" s="458"/>
      <x:c r="AC58" s="458"/>
      <x:c r="AD58" s="458"/>
      <x:c r="AE58" s="458"/>
      <x:c r="AO58" s="438">
        <x:v>52180115</x:v>
      </x:c>
      <x:c r="AP58" s="438" t="s">
        <x:v>538</x:v>
      </x:c>
      <x:c r="AQ58" s="438" t="s">
        <x:v>441</x:v>
      </x:c>
    </x:row>
    <x:row r="59" spans="1:43" ht="20.100000000000001" customHeight="1">
      <x:c r="A59" s="439"/>
      <x:c r="B59" s="466" t="str">
        <x:f t="shared" si="0"/>
        <x:v>여비교통비</x:v>
      </x:c>
      <x:c r="C59" s="440" t="str">
        <x:f t="shared" si="1"/>
        <x:v>여비교통비</x:v>
      </x:c>
      <x:c r="D59" s="441">
        <x:v>52150105</x:v>
      </x:c>
      <x:c r="E59" s="442" t="str">
        <x:f t="shared" si="2"/>
        <x:v>여비교통비_시내</x:v>
      </x:c>
      <x:c r="F59" s="443"/>
      <x:c r="G59" s="444" t="s">
        <x:v>84</x:v>
      </x:c>
      <x:c r="H59" s="445" t="str">
        <x:f t="shared" si="9"/>
        <x:v>품질경영팀(E)</x:v>
      </x:c>
      <x:c r="I59" s="446" t="str">
        <x:f t="shared" si="4"/>
        <x:v>[관리비]</x:v>
      </x:c>
      <x:c r="J59" s="445"/>
      <x:c r="K59" s="453">
        <x:v>100000</x:v>
      </x:c>
      <x:c r="L59" s="454">
        <x:v>100000</x:v>
      </x:c>
      <x:c r="M59" s="454">
        <x:v>100000</x:v>
      </x:c>
      <x:c r="N59" s="454">
        <x:v>100000</x:v>
      </x:c>
      <x:c r="O59" s="454">
        <x:v>100000</x:v>
      </x:c>
      <x:c r="P59" s="454">
        <x:v>100000</x:v>
      </x:c>
      <x:c r="Q59" s="454">
        <x:v>100000</x:v>
      </x:c>
      <x:c r="R59" s="454">
        <x:v>100000</x:v>
      </x:c>
      <x:c r="S59" s="454">
        <x:v>100000</x:v>
      </x:c>
      <x:c r="T59" s="454">
        <x:v>100000</x:v>
      </x:c>
      <x:c r="U59" s="454">
        <x:v>100000</x:v>
      </x:c>
      <x:c r="V59" s="455">
        <x:v>50000</x:v>
      </x:c>
      <x:c r="W59" s="456">
        <x:f t="shared" si="12"/>
        <x:v>1150000</x:v>
      </x:c>
      <x:c r="X59" s="450">
        <x:f t="shared" si="13"/>
        <x:v>95833.333333333328</x:v>
      </x:c>
      <x:c r="Y59" s="457" t="s">
        <x:v>686</x:v>
      </x:c>
      <x:c r="Z59" s="458"/>
      <x:c r="AA59" s="458"/>
      <x:c r="AB59" s="458"/>
      <x:c r="AC59" s="458"/>
      <x:c r="AD59" s="458"/>
      <x:c r="AE59" s="458"/>
      <x:c r="AO59" s="438">
        <x:v>52180118</x:v>
      </x:c>
      <x:c r="AP59" s="438" t="s">
        <x:v>141</x:v>
      </x:c>
      <x:c r="AQ59" s="438" t="s">
        <x:v>441</x:v>
      </x:c>
    </x:row>
    <x:row r="60" spans="1:43" ht="20.100000000000001" customHeight="1">
      <x:c r="A60" s="439"/>
      <x:c r="B60" s="466" t="str">
        <x:f t="shared" si="0"/>
        <x:v>여비교통비</x:v>
      </x:c>
      <x:c r="C60" s="440" t="str">
        <x:f t="shared" si="1"/>
        <x:v>여비교통비</x:v>
      </x:c>
      <x:c r="D60" s="441">
        <x:v>52150109</x:v>
      </x:c>
      <x:c r="E60" s="442" t="str">
        <x:f t="shared" si="2"/>
        <x:v>여비교통비_교육</x:v>
      </x:c>
      <x:c r="F60" s="443"/>
      <x:c r="G60" s="444" t="s">
        <x:v>84</x:v>
      </x:c>
      <x:c r="H60" s="445" t="str">
        <x:f t="shared" si="9"/>
        <x:v>품질경영팀(E)</x:v>
      </x:c>
      <x:c r="I60" s="446" t="str">
        <x:f t="shared" si="4"/>
        <x:v>[관리비]</x:v>
      </x:c>
      <x:c r="J60" s="445"/>
      <x:c r="K60" s="453">
        <x:v>50000</x:v>
      </x:c>
      <x:c r="L60" s="454">
        <x:v>50000</x:v>
      </x:c>
      <x:c r="M60" s="454">
        <x:v>50000</x:v>
      </x:c>
      <x:c r="N60" s="454">
        <x:v>50000</x:v>
      </x:c>
      <x:c r="O60" s="454">
        <x:v>50000</x:v>
      </x:c>
      <x:c r="P60" s="454">
        <x:v>50000</x:v>
      </x:c>
      <x:c r="Q60" s="454">
        <x:v>50000</x:v>
      </x:c>
      <x:c r="R60" s="454">
        <x:v>50000</x:v>
      </x:c>
      <x:c r="S60" s="454">
        <x:v>50000</x:v>
      </x:c>
      <x:c r="T60" s="454">
        <x:v>50000</x:v>
      </x:c>
      <x:c r="U60" s="454">
        <x:v>50000</x:v>
      </x:c>
      <x:c r="V60" s="455">
        <x:v>50000</x:v>
      </x:c>
      <x:c r="W60" s="456">
        <x:f t="shared" si="12"/>
        <x:v>600000</x:v>
      </x:c>
      <x:c r="X60" s="450">
        <x:f t="shared" si="13"/>
        <x:v>50000</x:v>
      </x:c>
      <x:c r="Y60" s="457" t="s">
        <x:v>687</x:v>
      </x:c>
      <x:c r="Z60" s="458"/>
      <x:c r="AA60" s="458"/>
      <x:c r="AB60" s="458"/>
      <x:c r="AC60" s="458"/>
      <x:c r="AD60" s="458"/>
      <x:c r="AE60" s="458"/>
      <x:c r="AO60" s="438">
        <x:v>52180119</x:v>
      </x:c>
      <x:c r="AP60" s="438" t="s">
        <x:v>142</x:v>
      </x:c>
      <x:c r="AQ60" s="438" t="s">
        <x:v>441</x:v>
      </x:c>
    </x:row>
    <x:row r="61" spans="1:43" ht="20.100000000000001" customHeight="1">
      <x:c r="A61" s="439"/>
      <x:c r="B61" s="466" t="str">
        <x:f t="shared" si="0"/>
        <x:v>기타비용</x:v>
      </x:c>
      <x:c r="C61" s="440" t="str">
        <x:f t="shared" si="1"/>
        <x:v>접대비</x:v>
      </x:c>
      <x:c r="D61" s="441">
        <x:v>52230103</x:v>
      </x:c>
      <x:c r="E61" s="442" t="str">
        <x:f t="shared" si="2"/>
        <x:v>접대비_법인카드</x:v>
      </x:c>
      <x:c r="F61" s="443"/>
      <x:c r="G61" s="444" t="s">
        <x:v>84</x:v>
      </x:c>
      <x:c r="H61" s="445" t="str">
        <x:f t="shared" si="9"/>
        <x:v>품질경영팀(E)</x:v>
      </x:c>
      <x:c r="I61" s="446" t="str">
        <x:f t="shared" si="4"/>
        <x:v>[관리비]</x:v>
      </x:c>
      <x:c r="J61" s="445"/>
      <x:c r="K61" s="453">
        <x:v>500000</x:v>
      </x:c>
      <x:c r="L61" s="454">
        <x:v>500000</x:v>
      </x:c>
      <x:c r="M61" s="454">
        <x:v>500000</x:v>
      </x:c>
      <x:c r="N61" s="454">
        <x:v>500000</x:v>
      </x:c>
      <x:c r="O61" s="454">
        <x:v>0</x:v>
      </x:c>
      <x:c r="P61" s="454">
        <x:v>0</x:v>
      </x:c>
      <x:c r="Q61" s="454">
        <x:v>0</x:v>
      </x:c>
      <x:c r="R61" s="454">
        <x:v>500000</x:v>
      </x:c>
      <x:c r="S61" s="454">
        <x:v>500000</x:v>
      </x:c>
      <x:c r="T61" s="454">
        <x:v>500000</x:v>
      </x:c>
      <x:c r="U61" s="454">
        <x:v>500000</x:v>
      </x:c>
      <x:c r="V61" s="455">
        <x:v>500000</x:v>
      </x:c>
      <x:c r="W61" s="456">
        <x:f t="shared" ref="W61:W65" si="14">IFERROR(SUM(K61:V61),"")</x:f>
        <x:v>4500000</x:v>
      </x:c>
      <x:c r="X61" s="450">
        <x:f t="shared" ref="X61:X66" si="15">IFERROR($W61/$Y$1,"")</x:f>
        <x:v>375000</x:v>
      </x:c>
      <x:c r="Y61" s="457" t="s">
        <x:v>773</x:v>
      </x:c>
      <x:c r="Z61" s="458"/>
      <x:c r="AA61" s="458"/>
      <x:c r="AB61" s="458"/>
      <x:c r="AC61" s="458"/>
      <x:c r="AD61" s="458"/>
      <x:c r="AE61" s="458"/>
      <x:c r="AO61" s="438">
        <x:v>52180131</x:v>
      </x:c>
      <x:c r="AP61" s="438" t="s">
        <x:v>143</x:v>
      </x:c>
      <x:c r="AQ61" s="438" t="s">
        <x:v>441</x:v>
      </x:c>
    </x:row>
    <x:row r="62" spans="1:43" ht="20.100000000000001" customHeight="1">
      <x:c r="A62" s="439"/>
      <x:c r="B62" s="466" t="str">
        <x:f t="shared" si="0"/>
        <x:v>지급수수료</x:v>
      </x:c>
      <x:c r="C62" s="440" t="str">
        <x:f t="shared" si="1"/>
        <x:v>지급수수료</x:v>
      </x:c>
      <x:c r="D62" s="441">
        <x:v>52310109</x:v>
      </x:c>
      <x:c r="E62" s="442" t="str">
        <x:f t="shared" si="2"/>
        <x:v>지급수수료-심사수수료</x:v>
      </x:c>
      <x:c r="F62" s="443"/>
      <x:c r="G62" s="444" t="s">
        <x:v>84</x:v>
      </x:c>
      <x:c r="H62" s="445" t="str">
        <x:f t="shared" si="9"/>
        <x:v>품질경영팀(E)</x:v>
      </x:c>
      <x:c r="I62" s="446" t="str">
        <x:f t="shared" si="4"/>
        <x:v>[관리비]</x:v>
      </x:c>
      <x:c r="J62" s="445"/>
      <x:c r="K62" s="453">
        <x:v>0</x:v>
      </x:c>
      <x:c r="L62" s="454">
        <x:v>0</x:v>
      </x:c>
      <x:c r="M62" s="454">
        <x:v>0</x:v>
      </x:c>
      <x:c r="N62" s="454">
        <x:v>0</x:v>
      </x:c>
      <x:c r="O62" s="454">
        <x:v>0</x:v>
      </x:c>
      <x:c r="P62" s="454">
        <x:v>0</x:v>
      </x:c>
      <x:c r="Q62" s="454">
        <x:v>0</x:v>
      </x:c>
      <x:c r="R62" s="454">
        <x:v>0</x:v>
      </x:c>
      <x:c r="S62" s="454">
        <x:v>0</x:v>
      </x:c>
      <x:c r="T62" s="454">
        <x:v>5000000</x:v>
      </x:c>
      <x:c r="U62" s="454">
        <x:v>0</x:v>
      </x:c>
      <x:c r="V62" s="455">
        <x:v>0</x:v>
      </x:c>
      <x:c r="W62" s="456">
        <x:f t="shared" si="14"/>
        <x:v>5000000</x:v>
      </x:c>
      <x:c r="X62" s="450">
        <x:f t="shared" si="15"/>
        <x:v>416666.66666666669</x:v>
      </x:c>
      <x:c r="Y62" s="457" t="s">
        <x:v>688</x:v>
      </x:c>
      <x:c r="Z62" s="458"/>
      <x:c r="AA62" s="458"/>
      <x:c r="AB62" s="458"/>
      <x:c r="AC62" s="458"/>
      <x:c r="AD62" s="458"/>
      <x:c r="AE62" s="458"/>
      <x:c r="AO62" s="438">
        <x:v>52180132</x:v>
      </x:c>
      <x:c r="AP62" s="438" t="s">
        <x:v>144</x:v>
      </x:c>
      <x:c r="AQ62" s="438" t="s">
        <x:v>441</x:v>
      </x:c>
    </x:row>
    <x:row r="63" spans="1:43" ht="20.100000000000001" customHeight="1">
      <x:c r="A63" s="439"/>
      <x:c r="B63" s="466" t="str">
        <x:f t="shared" si="0"/>
        <x:v>유지비용</x:v>
      </x:c>
      <x:c r="C63" s="440" t="str">
        <x:f t="shared" si="1"/>
        <x:v>소모품비</x:v>
      </x:c>
      <x:c r="D63" s="441">
        <x:v>52339900</x:v>
      </x:c>
      <x:c r="E63" s="442" t="str">
        <x:f t="shared" si="2"/>
        <x:v>소모품비_기타</x:v>
      </x:c>
      <x:c r="F63" s="443"/>
      <x:c r="G63" s="444" t="s">
        <x:v>84</x:v>
      </x:c>
      <x:c r="H63" s="445" t="str">
        <x:f t="shared" si="9"/>
        <x:v>품질경영팀(E)</x:v>
      </x:c>
      <x:c r="I63" s="446" t="str">
        <x:f t="shared" si="4"/>
        <x:v>[관리비]</x:v>
      </x:c>
      <x:c r="J63" s="445"/>
      <x:c r="K63" s="453">
        <x:v>50000</x:v>
      </x:c>
      <x:c r="L63" s="454">
        <x:v>50000</x:v>
      </x:c>
      <x:c r="M63" s="454">
        <x:v>50000</x:v>
      </x:c>
      <x:c r="N63" s="454">
        <x:v>0</x:v>
      </x:c>
      <x:c r="O63" s="454">
        <x:v>0</x:v>
      </x:c>
      <x:c r="P63" s="454">
        <x:v>0</x:v>
      </x:c>
      <x:c r="Q63" s="454">
        <x:v>50000</x:v>
      </x:c>
      <x:c r="R63" s="454">
        <x:v>50000</x:v>
      </x:c>
      <x:c r="S63" s="454">
        <x:v>50000</x:v>
      </x:c>
      <x:c r="T63" s="454">
        <x:v>0</x:v>
      </x:c>
      <x:c r="U63" s="454">
        <x:v>0</x:v>
      </x:c>
      <x:c r="V63" s="455">
        <x:v>0</x:v>
      </x:c>
      <x:c r="W63" s="456">
        <x:f t="shared" si="14"/>
        <x:v>300000</x:v>
      </x:c>
      <x:c r="X63" s="450">
        <x:f t="shared" si="15"/>
        <x:v>25000</x:v>
      </x:c>
      <x:c r="Y63" s="457" t="s">
        <x:v>689</x:v>
      </x:c>
      <x:c r="Z63" s="458"/>
      <x:c r="AA63" s="458"/>
      <x:c r="AB63" s="458"/>
      <x:c r="AC63" s="458"/>
      <x:c r="AD63" s="458"/>
      <x:c r="AE63" s="458"/>
      <x:c r="AO63" s="438">
        <x:v>52180133</x:v>
      </x:c>
      <x:c r="AP63" s="438" t="s">
        <x:v>442</x:v>
      </x:c>
      <x:c r="AQ63" s="438" t="s">
        <x:v>441</x:v>
      </x:c>
    </x:row>
    <x:row r="64" spans="1:43" ht="20.100000000000001" customHeight="1">
      <x:c r="A64" s="439"/>
      <x:c r="B64" s="466" t="str">
        <x:f t="shared" si="0"/>
        <x:v>기타비용</x:v>
      </x:c>
      <x:c r="C64" s="440" t="str">
        <x:f t="shared" si="1"/>
        <x:v>차량유지비</x:v>
      </x:c>
      <x:c r="D64" s="441">
        <x:v>52359900</x:v>
      </x:c>
      <x:c r="E64" s="442" t="str">
        <x:f t="shared" si="2"/>
        <x:v>차량유지비_기타</x:v>
      </x:c>
      <x:c r="F64" s="443"/>
      <x:c r="G64" s="444" t="s">
        <x:v>84</x:v>
      </x:c>
      <x:c r="H64" s="445" t="str">
        <x:f t="shared" si="9"/>
        <x:v>품질경영팀(E)</x:v>
      </x:c>
      <x:c r="I64" s="446" t="str">
        <x:f t="shared" si="4"/>
        <x:v>[관리비]</x:v>
      </x:c>
      <x:c r="J64" s="445"/>
      <x:c r="K64" s="453">
        <x:v>15000</x:v>
      </x:c>
      <x:c r="L64" s="454">
        <x:v>15000</x:v>
      </x:c>
      <x:c r="M64" s="454">
        <x:v>15000</x:v>
      </x:c>
      <x:c r="N64" s="454">
        <x:v>15000</x:v>
      </x:c>
      <x:c r="O64" s="454">
        <x:v>15000</x:v>
      </x:c>
      <x:c r="P64" s="454">
        <x:v>15000</x:v>
      </x:c>
      <x:c r="Q64" s="454">
        <x:v>15000</x:v>
      </x:c>
      <x:c r="R64" s="454">
        <x:v>15000</x:v>
      </x:c>
      <x:c r="S64" s="454">
        <x:v>15000</x:v>
      </x:c>
      <x:c r="T64" s="454">
        <x:v>15000</x:v>
      </x:c>
      <x:c r="U64" s="454">
        <x:v>15000</x:v>
      </x:c>
      <x:c r="V64" s="455">
        <x:v>15000</x:v>
      </x:c>
      <x:c r="W64" s="456">
        <x:f t="shared" si="14"/>
        <x:v>180000</x:v>
      </x:c>
      <x:c r="X64" s="450">
        <x:f t="shared" si="15"/>
        <x:v>15000</x:v>
      </x:c>
      <x:c r="Y64" s="457" t="s">
        <x:v>690</x:v>
      </x:c>
      <x:c r="Z64" s="458"/>
      <x:c r="AA64" s="458"/>
      <x:c r="AB64" s="458"/>
      <x:c r="AC64" s="458"/>
      <x:c r="AD64" s="458"/>
      <x:c r="AE64" s="458"/>
      <x:c r="AO64" s="438">
        <x:v>52189900</x:v>
      </x:c>
      <x:c r="AP64" s="438" t="s">
        <x:v>145</x:v>
      </x:c>
      <x:c r="AQ64" s="438" t="s">
        <x:v>441</x:v>
      </x:c>
    </x:row>
    <x:row r="65" spans="1:43" ht="20.100000000000001" customHeight="1">
      <x:c r="A65" s="439"/>
      <x:c r="B65" s="466" t="str">
        <x:f t="shared" si="0"/>
        <x:v>지급수수료</x:v>
      </x:c>
      <x:c r="C65" s="440" t="str">
        <x:f t="shared" si="1"/>
        <x:v>지급수수료</x:v>
      </x:c>
      <x:c r="D65" s="441">
        <x:v>52310111</x:v>
      </x:c>
      <x:c r="E65" s="442" t="str">
        <x:f t="shared" si="2"/>
        <x:v>지급수수료-시험수수료</x:v>
      </x:c>
      <x:c r="F65" s="443"/>
      <x:c r="G65" s="444" t="s">
        <x:v>84</x:v>
      </x:c>
      <x:c r="H65" s="445" t="str">
        <x:f t="shared" si="9"/>
        <x:v>품질경영팀(E)</x:v>
      </x:c>
      <x:c r="I65" s="446" t="str">
        <x:f t="shared" si="4"/>
        <x:v>[관리비]</x:v>
      </x:c>
      <x:c r="J65" s="445"/>
      <x:c r="K65" s="453">
        <x:v>500000</x:v>
      </x:c>
      <x:c r="L65" s="454">
        <x:v>1000000</x:v>
      </x:c>
      <x:c r="M65" s="454">
        <x:v>1000000</x:v>
      </x:c>
      <x:c r="N65" s="454">
        <x:v>1000000</x:v>
      </x:c>
      <x:c r="O65" s="454">
        <x:v>1000000</x:v>
      </x:c>
      <x:c r="P65" s="454">
        <x:v>1000000</x:v>
      </x:c>
      <x:c r="Q65" s="454">
        <x:v>1000000</x:v>
      </x:c>
      <x:c r="R65" s="454">
        <x:v>1000000</x:v>
      </x:c>
      <x:c r="S65" s="454">
        <x:v>1000000</x:v>
      </x:c>
      <x:c r="T65" s="454">
        <x:v>500000</x:v>
      </x:c>
      <x:c r="U65" s="454">
        <x:v>500000</x:v>
      </x:c>
      <x:c r="V65" s="455">
        <x:v>500000</x:v>
      </x:c>
      <x:c r="W65" s="456">
        <x:f t="shared" si="14"/>
        <x:v>10000000</x:v>
      </x:c>
      <x:c r="X65" s="450">
        <x:f t="shared" si="15"/>
        <x:v>833333.33333333337</x:v>
      </x:c>
      <x:c r="Y65" s="457" t="s">
        <x:v>774</x:v>
      </x:c>
      <x:c r="Z65" s="458"/>
      <x:c r="AA65" s="458"/>
      <x:c r="AB65" s="458"/>
      <x:c r="AC65" s="458"/>
      <x:c r="AD65" s="458"/>
      <x:c r="AE65" s="458"/>
      <x:c r="AO65" s="438">
        <x:v>52190101</x:v>
      </x:c>
      <x:c r="AP65" s="438" t="s">
        <x:v>310</x:v>
      </x:c>
      <x:c r="AQ65" s="438" t="s">
        <x:v>446</x:v>
      </x:c>
    </x:row>
    <x:row r="66" spans="1:43" ht="20.100000000000001" customHeight="1">
      <x:c r="A66" s="439"/>
      <x:c r="B66" s="466" t="str">
        <x:f t="shared" si="0"/>
        <x:v>지급수수료</x:v>
      </x:c>
      <x:c r="C66" s="440" t="str">
        <x:f t="shared" si="1"/>
        <x:v>지급수수료</x:v>
      </x:c>
      <x:c r="D66" s="441">
        <x:v>52319900</x:v>
      </x:c>
      <x:c r="E66" s="442" t="str">
        <x:f t="shared" si="2"/>
        <x:v>지급수수료_기타</x:v>
      </x:c>
      <x:c r="F66" s="443"/>
      <x:c r="G66" s="444" t="s">
        <x:v>84</x:v>
      </x:c>
      <x:c r="H66" s="445" t="str">
        <x:f t="shared" si="9"/>
        <x:v>품질경영팀(E)</x:v>
      </x:c>
      <x:c r="I66" s="446" t="str">
        <x:f t="shared" si="4"/>
        <x:v>[관리비]</x:v>
      </x:c>
      <x:c r="J66" s="445"/>
      <x:c r="K66" s="453">
        <x:v>300000</x:v>
      </x:c>
      <x:c r="L66" s="454">
        <x:v>300000</x:v>
      </x:c>
      <x:c r="M66" s="454">
        <x:v>300000</x:v>
      </x:c>
      <x:c r="N66" s="454">
        <x:v>0</x:v>
      </x:c>
      <x:c r="O66" s="454">
        <x:v>0</x:v>
      </x:c>
      <x:c r="P66" s="454">
        <x:v>0</x:v>
      </x:c>
      <x:c r="Q66" s="454">
        <x:v>0</x:v>
      </x:c>
      <x:c r="R66" s="454">
        <x:v>0</x:v>
      </x:c>
      <x:c r="S66" s="454">
        <x:v>0</x:v>
      </x:c>
      <x:c r="T66" s="454">
        <x:v>0</x:v>
      </x:c>
      <x:c r="U66" s="454">
        <x:v>0</x:v>
      </x:c>
      <x:c r="V66" s="455">
        <x:v>0</x:v>
      </x:c>
      <x:c r="W66" s="456">
        <x:f t="shared" ref="W66:W76" si="16">IFERROR(SUM(K66:V66),"")</x:f>
        <x:v>900000</x:v>
      </x:c>
      <x:c r="X66" s="450">
        <x:f t="shared" si="15"/>
        <x:v>75000</x:v>
      </x:c>
      <x:c r="Y66" s="457" t="s">
        <x:v>775</x:v>
      </x:c>
      <x:c r="Z66" s="458"/>
      <x:c r="AA66" s="458"/>
      <x:c r="AB66" s="458"/>
      <x:c r="AC66" s="458"/>
      <x:c r="AD66" s="458"/>
      <x:c r="AE66" s="458"/>
      <x:c r="AO66" s="438">
        <x:v>52199900</x:v>
      </x:c>
      <x:c r="AP66" s="438" t="s">
        <x:v>146</x:v>
      </x:c>
      <x:c r="AQ66" s="438" t="s">
        <x:v>446</x:v>
      </x:c>
    </x:row>
    <x:row r="67" spans="1:43" ht="20.100000000000001" customHeight="1">
      <x:c r="A67" s="439"/>
      <x:c r="B67" s="466" t="str">
        <x:f t="shared" ref="B67:B130" si="17">IFERROR(VLOOKUP($C67,$AH:$AI,2,),"")</x:f>
        <x:v>기타비용</x:v>
      </x:c>
      <x:c r="C67" s="440" t="str">
        <x:f t="shared" ref="C67:C130" si="18">IFERROR(VLOOKUP($D67,$AO:$AQ,3,),"")</x:f>
        <x:v>도서인쇄비</x:v>
      </x:c>
      <x:c r="D67" s="441">
        <x:v>52320102</x:v>
      </x:c>
      <x:c r="E67" s="442" t="str">
        <x:f t="shared" ref="E67:E130" si="19">IFERROR(VLOOKUP($D67,$AO:$AQ,2,),"")</x:f>
        <x:v>도서인쇄비_도서구입</x:v>
      </x:c>
      <x:c r="F67" s="443"/>
      <x:c r="G67" s="444" t="s">
        <x:v>84</x:v>
      </x:c>
      <x:c r="H67" s="445" t="str">
        <x:f t="shared" ref="H67:H98" si="20">IFERROR(VLOOKUP($G67,$AK:$AL,2,),"")</x:f>
        <x:v>품질경영팀(E)</x:v>
      </x:c>
      <x:c r="I67" s="446" t="str">
        <x:f t="shared" ref="I67:I130" si="21">IFERROR(VLOOKUP($G67,$AK:$AM,3,),"")</x:f>
        <x:v>[관리비]</x:v>
      </x:c>
      <x:c r="J67" s="445"/>
      <x:c r="K67" s="453">
        <x:v>0</x:v>
      </x:c>
      <x:c r="L67" s="454">
        <x:v>0</x:v>
      </x:c>
      <x:c r="M67" s="454">
        <x:v>100000</x:v>
      </x:c>
      <x:c r="N67" s="454">
        <x:v>0</x:v>
      </x:c>
      <x:c r="O67" s="454">
        <x:v>0</x:v>
      </x:c>
      <x:c r="P67" s="454">
        <x:v>100000</x:v>
      </x:c>
      <x:c r="Q67" s="454">
        <x:v>0</x:v>
      </x:c>
      <x:c r="R67" s="454">
        <x:v>0</x:v>
      </x:c>
      <x:c r="S67" s="454">
        <x:v>100000</x:v>
      </x:c>
      <x:c r="T67" s="454">
        <x:v>0</x:v>
      </x:c>
      <x:c r="U67" s="454">
        <x:v>0</x:v>
      </x:c>
      <x:c r="V67" s="455">
        <x:v>100000</x:v>
      </x:c>
      <x:c r="W67" s="456">
        <x:f t="shared" si="16"/>
        <x:v>400000</x:v>
      </x:c>
      <x:c r="X67" s="450">
        <x:f t="shared" ref="X67:X76" si="22">IFERROR($W67/$Y$1,"")</x:f>
        <x:v>33333.333333333336</x:v>
      </x:c>
      <x:c r="Y67" s="457" t="s">
        <x:v>776</x:v>
      </x:c>
      <x:c r="Z67" s="458"/>
      <x:c r="AA67" s="458"/>
      <x:c r="AB67" s="458"/>
      <x:c r="AC67" s="458"/>
      <x:c r="AD67" s="458"/>
      <x:c r="AE67" s="458"/>
      <x:c r="AO67" s="438">
        <x:v>52200120</x:v>
      </x:c>
      <x:c r="AP67" s="438" t="s">
        <x:v>147</x:v>
      </x:c>
      <x:c r="AQ67" s="438" t="s">
        <x:v>36</x:v>
      </x:c>
    </x:row>
    <x:row r="68" spans="1:43" ht="20.100000000000001" customHeight="1">
      <x:c r="A68" s="439"/>
      <x:c r="B68" s="466" t="str">
        <x:f t="shared" si="17"/>
        <x:v>복리후생비</x:v>
      </x:c>
      <x:c r="C68" s="440" t="str">
        <x:f t="shared" si="18"/>
        <x:v>후생비</x:v>
      </x:c>
      <x:c r="D68" s="441">
        <x:v>52130123</x:v>
      </x:c>
      <x:c r="E68" s="442" t="str">
        <x:f t="shared" si="19"/>
        <x:v>후생비_외근식대</x:v>
      </x:c>
      <x:c r="F68" s="443"/>
      <x:c r="G68" s="444" t="s">
        <x:v>249</x:v>
      </x:c>
      <x:c r="H68" s="445" t="str">
        <x:f t="shared" si="20"/>
        <x:v>부품품질팀(E)</x:v>
      </x:c>
      <x:c r="I68" s="446" t="str">
        <x:f t="shared" si="21"/>
        <x:v>[관리비]</x:v>
      </x:c>
      <x:c r="J68" s="445"/>
      <x:c r="K68" s="453">
        <x:v>156000</x:v>
      </x:c>
      <x:c r="L68" s="454">
        <x:v>156000</x:v>
      </x:c>
      <x:c r="M68" s="454">
        <x:v>156000</x:v>
      </x:c>
      <x:c r="N68" s="454">
        <x:v>156000</x:v>
      </x:c>
      <x:c r="O68" s="454">
        <x:v>156000</x:v>
      </x:c>
      <x:c r="P68" s="454">
        <x:v>156000</x:v>
      </x:c>
      <x:c r="Q68" s="454">
        <x:v>156000</x:v>
      </x:c>
      <x:c r="R68" s="454">
        <x:v>156000</x:v>
      </x:c>
      <x:c r="S68" s="454">
        <x:v>156000</x:v>
      </x:c>
      <x:c r="T68" s="454">
        <x:v>156000</x:v>
      </x:c>
      <x:c r="U68" s="454">
        <x:v>156000</x:v>
      </x:c>
      <x:c r="V68" s="455">
        <x:v>156000</x:v>
      </x:c>
      <x:c r="W68" s="456">
        <x:f t="shared" si="16"/>
        <x:v>1872000</x:v>
      </x:c>
      <x:c r="X68" s="450">
        <x:f t="shared" si="22"/>
        <x:v>156000</x:v>
      </x:c>
      <x:c r="Y68" s="457" t="s">
        <x:v>777</x:v>
      </x:c>
      <x:c r="Z68" s="458"/>
      <x:c r="AA68" s="458"/>
      <x:c r="AB68" s="458"/>
      <x:c r="AC68" s="458"/>
      <x:c r="AD68" s="458"/>
      <x:c r="AE68" s="458"/>
      <x:c r="AO68" s="438">
        <x:v>52200130</x:v>
      </x:c>
      <x:c r="AP68" s="438" t="s">
        <x:v>148</x:v>
      </x:c>
      <x:c r="AQ68" s="438" t="s">
        <x:v>36</x:v>
      </x:c>
    </x:row>
    <x:row r="69" spans="1:43" ht="20.100000000000001" customHeight="1">
      <x:c r="A69" s="439"/>
      <x:c r="B69" s="466" t="str">
        <x:f t="shared" si="17"/>
        <x:v>복리후생비</x:v>
      </x:c>
      <x:c r="C69" s="440" t="str">
        <x:f t="shared" si="18"/>
        <x:v>후생비</x:v>
      </x:c>
      <x:c r="D69" s="441">
        <x:v>52130125</x:v>
      </x:c>
      <x:c r="E69" s="442" t="str">
        <x:f t="shared" si="19"/>
        <x:v>후생비_기타식대</x:v>
      </x:c>
      <x:c r="F69" s="443"/>
      <x:c r="G69" s="444" t="s">
        <x:v>249</x:v>
      </x:c>
      <x:c r="H69" s="445" t="str">
        <x:f t="shared" si="20"/>
        <x:v>부품품질팀(E)</x:v>
      </x:c>
      <x:c r="I69" s="446" t="str">
        <x:f t="shared" si="21"/>
        <x:v>[관리비]</x:v>
      </x:c>
      <x:c r="J69" s="445"/>
      <x:c r="K69" s="453">
        <x:v>26000</x:v>
      </x:c>
      <x:c r="L69" s="454">
        <x:v>26000</x:v>
      </x:c>
      <x:c r="M69" s="454">
        <x:v>26000</x:v>
      </x:c>
      <x:c r="N69" s="454">
        <x:v>26000</x:v>
      </x:c>
      <x:c r="O69" s="454">
        <x:v>26000</x:v>
      </x:c>
      <x:c r="P69" s="454">
        <x:v>26000</x:v>
      </x:c>
      <x:c r="Q69" s="454">
        <x:v>26000</x:v>
      </x:c>
      <x:c r="R69" s="454">
        <x:v>26000</x:v>
      </x:c>
      <x:c r="S69" s="454">
        <x:v>26000</x:v>
      </x:c>
      <x:c r="T69" s="454">
        <x:v>26000</x:v>
      </x:c>
      <x:c r="U69" s="454">
        <x:v>26000</x:v>
      </x:c>
      <x:c r="V69" s="455">
        <x:v>26000</x:v>
      </x:c>
      <x:c r="W69" s="456">
        <x:f t="shared" si="16"/>
        <x:v>312000</x:v>
      </x:c>
      <x:c r="X69" s="450">
        <x:f t="shared" si="22"/>
        <x:v>26000</x:v>
      </x:c>
      <x:c r="Y69" s="457" t="s">
        <x:v>691</x:v>
      </x:c>
      <x:c r="Z69" s="458"/>
      <x:c r="AA69" s="458"/>
      <x:c r="AB69" s="458"/>
      <x:c r="AC69" s="458"/>
      <x:c r="AD69" s="458"/>
      <x:c r="AE69" s="458"/>
      <x:c r="AO69" s="438">
        <x:v>52200140</x:v>
      </x:c>
      <x:c r="AP69" s="438" t="s">
        <x:v>311</x:v>
      </x:c>
      <x:c r="AQ69" s="438" t="s">
        <x:v>36</x:v>
      </x:c>
    </x:row>
    <x:row r="70" spans="1:43" ht="20.100000000000001" customHeight="1">
      <x:c r="A70" s="439"/>
      <x:c r="B70" s="466" t="str">
        <x:f t="shared" si="17"/>
        <x:v>기타비용</x:v>
      </x:c>
      <x:c r="C70" s="440" t="str">
        <x:f t="shared" si="18"/>
        <x:v>교육훈련비</x:v>
      </x:c>
      <x:c r="D70" s="441">
        <x:v>52140101</x:v>
      </x:c>
      <x:c r="E70" s="442" t="str">
        <x:f t="shared" si="19"/>
        <x:v>교육훈련비_사외교육</x:v>
      </x:c>
      <x:c r="F70" s="443"/>
      <x:c r="G70" s="444" t="s">
        <x:v>249</x:v>
      </x:c>
      <x:c r="H70" s="445" t="str">
        <x:f t="shared" si="20"/>
        <x:v>부품품질팀(E)</x:v>
      </x:c>
      <x:c r="I70" s="446" t="str">
        <x:f t="shared" si="21"/>
        <x:v>[관리비]</x:v>
      </x:c>
      <x:c r="J70" s="445"/>
      <x:c r="K70" s="453">
        <x:v>800000</x:v>
      </x:c>
      <x:c r="L70" s="454">
        <x:v>800000</x:v>
      </x:c>
      <x:c r="M70" s="454">
        <x:v>800000</x:v>
      </x:c>
      <x:c r="N70" s="454">
        <x:v>800000</x:v>
      </x:c>
      <x:c r="O70" s="454">
        <x:v>800000</x:v>
      </x:c>
      <x:c r="P70" s="454">
        <x:v>800000</x:v>
      </x:c>
      <x:c r="Q70" s="454">
        <x:v>800000</x:v>
      </x:c>
      <x:c r="R70" s="454">
        <x:v>800000</x:v>
      </x:c>
      <x:c r="S70" s="454">
        <x:v>800000</x:v>
      </x:c>
      <x:c r="T70" s="454">
        <x:v>800000</x:v>
      </x:c>
      <x:c r="U70" s="454">
        <x:v>800000</x:v>
      </x:c>
      <x:c r="V70" s="455">
        <x:v>800000</x:v>
      </x:c>
      <x:c r="W70" s="456">
        <x:f t="shared" si="16"/>
        <x:v>9600000</x:v>
      </x:c>
      <x:c r="X70" s="450">
        <x:f t="shared" si="22"/>
        <x:v>800000</x:v>
      </x:c>
      <x:c r="Y70" s="457" t="s">
        <x:v>778</x:v>
      </x:c>
      <x:c r="Z70" s="458"/>
      <x:c r="AA70" s="458"/>
      <x:c r="AB70" s="458"/>
      <x:c r="AC70" s="458"/>
      <x:c r="AD70" s="458"/>
      <x:c r="AE70" s="458"/>
      <x:c r="AO70" s="438">
        <x:v>52200150</x:v>
      </x:c>
      <x:c r="AP70" s="438" t="s">
        <x:v>258</x:v>
      </x:c>
      <x:c r="AQ70" s="438" t="s">
        <x:v>36</x:v>
      </x:c>
    </x:row>
    <x:row r="71" spans="1:43" ht="20.100000000000001" customHeight="1">
      <x:c r="A71" s="439"/>
      <x:c r="B71" s="466" t="str">
        <x:f t="shared" si="17"/>
        <x:v>여비교통비</x:v>
      </x:c>
      <x:c r="C71" s="440" t="str">
        <x:f t="shared" si="18"/>
        <x:v>여비교통비</x:v>
      </x:c>
      <x:c r="D71" s="441">
        <x:v>52150101</x:v>
      </x:c>
      <x:c r="E71" s="442" t="str">
        <x:f t="shared" si="19"/>
        <x:v>여비교통비_국내출장</x:v>
      </x:c>
      <x:c r="F71" s="443"/>
      <x:c r="G71" s="444" t="s">
        <x:v>249</x:v>
      </x:c>
      <x:c r="H71" s="445" t="str">
        <x:f t="shared" si="20"/>
        <x:v>부품품질팀(E)</x:v>
      </x:c>
      <x:c r="I71" s="446" t="str">
        <x:f t="shared" si="21"/>
        <x:v>[관리비]</x:v>
      </x:c>
      <x:c r="J71" s="445"/>
      <x:c r="K71" s="453">
        <x:v>200000</x:v>
      </x:c>
      <x:c r="L71" s="454">
        <x:v>200000</x:v>
      </x:c>
      <x:c r="M71" s="454">
        <x:v>200000</x:v>
      </x:c>
      <x:c r="N71" s="454">
        <x:v>200000</x:v>
      </x:c>
      <x:c r="O71" s="454">
        <x:v>200000</x:v>
      </x:c>
      <x:c r="P71" s="454">
        <x:v>200000</x:v>
      </x:c>
      <x:c r="Q71" s="454">
        <x:v>200000</x:v>
      </x:c>
      <x:c r="R71" s="454">
        <x:v>200000</x:v>
      </x:c>
      <x:c r="S71" s="454">
        <x:v>200000</x:v>
      </x:c>
      <x:c r="T71" s="454">
        <x:v>200000</x:v>
      </x:c>
      <x:c r="U71" s="454">
        <x:v>200000</x:v>
      </x:c>
      <x:c r="V71" s="455">
        <x:v>200000</x:v>
      </x:c>
      <x:c r="W71" s="456">
        <x:f t="shared" si="16"/>
        <x:v>2400000</x:v>
      </x:c>
      <x:c r="X71" s="450">
        <x:f t="shared" si="22"/>
        <x:v>200000</x:v>
      </x:c>
      <x:c r="Y71" s="457" t="s">
        <x:v>779</x:v>
      </x:c>
      <x:c r="Z71" s="458"/>
      <x:c r="AA71" s="458"/>
      <x:c r="AB71" s="458"/>
      <x:c r="AC71" s="458"/>
      <x:c r="AD71" s="458"/>
      <x:c r="AE71" s="458"/>
      <x:c r="AO71" s="438">
        <x:v>52200160</x:v>
      </x:c>
      <x:c r="AP71" s="438" t="s">
        <x:v>539</x:v>
      </x:c>
      <x:c r="AQ71" s="438" t="s">
        <x:v>36</x:v>
      </x:c>
    </x:row>
    <x:row r="72" spans="1:43" ht="20.100000000000001" customHeight="1">
      <x:c r="A72" s="439"/>
      <x:c r="B72" s="466" t="str">
        <x:f t="shared" si="17"/>
        <x:v>여비교통비</x:v>
      </x:c>
      <x:c r="C72" s="440" t="str">
        <x:f t="shared" si="18"/>
        <x:v>여비교통비</x:v>
      </x:c>
      <x:c r="D72" s="441">
        <x:v>52150103</x:v>
      </x:c>
      <x:c r="E72" s="442" t="str">
        <x:f t="shared" si="19"/>
        <x:v>여비교통비_해외출장</x:v>
      </x:c>
      <x:c r="F72" s="443"/>
      <x:c r="G72" s="444" t="s">
        <x:v>249</x:v>
      </x:c>
      <x:c r="H72" s="445" t="str">
        <x:f t="shared" si="20"/>
        <x:v>부품품질팀(E)</x:v>
      </x:c>
      <x:c r="I72" s="446" t="str">
        <x:f t="shared" si="21"/>
        <x:v>[관리비]</x:v>
      </x:c>
      <x:c r="J72" s="445"/>
      <x:c r="K72" s="453">
        <x:v>2800000</x:v>
      </x:c>
      <x:c r="L72" s="454">
        <x:v>2800000</x:v>
      </x:c>
      <x:c r="M72" s="454">
        <x:v>2800000</x:v>
      </x:c>
      <x:c r="N72" s="454">
        <x:v>2800000</x:v>
      </x:c>
      <x:c r="O72" s="454">
        <x:v>2800000</x:v>
      </x:c>
      <x:c r="P72" s="454">
        <x:v>2800000</x:v>
      </x:c>
      <x:c r="Q72" s="454">
        <x:v>2800000</x:v>
      </x:c>
      <x:c r="R72" s="454">
        <x:v>2800000</x:v>
      </x:c>
      <x:c r="S72" s="454">
        <x:v>2800000</x:v>
      </x:c>
      <x:c r="T72" s="454">
        <x:v>2800000</x:v>
      </x:c>
      <x:c r="U72" s="454">
        <x:v>2800000</x:v>
      </x:c>
      <x:c r="V72" s="455">
        <x:v>2800000</x:v>
      </x:c>
      <x:c r="W72" s="456">
        <x:f t="shared" si="16"/>
        <x:v>33600000</x:v>
      </x:c>
      <x:c r="X72" s="450">
        <x:f t="shared" si="22"/>
        <x:v>2800000</x:v>
      </x:c>
      <x:c r="Y72" s="457" t="s">
        <x:v>780</x:v>
      </x:c>
      <x:c r="Z72" s="458"/>
      <x:c r="AA72" s="458"/>
      <x:c r="AB72" s="458"/>
      <x:c r="AC72" s="458"/>
      <x:c r="AD72" s="458"/>
      <x:c r="AE72" s="458"/>
      <x:c r="AO72" s="438">
        <x:v>52200170</x:v>
      </x:c>
      <x:c r="AP72" s="438" t="s">
        <x:v>149</x:v>
      </x:c>
      <x:c r="AQ72" s="438" t="s">
        <x:v>36</x:v>
      </x:c>
    </x:row>
    <x:row r="73" spans="1:43" ht="20.100000000000001" customHeight="1">
      <x:c r="A73" s="439"/>
      <x:c r="B73" s="466" t="str">
        <x:f t="shared" si="17"/>
        <x:v>여비교통비</x:v>
      </x:c>
      <x:c r="C73" s="440" t="str">
        <x:f t="shared" si="18"/>
        <x:v>여비교통비</x:v>
      </x:c>
      <x:c r="D73" s="441">
        <x:v>52150105</x:v>
      </x:c>
      <x:c r="E73" s="442" t="str">
        <x:f t="shared" si="19"/>
        <x:v>여비교통비_시내</x:v>
      </x:c>
      <x:c r="F73" s="443"/>
      <x:c r="G73" s="444" t="s">
        <x:v>249</x:v>
      </x:c>
      <x:c r="H73" s="445" t="str">
        <x:f t="shared" si="20"/>
        <x:v>부품품질팀(E)</x:v>
      </x:c>
      <x:c r="I73" s="446" t="str">
        <x:f t="shared" si="21"/>
        <x:v>[관리비]</x:v>
      </x:c>
      <x:c r="J73" s="445"/>
      <x:c r="K73" s="453">
        <x:v>80000</x:v>
      </x:c>
      <x:c r="L73" s="454">
        <x:v>80000</x:v>
      </x:c>
      <x:c r="M73" s="454">
        <x:v>80000</x:v>
      </x:c>
      <x:c r="N73" s="454">
        <x:v>80000</x:v>
      </x:c>
      <x:c r="O73" s="454">
        <x:v>80000</x:v>
      </x:c>
      <x:c r="P73" s="454">
        <x:v>80000</x:v>
      </x:c>
      <x:c r="Q73" s="454">
        <x:v>80000</x:v>
      </x:c>
      <x:c r="R73" s="454">
        <x:v>80000</x:v>
      </x:c>
      <x:c r="S73" s="454">
        <x:v>80000</x:v>
      </x:c>
      <x:c r="T73" s="454">
        <x:v>80000</x:v>
      </x:c>
      <x:c r="U73" s="454">
        <x:v>80000</x:v>
      </x:c>
      <x:c r="V73" s="455">
        <x:v>80000</x:v>
      </x:c>
      <x:c r="W73" s="456">
        <x:f t="shared" si="16"/>
        <x:v>960000</x:v>
      </x:c>
      <x:c r="X73" s="450">
        <x:f t="shared" si="22"/>
        <x:v>80000</x:v>
      </x:c>
      <x:c r="Y73" s="457" t="s">
        <x:v>692</x:v>
      </x:c>
      <x:c r="Z73" s="458"/>
      <x:c r="AA73" s="458"/>
      <x:c r="AB73" s="458"/>
      <x:c r="AC73" s="458"/>
      <x:c r="AD73" s="458"/>
      <x:c r="AE73" s="458"/>
      <x:c r="AO73" s="438">
        <x:v>52200180</x:v>
      </x:c>
      <x:c r="AP73" s="438" t="s">
        <x:v>151</x:v>
      </x:c>
      <x:c r="AQ73" s="438" t="s">
        <x:v>36</x:v>
      </x:c>
    </x:row>
    <x:row r="74" spans="1:43" ht="20.100000000000001" customHeight="1">
      <x:c r="A74" s="439"/>
      <x:c r="B74" s="466" t="str">
        <x:f t="shared" si="17"/>
        <x:v>여비교통비</x:v>
      </x:c>
      <x:c r="C74" s="440" t="str">
        <x:f t="shared" si="18"/>
        <x:v>여비교통비</x:v>
      </x:c>
      <x:c r="D74" s="441">
        <x:v>52150109</x:v>
      </x:c>
      <x:c r="E74" s="442" t="str">
        <x:f t="shared" si="19"/>
        <x:v>여비교통비_교육</x:v>
      </x:c>
      <x:c r="F74" s="443"/>
      <x:c r="G74" s="444" t="s">
        <x:v>249</x:v>
      </x:c>
      <x:c r="H74" s="445" t="str">
        <x:f t="shared" si="20"/>
        <x:v>부품품질팀(E)</x:v>
      </x:c>
      <x:c r="I74" s="446" t="str">
        <x:f t="shared" si="21"/>
        <x:v>[관리비]</x:v>
      </x:c>
      <x:c r="J74" s="445"/>
      <x:c r="K74" s="453">
        <x:v>40000</x:v>
      </x:c>
      <x:c r="L74" s="454">
        <x:v>40000</x:v>
      </x:c>
      <x:c r="M74" s="454">
        <x:v>40000</x:v>
      </x:c>
      <x:c r="N74" s="454">
        <x:v>40000</x:v>
      </x:c>
      <x:c r="O74" s="454">
        <x:v>40000</x:v>
      </x:c>
      <x:c r="P74" s="454">
        <x:v>40000</x:v>
      </x:c>
      <x:c r="Q74" s="454">
        <x:v>40000</x:v>
      </x:c>
      <x:c r="R74" s="454">
        <x:v>40000</x:v>
      </x:c>
      <x:c r="S74" s="454">
        <x:v>40000</x:v>
      </x:c>
      <x:c r="T74" s="454">
        <x:v>40000</x:v>
      </x:c>
      <x:c r="U74" s="454">
        <x:v>40000</x:v>
      </x:c>
      <x:c r="V74" s="455">
        <x:v>40000</x:v>
      </x:c>
      <x:c r="W74" s="456">
        <x:f t="shared" si="16"/>
        <x:v>480000</x:v>
      </x:c>
      <x:c r="X74" s="450">
        <x:f t="shared" si="22"/>
        <x:v>40000</x:v>
      </x:c>
      <x:c r="Y74" s="457" t="s">
        <x:v>588</x:v>
      </x:c>
      <x:c r="Z74" s="458"/>
      <x:c r="AA74" s="458"/>
      <x:c r="AB74" s="458"/>
      <x:c r="AC74" s="458"/>
      <x:c r="AD74" s="458"/>
      <x:c r="AE74" s="458"/>
      <x:c r="AO74" s="438">
        <x:v>52210140</x:v>
      </x:c>
      <x:c r="AP74" s="438" t="s">
        <x:v>540</x:v>
      </x:c>
      <x:c r="AQ74" s="438" t="s">
        <x:v>455</x:v>
      </x:c>
    </x:row>
    <x:row r="75" spans="1:43" ht="20.100000000000001" customHeight="1">
      <x:c r="A75" s="439"/>
      <x:c r="B75" s="466" t="str">
        <x:f t="shared" si="17"/>
        <x:v>여비교통비</x:v>
      </x:c>
      <x:c r="C75" s="440" t="str">
        <x:f t="shared" si="18"/>
        <x:v>여비교통비</x:v>
      </x:c>
      <x:c r="D75" s="441">
        <x:v>52159900</x:v>
      </x:c>
      <x:c r="E75" s="442" t="str">
        <x:f t="shared" si="19"/>
        <x:v>여비교통비_기타</x:v>
      </x:c>
      <x:c r="F75" s="443"/>
      <x:c r="G75" s="444" t="s">
        <x:v>249</x:v>
      </x:c>
      <x:c r="H75" s="445" t="str">
        <x:f t="shared" si="20"/>
        <x:v>부품품질팀(E)</x:v>
      </x:c>
      <x:c r="I75" s="446" t="str">
        <x:f t="shared" si="21"/>
        <x:v>[관리비]</x:v>
      </x:c>
      <x:c r="J75" s="445"/>
      <x:c r="K75" s="453">
        <x:v>10000</x:v>
      </x:c>
      <x:c r="L75" s="454">
        <x:v>10000</x:v>
      </x:c>
      <x:c r="M75" s="454">
        <x:v>10000</x:v>
      </x:c>
      <x:c r="N75" s="454">
        <x:v>10000</x:v>
      </x:c>
      <x:c r="O75" s="454">
        <x:v>10000</x:v>
      </x:c>
      <x:c r="P75" s="454">
        <x:v>10000</x:v>
      </x:c>
      <x:c r="Q75" s="454">
        <x:v>10000</x:v>
      </x:c>
      <x:c r="R75" s="454">
        <x:v>10000</x:v>
      </x:c>
      <x:c r="S75" s="454">
        <x:v>10000</x:v>
      </x:c>
      <x:c r="T75" s="454">
        <x:v>10000</x:v>
      </x:c>
      <x:c r="U75" s="454">
        <x:v>10000</x:v>
      </x:c>
      <x:c r="V75" s="455">
        <x:v>10000</x:v>
      </x:c>
      <x:c r="W75" s="456">
        <x:f t="shared" si="16"/>
        <x:v>120000</x:v>
      </x:c>
      <x:c r="X75" s="450">
        <x:f t="shared" si="22"/>
        <x:v>10000</x:v>
      </x:c>
      <x:c r="Y75" s="457" t="s">
        <x:v>589</x:v>
      </x:c>
      <x:c r="Z75" s="458"/>
      <x:c r="AA75" s="458"/>
      <x:c r="AB75" s="458"/>
      <x:c r="AC75" s="458"/>
      <x:c r="AD75" s="458"/>
      <x:c r="AE75" s="458"/>
      <x:c r="AO75" s="438">
        <x:v>52210150</x:v>
      </x:c>
      <x:c r="AP75" s="438" t="s">
        <x:v>541</x:v>
      </x:c>
      <x:c r="AQ75" s="438" t="s">
        <x:v>455</x:v>
      </x:c>
    </x:row>
    <x:row r="76" spans="1:43" ht="20.100000000000001" customHeight="1">
      <x:c r="A76" s="439"/>
      <x:c r="B76" s="466" t="str">
        <x:f t="shared" si="17"/>
        <x:v>기타비용</x:v>
      </x:c>
      <x:c r="C76" s="440" t="str">
        <x:f t="shared" si="18"/>
        <x:v>접대비</x:v>
      </x:c>
      <x:c r="D76" s="441">
        <x:v>52230103</x:v>
      </x:c>
      <x:c r="E76" s="442" t="str">
        <x:f t="shared" si="19"/>
        <x:v>접대비_법인카드</x:v>
      </x:c>
      <x:c r="F76" s="443"/>
      <x:c r="G76" s="444" t="s">
        <x:v>249</x:v>
      </x:c>
      <x:c r="H76" s="445" t="str">
        <x:f t="shared" si="20"/>
        <x:v>부품품질팀(E)</x:v>
      </x:c>
      <x:c r="I76" s="446" t="str">
        <x:f t="shared" si="21"/>
        <x:v>[관리비]</x:v>
      </x:c>
      <x:c r="J76" s="445"/>
      <x:c r="K76" s="453">
        <x:v>500000</x:v>
      </x:c>
      <x:c r="L76" s="454">
        <x:v>500000</x:v>
      </x:c>
      <x:c r="M76" s="454">
        <x:v>500000</x:v>
      </x:c>
      <x:c r="N76" s="454">
        <x:v>500000</x:v>
      </x:c>
      <x:c r="O76" s="454">
        <x:v>500000</x:v>
      </x:c>
      <x:c r="P76" s="454">
        <x:v>500000</x:v>
      </x:c>
      <x:c r="Q76" s="454">
        <x:v>500000</x:v>
      </x:c>
      <x:c r="R76" s="454">
        <x:v>500000</x:v>
      </x:c>
      <x:c r="S76" s="454">
        <x:v>500000</x:v>
      </x:c>
      <x:c r="T76" s="454">
        <x:v>500000</x:v>
      </x:c>
      <x:c r="U76" s="454">
        <x:v>500000</x:v>
      </x:c>
      <x:c r="V76" s="455">
        <x:v>500000</x:v>
      </x:c>
      <x:c r="W76" s="456">
        <x:f t="shared" si="16"/>
        <x:v>6000000</x:v>
      </x:c>
      <x:c r="X76" s="450">
        <x:f t="shared" si="22"/>
        <x:v>500000</x:v>
      </x:c>
      <x:c r="Y76" s="457" t="s">
        <x:v>590</x:v>
      </x:c>
      <x:c r="Z76" s="458"/>
      <x:c r="AA76" s="458"/>
      <x:c r="AB76" s="458"/>
      <x:c r="AC76" s="458"/>
      <x:c r="AD76" s="458"/>
      <x:c r="AE76" s="458"/>
      <x:c r="AO76" s="438">
        <x:v>52210170</x:v>
      </x:c>
      <x:c r="AP76" s="438" t="s">
        <x:v>542</x:v>
      </x:c>
      <x:c r="AQ76" s="438" t="s">
        <x:v>455</x:v>
      </x:c>
    </x:row>
    <x:row r="77" spans="1:43" ht="20.100000000000001" customHeight="1">
      <x:c r="A77" s="439"/>
      <x:c r="B77" s="466" t="str">
        <x:f t="shared" si="17"/>
        <x:v>운반비</x:v>
      </x:c>
      <x:c r="C77" s="440" t="str">
        <x:f t="shared" si="18"/>
        <x:v>운반비</x:v>
      </x:c>
      <x:c r="D77" s="441">
        <x:v>52250104</x:v>
      </x:c>
      <x:c r="E77" s="442" t="str">
        <x:f t="shared" si="19"/>
        <x:v>운반비_특송</x:v>
      </x:c>
      <x:c r="F77" s="443"/>
      <x:c r="G77" s="444" t="s">
        <x:v>249</x:v>
      </x:c>
      <x:c r="H77" s="445" t="str">
        <x:f t="shared" si="20"/>
        <x:v>부품품질팀(E)</x:v>
      </x:c>
      <x:c r="I77" s="446" t="str">
        <x:f t="shared" si="21"/>
        <x:v>[관리비]</x:v>
      </x:c>
      <x:c r="J77" s="445"/>
      <x:c r="K77" s="453">
        <x:v>200000</x:v>
      </x:c>
      <x:c r="L77" s="454">
        <x:v>200000</x:v>
      </x:c>
      <x:c r="M77" s="454">
        <x:v>200000</x:v>
      </x:c>
      <x:c r="N77" s="454">
        <x:v>200000</x:v>
      </x:c>
      <x:c r="O77" s="454">
        <x:v>200000</x:v>
      </x:c>
      <x:c r="P77" s="454">
        <x:v>200000</x:v>
      </x:c>
      <x:c r="Q77" s="454">
        <x:v>200000</x:v>
      </x:c>
      <x:c r="R77" s="454">
        <x:v>200000</x:v>
      </x:c>
      <x:c r="S77" s="454">
        <x:v>200000</x:v>
      </x:c>
      <x:c r="T77" s="454">
        <x:v>200000</x:v>
      </x:c>
      <x:c r="U77" s="454">
        <x:v>200000</x:v>
      </x:c>
      <x:c r="V77" s="455">
        <x:v>200000</x:v>
      </x:c>
      <x:c r="W77" s="456">
        <x:f t="shared" ref="W77:W91" si="23">IFERROR(SUM(K77:V77),"")</x:f>
        <x:v>2400000</x:v>
      </x:c>
      <x:c r="X77" s="450">
        <x:f t="shared" ref="X77:X91" si="24">IFERROR($W77/$Y$1,"")</x:f>
        <x:v>200000</x:v>
      </x:c>
      <x:c r="Y77" s="457" t="s">
        <x:v>693</x:v>
      </x:c>
      <x:c r="Z77" s="458"/>
      <x:c r="AA77" s="458"/>
      <x:c r="AB77" s="458"/>
      <x:c r="AC77" s="458"/>
      <x:c r="AD77" s="458"/>
      <x:c r="AE77" s="458"/>
      <x:c r="AO77" s="438">
        <x:v>52210180</x:v>
      </x:c>
      <x:c r="AP77" s="438" t="s">
        <x:v>543</x:v>
      </x:c>
      <x:c r="AQ77" s="438" t="s">
        <x:v>455</x:v>
      </x:c>
    </x:row>
    <x:row r="78" spans="1:43" ht="20.100000000000001" customHeight="1">
      <x:c r="A78" s="439"/>
      <x:c r="B78" s="466" t="str">
        <x:f t="shared" si="17"/>
        <x:v>운반비</x:v>
      </x:c>
      <x:c r="C78" s="440" t="str">
        <x:f t="shared" si="18"/>
        <x:v>운반비</x:v>
      </x:c>
      <x:c r="D78" s="441">
        <x:v>52250105</x:v>
      </x:c>
      <x:c r="E78" s="442" t="str">
        <x:f t="shared" si="19"/>
        <x:v>운반비_택배</x:v>
      </x:c>
      <x:c r="F78" s="443"/>
      <x:c r="G78" s="444" t="s">
        <x:v>249</x:v>
      </x:c>
      <x:c r="H78" s="445" t="str">
        <x:f t="shared" si="20"/>
        <x:v>부품품질팀(E)</x:v>
      </x:c>
      <x:c r="I78" s="446" t="str">
        <x:f t="shared" si="21"/>
        <x:v>[관리비]</x:v>
      </x:c>
      <x:c r="J78" s="445"/>
      <x:c r="K78" s="453">
        <x:v>5000</x:v>
      </x:c>
      <x:c r="L78" s="454">
        <x:v>5000</x:v>
      </x:c>
      <x:c r="M78" s="454">
        <x:v>5000</x:v>
      </x:c>
      <x:c r="N78" s="454">
        <x:v>5000</x:v>
      </x:c>
      <x:c r="O78" s="454">
        <x:v>5000</x:v>
      </x:c>
      <x:c r="P78" s="454">
        <x:v>5000</x:v>
      </x:c>
      <x:c r="Q78" s="454">
        <x:v>5000</x:v>
      </x:c>
      <x:c r="R78" s="454">
        <x:v>5000</x:v>
      </x:c>
      <x:c r="S78" s="454">
        <x:v>5000</x:v>
      </x:c>
      <x:c r="T78" s="454">
        <x:v>5000</x:v>
      </x:c>
      <x:c r="U78" s="454">
        <x:v>5000</x:v>
      </x:c>
      <x:c r="V78" s="455">
        <x:v>5000</x:v>
      </x:c>
      <x:c r="W78" s="456">
        <x:f t="shared" si="23"/>
        <x:v>60000</x:v>
      </x:c>
      <x:c r="X78" s="450">
        <x:f t="shared" si="24"/>
        <x:v>5000</x:v>
      </x:c>
      <x:c r="Y78" s="457" t="s">
        <x:v>694</x:v>
      </x:c>
      <x:c r="Z78" s="458"/>
      <x:c r="AA78" s="458"/>
      <x:c r="AB78" s="458"/>
      <x:c r="AC78" s="458"/>
      <x:c r="AD78" s="458"/>
      <x:c r="AE78" s="458"/>
      <x:c r="AO78" s="438">
        <x:v>52210190</x:v>
      </x:c>
      <x:c r="AP78" s="438" t="s">
        <x:v>544</x:v>
      </x:c>
      <x:c r="AQ78" s="438" t="s">
        <x:v>455</x:v>
      </x:c>
    </x:row>
    <x:row r="79" spans="1:43" ht="20.100000000000001" customHeight="1">
      <x:c r="A79" s="439"/>
      <x:c r="B79" s="466" t="str">
        <x:f t="shared" si="17"/>
        <x:v>지급수수료</x:v>
      </x:c>
      <x:c r="C79" s="440" t="str">
        <x:f t="shared" si="18"/>
        <x:v>지급수수료</x:v>
      </x:c>
      <x:c r="D79" s="441">
        <x:v>52319900</x:v>
      </x:c>
      <x:c r="E79" s="442" t="str">
        <x:f t="shared" si="19"/>
        <x:v>지급수수료_기타</x:v>
      </x:c>
      <x:c r="F79" s="443"/>
      <x:c r="G79" s="444" t="s">
        <x:v>249</x:v>
      </x:c>
      <x:c r="H79" s="445" t="str">
        <x:f t="shared" si="20"/>
        <x:v>부품품질팀(E)</x:v>
      </x:c>
      <x:c r="I79" s="446" t="str">
        <x:f t="shared" si="21"/>
        <x:v>[관리비]</x:v>
      </x:c>
      <x:c r="J79" s="445"/>
      <x:c r="K79" s="453">
        <x:v>50000</x:v>
      </x:c>
      <x:c r="L79" s="454">
        <x:v>50000</x:v>
      </x:c>
      <x:c r="M79" s="454">
        <x:v>50000</x:v>
      </x:c>
      <x:c r="N79" s="454">
        <x:v>50000</x:v>
      </x:c>
      <x:c r="O79" s="454">
        <x:v>50000</x:v>
      </x:c>
      <x:c r="P79" s="454">
        <x:v>50000</x:v>
      </x:c>
      <x:c r="Q79" s="454">
        <x:v>50000</x:v>
      </x:c>
      <x:c r="R79" s="454">
        <x:v>50000</x:v>
      </x:c>
      <x:c r="S79" s="454">
        <x:v>50000</x:v>
      </x:c>
      <x:c r="T79" s="454">
        <x:v>50000</x:v>
      </x:c>
      <x:c r="U79" s="454">
        <x:v>50000</x:v>
      </x:c>
      <x:c r="V79" s="455">
        <x:v>50000</x:v>
      </x:c>
      <x:c r="W79" s="456">
        <x:f t="shared" si="23"/>
        <x:v>600000</x:v>
      </x:c>
      <x:c r="X79" s="450">
        <x:f t="shared" si="24"/>
        <x:v>50000</x:v>
      </x:c>
      <x:c r="Y79" s="457" t="s">
        <x:v>591</x:v>
      </x:c>
      <x:c r="Z79" s="458"/>
      <x:c r="AA79" s="458"/>
      <x:c r="AB79" s="458"/>
      <x:c r="AC79" s="458"/>
      <x:c r="AD79" s="458"/>
      <x:c r="AE79" s="458"/>
      <x:c r="AO79" s="438">
        <x:v>52219900</x:v>
      </x:c>
      <x:c r="AP79" s="438" t="s">
        <x:v>152</x:v>
      </x:c>
      <x:c r="AQ79" s="438" t="s">
        <x:v>455</x:v>
      </x:c>
    </x:row>
    <x:row r="80" spans="1:43" ht="20.100000000000001" customHeight="1">
      <x:c r="A80" s="439"/>
      <x:c r="B80" s="466" t="str">
        <x:f t="shared" si="17"/>
        <x:v>유지비용</x:v>
      </x:c>
      <x:c r="C80" s="440" t="str">
        <x:f t="shared" si="18"/>
        <x:v>소모품비</x:v>
      </x:c>
      <x:c r="D80" s="441">
        <x:v>52330102</x:v>
      </x:c>
      <x:c r="E80" s="442" t="str">
        <x:f t="shared" si="19"/>
        <x:v>소모품비_문구</x:v>
      </x:c>
      <x:c r="F80" s="443"/>
      <x:c r="G80" s="444" t="s">
        <x:v>249</x:v>
      </x:c>
      <x:c r="H80" s="445" t="str">
        <x:f t="shared" si="20"/>
        <x:v>부품품질팀(E)</x:v>
      </x:c>
      <x:c r="I80" s="446" t="str">
        <x:f t="shared" si="21"/>
        <x:v>[관리비]</x:v>
      </x:c>
      <x:c r="J80" s="445"/>
      <x:c r="K80" s="453">
        <x:v>40000</x:v>
      </x:c>
      <x:c r="L80" s="454">
        <x:v>40000</x:v>
      </x:c>
      <x:c r="M80" s="454">
        <x:v>40000</x:v>
      </x:c>
      <x:c r="N80" s="454">
        <x:v>40000</x:v>
      </x:c>
      <x:c r="O80" s="454">
        <x:v>40000</x:v>
      </x:c>
      <x:c r="P80" s="454">
        <x:v>40000</x:v>
      </x:c>
      <x:c r="Q80" s="454">
        <x:v>40000</x:v>
      </x:c>
      <x:c r="R80" s="454">
        <x:v>40000</x:v>
      </x:c>
      <x:c r="S80" s="454">
        <x:v>40000</x:v>
      </x:c>
      <x:c r="T80" s="454">
        <x:v>40000</x:v>
      </x:c>
      <x:c r="U80" s="454">
        <x:v>40000</x:v>
      </x:c>
      <x:c r="V80" s="455">
        <x:v>40000</x:v>
      </x:c>
      <x:c r="W80" s="456">
        <x:f t="shared" si="23"/>
        <x:v>480000</x:v>
      </x:c>
      <x:c r="X80" s="450">
        <x:f t="shared" si="24"/>
        <x:v>40000</x:v>
      </x:c>
      <x:c r="Y80" s="457" t="s">
        <x:v>695</x:v>
      </x:c>
      <x:c r="Z80" s="458"/>
      <x:c r="AA80" s="458"/>
      <x:c r="AB80" s="458"/>
      <x:c r="AC80" s="458"/>
      <x:c r="AD80" s="458"/>
      <x:c r="AE80" s="458"/>
      <x:c r="AO80" s="438">
        <x:v>52220101</x:v>
      </x:c>
      <x:c r="AP80" s="438" t="s">
        <x:v>545</x:v>
      </x:c>
      <x:c r="AQ80" s="438" t="s">
        <x:v>546</x:v>
      </x:c>
    </x:row>
    <x:row r="81" spans="1:43" ht="20.100000000000001" customHeight="1">
      <x:c r="A81" s="439"/>
      <x:c r="B81" s="466" t="str">
        <x:f t="shared" si="17"/>
        <x:v>유지비용</x:v>
      </x:c>
      <x:c r="C81" s="440" t="str">
        <x:f t="shared" si="18"/>
        <x:v>소모품비</x:v>
      </x:c>
      <x:c r="D81" s="441">
        <x:v>52339900</x:v>
      </x:c>
      <x:c r="E81" s="442" t="str">
        <x:f t="shared" si="19"/>
        <x:v>소모품비_기타</x:v>
      </x:c>
      <x:c r="F81" s="443"/>
      <x:c r="G81" s="444" t="s">
        <x:v>249</x:v>
      </x:c>
      <x:c r="H81" s="445" t="str">
        <x:f t="shared" si="20"/>
        <x:v>부품품질팀(E)</x:v>
      </x:c>
      <x:c r="I81" s="446" t="str">
        <x:f t="shared" si="21"/>
        <x:v>[관리비]</x:v>
      </x:c>
      <x:c r="J81" s="445"/>
      <x:c r="K81" s="453">
        <x:v>20000</x:v>
      </x:c>
      <x:c r="L81" s="454">
        <x:v>20000</x:v>
      </x:c>
      <x:c r="M81" s="454">
        <x:v>20000</x:v>
      </x:c>
      <x:c r="N81" s="454">
        <x:v>20000</x:v>
      </x:c>
      <x:c r="O81" s="454">
        <x:v>20000</x:v>
      </x:c>
      <x:c r="P81" s="454">
        <x:v>20000</x:v>
      </x:c>
      <x:c r="Q81" s="454">
        <x:v>20000</x:v>
      </x:c>
      <x:c r="R81" s="454">
        <x:v>20000</x:v>
      </x:c>
      <x:c r="S81" s="454">
        <x:v>20000</x:v>
      </x:c>
      <x:c r="T81" s="454">
        <x:v>20000</x:v>
      </x:c>
      <x:c r="U81" s="454">
        <x:v>20000</x:v>
      </x:c>
      <x:c r="V81" s="455">
        <x:v>20000</x:v>
      </x:c>
      <x:c r="W81" s="456">
        <x:f t="shared" si="23"/>
        <x:v>240000</x:v>
      </x:c>
      <x:c r="X81" s="450">
        <x:f t="shared" si="24"/>
        <x:v>20000</x:v>
      </x:c>
      <x:c r="Y81" s="457" t="s">
        <x:v>592</x:v>
      </x:c>
      <x:c r="Z81" s="458"/>
      <x:c r="AA81" s="458"/>
      <x:c r="AB81" s="458"/>
      <x:c r="AC81" s="458"/>
      <x:c r="AD81" s="458"/>
      <x:c r="AE81" s="458"/>
      <x:c r="AO81" s="438">
        <x:v>52220103</x:v>
      </x:c>
      <x:c r="AP81" s="438" t="s">
        <x:v>153</x:v>
      </x:c>
      <x:c r="AQ81" s="438" t="s">
        <x:v>546</x:v>
      </x:c>
    </x:row>
    <x:row r="82" spans="1:43" ht="20.100000000000001" customHeight="1">
      <x:c r="A82" s="439"/>
      <x:c r="B82" s="466" t="str">
        <x:f t="shared" si="17"/>
        <x:v>기타비용</x:v>
      </x:c>
      <x:c r="C82" s="440" t="str">
        <x:f t="shared" si="18"/>
        <x:v>차량유지비</x:v>
      </x:c>
      <x:c r="D82" s="441">
        <x:v>52359900</x:v>
      </x:c>
      <x:c r="E82" s="442" t="str">
        <x:f t="shared" si="19"/>
        <x:v>차량유지비_기타</x:v>
      </x:c>
      <x:c r="F82" s="443"/>
      <x:c r="G82" s="444" t="s">
        <x:v>249</x:v>
      </x:c>
      <x:c r="H82" s="445" t="str">
        <x:f t="shared" si="20"/>
        <x:v>부품품질팀(E)</x:v>
      </x:c>
      <x:c r="I82" s="446" t="str">
        <x:f t="shared" si="21"/>
        <x:v>[관리비]</x:v>
      </x:c>
      <x:c r="J82" s="445"/>
      <x:c r="K82" s="453">
        <x:v>20000</x:v>
      </x:c>
      <x:c r="L82" s="454">
        <x:v>20000</x:v>
      </x:c>
      <x:c r="M82" s="454">
        <x:v>20000</x:v>
      </x:c>
      <x:c r="N82" s="454">
        <x:v>20000</x:v>
      </x:c>
      <x:c r="O82" s="454">
        <x:v>20000</x:v>
      </x:c>
      <x:c r="P82" s="454">
        <x:v>20000</x:v>
      </x:c>
      <x:c r="Q82" s="454">
        <x:v>20000</x:v>
      </x:c>
      <x:c r="R82" s="454">
        <x:v>20000</x:v>
      </x:c>
      <x:c r="S82" s="454">
        <x:v>20000</x:v>
      </x:c>
      <x:c r="T82" s="454">
        <x:v>20000</x:v>
      </x:c>
      <x:c r="U82" s="454">
        <x:v>20000</x:v>
      </x:c>
      <x:c r="V82" s="455">
        <x:v>20000</x:v>
      </x:c>
      <x:c r="W82" s="456">
        <x:f t="shared" si="23"/>
        <x:v>240000</x:v>
      </x:c>
      <x:c r="X82" s="450">
        <x:f t="shared" si="24"/>
        <x:v>20000</x:v>
      </x:c>
      <x:c r="Y82" s="457" t="s">
        <x:v>696</x:v>
      </x:c>
      <x:c r="Z82" s="458"/>
      <x:c r="AA82" s="458"/>
      <x:c r="AB82" s="458"/>
      <x:c r="AC82" s="458"/>
      <x:c r="AD82" s="458"/>
      <x:c r="AE82" s="458"/>
      <x:c r="AO82" s="438">
        <x:v>52220104</x:v>
      </x:c>
      <x:c r="AP82" s="438" t="s">
        <x:v>547</x:v>
      </x:c>
      <x:c r="AQ82" s="438" t="s">
        <x:v>546</x:v>
      </x:c>
    </x:row>
    <x:row r="83" spans="1:43" ht="20.100000000000001" customHeight="1">
      <x:c r="A83" s="439"/>
      <x:c r="B83" s="466" t="str">
        <x:f t="shared" si="17"/>
        <x:v>기타비용</x:v>
      </x:c>
      <x:c r="C83" s="440" t="str">
        <x:f t="shared" si="18"/>
        <x:v>차량유지비</x:v>
      </x:c>
      <x:c r="D83" s="441">
        <x:v>52350101</x:v>
      </x:c>
      <x:c r="E83" s="442" t="str">
        <x:f t="shared" si="19"/>
        <x:v>차량유지비_유류대</x:v>
      </x:c>
      <x:c r="F83" s="443"/>
      <x:c r="G83" s="444" t="s">
        <x:v>249</x:v>
      </x:c>
      <x:c r="H83" s="445" t="str">
        <x:f t="shared" si="20"/>
        <x:v>부품품질팀(E)</x:v>
      </x:c>
      <x:c r="I83" s="446" t="str">
        <x:f t="shared" si="21"/>
        <x:v>[관리비]</x:v>
      </x:c>
      <x:c r="J83" s="445"/>
      <x:c r="K83" s="453">
        <x:v>200000</x:v>
      </x:c>
      <x:c r="L83" s="454">
        <x:v>200000</x:v>
      </x:c>
      <x:c r="M83" s="454">
        <x:v>200000</x:v>
      </x:c>
      <x:c r="N83" s="454">
        <x:v>200000</x:v>
      </x:c>
      <x:c r="O83" s="454">
        <x:v>200000</x:v>
      </x:c>
      <x:c r="P83" s="454">
        <x:v>200000</x:v>
      </x:c>
      <x:c r="Q83" s="454">
        <x:v>200000</x:v>
      </x:c>
      <x:c r="R83" s="454">
        <x:v>200000</x:v>
      </x:c>
      <x:c r="S83" s="454">
        <x:v>200000</x:v>
      </x:c>
      <x:c r="T83" s="454">
        <x:v>200000</x:v>
      </x:c>
      <x:c r="U83" s="454">
        <x:v>200000</x:v>
      </x:c>
      <x:c r="V83" s="455">
        <x:v>200000</x:v>
      </x:c>
      <x:c r="W83" s="456">
        <x:f t="shared" si="23"/>
        <x:v>2400000</x:v>
      </x:c>
      <x:c r="X83" s="450">
        <x:f t="shared" si="24"/>
        <x:v>200000</x:v>
      </x:c>
      <x:c r="Y83" s="457" t="s">
        <x:v>697</x:v>
      </x:c>
      <x:c r="Z83" s="458"/>
      <x:c r="AA83" s="458"/>
      <x:c r="AB83" s="458"/>
      <x:c r="AC83" s="458"/>
      <x:c r="AD83" s="458"/>
      <x:c r="AE83" s="458"/>
      <x:c r="AO83" s="438">
        <x:v>52220105</x:v>
      </x:c>
      <x:c r="AP83" s="438" t="s">
        <x:v>548</x:v>
      </x:c>
      <x:c r="AQ83" s="438" t="s">
        <x:v>546</x:v>
      </x:c>
    </x:row>
    <x:row r="84" spans="1:43" ht="20.100000000000001" customHeight="1">
      <x:c r="A84" s="439"/>
      <x:c r="B84" s="466" t="str">
        <x:f t="shared" si="17"/>
        <x:v>복리후생비</x:v>
      </x:c>
      <x:c r="C84" s="440" t="str">
        <x:f t="shared" si="18"/>
        <x:v>후생비</x:v>
      </x:c>
      <x:c r="D84" s="441">
        <x:v>52130123</x:v>
      </x:c>
      <x:c r="E84" s="442" t="str">
        <x:f t="shared" si="19"/>
        <x:v>후생비_외근식대</x:v>
      </x:c>
      <x:c r="F84" s="443"/>
      <x:c r="G84" s="444" t="s">
        <x:v>104</x:v>
      </x:c>
      <x:c r="H84" s="445" t="str">
        <x:f t="shared" si="20"/>
        <x:v>제품개발팀(E)</x:v>
      </x:c>
      <x:c r="I84" s="446" t="str">
        <x:f t="shared" si="21"/>
        <x:v>[연구개발비]</x:v>
      </x:c>
      <x:c r="J84" s="445"/>
      <x:c r="K84" s="453">
        <x:v>91000</x:v>
      </x:c>
      <x:c r="L84" s="454">
        <x:v>91000</x:v>
      </x:c>
      <x:c r="M84" s="454">
        <x:v>91000</x:v>
      </x:c>
      <x:c r="N84" s="454">
        <x:v>91000</x:v>
      </x:c>
      <x:c r="O84" s="454">
        <x:v>91000</x:v>
      </x:c>
      <x:c r="P84" s="454">
        <x:v>91000</x:v>
      </x:c>
      <x:c r="Q84" s="454">
        <x:v>91000</x:v>
      </x:c>
      <x:c r="R84" s="454">
        <x:v>91000</x:v>
      </x:c>
      <x:c r="S84" s="454">
        <x:v>91000</x:v>
      </x:c>
      <x:c r="T84" s="454">
        <x:v>91000</x:v>
      </x:c>
      <x:c r="U84" s="454">
        <x:v>91000</x:v>
      </x:c>
      <x:c r="V84" s="455">
        <x:v>91000</x:v>
      </x:c>
      <x:c r="W84" s="456">
        <x:f t="shared" si="23"/>
        <x:v>1092000</x:v>
      </x:c>
      <x:c r="X84" s="450">
        <x:f t="shared" si="24"/>
        <x:v>91000</x:v>
      </x:c>
      <x:c r="Y84" s="457" t="s">
        <x:v>781</x:v>
      </x:c>
      <x:c r="Z84" s="458"/>
      <x:c r="AA84" s="458"/>
      <x:c r="AB84" s="458"/>
      <x:c r="AC84" s="458"/>
      <x:c r="AD84" s="458"/>
      <x:c r="AE84" s="458"/>
      <x:c r="AO84" s="438">
        <x:v>52220106</x:v>
      </x:c>
      <x:c r="AP84" s="438" t="s">
        <x:v>549</x:v>
      </x:c>
      <x:c r="AQ84" s="438" t="s">
        <x:v>546</x:v>
      </x:c>
    </x:row>
    <x:row r="85" spans="1:43" ht="20.100000000000001" customHeight="1">
      <x:c r="A85" s="439"/>
      <x:c r="B85" s="466" t="str">
        <x:f t="shared" si="17"/>
        <x:v>기타비용</x:v>
      </x:c>
      <x:c r="C85" s="440" t="str">
        <x:f t="shared" si="18"/>
        <x:v>접대비</x:v>
      </x:c>
      <x:c r="D85" s="441">
        <x:v>52230103</x:v>
      </x:c>
      <x:c r="E85" s="442" t="str">
        <x:f t="shared" si="19"/>
        <x:v>접대비_법인카드</x:v>
      </x:c>
      <x:c r="F85" s="443"/>
      <x:c r="G85" s="444" t="s">
        <x:v>104</x:v>
      </x:c>
      <x:c r="H85" s="445" t="str">
        <x:f t="shared" si="20"/>
        <x:v>제품개발팀(E)</x:v>
      </x:c>
      <x:c r="I85" s="446" t="str">
        <x:f t="shared" si="21"/>
        <x:v>[연구개발비]</x:v>
      </x:c>
      <x:c r="J85" s="445"/>
      <x:c r="K85" s="453">
        <x:v>200000</x:v>
      </x:c>
      <x:c r="L85" s="454">
        <x:v>200000</x:v>
      </x:c>
      <x:c r="M85" s="454">
        <x:v>200000</x:v>
      </x:c>
      <x:c r="N85" s="454">
        <x:v>200000</x:v>
      </x:c>
      <x:c r="O85" s="454">
        <x:v>200000</x:v>
      </x:c>
      <x:c r="P85" s="454">
        <x:v>200000</x:v>
      </x:c>
      <x:c r="Q85" s="454">
        <x:v>200000</x:v>
      </x:c>
      <x:c r="R85" s="454">
        <x:v>200000</x:v>
      </x:c>
      <x:c r="S85" s="454">
        <x:v>200000</x:v>
      </x:c>
      <x:c r="T85" s="454">
        <x:v>200000</x:v>
      </x:c>
      <x:c r="U85" s="454">
        <x:v>200000</x:v>
      </x:c>
      <x:c r="V85" s="455">
        <x:v>200000</x:v>
      </x:c>
      <x:c r="W85" s="456">
        <x:f t="shared" si="23"/>
        <x:v>2400000</x:v>
      </x:c>
      <x:c r="X85" s="450">
        <x:f t="shared" si="24"/>
        <x:v>200000</x:v>
      </x:c>
      <x:c r="Y85" s="457" t="s">
        <x:v>782</x:v>
      </x:c>
      <x:c r="Z85" s="458"/>
      <x:c r="AA85" s="458"/>
      <x:c r="AB85" s="458"/>
      <x:c r="AC85" s="458"/>
      <x:c r="AD85" s="458"/>
      <x:c r="AE85" s="458"/>
      <x:c r="AO85" s="438">
        <x:v>52230101</x:v>
      </x:c>
      <x:c r="AP85" s="438" t="s">
        <x:v>154</x:v>
      </x:c>
      <x:c r="AQ85" s="438" t="s">
        <x:v>451</x:v>
      </x:c>
    </x:row>
    <x:row r="86" spans="1:43" ht="20.100000000000001" customHeight="1">
      <x:c r="A86" s="439"/>
      <x:c r="B86" s="466" t="str">
        <x:f t="shared" si="17"/>
        <x:v>유지비용</x:v>
      </x:c>
      <x:c r="C86" s="440" t="str">
        <x:f t="shared" si="18"/>
        <x:v>소모품비</x:v>
      </x:c>
      <x:c r="D86" s="441">
        <x:v>52339900</x:v>
      </x:c>
      <x:c r="E86" s="442" t="str">
        <x:f t="shared" si="19"/>
        <x:v>소모품비_기타</x:v>
      </x:c>
      <x:c r="F86" s="443"/>
      <x:c r="G86" s="444" t="s">
        <x:v>104</x:v>
      </x:c>
      <x:c r="H86" s="445" t="str">
        <x:f t="shared" si="20"/>
        <x:v>제품개발팀(E)</x:v>
      </x:c>
      <x:c r="I86" s="446" t="str">
        <x:f t="shared" si="21"/>
        <x:v>[연구개발비]</x:v>
      </x:c>
      <x:c r="J86" s="445"/>
      <x:c r="K86" s="453">
        <x:v>70000</x:v>
      </x:c>
      <x:c r="L86" s="454">
        <x:v>70000</x:v>
      </x:c>
      <x:c r="M86" s="454">
        <x:v>70000</x:v>
      </x:c>
      <x:c r="N86" s="454">
        <x:v>70000</x:v>
      </x:c>
      <x:c r="O86" s="454">
        <x:v>70000</x:v>
      </x:c>
      <x:c r="P86" s="454">
        <x:v>70000</x:v>
      </x:c>
      <x:c r="Q86" s="454">
        <x:v>70000</x:v>
      </x:c>
      <x:c r="R86" s="454">
        <x:v>70000</x:v>
      </x:c>
      <x:c r="S86" s="454">
        <x:v>70000</x:v>
      </x:c>
      <x:c r="T86" s="454">
        <x:v>70000</x:v>
      </x:c>
      <x:c r="U86" s="454">
        <x:v>70000</x:v>
      </x:c>
      <x:c r="V86" s="455">
        <x:v>70000</x:v>
      </x:c>
      <x:c r="W86" s="456">
        <x:f t="shared" si="23"/>
        <x:v>840000</x:v>
      </x:c>
      <x:c r="X86" s="450">
        <x:f t="shared" si="24"/>
        <x:v>70000</x:v>
      </x:c>
      <x:c r="Y86" s="457" t="s">
        <x:v>698</x:v>
      </x:c>
      <x:c r="Z86" s="458"/>
      <x:c r="AA86" s="458"/>
      <x:c r="AB86" s="458"/>
      <x:c r="AC86" s="458"/>
      <x:c r="AD86" s="458"/>
      <x:c r="AE86" s="458"/>
      <x:c r="AO86" s="438">
        <x:v>52230102</x:v>
      </x:c>
      <x:c r="AP86" s="438" t="s">
        <x:v>550</x:v>
      </x:c>
      <x:c r="AQ86" s="438" t="s">
        <x:v>451</x:v>
      </x:c>
    </x:row>
    <x:row r="87" spans="1:43" ht="20.100000000000001" customHeight="1">
      <x:c r="A87" s="439"/>
      <x:c r="B87" s="466" t="str">
        <x:f t="shared" si="17"/>
        <x:v>여비교통비</x:v>
      </x:c>
      <x:c r="C87" s="440" t="str">
        <x:f t="shared" si="18"/>
        <x:v>여비교통비</x:v>
      </x:c>
      <x:c r="D87" s="441">
        <x:v>52150105</x:v>
      </x:c>
      <x:c r="E87" s="442" t="str">
        <x:f t="shared" si="19"/>
        <x:v>여비교통비_시내</x:v>
      </x:c>
      <x:c r="F87" s="443"/>
      <x:c r="G87" s="444" t="s">
        <x:v>104</x:v>
      </x:c>
      <x:c r="H87" s="445" t="str">
        <x:f t="shared" si="20"/>
        <x:v>제품개발팀(E)</x:v>
      </x:c>
      <x:c r="I87" s="446" t="str">
        <x:f t="shared" si="21"/>
        <x:v>[연구개발비]</x:v>
      </x:c>
      <x:c r="J87" s="445"/>
      <x:c r="K87" s="453">
        <x:v>30000</x:v>
      </x:c>
      <x:c r="L87" s="454">
        <x:v>30000</x:v>
      </x:c>
      <x:c r="M87" s="454">
        <x:v>30000</x:v>
      </x:c>
      <x:c r="N87" s="454">
        <x:v>30000</x:v>
      </x:c>
      <x:c r="O87" s="454">
        <x:v>30000</x:v>
      </x:c>
      <x:c r="P87" s="454">
        <x:v>30000</x:v>
      </x:c>
      <x:c r="Q87" s="454">
        <x:v>30000</x:v>
      </x:c>
      <x:c r="R87" s="454">
        <x:v>30000</x:v>
      </x:c>
      <x:c r="S87" s="454">
        <x:v>30000</x:v>
      </x:c>
      <x:c r="T87" s="454">
        <x:v>30000</x:v>
      </x:c>
      <x:c r="U87" s="454">
        <x:v>30000</x:v>
      </x:c>
      <x:c r="V87" s="455">
        <x:v>30000</x:v>
      </x:c>
      <x:c r="W87" s="456">
        <x:f t="shared" si="23"/>
        <x:v>360000</x:v>
      </x:c>
      <x:c r="X87" s="450">
        <x:f t="shared" si="24"/>
        <x:v>30000</x:v>
      </x:c>
      <x:c r="Y87" s="457" t="s">
        <x:v>699</x:v>
      </x:c>
      <x:c r="Z87" s="458"/>
      <x:c r="AA87" s="458"/>
      <x:c r="AB87" s="458"/>
      <x:c r="AC87" s="458"/>
      <x:c r="AD87" s="458"/>
      <x:c r="AE87" s="458"/>
      <x:c r="AO87" s="438">
        <x:v>52230103</x:v>
      </x:c>
      <x:c r="AP87" s="438" t="s">
        <x:v>155</x:v>
      </x:c>
      <x:c r="AQ87" s="438" t="s">
        <x:v>451</x:v>
      </x:c>
    </x:row>
    <x:row r="88" spans="1:43" ht="20.100000000000001" customHeight="1">
      <x:c r="A88" s="439"/>
      <x:c r="B88" s="466" t="str">
        <x:f t="shared" si="17"/>
        <x:v>여비교통비</x:v>
      </x:c>
      <x:c r="C88" s="440" t="str">
        <x:f t="shared" si="18"/>
        <x:v>여비교통비</x:v>
      </x:c>
      <x:c r="D88" s="441">
        <x:v>52150101</x:v>
      </x:c>
      <x:c r="E88" s="442" t="str">
        <x:f t="shared" si="19"/>
        <x:v>여비교통비_국내출장</x:v>
      </x:c>
      <x:c r="F88" s="443"/>
      <x:c r="G88" s="444" t="s">
        <x:v>104</x:v>
      </x:c>
      <x:c r="H88" s="445" t="str">
        <x:f t="shared" si="20"/>
        <x:v>제품개발팀(E)</x:v>
      </x:c>
      <x:c r="I88" s="446" t="str">
        <x:f t="shared" si="21"/>
        <x:v>[연구개발비]</x:v>
      </x:c>
      <x:c r="J88" s="445"/>
      <x:c r="K88" s="453">
        <x:v>50000</x:v>
      </x:c>
      <x:c r="L88" s="454">
        <x:v>50000</x:v>
      </x:c>
      <x:c r="M88" s="454">
        <x:v>50000</x:v>
      </x:c>
      <x:c r="N88" s="454">
        <x:v>50000</x:v>
      </x:c>
      <x:c r="O88" s="454">
        <x:v>50000</x:v>
      </x:c>
      <x:c r="P88" s="454">
        <x:v>50000</x:v>
      </x:c>
      <x:c r="Q88" s="454">
        <x:v>50000</x:v>
      </x:c>
      <x:c r="R88" s="454">
        <x:v>50000</x:v>
      </x:c>
      <x:c r="S88" s="454">
        <x:v>50000</x:v>
      </x:c>
      <x:c r="T88" s="454">
        <x:v>50000</x:v>
      </x:c>
      <x:c r="U88" s="454">
        <x:v>50000</x:v>
      </x:c>
      <x:c r="V88" s="455">
        <x:v>50000</x:v>
      </x:c>
      <x:c r="W88" s="456">
        <x:f t="shared" si="23"/>
        <x:v>600000</x:v>
      </x:c>
      <x:c r="X88" s="450">
        <x:f t="shared" si="24"/>
        <x:v>50000</x:v>
      </x:c>
      <x:c r="Y88" s="457" t="s">
        <x:v>700</x:v>
      </x:c>
      <x:c r="Z88" s="458"/>
      <x:c r="AA88" s="458"/>
      <x:c r="AB88" s="458"/>
      <x:c r="AC88" s="458"/>
      <x:c r="AD88" s="458"/>
      <x:c r="AE88" s="458"/>
      <x:c r="AO88" s="438">
        <x:v>52230104</x:v>
      </x:c>
      <x:c r="AP88" s="438" t="s">
        <x:v>551</x:v>
      </x:c>
      <x:c r="AQ88" s="438" t="s">
        <x:v>451</x:v>
      </x:c>
    </x:row>
    <x:row r="89" spans="1:43" ht="20.100000000000001" customHeight="1">
      <x:c r="A89" s="439"/>
      <x:c r="B89" s="466" t="str">
        <x:f t="shared" si="17"/>
        <x:v>여비교통비</x:v>
      </x:c>
      <x:c r="C89" s="440" t="str">
        <x:f t="shared" si="18"/>
        <x:v>여비교통비</x:v>
      </x:c>
      <x:c r="D89" s="441">
        <x:v>52150103</x:v>
      </x:c>
      <x:c r="E89" s="442" t="str">
        <x:f t="shared" si="19"/>
        <x:v>여비교통비_해외출장</x:v>
      </x:c>
      <x:c r="F89" s="443"/>
      <x:c r="G89" s="444" t="s">
        <x:v>104</x:v>
      </x:c>
      <x:c r="H89" s="445" t="str">
        <x:f t="shared" si="20"/>
        <x:v>제품개발팀(E)</x:v>
      </x:c>
      <x:c r="I89" s="446" t="str">
        <x:f t="shared" si="21"/>
        <x:v>[연구개발비]</x:v>
      </x:c>
      <x:c r="J89" s="445"/>
      <x:c r="K89" s="453">
        <x:v>2500000</x:v>
      </x:c>
      <x:c r="L89" s="454">
        <x:v>2500000</x:v>
      </x:c>
      <x:c r="M89" s="454">
        <x:v>2500000</x:v>
      </x:c>
      <x:c r="N89" s="454">
        <x:v>2500000</x:v>
      </x:c>
      <x:c r="O89" s="454">
        <x:v>2500000</x:v>
      </x:c>
      <x:c r="P89" s="454">
        <x:v>2500000</x:v>
      </x:c>
      <x:c r="Q89" s="454">
        <x:v>2500000</x:v>
      </x:c>
      <x:c r="R89" s="454">
        <x:v>2500000</x:v>
      </x:c>
      <x:c r="S89" s="454">
        <x:v>2500000</x:v>
      </x:c>
      <x:c r="T89" s="454">
        <x:v>2500000</x:v>
      </x:c>
      <x:c r="U89" s="454">
        <x:v>2500000</x:v>
      </x:c>
      <x:c r="V89" s="455">
        <x:v>2500000</x:v>
      </x:c>
      <x:c r="W89" s="456">
        <x:f t="shared" si="23"/>
        <x:v>30000000</x:v>
      </x:c>
      <x:c r="X89" s="450">
        <x:f t="shared" si="24"/>
        <x:v>2500000</x:v>
      </x:c>
      <x:c r="Y89" s="457" t="s">
        <x:v>783</x:v>
      </x:c>
      <x:c r="Z89" s="458"/>
      <x:c r="AA89" s="458"/>
      <x:c r="AB89" s="458"/>
      <x:c r="AC89" s="458"/>
      <x:c r="AD89" s="458"/>
      <x:c r="AE89" s="458"/>
      <x:c r="AO89" s="438">
        <x:v>52230106</x:v>
      </x:c>
      <x:c r="AP89" s="438" t="s">
        <x:v>552</x:v>
      </x:c>
      <x:c r="AQ89" s="438" t="s">
        <x:v>451</x:v>
      </x:c>
    </x:row>
    <x:row r="90" spans="1:43" ht="20.100000000000001" customHeight="1">
      <x:c r="A90" s="439"/>
      <x:c r="B90" s="466" t="str">
        <x:f t="shared" si="17"/>
        <x:v>운반비</x:v>
      </x:c>
      <x:c r="C90" s="440" t="str">
        <x:f t="shared" si="18"/>
        <x:v>운반비</x:v>
      </x:c>
      <x:c r="D90" s="441">
        <x:v>52250104</x:v>
      </x:c>
      <x:c r="E90" s="442" t="str">
        <x:f t="shared" si="19"/>
        <x:v>운반비_특송</x:v>
      </x:c>
      <x:c r="F90" s="443"/>
      <x:c r="G90" s="444" t="s">
        <x:v>104</x:v>
      </x:c>
      <x:c r="H90" s="445" t="str">
        <x:f t="shared" si="20"/>
        <x:v>제품개발팀(E)</x:v>
      </x:c>
      <x:c r="I90" s="446" t="str">
        <x:f t="shared" si="21"/>
        <x:v>[연구개발비]</x:v>
      </x:c>
      <x:c r="J90" s="445"/>
      <x:c r="K90" s="453">
        <x:v>100000</x:v>
      </x:c>
      <x:c r="L90" s="454">
        <x:v>100000</x:v>
      </x:c>
      <x:c r="M90" s="454">
        <x:v>100000</x:v>
      </x:c>
      <x:c r="N90" s="454">
        <x:v>100000</x:v>
      </x:c>
      <x:c r="O90" s="454">
        <x:v>100000</x:v>
      </x:c>
      <x:c r="P90" s="454">
        <x:v>100000</x:v>
      </x:c>
      <x:c r="Q90" s="454">
        <x:v>100000</x:v>
      </x:c>
      <x:c r="R90" s="454">
        <x:v>100000</x:v>
      </x:c>
      <x:c r="S90" s="454">
        <x:v>100000</x:v>
      </x:c>
      <x:c r="T90" s="454">
        <x:v>100000</x:v>
      </x:c>
      <x:c r="U90" s="454">
        <x:v>100000</x:v>
      </x:c>
      <x:c r="V90" s="455">
        <x:v>100000</x:v>
      </x:c>
      <x:c r="W90" s="456">
        <x:f t="shared" si="23"/>
        <x:v>1200000</x:v>
      </x:c>
      <x:c r="X90" s="450">
        <x:f t="shared" si="24"/>
        <x:v>100000</x:v>
      </x:c>
      <x:c r="Y90" s="457" t="s">
        <x:v>784</x:v>
      </x:c>
      <x:c r="Z90" s="458"/>
      <x:c r="AA90" s="458"/>
      <x:c r="AB90" s="458"/>
      <x:c r="AC90" s="458"/>
      <x:c r="AD90" s="458"/>
      <x:c r="AE90" s="458"/>
      <x:c r="AO90" s="438">
        <x:v>52250101</x:v>
      </x:c>
      <x:c r="AP90" s="438" t="s">
        <x:v>312</x:v>
      </x:c>
      <x:c r="AQ90" s="438" t="s">
        <x:v>38</x:v>
      </x:c>
    </x:row>
    <x:row r="91" spans="1:43" ht="20.100000000000001" customHeight="1">
      <x:c r="A91" s="439"/>
      <x:c r="B91" s="466" t="str">
        <x:f t="shared" si="17"/>
        <x:v>운반비</x:v>
      </x:c>
      <x:c r="C91" s="440" t="str">
        <x:f t="shared" si="18"/>
        <x:v>운반비</x:v>
      </x:c>
      <x:c r="D91" s="441">
        <x:v>52250105</x:v>
      </x:c>
      <x:c r="E91" s="442" t="str">
        <x:f t="shared" si="19"/>
        <x:v>운반비_택배</x:v>
      </x:c>
      <x:c r="F91" s="443"/>
      <x:c r="G91" s="444" t="s">
        <x:v>104</x:v>
      </x:c>
      <x:c r="H91" s="445" t="str">
        <x:f t="shared" si="20"/>
        <x:v>제품개발팀(E)</x:v>
      </x:c>
      <x:c r="I91" s="446" t="str">
        <x:f t="shared" si="21"/>
        <x:v>[연구개발비]</x:v>
      </x:c>
      <x:c r="J91" s="445"/>
      <x:c r="K91" s="453">
        <x:v>15000</x:v>
      </x:c>
      <x:c r="L91" s="454">
        <x:v>15000</x:v>
      </x:c>
      <x:c r="M91" s="454">
        <x:v>15000</x:v>
      </x:c>
      <x:c r="N91" s="454">
        <x:v>15000</x:v>
      </x:c>
      <x:c r="O91" s="454">
        <x:v>15000</x:v>
      </x:c>
      <x:c r="P91" s="454">
        <x:v>15000</x:v>
      </x:c>
      <x:c r="Q91" s="454">
        <x:v>15000</x:v>
      </x:c>
      <x:c r="R91" s="454">
        <x:v>15000</x:v>
      </x:c>
      <x:c r="S91" s="454">
        <x:v>15000</x:v>
      </x:c>
      <x:c r="T91" s="454">
        <x:v>15000</x:v>
      </x:c>
      <x:c r="U91" s="454">
        <x:v>15000</x:v>
      </x:c>
      <x:c r="V91" s="455">
        <x:v>15000</x:v>
      </x:c>
      <x:c r="W91" s="456">
        <x:f t="shared" si="23"/>
        <x:v>180000</x:v>
      </x:c>
      <x:c r="X91" s="450">
        <x:f t="shared" si="24"/>
        <x:v>15000</x:v>
      </x:c>
      <x:c r="Y91" s="457" t="s">
        <x:v>785</x:v>
      </x:c>
      <x:c r="Z91" s="458"/>
      <x:c r="AA91" s="458"/>
      <x:c r="AB91" s="458"/>
      <x:c r="AC91" s="458"/>
      <x:c r="AD91" s="458"/>
      <x:c r="AE91" s="458"/>
      <x:c r="AO91" s="438">
        <x:v>52250102</x:v>
      </x:c>
      <x:c r="AP91" s="438" t="s">
        <x:v>553</x:v>
      </x:c>
      <x:c r="AQ91" s="438" t="s">
        <x:v>38</x:v>
      </x:c>
    </x:row>
    <x:row r="92" spans="1:43" ht="20.100000000000001" customHeight="1">
      <x:c r="A92" s="439"/>
      <x:c r="B92" s="466" t="str">
        <x:f t="shared" si="17"/>
        <x:v>지급수수료</x:v>
      </x:c>
      <x:c r="C92" s="440" t="str">
        <x:f t="shared" si="18"/>
        <x:v>지급수수료</x:v>
      </x:c>
      <x:c r="D92" s="441">
        <x:v>52319900</x:v>
      </x:c>
      <x:c r="E92" s="442" t="str">
        <x:f t="shared" si="19"/>
        <x:v>지급수수료_기타</x:v>
      </x:c>
      <x:c r="F92" s="443"/>
      <x:c r="G92" s="444" t="s">
        <x:v>104</x:v>
      </x:c>
      <x:c r="H92" s="445" t="str">
        <x:f t="shared" si="20"/>
        <x:v>제품개발팀(E)</x:v>
      </x:c>
      <x:c r="I92" s="446" t="str">
        <x:f t="shared" si="21"/>
        <x:v>[연구개발비]</x:v>
      </x:c>
      <x:c r="J92" s="445"/>
      <x:c r="K92" s="453">
        <x:v>50000</x:v>
      </x:c>
      <x:c r="L92" s="454">
        <x:v>50000</x:v>
      </x:c>
      <x:c r="M92" s="454">
        <x:v>50000</x:v>
      </x:c>
      <x:c r="N92" s="454">
        <x:v>50000</x:v>
      </x:c>
      <x:c r="O92" s="454">
        <x:v>50000</x:v>
      </x:c>
      <x:c r="P92" s="454">
        <x:v>50000</x:v>
      </x:c>
      <x:c r="Q92" s="454">
        <x:v>50000</x:v>
      </x:c>
      <x:c r="R92" s="454">
        <x:v>50000</x:v>
      </x:c>
      <x:c r="S92" s="454">
        <x:v>50000</x:v>
      </x:c>
      <x:c r="T92" s="454">
        <x:v>50000</x:v>
      </x:c>
      <x:c r="U92" s="454">
        <x:v>50000</x:v>
      </x:c>
      <x:c r="V92" s="455">
        <x:v>50000</x:v>
      </x:c>
      <x:c r="W92" s="456">
        <x:f t="shared" ref="W92:W109" si="25">IFERROR(SUM(K92:V92),"")</x:f>
        <x:v>600000</x:v>
      </x:c>
      <x:c r="X92" s="450">
        <x:f t="shared" ref="X92:X109" si="26">IFERROR($W92/$Y$1,"")</x:f>
        <x:v>50000</x:v>
      </x:c>
      <x:c r="Y92" s="457" t="s">
        <x:v>786</x:v>
      </x:c>
      <x:c r="Z92" s="458"/>
      <x:c r="AA92" s="458"/>
      <x:c r="AB92" s="458"/>
      <x:c r="AC92" s="458"/>
      <x:c r="AD92" s="458"/>
      <x:c r="AE92" s="458"/>
      <x:c r="AO92" s="438">
        <x:v>52250103</x:v>
      </x:c>
      <x:c r="AP92" s="438" t="s">
        <x:v>156</x:v>
      </x:c>
      <x:c r="AQ92" s="438" t="s">
        <x:v>38</x:v>
      </x:c>
    </x:row>
    <x:row r="93" spans="1:43" ht="20.100000000000001" customHeight="1">
      <x:c r="A93" s="439"/>
      <x:c r="B93" s="466" t="str">
        <x:f t="shared" si="17"/>
        <x:v>지급수수료</x:v>
      </x:c>
      <x:c r="C93" s="440" t="str">
        <x:f t="shared" si="18"/>
        <x:v>지급수수료</x:v>
      </x:c>
      <x:c r="D93" s="441">
        <x:v>52310128</x:v>
      </x:c>
      <x:c r="E93" s="442" t="str">
        <x:f t="shared" si="19"/>
        <x:v>지급수수료-통관수수료</x:v>
      </x:c>
      <x:c r="F93" s="443"/>
      <x:c r="G93" s="444" t="s">
        <x:v>104</x:v>
      </x:c>
      <x:c r="H93" s="445" t="str">
        <x:f t="shared" si="20"/>
        <x:v>제품개발팀(E)</x:v>
      </x:c>
      <x:c r="I93" s="446" t="str">
        <x:f t="shared" si="21"/>
        <x:v>[연구개발비]</x:v>
      </x:c>
      <x:c r="J93" s="445"/>
      <x:c r="K93" s="453">
        <x:v>50000</x:v>
      </x:c>
      <x:c r="L93" s="454">
        <x:v>50000</x:v>
      </x:c>
      <x:c r="M93" s="454">
        <x:v>50000</x:v>
      </x:c>
      <x:c r="N93" s="454">
        <x:v>50000</x:v>
      </x:c>
      <x:c r="O93" s="454">
        <x:v>50000</x:v>
      </x:c>
      <x:c r="P93" s="454">
        <x:v>50000</x:v>
      </x:c>
      <x:c r="Q93" s="454">
        <x:v>50000</x:v>
      </x:c>
      <x:c r="R93" s="454">
        <x:v>50000</x:v>
      </x:c>
      <x:c r="S93" s="454">
        <x:v>50000</x:v>
      </x:c>
      <x:c r="T93" s="454">
        <x:v>50000</x:v>
      </x:c>
      <x:c r="U93" s="454">
        <x:v>50000</x:v>
      </x:c>
      <x:c r="V93" s="455">
        <x:v>50000</x:v>
      </x:c>
      <x:c r="W93" s="456">
        <x:f t="shared" si="25"/>
        <x:v>600000</x:v>
      </x:c>
      <x:c r="X93" s="450">
        <x:f t="shared" si="26"/>
        <x:v>50000</x:v>
      </x:c>
      <x:c r="Y93" s="457" t="s">
        <x:v>701</x:v>
      </x:c>
      <x:c r="Z93" s="458"/>
      <x:c r="AA93" s="458"/>
      <x:c r="AB93" s="458"/>
      <x:c r="AC93" s="458"/>
      <x:c r="AD93" s="458"/>
      <x:c r="AE93" s="458"/>
      <x:c r="AO93" s="438">
        <x:v>52250104</x:v>
      </x:c>
      <x:c r="AP93" s="438" t="s">
        <x:v>259</x:v>
      </x:c>
      <x:c r="AQ93" s="438" t="s">
        <x:v>38</x:v>
      </x:c>
    </x:row>
    <x:row r="94" spans="1:43" ht="20.100000000000001" customHeight="1">
      <x:c r="A94" s="439"/>
      <x:c r="B94" s="466" t="str">
        <x:f t="shared" si="17"/>
        <x:v>기타비용</x:v>
      </x:c>
      <x:c r="C94" s="440" t="str">
        <x:f t="shared" si="18"/>
        <x:v>차량유지비</x:v>
      </x:c>
      <x:c r="D94" s="441">
        <x:v>52359900</x:v>
      </x:c>
      <x:c r="E94" s="442" t="str">
        <x:f t="shared" si="19"/>
        <x:v>차량유지비_기타</x:v>
      </x:c>
      <x:c r="F94" s="443"/>
      <x:c r="G94" s="444" t="s">
        <x:v>104</x:v>
      </x:c>
      <x:c r="H94" s="445" t="str">
        <x:f t="shared" si="20"/>
        <x:v>제품개발팀(E)</x:v>
      </x:c>
      <x:c r="I94" s="446" t="str">
        <x:f t="shared" si="21"/>
        <x:v>[연구개발비]</x:v>
      </x:c>
      <x:c r="J94" s="445"/>
      <x:c r="K94" s="453">
        <x:v>10000</x:v>
      </x:c>
      <x:c r="L94" s="454">
        <x:v>10000</x:v>
      </x:c>
      <x:c r="M94" s="454">
        <x:v>10000</x:v>
      </x:c>
      <x:c r="N94" s="454">
        <x:v>10000</x:v>
      </x:c>
      <x:c r="O94" s="454">
        <x:v>10000</x:v>
      </x:c>
      <x:c r="P94" s="454">
        <x:v>10000</x:v>
      </x:c>
      <x:c r="Q94" s="454">
        <x:v>10000</x:v>
      </x:c>
      <x:c r="R94" s="454">
        <x:v>10000</x:v>
      </x:c>
      <x:c r="S94" s="454">
        <x:v>10000</x:v>
      </x:c>
      <x:c r="T94" s="454">
        <x:v>10000</x:v>
      </x:c>
      <x:c r="U94" s="454">
        <x:v>10000</x:v>
      </x:c>
      <x:c r="V94" s="455">
        <x:v>10000</x:v>
      </x:c>
      <x:c r="W94" s="456">
        <x:f t="shared" si="25"/>
        <x:v>120000</x:v>
      </x:c>
      <x:c r="X94" s="450">
        <x:f t="shared" si="26"/>
        <x:v>10000</x:v>
      </x:c>
      <x:c r="Y94" s="457" t="s">
        <x:v>702</x:v>
      </x:c>
      <x:c r="Z94" s="458"/>
      <x:c r="AA94" s="458"/>
      <x:c r="AB94" s="458"/>
      <x:c r="AC94" s="458"/>
      <x:c r="AD94" s="458"/>
      <x:c r="AE94" s="458"/>
      <x:c r="AO94" s="438">
        <x:v>52250105</x:v>
      </x:c>
      <x:c r="AP94" s="438" t="s">
        <x:v>157</x:v>
      </x:c>
      <x:c r="AQ94" s="438" t="s">
        <x:v>38</x:v>
      </x:c>
    </x:row>
    <x:row r="95" spans="1:43" ht="20.100000000000001" customHeight="1">
      <x:c r="A95" s="439"/>
      <x:c r="B95" s="466" t="str">
        <x:f t="shared" si="17"/>
        <x:v>복리후생비</x:v>
      </x:c>
      <x:c r="C95" s="440" t="str">
        <x:f t="shared" si="18"/>
        <x:v>후생비</x:v>
      </x:c>
      <x:c r="D95" s="441">
        <x:v>52130125</x:v>
      </x:c>
      <x:c r="E95" s="442" t="str">
        <x:f t="shared" si="19"/>
        <x:v>후생비_기타식대</x:v>
      </x:c>
      <x:c r="F95" s="443"/>
      <x:c r="G95" s="444" t="s">
        <x:v>104</x:v>
      </x:c>
      <x:c r="H95" s="445" t="str">
        <x:f t="shared" si="20"/>
        <x:v>제품개발팀(E)</x:v>
      </x:c>
      <x:c r="I95" s="446" t="str">
        <x:f t="shared" si="21"/>
        <x:v>[연구개발비]</x:v>
      </x:c>
      <x:c r="J95" s="445"/>
      <x:c r="K95" s="453">
        <x:v>50000</x:v>
      </x:c>
      <x:c r="L95" s="454">
        <x:v>50000</x:v>
      </x:c>
      <x:c r="M95" s="454">
        <x:v>50000</x:v>
      </x:c>
      <x:c r="N95" s="454">
        <x:v>50000</x:v>
      </x:c>
      <x:c r="O95" s="454">
        <x:v>50000</x:v>
      </x:c>
      <x:c r="P95" s="454">
        <x:v>50000</x:v>
      </x:c>
      <x:c r="Q95" s="454">
        <x:v>50000</x:v>
      </x:c>
      <x:c r="R95" s="454">
        <x:v>50000</x:v>
      </x:c>
      <x:c r="S95" s="454">
        <x:v>50000</x:v>
      </x:c>
      <x:c r="T95" s="454">
        <x:v>50000</x:v>
      </x:c>
      <x:c r="U95" s="454">
        <x:v>50000</x:v>
      </x:c>
      <x:c r="V95" s="455">
        <x:v>50000</x:v>
      </x:c>
      <x:c r="W95" s="456">
        <x:f t="shared" si="25"/>
        <x:v>600000</x:v>
      </x:c>
      <x:c r="X95" s="450">
        <x:f t="shared" si="26"/>
        <x:v>50000</x:v>
      </x:c>
      <x:c r="Y95" s="457" t="s">
        <x:v>703</x:v>
      </x:c>
      <x:c r="Z95" s="458"/>
      <x:c r="AA95" s="458"/>
      <x:c r="AB95" s="458"/>
      <x:c r="AC95" s="458"/>
      <x:c r="AD95" s="458"/>
      <x:c r="AE95" s="458"/>
      <x:c r="AO95" s="438">
        <x:v>52250111</x:v>
      </x:c>
      <x:c r="AP95" s="438" t="s">
        <x:v>554</x:v>
      </x:c>
      <x:c r="AQ95" s="438" t="s">
        <x:v>38</x:v>
      </x:c>
    </x:row>
    <x:row r="96" spans="1:43" ht="20.100000000000001" customHeight="1">
      <x:c r="A96" s="439"/>
      <x:c r="B96" s="466" t="str">
        <x:f t="shared" si="17"/>
        <x:v>지급수수료</x:v>
      </x:c>
      <x:c r="C96" s="440" t="str">
        <x:f t="shared" si="18"/>
        <x:v>지급수수료</x:v>
      </x:c>
      <x:c r="D96" s="441">
        <x:v>52310111</x:v>
      </x:c>
      <x:c r="E96" s="442" t="str">
        <x:f t="shared" si="19"/>
        <x:v>지급수수료-시험수수료</x:v>
      </x:c>
      <x:c r="F96" s="443"/>
      <x:c r="G96" s="444" t="s">
        <x:v>104</x:v>
      </x:c>
      <x:c r="H96" s="445" t="str">
        <x:f t="shared" si="20"/>
        <x:v>제품개발팀(E)</x:v>
      </x:c>
      <x:c r="I96" s="446" t="str">
        <x:f t="shared" si="21"/>
        <x:v>[연구개발비]</x:v>
      </x:c>
      <x:c r="J96" s="445"/>
      <x:c r="K96" s="453">
        <x:v>100000</x:v>
      </x:c>
      <x:c r="L96" s="454">
        <x:v>100000</x:v>
      </x:c>
      <x:c r="M96" s="454">
        <x:v>100000</x:v>
      </x:c>
      <x:c r="N96" s="454">
        <x:v>100000</x:v>
      </x:c>
      <x:c r="O96" s="454">
        <x:v>100000</x:v>
      </x:c>
      <x:c r="P96" s="454">
        <x:v>100000</x:v>
      </x:c>
      <x:c r="Q96" s="454">
        <x:v>100000</x:v>
      </x:c>
      <x:c r="R96" s="454">
        <x:v>100000</x:v>
      </x:c>
      <x:c r="S96" s="454">
        <x:v>100000</x:v>
      </x:c>
      <x:c r="T96" s="454">
        <x:v>100000</x:v>
      </x:c>
      <x:c r="U96" s="454">
        <x:v>100000</x:v>
      </x:c>
      <x:c r="V96" s="455">
        <x:v>100000</x:v>
      </x:c>
      <x:c r="W96" s="456">
        <x:f t="shared" si="25"/>
        <x:v>1200000</x:v>
      </x:c>
      <x:c r="X96" s="450">
        <x:f t="shared" si="26"/>
        <x:v>100000</x:v>
      </x:c>
      <x:c r="Y96" s="457" t="s">
        <x:v>787</x:v>
      </x:c>
      <x:c r="Z96" s="458"/>
      <x:c r="AA96" s="458"/>
      <x:c r="AB96" s="458"/>
      <x:c r="AC96" s="458"/>
      <x:c r="AD96" s="458"/>
      <x:c r="AE96" s="458"/>
      <x:c r="AO96" s="438">
        <x:v>52260121</x:v>
      </x:c>
      <x:c r="AP96" s="438" t="s">
        <x:v>555</x:v>
      </x:c>
      <x:c r="AQ96" s="438" t="s">
        <x:v>129</x:v>
      </x:c>
    </x:row>
    <x:row r="97" spans="1:43" ht="20.100000000000001" customHeight="1">
      <x:c r="A97" s="439"/>
      <x:c r="B97" s="466" t="str">
        <x:f t="shared" si="17"/>
        <x:v>기타비용</x:v>
      </x:c>
      <x:c r="C97" s="440" t="str">
        <x:f t="shared" si="18"/>
        <x:v>교육훈련비</x:v>
      </x:c>
      <x:c r="D97" s="441">
        <x:v>52140101</x:v>
      </x:c>
      <x:c r="E97" s="442" t="str">
        <x:f t="shared" si="19"/>
        <x:v>교육훈련비_사외교육</x:v>
      </x:c>
      <x:c r="F97" s="443"/>
      <x:c r="G97" s="444" t="s">
        <x:v>114</x:v>
      </x:c>
      <x:c r="H97" s="445" t="str">
        <x:f t="shared" si="20"/>
        <x:v>연구개발부문(E)</x:v>
      </x:c>
      <x:c r="I97" s="446" t="str">
        <x:f t="shared" si="21"/>
        <x:v>[연구개발비]</x:v>
      </x:c>
      <x:c r="J97" s="445"/>
      <x:c r="K97" s="453"/>
      <x:c r="L97" s="454"/>
      <x:c r="M97" s="454">
        <x:v>9000000</x:v>
      </x:c>
      <x:c r="N97" s="454"/>
      <x:c r="O97" s="454"/>
      <x:c r="P97" s="454"/>
      <x:c r="Q97" s="454"/>
      <x:c r="R97" s="454"/>
      <x:c r="S97" s="454"/>
      <x:c r="T97" s="454"/>
      <x:c r="U97" s="454"/>
      <x:c r="V97" s="455"/>
      <x:c r="W97" s="456">
        <x:f t="shared" si="25"/>
        <x:v>9000000</x:v>
      </x:c>
      <x:c r="X97" s="450">
        <x:f t="shared" si="26"/>
        <x:v>750000</x:v>
      </x:c>
      <x:c r="Y97" s="457" t="s">
        <x:v>704</x:v>
      </x:c>
      <x:c r="Z97" s="458"/>
      <x:c r="AA97" s="458"/>
      <x:c r="AB97" s="458"/>
      <x:c r="AC97" s="458"/>
      <x:c r="AD97" s="458"/>
      <x:c r="AE97" s="458"/>
      <x:c r="AO97" s="438">
        <x:v>52280111</x:v>
      </x:c>
      <x:c r="AP97" s="438" t="s">
        <x:v>556</x:v>
      </x:c>
      <x:c r="AQ97" s="438" t="s">
        <x:v>454</x:v>
      </x:c>
    </x:row>
    <x:row r="98" spans="1:43" ht="20.100000000000001" customHeight="1">
      <x:c r="A98" s="439"/>
      <x:c r="B98" s="466" t="str">
        <x:f t="shared" si="17"/>
        <x:v>복리후생비</x:v>
      </x:c>
      <x:c r="C98" s="440" t="str">
        <x:f t="shared" si="18"/>
        <x:v>후생비</x:v>
      </x:c>
      <x:c r="D98" s="441">
        <x:v>52130123</x:v>
      </x:c>
      <x:c r="E98" s="442" t="str">
        <x:f t="shared" si="19"/>
        <x:v>후생비_외근식대</x:v>
      </x:c>
      <x:c r="F98" s="443"/>
      <x:c r="G98" s="444" t="s">
        <x:v>99</x:v>
      </x:c>
      <x:c r="H98" s="445" t="str">
        <x:f t="shared" si="20"/>
        <x:v>전장설계1팀(E)</x:v>
      </x:c>
      <x:c r="I98" s="446" t="str">
        <x:f t="shared" si="21"/>
        <x:v>[연구개발비]</x:v>
      </x:c>
      <x:c r="J98" s="445"/>
      <x:c r="K98" s="453">
        <x:v>150000</x:v>
      </x:c>
      <x:c r="L98" s="454">
        <x:v>150000</x:v>
      </x:c>
      <x:c r="M98" s="454">
        <x:v>150000</x:v>
      </x:c>
      <x:c r="N98" s="454">
        <x:v>150000</x:v>
      </x:c>
      <x:c r="O98" s="454">
        <x:v>150000</x:v>
      </x:c>
      <x:c r="P98" s="454">
        <x:v>150000</x:v>
      </x:c>
      <x:c r="Q98" s="454">
        <x:v>150000</x:v>
      </x:c>
      <x:c r="R98" s="454">
        <x:v>150000</x:v>
      </x:c>
      <x:c r="S98" s="454">
        <x:v>150000</x:v>
      </x:c>
      <x:c r="T98" s="454">
        <x:v>150000</x:v>
      </x:c>
      <x:c r="U98" s="454">
        <x:v>150000</x:v>
      </x:c>
      <x:c r="V98" s="455">
        <x:v>150000</x:v>
      </x:c>
      <x:c r="W98" s="456">
        <x:f t="shared" si="25"/>
        <x:v>1800000</x:v>
      </x:c>
      <x:c r="X98" s="450">
        <x:f t="shared" si="26"/>
        <x:v>150000</x:v>
      </x:c>
      <x:c r="Y98" s="457" t="s">
        <x:v>705</x:v>
      </x:c>
      <x:c r="Z98" s="458"/>
      <x:c r="AA98" s="458"/>
      <x:c r="AB98" s="458"/>
      <x:c r="AC98" s="458"/>
      <x:c r="AD98" s="458"/>
      <x:c r="AE98" s="458"/>
      <x:c r="AO98" s="438">
        <x:v>52280121</x:v>
      </x:c>
      <x:c r="AP98" s="438" t="s">
        <x:v>557</x:v>
      </x:c>
      <x:c r="AQ98" s="438" t="s">
        <x:v>454</x:v>
      </x:c>
    </x:row>
    <x:row r="99" spans="1:43" ht="20.100000000000001" customHeight="1">
      <x:c r="A99" s="439"/>
      <x:c r="B99" s="466" t="str">
        <x:f t="shared" si="17"/>
        <x:v>복리후생비</x:v>
      </x:c>
      <x:c r="C99" s="440" t="str">
        <x:f t="shared" si="18"/>
        <x:v>후생비</x:v>
      </x:c>
      <x:c r="D99" s="441">
        <x:v>52130125</x:v>
      </x:c>
      <x:c r="E99" s="442" t="str">
        <x:f t="shared" si="19"/>
        <x:v>후생비_기타식대</x:v>
      </x:c>
      <x:c r="F99" s="443"/>
      <x:c r="G99" s="444" t="s">
        <x:v>99</x:v>
      </x:c>
      <x:c r="H99" s="445" t="str">
        <x:f t="shared" ref="H99:H130" si="27">IFERROR(VLOOKUP($G99,$AK:$AL,2,),"")</x:f>
        <x:v>전장설계1팀(E)</x:v>
      </x:c>
      <x:c r="I99" s="446" t="str">
        <x:f t="shared" si="21"/>
        <x:v>[연구개발비]</x:v>
      </x:c>
      <x:c r="J99" s="445"/>
      <x:c r="K99" s="453">
        <x:v>50000</x:v>
      </x:c>
      <x:c r="L99" s="454">
        <x:v>50000</x:v>
      </x:c>
      <x:c r="M99" s="454">
        <x:v>50000</x:v>
      </x:c>
      <x:c r="N99" s="454">
        <x:v>50000</x:v>
      </x:c>
      <x:c r="O99" s="454">
        <x:v>50000</x:v>
      </x:c>
      <x:c r="P99" s="454">
        <x:v>50000</x:v>
      </x:c>
      <x:c r="Q99" s="454">
        <x:v>50000</x:v>
      </x:c>
      <x:c r="R99" s="454">
        <x:v>50000</x:v>
      </x:c>
      <x:c r="S99" s="454">
        <x:v>50000</x:v>
      </x:c>
      <x:c r="T99" s="454">
        <x:v>50000</x:v>
      </x:c>
      <x:c r="U99" s="454">
        <x:v>50000</x:v>
      </x:c>
      <x:c r="V99" s="455">
        <x:v>50000</x:v>
      </x:c>
      <x:c r="W99" s="456">
        <x:f t="shared" si="25"/>
        <x:v>600000</x:v>
      </x:c>
      <x:c r="X99" s="450">
        <x:f t="shared" si="26"/>
        <x:v>50000</x:v>
      </x:c>
      <x:c r="Y99" s="457" t="s">
        <x:v>706</x:v>
      </x:c>
      <x:c r="Z99" s="458"/>
      <x:c r="AA99" s="458"/>
      <x:c r="AB99" s="458"/>
      <x:c r="AC99" s="458"/>
      <x:c r="AD99" s="458"/>
      <x:c r="AE99" s="458"/>
      <x:c r="AO99" s="438">
        <x:v>52280131</x:v>
      </x:c>
      <x:c r="AP99" s="438" t="s">
        <x:v>558</x:v>
      </x:c>
      <x:c r="AQ99" s="438" t="s">
        <x:v>454</x:v>
      </x:c>
    </x:row>
    <x:row r="100" spans="1:43" ht="20.100000000000001" customHeight="1">
      <x:c r="A100" s="439"/>
      <x:c r="B100" s="466" t="str">
        <x:f t="shared" si="17"/>
        <x:v>여비교통비</x:v>
      </x:c>
      <x:c r="C100" s="440" t="str">
        <x:f t="shared" si="18"/>
        <x:v>여비교통비</x:v>
      </x:c>
      <x:c r="D100" s="441">
        <x:v>52150105</x:v>
      </x:c>
      <x:c r="E100" s="442" t="str">
        <x:f t="shared" si="19"/>
        <x:v>여비교통비_시내</x:v>
      </x:c>
      <x:c r="F100" s="443"/>
      <x:c r="G100" s="444" t="s">
        <x:v>99</x:v>
      </x:c>
      <x:c r="H100" s="445" t="str">
        <x:f t="shared" si="27"/>
        <x:v>전장설계1팀(E)</x:v>
      </x:c>
      <x:c r="I100" s="446" t="str">
        <x:f t="shared" si="21"/>
        <x:v>[연구개발비]</x:v>
      </x:c>
      <x:c r="J100" s="445"/>
      <x:c r="K100" s="453">
        <x:v>50000</x:v>
      </x:c>
      <x:c r="L100" s="454">
        <x:v>50000</x:v>
      </x:c>
      <x:c r="M100" s="454">
        <x:v>50000</x:v>
      </x:c>
      <x:c r="N100" s="454">
        <x:v>50000</x:v>
      </x:c>
      <x:c r="O100" s="454">
        <x:v>50000</x:v>
      </x:c>
      <x:c r="P100" s="454">
        <x:v>50000</x:v>
      </x:c>
      <x:c r="Q100" s="454">
        <x:v>50000</x:v>
      </x:c>
      <x:c r="R100" s="454">
        <x:v>50000</x:v>
      </x:c>
      <x:c r="S100" s="454">
        <x:v>50000</x:v>
      </x:c>
      <x:c r="T100" s="454">
        <x:v>50000</x:v>
      </x:c>
      <x:c r="U100" s="454">
        <x:v>50000</x:v>
      </x:c>
      <x:c r="V100" s="455">
        <x:v>50000</x:v>
      </x:c>
      <x:c r="W100" s="456">
        <x:f t="shared" si="25"/>
        <x:v>600000</x:v>
      </x:c>
      <x:c r="X100" s="450">
        <x:f t="shared" si="26"/>
        <x:v>50000</x:v>
      </x:c>
      <x:c r="Y100" s="457" t="s">
        <x:v>707</x:v>
      </x:c>
      <x:c r="Z100" s="458"/>
      <x:c r="AA100" s="458"/>
      <x:c r="AB100" s="458"/>
      <x:c r="AC100" s="458"/>
      <x:c r="AD100" s="458"/>
      <x:c r="AE100" s="458"/>
      <x:c r="AO100" s="438">
        <x:v>52280141</x:v>
      </x:c>
      <x:c r="AP100" s="438" t="s">
        <x:v>559</x:v>
      </x:c>
      <x:c r="AQ100" s="438" t="s">
        <x:v>454</x:v>
      </x:c>
    </x:row>
    <x:row r="101" spans="1:43" ht="20.100000000000001" customHeight="1">
      <x:c r="A101" s="439"/>
      <x:c r="B101" s="466" t="str">
        <x:f t="shared" si="17"/>
        <x:v>여비교통비</x:v>
      </x:c>
      <x:c r="C101" s="440" t="str">
        <x:f t="shared" si="18"/>
        <x:v>여비교통비</x:v>
      </x:c>
      <x:c r="D101" s="441">
        <x:v>52159900</x:v>
      </x:c>
      <x:c r="E101" s="442" t="str">
        <x:f t="shared" si="19"/>
        <x:v>여비교통비_기타</x:v>
      </x:c>
      <x:c r="F101" s="443"/>
      <x:c r="G101" s="444" t="s">
        <x:v>99</x:v>
      </x:c>
      <x:c r="H101" s="445" t="str">
        <x:f t="shared" si="27"/>
        <x:v>전장설계1팀(E)</x:v>
      </x:c>
      <x:c r="I101" s="446" t="str">
        <x:f t="shared" si="21"/>
        <x:v>[연구개발비]</x:v>
      </x:c>
      <x:c r="J101" s="445"/>
      <x:c r="K101" s="453">
        <x:v>50000</x:v>
      </x:c>
      <x:c r="L101" s="454">
        <x:v>50000</x:v>
      </x:c>
      <x:c r="M101" s="454">
        <x:v>50000</x:v>
      </x:c>
      <x:c r="N101" s="454">
        <x:v>50000</x:v>
      </x:c>
      <x:c r="O101" s="454">
        <x:v>50000</x:v>
      </x:c>
      <x:c r="P101" s="454">
        <x:v>50000</x:v>
      </x:c>
      <x:c r="Q101" s="454">
        <x:v>50000</x:v>
      </x:c>
      <x:c r="R101" s="454">
        <x:v>50000</x:v>
      </x:c>
      <x:c r="S101" s="454">
        <x:v>50000</x:v>
      </x:c>
      <x:c r="T101" s="454">
        <x:v>50000</x:v>
      </x:c>
      <x:c r="U101" s="454">
        <x:v>50000</x:v>
      </x:c>
      <x:c r="V101" s="455">
        <x:v>50000</x:v>
      </x:c>
      <x:c r="W101" s="456">
        <x:f t="shared" si="25"/>
        <x:v>600000</x:v>
      </x:c>
      <x:c r="X101" s="450">
        <x:f t="shared" si="26"/>
        <x:v>50000</x:v>
      </x:c>
      <x:c r="Y101" s="457" t="s">
        <x:v>708</x:v>
      </x:c>
      <x:c r="Z101" s="458"/>
      <x:c r="AA101" s="458"/>
      <x:c r="AB101" s="458"/>
      <x:c r="AC101" s="458"/>
      <x:c r="AD101" s="458"/>
      <x:c r="AE101" s="458"/>
      <x:c r="AO101" s="438">
        <x:v>52280201</x:v>
      </x:c>
      <x:c r="AP101" s="438" t="s">
        <x:v>158</x:v>
      </x:c>
      <x:c r="AQ101" s="438" t="s">
        <x:v>454</x:v>
      </x:c>
    </x:row>
    <x:row r="102" spans="1:43" ht="20.100000000000001" customHeight="1">
      <x:c r="A102" s="439"/>
      <x:c r="B102" s="466" t="str">
        <x:f t="shared" si="17"/>
        <x:v>여비교통비</x:v>
      </x:c>
      <x:c r="C102" s="440" t="str">
        <x:f t="shared" si="18"/>
        <x:v>여비교통비</x:v>
      </x:c>
      <x:c r="D102" s="441">
        <x:v>52150101</x:v>
      </x:c>
      <x:c r="E102" s="442" t="str">
        <x:f t="shared" si="19"/>
        <x:v>여비교통비_국내출장</x:v>
      </x:c>
      <x:c r="F102" s="443"/>
      <x:c r="G102" s="444" t="s">
        <x:v>99</x:v>
      </x:c>
      <x:c r="H102" s="445" t="str">
        <x:f t="shared" si="27"/>
        <x:v>전장설계1팀(E)</x:v>
      </x:c>
      <x:c r="I102" s="446" t="str">
        <x:f t="shared" si="21"/>
        <x:v>[연구개발비]</x:v>
      </x:c>
      <x:c r="J102" s="445"/>
      <x:c r="K102" s="453">
        <x:v>100000</x:v>
      </x:c>
      <x:c r="L102" s="454">
        <x:v>100000</x:v>
      </x:c>
      <x:c r="M102" s="454">
        <x:v>100000</x:v>
      </x:c>
      <x:c r="N102" s="454">
        <x:v>100000</x:v>
      </x:c>
      <x:c r="O102" s="454">
        <x:v>100000</x:v>
      </x:c>
      <x:c r="P102" s="454">
        <x:v>100000</x:v>
      </x:c>
      <x:c r="Q102" s="454">
        <x:v>100000</x:v>
      </x:c>
      <x:c r="R102" s="454">
        <x:v>100000</x:v>
      </x:c>
      <x:c r="S102" s="454">
        <x:v>100000</x:v>
      </x:c>
      <x:c r="T102" s="454">
        <x:v>100000</x:v>
      </x:c>
      <x:c r="U102" s="454">
        <x:v>100000</x:v>
      </x:c>
      <x:c r="V102" s="455">
        <x:v>100000</x:v>
      </x:c>
      <x:c r="W102" s="456">
        <x:f t="shared" si="25"/>
        <x:v>1200000</x:v>
      </x:c>
      <x:c r="X102" s="450">
        <x:f t="shared" si="26"/>
        <x:v>100000</x:v>
      </x:c>
      <x:c r="Y102" s="457" t="s">
        <x:v>709</x:v>
      </x:c>
      <x:c r="Z102" s="458"/>
      <x:c r="AA102" s="458"/>
      <x:c r="AB102" s="458"/>
      <x:c r="AC102" s="458"/>
      <x:c r="AD102" s="458"/>
      <x:c r="AE102" s="458"/>
      <x:c r="AO102" s="438">
        <x:v>52280301</x:v>
      </x:c>
      <x:c r="AP102" s="438" t="s">
        <x:v>159</x:v>
      </x:c>
      <x:c r="AQ102" s="438" t="s">
        <x:v>454</x:v>
      </x:c>
    </x:row>
    <x:row r="103" spans="1:43" ht="20.100000000000001" customHeight="1">
      <x:c r="A103" s="439"/>
      <x:c r="B103" s="466" t="str">
        <x:f t="shared" si="17"/>
        <x:v>여비교통비</x:v>
      </x:c>
      <x:c r="C103" s="440" t="str">
        <x:f t="shared" si="18"/>
        <x:v>여비교통비</x:v>
      </x:c>
      <x:c r="D103" s="441">
        <x:v>52150103</x:v>
      </x:c>
      <x:c r="E103" s="442" t="str">
        <x:f t="shared" si="19"/>
        <x:v>여비교통비_해외출장</x:v>
      </x:c>
      <x:c r="F103" s="443"/>
      <x:c r="G103" s="444" t="s">
        <x:v>99</x:v>
      </x:c>
      <x:c r="H103" s="445" t="str">
        <x:f t="shared" si="27"/>
        <x:v>전장설계1팀(E)</x:v>
      </x:c>
      <x:c r="I103" s="446" t="str">
        <x:f t="shared" si="21"/>
        <x:v>[연구개발비]</x:v>
      </x:c>
      <x:c r="J103" s="445"/>
      <x:c r="K103" s="453">
        <x:v>2000000</x:v>
      </x:c>
      <x:c r="L103" s="454">
        <x:v>2000000</x:v>
      </x:c>
      <x:c r="M103" s="454">
        <x:v>2000000</x:v>
      </x:c>
      <x:c r="N103" s="454">
        <x:v>2000000</x:v>
      </x:c>
      <x:c r="O103" s="454">
        <x:v>2000000</x:v>
      </x:c>
      <x:c r="P103" s="454">
        <x:v>2000000</x:v>
      </x:c>
      <x:c r="Q103" s="454">
        <x:v>2000000</x:v>
      </x:c>
      <x:c r="R103" s="454">
        <x:v>2000000</x:v>
      </x:c>
      <x:c r="S103" s="454">
        <x:v>2000000</x:v>
      </x:c>
      <x:c r="T103" s="454">
        <x:v>2000000</x:v>
      </x:c>
      <x:c r="U103" s="454">
        <x:v>2000000</x:v>
      </x:c>
      <x:c r="V103" s="455">
        <x:v>2000000</x:v>
      </x:c>
      <x:c r="W103" s="456">
        <x:f t="shared" si="25"/>
        <x:v>24000000</x:v>
      </x:c>
      <x:c r="X103" s="450">
        <x:f t="shared" si="26"/>
        <x:v>2000000</x:v>
      </x:c>
      <x:c r="Y103" s="457" t="s">
        <x:v>710</x:v>
      </x:c>
      <x:c r="Z103" s="458"/>
      <x:c r="AA103" s="458"/>
      <x:c r="AB103" s="458"/>
      <x:c r="AC103" s="458"/>
      <x:c r="AD103" s="458"/>
      <x:c r="AE103" s="458"/>
      <x:c r="AO103" s="438">
        <x:v>52280303</x:v>
      </x:c>
      <x:c r="AP103" s="438" t="s">
        <x:v>560</x:v>
      </x:c>
      <x:c r="AQ103" s="438" t="s">
        <x:v>454</x:v>
      </x:c>
    </x:row>
    <x:row r="104" spans="1:43" ht="20.100000000000001" customHeight="1">
      <x:c r="A104" s="439"/>
      <x:c r="B104" s="466" t="str">
        <x:f t="shared" si="17"/>
        <x:v>기타비용</x:v>
      </x:c>
      <x:c r="C104" s="440" t="str">
        <x:f t="shared" si="18"/>
        <x:v>교육훈련비</x:v>
      </x:c>
      <x:c r="D104" s="441">
        <x:v>52140101</x:v>
      </x:c>
      <x:c r="E104" s="442" t="str">
        <x:f t="shared" si="19"/>
        <x:v>교육훈련비_사외교육</x:v>
      </x:c>
      <x:c r="F104" s="443"/>
      <x:c r="G104" s="444" t="s">
        <x:v>99</x:v>
      </x:c>
      <x:c r="H104" s="445" t="str">
        <x:f t="shared" si="27"/>
        <x:v>전장설계1팀(E)</x:v>
      </x:c>
      <x:c r="I104" s="446" t="str">
        <x:f t="shared" si="21"/>
        <x:v>[연구개발비]</x:v>
      </x:c>
      <x:c r="J104" s="445"/>
      <x:c r="K104" s="453">
        <x:v>250000</x:v>
      </x:c>
      <x:c r="L104" s="454">
        <x:v>250000</x:v>
      </x:c>
      <x:c r="M104" s="454">
        <x:v>250000</x:v>
      </x:c>
      <x:c r="N104" s="454">
        <x:v>250000</x:v>
      </x:c>
      <x:c r="O104" s="454">
        <x:v>250000</x:v>
      </x:c>
      <x:c r="P104" s="454">
        <x:v>250000</x:v>
      </x:c>
      <x:c r="Q104" s="454">
        <x:v>250000</x:v>
      </x:c>
      <x:c r="R104" s="454">
        <x:v>250000</x:v>
      </x:c>
      <x:c r="S104" s="454">
        <x:v>250000</x:v>
      </x:c>
      <x:c r="T104" s="454">
        <x:v>250000</x:v>
      </x:c>
      <x:c r="U104" s="454">
        <x:v>250000</x:v>
      </x:c>
      <x:c r="V104" s="455">
        <x:v>250000</x:v>
      </x:c>
      <x:c r="W104" s="456">
        <x:f t="shared" si="25"/>
        <x:v>3000000</x:v>
      </x:c>
      <x:c r="X104" s="450">
        <x:f t="shared" si="26"/>
        <x:v>250000</x:v>
      </x:c>
      <x:c r="Y104" s="457" t="s">
        <x:v>711</x:v>
      </x:c>
      <x:c r="Z104" s="458"/>
      <x:c r="AA104" s="458"/>
      <x:c r="AB104" s="458"/>
      <x:c r="AC104" s="458"/>
      <x:c r="AD104" s="458"/>
      <x:c r="AE104" s="458"/>
      <x:c r="AO104" s="438">
        <x:v>52280305</x:v>
      </x:c>
      <x:c r="AP104" s="438" t="s">
        <x:v>160</x:v>
      </x:c>
      <x:c r="AQ104" s="438" t="s">
        <x:v>454</x:v>
      </x:c>
    </x:row>
    <x:row r="105" spans="1:43" ht="20.100000000000001" customHeight="1">
      <x:c r="A105" s="439"/>
      <x:c r="B105" s="466" t="str">
        <x:f t="shared" si="17"/>
        <x:v>기타비용</x:v>
      </x:c>
      <x:c r="C105" s="440" t="str">
        <x:f t="shared" si="18"/>
        <x:v>교육훈련비</x:v>
      </x:c>
      <x:c r="D105" s="441">
        <x:v>52140105</x:v>
      </x:c>
      <x:c r="E105" s="442" t="str">
        <x:f t="shared" si="19"/>
        <x:v>교육훈련비_사내교육</x:v>
      </x:c>
      <x:c r="F105" s="443"/>
      <x:c r="G105" s="444" t="s">
        <x:v>99</x:v>
      </x:c>
      <x:c r="H105" s="445" t="str">
        <x:f t="shared" si="27"/>
        <x:v>전장설계1팀(E)</x:v>
      </x:c>
      <x:c r="I105" s="446" t="str">
        <x:f t="shared" si="21"/>
        <x:v>[연구개발비]</x:v>
      </x:c>
      <x:c r="J105" s="445"/>
      <x:c r="K105" s="453">
        <x:v>250000</x:v>
      </x:c>
      <x:c r="L105" s="454">
        <x:v>250000</x:v>
      </x:c>
      <x:c r="M105" s="454">
        <x:v>250000</x:v>
      </x:c>
      <x:c r="N105" s="454">
        <x:v>250000</x:v>
      </x:c>
      <x:c r="O105" s="454">
        <x:v>250000</x:v>
      </x:c>
      <x:c r="P105" s="454">
        <x:v>250000</x:v>
      </x:c>
      <x:c r="Q105" s="454">
        <x:v>250000</x:v>
      </x:c>
      <x:c r="R105" s="454">
        <x:v>250000</x:v>
      </x:c>
      <x:c r="S105" s="454">
        <x:v>250000</x:v>
      </x:c>
      <x:c r="T105" s="454">
        <x:v>250000</x:v>
      </x:c>
      <x:c r="U105" s="454">
        <x:v>250000</x:v>
      </x:c>
      <x:c r="V105" s="455">
        <x:v>250000</x:v>
      </x:c>
      <x:c r="W105" s="456">
        <x:f t="shared" si="25"/>
        <x:v>3000000</x:v>
      </x:c>
      <x:c r="X105" s="450">
        <x:f t="shared" si="26"/>
        <x:v>250000</x:v>
      </x:c>
      <x:c r="Y105" s="457" t="s">
        <x:v>712</x:v>
      </x:c>
      <x:c r="Z105" s="458"/>
      <x:c r="AA105" s="458"/>
      <x:c r="AB105" s="458"/>
      <x:c r="AC105" s="458"/>
      <x:c r="AD105" s="458"/>
      <x:c r="AE105" s="458"/>
      <x:c r="AO105" s="438">
        <x:v>52280317</x:v>
      </x:c>
      <x:c r="AP105" s="438" t="s">
        <x:v>74</x:v>
      </x:c>
      <x:c r="AQ105" s="438" t="s">
        <x:v>454</x:v>
      </x:c>
    </x:row>
    <x:row r="106" spans="1:43" ht="20.100000000000001" customHeight="1">
      <x:c r="A106" s="439"/>
      <x:c r="B106" s="466" t="str">
        <x:f t="shared" si="17"/>
        <x:v>운반비</x:v>
      </x:c>
      <x:c r="C106" s="440" t="str">
        <x:f t="shared" si="18"/>
        <x:v>운반비</x:v>
      </x:c>
      <x:c r="D106" s="441">
        <x:v>52250105</x:v>
      </x:c>
      <x:c r="E106" s="442" t="str">
        <x:f t="shared" si="19"/>
        <x:v>운반비_택배</x:v>
      </x:c>
      <x:c r="F106" s="443"/>
      <x:c r="G106" s="444" t="s">
        <x:v>99</x:v>
      </x:c>
      <x:c r="H106" s="445" t="str">
        <x:f t="shared" si="27"/>
        <x:v>전장설계1팀(E)</x:v>
      </x:c>
      <x:c r="I106" s="446" t="str">
        <x:f t="shared" si="21"/>
        <x:v>[연구개발비]</x:v>
      </x:c>
      <x:c r="J106" s="445"/>
      <x:c r="K106" s="453">
        <x:v>15000</x:v>
      </x:c>
      <x:c r="L106" s="454">
        <x:v>15000</x:v>
      </x:c>
      <x:c r="M106" s="454">
        <x:v>15000</x:v>
      </x:c>
      <x:c r="N106" s="454">
        <x:v>15000</x:v>
      </x:c>
      <x:c r="O106" s="454">
        <x:v>15000</x:v>
      </x:c>
      <x:c r="P106" s="454">
        <x:v>15000</x:v>
      </x:c>
      <x:c r="Q106" s="454">
        <x:v>15000</x:v>
      </x:c>
      <x:c r="R106" s="454">
        <x:v>15000</x:v>
      </x:c>
      <x:c r="S106" s="454">
        <x:v>15000</x:v>
      </x:c>
      <x:c r="T106" s="454">
        <x:v>15000</x:v>
      </x:c>
      <x:c r="U106" s="454">
        <x:v>15000</x:v>
      </x:c>
      <x:c r="V106" s="455">
        <x:v>15000</x:v>
      </x:c>
      <x:c r="W106" s="456">
        <x:f t="shared" si="25"/>
        <x:v>180000</x:v>
      </x:c>
      <x:c r="X106" s="450">
        <x:f t="shared" si="26"/>
        <x:v>15000</x:v>
      </x:c>
      <x:c r="Y106" s="457" t="s">
        <x:v>713</x:v>
      </x:c>
      <x:c r="Z106" s="458"/>
      <x:c r="AA106" s="458"/>
      <x:c r="AB106" s="458"/>
      <x:c r="AC106" s="458"/>
      <x:c r="AD106" s="458"/>
      <x:c r="AE106" s="458"/>
      <x:c r="AO106" s="438">
        <x:v>52280318</x:v>
      </x:c>
      <x:c r="AP106" s="438" t="s">
        <x:v>561</x:v>
      </x:c>
      <x:c r="AQ106" s="438" t="s">
        <x:v>454</x:v>
      </x:c>
    </x:row>
    <x:row r="107" spans="1:43" ht="20.100000000000001" customHeight="1">
      <x:c r="A107" s="439"/>
      <x:c r="B107" s="466" t="str">
        <x:f t="shared" si="17"/>
        <x:v>운반비</x:v>
      </x:c>
      <x:c r="C107" s="440" t="str">
        <x:f t="shared" si="18"/>
        <x:v>운반비</x:v>
      </x:c>
      <x:c r="D107" s="441">
        <x:v>52259900</x:v>
      </x:c>
      <x:c r="E107" s="442" t="str">
        <x:f t="shared" si="19"/>
        <x:v>운반비_기타</x:v>
      </x:c>
      <x:c r="F107" s="443"/>
      <x:c r="G107" s="444" t="s">
        <x:v>99</x:v>
      </x:c>
      <x:c r="H107" s="445" t="str">
        <x:f t="shared" si="27"/>
        <x:v>전장설계1팀(E)</x:v>
      </x:c>
      <x:c r="I107" s="446" t="str">
        <x:f t="shared" si="21"/>
        <x:v>[연구개발비]</x:v>
      </x:c>
      <x:c r="J107" s="445"/>
      <x:c r="K107" s="453">
        <x:v>15000</x:v>
      </x:c>
      <x:c r="L107" s="454">
        <x:v>15000</x:v>
      </x:c>
      <x:c r="M107" s="454">
        <x:v>15000</x:v>
      </x:c>
      <x:c r="N107" s="454">
        <x:v>15000</x:v>
      </x:c>
      <x:c r="O107" s="454">
        <x:v>15000</x:v>
      </x:c>
      <x:c r="P107" s="454">
        <x:v>15000</x:v>
      </x:c>
      <x:c r="Q107" s="454">
        <x:v>15000</x:v>
      </x:c>
      <x:c r="R107" s="454">
        <x:v>15000</x:v>
      </x:c>
      <x:c r="S107" s="454">
        <x:v>15000</x:v>
      </x:c>
      <x:c r="T107" s="454">
        <x:v>15000</x:v>
      </x:c>
      <x:c r="U107" s="454">
        <x:v>15000</x:v>
      </x:c>
      <x:c r="V107" s="455">
        <x:v>15000</x:v>
      </x:c>
      <x:c r="W107" s="456">
        <x:f t="shared" si="25"/>
        <x:v>180000</x:v>
      </x:c>
      <x:c r="X107" s="450">
        <x:f t="shared" si="26"/>
        <x:v>15000</x:v>
      </x:c>
      <x:c r="Y107" s="457" t="s">
        <x:v>714</x:v>
      </x:c>
      <x:c r="Z107" s="458"/>
      <x:c r="AA107" s="458"/>
      <x:c r="AB107" s="458"/>
      <x:c r="AC107" s="458"/>
      <x:c r="AD107" s="458"/>
      <x:c r="AE107" s="458"/>
      <x:c r="AO107" s="438">
        <x:v>52280321</x:v>
      </x:c>
      <x:c r="AP107" s="438" t="s">
        <x:v>260</x:v>
      </x:c>
      <x:c r="AQ107" s="438" t="s">
        <x:v>454</x:v>
      </x:c>
    </x:row>
    <x:row r="108" spans="1:43" ht="20.100000000000001" customHeight="1">
      <x:c r="A108" s="439"/>
      <x:c r="B108" s="466" t="str">
        <x:f t="shared" si="17"/>
        <x:v>운반비</x:v>
      </x:c>
      <x:c r="C108" s="440" t="str">
        <x:f t="shared" si="18"/>
        <x:v>운반비</x:v>
      </x:c>
      <x:c r="D108" s="441">
        <x:v>52250104</x:v>
      </x:c>
      <x:c r="E108" s="442" t="str">
        <x:f t="shared" si="19"/>
        <x:v>운반비_특송</x:v>
      </x:c>
      <x:c r="F108" s="443"/>
      <x:c r="G108" s="444" t="s">
        <x:v>99</x:v>
      </x:c>
      <x:c r="H108" s="445" t="str">
        <x:f t="shared" si="27"/>
        <x:v>전장설계1팀(E)</x:v>
      </x:c>
      <x:c r="I108" s="446" t="str">
        <x:f t="shared" si="21"/>
        <x:v>[연구개발비]</x:v>
      </x:c>
      <x:c r="J108" s="445"/>
      <x:c r="K108" s="453">
        <x:v>50000</x:v>
      </x:c>
      <x:c r="L108" s="454">
        <x:v>50000</x:v>
      </x:c>
      <x:c r="M108" s="454">
        <x:v>50000</x:v>
      </x:c>
      <x:c r="N108" s="454">
        <x:v>50000</x:v>
      </x:c>
      <x:c r="O108" s="454">
        <x:v>50000</x:v>
      </x:c>
      <x:c r="P108" s="454">
        <x:v>50000</x:v>
      </x:c>
      <x:c r="Q108" s="454">
        <x:v>50000</x:v>
      </x:c>
      <x:c r="R108" s="454">
        <x:v>50000</x:v>
      </x:c>
      <x:c r="S108" s="454">
        <x:v>50000</x:v>
      </x:c>
      <x:c r="T108" s="454">
        <x:v>50000</x:v>
      </x:c>
      <x:c r="U108" s="454">
        <x:v>50000</x:v>
      </x:c>
      <x:c r="V108" s="455">
        <x:v>50000</x:v>
      </x:c>
      <x:c r="W108" s="456">
        <x:f t="shared" si="25"/>
        <x:v>600000</x:v>
      </x:c>
      <x:c r="X108" s="450">
        <x:f t="shared" si="26"/>
        <x:v>50000</x:v>
      </x:c>
      <x:c r="Y108" s="457" t="s">
        <x:v>715</x:v>
      </x:c>
      <x:c r="Z108" s="458"/>
      <x:c r="AA108" s="458"/>
      <x:c r="AB108" s="458"/>
      <x:c r="AC108" s="458"/>
      <x:c r="AD108" s="458"/>
      <x:c r="AE108" s="458"/>
      <x:c r="AO108" s="438">
        <x:v>52280332</x:v>
      </x:c>
      <x:c r="AP108" s="438" t="s">
        <x:v>562</x:v>
      </x:c>
      <x:c r="AQ108" s="438" t="s">
        <x:v>454</x:v>
      </x:c>
    </x:row>
    <x:row r="109" spans="1:43" ht="20.100000000000001" customHeight="1">
      <x:c r="A109" s="439"/>
      <x:c r="B109" s="466" t="str">
        <x:f t="shared" si="17"/>
        <x:v>기타비용</x:v>
      </x:c>
      <x:c r="C109" s="440" t="str">
        <x:f t="shared" si="18"/>
        <x:v>차량유지비</x:v>
      </x:c>
      <x:c r="D109" s="441">
        <x:v>52359900</x:v>
      </x:c>
      <x:c r="E109" s="442" t="str">
        <x:f t="shared" si="19"/>
        <x:v>차량유지비_기타</x:v>
      </x:c>
      <x:c r="F109" s="443"/>
      <x:c r="G109" s="444" t="s">
        <x:v>99</x:v>
      </x:c>
      <x:c r="H109" s="445" t="str">
        <x:f t="shared" si="27"/>
        <x:v>전장설계1팀(E)</x:v>
      </x:c>
      <x:c r="I109" s="446" t="str">
        <x:f t="shared" si="21"/>
        <x:v>[연구개발비]</x:v>
      </x:c>
      <x:c r="J109" s="445"/>
      <x:c r="K109" s="453">
        <x:v>20000</x:v>
      </x:c>
      <x:c r="L109" s="454">
        <x:v>20000</x:v>
      </x:c>
      <x:c r="M109" s="454">
        <x:v>20000</x:v>
      </x:c>
      <x:c r="N109" s="454">
        <x:v>20000</x:v>
      </x:c>
      <x:c r="O109" s="454">
        <x:v>20000</x:v>
      </x:c>
      <x:c r="P109" s="454">
        <x:v>20000</x:v>
      </x:c>
      <x:c r="Q109" s="454">
        <x:v>20000</x:v>
      </x:c>
      <x:c r="R109" s="454">
        <x:v>20000</x:v>
      </x:c>
      <x:c r="S109" s="454">
        <x:v>20000</x:v>
      </x:c>
      <x:c r="T109" s="454">
        <x:v>20000</x:v>
      </x:c>
      <x:c r="U109" s="454">
        <x:v>20000</x:v>
      </x:c>
      <x:c r="V109" s="455">
        <x:v>20000</x:v>
      </x:c>
      <x:c r="W109" s="456">
        <x:f t="shared" si="25"/>
        <x:v>240000</x:v>
      </x:c>
      <x:c r="X109" s="450">
        <x:f t="shared" si="26"/>
        <x:v>20000</x:v>
      </x:c>
      <x:c r="Y109" s="457" t="s">
        <x:v>716</x:v>
      </x:c>
      <x:c r="Z109" s="458"/>
      <x:c r="AA109" s="458"/>
      <x:c r="AB109" s="458"/>
      <x:c r="AC109" s="458"/>
      <x:c r="AD109" s="458"/>
      <x:c r="AE109" s="458"/>
      <x:c r="AO109" s="438">
        <x:v>52280333</x:v>
      </x:c>
      <x:c r="AP109" s="438" t="s">
        <x:v>563</x:v>
      </x:c>
      <x:c r="AQ109" s="438" t="s">
        <x:v>454</x:v>
      </x:c>
    </x:row>
    <x:row r="110" spans="1:43" ht="20.100000000000001" customHeight="1">
      <x:c r="A110" s="439"/>
      <x:c r="B110" s="466" t="str">
        <x:f t="shared" si="17"/>
        <x:v>기타비용</x:v>
      </x:c>
      <x:c r="C110" s="440" t="str">
        <x:f t="shared" si="18"/>
        <x:v>접대비</x:v>
      </x:c>
      <x:c r="D110" s="441">
        <x:v>52230103</x:v>
      </x:c>
      <x:c r="E110" s="442" t="str">
        <x:f t="shared" si="19"/>
        <x:v>접대비_법인카드</x:v>
      </x:c>
      <x:c r="F110" s="443"/>
      <x:c r="G110" s="444" t="s">
        <x:v>99</x:v>
      </x:c>
      <x:c r="H110" s="445" t="str">
        <x:f t="shared" si="27"/>
        <x:v>전장설계1팀(E)</x:v>
      </x:c>
      <x:c r="I110" s="446" t="str">
        <x:f t="shared" si="21"/>
        <x:v>[연구개발비]</x:v>
      </x:c>
      <x:c r="J110" s="445"/>
      <x:c r="K110" s="453">
        <x:v>150000</x:v>
      </x:c>
      <x:c r="L110" s="454">
        <x:v>150000</x:v>
      </x:c>
      <x:c r="M110" s="454">
        <x:v>150000</x:v>
      </x:c>
      <x:c r="N110" s="454">
        <x:v>150000</x:v>
      </x:c>
      <x:c r="O110" s="454">
        <x:v>150000</x:v>
      </x:c>
      <x:c r="P110" s="454">
        <x:v>150000</x:v>
      </x:c>
      <x:c r="Q110" s="454">
        <x:v>150000</x:v>
      </x:c>
      <x:c r="R110" s="454">
        <x:v>150000</x:v>
      </x:c>
      <x:c r="S110" s="454">
        <x:v>150000</x:v>
      </x:c>
      <x:c r="T110" s="454">
        <x:v>150000</x:v>
      </x:c>
      <x:c r="U110" s="454">
        <x:v>150000</x:v>
      </x:c>
      <x:c r="V110" s="455">
        <x:v>150000</x:v>
      </x:c>
      <x:c r="W110" s="456">
        <x:f t="shared" ref="W110:W136" si="28">IFERROR(SUM(K110:V110),"")</x:f>
        <x:v>1800000</x:v>
      </x:c>
      <x:c r="X110" s="450">
        <x:f t="shared" ref="X110:X136" si="29">IFERROR($W110/$Y$1,"")</x:f>
        <x:v>150000</x:v>
      </x:c>
      <x:c r="Y110" s="457" t="s">
        <x:v>717</x:v>
      </x:c>
      <x:c r="Z110" s="458"/>
      <x:c r="AA110" s="458"/>
      <x:c r="AB110" s="458"/>
      <x:c r="AC110" s="458"/>
      <x:c r="AD110" s="458"/>
      <x:c r="AE110" s="458"/>
      <x:c r="AO110" s="438">
        <x:v>52280334</x:v>
      </x:c>
      <x:c r="AP110" s="438" t="s">
        <x:v>564</x:v>
      </x:c>
      <x:c r="AQ110" s="438" t="s">
        <x:v>454</x:v>
      </x:c>
    </x:row>
    <x:row r="111" spans="1:43" ht="20.100000000000001" customHeight="1">
      <x:c r="A111" s="439"/>
      <x:c r="B111" s="466" t="str">
        <x:f t="shared" si="17"/>
        <x:v>지급수수료</x:v>
      </x:c>
      <x:c r="C111" s="440" t="str">
        <x:f t="shared" si="18"/>
        <x:v>지급수수료</x:v>
      </x:c>
      <x:c r="D111" s="441">
        <x:v>52319900</x:v>
      </x:c>
      <x:c r="E111" s="442" t="str">
        <x:f t="shared" si="19"/>
        <x:v>지급수수료_기타</x:v>
      </x:c>
      <x:c r="F111" s="443"/>
      <x:c r="G111" s="444" t="s">
        <x:v>99</x:v>
      </x:c>
      <x:c r="H111" s="445" t="str">
        <x:f t="shared" si="27"/>
        <x:v>전장설계1팀(E)</x:v>
      </x:c>
      <x:c r="I111" s="446" t="str">
        <x:f t="shared" si="21"/>
        <x:v>[연구개발비]</x:v>
      </x:c>
      <x:c r="J111" s="445"/>
      <x:c r="K111" s="453">
        <x:v>100000</x:v>
      </x:c>
      <x:c r="L111" s="454">
        <x:v>100000</x:v>
      </x:c>
      <x:c r="M111" s="454">
        <x:v>100000</x:v>
      </x:c>
      <x:c r="N111" s="454">
        <x:v>100000</x:v>
      </x:c>
      <x:c r="O111" s="454">
        <x:v>100000</x:v>
      </x:c>
      <x:c r="P111" s="454">
        <x:v>100000</x:v>
      </x:c>
      <x:c r="Q111" s="454">
        <x:v>100000</x:v>
      </x:c>
      <x:c r="R111" s="454">
        <x:v>100000</x:v>
      </x:c>
      <x:c r="S111" s="454">
        <x:v>100000</x:v>
      </x:c>
      <x:c r="T111" s="454">
        <x:v>100000</x:v>
      </x:c>
      <x:c r="U111" s="454">
        <x:v>100000</x:v>
      </x:c>
      <x:c r="V111" s="455">
        <x:v>100000</x:v>
      </x:c>
      <x:c r="W111" s="456">
        <x:f t="shared" si="28"/>
        <x:v>1200000</x:v>
      </x:c>
      <x:c r="X111" s="450">
        <x:f t="shared" si="29"/>
        <x:v>100000</x:v>
      </x:c>
      <x:c r="Y111" s="457" t="s">
        <x:v>718</x:v>
      </x:c>
      <x:c r="Z111" s="458"/>
      <x:c r="AA111" s="458"/>
      <x:c r="AB111" s="458"/>
      <x:c r="AC111" s="458"/>
      <x:c r="AD111" s="458"/>
      <x:c r="AE111" s="458"/>
      <x:c r="AO111" s="438">
        <x:v>52280335</x:v>
      </x:c>
      <x:c r="AP111" s="438" t="s">
        <x:v>565</x:v>
      </x:c>
      <x:c r="AQ111" s="438" t="s">
        <x:v>454</x:v>
      </x:c>
    </x:row>
    <x:row r="112" spans="1:43" ht="20.100000000000001" customHeight="1">
      <x:c r="A112" s="439"/>
      <x:c r="B112" s="466" t="str">
        <x:f t="shared" si="17"/>
        <x:v>기타비용</x:v>
      </x:c>
      <x:c r="C112" s="440" t="str">
        <x:f t="shared" si="18"/>
        <x:v>도서인쇄비</x:v>
      </x:c>
      <x:c r="D112" s="441">
        <x:v>52320102</x:v>
      </x:c>
      <x:c r="E112" s="442" t="str">
        <x:f t="shared" si="19"/>
        <x:v>도서인쇄비_도서구입</x:v>
      </x:c>
      <x:c r="F112" s="443"/>
      <x:c r="G112" s="444" t="s">
        <x:v>99</x:v>
      </x:c>
      <x:c r="H112" s="445" t="str">
        <x:f t="shared" si="27"/>
        <x:v>전장설계1팀(E)</x:v>
      </x:c>
      <x:c r="I112" s="446" t="str">
        <x:f t="shared" si="21"/>
        <x:v>[연구개발비]</x:v>
      </x:c>
      <x:c r="J112" s="445"/>
      <x:c r="K112" s="453">
        <x:v>100000</x:v>
      </x:c>
      <x:c r="L112" s="454">
        <x:v>100000</x:v>
      </x:c>
      <x:c r="M112" s="454">
        <x:v>100000</x:v>
      </x:c>
      <x:c r="N112" s="454">
        <x:v>100000</x:v>
      </x:c>
      <x:c r="O112" s="454">
        <x:v>100000</x:v>
      </x:c>
      <x:c r="P112" s="454">
        <x:v>100000</x:v>
      </x:c>
      <x:c r="Q112" s="454">
        <x:v>100000</x:v>
      </x:c>
      <x:c r="R112" s="454">
        <x:v>100000</x:v>
      </x:c>
      <x:c r="S112" s="454">
        <x:v>100000</x:v>
      </x:c>
      <x:c r="T112" s="454">
        <x:v>100000</x:v>
      </x:c>
      <x:c r="U112" s="454">
        <x:v>100000</x:v>
      </x:c>
      <x:c r="V112" s="455">
        <x:v>100000</x:v>
      </x:c>
      <x:c r="W112" s="456">
        <x:f t="shared" si="28"/>
        <x:v>1200000</x:v>
      </x:c>
      <x:c r="X112" s="450">
        <x:f t="shared" si="29"/>
        <x:v>100000</x:v>
      </x:c>
      <x:c r="Y112" s="457" t="s">
        <x:v>719</x:v>
      </x:c>
      <x:c r="Z112" s="458"/>
      <x:c r="AA112" s="458"/>
      <x:c r="AB112" s="458"/>
      <x:c r="AC112" s="458"/>
      <x:c r="AD112" s="458"/>
      <x:c r="AE112" s="458"/>
      <x:c r="AO112" s="438">
        <x:v>52280336</x:v>
      </x:c>
      <x:c r="AP112" s="438" t="s">
        <x:v>566</x:v>
      </x:c>
      <x:c r="AQ112" s="438" t="s">
        <x:v>454</x:v>
      </x:c>
    </x:row>
    <x:row r="113" spans="1:43" ht="20.100000000000001" customHeight="1">
      <x:c r="A113" s="439"/>
      <x:c r="B113" s="466" t="str">
        <x:f t="shared" si="17"/>
        <x:v>개발비</x:v>
      </x:c>
      <x:c r="C113" s="440" t="str">
        <x:f t="shared" si="18"/>
        <x:v>경상연구비</x:v>
      </x:c>
      <x:c r="D113" s="441">
        <x:v>52280305</x:v>
      </x:c>
      <x:c r="E113" s="442" t="str">
        <x:f t="shared" si="19"/>
        <x:v>경상연구비_특허비</x:v>
      </x:c>
      <x:c r="F113" s="443"/>
      <x:c r="G113" s="444" t="s">
        <x:v>99</x:v>
      </x:c>
      <x:c r="H113" s="445" t="str">
        <x:f t="shared" si="27"/>
        <x:v>전장설계1팀(E)</x:v>
      </x:c>
      <x:c r="I113" s="446" t="str">
        <x:f t="shared" si="21"/>
        <x:v>[연구개발비]</x:v>
      </x:c>
      <x:c r="J113" s="445"/>
      <x:c r="K113" s="453">
        <x:v>700000</x:v>
      </x:c>
      <x:c r="L113" s="454">
        <x:v>700000</x:v>
      </x:c>
      <x:c r="M113" s="454">
        <x:v>700000</x:v>
      </x:c>
      <x:c r="N113" s="454">
        <x:v>700000</x:v>
      </x:c>
      <x:c r="O113" s="454">
        <x:v>700000</x:v>
      </x:c>
      <x:c r="P113" s="454">
        <x:v>700000</x:v>
      </x:c>
      <x:c r="Q113" s="454">
        <x:v>700000</x:v>
      </x:c>
      <x:c r="R113" s="454">
        <x:v>700000</x:v>
      </x:c>
      <x:c r="S113" s="454">
        <x:v>700000</x:v>
      </x:c>
      <x:c r="T113" s="454">
        <x:v>700000</x:v>
      </x:c>
      <x:c r="U113" s="454">
        <x:v>700000</x:v>
      </x:c>
      <x:c r="V113" s="455">
        <x:v>700000</x:v>
      </x:c>
      <x:c r="W113" s="456">
        <x:f t="shared" si="28"/>
        <x:v>8400000</x:v>
      </x:c>
      <x:c r="X113" s="450">
        <x:f t="shared" si="29"/>
        <x:v>700000</x:v>
      </x:c>
      <x:c r="Y113" s="457" t="s">
        <x:v>720</x:v>
      </x:c>
      <x:c r="Z113" s="458"/>
      <x:c r="AA113" s="458"/>
      <x:c r="AB113" s="458"/>
      <x:c r="AC113" s="458"/>
      <x:c r="AD113" s="458"/>
      <x:c r="AE113" s="458"/>
      <x:c r="AO113" s="438">
        <x:v>52280337</x:v>
      </x:c>
      <x:c r="AP113" s="438" t="s">
        <x:v>567</x:v>
      </x:c>
      <x:c r="AQ113" s="438" t="s">
        <x:v>454</x:v>
      </x:c>
    </x:row>
    <x:row r="114" spans="1:43" ht="20.100000000000001" customHeight="1">
      <x:c r="A114" s="439"/>
      <x:c r="B114" s="466" t="str">
        <x:f t="shared" si="17"/>
        <x:v>유지비용</x:v>
      </x:c>
      <x:c r="C114" s="440" t="str">
        <x:f t="shared" si="18"/>
        <x:v>소모품비</x:v>
      </x:c>
      <x:c r="D114" s="441">
        <x:v>52339900</x:v>
      </x:c>
      <x:c r="E114" s="442" t="str">
        <x:f t="shared" si="19"/>
        <x:v>소모품비_기타</x:v>
      </x:c>
      <x:c r="F114" s="443"/>
      <x:c r="G114" s="444" t="s">
        <x:v>99</x:v>
      </x:c>
      <x:c r="H114" s="445" t="str">
        <x:f t="shared" si="27"/>
        <x:v>전장설계1팀(E)</x:v>
      </x:c>
      <x:c r="I114" s="446" t="str">
        <x:f t="shared" si="21"/>
        <x:v>[연구개발비]</x:v>
      </x:c>
      <x:c r="J114" s="445"/>
      <x:c r="K114" s="453">
        <x:v>10000</x:v>
      </x:c>
      <x:c r="L114" s="454">
        <x:v>10000</x:v>
      </x:c>
      <x:c r="M114" s="454">
        <x:v>10000</x:v>
      </x:c>
      <x:c r="N114" s="454">
        <x:v>10000</x:v>
      </x:c>
      <x:c r="O114" s="454">
        <x:v>10000</x:v>
      </x:c>
      <x:c r="P114" s="454">
        <x:v>10000</x:v>
      </x:c>
      <x:c r="Q114" s="454">
        <x:v>10000</x:v>
      </x:c>
      <x:c r="R114" s="454">
        <x:v>10000</x:v>
      </x:c>
      <x:c r="S114" s="454">
        <x:v>10000</x:v>
      </x:c>
      <x:c r="T114" s="454">
        <x:v>10000</x:v>
      </x:c>
      <x:c r="U114" s="454">
        <x:v>10000</x:v>
      </x:c>
      <x:c r="V114" s="455">
        <x:v>10000</x:v>
      </x:c>
      <x:c r="W114" s="456">
        <x:f t="shared" si="28"/>
        <x:v>120000</x:v>
      </x:c>
      <x:c r="X114" s="450">
        <x:f t="shared" si="29"/>
        <x:v>10000</x:v>
      </x:c>
      <x:c r="Y114" s="457" t="s">
        <x:v>721</x:v>
      </x:c>
      <x:c r="Z114" s="458"/>
      <x:c r="AA114" s="458"/>
      <x:c r="AB114" s="458"/>
      <x:c r="AC114" s="458"/>
      <x:c r="AD114" s="458"/>
      <x:c r="AE114" s="458"/>
      <x:c r="AO114" s="438">
        <x:v>52289900</x:v>
      </x:c>
      <x:c r="AP114" s="438" t="s">
        <x:v>162</x:v>
      </x:c>
      <x:c r="AQ114" s="438" t="s">
        <x:v>454</x:v>
      </x:c>
    </x:row>
    <x:row r="115" spans="1:43" ht="20.100000000000001" customHeight="1">
      <x:c r="A115" s="439"/>
      <x:c r="B115" s="466" t="str">
        <x:f t="shared" si="17"/>
        <x:v>유지비용</x:v>
      </x:c>
      <x:c r="C115" s="440" t="str">
        <x:f t="shared" si="18"/>
        <x:v>소모품비</x:v>
      </x:c>
      <x:c r="D115" s="441">
        <x:v>52330102</x:v>
      </x:c>
      <x:c r="E115" s="442" t="str">
        <x:f t="shared" si="19"/>
        <x:v>소모품비_문구</x:v>
      </x:c>
      <x:c r="F115" s="443"/>
      <x:c r="G115" s="444" t="s">
        <x:v>99</x:v>
      </x:c>
      <x:c r="H115" s="445" t="str">
        <x:f t="shared" si="27"/>
        <x:v>전장설계1팀(E)</x:v>
      </x:c>
      <x:c r="I115" s="446" t="str">
        <x:f t="shared" si="21"/>
        <x:v>[연구개발비]</x:v>
      </x:c>
      <x:c r="J115" s="445"/>
      <x:c r="K115" s="453">
        <x:v>10000</x:v>
      </x:c>
      <x:c r="L115" s="454">
        <x:v>10000</x:v>
      </x:c>
      <x:c r="M115" s="454">
        <x:v>10000</x:v>
      </x:c>
      <x:c r="N115" s="454">
        <x:v>10000</x:v>
      </x:c>
      <x:c r="O115" s="454">
        <x:v>10000</x:v>
      </x:c>
      <x:c r="P115" s="454">
        <x:v>10000</x:v>
      </x:c>
      <x:c r="Q115" s="454">
        <x:v>10000</x:v>
      </x:c>
      <x:c r="R115" s="454">
        <x:v>10000</x:v>
      </x:c>
      <x:c r="S115" s="454">
        <x:v>10000</x:v>
      </x:c>
      <x:c r="T115" s="454">
        <x:v>10000</x:v>
      </x:c>
      <x:c r="U115" s="454">
        <x:v>10000</x:v>
      </x:c>
      <x:c r="V115" s="455">
        <x:v>10000</x:v>
      </x:c>
      <x:c r="W115" s="456">
        <x:f t="shared" si="28"/>
        <x:v>120000</x:v>
      </x:c>
      <x:c r="X115" s="450">
        <x:f t="shared" si="29"/>
        <x:v>10000</x:v>
      </x:c>
      <x:c r="Y115" s="457" t="s">
        <x:v>722</x:v>
      </x:c>
      <x:c r="Z115" s="458"/>
      <x:c r="AA115" s="458"/>
      <x:c r="AB115" s="458"/>
      <x:c r="AC115" s="458"/>
      <x:c r="AD115" s="458"/>
      <x:c r="AE115" s="458"/>
      <x:c r="AO115" s="438">
        <x:v>52309901</x:v>
      </x:c>
      <x:c r="AP115" s="438" t="s">
        <x:v>568</x:v>
      </x:c>
      <x:c r="AQ115" s="438" t="s">
        <x:v>569</x:v>
      </x:c>
    </x:row>
    <x:row r="116" spans="1:43" ht="20.100000000000001" customHeight="1">
      <x:c r="A116" s="439"/>
      <x:c r="B116" s="466" t="str">
        <x:f t="shared" si="17"/>
        <x:v>개발비</x:v>
      </x:c>
      <x:c r="C116" s="440" t="str">
        <x:f t="shared" si="18"/>
        <x:v>경상연구비</x:v>
      </x:c>
      <x:c r="D116" s="441">
        <x:v>52280317</x:v>
      </x:c>
      <x:c r="E116" s="442" t="str">
        <x:f t="shared" si="19"/>
        <x:v>경상연구비_연구개발소모품비</x:v>
      </x:c>
      <x:c r="F116" s="443"/>
      <x:c r="G116" s="444" t="s">
        <x:v>99</x:v>
      </x:c>
      <x:c r="H116" s="445" t="str">
        <x:f t="shared" si="27"/>
        <x:v>전장설계1팀(E)</x:v>
      </x:c>
      <x:c r="I116" s="446" t="str">
        <x:f t="shared" si="21"/>
        <x:v>[연구개발비]</x:v>
      </x:c>
      <x:c r="J116" s="445"/>
      <x:c r="K116" s="453">
        <x:v>21660000</x:v>
      </x:c>
      <x:c r="L116" s="454">
        <x:v>21660000</x:v>
      </x:c>
      <x:c r="M116" s="454">
        <x:v>21660000</x:v>
      </x:c>
      <x:c r="N116" s="454">
        <x:v>21660000</x:v>
      </x:c>
      <x:c r="O116" s="454">
        <x:v>21660000</x:v>
      </x:c>
      <x:c r="P116" s="454">
        <x:v>21660000</x:v>
      </x:c>
      <x:c r="Q116" s="454">
        <x:v>21660000</x:v>
      </x:c>
      <x:c r="R116" s="454">
        <x:v>21660000</x:v>
      </x:c>
      <x:c r="S116" s="454">
        <x:v>21660000</x:v>
      </x:c>
      <x:c r="T116" s="454">
        <x:v>21660000</x:v>
      </x:c>
      <x:c r="U116" s="454">
        <x:v>21660000</x:v>
      </x:c>
      <x:c r="V116" s="455">
        <x:v>21660000</x:v>
      </x:c>
      <x:c r="W116" s="456">
        <x:f t="shared" si="28"/>
        <x:v>259920000</x:v>
      </x:c>
      <x:c r="X116" s="450">
        <x:f t="shared" si="29"/>
        <x:v>21660000</x:v>
      </x:c>
      <x:c r="Y116" s="457" t="s">
        <x:v>723</x:v>
      </x:c>
      <x:c r="Z116" s="458"/>
      <x:c r="AA116" s="458"/>
      <x:c r="AB116" s="458"/>
      <x:c r="AC116" s="458"/>
      <x:c r="AD116" s="458"/>
      <x:c r="AE116" s="458"/>
      <x:c r="AO116" s="438">
        <x:v>52310101</x:v>
      </x:c>
      <x:c r="AP116" s="438" t="s">
        <x:v>163</x:v>
      </x:c>
      <x:c r="AQ116" s="438" t="s">
        <x:v>40</x:v>
      </x:c>
    </x:row>
    <x:row r="117" spans="1:43" ht="20.100000000000001" customHeight="1">
      <x:c r="A117" s="439"/>
      <x:c r="B117" s="466" t="str">
        <x:f t="shared" si="17"/>
        <x:v>개발비</x:v>
      </x:c>
      <x:c r="C117" s="440" t="str">
        <x:f t="shared" si="18"/>
        <x:v>경상연구비</x:v>
      </x:c>
      <x:c r="D117" s="441">
        <x:v>52280301</x:v>
      </x:c>
      <x:c r="E117" s="442" t="str">
        <x:f t="shared" si="19"/>
        <x:v>경상연구비_시험분석비</x:v>
      </x:c>
      <x:c r="F117" s="443"/>
      <x:c r="G117" s="444" t="s">
        <x:v>99</x:v>
      </x:c>
      <x:c r="H117" s="445" t="str">
        <x:f t="shared" si="27"/>
        <x:v>전장설계1팀(E)</x:v>
      </x:c>
      <x:c r="I117" s="446" t="str">
        <x:f t="shared" si="21"/>
        <x:v>[연구개발비]</x:v>
      </x:c>
      <x:c r="J117" s="445"/>
      <x:c r="K117" s="453">
        <x:v>5830000</x:v>
      </x:c>
      <x:c r="L117" s="454">
        <x:v>5830000</x:v>
      </x:c>
      <x:c r="M117" s="454">
        <x:v>5830000</x:v>
      </x:c>
      <x:c r="N117" s="454">
        <x:v>5830000</x:v>
      </x:c>
      <x:c r="O117" s="454">
        <x:v>5830000</x:v>
      </x:c>
      <x:c r="P117" s="454">
        <x:v>5830000</x:v>
      </x:c>
      <x:c r="Q117" s="454">
        <x:v>5830000</x:v>
      </x:c>
      <x:c r="R117" s="454">
        <x:v>5830000</x:v>
      </x:c>
      <x:c r="S117" s="454">
        <x:v>5830000</x:v>
      </x:c>
      <x:c r="T117" s="454">
        <x:v>5830000</x:v>
      </x:c>
      <x:c r="U117" s="454">
        <x:v>5830000</x:v>
      </x:c>
      <x:c r="V117" s="455">
        <x:v>5830000</x:v>
      </x:c>
      <x:c r="W117" s="456">
        <x:f t="shared" si="28"/>
        <x:v>69960000</x:v>
      </x:c>
      <x:c r="X117" s="450">
        <x:f t="shared" si="29"/>
        <x:v>5830000</x:v>
      </x:c>
      <x:c r="Y117" s="457" t="s">
        <x:v>724</x:v>
      </x:c>
      <x:c r="Z117" s="458"/>
      <x:c r="AA117" s="458"/>
      <x:c r="AB117" s="458"/>
      <x:c r="AC117" s="458"/>
      <x:c r="AD117" s="458"/>
      <x:c r="AE117" s="458"/>
      <x:c r="AO117" s="438">
        <x:v>52310102</x:v>
      </x:c>
      <x:c r="AP117" s="438" t="s">
        <x:v>164</x:v>
      </x:c>
      <x:c r="AQ117" s="438" t="s">
        <x:v>40</x:v>
      </x:c>
    </x:row>
    <x:row r="118" spans="1:43" ht="20.100000000000001" customHeight="1">
      <x:c r="A118" s="439"/>
      <x:c r="B118" s="466" t="str">
        <x:f t="shared" si="17"/>
        <x:v>지급수수료</x:v>
      </x:c>
      <x:c r="C118" s="440" t="str">
        <x:f t="shared" si="18"/>
        <x:v>지급수수료</x:v>
      </x:c>
      <x:c r="D118" s="441">
        <x:v>52310127</x:v>
      </x:c>
      <x:c r="E118" s="442" t="str">
        <x:f t="shared" si="19"/>
        <x:v>지급수수료-전산유지정비</x:v>
      </x:c>
      <x:c r="F118" s="443"/>
      <x:c r="G118" s="444" t="s">
        <x:v>99</x:v>
      </x:c>
      <x:c r="H118" s="445" t="str">
        <x:f t="shared" si="27"/>
        <x:v>전장설계1팀(E)</x:v>
      </x:c>
      <x:c r="I118" s="446" t="str">
        <x:f t="shared" si="21"/>
        <x:v>[연구개발비]</x:v>
      </x:c>
      <x:c r="J118" s="445"/>
      <x:c r="K118" s="453">
        <x:v>0</x:v>
      </x:c>
      <x:c r="L118" s="454">
        <x:v>0</x:v>
      </x:c>
      <x:c r="M118" s="454">
        <x:v>0</x:v>
      </x:c>
      <x:c r="N118" s="454">
        <x:v>0</x:v>
      </x:c>
      <x:c r="O118" s="454">
        <x:v>0</x:v>
      </x:c>
      <x:c r="P118" s="454">
        <x:v>0</x:v>
      </x:c>
      <x:c r="Q118" s="454">
        <x:v>0</x:v>
      </x:c>
      <x:c r="R118" s="454">
        <x:v>0</x:v>
      </x:c>
      <x:c r="S118" s="454">
        <x:v>0</x:v>
      </x:c>
      <x:c r="T118" s="454">
        <x:v>6000000</x:v>
      </x:c>
      <x:c r="U118" s="454">
        <x:v>0</x:v>
      </x:c>
      <x:c r="V118" s="455">
        <x:v>0</x:v>
      </x:c>
      <x:c r="W118" s="456">
        <x:f t="shared" si="28"/>
        <x:v>6000000</x:v>
      </x:c>
      <x:c r="X118" s="450">
        <x:f t="shared" si="29"/>
        <x:v>500000</x:v>
      </x:c>
      <x:c r="Y118" s="457" t="s">
        <x:v>725</x:v>
      </x:c>
      <x:c r="Z118" s="458"/>
      <x:c r="AA118" s="458"/>
      <x:c r="AB118" s="458"/>
      <x:c r="AC118" s="458"/>
      <x:c r="AD118" s="458"/>
      <x:c r="AE118" s="458"/>
      <x:c r="AO118" s="438">
        <x:v>52310103</x:v>
      </x:c>
      <x:c r="AP118" s="438" t="s">
        <x:v>165</x:v>
      </x:c>
      <x:c r="AQ118" s="438" t="s">
        <x:v>40</x:v>
      </x:c>
    </x:row>
    <x:row r="119" spans="1:43" ht="20.100000000000001" customHeight="1">
      <x:c r="A119" s="439"/>
      <x:c r="B119" s="466" t="str">
        <x:f t="shared" si="17"/>
        <x:v>개발비</x:v>
      </x:c>
      <x:c r="C119" s="440" t="str">
        <x:f t="shared" si="18"/>
        <x:v>경상연구비</x:v>
      </x:c>
      <x:c r="D119" s="441">
        <x:v>52280331</x:v>
      </x:c>
      <x:c r="E119" s="442" t="str">
        <x:f t="shared" si="19"/>
        <x:v>경상연구비_안전관리</x:v>
      </x:c>
      <x:c r="F119" s="443"/>
      <x:c r="G119" s="444" t="s">
        <x:v>99</x:v>
      </x:c>
      <x:c r="H119" s="445" t="str">
        <x:f t="shared" si="27"/>
        <x:v>전장설계1팀(E)</x:v>
      </x:c>
      <x:c r="I119" s="446" t="str">
        <x:f t="shared" si="21"/>
        <x:v>[연구개발비]</x:v>
      </x:c>
      <x:c r="J119" s="445"/>
      <x:c r="K119" s="453">
        <x:v>0</x:v>
      </x:c>
      <x:c r="L119" s="454">
        <x:v>0</x:v>
      </x:c>
      <x:c r="M119" s="454">
        <x:v>0</x:v>
      </x:c>
      <x:c r="N119" s="454">
        <x:v>0</x:v>
      </x:c>
      <x:c r="O119" s="454">
        <x:v>0</x:v>
      </x:c>
      <x:c r="P119" s="454">
        <x:v>0</x:v>
      </x:c>
      <x:c r="Q119" s="454">
        <x:v>0</x:v>
      </x:c>
      <x:c r="R119" s="454">
        <x:v>0</x:v>
      </x:c>
      <x:c r="S119" s="454">
        <x:v>0</x:v>
      </x:c>
      <x:c r="T119" s="454">
        <x:v>1400000</x:v>
      </x:c>
      <x:c r="U119" s="454">
        <x:v>0</x:v>
      </x:c>
      <x:c r="V119" s="455">
        <x:v>0</x:v>
      </x:c>
      <x:c r="W119" s="456">
        <x:f t="shared" si="28"/>
        <x:v>1400000</x:v>
      </x:c>
      <x:c r="X119" s="450">
        <x:f t="shared" si="29"/>
        <x:v>116666.66666666667</x:v>
      </x:c>
      <x:c r="Y119" s="457" t="s">
        <x:v>726</x:v>
      </x:c>
      <x:c r="Z119" s="458"/>
      <x:c r="AA119" s="458"/>
      <x:c r="AB119" s="458"/>
      <x:c r="AC119" s="458"/>
      <x:c r="AD119" s="458"/>
      <x:c r="AE119" s="458"/>
      <x:c r="AO119" s="438">
        <x:v>52310104</x:v>
      </x:c>
      <x:c r="AP119" s="438" t="s">
        <x:v>166</x:v>
      </x:c>
      <x:c r="AQ119" s="438" t="s">
        <x:v>40</x:v>
      </x:c>
    </x:row>
    <x:row r="120" spans="1:43" ht="20.100000000000001" customHeight="1">
      <x:c r="A120" s="439"/>
      <x:c r="B120" s="466" t="str">
        <x:f t="shared" si="17"/>
        <x:v>개발비</x:v>
      </x:c>
      <x:c r="C120" s="440" t="str">
        <x:f t="shared" si="18"/>
        <x:v>경상연구비</x:v>
      </x:c>
      <x:c r="D120" s="441">
        <x:v>52280334</x:v>
      </x:c>
      <x:c r="E120" s="442" t="str">
        <x:f t="shared" si="19"/>
        <x:v>경상연구비_(안전)보호장비구입비</x:v>
      </x:c>
      <x:c r="F120" s="443"/>
      <x:c r="G120" s="444" t="s">
        <x:v>99</x:v>
      </x:c>
      <x:c r="H120" s="445" t="str">
        <x:f t="shared" si="27"/>
        <x:v>전장설계1팀(E)</x:v>
      </x:c>
      <x:c r="I120" s="446" t="str">
        <x:f t="shared" si="21"/>
        <x:v>[연구개발비]</x:v>
      </x:c>
      <x:c r="J120" s="445"/>
      <x:c r="K120" s="453">
        <x:v>300000</x:v>
      </x:c>
      <x:c r="L120" s="454">
        <x:v>300000</x:v>
      </x:c>
      <x:c r="M120" s="454">
        <x:v>300000</x:v>
      </x:c>
      <x:c r="N120" s="454">
        <x:v>300000</x:v>
      </x:c>
      <x:c r="O120" s="454">
        <x:v>300000</x:v>
      </x:c>
      <x:c r="P120" s="454">
        <x:v>300000</x:v>
      </x:c>
      <x:c r="Q120" s="454">
        <x:v>300000</x:v>
      </x:c>
      <x:c r="R120" s="454">
        <x:v>300000</x:v>
      </x:c>
      <x:c r="S120" s="454">
        <x:v>300000</x:v>
      </x:c>
      <x:c r="T120" s="454">
        <x:v>300000</x:v>
      </x:c>
      <x:c r="U120" s="454">
        <x:v>300000</x:v>
      </x:c>
      <x:c r="V120" s="455">
        <x:v>300000</x:v>
      </x:c>
      <x:c r="W120" s="456">
        <x:f t="shared" si="28"/>
        <x:v>3600000</x:v>
      </x:c>
      <x:c r="X120" s="450">
        <x:f t="shared" si="29"/>
        <x:v>300000</x:v>
      </x:c>
      <x:c r="Y120" s="457" t="s">
        <x:v>727</x:v>
      </x:c>
      <x:c r="Z120" s="458"/>
      <x:c r="AA120" s="458"/>
      <x:c r="AB120" s="458"/>
      <x:c r="AC120" s="458"/>
      <x:c r="AD120" s="458"/>
      <x:c r="AE120" s="458"/>
      <x:c r="AO120" s="438">
        <x:v>52310107</x:v>
      </x:c>
      <x:c r="AP120" s="438" t="s">
        <x:v>167</x:v>
      </x:c>
      <x:c r="AQ120" s="438" t="s">
        <x:v>40</x:v>
      </x:c>
    </x:row>
    <x:row r="121" spans="1:43" ht="20.100000000000001" customHeight="1">
      <x:c r="A121" s="439"/>
      <x:c r="B121" s="466" t="str">
        <x:f t="shared" si="17"/>
        <x:v>복리후생비</x:v>
      </x:c>
      <x:c r="C121" s="440" t="str">
        <x:f t="shared" si="18"/>
        <x:v>후생비</x:v>
      </x:c>
      <x:c r="D121" s="441">
        <x:v>52130123</x:v>
      </x:c>
      <x:c r="E121" s="442" t="str">
        <x:f t="shared" si="19"/>
        <x:v>후생비_외근식대</x:v>
      </x:c>
      <x:c r="F121" s="443"/>
      <x:c r="G121" s="444" t="s">
        <x:v>101</x:v>
      </x:c>
      <x:c r="H121" s="445" t="str">
        <x:f t="shared" si="27"/>
        <x:v>전장설계2팀(E)</x:v>
      </x:c>
      <x:c r="I121" s="446" t="str">
        <x:f t="shared" si="21"/>
        <x:v>[연구개발비]</x:v>
      </x:c>
      <x:c r="J121" s="445"/>
      <x:c r="K121" s="453">
        <x:v>208000</x:v>
      </x:c>
      <x:c r="L121" s="454">
        <x:v>208000</x:v>
      </x:c>
      <x:c r="M121" s="454">
        <x:v>208000</x:v>
      </x:c>
      <x:c r="N121" s="454">
        <x:v>208000</x:v>
      </x:c>
      <x:c r="O121" s="454">
        <x:v>208000</x:v>
      </x:c>
      <x:c r="P121" s="454">
        <x:v>208000</x:v>
      </x:c>
      <x:c r="Q121" s="454">
        <x:v>208000</x:v>
      </x:c>
      <x:c r="R121" s="454">
        <x:v>208000</x:v>
      </x:c>
      <x:c r="S121" s="454">
        <x:v>208000</x:v>
      </x:c>
      <x:c r="T121" s="454">
        <x:v>208000</x:v>
      </x:c>
      <x:c r="U121" s="454">
        <x:v>208000</x:v>
      </x:c>
      <x:c r="V121" s="455">
        <x:v>208000</x:v>
      </x:c>
      <x:c r="W121" s="456">
        <x:f t="shared" si="28"/>
        <x:v>2496000</x:v>
      </x:c>
      <x:c r="X121" s="450">
        <x:f t="shared" si="29"/>
        <x:v>208000</x:v>
      </x:c>
      <x:c r="Y121" s="457" t="s">
        <x:v>728</x:v>
      </x:c>
      <x:c r="Z121" s="458"/>
      <x:c r="AA121" s="458"/>
      <x:c r="AB121" s="458"/>
      <x:c r="AC121" s="458"/>
      <x:c r="AD121" s="458"/>
      <x:c r="AE121" s="458"/>
      <x:c r="AO121" s="438">
        <x:v>52310108</x:v>
      </x:c>
      <x:c r="AP121" s="438" t="s">
        <x:v>570</x:v>
      </x:c>
      <x:c r="AQ121" s="438" t="s">
        <x:v>40</x:v>
      </x:c>
    </x:row>
    <x:row r="122" spans="1:43" ht="20.100000000000001" customHeight="1">
      <x:c r="A122" s="439"/>
      <x:c r="B122" s="466" t="str">
        <x:f t="shared" si="17"/>
        <x:v>복리후생비</x:v>
      </x:c>
      <x:c r="C122" s="440" t="str">
        <x:f t="shared" si="18"/>
        <x:v>후생비</x:v>
      </x:c>
      <x:c r="D122" s="441">
        <x:v>52130125</x:v>
      </x:c>
      <x:c r="E122" s="442" t="str">
        <x:f t="shared" si="19"/>
        <x:v>후생비_기타식대</x:v>
      </x:c>
      <x:c r="F122" s="443"/>
      <x:c r="G122" s="444" t="s">
        <x:v>101</x:v>
      </x:c>
      <x:c r="H122" s="445" t="str">
        <x:f t="shared" si="27"/>
        <x:v>전장설계2팀(E)</x:v>
      </x:c>
      <x:c r="I122" s="446" t="str">
        <x:f t="shared" si="21"/>
        <x:v>[연구개발비]</x:v>
      </x:c>
      <x:c r="J122" s="445"/>
      <x:c r="K122" s="453">
        <x:v>65000</x:v>
      </x:c>
      <x:c r="L122" s="454">
        <x:v>65000</x:v>
      </x:c>
      <x:c r="M122" s="454">
        <x:v>65000</x:v>
      </x:c>
      <x:c r="N122" s="454">
        <x:v>65000</x:v>
      </x:c>
      <x:c r="O122" s="454">
        <x:v>65000</x:v>
      </x:c>
      <x:c r="P122" s="454">
        <x:v>65000</x:v>
      </x:c>
      <x:c r="Q122" s="454">
        <x:v>65000</x:v>
      </x:c>
      <x:c r="R122" s="454">
        <x:v>65000</x:v>
      </x:c>
      <x:c r="S122" s="454">
        <x:v>65000</x:v>
      </x:c>
      <x:c r="T122" s="454">
        <x:v>65000</x:v>
      </x:c>
      <x:c r="U122" s="454">
        <x:v>65000</x:v>
      </x:c>
      <x:c r="V122" s="455">
        <x:v>65000</x:v>
      </x:c>
      <x:c r="W122" s="456">
        <x:f t="shared" si="28"/>
        <x:v>780000</x:v>
      </x:c>
      <x:c r="X122" s="450">
        <x:f t="shared" si="29"/>
        <x:v>65000</x:v>
      </x:c>
      <x:c r="Y122" s="457" t="s">
        <x:v>729</x:v>
      </x:c>
      <x:c r="Z122" s="458"/>
      <x:c r="AA122" s="458"/>
      <x:c r="AB122" s="458"/>
      <x:c r="AC122" s="458"/>
      <x:c r="AD122" s="458"/>
      <x:c r="AE122" s="458"/>
      <x:c r="AO122" s="438">
        <x:v>52310109</x:v>
      </x:c>
      <x:c r="AP122" s="438" t="s">
        <x:v>316</x:v>
      </x:c>
      <x:c r="AQ122" s="438" t="s">
        <x:v>40</x:v>
      </x:c>
    </x:row>
    <x:row r="123" spans="1:43" ht="20.100000000000001" customHeight="1">
      <x:c r="A123" s="439"/>
      <x:c r="B123" s="466" t="str">
        <x:f t="shared" si="17"/>
        <x:v>여비교통비</x:v>
      </x:c>
      <x:c r="C123" s="440" t="str">
        <x:f t="shared" si="18"/>
        <x:v>여비교통비</x:v>
      </x:c>
      <x:c r="D123" s="441">
        <x:v>52150105</x:v>
      </x:c>
      <x:c r="E123" s="442" t="str">
        <x:f t="shared" si="19"/>
        <x:v>여비교통비_시내</x:v>
      </x:c>
      <x:c r="F123" s="443"/>
      <x:c r="G123" s="444" t="s">
        <x:v>101</x:v>
      </x:c>
      <x:c r="H123" s="445" t="str">
        <x:f t="shared" si="27"/>
        <x:v>전장설계2팀(E)</x:v>
      </x:c>
      <x:c r="I123" s="446" t="str">
        <x:f t="shared" si="21"/>
        <x:v>[연구개발비]</x:v>
      </x:c>
      <x:c r="J123" s="445"/>
      <x:c r="K123" s="453">
        <x:v>50000</x:v>
      </x:c>
      <x:c r="L123" s="454">
        <x:v>50000</x:v>
      </x:c>
      <x:c r="M123" s="454">
        <x:v>50000</x:v>
      </x:c>
      <x:c r="N123" s="454">
        <x:v>50000</x:v>
      </x:c>
      <x:c r="O123" s="454">
        <x:v>50000</x:v>
      </x:c>
      <x:c r="P123" s="454">
        <x:v>50000</x:v>
      </x:c>
      <x:c r="Q123" s="454">
        <x:v>50000</x:v>
      </x:c>
      <x:c r="R123" s="454">
        <x:v>50000</x:v>
      </x:c>
      <x:c r="S123" s="454">
        <x:v>50000</x:v>
      </x:c>
      <x:c r="T123" s="454">
        <x:v>50000</x:v>
      </x:c>
      <x:c r="U123" s="454">
        <x:v>50000</x:v>
      </x:c>
      <x:c r="V123" s="455">
        <x:v>50000</x:v>
      </x:c>
      <x:c r="W123" s="456">
        <x:f t="shared" si="28"/>
        <x:v>600000</x:v>
      </x:c>
      <x:c r="X123" s="450">
        <x:f t="shared" si="29"/>
        <x:v>50000</x:v>
      </x:c>
      <x:c r="Y123" s="457" t="s">
        <x:v>578</x:v>
      </x:c>
      <x:c r="Z123" s="458"/>
      <x:c r="AA123" s="458"/>
      <x:c r="AB123" s="458"/>
      <x:c r="AC123" s="458"/>
      <x:c r="AD123" s="458"/>
      <x:c r="AE123" s="458"/>
      <x:c r="AO123" s="438">
        <x:v>52310111</x:v>
      </x:c>
      <x:c r="AP123" s="438" t="s">
        <x:v>168</x:v>
      </x:c>
      <x:c r="AQ123" s="438" t="s">
        <x:v>40</x:v>
      </x:c>
    </x:row>
    <x:row r="124" spans="1:43" ht="20.100000000000001" customHeight="1">
      <x:c r="A124" s="439"/>
      <x:c r="B124" s="466" t="str">
        <x:f t="shared" si="17"/>
        <x:v>여비교통비</x:v>
      </x:c>
      <x:c r="C124" s="440" t="str">
        <x:f t="shared" si="18"/>
        <x:v>여비교통비</x:v>
      </x:c>
      <x:c r="D124" s="441">
        <x:v>52150109</x:v>
      </x:c>
      <x:c r="E124" s="442" t="str">
        <x:f t="shared" si="19"/>
        <x:v>여비교통비_교육</x:v>
      </x:c>
      <x:c r="F124" s="443"/>
      <x:c r="G124" s="444" t="s">
        <x:v>101</x:v>
      </x:c>
      <x:c r="H124" s="445" t="str">
        <x:f t="shared" si="27"/>
        <x:v>전장설계2팀(E)</x:v>
      </x:c>
      <x:c r="I124" s="446" t="str">
        <x:f t="shared" si="21"/>
        <x:v>[연구개발비]</x:v>
      </x:c>
      <x:c r="J124" s="445"/>
      <x:c r="K124" s="453">
        <x:v>50000</x:v>
      </x:c>
      <x:c r="L124" s="454">
        <x:v>50000</x:v>
      </x:c>
      <x:c r="M124" s="454">
        <x:v>50000</x:v>
      </x:c>
      <x:c r="N124" s="454">
        <x:v>50000</x:v>
      </x:c>
      <x:c r="O124" s="454">
        <x:v>50000</x:v>
      </x:c>
      <x:c r="P124" s="454">
        <x:v>50000</x:v>
      </x:c>
      <x:c r="Q124" s="454">
        <x:v>50000</x:v>
      </x:c>
      <x:c r="R124" s="454">
        <x:v>50000</x:v>
      </x:c>
      <x:c r="S124" s="454">
        <x:v>50000</x:v>
      </x:c>
      <x:c r="T124" s="454">
        <x:v>50000</x:v>
      </x:c>
      <x:c r="U124" s="454">
        <x:v>50000</x:v>
      </x:c>
      <x:c r="V124" s="455">
        <x:v>50000</x:v>
      </x:c>
      <x:c r="W124" s="456">
        <x:f t="shared" si="28"/>
        <x:v>600000</x:v>
      </x:c>
      <x:c r="X124" s="450">
        <x:f t="shared" si="29"/>
        <x:v>50000</x:v>
      </x:c>
      <x:c r="Y124" s="457" t="s">
        <x:v>730</x:v>
      </x:c>
      <x:c r="Z124" s="458"/>
      <x:c r="AA124" s="458"/>
      <x:c r="AB124" s="458"/>
      <x:c r="AC124" s="458"/>
      <x:c r="AD124" s="458"/>
      <x:c r="AE124" s="458"/>
      <x:c r="AO124" s="438">
        <x:v>52310112</x:v>
      </x:c>
      <x:c r="AP124" s="438" t="s">
        <x:v>571</x:v>
      </x:c>
      <x:c r="AQ124" s="438" t="s">
        <x:v>40</x:v>
      </x:c>
    </x:row>
    <x:row r="125" spans="1:43" ht="20.100000000000001" customHeight="1">
      <x:c r="A125" s="439"/>
      <x:c r="B125" s="466" t="str">
        <x:f t="shared" si="17"/>
        <x:v>여비교통비</x:v>
      </x:c>
      <x:c r="C125" s="440" t="str">
        <x:f t="shared" si="18"/>
        <x:v>여비교통비</x:v>
      </x:c>
      <x:c r="D125" s="441">
        <x:v>52150101</x:v>
      </x:c>
      <x:c r="E125" s="442" t="str">
        <x:f t="shared" si="19"/>
        <x:v>여비교통비_국내출장</x:v>
      </x:c>
      <x:c r="F125" s="443"/>
      <x:c r="G125" s="444" t="s">
        <x:v>101</x:v>
      </x:c>
      <x:c r="H125" s="445" t="str">
        <x:f t="shared" si="27"/>
        <x:v>전장설계2팀(E)</x:v>
      </x:c>
      <x:c r="I125" s="446" t="str">
        <x:f t="shared" si="21"/>
        <x:v>[연구개발비]</x:v>
      </x:c>
      <x:c r="J125" s="445"/>
      <x:c r="K125" s="453">
        <x:v>100000</x:v>
      </x:c>
      <x:c r="L125" s="454">
        <x:v>100000</x:v>
      </x:c>
      <x:c r="M125" s="454">
        <x:v>100000</x:v>
      </x:c>
      <x:c r="N125" s="454">
        <x:v>100000</x:v>
      </x:c>
      <x:c r="O125" s="454">
        <x:v>100000</x:v>
      </x:c>
      <x:c r="P125" s="454">
        <x:v>100000</x:v>
      </x:c>
      <x:c r="Q125" s="454">
        <x:v>100000</x:v>
      </x:c>
      <x:c r="R125" s="454">
        <x:v>100000</x:v>
      </x:c>
      <x:c r="S125" s="454">
        <x:v>100000</x:v>
      </x:c>
      <x:c r="T125" s="454">
        <x:v>100000</x:v>
      </x:c>
      <x:c r="U125" s="454">
        <x:v>100000</x:v>
      </x:c>
      <x:c r="V125" s="455">
        <x:v>100000</x:v>
      </x:c>
      <x:c r="W125" s="456">
        <x:f t="shared" si="28"/>
        <x:v>1200000</x:v>
      </x:c>
      <x:c r="X125" s="450">
        <x:f t="shared" si="29"/>
        <x:v>100000</x:v>
      </x:c>
      <x:c r="Y125" s="457" t="s">
        <x:v>731</x:v>
      </x:c>
      <x:c r="Z125" s="458"/>
      <x:c r="AA125" s="458"/>
      <x:c r="AB125" s="458"/>
      <x:c r="AC125" s="458"/>
      <x:c r="AD125" s="458"/>
      <x:c r="AE125" s="458"/>
      <x:c r="AO125" s="438">
        <x:v>52310113</x:v>
      </x:c>
      <x:c r="AP125" s="438" t="s">
        <x:v>572</x:v>
      </x:c>
      <x:c r="AQ125" s="438" t="s">
        <x:v>40</x:v>
      </x:c>
    </x:row>
    <x:row r="126" spans="1:43" ht="20.100000000000001" customHeight="1">
      <x:c r="A126" s="439"/>
      <x:c r="B126" s="466" t="str">
        <x:f t="shared" si="17"/>
        <x:v>여비교통비</x:v>
      </x:c>
      <x:c r="C126" s="440" t="str">
        <x:f t="shared" si="18"/>
        <x:v>여비교통비</x:v>
      </x:c>
      <x:c r="D126" s="441">
        <x:v>52150103</x:v>
      </x:c>
      <x:c r="E126" s="442" t="str">
        <x:f t="shared" si="19"/>
        <x:v>여비교통비_해외출장</x:v>
      </x:c>
      <x:c r="F126" s="443"/>
      <x:c r="G126" s="444" t="s">
        <x:v>101</x:v>
      </x:c>
      <x:c r="H126" s="445" t="str">
        <x:f t="shared" si="27"/>
        <x:v>전장설계2팀(E)</x:v>
      </x:c>
      <x:c r="I126" s="446" t="str">
        <x:f t="shared" si="21"/>
        <x:v>[연구개발비]</x:v>
      </x:c>
      <x:c r="J126" s="445"/>
      <x:c r="K126" s="453">
        <x:v>2000000</x:v>
      </x:c>
      <x:c r="L126" s="454">
        <x:v>2000000</x:v>
      </x:c>
      <x:c r="M126" s="454">
        <x:v>2000000</x:v>
      </x:c>
      <x:c r="N126" s="454">
        <x:v>2000000</x:v>
      </x:c>
      <x:c r="O126" s="454">
        <x:v>2000000</x:v>
      </x:c>
      <x:c r="P126" s="454">
        <x:v>2000000</x:v>
      </x:c>
      <x:c r="Q126" s="454">
        <x:v>2000000</x:v>
      </x:c>
      <x:c r="R126" s="454">
        <x:v>2000000</x:v>
      </x:c>
      <x:c r="S126" s="454">
        <x:v>2000000</x:v>
      </x:c>
      <x:c r="T126" s="454">
        <x:v>2000000</x:v>
      </x:c>
      <x:c r="U126" s="454">
        <x:v>2000000</x:v>
      </x:c>
      <x:c r="V126" s="455">
        <x:v>2000000</x:v>
      </x:c>
      <x:c r="W126" s="456">
        <x:f t="shared" si="28"/>
        <x:v>24000000</x:v>
      </x:c>
      <x:c r="X126" s="450">
        <x:f t="shared" si="29"/>
        <x:v>2000000</x:v>
      </x:c>
      <x:c r="Y126" s="457" t="s">
        <x:v>788</x:v>
      </x:c>
      <x:c r="Z126" s="458"/>
      <x:c r="AA126" s="458"/>
      <x:c r="AB126" s="458"/>
      <x:c r="AC126" s="458"/>
      <x:c r="AD126" s="458"/>
      <x:c r="AE126" s="458"/>
      <x:c r="AO126" s="438">
        <x:v>52310114</x:v>
      </x:c>
      <x:c r="AP126" s="438" t="s">
        <x:v>169</x:v>
      </x:c>
      <x:c r="AQ126" s="438" t="s">
        <x:v>40</x:v>
      </x:c>
    </x:row>
    <x:row r="127" spans="1:43" ht="20.100000000000001" customHeight="1">
      <x:c r="A127" s="439"/>
      <x:c r="B127" s="466" t="str">
        <x:f t="shared" si="17"/>
        <x:v>기타비용</x:v>
      </x:c>
      <x:c r="C127" s="440" t="str">
        <x:f t="shared" si="18"/>
        <x:v>교육훈련비</x:v>
      </x:c>
      <x:c r="D127" s="441">
        <x:v>52140101</x:v>
      </x:c>
      <x:c r="E127" s="442" t="str">
        <x:f t="shared" si="19"/>
        <x:v>교육훈련비_사외교육</x:v>
      </x:c>
      <x:c r="F127" s="443"/>
      <x:c r="G127" s="444" t="s">
        <x:v>101</x:v>
      </x:c>
      <x:c r="H127" s="445" t="str">
        <x:f t="shared" si="27"/>
        <x:v>전장설계2팀(E)</x:v>
      </x:c>
      <x:c r="I127" s="446" t="str">
        <x:f t="shared" si="21"/>
        <x:v>[연구개발비]</x:v>
      </x:c>
      <x:c r="J127" s="445"/>
      <x:c r="K127" s="453">
        <x:v>500000</x:v>
      </x:c>
      <x:c r="L127" s="454">
        <x:v>500000</x:v>
      </x:c>
      <x:c r="M127" s="454">
        <x:v>500000</x:v>
      </x:c>
      <x:c r="N127" s="454">
        <x:v>500000</x:v>
      </x:c>
      <x:c r="O127" s="454">
        <x:v>500000</x:v>
      </x:c>
      <x:c r="P127" s="454">
        <x:v>500000</x:v>
      </x:c>
      <x:c r="Q127" s="454">
        <x:v>500000</x:v>
      </x:c>
      <x:c r="R127" s="454">
        <x:v>500000</x:v>
      </x:c>
      <x:c r="S127" s="454">
        <x:v>500000</x:v>
      </x:c>
      <x:c r="T127" s="454">
        <x:v>500000</x:v>
      </x:c>
      <x:c r="U127" s="454">
        <x:v>500000</x:v>
      </x:c>
      <x:c r="V127" s="455">
        <x:v>500000</x:v>
      </x:c>
      <x:c r="W127" s="456">
        <x:f t="shared" si="28"/>
        <x:v>6000000</x:v>
      </x:c>
      <x:c r="X127" s="450">
        <x:f t="shared" si="29"/>
        <x:v>500000</x:v>
      </x:c>
      <x:c r="Y127" s="457" t="s">
        <x:v>732</x:v>
      </x:c>
      <x:c r="Z127" s="458"/>
      <x:c r="AA127" s="458"/>
      <x:c r="AB127" s="458"/>
      <x:c r="AC127" s="458"/>
      <x:c r="AD127" s="458"/>
      <x:c r="AE127" s="458"/>
      <x:c r="AO127" s="438">
        <x:v>52310115</x:v>
      </x:c>
      <x:c r="AP127" s="438" t="s">
        <x:v>573</x:v>
      </x:c>
      <x:c r="AQ127" s="438" t="s">
        <x:v>40</x:v>
      </x:c>
    </x:row>
    <x:row r="128" spans="1:43" ht="20.100000000000001" customHeight="1">
      <x:c r="A128" s="439"/>
      <x:c r="B128" s="466" t="str">
        <x:f t="shared" si="17"/>
        <x:v>기타비용</x:v>
      </x:c>
      <x:c r="C128" s="440" t="str">
        <x:f t="shared" si="18"/>
        <x:v>교육훈련비</x:v>
      </x:c>
      <x:c r="D128" s="441">
        <x:v>52140105</x:v>
      </x:c>
      <x:c r="E128" s="442" t="str">
        <x:f t="shared" si="19"/>
        <x:v>교육훈련비_사내교육</x:v>
      </x:c>
      <x:c r="F128" s="443"/>
      <x:c r="G128" s="444" t="s">
        <x:v>101</x:v>
      </x:c>
      <x:c r="H128" s="445" t="str">
        <x:f t="shared" si="27"/>
        <x:v>전장설계2팀(E)</x:v>
      </x:c>
      <x:c r="I128" s="446" t="str">
        <x:f t="shared" si="21"/>
        <x:v>[연구개발비]</x:v>
      </x:c>
      <x:c r="J128" s="445"/>
      <x:c r="K128" s="453">
        <x:v>400000</x:v>
      </x:c>
      <x:c r="L128" s="454">
        <x:v>400000</x:v>
      </x:c>
      <x:c r="M128" s="454">
        <x:v>400000</x:v>
      </x:c>
      <x:c r="N128" s="454">
        <x:v>400000</x:v>
      </x:c>
      <x:c r="O128" s="454">
        <x:v>400000</x:v>
      </x:c>
      <x:c r="P128" s="454">
        <x:v>400000</x:v>
      </x:c>
      <x:c r="Q128" s="454">
        <x:v>400000</x:v>
      </x:c>
      <x:c r="R128" s="454">
        <x:v>400000</x:v>
      </x:c>
      <x:c r="S128" s="454">
        <x:v>400000</x:v>
      </x:c>
      <x:c r="T128" s="454">
        <x:v>400000</x:v>
      </x:c>
      <x:c r="U128" s="454">
        <x:v>400000</x:v>
      </x:c>
      <x:c r="V128" s="455">
        <x:v>400000</x:v>
      </x:c>
      <x:c r="W128" s="456">
        <x:f t="shared" si="28"/>
        <x:v>4800000</x:v>
      </x:c>
      <x:c r="X128" s="450">
        <x:f t="shared" si="29"/>
        <x:v>400000</x:v>
      </x:c>
      <x:c r="Y128" s="457" t="s">
        <x:v>579</x:v>
      </x:c>
      <x:c r="Z128" s="458"/>
      <x:c r="AA128" s="458"/>
      <x:c r="AB128" s="458"/>
      <x:c r="AC128" s="458"/>
      <x:c r="AD128" s="458"/>
      <x:c r="AE128" s="458"/>
      <x:c r="AO128" s="438">
        <x:v>52310116</x:v>
      </x:c>
      <x:c r="AP128" s="438" t="s">
        <x:v>170</x:v>
      </x:c>
      <x:c r="AQ128" s="438" t="s">
        <x:v>40</x:v>
      </x:c>
    </x:row>
    <x:row r="129" spans="1:43" ht="20.100000000000001" customHeight="1">
      <x:c r="A129" s="439"/>
      <x:c r="B129" s="466" t="str">
        <x:f t="shared" si="17"/>
        <x:v>운반비</x:v>
      </x:c>
      <x:c r="C129" s="440" t="str">
        <x:f t="shared" si="18"/>
        <x:v>운반비</x:v>
      </x:c>
      <x:c r="D129" s="441">
        <x:v>52250105</x:v>
      </x:c>
      <x:c r="E129" s="442" t="str">
        <x:f t="shared" si="19"/>
        <x:v>운반비_택배</x:v>
      </x:c>
      <x:c r="F129" s="443"/>
      <x:c r="G129" s="444" t="s">
        <x:v>101</x:v>
      </x:c>
      <x:c r="H129" s="445" t="str">
        <x:f t="shared" si="27"/>
        <x:v>전장설계2팀(E)</x:v>
      </x:c>
      <x:c r="I129" s="446" t="str">
        <x:f t="shared" si="21"/>
        <x:v>[연구개발비]</x:v>
      </x:c>
      <x:c r="J129" s="445"/>
      <x:c r="K129" s="453">
        <x:v>15000</x:v>
      </x:c>
      <x:c r="L129" s="454">
        <x:v>15000</x:v>
      </x:c>
      <x:c r="M129" s="454">
        <x:v>15000</x:v>
      </x:c>
      <x:c r="N129" s="454">
        <x:v>15000</x:v>
      </x:c>
      <x:c r="O129" s="454">
        <x:v>15000</x:v>
      </x:c>
      <x:c r="P129" s="454">
        <x:v>15000</x:v>
      </x:c>
      <x:c r="Q129" s="454">
        <x:v>15000</x:v>
      </x:c>
      <x:c r="R129" s="454">
        <x:v>15000</x:v>
      </x:c>
      <x:c r="S129" s="454">
        <x:v>15000</x:v>
      </x:c>
      <x:c r="T129" s="454">
        <x:v>15000</x:v>
      </x:c>
      <x:c r="U129" s="454">
        <x:v>15000</x:v>
      </x:c>
      <x:c r="V129" s="455">
        <x:v>15000</x:v>
      </x:c>
      <x:c r="W129" s="456">
        <x:f t="shared" si="28"/>
        <x:v>180000</x:v>
      </x:c>
      <x:c r="X129" s="450">
        <x:f t="shared" si="29"/>
        <x:v>15000</x:v>
      </x:c>
      <x:c r="Y129" s="457" t="s">
        <x:v>733</x:v>
      </x:c>
      <x:c r="Z129" s="458"/>
      <x:c r="AA129" s="458"/>
      <x:c r="AB129" s="458"/>
      <x:c r="AC129" s="458"/>
      <x:c r="AD129" s="458"/>
      <x:c r="AE129" s="458"/>
      <x:c r="AO129" s="438">
        <x:v>52310117</x:v>
      </x:c>
      <x:c r="AP129" s="438" t="s">
        <x:v>261</x:v>
      </x:c>
      <x:c r="AQ129" s="438" t="s">
        <x:v>40</x:v>
      </x:c>
    </x:row>
    <x:row r="130" spans="1:43" ht="20.100000000000001" customHeight="1">
      <x:c r="A130" s="439"/>
      <x:c r="B130" s="466" t="str">
        <x:f t="shared" si="17"/>
        <x:v>운반비</x:v>
      </x:c>
      <x:c r="C130" s="440" t="str">
        <x:f t="shared" si="18"/>
        <x:v>운반비</x:v>
      </x:c>
      <x:c r="D130" s="441">
        <x:v>52250104</x:v>
      </x:c>
      <x:c r="E130" s="442" t="str">
        <x:f t="shared" si="19"/>
        <x:v>운반비_특송</x:v>
      </x:c>
      <x:c r="F130" s="443"/>
      <x:c r="G130" s="444" t="s">
        <x:v>101</x:v>
      </x:c>
      <x:c r="H130" s="445" t="str">
        <x:f t="shared" si="27"/>
        <x:v>전장설계2팀(E)</x:v>
      </x:c>
      <x:c r="I130" s="446" t="str">
        <x:f t="shared" si="21"/>
        <x:v>[연구개발비]</x:v>
      </x:c>
      <x:c r="J130" s="445"/>
      <x:c r="K130" s="453">
        <x:v>50000</x:v>
      </x:c>
      <x:c r="L130" s="454">
        <x:v>50000</x:v>
      </x:c>
      <x:c r="M130" s="454">
        <x:v>50000</x:v>
      </x:c>
      <x:c r="N130" s="454">
        <x:v>50000</x:v>
      </x:c>
      <x:c r="O130" s="454">
        <x:v>50000</x:v>
      </x:c>
      <x:c r="P130" s="454">
        <x:v>50000</x:v>
      </x:c>
      <x:c r="Q130" s="454">
        <x:v>50000</x:v>
      </x:c>
      <x:c r="R130" s="454">
        <x:v>50000</x:v>
      </x:c>
      <x:c r="S130" s="454">
        <x:v>50000</x:v>
      </x:c>
      <x:c r="T130" s="454">
        <x:v>50000</x:v>
      </x:c>
      <x:c r="U130" s="454">
        <x:v>50000</x:v>
      </x:c>
      <x:c r="V130" s="455">
        <x:v>50000</x:v>
      </x:c>
      <x:c r="W130" s="456">
        <x:f t="shared" si="28"/>
        <x:v>600000</x:v>
      </x:c>
      <x:c r="X130" s="450">
        <x:f t="shared" si="29"/>
        <x:v>50000</x:v>
      </x:c>
      <x:c r="Y130" s="457" t="s">
        <x:v>580</x:v>
      </x:c>
      <x:c r="Z130" s="458"/>
      <x:c r="AA130" s="458"/>
      <x:c r="AB130" s="458"/>
      <x:c r="AC130" s="458"/>
      <x:c r="AD130" s="458"/>
      <x:c r="AE130" s="458"/>
      <x:c r="AO130" s="438">
        <x:v>52310118</x:v>
      </x:c>
      <x:c r="AP130" s="438" t="s">
        <x:v>171</x:v>
      </x:c>
      <x:c r="AQ130" s="438" t="s">
        <x:v>40</x:v>
      </x:c>
    </x:row>
    <x:row r="131" spans="1:43" ht="20.100000000000001" customHeight="1">
      <x:c r="A131" s="439"/>
      <x:c r="B131" s="466" t="str">
        <x:f t="shared" ref="B131:B194" si="30">IFERROR(VLOOKUP($C131,$AH:$AI,2,),"")</x:f>
        <x:v>기타비용</x:v>
      </x:c>
      <x:c r="C131" s="440" t="str">
        <x:f t="shared" ref="C131:C194" si="31">IFERROR(VLOOKUP($D131,$AO:$AQ,3,),"")</x:f>
        <x:v>차량유지비</x:v>
      </x:c>
      <x:c r="D131" s="441">
        <x:v>52359900</x:v>
      </x:c>
      <x:c r="E131" s="442" t="str">
        <x:f t="shared" ref="E131:E194" si="32">IFERROR(VLOOKUP($D131,$AO:$AQ,2,),"")</x:f>
        <x:v>차량유지비_기타</x:v>
      </x:c>
      <x:c r="F131" s="443"/>
      <x:c r="G131" s="444" t="s">
        <x:v>101</x:v>
      </x:c>
      <x:c r="H131" s="445" t="str">
        <x:f t="shared" ref="H131:H143" si="33">IFERROR(VLOOKUP($G131,$AK:$AL,2,),"")</x:f>
        <x:v>전장설계2팀(E)</x:v>
      </x:c>
      <x:c r="I131" s="446" t="str">
        <x:f t="shared" ref="I131:I194" si="34">IFERROR(VLOOKUP($G131,$AK:$AM,3,),"")</x:f>
        <x:v>[연구개발비]</x:v>
      </x:c>
      <x:c r="J131" s="445"/>
      <x:c r="K131" s="453">
        <x:v>20000</x:v>
      </x:c>
      <x:c r="L131" s="454">
        <x:v>20000</x:v>
      </x:c>
      <x:c r="M131" s="454">
        <x:v>20000</x:v>
      </x:c>
      <x:c r="N131" s="454">
        <x:v>20000</x:v>
      </x:c>
      <x:c r="O131" s="454">
        <x:v>20000</x:v>
      </x:c>
      <x:c r="P131" s="454">
        <x:v>20000</x:v>
      </x:c>
      <x:c r="Q131" s="454">
        <x:v>20000</x:v>
      </x:c>
      <x:c r="R131" s="454">
        <x:v>20000</x:v>
      </x:c>
      <x:c r="S131" s="454">
        <x:v>20000</x:v>
      </x:c>
      <x:c r="T131" s="454">
        <x:v>20000</x:v>
      </x:c>
      <x:c r="U131" s="454">
        <x:v>20000</x:v>
      </x:c>
      <x:c r="V131" s="455">
        <x:v>20000</x:v>
      </x:c>
      <x:c r="W131" s="456">
        <x:f t="shared" si="28"/>
        <x:v>240000</x:v>
      </x:c>
      <x:c r="X131" s="450">
        <x:f t="shared" si="29"/>
        <x:v>20000</x:v>
      </x:c>
      <x:c r="Y131" s="457" t="s">
        <x:v>734</x:v>
      </x:c>
      <x:c r="Z131" s="458"/>
      <x:c r="AA131" s="458"/>
      <x:c r="AB131" s="458"/>
      <x:c r="AC131" s="458"/>
      <x:c r="AD131" s="458"/>
      <x:c r="AE131" s="458"/>
      <x:c r="AO131" s="438">
        <x:v>52310124</x:v>
      </x:c>
      <x:c r="AP131" s="438" t="s">
        <x:v>574</x:v>
      </x:c>
      <x:c r="AQ131" s="438" t="s">
        <x:v>40</x:v>
      </x:c>
    </x:row>
    <x:row r="132" spans="1:43" ht="20.100000000000001" customHeight="1">
      <x:c r="A132" s="439"/>
      <x:c r="B132" s="466" t="str">
        <x:f t="shared" si="30"/>
        <x:v>기타비용</x:v>
      </x:c>
      <x:c r="C132" s="440" t="str">
        <x:f t="shared" si="31"/>
        <x:v>접대비</x:v>
      </x:c>
      <x:c r="D132" s="441">
        <x:v>52230103</x:v>
      </x:c>
      <x:c r="E132" s="442" t="str">
        <x:f t="shared" si="32"/>
        <x:v>접대비_법인카드</x:v>
      </x:c>
      <x:c r="F132" s="443"/>
      <x:c r="G132" s="444" t="s">
        <x:v>101</x:v>
      </x:c>
      <x:c r="H132" s="445" t="str">
        <x:f t="shared" si="33"/>
        <x:v>전장설계2팀(E)</x:v>
      </x:c>
      <x:c r="I132" s="446" t="str">
        <x:f t="shared" si="34"/>
        <x:v>[연구개발비]</x:v>
      </x:c>
      <x:c r="J132" s="445"/>
      <x:c r="K132" s="453">
        <x:v>200000</x:v>
      </x:c>
      <x:c r="L132" s="454">
        <x:v>200000</x:v>
      </x:c>
      <x:c r="M132" s="454">
        <x:v>200000</x:v>
      </x:c>
      <x:c r="N132" s="454">
        <x:v>200000</x:v>
      </x:c>
      <x:c r="O132" s="454">
        <x:v>200000</x:v>
      </x:c>
      <x:c r="P132" s="454">
        <x:v>200000</x:v>
      </x:c>
      <x:c r="Q132" s="454">
        <x:v>200000</x:v>
      </x:c>
      <x:c r="R132" s="454">
        <x:v>200000</x:v>
      </x:c>
      <x:c r="S132" s="454">
        <x:v>200000</x:v>
      </x:c>
      <x:c r="T132" s="454">
        <x:v>200000</x:v>
      </x:c>
      <x:c r="U132" s="454">
        <x:v>200000</x:v>
      </x:c>
      <x:c r="V132" s="455">
        <x:v>200000</x:v>
      </x:c>
      <x:c r="W132" s="456">
        <x:f t="shared" si="28"/>
        <x:v>2400000</x:v>
      </x:c>
      <x:c r="X132" s="450">
        <x:f t="shared" si="29"/>
        <x:v>200000</x:v>
      </x:c>
      <x:c r="Y132" s="457" t="s">
        <x:v>735</x:v>
      </x:c>
      <x:c r="Z132" s="458"/>
      <x:c r="AA132" s="458"/>
      <x:c r="AB132" s="458"/>
      <x:c r="AC132" s="458"/>
      <x:c r="AD132" s="458"/>
      <x:c r="AE132" s="458"/>
      <x:c r="AO132" s="438">
        <x:v>52310127</x:v>
      </x:c>
      <x:c r="AP132" s="438" t="s">
        <x:v>172</x:v>
      </x:c>
      <x:c r="AQ132" s="438" t="s">
        <x:v>40</x:v>
      </x:c>
    </x:row>
    <x:row r="133" spans="1:43" ht="20.100000000000001" customHeight="1">
      <x:c r="A133" s="439"/>
      <x:c r="B133" s="466" t="str">
        <x:f t="shared" si="30"/>
        <x:v>지급수수료</x:v>
      </x:c>
      <x:c r="C133" s="440" t="str">
        <x:f t="shared" si="31"/>
        <x:v>지급수수료</x:v>
      </x:c>
      <x:c r="D133" s="441">
        <x:v>52319900</x:v>
      </x:c>
      <x:c r="E133" s="442" t="str">
        <x:f t="shared" si="32"/>
        <x:v>지급수수료_기타</x:v>
      </x:c>
      <x:c r="F133" s="443"/>
      <x:c r="G133" s="444" t="s">
        <x:v>101</x:v>
      </x:c>
      <x:c r="H133" s="445" t="str">
        <x:f t="shared" si="33"/>
        <x:v>전장설계2팀(E)</x:v>
      </x:c>
      <x:c r="I133" s="446" t="str">
        <x:f t="shared" si="34"/>
        <x:v>[연구개발비]</x:v>
      </x:c>
      <x:c r="J133" s="445"/>
      <x:c r="K133" s="453">
        <x:v>8300000</x:v>
      </x:c>
      <x:c r="L133" s="454">
        <x:v>8300000</x:v>
      </x:c>
      <x:c r="M133" s="454">
        <x:v>8700000</x:v>
      </x:c>
      <x:c r="N133" s="454">
        <x:v>0</x:v>
      </x:c>
      <x:c r="O133" s="454">
        <x:v>0</x:v>
      </x:c>
      <x:c r="P133" s="454">
        <x:v>0</x:v>
      </x:c>
      <x:c r="Q133" s="454">
        <x:v>0</x:v>
      </x:c>
      <x:c r="R133" s="454">
        <x:v>0</x:v>
      </x:c>
      <x:c r="S133" s="454">
        <x:v>0</x:v>
      </x:c>
      <x:c r="T133" s="454">
        <x:v>0</x:v>
      </x:c>
      <x:c r="U133" s="454">
        <x:v>0</x:v>
      </x:c>
      <x:c r="V133" s="455">
        <x:v>0</x:v>
      </x:c>
      <x:c r="W133" s="456">
        <x:f t="shared" si="28"/>
        <x:v>25300000</x:v>
      </x:c>
      <x:c r="X133" s="450">
        <x:f t="shared" si="29"/>
        <x:v>2108333.3333333335</x:v>
      </x:c>
      <x:c r="Y133" s="457" t="s">
        <x:v>736</x:v>
      </x:c>
      <x:c r="Z133" s="458"/>
      <x:c r="AA133" s="458"/>
      <x:c r="AB133" s="458"/>
      <x:c r="AC133" s="458"/>
      <x:c r="AD133" s="458"/>
      <x:c r="AE133" s="458"/>
      <x:c r="AO133" s="438">
        <x:v>52310128</x:v>
      </x:c>
      <x:c r="AP133" s="438" t="s">
        <x:v>173</x:v>
      </x:c>
      <x:c r="AQ133" s="438" t="s">
        <x:v>40</x:v>
      </x:c>
    </x:row>
    <x:row r="134" spans="1:43" ht="20.100000000000001" customHeight="1">
      <x:c r="A134" s="439"/>
      <x:c r="B134" s="466" t="str">
        <x:f t="shared" si="30"/>
        <x:v>지급수수료</x:v>
      </x:c>
      <x:c r="C134" s="440" t="str">
        <x:f t="shared" si="31"/>
        <x:v>지급수수료</x:v>
      </x:c>
      <x:c r="D134" s="441">
        <x:v>52319900</x:v>
      </x:c>
      <x:c r="E134" s="442" t="str">
        <x:f t="shared" si="32"/>
        <x:v>지급수수료_기타</x:v>
      </x:c>
      <x:c r="F134" s="443"/>
      <x:c r="G134" s="444" t="s">
        <x:v>101</x:v>
      </x:c>
      <x:c r="H134" s="445" t="str">
        <x:f t="shared" si="33"/>
        <x:v>전장설계2팀(E)</x:v>
      </x:c>
      <x:c r="I134" s="446" t="str">
        <x:f t="shared" si="34"/>
        <x:v>[연구개발비]</x:v>
      </x:c>
      <x:c r="J134" s="445"/>
      <x:c r="K134" s="453">
        <x:v>0</x:v>
      </x:c>
      <x:c r="L134" s="454">
        <x:v>0</x:v>
      </x:c>
      <x:c r="M134" s="454">
        <x:v>0</x:v>
      </x:c>
      <x:c r="N134" s="454">
        <x:v>0</x:v>
      </x:c>
      <x:c r="O134" s="454">
        <x:v>0</x:v>
      </x:c>
      <x:c r="P134" s="454">
        <x:v>0</x:v>
      </x:c>
      <x:c r="Q134" s="454">
        <x:v>0</x:v>
      </x:c>
      <x:c r="R134" s="454">
        <x:v>0</x:v>
      </x:c>
      <x:c r="S134" s="454">
        <x:v>0</x:v>
      </x:c>
      <x:c r="T134" s="454">
        <x:v>0</x:v>
      </x:c>
      <x:c r="U134" s="454">
        <x:v>0</x:v>
      </x:c>
      <x:c r="V134" s="455">
        <x:v>6200000</x:v>
      </x:c>
      <x:c r="W134" s="456">
        <x:f t="shared" si="28"/>
        <x:v>6200000</x:v>
      </x:c>
      <x:c r="X134" s="450">
        <x:f t="shared" si="29"/>
        <x:v>516666.66666666669</x:v>
      </x:c>
      <x:c r="Y134" s="457" t="s">
        <x:v>737</x:v>
      </x:c>
      <x:c r="Z134" s="458"/>
      <x:c r="AA134" s="458"/>
      <x:c r="AB134" s="458"/>
      <x:c r="AC134" s="458"/>
      <x:c r="AD134" s="458"/>
      <x:c r="AE134" s="458"/>
      <x:c r="AO134" s="438">
        <x:v>52310129</x:v>
      </x:c>
      <x:c r="AP134" s="438" t="s">
        <x:v>575</x:v>
      </x:c>
      <x:c r="AQ134" s="438" t="s">
        <x:v>40</x:v>
      </x:c>
    </x:row>
    <x:row r="135" spans="1:43" ht="20.100000000000001" customHeight="1">
      <x:c r="A135" s="439"/>
      <x:c r="B135" s="466" t="str">
        <x:f t="shared" si="30"/>
        <x:v>기타비용</x:v>
      </x:c>
      <x:c r="C135" s="440" t="str">
        <x:f t="shared" si="31"/>
        <x:v>도서인쇄비</x:v>
      </x:c>
      <x:c r="D135" s="441">
        <x:v>52320102</x:v>
      </x:c>
      <x:c r="E135" s="442" t="str">
        <x:f t="shared" si="32"/>
        <x:v>도서인쇄비_도서구입</x:v>
      </x:c>
      <x:c r="F135" s="443"/>
      <x:c r="G135" s="444" t="s">
        <x:v>101</x:v>
      </x:c>
      <x:c r="H135" s="445" t="str">
        <x:f t="shared" si="33"/>
        <x:v>전장설계2팀(E)</x:v>
      </x:c>
      <x:c r="I135" s="446" t="str">
        <x:f t="shared" si="34"/>
        <x:v>[연구개발비]</x:v>
      </x:c>
      <x:c r="J135" s="445"/>
      <x:c r="K135" s="453">
        <x:v>200000</x:v>
      </x:c>
      <x:c r="L135" s="454">
        <x:v>200000</x:v>
      </x:c>
      <x:c r="M135" s="454">
        <x:v>200000</x:v>
      </x:c>
      <x:c r="N135" s="454">
        <x:v>200000</x:v>
      </x:c>
      <x:c r="O135" s="454">
        <x:v>200000</x:v>
      </x:c>
      <x:c r="P135" s="454">
        <x:v>200000</x:v>
      </x:c>
      <x:c r="Q135" s="454">
        <x:v>200000</x:v>
      </x:c>
      <x:c r="R135" s="454">
        <x:v>200000</x:v>
      </x:c>
      <x:c r="S135" s="454">
        <x:v>200000</x:v>
      </x:c>
      <x:c r="T135" s="454">
        <x:v>200000</x:v>
      </x:c>
      <x:c r="U135" s="454">
        <x:v>200000</x:v>
      </x:c>
      <x:c r="V135" s="455">
        <x:v>200000</x:v>
      </x:c>
      <x:c r="W135" s="456">
        <x:f t="shared" si="28"/>
        <x:v>2400000</x:v>
      </x:c>
      <x:c r="X135" s="450">
        <x:f t="shared" si="29"/>
        <x:v>200000</x:v>
      </x:c>
      <x:c r="Y135" s="457" t="s">
        <x:v>738</x:v>
      </x:c>
      <x:c r="Z135" s="458"/>
      <x:c r="AA135" s="458"/>
      <x:c r="AB135" s="458"/>
      <x:c r="AC135" s="458"/>
      <x:c r="AD135" s="458"/>
      <x:c r="AE135" s="458"/>
      <x:c r="AO135" s="438">
        <x:v>52319900</x:v>
      </x:c>
      <x:c r="AP135" s="438" t="s">
        <x:v>75</x:v>
      </x:c>
      <x:c r="AQ135" s="438" t="s">
        <x:v>40</x:v>
      </x:c>
    </x:row>
    <x:row r="136" spans="1:43" ht="20.100000000000001" customHeight="1">
      <x:c r="A136" s="439"/>
      <x:c r="B136" s="466" t="str">
        <x:f t="shared" si="30"/>
        <x:v>개발비</x:v>
      </x:c>
      <x:c r="C136" s="440" t="str">
        <x:f t="shared" si="31"/>
        <x:v>경상연구비</x:v>
      </x:c>
      <x:c r="D136" s="441">
        <x:v>52280305</x:v>
      </x:c>
      <x:c r="E136" s="442" t="str">
        <x:f t="shared" si="32"/>
        <x:v>경상연구비_특허비</x:v>
      </x:c>
      <x:c r="F136" s="443"/>
      <x:c r="G136" s="444" t="s">
        <x:v>101</x:v>
      </x:c>
      <x:c r="H136" s="445" t="str">
        <x:f t="shared" si="33"/>
        <x:v>전장설계2팀(E)</x:v>
      </x:c>
      <x:c r="I136" s="446" t="str">
        <x:f t="shared" si="34"/>
        <x:v>[연구개발비]</x:v>
      </x:c>
      <x:c r="J136" s="445"/>
      <x:c r="K136" s="453">
        <x:v>500000</x:v>
      </x:c>
      <x:c r="L136" s="454">
        <x:v>500000</x:v>
      </x:c>
      <x:c r="M136" s="454">
        <x:v>500000</x:v>
      </x:c>
      <x:c r="N136" s="454">
        <x:v>500000</x:v>
      </x:c>
      <x:c r="O136" s="454">
        <x:v>500000</x:v>
      </x:c>
      <x:c r="P136" s="454">
        <x:v>500000</x:v>
      </x:c>
      <x:c r="Q136" s="454">
        <x:v>500000</x:v>
      </x:c>
      <x:c r="R136" s="454">
        <x:v>500000</x:v>
      </x:c>
      <x:c r="S136" s="454">
        <x:v>500000</x:v>
      </x:c>
      <x:c r="T136" s="454">
        <x:v>500000</x:v>
      </x:c>
      <x:c r="U136" s="454">
        <x:v>500000</x:v>
      </x:c>
      <x:c r="V136" s="455">
        <x:v>500000</x:v>
      </x:c>
      <x:c r="W136" s="456">
        <x:f t="shared" si="28"/>
        <x:v>6000000</x:v>
      </x:c>
      <x:c r="X136" s="450">
        <x:f t="shared" si="29"/>
        <x:v>500000</x:v>
      </x:c>
      <x:c r="Y136" s="457" t="s">
        <x:v>581</x:v>
      </x:c>
      <x:c r="Z136" s="458"/>
      <x:c r="AA136" s="458"/>
      <x:c r="AB136" s="458"/>
      <x:c r="AC136" s="458"/>
      <x:c r="AD136" s="458"/>
      <x:c r="AE136" s="458"/>
      <x:c r="AO136" s="438">
        <x:v>52320101</x:v>
      </x:c>
      <x:c r="AP136" s="438" t="s">
        <x:v>174</x:v>
      </x:c>
      <x:c r="AQ136" s="438" t="s">
        <x:v>448</x:v>
      </x:c>
    </x:row>
    <x:row r="137" spans="1:43" ht="20.100000000000001" customHeight="1">
      <x:c r="A137" s="439"/>
      <x:c r="B137" s="466" t="str">
        <x:f t="shared" si="30"/>
        <x:v>개발비</x:v>
      </x:c>
      <x:c r="C137" s="440" t="str">
        <x:f t="shared" si="31"/>
        <x:v>경상연구비</x:v>
      </x:c>
      <x:c r="D137" s="441">
        <x:v>52280317</x:v>
      </x:c>
      <x:c r="E137" s="442" t="str">
        <x:f t="shared" si="32"/>
        <x:v>경상연구비_연구개발소모품비</x:v>
      </x:c>
      <x:c r="F137" s="443"/>
      <x:c r="G137" s="444" t="s">
        <x:v>101</x:v>
      </x:c>
      <x:c r="H137" s="445" t="str">
        <x:f t="shared" si="33"/>
        <x:v>전장설계2팀(E)</x:v>
      </x:c>
      <x:c r="I137" s="446" t="str">
        <x:f t="shared" si="34"/>
        <x:v>[연구개발비]</x:v>
      </x:c>
      <x:c r="J137" s="445"/>
      <x:c r="K137" s="453">
        <x:v>1000000</x:v>
      </x:c>
      <x:c r="L137" s="454">
        <x:v>1000000</x:v>
      </x:c>
      <x:c r="M137" s="454">
        <x:v>1000000</x:v>
      </x:c>
      <x:c r="N137" s="454">
        <x:v>1000000</x:v>
      </x:c>
      <x:c r="O137" s="454">
        <x:v>1000000</x:v>
      </x:c>
      <x:c r="P137" s="454">
        <x:v>1000000</x:v>
      </x:c>
      <x:c r="Q137" s="454">
        <x:v>1000000</x:v>
      </x:c>
      <x:c r="R137" s="454">
        <x:v>1000000</x:v>
      </x:c>
      <x:c r="S137" s="454">
        <x:v>1000000</x:v>
      </x:c>
      <x:c r="T137" s="454">
        <x:v>1000000</x:v>
      </x:c>
      <x:c r="U137" s="454">
        <x:v>1000000</x:v>
      </x:c>
      <x:c r="V137" s="455">
        <x:v>1000000</x:v>
      </x:c>
      <x:c r="W137" s="456">
        <x:f t="shared" ref="W137:W151" si="35">IFERROR(SUM(K137:V137),"")</x:f>
        <x:v>12000000</x:v>
      </x:c>
      <x:c r="X137" s="450">
        <x:f t="shared" ref="X137:X152" si="36">IFERROR($W137/$Y$1,"")</x:f>
        <x:v>1000000</x:v>
      </x:c>
      <x:c r="Y137" s="457" t="s">
        <x:v>739</x:v>
      </x:c>
      <x:c r="Z137" s="458"/>
      <x:c r="AA137" s="458"/>
      <x:c r="AB137" s="458"/>
      <x:c r="AC137" s="458"/>
      <x:c r="AD137" s="458"/>
      <x:c r="AE137" s="458"/>
      <x:c r="AO137" s="438">
        <x:v>52320102</x:v>
      </x:c>
      <x:c r="AP137" s="438" t="s">
        <x:v>175</x:v>
      </x:c>
      <x:c r="AQ137" s="438" t="s">
        <x:v>448</x:v>
      </x:c>
    </x:row>
    <x:row r="138" spans="1:43" ht="20.100000000000001" customHeight="1">
      <x:c r="A138" s="439"/>
      <x:c r="B138" s="466" t="str">
        <x:f t="shared" si="30"/>
        <x:v>유지비용</x:v>
      </x:c>
      <x:c r="C138" s="440" t="str">
        <x:f t="shared" si="31"/>
        <x:v>소모품비</x:v>
      </x:c>
      <x:c r="D138" s="441">
        <x:v>52339900</x:v>
      </x:c>
      <x:c r="E138" s="442" t="str">
        <x:f t="shared" si="32"/>
        <x:v>소모품비_기타</x:v>
      </x:c>
      <x:c r="F138" s="443"/>
      <x:c r="G138" s="444" t="s">
        <x:v>101</x:v>
      </x:c>
      <x:c r="H138" s="445" t="str">
        <x:f t="shared" si="33"/>
        <x:v>전장설계2팀(E)</x:v>
      </x:c>
      <x:c r="I138" s="446" t="str">
        <x:f t="shared" si="34"/>
        <x:v>[연구개발비]</x:v>
      </x:c>
      <x:c r="J138" s="445"/>
      <x:c r="K138" s="453">
        <x:v>100000</x:v>
      </x:c>
      <x:c r="L138" s="454">
        <x:v>100000</x:v>
      </x:c>
      <x:c r="M138" s="454">
        <x:v>100000</x:v>
      </x:c>
      <x:c r="N138" s="454">
        <x:v>100000</x:v>
      </x:c>
      <x:c r="O138" s="454">
        <x:v>100000</x:v>
      </x:c>
      <x:c r="P138" s="454">
        <x:v>100000</x:v>
      </x:c>
      <x:c r="Q138" s="454">
        <x:v>100000</x:v>
      </x:c>
      <x:c r="R138" s="454">
        <x:v>100000</x:v>
      </x:c>
      <x:c r="S138" s="454">
        <x:v>100000</x:v>
      </x:c>
      <x:c r="T138" s="454">
        <x:v>100000</x:v>
      </x:c>
      <x:c r="U138" s="454">
        <x:v>100000</x:v>
      </x:c>
      <x:c r="V138" s="455">
        <x:v>100000</x:v>
      </x:c>
      <x:c r="W138" s="456">
        <x:f t="shared" si="35"/>
        <x:v>1200000</x:v>
      </x:c>
      <x:c r="X138" s="450">
        <x:f t="shared" si="36"/>
        <x:v>100000</x:v>
      </x:c>
      <x:c r="Y138" s="457" t="s">
        <x:v>740</x:v>
      </x:c>
      <x:c r="Z138" s="458"/>
      <x:c r="AA138" s="458"/>
      <x:c r="AB138" s="458"/>
      <x:c r="AC138" s="458"/>
      <x:c r="AD138" s="458"/>
      <x:c r="AE138" s="458"/>
      <x:c r="AO138" s="438">
        <x:v>52320103</x:v>
      </x:c>
      <x:c r="AP138" s="438" t="s">
        <x:v>176</x:v>
      </x:c>
      <x:c r="AQ138" s="438" t="s">
        <x:v>448</x:v>
      </x:c>
    </x:row>
    <x:row r="139" spans="1:43" ht="20.100000000000001" customHeight="1">
      <x:c r="A139" s="439"/>
      <x:c r="B139" s="466" t="str">
        <x:f t="shared" si="30"/>
        <x:v>유지비용</x:v>
      </x:c>
      <x:c r="C139" s="440" t="str">
        <x:f t="shared" si="31"/>
        <x:v>소모품비</x:v>
      </x:c>
      <x:c r="D139" s="441">
        <x:v>52330102</x:v>
      </x:c>
      <x:c r="E139" s="442" t="str">
        <x:f t="shared" si="32"/>
        <x:v>소모품비_문구</x:v>
      </x:c>
      <x:c r="F139" s="443"/>
      <x:c r="G139" s="444" t="s">
        <x:v>101</x:v>
      </x:c>
      <x:c r="H139" s="445" t="str">
        <x:f t="shared" si="33"/>
        <x:v>전장설계2팀(E)</x:v>
      </x:c>
      <x:c r="I139" s="446" t="str">
        <x:f t="shared" si="34"/>
        <x:v>[연구개발비]</x:v>
      </x:c>
      <x:c r="J139" s="445"/>
      <x:c r="K139" s="453">
        <x:v>100000</x:v>
      </x:c>
      <x:c r="L139" s="454">
        <x:v>100000</x:v>
      </x:c>
      <x:c r="M139" s="454">
        <x:v>100000</x:v>
      </x:c>
      <x:c r="N139" s="454">
        <x:v>100000</x:v>
      </x:c>
      <x:c r="O139" s="454">
        <x:v>100000</x:v>
      </x:c>
      <x:c r="P139" s="454">
        <x:v>100000</x:v>
      </x:c>
      <x:c r="Q139" s="454">
        <x:v>100000</x:v>
      </x:c>
      <x:c r="R139" s="454">
        <x:v>100000</x:v>
      </x:c>
      <x:c r="S139" s="454">
        <x:v>100000</x:v>
      </x:c>
      <x:c r="T139" s="454">
        <x:v>100000</x:v>
      </x:c>
      <x:c r="U139" s="454">
        <x:v>100000</x:v>
      </x:c>
      <x:c r="V139" s="455">
        <x:v>100000</x:v>
      </x:c>
      <x:c r="W139" s="456">
        <x:f t="shared" si="35"/>
        <x:v>1200000</x:v>
      </x:c>
      <x:c r="X139" s="450">
        <x:f t="shared" si="36"/>
        <x:v>100000</x:v>
      </x:c>
      <x:c r="Y139" s="457" t="s">
        <x:v>741</x:v>
      </x:c>
      <x:c r="Z139" s="458"/>
      <x:c r="AA139" s="458"/>
      <x:c r="AB139" s="458"/>
      <x:c r="AC139" s="458"/>
      <x:c r="AD139" s="458"/>
      <x:c r="AE139" s="458"/>
      <x:c r="AO139" s="438">
        <x:v>52320104</x:v>
      </x:c>
      <x:c r="AP139" s="438" t="s">
        <x:v>460</x:v>
      </x:c>
      <x:c r="AQ139" s="438" t="s">
        <x:v>448</x:v>
      </x:c>
    </x:row>
    <x:row r="140" spans="1:43" ht="20.100000000000001" customHeight="1">
      <x:c r="A140" s="439"/>
      <x:c r="B140" s="466" t="str">
        <x:f t="shared" si="30"/>
        <x:v>지급수수료</x:v>
      </x:c>
      <x:c r="C140" s="440" t="str">
        <x:f t="shared" si="31"/>
        <x:v>지급수수료</x:v>
      </x:c>
      <x:c r="D140" s="441">
        <x:v>52310127</x:v>
      </x:c>
      <x:c r="E140" s="442" t="str">
        <x:f t="shared" si="32"/>
        <x:v>지급수수료-전산유지정비</x:v>
      </x:c>
      <x:c r="F140" s="443"/>
      <x:c r="G140" s="444" t="s">
        <x:v>101</x:v>
      </x:c>
      <x:c r="H140" s="445" t="str">
        <x:f t="shared" si="33"/>
        <x:v>전장설계2팀(E)</x:v>
      </x:c>
      <x:c r="I140" s="446" t="str">
        <x:f t="shared" si="34"/>
        <x:v>[연구개발비]</x:v>
      </x:c>
      <x:c r="J140" s="445"/>
      <x:c r="K140" s="453">
        <x:v>0</x:v>
      </x:c>
      <x:c r="L140" s="454">
        <x:v>0</x:v>
      </x:c>
      <x:c r="M140" s="454">
        <x:v>0</x:v>
      </x:c>
      <x:c r="N140" s="454">
        <x:v>5700000</x:v>
      </x:c>
      <x:c r="O140" s="454">
        <x:v>0</x:v>
      </x:c>
      <x:c r="P140" s="454">
        <x:v>0</x:v>
      </x:c>
      <x:c r="Q140" s="454">
        <x:v>0</x:v>
      </x:c>
      <x:c r="R140" s="454">
        <x:v>0</x:v>
      </x:c>
      <x:c r="S140" s="454">
        <x:v>0</x:v>
      </x:c>
      <x:c r="T140" s="454">
        <x:v>0</x:v>
      </x:c>
      <x:c r="U140" s="454">
        <x:v>0</x:v>
      </x:c>
      <x:c r="V140" s="455">
        <x:v>0</x:v>
      </x:c>
      <x:c r="W140" s="456">
        <x:f t="shared" si="35"/>
        <x:v>5700000</x:v>
      </x:c>
      <x:c r="X140" s="450">
        <x:f t="shared" si="36"/>
        <x:v>475000</x:v>
      </x:c>
      <x:c r="Y140" s="457" t="s">
        <x:v>742</x:v>
      </x:c>
      <x:c r="Z140" s="458"/>
      <x:c r="AA140" s="458"/>
      <x:c r="AB140" s="458"/>
      <x:c r="AC140" s="458"/>
      <x:c r="AD140" s="458"/>
      <x:c r="AE140" s="458"/>
      <x:c r="AO140" s="438">
        <x:v>52329900</x:v>
      </x:c>
      <x:c r="AP140" s="438" t="s">
        <x:v>177</x:v>
      </x:c>
      <x:c r="AQ140" s="438" t="s">
        <x:v>448</x:v>
      </x:c>
    </x:row>
    <x:row r="141" spans="1:43" ht="20.100000000000001" customHeight="1">
      <x:c r="A141" s="439"/>
      <x:c r="B141" s="466" t="str">
        <x:f t="shared" si="30"/>
        <x:v>개발비</x:v>
      </x:c>
      <x:c r="C141" s="440" t="str">
        <x:f t="shared" si="31"/>
        <x:v>경상연구비</x:v>
      </x:c>
      <x:c r="D141" s="441">
        <x:v>52280301</x:v>
      </x:c>
      <x:c r="E141" s="442" t="str">
        <x:f t="shared" si="32"/>
        <x:v>경상연구비_시험분석비</x:v>
      </x:c>
      <x:c r="F141" s="443"/>
      <x:c r="G141" s="444" t="s">
        <x:v>101</x:v>
      </x:c>
      <x:c r="H141" s="445" t="str">
        <x:f t="shared" si="33"/>
        <x:v>전장설계2팀(E)</x:v>
      </x:c>
      <x:c r="I141" s="446" t="str">
        <x:f t="shared" si="34"/>
        <x:v>[연구개발비]</x:v>
      </x:c>
      <x:c r="J141" s="445"/>
      <x:c r="K141" s="453">
        <x:v>1000000</x:v>
      </x:c>
      <x:c r="L141" s="454">
        <x:v>1000000</x:v>
      </x:c>
      <x:c r="M141" s="454">
        <x:v>1000000</x:v>
      </x:c>
      <x:c r="N141" s="454">
        <x:v>1000000</x:v>
      </x:c>
      <x:c r="O141" s="454">
        <x:v>1000000</x:v>
      </x:c>
      <x:c r="P141" s="454">
        <x:v>1000000</x:v>
      </x:c>
      <x:c r="Q141" s="454">
        <x:v>1000000</x:v>
      </x:c>
      <x:c r="R141" s="454">
        <x:v>1000000</x:v>
      </x:c>
      <x:c r="S141" s="454">
        <x:v>1000000</x:v>
      </x:c>
      <x:c r="T141" s="454">
        <x:v>1000000</x:v>
      </x:c>
      <x:c r="U141" s="454">
        <x:v>1000000</x:v>
      </x:c>
      <x:c r="V141" s="455">
        <x:v>1000000</x:v>
      </x:c>
      <x:c r="W141" s="456">
        <x:f t="shared" si="35"/>
        <x:v>12000000</x:v>
      </x:c>
      <x:c r="X141" s="450">
        <x:f t="shared" si="36"/>
        <x:v>1000000</x:v>
      </x:c>
      <x:c r="Y141" s="457" t="s">
        <x:v>743</x:v>
      </x:c>
      <x:c r="Z141" s="458"/>
      <x:c r="AA141" s="458"/>
      <x:c r="AB141" s="458"/>
      <x:c r="AC141" s="458"/>
      <x:c r="AD141" s="458"/>
      <x:c r="AE141" s="458"/>
      <x:c r="AO141" s="438">
        <x:v>52330101</x:v>
      </x:c>
      <x:c r="AP141" s="438" t="s">
        <x:v>178</x:v>
      </x:c>
      <x:c r="AQ141" s="438" t="s">
        <x:v>449</x:v>
      </x:c>
    </x:row>
    <x:row r="142" spans="1:43" ht="20.100000000000001" customHeight="1">
      <x:c r="A142" s="439"/>
      <x:c r="B142" s="466" t="str">
        <x:f t="shared" si="30"/>
        <x:v>기타비용</x:v>
      </x:c>
      <x:c r="C142" s="440" t="str">
        <x:f t="shared" si="31"/>
        <x:v>접대비</x:v>
      </x:c>
      <x:c r="D142" s="441">
        <x:v>52230103</x:v>
      </x:c>
      <x:c r="E142" s="442" t="str">
        <x:f t="shared" si="32"/>
        <x:v>접대비_법인카드</x:v>
      </x:c>
      <x:c r="F142" s="443"/>
      <x:c r="G142" s="444" t="s">
        <x:v>82</x:v>
      </x:c>
      <x:c r="H142" s="445" t="str">
        <x:f t="shared" si="33"/>
        <x:v>생산기술팀(E)</x:v>
      </x:c>
      <x:c r="I142" s="446" t="str">
        <x:f t="shared" si="34"/>
        <x:v>[관리비]</x:v>
      </x:c>
      <x:c r="J142" s="445"/>
      <x:c r="K142" s="453">
        <x:v>300000</x:v>
      </x:c>
      <x:c r="L142" s="454">
        <x:v>300000</x:v>
      </x:c>
      <x:c r="M142" s="454">
        <x:v>300000</x:v>
      </x:c>
      <x:c r="N142" s="454">
        <x:v>300000</x:v>
      </x:c>
      <x:c r="O142" s="454">
        <x:v>300000</x:v>
      </x:c>
      <x:c r="P142" s="454">
        <x:v>300000</x:v>
      </x:c>
      <x:c r="Q142" s="454">
        <x:v>300000</x:v>
      </x:c>
      <x:c r="R142" s="454">
        <x:v>300000</x:v>
      </x:c>
      <x:c r="S142" s="454">
        <x:v>300000</x:v>
      </x:c>
      <x:c r="T142" s="454">
        <x:v>300000</x:v>
      </x:c>
      <x:c r="U142" s="454">
        <x:v>300000</x:v>
      </x:c>
      <x:c r="V142" s="455">
        <x:v>300000</x:v>
      </x:c>
      <x:c r="W142" s="456">
        <x:f t="shared" si="35"/>
        <x:v>3600000</x:v>
      </x:c>
      <x:c r="X142" s="450">
        <x:f t="shared" si="36"/>
        <x:v>300000</x:v>
      </x:c>
      <x:c r="Y142" s="457"/>
      <x:c r="Z142" s="458"/>
      <x:c r="AA142" s="458"/>
      <x:c r="AB142" s="458"/>
      <x:c r="AC142" s="458"/>
      <x:c r="AD142" s="458"/>
      <x:c r="AE142" s="458"/>
      <x:c r="AO142" s="438">
        <x:v>52330102</x:v>
      </x:c>
      <x:c r="AP142" s="438" t="s">
        <x:v>179</x:v>
      </x:c>
      <x:c r="AQ142" s="438" t="s">
        <x:v>449</x:v>
      </x:c>
    </x:row>
    <x:row r="143" spans="1:43" ht="20.100000000000001" customHeight="1">
      <x:c r="A143" s="439"/>
      <x:c r="B143" s="466" t="str">
        <x:f t="shared" si="30"/>
        <x:v>복리후생비</x:v>
      </x:c>
      <x:c r="C143" s="440" t="str">
        <x:f t="shared" si="31"/>
        <x:v>후생비</x:v>
      </x:c>
      <x:c r="D143" s="441">
        <x:v>52130123</x:v>
      </x:c>
      <x:c r="E143" s="442" t="str">
        <x:f t="shared" si="32"/>
        <x:v>후생비_외근식대</x:v>
      </x:c>
      <x:c r="F143" s="443"/>
      <x:c r="G143" s="444" t="s">
        <x:v>82</x:v>
      </x:c>
      <x:c r="H143" s="445" t="str">
        <x:f t="shared" si="33"/>
        <x:v>생산기술팀(E)</x:v>
      </x:c>
      <x:c r="I143" s="446" t="str">
        <x:f t="shared" si="34"/>
        <x:v>[관리비]</x:v>
      </x:c>
      <x:c r="J143" s="445"/>
      <x:c r="K143" s="453">
        <x:v>325000</x:v>
      </x:c>
      <x:c r="L143" s="454">
        <x:v>325000</x:v>
      </x:c>
      <x:c r="M143" s="454">
        <x:v>325000</x:v>
      </x:c>
      <x:c r="N143" s="454">
        <x:v>325000</x:v>
      </x:c>
      <x:c r="O143" s="454">
        <x:v>325000</x:v>
      </x:c>
      <x:c r="P143" s="454">
        <x:v>325000</x:v>
      </x:c>
      <x:c r="Q143" s="454">
        <x:v>325000</x:v>
      </x:c>
      <x:c r="R143" s="454">
        <x:v>325000</x:v>
      </x:c>
      <x:c r="S143" s="454">
        <x:v>650000</x:v>
      </x:c>
      <x:c r="T143" s="454">
        <x:v>650000</x:v>
      </x:c>
      <x:c r="U143" s="454">
        <x:v>650000</x:v>
      </x:c>
      <x:c r="V143" s="455">
        <x:v>650000</x:v>
      </x:c>
      <x:c r="W143" s="456">
        <x:f t="shared" si="35"/>
        <x:v>5200000</x:v>
      </x:c>
      <x:c r="X143" s="450">
        <x:f t="shared" si="36"/>
        <x:v>433333.33333333331</x:v>
      </x:c>
      <x:c r="Y143" s="457"/>
      <x:c r="Z143" s="458"/>
      <x:c r="AA143" s="458"/>
      <x:c r="AB143" s="458"/>
      <x:c r="AC143" s="458"/>
      <x:c r="AD143" s="458"/>
      <x:c r="AE143" s="458"/>
      <x:c r="AO143" s="438">
        <x:v>52330104</x:v>
      </x:c>
      <x:c r="AP143" s="438" t="s">
        <x:v>461</x:v>
      </x:c>
      <x:c r="AQ143" s="438" t="s">
        <x:v>449</x:v>
      </x:c>
    </x:row>
    <x:row r="144" spans="1:43" ht="20.100000000000001" customHeight="1">
      <x:c r="A144" s="439"/>
      <x:c r="B144" s="466" t="str">
        <x:f t="shared" si="30"/>
        <x:v>복리후생비</x:v>
      </x:c>
      <x:c r="C144" s="440" t="str">
        <x:f t="shared" si="31"/>
        <x:v>후생비</x:v>
      </x:c>
      <x:c r="D144" s="441">
        <x:v>52130123</x:v>
      </x:c>
      <x:c r="E144" s="442" t="str">
        <x:f t="shared" si="32"/>
        <x:v>후생비_외근식대</x:v>
      </x:c>
      <x:c r="F144" s="443"/>
      <x:c r="G144" s="444" t="s">
        <x:v>858</x:v>
      </x:c>
      <x:c r="H144" s="445" t="s">
        <x:v>637</x:v>
      </x:c>
      <x:c r="I144" s="446" t="str">
        <x:f t="shared" si="34"/>
        <x:v>[연구개발비]</x:v>
      </x:c>
      <x:c r="J144" s="445"/>
      <x:c r="K144" s="453"/>
      <x:c r="L144" s="454">
        <x:v>325000</x:v>
      </x:c>
      <x:c r="M144" s="454">
        <x:v>325000</x:v>
      </x:c>
      <x:c r="N144" s="454">
        <x:v>325000</x:v>
      </x:c>
      <x:c r="O144" s="454">
        <x:v>325000</x:v>
      </x:c>
      <x:c r="P144" s="454"/>
      <x:c r="Q144" s="454"/>
      <x:c r="R144" s="454"/>
      <x:c r="S144" s="454"/>
      <x:c r="T144" s="454"/>
      <x:c r="U144" s="454"/>
      <x:c r="V144" s="455"/>
      <x:c r="W144" s="456">
        <x:f t="shared" si="35"/>
        <x:v>1300000</x:v>
      </x:c>
      <x:c r="X144" s="450">
        <x:f t="shared" si="36"/>
        <x:v>108333.33333333333</x:v>
      </x:c>
      <x:c r="Y144" s="457"/>
      <x:c r="Z144" s="458"/>
      <x:c r="AA144" s="458"/>
      <x:c r="AB144" s="458"/>
      <x:c r="AC144" s="458"/>
      <x:c r="AD144" s="458"/>
      <x:c r="AE144" s="458"/>
      <x:c r="AO144" s="438">
        <x:v>52330105</x:v>
      </x:c>
      <x:c r="AP144" s="438" t="s">
        <x:v>462</x:v>
      </x:c>
      <x:c r="AQ144" s="438" t="s">
        <x:v>449</x:v>
      </x:c>
    </x:row>
    <x:row r="145" spans="1:43" ht="20.100000000000001" customHeight="1">
      <x:c r="A145" s="439"/>
      <x:c r="B145" s="466" t="str">
        <x:f t="shared" si="30"/>
        <x:v>운반비</x:v>
      </x:c>
      <x:c r="C145" s="440" t="str">
        <x:f t="shared" si="31"/>
        <x:v>운반비</x:v>
      </x:c>
      <x:c r="D145" s="441">
        <x:v>52250103</x:v>
      </x:c>
      <x:c r="E145" s="442" t="str">
        <x:f t="shared" si="32"/>
        <x:v>운반비_항공</x:v>
      </x:c>
      <x:c r="F145" s="443"/>
      <x:c r="G145" s="444" t="s">
        <x:v>82</x:v>
      </x:c>
      <x:c r="H145" s="445" t="str">
        <x:f t="shared" ref="H145:H150" si="37">IFERROR(VLOOKUP($G145,$AK:$AL,2,),"")</x:f>
        <x:v>생산기술팀(E)</x:v>
      </x:c>
      <x:c r="I145" s="446" t="str">
        <x:f t="shared" si="34"/>
        <x:v>[관리비]</x:v>
      </x:c>
      <x:c r="J145" s="445"/>
      <x:c r="K145" s="453">
        <x:v>100000</x:v>
      </x:c>
      <x:c r="L145" s="454">
        <x:v>100000</x:v>
      </x:c>
      <x:c r="M145" s="454">
        <x:v>100000</x:v>
      </x:c>
      <x:c r="N145" s="454">
        <x:v>100000</x:v>
      </x:c>
      <x:c r="O145" s="454">
        <x:v>100000</x:v>
      </x:c>
      <x:c r="P145" s="454">
        <x:v>100000</x:v>
      </x:c>
      <x:c r="Q145" s="454">
        <x:v>100000</x:v>
      </x:c>
      <x:c r="R145" s="454">
        <x:v>100000</x:v>
      </x:c>
      <x:c r="S145" s="454">
        <x:v>100000</x:v>
      </x:c>
      <x:c r="T145" s="454">
        <x:v>100000</x:v>
      </x:c>
      <x:c r="U145" s="454">
        <x:v>100000</x:v>
      </x:c>
      <x:c r="V145" s="455">
        <x:v>100000</x:v>
      </x:c>
      <x:c r="W145" s="456">
        <x:f t="shared" si="35"/>
        <x:v>1200000</x:v>
      </x:c>
      <x:c r="X145" s="450">
        <x:f t="shared" si="36"/>
        <x:v>100000</x:v>
      </x:c>
      <x:c r="Y145" s="457"/>
      <x:c r="Z145" s="458"/>
      <x:c r="AA145" s="458"/>
      <x:c r="AB145" s="458"/>
      <x:c r="AC145" s="458"/>
      <x:c r="AD145" s="458"/>
      <x:c r="AE145" s="458"/>
      <x:c r="AO145" s="438">
        <x:v>52330107</x:v>
      </x:c>
      <x:c r="AP145" s="438" t="s">
        <x:v>313</x:v>
      </x:c>
      <x:c r="AQ145" s="438" t="s">
        <x:v>449</x:v>
      </x:c>
    </x:row>
    <x:row r="146" spans="1:43" ht="20.100000000000001" customHeight="1">
      <x:c r="A146" s="439"/>
      <x:c r="B146" s="466" t="str">
        <x:f t="shared" si="30"/>
        <x:v>운반비</x:v>
      </x:c>
      <x:c r="C146" s="440" t="str">
        <x:f t="shared" si="31"/>
        <x:v>운반비</x:v>
      </x:c>
      <x:c r="D146" s="441">
        <x:v>52250105</x:v>
      </x:c>
      <x:c r="E146" s="442" t="str">
        <x:f t="shared" si="32"/>
        <x:v>운반비_택배</x:v>
      </x:c>
      <x:c r="F146" s="443"/>
      <x:c r="G146" s="444" t="s">
        <x:v>82</x:v>
      </x:c>
      <x:c r="H146" s="445" t="str">
        <x:f t="shared" si="37"/>
        <x:v>생산기술팀(E)</x:v>
      </x:c>
      <x:c r="I146" s="446" t="str">
        <x:f t="shared" si="34"/>
        <x:v>[관리비]</x:v>
      </x:c>
      <x:c r="J146" s="445"/>
      <x:c r="K146" s="453">
        <x:v>10000</x:v>
      </x:c>
      <x:c r="L146" s="454">
        <x:v>10000</x:v>
      </x:c>
      <x:c r="M146" s="454">
        <x:v>10000</x:v>
      </x:c>
      <x:c r="N146" s="454">
        <x:v>10000</x:v>
      </x:c>
      <x:c r="O146" s="454">
        <x:v>10000</x:v>
      </x:c>
      <x:c r="P146" s="454">
        <x:v>10000</x:v>
      </x:c>
      <x:c r="Q146" s="454">
        <x:v>10000</x:v>
      </x:c>
      <x:c r="R146" s="454">
        <x:v>10000</x:v>
      </x:c>
      <x:c r="S146" s="454">
        <x:v>10000</x:v>
      </x:c>
      <x:c r="T146" s="454">
        <x:v>10000</x:v>
      </x:c>
      <x:c r="U146" s="454">
        <x:v>10000</x:v>
      </x:c>
      <x:c r="V146" s="455">
        <x:v>10000</x:v>
      </x:c>
      <x:c r="W146" s="456">
        <x:f t="shared" si="35"/>
        <x:v>120000</x:v>
      </x:c>
      <x:c r="X146" s="450">
        <x:f t="shared" si="36"/>
        <x:v>10000</x:v>
      </x:c>
      <x:c r="Y146" s="457"/>
      <x:c r="Z146" s="458"/>
      <x:c r="AA146" s="458"/>
      <x:c r="AB146" s="458"/>
      <x:c r="AC146" s="458"/>
      <x:c r="AD146" s="458"/>
      <x:c r="AE146" s="458"/>
      <x:c r="AO146" s="438">
        <x:v>52330108</x:v>
      </x:c>
      <x:c r="AP146" s="438" t="s">
        <x:v>317</x:v>
      </x:c>
      <x:c r="AQ146" s="438" t="s">
        <x:v>449</x:v>
      </x:c>
    </x:row>
    <x:row r="147" spans="1:43" ht="20.100000000000001" customHeight="1">
      <x:c r="A147" s="439"/>
      <x:c r="B147" s="466" t="str">
        <x:f t="shared" si="30"/>
        <x:v>복리후생비</x:v>
      </x:c>
      <x:c r="C147" s="440" t="str">
        <x:f t="shared" si="31"/>
        <x:v>후생비</x:v>
      </x:c>
      <x:c r="D147" s="441">
        <x:v>52130125</x:v>
      </x:c>
      <x:c r="E147" s="442" t="str">
        <x:f t="shared" si="32"/>
        <x:v>후생비_기타식대</x:v>
      </x:c>
      <x:c r="F147" s="443"/>
      <x:c r="G147" s="444" t="s">
        <x:v>82</x:v>
      </x:c>
      <x:c r="H147" s="445" t="str">
        <x:f t="shared" si="37"/>
        <x:v>생산기술팀(E)</x:v>
      </x:c>
      <x:c r="I147" s="446" t="str">
        <x:f t="shared" si="34"/>
        <x:v>[관리비]</x:v>
      </x:c>
      <x:c r="J147" s="445"/>
      <x:c r="K147" s="453">
        <x:v>50000</x:v>
      </x:c>
      <x:c r="L147" s="454">
        <x:v>50000</x:v>
      </x:c>
      <x:c r="M147" s="454">
        <x:v>50000</x:v>
      </x:c>
      <x:c r="N147" s="454">
        <x:v>50000</x:v>
      </x:c>
      <x:c r="O147" s="454">
        <x:v>50000</x:v>
      </x:c>
      <x:c r="P147" s="454">
        <x:v>50000</x:v>
      </x:c>
      <x:c r="Q147" s="454">
        <x:v>50000</x:v>
      </x:c>
      <x:c r="R147" s="454">
        <x:v>50000</x:v>
      </x:c>
      <x:c r="S147" s="454">
        <x:v>50000</x:v>
      </x:c>
      <x:c r="T147" s="454">
        <x:v>50000</x:v>
      </x:c>
      <x:c r="U147" s="454">
        <x:v>50000</x:v>
      </x:c>
      <x:c r="V147" s="455">
        <x:v>50000</x:v>
      </x:c>
      <x:c r="W147" s="456">
        <x:f t="shared" si="35"/>
        <x:v>600000</x:v>
      </x:c>
      <x:c r="X147" s="450">
        <x:f t="shared" si="36"/>
        <x:v>50000</x:v>
      </x:c>
      <x:c r="Y147" s="457"/>
      <x:c r="Z147" s="458"/>
      <x:c r="AA147" s="458"/>
      <x:c r="AB147" s="458"/>
      <x:c r="AC147" s="458"/>
      <x:c r="AD147" s="458"/>
      <x:c r="AE147" s="458"/>
      <x:c r="AO147" s="438">
        <x:v>52330111</x:v>
      </x:c>
      <x:c r="AP147" s="438" t="s">
        <x:v>463</x:v>
      </x:c>
      <x:c r="AQ147" s="438" t="s">
        <x:v>449</x:v>
      </x:c>
    </x:row>
    <x:row r="148" spans="1:43" ht="20.100000000000001" customHeight="1">
      <x:c r="A148" s="439"/>
      <x:c r="B148" s="466" t="str">
        <x:f t="shared" si="30"/>
        <x:v>유지비용</x:v>
      </x:c>
      <x:c r="C148" s="440" t="str">
        <x:f t="shared" si="31"/>
        <x:v>소모품비</x:v>
      </x:c>
      <x:c r="D148" s="441">
        <x:v>52330102</x:v>
      </x:c>
      <x:c r="E148" s="442" t="str">
        <x:f t="shared" si="32"/>
        <x:v>소모품비_문구</x:v>
      </x:c>
      <x:c r="F148" s="443"/>
      <x:c r="G148" s="444" t="s">
        <x:v>82</x:v>
      </x:c>
      <x:c r="H148" s="445" t="str">
        <x:f t="shared" si="37"/>
        <x:v>생산기술팀(E)</x:v>
      </x:c>
      <x:c r="I148" s="446" t="str">
        <x:f t="shared" si="34"/>
        <x:v>[관리비]</x:v>
      </x:c>
      <x:c r="J148" s="445"/>
      <x:c r="K148" s="453">
        <x:v>20000</x:v>
      </x:c>
      <x:c r="L148" s="454">
        <x:v>20000</x:v>
      </x:c>
      <x:c r="M148" s="454">
        <x:v>20000</x:v>
      </x:c>
      <x:c r="N148" s="454">
        <x:v>20000</x:v>
      </x:c>
      <x:c r="O148" s="454">
        <x:v>20000</x:v>
      </x:c>
      <x:c r="P148" s="454">
        <x:v>20000</x:v>
      </x:c>
      <x:c r="Q148" s="454">
        <x:v>20000</x:v>
      </x:c>
      <x:c r="R148" s="454">
        <x:v>20000</x:v>
      </x:c>
      <x:c r="S148" s="454">
        <x:v>20000</x:v>
      </x:c>
      <x:c r="T148" s="454">
        <x:v>20000</x:v>
      </x:c>
      <x:c r="U148" s="454">
        <x:v>20000</x:v>
      </x:c>
      <x:c r="V148" s="455">
        <x:v>20000</x:v>
      </x:c>
      <x:c r="W148" s="456">
        <x:f t="shared" si="35"/>
        <x:v>240000</x:v>
      </x:c>
      <x:c r="X148" s="450">
        <x:f t="shared" si="36"/>
        <x:v>20000</x:v>
      </x:c>
      <x:c r="Y148" s="457"/>
      <x:c r="Z148" s="458"/>
      <x:c r="AA148" s="458"/>
      <x:c r="AB148" s="458"/>
      <x:c r="AC148" s="458"/>
      <x:c r="AD148" s="458"/>
      <x:c r="AE148" s="458"/>
      <x:c r="AO148" s="438">
        <x:v>52330112</x:v>
      </x:c>
      <x:c r="AP148" s="438" t="s">
        <x:v>464</x:v>
      </x:c>
      <x:c r="AQ148" s="438" t="s">
        <x:v>449</x:v>
      </x:c>
    </x:row>
    <x:row r="149" spans="1:43" ht="20.100000000000001" customHeight="1">
      <x:c r="A149" s="439"/>
      <x:c r="B149" s="466" t="str">
        <x:f t="shared" si="30"/>
        <x:v>기타비용</x:v>
      </x:c>
      <x:c r="C149" s="440" t="str">
        <x:f t="shared" si="31"/>
        <x:v>차량유지비</x:v>
      </x:c>
      <x:c r="D149" s="441">
        <x:v>52359900</x:v>
      </x:c>
      <x:c r="E149" s="442" t="str">
        <x:f t="shared" si="32"/>
        <x:v>차량유지비_기타</x:v>
      </x:c>
      <x:c r="F149" s="443"/>
      <x:c r="G149" s="444" t="s">
        <x:v>82</x:v>
      </x:c>
      <x:c r="H149" s="445" t="str">
        <x:f t="shared" si="37"/>
        <x:v>생산기술팀(E)</x:v>
      </x:c>
      <x:c r="I149" s="446" t="str">
        <x:f t="shared" si="34"/>
        <x:v>[관리비]</x:v>
      </x:c>
      <x:c r="J149" s="445"/>
      <x:c r="K149" s="453">
        <x:v>10000</x:v>
      </x:c>
      <x:c r="L149" s="454">
        <x:v>10000</x:v>
      </x:c>
      <x:c r="M149" s="454">
        <x:v>10000</x:v>
      </x:c>
      <x:c r="N149" s="454">
        <x:v>10000</x:v>
      </x:c>
      <x:c r="O149" s="454">
        <x:v>10000</x:v>
      </x:c>
      <x:c r="P149" s="454">
        <x:v>10000</x:v>
      </x:c>
      <x:c r="Q149" s="454">
        <x:v>10000</x:v>
      </x:c>
      <x:c r="R149" s="454">
        <x:v>10000</x:v>
      </x:c>
      <x:c r="S149" s="454">
        <x:v>10000</x:v>
      </x:c>
      <x:c r="T149" s="454">
        <x:v>10000</x:v>
      </x:c>
      <x:c r="U149" s="454">
        <x:v>10000</x:v>
      </x:c>
      <x:c r="V149" s="455">
        <x:v>10000</x:v>
      </x:c>
      <x:c r="W149" s="456">
        <x:f t="shared" si="35"/>
        <x:v>120000</x:v>
      </x:c>
      <x:c r="X149" s="450">
        <x:f t="shared" si="36"/>
        <x:v>10000</x:v>
      </x:c>
      <x:c r="Y149" s="457"/>
      <x:c r="Z149" s="458"/>
      <x:c r="AA149" s="458"/>
      <x:c r="AB149" s="458"/>
      <x:c r="AC149" s="458"/>
      <x:c r="AD149" s="458"/>
      <x:c r="AE149" s="458"/>
      <x:c r="AO149" s="438">
        <x:v>52339900</x:v>
      </x:c>
      <x:c r="AP149" s="438" t="s">
        <x:v>76</x:v>
      </x:c>
      <x:c r="AQ149" s="438" t="s">
        <x:v>449</x:v>
      </x:c>
    </x:row>
    <x:row r="150" spans="1:43" ht="20.100000000000001" customHeight="1">
      <x:c r="A150" s="439"/>
      <x:c r="B150" s="466" t="str">
        <x:f t="shared" si="30"/>
        <x:v>유지비용</x:v>
      </x:c>
      <x:c r="C150" s="440" t="str">
        <x:f t="shared" si="31"/>
        <x:v>소모품비</x:v>
      </x:c>
      <x:c r="D150" s="441">
        <x:v>52339900</x:v>
      </x:c>
      <x:c r="E150" s="442" t="str">
        <x:f t="shared" si="32"/>
        <x:v>소모품비_기타</x:v>
      </x:c>
      <x:c r="F150" s="443"/>
      <x:c r="G150" s="444" t="s">
        <x:v>82</x:v>
      </x:c>
      <x:c r="H150" s="445" t="str">
        <x:f t="shared" si="37"/>
        <x:v>생산기술팀(E)</x:v>
      </x:c>
      <x:c r="I150" s="446" t="str">
        <x:f t="shared" si="34"/>
        <x:v>[관리비]</x:v>
      </x:c>
      <x:c r="J150" s="445"/>
      <x:c r="K150" s="453">
        <x:v>70000</x:v>
      </x:c>
      <x:c r="L150" s="454">
        <x:v>70000</x:v>
      </x:c>
      <x:c r="M150" s="454">
        <x:v>70000</x:v>
      </x:c>
      <x:c r="N150" s="454">
        <x:v>70000</x:v>
      </x:c>
      <x:c r="O150" s="454">
        <x:v>70000</x:v>
      </x:c>
      <x:c r="P150" s="454">
        <x:v>70000</x:v>
      </x:c>
      <x:c r="Q150" s="454">
        <x:v>70000</x:v>
      </x:c>
      <x:c r="R150" s="454">
        <x:v>70000</x:v>
      </x:c>
      <x:c r="S150" s="454">
        <x:v>70000</x:v>
      </x:c>
      <x:c r="T150" s="454">
        <x:v>70000</x:v>
      </x:c>
      <x:c r="U150" s="454">
        <x:v>70000</x:v>
      </x:c>
      <x:c r="V150" s="455">
        <x:v>70000</x:v>
      </x:c>
      <x:c r="W150" s="456">
        <x:f t="shared" si="35"/>
        <x:v>840000</x:v>
      </x:c>
      <x:c r="X150" s="450">
        <x:f t="shared" si="36"/>
        <x:v>70000</x:v>
      </x:c>
      <x:c r="Y150" s="457"/>
      <x:c r="Z150" s="458"/>
      <x:c r="AA150" s="458"/>
      <x:c r="AB150" s="458"/>
      <x:c r="AC150" s="458"/>
      <x:c r="AD150" s="458"/>
      <x:c r="AE150" s="458"/>
      <x:c r="AO150" s="438">
        <x:v>52350101</x:v>
      </x:c>
      <x:c r="AP150" s="438" t="s">
        <x:v>180</x:v>
      </x:c>
      <x:c r="AQ150" s="438" t="s">
        <x:v>450</x:v>
      </x:c>
    </x:row>
    <x:row r="151" spans="1:43" ht="20.100000000000001" customHeight="1">
      <x:c r="A151" s="439"/>
      <x:c r="B151" s="466" t="str">
        <x:f t="shared" si="30"/>
        <x:v>유지비용</x:v>
      </x:c>
      <x:c r="C151" s="440" t="str">
        <x:f t="shared" si="31"/>
        <x:v>소모품비</x:v>
      </x:c>
      <x:c r="D151" s="441">
        <x:v>52339900</x:v>
      </x:c>
      <x:c r="E151" s="442" t="str">
        <x:f t="shared" si="32"/>
        <x:v>소모품비_기타</x:v>
      </x:c>
      <x:c r="F151" s="443"/>
      <x:c r="G151" s="444" t="s">
        <x:v>372</x:v>
      </x:c>
      <x:c r="H151" s="445" t="s">
        <x:v>637</x:v>
      </x:c>
      <x:c r="I151" s="446" t="str">
        <x:f t="shared" si="34"/>
        <x:v>[연구개발비]</x:v>
      </x:c>
      <x:c r="J151" s="445"/>
      <x:c r="K151" s="453">
        <x:v>300000</x:v>
      </x:c>
      <x:c r="L151" s="454">
        <x:v>300000</x:v>
      </x:c>
      <x:c r="M151" s="454">
        <x:v>300000</x:v>
      </x:c>
      <x:c r="N151" s="454">
        <x:v>300000</x:v>
      </x:c>
      <x:c r="O151" s="454">
        <x:v>300000</x:v>
      </x:c>
      <x:c r="P151" s="454">
        <x:v>300000</x:v>
      </x:c>
      <x:c r="Q151" s="454">
        <x:v>300000</x:v>
      </x:c>
      <x:c r="R151" s="454">
        <x:v>300000</x:v>
      </x:c>
      <x:c r="S151" s="454">
        <x:v>300000</x:v>
      </x:c>
      <x:c r="T151" s="454">
        <x:v>300000</x:v>
      </x:c>
      <x:c r="U151" s="454">
        <x:v>300000</x:v>
      </x:c>
      <x:c r="V151" s="455">
        <x:v>300000</x:v>
      </x:c>
      <x:c r="W151" s="456">
        <x:f t="shared" si="35"/>
        <x:v>3600000</x:v>
      </x:c>
      <x:c r="X151" s="450">
        <x:f t="shared" si="36"/>
        <x:v>300000</x:v>
      </x:c>
      <x:c r="Y151" s="457"/>
      <x:c r="Z151" s="458"/>
      <x:c r="AA151" s="458"/>
      <x:c r="AB151" s="458"/>
      <x:c r="AC151" s="458"/>
      <x:c r="AD151" s="458"/>
      <x:c r="AE151" s="458"/>
      <x:c r="AO151" s="438">
        <x:v>52350103</x:v>
      </x:c>
      <x:c r="AP151" s="438" t="s">
        <x:v>465</x:v>
      </x:c>
      <x:c r="AQ151" s="438" t="s">
        <x:v>450</x:v>
      </x:c>
    </x:row>
    <x:row r="152" spans="1:43" ht="20.100000000000001" customHeight="1">
      <x:c r="A152" s="439"/>
      <x:c r="B152" s="466" t="str">
        <x:f t="shared" si="30"/>
        <x:v>유지비용</x:v>
      </x:c>
      <x:c r="C152" s="440" t="str">
        <x:f t="shared" si="31"/>
        <x:v>소모품비</x:v>
      </x:c>
      <x:c r="D152" s="441">
        <x:v>52339900</x:v>
      </x:c>
      <x:c r="E152" s="442" t="str">
        <x:f t="shared" si="32"/>
        <x:v>소모품비_기타</x:v>
      </x:c>
      <x:c r="F152" s="443"/>
      <x:c r="G152" s="444" t="s">
        <x:v>372</x:v>
      </x:c>
      <x:c r="H152" s="445" t="s">
        <x:v>851</x:v>
      </x:c>
      <x:c r="I152" s="446" t="str">
        <x:f t="shared" si="34"/>
        <x:v>[연구개발비]</x:v>
      </x:c>
      <x:c r="J152" s="445"/>
      <x:c r="K152" s="453">
        <x:v>300000</x:v>
      </x:c>
      <x:c r="L152" s="454">
        <x:v>300000</x:v>
      </x:c>
      <x:c r="M152" s="454">
        <x:v>300000</x:v>
      </x:c>
      <x:c r="N152" s="454">
        <x:v>300000</x:v>
      </x:c>
      <x:c r="O152" s="454">
        <x:v>300000</x:v>
      </x:c>
      <x:c r="P152" s="454">
        <x:v>300000</x:v>
      </x:c>
      <x:c r="Q152" s="454">
        <x:v>300000</x:v>
      </x:c>
      <x:c r="R152" s="454">
        <x:v>300000</x:v>
      </x:c>
      <x:c r="S152" s="454">
        <x:v>300000</x:v>
      </x:c>
      <x:c r="T152" s="454">
        <x:v>300000</x:v>
      </x:c>
      <x:c r="U152" s="454">
        <x:v>300000</x:v>
      </x:c>
      <x:c r="V152" s="455">
        <x:v>300000</x:v>
      </x:c>
      <x:c r="W152" s="456">
        <x:f t="shared" ref="W152:W171" si="38">IFERROR(SUM(K152:V152),"")</x:f>
        <x:v>3600000</x:v>
      </x:c>
      <x:c r="X152" s="450">
        <x:f t="shared" si="36"/>
        <x:v>300000</x:v>
      </x:c>
      <x:c r="Y152" s="457"/>
      <x:c r="Z152" s="458"/>
      <x:c r="AA152" s="458"/>
      <x:c r="AB152" s="458"/>
      <x:c r="AC152" s="458"/>
      <x:c r="AD152" s="458"/>
      <x:c r="AE152" s="458"/>
      <x:c r="AO152" s="438">
        <x:v>52359900</x:v>
      </x:c>
      <x:c r="AP152" s="438" t="s">
        <x:v>181</x:v>
      </x:c>
      <x:c r="AQ152" s="438" t="s">
        <x:v>450</x:v>
      </x:c>
    </x:row>
    <x:row r="153" spans="1:43" ht="20.100000000000001" customHeight="1">
      <x:c r="A153" s="439"/>
      <x:c r="B153" s="466" t="str">
        <x:f t="shared" si="30"/>
        <x:v>유지비용</x:v>
      </x:c>
      <x:c r="C153" s="440" t="str">
        <x:f t="shared" si="31"/>
        <x:v>소모품비</x:v>
      </x:c>
      <x:c r="D153" s="441">
        <x:v>52339900</x:v>
      </x:c>
      <x:c r="E153" s="442" t="str">
        <x:f t="shared" si="32"/>
        <x:v>소모품비_기타</x:v>
      </x:c>
      <x:c r="F153" s="443"/>
      <x:c r="G153" s="444" t="s">
        <x:v>372</x:v>
      </x:c>
      <x:c r="H153" s="445" t="s">
        <x:v>852</x:v>
      </x:c>
      <x:c r="I153" s="446" t="str">
        <x:f t="shared" si="34"/>
        <x:v>[연구개발비]</x:v>
      </x:c>
      <x:c r="J153" s="445"/>
      <x:c r="K153" s="453">
        <x:v>300000</x:v>
      </x:c>
      <x:c r="L153" s="454">
        <x:v>300000</x:v>
      </x:c>
      <x:c r="M153" s="454">
        <x:v>300000</x:v>
      </x:c>
      <x:c r="N153" s="454">
        <x:v>300000</x:v>
      </x:c>
      <x:c r="O153" s="454">
        <x:v>300000</x:v>
      </x:c>
      <x:c r="P153" s="454">
        <x:v>300000</x:v>
      </x:c>
      <x:c r="Q153" s="454">
        <x:v>300000</x:v>
      </x:c>
      <x:c r="R153" s="454">
        <x:v>300000</x:v>
      </x:c>
      <x:c r="S153" s="454">
        <x:v>300000</x:v>
      </x:c>
      <x:c r="T153" s="454">
        <x:v>300000</x:v>
      </x:c>
      <x:c r="U153" s="454">
        <x:v>300000</x:v>
      </x:c>
      <x:c r="V153" s="455">
        <x:v>300000</x:v>
      </x:c>
      <x:c r="W153" s="456">
        <x:f t="shared" si="38"/>
        <x:v>3600000</x:v>
      </x:c>
      <x:c r="X153" s="450">
        <x:f t="shared" ref="X153:X172" si="39">IFERROR($W153/$Y$1,"")</x:f>
        <x:v>300000</x:v>
      </x:c>
      <x:c r="Y153" s="457"/>
      <x:c r="Z153" s="458"/>
      <x:c r="AA153" s="458"/>
      <x:c r="AB153" s="458"/>
      <x:c r="AC153" s="458"/>
      <x:c r="AD153" s="458"/>
      <x:c r="AE153" s="458"/>
      <x:c r="AO153" s="438">
        <x:v>52500101</x:v>
      </x:c>
      <x:c r="AP153" s="438" t="s">
        <x:v>77</x:v>
      </x:c>
      <x:c r="AQ153" s="438" t="s">
        <x:v>77</x:v>
      </x:c>
    </x:row>
    <x:row r="154" spans="1:43" ht="20.100000000000001" customHeight="1">
      <x:c r="A154" s="439"/>
      <x:c r="B154" s="466" t="str">
        <x:f t="shared" si="30"/>
        <x:v>여비교통비</x:v>
      </x:c>
      <x:c r="C154" s="440" t="str">
        <x:f t="shared" si="31"/>
        <x:v>여비교통비</x:v>
      </x:c>
      <x:c r="D154" s="441">
        <x:v>52150103</x:v>
      </x:c>
      <x:c r="E154" s="442" t="str">
        <x:f t="shared" si="32"/>
        <x:v>여비교통비_해외출장</x:v>
      </x:c>
      <x:c r="F154" s="443"/>
      <x:c r="G154" s="444" t="s">
        <x:v>82</x:v>
      </x:c>
      <x:c r="H154" s="445" t="str">
        <x:f>IFERROR(VLOOKUP($G154,$AK:$AL,2,),"")</x:f>
        <x:v>생산기술팀(E)</x:v>
      </x:c>
      <x:c r="I154" s="446" t="str">
        <x:f t="shared" si="34"/>
        <x:v>[관리비]</x:v>
      </x:c>
      <x:c r="J154" s="445"/>
      <x:c r="K154" s="453"/>
      <x:c r="L154" s="454"/>
      <x:c r="M154" s="454">
        <x:v>4800000</x:v>
      </x:c>
      <x:c r="N154" s="454">
        <x:v>3200000</x:v>
      </x:c>
      <x:c r="O154" s="454"/>
      <x:c r="P154" s="454"/>
      <x:c r="Q154" s="454"/>
      <x:c r="R154" s="454">
        <x:v>12400000</x:v>
      </x:c>
      <x:c r="S154" s="454"/>
      <x:c r="T154" s="454"/>
      <x:c r="U154" s="454">
        <x:v>9000000</x:v>
      </x:c>
      <x:c r="V154" s="455"/>
      <x:c r="W154" s="456">
        <x:f t="shared" si="38"/>
        <x:v>29400000</x:v>
      </x:c>
      <x:c r="X154" s="450">
        <x:f t="shared" si="39"/>
        <x:v>2450000</x:v>
      </x:c>
      <x:c r="Y154" s="457"/>
      <x:c r="Z154" s="458"/>
      <x:c r="AA154" s="458"/>
      <x:c r="AB154" s="458"/>
      <x:c r="AC154" s="458"/>
      <x:c r="AD154" s="458"/>
      <x:c r="AE154" s="458"/>
      <x:c r="AO154" s="438">
        <x:v>61150104</x:v>
      </x:c>
      <x:c r="AP154" s="438" t="s">
        <x:v>466</x:v>
      </x:c>
      <x:c r="AQ154" s="438" t="s">
        <x:v>467</x:v>
      </x:c>
    </x:row>
    <x:row r="155" spans="1:43" ht="20.100000000000001" customHeight="1">
      <x:c r="A155" s="439"/>
      <x:c r="B155" s="466" t="str">
        <x:f t="shared" si="30"/>
        <x:v>여비교통비</x:v>
      </x:c>
      <x:c r="C155" s="440" t="str">
        <x:f t="shared" si="31"/>
        <x:v>여비교통비</x:v>
      </x:c>
      <x:c r="D155" s="441">
        <x:v>52150103</x:v>
      </x:c>
      <x:c r="E155" s="442" t="str">
        <x:f t="shared" si="32"/>
        <x:v>여비교통비_해외출장</x:v>
      </x:c>
      <x:c r="F155" s="443"/>
      <x:c r="G155" s="444" t="s">
        <x:v>372</x:v>
      </x:c>
      <x:c r="H155" s="445" t="s">
        <x:v>852</x:v>
      </x:c>
      <x:c r="I155" s="446" t="str">
        <x:f t="shared" si="34"/>
        <x:v>[연구개발비]</x:v>
      </x:c>
      <x:c r="J155" s="445"/>
      <x:c r="K155" s="453">
        <x:v>33000000</x:v>
      </x:c>
      <x:c r="L155" s="454"/>
      <x:c r="M155" s="454"/>
      <x:c r="N155" s="454"/>
      <x:c r="O155" s="454"/>
      <x:c r="P155" s="454">
        <x:v>16000000</x:v>
      </x:c>
      <x:c r="Q155" s="454">
        <x:v>9500000</x:v>
      </x:c>
      <x:c r="R155" s="454"/>
      <x:c r="S155" s="454"/>
      <x:c r="T155" s="454"/>
      <x:c r="U155" s="454"/>
      <x:c r="V155" s="455"/>
      <x:c r="W155" s="456">
        <x:f t="shared" si="38"/>
        <x:v>58500000</x:v>
      </x:c>
      <x:c r="X155" s="450">
        <x:f t="shared" si="39"/>
        <x:v>4875000</x:v>
      </x:c>
      <x:c r="Y155" s="457"/>
      <x:c r="Z155" s="458"/>
      <x:c r="AA155" s="458"/>
      <x:c r="AB155" s="458"/>
      <x:c r="AC155" s="458"/>
      <x:c r="AD155" s="458"/>
      <x:c r="AE155" s="458"/>
      <x:c r="AO155" s="438">
        <x:v>61150105</x:v>
      </x:c>
      <x:c r="AP155" s="438" t="s">
        <x:v>468</x:v>
      </x:c>
      <x:c r="AQ155" s="438" t="s">
        <x:v>467</x:v>
      </x:c>
    </x:row>
    <x:row r="156" spans="1:43" ht="20.100000000000001" customHeight="1">
      <x:c r="A156" s="439"/>
      <x:c r="B156" s="466" t="str">
        <x:f t="shared" si="30"/>
        <x:v>여비교통비</x:v>
      </x:c>
      <x:c r="C156" s="440" t="str">
        <x:f t="shared" si="31"/>
        <x:v>여비교통비</x:v>
      </x:c>
      <x:c r="D156" s="441">
        <x:v>52150103</x:v>
      </x:c>
      <x:c r="E156" s="442" t="str">
        <x:f t="shared" si="32"/>
        <x:v>여비교통비_해외출장</x:v>
      </x:c>
      <x:c r="F156" s="443"/>
      <x:c r="G156" s="444" t="s">
        <x:v>372</x:v>
      </x:c>
      <x:c r="H156" s="445" t="s">
        <x:v>851</x:v>
      </x:c>
      <x:c r="I156" s="446" t="str">
        <x:f t="shared" si="34"/>
        <x:v>[연구개발비]</x:v>
      </x:c>
      <x:c r="J156" s="445"/>
      <x:c r="K156" s="453">
        <x:v>3100000</x:v>
      </x:c>
      <x:c r="L156" s="454"/>
      <x:c r="M156" s="454">
        <x:v>20000000</x:v>
      </x:c>
      <x:c r="N156" s="454"/>
      <x:c r="O156" s="454"/>
      <x:c r="P156" s="454"/>
      <x:c r="Q156" s="454"/>
      <x:c r="R156" s="454"/>
      <x:c r="S156" s="454"/>
      <x:c r="T156" s="454"/>
      <x:c r="U156" s="454"/>
      <x:c r="V156" s="455"/>
      <x:c r="W156" s="456">
        <x:f t="shared" si="38"/>
        <x:v>23100000</x:v>
      </x:c>
      <x:c r="X156" s="450">
        <x:f t="shared" si="39"/>
        <x:v>1925000</x:v>
      </x:c>
      <x:c r="Y156" s="457"/>
      <x:c r="Z156" s="458"/>
      <x:c r="AA156" s="458"/>
      <x:c r="AB156" s="458"/>
      <x:c r="AC156" s="458"/>
      <x:c r="AD156" s="458"/>
      <x:c r="AE156" s="458"/>
      <x:c r="AO156" s="438">
        <x:v>61150106</x:v>
      </x:c>
      <x:c r="AP156" s="438" t="s">
        <x:v>469</x:v>
      </x:c>
      <x:c r="AQ156" s="438" t="s">
        <x:v>467</x:v>
      </x:c>
    </x:row>
    <x:row r="157" spans="1:43" ht="20.100000000000001" customHeight="1">
      <x:c r="A157" s="439"/>
      <x:c r="B157" s="466" t="str">
        <x:f t="shared" si="30"/>
        <x:v>개발비</x:v>
      </x:c>
      <x:c r="C157" s="440" t="str">
        <x:f t="shared" si="31"/>
        <x:v>경상연구비</x:v>
      </x:c>
      <x:c r="D157" s="441">
        <x:v>52280301</x:v>
      </x:c>
      <x:c r="E157" s="442" t="str">
        <x:f t="shared" si="32"/>
        <x:v>경상연구비_시험분석비</x:v>
      </x:c>
      <x:c r="F157" s="443"/>
      <x:c r="G157" s="444" t="s">
        <x:v>82</x:v>
      </x:c>
      <x:c r="H157" s="445" t="str">
        <x:f>IFERROR(VLOOKUP($G157,$AK:$AL,2,),"")</x:f>
        <x:v>생산기술팀(E)</x:v>
      </x:c>
      <x:c r="I157" s="446" t="str">
        <x:f t="shared" si="34"/>
        <x:v>[관리비]</x:v>
      </x:c>
      <x:c r="J157" s="445"/>
      <x:c r="K157" s="453">
        <x:v>2000000</x:v>
      </x:c>
      <x:c r="L157" s="454">
        <x:v>2000000</x:v>
      </x:c>
      <x:c r="M157" s="454">
        <x:v>2000000</x:v>
      </x:c>
      <x:c r="N157" s="454">
        <x:v>2000000</x:v>
      </x:c>
      <x:c r="O157" s="454">
        <x:v>2000000</x:v>
      </x:c>
      <x:c r="P157" s="454">
        <x:v>2000000</x:v>
      </x:c>
      <x:c r="Q157" s="454">
        <x:v>2000000</x:v>
      </x:c>
      <x:c r="R157" s="454">
        <x:v>2000000</x:v>
      </x:c>
      <x:c r="S157" s="454">
        <x:v>2000000</x:v>
      </x:c>
      <x:c r="T157" s="454">
        <x:v>2000000</x:v>
      </x:c>
      <x:c r="U157" s="454">
        <x:v>2000000</x:v>
      </x:c>
      <x:c r="V157" s="455">
        <x:v>2000000</x:v>
      </x:c>
      <x:c r="W157" s="456">
        <x:f t="shared" si="38"/>
        <x:v>24000000</x:v>
      </x:c>
      <x:c r="X157" s="450">
        <x:f t="shared" si="39"/>
        <x:v>2000000</x:v>
      </x:c>
      <x:c r="Y157" s="457"/>
      <x:c r="Z157" s="458"/>
      <x:c r="AA157" s="458"/>
      <x:c r="AB157" s="458"/>
      <x:c r="AC157" s="458"/>
      <x:c r="AD157" s="458"/>
      <x:c r="AE157" s="458"/>
      <x:c r="AO157" s="438">
        <x:v>61150107</x:v>
      </x:c>
      <x:c r="AP157" s="438" t="s">
        <x:v>470</x:v>
      </x:c>
      <x:c r="AQ157" s="438" t="s">
        <x:v>467</x:v>
      </x:c>
    </x:row>
    <x:row r="158" spans="1:43" ht="20.100000000000001" customHeight="1">
      <x:c r="A158" s="439"/>
      <x:c r="B158" s="466" t="str">
        <x:f t="shared" si="30"/>
        <x:v>지급수수료</x:v>
      </x:c>
      <x:c r="C158" s="440" t="str">
        <x:f t="shared" si="31"/>
        <x:v>지급수수료</x:v>
      </x:c>
      <x:c r="D158" s="441">
        <x:v>52310111</x:v>
      </x:c>
      <x:c r="E158" s="442" t="str">
        <x:f t="shared" si="32"/>
        <x:v>지급수수료-시험수수료</x:v>
      </x:c>
      <x:c r="F158" s="443"/>
      <x:c r="G158" s="444" t="s">
        <x:v>372</x:v>
      </x:c>
      <x:c r="H158" s="445" t="s">
        <x:v>853</x:v>
      </x:c>
      <x:c r="I158" s="446" t="str">
        <x:f t="shared" si="34"/>
        <x:v>[연구개발비]</x:v>
      </x:c>
      <x:c r="J158" s="445"/>
      <x:c r="K158" s="453">
        <x:v>300000</x:v>
      </x:c>
      <x:c r="L158" s="454">
        <x:v>300000</x:v>
      </x:c>
      <x:c r="M158" s="454">
        <x:v>300000</x:v>
      </x:c>
      <x:c r="N158" s="454">
        <x:v>300000</x:v>
      </x:c>
      <x:c r="O158" s="454">
        <x:v>300000</x:v>
      </x:c>
      <x:c r="P158" s="454">
        <x:v>300000</x:v>
      </x:c>
      <x:c r="Q158" s="454">
        <x:v>300000</x:v>
      </x:c>
      <x:c r="R158" s="454">
        <x:v>300000</x:v>
      </x:c>
      <x:c r="S158" s="454">
        <x:v>300000</x:v>
      </x:c>
      <x:c r="T158" s="454">
        <x:v>300000</x:v>
      </x:c>
      <x:c r="U158" s="454">
        <x:v>300000</x:v>
      </x:c>
      <x:c r="V158" s="455">
        <x:v>300000</x:v>
      </x:c>
      <x:c r="W158" s="456">
        <x:f t="shared" si="38"/>
        <x:v>3600000</x:v>
      </x:c>
      <x:c r="X158" s="450">
        <x:f t="shared" si="39"/>
        <x:v>300000</x:v>
      </x:c>
      <x:c r="Y158" s="457" t="s">
        <x:v>593</x:v>
      </x:c>
      <x:c r="Z158" s="458"/>
      <x:c r="AA158" s="458"/>
      <x:c r="AB158" s="458"/>
      <x:c r="AC158" s="458"/>
      <x:c r="AD158" s="458"/>
      <x:c r="AE158" s="458"/>
      <x:c r="AO158" s="438">
        <x:v>61150108</x:v>
      </x:c>
      <x:c r="AP158" s="438" t="s">
        <x:v>471</x:v>
      </x:c>
      <x:c r="AQ158" s="438" t="s">
        <x:v>467</x:v>
      </x:c>
    </x:row>
    <x:row r="159" spans="1:43" ht="20.100000000000001" customHeight="1">
      <x:c r="A159" s="439"/>
      <x:c r="B159" s="466" t="str">
        <x:f t="shared" si="30"/>
        <x:v>개발비</x:v>
      </x:c>
      <x:c r="C159" s="440" t="str">
        <x:f t="shared" si="31"/>
        <x:v>경상연구비</x:v>
      </x:c>
      <x:c r="D159" s="441">
        <x:v>52280301</x:v>
      </x:c>
      <x:c r="E159" s="442" t="str">
        <x:f t="shared" si="32"/>
        <x:v>경상연구비_시험분석비</x:v>
      </x:c>
      <x:c r="F159" s="443"/>
      <x:c r="G159" s="444" t="s">
        <x:v>372</x:v>
      </x:c>
      <x:c r="H159" s="445" t="s">
        <x:v>637</x:v>
      </x:c>
      <x:c r="I159" s="446" t="str">
        <x:f t="shared" si="34"/>
        <x:v>[연구개발비]</x:v>
      </x:c>
      <x:c r="J159" s="445"/>
      <x:c r="K159" s="453">
        <x:v>1000000</x:v>
      </x:c>
      <x:c r="L159" s="454">
        <x:v>1000000</x:v>
      </x:c>
      <x:c r="M159" s="454">
        <x:v>1000000</x:v>
      </x:c>
      <x:c r="N159" s="454">
        <x:v>1000000</x:v>
      </x:c>
      <x:c r="O159" s="454">
        <x:v>1000000</x:v>
      </x:c>
      <x:c r="P159" s="454">
        <x:v>1000000</x:v>
      </x:c>
      <x:c r="Q159" s="454">
        <x:v>1000000</x:v>
      </x:c>
      <x:c r="R159" s="454">
        <x:v>1000000</x:v>
      </x:c>
      <x:c r="S159" s="454">
        <x:v>1000000</x:v>
      </x:c>
      <x:c r="T159" s="454">
        <x:v>1000000</x:v>
      </x:c>
      <x:c r="U159" s="454">
        <x:v>1000000</x:v>
      </x:c>
      <x:c r="V159" s="455">
        <x:v>1000000</x:v>
      </x:c>
      <x:c r="W159" s="456">
        <x:f t="shared" si="38"/>
        <x:v>12000000</x:v>
      </x:c>
      <x:c r="X159" s="450">
        <x:f t="shared" si="39"/>
        <x:v>1000000</x:v>
      </x:c>
      <x:c r="Y159" s="457" t="s">
        <x:v>594</x:v>
      </x:c>
      <x:c r="Z159" s="458"/>
      <x:c r="AA159" s="458"/>
      <x:c r="AB159" s="458"/>
      <x:c r="AC159" s="458"/>
      <x:c r="AD159" s="458"/>
      <x:c r="AE159" s="458"/>
      <x:c r="AO159" s="438">
        <x:v>61290101</x:v>
      </x:c>
      <x:c r="AP159" s="438" t="s">
        <x:v>472</x:v>
      </x:c>
      <x:c r="AQ159" s="438" t="s">
        <x:v>467</x:v>
      </x:c>
    </x:row>
    <x:row r="160" spans="1:43" ht="20.100000000000001" customHeight="1">
      <x:c r="A160" s="439"/>
      <x:c r="B160" s="466" t="str">
        <x:f t="shared" si="30"/>
        <x:v>기타비용</x:v>
      </x:c>
      <x:c r="C160" s="440" t="str">
        <x:f t="shared" si="31"/>
        <x:v>교육훈련비</x:v>
      </x:c>
      <x:c r="D160" s="441">
        <x:v>52140105</x:v>
      </x:c>
      <x:c r="E160" s="442" t="str">
        <x:f t="shared" si="32"/>
        <x:v>교육훈련비_사내교육</x:v>
      </x:c>
      <x:c r="F160" s="443"/>
      <x:c r="G160" s="444" t="s">
        <x:v>251</x:v>
      </x:c>
      <x:c r="H160" s="445" t="str">
        <x:f t="shared" ref="H160:H175" si="40">IFERROR(VLOOKUP($G160,$AK:$AL,2,),"")</x:f>
        <x:v>시작평가팀(E)</x:v>
      </x:c>
      <x:c r="I160" s="446" t="str">
        <x:f t="shared" si="34"/>
        <x:v>[연구개발비]</x:v>
      </x:c>
      <x:c r="J160" s="445"/>
      <x:c r="K160" s="453">
        <x:v>100000</x:v>
      </x:c>
      <x:c r="L160" s="454">
        <x:v>100000</x:v>
      </x:c>
      <x:c r="M160" s="454">
        <x:v>100000</x:v>
      </x:c>
      <x:c r="N160" s="454">
        <x:v>100000</x:v>
      </x:c>
      <x:c r="O160" s="454">
        <x:v>100000</x:v>
      </x:c>
      <x:c r="P160" s="454">
        <x:v>100000</x:v>
      </x:c>
      <x:c r="Q160" s="454">
        <x:v>100000</x:v>
      </x:c>
      <x:c r="R160" s="454">
        <x:v>100000</x:v>
      </x:c>
      <x:c r="S160" s="454">
        <x:v>100000</x:v>
      </x:c>
      <x:c r="T160" s="454">
        <x:v>100000</x:v>
      </x:c>
      <x:c r="U160" s="454">
        <x:v>100000</x:v>
      </x:c>
      <x:c r="V160" s="455">
        <x:v>100000</x:v>
      </x:c>
      <x:c r="W160" s="456">
        <x:f t="shared" si="38"/>
        <x:v>1200000</x:v>
      </x:c>
      <x:c r="X160" s="450">
        <x:f t="shared" si="39"/>
        <x:v>100000</x:v>
      </x:c>
      <x:c r="Y160" s="457" t="s">
        <x:v>582</x:v>
      </x:c>
      <x:c r="Z160" s="458"/>
      <x:c r="AA160" s="458"/>
      <x:c r="AB160" s="458"/>
      <x:c r="AC160" s="458"/>
      <x:c r="AD160" s="458"/>
      <x:c r="AE160" s="458"/>
      <x:c r="AO160" s="438">
        <x:v>61900111</x:v>
      </x:c>
      <x:c r="AP160" s="438" t="s">
        <x:v>473</x:v>
      </x:c>
      <x:c r="AQ160" s="438" t="s">
        <x:v>467</x:v>
      </x:c>
    </x:row>
    <x:row r="161" spans="1:43" ht="20.100000000000001" customHeight="1">
      <x:c r="A161" s="439"/>
      <x:c r="B161" s="466" t="str">
        <x:f t="shared" si="30"/>
        <x:v>기타비용</x:v>
      </x:c>
      <x:c r="C161" s="440" t="str">
        <x:f t="shared" si="31"/>
        <x:v>교육훈련비</x:v>
      </x:c>
      <x:c r="D161" s="441">
        <x:v>52140101</x:v>
      </x:c>
      <x:c r="E161" s="442" t="str">
        <x:f t="shared" si="32"/>
        <x:v>교육훈련비_사외교육</x:v>
      </x:c>
      <x:c r="F161" s="443"/>
      <x:c r="G161" s="444" t="s">
        <x:v>251</x:v>
      </x:c>
      <x:c r="H161" s="445" t="str">
        <x:f t="shared" si="40"/>
        <x:v>시작평가팀(E)</x:v>
      </x:c>
      <x:c r="I161" s="446" t="str">
        <x:f t="shared" si="34"/>
        <x:v>[연구개발비]</x:v>
      </x:c>
      <x:c r="J161" s="445"/>
      <x:c r="K161" s="453">
        <x:v>150000</x:v>
      </x:c>
      <x:c r="L161" s="454">
        <x:v>150000</x:v>
      </x:c>
      <x:c r="M161" s="454">
        <x:v>150000</x:v>
      </x:c>
      <x:c r="N161" s="454">
        <x:v>150000</x:v>
      </x:c>
      <x:c r="O161" s="454">
        <x:v>150000</x:v>
      </x:c>
      <x:c r="P161" s="454">
        <x:v>150000</x:v>
      </x:c>
      <x:c r="Q161" s="454">
        <x:v>150000</x:v>
      </x:c>
      <x:c r="R161" s="454">
        <x:v>150000</x:v>
      </x:c>
      <x:c r="S161" s="454">
        <x:v>150000</x:v>
      </x:c>
      <x:c r="T161" s="454">
        <x:v>150000</x:v>
      </x:c>
      <x:c r="U161" s="454">
        <x:v>150000</x:v>
      </x:c>
      <x:c r="V161" s="455">
        <x:v>150000</x:v>
      </x:c>
      <x:c r="W161" s="456">
        <x:f t="shared" si="38"/>
        <x:v>1800000</x:v>
      </x:c>
      <x:c r="X161" s="450">
        <x:f t="shared" si="39"/>
        <x:v>150000</x:v>
      </x:c>
      <x:c r="Y161" s="457" t="s">
        <x:v>583</x:v>
      </x:c>
      <x:c r="Z161" s="458"/>
      <x:c r="AA161" s="458"/>
      <x:c r="AB161" s="458"/>
      <x:c r="AC161" s="458"/>
      <x:c r="AD161" s="458"/>
      <x:c r="AE161" s="458"/>
      <x:c r="AO161" s="438">
        <x:v>61909900</x:v>
      </x:c>
      <x:c r="AP161" s="438" t="s">
        <x:v>474</x:v>
      </x:c>
      <x:c r="AQ161" s="438" t="s">
        <x:v>467</x:v>
      </x:c>
    </x:row>
    <x:row r="162" spans="1:43" ht="20.100000000000001" customHeight="1">
      <x:c r="A162" s="439"/>
      <x:c r="B162" s="466" t="str">
        <x:f t="shared" si="30"/>
        <x:v>유지비용</x:v>
      </x:c>
      <x:c r="C162" s="440" t="str">
        <x:f t="shared" si="31"/>
        <x:v>소모품비</x:v>
      </x:c>
      <x:c r="D162" s="441">
        <x:v>52339900</x:v>
      </x:c>
      <x:c r="E162" s="442" t="str">
        <x:f t="shared" si="32"/>
        <x:v>소모품비_기타</x:v>
      </x:c>
      <x:c r="F162" s="443"/>
      <x:c r="G162" s="444" t="s">
        <x:v>251</x:v>
      </x:c>
      <x:c r="H162" s="445" t="str">
        <x:f t="shared" si="40"/>
        <x:v>시작평가팀(E)</x:v>
      </x:c>
      <x:c r="I162" s="446" t="str">
        <x:f t="shared" si="34"/>
        <x:v>[연구개발비]</x:v>
      </x:c>
      <x:c r="J162" s="445"/>
      <x:c r="K162" s="453">
        <x:v>900000</x:v>
      </x:c>
      <x:c r="L162" s="454">
        <x:v>900000</x:v>
      </x:c>
      <x:c r="M162" s="454">
        <x:v>900000</x:v>
      </x:c>
      <x:c r="N162" s="454">
        <x:v>900000</x:v>
      </x:c>
      <x:c r="O162" s="454">
        <x:v>900000</x:v>
      </x:c>
      <x:c r="P162" s="454">
        <x:v>900000</x:v>
      </x:c>
      <x:c r="Q162" s="454">
        <x:v>700000</x:v>
      </x:c>
      <x:c r="R162" s="454">
        <x:v>700000</x:v>
      </x:c>
      <x:c r="S162" s="454">
        <x:v>700000</x:v>
      </x:c>
      <x:c r="T162" s="454">
        <x:v>700000</x:v>
      </x:c>
      <x:c r="U162" s="454">
        <x:v>700000</x:v>
      </x:c>
      <x:c r="V162" s="455">
        <x:v>700000</x:v>
      </x:c>
      <x:c r="W162" s="456">
        <x:f t="shared" si="38"/>
        <x:v>9600000</x:v>
      </x:c>
      <x:c r="X162" s="450">
        <x:f t="shared" si="39"/>
        <x:v>800000</x:v>
      </x:c>
      <x:c r="Y162" s="457" t="s">
        <x:v>789</x:v>
      </x:c>
      <x:c r="Z162" s="458"/>
      <x:c r="AA162" s="458"/>
      <x:c r="AB162" s="458"/>
      <x:c r="AC162" s="458"/>
      <x:c r="AD162" s="458"/>
      <x:c r="AE162" s="458"/>
      <x:c r="AO162" s="438">
        <x:v>66120105</x:v>
      </x:c>
      <x:c r="AP162" s="438" t="s">
        <x:v>444</x:v>
      </x:c>
      <x:c r="AQ162" s="438" t="s">
        <x:v>475</x:v>
      </x:c>
    </x:row>
    <x:row r="163" spans="1:43" ht="20.100000000000001" customHeight="1">
      <x:c r="A163" s="439"/>
      <x:c r="B163" s="466" t="str">
        <x:f t="shared" si="30"/>
        <x:v>여비교통비</x:v>
      </x:c>
      <x:c r="C163" s="440" t="str">
        <x:f t="shared" si="31"/>
        <x:v>여비교통비</x:v>
      </x:c>
      <x:c r="D163" s="441">
        <x:v>52150109</x:v>
      </x:c>
      <x:c r="E163" s="442" t="str">
        <x:f t="shared" si="32"/>
        <x:v>여비교통비_교육</x:v>
      </x:c>
      <x:c r="F163" s="443"/>
      <x:c r="G163" s="444" t="s">
        <x:v>251</x:v>
      </x:c>
      <x:c r="H163" s="445" t="str">
        <x:f t="shared" si="40"/>
        <x:v>시작평가팀(E)</x:v>
      </x:c>
      <x:c r="I163" s="446" t="str">
        <x:f t="shared" si="34"/>
        <x:v>[연구개발비]</x:v>
      </x:c>
      <x:c r="J163" s="445"/>
      <x:c r="K163" s="453">
        <x:v>20000</x:v>
      </x:c>
      <x:c r="L163" s="454">
        <x:v>20000</x:v>
      </x:c>
      <x:c r="M163" s="454">
        <x:v>20000</x:v>
      </x:c>
      <x:c r="N163" s="454">
        <x:v>20000</x:v>
      </x:c>
      <x:c r="O163" s="454">
        <x:v>20000</x:v>
      </x:c>
      <x:c r="P163" s="454">
        <x:v>20000</x:v>
      </x:c>
      <x:c r="Q163" s="454">
        <x:v>20000</x:v>
      </x:c>
      <x:c r="R163" s="454">
        <x:v>20000</x:v>
      </x:c>
      <x:c r="S163" s="454">
        <x:v>20000</x:v>
      </x:c>
      <x:c r="T163" s="454">
        <x:v>20000</x:v>
      </x:c>
      <x:c r="U163" s="454">
        <x:v>20000</x:v>
      </x:c>
      <x:c r="V163" s="455">
        <x:v>20000</x:v>
      </x:c>
      <x:c r="W163" s="456">
        <x:f t="shared" si="38"/>
        <x:v>240000</x:v>
      </x:c>
      <x:c r="X163" s="450">
        <x:f t="shared" si="39"/>
        <x:v>20000</x:v>
      </x:c>
      <x:c r="Y163" s="457" t="s">
        <x:v>584</x:v>
      </x:c>
      <x:c r="Z163" s="458"/>
      <x:c r="AA163" s="458"/>
      <x:c r="AB163" s="458"/>
      <x:c r="AC163" s="458"/>
      <x:c r="AD163" s="458"/>
      <x:c r="AE163" s="458"/>
      <x:c r="AO163" s="438">
        <x:v>66170111</x:v>
      </x:c>
      <x:c r="AP163" s="438" t="s">
        <x:v>476</x:v>
      </x:c>
      <x:c r="AQ163" s="438" t="s">
        <x:v>475</x:v>
      </x:c>
    </x:row>
    <x:row r="164" spans="1:43" ht="20.100000000000001" customHeight="1">
      <x:c r="A164" s="439"/>
      <x:c r="B164" s="466" t="str">
        <x:f t="shared" si="30"/>
        <x:v>여비교통비</x:v>
      </x:c>
      <x:c r="C164" s="440" t="str">
        <x:f t="shared" si="31"/>
        <x:v>여비교통비</x:v>
      </x:c>
      <x:c r="D164" s="441">
        <x:v>52150101</x:v>
      </x:c>
      <x:c r="E164" s="442" t="str">
        <x:f t="shared" si="32"/>
        <x:v>여비교통비_국내출장</x:v>
      </x:c>
      <x:c r="F164" s="443"/>
      <x:c r="G164" s="444" t="s">
        <x:v>251</x:v>
      </x:c>
      <x:c r="H164" s="445" t="str">
        <x:f t="shared" si="40"/>
        <x:v>시작평가팀(E)</x:v>
      </x:c>
      <x:c r="I164" s="446" t="str">
        <x:f t="shared" si="34"/>
        <x:v>[연구개발비]</x:v>
      </x:c>
      <x:c r="J164" s="445"/>
      <x:c r="K164" s="453">
        <x:v>100000</x:v>
      </x:c>
      <x:c r="L164" s="454">
        <x:v>100000</x:v>
      </x:c>
      <x:c r="M164" s="454">
        <x:v>100000</x:v>
      </x:c>
      <x:c r="N164" s="454">
        <x:v>100000</x:v>
      </x:c>
      <x:c r="O164" s="454">
        <x:v>100000</x:v>
      </x:c>
      <x:c r="P164" s="454">
        <x:v>100000</x:v>
      </x:c>
      <x:c r="Q164" s="454">
        <x:v>100000</x:v>
      </x:c>
      <x:c r="R164" s="454">
        <x:v>100000</x:v>
      </x:c>
      <x:c r="S164" s="454">
        <x:v>100000</x:v>
      </x:c>
      <x:c r="T164" s="454">
        <x:v>100000</x:v>
      </x:c>
      <x:c r="U164" s="454">
        <x:v>100000</x:v>
      </x:c>
      <x:c r="V164" s="455">
        <x:v>100000</x:v>
      </x:c>
      <x:c r="W164" s="456">
        <x:f t="shared" si="38"/>
        <x:v>1200000</x:v>
      </x:c>
      <x:c r="X164" s="450">
        <x:f t="shared" si="39"/>
        <x:v>100000</x:v>
      </x:c>
      <x:c r="Y164" s="457" t="s">
        <x:v>744</x:v>
      </x:c>
      <x:c r="Z164" s="458"/>
      <x:c r="AA164" s="458"/>
      <x:c r="AB164" s="458"/>
      <x:c r="AC164" s="458"/>
      <x:c r="AD164" s="458"/>
      <x:c r="AE164" s="458"/>
      <x:c r="AO164" s="438">
        <x:v>66170121</x:v>
      </x:c>
      <x:c r="AP164" s="438" t="s">
        <x:v>477</x:v>
      </x:c>
      <x:c r="AQ164" s="438" t="s">
        <x:v>475</x:v>
      </x:c>
    </x:row>
    <x:row r="165" spans="1:43" ht="20.100000000000001" customHeight="1">
      <x:c r="A165" s="439"/>
      <x:c r="B165" s="466" t="str">
        <x:f t="shared" si="30"/>
        <x:v>여비교통비</x:v>
      </x:c>
      <x:c r="C165" s="440" t="str">
        <x:f t="shared" si="31"/>
        <x:v>여비교통비</x:v>
      </x:c>
      <x:c r="D165" s="441">
        <x:v>52150105</x:v>
      </x:c>
      <x:c r="E165" s="442" t="str">
        <x:f t="shared" si="32"/>
        <x:v>여비교통비_시내</x:v>
      </x:c>
      <x:c r="F165" s="443"/>
      <x:c r="G165" s="444" t="s">
        <x:v>251</x:v>
      </x:c>
      <x:c r="H165" s="445" t="str">
        <x:f t="shared" si="40"/>
        <x:v>시작평가팀(E)</x:v>
      </x:c>
      <x:c r="I165" s="446" t="str">
        <x:f t="shared" si="34"/>
        <x:v>[연구개발비]</x:v>
      </x:c>
      <x:c r="J165" s="445"/>
      <x:c r="K165" s="453">
        <x:v>50000</x:v>
      </x:c>
      <x:c r="L165" s="454">
        <x:v>50000</x:v>
      </x:c>
      <x:c r="M165" s="454">
        <x:v>50000</x:v>
      </x:c>
      <x:c r="N165" s="454">
        <x:v>50000</x:v>
      </x:c>
      <x:c r="O165" s="454">
        <x:v>50000</x:v>
      </x:c>
      <x:c r="P165" s="454">
        <x:v>50000</x:v>
      </x:c>
      <x:c r="Q165" s="454">
        <x:v>50000</x:v>
      </x:c>
      <x:c r="R165" s="454">
        <x:v>50000</x:v>
      </x:c>
      <x:c r="S165" s="454">
        <x:v>50000</x:v>
      </x:c>
      <x:c r="T165" s="454">
        <x:v>50000</x:v>
      </x:c>
      <x:c r="U165" s="454">
        <x:v>50000</x:v>
      </x:c>
      <x:c r="V165" s="455">
        <x:v>50000</x:v>
      </x:c>
      <x:c r="W165" s="456">
        <x:f t="shared" si="38"/>
        <x:v>600000</x:v>
      </x:c>
      <x:c r="X165" s="450">
        <x:f t="shared" si="39"/>
        <x:v>50000</x:v>
      </x:c>
      <x:c r="Y165" s="457" t="s">
        <x:v>585</x:v>
      </x:c>
      <x:c r="Z165" s="458"/>
      <x:c r="AA165" s="458"/>
      <x:c r="AB165" s="458"/>
      <x:c r="AC165" s="458"/>
      <x:c r="AD165" s="458"/>
      <x:c r="AE165" s="458"/>
      <x:c r="AO165" s="438">
        <x:v>66170131</x:v>
      </x:c>
      <x:c r="AP165" s="438" t="s">
        <x:v>478</x:v>
      </x:c>
      <x:c r="AQ165" s="438" t="s">
        <x:v>475</x:v>
      </x:c>
    </x:row>
    <x:row r="166" spans="1:43" ht="20.100000000000001" customHeight="1">
      <x:c r="A166" s="439"/>
      <x:c r="B166" s="466" t="str">
        <x:f t="shared" si="30"/>
        <x:v>운반비</x:v>
      </x:c>
      <x:c r="C166" s="440" t="str">
        <x:f t="shared" si="31"/>
        <x:v>운반비</x:v>
      </x:c>
      <x:c r="D166" s="441">
        <x:v>52250105</x:v>
      </x:c>
      <x:c r="E166" s="442" t="str">
        <x:f t="shared" si="32"/>
        <x:v>운반비_택배</x:v>
      </x:c>
      <x:c r="F166" s="443"/>
      <x:c r="G166" s="444" t="s">
        <x:v>251</x:v>
      </x:c>
      <x:c r="H166" s="445" t="str">
        <x:f t="shared" si="40"/>
        <x:v>시작평가팀(E)</x:v>
      </x:c>
      <x:c r="I166" s="446" t="str">
        <x:f t="shared" si="34"/>
        <x:v>[연구개발비]</x:v>
      </x:c>
      <x:c r="J166" s="445"/>
      <x:c r="K166" s="453">
        <x:v>50000</x:v>
      </x:c>
      <x:c r="L166" s="454">
        <x:v>50000</x:v>
      </x:c>
      <x:c r="M166" s="454">
        <x:v>50000</x:v>
      </x:c>
      <x:c r="N166" s="454">
        <x:v>50000</x:v>
      </x:c>
      <x:c r="O166" s="454">
        <x:v>50000</x:v>
      </x:c>
      <x:c r="P166" s="454">
        <x:v>50000</x:v>
      </x:c>
      <x:c r="Q166" s="454">
        <x:v>50000</x:v>
      </x:c>
      <x:c r="R166" s="454">
        <x:v>50000</x:v>
      </x:c>
      <x:c r="S166" s="454">
        <x:v>50000</x:v>
      </x:c>
      <x:c r="T166" s="454">
        <x:v>50000</x:v>
      </x:c>
      <x:c r="U166" s="454">
        <x:v>50000</x:v>
      </x:c>
      <x:c r="V166" s="455">
        <x:v>50000</x:v>
      </x:c>
      <x:c r="W166" s="456">
        <x:f t="shared" si="38"/>
        <x:v>600000</x:v>
      </x:c>
      <x:c r="X166" s="450">
        <x:f t="shared" si="39"/>
        <x:v>50000</x:v>
      </x:c>
      <x:c r="Y166" s="457" t="s">
        <x:v>586</x:v>
      </x:c>
      <x:c r="Z166" s="458"/>
      <x:c r="AA166" s="458"/>
      <x:c r="AB166" s="458"/>
      <x:c r="AC166" s="458"/>
      <x:c r="AD166" s="458"/>
      <x:c r="AE166" s="458"/>
      <x:c r="AO166" s="438">
        <x:v>66180105</x:v>
      </x:c>
      <x:c r="AP166" s="438" t="s">
        <x:v>479</x:v>
      </x:c>
      <x:c r="AQ166" s="438" t="s">
        <x:v>475</x:v>
      </x:c>
    </x:row>
    <x:row r="167" spans="1:43" ht="20.100000000000001" customHeight="1">
      <x:c r="A167" s="439"/>
      <x:c r="B167" s="466" t="str">
        <x:f t="shared" si="30"/>
        <x:v>기타비용</x:v>
      </x:c>
      <x:c r="C167" s="440" t="str">
        <x:f t="shared" si="31"/>
        <x:v>접대비</x:v>
      </x:c>
      <x:c r="D167" s="441">
        <x:v>52230103</x:v>
      </x:c>
      <x:c r="E167" s="442" t="str">
        <x:f t="shared" si="32"/>
        <x:v>접대비_법인카드</x:v>
      </x:c>
      <x:c r="F167" s="443"/>
      <x:c r="G167" s="444" t="s">
        <x:v>251</x:v>
      </x:c>
      <x:c r="H167" s="445" t="str">
        <x:f t="shared" si="40"/>
        <x:v>시작평가팀(E)</x:v>
      </x:c>
      <x:c r="I167" s="446" t="str">
        <x:f t="shared" si="34"/>
        <x:v>[연구개발비]</x:v>
      </x:c>
      <x:c r="J167" s="445"/>
      <x:c r="K167" s="453">
        <x:v>300000</x:v>
      </x:c>
      <x:c r="L167" s="454">
        <x:v>300000</x:v>
      </x:c>
      <x:c r="M167" s="454">
        <x:v>300000</x:v>
      </x:c>
      <x:c r="N167" s="454">
        <x:v>300000</x:v>
      </x:c>
      <x:c r="O167" s="454">
        <x:v>300000</x:v>
      </x:c>
      <x:c r="P167" s="454">
        <x:v>300000</x:v>
      </x:c>
      <x:c r="Q167" s="454">
        <x:v>150000</x:v>
      </x:c>
      <x:c r="R167" s="454">
        <x:v>150000</x:v>
      </x:c>
      <x:c r="S167" s="454">
        <x:v>150000</x:v>
      </x:c>
      <x:c r="T167" s="454">
        <x:v>150000</x:v>
      </x:c>
      <x:c r="U167" s="454">
        <x:v>150000</x:v>
      </x:c>
      <x:c r="V167" s="455">
        <x:v>150000</x:v>
      </x:c>
      <x:c r="W167" s="456">
        <x:f t="shared" si="38"/>
        <x:v>2700000</x:v>
      </x:c>
      <x:c r="X167" s="450">
        <x:f t="shared" si="39"/>
        <x:v>225000</x:v>
      </x:c>
      <x:c r="Y167" s="457" t="s">
        <x:v>745</x:v>
      </x:c>
      <x:c r="Z167" s="458"/>
      <x:c r="AA167" s="458"/>
      <x:c r="AB167" s="458"/>
      <x:c r="AC167" s="458"/>
      <x:c r="AD167" s="458"/>
      <x:c r="AE167" s="458"/>
      <x:c r="AO167" s="438">
        <x:v>66300104</x:v>
      </x:c>
      <x:c r="AP167" s="438" t="s">
        <x:v>480</x:v>
      </x:c>
      <x:c r="AQ167" s="438" t="s">
        <x:v>475</x:v>
      </x:c>
    </x:row>
    <x:row r="168" spans="1:43" ht="20.100000000000001" customHeight="1">
      <x:c r="A168" s="439"/>
      <x:c r="B168" s="466" t="str">
        <x:f t="shared" si="30"/>
        <x:v>기타비용</x:v>
      </x:c>
      <x:c r="C168" s="440" t="str">
        <x:f t="shared" si="31"/>
        <x:v>차량유지비</x:v>
      </x:c>
      <x:c r="D168" s="441">
        <x:v>52359900</x:v>
      </x:c>
      <x:c r="E168" s="442" t="str">
        <x:f t="shared" si="32"/>
        <x:v>차량유지비_기타</x:v>
      </x:c>
      <x:c r="F168" s="443"/>
      <x:c r="G168" s="444" t="s">
        <x:v>251</x:v>
      </x:c>
      <x:c r="H168" s="445" t="str">
        <x:f t="shared" si="40"/>
        <x:v>시작평가팀(E)</x:v>
      </x:c>
      <x:c r="I168" s="446" t="str">
        <x:f t="shared" si="34"/>
        <x:v>[연구개발비]</x:v>
      </x:c>
      <x:c r="J168" s="445"/>
      <x:c r="K168" s="453">
        <x:v>50000</x:v>
      </x:c>
      <x:c r="L168" s="454">
        <x:v>50000</x:v>
      </x:c>
      <x:c r="M168" s="454">
        <x:v>50000</x:v>
      </x:c>
      <x:c r="N168" s="454">
        <x:v>50000</x:v>
      </x:c>
      <x:c r="O168" s="454">
        <x:v>50000</x:v>
      </x:c>
      <x:c r="P168" s="454">
        <x:v>50000</x:v>
      </x:c>
      <x:c r="Q168" s="454">
        <x:v>50000</x:v>
      </x:c>
      <x:c r="R168" s="454">
        <x:v>50000</x:v>
      </x:c>
      <x:c r="S168" s="454">
        <x:v>50000</x:v>
      </x:c>
      <x:c r="T168" s="454">
        <x:v>50000</x:v>
      </x:c>
      <x:c r="U168" s="454">
        <x:v>50000</x:v>
      </x:c>
      <x:c r="V168" s="455">
        <x:v>50000</x:v>
      </x:c>
      <x:c r="W168" s="456">
        <x:f t="shared" si="38"/>
        <x:v>600000</x:v>
      </x:c>
      <x:c r="X168" s="450">
        <x:f t="shared" si="39"/>
        <x:v>50000</x:v>
      </x:c>
      <x:c r="Y168" s="457" t="s">
        <x:v>587</x:v>
      </x:c>
      <x:c r="Z168" s="458"/>
      <x:c r="AA168" s="458"/>
      <x:c r="AB168" s="458"/>
      <x:c r="AC168" s="458"/>
      <x:c r="AD168" s="458"/>
      <x:c r="AE168" s="458"/>
      <x:c r="AO168" s="438">
        <x:v>66300107</x:v>
      </x:c>
      <x:c r="AP168" s="438" t="s">
        <x:v>481</x:v>
      </x:c>
      <x:c r="AQ168" s="438" t="s">
        <x:v>475</x:v>
      </x:c>
    </x:row>
    <x:row r="169" spans="1:43" ht="20.100000000000001" customHeight="1">
      <x:c r="A169" s="439"/>
      <x:c r="B169" s="466" t="str">
        <x:f t="shared" si="30"/>
        <x:v>기타비용</x:v>
      </x:c>
      <x:c r="C169" s="440" t="str">
        <x:f t="shared" si="31"/>
        <x:v>차량유지비</x:v>
      </x:c>
      <x:c r="D169" s="441">
        <x:v>52350101</x:v>
      </x:c>
      <x:c r="E169" s="442" t="str">
        <x:f t="shared" si="32"/>
        <x:v>차량유지비_유류대</x:v>
      </x:c>
      <x:c r="F169" s="443"/>
      <x:c r="G169" s="444" t="s">
        <x:v>251</x:v>
      </x:c>
      <x:c r="H169" s="445" t="str">
        <x:f t="shared" si="40"/>
        <x:v>시작평가팀(E)</x:v>
      </x:c>
      <x:c r="I169" s="446" t="str">
        <x:f t="shared" si="34"/>
        <x:v>[연구개발비]</x:v>
      </x:c>
      <x:c r="J169" s="445"/>
      <x:c r="K169" s="453">
        <x:v>400000</x:v>
      </x:c>
      <x:c r="L169" s="454">
        <x:v>400000</x:v>
      </x:c>
      <x:c r="M169" s="454">
        <x:v>400000</x:v>
      </x:c>
      <x:c r="N169" s="454">
        <x:v>400000</x:v>
      </x:c>
      <x:c r="O169" s="454">
        <x:v>400000</x:v>
      </x:c>
      <x:c r="P169" s="454">
        <x:v>400000</x:v>
      </x:c>
      <x:c r="Q169" s="454">
        <x:v>400000</x:v>
      </x:c>
      <x:c r="R169" s="454">
        <x:v>400000</x:v>
      </x:c>
      <x:c r="S169" s="454">
        <x:v>400000</x:v>
      </x:c>
      <x:c r="T169" s="454">
        <x:v>400000</x:v>
      </x:c>
      <x:c r="U169" s="454">
        <x:v>400000</x:v>
      </x:c>
      <x:c r="V169" s="455">
        <x:v>400000</x:v>
      </x:c>
      <x:c r="W169" s="456">
        <x:f t="shared" si="38"/>
        <x:v>4800000</x:v>
      </x:c>
      <x:c r="X169" s="450">
        <x:f t="shared" si="39"/>
        <x:v>400000</x:v>
      </x:c>
      <x:c r="Y169" s="457" t="s">
        <x:v>746</x:v>
      </x:c>
      <x:c r="Z169" s="458"/>
      <x:c r="AA169" s="458"/>
      <x:c r="AB169" s="458"/>
      <x:c r="AC169" s="458"/>
      <x:c r="AD169" s="458"/>
      <x:c r="AE169" s="458"/>
      <x:c r="AO169" s="438">
        <x:v>66900103</x:v>
      </x:c>
      <x:c r="AP169" s="438" t="s">
        <x:v>482</x:v>
      </x:c>
      <x:c r="AQ169" s="438" t="s">
        <x:v>475</x:v>
      </x:c>
    </x:row>
    <x:row r="170" spans="1:43" ht="20.100000000000001" customHeight="1">
      <x:c r="A170" s="439"/>
      <x:c r="B170" s="466" t="str">
        <x:f t="shared" si="30"/>
        <x:v>복리후생비</x:v>
      </x:c>
      <x:c r="C170" s="440" t="str">
        <x:f t="shared" si="31"/>
        <x:v>후생비</x:v>
      </x:c>
      <x:c r="D170" s="441">
        <x:v>52130125</x:v>
      </x:c>
      <x:c r="E170" s="442" t="str">
        <x:f t="shared" si="32"/>
        <x:v>후생비_기타식대</x:v>
      </x:c>
      <x:c r="F170" s="443"/>
      <x:c r="G170" s="444" t="s">
        <x:v>251</x:v>
      </x:c>
      <x:c r="H170" s="445" t="str">
        <x:f t="shared" si="40"/>
        <x:v>시작평가팀(E)</x:v>
      </x:c>
      <x:c r="I170" s="446" t="str">
        <x:f t="shared" si="34"/>
        <x:v>[연구개발비]</x:v>
      </x:c>
      <x:c r="J170" s="445"/>
      <x:c r="K170" s="453">
        <x:v>100000</x:v>
      </x:c>
      <x:c r="L170" s="454">
        <x:v>100000</x:v>
      </x:c>
      <x:c r="M170" s="454">
        <x:v>100000</x:v>
      </x:c>
      <x:c r="N170" s="454">
        <x:v>100000</x:v>
      </x:c>
      <x:c r="O170" s="454">
        <x:v>100000</x:v>
      </x:c>
      <x:c r="P170" s="454">
        <x:v>100000</x:v>
      </x:c>
      <x:c r="Q170" s="454">
        <x:v>100000</x:v>
      </x:c>
      <x:c r="R170" s="454">
        <x:v>100000</x:v>
      </x:c>
      <x:c r="S170" s="454">
        <x:v>100000</x:v>
      </x:c>
      <x:c r="T170" s="454">
        <x:v>100000</x:v>
      </x:c>
      <x:c r="U170" s="454">
        <x:v>100000</x:v>
      </x:c>
      <x:c r="V170" s="455">
        <x:v>100000</x:v>
      </x:c>
      <x:c r="W170" s="456">
        <x:f t="shared" si="38"/>
        <x:v>1200000</x:v>
      </x:c>
      <x:c r="X170" s="450">
        <x:f t="shared" si="39"/>
        <x:v>100000</x:v>
      </x:c>
      <x:c r="Y170" s="457" t="s">
        <x:v>747</x:v>
      </x:c>
      <x:c r="Z170" s="458"/>
      <x:c r="AA170" s="458"/>
      <x:c r="AB170" s="458"/>
      <x:c r="AC170" s="458"/>
      <x:c r="AD170" s="458"/>
      <x:c r="AE170" s="458"/>
      <x:c r="AO170" s="438">
        <x:v>66900105</x:v>
      </x:c>
      <x:c r="AP170" s="438" t="s">
        <x:v>483</x:v>
      </x:c>
      <x:c r="AQ170" s="438" t="s">
        <x:v>475</x:v>
      </x:c>
    </x:row>
    <x:row r="171" spans="1:43" ht="20.100000000000001" customHeight="1">
      <x:c r="A171" s="439"/>
      <x:c r="B171" s="466" t="str">
        <x:f t="shared" si="30"/>
        <x:v>복리후생비</x:v>
      </x:c>
      <x:c r="C171" s="440" t="str">
        <x:f t="shared" si="31"/>
        <x:v>후생비</x:v>
      </x:c>
      <x:c r="D171" s="441">
        <x:v>52130123</x:v>
      </x:c>
      <x:c r="E171" s="442" t="str">
        <x:f t="shared" si="32"/>
        <x:v>후생비_외근식대</x:v>
      </x:c>
      <x:c r="F171" s="443"/>
      <x:c r="G171" s="444" t="s">
        <x:v>251</x:v>
      </x:c>
      <x:c r="H171" s="445" t="str">
        <x:f t="shared" si="40"/>
        <x:v>시작평가팀(E)</x:v>
      </x:c>
      <x:c r="I171" s="446" t="str">
        <x:f t="shared" si="34"/>
        <x:v>[연구개발비]</x:v>
      </x:c>
      <x:c r="J171" s="445"/>
      <x:c r="K171" s="453">
        <x:v>936000</x:v>
      </x:c>
      <x:c r="L171" s="454">
        <x:v>936000</x:v>
      </x:c>
      <x:c r="M171" s="454">
        <x:v>936000</x:v>
      </x:c>
      <x:c r="N171" s="454">
        <x:v>936000</x:v>
      </x:c>
      <x:c r="O171" s="454">
        <x:v>936000</x:v>
      </x:c>
      <x:c r="P171" s="454">
        <x:v>936000</x:v>
      </x:c>
      <x:c r="Q171" s="454">
        <x:v>576000</x:v>
      </x:c>
      <x:c r="R171" s="454">
        <x:v>576000</x:v>
      </x:c>
      <x:c r="S171" s="454">
        <x:v>576000</x:v>
      </x:c>
      <x:c r="T171" s="454">
        <x:v>576000</x:v>
      </x:c>
      <x:c r="U171" s="454">
        <x:v>576000</x:v>
      </x:c>
      <x:c r="V171" s="455">
        <x:v>576000</x:v>
      </x:c>
      <x:c r="W171" s="456">
        <x:f t="shared" si="38"/>
        <x:v>9072000</x:v>
      </x:c>
      <x:c r="X171" s="450">
        <x:f t="shared" si="39"/>
        <x:v>756000</x:v>
      </x:c>
      <x:c r="Y171" s="457" t="s">
        <x:v>748</x:v>
      </x:c>
      <x:c r="Z171" s="458"/>
      <x:c r="AA171" s="458"/>
      <x:c r="AB171" s="458"/>
      <x:c r="AC171" s="458"/>
      <x:c r="AD171" s="458"/>
      <x:c r="AE171" s="458"/>
      <x:c r="AO171" s="438">
        <x:v>71110101</x:v>
      </x:c>
      <x:c r="AP171" s="438" t="s">
        <x:v>484</x:v>
      </x:c>
      <x:c r="AQ171" s="438" t="s">
        <x:v>467</x:v>
      </x:c>
    </x:row>
    <x:row r="172" spans="1:43" ht="20.100000000000001" customHeight="1">
      <x:c r="A172" s="439"/>
      <x:c r="B172" s="466" t="str">
        <x:f t="shared" si="30"/>
        <x:v>여비교통비</x:v>
      </x:c>
      <x:c r="C172" s="440" t="str">
        <x:f t="shared" si="31"/>
        <x:v>여비교통비</x:v>
      </x:c>
      <x:c r="D172" s="441">
        <x:v>52150103</x:v>
      </x:c>
      <x:c r="E172" s="442" t="str">
        <x:f t="shared" si="32"/>
        <x:v>여비교통비_해외출장</x:v>
      </x:c>
      <x:c r="F172" s="443"/>
      <x:c r="G172" s="444" t="s">
        <x:v>251</x:v>
      </x:c>
      <x:c r="H172" s="445" t="str">
        <x:f t="shared" si="40"/>
        <x:v>시작평가팀(E)</x:v>
      </x:c>
      <x:c r="I172" s="446" t="str">
        <x:f t="shared" si="34"/>
        <x:v>[연구개발비]</x:v>
      </x:c>
      <x:c r="J172" s="445"/>
      <x:c r="K172" s="453">
        <x:v>10000000</x:v>
      </x:c>
      <x:c r="L172" s="454"/>
      <x:c r="M172" s="454">
        <x:v>15000000</x:v>
      </x:c>
      <x:c r="N172" s="454">
        <x:v>15000000</x:v>
      </x:c>
      <x:c r="O172" s="454"/>
      <x:c r="P172" s="454"/>
      <x:c r="Q172" s="454"/>
      <x:c r="R172" s="454"/>
      <x:c r="S172" s="454"/>
      <x:c r="T172" s="454"/>
      <x:c r="U172" s="454"/>
      <x:c r="V172" s="455"/>
      <x:c r="W172" s="456">
        <x:f t="shared" ref="W172:W190" si="41">IFERROR(SUM(K172:V172),"")</x:f>
        <x:v>40000000</x:v>
      </x:c>
      <x:c r="X172" s="450">
        <x:f t="shared" si="39"/>
        <x:v>3333333.3333333335</x:v>
      </x:c>
      <x:c r="Y172" s="457" t="s">
        <x:v>749</x:v>
      </x:c>
      <x:c r="Z172" s="458"/>
      <x:c r="AA172" s="458"/>
      <x:c r="AB172" s="458"/>
      <x:c r="AC172" s="458"/>
      <x:c r="AD172" s="458"/>
      <x:c r="AE172" s="458"/>
      <x:c r="AO172" s="438">
        <x:v>71119900</x:v>
      </x:c>
      <x:c r="AP172" s="438" t="s">
        <x:v>485</x:v>
      </x:c>
      <x:c r="AQ172" s="438" t="s">
        <x:v>467</x:v>
      </x:c>
    </x:row>
    <x:row r="173" spans="1:43" ht="20.100000000000001" customHeight="1">
      <x:c r="A173" s="439"/>
      <x:c r="B173" s="466" t="str">
        <x:f t="shared" si="30"/>
        <x:v>유지비용</x:v>
      </x:c>
      <x:c r="C173" s="440" t="str">
        <x:f t="shared" si="31"/>
        <x:v>수선비</x:v>
      </x:c>
      <x:c r="D173" s="441">
        <x:v>52210180</x:v>
      </x:c>
      <x:c r="E173" s="442" t="str">
        <x:f t="shared" si="32"/>
        <x:v>수선비_시험설비</x:v>
      </x:c>
      <x:c r="F173" s="443"/>
      <x:c r="G173" s="444" t="s">
        <x:v>251</x:v>
      </x:c>
      <x:c r="H173" s="445" t="str">
        <x:f t="shared" si="40"/>
        <x:v>시작평가팀(E)</x:v>
      </x:c>
      <x:c r="I173" s="446" t="str">
        <x:f t="shared" si="34"/>
        <x:v>[연구개발비]</x:v>
      </x:c>
      <x:c r="J173" s="445"/>
      <x:c r="K173" s="453"/>
      <x:c r="L173" s="454">
        <x:v>2000000</x:v>
      </x:c>
      <x:c r="M173" s="454"/>
      <x:c r="N173" s="454"/>
      <x:c r="O173" s="454">
        <x:v>2000000</x:v>
      </x:c>
      <x:c r="P173" s="454"/>
      <x:c r="Q173" s="454"/>
      <x:c r="R173" s="454">
        <x:v>2000000</x:v>
      </x:c>
      <x:c r="S173" s="454"/>
      <x:c r="T173" s="454"/>
      <x:c r="U173" s="454">
        <x:v>2000000</x:v>
      </x:c>
      <x:c r="V173" s="455"/>
      <x:c r="W173" s="456">
        <x:f t="shared" si="41"/>
        <x:v>8000000</x:v>
      </x:c>
      <x:c r="X173" s="450">
        <x:f t="shared" ref="X173:X191" si="42">IFERROR($W173/$Y$1,"")</x:f>
        <x:v>666666.66666666663</x:v>
      </x:c>
      <x:c r="Y173" s="457" t="s">
        <x:v>750</x:v>
      </x:c>
      <x:c r="Z173" s="458"/>
      <x:c r="AA173" s="458"/>
      <x:c r="AB173" s="458"/>
      <x:c r="AC173" s="458"/>
      <x:c r="AD173" s="458"/>
      <x:c r="AE173" s="458"/>
      <x:c r="AO173" s="438">
        <x:v>71130101</x:v>
      </x:c>
      <x:c r="AP173" s="438" t="s">
        <x:v>486</x:v>
      </x:c>
      <x:c r="AQ173" s="438" t="s">
        <x:v>467</x:v>
      </x:c>
    </x:row>
    <x:row r="174" spans="1:43" ht="20.100000000000001" customHeight="1">
      <x:c r="A174" s="439"/>
      <x:c r="B174" s="466" t="str">
        <x:f t="shared" si="30"/>
        <x:v>지급수수료</x:v>
      </x:c>
      <x:c r="C174" s="440" t="str">
        <x:f t="shared" si="31"/>
        <x:v>지급수수료</x:v>
      </x:c>
      <x:c r="D174" s="441">
        <x:v>52310116</x:v>
      </x:c>
      <x:c r="E174" s="442" t="str">
        <x:f t="shared" si="32"/>
        <x:v>지급수수료-검교정수수료</x:v>
      </x:c>
      <x:c r="F174" s="443"/>
      <x:c r="G174" s="444" t="s">
        <x:v>251</x:v>
      </x:c>
      <x:c r="H174" s="445" t="str">
        <x:f t="shared" si="40"/>
        <x:v>시작평가팀(E)</x:v>
      </x:c>
      <x:c r="I174" s="446" t="str">
        <x:f t="shared" si="34"/>
        <x:v>[연구개발비]</x:v>
      </x:c>
      <x:c r="J174" s="445"/>
      <x:c r="K174" s="453"/>
      <x:c r="L174" s="454"/>
      <x:c r="M174" s="454"/>
      <x:c r="N174" s="454"/>
      <x:c r="O174" s="454"/>
      <x:c r="P174" s="454"/>
      <x:c r="Q174" s="454"/>
      <x:c r="R174" s="454"/>
      <x:c r="S174" s="454"/>
      <x:c r="T174" s="454">
        <x:v>4000000</x:v>
      </x:c>
      <x:c r="U174" s="454"/>
      <x:c r="V174" s="455"/>
      <x:c r="W174" s="456">
        <x:f t="shared" si="41"/>
        <x:v>4000000</x:v>
      </x:c>
      <x:c r="X174" s="450">
        <x:f t="shared" si="42"/>
        <x:v>333333.33333333331</x:v>
      </x:c>
      <x:c r="Y174" s="457" t="s">
        <x:v>751</x:v>
      </x:c>
      <x:c r="Z174" s="458"/>
      <x:c r="AA174" s="458"/>
      <x:c r="AB174" s="458"/>
      <x:c r="AC174" s="458"/>
      <x:c r="AD174" s="458"/>
      <x:c r="AE174" s="458"/>
      <x:c r="AO174" s="438">
        <x:v>71130103</x:v>
      </x:c>
      <x:c r="AP174" s="438" t="s">
        <x:v>487</x:v>
      </x:c>
      <x:c r="AQ174" s="438" t="s">
        <x:v>467</x:v>
      </x:c>
    </x:row>
    <x:row r="175" spans="1:43" ht="20.100000000000001" customHeight="1">
      <x:c r="A175" s="439"/>
      <x:c r="B175" s="466" t="str">
        <x:f t="shared" si="30"/>
        <x:v>세금,보험</x:v>
      </x:c>
      <x:c r="C175" s="440" t="str">
        <x:f t="shared" si="31"/>
        <x:v>세금과공과</x:v>
      </x:c>
      <x:c r="D175" s="441">
        <x:v>52189900</x:v>
      </x:c>
      <x:c r="E175" s="442" t="str">
        <x:f t="shared" si="32"/>
        <x:v>세금과공과_기타</x:v>
      </x:c>
      <x:c r="F175" s="443"/>
      <x:c r="G175" s="444" t="s">
        <x:v>251</x:v>
      </x:c>
      <x:c r="H175" s="445" t="str">
        <x:f t="shared" si="40"/>
        <x:v>시작평가팀(E)</x:v>
      </x:c>
      <x:c r="I175" s="446" t="str">
        <x:f t="shared" si="34"/>
        <x:v>[연구개발비]</x:v>
      </x:c>
      <x:c r="J175" s="445"/>
      <x:c r="K175" s="453">
        <x:v>300000</x:v>
      </x:c>
      <x:c r="L175" s="454"/>
      <x:c r="M175" s="454"/>
      <x:c r="N175" s="454"/>
      <x:c r="O175" s="454"/>
      <x:c r="P175" s="454"/>
      <x:c r="Q175" s="454"/>
      <x:c r="R175" s="454"/>
      <x:c r="S175" s="454"/>
      <x:c r="T175" s="454"/>
      <x:c r="U175" s="454"/>
      <x:c r="V175" s="455"/>
      <x:c r="W175" s="456">
        <x:f t="shared" si="41"/>
        <x:v>300000</x:v>
      </x:c>
      <x:c r="X175" s="450">
        <x:f t="shared" si="42"/>
        <x:v>25000</x:v>
      </x:c>
      <x:c r="Y175" s="457" t="s">
        <x:v>752</x:v>
      </x:c>
      <x:c r="Z175" s="458"/>
      <x:c r="AA175" s="458"/>
      <x:c r="AB175" s="458"/>
      <x:c r="AC175" s="458"/>
      <x:c r="AD175" s="458"/>
      <x:c r="AE175" s="458"/>
      <x:c r="AO175" s="438">
        <x:v>71130105</x:v>
      </x:c>
      <x:c r="AP175" s="438" t="s">
        <x:v>488</x:v>
      </x:c>
      <x:c r="AQ175" s="438" t="s">
        <x:v>467</x:v>
      </x:c>
    </x:row>
    <x:row r="176" spans="1:43" ht="20.100000000000001" customHeight="1">
      <x:c r="A176" s="439"/>
      <x:c r="B176" s="466" t="str">
        <x:f t="shared" si="30"/>
        <x:v>개발비</x:v>
      </x:c>
      <x:c r="C176" s="440" t="str">
        <x:f t="shared" si="31"/>
        <x:v>경상연구비</x:v>
      </x:c>
      <x:c r="D176" s="441">
        <x:v>52280301</x:v>
      </x:c>
      <x:c r="E176" s="442" t="str">
        <x:f t="shared" si="32"/>
        <x:v>경상연구비_시험분석비</x:v>
      </x:c>
      <x:c r="F176" s="443"/>
      <x:c r="G176" s="444" t="s">
        <x:v>372</x:v>
      </x:c>
      <x:c r="H176" s="445" t="s">
        <x:v>637</x:v>
      </x:c>
      <x:c r="I176" s="446" t="str">
        <x:f t="shared" si="34"/>
        <x:v>[연구개발비]</x:v>
      </x:c>
      <x:c r="J176" s="445"/>
      <x:c r="K176" s="453">
        <x:v>72000000</x:v>
      </x:c>
      <x:c r="L176" s="454">
        <x:v>72000000</x:v>
      </x:c>
      <x:c r="M176" s="454">
        <x:v>168000000</x:v>
      </x:c>
      <x:c r="N176" s="454"/>
      <x:c r="O176" s="454">
        <x:v>72000000</x:v>
      </x:c>
      <x:c r="P176" s="454"/>
      <x:c r="Q176" s="454">
        <x:v>96000000</x:v>
      </x:c>
      <x:c r="R176" s="454"/>
      <x:c r="S176" s="454"/>
      <x:c r="T176" s="454"/>
      <x:c r="U176" s="454"/>
      <x:c r="V176" s="455"/>
      <x:c r="W176" s="456">
        <x:f t="shared" si="41"/>
        <x:v>480000000</x:v>
      </x:c>
      <x:c r="X176" s="450">
        <x:f t="shared" si="42"/>
        <x:v>40000000</x:v>
      </x:c>
      <x:c r="Y176" s="457" t="s">
        <x:v>790</x:v>
      </x:c>
      <x:c r="Z176" s="458"/>
      <x:c r="AA176" s="458"/>
      <x:c r="AB176" s="458"/>
      <x:c r="AC176" s="458"/>
      <x:c r="AD176" s="458"/>
      <x:c r="AE176" s="458"/>
      <x:c r="AO176" s="438">
        <x:v>71130107</x:v>
      </x:c>
      <x:c r="AP176" s="438" t="s">
        <x:v>489</x:v>
      </x:c>
      <x:c r="AQ176" s="438" t="s">
        <x:v>467</x:v>
      </x:c>
    </x:row>
    <x:row r="177" spans="1:43" ht="20.100000000000001" customHeight="1">
      <x:c r="A177" s="439"/>
      <x:c r="B177" s="466" t="str">
        <x:f t="shared" si="30"/>
        <x:v>지급수수료</x:v>
      </x:c>
      <x:c r="C177" s="440" t="str">
        <x:f t="shared" si="31"/>
        <x:v>지급수수료</x:v>
      </x:c>
      <x:c r="D177" s="441">
        <x:v>52310111</x:v>
      </x:c>
      <x:c r="E177" s="442" t="str">
        <x:f t="shared" si="32"/>
        <x:v>지급수수료-시험수수료</x:v>
      </x:c>
      <x:c r="F177" s="443"/>
      <x:c r="G177" s="444" t="s">
        <x:v>372</x:v>
      </x:c>
      <x:c r="H177" s="445" t="s">
        <x:v>852</x:v>
      </x:c>
      <x:c r="I177" s="446" t="str">
        <x:f t="shared" si="34"/>
        <x:v>[연구개발비]</x:v>
      </x:c>
      <x:c r="J177" s="445"/>
      <x:c r="K177" s="453"/>
      <x:c r="L177" s="454">
        <x:v>6000000</x:v>
      </x:c>
      <x:c r="M177" s="454"/>
      <x:c r="N177" s="454"/>
      <x:c r="O177" s="454"/>
      <x:c r="P177" s="454"/>
      <x:c r="Q177" s="454"/>
      <x:c r="R177" s="454"/>
      <x:c r="S177" s="454"/>
      <x:c r="T177" s="454"/>
      <x:c r="U177" s="454"/>
      <x:c r="V177" s="455"/>
      <x:c r="W177" s="456">
        <x:f t="shared" si="41"/>
        <x:v>6000000</x:v>
      </x:c>
      <x:c r="X177" s="450">
        <x:f t="shared" si="42"/>
        <x:v>500000</x:v>
      </x:c>
      <x:c r="Y177" s="457" t="s">
        <x:v>753</x:v>
      </x:c>
      <x:c r="Z177" s="458"/>
      <x:c r="AA177" s="458"/>
      <x:c r="AB177" s="458"/>
      <x:c r="AC177" s="458"/>
      <x:c r="AD177" s="458"/>
      <x:c r="AE177" s="458"/>
      <x:c r="AO177" s="438">
        <x:v>71130109</x:v>
      </x:c>
      <x:c r="AP177" s="438" t="s">
        <x:v>490</x:v>
      </x:c>
      <x:c r="AQ177" s="438" t="s">
        <x:v>467</x:v>
      </x:c>
    </x:row>
    <x:row r="178" spans="1:43" ht="20.100000000000001" customHeight="1">
      <x:c r="A178" s="439"/>
      <x:c r="B178" s="466" t="str">
        <x:f t="shared" si="30"/>
        <x:v>지급수수료</x:v>
      </x:c>
      <x:c r="C178" s="440" t="str">
        <x:f t="shared" si="31"/>
        <x:v>지급수수료</x:v>
      </x:c>
      <x:c r="D178" s="441">
        <x:v>52310111</x:v>
      </x:c>
      <x:c r="E178" s="442" t="str">
        <x:f t="shared" si="32"/>
        <x:v>지급수수료-시험수수료</x:v>
      </x:c>
      <x:c r="F178" s="443"/>
      <x:c r="G178" s="444" t="s">
        <x:v>372</x:v>
      </x:c>
      <x:c r="H178" s="445" t="s">
        <x:v>853</x:v>
      </x:c>
      <x:c r="I178" s="446" t="str">
        <x:f t="shared" si="34"/>
        <x:v>[연구개발비]</x:v>
      </x:c>
      <x:c r="J178" s="445"/>
      <x:c r="K178" s="453"/>
      <x:c r="L178" s="454">
        <x:v>10000000</x:v>
      </x:c>
      <x:c r="M178" s="454"/>
      <x:c r="N178" s="454"/>
      <x:c r="O178" s="454"/>
      <x:c r="P178" s="454"/>
      <x:c r="Q178" s="454"/>
      <x:c r="R178" s="454"/>
      <x:c r="S178" s="454"/>
      <x:c r="T178" s="454"/>
      <x:c r="U178" s="454">
        <x:v>5000000</x:v>
      </x:c>
      <x:c r="V178" s="455"/>
      <x:c r="W178" s="456">
        <x:f t="shared" si="41"/>
        <x:v>15000000</x:v>
      </x:c>
      <x:c r="X178" s="450">
        <x:f t="shared" si="42"/>
        <x:v>1250000</x:v>
      </x:c>
      <x:c r="Y178" s="457" t="s">
        <x:v>754</x:v>
      </x:c>
      <x:c r="Z178" s="458"/>
      <x:c r="AA178" s="458"/>
      <x:c r="AB178" s="458"/>
      <x:c r="AC178" s="458"/>
      <x:c r="AD178" s="458"/>
      <x:c r="AE178" s="458"/>
      <x:c r="AO178" s="438">
        <x:v>71140103</x:v>
      </x:c>
      <x:c r="AP178" s="438" t="s">
        <x:v>491</x:v>
      </x:c>
      <x:c r="AQ178" s="438" t="s">
        <x:v>467</x:v>
      </x:c>
    </x:row>
    <x:row r="179" spans="1:43" ht="20.100000000000001" customHeight="1">
      <x:c r="A179" s="439"/>
      <x:c r="B179" s="466" t="str">
        <x:f t="shared" si="30"/>
        <x:v>지급수수료</x:v>
      </x:c>
      <x:c r="C179" s="440" t="str">
        <x:f t="shared" si="31"/>
        <x:v>지급수수료</x:v>
      </x:c>
      <x:c r="D179" s="441">
        <x:v>52310111</x:v>
      </x:c>
      <x:c r="E179" s="442" t="str">
        <x:f t="shared" si="32"/>
        <x:v>지급수수료-시험수수료</x:v>
      </x:c>
      <x:c r="F179" s="443"/>
      <x:c r="G179" s="444" t="s">
        <x:v>372</x:v>
      </x:c>
      <x:c r="H179" s="445" t="s">
        <x:v>854</x:v>
      </x:c>
      <x:c r="I179" s="446" t="str">
        <x:f t="shared" si="34"/>
        <x:v>[연구개발비]</x:v>
      </x:c>
      <x:c r="J179" s="445"/>
      <x:c r="K179" s="453"/>
      <x:c r="L179" s="454"/>
      <x:c r="M179" s="454"/>
      <x:c r="N179" s="454"/>
      <x:c r="O179" s="454"/>
      <x:c r="P179" s="454"/>
      <x:c r="Q179" s="454"/>
      <x:c r="R179" s="454"/>
      <x:c r="S179" s="454"/>
      <x:c r="T179" s="454"/>
      <x:c r="U179" s="454">
        <x:v>30000000</x:v>
      </x:c>
      <x:c r="V179" s="455"/>
      <x:c r="W179" s="456">
        <x:f t="shared" si="41"/>
        <x:v>30000000</x:v>
      </x:c>
      <x:c r="X179" s="450">
        <x:f t="shared" si="42"/>
        <x:v>2500000</x:v>
      </x:c>
      <x:c r="Y179" s="457" t="s">
        <x:v>755</x:v>
      </x:c>
      <x:c r="Z179" s="458"/>
      <x:c r="AA179" s="458"/>
      <x:c r="AB179" s="458"/>
      <x:c r="AC179" s="458"/>
      <x:c r="AD179" s="458"/>
      <x:c r="AE179" s="458"/>
      <x:c r="AO179" s="438">
        <x:v>71140105</x:v>
      </x:c>
      <x:c r="AP179" s="438" t="s">
        <x:v>492</x:v>
      </x:c>
      <x:c r="AQ179" s="438" t="s">
        <x:v>467</x:v>
      </x:c>
    </x:row>
    <x:row r="180" spans="1:43" ht="20.100000000000001" customHeight="1">
      <x:c r="A180" s="439"/>
      <x:c r="B180" s="466" t="str">
        <x:f t="shared" si="30"/>
        <x:v>지급수수료</x:v>
      </x:c>
      <x:c r="C180" s="440" t="str">
        <x:f t="shared" si="31"/>
        <x:v>지급수수료</x:v>
      </x:c>
      <x:c r="D180" s="441">
        <x:v>52310111</x:v>
      </x:c>
      <x:c r="E180" s="442" t="str">
        <x:f t="shared" si="32"/>
        <x:v>지급수수료-시험수수료</x:v>
      </x:c>
      <x:c r="F180" s="443"/>
      <x:c r="G180" s="444" t="s">
        <x:v>372</x:v>
      </x:c>
      <x:c r="H180" s="445" t="s">
        <x:v>636</x:v>
      </x:c>
      <x:c r="I180" s="446" t="str">
        <x:f t="shared" si="34"/>
        <x:v>[연구개발비]</x:v>
      </x:c>
      <x:c r="J180" s="445"/>
      <x:c r="K180" s="453">
        <x:v>5000000</x:v>
      </x:c>
      <x:c r="L180" s="454">
        <x:v>20250000</x:v>
      </x:c>
      <x:c r="M180" s="454"/>
      <x:c r="N180" s="454">
        <x:v>20250000</x:v>
      </x:c>
      <x:c r="O180" s="454"/>
      <x:c r="P180" s="454"/>
      <x:c r="Q180" s="454"/>
      <x:c r="R180" s="454"/>
      <x:c r="S180" s="454"/>
      <x:c r="T180" s="454"/>
      <x:c r="U180" s="454"/>
      <x:c r="V180" s="455"/>
      <x:c r="W180" s="456">
        <x:f t="shared" si="41"/>
        <x:v>45500000</x:v>
      </x:c>
      <x:c r="X180" s="450">
        <x:f t="shared" si="42"/>
        <x:v>3791666.6666666665</x:v>
      </x:c>
      <x:c r="Y180" s="457" t="s">
        <x:v>791</x:v>
      </x:c>
      <x:c r="Z180" s="458"/>
      <x:c r="AA180" s="458"/>
      <x:c r="AB180" s="458"/>
      <x:c r="AC180" s="458"/>
      <x:c r="AD180" s="458"/>
      <x:c r="AE180" s="458"/>
      <x:c r="AO180" s="438">
        <x:v>71140107</x:v>
      </x:c>
      <x:c r="AP180" s="438" t="s">
        <x:v>493</x:v>
      </x:c>
      <x:c r="AQ180" s="438" t="s">
        <x:v>467</x:v>
      </x:c>
    </x:row>
    <x:row r="181" spans="1:43" ht="20.100000000000001" customHeight="1">
      <x:c r="A181" s="439"/>
      <x:c r="B181" s="466" t="str">
        <x:f t="shared" si="30"/>
        <x:v>지급수수료</x:v>
      </x:c>
      <x:c r="C181" s="440" t="str">
        <x:f t="shared" si="31"/>
        <x:v>지급수수료</x:v>
      </x:c>
      <x:c r="D181" s="441">
        <x:v>52310111</x:v>
      </x:c>
      <x:c r="E181" s="442" t="str">
        <x:f t="shared" si="32"/>
        <x:v>지급수수료-시험수수료</x:v>
      </x:c>
      <x:c r="F181" s="443"/>
      <x:c r="G181" s="444" t="s">
        <x:v>372</x:v>
      </x:c>
      <x:c r="H181" s="445" t="s">
        <x:v>855</x:v>
      </x:c>
      <x:c r="I181" s="446" t="str">
        <x:f t="shared" si="34"/>
        <x:v>[연구개발비]</x:v>
      </x:c>
      <x:c r="J181" s="445"/>
      <x:c r="K181" s="453"/>
      <x:c r="L181" s="454">
        <x:v>8000000</x:v>
      </x:c>
      <x:c r="M181" s="454"/>
      <x:c r="N181" s="454"/>
      <x:c r="O181" s="454"/>
      <x:c r="P181" s="454"/>
      <x:c r="Q181" s="454"/>
      <x:c r="R181" s="454"/>
      <x:c r="S181" s="454">
        <x:v>17000000</x:v>
      </x:c>
      <x:c r="T181" s="454"/>
      <x:c r="U181" s="454"/>
      <x:c r="V181" s="455"/>
      <x:c r="W181" s="456">
        <x:f t="shared" si="41"/>
        <x:v>25000000</x:v>
      </x:c>
      <x:c r="X181" s="450">
        <x:f t="shared" si="42"/>
        <x:v>2083333.3333333333</x:v>
      </x:c>
      <x:c r="Y181" s="457" t="s">
        <x:v>756</x:v>
      </x:c>
      <x:c r="Z181" s="458"/>
      <x:c r="AA181" s="458"/>
      <x:c r="AB181" s="458"/>
      <x:c r="AC181" s="458"/>
      <x:c r="AD181" s="458"/>
      <x:c r="AE181" s="458"/>
      <x:c r="AO181" s="438">
        <x:v>71140109</x:v>
      </x:c>
      <x:c r="AP181" s="438" t="s">
        <x:v>494</x:v>
      </x:c>
      <x:c r="AQ181" s="438" t="s">
        <x:v>467</x:v>
      </x:c>
    </x:row>
    <x:row r="182" spans="1:43" ht="20.100000000000001" customHeight="1">
      <x:c r="A182" s="439"/>
      <x:c r="B182" s="466" t="str">
        <x:f t="shared" si="30"/>
        <x:v>지급수수료</x:v>
      </x:c>
      <x:c r="C182" s="440" t="str">
        <x:f t="shared" si="31"/>
        <x:v>지급수수료</x:v>
      </x:c>
      <x:c r="D182" s="441">
        <x:v>52310111</x:v>
      </x:c>
      <x:c r="E182" s="442" t="str">
        <x:f t="shared" si="32"/>
        <x:v>지급수수료-시험수수료</x:v>
      </x:c>
      <x:c r="F182" s="443"/>
      <x:c r="G182" s="444" t="s">
        <x:v>372</x:v>
      </x:c>
      <x:c r="H182" s="445" t="s">
        <x:v>856</x:v>
      </x:c>
      <x:c r="I182" s="446" t="str">
        <x:f t="shared" si="34"/>
        <x:v>[연구개발비]</x:v>
      </x:c>
      <x:c r="J182" s="445"/>
      <x:c r="K182" s="453"/>
      <x:c r="L182" s="454"/>
      <x:c r="M182" s="454"/>
      <x:c r="N182" s="454"/>
      <x:c r="O182" s="454"/>
      <x:c r="P182" s="454"/>
      <x:c r="Q182" s="454"/>
      <x:c r="R182" s="454"/>
      <x:c r="S182" s="454"/>
      <x:c r="T182" s="454"/>
      <x:c r="U182" s="454">
        <x:v>2000000</x:v>
      </x:c>
      <x:c r="V182" s="455"/>
      <x:c r="W182" s="456">
        <x:f t="shared" si="41"/>
        <x:v>2000000</x:v>
      </x:c>
      <x:c r="X182" s="450">
        <x:f t="shared" si="42"/>
        <x:v>166666.66666666666</x:v>
      </x:c>
      <x:c r="Y182" s="457" t="s">
        <x:v>757</x:v>
      </x:c>
      <x:c r="Z182" s="458"/>
      <x:c r="AA182" s="458"/>
      <x:c r="AB182" s="458"/>
      <x:c r="AC182" s="458"/>
      <x:c r="AD182" s="458"/>
      <x:c r="AE182" s="458"/>
      <x:c r="AO182" s="438">
        <x:v>72110101</x:v>
      </x:c>
      <x:c r="AP182" s="438" t="s">
        <x:v>495</x:v>
      </x:c>
      <x:c r="AQ182" s="438" t="s">
        <x:v>475</x:v>
      </x:c>
    </x:row>
    <x:row r="183" spans="1:43" ht="20.100000000000001" customHeight="1">
      <x:c r="A183" s="439"/>
      <x:c r="B183" s="466" t="str">
        <x:f t="shared" si="30"/>
        <x:v>개발비</x:v>
      </x:c>
      <x:c r="C183" s="440" t="str">
        <x:f t="shared" si="31"/>
        <x:v>경상연구비</x:v>
      </x:c>
      <x:c r="D183" s="441">
        <x:v>52280301</x:v>
      </x:c>
      <x:c r="E183" s="442" t="str">
        <x:f t="shared" si="32"/>
        <x:v>경상연구비_시험분석비</x:v>
      </x:c>
      <x:c r="F183" s="443"/>
      <x:c r="G183" s="444" t="s">
        <x:v>372</x:v>
      </x:c>
      <x:c r="H183" s="445" t="s">
        <x:v>857</x:v>
      </x:c>
      <x:c r="I183" s="446" t="str">
        <x:f t="shared" si="34"/>
        <x:v>[연구개발비]</x:v>
      </x:c>
      <x:c r="J183" s="445"/>
      <x:c r="K183" s="453"/>
      <x:c r="L183" s="454"/>
      <x:c r="M183" s="454"/>
      <x:c r="N183" s="454">
        <x:v>7500000</x:v>
      </x:c>
      <x:c r="O183" s="454"/>
      <x:c r="P183" s="454">
        <x:v>7500000</x:v>
      </x:c>
      <x:c r="Q183" s="454"/>
      <x:c r="R183" s="454">
        <x:v>10000000</x:v>
      </x:c>
      <x:c r="S183" s="454"/>
      <x:c r="T183" s="454"/>
      <x:c r="U183" s="454"/>
      <x:c r="V183" s="455"/>
      <x:c r="W183" s="456">
        <x:f t="shared" si="41"/>
        <x:v>25000000</x:v>
      </x:c>
      <x:c r="X183" s="450">
        <x:f t="shared" si="42"/>
        <x:v>2083333.3333333333</x:v>
      </x:c>
      <x:c r="Y183" s="457" t="s">
        <x:v>758</x:v>
      </x:c>
      <x:c r="Z183" s="458"/>
      <x:c r="AA183" s="458"/>
      <x:c r="AB183" s="458"/>
      <x:c r="AC183" s="458"/>
      <x:c r="AD183" s="458"/>
      <x:c r="AE183" s="458"/>
      <x:c r="AO183" s="438">
        <x:v>72110103</x:v>
      </x:c>
      <x:c r="AP183" s="438" t="s">
        <x:v>496</x:v>
      </x:c>
      <x:c r="AQ183" s="438" t="s">
        <x:v>475</x:v>
      </x:c>
    </x:row>
    <x:row r="184" spans="1:43" ht="20.100000000000001" customHeight="1">
      <x:c r="A184" s="439"/>
      <x:c r="B184" s="466" t="str">
        <x:f t="shared" si="30"/>
        <x:v>복리후생비</x:v>
      </x:c>
      <x:c r="C184" s="440" t="str">
        <x:f t="shared" si="31"/>
        <x:v>후생비</x:v>
      </x:c>
      <x:c r="D184" s="441">
        <x:v>52130123</x:v>
      </x:c>
      <x:c r="E184" s="442" t="str">
        <x:f t="shared" si="32"/>
        <x:v>후생비_외근식대</x:v>
      </x:c>
      <x:c r="F184" s="443"/>
      <x:c r="G184" s="444" t="s">
        <x:v>245</x:v>
      </x:c>
      <x:c r="H184" s="445" t="str">
        <x:f t="shared" ref="H184:H247" si="43">IFERROR(VLOOKUP($G184,$AK:$AL,2,),"")</x:f>
        <x:v>생산기획팀(E)</x:v>
      </x:c>
      <x:c r="I184" s="446" t="str">
        <x:f t="shared" si="34"/>
        <x:v>[관리비]</x:v>
      </x:c>
      <x:c r="J184" s="445"/>
      <x:c r="K184" s="453">
        <x:v>260000</x:v>
      </x:c>
      <x:c r="L184" s="454">
        <x:v>260000</x:v>
      </x:c>
      <x:c r="M184" s="454">
        <x:v>260000</x:v>
      </x:c>
      <x:c r="N184" s="454">
        <x:v>260000</x:v>
      </x:c>
      <x:c r="O184" s="454">
        <x:v>260000</x:v>
      </x:c>
      <x:c r="P184" s="454">
        <x:v>260000</x:v>
      </x:c>
      <x:c r="Q184" s="454">
        <x:v>260000</x:v>
      </x:c>
      <x:c r="R184" s="454">
        <x:v>260000</x:v>
      </x:c>
      <x:c r="S184" s="454">
        <x:v>260000</x:v>
      </x:c>
      <x:c r="T184" s="454">
        <x:v>260000</x:v>
      </x:c>
      <x:c r="U184" s="454">
        <x:v>260000</x:v>
      </x:c>
      <x:c r="V184" s="455">
        <x:v>260000</x:v>
      </x:c>
      <x:c r="W184" s="456">
        <x:f t="shared" si="41"/>
        <x:v>3120000</x:v>
      </x:c>
      <x:c r="X184" s="450">
        <x:f t="shared" si="42"/>
        <x:v>260000</x:v>
      </x:c>
      <x:c r="Y184" s="457" t="s">
        <x:v>759</x:v>
      </x:c>
      <x:c r="Z184" s="458"/>
      <x:c r="AA184" s="458"/>
      <x:c r="AB184" s="458"/>
      <x:c r="AC184" s="458"/>
      <x:c r="AD184" s="458"/>
      <x:c r="AE184" s="458"/>
      <x:c r="AO184" s="438">
        <x:v>72119900</x:v>
      </x:c>
      <x:c r="AP184" s="438" t="s">
        <x:v>497</x:v>
      </x:c>
      <x:c r="AQ184" s="438" t="s">
        <x:v>475</x:v>
      </x:c>
    </x:row>
    <x:row r="185" spans="1:43" ht="20.100000000000001" customHeight="1">
      <x:c r="A185" s="439"/>
      <x:c r="B185" s="466" t="str">
        <x:f t="shared" si="30"/>
        <x:v>여비교통비</x:v>
      </x:c>
      <x:c r="C185" s="440" t="str">
        <x:f t="shared" si="31"/>
        <x:v>여비교통비</x:v>
      </x:c>
      <x:c r="D185" s="441">
        <x:v>52150101</x:v>
      </x:c>
      <x:c r="E185" s="442" t="str">
        <x:f t="shared" si="32"/>
        <x:v>여비교통비_국내출장</x:v>
      </x:c>
      <x:c r="F185" s="443"/>
      <x:c r="G185" s="444" t="s">
        <x:v>245</x:v>
      </x:c>
      <x:c r="H185" s="445" t="str">
        <x:f t="shared" si="43"/>
        <x:v>생산기획팀(E)</x:v>
      </x:c>
      <x:c r="I185" s="446" t="str">
        <x:f t="shared" si="34"/>
        <x:v>[관리비]</x:v>
      </x:c>
      <x:c r="J185" s="445"/>
      <x:c r="K185" s="453">
        <x:v>0</x:v>
      </x:c>
      <x:c r="L185" s="454">
        <x:v>0</x:v>
      </x:c>
      <x:c r="M185" s="454">
        <x:v>300000</x:v>
      </x:c>
      <x:c r="N185" s="454">
        <x:v>0</x:v>
      </x:c>
      <x:c r="O185" s="454">
        <x:v>0</x:v>
      </x:c>
      <x:c r="P185" s="454">
        <x:v>300000</x:v>
      </x:c>
      <x:c r="Q185" s="454">
        <x:v>0</x:v>
      </x:c>
      <x:c r="R185" s="454">
        <x:v>0</x:v>
      </x:c>
      <x:c r="S185" s="454">
        <x:v>300000</x:v>
      </x:c>
      <x:c r="T185" s="454">
        <x:v>0</x:v>
      </x:c>
      <x:c r="U185" s="454">
        <x:v>0</x:v>
      </x:c>
      <x:c r="V185" s="455">
        <x:v>300000</x:v>
      </x:c>
      <x:c r="W185" s="456">
        <x:f t="shared" si="41"/>
        <x:v>1200000</x:v>
      </x:c>
      <x:c r="X185" s="450">
        <x:f t="shared" si="42"/>
        <x:v>100000</x:v>
      </x:c>
      <x:c r="Y185" s="457" t="s">
        <x:v>760</x:v>
      </x:c>
      <x:c r="Z185" s="458"/>
      <x:c r="AA185" s="458"/>
      <x:c r="AB185" s="458"/>
      <x:c r="AC185" s="458"/>
      <x:c r="AD185" s="458"/>
      <x:c r="AE185" s="458"/>
      <x:c r="AO185" s="438">
        <x:v>72120101</x:v>
      </x:c>
      <x:c r="AP185" s="438" t="s">
        <x:v>498</x:v>
      </x:c>
      <x:c r="AQ185" s="438" t="s">
        <x:v>475</x:v>
      </x:c>
    </x:row>
    <x:row r="186" spans="1:43" ht="20.100000000000001" customHeight="1">
      <x:c r="A186" s="439"/>
      <x:c r="B186" s="466" t="str">
        <x:f t="shared" si="30"/>
        <x:v>여비교통비</x:v>
      </x:c>
      <x:c r="C186" s="440" t="str">
        <x:f t="shared" si="31"/>
        <x:v>여비교통비</x:v>
      </x:c>
      <x:c r="D186" s="441">
        <x:v>52150103</x:v>
      </x:c>
      <x:c r="E186" s="442" t="str">
        <x:f t="shared" si="32"/>
        <x:v>여비교통비_해외출장</x:v>
      </x:c>
      <x:c r="F186" s="443"/>
      <x:c r="G186" s="444" t="s">
        <x:v>245</x:v>
      </x:c>
      <x:c r="H186" s="445" t="str">
        <x:f t="shared" si="43"/>
        <x:v>생산기획팀(E)</x:v>
      </x:c>
      <x:c r="I186" s="446" t="str">
        <x:f t="shared" si="34"/>
        <x:v>[관리비]</x:v>
      </x:c>
      <x:c r="J186" s="445"/>
      <x:c r="K186" s="453">
        <x:v>0</x:v>
      </x:c>
      <x:c r="L186" s="454">
        <x:v>0</x:v>
      </x:c>
      <x:c r="M186" s="454">
        <x:v>10000000</x:v>
      </x:c>
      <x:c r="N186" s="454">
        <x:v>0</x:v>
      </x:c>
      <x:c r="O186" s="454">
        <x:v>0</x:v>
      </x:c>
      <x:c r="P186" s="454">
        <x:v>0</x:v>
      </x:c>
      <x:c r="Q186" s="454">
        <x:v>0</x:v>
      </x:c>
      <x:c r="R186" s="454">
        <x:v>0</x:v>
      </x:c>
      <x:c r="S186" s="454">
        <x:v>22800000</x:v>
      </x:c>
      <x:c r="T186" s="454">
        <x:v>0</x:v>
      </x:c>
      <x:c r="U186" s="454">
        <x:v>0</x:v>
      </x:c>
      <x:c r="V186" s="455">
        <x:v>20000000</x:v>
      </x:c>
      <x:c r="W186" s="456">
        <x:f t="shared" si="41"/>
        <x:v>52800000</x:v>
      </x:c>
      <x:c r="X186" s="450">
        <x:f t="shared" si="42"/>
        <x:v>4400000</x:v>
      </x:c>
      <x:c r="Y186" s="457" t="s">
        <x:v>792</x:v>
      </x:c>
      <x:c r="Z186" s="458"/>
      <x:c r="AA186" s="458"/>
      <x:c r="AB186" s="458"/>
      <x:c r="AC186" s="458"/>
      <x:c r="AD186" s="458"/>
      <x:c r="AE186" s="458"/>
      <x:c r="AO186" s="438">
        <x:v>72120103</x:v>
      </x:c>
      <x:c r="AP186" s="438" t="s">
        <x:v>499</x:v>
      </x:c>
      <x:c r="AQ186" s="438" t="s">
        <x:v>475</x:v>
      </x:c>
    </x:row>
    <x:row r="187" spans="1:43" ht="20.100000000000001" customHeight="1">
      <x:c r="A187" s="439"/>
      <x:c r="B187" s="466" t="str">
        <x:f t="shared" si="30"/>
        <x:v>여비교통비</x:v>
      </x:c>
      <x:c r="C187" s="440" t="str">
        <x:f t="shared" si="31"/>
        <x:v>여비교통비</x:v>
      </x:c>
      <x:c r="D187" s="441">
        <x:v>52150109</x:v>
      </x:c>
      <x:c r="E187" s="442" t="str">
        <x:f t="shared" si="32"/>
        <x:v>여비교통비_교육</x:v>
      </x:c>
      <x:c r="F187" s="443"/>
      <x:c r="G187" s="444" t="s">
        <x:v>245</x:v>
      </x:c>
      <x:c r="H187" s="445" t="str">
        <x:f t="shared" si="43"/>
        <x:v>생산기획팀(E)</x:v>
      </x:c>
      <x:c r="I187" s="446" t="str">
        <x:f t="shared" si="34"/>
        <x:v>[관리비]</x:v>
      </x:c>
      <x:c r="J187" s="445"/>
      <x:c r="K187" s="453">
        <x:v>0</x:v>
      </x:c>
      <x:c r="L187" s="454">
        <x:v>0</x:v>
      </x:c>
      <x:c r="M187" s="454">
        <x:v>60000</x:v>
      </x:c>
      <x:c r="N187" s="454">
        <x:v>60000</x:v>
      </x:c>
      <x:c r="O187" s="454">
        <x:v>60000</x:v>
      </x:c>
      <x:c r="P187" s="454">
        <x:v>60000</x:v>
      </x:c>
      <x:c r="Q187" s="454">
        <x:v>60000</x:v>
      </x:c>
      <x:c r="R187" s="454">
        <x:v>60000</x:v>
      </x:c>
      <x:c r="S187" s="454">
        <x:v>60000</x:v>
      </x:c>
      <x:c r="T187" s="454">
        <x:v>60000</x:v>
      </x:c>
      <x:c r="U187" s="454">
        <x:v>0</x:v>
      </x:c>
      <x:c r="V187" s="455">
        <x:v>0</x:v>
      </x:c>
      <x:c r="W187" s="456">
        <x:f t="shared" si="41"/>
        <x:v>480000</x:v>
      </x:c>
      <x:c r="X187" s="450">
        <x:f t="shared" si="42"/>
        <x:v>40000</x:v>
      </x:c>
      <x:c r="Y187" s="457" t="s">
        <x:v>761</x:v>
      </x:c>
      <x:c r="Z187" s="458"/>
      <x:c r="AA187" s="458"/>
      <x:c r="AB187" s="458"/>
      <x:c r="AC187" s="458"/>
      <x:c r="AD187" s="458"/>
      <x:c r="AE187" s="458"/>
      <x:c r="AO187" s="438">
        <x:v>72120105</x:v>
      </x:c>
      <x:c r="AP187" s="438" t="s">
        <x:v>500</x:v>
      </x:c>
      <x:c r="AQ187" s="438" t="s">
        <x:v>475</x:v>
      </x:c>
    </x:row>
    <x:row r="188" spans="1:43" ht="20.100000000000001" customHeight="1">
      <x:c r="A188" s="439"/>
      <x:c r="B188" s="466" t="str">
        <x:f t="shared" si="30"/>
        <x:v>기타비용</x:v>
      </x:c>
      <x:c r="C188" s="440" t="str">
        <x:f t="shared" si="31"/>
        <x:v>접대비</x:v>
      </x:c>
      <x:c r="D188" s="441">
        <x:v>52230103</x:v>
      </x:c>
      <x:c r="E188" s="442" t="str">
        <x:f t="shared" si="32"/>
        <x:v>접대비_법인카드</x:v>
      </x:c>
      <x:c r="F188" s="443"/>
      <x:c r="G188" s="444" t="s">
        <x:v>245</x:v>
      </x:c>
      <x:c r="H188" s="445" t="str">
        <x:f t="shared" si="43"/>
        <x:v>생산기획팀(E)</x:v>
      </x:c>
      <x:c r="I188" s="446" t="str">
        <x:f t="shared" si="34"/>
        <x:v>[관리비]</x:v>
      </x:c>
      <x:c r="J188" s="445"/>
      <x:c r="K188" s="453">
        <x:v>300000</x:v>
      </x:c>
      <x:c r="L188" s="454">
        <x:v>300000</x:v>
      </x:c>
      <x:c r="M188" s="454">
        <x:v>300000</x:v>
      </x:c>
      <x:c r="N188" s="454">
        <x:v>300000</x:v>
      </x:c>
      <x:c r="O188" s="454">
        <x:v>300000</x:v>
      </x:c>
      <x:c r="P188" s="454">
        <x:v>300000</x:v>
      </x:c>
      <x:c r="Q188" s="454">
        <x:v>300000</x:v>
      </x:c>
      <x:c r="R188" s="454">
        <x:v>300000</x:v>
      </x:c>
      <x:c r="S188" s="454">
        <x:v>300000</x:v>
      </x:c>
      <x:c r="T188" s="454">
        <x:v>300000</x:v>
      </x:c>
      <x:c r="U188" s="454">
        <x:v>300000</x:v>
      </x:c>
      <x:c r="V188" s="455">
        <x:v>300000</x:v>
      </x:c>
      <x:c r="W188" s="456">
        <x:f t="shared" si="41"/>
        <x:v>3600000</x:v>
      </x:c>
      <x:c r="X188" s="450">
        <x:f t="shared" si="42"/>
        <x:v>300000</x:v>
      </x:c>
      <x:c r="Y188" s="457" t="s">
        <x:v>762</x:v>
      </x:c>
      <x:c r="Z188" s="458"/>
      <x:c r="AA188" s="458"/>
      <x:c r="AB188" s="458"/>
      <x:c r="AC188" s="458"/>
      <x:c r="AD188" s="458"/>
      <x:c r="AE188" s="458"/>
      <x:c r="AO188" s="438">
        <x:v>72120107</x:v>
      </x:c>
      <x:c r="AP188" s="438" t="s">
        <x:v>501</x:v>
      </x:c>
      <x:c r="AQ188" s="438" t="s">
        <x:v>475</x:v>
      </x:c>
    </x:row>
    <x:row r="189" spans="1:43" ht="20.100000000000001" customHeight="1">
      <x:c r="A189" s="439"/>
      <x:c r="B189" s="466" t="str">
        <x:f t="shared" si="30"/>
        <x:v>운반비</x:v>
      </x:c>
      <x:c r="C189" s="440" t="str">
        <x:f t="shared" si="31"/>
        <x:v>운반비</x:v>
      </x:c>
      <x:c r="D189" s="441">
        <x:v>52250102</x:v>
      </x:c>
      <x:c r="E189" s="442" t="str">
        <x:f t="shared" si="32"/>
        <x:v>운반비_선박</x:v>
      </x:c>
      <x:c r="F189" s="443"/>
      <x:c r="G189" s="444" t="s">
        <x:v>245</x:v>
      </x:c>
      <x:c r="H189" s="445" t="str">
        <x:f t="shared" si="43"/>
        <x:v>생산기획팀(E)</x:v>
      </x:c>
      <x:c r="I189" s="446" t="str">
        <x:f t="shared" si="34"/>
        <x:v>[관리비]</x:v>
      </x:c>
      <x:c r="J189" s="445"/>
      <x:c r="K189" s="453">
        <x:v>23900000</x:v>
      </x:c>
      <x:c r="L189" s="454">
        <x:v>23000000</x:v>
      </x:c>
      <x:c r="M189" s="454">
        <x:v>26500000</x:v>
      </x:c>
      <x:c r="N189" s="454">
        <x:v>26500000</x:v>
      </x:c>
      <x:c r="O189" s="454">
        <x:v>27900000</x:v>
      </x:c>
      <x:c r="P189" s="454">
        <x:v>34400000</x:v>
      </x:c>
      <x:c r="Q189" s="454">
        <x:v>24400000</x:v>
      </x:c>
      <x:c r="R189" s="454">
        <x:v>19500000</x:v>
      </x:c>
      <x:c r="S189" s="454">
        <x:v>31400000</x:v>
      </x:c>
      <x:c r="T189" s="454">
        <x:v>33500000</x:v>
      </x:c>
      <x:c r="U189" s="454">
        <x:v>33500000</x:v>
      </x:c>
      <x:c r="V189" s="455">
        <x:v>33500000</x:v>
      </x:c>
      <x:c r="W189" s="456">
        <x:f t="shared" si="41"/>
        <x:v>338000000</x:v>
      </x:c>
      <x:c r="X189" s="450">
        <x:f t="shared" si="42"/>
        <x:v>28166666.666666668</x:v>
      </x:c>
      <x:c r="Y189" s="457" t="s">
        <x:v>793</x:v>
      </x:c>
      <x:c r="Z189" s="458"/>
      <x:c r="AA189" s="458"/>
      <x:c r="AB189" s="458"/>
      <x:c r="AC189" s="458"/>
      <x:c r="AD189" s="458"/>
      <x:c r="AE189" s="458"/>
      <x:c r="AO189" s="438">
        <x:v>72120109</x:v>
      </x:c>
      <x:c r="AP189" s="438" t="s">
        <x:v>502</x:v>
      </x:c>
      <x:c r="AQ189" s="438" t="s">
        <x:v>475</x:v>
      </x:c>
    </x:row>
    <x:row r="190" spans="1:43" ht="20.100000000000001" customHeight="1">
      <x:c r="A190" s="439"/>
      <x:c r="B190" s="466" t="str">
        <x:f t="shared" si="30"/>
        <x:v>운반비</x:v>
      </x:c>
      <x:c r="C190" s="440" t="str">
        <x:f t="shared" si="31"/>
        <x:v>운반비</x:v>
      </x:c>
      <x:c r="D190" s="441">
        <x:v>52250103</x:v>
      </x:c>
      <x:c r="E190" s="442" t="str">
        <x:f t="shared" si="32"/>
        <x:v>운반비_항공</x:v>
      </x:c>
      <x:c r="F190" s="443"/>
      <x:c r="G190" s="444" t="s">
        <x:v>245</x:v>
      </x:c>
      <x:c r="H190" s="445" t="str">
        <x:f t="shared" si="43"/>
        <x:v>생산기획팀(E)</x:v>
      </x:c>
      <x:c r="I190" s="446" t="str">
        <x:f t="shared" si="34"/>
        <x:v>[관리비]</x:v>
      </x:c>
      <x:c r="J190" s="445"/>
      <x:c r="K190" s="453">
        <x:v>37900000</x:v>
      </x:c>
      <x:c r="L190" s="454">
        <x:v>19200000</x:v>
      </x:c>
      <x:c r="M190" s="454">
        <x:v>26100000</x:v>
      </x:c>
      <x:c r="N190" s="454">
        <x:v>23700000</x:v>
      </x:c>
      <x:c r="O190" s="454">
        <x:v>12500000</x:v>
      </x:c>
      <x:c r="P190" s="454">
        <x:v>19400000</x:v>
      </x:c>
      <x:c r="Q190" s="454">
        <x:v>12200000</x:v>
      </x:c>
      <x:c r="R190" s="454">
        <x:v>19900000</x:v>
      </x:c>
      <x:c r="S190" s="454">
        <x:v>21500000</x:v>
      </x:c>
      <x:c r="T190" s="454">
        <x:v>16000000</x:v>
      </x:c>
      <x:c r="U190" s="454">
        <x:v>20800000</x:v>
      </x:c>
      <x:c r="V190" s="455">
        <x:v>20800000</x:v>
      </x:c>
      <x:c r="W190" s="456">
        <x:f t="shared" si="41"/>
        <x:v>250000000</x:v>
      </x:c>
      <x:c r="X190" s="450">
        <x:f t="shared" si="42"/>
        <x:v>20833333.333333332</x:v>
      </x:c>
      <x:c r="Y190" s="457"/>
      <x:c r="Z190" s="458"/>
      <x:c r="AA190" s="458"/>
      <x:c r="AB190" s="458"/>
      <x:c r="AC190" s="458"/>
      <x:c r="AD190" s="458"/>
      <x:c r="AE190" s="458"/>
      <x:c r="AO190" s="438">
        <x:v>72130103</x:v>
      </x:c>
      <x:c r="AP190" s="438" t="s">
        <x:v>503</x:v>
      </x:c>
      <x:c r="AQ190" s="438" t="s">
        <x:v>475</x:v>
      </x:c>
    </x:row>
    <x:row r="191" spans="1:43" ht="20.100000000000001" customHeight="1">
      <x:c r="A191" s="439"/>
      <x:c r="B191" s="466" t="str">
        <x:f t="shared" si="30"/>
        <x:v>운반비</x:v>
      </x:c>
      <x:c r="C191" s="440" t="str">
        <x:f t="shared" si="31"/>
        <x:v>운반비</x:v>
      </x:c>
      <x:c r="D191" s="441">
        <x:v>52250105</x:v>
      </x:c>
      <x:c r="E191" s="442" t="str">
        <x:f t="shared" si="32"/>
        <x:v>운반비_택배</x:v>
      </x:c>
      <x:c r="F191" s="443"/>
      <x:c r="G191" s="444" t="s">
        <x:v>245</x:v>
      </x:c>
      <x:c r="H191" s="445" t="str">
        <x:f t="shared" si="43"/>
        <x:v>생산기획팀(E)</x:v>
      </x:c>
      <x:c r="I191" s="446" t="str">
        <x:f t="shared" si="34"/>
        <x:v>[관리비]</x:v>
      </x:c>
      <x:c r="J191" s="445"/>
      <x:c r="K191" s="453">
        <x:v>5000</x:v>
      </x:c>
      <x:c r="L191" s="454">
        <x:v>5000</x:v>
      </x:c>
      <x:c r="M191" s="454">
        <x:v>5000</x:v>
      </x:c>
      <x:c r="N191" s="454">
        <x:v>5000</x:v>
      </x:c>
      <x:c r="O191" s="454">
        <x:v>5000</x:v>
      </x:c>
      <x:c r="P191" s="454">
        <x:v>5000</x:v>
      </x:c>
      <x:c r="Q191" s="454">
        <x:v>5000</x:v>
      </x:c>
      <x:c r="R191" s="454">
        <x:v>5000</x:v>
      </x:c>
      <x:c r="S191" s="454">
        <x:v>5000</x:v>
      </x:c>
      <x:c r="T191" s="454">
        <x:v>5000</x:v>
      </x:c>
      <x:c r="U191" s="454">
        <x:v>5000</x:v>
      </x:c>
      <x:c r="V191" s="455">
        <x:v>5000</x:v>
      </x:c>
      <x:c r="W191" s="456">
        <x:f t="shared" ref="W191:W212" si="44">IFERROR(SUM(K191:V191),"")</x:f>
        <x:v>60000</x:v>
      </x:c>
      <x:c r="X191" s="450">
        <x:f t="shared" si="42"/>
        <x:v>5000</x:v>
      </x:c>
      <x:c r="Y191" s="457" t="s">
        <x:v>763</x:v>
      </x:c>
      <x:c r="Z191" s="458"/>
      <x:c r="AA191" s="458"/>
      <x:c r="AB191" s="458"/>
      <x:c r="AC191" s="458"/>
      <x:c r="AD191" s="458"/>
      <x:c r="AE191" s="458"/>
      <x:c r="AO191" s="438">
        <x:v>72130105</x:v>
      </x:c>
      <x:c r="AP191" s="438" t="s">
        <x:v>504</x:v>
      </x:c>
      <x:c r="AQ191" s="438" t="s">
        <x:v>475</x:v>
      </x:c>
    </x:row>
    <x:row r="192" spans="1:43" ht="20.100000000000001" customHeight="1">
      <x:c r="A192" s="439"/>
      <x:c r="B192" s="466" t="str">
        <x:f t="shared" si="30"/>
        <x:v>지급수수료</x:v>
      </x:c>
      <x:c r="C192" s="440" t="str">
        <x:f t="shared" si="31"/>
        <x:v>지급수수료</x:v>
      </x:c>
      <x:c r="D192" s="441">
        <x:v>52310128</x:v>
      </x:c>
      <x:c r="E192" s="442" t="str">
        <x:f t="shared" si="32"/>
        <x:v>지급수수료-통관수수료</x:v>
      </x:c>
      <x:c r="F192" s="443"/>
      <x:c r="G192" s="444" t="s">
        <x:v>245</x:v>
      </x:c>
      <x:c r="H192" s="445" t="str">
        <x:f t="shared" si="43"/>
        <x:v>생산기획팀(E)</x:v>
      </x:c>
      <x:c r="I192" s="446" t="str">
        <x:f t="shared" si="34"/>
        <x:v>[관리비]</x:v>
      </x:c>
      <x:c r="J192" s="445"/>
      <x:c r="K192" s="453">
        <x:v>1300000</x:v>
      </x:c>
      <x:c r="L192" s="454">
        <x:v>1500000</x:v>
      </x:c>
      <x:c r="M192" s="454">
        <x:v>1600000</x:v>
      </x:c>
      <x:c r="N192" s="454">
        <x:v>1500000</x:v>
      </x:c>
      <x:c r="O192" s="454">
        <x:v>1600000</x:v>
      </x:c>
      <x:c r="P192" s="454">
        <x:v>1600000</x:v>
      </x:c>
      <x:c r="Q192" s="454">
        <x:v>1400000</x:v>
      </x:c>
      <x:c r="R192" s="454">
        <x:v>1200000</x:v>
      </x:c>
      <x:c r="S192" s="454">
        <x:v>1500000</x:v>
      </x:c>
      <x:c r="T192" s="454">
        <x:v>1600000</x:v>
      </x:c>
      <x:c r="U192" s="454">
        <x:v>1500000</x:v>
      </x:c>
      <x:c r="V192" s="455">
        <x:v>1600000</x:v>
      </x:c>
      <x:c r="W192" s="456">
        <x:f t="shared" si="44"/>
        <x:v>17900000</x:v>
      </x:c>
      <x:c r="X192" s="450">
        <x:f t="shared" ref="X192:X212" si="45">IFERROR($W192/$Y$1,"")</x:f>
        <x:v>1491666.6666666667</x:v>
      </x:c>
      <x:c r="Y192" s="457" t="s">
        <x:v>794</x:v>
      </x:c>
      <x:c r="Z192" s="458"/>
      <x:c r="AA192" s="458"/>
      <x:c r="AB192" s="458"/>
      <x:c r="AC192" s="458"/>
      <x:c r="AD192" s="458"/>
      <x:c r="AE192" s="458"/>
      <x:c r="AO192" s="438">
        <x:v>72130107</x:v>
      </x:c>
      <x:c r="AP192" s="438" t="s">
        <x:v>505</x:v>
      </x:c>
      <x:c r="AQ192" s="438" t="s">
        <x:v>475</x:v>
      </x:c>
    </x:row>
    <x:row r="193" spans="1:43" ht="20.100000000000001" customHeight="1">
      <x:c r="A193" s="439"/>
      <x:c r="B193" s="466" t="str">
        <x:f t="shared" si="30"/>
        <x:v>기타비용</x:v>
      </x:c>
      <x:c r="C193" s="440" t="str">
        <x:f t="shared" si="31"/>
        <x:v>차량유지비</x:v>
      </x:c>
      <x:c r="D193" s="441">
        <x:v>52359900</x:v>
      </x:c>
      <x:c r="E193" s="442" t="str">
        <x:f t="shared" si="32"/>
        <x:v>차량유지비_기타</x:v>
      </x:c>
      <x:c r="F193" s="443"/>
      <x:c r="G193" s="444" t="s">
        <x:v>245</x:v>
      </x:c>
      <x:c r="H193" s="445" t="str">
        <x:f t="shared" si="43"/>
        <x:v>생산기획팀(E)</x:v>
      </x:c>
      <x:c r="I193" s="446" t="str">
        <x:f t="shared" si="34"/>
        <x:v>[관리비]</x:v>
      </x:c>
      <x:c r="J193" s="445"/>
      <x:c r="K193" s="453">
        <x:v>60000</x:v>
      </x:c>
      <x:c r="L193" s="454">
        <x:v>60000</x:v>
      </x:c>
      <x:c r="M193" s="454">
        <x:v>60000</x:v>
      </x:c>
      <x:c r="N193" s="454">
        <x:v>60000</x:v>
      </x:c>
      <x:c r="O193" s="454">
        <x:v>60000</x:v>
      </x:c>
      <x:c r="P193" s="454">
        <x:v>60000</x:v>
      </x:c>
      <x:c r="Q193" s="454">
        <x:v>60000</x:v>
      </x:c>
      <x:c r="R193" s="454">
        <x:v>60000</x:v>
      </x:c>
      <x:c r="S193" s="454">
        <x:v>60000</x:v>
      </x:c>
      <x:c r="T193" s="454">
        <x:v>60000</x:v>
      </x:c>
      <x:c r="U193" s="454">
        <x:v>60000</x:v>
      </x:c>
      <x:c r="V193" s="455">
        <x:v>60000</x:v>
      </x:c>
      <x:c r="W193" s="456">
        <x:f t="shared" si="44"/>
        <x:v>720000</x:v>
      </x:c>
      <x:c r="X193" s="450">
        <x:f t="shared" si="45"/>
        <x:v>60000</x:v>
      </x:c>
      <x:c r="Y193" s="457" t="s">
        <x:v>764</x:v>
      </x:c>
      <x:c r="Z193" s="458"/>
      <x:c r="AA193" s="458"/>
      <x:c r="AB193" s="458"/>
      <x:c r="AC193" s="458"/>
      <x:c r="AD193" s="458"/>
      <x:c r="AE193" s="458"/>
      <x:c r="AO193" s="438">
        <x:v>72130109</x:v>
      </x:c>
      <x:c r="AP193" s="438" t="s">
        <x:v>506</x:v>
      </x:c>
      <x:c r="AQ193" s="438" t="s">
        <x:v>475</x:v>
      </x:c>
    </x:row>
    <x:row r="194" spans="1:43" ht="20.100000000000001" customHeight="1">
      <x:c r="A194" s="439"/>
      <x:c r="B194" s="466" t="str">
        <x:f t="shared" si="30"/>
        <x:v>지급수수료</x:v>
      </x:c>
      <x:c r="C194" s="440" t="str">
        <x:f t="shared" si="31"/>
        <x:v>지급수수료</x:v>
      </x:c>
      <x:c r="D194" s="441">
        <x:v>52310114</x:v>
      </x:c>
      <x:c r="E194" s="442" t="str">
        <x:f t="shared" si="32"/>
        <x:v>지급수수료-용역수수료</x:v>
      </x:c>
      <x:c r="F194" s="443"/>
      <x:c r="G194" s="444" t="s">
        <x:v>245</x:v>
      </x:c>
      <x:c r="H194" s="445" t="str">
        <x:f t="shared" si="43"/>
        <x:v>생산기획팀(E)</x:v>
      </x:c>
      <x:c r="I194" s="446" t="str">
        <x:f t="shared" si="34"/>
        <x:v>[관리비]</x:v>
      </x:c>
      <x:c r="J194" s="445"/>
      <x:c r="K194" s="453">
        <x:v>29000000</x:v>
      </x:c>
      <x:c r="L194" s="454">
        <x:v>33000000</x:v>
      </x:c>
      <x:c r="M194" s="454">
        <x:v>39000000</x:v>
      </x:c>
      <x:c r="N194" s="454">
        <x:v>36000000</x:v>
      </x:c>
      <x:c r="O194" s="454">
        <x:v>38000000</x:v>
      </x:c>
      <x:c r="P194" s="454">
        <x:v>39000000</x:v>
      </x:c>
      <x:c r="Q194" s="454">
        <x:v>33000000</x:v>
      </x:c>
      <x:c r="R194" s="454">
        <x:v>25000000</x:v>
      </x:c>
      <x:c r="S194" s="454">
        <x:v>34000000</x:v>
      </x:c>
      <x:c r="T194" s="454">
        <x:v>37000000</x:v>
      </x:c>
      <x:c r="U194" s="454">
        <x:v>35000000</x:v>
      </x:c>
      <x:c r="V194" s="455">
        <x:v>39000000</x:v>
      </x:c>
      <x:c r="W194" s="456">
        <x:f t="shared" si="44"/>
        <x:v>417000000</x:v>
      </x:c>
      <x:c r="X194" s="450">
        <x:f t="shared" si="45"/>
        <x:v>34750000</x:v>
      </x:c>
      <x:c r="Y194" s="457" t="s">
        <x:v>795</x:v>
      </x:c>
      <x:c r="Z194" s="458"/>
      <x:c r="AA194" s="458"/>
      <x:c r="AB194" s="458"/>
      <x:c r="AC194" s="458"/>
      <x:c r="AD194" s="458"/>
      <x:c r="AE194" s="458"/>
      <x:c r="AO194" s="438">
        <x:v>79110101</x:v>
      </x:c>
      <x:c r="AP194" s="438" t="s">
        <x:v>507</x:v>
      </x:c>
      <x:c r="AQ194" s="438" t="s">
        <x:v>475</x:v>
      </x:c>
    </x:row>
    <x:row r="195" spans="1:43" ht="20.100000000000001" customHeight="1">
      <x:c r="A195" s="439" t="s">
        <x:v>765</x:v>
      </x:c>
      <x:c r="B195" s="466" t="str">
        <x:f t="shared" ref="B195:B258" si="46">IFERROR(VLOOKUP($C195,$AH:$AI,2,),"")</x:f>
        <x:v>인건비</x:v>
      </x:c>
      <x:c r="C195" s="440" t="str">
        <x:f t="shared" ref="C195:C258" si="47">IFERROR(VLOOKUP($D195,$AO:$AQ,3,),"")</x:f>
        <x:v>급여</x:v>
      </x:c>
      <x:c r="D195" s="441">
        <x:v>52110111</x:v>
      </x:c>
      <x:c r="E195" s="442" t="str">
        <x:f t="shared" ref="E195:E258" si="48">IFERROR(VLOOKUP($D195,$AO:$AQ,2,),"")</x:f>
        <x:v>급여_직원본봉</x:v>
      </x:c>
      <x:c r="F195" s="443"/>
      <x:c r="G195" s="444" t="s">
        <x:v>80</x:v>
      </x:c>
      <x:c r="H195" s="445" t="str">
        <x:f t="shared" si="43"/>
        <x:v>사업관리팀(E)</x:v>
      </x:c>
      <x:c r="I195" s="446" t="str">
        <x:f t="shared" ref="I195:I258" si="49">IFERROR(VLOOKUP($G195,$AK:$AM,3,),"")</x:f>
        <x:v>[관리비]</x:v>
      </x:c>
      <x:c r="J195" s="445"/>
      <x:c r="K195" s="453">
        <x:v>21482500</x:v>
      </x:c>
      <x:c r="L195" s="454">
        <x:v>21482500</x:v>
      </x:c>
      <x:c r="M195" s="454">
        <x:v>21482500</x:v>
      </x:c>
      <x:c r="N195" s="454">
        <x:v>22341800</x:v>
      </x:c>
      <x:c r="O195" s="454">
        <x:v>22341800</x:v>
      </x:c>
      <x:c r="P195" s="454">
        <x:v>22341800</x:v>
      </x:c>
      <x:c r="Q195" s="454">
        <x:v>22341800</x:v>
      </x:c>
      <x:c r="R195" s="454">
        <x:v>22341800</x:v>
      </x:c>
      <x:c r="S195" s="454">
        <x:v>22341800</x:v>
      </x:c>
      <x:c r="T195" s="454">
        <x:v>22341800</x:v>
      </x:c>
      <x:c r="U195" s="454">
        <x:v>22341800</x:v>
      </x:c>
      <x:c r="V195" s="455">
        <x:v>22341800</x:v>
      </x:c>
      <x:c r="W195" s="456">
        <x:f t="shared" si="44"/>
        <x:v>265523700</x:v>
      </x:c>
      <x:c r="X195" s="450">
        <x:f t="shared" si="45"/>
        <x:v>22126975</x:v>
      </x:c>
      <x:c r="Y195" s="457" t="s">
        <x:v>802</x:v>
      </x:c>
      <x:c r="Z195" s="458"/>
      <x:c r="AA195" s="458"/>
      <x:c r="AB195" s="458"/>
      <x:c r="AC195" s="458"/>
      <x:c r="AD195" s="458"/>
      <x:c r="AE195" s="458"/>
      <x:c r="AO195" s="438">
        <x:v>79110111</x:v>
      </x:c>
      <x:c r="AP195" s="438" t="s">
        <x:v>508</x:v>
      </x:c>
      <x:c r="AQ195" s="438" t="s">
        <x:v>475</x:v>
      </x:c>
    </x:row>
    <x:row r="196" spans="1:43" ht="20.100000000000001" customHeight="1">
      <x:c r="A196" s="439" t="s">
        <x:v>765</x:v>
      </x:c>
      <x:c r="B196" s="466" t="str">
        <x:f t="shared" si="46"/>
        <x:v>인건비</x:v>
      </x:c>
      <x:c r="C196" s="440" t="str">
        <x:f t="shared" si="47"/>
        <x:v>급여</x:v>
      </x:c>
      <x:c r="D196" s="441">
        <x:v>52110111</x:v>
      </x:c>
      <x:c r="E196" s="442" t="str">
        <x:f t="shared" si="48"/>
        <x:v>급여_직원본봉</x:v>
      </x:c>
      <x:c r="F196" s="443"/>
      <x:c r="G196" s="444" t="s">
        <x:v>103</x:v>
      </x:c>
      <x:c r="H196" s="445" t="str">
        <x:f t="shared" si="43"/>
        <x:v>전장사업부(E)</x:v>
      </x:c>
      <x:c r="I196" s="446" t="str">
        <x:f t="shared" si="49"/>
        <x:v>[관리비]</x:v>
      </x:c>
      <x:c r="J196" s="445"/>
      <x:c r="K196" s="453">
        <x:v>13536000</x:v>
      </x:c>
      <x:c r="L196" s="454">
        <x:v>13536000</x:v>
      </x:c>
      <x:c r="M196" s="454">
        <x:v>13536000</x:v>
      </x:c>
      <x:c r="N196" s="454">
        <x:v>13536000</x:v>
      </x:c>
      <x:c r="O196" s="454">
        <x:v>13536000</x:v>
      </x:c>
      <x:c r="P196" s="454">
        <x:v>13536000</x:v>
      </x:c>
      <x:c r="Q196" s="454">
        <x:v>13536000</x:v>
      </x:c>
      <x:c r="R196" s="454">
        <x:v>13536000</x:v>
      </x:c>
      <x:c r="S196" s="454">
        <x:v>13536000</x:v>
      </x:c>
      <x:c r="T196" s="454">
        <x:v>13536000</x:v>
      </x:c>
      <x:c r="U196" s="454">
        <x:v>13536000</x:v>
      </x:c>
      <x:c r="V196" s="455">
        <x:v>13536000</x:v>
      </x:c>
      <x:c r="W196" s="456">
        <x:f t="shared" si="44"/>
        <x:v>162432000</x:v>
      </x:c>
      <x:c r="X196" s="450">
        <x:f t="shared" si="45"/>
        <x:v>13536000</x:v>
      </x:c>
      <x:c r="Y196" s="457" t="s">
        <x:v>802</x:v>
      </x:c>
      <x:c r="Z196" s="458"/>
      <x:c r="AA196" s="458"/>
      <x:c r="AB196" s="458"/>
      <x:c r="AC196" s="458"/>
      <x:c r="AD196" s="458"/>
      <x:c r="AE196" s="458"/>
      <x:c r="AO196" s="438">
        <x:v>52180134</x:v>
      </x:c>
      <x:c r="AP196" s="438" t="s">
        <x:v>509</x:v>
      </x:c>
      <x:c r="AQ196" s="438" t="s">
        <x:v>441</x:v>
      </x:c>
    </x:row>
    <x:row r="197" spans="1:43" ht="20.100000000000001" customHeight="1">
      <x:c r="A197" s="439" t="s">
        <x:v>765</x:v>
      </x:c>
      <x:c r="B197" s="466" t="str">
        <x:f t="shared" si="46"/>
        <x:v>인건비</x:v>
      </x:c>
      <x:c r="C197" s="440" t="str">
        <x:f t="shared" si="47"/>
        <x:v>급여</x:v>
      </x:c>
      <x:c r="D197" s="441">
        <x:v>52110111</x:v>
      </x:c>
      <x:c r="E197" s="442" t="str">
        <x:f t="shared" si="48"/>
        <x:v>급여_직원본봉</x:v>
      </x:c>
      <x:c r="F197" s="443"/>
      <x:c r="G197" s="444" t="s">
        <x:v>82</x:v>
      </x:c>
      <x:c r="H197" s="445" t="str">
        <x:f t="shared" si="43"/>
        <x:v>생산기술팀(E)</x:v>
      </x:c>
      <x:c r="I197" s="446" t="str">
        <x:f t="shared" si="49"/>
        <x:v>[관리비]</x:v>
      </x:c>
      <x:c r="J197" s="445"/>
      <x:c r="K197" s="453">
        <x:v>44838800</x:v>
      </x:c>
      <x:c r="L197" s="454">
        <x:v>44838800</x:v>
      </x:c>
      <x:c r="M197" s="454">
        <x:v>44838800</x:v>
      </x:c>
      <x:c r="N197" s="454">
        <x:v>46632352</x:v>
      </x:c>
      <x:c r="O197" s="454">
        <x:v>46632352</x:v>
      </x:c>
      <x:c r="P197" s="454">
        <x:v>46632352</x:v>
      </x:c>
      <x:c r="Q197" s="454">
        <x:v>46632352</x:v>
      </x:c>
      <x:c r="R197" s="454">
        <x:v>46632352</x:v>
      </x:c>
      <x:c r="S197" s="454">
        <x:v>46632352</x:v>
      </x:c>
      <x:c r="T197" s="454">
        <x:v>46632352</x:v>
      </x:c>
      <x:c r="U197" s="454">
        <x:v>46632352</x:v>
      </x:c>
      <x:c r="V197" s="455">
        <x:v>46632352</x:v>
      </x:c>
      <x:c r="W197" s="456">
        <x:f t="shared" si="44"/>
        <x:v>554207568</x:v>
      </x:c>
      <x:c r="X197" s="450">
        <x:f t="shared" si="45"/>
        <x:v>46183964</x:v>
      </x:c>
      <x:c r="Y197" s="457" t="s">
        <x:v>802</x:v>
      </x:c>
      <x:c r="Z197" s="458"/>
      <x:c r="AA197" s="458"/>
      <x:c r="AB197" s="458"/>
      <x:c r="AC197" s="458"/>
      <x:c r="AD197" s="458"/>
      <x:c r="AE197" s="458"/>
      <x:c r="AO197" s="438">
        <x:v>52280140</x:v>
      </x:c>
      <x:c r="AP197" s="438" t="s">
        <x:v>510</x:v>
      </x:c>
      <x:c r="AQ197" s="438" t="s">
        <x:v>454</x:v>
      </x:c>
    </x:row>
    <x:row r="198" spans="1:43" ht="20.100000000000001" customHeight="1">
      <x:c r="A198" s="439" t="s">
        <x:v>765</x:v>
      </x:c>
      <x:c r="B198" s="466" t="str">
        <x:f t="shared" si="46"/>
        <x:v>인건비</x:v>
      </x:c>
      <x:c r="C198" s="440" t="str">
        <x:f t="shared" si="47"/>
        <x:v>급여</x:v>
      </x:c>
      <x:c r="D198" s="441">
        <x:v>52110111</x:v>
      </x:c>
      <x:c r="E198" s="442" t="str">
        <x:f t="shared" si="48"/>
        <x:v>급여_직원본봉</x:v>
      </x:c>
      <x:c r="F198" s="443"/>
      <x:c r="G198" s="444" t="s">
        <x:v>84</x:v>
      </x:c>
      <x:c r="H198" s="445" t="str">
        <x:f t="shared" si="43"/>
        <x:v>품질경영팀(E)</x:v>
      </x:c>
      <x:c r="I198" s="446" t="str">
        <x:f t="shared" si="49"/>
        <x:v>[관리비]</x:v>
      </x:c>
      <x:c r="J198" s="445"/>
      <x:c r="K198" s="453">
        <x:v>35108000</x:v>
      </x:c>
      <x:c r="L198" s="454">
        <x:v>35108000</x:v>
      </x:c>
      <x:c r="M198" s="454">
        <x:v>35108000</x:v>
      </x:c>
      <x:c r="N198" s="454">
        <x:v>36512320</x:v>
      </x:c>
      <x:c r="O198" s="454">
        <x:v>36512320</x:v>
      </x:c>
      <x:c r="P198" s="454">
        <x:v>36512320</x:v>
      </x:c>
      <x:c r="Q198" s="454">
        <x:v>36512320</x:v>
      </x:c>
      <x:c r="R198" s="454">
        <x:v>36512320</x:v>
      </x:c>
      <x:c r="S198" s="454">
        <x:v>36512320</x:v>
      </x:c>
      <x:c r="T198" s="454">
        <x:v>36512320</x:v>
      </x:c>
      <x:c r="U198" s="454">
        <x:v>36512320</x:v>
      </x:c>
      <x:c r="V198" s="455">
        <x:v>36512320</x:v>
      </x:c>
      <x:c r="W198" s="456">
        <x:f t="shared" si="44"/>
        <x:v>433934880</x:v>
      </x:c>
      <x:c r="X198" s="450">
        <x:f t="shared" si="45"/>
        <x:v>36161240</x:v>
      </x:c>
      <x:c r="Y198" s="457" t="s">
        <x:v>802</x:v>
      </x:c>
      <x:c r="Z198" s="458"/>
      <x:c r="AA198" s="458"/>
      <x:c r="AB198" s="458"/>
      <x:c r="AC198" s="458"/>
      <x:c r="AD198" s="458"/>
      <x:c r="AE198" s="458"/>
      <x:c r="AO198" s="438">
        <x:v>52420112</x:v>
      </x:c>
      <x:c r="AP198" s="438" t="s">
        <x:v>511</x:v>
      </x:c>
      <x:c r="AQ198" s="438" t="s">
        <x:v>38</x:v>
      </x:c>
    </x:row>
    <x:row r="199" spans="1:43" ht="20.100000000000001" customHeight="1">
      <x:c r="A199" s="439" t="s">
        <x:v>765</x:v>
      </x:c>
      <x:c r="B199" s="466" t="str">
        <x:f t="shared" si="46"/>
        <x:v>인건비</x:v>
      </x:c>
      <x:c r="C199" s="440" t="str">
        <x:f t="shared" si="47"/>
        <x:v>급여</x:v>
      </x:c>
      <x:c r="D199" s="441">
        <x:v>52110111</x:v>
      </x:c>
      <x:c r="E199" s="442" t="str">
        <x:f t="shared" si="48"/>
        <x:v>급여_직원본봉</x:v>
      </x:c>
      <x:c r="F199" s="443"/>
      <x:c r="G199" s="444" t="s">
        <x:v>253</x:v>
      </x:c>
      <x:c r="H199" s="445" t="str">
        <x:f t="shared" si="43"/>
        <x:v>생산부문(E)</x:v>
      </x:c>
      <x:c r="I199" s="446" t="str">
        <x:f t="shared" si="49"/>
        <x:v>[관리비]</x:v>
      </x:c>
      <x:c r="J199" s="445"/>
      <x:c r="K199" s="453">
        <x:v>12431000</x:v>
      </x:c>
      <x:c r="L199" s="454">
        <x:v>12431000</x:v>
      </x:c>
      <x:c r="M199" s="454">
        <x:v>12431000</x:v>
      </x:c>
      <x:c r="N199" s="454">
        <x:v>12431000</x:v>
      </x:c>
      <x:c r="O199" s="454">
        <x:v>12431000</x:v>
      </x:c>
      <x:c r="P199" s="454">
        <x:v>12431000</x:v>
      </x:c>
      <x:c r="Q199" s="454">
        <x:v>12431000</x:v>
      </x:c>
      <x:c r="R199" s="454">
        <x:v>12431000</x:v>
      </x:c>
      <x:c r="S199" s="454">
        <x:v>12431000</x:v>
      </x:c>
      <x:c r="T199" s="454">
        <x:v>12431000</x:v>
      </x:c>
      <x:c r="U199" s="454">
        <x:v>12431000</x:v>
      </x:c>
      <x:c r="V199" s="455">
        <x:v>12431000</x:v>
      </x:c>
      <x:c r="W199" s="456">
        <x:f t="shared" si="44"/>
        <x:v>149172000</x:v>
      </x:c>
      <x:c r="X199" s="450">
        <x:f t="shared" si="45"/>
        <x:v>12431000</x:v>
      </x:c>
      <x:c r="Y199" s="457" t="s">
        <x:v>802</x:v>
      </x:c>
      <x:c r="Z199" s="458"/>
      <x:c r="AA199" s="458"/>
      <x:c r="AB199" s="458"/>
      <x:c r="AC199" s="458"/>
      <x:c r="AD199" s="458"/>
      <x:c r="AE199" s="458"/>
      <x:c r="AO199" s="438">
        <x:v>42190120</x:v>
      </x:c>
      <x:c r="AP199" s="438" t="s">
        <x:v>512</x:v>
      </x:c>
      <x:c r="AQ199" s="438" t="s">
        <x:v>513</x:v>
      </x:c>
    </x:row>
    <x:row r="200" spans="1:43" ht="20.100000000000001" customHeight="1">
      <x:c r="A200" s="439" t="s">
        <x:v>765</x:v>
      </x:c>
      <x:c r="B200" s="466" t="str">
        <x:f t="shared" si="46"/>
        <x:v>인건비</x:v>
      </x:c>
      <x:c r="C200" s="440" t="str">
        <x:f t="shared" si="47"/>
        <x:v>급여</x:v>
      </x:c>
      <x:c r="D200" s="441">
        <x:v>52110111</x:v>
      </x:c>
      <x:c r="E200" s="442" t="str">
        <x:f t="shared" si="48"/>
        <x:v>급여_직원본봉</x:v>
      </x:c>
      <x:c r="F200" s="443"/>
      <x:c r="G200" s="444" t="s">
        <x:v>245</x:v>
      </x:c>
      <x:c r="H200" s="445" t="str">
        <x:f t="shared" si="43"/>
        <x:v>생산기획팀(E)</x:v>
      </x:c>
      <x:c r="I200" s="446" t="str">
        <x:f t="shared" si="49"/>
        <x:v>[관리비]</x:v>
      </x:c>
      <x:c r="J200" s="445"/>
      <x:c r="K200" s="453">
        <x:v>32369500</x:v>
      </x:c>
      <x:c r="L200" s="454">
        <x:v>32369500</x:v>
      </x:c>
      <x:c r="M200" s="454">
        <x:v>32369500</x:v>
      </x:c>
      <x:c r="N200" s="454">
        <x:v>33664280</x:v>
      </x:c>
      <x:c r="O200" s="454">
        <x:v>33664280</x:v>
      </x:c>
      <x:c r="P200" s="454">
        <x:v>33664280</x:v>
      </x:c>
      <x:c r="Q200" s="454">
        <x:v>33664280</x:v>
      </x:c>
      <x:c r="R200" s="454">
        <x:v>33664280</x:v>
      </x:c>
      <x:c r="S200" s="454">
        <x:v>33664280</x:v>
      </x:c>
      <x:c r="T200" s="454">
        <x:v>33664280</x:v>
      </x:c>
      <x:c r="U200" s="454">
        <x:v>33664280</x:v>
      </x:c>
      <x:c r="V200" s="455">
        <x:v>33664280</x:v>
      </x:c>
      <x:c r="W200" s="456">
        <x:f t="shared" si="44"/>
        <x:v>400087020</x:v>
      </x:c>
      <x:c r="X200" s="450">
        <x:f t="shared" si="45"/>
        <x:v>33340585</x:v>
      </x:c>
      <x:c r="Y200" s="457" t="s">
        <x:v>802</x:v>
      </x:c>
      <x:c r="Z200" s="458"/>
      <x:c r="AA200" s="458"/>
      <x:c r="AB200" s="458"/>
      <x:c r="AC200" s="458"/>
      <x:c r="AD200" s="458"/>
      <x:c r="AE200" s="458"/>
      <x:c r="AO200" s="438">
        <x:v>52280331</x:v>
      </x:c>
      <x:c r="AP200" s="438" t="s">
        <x:v>161</x:v>
      </x:c>
      <x:c r="AQ200" s="438" t="s">
        <x:v>454</x:v>
      </x:c>
    </x:row>
    <x:row r="201" spans="1:43" ht="20.100000000000001" customHeight="1">
      <x:c r="A201" s="439" t="s">
        <x:v>765</x:v>
      </x:c>
      <x:c r="B201" s="466" t="str">
        <x:f t="shared" si="46"/>
        <x:v>인건비</x:v>
      </x:c>
      <x:c r="C201" s="440" t="str">
        <x:f t="shared" si="47"/>
        <x:v>급여</x:v>
      </x:c>
      <x:c r="D201" s="441">
        <x:v>52110111</x:v>
      </x:c>
      <x:c r="E201" s="442" t="str">
        <x:f t="shared" si="48"/>
        <x:v>급여_직원본봉</x:v>
      </x:c>
      <x:c r="F201" s="443"/>
      <x:c r="G201" s="444" t="s">
        <x:v>256</x:v>
      </x:c>
      <x:c r="H201" s="445" t="str">
        <x:f t="shared" si="43"/>
        <x:v>품질부문(E)</x:v>
      </x:c>
      <x:c r="I201" s="446" t="str">
        <x:f t="shared" si="49"/>
        <x:v>[관리비]</x:v>
      </x:c>
      <x:c r="J201" s="445"/>
      <x:c r="K201" s="453">
        <x:v>5786000</x:v>
      </x:c>
      <x:c r="L201" s="454">
        <x:v>5786000</x:v>
      </x:c>
      <x:c r="M201" s="454">
        <x:v>5786000</x:v>
      </x:c>
      <x:c r="N201" s="454">
        <x:v>6017440</x:v>
      </x:c>
      <x:c r="O201" s="454">
        <x:v>6017440</x:v>
      </x:c>
      <x:c r="P201" s="454">
        <x:v>6017440</x:v>
      </x:c>
      <x:c r="Q201" s="454">
        <x:v>6017440</x:v>
      </x:c>
      <x:c r="R201" s="454">
        <x:v>6017440</x:v>
      </x:c>
      <x:c r="S201" s="454">
        <x:v>6017440</x:v>
      </x:c>
      <x:c r="T201" s="454">
        <x:v>6017440</x:v>
      </x:c>
      <x:c r="U201" s="454">
        <x:v>6017440</x:v>
      </x:c>
      <x:c r="V201" s="455">
        <x:v>6017440</x:v>
      </x:c>
      <x:c r="W201" s="456">
        <x:f t="shared" si="44"/>
        <x:v>71514960</x:v>
      </x:c>
      <x:c r="X201" s="450">
        <x:f t="shared" si="45"/>
        <x:v>5959580</x:v>
      </x:c>
      <x:c r="Y201" s="457" t="s">
        <x:v>802</x:v>
      </x:c>
      <x:c r="Z201" s="458"/>
      <x:c r="AA201" s="458"/>
      <x:c r="AB201" s="458"/>
      <x:c r="AC201" s="458"/>
      <x:c r="AD201" s="458"/>
      <x:c r="AE201" s="458"/>
      <x:c r="AO201" s="438">
        <x:v>66120101</x:v>
      </x:c>
      <x:c r="AP201" s="438" t="s">
        <x:v>514</x:v>
      </x:c>
      <x:c r="AQ201" s="438" t="s">
        <x:v>475</x:v>
      </x:c>
    </x:row>
    <x:row r="202" spans="1:43" ht="20.100000000000001" customHeight="1">
      <x:c r="A202" s="439" t="s">
        <x:v>765</x:v>
      </x:c>
      <x:c r="B202" s="466" t="str">
        <x:f t="shared" si="46"/>
        <x:v>인건비</x:v>
      </x:c>
      <x:c r="C202" s="440" t="str">
        <x:f t="shared" si="47"/>
        <x:v>급여</x:v>
      </x:c>
      <x:c r="D202" s="441">
        <x:v>52110111</x:v>
      </x:c>
      <x:c r="E202" s="442" t="str">
        <x:f t="shared" si="48"/>
        <x:v>급여_직원본봉</x:v>
      </x:c>
      <x:c r="F202" s="443"/>
      <x:c r="G202" s="444" t="s">
        <x:v>249</x:v>
      </x:c>
      <x:c r="H202" s="445" t="str">
        <x:f t="shared" si="43"/>
        <x:v>부품품질팀(E)</x:v>
      </x:c>
      <x:c r="I202" s="446" t="str">
        <x:f t="shared" si="49"/>
        <x:v>[관리비]</x:v>
      </x:c>
      <x:c r="J202" s="445"/>
      <x:c r="K202" s="453">
        <x:v>28192000</x:v>
      </x:c>
      <x:c r="L202" s="454">
        <x:v>28192000</x:v>
      </x:c>
      <x:c r="M202" s="454">
        <x:v>28192000</x:v>
      </x:c>
      <x:c r="N202" s="454">
        <x:v>29319680</x:v>
      </x:c>
      <x:c r="O202" s="454">
        <x:v>29319680</x:v>
      </x:c>
      <x:c r="P202" s="454">
        <x:v>29319680</x:v>
      </x:c>
      <x:c r="Q202" s="454">
        <x:v>29319680</x:v>
      </x:c>
      <x:c r="R202" s="454">
        <x:v>29319680</x:v>
      </x:c>
      <x:c r="S202" s="454">
        <x:v>29319680</x:v>
      </x:c>
      <x:c r="T202" s="454">
        <x:v>29319680</x:v>
      </x:c>
      <x:c r="U202" s="454">
        <x:v>29319680</x:v>
      </x:c>
      <x:c r="V202" s="455">
        <x:v>29319680</x:v>
      </x:c>
      <x:c r="W202" s="456">
        <x:f t="shared" si="44"/>
        <x:v>348453120</x:v>
      </x:c>
      <x:c r="X202" s="450">
        <x:f t="shared" si="45"/>
        <x:v>29037760</x:v>
      </x:c>
      <x:c r="Y202" s="457" t="s">
        <x:v>802</x:v>
      </x:c>
      <x:c r="Z202" s="458"/>
      <x:c r="AA202" s="458"/>
      <x:c r="AB202" s="458"/>
      <x:c r="AC202" s="458"/>
      <x:c r="AD202" s="458"/>
      <x:c r="AE202" s="458"/>
      <x:c r="AO202" s="438">
        <x:v>73110100</x:v>
      </x:c>
      <x:c r="AP202" s="438" t="s">
        <x:v>515</x:v>
      </x:c>
      <x:c r="AQ202" s="438" t="s">
        <x:v>467</x:v>
      </x:c>
    </x:row>
    <x:row r="203" spans="1:43" ht="20.100000000000001" customHeight="1">
      <x:c r="A203" s="439" t="s">
        <x:v>765</x:v>
      </x:c>
      <x:c r="B203" s="466" t="str">
        <x:f t="shared" si="46"/>
        <x:v>인건비</x:v>
      </x:c>
      <x:c r="C203" s="440" t="str">
        <x:f t="shared" si="47"/>
        <x:v>급여</x:v>
      </x:c>
      <x:c r="D203" s="441">
        <x:v>52110111</x:v>
      </x:c>
      <x:c r="E203" s="442" t="str">
        <x:f t="shared" si="48"/>
        <x:v>급여_직원본봉</x:v>
      </x:c>
      <x:c r="F203" s="443"/>
      <x:c r="G203" s="444" t="s">
        <x:v>114</x:v>
      </x:c>
      <x:c r="H203" s="445" t="str">
        <x:f t="shared" si="43"/>
        <x:v>연구개발부문(E)</x:v>
      </x:c>
      <x:c r="I203" s="446" t="str">
        <x:f t="shared" si="49"/>
        <x:v>[연구개발비]</x:v>
      </x:c>
      <x:c r="J203" s="445"/>
      <x:c r="K203" s="453">
        <x:v>9561000</x:v>
      </x:c>
      <x:c r="L203" s="454">
        <x:v>9561000</x:v>
      </x:c>
      <x:c r="M203" s="454">
        <x:v>9561000</x:v>
      </x:c>
      <x:c r="N203" s="454">
        <x:v>9561000</x:v>
      </x:c>
      <x:c r="O203" s="454">
        <x:v>9561000</x:v>
      </x:c>
      <x:c r="P203" s="454">
        <x:v>9561000</x:v>
      </x:c>
      <x:c r="Q203" s="454">
        <x:v>9561000</x:v>
      </x:c>
      <x:c r="R203" s="454">
        <x:v>9561000</x:v>
      </x:c>
      <x:c r="S203" s="454">
        <x:v>9561000</x:v>
      </x:c>
      <x:c r="T203" s="454">
        <x:v>9561000</x:v>
      </x:c>
      <x:c r="U203" s="454">
        <x:v>9561000</x:v>
      </x:c>
      <x:c r="V203" s="455">
        <x:v>9561000</x:v>
      </x:c>
      <x:c r="W203" s="456">
        <x:f t="shared" si="44"/>
        <x:v>114732000</x:v>
      </x:c>
      <x:c r="X203" s="450">
        <x:f t="shared" si="45"/>
        <x:v>9561000</x:v>
      </x:c>
      <x:c r="Y203" s="457" t="s">
        <x:v>802</x:v>
      </x:c>
      <x:c r="Z203" s="458"/>
      <x:c r="AA203" s="458"/>
      <x:c r="AB203" s="458"/>
      <x:c r="AC203" s="458"/>
      <x:c r="AD203" s="458"/>
      <x:c r="AE203" s="458"/>
      <x:c r="AO203" s="438">
        <x:v>73210100</x:v>
      </x:c>
      <x:c r="AP203" s="438" t="s">
        <x:v>516</x:v>
      </x:c>
      <x:c r="AQ203" s="438" t="s">
        <x:v>475</x:v>
      </x:c>
    </x:row>
    <x:row r="204" spans="1:43" ht="20.100000000000001" customHeight="1">
      <x:c r="A204" s="439" t="s">
        <x:v>765</x:v>
      </x:c>
      <x:c r="B204" s="466" t="str">
        <x:f t="shared" si="46"/>
        <x:v>인건비</x:v>
      </x:c>
      <x:c r="C204" s="440" t="str">
        <x:f t="shared" si="47"/>
        <x:v>급여</x:v>
      </x:c>
      <x:c r="D204" s="441">
        <x:v>52110111</x:v>
      </x:c>
      <x:c r="E204" s="442" t="str">
        <x:f t="shared" si="48"/>
        <x:v>급여_직원본봉</x:v>
      </x:c>
      <x:c r="F204" s="443"/>
      <x:c r="G204" s="444" t="s">
        <x:v>99</x:v>
      </x:c>
      <x:c r="H204" s="445" t="str">
        <x:f t="shared" si="43"/>
        <x:v>전장설계1팀(E)</x:v>
      </x:c>
      <x:c r="I204" s="446" t="str">
        <x:f t="shared" si="49"/>
        <x:v>[연구개발비]</x:v>
      </x:c>
      <x:c r="J204" s="445"/>
      <x:c r="K204" s="453">
        <x:v>25533600</x:v>
      </x:c>
      <x:c r="L204" s="454">
        <x:v>25533600</x:v>
      </x:c>
      <x:c r="M204" s="454">
        <x:v>25533600</x:v>
      </x:c>
      <x:c r="N204" s="454">
        <x:v>26554944</x:v>
      </x:c>
      <x:c r="O204" s="454">
        <x:v>26554944</x:v>
      </x:c>
      <x:c r="P204" s="454">
        <x:v>26554944</x:v>
      </x:c>
      <x:c r="Q204" s="454">
        <x:v>26554944</x:v>
      </x:c>
      <x:c r="R204" s="454">
        <x:v>26554944</x:v>
      </x:c>
      <x:c r="S204" s="454">
        <x:v>26554944</x:v>
      </x:c>
      <x:c r="T204" s="454">
        <x:v>26554944</x:v>
      </x:c>
      <x:c r="U204" s="454">
        <x:v>26554944</x:v>
      </x:c>
      <x:c r="V204" s="455">
        <x:v>26554944</x:v>
      </x:c>
      <x:c r="W204" s="456">
        <x:f t="shared" si="44"/>
        <x:v>315595296</x:v>
      </x:c>
      <x:c r="X204" s="450">
        <x:f t="shared" si="45"/>
        <x:v>26299608</x:v>
      </x:c>
      <x:c r="Y204" s="457" t="s">
        <x:v>802</x:v>
      </x:c>
      <x:c r="Z204" s="458"/>
      <x:c r="AA204" s="458"/>
      <x:c r="AB204" s="458"/>
      <x:c r="AC204" s="458"/>
      <x:c r="AD204" s="458"/>
      <x:c r="AE204" s="458"/>
      <x:c r="AO204" s="438">
        <x:v>52130139</x:v>
      </x:c>
      <x:c r="AP204" s="438" t="s">
        <x:v>646</x:v>
      </x:c>
      <x:c r="AQ204" s="438" t="s">
        <x:v>647</x:v>
      </x:c>
    </x:row>
    <x:row r="205" spans="1:43" ht="20.100000000000001" customHeight="1">
      <x:c r="A205" s="439" t="s">
        <x:v>765</x:v>
      </x:c>
      <x:c r="B205" s="466" t="str">
        <x:f t="shared" si="46"/>
        <x:v>인건비</x:v>
      </x:c>
      <x:c r="C205" s="440" t="str">
        <x:f t="shared" si="47"/>
        <x:v>급여</x:v>
      </x:c>
      <x:c r="D205" s="441">
        <x:v>52110111</x:v>
      </x:c>
      <x:c r="E205" s="442" t="str">
        <x:f t="shared" si="48"/>
        <x:v>급여_직원본봉</x:v>
      </x:c>
      <x:c r="F205" s="443"/>
      <x:c r="G205" s="444" t="s">
        <x:v>101</x:v>
      </x:c>
      <x:c r="H205" s="445" t="str">
        <x:f t="shared" si="43"/>
        <x:v>전장설계2팀(E)</x:v>
      </x:c>
      <x:c r="I205" s="446" t="str">
        <x:f t="shared" si="49"/>
        <x:v>[연구개발비]</x:v>
      </x:c>
      <x:c r="J205" s="445"/>
      <x:c r="K205" s="453">
        <x:v>52728300</x:v>
      </x:c>
      <x:c r="L205" s="454">
        <x:v>52728300</x:v>
      </x:c>
      <x:c r="M205" s="454">
        <x:v>53183009.67741935</x:v>
      </x:c>
      <x:c r="N205" s="454">
        <x:v>58502392</x:v>
      </x:c>
      <x:c r="O205" s="454">
        <x:v>58502392</x:v>
      </x:c>
      <x:c r="P205" s="454">
        <x:v>58502392</x:v>
      </x:c>
      <x:c r="Q205" s="454">
        <x:v>58502392</x:v>
      </x:c>
      <x:c r="R205" s="454">
        <x:v>58502392</x:v>
      </x:c>
      <x:c r="S205" s="454">
        <x:v>58502392</x:v>
      </x:c>
      <x:c r="T205" s="454">
        <x:v>58502392</x:v>
      </x:c>
      <x:c r="U205" s="454">
        <x:v>58502392</x:v>
      </x:c>
      <x:c r="V205" s="455">
        <x:v>58502392</x:v>
      </x:c>
      <x:c r="W205" s="456">
        <x:f t="shared" si="44"/>
        <x:v>685161137.67741942</x:v>
      </x:c>
      <x:c r="X205" s="450">
        <x:f t="shared" si="45"/>
        <x:v>57096761.473118283</x:v>
      </x:c>
      <x:c r="Y205" s="457" t="s">
        <x:v>802</x:v>
      </x:c>
      <x:c r="Z205" s="458"/>
      <x:c r="AA205" s="458"/>
      <x:c r="AB205" s="458"/>
      <x:c r="AC205" s="458"/>
      <x:c r="AD205" s="458"/>
      <x:c r="AE205" s="458"/>
      <x:c r="AO205" s="438">
        <x:v>52259900</x:v>
      </x:c>
      <x:c r="AP205" s="438" t="s">
        <x:v>848</x:v>
      </x:c>
      <x:c r="AQ205" s="438" t="s">
        <x:v>849</x:v>
      </x:c>
    </x:row>
    <x:row r="206" spans="1:43" ht="20.100000000000001" customHeight="1">
      <x:c r="A206" s="439" t="s">
        <x:v>765</x:v>
      </x:c>
      <x:c r="B206" s="466" t="str">
        <x:f t="shared" si="46"/>
        <x:v>인건비</x:v>
      </x:c>
      <x:c r="C206" s="440" t="str">
        <x:f t="shared" si="47"/>
        <x:v>급여</x:v>
      </x:c>
      <x:c r="D206" s="441">
        <x:v>52110111</x:v>
      </x:c>
      <x:c r="E206" s="442" t="str">
        <x:f t="shared" si="48"/>
        <x:v>급여_직원본봉</x:v>
      </x:c>
      <x:c r="F206" s="443"/>
      <x:c r="G206" s="444" t="s">
        <x:v>104</x:v>
      </x:c>
      <x:c r="H206" s="445" t="str">
        <x:f t="shared" si="43"/>
        <x:v>제품개발팀(E)</x:v>
      </x:c>
      <x:c r="I206" s="446" t="str">
        <x:f t="shared" si="49"/>
        <x:v>[연구개발비]</x:v>
      </x:c>
      <x:c r="J206" s="445"/>
      <x:c r="K206" s="453">
        <x:v>27459200</x:v>
      </x:c>
      <x:c r="L206" s="454">
        <x:v>27459200</x:v>
      </x:c>
      <x:c r="M206" s="454">
        <x:v>27459200</x:v>
      </x:c>
      <x:c r="N206" s="454">
        <x:v>28557568</x:v>
      </x:c>
      <x:c r="O206" s="454">
        <x:v>28557568</x:v>
      </x:c>
      <x:c r="P206" s="454">
        <x:v>28557568</x:v>
      </x:c>
      <x:c r="Q206" s="454">
        <x:v>28557568</x:v>
      </x:c>
      <x:c r="R206" s="454">
        <x:v>28557568</x:v>
      </x:c>
      <x:c r="S206" s="454">
        <x:v>28557568</x:v>
      </x:c>
      <x:c r="T206" s="454">
        <x:v>28557568</x:v>
      </x:c>
      <x:c r="U206" s="454">
        <x:v>28557568</x:v>
      </x:c>
      <x:c r="V206" s="455">
        <x:v>28557568</x:v>
      </x:c>
      <x:c r="W206" s="456">
        <x:f t="shared" si="44"/>
        <x:v>339395712</x:v>
      </x:c>
      <x:c r="X206" s="450">
        <x:f t="shared" si="45"/>
        <x:v>28282976</x:v>
      </x:c>
      <x:c r="Y206" s="457" t="s">
        <x:v>802</x:v>
      </x:c>
      <x:c r="Z206" s="458"/>
      <x:c r="AA206" s="458"/>
      <x:c r="AB206" s="458"/>
      <x:c r="AC206" s="458"/>
      <x:c r="AD206" s="458"/>
      <x:c r="AE206" s="458"/>
    </x:row>
    <x:row r="207" spans="1:43" ht="20.100000000000001" customHeight="1">
      <x:c r="A207" s="439" t="s">
        <x:v>765</x:v>
      </x:c>
      <x:c r="B207" s="466" t="str">
        <x:f t="shared" si="46"/>
        <x:v>인건비</x:v>
      </x:c>
      <x:c r="C207" s="440" t="str">
        <x:f t="shared" si="47"/>
        <x:v>급여</x:v>
      </x:c>
      <x:c r="D207" s="441">
        <x:v>52110111</x:v>
      </x:c>
      <x:c r="E207" s="442" t="str">
        <x:f t="shared" si="48"/>
        <x:v>급여_직원본봉</x:v>
      </x:c>
      <x:c r="F207" s="443"/>
      <x:c r="G207" s="444" t="s">
        <x:v>251</x:v>
      </x:c>
      <x:c r="H207" s="445" t="str">
        <x:f t="shared" si="43"/>
        <x:v>시작평가팀(E)</x:v>
      </x:c>
      <x:c r="I207" s="446" t="str">
        <x:f t="shared" si="49"/>
        <x:v>[연구개발비]</x:v>
      </x:c>
      <x:c r="J207" s="445"/>
      <x:c r="K207" s="453">
        <x:v>31545300</x:v>
      </x:c>
      <x:c r="L207" s="454">
        <x:v>31545300</x:v>
      </x:c>
      <x:c r="M207" s="454">
        <x:v>31545300</x:v>
      </x:c>
      <x:c r="N207" s="454">
        <x:v>32807112</x:v>
      </x:c>
      <x:c r="O207" s="454">
        <x:v>32807112</x:v>
      </x:c>
      <x:c r="P207" s="454">
        <x:v>32807112</x:v>
      </x:c>
      <x:c r="Q207" s="454">
        <x:v>32807112</x:v>
      </x:c>
      <x:c r="R207" s="454">
        <x:v>32807112</x:v>
      </x:c>
      <x:c r="S207" s="454">
        <x:v>32807112</x:v>
      </x:c>
      <x:c r="T207" s="454">
        <x:v>32807112</x:v>
      </x:c>
      <x:c r="U207" s="454">
        <x:v>32807112</x:v>
      </x:c>
      <x:c r="V207" s="455">
        <x:v>32807112</x:v>
      </x:c>
      <x:c r="W207" s="456">
        <x:f t="shared" si="44"/>
        <x:v>389899908</x:v>
      </x:c>
      <x:c r="X207" s="450">
        <x:f t="shared" si="45"/>
        <x:v>32491659</x:v>
      </x:c>
      <x:c r="Y207" s="457" t="s">
        <x:v>802</x:v>
      </x:c>
      <x:c r="Z207" s="458"/>
      <x:c r="AA207" s="458"/>
      <x:c r="AB207" s="458"/>
      <x:c r="AC207" s="458"/>
      <x:c r="AD207" s="458"/>
      <x:c r="AE207" s="458"/>
    </x:row>
    <x:row r="208" spans="1:43" ht="20.100000000000001" customHeight="1">
      <x:c r="A208" s="439" t="s">
        <x:v>765</x:v>
      </x:c>
      <x:c r="B208" s="466" t="str">
        <x:f t="shared" si="46"/>
        <x:v>인건비</x:v>
      </x:c>
      <x:c r="C208" s="440" t="str">
        <x:f t="shared" si="47"/>
        <x:v>급여</x:v>
      </x:c>
      <x:c r="D208" s="441">
        <x:v>52110111</x:v>
      </x:c>
      <x:c r="E208" s="442" t="str">
        <x:f t="shared" si="48"/>
        <x:v>급여_직원본봉</x:v>
      </x:c>
      <x:c r="F208" s="443"/>
      <x:c r="G208" s="444" t="s">
        <x:v>106</x:v>
      </x:c>
      <x:c r="H208" s="445" t="str">
        <x:f t="shared" si="43"/>
        <x:v>구매팀(E)</x:v>
      </x:c>
      <x:c r="I208" s="446" t="str">
        <x:f t="shared" si="49"/>
        <x:v>[관리비]</x:v>
      </x:c>
      <x:c r="J208" s="445"/>
      <x:c r="K208" s="453">
        <x:v>38136246.666666672</x:v>
      </x:c>
      <x:c r="L208" s="454">
        <x:v>38136246.666666672</x:v>
      </x:c>
      <x:c r="M208" s="454">
        <x:v>38136246.666666672</x:v>
      </x:c>
      <x:c r="N208" s="454">
        <x:v>42603697.066666663</x:v>
      </x:c>
      <x:c r="O208" s="454">
        <x:v>42603697.066666663</x:v>
      </x:c>
      <x:c r="P208" s="454">
        <x:v>42603697.066666663</x:v>
      </x:c>
      <x:c r="Q208" s="454">
        <x:v>42603697.066666663</x:v>
      </x:c>
      <x:c r="R208" s="454">
        <x:v>42603697.066666663</x:v>
      </x:c>
      <x:c r="S208" s="454">
        <x:v>42603697.066666663</x:v>
      </x:c>
      <x:c r="T208" s="454">
        <x:v>42603697.066666663</x:v>
      </x:c>
      <x:c r="U208" s="454">
        <x:v>42603697.066666663</x:v>
      </x:c>
      <x:c r="V208" s="455">
        <x:v>42603697.066666663</x:v>
      </x:c>
      <x:c r="W208" s="456">
        <x:f t="shared" si="44"/>
        <x:v>497842013.59999996</x:v>
      </x:c>
      <x:c r="X208" s="450">
        <x:f t="shared" si="45"/>
        <x:v>41486834.466666661</x:v>
      </x:c>
      <x:c r="Y208" s="457" t="s">
        <x:v>802</x:v>
      </x:c>
      <x:c r="Z208" s="458"/>
      <x:c r="AA208" s="458"/>
      <x:c r="AB208" s="458"/>
      <x:c r="AC208" s="458"/>
      <x:c r="AD208" s="458"/>
      <x:c r="AE208" s="458"/>
    </x:row>
    <x:row r="209" spans="1:31" ht="20.100000000000001" customHeight="1">
      <x:c r="A209" s="439" t="s">
        <x:v>765</x:v>
      </x:c>
      <x:c r="B209" s="466" t="str">
        <x:f t="shared" si="46"/>
        <x:v>인건비</x:v>
      </x:c>
      <x:c r="C209" s="440" t="str">
        <x:f t="shared" si="47"/>
        <x:v>급여</x:v>
      </x:c>
      <x:c r="D209" s="441">
        <x:v>52110111</x:v>
      </x:c>
      <x:c r="E209" s="442" t="str">
        <x:f t="shared" si="48"/>
        <x:v>급여_직원본봉</x:v>
      </x:c>
      <x:c r="F209" s="443"/>
      <x:c r="G209" s="444" t="s">
        <x:v>150</x:v>
      </x:c>
      <x:c r="H209" s="445" t="str">
        <x:f t="shared" si="43"/>
        <x:v>구매영업부문(E)</x:v>
      </x:c>
      <x:c r="I209" s="446" t="str">
        <x:f t="shared" si="49"/>
        <x:v>[판매비]</x:v>
      </x:c>
      <x:c r="J209" s="445"/>
      <x:c r="K209" s="453">
        <x:v>9891000</x:v>
      </x:c>
      <x:c r="L209" s="454">
        <x:v>9891000</x:v>
      </x:c>
      <x:c r="M209" s="454">
        <x:v>9891000</x:v>
      </x:c>
      <x:c r="N209" s="454">
        <x:v>9891000</x:v>
      </x:c>
      <x:c r="O209" s="454">
        <x:v>9891000</x:v>
      </x:c>
      <x:c r="P209" s="454">
        <x:v>9891000</x:v>
      </x:c>
      <x:c r="Q209" s="454">
        <x:v>9891000</x:v>
      </x:c>
      <x:c r="R209" s="454">
        <x:v>9891000</x:v>
      </x:c>
      <x:c r="S209" s="454">
        <x:v>9891000</x:v>
      </x:c>
      <x:c r="T209" s="454">
        <x:v>9891000</x:v>
      </x:c>
      <x:c r="U209" s="454">
        <x:v>9891000</x:v>
      </x:c>
      <x:c r="V209" s="455">
        <x:v>9891000</x:v>
      </x:c>
      <x:c r="W209" s="456">
        <x:f t="shared" si="44"/>
        <x:v>118692000</x:v>
      </x:c>
      <x:c r="X209" s="450">
        <x:f t="shared" si="45"/>
        <x:v>9891000</x:v>
      </x:c>
      <x:c r="Y209" s="457" t="s">
        <x:v>802</x:v>
      </x:c>
      <x:c r="Z209" s="458"/>
      <x:c r="AA209" s="458"/>
      <x:c r="AB209" s="458"/>
      <x:c r="AC209" s="458"/>
      <x:c r="AD209" s="458"/>
      <x:c r="AE209" s="458"/>
    </x:row>
    <x:row r="210" spans="1:31" ht="20.100000000000001" customHeight="1">
      <x:c r="A210" s="439" t="s">
        <x:v>765</x:v>
      </x:c>
      <x:c r="B210" s="466" t="str">
        <x:f t="shared" si="46"/>
        <x:v>인건비</x:v>
      </x:c>
      <x:c r="C210" s="440" t="str">
        <x:f t="shared" si="47"/>
        <x:v>급여</x:v>
      </x:c>
      <x:c r="D210" s="441">
        <x:v>52110111</x:v>
      </x:c>
      <x:c r="E210" s="442" t="str">
        <x:f t="shared" si="48"/>
        <x:v>급여_직원본봉</x:v>
      </x:c>
      <x:c r="F210" s="443"/>
      <x:c r="G210" s="444" t="s">
        <x:v>247</x:v>
      </x:c>
      <x:c r="H210" s="445" t="str">
        <x:f t="shared" si="43"/>
        <x:v>영업팀(E)</x:v>
      </x:c>
      <x:c r="I210" s="446" t="str">
        <x:f t="shared" si="49"/>
        <x:v>[판매비]</x:v>
      </x:c>
      <x:c r="J210" s="445"/>
      <x:c r="K210" s="453">
        <x:v>27023000</x:v>
      </x:c>
      <x:c r="L210" s="454">
        <x:v>27023000</x:v>
      </x:c>
      <x:c r="M210" s="454">
        <x:v>27023000</x:v>
      </x:c>
      <x:c r="N210" s="454">
        <x:v>28103920</x:v>
      </x:c>
      <x:c r="O210" s="454">
        <x:v>28103920</x:v>
      </x:c>
      <x:c r="P210" s="454">
        <x:v>28103920</x:v>
      </x:c>
      <x:c r="Q210" s="454">
        <x:v>28103920</x:v>
      </x:c>
      <x:c r="R210" s="454">
        <x:v>28103920</x:v>
      </x:c>
      <x:c r="S210" s="454">
        <x:v>28103920</x:v>
      </x:c>
      <x:c r="T210" s="454">
        <x:v>28103920</x:v>
      </x:c>
      <x:c r="U210" s="454">
        <x:v>28103920</x:v>
      </x:c>
      <x:c r="V210" s="455">
        <x:v>28103920</x:v>
      </x:c>
      <x:c r="W210" s="456">
        <x:f t="shared" si="44"/>
        <x:v>334004280</x:v>
      </x:c>
      <x:c r="X210" s="450">
        <x:f t="shared" si="45"/>
        <x:v>27833690</x:v>
      </x:c>
      <x:c r="Y210" s="457" t="s">
        <x:v>802</x:v>
      </x:c>
      <x:c r="Z210" s="458"/>
      <x:c r="AA210" s="458"/>
      <x:c r="AB210" s="458"/>
      <x:c r="AC210" s="458"/>
      <x:c r="AD210" s="458"/>
      <x:c r="AE210" s="458"/>
    </x:row>
    <x:row r="211" spans="1:31" ht="20.100000000000001" customHeight="1">
      <x:c r="A211" s="439" t="s">
        <x:v>765</x:v>
      </x:c>
      <x:c r="B211" s="466" t="str">
        <x:f t="shared" si="46"/>
        <x:v>인건비</x:v>
      </x:c>
      <x:c r="C211" s="440" t="str">
        <x:f t="shared" si="47"/>
        <x:v>급여</x:v>
      </x:c>
      <x:c r="D211" s="441">
        <x:v>52110301</x:v>
      </x:c>
      <x:c r="E211" s="442" t="str">
        <x:f t="shared" si="48"/>
        <x:v>제수당_고정수당</x:v>
      </x:c>
      <x:c r="F211" s="443"/>
      <x:c r="G211" s="444" t="s">
        <x:v>80</x:v>
      </x:c>
      <x:c r="H211" s="445" t="str">
        <x:f t="shared" si="43"/>
        <x:v>사업관리팀(E)</x:v>
      </x:c>
      <x:c r="I211" s="446" t="str">
        <x:f t="shared" si="49"/>
        <x:v>[관리비]</x:v>
      </x:c>
      <x:c r="J211" s="445"/>
      <x:c r="K211" s="453">
        <x:v>2100000</x:v>
      </x:c>
      <x:c r="L211" s="454">
        <x:v>2100000</x:v>
      </x:c>
      <x:c r="M211" s="454">
        <x:v>2100000</x:v>
      </x:c>
      <x:c r="N211" s="454">
        <x:v>2100000</x:v>
      </x:c>
      <x:c r="O211" s="454">
        <x:v>2100000</x:v>
      </x:c>
      <x:c r="P211" s="454">
        <x:v>2100000</x:v>
      </x:c>
      <x:c r="Q211" s="454">
        <x:v>2100000</x:v>
      </x:c>
      <x:c r="R211" s="454">
        <x:v>2100000</x:v>
      </x:c>
      <x:c r="S211" s="454">
        <x:v>2100000</x:v>
      </x:c>
      <x:c r="T211" s="454">
        <x:v>2100000</x:v>
      </x:c>
      <x:c r="U211" s="454">
        <x:v>2100000</x:v>
      </x:c>
      <x:c r="V211" s="455">
        <x:v>2100000</x:v>
      </x:c>
      <x:c r="W211" s="456">
        <x:f t="shared" si="44"/>
        <x:v>25200000</x:v>
      </x:c>
      <x:c r="X211" s="450">
        <x:f t="shared" si="45"/>
        <x:v>2100000</x:v>
      </x:c>
      <x:c r="Y211" s="457" t="s">
        <x:v>803</x:v>
      </x:c>
      <x:c r="Z211" s="458"/>
      <x:c r="AA211" s="458"/>
      <x:c r="AB211" s="458"/>
      <x:c r="AC211" s="458"/>
      <x:c r="AD211" s="458"/>
      <x:c r="AE211" s="458"/>
    </x:row>
    <x:row r="212" spans="1:31" ht="20.100000000000001" customHeight="1">
      <x:c r="A212" s="439" t="s">
        <x:v>765</x:v>
      </x:c>
      <x:c r="B212" s="466" t="str">
        <x:f t="shared" si="46"/>
        <x:v>인건비</x:v>
      </x:c>
      <x:c r="C212" s="440" t="str">
        <x:f t="shared" si="47"/>
        <x:v>급여</x:v>
      </x:c>
      <x:c r="D212" s="441">
        <x:v>52110301</x:v>
      </x:c>
      <x:c r="E212" s="442" t="str">
        <x:f t="shared" si="48"/>
        <x:v>제수당_고정수당</x:v>
      </x:c>
      <x:c r="F212" s="443"/>
      <x:c r="G212" s="444" t="s">
        <x:v>82</x:v>
      </x:c>
      <x:c r="H212" s="445" t="str">
        <x:f t="shared" si="43"/>
        <x:v>생산기술팀(E)</x:v>
      </x:c>
      <x:c r="I212" s="446" t="str">
        <x:f t="shared" si="49"/>
        <x:v>[관리비]</x:v>
      </x:c>
      <x:c r="J212" s="445"/>
      <x:c r="K212" s="453">
        <x:v>4450000</x:v>
      </x:c>
      <x:c r="L212" s="454">
        <x:v>4450000</x:v>
      </x:c>
      <x:c r="M212" s="454">
        <x:v>4450000</x:v>
      </x:c>
      <x:c r="N212" s="454">
        <x:v>4450000</x:v>
      </x:c>
      <x:c r="O212" s="454">
        <x:v>4450000</x:v>
      </x:c>
      <x:c r="P212" s="454">
        <x:v>4450000</x:v>
      </x:c>
      <x:c r="Q212" s="454">
        <x:v>4450000</x:v>
      </x:c>
      <x:c r="R212" s="454">
        <x:v>4450000</x:v>
      </x:c>
      <x:c r="S212" s="454">
        <x:v>4450000</x:v>
      </x:c>
      <x:c r="T212" s="454">
        <x:v>4450000</x:v>
      </x:c>
      <x:c r="U212" s="454">
        <x:v>4450000</x:v>
      </x:c>
      <x:c r="V212" s="455">
        <x:v>4450000</x:v>
      </x:c>
      <x:c r="W212" s="456">
        <x:f t="shared" si="44"/>
        <x:v>53400000</x:v>
      </x:c>
      <x:c r="X212" s="450">
        <x:f t="shared" si="45"/>
        <x:v>4450000</x:v>
      </x:c>
      <x:c r="Y212" s="457" t="s">
        <x:v>803</x:v>
      </x:c>
      <x:c r="Z212" s="458"/>
      <x:c r="AA212" s="458"/>
      <x:c r="AB212" s="458"/>
      <x:c r="AC212" s="458"/>
      <x:c r="AD212" s="458"/>
      <x:c r="AE212" s="458"/>
    </x:row>
    <x:row r="213" spans="1:31" ht="20.100000000000001" customHeight="1">
      <x:c r="A213" s="439" t="s">
        <x:v>765</x:v>
      </x:c>
      <x:c r="B213" s="466" t="str">
        <x:f t="shared" si="46"/>
        <x:v>인건비</x:v>
      </x:c>
      <x:c r="C213" s="440" t="str">
        <x:f t="shared" si="47"/>
        <x:v>급여</x:v>
      </x:c>
      <x:c r="D213" s="441">
        <x:v>52110301</x:v>
      </x:c>
      <x:c r="E213" s="442" t="str">
        <x:f t="shared" si="48"/>
        <x:v>제수당_고정수당</x:v>
      </x:c>
      <x:c r="F213" s="443"/>
      <x:c r="G213" s="444" t="s">
        <x:v>84</x:v>
      </x:c>
      <x:c r="H213" s="445" t="str">
        <x:f t="shared" si="43"/>
        <x:v>품질경영팀(E)</x:v>
      </x:c>
      <x:c r="I213" s="446" t="str">
        <x:f t="shared" si="49"/>
        <x:v>[관리비]</x:v>
      </x:c>
      <x:c r="J213" s="445"/>
      <x:c r="K213" s="453">
        <x:v>3600000</x:v>
      </x:c>
      <x:c r="L213" s="454">
        <x:v>3600000</x:v>
      </x:c>
      <x:c r="M213" s="454">
        <x:v>3600000</x:v>
      </x:c>
      <x:c r="N213" s="454">
        <x:v>3600000</x:v>
      </x:c>
      <x:c r="O213" s="454">
        <x:v>3600000</x:v>
      </x:c>
      <x:c r="P213" s="454">
        <x:v>3600000</x:v>
      </x:c>
      <x:c r="Q213" s="454">
        <x:v>3600000</x:v>
      </x:c>
      <x:c r="R213" s="454">
        <x:v>3600000</x:v>
      </x:c>
      <x:c r="S213" s="454">
        <x:v>3600000</x:v>
      </x:c>
      <x:c r="T213" s="454">
        <x:v>3600000</x:v>
      </x:c>
      <x:c r="U213" s="454">
        <x:v>3600000</x:v>
      </x:c>
      <x:c r="V213" s="455">
        <x:v>3600000</x:v>
      </x:c>
      <x:c r="W213" s="456">
        <x:f t="shared" ref="W213:W227" si="50">IFERROR(SUM(K213:V213),"")</x:f>
        <x:v>43200000</x:v>
      </x:c>
      <x:c r="X213" s="450">
        <x:f t="shared" ref="X213:X227" si="51">IFERROR($W213/$Y$1,"")</x:f>
        <x:v>3600000</x:v>
      </x:c>
      <x:c r="Y213" s="457" t="s">
        <x:v>803</x:v>
      </x:c>
      <x:c r="Z213" s="458"/>
      <x:c r="AA213" s="458"/>
      <x:c r="AB213" s="458"/>
      <x:c r="AC213" s="458"/>
      <x:c r="AD213" s="458"/>
      <x:c r="AE213" s="458"/>
    </x:row>
    <x:row r="214" spans="1:31" ht="20.100000000000001" customHeight="1">
      <x:c r="A214" s="439" t="s">
        <x:v>765</x:v>
      </x:c>
      <x:c r="B214" s="466" t="str">
        <x:f t="shared" si="46"/>
        <x:v>인건비</x:v>
      </x:c>
      <x:c r="C214" s="440" t="str">
        <x:f t="shared" si="47"/>
        <x:v>급여</x:v>
      </x:c>
      <x:c r="D214" s="441">
        <x:v>52110301</x:v>
      </x:c>
      <x:c r="E214" s="442" t="str">
        <x:f t="shared" si="48"/>
        <x:v>제수당_고정수당</x:v>
      </x:c>
      <x:c r="F214" s="443"/>
      <x:c r="G214" s="444" t="s">
        <x:v>245</x:v>
      </x:c>
      <x:c r="H214" s="445" t="str">
        <x:f t="shared" si="43"/>
        <x:v>생산기획팀(E)</x:v>
      </x:c>
      <x:c r="I214" s="446" t="str">
        <x:f t="shared" si="49"/>
        <x:v>[관리비]</x:v>
      </x:c>
      <x:c r="J214" s="445"/>
      <x:c r="K214" s="453">
        <x:v>3150000</x:v>
      </x:c>
      <x:c r="L214" s="454">
        <x:v>3150000</x:v>
      </x:c>
      <x:c r="M214" s="454">
        <x:v>3150000</x:v>
      </x:c>
      <x:c r="N214" s="454">
        <x:v>3150000</x:v>
      </x:c>
      <x:c r="O214" s="454">
        <x:v>3150000</x:v>
      </x:c>
      <x:c r="P214" s="454">
        <x:v>3150000</x:v>
      </x:c>
      <x:c r="Q214" s="454">
        <x:v>3150000</x:v>
      </x:c>
      <x:c r="R214" s="454">
        <x:v>3150000</x:v>
      </x:c>
      <x:c r="S214" s="454">
        <x:v>3150000</x:v>
      </x:c>
      <x:c r="T214" s="454">
        <x:v>3150000</x:v>
      </x:c>
      <x:c r="U214" s="454">
        <x:v>3150000</x:v>
      </x:c>
      <x:c r="V214" s="455">
        <x:v>3150000</x:v>
      </x:c>
      <x:c r="W214" s="456">
        <x:f t="shared" si="50"/>
        <x:v>37800000</x:v>
      </x:c>
      <x:c r="X214" s="450">
        <x:f t="shared" si="51"/>
        <x:v>3150000</x:v>
      </x:c>
      <x:c r="Y214" s="457" t="s">
        <x:v>803</x:v>
      </x:c>
      <x:c r="Z214" s="458"/>
      <x:c r="AA214" s="458"/>
      <x:c r="AB214" s="458"/>
      <x:c r="AC214" s="458"/>
      <x:c r="AD214" s="458"/>
      <x:c r="AE214" s="458"/>
    </x:row>
    <x:row r="215" spans="1:31" ht="20.100000000000001" customHeight="1">
      <x:c r="A215" s="439" t="s">
        <x:v>765</x:v>
      </x:c>
      <x:c r="B215" s="466" t="str">
        <x:f t="shared" si="46"/>
        <x:v>인건비</x:v>
      </x:c>
      <x:c r="C215" s="440" t="str">
        <x:f t="shared" si="47"/>
        <x:v>급여</x:v>
      </x:c>
      <x:c r="D215" s="441">
        <x:v>52110301</x:v>
      </x:c>
      <x:c r="E215" s="442" t="str">
        <x:f t="shared" si="48"/>
        <x:v>제수당_고정수당</x:v>
      </x:c>
      <x:c r="F215" s="443"/>
      <x:c r="G215" s="444" t="s">
        <x:v>256</x:v>
      </x:c>
      <x:c r="H215" s="445" t="str">
        <x:f t="shared" si="43"/>
        <x:v>품질부문(E)</x:v>
      </x:c>
      <x:c r="I215" s="446" t="str">
        <x:f t="shared" si="49"/>
        <x:v>[관리비]</x:v>
      </x:c>
      <x:c r="J215" s="445"/>
      <x:c r="K215" s="453">
        <x:v>950000</x:v>
      </x:c>
      <x:c r="L215" s="454">
        <x:v>950000</x:v>
      </x:c>
      <x:c r="M215" s="454">
        <x:v>950000</x:v>
      </x:c>
      <x:c r="N215" s="454">
        <x:v>950000</x:v>
      </x:c>
      <x:c r="O215" s="454">
        <x:v>950000</x:v>
      </x:c>
      <x:c r="P215" s="454">
        <x:v>950000</x:v>
      </x:c>
      <x:c r="Q215" s="454">
        <x:v>950000</x:v>
      </x:c>
      <x:c r="R215" s="454">
        <x:v>950000</x:v>
      </x:c>
      <x:c r="S215" s="454">
        <x:v>950000</x:v>
      </x:c>
      <x:c r="T215" s="454">
        <x:v>950000</x:v>
      </x:c>
      <x:c r="U215" s="454">
        <x:v>950000</x:v>
      </x:c>
      <x:c r="V215" s="455">
        <x:v>950000</x:v>
      </x:c>
      <x:c r="W215" s="456">
        <x:f t="shared" si="50"/>
        <x:v>11400000</x:v>
      </x:c>
      <x:c r="X215" s="450">
        <x:f t="shared" si="51"/>
        <x:v>950000</x:v>
      </x:c>
      <x:c r="Y215" s="457" t="s">
        <x:v>803</x:v>
      </x:c>
      <x:c r="Z215" s="458"/>
      <x:c r="AA215" s="458"/>
      <x:c r="AB215" s="458"/>
      <x:c r="AC215" s="458"/>
      <x:c r="AD215" s="458"/>
      <x:c r="AE215" s="458"/>
    </x:row>
    <x:row r="216" spans="1:31" ht="20.100000000000001" customHeight="1">
      <x:c r="A216" s="439" t="s">
        <x:v>765</x:v>
      </x:c>
      <x:c r="B216" s="466" t="str">
        <x:f t="shared" si="46"/>
        <x:v>인건비</x:v>
      </x:c>
      <x:c r="C216" s="440" t="str">
        <x:f t="shared" si="47"/>
        <x:v>급여</x:v>
      </x:c>
      <x:c r="D216" s="441">
        <x:v>52110301</x:v>
      </x:c>
      <x:c r="E216" s="442" t="str">
        <x:f t="shared" si="48"/>
        <x:v>제수당_고정수당</x:v>
      </x:c>
      <x:c r="F216" s="443"/>
      <x:c r="G216" s="444" t="s">
        <x:v>249</x:v>
      </x:c>
      <x:c r="H216" s="445" t="str">
        <x:f t="shared" si="43"/>
        <x:v>부품품질팀(E)</x:v>
      </x:c>
      <x:c r="I216" s="446" t="str">
        <x:f t="shared" si="49"/>
        <x:v>[관리비]</x:v>
      </x:c>
      <x:c r="J216" s="445"/>
      <x:c r="K216" s="453">
        <x:v>2950000</x:v>
      </x:c>
      <x:c r="L216" s="454">
        <x:v>2950000</x:v>
      </x:c>
      <x:c r="M216" s="454">
        <x:v>2950000</x:v>
      </x:c>
      <x:c r="N216" s="454">
        <x:v>2950000</x:v>
      </x:c>
      <x:c r="O216" s="454">
        <x:v>2950000</x:v>
      </x:c>
      <x:c r="P216" s="454">
        <x:v>2950000</x:v>
      </x:c>
      <x:c r="Q216" s="454">
        <x:v>2950000</x:v>
      </x:c>
      <x:c r="R216" s="454">
        <x:v>2950000</x:v>
      </x:c>
      <x:c r="S216" s="454">
        <x:v>2950000</x:v>
      </x:c>
      <x:c r="T216" s="454">
        <x:v>2950000</x:v>
      </x:c>
      <x:c r="U216" s="454">
        <x:v>2950000</x:v>
      </x:c>
      <x:c r="V216" s="455">
        <x:v>2950000</x:v>
      </x:c>
      <x:c r="W216" s="456">
        <x:f t="shared" si="50"/>
        <x:v>35400000</x:v>
      </x:c>
      <x:c r="X216" s="450">
        <x:f t="shared" si="51"/>
        <x:v>2950000</x:v>
      </x:c>
      <x:c r="Y216" s="457" t="s">
        <x:v>803</x:v>
      </x:c>
      <x:c r="Z216" s="458"/>
      <x:c r="AA216" s="458"/>
      <x:c r="AB216" s="458"/>
      <x:c r="AC216" s="458"/>
      <x:c r="AD216" s="458"/>
      <x:c r="AE216" s="458"/>
    </x:row>
    <x:row r="217" spans="1:31" ht="20.100000000000001" customHeight="1">
      <x:c r="A217" s="439" t="s">
        <x:v>765</x:v>
      </x:c>
      <x:c r="B217" s="466" t="str">
        <x:f t="shared" si="46"/>
        <x:v>인건비</x:v>
      </x:c>
      <x:c r="C217" s="440" t="str">
        <x:f t="shared" si="47"/>
        <x:v>급여</x:v>
      </x:c>
      <x:c r="D217" s="441">
        <x:v>52110301</x:v>
      </x:c>
      <x:c r="E217" s="442" t="str">
        <x:f t="shared" si="48"/>
        <x:v>제수당_고정수당</x:v>
      </x:c>
      <x:c r="F217" s="443"/>
      <x:c r="G217" s="444" t="s">
        <x:v>99</x:v>
      </x:c>
      <x:c r="H217" s="445" t="str">
        <x:f t="shared" si="43"/>
        <x:v>전장설계1팀(E)</x:v>
      </x:c>
      <x:c r="I217" s="446" t="str">
        <x:f t="shared" si="49"/>
        <x:v>[연구개발비]</x:v>
      </x:c>
      <x:c r="J217" s="445"/>
      <x:c r="K217" s="453">
        <x:v>2700000</x:v>
      </x:c>
      <x:c r="L217" s="454">
        <x:v>2700000</x:v>
      </x:c>
      <x:c r="M217" s="454">
        <x:v>2700000</x:v>
      </x:c>
      <x:c r="N217" s="454">
        <x:v>2700000</x:v>
      </x:c>
      <x:c r="O217" s="454">
        <x:v>2700000</x:v>
      </x:c>
      <x:c r="P217" s="454">
        <x:v>2700000</x:v>
      </x:c>
      <x:c r="Q217" s="454">
        <x:v>2700000</x:v>
      </x:c>
      <x:c r="R217" s="454">
        <x:v>2700000</x:v>
      </x:c>
      <x:c r="S217" s="454">
        <x:v>2700000</x:v>
      </x:c>
      <x:c r="T217" s="454">
        <x:v>2700000</x:v>
      </x:c>
      <x:c r="U217" s="454">
        <x:v>2700000</x:v>
      </x:c>
      <x:c r="V217" s="455">
        <x:v>2700000</x:v>
      </x:c>
      <x:c r="W217" s="456">
        <x:f t="shared" si="50"/>
        <x:v>32400000</x:v>
      </x:c>
      <x:c r="X217" s="450">
        <x:f t="shared" si="51"/>
        <x:v>2700000</x:v>
      </x:c>
      <x:c r="Y217" s="457" t="s">
        <x:v>803</x:v>
      </x:c>
      <x:c r="Z217" s="458"/>
      <x:c r="AA217" s="458"/>
      <x:c r="AB217" s="458"/>
      <x:c r="AC217" s="458"/>
      <x:c r="AD217" s="458"/>
      <x:c r="AE217" s="458"/>
    </x:row>
    <x:row r="218" spans="1:31" ht="20.100000000000001" customHeight="1">
      <x:c r="A218" s="439" t="s">
        <x:v>765</x:v>
      </x:c>
      <x:c r="B218" s="466" t="str">
        <x:f t="shared" si="46"/>
        <x:v>인건비</x:v>
      </x:c>
      <x:c r="C218" s="440" t="str">
        <x:f t="shared" si="47"/>
        <x:v>급여</x:v>
      </x:c>
      <x:c r="D218" s="441">
        <x:v>52110301</x:v>
      </x:c>
      <x:c r="E218" s="442" t="str">
        <x:f t="shared" si="48"/>
        <x:v>제수당_고정수당</x:v>
      </x:c>
      <x:c r="F218" s="443"/>
      <x:c r="G218" s="444" t="s">
        <x:v>101</x:v>
      </x:c>
      <x:c r="H218" s="445" t="str">
        <x:f t="shared" si="43"/>
        <x:v>전장설계2팀(E)</x:v>
      </x:c>
      <x:c r="I218" s="446" t="str">
        <x:f t="shared" si="49"/>
        <x:v>[연구개발비]</x:v>
      </x:c>
      <x:c r="J218" s="445"/>
      <x:c r="K218" s="453">
        <x:v>5050000</x:v>
      </x:c>
      <x:c r="L218" s="454">
        <x:v>5050000</x:v>
      </x:c>
      <x:c r="M218" s="454">
        <x:v>5095161.2903225813</x:v>
      </x:c>
      <x:c r="N218" s="454">
        <x:v>5400000</x:v>
      </x:c>
      <x:c r="O218" s="454">
        <x:v>5400000</x:v>
      </x:c>
      <x:c r="P218" s="454">
        <x:v>5400000</x:v>
      </x:c>
      <x:c r="Q218" s="454">
        <x:v>5400000</x:v>
      </x:c>
      <x:c r="R218" s="454">
        <x:v>5400000</x:v>
      </x:c>
      <x:c r="S218" s="454">
        <x:v>5400000</x:v>
      </x:c>
      <x:c r="T218" s="454">
        <x:v>5400000</x:v>
      </x:c>
      <x:c r="U218" s="454">
        <x:v>5400000</x:v>
      </x:c>
      <x:c r="V218" s="455">
        <x:v>5400000</x:v>
      </x:c>
      <x:c r="W218" s="456">
        <x:f t="shared" si="50"/>
        <x:v>63795161.290322579</x:v>
      </x:c>
      <x:c r="X218" s="450">
        <x:f t="shared" si="51"/>
        <x:v>5316263.4408602146</x:v>
      </x:c>
      <x:c r="Y218" s="457" t="s">
        <x:v>803</x:v>
      </x:c>
      <x:c r="Z218" s="458"/>
      <x:c r="AA218" s="458"/>
      <x:c r="AB218" s="458"/>
      <x:c r="AC218" s="458"/>
      <x:c r="AD218" s="458"/>
      <x:c r="AE218" s="458"/>
    </x:row>
    <x:row r="219" spans="1:31" ht="20.100000000000001" customHeight="1">
      <x:c r="A219" s="439" t="s">
        <x:v>765</x:v>
      </x:c>
      <x:c r="B219" s="466" t="str">
        <x:f t="shared" si="46"/>
        <x:v>인건비</x:v>
      </x:c>
      <x:c r="C219" s="440" t="str">
        <x:f t="shared" si="47"/>
        <x:v>급여</x:v>
      </x:c>
      <x:c r="D219" s="441">
        <x:v>52110301</x:v>
      </x:c>
      <x:c r="E219" s="442" t="str">
        <x:f t="shared" si="48"/>
        <x:v>제수당_고정수당</x:v>
      </x:c>
      <x:c r="F219" s="443"/>
      <x:c r="G219" s="444" t="s">
        <x:v>104</x:v>
      </x:c>
      <x:c r="H219" s="445" t="str">
        <x:f t="shared" si="43"/>
        <x:v>제품개발팀(E)</x:v>
      </x:c>
      <x:c r="I219" s="446" t="str">
        <x:f t="shared" si="49"/>
        <x:v>[연구개발비]</x:v>
      </x:c>
      <x:c r="J219" s="445"/>
      <x:c r="K219" s="453">
        <x:v>2700000</x:v>
      </x:c>
      <x:c r="L219" s="454">
        <x:v>2700000</x:v>
      </x:c>
      <x:c r="M219" s="454">
        <x:v>2700000</x:v>
      </x:c>
      <x:c r="N219" s="454">
        <x:v>2700000</x:v>
      </x:c>
      <x:c r="O219" s="454">
        <x:v>2700000</x:v>
      </x:c>
      <x:c r="P219" s="454">
        <x:v>2700000</x:v>
      </x:c>
      <x:c r="Q219" s="454">
        <x:v>2700000</x:v>
      </x:c>
      <x:c r="R219" s="454">
        <x:v>2700000</x:v>
      </x:c>
      <x:c r="S219" s="454">
        <x:v>2700000</x:v>
      </x:c>
      <x:c r="T219" s="454">
        <x:v>2700000</x:v>
      </x:c>
      <x:c r="U219" s="454">
        <x:v>2700000</x:v>
      </x:c>
      <x:c r="V219" s="455">
        <x:v>2700000</x:v>
      </x:c>
      <x:c r="W219" s="456">
        <x:f t="shared" si="50"/>
        <x:v>32400000</x:v>
      </x:c>
      <x:c r="X219" s="450">
        <x:f t="shared" si="51"/>
        <x:v>2700000</x:v>
      </x:c>
      <x:c r="Y219" s="457" t="s">
        <x:v>803</x:v>
      </x:c>
      <x:c r="Z219" s="458"/>
      <x:c r="AA219" s="458"/>
      <x:c r="AB219" s="458"/>
      <x:c r="AC219" s="458"/>
      <x:c r="AD219" s="458"/>
      <x:c r="AE219" s="458"/>
    </x:row>
    <x:row r="220" spans="1:31" ht="20.100000000000001" customHeight="1">
      <x:c r="A220" s="439" t="s">
        <x:v>765</x:v>
      </x:c>
      <x:c r="B220" s="466" t="str">
        <x:f t="shared" si="46"/>
        <x:v>인건비</x:v>
      </x:c>
      <x:c r="C220" s="440" t="str">
        <x:f t="shared" si="47"/>
        <x:v>급여</x:v>
      </x:c>
      <x:c r="D220" s="441">
        <x:v>52110301</x:v>
      </x:c>
      <x:c r="E220" s="442" t="str">
        <x:f t="shared" si="48"/>
        <x:v>제수당_고정수당</x:v>
      </x:c>
      <x:c r="F220" s="443"/>
      <x:c r="G220" s="444" t="s">
        <x:v>251</x:v>
      </x:c>
      <x:c r="H220" s="445" t="str">
        <x:f t="shared" si="43"/>
        <x:v>시작평가팀(E)</x:v>
      </x:c>
      <x:c r="I220" s="446" t="str">
        <x:f t="shared" si="49"/>
        <x:v>[연구개발비]</x:v>
      </x:c>
      <x:c r="J220" s="445"/>
      <x:c r="K220" s="453">
        <x:v>3300000</x:v>
      </x:c>
      <x:c r="L220" s="454">
        <x:v>3300000</x:v>
      </x:c>
      <x:c r="M220" s="454">
        <x:v>3300000</x:v>
      </x:c>
      <x:c r="N220" s="454">
        <x:v>3300000</x:v>
      </x:c>
      <x:c r="O220" s="454">
        <x:v>3300000</x:v>
      </x:c>
      <x:c r="P220" s="454">
        <x:v>3300000</x:v>
      </x:c>
      <x:c r="Q220" s="454">
        <x:v>3300000</x:v>
      </x:c>
      <x:c r="R220" s="454">
        <x:v>3300000</x:v>
      </x:c>
      <x:c r="S220" s="454">
        <x:v>3300000</x:v>
      </x:c>
      <x:c r="T220" s="454">
        <x:v>3300000</x:v>
      </x:c>
      <x:c r="U220" s="454">
        <x:v>3300000</x:v>
      </x:c>
      <x:c r="V220" s="455">
        <x:v>3300000</x:v>
      </x:c>
      <x:c r="W220" s="456">
        <x:f t="shared" si="50"/>
        <x:v>39600000</x:v>
      </x:c>
      <x:c r="X220" s="450">
        <x:f t="shared" si="51"/>
        <x:v>3300000</x:v>
      </x:c>
      <x:c r="Y220" s="457" t="s">
        <x:v>803</x:v>
      </x:c>
      <x:c r="Z220" s="458"/>
      <x:c r="AA220" s="458"/>
      <x:c r="AB220" s="458"/>
      <x:c r="AC220" s="458"/>
      <x:c r="AD220" s="458"/>
      <x:c r="AE220" s="458"/>
    </x:row>
    <x:row r="221" spans="1:31" ht="20.100000000000001" customHeight="1">
      <x:c r="A221" s="439" t="s">
        <x:v>765</x:v>
      </x:c>
      <x:c r="B221" s="466" t="str">
        <x:f t="shared" si="46"/>
        <x:v>인건비</x:v>
      </x:c>
      <x:c r="C221" s="440" t="str">
        <x:f t="shared" si="47"/>
        <x:v>급여</x:v>
      </x:c>
      <x:c r="D221" s="441">
        <x:v>52110301</x:v>
      </x:c>
      <x:c r="E221" s="442" t="str">
        <x:f t="shared" si="48"/>
        <x:v>제수당_고정수당</x:v>
      </x:c>
      <x:c r="F221" s="443"/>
      <x:c r="G221" s="444" t="s">
        <x:v>106</x:v>
      </x:c>
      <x:c r="H221" s="445" t="str">
        <x:f t="shared" si="43"/>
        <x:v>구매팀(E)</x:v>
      </x:c>
      <x:c r="I221" s="446" t="str">
        <x:f t="shared" si="49"/>
        <x:v>[관리비]</x:v>
      </x:c>
      <x:c r="J221" s="445"/>
      <x:c r="K221" s="453">
        <x:v>3750000</x:v>
      </x:c>
      <x:c r="L221" s="454">
        <x:v>3750000</x:v>
      </x:c>
      <x:c r="M221" s="454">
        <x:v>3750000</x:v>
      </x:c>
      <x:c r="N221" s="454">
        <x:v>4000000</x:v>
      </x:c>
      <x:c r="O221" s="454">
        <x:v>4000000</x:v>
      </x:c>
      <x:c r="P221" s="454">
        <x:v>4000000</x:v>
      </x:c>
      <x:c r="Q221" s="454">
        <x:v>4000000</x:v>
      </x:c>
      <x:c r="R221" s="454">
        <x:v>4000000</x:v>
      </x:c>
      <x:c r="S221" s="454">
        <x:v>4000000</x:v>
      </x:c>
      <x:c r="T221" s="454">
        <x:v>4000000</x:v>
      </x:c>
      <x:c r="U221" s="454">
        <x:v>4000000</x:v>
      </x:c>
      <x:c r="V221" s="455">
        <x:v>4000000</x:v>
      </x:c>
      <x:c r="W221" s="456">
        <x:f t="shared" si="50"/>
        <x:v>47250000</x:v>
      </x:c>
      <x:c r="X221" s="450">
        <x:f t="shared" si="51"/>
        <x:v>3937500</x:v>
      </x:c>
      <x:c r="Y221" s="457" t="s">
        <x:v>803</x:v>
      </x:c>
      <x:c r="Z221" s="458"/>
      <x:c r="AA221" s="458"/>
      <x:c r="AB221" s="458"/>
      <x:c r="AC221" s="458"/>
      <x:c r="AD221" s="458"/>
      <x:c r="AE221" s="458"/>
    </x:row>
    <x:row r="222" spans="1:31" ht="20.100000000000001" customHeight="1">
      <x:c r="A222" s="439" t="s">
        <x:v>765</x:v>
      </x:c>
      <x:c r="B222" s="466" t="str">
        <x:f t="shared" si="46"/>
        <x:v>인건비</x:v>
      </x:c>
      <x:c r="C222" s="440" t="str">
        <x:f t="shared" si="47"/>
        <x:v>급여</x:v>
      </x:c>
      <x:c r="D222" s="441">
        <x:v>52110301</x:v>
      </x:c>
      <x:c r="E222" s="442" t="str">
        <x:f t="shared" si="48"/>
        <x:v>제수당_고정수당</x:v>
      </x:c>
      <x:c r="F222" s="443"/>
      <x:c r="G222" s="444" t="s">
        <x:v>247</x:v>
      </x:c>
      <x:c r="H222" s="445" t="str">
        <x:f t="shared" si="43"/>
        <x:v>영업팀(E)</x:v>
      </x:c>
      <x:c r="I222" s="446" t="str">
        <x:f t="shared" si="49"/>
        <x:v>[판매비]</x:v>
      </x:c>
      <x:c r="J222" s="445"/>
      <x:c r="K222" s="453">
        <x:v>2700000</x:v>
      </x:c>
      <x:c r="L222" s="454">
        <x:v>2700000</x:v>
      </x:c>
      <x:c r="M222" s="454">
        <x:v>2700000</x:v>
      </x:c>
      <x:c r="N222" s="454">
        <x:v>2700000</x:v>
      </x:c>
      <x:c r="O222" s="454">
        <x:v>2700000</x:v>
      </x:c>
      <x:c r="P222" s="454">
        <x:v>2700000</x:v>
      </x:c>
      <x:c r="Q222" s="454">
        <x:v>2700000</x:v>
      </x:c>
      <x:c r="R222" s="454">
        <x:v>2700000</x:v>
      </x:c>
      <x:c r="S222" s="454">
        <x:v>2700000</x:v>
      </x:c>
      <x:c r="T222" s="454">
        <x:v>2700000</x:v>
      </x:c>
      <x:c r="U222" s="454">
        <x:v>2700000</x:v>
      </x:c>
      <x:c r="V222" s="455">
        <x:v>2700000</x:v>
      </x:c>
      <x:c r="W222" s="456">
        <x:f t="shared" si="50"/>
        <x:v>32400000</x:v>
      </x:c>
      <x:c r="X222" s="450">
        <x:f t="shared" si="51"/>
        <x:v>2700000</x:v>
      </x:c>
      <x:c r="Y222" s="457" t="s">
        <x:v>803</x:v>
      </x:c>
      <x:c r="Z222" s="458"/>
      <x:c r="AA222" s="458"/>
      <x:c r="AB222" s="458"/>
      <x:c r="AC222" s="458"/>
      <x:c r="AD222" s="458"/>
      <x:c r="AE222" s="458"/>
    </x:row>
    <x:row r="223" spans="1:31" ht="20.100000000000001" customHeight="1">
      <x:c r="A223" s="439" t="s">
        <x:v>765</x:v>
      </x:c>
      <x:c r="B223" s="466" t="str">
        <x:f t="shared" si="46"/>
        <x:v>인건비</x:v>
      </x:c>
      <x:c r="C223" s="440" t="str">
        <x:f t="shared" si="47"/>
        <x:v>급여</x:v>
      </x:c>
      <x:c r="D223" s="441">
        <x:v>52110303</x:v>
      </x:c>
      <x:c r="E223" s="442" t="str">
        <x:f t="shared" si="48"/>
        <x:v>제수당_변동수당</x:v>
      </x:c>
      <x:c r="F223" s="443"/>
      <x:c r="G223" s="444" t="s">
        <x:v>80</x:v>
      </x:c>
      <x:c r="H223" s="445" t="str">
        <x:f t="shared" si="43"/>
        <x:v>사업관리팀(E)</x:v>
      </x:c>
      <x:c r="I223" s="446" t="str">
        <x:f t="shared" si="49"/>
        <x:v>[관리비]</x:v>
      </x:c>
      <x:c r="J223" s="445"/>
      <x:c r="K223" s="453">
        <x:v>7755834</x:v>
      </x:c>
      <x:c r="L223" s="454">
        <x:v>7755834</x:v>
      </x:c>
      <x:c r="M223" s="454">
        <x:v>7755834</x:v>
      </x:c>
      <x:c r="N223" s="454">
        <x:v>8025774</x:v>
      </x:c>
      <x:c r="O223" s="454">
        <x:v>8025774</x:v>
      </x:c>
      <x:c r="P223" s="454">
        <x:v>8025774</x:v>
      </x:c>
      <x:c r="Q223" s="454">
        <x:v>8025774</x:v>
      </x:c>
      <x:c r="R223" s="454">
        <x:v>8025774</x:v>
      </x:c>
      <x:c r="S223" s="454">
        <x:v>8025774</x:v>
      </x:c>
      <x:c r="T223" s="454">
        <x:v>8025774</x:v>
      </x:c>
      <x:c r="U223" s="454">
        <x:v>8025774</x:v>
      </x:c>
      <x:c r="V223" s="455">
        <x:v>8025774</x:v>
      </x:c>
      <x:c r="W223" s="456">
        <x:f t="shared" si="50"/>
        <x:v>95499468</x:v>
      </x:c>
      <x:c r="X223" s="450">
        <x:f t="shared" si="51"/>
        <x:v>7958289</x:v>
      </x:c>
      <x:c r="Y223" s="457" t="s">
        <x:v>804</x:v>
      </x:c>
      <x:c r="Z223" s="458"/>
      <x:c r="AA223" s="458"/>
      <x:c r="AB223" s="458"/>
      <x:c r="AC223" s="458"/>
      <x:c r="AD223" s="458"/>
      <x:c r="AE223" s="458"/>
    </x:row>
    <x:row r="224" spans="1:31" ht="20.100000000000001" customHeight="1">
      <x:c r="A224" s="439" t="s">
        <x:v>765</x:v>
      </x:c>
      <x:c r="B224" s="466" t="str">
        <x:f t="shared" si="46"/>
        <x:v>인건비</x:v>
      </x:c>
      <x:c r="C224" s="440" t="str">
        <x:f t="shared" si="47"/>
        <x:v>급여</x:v>
      </x:c>
      <x:c r="D224" s="441">
        <x:v>52110303</x:v>
      </x:c>
      <x:c r="E224" s="442" t="str">
        <x:f t="shared" si="48"/>
        <x:v>제수당_변동수당</x:v>
      </x:c>
      <x:c r="F224" s="443"/>
      <x:c r="G224" s="444" t="s">
        <x:v>82</x:v>
      </x:c>
      <x:c r="H224" s="445" t="str">
        <x:f t="shared" si="43"/>
        <x:v>생산기술팀(E)</x:v>
      </x:c>
      <x:c r="I224" s="446" t="str">
        <x:f t="shared" si="49"/>
        <x:v>[관리비]</x:v>
      </x:c>
      <x:c r="J224" s="445"/>
      <x:c r="K224" s="453">
        <x:v>17807040</x:v>
      </x:c>
      <x:c r="L224" s="454">
        <x:v>17807040</x:v>
      </x:c>
      <x:c r="M224" s="454">
        <x:v>17807040</x:v>
      </x:c>
      <x:c r="N224" s="454">
        <x:v>18425016</x:v>
      </x:c>
      <x:c r="O224" s="454">
        <x:v>18425016</x:v>
      </x:c>
      <x:c r="P224" s="454">
        <x:v>19565016</x:v>
      </x:c>
      <x:c r="Q224" s="454">
        <x:v>18425016</x:v>
      </x:c>
      <x:c r="R224" s="454">
        <x:v>18425016</x:v>
      </x:c>
      <x:c r="S224" s="454">
        <x:v>18425016</x:v>
      </x:c>
      <x:c r="T224" s="454">
        <x:v>18425016</x:v>
      </x:c>
      <x:c r="U224" s="454">
        <x:v>18425016</x:v>
      </x:c>
      <x:c r="V224" s="455">
        <x:v>19565016</x:v>
      </x:c>
      <x:c r="W224" s="456">
        <x:f t="shared" si="50"/>
        <x:v>221526264</x:v>
      </x:c>
      <x:c r="X224" s="450">
        <x:f t="shared" si="51"/>
        <x:v>18460522</x:v>
      </x:c>
      <x:c r="Y224" s="457" t="s">
        <x:v>804</x:v>
      </x:c>
      <x:c r="Z224" s="458"/>
      <x:c r="AA224" s="458"/>
      <x:c r="AB224" s="458"/>
      <x:c r="AC224" s="458"/>
      <x:c r="AD224" s="458"/>
      <x:c r="AE224" s="458"/>
    </x:row>
    <x:row r="225" spans="1:31" ht="20.100000000000001" customHeight="1">
      <x:c r="A225" s="439" t="s">
        <x:v>765</x:v>
      </x:c>
      <x:c r="B225" s="466" t="str">
        <x:f t="shared" si="46"/>
        <x:v>인건비</x:v>
      </x:c>
      <x:c r="C225" s="440" t="str">
        <x:f t="shared" si="47"/>
        <x:v>급여</x:v>
      </x:c>
      <x:c r="D225" s="441">
        <x:v>52110303</x:v>
      </x:c>
      <x:c r="E225" s="442" t="str">
        <x:f t="shared" si="48"/>
        <x:v>제수당_변동수당</x:v>
      </x:c>
      <x:c r="F225" s="443"/>
      <x:c r="G225" s="444" t="s">
        <x:v>84</x:v>
      </x:c>
      <x:c r="H225" s="445" t="str">
        <x:f t="shared" si="43"/>
        <x:v>품질경영팀(E)</x:v>
      </x:c>
      <x:c r="I225" s="446" t="str">
        <x:f t="shared" si="49"/>
        <x:v>[관리비]</x:v>
      </x:c>
      <x:c r="J225" s="445"/>
      <x:c r="K225" s="453">
        <x:v>13955256</x:v>
      </x:c>
      <x:c r="L225" s="454">
        <x:v>13955256</x:v>
      </x:c>
      <x:c r="M225" s="454">
        <x:v>13955256</x:v>
      </x:c>
      <x:c r="N225" s="454">
        <x:v>14438952</x:v>
      </x:c>
      <x:c r="O225" s="454">
        <x:v>14438952</x:v>
      </x:c>
      <x:c r="P225" s="454">
        <x:v>16108952</x:v>
      </x:c>
      <x:c r="Q225" s="454">
        <x:v>14438952</x:v>
      </x:c>
      <x:c r="R225" s="454">
        <x:v>14438952</x:v>
      </x:c>
      <x:c r="S225" s="454">
        <x:v>14438952</x:v>
      </x:c>
      <x:c r="T225" s="454">
        <x:v>14438952</x:v>
      </x:c>
      <x:c r="U225" s="454">
        <x:v>14438952</x:v>
      </x:c>
      <x:c r="V225" s="455">
        <x:v>16108952</x:v>
      </x:c>
      <x:c r="W225" s="456">
        <x:f t="shared" si="50"/>
        <x:v>175156336</x:v>
      </x:c>
      <x:c r="X225" s="450">
        <x:f t="shared" si="51"/>
        <x:v>14596361.333333334</x:v>
      </x:c>
      <x:c r="Y225" s="457" t="s">
        <x:v>804</x:v>
      </x:c>
      <x:c r="Z225" s="458"/>
      <x:c r="AA225" s="458"/>
      <x:c r="AB225" s="458"/>
      <x:c r="AC225" s="458"/>
      <x:c r="AD225" s="458"/>
      <x:c r="AE225" s="458"/>
    </x:row>
    <x:row r="226" spans="1:31" ht="20.100000000000001" customHeight="1">
      <x:c r="A226" s="439" t="s">
        <x:v>765</x:v>
      </x:c>
      <x:c r="B226" s="466" t="str">
        <x:f t="shared" si="46"/>
        <x:v>인건비</x:v>
      </x:c>
      <x:c r="C226" s="440" t="str">
        <x:f t="shared" si="47"/>
        <x:v>급여</x:v>
      </x:c>
      <x:c r="D226" s="441">
        <x:v>52110303</x:v>
      </x:c>
      <x:c r="E226" s="442" t="str">
        <x:f t="shared" si="48"/>
        <x:v>제수당_변동수당</x:v>
      </x:c>
      <x:c r="F226" s="443"/>
      <x:c r="G226" s="444" t="s">
        <x:v>245</x:v>
      </x:c>
      <x:c r="H226" s="445" t="str">
        <x:f t="shared" si="43"/>
        <x:v>생산기획팀(E)</x:v>
      </x:c>
      <x:c r="I226" s="446" t="str">
        <x:f t="shared" si="49"/>
        <x:v>[관리비]</x:v>
      </x:c>
      <x:c r="J226" s="445"/>
      <x:c r="K226" s="453">
        <x:v>12186900</x:v>
      </x:c>
      <x:c r="L226" s="454">
        <x:v>12186900</x:v>
      </x:c>
      <x:c r="M226" s="454">
        <x:v>12186900</x:v>
      </x:c>
      <x:c r="N226" s="454">
        <x:v>12611238</x:v>
      </x:c>
      <x:c r="O226" s="454">
        <x:v>12611238</x:v>
      </x:c>
      <x:c r="P226" s="454">
        <x:v>12971238</x:v>
      </x:c>
      <x:c r="Q226" s="454">
        <x:v>12611238</x:v>
      </x:c>
      <x:c r="R226" s="454">
        <x:v>12611238</x:v>
      </x:c>
      <x:c r="S226" s="454">
        <x:v>12611238</x:v>
      </x:c>
      <x:c r="T226" s="454">
        <x:v>12611238</x:v>
      </x:c>
      <x:c r="U226" s="454">
        <x:v>12611238</x:v>
      </x:c>
      <x:c r="V226" s="455">
        <x:v>12971238</x:v>
      </x:c>
      <x:c r="W226" s="456">
        <x:f t="shared" si="50"/>
        <x:v>150781842</x:v>
      </x:c>
      <x:c r="X226" s="450">
        <x:f t="shared" si="51"/>
        <x:v>12565153.5</x:v>
      </x:c>
      <x:c r="Y226" s="457" t="s">
        <x:v>804</x:v>
      </x:c>
      <x:c r="Z226" s="458"/>
      <x:c r="AA226" s="458"/>
      <x:c r="AB226" s="458"/>
      <x:c r="AC226" s="458"/>
      <x:c r="AD226" s="458"/>
      <x:c r="AE226" s="458"/>
    </x:row>
    <x:row r="227" spans="1:31" ht="20.100000000000001" customHeight="1">
      <x:c r="A227" s="439" t="s">
        <x:v>765</x:v>
      </x:c>
      <x:c r="B227" s="466" t="str">
        <x:f t="shared" si="46"/>
        <x:v>인건비</x:v>
      </x:c>
      <x:c r="C227" s="440" t="str">
        <x:f t="shared" si="47"/>
        <x:v>급여</x:v>
      </x:c>
      <x:c r="D227" s="441">
        <x:v>52110303</x:v>
      </x:c>
      <x:c r="E227" s="442" t="str">
        <x:f t="shared" si="48"/>
        <x:v>제수당_변동수당</x:v>
      </x:c>
      <x:c r="F227" s="443"/>
      <x:c r="G227" s="444" t="s">
        <x:v>256</x:v>
      </x:c>
      <x:c r="H227" s="445" t="str">
        <x:f t="shared" si="43"/>
        <x:v>품질부문(E)</x:v>
      </x:c>
      <x:c r="I227" s="446" t="str">
        <x:f t="shared" si="49"/>
        <x:v>[관리비]</x:v>
      </x:c>
      <x:c r="J227" s="445"/>
      <x:c r="K227" s="453">
        <x:v>2389464</x:v>
      </x:c>
      <x:c r="L227" s="454">
        <x:v>2389464</x:v>
      </x:c>
      <x:c r="M227" s="454">
        <x:v>2389464</x:v>
      </x:c>
      <x:c r="N227" s="454">
        <x:v>2469168</x:v>
      </x:c>
      <x:c r="O227" s="454">
        <x:v>2469168</x:v>
      </x:c>
      <x:c r="P227" s="454">
        <x:v>2469168</x:v>
      </x:c>
      <x:c r="Q227" s="454">
        <x:v>2469168</x:v>
      </x:c>
      <x:c r="R227" s="454">
        <x:v>2469168</x:v>
      </x:c>
      <x:c r="S227" s="454">
        <x:v>2469168</x:v>
      </x:c>
      <x:c r="T227" s="454">
        <x:v>2469168</x:v>
      </x:c>
      <x:c r="U227" s="454">
        <x:v>2469168</x:v>
      </x:c>
      <x:c r="V227" s="455">
        <x:v>2469168</x:v>
      </x:c>
      <x:c r="W227" s="456">
        <x:f t="shared" si="50"/>
        <x:v>29390904</x:v>
      </x:c>
      <x:c r="X227" s="450">
        <x:f t="shared" si="51"/>
        <x:v>2449242</x:v>
      </x:c>
      <x:c r="Y227" s="457" t="s">
        <x:v>804</x:v>
      </x:c>
      <x:c r="Z227" s="458"/>
      <x:c r="AA227" s="458"/>
      <x:c r="AB227" s="458"/>
      <x:c r="AC227" s="458"/>
      <x:c r="AD227" s="458"/>
      <x:c r="AE227" s="458"/>
    </x:row>
    <x:row r="228" spans="1:31" ht="20.100000000000001" customHeight="1">
      <x:c r="A228" s="439" t="s">
        <x:v>765</x:v>
      </x:c>
      <x:c r="B228" s="466" t="str">
        <x:f t="shared" si="46"/>
        <x:v>인건비</x:v>
      </x:c>
      <x:c r="C228" s="440" t="str">
        <x:f t="shared" si="47"/>
        <x:v>급여</x:v>
      </x:c>
      <x:c r="D228" s="441">
        <x:v>52110303</x:v>
      </x:c>
      <x:c r="E228" s="442" t="str">
        <x:f t="shared" si="48"/>
        <x:v>제수당_변동수당</x:v>
      </x:c>
      <x:c r="F228" s="443"/>
      <x:c r="G228" s="444" t="s">
        <x:v>249</x:v>
      </x:c>
      <x:c r="H228" s="445" t="str">
        <x:f t="shared" si="43"/>
        <x:v>부품품질팀(E)</x:v>
      </x:c>
      <x:c r="I228" s="446" t="str">
        <x:f t="shared" si="49"/>
        <x:v>[관리비]</x:v>
      </x:c>
      <x:c r="J228" s="445"/>
      <x:c r="K228" s="453">
        <x:v>11210904</x:v>
      </x:c>
      <x:c r="L228" s="454">
        <x:v>11210904</x:v>
      </x:c>
      <x:c r="M228" s="454">
        <x:v>11210904</x:v>
      </x:c>
      <x:c r="N228" s="454">
        <x:v>11599344</x:v>
      </x:c>
      <x:c r="O228" s="454">
        <x:v>11599344</x:v>
      </x:c>
      <x:c r="P228" s="454">
        <x:v>12099344</x:v>
      </x:c>
      <x:c r="Q228" s="454">
        <x:v>11599344</x:v>
      </x:c>
      <x:c r="R228" s="454">
        <x:v>11599344</x:v>
      </x:c>
      <x:c r="S228" s="454">
        <x:v>11599344</x:v>
      </x:c>
      <x:c r="T228" s="454">
        <x:v>11599344</x:v>
      </x:c>
      <x:c r="U228" s="454">
        <x:v>11599344</x:v>
      </x:c>
      <x:c r="V228" s="455">
        <x:v>12099344</x:v>
      </x:c>
      <x:c r="W228" s="456">
        <x:f t="shared" ref="W228:W241" si="52">IFERROR(SUM(K228:V228),"")</x:f>
        <x:v>139026808</x:v>
      </x:c>
      <x:c r="X228" s="450">
        <x:f t="shared" ref="X228:X241" si="53">IFERROR($W228/$Y$1,"")</x:f>
        <x:v>11585567.333333334</x:v>
      </x:c>
      <x:c r="Y228" s="457" t="s">
        <x:v>804</x:v>
      </x:c>
      <x:c r="Z228" s="458"/>
      <x:c r="AA228" s="458"/>
      <x:c r="AB228" s="458"/>
      <x:c r="AC228" s="458"/>
      <x:c r="AD228" s="458"/>
      <x:c r="AE228" s="458"/>
    </x:row>
    <x:row r="229" spans="1:31" ht="20.100000000000001" customHeight="1">
      <x:c r="A229" s="439" t="s">
        <x:v>765</x:v>
      </x:c>
      <x:c r="B229" s="466" t="str">
        <x:f t="shared" si="46"/>
        <x:v>인건비</x:v>
      </x:c>
      <x:c r="C229" s="440" t="str">
        <x:f t="shared" si="47"/>
        <x:v>급여</x:v>
      </x:c>
      <x:c r="D229" s="441">
        <x:v>52110303</x:v>
      </x:c>
      <x:c r="E229" s="442" t="str">
        <x:f t="shared" si="48"/>
        <x:v>제수당_변동수당</x:v>
      </x:c>
      <x:c r="F229" s="443"/>
      <x:c r="G229" s="444" t="s">
        <x:v>99</x:v>
      </x:c>
      <x:c r="H229" s="445" t="str">
        <x:f t="shared" si="43"/>
        <x:v>전장설계1팀(E)</x:v>
      </x:c>
      <x:c r="I229" s="446" t="str">
        <x:f t="shared" si="49"/>
        <x:v>[연구개발비]</x:v>
      </x:c>
      <x:c r="J229" s="445"/>
      <x:c r="K229" s="453">
        <x:v>10140048</x:v>
      </x:c>
      <x:c r="L229" s="454">
        <x:v>10140048</x:v>
      </x:c>
      <x:c r="M229" s="454">
        <x:v>10140048</x:v>
      </x:c>
      <x:c r="N229" s="454">
        <x:v>10491840</x:v>
      </x:c>
      <x:c r="O229" s="454">
        <x:v>10491840</x:v>
      </x:c>
      <x:c r="P229" s="454">
        <x:v>12181840</x:v>
      </x:c>
      <x:c r="Q229" s="454">
        <x:v>10491840</x:v>
      </x:c>
      <x:c r="R229" s="454">
        <x:v>10491840</x:v>
      </x:c>
      <x:c r="S229" s="454">
        <x:v>10491840</x:v>
      </x:c>
      <x:c r="T229" s="454">
        <x:v>10491840</x:v>
      </x:c>
      <x:c r="U229" s="454">
        <x:v>10491840</x:v>
      </x:c>
      <x:c r="V229" s="455">
        <x:v>12181840</x:v>
      </x:c>
      <x:c r="W229" s="456">
        <x:f t="shared" si="52"/>
        <x:v>128226704</x:v>
      </x:c>
      <x:c r="X229" s="450">
        <x:f t="shared" si="53"/>
        <x:v>10685558.666666666</x:v>
      </x:c>
      <x:c r="Y229" s="457" t="s">
        <x:v>804</x:v>
      </x:c>
      <x:c r="Z229" s="458"/>
      <x:c r="AA229" s="458"/>
      <x:c r="AB229" s="458"/>
      <x:c r="AC229" s="458"/>
      <x:c r="AD229" s="458"/>
      <x:c r="AE229" s="458"/>
    </x:row>
    <x:row r="230" spans="1:31" ht="20.100000000000001" customHeight="1">
      <x:c r="A230" s="439" t="s">
        <x:v>765</x:v>
      </x:c>
      <x:c r="B230" s="466" t="str">
        <x:f t="shared" si="46"/>
        <x:v>인건비</x:v>
      </x:c>
      <x:c r="C230" s="440" t="str">
        <x:f t="shared" si="47"/>
        <x:v>급여</x:v>
      </x:c>
      <x:c r="D230" s="441">
        <x:v>52110303</x:v>
      </x:c>
      <x:c r="E230" s="442" t="str">
        <x:f t="shared" si="48"/>
        <x:v>제수당_변동수당</x:v>
      </x:c>
      <x:c r="F230" s="443"/>
      <x:c r="G230" s="444" t="s">
        <x:v>101</x:v>
      </x:c>
      <x:c r="H230" s="445" t="str">
        <x:f t="shared" si="43"/>
        <x:v>전장설계2팀(E)</x:v>
      </x:c>
      <x:c r="I230" s="446" t="str">
        <x:f t="shared" si="49"/>
        <x:v>[연구개발비]</x:v>
      </x:c>
      <x:c r="J230" s="445"/>
      <x:c r="K230" s="453">
        <x:v>20312274</x:v>
      </x:c>
      <x:c r="L230" s="454">
        <x:v>20312274</x:v>
      </x:c>
      <x:c r="M230" s="454">
        <x:v>20493370.258064516</x:v>
      </x:c>
      <x:c r="N230" s="454">
        <x:v>22471302</x:v>
      </x:c>
      <x:c r="O230" s="454">
        <x:v>22471302</x:v>
      </x:c>
      <x:c r="P230" s="454">
        <x:v>22691302</x:v>
      </x:c>
      <x:c r="Q230" s="454">
        <x:v>22471302</x:v>
      </x:c>
      <x:c r="R230" s="454">
        <x:v>22471302</x:v>
      </x:c>
      <x:c r="S230" s="454">
        <x:v>22471302</x:v>
      </x:c>
      <x:c r="T230" s="454">
        <x:v>22471302</x:v>
      </x:c>
      <x:c r="U230" s="454">
        <x:v>22471302</x:v>
      </x:c>
      <x:c r="V230" s="455">
        <x:v>22691302</x:v>
      </x:c>
      <x:c r="W230" s="456">
        <x:f t="shared" si="52"/>
        <x:v>263799636.25806451</x:v>
      </x:c>
      <x:c r="X230" s="450">
        <x:f t="shared" si="53"/>
        <x:v>21983303.021505374</x:v>
      </x:c>
      <x:c r="Y230" s="457" t="s">
        <x:v>804</x:v>
      </x:c>
      <x:c r="Z230" s="458"/>
      <x:c r="AA230" s="458"/>
      <x:c r="AB230" s="458"/>
      <x:c r="AC230" s="458"/>
      <x:c r="AD230" s="458"/>
      <x:c r="AE230" s="458"/>
    </x:row>
    <x:row r="231" spans="1:31" ht="20.100000000000001" customHeight="1">
      <x:c r="A231" s="439" t="s">
        <x:v>765</x:v>
      </x:c>
      <x:c r="B231" s="466" t="str">
        <x:f t="shared" si="46"/>
        <x:v>인건비</x:v>
      </x:c>
      <x:c r="C231" s="440" t="str">
        <x:f t="shared" si="47"/>
        <x:v>급여</x:v>
      </x:c>
      <x:c r="D231" s="441">
        <x:v>52110303</x:v>
      </x:c>
      <x:c r="E231" s="442" t="str">
        <x:f t="shared" si="48"/>
        <x:v>제수당_변동수당</x:v>
      </x:c>
      <x:c r="F231" s="443"/>
      <x:c r="G231" s="444" t="s">
        <x:v>104</x:v>
      </x:c>
      <x:c r="H231" s="445" t="str">
        <x:f t="shared" si="43"/>
        <x:v>제품개발팀(E)</x:v>
      </x:c>
      <x:c r="I231" s="446" t="str">
        <x:f t="shared" si="49"/>
        <x:v>[연구개발비]</x:v>
      </x:c>
      <x:c r="J231" s="445"/>
      <x:c r="K231" s="453">
        <x:v>10267152</x:v>
      </x:c>
      <x:c r="L231" s="454">
        <x:v>10267152</x:v>
      </x:c>
      <x:c r="M231" s="454">
        <x:v>10267152</x:v>
      </x:c>
      <x:c r="N231" s="454">
        <x:v>10623786</x:v>
      </x:c>
      <x:c r="O231" s="454">
        <x:v>10623786</x:v>
      </x:c>
      <x:c r="P231" s="454">
        <x:v>11453786</x:v>
      </x:c>
      <x:c r="Q231" s="454">
        <x:v>10623786</x:v>
      </x:c>
      <x:c r="R231" s="454">
        <x:v>10623786</x:v>
      </x:c>
      <x:c r="S231" s="454">
        <x:v>10623786</x:v>
      </x:c>
      <x:c r="T231" s="454">
        <x:v>10623786</x:v>
      </x:c>
      <x:c r="U231" s="454">
        <x:v>10623786</x:v>
      </x:c>
      <x:c r="V231" s="455">
        <x:v>11453786</x:v>
      </x:c>
      <x:c r="W231" s="456">
        <x:f t="shared" si="52"/>
        <x:v>128075530</x:v>
      </x:c>
      <x:c r="X231" s="450">
        <x:f t="shared" si="53"/>
        <x:v>10672960.833333334</x:v>
      </x:c>
      <x:c r="Y231" s="457" t="s">
        <x:v>804</x:v>
      </x:c>
      <x:c r="Z231" s="458"/>
      <x:c r="AA231" s="458"/>
      <x:c r="AB231" s="458"/>
      <x:c r="AC231" s="458"/>
      <x:c r="AD231" s="458"/>
      <x:c r="AE231" s="458"/>
    </x:row>
    <x:row r="232" spans="1:31" ht="20.100000000000001" customHeight="1">
      <x:c r="A232" s="439" t="s">
        <x:v>765</x:v>
      </x:c>
      <x:c r="B232" s="466" t="str">
        <x:f t="shared" si="46"/>
        <x:v>인건비</x:v>
      </x:c>
      <x:c r="C232" s="440" t="str">
        <x:f t="shared" si="47"/>
        <x:v>급여</x:v>
      </x:c>
      <x:c r="D232" s="441">
        <x:v>52110303</x:v>
      </x:c>
      <x:c r="E232" s="442" t="str">
        <x:f t="shared" si="48"/>
        <x:v>제수당_변동수당</x:v>
      </x:c>
      <x:c r="F232" s="443"/>
      <x:c r="G232" s="444" t="s">
        <x:v>251</x:v>
      </x:c>
      <x:c r="H232" s="445" t="str">
        <x:f t="shared" si="43"/>
        <x:v>시작평가팀(E)</x:v>
      </x:c>
      <x:c r="I232" s="446" t="str">
        <x:f t="shared" si="49"/>
        <x:v>[연구개발비]</x:v>
      </x:c>
      <x:c r="J232" s="445"/>
      <x:c r="K232" s="453">
        <x:v>12555576</x:v>
      </x:c>
      <x:c r="L232" s="454">
        <x:v>12555576</x:v>
      </x:c>
      <x:c r="M232" s="454">
        <x:v>12555576</x:v>
      </x:c>
      <x:c r="N232" s="454">
        <x:v>12990168</x:v>
      </x:c>
      <x:c r="O232" s="454">
        <x:v>12990168</x:v>
      </x:c>
      <x:c r="P232" s="454">
        <x:v>12990168</x:v>
      </x:c>
      <x:c r="Q232" s="454">
        <x:v>12990168</x:v>
      </x:c>
      <x:c r="R232" s="454">
        <x:v>12990168</x:v>
      </x:c>
      <x:c r="S232" s="454">
        <x:v>12990168</x:v>
      </x:c>
      <x:c r="T232" s="454">
        <x:v>12990168</x:v>
      </x:c>
      <x:c r="U232" s="454">
        <x:v>12990168</x:v>
      </x:c>
      <x:c r="V232" s="455">
        <x:v>12990168</x:v>
      </x:c>
      <x:c r="W232" s="456">
        <x:f t="shared" si="52"/>
        <x:v>154578240</x:v>
      </x:c>
      <x:c r="X232" s="450">
        <x:f t="shared" si="53"/>
        <x:v>12881520</x:v>
      </x:c>
      <x:c r="Y232" s="457" t="s">
        <x:v>804</x:v>
      </x:c>
      <x:c r="Z232" s="458"/>
      <x:c r="AA232" s="458"/>
      <x:c r="AB232" s="458"/>
      <x:c r="AC232" s="458"/>
      <x:c r="AD232" s="458"/>
      <x:c r="AE232" s="458"/>
    </x:row>
    <x:row r="233" spans="1:31" ht="20.100000000000001" customHeight="1">
      <x:c r="A233" s="439" t="s">
        <x:v>765</x:v>
      </x:c>
      <x:c r="B233" s="466" t="str">
        <x:f t="shared" si="46"/>
        <x:v>인건비</x:v>
      </x:c>
      <x:c r="C233" s="440" t="str">
        <x:f t="shared" si="47"/>
        <x:v>급여</x:v>
      </x:c>
      <x:c r="D233" s="441">
        <x:v>52110303</x:v>
      </x:c>
      <x:c r="E233" s="442" t="str">
        <x:f t="shared" si="48"/>
        <x:v>제수당_변동수당</x:v>
      </x:c>
      <x:c r="F233" s="443"/>
      <x:c r="G233" s="444" t="s">
        <x:v>106</x:v>
      </x:c>
      <x:c r="H233" s="445" t="str">
        <x:f t="shared" si="43"/>
        <x:v>구매팀(E)</x:v>
      </x:c>
      <x:c r="I233" s="446" t="str">
        <x:f t="shared" si="49"/>
        <x:v>[관리비]</x:v>
      </x:c>
      <x:c r="J233" s="445"/>
      <x:c r="K233" s="453">
        <x:v>15041642</x:v>
      </x:c>
      <x:c r="L233" s="454">
        <x:v>15041642</x:v>
      </x:c>
      <x:c r="M233" s="454">
        <x:v>15041642</x:v>
      </x:c>
      <x:c r="N233" s="454">
        <x:v>16724796</x:v>
      </x:c>
      <x:c r="O233" s="454">
        <x:v>16724796</x:v>
      </x:c>
      <x:c r="P233" s="454">
        <x:v>16724796</x:v>
      </x:c>
      <x:c r="Q233" s="454">
        <x:v>16724796</x:v>
      </x:c>
      <x:c r="R233" s="454">
        <x:v>16724796</x:v>
      </x:c>
      <x:c r="S233" s="454">
        <x:v>16724796</x:v>
      </x:c>
      <x:c r="T233" s="454">
        <x:v>16724796</x:v>
      </x:c>
      <x:c r="U233" s="454">
        <x:v>16724796</x:v>
      </x:c>
      <x:c r="V233" s="455">
        <x:v>16724796</x:v>
      </x:c>
      <x:c r="W233" s="456">
        <x:f t="shared" si="52"/>
        <x:v>195648090</x:v>
      </x:c>
      <x:c r="X233" s="450">
        <x:f t="shared" si="53"/>
        <x:v>16304007.5</x:v>
      </x:c>
      <x:c r="Y233" s="457" t="s">
        <x:v>804</x:v>
      </x:c>
      <x:c r="Z233" s="458"/>
      <x:c r="AA233" s="458"/>
      <x:c r="AB233" s="458"/>
      <x:c r="AC233" s="458"/>
      <x:c r="AD233" s="458"/>
      <x:c r="AE233" s="458"/>
    </x:row>
    <x:row r="234" spans="1:31" ht="20.100000000000001" customHeight="1">
      <x:c r="A234" s="439" t="s">
        <x:v>765</x:v>
      </x:c>
      <x:c r="B234" s="466" t="str">
        <x:f t="shared" si="46"/>
        <x:v>인건비</x:v>
      </x:c>
      <x:c r="C234" s="440" t="str">
        <x:f t="shared" si="47"/>
        <x:v>급여</x:v>
      </x:c>
      <x:c r="D234" s="441">
        <x:v>52110303</x:v>
      </x:c>
      <x:c r="E234" s="442" t="str">
        <x:f t="shared" si="48"/>
        <x:v>제수당_변동수당</x:v>
      </x:c>
      <x:c r="F234" s="443"/>
      <x:c r="G234" s="444" t="s">
        <x:v>150</x:v>
      </x:c>
      <x:c r="H234" s="445" t="str">
        <x:f t="shared" si="43"/>
        <x:v>구매영업부문(E)</x:v>
      </x:c>
      <x:c r="I234" s="446" t="str">
        <x:f t="shared" si="49"/>
        <x:v>[판매비]</x:v>
      </x:c>
      <x:c r="J234" s="445"/>
      <x:c r="K234" s="453">
        <x:v>0</x:v>
      </x:c>
      <x:c r="L234" s="454">
        <x:v>0</x:v>
      </x:c>
      <x:c r="M234" s="454">
        <x:v>0</x:v>
      </x:c>
      <x:c r="N234" s="454">
        <x:v>0</x:v>
      </x:c>
      <x:c r="O234" s="454">
        <x:v>0</x:v>
      </x:c>
      <x:c r="P234" s="454">
        <x:v>0</x:v>
      </x:c>
      <x:c r="Q234" s="454">
        <x:v>0</x:v>
      </x:c>
      <x:c r="R234" s="454">
        <x:v>0</x:v>
      </x:c>
      <x:c r="S234" s="454">
        <x:v>0</x:v>
      </x:c>
      <x:c r="T234" s="454">
        <x:v>0</x:v>
      </x:c>
      <x:c r="U234" s="454">
        <x:v>0</x:v>
      </x:c>
      <x:c r="V234" s="455">
        <x:v>0</x:v>
      </x:c>
      <x:c r="W234" s="456">
        <x:f t="shared" si="52"/>
        <x:v>0</x:v>
      </x:c>
      <x:c r="X234" s="450">
        <x:f t="shared" si="53"/>
        <x:v>0</x:v>
      </x:c>
      <x:c r="Y234" s="457" t="s">
        <x:v>804</x:v>
      </x:c>
      <x:c r="Z234" s="458"/>
      <x:c r="AA234" s="458"/>
      <x:c r="AB234" s="458"/>
      <x:c r="AC234" s="458"/>
      <x:c r="AD234" s="458"/>
      <x:c r="AE234" s="458"/>
    </x:row>
    <x:row r="235" spans="1:31" ht="20.100000000000001" customHeight="1">
      <x:c r="A235" s="439" t="s">
        <x:v>765</x:v>
      </x:c>
      <x:c r="B235" s="466" t="str">
        <x:f t="shared" si="46"/>
        <x:v>인건비</x:v>
      </x:c>
      <x:c r="C235" s="440" t="str">
        <x:f t="shared" si="47"/>
        <x:v>급여</x:v>
      </x:c>
      <x:c r="D235" s="441">
        <x:v>52110303</x:v>
      </x:c>
      <x:c r="E235" s="442" t="str">
        <x:f t="shared" si="48"/>
        <x:v>제수당_변동수당</x:v>
      </x:c>
      <x:c r="F235" s="443"/>
      <x:c r="G235" s="444" t="s">
        <x:v>247</x:v>
      </x:c>
      <x:c r="H235" s="445" t="str">
        <x:f t="shared" si="43"/>
        <x:v>영업팀(E)</x:v>
      </x:c>
      <x:c r="I235" s="446" t="str">
        <x:f t="shared" si="49"/>
        <x:v>[판매비]</x:v>
      </x:c>
      <x:c r="J235" s="445"/>
      <x:c r="K235" s="453">
        <x:v>10116960</x:v>
      </x:c>
      <x:c r="L235" s="454">
        <x:v>10116960</x:v>
      </x:c>
      <x:c r="M235" s="454">
        <x:v>10116960</x:v>
      </x:c>
      <x:c r="N235" s="454">
        <x:v>10467474</x:v>
      </x:c>
      <x:c r="O235" s="454">
        <x:v>10467474</x:v>
      </x:c>
      <x:c r="P235" s="454">
        <x:v>12597474</x:v>
      </x:c>
      <x:c r="Q235" s="454">
        <x:v>10467474</x:v>
      </x:c>
      <x:c r="R235" s="454">
        <x:v>10467474</x:v>
      </x:c>
      <x:c r="S235" s="454">
        <x:v>10467474</x:v>
      </x:c>
      <x:c r="T235" s="454">
        <x:v>10467474</x:v>
      </x:c>
      <x:c r="U235" s="454">
        <x:v>10467474</x:v>
      </x:c>
      <x:c r="V235" s="455">
        <x:v>12597474</x:v>
      </x:c>
      <x:c r="W235" s="456">
        <x:f t="shared" si="52"/>
        <x:v>128818146</x:v>
      </x:c>
      <x:c r="X235" s="450">
        <x:f t="shared" si="53"/>
        <x:v>10734845.5</x:v>
      </x:c>
      <x:c r="Y235" s="457" t="s">
        <x:v>804</x:v>
      </x:c>
      <x:c r="Z235" s="458"/>
      <x:c r="AA235" s="458"/>
      <x:c r="AB235" s="458"/>
      <x:c r="AC235" s="458"/>
      <x:c r="AD235" s="458"/>
      <x:c r="AE235" s="458"/>
    </x:row>
    <x:row r="236" spans="1:31" ht="20.100000000000001" customHeight="1">
      <x:c r="A236" s="439" t="s">
        <x:v>765</x:v>
      </x:c>
      <x:c r="B236" s="466" t="str">
        <x:f t="shared" si="46"/>
        <x:v>인건비</x:v>
      </x:c>
      <x:c r="C236" s="440" t="str">
        <x:f t="shared" si="47"/>
        <x:v>상여</x:v>
      </x:c>
      <x:c r="D236" s="441">
        <x:v>52110512</x:v>
      </x:c>
      <x:c r="E236" s="442" t="str">
        <x:f t="shared" si="48"/>
        <x:v>상여_특별상여</x:v>
      </x:c>
      <x:c r="F236" s="443"/>
      <x:c r="G236" s="444" t="s">
        <x:v>80</x:v>
      </x:c>
      <x:c r="H236" s="445" t="str">
        <x:f t="shared" si="43"/>
        <x:v>사업관리팀(E)</x:v>
      </x:c>
      <x:c r="I236" s="446" t="str">
        <x:f t="shared" si="49"/>
        <x:v>[관리비]</x:v>
      </x:c>
      <x:c r="J236" s="445"/>
      <x:c r="K236" s="453">
        <x:v>0</x:v>
      </x:c>
      <x:c r="L236" s="454">
        <x:v>3500000</x:v>
      </x:c>
      <x:c r="M236" s="454">
        <x:v>0</x:v>
      </x:c>
      <x:c r="N236" s="454">
        <x:v>0</x:v>
      </x:c>
      <x:c r="O236" s="454">
        <x:v>0</x:v>
      </x:c>
      <x:c r="P236" s="454">
        <x:v>0</x:v>
      </x:c>
      <x:c r="Q236" s="454">
        <x:v>3500000</x:v>
      </x:c>
      <x:c r="R236" s="454">
        <x:v>0</x:v>
      </x:c>
      <x:c r="S236" s="454">
        <x:v>0</x:v>
      </x:c>
      <x:c r="T236" s="454">
        <x:v>2500000</x:v>
      </x:c>
      <x:c r="U236" s="454">
        <x:v>2500000</x:v>
      </x:c>
      <x:c r="V236" s="455">
        <x:v>0</x:v>
      </x:c>
      <x:c r="W236" s="456">
        <x:f t="shared" si="52"/>
        <x:v>12000000</x:v>
      </x:c>
      <x:c r="X236" s="450">
        <x:f t="shared" si="53"/>
        <x:v>1000000</x:v>
      </x:c>
      <x:c r="Y236" s="457">
        <x:v>5</x:v>
      </x:c>
      <x:c r="Z236" s="458"/>
      <x:c r="AA236" s="458"/>
      <x:c r="AB236" s="458"/>
      <x:c r="AC236" s="458"/>
      <x:c r="AD236" s="458"/>
      <x:c r="AE236" s="458"/>
    </x:row>
    <x:row r="237" spans="1:31" ht="20.100000000000001" customHeight="1">
      <x:c r="A237" s="439" t="s">
        <x:v>765</x:v>
      </x:c>
      <x:c r="B237" s="466" t="str">
        <x:f t="shared" si="46"/>
        <x:v>인건비</x:v>
      </x:c>
      <x:c r="C237" s="440" t="str">
        <x:f t="shared" si="47"/>
        <x:v>상여</x:v>
      </x:c>
      <x:c r="D237" s="441">
        <x:v>52110512</x:v>
      </x:c>
      <x:c r="E237" s="442" t="str">
        <x:f t="shared" si="48"/>
        <x:v>상여_특별상여</x:v>
      </x:c>
      <x:c r="F237" s="443"/>
      <x:c r="G237" s="444" t="s">
        <x:v>103</x:v>
      </x:c>
      <x:c r="H237" s="445" t="str">
        <x:f t="shared" si="43"/>
        <x:v>전장사업부(E)</x:v>
      </x:c>
      <x:c r="I237" s="446" t="str">
        <x:f t="shared" si="49"/>
        <x:v>[관리비]</x:v>
      </x:c>
      <x:c r="J237" s="445"/>
      <x:c r="K237" s="453">
        <x:v>0</x:v>
      </x:c>
      <x:c r="L237" s="454">
        <x:v>700000</x:v>
      </x:c>
      <x:c r="M237" s="454">
        <x:v>0</x:v>
      </x:c>
      <x:c r="N237" s="454">
        <x:v>0</x:v>
      </x:c>
      <x:c r="O237" s="454">
        <x:v>0</x:v>
      </x:c>
      <x:c r="P237" s="454">
        <x:v>0</x:v>
      </x:c>
      <x:c r="Q237" s="454">
        <x:v>700000</x:v>
      </x:c>
      <x:c r="R237" s="454">
        <x:v>0</x:v>
      </x:c>
      <x:c r="S237" s="454">
        <x:v>0</x:v>
      </x:c>
      <x:c r="T237" s="454">
        <x:v>500000</x:v>
      </x:c>
      <x:c r="U237" s="454">
        <x:v>500000</x:v>
      </x:c>
      <x:c r="V237" s="455">
        <x:v>0</x:v>
      </x:c>
      <x:c r="W237" s="456">
        <x:f t="shared" si="52"/>
        <x:v>2400000</x:v>
      </x:c>
      <x:c r="X237" s="450">
        <x:f t="shared" si="53"/>
        <x:v>200000</x:v>
      </x:c>
      <x:c r="Y237" s="457">
        <x:v>1</x:v>
      </x:c>
      <x:c r="Z237" s="458"/>
      <x:c r="AA237" s="458"/>
      <x:c r="AB237" s="458"/>
      <x:c r="AC237" s="458"/>
      <x:c r="AD237" s="458"/>
      <x:c r="AE237" s="458"/>
    </x:row>
    <x:row r="238" spans="1:31" ht="20.100000000000001" customHeight="1">
      <x:c r="A238" s="439" t="s">
        <x:v>765</x:v>
      </x:c>
      <x:c r="B238" s="466" t="str">
        <x:f t="shared" si="46"/>
        <x:v>인건비</x:v>
      </x:c>
      <x:c r="C238" s="440" t="str">
        <x:f t="shared" si="47"/>
        <x:v>상여</x:v>
      </x:c>
      <x:c r="D238" s="441">
        <x:v>52110512</x:v>
      </x:c>
      <x:c r="E238" s="442" t="str">
        <x:f t="shared" si="48"/>
        <x:v>상여_특별상여</x:v>
      </x:c>
      <x:c r="F238" s="443"/>
      <x:c r="G238" s="444" t="s">
        <x:v>82</x:v>
      </x:c>
      <x:c r="H238" s="445" t="str">
        <x:f t="shared" si="43"/>
        <x:v>생산기술팀(E)</x:v>
      </x:c>
      <x:c r="I238" s="446" t="str">
        <x:f t="shared" si="49"/>
        <x:v>[관리비]</x:v>
      </x:c>
      <x:c r="J238" s="445"/>
      <x:c r="K238" s="453">
        <x:v>0</x:v>
      </x:c>
      <x:c r="L238" s="454">
        <x:v>8400000</x:v>
      </x:c>
      <x:c r="M238" s="454">
        <x:v>0</x:v>
      </x:c>
      <x:c r="N238" s="454">
        <x:v>0</x:v>
      </x:c>
      <x:c r="O238" s="454">
        <x:v>0</x:v>
      </x:c>
      <x:c r="P238" s="454">
        <x:v>0</x:v>
      </x:c>
      <x:c r="Q238" s="454">
        <x:v>8400000</x:v>
      </x:c>
      <x:c r="R238" s="454">
        <x:v>0</x:v>
      </x:c>
      <x:c r="S238" s="454">
        <x:v>0</x:v>
      </x:c>
      <x:c r="T238" s="454">
        <x:v>6000000</x:v>
      </x:c>
      <x:c r="U238" s="454">
        <x:v>6000000</x:v>
      </x:c>
      <x:c r="V238" s="455">
        <x:v>0</x:v>
      </x:c>
      <x:c r="W238" s="456">
        <x:f t="shared" si="52"/>
        <x:v>28800000</x:v>
      </x:c>
      <x:c r="X238" s="450">
        <x:f t="shared" si="53"/>
        <x:v>2400000</x:v>
      </x:c>
      <x:c r="Y238" s="457">
        <x:v>12</x:v>
      </x:c>
      <x:c r="Z238" s="458"/>
      <x:c r="AA238" s="458"/>
      <x:c r="AB238" s="458"/>
      <x:c r="AC238" s="458"/>
      <x:c r="AD238" s="458"/>
      <x:c r="AE238" s="458"/>
    </x:row>
    <x:row r="239" spans="1:31" ht="20.100000000000001" customHeight="1">
      <x:c r="A239" s="439" t="s">
        <x:v>765</x:v>
      </x:c>
      <x:c r="B239" s="466" t="str">
        <x:f t="shared" si="46"/>
        <x:v>인건비</x:v>
      </x:c>
      <x:c r="C239" s="440" t="str">
        <x:f t="shared" si="47"/>
        <x:v>상여</x:v>
      </x:c>
      <x:c r="D239" s="441">
        <x:v>52110512</x:v>
      </x:c>
      <x:c r="E239" s="442" t="str">
        <x:f t="shared" si="48"/>
        <x:v>상여_특별상여</x:v>
      </x:c>
      <x:c r="F239" s="443"/>
      <x:c r="G239" s="444" t="s">
        <x:v>84</x:v>
      </x:c>
      <x:c r="H239" s="445" t="str">
        <x:f t="shared" si="43"/>
        <x:v>품질경영팀(E)</x:v>
      </x:c>
      <x:c r="I239" s="446" t="str">
        <x:f t="shared" si="49"/>
        <x:v>[관리비]</x:v>
      </x:c>
      <x:c r="J239" s="445"/>
      <x:c r="K239" s="453">
        <x:v>0</x:v>
      </x:c>
      <x:c r="L239" s="454">
        <x:v>6300000</x:v>
      </x:c>
      <x:c r="M239" s="454">
        <x:v>0</x:v>
      </x:c>
      <x:c r="N239" s="454">
        <x:v>0</x:v>
      </x:c>
      <x:c r="O239" s="454">
        <x:v>0</x:v>
      </x:c>
      <x:c r="P239" s="454">
        <x:v>0</x:v>
      </x:c>
      <x:c r="Q239" s="454">
        <x:v>6300000</x:v>
      </x:c>
      <x:c r="R239" s="454">
        <x:v>0</x:v>
      </x:c>
      <x:c r="S239" s="454">
        <x:v>0</x:v>
      </x:c>
      <x:c r="T239" s="454">
        <x:v>4500000</x:v>
      </x:c>
      <x:c r="U239" s="454">
        <x:v>4500000</x:v>
      </x:c>
      <x:c r="V239" s="455">
        <x:v>0</x:v>
      </x:c>
      <x:c r="W239" s="456">
        <x:f t="shared" si="52"/>
        <x:v>21600000</x:v>
      </x:c>
      <x:c r="X239" s="450">
        <x:f t="shared" si="53"/>
        <x:v>1800000</x:v>
      </x:c>
      <x:c r="Y239" s="457">
        <x:v>9</x:v>
      </x:c>
      <x:c r="Z239" s="458"/>
      <x:c r="AA239" s="458"/>
      <x:c r="AB239" s="458"/>
      <x:c r="AC239" s="458"/>
      <x:c r="AD239" s="458"/>
      <x:c r="AE239" s="458"/>
    </x:row>
    <x:row r="240" spans="1:31" ht="20.100000000000001" customHeight="1">
      <x:c r="A240" s="439" t="s">
        <x:v>765</x:v>
      </x:c>
      <x:c r="B240" s="466" t="str">
        <x:f t="shared" si="46"/>
        <x:v>인건비</x:v>
      </x:c>
      <x:c r="C240" s="440" t="str">
        <x:f t="shared" si="47"/>
        <x:v>상여</x:v>
      </x:c>
      <x:c r="D240" s="441">
        <x:v>52110512</x:v>
      </x:c>
      <x:c r="E240" s="442" t="str">
        <x:f t="shared" si="48"/>
        <x:v>상여_특별상여</x:v>
      </x:c>
      <x:c r="F240" s="443"/>
      <x:c r="G240" s="444" t="s">
        <x:v>253</x:v>
      </x:c>
      <x:c r="H240" s="445" t="str">
        <x:f t="shared" si="43"/>
        <x:v>생산부문(E)</x:v>
      </x:c>
      <x:c r="I240" s="446" t="str">
        <x:f t="shared" si="49"/>
        <x:v>[관리비]</x:v>
      </x:c>
      <x:c r="J240" s="445"/>
      <x:c r="K240" s="453">
        <x:v>0</x:v>
      </x:c>
      <x:c r="L240" s="454">
        <x:v>700000</x:v>
      </x:c>
      <x:c r="M240" s="454">
        <x:v>0</x:v>
      </x:c>
      <x:c r="N240" s="454">
        <x:v>0</x:v>
      </x:c>
      <x:c r="O240" s="454">
        <x:v>0</x:v>
      </x:c>
      <x:c r="P240" s="454">
        <x:v>0</x:v>
      </x:c>
      <x:c r="Q240" s="454">
        <x:v>700000</x:v>
      </x:c>
      <x:c r="R240" s="454">
        <x:v>0</x:v>
      </x:c>
      <x:c r="S240" s="454">
        <x:v>0</x:v>
      </x:c>
      <x:c r="T240" s="454">
        <x:v>500000</x:v>
      </x:c>
      <x:c r="U240" s="454">
        <x:v>500000</x:v>
      </x:c>
      <x:c r="V240" s="455">
        <x:v>0</x:v>
      </x:c>
      <x:c r="W240" s="456">
        <x:f t="shared" si="52"/>
        <x:v>2400000</x:v>
      </x:c>
      <x:c r="X240" s="450">
        <x:f t="shared" si="53"/>
        <x:v>200000</x:v>
      </x:c>
      <x:c r="Y240" s="457">
        <x:v>1</x:v>
      </x:c>
      <x:c r="Z240" s="458"/>
      <x:c r="AA240" s="458"/>
      <x:c r="AB240" s="458"/>
      <x:c r="AC240" s="458"/>
      <x:c r="AD240" s="458"/>
      <x:c r="AE240" s="458"/>
    </x:row>
    <x:row r="241" spans="1:31" ht="20.100000000000001" customHeight="1">
      <x:c r="A241" s="439" t="s">
        <x:v>765</x:v>
      </x:c>
      <x:c r="B241" s="466" t="str">
        <x:f t="shared" si="46"/>
        <x:v>인건비</x:v>
      </x:c>
      <x:c r="C241" s="440" t="str">
        <x:f t="shared" si="47"/>
        <x:v>상여</x:v>
      </x:c>
      <x:c r="D241" s="441">
        <x:v>52110512</x:v>
      </x:c>
      <x:c r="E241" s="442" t="str">
        <x:f t="shared" si="48"/>
        <x:v>상여_특별상여</x:v>
      </x:c>
      <x:c r="F241" s="443"/>
      <x:c r="G241" s="444" t="s">
        <x:v>245</x:v>
      </x:c>
      <x:c r="H241" s="445" t="str">
        <x:f t="shared" si="43"/>
        <x:v>생산기획팀(E)</x:v>
      </x:c>
      <x:c r="I241" s="446" t="str">
        <x:f t="shared" si="49"/>
        <x:v>[관리비]</x:v>
      </x:c>
      <x:c r="J241" s="445"/>
      <x:c r="K241" s="453">
        <x:v>0</x:v>
      </x:c>
      <x:c r="L241" s="454">
        <x:v>5600000</x:v>
      </x:c>
      <x:c r="M241" s="454">
        <x:v>0</x:v>
      </x:c>
      <x:c r="N241" s="454">
        <x:v>0</x:v>
      </x:c>
      <x:c r="O241" s="454">
        <x:v>0</x:v>
      </x:c>
      <x:c r="P241" s="454">
        <x:v>0</x:v>
      </x:c>
      <x:c r="Q241" s="454">
        <x:v>5600000</x:v>
      </x:c>
      <x:c r="R241" s="454">
        <x:v>0</x:v>
      </x:c>
      <x:c r="S241" s="454">
        <x:v>0</x:v>
      </x:c>
      <x:c r="T241" s="454">
        <x:v>4000000</x:v>
      </x:c>
      <x:c r="U241" s="454">
        <x:v>4000000</x:v>
      </x:c>
      <x:c r="V241" s="455">
        <x:v>0</x:v>
      </x:c>
      <x:c r="W241" s="456">
        <x:f t="shared" si="52"/>
        <x:v>19200000</x:v>
      </x:c>
      <x:c r="X241" s="450">
        <x:f t="shared" si="53"/>
        <x:v>1600000</x:v>
      </x:c>
      <x:c r="Y241" s="457">
        <x:v>8</x:v>
      </x:c>
      <x:c r="Z241" s="458"/>
      <x:c r="AA241" s="458"/>
      <x:c r="AB241" s="458"/>
      <x:c r="AC241" s="458"/>
      <x:c r="AD241" s="458"/>
      <x:c r="AE241" s="458"/>
    </x:row>
    <x:row r="242" spans="1:31" ht="20.100000000000001" customHeight="1">
      <x:c r="A242" s="439" t="s">
        <x:v>765</x:v>
      </x:c>
      <x:c r="B242" s="466" t="str">
        <x:f t="shared" si="46"/>
        <x:v>인건비</x:v>
      </x:c>
      <x:c r="C242" s="440" t="str">
        <x:f t="shared" si="47"/>
        <x:v>상여</x:v>
      </x:c>
      <x:c r="D242" s="441">
        <x:v>52110512</x:v>
      </x:c>
      <x:c r="E242" s="442" t="str">
        <x:f t="shared" si="48"/>
        <x:v>상여_특별상여</x:v>
      </x:c>
      <x:c r="F242" s="443"/>
      <x:c r="G242" s="444" t="s">
        <x:v>256</x:v>
      </x:c>
      <x:c r="H242" s="445" t="str">
        <x:f t="shared" si="43"/>
        <x:v>품질부문(E)</x:v>
      </x:c>
      <x:c r="I242" s="446" t="str">
        <x:f t="shared" si="49"/>
        <x:v>[관리비]</x:v>
      </x:c>
      <x:c r="J242" s="445"/>
      <x:c r="K242" s="453">
        <x:v>0</x:v>
      </x:c>
      <x:c r="L242" s="454">
        <x:v>700000</x:v>
      </x:c>
      <x:c r="M242" s="454">
        <x:v>0</x:v>
      </x:c>
      <x:c r="N242" s="454">
        <x:v>0</x:v>
      </x:c>
      <x:c r="O242" s="454">
        <x:v>0</x:v>
      </x:c>
      <x:c r="P242" s="454">
        <x:v>0</x:v>
      </x:c>
      <x:c r="Q242" s="454">
        <x:v>700000</x:v>
      </x:c>
      <x:c r="R242" s="454">
        <x:v>0</x:v>
      </x:c>
      <x:c r="S242" s="454">
        <x:v>0</x:v>
      </x:c>
      <x:c r="T242" s="454">
        <x:v>500000</x:v>
      </x:c>
      <x:c r="U242" s="454">
        <x:v>500000</x:v>
      </x:c>
      <x:c r="V242" s="455">
        <x:v>0</x:v>
      </x:c>
      <x:c r="W242" s="456">
        <x:f t="shared" ref="W242:W244" si="54">IFERROR(SUM(K242:V242),"")</x:f>
        <x:v>2400000</x:v>
      </x:c>
      <x:c r="X242" s="450">
        <x:f t="shared" ref="X242:X244" si="55">IFERROR($W242/$Y$1,"")</x:f>
        <x:v>200000</x:v>
      </x:c>
      <x:c r="Y242" s="457">
        <x:v>1</x:v>
      </x:c>
      <x:c r="Z242" s="458"/>
      <x:c r="AA242" s="458"/>
      <x:c r="AB242" s="458"/>
      <x:c r="AC242" s="458"/>
      <x:c r="AD242" s="458"/>
      <x:c r="AE242" s="458"/>
    </x:row>
    <x:row r="243" spans="1:31" ht="20.100000000000001" customHeight="1">
      <x:c r="A243" s="439" t="s">
        <x:v>765</x:v>
      </x:c>
      <x:c r="B243" s="466" t="str">
        <x:f t="shared" si="46"/>
        <x:v>인건비</x:v>
      </x:c>
      <x:c r="C243" s="440" t="str">
        <x:f t="shared" si="47"/>
        <x:v>상여</x:v>
      </x:c>
      <x:c r="D243" s="441">
        <x:v>52110512</x:v>
      </x:c>
      <x:c r="E243" s="442" t="str">
        <x:f t="shared" si="48"/>
        <x:v>상여_특별상여</x:v>
      </x:c>
      <x:c r="F243" s="443"/>
      <x:c r="G243" s="444" t="s">
        <x:v>249</x:v>
      </x:c>
      <x:c r="H243" s="445" t="str">
        <x:f t="shared" si="43"/>
        <x:v>부품품질팀(E)</x:v>
      </x:c>
      <x:c r="I243" s="446" t="str">
        <x:f t="shared" si="49"/>
        <x:v>[관리비]</x:v>
      </x:c>
      <x:c r="J243" s="445"/>
      <x:c r="K243" s="453">
        <x:v>0</x:v>
      </x:c>
      <x:c r="L243" s="454">
        <x:v>4900000</x:v>
      </x:c>
      <x:c r="M243" s="454">
        <x:v>0</x:v>
      </x:c>
      <x:c r="N243" s="454">
        <x:v>0</x:v>
      </x:c>
      <x:c r="O243" s="454">
        <x:v>0</x:v>
      </x:c>
      <x:c r="P243" s="454">
        <x:v>0</x:v>
      </x:c>
      <x:c r="Q243" s="454">
        <x:v>4900000</x:v>
      </x:c>
      <x:c r="R243" s="454">
        <x:v>0</x:v>
      </x:c>
      <x:c r="S243" s="454">
        <x:v>0</x:v>
      </x:c>
      <x:c r="T243" s="454">
        <x:v>3500000</x:v>
      </x:c>
      <x:c r="U243" s="454">
        <x:v>3500000</x:v>
      </x:c>
      <x:c r="V243" s="455">
        <x:v>0</x:v>
      </x:c>
      <x:c r="W243" s="456">
        <x:f t="shared" si="54"/>
        <x:v>16800000</x:v>
      </x:c>
      <x:c r="X243" s="450">
        <x:f t="shared" si="55"/>
        <x:v>1400000</x:v>
      </x:c>
      <x:c r="Y243" s="457">
        <x:v>7</x:v>
      </x:c>
      <x:c r="Z243" s="458"/>
      <x:c r="AA243" s="458"/>
      <x:c r="AB243" s="458"/>
      <x:c r="AC243" s="458"/>
      <x:c r="AD243" s="458"/>
      <x:c r="AE243" s="458"/>
    </x:row>
    <x:row r="244" spans="1:31" ht="20.100000000000001" customHeight="1">
      <x:c r="A244" s="439" t="s">
        <x:v>765</x:v>
      </x:c>
      <x:c r="B244" s="466" t="str">
        <x:f t="shared" si="46"/>
        <x:v>인건비</x:v>
      </x:c>
      <x:c r="C244" s="440" t="str">
        <x:f t="shared" si="47"/>
        <x:v>상여</x:v>
      </x:c>
      <x:c r="D244" s="441">
        <x:v>52110512</x:v>
      </x:c>
      <x:c r="E244" s="442" t="str">
        <x:f t="shared" si="48"/>
        <x:v>상여_특별상여</x:v>
      </x:c>
      <x:c r="F244" s="443"/>
      <x:c r="G244" s="444" t="s">
        <x:v>114</x:v>
      </x:c>
      <x:c r="H244" s="445" t="str">
        <x:f t="shared" si="43"/>
        <x:v>연구개발부문(E)</x:v>
      </x:c>
      <x:c r="I244" s="446" t="str">
        <x:f t="shared" si="49"/>
        <x:v>[연구개발비]</x:v>
      </x:c>
      <x:c r="J244" s="445"/>
      <x:c r="K244" s="453">
        <x:v>0</x:v>
      </x:c>
      <x:c r="L244" s="454">
        <x:v>700000</x:v>
      </x:c>
      <x:c r="M244" s="454">
        <x:v>0</x:v>
      </x:c>
      <x:c r="N244" s="454">
        <x:v>0</x:v>
      </x:c>
      <x:c r="O244" s="454">
        <x:v>0</x:v>
      </x:c>
      <x:c r="P244" s="454">
        <x:v>0</x:v>
      </x:c>
      <x:c r="Q244" s="454">
        <x:v>700000</x:v>
      </x:c>
      <x:c r="R244" s="454">
        <x:v>0</x:v>
      </x:c>
      <x:c r="S244" s="454">
        <x:v>0</x:v>
      </x:c>
      <x:c r="T244" s="454">
        <x:v>500000</x:v>
      </x:c>
      <x:c r="U244" s="454">
        <x:v>500000</x:v>
      </x:c>
      <x:c r="V244" s="455">
        <x:v>0</x:v>
      </x:c>
      <x:c r="W244" s="456">
        <x:f t="shared" si="54"/>
        <x:v>2400000</x:v>
      </x:c>
      <x:c r="X244" s="450">
        <x:f t="shared" si="55"/>
        <x:v>200000</x:v>
      </x:c>
      <x:c r="Y244" s="457">
        <x:v>1</x:v>
      </x:c>
      <x:c r="Z244" s="458"/>
      <x:c r="AA244" s="458"/>
      <x:c r="AB244" s="458"/>
      <x:c r="AC244" s="458"/>
      <x:c r="AD244" s="458"/>
      <x:c r="AE244" s="458"/>
    </x:row>
    <x:row r="245" spans="1:31" ht="20.100000000000001" customHeight="1">
      <x:c r="A245" s="439" t="s">
        <x:v>765</x:v>
      </x:c>
      <x:c r="B245" s="466" t="str">
        <x:f t="shared" si="46"/>
        <x:v>인건비</x:v>
      </x:c>
      <x:c r="C245" s="440" t="str">
        <x:f t="shared" si="47"/>
        <x:v>상여</x:v>
      </x:c>
      <x:c r="D245" s="441">
        <x:v>52110512</x:v>
      </x:c>
      <x:c r="E245" s="442" t="str">
        <x:f t="shared" si="48"/>
        <x:v>상여_특별상여</x:v>
      </x:c>
      <x:c r="F245" s="443"/>
      <x:c r="G245" s="444" t="s">
        <x:v>99</x:v>
      </x:c>
      <x:c r="H245" s="445" t="str">
        <x:f t="shared" si="43"/>
        <x:v>전장설계1팀(E)</x:v>
      </x:c>
      <x:c r="I245" s="446" t="str">
        <x:f t="shared" si="49"/>
        <x:v>[연구개발비]</x:v>
      </x:c>
      <x:c r="J245" s="445"/>
      <x:c r="K245" s="453">
        <x:v>0</x:v>
      </x:c>
      <x:c r="L245" s="454">
        <x:v>4200000</x:v>
      </x:c>
      <x:c r="M245" s="454">
        <x:v>0</x:v>
      </x:c>
      <x:c r="N245" s="454">
        <x:v>0</x:v>
      </x:c>
      <x:c r="O245" s="454">
        <x:v>0</x:v>
      </x:c>
      <x:c r="P245" s="454">
        <x:v>0</x:v>
      </x:c>
      <x:c r="Q245" s="454">
        <x:v>4200000</x:v>
      </x:c>
      <x:c r="R245" s="454">
        <x:v>0</x:v>
      </x:c>
      <x:c r="S245" s="454">
        <x:v>0</x:v>
      </x:c>
      <x:c r="T245" s="454">
        <x:v>3000000</x:v>
      </x:c>
      <x:c r="U245" s="454">
        <x:v>3000000</x:v>
      </x:c>
      <x:c r="V245" s="455">
        <x:v>0</x:v>
      </x:c>
      <x:c r="W245" s="456">
        <x:f t="shared" ref="W245:W266" si="56">IFERROR(SUM(K245:V245),"")</x:f>
        <x:v>14400000</x:v>
      </x:c>
      <x:c r="X245" s="450">
        <x:f t="shared" ref="X245:X266" si="57">IFERROR($W245/$Y$1,"")</x:f>
        <x:v>1200000</x:v>
      </x:c>
      <x:c r="Y245" s="457">
        <x:v>6</x:v>
      </x:c>
      <x:c r="Z245" s="458"/>
      <x:c r="AA245" s="458"/>
      <x:c r="AB245" s="458"/>
      <x:c r="AC245" s="458"/>
      <x:c r="AD245" s="458"/>
      <x:c r="AE245" s="458"/>
    </x:row>
    <x:row r="246" spans="1:31" ht="20.100000000000001" customHeight="1">
      <x:c r="A246" s="439" t="s">
        <x:v>765</x:v>
      </x:c>
      <x:c r="B246" s="466" t="str">
        <x:f t="shared" si="46"/>
        <x:v>인건비</x:v>
      </x:c>
      <x:c r="C246" s="440" t="str">
        <x:f t="shared" si="47"/>
        <x:v>상여</x:v>
      </x:c>
      <x:c r="D246" s="441">
        <x:v>52110512</x:v>
      </x:c>
      <x:c r="E246" s="442" t="str">
        <x:f t="shared" si="48"/>
        <x:v>상여_특별상여</x:v>
      </x:c>
      <x:c r="F246" s="443"/>
      <x:c r="G246" s="444" t="s">
        <x:v>101</x:v>
      </x:c>
      <x:c r="H246" s="445" t="str">
        <x:f t="shared" si="43"/>
        <x:v>전장설계2팀(E)</x:v>
      </x:c>
      <x:c r="I246" s="446" t="str">
        <x:f t="shared" si="49"/>
        <x:v>[연구개발비]</x:v>
      </x:c>
      <x:c r="J246" s="445"/>
      <x:c r="K246" s="453">
        <x:v>0</x:v>
      </x:c>
      <x:c r="L246" s="454">
        <x:v>10500000</x:v>
      </x:c>
      <x:c r="M246" s="454">
        <x:v>0</x:v>
      </x:c>
      <x:c r="N246" s="454">
        <x:v>0</x:v>
      </x:c>
      <x:c r="O246" s="454">
        <x:v>0</x:v>
      </x:c>
      <x:c r="P246" s="454">
        <x:v>0</x:v>
      </x:c>
      <x:c r="Q246" s="454">
        <x:v>10500000</x:v>
      </x:c>
      <x:c r="R246" s="454">
        <x:v>0</x:v>
      </x:c>
      <x:c r="S246" s="454">
        <x:v>0</x:v>
      </x:c>
      <x:c r="T246" s="454">
        <x:v>7500000</x:v>
      </x:c>
      <x:c r="U246" s="454">
        <x:v>7500000</x:v>
      </x:c>
      <x:c r="V246" s="455">
        <x:v>0</x:v>
      </x:c>
      <x:c r="W246" s="456">
        <x:f t="shared" si="56"/>
        <x:v>36000000</x:v>
      </x:c>
      <x:c r="X246" s="450">
        <x:f t="shared" si="57"/>
        <x:v>3000000</x:v>
      </x:c>
      <x:c r="Y246" s="457">
        <x:v>15</x:v>
      </x:c>
      <x:c r="Z246" s="458"/>
      <x:c r="AA246" s="458"/>
      <x:c r="AB246" s="458"/>
      <x:c r="AC246" s="458"/>
      <x:c r="AD246" s="458"/>
      <x:c r="AE246" s="458"/>
    </x:row>
    <x:row r="247" spans="1:31" ht="20.100000000000001" customHeight="1">
      <x:c r="A247" s="439" t="s">
        <x:v>765</x:v>
      </x:c>
      <x:c r="B247" s="466" t="str">
        <x:f t="shared" si="46"/>
        <x:v>인건비</x:v>
      </x:c>
      <x:c r="C247" s="440" t="str">
        <x:f t="shared" si="47"/>
        <x:v>상여</x:v>
      </x:c>
      <x:c r="D247" s="441">
        <x:v>52110512</x:v>
      </x:c>
      <x:c r="E247" s="442" t="str">
        <x:f t="shared" si="48"/>
        <x:v>상여_특별상여</x:v>
      </x:c>
      <x:c r="F247" s="443"/>
      <x:c r="G247" s="444" t="s">
        <x:v>104</x:v>
      </x:c>
      <x:c r="H247" s="445" t="str">
        <x:f t="shared" si="43"/>
        <x:v>제품개발팀(E)</x:v>
      </x:c>
      <x:c r="I247" s="446" t="str">
        <x:f t="shared" si="49"/>
        <x:v>[연구개발비]</x:v>
      </x:c>
      <x:c r="J247" s="445"/>
      <x:c r="K247" s="453">
        <x:v>0</x:v>
      </x:c>
      <x:c r="L247" s="454">
        <x:v>4900000</x:v>
      </x:c>
      <x:c r="M247" s="454">
        <x:v>0</x:v>
      </x:c>
      <x:c r="N247" s="454">
        <x:v>0</x:v>
      </x:c>
      <x:c r="O247" s="454">
        <x:v>0</x:v>
      </x:c>
      <x:c r="P247" s="454">
        <x:v>0</x:v>
      </x:c>
      <x:c r="Q247" s="454">
        <x:v>4900000</x:v>
      </x:c>
      <x:c r="R247" s="454">
        <x:v>0</x:v>
      </x:c>
      <x:c r="S247" s="454">
        <x:v>0</x:v>
      </x:c>
      <x:c r="T247" s="454">
        <x:v>3500000</x:v>
      </x:c>
      <x:c r="U247" s="454">
        <x:v>3500000</x:v>
      </x:c>
      <x:c r="V247" s="455">
        <x:v>0</x:v>
      </x:c>
      <x:c r="W247" s="456">
        <x:f t="shared" si="56"/>
        <x:v>16800000</x:v>
      </x:c>
      <x:c r="X247" s="450">
        <x:f t="shared" si="57"/>
        <x:v>1400000</x:v>
      </x:c>
      <x:c r="Y247" s="457">
        <x:v>7</x:v>
      </x:c>
      <x:c r="Z247" s="458"/>
      <x:c r="AA247" s="458"/>
      <x:c r="AB247" s="458"/>
      <x:c r="AC247" s="458"/>
      <x:c r="AD247" s="458"/>
      <x:c r="AE247" s="458"/>
    </x:row>
    <x:row r="248" spans="1:31" ht="20.100000000000001" customHeight="1">
      <x:c r="A248" s="439" t="s">
        <x:v>765</x:v>
      </x:c>
      <x:c r="B248" s="466" t="str">
        <x:f t="shared" si="46"/>
        <x:v>인건비</x:v>
      </x:c>
      <x:c r="C248" s="440" t="str">
        <x:f t="shared" si="47"/>
        <x:v>상여</x:v>
      </x:c>
      <x:c r="D248" s="441">
        <x:v>52110512</x:v>
      </x:c>
      <x:c r="E248" s="442" t="str">
        <x:f t="shared" si="48"/>
        <x:v>상여_특별상여</x:v>
      </x:c>
      <x:c r="F248" s="443"/>
      <x:c r="G248" s="444" t="s">
        <x:v>251</x:v>
      </x:c>
      <x:c r="H248" s="445" t="str">
        <x:f t="shared" ref="H248:H311" si="58">IFERROR(VLOOKUP($G248,$AK:$AL,2,),"")</x:f>
        <x:v>시작평가팀(E)</x:v>
      </x:c>
      <x:c r="I248" s="446" t="str">
        <x:f t="shared" si="49"/>
        <x:v>[연구개발비]</x:v>
      </x:c>
      <x:c r="J248" s="445"/>
      <x:c r="K248" s="453">
        <x:v>0</x:v>
      </x:c>
      <x:c r="L248" s="454">
        <x:v>5600000</x:v>
      </x:c>
      <x:c r="M248" s="454">
        <x:v>0</x:v>
      </x:c>
      <x:c r="N248" s="454">
        <x:v>0</x:v>
      </x:c>
      <x:c r="O248" s="454">
        <x:v>0</x:v>
      </x:c>
      <x:c r="P248" s="454">
        <x:v>0</x:v>
      </x:c>
      <x:c r="Q248" s="454">
        <x:v>5600000</x:v>
      </x:c>
      <x:c r="R248" s="454">
        <x:v>0</x:v>
      </x:c>
      <x:c r="S248" s="454">
        <x:v>0</x:v>
      </x:c>
      <x:c r="T248" s="454">
        <x:v>4000000</x:v>
      </x:c>
      <x:c r="U248" s="454">
        <x:v>4000000</x:v>
      </x:c>
      <x:c r="V248" s="455">
        <x:v>0</x:v>
      </x:c>
      <x:c r="W248" s="456">
        <x:f t="shared" si="56"/>
        <x:v>19200000</x:v>
      </x:c>
      <x:c r="X248" s="450">
        <x:f t="shared" si="57"/>
        <x:v>1600000</x:v>
      </x:c>
      <x:c r="Y248" s="457">
        <x:v>8</x:v>
      </x:c>
      <x:c r="Z248" s="458"/>
      <x:c r="AA248" s="458"/>
      <x:c r="AB248" s="458"/>
      <x:c r="AC248" s="458"/>
      <x:c r="AD248" s="458"/>
      <x:c r="AE248" s="458"/>
    </x:row>
    <x:row r="249" spans="1:31" ht="20.100000000000001" customHeight="1">
      <x:c r="A249" s="439" t="s">
        <x:v>765</x:v>
      </x:c>
      <x:c r="B249" s="466" t="str">
        <x:f t="shared" si="46"/>
        <x:v>인건비</x:v>
      </x:c>
      <x:c r="C249" s="440" t="str">
        <x:f t="shared" si="47"/>
        <x:v>상여</x:v>
      </x:c>
      <x:c r="D249" s="441">
        <x:v>52110512</x:v>
      </x:c>
      <x:c r="E249" s="442" t="str">
        <x:f t="shared" si="48"/>
        <x:v>상여_특별상여</x:v>
      </x:c>
      <x:c r="F249" s="443"/>
      <x:c r="G249" s="444" t="s">
        <x:v>106</x:v>
      </x:c>
      <x:c r="H249" s="445" t="str">
        <x:f t="shared" si="58"/>
        <x:v>구매팀(E)</x:v>
      </x:c>
      <x:c r="I249" s="446" t="str">
        <x:f t="shared" si="49"/>
        <x:v>[관리비]</x:v>
      </x:c>
      <x:c r="J249" s="445"/>
      <x:c r="K249" s="453">
        <x:v>0</x:v>
      </x:c>
      <x:c r="L249" s="454">
        <x:v>6300000</x:v>
      </x:c>
      <x:c r="M249" s="454">
        <x:v>0</x:v>
      </x:c>
      <x:c r="N249" s="454">
        <x:v>0</x:v>
      </x:c>
      <x:c r="O249" s="454">
        <x:v>0</x:v>
      </x:c>
      <x:c r="P249" s="454">
        <x:v>0</x:v>
      </x:c>
      <x:c r="Q249" s="454">
        <x:v>7000000</x:v>
      </x:c>
      <x:c r="R249" s="454">
        <x:v>0</x:v>
      </x:c>
      <x:c r="S249" s="454">
        <x:v>0</x:v>
      </x:c>
      <x:c r="T249" s="454">
        <x:v>5000000</x:v>
      </x:c>
      <x:c r="U249" s="454">
        <x:v>5000000</x:v>
      </x:c>
      <x:c r="V249" s="455">
        <x:v>0</x:v>
      </x:c>
      <x:c r="W249" s="456">
        <x:f t="shared" si="56"/>
        <x:v>23300000</x:v>
      </x:c>
      <x:c r="X249" s="450">
        <x:f t="shared" si="57"/>
        <x:v>1941666.6666666667</x:v>
      </x:c>
      <x:c r="Y249" s="457">
        <x:v>9.7083333333333339</x:v>
      </x:c>
      <x:c r="Z249" s="458"/>
      <x:c r="AA249" s="458"/>
      <x:c r="AB249" s="458"/>
      <x:c r="AC249" s="458"/>
      <x:c r="AD249" s="458"/>
      <x:c r="AE249" s="458"/>
    </x:row>
    <x:row r="250" spans="1:31" ht="20.100000000000001" customHeight="1">
      <x:c r="A250" s="439" t="s">
        <x:v>765</x:v>
      </x:c>
      <x:c r="B250" s="466" t="str">
        <x:f t="shared" si="46"/>
        <x:v>인건비</x:v>
      </x:c>
      <x:c r="C250" s="440" t="str">
        <x:f t="shared" si="47"/>
        <x:v>상여</x:v>
      </x:c>
      <x:c r="D250" s="441">
        <x:v>52110512</x:v>
      </x:c>
      <x:c r="E250" s="442" t="str">
        <x:f t="shared" si="48"/>
        <x:v>상여_특별상여</x:v>
      </x:c>
      <x:c r="F250" s="443"/>
      <x:c r="G250" s="444" t="s">
        <x:v>150</x:v>
      </x:c>
      <x:c r="H250" s="445" t="str">
        <x:f t="shared" si="58"/>
        <x:v>구매영업부문(E)</x:v>
      </x:c>
      <x:c r="I250" s="446" t="str">
        <x:f t="shared" si="49"/>
        <x:v>[판매비]</x:v>
      </x:c>
      <x:c r="J250" s="445"/>
      <x:c r="K250" s="453">
        <x:v>0</x:v>
      </x:c>
      <x:c r="L250" s="454">
        <x:v>700000</x:v>
      </x:c>
      <x:c r="M250" s="454">
        <x:v>0</x:v>
      </x:c>
      <x:c r="N250" s="454">
        <x:v>0</x:v>
      </x:c>
      <x:c r="O250" s="454">
        <x:v>0</x:v>
      </x:c>
      <x:c r="P250" s="454">
        <x:v>0</x:v>
      </x:c>
      <x:c r="Q250" s="454">
        <x:v>700000</x:v>
      </x:c>
      <x:c r="R250" s="454">
        <x:v>0</x:v>
      </x:c>
      <x:c r="S250" s="454">
        <x:v>0</x:v>
      </x:c>
      <x:c r="T250" s="454">
        <x:v>500000</x:v>
      </x:c>
      <x:c r="U250" s="454">
        <x:v>500000</x:v>
      </x:c>
      <x:c r="V250" s="455">
        <x:v>0</x:v>
      </x:c>
      <x:c r="W250" s="456">
        <x:f t="shared" si="56"/>
        <x:v>2400000</x:v>
      </x:c>
      <x:c r="X250" s="450">
        <x:f t="shared" si="57"/>
        <x:v>200000</x:v>
      </x:c>
      <x:c r="Y250" s="457">
        <x:v>1</x:v>
      </x:c>
      <x:c r="Z250" s="458"/>
      <x:c r="AA250" s="458"/>
      <x:c r="AB250" s="458"/>
      <x:c r="AC250" s="458"/>
      <x:c r="AD250" s="458"/>
      <x:c r="AE250" s="458"/>
    </x:row>
    <x:row r="251" spans="1:31" ht="20.100000000000001" customHeight="1">
      <x:c r="A251" s="439" t="s">
        <x:v>765</x:v>
      </x:c>
      <x:c r="B251" s="466" t="str">
        <x:f t="shared" si="46"/>
        <x:v>인건비</x:v>
      </x:c>
      <x:c r="C251" s="440" t="str">
        <x:f t="shared" si="47"/>
        <x:v>상여</x:v>
      </x:c>
      <x:c r="D251" s="441">
        <x:v>52110512</x:v>
      </x:c>
      <x:c r="E251" s="442" t="str">
        <x:f t="shared" si="48"/>
        <x:v>상여_특별상여</x:v>
      </x:c>
      <x:c r="F251" s="443"/>
      <x:c r="G251" s="444" t="s">
        <x:v>247</x:v>
      </x:c>
      <x:c r="H251" s="445" t="str">
        <x:f t="shared" si="58"/>
        <x:v>영업팀(E)</x:v>
      </x:c>
      <x:c r="I251" s="446" t="str">
        <x:f t="shared" si="49"/>
        <x:v>[판매비]</x:v>
      </x:c>
      <x:c r="J251" s="445"/>
      <x:c r="K251" s="453">
        <x:v>0</x:v>
      </x:c>
      <x:c r="L251" s="454">
        <x:v>4900000</x:v>
      </x:c>
      <x:c r="M251" s="454">
        <x:v>0</x:v>
      </x:c>
      <x:c r="N251" s="454">
        <x:v>0</x:v>
      </x:c>
      <x:c r="O251" s="454">
        <x:v>0</x:v>
      </x:c>
      <x:c r="P251" s="454">
        <x:v>0</x:v>
      </x:c>
      <x:c r="Q251" s="454">
        <x:v>4900000</x:v>
      </x:c>
      <x:c r="R251" s="454">
        <x:v>0</x:v>
      </x:c>
      <x:c r="S251" s="454">
        <x:v>0</x:v>
      </x:c>
      <x:c r="T251" s="454">
        <x:v>3500000</x:v>
      </x:c>
      <x:c r="U251" s="454">
        <x:v>3500000</x:v>
      </x:c>
      <x:c r="V251" s="455">
        <x:v>0</x:v>
      </x:c>
      <x:c r="W251" s="456">
        <x:f t="shared" si="56"/>
        <x:v>16800000</x:v>
      </x:c>
      <x:c r="X251" s="450">
        <x:f t="shared" si="57"/>
        <x:v>1400000</x:v>
      </x:c>
      <x:c r="Y251" s="457">
        <x:v>7</x:v>
      </x:c>
      <x:c r="Z251" s="458"/>
      <x:c r="AA251" s="458"/>
      <x:c r="AB251" s="458"/>
      <x:c r="AC251" s="458"/>
      <x:c r="AD251" s="458"/>
      <x:c r="AE251" s="458"/>
    </x:row>
    <x:row r="252" spans="1:31" ht="20.100000000000001" customHeight="1">
      <x:c r="A252" s="439" t="s">
        <x:v>88</x:v>
      </x:c>
      <x:c r="B252" s="466" t="str">
        <x:f t="shared" si="46"/>
        <x:v>인건비</x:v>
      </x:c>
      <x:c r="C252" s="440" t="str">
        <x:f t="shared" si="47"/>
        <x:v>상여</x:v>
      </x:c>
      <x:c r="D252" s="441">
        <x:v>52110512</x:v>
      </x:c>
      <x:c r="E252" s="442" t="str">
        <x:f t="shared" si="48"/>
        <x:v>상여_특별상여</x:v>
      </x:c>
      <x:c r="F252" s="443"/>
      <x:c r="G252" s="444" t="s">
        <x:v>80</x:v>
      </x:c>
      <x:c r="H252" s="445" t="str">
        <x:f t="shared" si="58"/>
        <x:v>사업관리팀(E)</x:v>
      </x:c>
      <x:c r="I252" s="446" t="str">
        <x:f t="shared" si="49"/>
        <x:v>[관리비]</x:v>
      </x:c>
      <x:c r="J252" s="445"/>
      <x:c r="K252" s="453">
        <x:v>0</x:v>
      </x:c>
      <x:c r="L252" s="454">
        <x:v>0</x:v>
      </x:c>
      <x:c r="M252" s="454">
        <x:v>0</x:v>
      </x:c>
      <x:c r="N252" s="454">
        <x:v>0</x:v>
      </x:c>
      <x:c r="O252" s="454">
        <x:v>0</x:v>
      </x:c>
      <x:c r="P252" s="454">
        <x:v>0</x:v>
      </x:c>
      <x:c r="Q252" s="454">
        <x:v>0</x:v>
      </x:c>
      <x:c r="R252" s="454">
        <x:v>0</x:v>
      </x:c>
      <x:c r="S252" s="454">
        <x:v>0</x:v>
      </x:c>
      <x:c r="T252" s="454">
        <x:v>0</x:v>
      </x:c>
      <x:c r="U252" s="454">
        <x:v>0</x:v>
      </x:c>
      <x:c r="V252" s="455">
        <x:v>7500000</x:v>
      </x:c>
      <x:c r="W252" s="456">
        <x:f t="shared" si="56"/>
        <x:v>7500000</x:v>
      </x:c>
      <x:c r="X252" s="450">
        <x:f t="shared" si="57"/>
        <x:v>625000</x:v>
      </x:c>
      <x:c r="Y252" s="457">
        <x:v>5</x:v>
      </x:c>
      <x:c r="Z252" s="458"/>
      <x:c r="AA252" s="458"/>
      <x:c r="AB252" s="458"/>
      <x:c r="AC252" s="458"/>
      <x:c r="AD252" s="458"/>
      <x:c r="AE252" s="458"/>
    </x:row>
    <x:row r="253" spans="1:31" ht="20.100000000000001" customHeight="1">
      <x:c r="A253" s="439" t="s">
        <x:v>88</x:v>
      </x:c>
      <x:c r="B253" s="466" t="str">
        <x:f t="shared" si="46"/>
        <x:v>인건비</x:v>
      </x:c>
      <x:c r="C253" s="440" t="str">
        <x:f t="shared" si="47"/>
        <x:v>상여</x:v>
      </x:c>
      <x:c r="D253" s="441">
        <x:v>52110512</x:v>
      </x:c>
      <x:c r="E253" s="442" t="str">
        <x:f t="shared" si="48"/>
        <x:v>상여_특별상여</x:v>
      </x:c>
      <x:c r="F253" s="443"/>
      <x:c r="G253" s="444" t="s">
        <x:v>103</x:v>
      </x:c>
      <x:c r="H253" s="445" t="str">
        <x:f t="shared" si="58"/>
        <x:v>전장사업부(E)</x:v>
      </x:c>
      <x:c r="I253" s="446" t="str">
        <x:f t="shared" si="49"/>
        <x:v>[관리비]</x:v>
      </x:c>
      <x:c r="J253" s="445"/>
      <x:c r="K253" s="453">
        <x:v>0</x:v>
      </x:c>
      <x:c r="L253" s="454">
        <x:v>0</x:v>
      </x:c>
      <x:c r="M253" s="454">
        <x:v>0</x:v>
      </x:c>
      <x:c r="N253" s="454">
        <x:v>0</x:v>
      </x:c>
      <x:c r="O253" s="454">
        <x:v>0</x:v>
      </x:c>
      <x:c r="P253" s="454">
        <x:v>0</x:v>
      </x:c>
      <x:c r="Q253" s="454">
        <x:v>0</x:v>
      </x:c>
      <x:c r="R253" s="454">
        <x:v>0</x:v>
      </x:c>
      <x:c r="S253" s="454">
        <x:v>0</x:v>
      </x:c>
      <x:c r="T253" s="454">
        <x:v>0</x:v>
      </x:c>
      <x:c r="U253" s="454">
        <x:v>0</x:v>
      </x:c>
      <x:c r="V253" s="455">
        <x:v>1500000</x:v>
      </x:c>
      <x:c r="W253" s="456">
        <x:f t="shared" si="56"/>
        <x:v>1500000</x:v>
      </x:c>
      <x:c r="X253" s="450">
        <x:f t="shared" si="57"/>
        <x:v>125000</x:v>
      </x:c>
      <x:c r="Y253" s="457">
        <x:v>1</x:v>
      </x:c>
      <x:c r="Z253" s="458"/>
      <x:c r="AA253" s="458"/>
      <x:c r="AB253" s="458"/>
      <x:c r="AC253" s="458"/>
      <x:c r="AD253" s="458"/>
      <x:c r="AE253" s="458"/>
    </x:row>
    <x:row r="254" spans="1:31" ht="20.100000000000001" customHeight="1">
      <x:c r="A254" s="439" t="s">
        <x:v>88</x:v>
      </x:c>
      <x:c r="B254" s="466" t="str">
        <x:f t="shared" si="46"/>
        <x:v>인건비</x:v>
      </x:c>
      <x:c r="C254" s="440" t="str">
        <x:f t="shared" si="47"/>
        <x:v>상여</x:v>
      </x:c>
      <x:c r="D254" s="441">
        <x:v>52110512</x:v>
      </x:c>
      <x:c r="E254" s="442" t="str">
        <x:f t="shared" si="48"/>
        <x:v>상여_특별상여</x:v>
      </x:c>
      <x:c r="F254" s="443"/>
      <x:c r="G254" s="444" t="s">
        <x:v>82</x:v>
      </x:c>
      <x:c r="H254" s="445" t="str">
        <x:f t="shared" si="58"/>
        <x:v>생산기술팀(E)</x:v>
      </x:c>
      <x:c r="I254" s="446" t="str">
        <x:f t="shared" si="49"/>
        <x:v>[관리비]</x:v>
      </x:c>
      <x:c r="J254" s="445"/>
      <x:c r="K254" s="453">
        <x:v>0</x:v>
      </x:c>
      <x:c r="L254" s="454">
        <x:v>0</x:v>
      </x:c>
      <x:c r="M254" s="454">
        <x:v>0</x:v>
      </x:c>
      <x:c r="N254" s="454">
        <x:v>0</x:v>
      </x:c>
      <x:c r="O254" s="454">
        <x:v>0</x:v>
      </x:c>
      <x:c r="P254" s="454">
        <x:v>0</x:v>
      </x:c>
      <x:c r="Q254" s="454">
        <x:v>0</x:v>
      </x:c>
      <x:c r="R254" s="454">
        <x:v>0</x:v>
      </x:c>
      <x:c r="S254" s="454">
        <x:v>0</x:v>
      </x:c>
      <x:c r="T254" s="454">
        <x:v>0</x:v>
      </x:c>
      <x:c r="U254" s="454">
        <x:v>0</x:v>
      </x:c>
      <x:c r="V254" s="455">
        <x:v>18000000</x:v>
      </x:c>
      <x:c r="W254" s="456">
        <x:f t="shared" si="56"/>
        <x:v>18000000</x:v>
      </x:c>
      <x:c r="X254" s="450">
        <x:f t="shared" si="57"/>
        <x:v>1500000</x:v>
      </x:c>
      <x:c r="Y254" s="457">
        <x:v>12</x:v>
      </x:c>
      <x:c r="Z254" s="458"/>
      <x:c r="AA254" s="458"/>
      <x:c r="AB254" s="458"/>
      <x:c r="AC254" s="458"/>
      <x:c r="AD254" s="458"/>
      <x:c r="AE254" s="458"/>
    </x:row>
    <x:row r="255" spans="1:31" ht="20.100000000000001" customHeight="1">
      <x:c r="A255" s="439" t="s">
        <x:v>88</x:v>
      </x:c>
      <x:c r="B255" s="466" t="str">
        <x:f t="shared" si="46"/>
        <x:v>인건비</x:v>
      </x:c>
      <x:c r="C255" s="440" t="str">
        <x:f t="shared" si="47"/>
        <x:v>상여</x:v>
      </x:c>
      <x:c r="D255" s="441">
        <x:v>52110512</x:v>
      </x:c>
      <x:c r="E255" s="442" t="str">
        <x:f t="shared" si="48"/>
        <x:v>상여_특별상여</x:v>
      </x:c>
      <x:c r="F255" s="443"/>
      <x:c r="G255" s="444" t="s">
        <x:v>84</x:v>
      </x:c>
      <x:c r="H255" s="445" t="str">
        <x:f t="shared" si="58"/>
        <x:v>품질경영팀(E)</x:v>
      </x:c>
      <x:c r="I255" s="446" t="str">
        <x:f t="shared" si="49"/>
        <x:v>[관리비]</x:v>
      </x:c>
      <x:c r="J255" s="445"/>
      <x:c r="K255" s="453">
        <x:v>0</x:v>
      </x:c>
      <x:c r="L255" s="454">
        <x:v>0</x:v>
      </x:c>
      <x:c r="M255" s="454">
        <x:v>0</x:v>
      </x:c>
      <x:c r="N255" s="454">
        <x:v>0</x:v>
      </x:c>
      <x:c r="O255" s="454">
        <x:v>0</x:v>
      </x:c>
      <x:c r="P255" s="454">
        <x:v>0</x:v>
      </x:c>
      <x:c r="Q255" s="454">
        <x:v>0</x:v>
      </x:c>
      <x:c r="R255" s="454">
        <x:v>0</x:v>
      </x:c>
      <x:c r="S255" s="454">
        <x:v>0</x:v>
      </x:c>
      <x:c r="T255" s="454">
        <x:v>0</x:v>
      </x:c>
      <x:c r="U255" s="454">
        <x:v>0</x:v>
      </x:c>
      <x:c r="V255" s="455">
        <x:v>13500000</x:v>
      </x:c>
      <x:c r="W255" s="456">
        <x:f t="shared" si="56"/>
        <x:v>13500000</x:v>
      </x:c>
      <x:c r="X255" s="450">
        <x:f t="shared" si="57"/>
        <x:v>1125000</x:v>
      </x:c>
      <x:c r="Y255" s="457">
        <x:v>9</x:v>
      </x:c>
      <x:c r="Z255" s="458"/>
      <x:c r="AA255" s="458"/>
      <x:c r="AB255" s="458"/>
      <x:c r="AC255" s="458"/>
      <x:c r="AD255" s="458"/>
      <x:c r="AE255" s="458"/>
    </x:row>
    <x:row r="256" spans="1:31" ht="20.100000000000001" customHeight="1">
      <x:c r="A256" s="439" t="s">
        <x:v>88</x:v>
      </x:c>
      <x:c r="B256" s="466" t="str">
        <x:f t="shared" si="46"/>
        <x:v>인건비</x:v>
      </x:c>
      <x:c r="C256" s="440" t="str">
        <x:f t="shared" si="47"/>
        <x:v>상여</x:v>
      </x:c>
      <x:c r="D256" s="441">
        <x:v>52110512</x:v>
      </x:c>
      <x:c r="E256" s="442" t="str">
        <x:f t="shared" si="48"/>
        <x:v>상여_특별상여</x:v>
      </x:c>
      <x:c r="F256" s="443"/>
      <x:c r="G256" s="444" t="s">
        <x:v>253</x:v>
      </x:c>
      <x:c r="H256" s="445" t="str">
        <x:f t="shared" si="58"/>
        <x:v>생산부문(E)</x:v>
      </x:c>
      <x:c r="I256" s="446" t="str">
        <x:f t="shared" si="49"/>
        <x:v>[관리비]</x:v>
      </x:c>
      <x:c r="J256" s="445"/>
      <x:c r="K256" s="453">
        <x:v>0</x:v>
      </x:c>
      <x:c r="L256" s="454">
        <x:v>0</x:v>
      </x:c>
      <x:c r="M256" s="454">
        <x:v>0</x:v>
      </x:c>
      <x:c r="N256" s="454">
        <x:v>0</x:v>
      </x:c>
      <x:c r="O256" s="454">
        <x:v>0</x:v>
      </x:c>
      <x:c r="P256" s="454">
        <x:v>0</x:v>
      </x:c>
      <x:c r="Q256" s="454">
        <x:v>0</x:v>
      </x:c>
      <x:c r="R256" s="454">
        <x:v>0</x:v>
      </x:c>
      <x:c r="S256" s="454">
        <x:v>0</x:v>
      </x:c>
      <x:c r="T256" s="454">
        <x:v>0</x:v>
      </x:c>
      <x:c r="U256" s="454">
        <x:v>0</x:v>
      </x:c>
      <x:c r="V256" s="455">
        <x:v>1500000</x:v>
      </x:c>
      <x:c r="W256" s="456">
        <x:f t="shared" si="56"/>
        <x:v>1500000</x:v>
      </x:c>
      <x:c r="X256" s="450">
        <x:f t="shared" si="57"/>
        <x:v>125000</x:v>
      </x:c>
      <x:c r="Y256" s="457">
        <x:v>1</x:v>
      </x:c>
      <x:c r="Z256" s="458"/>
      <x:c r="AA256" s="458"/>
      <x:c r="AB256" s="458"/>
      <x:c r="AC256" s="458"/>
      <x:c r="AD256" s="458"/>
      <x:c r="AE256" s="458"/>
    </x:row>
    <x:row r="257" spans="1:31" ht="20.100000000000001" customHeight="1">
      <x:c r="A257" s="439" t="s">
        <x:v>88</x:v>
      </x:c>
      <x:c r="B257" s="466" t="str">
        <x:f t="shared" si="46"/>
        <x:v>인건비</x:v>
      </x:c>
      <x:c r="C257" s="440" t="str">
        <x:f t="shared" si="47"/>
        <x:v>상여</x:v>
      </x:c>
      <x:c r="D257" s="441">
        <x:v>52110512</x:v>
      </x:c>
      <x:c r="E257" s="442" t="str">
        <x:f t="shared" si="48"/>
        <x:v>상여_특별상여</x:v>
      </x:c>
      <x:c r="F257" s="443"/>
      <x:c r="G257" s="444" t="s">
        <x:v>245</x:v>
      </x:c>
      <x:c r="H257" s="445" t="str">
        <x:f t="shared" si="58"/>
        <x:v>생산기획팀(E)</x:v>
      </x:c>
      <x:c r="I257" s="446" t="str">
        <x:f t="shared" si="49"/>
        <x:v>[관리비]</x:v>
      </x:c>
      <x:c r="J257" s="445"/>
      <x:c r="K257" s="453">
        <x:v>0</x:v>
      </x:c>
      <x:c r="L257" s="454">
        <x:v>0</x:v>
      </x:c>
      <x:c r="M257" s="454">
        <x:v>0</x:v>
      </x:c>
      <x:c r="N257" s="454">
        <x:v>0</x:v>
      </x:c>
      <x:c r="O257" s="454">
        <x:v>0</x:v>
      </x:c>
      <x:c r="P257" s="454">
        <x:v>0</x:v>
      </x:c>
      <x:c r="Q257" s="454">
        <x:v>0</x:v>
      </x:c>
      <x:c r="R257" s="454">
        <x:v>0</x:v>
      </x:c>
      <x:c r="S257" s="454">
        <x:v>0</x:v>
      </x:c>
      <x:c r="T257" s="454">
        <x:v>0</x:v>
      </x:c>
      <x:c r="U257" s="454">
        <x:v>0</x:v>
      </x:c>
      <x:c r="V257" s="455">
        <x:v>12000000</x:v>
      </x:c>
      <x:c r="W257" s="456">
        <x:f t="shared" si="56"/>
        <x:v>12000000</x:v>
      </x:c>
      <x:c r="X257" s="450">
        <x:f t="shared" si="57"/>
        <x:v>1000000</x:v>
      </x:c>
      <x:c r="Y257" s="457">
        <x:v>8</x:v>
      </x:c>
      <x:c r="Z257" s="458"/>
      <x:c r="AA257" s="458"/>
      <x:c r="AB257" s="458"/>
      <x:c r="AC257" s="458"/>
      <x:c r="AD257" s="458"/>
      <x:c r="AE257" s="458"/>
    </x:row>
    <x:row r="258" spans="1:31" ht="20.100000000000001" customHeight="1">
      <x:c r="A258" s="439" t="s">
        <x:v>88</x:v>
      </x:c>
      <x:c r="B258" s="466" t="str">
        <x:f t="shared" si="46"/>
        <x:v>인건비</x:v>
      </x:c>
      <x:c r="C258" s="440" t="str">
        <x:f t="shared" si="47"/>
        <x:v>상여</x:v>
      </x:c>
      <x:c r="D258" s="441">
        <x:v>52110512</x:v>
      </x:c>
      <x:c r="E258" s="442" t="str">
        <x:f t="shared" si="48"/>
        <x:v>상여_특별상여</x:v>
      </x:c>
      <x:c r="F258" s="443"/>
      <x:c r="G258" s="444" t="s">
        <x:v>256</x:v>
      </x:c>
      <x:c r="H258" s="445" t="str">
        <x:f t="shared" si="58"/>
        <x:v>품질부문(E)</x:v>
      </x:c>
      <x:c r="I258" s="446" t="str">
        <x:f t="shared" si="49"/>
        <x:v>[관리비]</x:v>
      </x:c>
      <x:c r="J258" s="445"/>
      <x:c r="K258" s="453">
        <x:v>0</x:v>
      </x:c>
      <x:c r="L258" s="454">
        <x:v>0</x:v>
      </x:c>
      <x:c r="M258" s="454">
        <x:v>0</x:v>
      </x:c>
      <x:c r="N258" s="454">
        <x:v>0</x:v>
      </x:c>
      <x:c r="O258" s="454">
        <x:v>0</x:v>
      </x:c>
      <x:c r="P258" s="454">
        <x:v>0</x:v>
      </x:c>
      <x:c r="Q258" s="454">
        <x:v>0</x:v>
      </x:c>
      <x:c r="R258" s="454">
        <x:v>0</x:v>
      </x:c>
      <x:c r="S258" s="454">
        <x:v>0</x:v>
      </x:c>
      <x:c r="T258" s="454">
        <x:v>0</x:v>
      </x:c>
      <x:c r="U258" s="454">
        <x:v>0</x:v>
      </x:c>
      <x:c r="V258" s="455">
        <x:v>1500000</x:v>
      </x:c>
      <x:c r="W258" s="456">
        <x:f t="shared" si="56"/>
        <x:v>1500000</x:v>
      </x:c>
      <x:c r="X258" s="450">
        <x:f t="shared" si="57"/>
        <x:v>125000</x:v>
      </x:c>
      <x:c r="Y258" s="457">
        <x:v>1</x:v>
      </x:c>
      <x:c r="Z258" s="458"/>
      <x:c r="AA258" s="458"/>
      <x:c r="AB258" s="458"/>
      <x:c r="AC258" s="458"/>
      <x:c r="AD258" s="458"/>
      <x:c r="AE258" s="458"/>
    </x:row>
    <x:row r="259" spans="1:31" ht="20.100000000000001" customHeight="1">
      <x:c r="A259" s="439" t="s">
        <x:v>88</x:v>
      </x:c>
      <x:c r="B259" s="466" t="str">
        <x:f t="shared" ref="B259:B322" si="59">IFERROR(VLOOKUP($C259,$AH:$AI,2,),"")</x:f>
        <x:v>인건비</x:v>
      </x:c>
      <x:c r="C259" s="440" t="str">
        <x:f t="shared" ref="C259:C322" si="60">IFERROR(VLOOKUP($D259,$AO:$AQ,3,),"")</x:f>
        <x:v>상여</x:v>
      </x:c>
      <x:c r="D259" s="441">
        <x:v>52110512</x:v>
      </x:c>
      <x:c r="E259" s="442" t="str">
        <x:f t="shared" ref="E259:E322" si="61">IFERROR(VLOOKUP($D259,$AO:$AQ,2,),"")</x:f>
        <x:v>상여_특별상여</x:v>
      </x:c>
      <x:c r="F259" s="443"/>
      <x:c r="G259" s="444" t="s">
        <x:v>249</x:v>
      </x:c>
      <x:c r="H259" s="445" t="str">
        <x:f t="shared" si="58"/>
        <x:v>부품품질팀(E)</x:v>
      </x:c>
      <x:c r="I259" s="446" t="str">
        <x:f t="shared" ref="I259:I322" si="62">IFERROR(VLOOKUP($G259,$AK:$AM,3,),"")</x:f>
        <x:v>[관리비]</x:v>
      </x:c>
      <x:c r="J259" s="445"/>
      <x:c r="K259" s="453">
        <x:v>0</x:v>
      </x:c>
      <x:c r="L259" s="454">
        <x:v>0</x:v>
      </x:c>
      <x:c r="M259" s="454">
        <x:v>0</x:v>
      </x:c>
      <x:c r="N259" s="454">
        <x:v>0</x:v>
      </x:c>
      <x:c r="O259" s="454">
        <x:v>0</x:v>
      </x:c>
      <x:c r="P259" s="454">
        <x:v>0</x:v>
      </x:c>
      <x:c r="Q259" s="454">
        <x:v>0</x:v>
      </x:c>
      <x:c r="R259" s="454">
        <x:v>0</x:v>
      </x:c>
      <x:c r="S259" s="454">
        <x:v>0</x:v>
      </x:c>
      <x:c r="T259" s="454">
        <x:v>0</x:v>
      </x:c>
      <x:c r="U259" s="454">
        <x:v>0</x:v>
      </x:c>
      <x:c r="V259" s="455">
        <x:v>10500000</x:v>
      </x:c>
      <x:c r="W259" s="456">
        <x:f t="shared" si="56"/>
        <x:v>10500000</x:v>
      </x:c>
      <x:c r="X259" s="450">
        <x:f t="shared" si="57"/>
        <x:v>875000</x:v>
      </x:c>
      <x:c r="Y259" s="457">
        <x:v>7</x:v>
      </x:c>
      <x:c r="Z259" s="458"/>
      <x:c r="AA259" s="458"/>
      <x:c r="AB259" s="458"/>
      <x:c r="AC259" s="458"/>
      <x:c r="AD259" s="458"/>
      <x:c r="AE259" s="458"/>
    </x:row>
    <x:row r="260" spans="1:31" ht="20.100000000000001" customHeight="1">
      <x:c r="A260" s="439" t="s">
        <x:v>88</x:v>
      </x:c>
      <x:c r="B260" s="466" t="str">
        <x:f t="shared" si="59"/>
        <x:v>인건비</x:v>
      </x:c>
      <x:c r="C260" s="440" t="str">
        <x:f t="shared" si="60"/>
        <x:v>상여</x:v>
      </x:c>
      <x:c r="D260" s="441">
        <x:v>52110512</x:v>
      </x:c>
      <x:c r="E260" s="442" t="str">
        <x:f t="shared" si="61"/>
        <x:v>상여_특별상여</x:v>
      </x:c>
      <x:c r="F260" s="443"/>
      <x:c r="G260" s="444" t="s">
        <x:v>114</x:v>
      </x:c>
      <x:c r="H260" s="445" t="str">
        <x:f t="shared" si="58"/>
        <x:v>연구개발부문(E)</x:v>
      </x:c>
      <x:c r="I260" s="446" t="str">
        <x:f t="shared" si="62"/>
        <x:v>[연구개발비]</x:v>
      </x:c>
      <x:c r="J260" s="445"/>
      <x:c r="K260" s="453">
        <x:v>0</x:v>
      </x:c>
      <x:c r="L260" s="454">
        <x:v>0</x:v>
      </x:c>
      <x:c r="M260" s="454">
        <x:v>0</x:v>
      </x:c>
      <x:c r="N260" s="454">
        <x:v>0</x:v>
      </x:c>
      <x:c r="O260" s="454">
        <x:v>0</x:v>
      </x:c>
      <x:c r="P260" s="454">
        <x:v>0</x:v>
      </x:c>
      <x:c r="Q260" s="454">
        <x:v>0</x:v>
      </x:c>
      <x:c r="R260" s="454">
        <x:v>0</x:v>
      </x:c>
      <x:c r="S260" s="454">
        <x:v>0</x:v>
      </x:c>
      <x:c r="T260" s="454">
        <x:v>0</x:v>
      </x:c>
      <x:c r="U260" s="454">
        <x:v>0</x:v>
      </x:c>
      <x:c r="V260" s="455">
        <x:v>1500000</x:v>
      </x:c>
      <x:c r="W260" s="456">
        <x:f t="shared" si="56"/>
        <x:v>1500000</x:v>
      </x:c>
      <x:c r="X260" s="450">
        <x:f t="shared" si="57"/>
        <x:v>125000</x:v>
      </x:c>
      <x:c r="Y260" s="457">
        <x:v>1</x:v>
      </x:c>
      <x:c r="Z260" s="458"/>
      <x:c r="AA260" s="458"/>
      <x:c r="AB260" s="458"/>
      <x:c r="AC260" s="458"/>
      <x:c r="AD260" s="458"/>
      <x:c r="AE260" s="458"/>
    </x:row>
    <x:row r="261" spans="1:31" ht="20.100000000000001" customHeight="1">
      <x:c r="A261" s="439" t="s">
        <x:v>88</x:v>
      </x:c>
      <x:c r="B261" s="466" t="str">
        <x:f t="shared" si="59"/>
        <x:v>인건비</x:v>
      </x:c>
      <x:c r="C261" s="440" t="str">
        <x:f t="shared" si="60"/>
        <x:v>상여</x:v>
      </x:c>
      <x:c r="D261" s="441">
        <x:v>52110512</x:v>
      </x:c>
      <x:c r="E261" s="442" t="str">
        <x:f t="shared" si="61"/>
        <x:v>상여_특별상여</x:v>
      </x:c>
      <x:c r="F261" s="443"/>
      <x:c r="G261" s="444" t="s">
        <x:v>99</x:v>
      </x:c>
      <x:c r="H261" s="445" t="str">
        <x:f t="shared" si="58"/>
        <x:v>전장설계1팀(E)</x:v>
      </x:c>
      <x:c r="I261" s="446" t="str">
        <x:f t="shared" si="62"/>
        <x:v>[연구개발비]</x:v>
      </x:c>
      <x:c r="J261" s="445"/>
      <x:c r="K261" s="453">
        <x:v>0</x:v>
      </x:c>
      <x:c r="L261" s="454">
        <x:v>0</x:v>
      </x:c>
      <x:c r="M261" s="454">
        <x:v>0</x:v>
      </x:c>
      <x:c r="N261" s="454">
        <x:v>0</x:v>
      </x:c>
      <x:c r="O261" s="454">
        <x:v>0</x:v>
      </x:c>
      <x:c r="P261" s="454">
        <x:v>0</x:v>
      </x:c>
      <x:c r="Q261" s="454">
        <x:v>0</x:v>
      </x:c>
      <x:c r="R261" s="454">
        <x:v>0</x:v>
      </x:c>
      <x:c r="S261" s="454">
        <x:v>0</x:v>
      </x:c>
      <x:c r="T261" s="454">
        <x:v>0</x:v>
      </x:c>
      <x:c r="U261" s="454">
        <x:v>0</x:v>
      </x:c>
      <x:c r="V261" s="455">
        <x:v>9000000</x:v>
      </x:c>
      <x:c r="W261" s="456">
        <x:f t="shared" si="56"/>
        <x:v>9000000</x:v>
      </x:c>
      <x:c r="X261" s="450">
        <x:f t="shared" si="57"/>
        <x:v>750000</x:v>
      </x:c>
      <x:c r="Y261" s="457">
        <x:v>6</x:v>
      </x:c>
      <x:c r="Z261" s="458"/>
      <x:c r="AA261" s="458"/>
      <x:c r="AB261" s="458"/>
      <x:c r="AC261" s="458"/>
      <x:c r="AD261" s="458"/>
      <x:c r="AE261" s="458"/>
    </x:row>
    <x:row r="262" spans="1:31" ht="20.100000000000001" customHeight="1">
      <x:c r="A262" s="439" t="s">
        <x:v>88</x:v>
      </x:c>
      <x:c r="B262" s="466" t="str">
        <x:f t="shared" si="59"/>
        <x:v>인건비</x:v>
      </x:c>
      <x:c r="C262" s="440" t="str">
        <x:f t="shared" si="60"/>
        <x:v>상여</x:v>
      </x:c>
      <x:c r="D262" s="441">
        <x:v>52110512</x:v>
      </x:c>
      <x:c r="E262" s="442" t="str">
        <x:f t="shared" si="61"/>
        <x:v>상여_특별상여</x:v>
      </x:c>
      <x:c r="F262" s="443"/>
      <x:c r="G262" s="444" t="s">
        <x:v>101</x:v>
      </x:c>
      <x:c r="H262" s="445" t="str">
        <x:f t="shared" si="58"/>
        <x:v>전장설계2팀(E)</x:v>
      </x:c>
      <x:c r="I262" s="446" t="str">
        <x:f t="shared" si="62"/>
        <x:v>[연구개발비]</x:v>
      </x:c>
      <x:c r="J262" s="445"/>
      <x:c r="K262" s="453">
        <x:v>0</x:v>
      </x:c>
      <x:c r="L262" s="454">
        <x:v>0</x:v>
      </x:c>
      <x:c r="M262" s="454">
        <x:v>0</x:v>
      </x:c>
      <x:c r="N262" s="454">
        <x:v>0</x:v>
      </x:c>
      <x:c r="O262" s="454">
        <x:v>0</x:v>
      </x:c>
      <x:c r="P262" s="454">
        <x:v>0</x:v>
      </x:c>
      <x:c r="Q262" s="454">
        <x:v>0</x:v>
      </x:c>
      <x:c r="R262" s="454">
        <x:v>0</x:v>
      </x:c>
      <x:c r="S262" s="454">
        <x:v>0</x:v>
      </x:c>
      <x:c r="T262" s="454">
        <x:v>0</x:v>
      </x:c>
      <x:c r="U262" s="454">
        <x:v>0</x:v>
      </x:c>
      <x:c r="V262" s="455">
        <x:v>22500000</x:v>
      </x:c>
      <x:c r="W262" s="456">
        <x:f t="shared" si="56"/>
        <x:v>22500000</x:v>
      </x:c>
      <x:c r="X262" s="450">
        <x:f t="shared" si="57"/>
        <x:v>1875000</x:v>
      </x:c>
      <x:c r="Y262" s="457">
        <x:v>15</x:v>
      </x:c>
      <x:c r="Z262" s="458"/>
      <x:c r="AA262" s="458"/>
      <x:c r="AB262" s="458"/>
      <x:c r="AC262" s="458"/>
      <x:c r="AD262" s="458"/>
      <x:c r="AE262" s="458"/>
    </x:row>
    <x:row r="263" spans="1:31" ht="20.100000000000001" customHeight="1">
      <x:c r="A263" s="439" t="s">
        <x:v>88</x:v>
      </x:c>
      <x:c r="B263" s="466" t="str">
        <x:f t="shared" si="59"/>
        <x:v>인건비</x:v>
      </x:c>
      <x:c r="C263" s="440" t="str">
        <x:f t="shared" si="60"/>
        <x:v>상여</x:v>
      </x:c>
      <x:c r="D263" s="441">
        <x:v>52110512</x:v>
      </x:c>
      <x:c r="E263" s="442" t="str">
        <x:f t="shared" si="61"/>
        <x:v>상여_특별상여</x:v>
      </x:c>
      <x:c r="F263" s="443"/>
      <x:c r="G263" s="444" t="s">
        <x:v>104</x:v>
      </x:c>
      <x:c r="H263" s="445" t="str">
        <x:f t="shared" si="58"/>
        <x:v>제품개발팀(E)</x:v>
      </x:c>
      <x:c r="I263" s="446" t="str">
        <x:f t="shared" si="62"/>
        <x:v>[연구개발비]</x:v>
      </x:c>
      <x:c r="J263" s="445"/>
      <x:c r="K263" s="453">
        <x:v>0</x:v>
      </x:c>
      <x:c r="L263" s="454">
        <x:v>0</x:v>
      </x:c>
      <x:c r="M263" s="454">
        <x:v>0</x:v>
      </x:c>
      <x:c r="N263" s="454">
        <x:v>0</x:v>
      </x:c>
      <x:c r="O263" s="454">
        <x:v>0</x:v>
      </x:c>
      <x:c r="P263" s="454">
        <x:v>0</x:v>
      </x:c>
      <x:c r="Q263" s="454">
        <x:v>0</x:v>
      </x:c>
      <x:c r="R263" s="454">
        <x:v>0</x:v>
      </x:c>
      <x:c r="S263" s="454">
        <x:v>0</x:v>
      </x:c>
      <x:c r="T263" s="454">
        <x:v>0</x:v>
      </x:c>
      <x:c r="U263" s="454">
        <x:v>0</x:v>
      </x:c>
      <x:c r="V263" s="455">
        <x:v>10500000</x:v>
      </x:c>
      <x:c r="W263" s="456">
        <x:f t="shared" si="56"/>
        <x:v>10500000</x:v>
      </x:c>
      <x:c r="X263" s="450">
        <x:f t="shared" si="57"/>
        <x:v>875000</x:v>
      </x:c>
      <x:c r="Y263" s="457">
        <x:v>7</x:v>
      </x:c>
      <x:c r="Z263" s="458"/>
      <x:c r="AA263" s="458"/>
      <x:c r="AB263" s="458"/>
      <x:c r="AC263" s="458"/>
      <x:c r="AD263" s="458"/>
      <x:c r="AE263" s="458"/>
    </x:row>
    <x:row r="264" spans="1:31" ht="20.100000000000001" customHeight="1">
      <x:c r="A264" s="439" t="s">
        <x:v>88</x:v>
      </x:c>
      <x:c r="B264" s="466" t="str">
        <x:f t="shared" si="59"/>
        <x:v>인건비</x:v>
      </x:c>
      <x:c r="C264" s="440" t="str">
        <x:f t="shared" si="60"/>
        <x:v>상여</x:v>
      </x:c>
      <x:c r="D264" s="441">
        <x:v>52110512</x:v>
      </x:c>
      <x:c r="E264" s="442" t="str">
        <x:f t="shared" si="61"/>
        <x:v>상여_특별상여</x:v>
      </x:c>
      <x:c r="F264" s="443"/>
      <x:c r="G264" s="444" t="s">
        <x:v>251</x:v>
      </x:c>
      <x:c r="H264" s="445" t="str">
        <x:f t="shared" si="58"/>
        <x:v>시작평가팀(E)</x:v>
      </x:c>
      <x:c r="I264" s="446" t="str">
        <x:f t="shared" si="62"/>
        <x:v>[연구개발비]</x:v>
      </x:c>
      <x:c r="J264" s="445"/>
      <x:c r="K264" s="453">
        <x:v>0</x:v>
      </x:c>
      <x:c r="L264" s="454">
        <x:v>0</x:v>
      </x:c>
      <x:c r="M264" s="454">
        <x:v>0</x:v>
      </x:c>
      <x:c r="N264" s="454">
        <x:v>0</x:v>
      </x:c>
      <x:c r="O264" s="454">
        <x:v>0</x:v>
      </x:c>
      <x:c r="P264" s="454">
        <x:v>0</x:v>
      </x:c>
      <x:c r="Q264" s="454">
        <x:v>0</x:v>
      </x:c>
      <x:c r="R264" s="454">
        <x:v>0</x:v>
      </x:c>
      <x:c r="S264" s="454">
        <x:v>0</x:v>
      </x:c>
      <x:c r="T264" s="454">
        <x:v>0</x:v>
      </x:c>
      <x:c r="U264" s="454">
        <x:v>0</x:v>
      </x:c>
      <x:c r="V264" s="455">
        <x:v>12000000</x:v>
      </x:c>
      <x:c r="W264" s="456">
        <x:f t="shared" si="56"/>
        <x:v>12000000</x:v>
      </x:c>
      <x:c r="X264" s="450">
        <x:f t="shared" si="57"/>
        <x:v>1000000</x:v>
      </x:c>
      <x:c r="Y264" s="457">
        <x:v>8</x:v>
      </x:c>
      <x:c r="Z264" s="458"/>
      <x:c r="AA264" s="458"/>
      <x:c r="AB264" s="458"/>
      <x:c r="AC264" s="458"/>
      <x:c r="AD264" s="458"/>
      <x:c r="AE264" s="458"/>
    </x:row>
    <x:row r="265" spans="1:31" ht="20.100000000000001" customHeight="1">
      <x:c r="A265" s="439" t="s">
        <x:v>88</x:v>
      </x:c>
      <x:c r="B265" s="466" t="str">
        <x:f t="shared" si="59"/>
        <x:v>인건비</x:v>
      </x:c>
      <x:c r="C265" s="440" t="str">
        <x:f t="shared" si="60"/>
        <x:v>상여</x:v>
      </x:c>
      <x:c r="D265" s="441">
        <x:v>52110512</x:v>
      </x:c>
      <x:c r="E265" s="442" t="str">
        <x:f t="shared" si="61"/>
        <x:v>상여_특별상여</x:v>
      </x:c>
      <x:c r="F265" s="443"/>
      <x:c r="G265" s="444" t="s">
        <x:v>106</x:v>
      </x:c>
      <x:c r="H265" s="445" t="str">
        <x:f t="shared" si="58"/>
        <x:v>구매팀(E)</x:v>
      </x:c>
      <x:c r="I265" s="446" t="str">
        <x:f t="shared" si="62"/>
        <x:v>[관리비]</x:v>
      </x:c>
      <x:c r="J265" s="445"/>
      <x:c r="K265" s="453">
        <x:v>0</x:v>
      </x:c>
      <x:c r="L265" s="454">
        <x:v>0</x:v>
      </x:c>
      <x:c r="M265" s="454">
        <x:v>0</x:v>
      </x:c>
      <x:c r="N265" s="454">
        <x:v>0</x:v>
      </x:c>
      <x:c r="O265" s="454">
        <x:v>0</x:v>
      </x:c>
      <x:c r="P265" s="454">
        <x:v>0</x:v>
      </x:c>
      <x:c r="Q265" s="454">
        <x:v>0</x:v>
      </x:c>
      <x:c r="R265" s="454">
        <x:v>0</x:v>
      </x:c>
      <x:c r="S265" s="454">
        <x:v>0</x:v>
      </x:c>
      <x:c r="T265" s="454">
        <x:v>0</x:v>
      </x:c>
      <x:c r="U265" s="454">
        <x:v>0</x:v>
      </x:c>
      <x:c r="V265" s="455">
        <x:v>14562500</x:v>
      </x:c>
      <x:c r="W265" s="456">
        <x:f t="shared" si="56"/>
        <x:v>14562500</x:v>
      </x:c>
      <x:c r="X265" s="450">
        <x:f t="shared" si="57"/>
        <x:v>1213541.6666666667</x:v>
      </x:c>
      <x:c r="Y265" s="457">
        <x:v>9.7083333333333339</x:v>
      </x:c>
      <x:c r="Z265" s="458"/>
      <x:c r="AA265" s="458"/>
      <x:c r="AB265" s="458"/>
      <x:c r="AC265" s="458"/>
      <x:c r="AD265" s="458"/>
      <x:c r="AE265" s="458"/>
    </x:row>
    <x:row r="266" spans="1:31" ht="20.100000000000001" customHeight="1">
      <x:c r="A266" s="439" t="s">
        <x:v>88</x:v>
      </x:c>
      <x:c r="B266" s="466" t="str">
        <x:f t="shared" si="59"/>
        <x:v>인건비</x:v>
      </x:c>
      <x:c r="C266" s="440" t="str">
        <x:f t="shared" si="60"/>
        <x:v>상여</x:v>
      </x:c>
      <x:c r="D266" s="441">
        <x:v>52110512</x:v>
      </x:c>
      <x:c r="E266" s="442" t="str">
        <x:f t="shared" si="61"/>
        <x:v>상여_특별상여</x:v>
      </x:c>
      <x:c r="F266" s="443"/>
      <x:c r="G266" s="444" t="s">
        <x:v>150</x:v>
      </x:c>
      <x:c r="H266" s="445" t="str">
        <x:f t="shared" si="58"/>
        <x:v>구매영업부문(E)</x:v>
      </x:c>
      <x:c r="I266" s="446" t="str">
        <x:f t="shared" si="62"/>
        <x:v>[판매비]</x:v>
      </x:c>
      <x:c r="J266" s="445"/>
      <x:c r="K266" s="453">
        <x:v>0</x:v>
      </x:c>
      <x:c r="L266" s="454">
        <x:v>0</x:v>
      </x:c>
      <x:c r="M266" s="454">
        <x:v>0</x:v>
      </x:c>
      <x:c r="N266" s="454">
        <x:v>0</x:v>
      </x:c>
      <x:c r="O266" s="454">
        <x:v>0</x:v>
      </x:c>
      <x:c r="P266" s="454">
        <x:v>0</x:v>
      </x:c>
      <x:c r="Q266" s="454">
        <x:v>0</x:v>
      </x:c>
      <x:c r="R266" s="454">
        <x:v>0</x:v>
      </x:c>
      <x:c r="S266" s="454">
        <x:v>0</x:v>
      </x:c>
      <x:c r="T266" s="454">
        <x:v>0</x:v>
      </x:c>
      <x:c r="U266" s="454">
        <x:v>0</x:v>
      </x:c>
      <x:c r="V266" s="455">
        <x:v>1500000</x:v>
      </x:c>
      <x:c r="W266" s="456">
        <x:f t="shared" si="56"/>
        <x:v>1500000</x:v>
      </x:c>
      <x:c r="X266" s="450">
        <x:f t="shared" si="57"/>
        <x:v>125000</x:v>
      </x:c>
      <x:c r="Y266" s="457">
        <x:v>1</x:v>
      </x:c>
      <x:c r="Z266" s="458"/>
      <x:c r="AA266" s="458"/>
      <x:c r="AB266" s="458"/>
      <x:c r="AC266" s="458"/>
      <x:c r="AD266" s="458"/>
      <x:c r="AE266" s="458"/>
    </x:row>
    <x:row r="267" spans="1:31" ht="20.100000000000001" customHeight="1">
      <x:c r="A267" s="439" t="s">
        <x:v>88</x:v>
      </x:c>
      <x:c r="B267" s="466" t="str">
        <x:f t="shared" si="59"/>
        <x:v>인건비</x:v>
      </x:c>
      <x:c r="C267" s="440" t="str">
        <x:f t="shared" si="60"/>
        <x:v>상여</x:v>
      </x:c>
      <x:c r="D267" s="441">
        <x:v>52110512</x:v>
      </x:c>
      <x:c r="E267" s="442" t="str">
        <x:f t="shared" si="61"/>
        <x:v>상여_특별상여</x:v>
      </x:c>
      <x:c r="F267" s="443"/>
      <x:c r="G267" s="444" t="s">
        <x:v>247</x:v>
      </x:c>
      <x:c r="H267" s="445" t="str">
        <x:f t="shared" si="58"/>
        <x:v>영업팀(E)</x:v>
      </x:c>
      <x:c r="I267" s="446" t="str">
        <x:f t="shared" si="62"/>
        <x:v>[판매비]</x:v>
      </x:c>
      <x:c r="J267" s="445"/>
      <x:c r="K267" s="453">
        <x:v>0</x:v>
      </x:c>
      <x:c r="L267" s="454">
        <x:v>0</x:v>
      </x:c>
      <x:c r="M267" s="454">
        <x:v>0</x:v>
      </x:c>
      <x:c r="N267" s="454">
        <x:v>0</x:v>
      </x:c>
      <x:c r="O267" s="454">
        <x:v>0</x:v>
      </x:c>
      <x:c r="P267" s="454">
        <x:v>0</x:v>
      </x:c>
      <x:c r="Q267" s="454">
        <x:v>0</x:v>
      </x:c>
      <x:c r="R267" s="454">
        <x:v>0</x:v>
      </x:c>
      <x:c r="S267" s="454">
        <x:v>0</x:v>
      </x:c>
      <x:c r="T267" s="454">
        <x:v>0</x:v>
      </x:c>
      <x:c r="U267" s="454">
        <x:v>0</x:v>
      </x:c>
      <x:c r="V267" s="455">
        <x:v>10500000</x:v>
      </x:c>
      <x:c r="W267" s="456">
        <x:f t="shared" ref="W267:W269" si="63">IFERROR(SUM(K267:V267),"")</x:f>
        <x:v>10500000</x:v>
      </x:c>
      <x:c r="X267" s="450">
        <x:f t="shared" ref="X267:X269" si="64">IFERROR($W267/$Y$1,"")</x:f>
        <x:v>875000</x:v>
      </x:c>
      <x:c r="Y267" s="457">
        <x:v>7</x:v>
      </x:c>
      <x:c r="Z267" s="458"/>
      <x:c r="AA267" s="458"/>
      <x:c r="AB267" s="458"/>
      <x:c r="AC267" s="458"/>
      <x:c r="AD267" s="458"/>
      <x:c r="AE267" s="458"/>
    </x:row>
    <x:row r="268" spans="1:31" ht="20.100000000000001" customHeight="1">
      <x:c r="A268" s="439" t="s">
        <x:v>765</x:v>
      </x:c>
      <x:c r="B268" s="466" t="str">
        <x:f t="shared" si="59"/>
        <x:v>인건비</x:v>
      </x:c>
      <x:c r="C268" s="440" t="str">
        <x:f t="shared" si="60"/>
        <x:v>퇴직급여</x:v>
      </x:c>
      <x:c r="D268" s="441">
        <x:v>52120101</x:v>
      </x:c>
      <x:c r="E268" s="442" t="str">
        <x:f t="shared" si="61"/>
        <x:v>퇴직급여충당금전입</x:v>
      </x:c>
      <x:c r="F268" s="443"/>
      <x:c r="G268" s="444" t="s">
        <x:v>80</x:v>
      </x:c>
      <x:c r="H268" s="445" t="str">
        <x:f t="shared" si="58"/>
        <x:v>사업관리팀(E)</x:v>
      </x:c>
      <x:c r="I268" s="446" t="str">
        <x:f t="shared" si="62"/>
        <x:v>[관리비]</x:v>
      </x:c>
      <x:c r="J268" s="445"/>
      <x:c r="K268" s="453">
        <x:v>5710278.1329288408</x:v>
      </x:c>
      <x:c r="L268" s="454">
        <x:v>12480891</x:v>
      </x:c>
      <x:c r="M268" s="454">
        <x:v>4598062</x:v>
      </x:c>
      <x:c r="N268" s="454">
        <x:v>12051361</x:v>
      </x:c>
      <x:c r="O268" s="454">
        <x:v>-6291073</x:v>
      </x:c>
      <x:c r="P268" s="454">
        <x:v>11973459</x:v>
      </x:c>
      <x:c r="Q268" s="454">
        <x:v>-1810904</x:v>
      </x:c>
      <x:c r="R268" s="454">
        <x:v>2777562</x:v>
      </x:c>
      <x:c r="S268" s="454">
        <x:v>2760424</x:v>
      </x:c>
      <x:c r="T268" s="454">
        <x:v>2794700</x:v>
      </x:c>
      <x:c r="U268" s="454">
        <x:v>7518646</x:v>
      </x:c>
      <x:c r="V268" s="455">
        <x:v>-1963521</x:v>
      </x:c>
      <x:c r="W268" s="456">
        <x:f t="shared" si="63"/>
        <x:v>52599885.132928841</x:v>
      </x:c>
      <x:c r="X268" s="450">
        <x:f t="shared" si="64"/>
        <x:v>4383323.7610774031</x:v>
      </x:c>
      <x:c r="Y268" s="457" t="s">
        <x:v>805</x:v>
      </x:c>
      <x:c r="Z268" s="458"/>
      <x:c r="AA268" s="458"/>
      <x:c r="AB268" s="458"/>
      <x:c r="AC268" s="458"/>
      <x:c r="AD268" s="458"/>
      <x:c r="AE268" s="458"/>
    </x:row>
    <x:row r="269" spans="1:31" ht="20.100000000000001" customHeight="1">
      <x:c r="A269" s="439" t="s">
        <x:v>765</x:v>
      </x:c>
      <x:c r="B269" s="466" t="str">
        <x:f t="shared" si="59"/>
        <x:v>인건비</x:v>
      </x:c>
      <x:c r="C269" s="440" t="str">
        <x:f t="shared" si="60"/>
        <x:v>퇴직급여</x:v>
      </x:c>
      <x:c r="D269" s="441">
        <x:v>52120101</x:v>
      </x:c>
      <x:c r="E269" s="442" t="str">
        <x:f t="shared" si="61"/>
        <x:v>퇴직급여충당금전입</x:v>
      </x:c>
      <x:c r="F269" s="443"/>
      <x:c r="G269" s="444" t="s">
        <x:v>103</x:v>
      </x:c>
      <x:c r="H269" s="445" t="str">
        <x:f t="shared" si="58"/>
        <x:v>전장사업부(E)</x:v>
      </x:c>
      <x:c r="I269" s="446" t="str">
        <x:f t="shared" si="62"/>
        <x:v>[관리비]</x:v>
      </x:c>
      <x:c r="J269" s="445"/>
      <x:c r="K269" s="453">
        <x:v>3764298.4347826093</x:v>
      </x:c>
      <x:c r="L269" s="454">
        <x:v>6677367</x:v>
      </x:c>
      <x:c r="M269" s="454">
        <x:v>3963715</x:v>
      </x:c>
      <x:c r="N269" s="454">
        <x:v>3802249</x:v>
      </x:c>
      <x:c r="O269" s="454">
        <x:v>-2330935</x:v>
      </x:c>
      <x:c r="P269" s="454">
        <x:v>3734843</x:v>
      </x:c>
      <x:c r="Q269" s="454">
        <x:v>679070</x:v>
      </x:c>
      <x:c r="R269" s="454">
        <x:v>2206957</x:v>
      </x:c>
      <x:c r="S269" s="454">
        <x:v>2206956</x:v>
      </x:c>
      <x:c r="T269" s="454">
        <x:v>2206957</x:v>
      </x:c>
      <x:c r="U269" s="454">
        <x:v>3856104</x:v>
      </x:c>
      <x:c r="V269" s="455">
        <x:v>557809</x:v>
      </x:c>
      <x:c r="W269" s="456">
        <x:f t="shared" si="63"/>
        <x:v>31325390.434782609</x:v>
      </x:c>
      <x:c r="X269" s="450">
        <x:f t="shared" si="64"/>
        <x:v>2610449.2028985508</x:v>
      </x:c>
      <x:c r="Y269" s="457" t="s">
        <x:v>805</x:v>
      </x:c>
      <x:c r="Z269" s="458"/>
      <x:c r="AA269" s="458"/>
      <x:c r="AB269" s="458"/>
      <x:c r="AC269" s="458"/>
      <x:c r="AD269" s="458"/>
      <x:c r="AE269" s="458"/>
    </x:row>
    <x:row r="270" spans="1:31" ht="20.100000000000001" customHeight="1">
      <x:c r="A270" s="439" t="s">
        <x:v>765</x:v>
      </x:c>
      <x:c r="B270" s="466" t="str">
        <x:f t="shared" si="59"/>
        <x:v>인건비</x:v>
      </x:c>
      <x:c r="C270" s="440" t="str">
        <x:f t="shared" si="60"/>
        <x:v>퇴직급여</x:v>
      </x:c>
      <x:c r="D270" s="441">
        <x:v>52120101</x:v>
      </x:c>
      <x:c r="E270" s="442" t="str">
        <x:f t="shared" si="61"/>
        <x:v>퇴직급여충당금전입</x:v>
      </x:c>
      <x:c r="F270" s="443"/>
      <x:c r="G270" s="444" t="s">
        <x:v>82</x:v>
      </x:c>
      <x:c r="H270" s="445" t="str">
        <x:f t="shared" si="58"/>
        <x:v>생산기술팀(E)</x:v>
      </x:c>
      <x:c r="I270" s="446" t="str">
        <x:f t="shared" si="62"/>
        <x:v>[관리비]</x:v>
      </x:c>
      <x:c r="J270" s="445"/>
      <x:c r="K270" s="453">
        <x:v>9557792.7197550349</x:v>
      </x:c>
      <x:c r="L270" s="454">
        <x:v>17563154</x:v>
      </x:c>
      <x:c r="M270" s="454">
        <x:v>9407465</x:v>
      </x:c>
      <x:c r="N270" s="454">
        <x:v>17162591</x:v>
      </x:c>
      <x:c r="O270" s="454">
        <x:v>-5226063</x:v>
      </x:c>
      <x:c r="P270" s="454">
        <x:v>17177658</x:v>
      </x:c>
      <x:c r="Q270" s="454">
        <x:v>371866</x:v>
      </x:c>
      <x:c r="R270" s="454">
        <x:v>5949968</x:v>
      </x:c>
      <x:c r="S270" s="454">
        <x:v>5776870</x:v>
      </x:c>
      <x:c r="T270" s="454">
        <x:v>6123068</x:v>
      </x:c>
      <x:c r="U270" s="454">
        <x:v>11854997</x:v>
      </x:c>
      <x:c r="V270" s="455">
        <x:v>44941</x:v>
      </x:c>
      <x:c r="W270" s="456">
        <x:f t="shared" ref="W270:W282" si="65">IFERROR(SUM(K270:V270),"")</x:f>
        <x:v>95764307.719755039</x:v>
      </x:c>
      <x:c r="X270" s="450">
        <x:f t="shared" ref="X270:X283" si="66">IFERROR($W270/$Y$1,"")</x:f>
        <x:v>7980358.9766462529</x:v>
      </x:c>
      <x:c r="Y270" s="457" t="s">
        <x:v>805</x:v>
      </x:c>
      <x:c r="Z270" s="458"/>
      <x:c r="AA270" s="458"/>
      <x:c r="AB270" s="458"/>
      <x:c r="AC270" s="458"/>
      <x:c r="AD270" s="458"/>
      <x:c r="AE270" s="458"/>
    </x:row>
    <x:row r="271" spans="1:31" ht="20.100000000000001" customHeight="1">
      <x:c r="A271" s="439" t="s">
        <x:v>765</x:v>
      </x:c>
      <x:c r="B271" s="466" t="str">
        <x:f t="shared" si="59"/>
        <x:v>인건비</x:v>
      </x:c>
      <x:c r="C271" s="440" t="str">
        <x:f t="shared" si="60"/>
        <x:v>퇴직급여</x:v>
      </x:c>
      <x:c r="D271" s="441">
        <x:v>52120101</x:v>
      </x:c>
      <x:c r="E271" s="442" t="str">
        <x:f t="shared" si="61"/>
        <x:v>퇴직급여충당금전입</x:v>
      </x:c>
      <x:c r="F271" s="443"/>
      <x:c r="G271" s="444" t="s">
        <x:v>84</x:v>
      </x:c>
      <x:c r="H271" s="445" t="str">
        <x:f t="shared" si="58"/>
        <x:v>품질경영팀(E)</x:v>
      </x:c>
      <x:c r="I271" s="446" t="str">
        <x:f t="shared" si="62"/>
        <x:v>[관리비]</x:v>
      </x:c>
      <x:c r="J271" s="445"/>
      <x:c r="K271" s="453">
        <x:v>7284064.3136353269</x:v>
      </x:c>
      <x:c r="L271" s="454">
        <x:v>12277428</x:v>
      </x:c>
      <x:c r="M271" s="454">
        <x:v>7482716</x:v>
      </x:c>
      <x:c r="N271" s="454">
        <x:v>11275489</x:v>
      </x:c>
      <x:c r="O271" s="454">
        <x:v>-1911951</x:v>
      </x:c>
      <x:c r="P271" s="454">
        <x:v>11335079</x:v>
      </x:c>
      <x:c r="Q271" s="454">
        <x:v>1352598</x:v>
      </x:c>
      <x:c r="R271" s="454">
        <x:v>4648904</x:v>
      </x:c>
      <x:c r="S271" s="454">
        <x:v>4517118</x:v>
      </x:c>
      <x:c r="T271" s="454">
        <x:v>4780692</x:v>
      </x:c>
      <x:c r="U271" s="454">
        <x:v>8200647</x:v>
      </x:c>
      <x:c r="V271" s="455">
        <x:v>1097164</x:v>
      </x:c>
      <x:c r="W271" s="456">
        <x:f t="shared" si="65"/>
        <x:v>72339948.313635319</x:v>
      </x:c>
      <x:c r="X271" s="450">
        <x:f t="shared" si="66"/>
        <x:v>6028329.0261362763</x:v>
      </x:c>
      <x:c r="Y271" s="457" t="s">
        <x:v>805</x:v>
      </x:c>
      <x:c r="Z271" s="458"/>
      <x:c r="AA271" s="458"/>
      <x:c r="AB271" s="458"/>
      <x:c r="AC271" s="458"/>
      <x:c r="AD271" s="458"/>
      <x:c r="AE271" s="458"/>
    </x:row>
    <x:row r="272" spans="1:31" ht="20.100000000000001" customHeight="1">
      <x:c r="A272" s="439" t="s">
        <x:v>765</x:v>
      </x:c>
      <x:c r="B272" s="466" t="str">
        <x:f t="shared" si="59"/>
        <x:v>인건비</x:v>
      </x:c>
      <x:c r="C272" s="440" t="str">
        <x:f t="shared" si="60"/>
        <x:v>퇴직급여</x:v>
      </x:c>
      <x:c r="D272" s="441">
        <x:v>52120101</x:v>
      </x:c>
      <x:c r="E272" s="442" t="str">
        <x:f t="shared" si="61"/>
        <x:v>퇴직급여충당금전입</x:v>
      </x:c>
      <x:c r="F272" s="443"/>
      <x:c r="G272" s="444" t="s">
        <x:v>253</x:v>
      </x:c>
      <x:c r="H272" s="445" t="str">
        <x:f t="shared" si="58"/>
        <x:v>생산부문(E)</x:v>
      </x:c>
      <x:c r="I272" s="446" t="str">
        <x:f t="shared" si="62"/>
        <x:v>[관리비]</x:v>
      </x:c>
      <x:c r="J272" s="445"/>
      <x:c r="K272" s="453">
        <x:v>2937937.8695652187</x:v>
      </x:c>
      <x:c r="L272" s="454">
        <x:v>4723994</x:v>
      </x:c>
      <x:c r="M272" s="454">
        <x:v>3109663</x:v>
      </x:c>
      <x:c r="N272" s="454">
        <x:v>3026279</x:v>
      </x:c>
      <x:c r="O272" s="454">
        <x:v>-774286</x:v>
      </x:c>
      <x:c r="P272" s="454">
        <x:v>2984511</x:v>
      </x:c>
      <x:c r="Q272" s="454">
        <x:v>1069076</x:v>
      </x:c>
      <x:c r="R272" s="454">
        <x:v>2026794</x:v>
      </x:c>
      <x:c r="S272" s="454">
        <x:v>2026793</x:v>
      </x:c>
      <x:c r="T272" s="454">
        <x:v>2026794</x:v>
      </x:c>
      <x:c r="U272" s="454">
        <x:v>3095873</x:v>
      </x:c>
      <x:c r="V272" s="455">
        <x:v>957714</x:v>
      </x:c>
      <x:c r="W272" s="456">
        <x:f t="shared" si="65"/>
        <x:v>27211142.869565219</x:v>
      </x:c>
      <x:c r="X272" s="450">
        <x:f t="shared" si="66"/>
        <x:v>2267595.239130435</x:v>
      </x:c>
      <x:c r="Y272" s="457" t="s">
        <x:v>805</x:v>
      </x:c>
      <x:c r="Z272" s="458"/>
      <x:c r="AA272" s="458"/>
      <x:c r="AB272" s="458"/>
      <x:c r="AC272" s="458"/>
      <x:c r="AD272" s="458"/>
      <x:c r="AE272" s="458"/>
    </x:row>
    <x:row r="273" spans="1:31" ht="20.100000000000001" customHeight="1">
      <x:c r="A273" s="439" t="s">
        <x:v>765</x:v>
      </x:c>
      <x:c r="B273" s="466" t="str">
        <x:f t="shared" si="59"/>
        <x:v>인건비</x:v>
      </x:c>
      <x:c r="C273" s="440" t="str">
        <x:f t="shared" si="60"/>
        <x:v>퇴직급여</x:v>
      </x:c>
      <x:c r="D273" s="441">
        <x:v>52120101</x:v>
      </x:c>
      <x:c r="E273" s="442" t="str">
        <x:f t="shared" si="61"/>
        <x:v>퇴직급여충당금전입</x:v>
      </x:c>
      <x:c r="F273" s="443"/>
      <x:c r="G273" s="444" t="s">
        <x:v>245</x:v>
      </x:c>
      <x:c r="H273" s="445" t="str">
        <x:f t="shared" si="58"/>
        <x:v>생산기획팀(E)</x:v>
      </x:c>
      <x:c r="I273" s="446" t="str">
        <x:f t="shared" si="62"/>
        <x:v>[관리비]</x:v>
      </x:c>
      <x:c r="J273" s="445"/>
      <x:c r="K273" s="453">
        <x:v>6445839.2166840173</x:v>
      </x:c>
      <x:c r="L273" s="454">
        <x:v>13847981</x:v>
      </x:c>
      <x:c r="M273" s="454">
        <x:v>5931928</x:v>
      </x:c>
      <x:c r="N273" s="454">
        <x:v>14865748</x:v>
      </x:c>
      <x:c r="O273" s="454">
        <x:v>-6305507</x:v>
      </x:c>
      <x:c r="P273" s="454">
        <x:v>14819187</x:v>
      </x:c>
      <x:c r="Q273" s="454">
        <x:v>-1053537</x:v>
      </x:c>
      <x:c r="R273" s="454">
        <x:v>4211381</x:v>
      </x:c>
      <x:c r="S273" s="454">
        <x:v>4088159</x:v>
      </x:c>
      <x:c r="T273" s="454">
        <x:v>4334606</x:v>
      </x:c>
      <x:c r="U273" s="454">
        <x:v>9707697</x:v>
      </x:c>
      <x:c r="V273" s="455">
        <x:v>-1284937</x:v>
      </x:c>
      <x:c r="W273" s="456">
        <x:f t="shared" si="65"/>
        <x:v>69608545.216684014</x:v>
      </x:c>
      <x:c r="X273" s="450">
        <x:f t="shared" si="66"/>
        <x:v>5800712.1013903348</x:v>
      </x:c>
      <x:c r="Y273" s="457" t="s">
        <x:v>805</x:v>
      </x:c>
      <x:c r="Z273" s="458"/>
      <x:c r="AA273" s="458"/>
      <x:c r="AB273" s="458"/>
      <x:c r="AC273" s="458"/>
      <x:c r="AD273" s="458"/>
      <x:c r="AE273" s="458"/>
    </x:row>
    <x:row r="274" spans="1:31" ht="20.100000000000001" customHeight="1">
      <x:c r="A274" s="439" t="s">
        <x:v>765</x:v>
      </x:c>
      <x:c r="B274" s="466" t="str">
        <x:f t="shared" si="59"/>
        <x:v>인건비</x:v>
      </x:c>
      <x:c r="C274" s="440" t="str">
        <x:f t="shared" si="60"/>
        <x:v>퇴직급여</x:v>
      </x:c>
      <x:c r="D274" s="441">
        <x:v>52120101</x:v>
      </x:c>
      <x:c r="E274" s="442" t="str">
        <x:f t="shared" si="61"/>
        <x:v>퇴직급여충당금전입</x:v>
      </x:c>
      <x:c r="F274" s="443"/>
      <x:c r="G274" s="444" t="s">
        <x:v>256</x:v>
      </x:c>
      <x:c r="H274" s="445" t="str">
        <x:f t="shared" si="58"/>
        <x:v>품질부문(E)</x:v>
      </x:c>
      <x:c r="I274" s="446" t="str">
        <x:f t="shared" si="62"/>
        <x:v>[관리비]</x:v>
      </x:c>
      <x:c r="J274" s="445"/>
      <x:c r="K274" s="453">
        <x:v>1556236.8059113026</x:v>
      </x:c>
      <x:c r="L274" s="454">
        <x:v>6228795</x:v>
      </x:c>
      <x:c r="M274" s="454">
        <x:v>4474745</x:v>
      </x:c>
      <x:c r="N274" s="454">
        <x:v>6514223</x:v>
      </x:c>
      <x:c r="O274" s="454">
        <x:v>-5094023</x:v>
      </x:c>
      <x:c r="P274" s="454">
        <x:v>6420291</x:v>
      </x:c>
      <x:c r="Q274" s="454">
        <x:v>-2059028</x:v>
      </x:c>
      <x:c r="R274" s="454">
        <x:v>812647</x:v>
      </x:c>
      <x:c r="S274" s="454">
        <x:v>785931</x:v>
      </x:c>
      <x:c r="T274" s="454">
        <x:v>839364</x:v>
      </x:c>
      <x:c r="U274" s="454">
        <x:v>3728974</x:v>
      </x:c>
      <x:c r="V274" s="455">
        <x:v>-2103679</x:v>
      </x:c>
      <x:c r="W274" s="456">
        <x:f t="shared" si="65"/>
        <x:v>22104476.805911303</x:v>
      </x:c>
      <x:c r="X274" s="450">
        <x:f t="shared" si="66"/>
        <x:v>1842039.7338259418</x:v>
      </x:c>
      <x:c r="Y274" s="457" t="s">
        <x:v>805</x:v>
      </x:c>
      <x:c r="Z274" s="458"/>
      <x:c r="AA274" s="458"/>
      <x:c r="AB274" s="458"/>
      <x:c r="AC274" s="458"/>
      <x:c r="AD274" s="458"/>
      <x:c r="AE274" s="458"/>
    </x:row>
    <x:row r="275" spans="1:31" ht="20.100000000000001" customHeight="1">
      <x:c r="A275" s="439" t="s">
        <x:v>765</x:v>
      </x:c>
      <x:c r="B275" s="466" t="str">
        <x:f t="shared" si="59"/>
        <x:v>인건비</x:v>
      </x:c>
      <x:c r="C275" s="440" t="str">
        <x:f t="shared" si="60"/>
        <x:v>퇴직급여</x:v>
      </x:c>
      <x:c r="D275" s="441">
        <x:v>52120101</x:v>
      </x:c>
      <x:c r="E275" s="442" t="str">
        <x:f t="shared" si="61"/>
        <x:v>퇴직급여충당금전입</x:v>
      </x:c>
      <x:c r="F275" s="443"/>
      <x:c r="G275" s="444" t="s">
        <x:v>249</x:v>
      </x:c>
      <x:c r="H275" s="445" t="str">
        <x:f t="shared" si="58"/>
        <x:v>부품품질팀(E)</x:v>
      </x:c>
      <x:c r="I275" s="446" t="str">
        <x:f t="shared" si="62"/>
        <x:v>[관리비]</x:v>
      </x:c>
      <x:c r="J275" s="445"/>
      <x:c r="K275" s="453">
        <x:v>9788892.4219773263</x:v>
      </x:c>
      <x:c r="L275" s="454">
        <x:v>14169311</x:v>
      </x:c>
      <x:c r="M275" s="454">
        <x:v>9132586</x:v>
      </x:c>
      <x:c r="N275" s="454">
        <x:v>11121403</x:v>
      </x:c>
      <x:c r="O275" s="454">
        <x:v>-3684376</x:v>
      </x:c>
      <x:c r="P275" s="454">
        <x:v>11094384</x:v>
      </x:c>
      <x:c r="Q275" s="454">
        <x:v>98909</x:v>
      </x:c>
      <x:c r="R275" s="454">
        <x:v>3737169</x:v>
      </x:c>
      <x:c r="S275" s="454">
        <x:v>3675538</x:v>
      </x:c>
      <x:c r="T275" s="454">
        <x:v>3840469</x:v>
      </x:c>
      <x:c r="U275" s="454">
        <x:v>7645674</x:v>
      </x:c>
      <x:c r="V275" s="455">
        <x:v>-129667</x:v>
      </x:c>
      <x:c r="W275" s="456">
        <x:f t="shared" si="65"/>
        <x:v>70490292.421977326</x:v>
      </x:c>
      <x:c r="X275" s="450">
        <x:f t="shared" si="66"/>
        <x:v>5874191.0351647772</x:v>
      </x:c>
      <x:c r="Y275" s="457" t="s">
        <x:v>805</x:v>
      </x:c>
      <x:c r="Z275" s="458"/>
      <x:c r="AA275" s="458"/>
      <x:c r="AB275" s="458"/>
      <x:c r="AC275" s="458"/>
      <x:c r="AD275" s="458"/>
      <x:c r="AE275" s="458"/>
    </x:row>
    <x:row r="276" spans="1:31" ht="20.100000000000001" customHeight="1">
      <x:c r="A276" s="439" t="s">
        <x:v>765</x:v>
      </x:c>
      <x:c r="B276" s="466" t="str">
        <x:f t="shared" si="59"/>
        <x:v>인건비</x:v>
      </x:c>
      <x:c r="C276" s="440" t="str">
        <x:f t="shared" si="60"/>
        <x:v>퇴직급여</x:v>
      </x:c>
      <x:c r="D276" s="441">
        <x:v>52120101</x:v>
      </x:c>
      <x:c r="E276" s="442" t="str">
        <x:f t="shared" si="61"/>
        <x:v>퇴직급여충당금전입</x:v>
      </x:c>
      <x:c r="F276" s="443"/>
      <x:c r="G276" s="444" t="s">
        <x:v>114</x:v>
      </x:c>
      <x:c r="H276" s="445" t="str">
        <x:f t="shared" si="58"/>
        <x:v>연구개발부문(E)</x:v>
      </x:c>
      <x:c r="I276" s="446" t="str">
        <x:f t="shared" si="62"/>
        <x:v>[연구개발비]</x:v>
      </x:c>
      <x:c r="J276" s="445"/>
      <x:c r="K276" s="453">
        <x:v>-7234291.521739129</x:v>
      </x:c>
      <x:c r="L276" s="454">
        <x:v>2277615</x:v>
      </x:c>
      <x:c r="M276" s="454">
        <x:v>1879720</x:v>
      </x:c>
      <x:c r="N276" s="454">
        <x:v>1879972</x:v>
      </x:c>
      <x:c r="O276" s="454">
        <x:v>718129</x:v>
      </x:c>
      <x:c r="P276" s="454">
        <x:v>1867204</x:v>
      </x:c>
      <x:c r="Q276" s="454">
        <x:v>1250513</x:v>
      </x:c>
      <x:c r="R276" s="454">
        <x:v>1558859</x:v>
      </x:c>
      <x:c r="S276" s="454">
        <x:v>1558859</x:v>
      </x:c>
      <x:c r="T276" s="454">
        <x:v>1558859</x:v>
      </x:c>
      <x:c r="U276" s="454">
        <x:v>1952856</x:v>
      </x:c>
      <x:c r="V276" s="455">
        <x:v>1164861</x:v>
      </x:c>
      <x:c r="W276" s="456">
        <x:f t="shared" si="65"/>
        <x:v>10433155.478260871</x:v>
      </x:c>
      <x:c r="X276" s="450">
        <x:f t="shared" si="66"/>
        <x:v>869429.62318840588</x:v>
      </x:c>
      <x:c r="Y276" s="457" t="s">
        <x:v>805</x:v>
      </x:c>
      <x:c r="Z276" s="458"/>
      <x:c r="AA276" s="458"/>
      <x:c r="AB276" s="458"/>
      <x:c r="AC276" s="458"/>
      <x:c r="AD276" s="458"/>
      <x:c r="AE276" s="458"/>
    </x:row>
    <x:row r="277" spans="1:31" ht="20.100000000000001" customHeight="1">
      <x:c r="A277" s="439" t="s">
        <x:v>765</x:v>
      </x:c>
      <x:c r="B277" s="466" t="str">
        <x:f t="shared" si="59"/>
        <x:v>인건비</x:v>
      </x:c>
      <x:c r="C277" s="440" t="str">
        <x:f t="shared" si="60"/>
        <x:v>퇴직급여</x:v>
      </x:c>
      <x:c r="D277" s="441">
        <x:v>52120101</x:v>
      </x:c>
      <x:c r="E277" s="442" t="str">
        <x:f t="shared" si="61"/>
        <x:v>퇴직급여충당금전입</x:v>
      </x:c>
      <x:c r="F277" s="443"/>
      <x:c r="G277" s="444" t="s">
        <x:v>99</x:v>
      </x:c>
      <x:c r="H277" s="445" t="str">
        <x:f t="shared" si="58"/>
        <x:v>전장설계1팀(E)</x:v>
      </x:c>
      <x:c r="I277" s="446" t="str">
        <x:f t="shared" si="62"/>
        <x:v>[연구개발비]</x:v>
      </x:c>
      <x:c r="J277" s="445"/>
      <x:c r="K277" s="453">
        <x:v>4982295.0114651248</x:v>
      </x:c>
      <x:c r="L277" s="454">
        <x:v>11376646</x:v>
      </x:c>
      <x:c r="M277" s="454">
        <x:v>5715136</x:v>
      </x:c>
      <x:c r="N277" s="454">
        <x:v>9301180</x:v>
      </x:c>
      <x:c r="O277" s="454">
        <x:v>2757958</x:v>
      </x:c>
      <x:c r="P277" s="454">
        <x:v>9923847</x:v>
      </x:c>
      <x:c r="Q277" s="454">
        <x:v>104455</x:v>
      </x:c>
      <x:c r="R277" s="454">
        <x:v>3368482</x:v>
      </x:c>
      <x:c r="S277" s="454">
        <x:v>3317818</x:v>
      </x:c>
      <x:c r="T277" s="454">
        <x:v>3419141</x:v>
      </x:c>
      <x:c r="U277" s="454">
        <x:v>6817584</x:v>
      </x:c>
      <x:c r="V277" s="455">
        <x:v>-80626</x:v>
      </x:c>
      <x:c r="W277" s="456">
        <x:f t="shared" si="65"/>
        <x:v>61003916.011465125</x:v>
      </x:c>
      <x:c r="X277" s="450">
        <x:f t="shared" si="66"/>
        <x:v>5083659.667622094</x:v>
      </x:c>
      <x:c r="Y277" s="457" t="s">
        <x:v>805</x:v>
      </x:c>
      <x:c r="Z277" s="458"/>
      <x:c r="AA277" s="458"/>
      <x:c r="AB277" s="458"/>
      <x:c r="AC277" s="458"/>
      <x:c r="AD277" s="458"/>
      <x:c r="AE277" s="458"/>
    </x:row>
    <x:row r="278" spans="1:31" ht="20.100000000000001" customHeight="1">
      <x:c r="A278" s="439" t="s">
        <x:v>765</x:v>
      </x:c>
      <x:c r="B278" s="466" t="str">
        <x:f t="shared" si="59"/>
        <x:v>인건비</x:v>
      </x:c>
      <x:c r="C278" s="440" t="str">
        <x:f t="shared" si="60"/>
        <x:v>퇴직급여</x:v>
      </x:c>
      <x:c r="D278" s="441">
        <x:v>52120101</x:v>
      </x:c>
      <x:c r="E278" s="442" t="str">
        <x:f t="shared" si="61"/>
        <x:v>퇴직급여충당금전입</x:v>
      </x:c>
      <x:c r="F278" s="443"/>
      <x:c r="G278" s="444" t="s">
        <x:v>101</x:v>
      </x:c>
      <x:c r="H278" s="445" t="str">
        <x:f t="shared" si="58"/>
        <x:v>전장설계2팀(E)</x:v>
      </x:c>
      <x:c r="I278" s="446" t="str">
        <x:f t="shared" si="62"/>
        <x:v>[연구개발비]</x:v>
      </x:c>
      <x:c r="J278" s="445"/>
      <x:c r="K278" s="453">
        <x:v>10228540.343042742</x:v>
      </x:c>
      <x:c r="L278" s="454">
        <x:v>20549454</x:v>
      </x:c>
      <x:c r="M278" s="454">
        <x:v>12710409</x:v>
      </x:c>
      <x:c r="N278" s="454">
        <x:v>16981558</x:v>
      </x:c>
      <x:c r="O278" s="454">
        <x:v>-5369395</x:v>
      </x:c>
      <x:c r="P278" s="454">
        <x:v>16967825</x:v>
      </x:c>
      <x:c r="Q278" s="454">
        <x:v>764050</x:v>
      </x:c>
      <x:c r="R278" s="454">
        <x:v>6328871</x:v>
      </x:c>
      <x:c r="S278" s="454">
        <x:v>6160347</x:v>
      </x:c>
      <x:c r="T278" s="454">
        <x:v>18977767</x:v>
      </x:c>
      <x:c r="U278" s="454">
        <x:v>13394884</x:v>
      </x:c>
      <x:c r="V278" s="455">
        <x:v>1308144</x:v>
      </x:c>
      <x:c r="W278" s="456">
        <x:f t="shared" si="65"/>
        <x:v>119002454.34304275</x:v>
      </x:c>
      <x:c r="X278" s="450">
        <x:f t="shared" si="66"/>
        <x:v>9916871.1952535622</x:v>
      </x:c>
      <x:c r="Y278" s="457" t="s">
        <x:v>805</x:v>
      </x:c>
      <x:c r="Z278" s="458"/>
      <x:c r="AA278" s="458"/>
      <x:c r="AB278" s="458"/>
      <x:c r="AC278" s="458"/>
      <x:c r="AD278" s="458"/>
      <x:c r="AE278" s="458"/>
    </x:row>
    <x:row r="279" spans="1:31" ht="20.100000000000001" customHeight="1">
      <x:c r="A279" s="439" t="s">
        <x:v>765</x:v>
      </x:c>
      <x:c r="B279" s="466" t="str">
        <x:f t="shared" si="59"/>
        <x:v>인건비</x:v>
      </x:c>
      <x:c r="C279" s="440" t="str">
        <x:f t="shared" si="60"/>
        <x:v>퇴직급여</x:v>
      </x:c>
      <x:c r="D279" s="441">
        <x:v>52120101</x:v>
      </x:c>
      <x:c r="E279" s="442" t="str">
        <x:f t="shared" si="61"/>
        <x:v>퇴직급여충당금전입</x:v>
      </x:c>
      <x:c r="F279" s="443"/>
      <x:c r="G279" s="444" t="s">
        <x:v>104</x:v>
      </x:c>
      <x:c r="H279" s="445" t="str">
        <x:f t="shared" si="58"/>
        <x:v>제품개발팀(E)</x:v>
      </x:c>
      <x:c r="I279" s="446" t="str">
        <x:f t="shared" si="62"/>
        <x:v>[연구개발비]</x:v>
      </x:c>
      <x:c r="J279" s="445"/>
      <x:c r="K279" s="453">
        <x:v>6023725.6296530608</x:v>
      </x:c>
      <x:c r="L279" s="454">
        <x:v>10523570</x:v>
      </x:c>
      <x:c r="M279" s="454">
        <x:v>6361979</x:v>
      </x:c>
      <x:c r="N279" s="454">
        <x:v>9479438</x:v>
      </x:c>
      <x:c r="O279" s="454">
        <x:v>-2276641</x:v>
      </x:c>
      <x:c r="P279" s="454">
        <x:v>9508673</x:v>
      </x:c>
      <x:c r="Q279" s="454">
        <x:v>618303</x:v>
      </x:c>
      <x:c r="R279" s="454">
        <x:v>3571441</x:v>
      </x:c>
      <x:c r="S279" s="454">
        <x:v>3507411</x:v>
      </x:c>
      <x:c r="T279" s="454">
        <x:v>3635472</x:v>
      </x:c>
      <x:c r="U279" s="454">
        <x:v>6720814</x:v>
      </x:c>
      <x:c r="V279" s="455">
        <x:v>422069</x:v>
      </x:c>
      <x:c r="W279" s="456">
        <x:f t="shared" si="65"/>
        <x:v>58096254.629653059</x:v>
      </x:c>
      <x:c r="X279" s="450">
        <x:f t="shared" si="66"/>
        <x:v>4841354.5524710882</x:v>
      </x:c>
      <x:c r="Y279" s="457" t="s">
        <x:v>805</x:v>
      </x:c>
      <x:c r="Z279" s="458"/>
      <x:c r="AA279" s="458"/>
      <x:c r="AB279" s="458"/>
      <x:c r="AC279" s="458"/>
      <x:c r="AD279" s="458"/>
      <x:c r="AE279" s="458"/>
    </x:row>
    <x:row r="280" spans="1:31" ht="20.100000000000001" customHeight="1">
      <x:c r="A280" s="439" t="s">
        <x:v>765</x:v>
      </x:c>
      <x:c r="B280" s="466" t="str">
        <x:f t="shared" si="59"/>
        <x:v>인건비</x:v>
      </x:c>
      <x:c r="C280" s="440" t="str">
        <x:f t="shared" si="60"/>
        <x:v>퇴직급여</x:v>
      </x:c>
      <x:c r="D280" s="441">
        <x:v>52120101</x:v>
      </x:c>
      <x:c r="E280" s="442" t="str">
        <x:f t="shared" si="61"/>
        <x:v>퇴직급여충당금전입</x:v>
      </x:c>
      <x:c r="F280" s="443"/>
      <x:c r="G280" s="444" t="s">
        <x:v>251</x:v>
      </x:c>
      <x:c r="H280" s="445" t="str">
        <x:f t="shared" si="58"/>
        <x:v>시작평가팀(E)</x:v>
      </x:c>
      <x:c r="I280" s="446" t="str">
        <x:f t="shared" si="62"/>
        <x:v>[연구개발비]</x:v>
      </x:c>
      <x:c r="J280" s="445"/>
      <x:c r="K280" s="453">
        <x:v>7718366.7528290451</x:v>
      </x:c>
      <x:c r="L280" s="454">
        <x:v>12902627</x:v>
      </x:c>
      <x:c r="M280" s="454">
        <x:v>9019552</x:v>
      </x:c>
      <x:c r="N280" s="454">
        <x:v>9603076</x:v>
      </x:c>
      <x:c r="O280" s="454">
        <x:v>-3203168</x:v>
      </x:c>
      <x:c r="P280" s="454">
        <x:v>9603272</x:v>
      </x:c>
      <x:c r="Q280" s="454">
        <x:v>729</x:v>
      </x:c>
      <x:c r="R280" s="454">
        <x:v>3193375</x:v>
      </x:c>
      <x:c r="S280" s="454">
        <x:v>3107385</x:v>
      </x:c>
      <x:c r="T280" s="454">
        <x:v>15253871</x:v>
      </x:c>
      <x:c r="U280" s="454">
        <x:v>7637684</x:v>
      </x:c>
      <x:c r="V280" s="455">
        <x:v>681290</x:v>
      </x:c>
      <x:c r="W280" s="456">
        <x:f t="shared" si="65"/>
        <x:v>75518059.752829045</x:v>
      </x:c>
      <x:c r="X280" s="450">
        <x:f t="shared" si="66"/>
        <x:v>6293171.6460690871</x:v>
      </x:c>
      <x:c r="Y280" s="457" t="s">
        <x:v>805</x:v>
      </x:c>
      <x:c r="Z280" s="458"/>
      <x:c r="AA280" s="458"/>
      <x:c r="AB280" s="458"/>
      <x:c r="AC280" s="458"/>
      <x:c r="AD280" s="458"/>
      <x:c r="AE280" s="458"/>
    </x:row>
    <x:row r="281" spans="1:31" ht="20.100000000000001" customHeight="1">
      <x:c r="A281" s="439" t="s">
        <x:v>765</x:v>
      </x:c>
      <x:c r="B281" s="466" t="str">
        <x:f t="shared" si="59"/>
        <x:v>인건비</x:v>
      </x:c>
      <x:c r="C281" s="440" t="str">
        <x:f t="shared" si="60"/>
        <x:v>퇴직급여</x:v>
      </x:c>
      <x:c r="D281" s="441">
        <x:v>52120101</x:v>
      </x:c>
      <x:c r="E281" s="442" t="str">
        <x:f t="shared" si="61"/>
        <x:v>퇴직급여충당금전입</x:v>
      </x:c>
      <x:c r="F281" s="443"/>
      <x:c r="G281" s="444" t="s">
        <x:v>106</x:v>
      </x:c>
      <x:c r="H281" s="445" t="str">
        <x:f t="shared" si="58"/>
        <x:v>구매팀(E)</x:v>
      </x:c>
      <x:c r="I281" s="446" t="str">
        <x:f t="shared" si="62"/>
        <x:v>[관리비]</x:v>
      </x:c>
      <x:c r="J281" s="445"/>
      <x:c r="K281" s="453">
        <x:v>1759445.4020249732</x:v>
      </x:c>
      <x:c r="L281" s="454">
        <x:v>17227038</x:v>
      </x:c>
      <x:c r="M281" s="454">
        <x:v>6869891</x:v>
      </x:c>
      <x:c r="N281" s="454">
        <x:v>16980040</x:v>
      </x:c>
      <x:c r="O281" s="454">
        <x:v>-7346146</x:v>
      </x:c>
      <x:c r="P281" s="454">
        <x:v>16919483</x:v>
      </x:c>
      <x:c r="Q281" s="454">
        <x:v>-1432736</x:v>
      </x:c>
      <x:c r="R281" s="454">
        <x:v>4643747</x:v>
      </x:c>
      <x:c r="S281" s="454">
        <x:v>4560303</x:v>
      </x:c>
      <x:c r="T281" s="454">
        <x:v>4727186</x:v>
      </x:c>
      <x:c r="U281" s="454">
        <x:v>10975378</x:v>
      </x:c>
      <x:c r="V281" s="455">
        <x:v>2764053</x:v>
      </x:c>
      <x:c r="W281" s="456">
        <x:f t="shared" si="65"/>
        <x:v>78647682.402024969</x:v>
      </x:c>
      <x:c r="X281" s="450">
        <x:f t="shared" si="66"/>
        <x:v>6553973.5335020805</x:v>
      </x:c>
      <x:c r="Y281" s="457" t="s">
        <x:v>805</x:v>
      </x:c>
      <x:c r="Z281" s="458"/>
      <x:c r="AA281" s="458"/>
      <x:c r="AB281" s="458"/>
      <x:c r="AC281" s="458"/>
      <x:c r="AD281" s="458"/>
      <x:c r="AE281" s="458"/>
    </x:row>
    <x:row r="282" spans="1:31" ht="20.100000000000001" customHeight="1">
      <x:c r="A282" s="439" t="s">
        <x:v>765</x:v>
      </x:c>
      <x:c r="B282" s="466" t="str">
        <x:f t="shared" si="59"/>
        <x:v>인건비</x:v>
      </x:c>
      <x:c r="C282" s="440" t="str">
        <x:f t="shared" si="60"/>
        <x:v>퇴직급여</x:v>
      </x:c>
      <x:c r="D282" s="441">
        <x:v>52120101</x:v>
      </x:c>
      <x:c r="E282" s="442" t="str">
        <x:f t="shared" si="61"/>
        <x:v>퇴직급여충당금전입</x:v>
      </x:c>
      <x:c r="F282" s="443"/>
      <x:c r="G282" s="444" t="s">
        <x:v>150</x:v>
      </x:c>
      <x:c r="H282" s="445" t="str">
        <x:f t="shared" si="58"/>
        <x:v>구매영업부문(E)</x:v>
      </x:c>
      <x:c r="I282" s="446" t="str">
        <x:f t="shared" si="62"/>
        <x:v>[판매비]</x:v>
      </x:c>
      <x:c r="J282" s="445"/>
      <x:c r="K282" s="453">
        <x:v>2316684.7826087028</x:v>
      </x:c>
      <x:c r="L282" s="454">
        <x:v>3702417</x:v>
      </x:c>
      <x:c r="M282" s="454">
        <x:v>2452833</x:v>
      </x:c>
      <x:c r="N282" s="454">
        <x:v>2389400</x:v>
      </x:c>
      <x:c r="O282" s="454">
        <x:v>-561710</x:v>
      </x:c>
      <x:c r="P282" s="454">
        <x:v>2356966</x:v>
      </x:c>
      <x:c r="Q282" s="454">
        <x:v>868361</x:v>
      </x:c>
      <x:c r="R282" s="454">
        <x:v>1612663</x:v>
      </x:c>
      <x:c r="S282" s="454">
        <x:v>1612663</x:v>
      </x:c>
      <x:c r="T282" s="454">
        <x:v>1612663</x:v>
      </x:c>
      <x:c r="U282" s="454">
        <x:v>2445574</x:v>
      </x:c>
      <x:c r="V282" s="455">
        <x:v>779752</x:v>
      </x:c>
      <x:c r="W282" s="456">
        <x:f t="shared" si="65"/>
        <x:v>21588266.782608703</x:v>
      </x:c>
      <x:c r="X282" s="450">
        <x:f t="shared" si="66"/>
        <x:v>1799022.2318840586</x:v>
      </x:c>
      <x:c r="Y282" s="457" t="s">
        <x:v>805</x:v>
      </x:c>
      <x:c r="Z282" s="458"/>
      <x:c r="AA282" s="458"/>
      <x:c r="AB282" s="458"/>
      <x:c r="AC282" s="458"/>
      <x:c r="AD282" s="458"/>
      <x:c r="AE282" s="458"/>
    </x:row>
    <x:row r="283" spans="1:31" ht="20.100000000000001" customHeight="1">
      <x:c r="A283" s="439" t="s">
        <x:v>765</x:v>
      </x:c>
      <x:c r="B283" s="466" t="str">
        <x:f t="shared" si="59"/>
        <x:v>인건비</x:v>
      </x:c>
      <x:c r="C283" s="440" t="str">
        <x:f t="shared" si="60"/>
        <x:v>퇴직급여</x:v>
      </x:c>
      <x:c r="D283" s="441">
        <x:v>52120101</x:v>
      </x:c>
      <x:c r="E283" s="442" t="str">
        <x:f t="shared" si="61"/>
        <x:v>퇴직급여충당금전입</x:v>
      </x:c>
      <x:c r="F283" s="443"/>
      <x:c r="G283" s="444" t="s">
        <x:v>247</x:v>
      </x:c>
      <x:c r="H283" s="445" t="str">
        <x:f t="shared" si="58"/>
        <x:v>영업팀(E)</x:v>
      </x:c>
      <x:c r="I283" s="446" t="str">
        <x:f t="shared" si="62"/>
        <x:v>[판매비]</x:v>
      </x:c>
      <x:c r="J283" s="445"/>
      <x:c r="K283" s="453">
        <x:v>4676398.7759827152</x:v>
      </x:c>
      <x:c r="L283" s="454">
        <x:v>6633567</x:v>
      </x:c>
      <x:c r="M283" s="454">
        <x:v>3637118</x:v>
      </x:c>
      <x:c r="N283" s="454">
        <x:v>7086366</x:v>
      </x:c>
      <x:c r="O283" s="454">
        <x:v>-5813</x:v>
      </x:c>
      <x:c r="P283" s="454">
        <x:v>7131082</x:v>
      </x:c>
      <x:c r="Q283" s="454">
        <x:v>1783000</x:v>
      </x:c>
      <x:c r="R283" s="454">
        <x:v>3507385</x:v>
      </x:c>
      <x:c r="S283" s="454">
        <x:v>3444053</x:v>
      </x:c>
      <x:c r="T283" s="454">
        <x:v>3612383</x:v>
      </x:c>
      <x:c r="U283" s="454">
        <x:v>5483260</x:v>
      </x:c>
      <x:c r="V283" s="455">
        <x:v>1573177</x:v>
      </x:c>
      <x:c r="W283" s="456">
        <x:f t="shared" ref="W283:W302" si="67">IFERROR(SUM(K283:V283),"")</x:f>
        <x:v>48561976.775982715</x:v>
      </x:c>
      <x:c r="X283" s="450">
        <x:f t="shared" si="66"/>
        <x:v>4046831.3979985598</x:v>
      </x:c>
      <x:c r="Y283" s="457" t="s">
        <x:v>805</x:v>
      </x:c>
      <x:c r="Z283" s="458"/>
      <x:c r="AA283" s="458"/>
      <x:c r="AB283" s="458"/>
      <x:c r="AC283" s="458"/>
      <x:c r="AD283" s="458"/>
      <x:c r="AE283" s="458"/>
    </x:row>
    <x:row r="284" spans="1:31" ht="20.100000000000001" customHeight="1">
      <x:c r="A284" s="439" t="s">
        <x:v>765</x:v>
      </x:c>
      <x:c r="B284" s="466" t="str">
        <x:f t="shared" si="59"/>
        <x:v>복리후생비</x:v>
      </x:c>
      <x:c r="C284" s="440" t="str">
        <x:f t="shared" si="60"/>
        <x:v>후생비</x:v>
      </x:c>
      <x:c r="D284" s="441">
        <x:v>52130141</x:v>
      </x:c>
      <x:c r="E284" s="442" t="str">
        <x:f t="shared" si="61"/>
        <x:v>후생비_연월차수당</x:v>
      </x:c>
      <x:c r="F284" s="443"/>
      <x:c r="G284" s="444" t="s">
        <x:v>80</x:v>
      </x:c>
      <x:c r="H284" s="445" t="str">
        <x:f t="shared" si="58"/>
        <x:v>사업관리팀(E)</x:v>
      </x:c>
      <x:c r="I284" s="446" t="str">
        <x:f t="shared" si="62"/>
        <x:v>[관리비]</x:v>
      </x:c>
      <x:c r="J284" s="445"/>
      <x:c r="K284" s="453">
        <x:v>840478.58333333337</x:v>
      </x:c>
      <x:c r="L284" s="454">
        <x:v>840478.58333333337</x:v>
      </x:c>
      <x:c r="M284" s="454">
        <x:v>840478.58333333337</x:v>
      </x:c>
      <x:c r="N284" s="454">
        <x:v>840478.58333333337</x:v>
      </x:c>
      <x:c r="O284" s="454">
        <x:v>840478.58333333337</x:v>
      </x:c>
      <x:c r="P284" s="454">
        <x:v>840478.58333333337</x:v>
      </x:c>
      <x:c r="Q284" s="454">
        <x:v>840478.58333333337</x:v>
      </x:c>
      <x:c r="R284" s="454">
        <x:v>840478.58333333337</x:v>
      </x:c>
      <x:c r="S284" s="454">
        <x:v>840478.58333333337</x:v>
      </x:c>
      <x:c r="T284" s="454">
        <x:v>840478.58333333337</x:v>
      </x:c>
      <x:c r="U284" s="454">
        <x:v>840478.58333333337</x:v>
      </x:c>
      <x:c r="V284" s="455">
        <x:v>840478.58333333337</x:v>
      </x:c>
      <x:c r="W284" s="456">
        <x:f t="shared" si="67"/>
        <x:v>10085743</x:v>
      </x:c>
      <x:c r="X284" s="450">
        <x:f t="shared" ref="X284:X302" si="68">IFERROR($W284/$Y$1,"")</x:f>
        <x:v>840478.58333333337</x:v>
      </x:c>
      <x:c r="Y284" s="457" t="s">
        <x:v>806</x:v>
      </x:c>
      <x:c r="Z284" s="458"/>
      <x:c r="AA284" s="458"/>
      <x:c r="AB284" s="458"/>
      <x:c r="AC284" s="458"/>
      <x:c r="AD284" s="458"/>
      <x:c r="AE284" s="458"/>
    </x:row>
    <x:row r="285" spans="1:31" ht="20.100000000000001" customHeight="1">
      <x:c r="A285" s="439" t="s">
        <x:v>765</x:v>
      </x:c>
      <x:c r="B285" s="466" t="str">
        <x:f t="shared" si="59"/>
        <x:v>복리후생비</x:v>
      </x:c>
      <x:c r="C285" s="440" t="str">
        <x:f t="shared" si="60"/>
        <x:v>후생비</x:v>
      </x:c>
      <x:c r="D285" s="441">
        <x:v>52130141</x:v>
      </x:c>
      <x:c r="E285" s="442" t="str">
        <x:f t="shared" si="61"/>
        <x:v>후생비_연월차수당</x:v>
      </x:c>
      <x:c r="F285" s="443"/>
      <x:c r="G285" s="444" t="s">
        <x:v>103</x:v>
      </x:c>
      <x:c r="H285" s="445" t="str">
        <x:f t="shared" si="58"/>
        <x:v>전장사업부(E)</x:v>
      </x:c>
      <x:c r="I285" s="446" t="str">
        <x:f t="shared" si="62"/>
        <x:v>[관리비]</x:v>
      </x:c>
      <x:c r="J285" s="445"/>
      <x:c r="K285" s="453">
        <x:v>0</x:v>
      </x:c>
      <x:c r="L285" s="454">
        <x:v>0</x:v>
      </x:c>
      <x:c r="M285" s="454">
        <x:v>0</x:v>
      </x:c>
      <x:c r="N285" s="454">
        <x:v>0</x:v>
      </x:c>
      <x:c r="O285" s="454">
        <x:v>0</x:v>
      </x:c>
      <x:c r="P285" s="454">
        <x:v>0</x:v>
      </x:c>
      <x:c r="Q285" s="454">
        <x:v>0</x:v>
      </x:c>
      <x:c r="R285" s="454">
        <x:v>0</x:v>
      </x:c>
      <x:c r="S285" s="454">
        <x:v>0</x:v>
      </x:c>
      <x:c r="T285" s="454">
        <x:v>0</x:v>
      </x:c>
      <x:c r="U285" s="454">
        <x:v>0</x:v>
      </x:c>
      <x:c r="V285" s="455">
        <x:v>0</x:v>
      </x:c>
      <x:c r="W285" s="456">
        <x:f t="shared" si="67"/>
        <x:v>0</x:v>
      </x:c>
      <x:c r="X285" s="450">
        <x:f t="shared" si="68"/>
        <x:v>0</x:v>
      </x:c>
      <x:c r="Y285" s="457" t="s">
        <x:v>806</x:v>
      </x:c>
      <x:c r="Z285" s="458"/>
      <x:c r="AA285" s="458"/>
      <x:c r="AB285" s="458"/>
      <x:c r="AC285" s="458"/>
      <x:c r="AD285" s="458"/>
      <x:c r="AE285" s="458"/>
    </x:row>
    <x:row r="286" spans="1:31" ht="20.100000000000001" customHeight="1">
      <x:c r="A286" s="439" t="s">
        <x:v>765</x:v>
      </x:c>
      <x:c r="B286" s="466" t="str">
        <x:f t="shared" si="59"/>
        <x:v>복리후생비</x:v>
      </x:c>
      <x:c r="C286" s="440" t="str">
        <x:f t="shared" si="60"/>
        <x:v>후생비</x:v>
      </x:c>
      <x:c r="D286" s="441">
        <x:v>52130141</x:v>
      </x:c>
      <x:c r="E286" s="442" t="str">
        <x:f t="shared" si="61"/>
        <x:v>후생비_연월차수당</x:v>
      </x:c>
      <x:c r="F286" s="443"/>
      <x:c r="G286" s="444" t="s">
        <x:v>82</x:v>
      </x:c>
      <x:c r="H286" s="445" t="str">
        <x:f t="shared" si="58"/>
        <x:v>생산기술팀(E)</x:v>
      </x:c>
      <x:c r="I286" s="446" t="str">
        <x:f t="shared" si="62"/>
        <x:v>[관리비]</x:v>
      </x:c>
      <x:c r="J286" s="445"/>
      <x:c r="K286" s="453">
        <x:v>1261390.75</x:v>
      </x:c>
      <x:c r="L286" s="454">
        <x:v>1261390.75</x:v>
      </x:c>
      <x:c r="M286" s="454">
        <x:v>1261390.75</x:v>
      </x:c>
      <x:c r="N286" s="454">
        <x:v>1261390.75</x:v>
      </x:c>
      <x:c r="O286" s="454">
        <x:v>1261390.75</x:v>
      </x:c>
      <x:c r="P286" s="454">
        <x:v>1261390.75</x:v>
      </x:c>
      <x:c r="Q286" s="454">
        <x:v>1261390.75</x:v>
      </x:c>
      <x:c r="R286" s="454">
        <x:v>1261390.75</x:v>
      </x:c>
      <x:c r="S286" s="454">
        <x:v>1261390.75</x:v>
      </x:c>
      <x:c r="T286" s="454">
        <x:v>1261390.75</x:v>
      </x:c>
      <x:c r="U286" s="454">
        <x:v>1261390.75</x:v>
      </x:c>
      <x:c r="V286" s="455">
        <x:v>1261390.75</x:v>
      </x:c>
      <x:c r="W286" s="456">
        <x:f t="shared" si="67"/>
        <x:v>15136689</x:v>
      </x:c>
      <x:c r="X286" s="450">
        <x:f t="shared" si="68"/>
        <x:v>1261390.75</x:v>
      </x:c>
      <x:c r="Y286" s="457" t="s">
        <x:v>806</x:v>
      </x:c>
      <x:c r="Z286" s="458"/>
      <x:c r="AA286" s="458"/>
      <x:c r="AB286" s="458"/>
      <x:c r="AC286" s="458"/>
      <x:c r="AD286" s="458"/>
      <x:c r="AE286" s="458"/>
    </x:row>
    <x:row r="287" spans="1:31" ht="20.100000000000001" customHeight="1">
      <x:c r="A287" s="439" t="s">
        <x:v>765</x:v>
      </x:c>
      <x:c r="B287" s="466" t="str">
        <x:f t="shared" si="59"/>
        <x:v>복리후생비</x:v>
      </x:c>
      <x:c r="C287" s="440" t="str">
        <x:f t="shared" si="60"/>
        <x:v>후생비</x:v>
      </x:c>
      <x:c r="D287" s="441">
        <x:v>52130141</x:v>
      </x:c>
      <x:c r="E287" s="442" t="str">
        <x:f t="shared" si="61"/>
        <x:v>후생비_연월차수당</x:v>
      </x:c>
      <x:c r="F287" s="443"/>
      <x:c r="G287" s="444" t="s">
        <x:v>84</x:v>
      </x:c>
      <x:c r="H287" s="445" t="str">
        <x:f t="shared" si="58"/>
        <x:v>품질경영팀(E)</x:v>
      </x:c>
      <x:c r="I287" s="446" t="str">
        <x:f t="shared" si="62"/>
        <x:v>[관리비]</x:v>
      </x:c>
      <x:c r="J287" s="445"/>
      <x:c r="K287" s="453">
        <x:v>867870.5</x:v>
      </x:c>
      <x:c r="L287" s="454">
        <x:v>867870.5</x:v>
      </x:c>
      <x:c r="M287" s="454">
        <x:v>867870.5</x:v>
      </x:c>
      <x:c r="N287" s="454">
        <x:v>867870.5</x:v>
      </x:c>
      <x:c r="O287" s="454">
        <x:v>867870.5</x:v>
      </x:c>
      <x:c r="P287" s="454">
        <x:v>867870.5</x:v>
      </x:c>
      <x:c r="Q287" s="454">
        <x:v>867870.5</x:v>
      </x:c>
      <x:c r="R287" s="454">
        <x:v>867870.5</x:v>
      </x:c>
      <x:c r="S287" s="454">
        <x:v>867870.5</x:v>
      </x:c>
      <x:c r="T287" s="454">
        <x:v>867870.5</x:v>
      </x:c>
      <x:c r="U287" s="454">
        <x:v>867870.5</x:v>
      </x:c>
      <x:c r="V287" s="455">
        <x:v>867870.5</x:v>
      </x:c>
      <x:c r="W287" s="456">
        <x:f t="shared" si="67"/>
        <x:v>10414446</x:v>
      </x:c>
      <x:c r="X287" s="450">
        <x:f t="shared" si="68"/>
        <x:v>867870.5</x:v>
      </x:c>
      <x:c r="Y287" s="457" t="s">
        <x:v>806</x:v>
      </x:c>
      <x:c r="Z287" s="458"/>
      <x:c r="AA287" s="458"/>
      <x:c r="AB287" s="458"/>
      <x:c r="AC287" s="458"/>
      <x:c r="AD287" s="458"/>
      <x:c r="AE287" s="458"/>
    </x:row>
    <x:row r="288" spans="1:31" ht="20.100000000000001" customHeight="1">
      <x:c r="A288" s="439" t="s">
        <x:v>765</x:v>
      </x:c>
      <x:c r="B288" s="466" t="str">
        <x:f t="shared" si="59"/>
        <x:v>복리후생비</x:v>
      </x:c>
      <x:c r="C288" s="440" t="str">
        <x:f t="shared" si="60"/>
        <x:v>후생비</x:v>
      </x:c>
      <x:c r="D288" s="441">
        <x:v>52130141</x:v>
      </x:c>
      <x:c r="E288" s="442" t="str">
        <x:f t="shared" si="61"/>
        <x:v>후생비_연월차수당</x:v>
      </x:c>
      <x:c r="F288" s="443"/>
      <x:c r="G288" s="444" t="s">
        <x:v>253</x:v>
      </x:c>
      <x:c r="H288" s="445" t="str">
        <x:f t="shared" si="58"/>
        <x:v>생산부문(E)</x:v>
      </x:c>
      <x:c r="I288" s="446" t="str">
        <x:f t="shared" si="62"/>
        <x:v>[관리비]</x:v>
      </x:c>
      <x:c r="J288" s="445"/>
      <x:c r="K288" s="453">
        <x:v>0</x:v>
      </x:c>
      <x:c r="L288" s="454">
        <x:v>0</x:v>
      </x:c>
      <x:c r="M288" s="454">
        <x:v>0</x:v>
      </x:c>
      <x:c r="N288" s="454">
        <x:v>0</x:v>
      </x:c>
      <x:c r="O288" s="454">
        <x:v>0</x:v>
      </x:c>
      <x:c r="P288" s="454">
        <x:v>0</x:v>
      </x:c>
      <x:c r="Q288" s="454">
        <x:v>0</x:v>
      </x:c>
      <x:c r="R288" s="454">
        <x:v>0</x:v>
      </x:c>
      <x:c r="S288" s="454">
        <x:v>0</x:v>
      </x:c>
      <x:c r="T288" s="454">
        <x:v>0</x:v>
      </x:c>
      <x:c r="U288" s="454">
        <x:v>0</x:v>
      </x:c>
      <x:c r="V288" s="455">
        <x:v>0</x:v>
      </x:c>
      <x:c r="W288" s="456">
        <x:f t="shared" si="67"/>
        <x:v>0</x:v>
      </x:c>
      <x:c r="X288" s="450">
        <x:f t="shared" si="68"/>
        <x:v>0</x:v>
      </x:c>
      <x:c r="Y288" s="457" t="s">
        <x:v>806</x:v>
      </x:c>
      <x:c r="Z288" s="458"/>
      <x:c r="AA288" s="458"/>
      <x:c r="AB288" s="458"/>
      <x:c r="AC288" s="458"/>
      <x:c r="AD288" s="458"/>
      <x:c r="AE288" s="458"/>
    </x:row>
    <x:row r="289" spans="1:31" ht="20.100000000000001" customHeight="1">
      <x:c r="A289" s="439" t="s">
        <x:v>765</x:v>
      </x:c>
      <x:c r="B289" s="466" t="str">
        <x:f t="shared" si="59"/>
        <x:v>복리후생비</x:v>
      </x:c>
      <x:c r="C289" s="440" t="str">
        <x:f t="shared" si="60"/>
        <x:v>후생비</x:v>
      </x:c>
      <x:c r="D289" s="441">
        <x:v>52130141</x:v>
      </x:c>
      <x:c r="E289" s="442" t="str">
        <x:f t="shared" si="61"/>
        <x:v>후생비_연월차수당</x:v>
      </x:c>
      <x:c r="F289" s="443"/>
      <x:c r="G289" s="444" t="s">
        <x:v>245</x:v>
      </x:c>
      <x:c r="H289" s="445" t="str">
        <x:f t="shared" si="58"/>
        <x:v>생산기획팀(E)</x:v>
      </x:c>
      <x:c r="I289" s="446" t="str">
        <x:f t="shared" si="62"/>
        <x:v>[관리비]</x:v>
      </x:c>
      <x:c r="J289" s="445"/>
      <x:c r="K289" s="453">
        <x:v>1074164.6666666667</x:v>
      </x:c>
      <x:c r="L289" s="454">
        <x:v>1074164.6666666667</x:v>
      </x:c>
      <x:c r="M289" s="454">
        <x:v>1074164.6666666667</x:v>
      </x:c>
      <x:c r="N289" s="454">
        <x:v>1074164.6666666667</x:v>
      </x:c>
      <x:c r="O289" s="454">
        <x:v>1074164.6666666667</x:v>
      </x:c>
      <x:c r="P289" s="454">
        <x:v>1074164.6666666667</x:v>
      </x:c>
      <x:c r="Q289" s="454">
        <x:v>1074164.6666666667</x:v>
      </x:c>
      <x:c r="R289" s="454">
        <x:v>1074164.6666666667</x:v>
      </x:c>
      <x:c r="S289" s="454">
        <x:v>1074164.6666666667</x:v>
      </x:c>
      <x:c r="T289" s="454">
        <x:v>1074164.6666666667</x:v>
      </x:c>
      <x:c r="U289" s="454">
        <x:v>1074164.6666666667</x:v>
      </x:c>
      <x:c r="V289" s="455">
        <x:v>1074164.6666666667</x:v>
      </x:c>
      <x:c r="W289" s="456">
        <x:f t="shared" si="67"/>
        <x:v>12889975.999999998</x:v>
      </x:c>
      <x:c r="X289" s="450">
        <x:f t="shared" si="68"/>
        <x:v>1074164.6666666665</x:v>
      </x:c>
      <x:c r="Y289" s="457" t="s">
        <x:v>806</x:v>
      </x:c>
      <x:c r="Z289" s="458"/>
      <x:c r="AA289" s="458"/>
      <x:c r="AB289" s="458"/>
      <x:c r="AC289" s="458"/>
      <x:c r="AD289" s="458"/>
      <x:c r="AE289" s="458"/>
    </x:row>
    <x:row r="290" spans="1:31" ht="20.100000000000001" customHeight="1">
      <x:c r="A290" s="439" t="s">
        <x:v>765</x:v>
      </x:c>
      <x:c r="B290" s="466" t="str">
        <x:f t="shared" si="59"/>
        <x:v>복리후생비</x:v>
      </x:c>
      <x:c r="C290" s="440" t="str">
        <x:f t="shared" si="60"/>
        <x:v>후생비</x:v>
      </x:c>
      <x:c r="D290" s="441">
        <x:v>52130141</x:v>
      </x:c>
      <x:c r="E290" s="442" t="str">
        <x:f t="shared" si="61"/>
        <x:v>후생비_연월차수당</x:v>
      </x:c>
      <x:c r="F290" s="443"/>
      <x:c r="G290" s="444" t="s">
        <x:v>256</x:v>
      </x:c>
      <x:c r="H290" s="445" t="str">
        <x:f t="shared" si="58"/>
        <x:v>품질부문(E)</x:v>
      </x:c>
      <x:c r="I290" s="446" t="str">
        <x:f t="shared" si="62"/>
        <x:v>[관리비]</x:v>
      </x:c>
      <x:c r="J290" s="445"/>
      <x:c r="K290" s="453">
        <x:v>342940</x:v>
      </x:c>
      <x:c r="L290" s="454">
        <x:v>342940</x:v>
      </x:c>
      <x:c r="M290" s="454">
        <x:v>342940</x:v>
      </x:c>
      <x:c r="N290" s="454">
        <x:v>342940</x:v>
      </x:c>
      <x:c r="O290" s="454">
        <x:v>342940</x:v>
      </x:c>
      <x:c r="P290" s="454">
        <x:v>342940</x:v>
      </x:c>
      <x:c r="Q290" s="454">
        <x:v>342940</x:v>
      </x:c>
      <x:c r="R290" s="454">
        <x:v>342940</x:v>
      </x:c>
      <x:c r="S290" s="454">
        <x:v>342940</x:v>
      </x:c>
      <x:c r="T290" s="454">
        <x:v>342940</x:v>
      </x:c>
      <x:c r="U290" s="454">
        <x:v>342940</x:v>
      </x:c>
      <x:c r="V290" s="455">
        <x:v>342940</x:v>
      </x:c>
      <x:c r="W290" s="456">
        <x:f t="shared" si="67"/>
        <x:v>4115280</x:v>
      </x:c>
      <x:c r="X290" s="450">
        <x:f t="shared" si="68"/>
        <x:v>342940</x:v>
      </x:c>
      <x:c r="Y290" s="457" t="s">
        <x:v>806</x:v>
      </x:c>
      <x:c r="Z290" s="458"/>
      <x:c r="AA290" s="458"/>
      <x:c r="AB290" s="458"/>
      <x:c r="AC290" s="458"/>
      <x:c r="AD290" s="458"/>
      <x:c r="AE290" s="458"/>
    </x:row>
    <x:row r="291" spans="1:31" ht="20.100000000000001" customHeight="1">
      <x:c r="A291" s="439" t="s">
        <x:v>765</x:v>
      </x:c>
      <x:c r="B291" s="466" t="str">
        <x:f t="shared" si="59"/>
        <x:v>복리후생비</x:v>
      </x:c>
      <x:c r="C291" s="440" t="str">
        <x:f t="shared" si="60"/>
        <x:v>후생비</x:v>
      </x:c>
      <x:c r="D291" s="441">
        <x:v>52130141</x:v>
      </x:c>
      <x:c r="E291" s="442" t="str">
        <x:f t="shared" si="61"/>
        <x:v>후생비_연월차수당</x:v>
      </x:c>
      <x:c r="F291" s="443"/>
      <x:c r="G291" s="444" t="s">
        <x:v>249</x:v>
      </x:c>
      <x:c r="H291" s="445" t="str">
        <x:f t="shared" si="58"/>
        <x:v>부품품질팀(E)</x:v>
      </x:c>
      <x:c r="I291" s="446" t="str">
        <x:f t="shared" si="62"/>
        <x:v>[관리비]</x:v>
      </x:c>
      <x:c r="J291" s="445"/>
      <x:c r="K291" s="453">
        <x:v>1015844.75</x:v>
      </x:c>
      <x:c r="L291" s="454">
        <x:v>1015844.75</x:v>
      </x:c>
      <x:c r="M291" s="454">
        <x:v>1015844.75</x:v>
      </x:c>
      <x:c r="N291" s="454">
        <x:v>1015844.75</x:v>
      </x:c>
      <x:c r="O291" s="454">
        <x:v>1015844.75</x:v>
      </x:c>
      <x:c r="P291" s="454">
        <x:v>1015844.75</x:v>
      </x:c>
      <x:c r="Q291" s="454">
        <x:v>1015844.75</x:v>
      </x:c>
      <x:c r="R291" s="454">
        <x:v>1015844.75</x:v>
      </x:c>
      <x:c r="S291" s="454">
        <x:v>1015844.75</x:v>
      </x:c>
      <x:c r="T291" s="454">
        <x:v>1015844.75</x:v>
      </x:c>
      <x:c r="U291" s="454">
        <x:v>1015844.75</x:v>
      </x:c>
      <x:c r="V291" s="455">
        <x:v>1015844.75</x:v>
      </x:c>
      <x:c r="W291" s="456">
        <x:f t="shared" si="67"/>
        <x:v>12190137</x:v>
      </x:c>
      <x:c r="X291" s="450">
        <x:f t="shared" si="68"/>
        <x:v>1015844.75</x:v>
      </x:c>
      <x:c r="Y291" s="457" t="s">
        <x:v>806</x:v>
      </x:c>
      <x:c r="Z291" s="458"/>
      <x:c r="AA291" s="458"/>
      <x:c r="AB291" s="458"/>
      <x:c r="AC291" s="458"/>
      <x:c r="AD291" s="458"/>
      <x:c r="AE291" s="458"/>
    </x:row>
    <x:row r="292" spans="1:31" ht="20.100000000000001" customHeight="1">
      <x:c r="A292" s="439" t="s">
        <x:v>765</x:v>
      </x:c>
      <x:c r="B292" s="466" t="str">
        <x:f t="shared" si="59"/>
        <x:v>복리후생비</x:v>
      </x:c>
      <x:c r="C292" s="440" t="str">
        <x:f t="shared" si="60"/>
        <x:v>후생비</x:v>
      </x:c>
      <x:c r="D292" s="441">
        <x:v>52130141</x:v>
      </x:c>
      <x:c r="E292" s="442" t="str">
        <x:f t="shared" si="61"/>
        <x:v>후생비_연월차수당</x:v>
      </x:c>
      <x:c r="F292" s="443"/>
      <x:c r="G292" s="444" t="s">
        <x:v>114</x:v>
      </x:c>
      <x:c r="H292" s="445" t="str">
        <x:f t="shared" si="58"/>
        <x:v>연구개발부문(E)</x:v>
      </x:c>
      <x:c r="I292" s="446" t="str">
        <x:f t="shared" si="62"/>
        <x:v>[연구개발비]</x:v>
      </x:c>
      <x:c r="J292" s="445"/>
      <x:c r="K292" s="453">
        <x:v>0</x:v>
      </x:c>
      <x:c r="L292" s="454">
        <x:v>0</x:v>
      </x:c>
      <x:c r="M292" s="454">
        <x:v>0</x:v>
      </x:c>
      <x:c r="N292" s="454">
        <x:v>0</x:v>
      </x:c>
      <x:c r="O292" s="454">
        <x:v>0</x:v>
      </x:c>
      <x:c r="P292" s="454">
        <x:v>0</x:v>
      </x:c>
      <x:c r="Q292" s="454">
        <x:v>0</x:v>
      </x:c>
      <x:c r="R292" s="454">
        <x:v>0</x:v>
      </x:c>
      <x:c r="S292" s="454">
        <x:v>0</x:v>
      </x:c>
      <x:c r="T292" s="454">
        <x:v>0</x:v>
      </x:c>
      <x:c r="U292" s="454">
        <x:v>0</x:v>
      </x:c>
      <x:c r="V292" s="455">
        <x:v>0</x:v>
      </x:c>
      <x:c r="W292" s="456">
        <x:f t="shared" si="67"/>
        <x:v>0</x:v>
      </x:c>
      <x:c r="X292" s="450">
        <x:f t="shared" si="68"/>
        <x:v>0</x:v>
      </x:c>
      <x:c r="Y292" s="457" t="s">
        <x:v>806</x:v>
      </x:c>
      <x:c r="Z292" s="458"/>
      <x:c r="AA292" s="458"/>
      <x:c r="AB292" s="458"/>
      <x:c r="AC292" s="458"/>
      <x:c r="AD292" s="458"/>
      <x:c r="AE292" s="458"/>
    </x:row>
    <x:row r="293" spans="1:31" ht="20.100000000000001" customHeight="1">
      <x:c r="A293" s="439" t="s">
        <x:v>765</x:v>
      </x:c>
      <x:c r="B293" s="466" t="str">
        <x:f t="shared" si="59"/>
        <x:v>복리후생비</x:v>
      </x:c>
      <x:c r="C293" s="440" t="str">
        <x:f t="shared" si="60"/>
        <x:v>후생비</x:v>
      </x:c>
      <x:c r="D293" s="441">
        <x:v>52130141</x:v>
      </x:c>
      <x:c r="E293" s="442" t="str">
        <x:f t="shared" si="61"/>
        <x:v>후생비_연월차수당</x:v>
      </x:c>
      <x:c r="F293" s="443"/>
      <x:c r="G293" s="444" t="s">
        <x:v>99</x:v>
      </x:c>
      <x:c r="H293" s="445" t="str">
        <x:f t="shared" si="58"/>
        <x:v>전장설계1팀(E)</x:v>
      </x:c>
      <x:c r="I293" s="446" t="str">
        <x:f t="shared" si="62"/>
        <x:v>[연구개발비]</x:v>
      </x:c>
      <x:c r="J293" s="445"/>
      <x:c r="K293" s="453">
        <x:v>727723.91666666663</x:v>
      </x:c>
      <x:c r="L293" s="454">
        <x:v>727723.91666666663</x:v>
      </x:c>
      <x:c r="M293" s="454">
        <x:v>727723.91666666663</x:v>
      </x:c>
      <x:c r="N293" s="454">
        <x:v>727723.91666666663</x:v>
      </x:c>
      <x:c r="O293" s="454">
        <x:v>727723.91666666663</x:v>
      </x:c>
      <x:c r="P293" s="454">
        <x:v>727723.91666666663</x:v>
      </x:c>
      <x:c r="Q293" s="454">
        <x:v>727723.91666666663</x:v>
      </x:c>
      <x:c r="R293" s="454">
        <x:v>727723.91666666663</x:v>
      </x:c>
      <x:c r="S293" s="454">
        <x:v>727723.91666666663</x:v>
      </x:c>
      <x:c r="T293" s="454">
        <x:v>727723.91666666663</x:v>
      </x:c>
      <x:c r="U293" s="454">
        <x:v>727723.91666666663</x:v>
      </x:c>
      <x:c r="V293" s="455">
        <x:v>727723.91666666663</x:v>
      </x:c>
      <x:c r="W293" s="456">
        <x:f t="shared" si="67"/>
        <x:v>8732687.0000000019</x:v>
      </x:c>
      <x:c r="X293" s="450">
        <x:f t="shared" si="68"/>
        <x:v>727723.91666666686</x:v>
      </x:c>
      <x:c r="Y293" s="457" t="s">
        <x:v>806</x:v>
      </x:c>
      <x:c r="Z293" s="458"/>
      <x:c r="AA293" s="458"/>
      <x:c r="AB293" s="458"/>
      <x:c r="AC293" s="458"/>
      <x:c r="AD293" s="458"/>
      <x:c r="AE293" s="458"/>
    </x:row>
    <x:row r="294" spans="1:31" ht="20.100000000000001" customHeight="1">
      <x:c r="A294" s="439" t="s">
        <x:v>765</x:v>
      </x:c>
      <x:c r="B294" s="466" t="str">
        <x:f t="shared" si="59"/>
        <x:v>복리후생비</x:v>
      </x:c>
      <x:c r="C294" s="440" t="str">
        <x:f t="shared" si="60"/>
        <x:v>후생비</x:v>
      </x:c>
      <x:c r="D294" s="441">
        <x:v>52130141</x:v>
      </x:c>
      <x:c r="E294" s="442" t="str">
        <x:f t="shared" si="61"/>
        <x:v>후생비_연월차수당</x:v>
      </x:c>
      <x:c r="F294" s="443"/>
      <x:c r="G294" s="444" t="s">
        <x:v>101</x:v>
      </x:c>
      <x:c r="H294" s="445" t="str">
        <x:f t="shared" si="58"/>
        <x:v>전장설계2팀(E)</x:v>
      </x:c>
      <x:c r="I294" s="446" t="str">
        <x:f t="shared" si="62"/>
        <x:v>[연구개발비]</x:v>
      </x:c>
      <x:c r="J294" s="445"/>
      <x:c r="K294" s="453">
        <x:v>1555805.6666666667</x:v>
      </x:c>
      <x:c r="L294" s="454">
        <x:v>1555805.6666666667</x:v>
      </x:c>
      <x:c r="M294" s="454">
        <x:v>1555805.6666666667</x:v>
      </x:c>
      <x:c r="N294" s="454">
        <x:v>1555805.6666666667</x:v>
      </x:c>
      <x:c r="O294" s="454">
        <x:v>1555805.6666666667</x:v>
      </x:c>
      <x:c r="P294" s="454">
        <x:v>1555805.6666666667</x:v>
      </x:c>
      <x:c r="Q294" s="454">
        <x:v>1555805.6666666667</x:v>
      </x:c>
      <x:c r="R294" s="454">
        <x:v>1555805.6666666667</x:v>
      </x:c>
      <x:c r="S294" s="454">
        <x:v>1555805.6666666667</x:v>
      </x:c>
      <x:c r="T294" s="454">
        <x:v>1555805.6666666667</x:v>
      </x:c>
      <x:c r="U294" s="454">
        <x:v>1555805.6666666667</x:v>
      </x:c>
      <x:c r="V294" s="455">
        <x:v>1555805.6666666667</x:v>
      </x:c>
      <x:c r="W294" s="456">
        <x:f t="shared" si="67"/>
        <x:v>18669668</x:v>
      </x:c>
      <x:c r="X294" s="450">
        <x:f t="shared" si="68"/>
        <x:v>1555805.6666666667</x:v>
      </x:c>
      <x:c r="Y294" s="457" t="s">
        <x:v>806</x:v>
      </x:c>
      <x:c r="Z294" s="458"/>
      <x:c r="AA294" s="458"/>
      <x:c r="AB294" s="458"/>
      <x:c r="AC294" s="458"/>
      <x:c r="AD294" s="458"/>
      <x:c r="AE294" s="458"/>
    </x:row>
    <x:row r="295" spans="1:31" ht="20.100000000000001" customHeight="1">
      <x:c r="A295" s="439" t="s">
        <x:v>765</x:v>
      </x:c>
      <x:c r="B295" s="466" t="str">
        <x:f t="shared" si="59"/>
        <x:v>복리후생비</x:v>
      </x:c>
      <x:c r="C295" s="440" t="str">
        <x:f t="shared" si="60"/>
        <x:v>후생비</x:v>
      </x:c>
      <x:c r="D295" s="441">
        <x:v>52130141</x:v>
      </x:c>
      <x:c r="E295" s="442" t="str">
        <x:f t="shared" si="61"/>
        <x:v>후생비_연월차수당</x:v>
      </x:c>
      <x:c r="F295" s="443"/>
      <x:c r="G295" s="444" t="s">
        <x:v>104</x:v>
      </x:c>
      <x:c r="H295" s="445" t="str">
        <x:f t="shared" si="58"/>
        <x:v>제품개발팀(E)</x:v>
      </x:c>
      <x:c r="I295" s="446" t="str">
        <x:f t="shared" si="62"/>
        <x:v>[연구개발비]</x:v>
      </x:c>
      <x:c r="J295" s="445"/>
      <x:c r="K295" s="453">
        <x:v>732490.58333333337</x:v>
      </x:c>
      <x:c r="L295" s="454">
        <x:v>732490.58333333337</x:v>
      </x:c>
      <x:c r="M295" s="454">
        <x:v>732490.58333333337</x:v>
      </x:c>
      <x:c r="N295" s="454">
        <x:v>732490.58333333337</x:v>
      </x:c>
      <x:c r="O295" s="454">
        <x:v>732490.58333333337</x:v>
      </x:c>
      <x:c r="P295" s="454">
        <x:v>732490.58333333337</x:v>
      </x:c>
      <x:c r="Q295" s="454">
        <x:v>732490.58333333337</x:v>
      </x:c>
      <x:c r="R295" s="454">
        <x:v>732490.58333333337</x:v>
      </x:c>
      <x:c r="S295" s="454">
        <x:v>732490.58333333337</x:v>
      </x:c>
      <x:c r="T295" s="454">
        <x:v>732490.58333333337</x:v>
      </x:c>
      <x:c r="U295" s="454">
        <x:v>732490.58333333337</x:v>
      </x:c>
      <x:c r="V295" s="455">
        <x:v>732490.58333333337</x:v>
      </x:c>
      <x:c r="W295" s="456">
        <x:f t="shared" si="67"/>
        <x:v>8789886.9999999981</x:v>
      </x:c>
      <x:c r="X295" s="450">
        <x:f t="shared" si="68"/>
        <x:v>732490.58333333314</x:v>
      </x:c>
      <x:c r="Y295" s="457" t="s">
        <x:v>806</x:v>
      </x:c>
      <x:c r="Z295" s="458"/>
      <x:c r="AA295" s="458"/>
      <x:c r="AB295" s="458"/>
      <x:c r="AC295" s="458"/>
      <x:c r="AD295" s="458"/>
      <x:c r="AE295" s="458"/>
    </x:row>
    <x:row r="296" spans="1:31" ht="20.100000000000001" customHeight="1">
      <x:c r="A296" s="439" t="s">
        <x:v>765</x:v>
      </x:c>
      <x:c r="B296" s="466" t="str">
        <x:f t="shared" si="59"/>
        <x:v>복리후생비</x:v>
      </x:c>
      <x:c r="C296" s="440" t="str">
        <x:f t="shared" si="60"/>
        <x:v>후생비</x:v>
      </x:c>
      <x:c r="D296" s="441">
        <x:v>52130141</x:v>
      </x:c>
      <x:c r="E296" s="442" t="str">
        <x:f t="shared" si="61"/>
        <x:v>후생비_연월차수당</x:v>
      </x:c>
      <x:c r="F296" s="443"/>
      <x:c r="G296" s="444" t="s">
        <x:v>251</x:v>
      </x:c>
      <x:c r="H296" s="445" t="str">
        <x:f t="shared" si="58"/>
        <x:v>시작평가팀(E)</x:v>
      </x:c>
      <x:c r="I296" s="446" t="str">
        <x:f t="shared" si="62"/>
        <x:v>[연구개발비]</x:v>
      </x:c>
      <x:c r="J296" s="445"/>
      <x:c r="K296" s="453">
        <x:v>963753.33333333337</x:v>
      </x:c>
      <x:c r="L296" s="454">
        <x:v>963753.33333333337</x:v>
      </x:c>
      <x:c r="M296" s="454">
        <x:v>963753.33333333337</x:v>
      </x:c>
      <x:c r="N296" s="454">
        <x:v>963753.33333333337</x:v>
      </x:c>
      <x:c r="O296" s="454">
        <x:v>963753.33333333337</x:v>
      </x:c>
      <x:c r="P296" s="454">
        <x:v>963753.33333333337</x:v>
      </x:c>
      <x:c r="Q296" s="454">
        <x:v>963753.33333333337</x:v>
      </x:c>
      <x:c r="R296" s="454">
        <x:v>963753.33333333337</x:v>
      </x:c>
      <x:c r="S296" s="454">
        <x:v>963753.33333333337</x:v>
      </x:c>
      <x:c r="T296" s="454">
        <x:v>963753.33333333337</x:v>
      </x:c>
      <x:c r="U296" s="454">
        <x:v>963753.33333333337</x:v>
      </x:c>
      <x:c r="V296" s="455">
        <x:v>963753.33333333337</x:v>
      </x:c>
      <x:c r="W296" s="456">
        <x:f t="shared" si="67"/>
        <x:v>11565040.000000002</x:v>
      </x:c>
      <x:c r="X296" s="450">
        <x:f t="shared" si="68"/>
        <x:v>963753.33333333349</x:v>
      </x:c>
      <x:c r="Y296" s="457" t="s">
        <x:v>806</x:v>
      </x:c>
      <x:c r="Z296" s="458"/>
      <x:c r="AA296" s="458"/>
      <x:c r="AB296" s="458"/>
      <x:c r="AC296" s="458"/>
      <x:c r="AD296" s="458"/>
      <x:c r="AE296" s="458"/>
    </x:row>
    <x:row r="297" spans="1:31" ht="20.100000000000001" customHeight="1">
      <x:c r="A297" s="439" t="s">
        <x:v>765</x:v>
      </x:c>
      <x:c r="B297" s="466" t="str">
        <x:f t="shared" si="59"/>
        <x:v>복리후생비</x:v>
      </x:c>
      <x:c r="C297" s="440" t="str">
        <x:f t="shared" si="60"/>
        <x:v>후생비</x:v>
      </x:c>
      <x:c r="D297" s="441">
        <x:v>52130141</x:v>
      </x:c>
      <x:c r="E297" s="442" t="str">
        <x:f t="shared" si="61"/>
        <x:v>후생비_연월차수당</x:v>
      </x:c>
      <x:c r="F297" s="443"/>
      <x:c r="G297" s="444" t="s">
        <x:v>106</x:v>
      </x:c>
      <x:c r="H297" s="445" t="str">
        <x:f t="shared" si="58"/>
        <x:v>구매팀(E)</x:v>
      </x:c>
      <x:c r="I297" s="446" t="str">
        <x:f t="shared" si="62"/>
        <x:v>[관리비]</x:v>
      </x:c>
      <x:c r="J297" s="445"/>
      <x:c r="K297" s="453">
        <x:v>1352573.4166666667</x:v>
      </x:c>
      <x:c r="L297" s="454">
        <x:v>1352573.4166666667</x:v>
      </x:c>
      <x:c r="M297" s="454">
        <x:v>1352573.4166666667</x:v>
      </x:c>
      <x:c r="N297" s="454">
        <x:v>1352573.4166666667</x:v>
      </x:c>
      <x:c r="O297" s="454">
        <x:v>1352573.4166666667</x:v>
      </x:c>
      <x:c r="P297" s="454">
        <x:v>1352573.4166666667</x:v>
      </x:c>
      <x:c r="Q297" s="454">
        <x:v>1352573.4166666667</x:v>
      </x:c>
      <x:c r="R297" s="454">
        <x:v>1352573.4166666667</x:v>
      </x:c>
      <x:c r="S297" s="454">
        <x:v>1352573.4166666667</x:v>
      </x:c>
      <x:c r="T297" s="454">
        <x:v>1352573.4166666667</x:v>
      </x:c>
      <x:c r="U297" s="454">
        <x:v>1352573.4166666667</x:v>
      </x:c>
      <x:c r="V297" s="455">
        <x:v>1352573.4166666667</x:v>
      </x:c>
      <x:c r="W297" s="456">
        <x:f t="shared" si="67"/>
        <x:v>16230880.999999998</x:v>
      </x:c>
      <x:c r="X297" s="450">
        <x:f t="shared" si="68"/>
        <x:v>1352573.4166666665</x:v>
      </x:c>
      <x:c r="Y297" s="457" t="s">
        <x:v>806</x:v>
      </x:c>
      <x:c r="Z297" s="458"/>
      <x:c r="AA297" s="458"/>
      <x:c r="AB297" s="458"/>
      <x:c r="AC297" s="458"/>
      <x:c r="AD297" s="458"/>
      <x:c r="AE297" s="458"/>
    </x:row>
    <x:row r="298" spans="1:31" ht="20.100000000000001" customHeight="1">
      <x:c r="A298" s="439" t="s">
        <x:v>765</x:v>
      </x:c>
      <x:c r="B298" s="466" t="str">
        <x:f t="shared" si="59"/>
        <x:v>복리후생비</x:v>
      </x:c>
      <x:c r="C298" s="440" t="str">
        <x:f t="shared" si="60"/>
        <x:v>후생비</x:v>
      </x:c>
      <x:c r="D298" s="441">
        <x:v>52130141</x:v>
      </x:c>
      <x:c r="E298" s="442" t="str">
        <x:f t="shared" si="61"/>
        <x:v>후생비_연월차수당</x:v>
      </x:c>
      <x:c r="F298" s="443"/>
      <x:c r="G298" s="444" t="s">
        <x:v>150</x:v>
      </x:c>
      <x:c r="H298" s="445" t="str">
        <x:f t="shared" si="58"/>
        <x:v>구매영업부문(E)</x:v>
      </x:c>
      <x:c r="I298" s="446" t="str">
        <x:f t="shared" si="62"/>
        <x:v>[판매비]</x:v>
      </x:c>
      <x:c r="J298" s="445"/>
      <x:c r="K298" s="453">
        <x:v>0</x:v>
      </x:c>
      <x:c r="L298" s="454">
        <x:v>0</x:v>
      </x:c>
      <x:c r="M298" s="454">
        <x:v>0</x:v>
      </x:c>
      <x:c r="N298" s="454">
        <x:v>0</x:v>
      </x:c>
      <x:c r="O298" s="454">
        <x:v>0</x:v>
      </x:c>
      <x:c r="P298" s="454">
        <x:v>0</x:v>
      </x:c>
      <x:c r="Q298" s="454">
        <x:v>0</x:v>
      </x:c>
      <x:c r="R298" s="454">
        <x:v>0</x:v>
      </x:c>
      <x:c r="S298" s="454">
        <x:v>0</x:v>
      </x:c>
      <x:c r="T298" s="454">
        <x:v>0</x:v>
      </x:c>
      <x:c r="U298" s="454">
        <x:v>0</x:v>
      </x:c>
      <x:c r="V298" s="455">
        <x:v>0</x:v>
      </x:c>
      <x:c r="W298" s="456">
        <x:f t="shared" si="67"/>
        <x:v>0</x:v>
      </x:c>
      <x:c r="X298" s="450">
        <x:f t="shared" si="68"/>
        <x:v>0</x:v>
      </x:c>
      <x:c r="Y298" s="457" t="s">
        <x:v>806</x:v>
      </x:c>
      <x:c r="Z298" s="458"/>
      <x:c r="AA298" s="458"/>
      <x:c r="AB298" s="458"/>
      <x:c r="AC298" s="458"/>
      <x:c r="AD298" s="458"/>
      <x:c r="AE298" s="458"/>
    </x:row>
    <x:row r="299" spans="1:31" ht="20.100000000000001" customHeight="1">
      <x:c r="A299" s="439" t="s">
        <x:v>765</x:v>
      </x:c>
      <x:c r="B299" s="466" t="str">
        <x:f t="shared" si="59"/>
        <x:v>복리후생비</x:v>
      </x:c>
      <x:c r="C299" s="440" t="str">
        <x:f t="shared" si="60"/>
        <x:v>후생비</x:v>
      </x:c>
      <x:c r="D299" s="441">
        <x:v>52130141</x:v>
      </x:c>
      <x:c r="E299" s="442" t="str">
        <x:f t="shared" si="61"/>
        <x:v>후생비_연월차수당</x:v>
      </x:c>
      <x:c r="F299" s="443"/>
      <x:c r="G299" s="444" t="s">
        <x:v>247</x:v>
      </x:c>
      <x:c r="H299" s="445" t="str">
        <x:f t="shared" si="58"/>
        <x:v>영업팀(E)</x:v>
      </x:c>
      <x:c r="I299" s="446" t="str">
        <x:f t="shared" si="62"/>
        <x:v>[판매비]</x:v>
      </x:c>
      <x:c r="J299" s="445"/>
      <x:c r="K299" s="453">
        <x:v>831697.41666666663</x:v>
      </x:c>
      <x:c r="L299" s="454">
        <x:v>831697.41666666663</x:v>
      </x:c>
      <x:c r="M299" s="454">
        <x:v>831697.41666666663</x:v>
      </x:c>
      <x:c r="N299" s="454">
        <x:v>831697.41666666663</x:v>
      </x:c>
      <x:c r="O299" s="454">
        <x:v>831697.41666666663</x:v>
      </x:c>
      <x:c r="P299" s="454">
        <x:v>831697.41666666663</x:v>
      </x:c>
      <x:c r="Q299" s="454">
        <x:v>831697.41666666663</x:v>
      </x:c>
      <x:c r="R299" s="454">
        <x:v>831697.41666666663</x:v>
      </x:c>
      <x:c r="S299" s="454">
        <x:v>831697.41666666663</x:v>
      </x:c>
      <x:c r="T299" s="454">
        <x:v>831697.41666666663</x:v>
      </x:c>
      <x:c r="U299" s="454">
        <x:v>831697.41666666663</x:v>
      </x:c>
      <x:c r="V299" s="455">
        <x:v>831697.41666666663</x:v>
      </x:c>
      <x:c r="W299" s="456">
        <x:f t="shared" si="67"/>
        <x:v>9980369</x:v>
      </x:c>
      <x:c r="X299" s="450">
        <x:f t="shared" si="68"/>
        <x:v>831697.41666666663</x:v>
      </x:c>
      <x:c r="Y299" s="457" t="s">
        <x:v>806</x:v>
      </x:c>
      <x:c r="Z299" s="458"/>
      <x:c r="AA299" s="458"/>
      <x:c r="AB299" s="458"/>
      <x:c r="AC299" s="458"/>
      <x:c r="AD299" s="458"/>
      <x:c r="AE299" s="458"/>
    </x:row>
    <x:row r="300" spans="1:31" ht="20.100000000000001" customHeight="1">
      <x:c r="A300" s="439" t="s">
        <x:v>765</x:v>
      </x:c>
      <x:c r="B300" s="466" t="str">
        <x:f t="shared" si="59"/>
        <x:v>복리후생비</x:v>
      </x:c>
      <x:c r="C300" s="440" t="str">
        <x:f t="shared" si="60"/>
        <x:v>후생비</x:v>
      </x:c>
      <x:c r="D300" s="441">
        <x:v>52130108</x:v>
      </x:c>
      <x:c r="E300" s="442" t="str">
        <x:f t="shared" si="61"/>
        <x:v>후생비_학자금</x:v>
      </x:c>
      <x:c r="F300" s="443"/>
      <x:c r="G300" s="444" t="s">
        <x:v>103</x:v>
      </x:c>
      <x:c r="H300" s="445" t="str">
        <x:f t="shared" si="58"/>
        <x:v>전장사업부(E)</x:v>
      </x:c>
      <x:c r="I300" s="446" t="str">
        <x:f t="shared" si="62"/>
        <x:v>[관리비]</x:v>
      </x:c>
      <x:c r="J300" s="445"/>
      <x:c r="K300" s="453">
        <x:v>0</x:v>
      </x:c>
      <x:c r="L300" s="454">
        <x:v>7955000</x:v>
      </x:c>
      <x:c r="M300" s="454">
        <x:v>0</x:v>
      </x:c>
      <x:c r="N300" s="454">
        <x:v>0</x:v>
      </x:c>
      <x:c r="O300" s="454">
        <x:v>0</x:v>
      </x:c>
      <x:c r="P300" s="454">
        <x:v>0</x:v>
      </x:c>
      <x:c r="Q300" s="454">
        <x:v>0</x:v>
      </x:c>
      <x:c r="R300" s="454">
        <x:v>7955000</x:v>
      </x:c>
      <x:c r="S300" s="454">
        <x:v>0</x:v>
      </x:c>
      <x:c r="T300" s="454">
        <x:v>0</x:v>
      </x:c>
      <x:c r="U300" s="454">
        <x:v>0</x:v>
      </x:c>
      <x:c r="V300" s="455">
        <x:v>0</x:v>
      </x:c>
      <x:c r="W300" s="456">
        <x:f t="shared" si="67"/>
        <x:v>15910000</x:v>
      </x:c>
      <x:c r="X300" s="450">
        <x:f t="shared" si="68"/>
        <x:v>1325833.3333333333</x:v>
      </x:c>
      <x:c r="Y300" s="457" t="s">
        <x:v>807</x:v>
      </x:c>
      <x:c r="Z300" s="458"/>
      <x:c r="AA300" s="458"/>
      <x:c r="AB300" s="458"/>
      <x:c r="AC300" s="458"/>
      <x:c r="AD300" s="458"/>
      <x:c r="AE300" s="458"/>
    </x:row>
    <x:row r="301" spans="1:31" ht="20.100000000000001" customHeight="1">
      <x:c r="A301" s="439" t="s">
        <x:v>765</x:v>
      </x:c>
      <x:c r="B301" s="466" t="str">
        <x:f t="shared" si="59"/>
        <x:v>복리후생비</x:v>
      </x:c>
      <x:c r="C301" s="440" t="str">
        <x:f t="shared" si="60"/>
        <x:v>후생비</x:v>
      </x:c>
      <x:c r="D301" s="441">
        <x:v>52130108</x:v>
      </x:c>
      <x:c r="E301" s="442" t="str">
        <x:f t="shared" si="61"/>
        <x:v>후생비_학자금</x:v>
      </x:c>
      <x:c r="F301" s="443"/>
      <x:c r="G301" s="444" t="s">
        <x:v>104</x:v>
      </x:c>
      <x:c r="H301" s="445" t="str">
        <x:f t="shared" si="58"/>
        <x:v>제품개발팀(E)</x:v>
      </x:c>
      <x:c r="I301" s="446" t="str">
        <x:f t="shared" si="62"/>
        <x:v>[연구개발비]</x:v>
      </x:c>
      <x:c r="J301" s="445"/>
      <x:c r="K301" s="453">
        <x:v>0</x:v>
      </x:c>
      <x:c r="L301" s="454">
        <x:v>500000</x:v>
      </x:c>
      <x:c r="M301" s="454">
        <x:v>0</x:v>
      </x:c>
      <x:c r="N301" s="454">
        <x:v>0</x:v>
      </x:c>
      <x:c r="O301" s="454">
        <x:v>0</x:v>
      </x:c>
      <x:c r="P301" s="454">
        <x:v>0</x:v>
      </x:c>
      <x:c r="Q301" s="454">
        <x:v>0</x:v>
      </x:c>
      <x:c r="R301" s="454">
        <x:v>0</x:v>
      </x:c>
      <x:c r="S301" s="454">
        <x:v>0</x:v>
      </x:c>
      <x:c r="T301" s="454">
        <x:v>0</x:v>
      </x:c>
      <x:c r="U301" s="454">
        <x:v>0</x:v>
      </x:c>
      <x:c r="V301" s="455">
        <x:v>0</x:v>
      </x:c>
      <x:c r="W301" s="456">
        <x:f t="shared" si="67"/>
        <x:v>500000</x:v>
      </x:c>
      <x:c r="X301" s="450">
        <x:f t="shared" si="68"/>
        <x:v>41666.666666666664</x:v>
      </x:c>
      <x:c r="Y301" s="457" t="s">
        <x:v>807</x:v>
      </x:c>
      <x:c r="Z301" s="458"/>
      <x:c r="AA301" s="458"/>
      <x:c r="AB301" s="458"/>
      <x:c r="AC301" s="458"/>
      <x:c r="AD301" s="458"/>
      <x:c r="AE301" s="458"/>
    </x:row>
    <x:row r="302" spans="1:31" ht="20.100000000000001" customHeight="1">
      <x:c r="A302" s="439" t="s">
        <x:v>765</x:v>
      </x:c>
      <x:c r="B302" s="466" t="str">
        <x:f t="shared" si="59"/>
        <x:v>복리후생비</x:v>
      </x:c>
      <x:c r="C302" s="440" t="str">
        <x:f t="shared" si="60"/>
        <x:v>후생비</x:v>
      </x:c>
      <x:c r="D302" s="441">
        <x:v>52130108</x:v>
      </x:c>
      <x:c r="E302" s="442" t="str">
        <x:f t="shared" si="61"/>
        <x:v>후생비_학자금</x:v>
      </x:c>
      <x:c r="F302" s="443"/>
      <x:c r="G302" s="444" t="s">
        <x:v>251</x:v>
      </x:c>
      <x:c r="H302" s="445" t="str">
        <x:f t="shared" si="58"/>
        <x:v>시작평가팀(E)</x:v>
      </x:c>
      <x:c r="I302" s="446" t="str">
        <x:f t="shared" si="62"/>
        <x:v>[연구개발비]</x:v>
      </x:c>
      <x:c r="J302" s="445"/>
      <x:c r="K302" s="453">
        <x:v>0</x:v>
      </x:c>
      <x:c r="L302" s="454">
        <x:v>600000</x:v>
      </x:c>
      <x:c r="M302" s="454">
        <x:v>0</x:v>
      </x:c>
      <x:c r="N302" s="454">
        <x:v>0</x:v>
      </x:c>
      <x:c r="O302" s="454">
        <x:v>0</x:v>
      </x:c>
      <x:c r="P302" s="454">
        <x:v>0</x:v>
      </x:c>
      <x:c r="Q302" s="454">
        <x:v>0</x:v>
      </x:c>
      <x:c r="R302" s="454">
        <x:v>0</x:v>
      </x:c>
      <x:c r="S302" s="454">
        <x:v>0</x:v>
      </x:c>
      <x:c r="T302" s="454">
        <x:v>0</x:v>
      </x:c>
      <x:c r="U302" s="454">
        <x:v>0</x:v>
      </x:c>
      <x:c r="V302" s="455">
        <x:v>0</x:v>
      </x:c>
      <x:c r="W302" s="456">
        <x:f t="shared" si="67"/>
        <x:v>600000</x:v>
      </x:c>
      <x:c r="X302" s="450">
        <x:f t="shared" si="68"/>
        <x:v>50000</x:v>
      </x:c>
      <x:c r="Y302" s="457" t="s">
        <x:v>807</x:v>
      </x:c>
      <x:c r="Z302" s="458"/>
      <x:c r="AA302" s="458"/>
      <x:c r="AB302" s="458"/>
      <x:c r="AC302" s="458"/>
      <x:c r="AD302" s="458"/>
      <x:c r="AE302" s="458"/>
    </x:row>
    <x:row r="303" spans="1:31" ht="20.100000000000001" customHeight="1">
      <x:c r="A303" s="439" t="s">
        <x:v>765</x:v>
      </x:c>
      <x:c r="B303" s="466" t="str">
        <x:f t="shared" si="59"/>
        <x:v>복리후생비</x:v>
      </x:c>
      <x:c r="C303" s="440" t="str">
        <x:f t="shared" si="60"/>
        <x:v>후생비</x:v>
      </x:c>
      <x:c r="D303" s="441">
        <x:v>52130108</x:v>
      </x:c>
      <x:c r="E303" s="442" t="str">
        <x:f t="shared" si="61"/>
        <x:v>후생비_학자금</x:v>
      </x:c>
      <x:c r="F303" s="443"/>
      <x:c r="G303" s="444" t="s">
        <x:v>99</x:v>
      </x:c>
      <x:c r="H303" s="445" t="str">
        <x:f t="shared" si="58"/>
        <x:v>전장설계1팀(E)</x:v>
      </x:c>
      <x:c r="I303" s="446" t="str">
        <x:f t="shared" si="62"/>
        <x:v>[연구개발비]</x:v>
      </x:c>
      <x:c r="J303" s="445"/>
      <x:c r="K303" s="453">
        <x:v>0</x:v>
      </x:c>
      <x:c r="L303" s="454">
        <x:v>200000</x:v>
      </x:c>
      <x:c r="M303" s="454">
        <x:v>0</x:v>
      </x:c>
      <x:c r="N303" s="454">
        <x:v>0</x:v>
      </x:c>
      <x:c r="O303" s="454">
        <x:v>300000</x:v>
      </x:c>
      <x:c r="P303" s="454">
        <x:v>0</x:v>
      </x:c>
      <x:c r="Q303" s="454">
        <x:v>0</x:v>
      </x:c>
      <x:c r="R303" s="454">
        <x:v>0</x:v>
      </x:c>
      <x:c r="S303" s="454">
        <x:v>0</x:v>
      </x:c>
      <x:c r="T303" s="454">
        <x:v>0</x:v>
      </x:c>
      <x:c r="U303" s="454">
        <x:v>0</x:v>
      </x:c>
      <x:c r="V303" s="455">
        <x:v>0</x:v>
      </x:c>
      <x:c r="W303" s="456">
        <x:f t="shared" ref="W303:W351" si="69">IFERROR(SUM(K303:V303),"")</x:f>
        <x:v>500000</x:v>
      </x:c>
      <x:c r="X303" s="450">
        <x:f t="shared" ref="X303:X352" si="70">IFERROR($W303/$Y$1,"")</x:f>
        <x:v>41666.666666666664</x:v>
      </x:c>
      <x:c r="Y303" s="457" t="s">
        <x:v>807</x:v>
      </x:c>
      <x:c r="Z303" s="458"/>
      <x:c r="AA303" s="458"/>
      <x:c r="AB303" s="458"/>
      <x:c r="AC303" s="458"/>
      <x:c r="AD303" s="458"/>
      <x:c r="AE303" s="458"/>
    </x:row>
    <x:row r="304" spans="1:31" ht="20.100000000000001" customHeight="1">
      <x:c r="A304" s="439" t="s">
        <x:v>765</x:v>
      </x:c>
      <x:c r="B304" s="466" t="str">
        <x:f t="shared" si="59"/>
        <x:v>복리후생비</x:v>
      </x:c>
      <x:c r="C304" s="440" t="str">
        <x:f t="shared" si="60"/>
        <x:v>후생비</x:v>
      </x:c>
      <x:c r="D304" s="441">
        <x:v>52130108</x:v>
      </x:c>
      <x:c r="E304" s="442" t="str">
        <x:f t="shared" si="61"/>
        <x:v>후생비_학자금</x:v>
      </x:c>
      <x:c r="F304" s="443"/>
      <x:c r="G304" s="444" t="s">
        <x:v>101</x:v>
      </x:c>
      <x:c r="H304" s="445" t="str">
        <x:f t="shared" si="58"/>
        <x:v>전장설계2팀(E)</x:v>
      </x:c>
      <x:c r="I304" s="446" t="str">
        <x:f t="shared" si="62"/>
        <x:v>[연구개발비]</x:v>
      </x:c>
      <x:c r="J304" s="445"/>
      <x:c r="K304" s="453">
        <x:v>0</x:v>
      </x:c>
      <x:c r="L304" s="454">
        <x:v>3600000</x:v>
      </x:c>
      <x:c r="M304" s="454">
        <x:v>0</x:v>
      </x:c>
      <x:c r="N304" s="454">
        <x:v>0</x:v>
      </x:c>
      <x:c r="O304" s="454">
        <x:v>1200000</x:v>
      </x:c>
      <x:c r="P304" s="454">
        <x:v>0</x:v>
      </x:c>
      <x:c r="Q304" s="454">
        <x:v>0</x:v>
      </x:c>
      <x:c r="R304" s="454">
        <x:v>3600000</x:v>
      </x:c>
      <x:c r="S304" s="454">
        <x:v>0</x:v>
      </x:c>
      <x:c r="T304" s="454">
        <x:v>0</x:v>
      </x:c>
      <x:c r="U304" s="454">
        <x:v>200000</x:v>
      </x:c>
      <x:c r="V304" s="455">
        <x:v>0</x:v>
      </x:c>
      <x:c r="W304" s="456">
        <x:f t="shared" si="69"/>
        <x:v>8600000</x:v>
      </x:c>
      <x:c r="X304" s="450">
        <x:f t="shared" si="70"/>
        <x:v>716666.66666666663</x:v>
      </x:c>
      <x:c r="Y304" s="457" t="s">
        <x:v>807</x:v>
      </x:c>
      <x:c r="Z304" s="458"/>
      <x:c r="AA304" s="458"/>
      <x:c r="AB304" s="458"/>
      <x:c r="AC304" s="458"/>
      <x:c r="AD304" s="458"/>
      <x:c r="AE304" s="458"/>
    </x:row>
    <x:row r="305" spans="1:31" ht="20.100000000000001" customHeight="1">
      <x:c r="A305" s="439" t="s">
        <x:v>765</x:v>
      </x:c>
      <x:c r="B305" s="466" t="str">
        <x:f t="shared" si="59"/>
        <x:v>복리후생비</x:v>
      </x:c>
      <x:c r="C305" s="440" t="str">
        <x:f t="shared" si="60"/>
        <x:v>후생비</x:v>
      </x:c>
      <x:c r="D305" s="441">
        <x:v>52130108</x:v>
      </x:c>
      <x:c r="E305" s="442" t="str">
        <x:f t="shared" si="61"/>
        <x:v>후생비_학자금</x:v>
      </x:c>
      <x:c r="F305" s="443"/>
      <x:c r="G305" s="444" t="s">
        <x:v>150</x:v>
      </x:c>
      <x:c r="H305" s="445" t="str">
        <x:f t="shared" si="58"/>
        <x:v>구매영업부문(E)</x:v>
      </x:c>
      <x:c r="I305" s="446" t="str">
        <x:f t="shared" si="62"/>
        <x:v>[판매비]</x:v>
      </x:c>
      <x:c r="J305" s="445"/>
      <x:c r="K305" s="453">
        <x:v>0</x:v>
      </x:c>
      <x:c r="L305" s="454">
        <x:v>7230000</x:v>
      </x:c>
      <x:c r="M305" s="454">
        <x:v>0</x:v>
      </x:c>
      <x:c r="N305" s="454">
        <x:v>0</x:v>
      </x:c>
      <x:c r="O305" s="454">
        <x:v>0</x:v>
      </x:c>
      <x:c r="P305" s="454">
        <x:v>0</x:v>
      </x:c>
      <x:c r="Q305" s="454">
        <x:v>0</x:v>
      </x:c>
      <x:c r="R305" s="454">
        <x:v>7230000</x:v>
      </x:c>
      <x:c r="S305" s="454">
        <x:v>0</x:v>
      </x:c>
      <x:c r="T305" s="454">
        <x:v>0</x:v>
      </x:c>
      <x:c r="U305" s="454">
        <x:v>0</x:v>
      </x:c>
      <x:c r="V305" s="455">
        <x:v>0</x:v>
      </x:c>
      <x:c r="W305" s="456">
        <x:f t="shared" si="69"/>
        <x:v>14460000</x:v>
      </x:c>
      <x:c r="X305" s="450">
        <x:f t="shared" si="70"/>
        <x:v>1205000</x:v>
      </x:c>
      <x:c r="Y305" s="457" t="s">
        <x:v>807</x:v>
      </x:c>
      <x:c r="Z305" s="458"/>
      <x:c r="AA305" s="458"/>
      <x:c r="AB305" s="458"/>
      <x:c r="AC305" s="458"/>
      <x:c r="AD305" s="458"/>
      <x:c r="AE305" s="458"/>
    </x:row>
    <x:row r="306" spans="1:31" ht="20.100000000000001" customHeight="1">
      <x:c r="A306" s="439" t="s">
        <x:v>765</x:v>
      </x:c>
      <x:c r="B306" s="466" t="str">
        <x:f t="shared" si="59"/>
        <x:v>복리후생비</x:v>
      </x:c>
      <x:c r="C306" s="440" t="str">
        <x:f t="shared" si="60"/>
        <x:v>후생비</x:v>
      </x:c>
      <x:c r="D306" s="441">
        <x:v>52130108</x:v>
      </x:c>
      <x:c r="E306" s="442" t="str">
        <x:f t="shared" si="61"/>
        <x:v>후생비_학자금</x:v>
      </x:c>
      <x:c r="F306" s="443"/>
      <x:c r="G306" s="444" t="s">
        <x:v>106</x:v>
      </x:c>
      <x:c r="H306" s="445" t="str">
        <x:f t="shared" si="58"/>
        <x:v>구매팀(E)</x:v>
      </x:c>
      <x:c r="I306" s="446" t="str">
        <x:f t="shared" si="62"/>
        <x:v>[관리비]</x:v>
      </x:c>
      <x:c r="J306" s="445"/>
      <x:c r="K306" s="453">
        <x:v>0</x:v>
      </x:c>
      <x:c r="L306" s="454">
        <x:v>0</x:v>
      </x:c>
      <x:c r="M306" s="454">
        <x:v>0</x:v>
      </x:c>
      <x:c r="N306" s="454">
        <x:v>0</x:v>
      </x:c>
      <x:c r="O306" s="454">
        <x:v>300000</x:v>
      </x:c>
      <x:c r="P306" s="454">
        <x:v>0</x:v>
      </x:c>
      <x:c r="Q306" s="454">
        <x:v>0</x:v>
      </x:c>
      <x:c r="R306" s="454">
        <x:v>0</x:v>
      </x:c>
      <x:c r="S306" s="454">
        <x:v>0</x:v>
      </x:c>
      <x:c r="T306" s="454">
        <x:v>0</x:v>
      </x:c>
      <x:c r="U306" s="454">
        <x:v>4750000</x:v>
      </x:c>
      <x:c r="V306" s="455">
        <x:v>0</x:v>
      </x:c>
      <x:c r="W306" s="456">
        <x:f t="shared" si="69"/>
        <x:v>5050000</x:v>
      </x:c>
      <x:c r="X306" s="450">
        <x:f t="shared" si="70"/>
        <x:v>420833.33333333331</x:v>
      </x:c>
      <x:c r="Y306" s="457" t="s">
        <x:v>807</x:v>
      </x:c>
      <x:c r="Z306" s="458"/>
      <x:c r="AA306" s="458"/>
      <x:c r="AB306" s="458"/>
      <x:c r="AC306" s="458"/>
      <x:c r="AD306" s="458"/>
      <x:c r="AE306" s="458"/>
    </x:row>
    <x:row r="307" spans="1:31" ht="20.100000000000001" customHeight="1">
      <x:c r="A307" s="439" t="s">
        <x:v>765</x:v>
      </x:c>
      <x:c r="B307" s="466" t="str">
        <x:f t="shared" si="59"/>
        <x:v>복리후생비</x:v>
      </x:c>
      <x:c r="C307" s="440" t="str">
        <x:f t="shared" si="60"/>
        <x:v>후생비</x:v>
      </x:c>
      <x:c r="D307" s="441">
        <x:v>52130108</x:v>
      </x:c>
      <x:c r="E307" s="442" t="str">
        <x:f t="shared" si="61"/>
        <x:v>후생비_학자금</x:v>
      </x:c>
      <x:c r="F307" s="443"/>
      <x:c r="G307" s="444" t="s">
        <x:v>247</x:v>
      </x:c>
      <x:c r="H307" s="445" t="str">
        <x:f t="shared" si="58"/>
        <x:v>영업팀(E)</x:v>
      </x:c>
      <x:c r="I307" s="446" t="str">
        <x:f t="shared" si="62"/>
        <x:v>[판매비]</x:v>
      </x:c>
      <x:c r="J307" s="445"/>
      <x:c r="K307" s="453">
        <x:v>0</x:v>
      </x:c>
      <x:c r="L307" s="454">
        <x:v>0</x:v>
      </x:c>
      <x:c r="M307" s="454">
        <x:v>0</x:v>
      </x:c>
      <x:c r="N307" s="454">
        <x:v>0</x:v>
      </x:c>
      <x:c r="O307" s="454">
        <x:v>0</x:v>
      </x:c>
      <x:c r="P307" s="454">
        <x:v>0</x:v>
      </x:c>
      <x:c r="Q307" s="454">
        <x:v>0</x:v>
      </x:c>
      <x:c r="R307" s="454">
        <x:v>0</x:v>
      </x:c>
      <x:c r="S307" s="454">
        <x:v>0</x:v>
      </x:c>
      <x:c r="T307" s="454">
        <x:v>0</x:v>
      </x:c>
      <x:c r="U307" s="454">
        <x:v>0</x:v>
      </x:c>
      <x:c r="V307" s="455">
        <x:v>0</x:v>
      </x:c>
      <x:c r="W307" s="456">
        <x:f t="shared" si="69"/>
        <x:v>0</x:v>
      </x:c>
      <x:c r="X307" s="450">
        <x:f t="shared" si="70"/>
        <x:v>0</x:v>
      </x:c>
      <x:c r="Y307" s="457" t="s">
        <x:v>807</x:v>
      </x:c>
      <x:c r="Z307" s="458"/>
      <x:c r="AA307" s="458"/>
      <x:c r="AB307" s="458"/>
      <x:c r="AC307" s="458"/>
      <x:c r="AD307" s="458"/>
      <x:c r="AE307" s="458"/>
    </x:row>
    <x:row r="308" spans="1:31" ht="20.100000000000001" customHeight="1">
      <x:c r="A308" s="439" t="s">
        <x:v>765</x:v>
      </x:c>
      <x:c r="B308" s="466" t="str">
        <x:f t="shared" si="59"/>
        <x:v>복리후생비</x:v>
      </x:c>
      <x:c r="C308" s="440" t="str">
        <x:f t="shared" si="60"/>
        <x:v>후생비</x:v>
      </x:c>
      <x:c r="D308" s="441">
        <x:v>52130108</x:v>
      </x:c>
      <x:c r="E308" s="442" t="str">
        <x:f t="shared" si="61"/>
        <x:v>후생비_학자금</x:v>
      </x:c>
      <x:c r="F308" s="443"/>
      <x:c r="G308" s="444" t="s">
        <x:v>253</x:v>
      </x:c>
      <x:c r="H308" s="445" t="str">
        <x:f t="shared" si="58"/>
        <x:v>생산부문(E)</x:v>
      </x:c>
      <x:c r="I308" s="446" t="str">
        <x:f t="shared" si="62"/>
        <x:v>[관리비]</x:v>
      </x:c>
      <x:c r="J308" s="445"/>
      <x:c r="K308" s="453">
        <x:v>0</x:v>
      </x:c>
      <x:c r="L308" s="454">
        <x:v>3334000</x:v>
      </x:c>
      <x:c r="M308" s="454">
        <x:v>0</x:v>
      </x:c>
      <x:c r="N308" s="454">
        <x:v>0</x:v>
      </x:c>
      <x:c r="O308" s="454">
        <x:v>0</x:v>
      </x:c>
      <x:c r="P308" s="454">
        <x:v>0</x:v>
      </x:c>
      <x:c r="Q308" s="454">
        <x:v>0</x:v>
      </x:c>
      <x:c r="R308" s="454">
        <x:v>3334000</x:v>
      </x:c>
      <x:c r="S308" s="454">
        <x:v>0</x:v>
      </x:c>
      <x:c r="T308" s="454">
        <x:v>0</x:v>
      </x:c>
      <x:c r="U308" s="454">
        <x:v>0</x:v>
      </x:c>
      <x:c r="V308" s="455">
        <x:v>0</x:v>
      </x:c>
      <x:c r="W308" s="456">
        <x:f t="shared" si="69"/>
        <x:v>6668000</x:v>
      </x:c>
      <x:c r="X308" s="450">
        <x:f t="shared" si="70"/>
        <x:v>555666.66666666663</x:v>
      </x:c>
      <x:c r="Y308" s="457" t="s">
        <x:v>807</x:v>
      </x:c>
      <x:c r="Z308" s="458"/>
      <x:c r="AA308" s="458"/>
      <x:c r="AB308" s="458"/>
      <x:c r="AC308" s="458"/>
      <x:c r="AD308" s="458"/>
      <x:c r="AE308" s="458"/>
    </x:row>
    <x:row r="309" spans="1:31" ht="20.100000000000001" customHeight="1">
      <x:c r="A309" s="439" t="s">
        <x:v>765</x:v>
      </x:c>
      <x:c r="B309" s="466" t="str">
        <x:f t="shared" si="59"/>
        <x:v>복리후생비</x:v>
      </x:c>
      <x:c r="C309" s="440" t="str">
        <x:f t="shared" si="60"/>
        <x:v>후생비</x:v>
      </x:c>
      <x:c r="D309" s="441">
        <x:v>52130108</x:v>
      </x:c>
      <x:c r="E309" s="442" t="str">
        <x:f t="shared" si="61"/>
        <x:v>후생비_학자금</x:v>
      </x:c>
      <x:c r="F309" s="443"/>
      <x:c r="G309" s="444" t="s">
        <x:v>82</x:v>
      </x:c>
      <x:c r="H309" s="445" t="str">
        <x:f t="shared" si="58"/>
        <x:v>생산기술팀(E)</x:v>
      </x:c>
      <x:c r="I309" s="446" t="str">
        <x:f t="shared" si="62"/>
        <x:v>[관리비]</x:v>
      </x:c>
      <x:c r="J309" s="445"/>
      <x:c r="K309" s="453">
        <x:v>0</x:v>
      </x:c>
      <x:c r="L309" s="454">
        <x:v>200000</x:v>
      </x:c>
      <x:c r="M309" s="454">
        <x:v>0</x:v>
      </x:c>
      <x:c r="N309" s="454">
        <x:v>0</x:v>
      </x:c>
      <x:c r="O309" s="454">
        <x:v>300000</x:v>
      </x:c>
      <x:c r="P309" s="454">
        <x:v>0</x:v>
      </x:c>
      <x:c r="Q309" s="454">
        <x:v>0</x:v>
      </x:c>
      <x:c r="R309" s="454">
        <x:v>0</x:v>
      </x:c>
      <x:c r="S309" s="454">
        <x:v>0</x:v>
      </x:c>
      <x:c r="T309" s="454">
        <x:v>0</x:v>
      </x:c>
      <x:c r="U309" s="454">
        <x:v>0</x:v>
      </x:c>
      <x:c r="V309" s="455">
        <x:v>0</x:v>
      </x:c>
      <x:c r="W309" s="456">
        <x:f t="shared" si="69"/>
        <x:v>500000</x:v>
      </x:c>
      <x:c r="X309" s="450">
        <x:f t="shared" si="70"/>
        <x:v>41666.666666666664</x:v>
      </x:c>
      <x:c r="Y309" s="457" t="s">
        <x:v>807</x:v>
      </x:c>
      <x:c r="Z309" s="458"/>
      <x:c r="AA309" s="458"/>
      <x:c r="AB309" s="458"/>
      <x:c r="AC309" s="458"/>
      <x:c r="AD309" s="458"/>
      <x:c r="AE309" s="458"/>
    </x:row>
    <x:row r="310" spans="1:31" ht="20.100000000000001" customHeight="1">
      <x:c r="A310" s="439" t="s">
        <x:v>765</x:v>
      </x:c>
      <x:c r="B310" s="466" t="str">
        <x:f t="shared" si="59"/>
        <x:v>복리후생비</x:v>
      </x:c>
      <x:c r="C310" s="440" t="str">
        <x:f t="shared" si="60"/>
        <x:v>후생비</x:v>
      </x:c>
      <x:c r="D310" s="441">
        <x:v>52130108</x:v>
      </x:c>
      <x:c r="E310" s="442" t="str">
        <x:f t="shared" si="61"/>
        <x:v>후생비_학자금</x:v>
      </x:c>
      <x:c r="F310" s="443"/>
      <x:c r="G310" s="444" t="s">
        <x:v>245</x:v>
      </x:c>
      <x:c r="H310" s="445" t="str">
        <x:f t="shared" si="58"/>
        <x:v>생산기획팀(E)</x:v>
      </x:c>
      <x:c r="I310" s="446" t="str">
        <x:f t="shared" si="62"/>
        <x:v>[관리비]</x:v>
      </x:c>
      <x:c r="J310" s="445"/>
      <x:c r="K310" s="453">
        <x:v>0</x:v>
      </x:c>
      <x:c r="L310" s="454">
        <x:v>4988000</x:v>
      </x:c>
      <x:c r="M310" s="454">
        <x:v>0</x:v>
      </x:c>
      <x:c r="N310" s="454">
        <x:v>0</x:v>
      </x:c>
      <x:c r="O310" s="454">
        <x:v>200000</x:v>
      </x:c>
      <x:c r="P310" s="454">
        <x:v>0</x:v>
      </x:c>
      <x:c r="Q310" s="454">
        <x:v>0</x:v>
      </x:c>
      <x:c r="R310" s="454">
        <x:v>11999000</x:v>
      </x:c>
      <x:c r="S310" s="454">
        <x:v>0</x:v>
      </x:c>
      <x:c r="T310" s="454">
        <x:v>0</x:v>
      </x:c>
      <x:c r="U310" s="454">
        <x:v>0</x:v>
      </x:c>
      <x:c r="V310" s="455">
        <x:v>0</x:v>
      </x:c>
      <x:c r="W310" s="456">
        <x:f t="shared" si="69"/>
        <x:v>17187000</x:v>
      </x:c>
      <x:c r="X310" s="450">
        <x:f t="shared" si="70"/>
        <x:v>1432250</x:v>
      </x:c>
      <x:c r="Y310" s="457" t="s">
        <x:v>807</x:v>
      </x:c>
      <x:c r="Z310" s="458"/>
      <x:c r="AA310" s="458"/>
      <x:c r="AB310" s="458"/>
      <x:c r="AC310" s="458"/>
      <x:c r="AD310" s="458"/>
      <x:c r="AE310" s="458"/>
    </x:row>
    <x:row r="311" spans="1:31" ht="20.100000000000001" customHeight="1">
      <x:c r="A311" s="439" t="s">
        <x:v>765</x:v>
      </x:c>
      <x:c r="B311" s="466" t="str">
        <x:f t="shared" si="59"/>
        <x:v>복리후생비</x:v>
      </x:c>
      <x:c r="C311" s="440" t="str">
        <x:f t="shared" si="60"/>
        <x:v>후생비</x:v>
      </x:c>
      <x:c r="D311" s="441">
        <x:v>52130108</x:v>
      </x:c>
      <x:c r="E311" s="442" t="str">
        <x:f t="shared" si="61"/>
        <x:v>후생비_학자금</x:v>
      </x:c>
      <x:c r="F311" s="443"/>
      <x:c r="G311" s="444" t="s">
        <x:v>256</x:v>
      </x:c>
      <x:c r="H311" s="445" t="str">
        <x:f t="shared" si="58"/>
        <x:v>품질부문(E)</x:v>
      </x:c>
      <x:c r="I311" s="446" t="str">
        <x:f t="shared" si="62"/>
        <x:v>[관리비]</x:v>
      </x:c>
      <x:c r="J311" s="445"/>
      <x:c r="K311" s="453">
        <x:v>0</x:v>
      </x:c>
      <x:c r="L311" s="454">
        <x:v>200000</x:v>
      </x:c>
      <x:c r="M311" s="454">
        <x:v>0</x:v>
      </x:c>
      <x:c r="N311" s="454">
        <x:v>0</x:v>
      </x:c>
      <x:c r="O311" s="454">
        <x:v>0</x:v>
      </x:c>
      <x:c r="P311" s="454">
        <x:v>0</x:v>
      </x:c>
      <x:c r="Q311" s="454">
        <x:v>0</x:v>
      </x:c>
      <x:c r="R311" s="454">
        <x:v>0</x:v>
      </x:c>
      <x:c r="S311" s="454">
        <x:v>0</x:v>
      </x:c>
      <x:c r="T311" s="454">
        <x:v>0</x:v>
      </x:c>
      <x:c r="U311" s="454">
        <x:v>0</x:v>
      </x:c>
      <x:c r="V311" s="455">
        <x:v>0</x:v>
      </x:c>
      <x:c r="W311" s="456">
        <x:f t="shared" si="69"/>
        <x:v>200000</x:v>
      </x:c>
      <x:c r="X311" s="450">
        <x:f t="shared" si="70"/>
        <x:v>16666.666666666668</x:v>
      </x:c>
      <x:c r="Y311" s="457" t="s">
        <x:v>807</x:v>
      </x:c>
      <x:c r="Z311" s="458"/>
      <x:c r="AA311" s="458"/>
      <x:c r="AB311" s="458"/>
      <x:c r="AC311" s="458"/>
      <x:c r="AD311" s="458"/>
      <x:c r="AE311" s="458"/>
    </x:row>
    <x:row r="312" spans="1:31" ht="20.100000000000001" customHeight="1">
      <x:c r="A312" s="439" t="s">
        <x:v>765</x:v>
      </x:c>
      <x:c r="B312" s="466" t="str">
        <x:f t="shared" si="59"/>
        <x:v>복리후생비</x:v>
      </x:c>
      <x:c r="C312" s="440" t="str">
        <x:f t="shared" si="60"/>
        <x:v>후생비</x:v>
      </x:c>
      <x:c r="D312" s="441">
        <x:v>52130108</x:v>
      </x:c>
      <x:c r="E312" s="442" t="str">
        <x:f t="shared" si="61"/>
        <x:v>후생비_학자금</x:v>
      </x:c>
      <x:c r="F312" s="443"/>
      <x:c r="G312" s="444" t="s">
        <x:v>84</x:v>
      </x:c>
      <x:c r="H312" s="445" t="str">
        <x:f t="shared" ref="H312:H375" si="71">IFERROR(VLOOKUP($G312,$AK:$AL,2,),"")</x:f>
        <x:v>품질경영팀(E)</x:v>
      </x:c>
      <x:c r="I312" s="446" t="str">
        <x:f t="shared" si="62"/>
        <x:v>[관리비]</x:v>
      </x:c>
      <x:c r="J312" s="445"/>
      <x:c r="K312" s="453">
        <x:v>0</x:v>
      </x:c>
      <x:c r="L312" s="454">
        <x:v>300000</x:v>
      </x:c>
      <x:c r="M312" s="454">
        <x:v>0</x:v>
      </x:c>
      <x:c r="N312" s="454">
        <x:v>0</x:v>
      </x:c>
      <x:c r="O312" s="454">
        <x:v>0</x:v>
      </x:c>
      <x:c r="P312" s="454">
        <x:v>0</x:v>
      </x:c>
      <x:c r="Q312" s="454">
        <x:v>0</x:v>
      </x:c>
      <x:c r="R312" s="454">
        <x:v>0</x:v>
      </x:c>
      <x:c r="S312" s="454">
        <x:v>0</x:v>
      </x:c>
      <x:c r="T312" s="454">
        <x:v>0</x:v>
      </x:c>
      <x:c r="U312" s="454">
        <x:v>0</x:v>
      </x:c>
      <x:c r="V312" s="455">
        <x:v>0</x:v>
      </x:c>
      <x:c r="W312" s="456">
        <x:f t="shared" si="69"/>
        <x:v>300000</x:v>
      </x:c>
      <x:c r="X312" s="450">
        <x:f t="shared" si="70"/>
        <x:v>25000</x:v>
      </x:c>
      <x:c r="Y312" s="457" t="s">
        <x:v>807</x:v>
      </x:c>
      <x:c r="Z312" s="458"/>
      <x:c r="AA312" s="458"/>
      <x:c r="AB312" s="458"/>
      <x:c r="AC312" s="458"/>
      <x:c r="AD312" s="458"/>
      <x:c r="AE312" s="458"/>
    </x:row>
    <x:row r="313" spans="1:31" ht="20.100000000000001" customHeight="1">
      <x:c r="A313" s="439" t="s">
        <x:v>765</x:v>
      </x:c>
      <x:c r="B313" s="466" t="str">
        <x:f t="shared" si="59"/>
        <x:v>복리후생비</x:v>
      </x:c>
      <x:c r="C313" s="440" t="str">
        <x:f t="shared" si="60"/>
        <x:v>후생비</x:v>
      </x:c>
      <x:c r="D313" s="441">
        <x:v>52130108</x:v>
      </x:c>
      <x:c r="E313" s="442" t="str">
        <x:f t="shared" si="61"/>
        <x:v>후생비_학자금</x:v>
      </x:c>
      <x:c r="F313" s="443"/>
      <x:c r="G313" s="444" t="s">
        <x:v>249</x:v>
      </x:c>
      <x:c r="H313" s="445" t="str">
        <x:f t="shared" si="71"/>
        <x:v>부품품질팀(E)</x:v>
      </x:c>
      <x:c r="I313" s="446" t="str">
        <x:f t="shared" si="62"/>
        <x:v>[관리비]</x:v>
      </x:c>
      <x:c r="J313" s="445"/>
      <x:c r="K313" s="453">
        <x:v>0</x:v>
      </x:c>
      <x:c r="L313" s="454">
        <x:v>0</x:v>
      </x:c>
      <x:c r="M313" s="454">
        <x:v>0</x:v>
      </x:c>
      <x:c r="N313" s="454">
        <x:v>0</x:v>
      </x:c>
      <x:c r="O313" s="454">
        <x:v>300000</x:v>
      </x:c>
      <x:c r="P313" s="454">
        <x:v>0</x:v>
      </x:c>
      <x:c r="Q313" s="454">
        <x:v>0</x:v>
      </x:c>
      <x:c r="R313" s="454">
        <x:v>0</x:v>
      </x:c>
      <x:c r="S313" s="454">
        <x:v>0</x:v>
      </x:c>
      <x:c r="T313" s="454">
        <x:v>0</x:v>
      </x:c>
      <x:c r="U313" s="454">
        <x:v>0</x:v>
      </x:c>
      <x:c r="V313" s="455">
        <x:v>0</x:v>
      </x:c>
      <x:c r="W313" s="456">
        <x:f t="shared" si="69"/>
        <x:v>300000</x:v>
      </x:c>
      <x:c r="X313" s="450">
        <x:f t="shared" si="70"/>
        <x:v>25000</x:v>
      </x:c>
      <x:c r="Y313" s="457" t="s">
        <x:v>807</x:v>
      </x:c>
      <x:c r="Z313" s="458"/>
      <x:c r="AA313" s="458"/>
      <x:c r="AB313" s="458"/>
      <x:c r="AC313" s="458"/>
      <x:c r="AD313" s="458"/>
      <x:c r="AE313" s="458"/>
    </x:row>
    <x:row r="314" spans="1:31" ht="20.100000000000001" customHeight="1">
      <x:c r="A314" s="439" t="s">
        <x:v>765</x:v>
      </x:c>
      <x:c r="B314" s="466" t="str">
        <x:f t="shared" si="59"/>
        <x:v>복리후생비</x:v>
      </x:c>
      <x:c r="C314" s="440" t="str">
        <x:f t="shared" si="60"/>
        <x:v>후생비</x:v>
      </x:c>
      <x:c r="D314" s="441">
        <x:v>52130108</x:v>
      </x:c>
      <x:c r="E314" s="442" t="str">
        <x:f t="shared" si="61"/>
        <x:v>후생비_학자금</x:v>
      </x:c>
      <x:c r="F314" s="443"/>
      <x:c r="G314" s="444" t="s">
        <x:v>80</x:v>
      </x:c>
      <x:c r="H314" s="445" t="str">
        <x:f t="shared" si="71"/>
        <x:v>사업관리팀(E)</x:v>
      </x:c>
      <x:c r="I314" s="446" t="str">
        <x:f t="shared" si="62"/>
        <x:v>[관리비]</x:v>
      </x:c>
      <x:c r="J314" s="445"/>
      <x:c r="K314" s="453">
        <x:v>0</x:v>
      </x:c>
      <x:c r="L314" s="454">
        <x:v>8148200</x:v>
      </x:c>
      <x:c r="M314" s="454">
        <x:v>0</x:v>
      </x:c>
      <x:c r="N314" s="454">
        <x:v>0</x:v>
      </x:c>
      <x:c r="O314" s="454">
        <x:v>0</x:v>
      </x:c>
      <x:c r="P314" s="454">
        <x:v>0</x:v>
      </x:c>
      <x:c r="Q314" s="454">
        <x:v>0</x:v>
      </x:c>
      <x:c r="R314" s="454">
        <x:v>0</x:v>
      </x:c>
      <x:c r="S314" s="454">
        <x:v>0</x:v>
      </x:c>
      <x:c r="T314" s="454">
        <x:v>0</x:v>
      </x:c>
      <x:c r="U314" s="454">
        <x:v>3595000</x:v>
      </x:c>
      <x:c r="V314" s="455">
        <x:v>0</x:v>
      </x:c>
      <x:c r="W314" s="456">
        <x:f t="shared" si="69"/>
        <x:v>11743200</x:v>
      </x:c>
      <x:c r="X314" s="450">
        <x:f t="shared" si="70"/>
        <x:v>978600</x:v>
      </x:c>
      <x:c r="Y314" s="457" t="s">
        <x:v>807</x:v>
      </x:c>
      <x:c r="Z314" s="458"/>
      <x:c r="AA314" s="458"/>
      <x:c r="AB314" s="458"/>
      <x:c r="AC314" s="458"/>
      <x:c r="AD314" s="458"/>
      <x:c r="AE314" s="458"/>
    </x:row>
    <x:row r="315" spans="1:31" ht="20.100000000000001" customHeight="1">
      <x:c r="A315" s="439" t="s">
        <x:v>765</x:v>
      </x:c>
      <x:c r="B315" s="466" t="str">
        <x:f t="shared" si="59"/>
        <x:v>복리후생비</x:v>
      </x:c>
      <x:c r="C315" s="440" t="str">
        <x:f t="shared" si="60"/>
        <x:v>후생비</x:v>
      </x:c>
      <x:c r="D315" s="441">
        <x:v>52130125</x:v>
      </x:c>
      <x:c r="E315" s="442" t="str">
        <x:f t="shared" si="61"/>
        <x:v>후생비_기타식대</x:v>
      </x:c>
      <x:c r="F315" s="443"/>
      <x:c r="G315" s="444" t="s">
        <x:v>104</x:v>
      </x:c>
      <x:c r="H315" s="445" t="str">
        <x:f t="shared" si="71"/>
        <x:v>제품개발팀(E)</x:v>
      </x:c>
      <x:c r="I315" s="446" t="str">
        <x:f t="shared" si="62"/>
        <x:v>[연구개발비]</x:v>
      </x:c>
      <x:c r="J315" s="445"/>
      <x:c r="K315" s="453">
        <x:v>0</x:v>
      </x:c>
      <x:c r="L315" s="454">
        <x:v>0</x:v>
      </x:c>
      <x:c r="M315" s="454">
        <x:v>0</x:v>
      </x:c>
      <x:c r="N315" s="454">
        <x:v>0</x:v>
      </x:c>
      <x:c r="O315" s="454">
        <x:v>0</x:v>
      </x:c>
      <x:c r="P315" s="454">
        <x:v>0</x:v>
      </x:c>
      <x:c r="Q315" s="454">
        <x:v>10000</x:v>
      </x:c>
      <x:c r="R315" s="454">
        <x:v>0</x:v>
      </x:c>
      <x:c r="S315" s="454">
        <x:v>0</x:v>
      </x:c>
      <x:c r="T315" s="454">
        <x:v>0</x:v>
      </x:c>
      <x:c r="U315" s="454">
        <x:v>0</x:v>
      </x:c>
      <x:c r="V315" s="455">
        <x:v>5000</x:v>
      </x:c>
      <x:c r="W315" s="456">
        <x:f t="shared" si="69"/>
        <x:v>15000</x:v>
      </x:c>
      <x:c r="X315" s="450">
        <x:f t="shared" si="70"/>
        <x:v>1250</x:v>
      </x:c>
      <x:c r="Y315" s="457" t="s">
        <x:v>808</x:v>
      </x:c>
      <x:c r="Z315" s="458"/>
      <x:c r="AA315" s="458"/>
      <x:c r="AB315" s="458"/>
      <x:c r="AC315" s="458"/>
      <x:c r="AD315" s="458"/>
      <x:c r="AE315" s="458"/>
    </x:row>
    <x:row r="316" spans="1:31" ht="20.100000000000001" customHeight="1">
      <x:c r="A316" s="439" t="s">
        <x:v>765</x:v>
      </x:c>
      <x:c r="B316" s="466" t="str">
        <x:f t="shared" si="59"/>
        <x:v>복리후생비</x:v>
      </x:c>
      <x:c r="C316" s="440" t="str">
        <x:f t="shared" si="60"/>
        <x:v>후생비</x:v>
      </x:c>
      <x:c r="D316" s="441">
        <x:v>52130125</x:v>
      </x:c>
      <x:c r="E316" s="442" t="str">
        <x:f t="shared" si="61"/>
        <x:v>후생비_기타식대</x:v>
      </x:c>
      <x:c r="F316" s="443"/>
      <x:c r="G316" s="444" t="s">
        <x:v>251</x:v>
      </x:c>
      <x:c r="H316" s="445" t="str">
        <x:f t="shared" si="71"/>
        <x:v>시작평가팀(E)</x:v>
      </x:c>
      <x:c r="I316" s="446" t="str">
        <x:f t="shared" si="62"/>
        <x:v>[연구개발비]</x:v>
      </x:c>
      <x:c r="J316" s="445"/>
      <x:c r="K316" s="453">
        <x:v>0</x:v>
      </x:c>
      <x:c r="L316" s="454">
        <x:v>0</x:v>
      </x:c>
      <x:c r="M316" s="454">
        <x:v>0</x:v>
      </x:c>
      <x:c r="N316" s="454">
        <x:v>0</x:v>
      </x:c>
      <x:c r="O316" s="454">
        <x:v>5000</x:v>
      </x:c>
      <x:c r="P316" s="454">
        <x:v>0</x:v>
      </x:c>
      <x:c r="Q316" s="454">
        <x:v>0</x:v>
      </x:c>
      <x:c r="R316" s="454">
        <x:v>0</x:v>
      </x:c>
      <x:c r="S316" s="454">
        <x:v>0</x:v>
      </x:c>
      <x:c r="T316" s="454">
        <x:v>0</x:v>
      </x:c>
      <x:c r="U316" s="454">
        <x:v>0</x:v>
      </x:c>
      <x:c r="V316" s="455">
        <x:v>5000</x:v>
      </x:c>
      <x:c r="W316" s="456">
        <x:f t="shared" si="69"/>
        <x:v>10000</x:v>
      </x:c>
      <x:c r="X316" s="450">
        <x:f t="shared" si="70"/>
        <x:v>833.33333333333337</x:v>
      </x:c>
      <x:c r="Y316" s="457" t="s">
        <x:v>808</x:v>
      </x:c>
      <x:c r="Z316" s="458"/>
      <x:c r="AA316" s="458"/>
      <x:c r="AB316" s="458"/>
      <x:c r="AC316" s="458"/>
      <x:c r="AD316" s="458"/>
      <x:c r="AE316" s="458"/>
    </x:row>
    <x:row r="317" spans="1:31" ht="20.100000000000001" customHeight="1">
      <x:c r="A317" s="439" t="s">
        <x:v>765</x:v>
      </x:c>
      <x:c r="B317" s="466" t="str">
        <x:f t="shared" si="59"/>
        <x:v>복리후생비</x:v>
      </x:c>
      <x:c r="C317" s="440" t="str">
        <x:f t="shared" si="60"/>
        <x:v>후생비</x:v>
      </x:c>
      <x:c r="D317" s="441">
        <x:v>52130125</x:v>
      </x:c>
      <x:c r="E317" s="442" t="str">
        <x:f t="shared" si="61"/>
        <x:v>후생비_기타식대</x:v>
      </x:c>
      <x:c r="F317" s="443"/>
      <x:c r="G317" s="444" t="s">
        <x:v>99</x:v>
      </x:c>
      <x:c r="H317" s="445" t="str">
        <x:f t="shared" si="71"/>
        <x:v>전장설계1팀(E)</x:v>
      </x:c>
      <x:c r="I317" s="446" t="str">
        <x:f t="shared" si="62"/>
        <x:v>[연구개발비]</x:v>
      </x:c>
      <x:c r="J317" s="445"/>
      <x:c r="K317" s="453">
        <x:v>0</x:v>
      </x:c>
      <x:c r="L317" s="454">
        <x:v>0</x:v>
      </x:c>
      <x:c r="M317" s="454">
        <x:v>0</x:v>
      </x:c>
      <x:c r="N317" s="454">
        <x:v>0</x:v>
      </x:c>
      <x:c r="O317" s="454">
        <x:v>15000</x:v>
      </x:c>
      <x:c r="P317" s="454">
        <x:v>0</x:v>
      </x:c>
      <x:c r="Q317" s="454">
        <x:v>0</x:v>
      </x:c>
      <x:c r="R317" s="454">
        <x:v>0</x:v>
      </x:c>
      <x:c r="S317" s="454">
        <x:v>0</x:v>
      </x:c>
      <x:c r="T317" s="454">
        <x:v>0</x:v>
      </x:c>
      <x:c r="U317" s="454">
        <x:v>0</x:v>
      </x:c>
      <x:c r="V317" s="455">
        <x:v>5000</x:v>
      </x:c>
      <x:c r="W317" s="456">
        <x:f t="shared" si="69"/>
        <x:v>20000</x:v>
      </x:c>
      <x:c r="X317" s="450">
        <x:f t="shared" si="70"/>
        <x:v>1666.6666666666667</x:v>
      </x:c>
      <x:c r="Y317" s="457" t="s">
        <x:v>808</x:v>
      </x:c>
      <x:c r="Z317" s="458"/>
      <x:c r="AA317" s="458"/>
      <x:c r="AB317" s="458"/>
      <x:c r="AC317" s="458"/>
      <x:c r="AD317" s="458"/>
      <x:c r="AE317" s="458"/>
    </x:row>
    <x:row r="318" spans="1:31" ht="20.100000000000001" customHeight="1">
      <x:c r="A318" s="439" t="s">
        <x:v>765</x:v>
      </x:c>
      <x:c r="B318" s="466" t="str">
        <x:f t="shared" si="59"/>
        <x:v>복리후생비</x:v>
      </x:c>
      <x:c r="C318" s="440" t="str">
        <x:f t="shared" si="60"/>
        <x:v>후생비</x:v>
      </x:c>
      <x:c r="D318" s="441">
        <x:v>52130125</x:v>
      </x:c>
      <x:c r="E318" s="442" t="str">
        <x:f t="shared" si="61"/>
        <x:v>후생비_기타식대</x:v>
      </x:c>
      <x:c r="F318" s="443"/>
      <x:c r="G318" s="444" t="s">
        <x:v>101</x:v>
      </x:c>
      <x:c r="H318" s="445" t="str">
        <x:f t="shared" si="71"/>
        <x:v>전장설계2팀(E)</x:v>
      </x:c>
      <x:c r="I318" s="446" t="str">
        <x:f t="shared" si="62"/>
        <x:v>[연구개발비]</x:v>
      </x:c>
      <x:c r="J318" s="445"/>
      <x:c r="K318" s="453">
        <x:v>0</x:v>
      </x:c>
      <x:c r="L318" s="454">
        <x:v>0</x:v>
      </x:c>
      <x:c r="M318" s="454">
        <x:v>0</x:v>
      </x:c>
      <x:c r="N318" s="454">
        <x:v>0</x:v>
      </x:c>
      <x:c r="O318" s="454">
        <x:v>0</x:v>
      </x:c>
      <x:c r="P318" s="454">
        <x:v>0</x:v>
      </x:c>
      <x:c r="Q318" s="454">
        <x:v>5000</x:v>
      </x:c>
      <x:c r="R318" s="454">
        <x:v>0</x:v>
      </x:c>
      <x:c r="S318" s="454">
        <x:v>0</x:v>
      </x:c>
      <x:c r="T318" s="454">
        <x:v>0</x:v>
      </x:c>
      <x:c r="U318" s="454">
        <x:v>0</x:v>
      </x:c>
      <x:c r="V318" s="455">
        <x:v>5000</x:v>
      </x:c>
      <x:c r="W318" s="456">
        <x:f t="shared" si="69"/>
        <x:v>10000</x:v>
      </x:c>
      <x:c r="X318" s="450">
        <x:f t="shared" si="70"/>
        <x:v>833.33333333333337</x:v>
      </x:c>
      <x:c r="Y318" s="457" t="s">
        <x:v>808</x:v>
      </x:c>
      <x:c r="Z318" s="458"/>
      <x:c r="AA318" s="458"/>
      <x:c r="AB318" s="458"/>
      <x:c r="AC318" s="458"/>
      <x:c r="AD318" s="458"/>
      <x:c r="AE318" s="458"/>
    </x:row>
    <x:row r="319" spans="1:31" ht="20.100000000000001" customHeight="1">
      <x:c r="A319" s="439" t="s">
        <x:v>765</x:v>
      </x:c>
      <x:c r="B319" s="466" t="str">
        <x:f t="shared" si="59"/>
        <x:v>복리후생비</x:v>
      </x:c>
      <x:c r="C319" s="440" t="str">
        <x:f t="shared" si="60"/>
        <x:v>후생비</x:v>
      </x:c>
      <x:c r="D319" s="441">
        <x:v>52130125</x:v>
      </x:c>
      <x:c r="E319" s="442" t="str">
        <x:f t="shared" si="61"/>
        <x:v>후생비_기타식대</x:v>
      </x:c>
      <x:c r="F319" s="443"/>
      <x:c r="G319" s="444" t="s">
        <x:v>247</x:v>
      </x:c>
      <x:c r="H319" s="445" t="str">
        <x:f t="shared" si="71"/>
        <x:v>영업팀(E)</x:v>
      </x:c>
      <x:c r="I319" s="446" t="str">
        <x:f t="shared" si="62"/>
        <x:v>[판매비]</x:v>
      </x:c>
      <x:c r="J319" s="445"/>
      <x:c r="K319" s="453">
        <x:v>0</x:v>
      </x:c>
      <x:c r="L319" s="454">
        <x:v>0</x:v>
      </x:c>
      <x:c r="M319" s="454">
        <x:v>0</x:v>
      </x:c>
      <x:c r="N319" s="454">
        <x:v>0</x:v>
      </x:c>
      <x:c r="O319" s="454">
        <x:v>0</x:v>
      </x:c>
      <x:c r="P319" s="454">
        <x:v>0</x:v>
      </x:c>
      <x:c r="Q319" s="454">
        <x:v>5000</x:v>
      </x:c>
      <x:c r="R319" s="454">
        <x:v>0</x:v>
      </x:c>
      <x:c r="S319" s="454">
        <x:v>0</x:v>
      </x:c>
      <x:c r="T319" s="454">
        <x:v>0</x:v>
      </x:c>
      <x:c r="U319" s="454">
        <x:v>0</x:v>
      </x:c>
      <x:c r="V319" s="455">
        <x:v>5000</x:v>
      </x:c>
      <x:c r="W319" s="456">
        <x:f t="shared" si="69"/>
        <x:v>10000</x:v>
      </x:c>
      <x:c r="X319" s="450">
        <x:f t="shared" si="70"/>
        <x:v>833.33333333333337</x:v>
      </x:c>
      <x:c r="Y319" s="457" t="s">
        <x:v>808</x:v>
      </x:c>
      <x:c r="Z319" s="458"/>
      <x:c r="AA319" s="458"/>
      <x:c r="AB319" s="458"/>
      <x:c r="AC319" s="458"/>
      <x:c r="AD319" s="458"/>
      <x:c r="AE319" s="458"/>
    </x:row>
    <x:row r="320" spans="1:31" ht="20.100000000000001" customHeight="1">
      <x:c r="A320" s="439" t="s">
        <x:v>765</x:v>
      </x:c>
      <x:c r="B320" s="466" t="str">
        <x:f t="shared" si="59"/>
        <x:v>복리후생비</x:v>
      </x:c>
      <x:c r="C320" s="440" t="str">
        <x:f t="shared" si="60"/>
        <x:v>후생비</x:v>
      </x:c>
      <x:c r="D320" s="441">
        <x:v>52130125</x:v>
      </x:c>
      <x:c r="E320" s="442" t="str">
        <x:f t="shared" si="61"/>
        <x:v>후생비_기타식대</x:v>
      </x:c>
      <x:c r="F320" s="443"/>
      <x:c r="G320" s="444" t="s">
        <x:v>82</x:v>
      </x:c>
      <x:c r="H320" s="445" t="str">
        <x:f t="shared" si="71"/>
        <x:v>생산기술팀(E)</x:v>
      </x:c>
      <x:c r="I320" s="446" t="str">
        <x:f t="shared" si="62"/>
        <x:v>[관리비]</x:v>
      </x:c>
      <x:c r="J320" s="445"/>
      <x:c r="K320" s="453">
        <x:v>0</x:v>
      </x:c>
      <x:c r="L320" s="454">
        <x:v>0</x:v>
      </x:c>
      <x:c r="M320" s="454">
        <x:v>0</x:v>
      </x:c>
      <x:c r="N320" s="454">
        <x:v>0</x:v>
      </x:c>
      <x:c r="O320" s="454">
        <x:v>15000</x:v>
      </x:c>
      <x:c r="P320" s="454">
        <x:v>0</x:v>
      </x:c>
      <x:c r="Q320" s="454">
        <x:v>5000</x:v>
      </x:c>
      <x:c r="R320" s="454">
        <x:v>0</x:v>
      </x:c>
      <x:c r="S320" s="454">
        <x:v>0</x:v>
      </x:c>
      <x:c r="T320" s="454">
        <x:v>0</x:v>
      </x:c>
      <x:c r="U320" s="454">
        <x:v>0</x:v>
      </x:c>
      <x:c r="V320" s="455">
        <x:v>5000</x:v>
      </x:c>
      <x:c r="W320" s="456">
        <x:f t="shared" si="69"/>
        <x:v>25000</x:v>
      </x:c>
      <x:c r="X320" s="450">
        <x:f t="shared" si="70"/>
        <x:v>2083.3333333333335</x:v>
      </x:c>
      <x:c r="Y320" s="457" t="s">
        <x:v>808</x:v>
      </x:c>
      <x:c r="Z320" s="458"/>
      <x:c r="AA320" s="458"/>
      <x:c r="AB320" s="458"/>
      <x:c r="AC320" s="458"/>
      <x:c r="AD320" s="458"/>
      <x:c r="AE320" s="458"/>
    </x:row>
    <x:row r="321" spans="1:31" ht="20.100000000000001" customHeight="1">
      <x:c r="A321" s="439" t="s">
        <x:v>765</x:v>
      </x:c>
      <x:c r="B321" s="466" t="str">
        <x:f t="shared" si="59"/>
        <x:v>복리후생비</x:v>
      </x:c>
      <x:c r="C321" s="440" t="str">
        <x:f t="shared" si="60"/>
        <x:v>후생비</x:v>
      </x:c>
      <x:c r="D321" s="441">
        <x:v>52130125</x:v>
      </x:c>
      <x:c r="E321" s="442" t="str">
        <x:f t="shared" si="61"/>
        <x:v>후생비_기타식대</x:v>
      </x:c>
      <x:c r="F321" s="443"/>
      <x:c r="G321" s="444" t="s">
        <x:v>84</x:v>
      </x:c>
      <x:c r="H321" s="445" t="str">
        <x:f t="shared" si="71"/>
        <x:v>품질경영팀(E)</x:v>
      </x:c>
      <x:c r="I321" s="446" t="str">
        <x:f t="shared" si="62"/>
        <x:v>[관리비]</x:v>
      </x:c>
      <x:c r="J321" s="445"/>
      <x:c r="K321" s="453">
        <x:v>0</x:v>
      </x:c>
      <x:c r="L321" s="454">
        <x:v>0</x:v>
      </x:c>
      <x:c r="M321" s="454">
        <x:v>0</x:v>
      </x:c>
      <x:c r="N321" s="454">
        <x:v>0</x:v>
      </x:c>
      <x:c r="O321" s="454">
        <x:v>5000</x:v>
      </x:c>
      <x:c r="P321" s="454">
        <x:v>0</x:v>
      </x:c>
      <x:c r="Q321" s="454">
        <x:v>5000</x:v>
      </x:c>
      <x:c r="R321" s="454">
        <x:v>0</x:v>
      </x:c>
      <x:c r="S321" s="454">
        <x:v>0</x:v>
      </x:c>
      <x:c r="T321" s="454">
        <x:v>0</x:v>
      </x:c>
      <x:c r="U321" s="454">
        <x:v>0</x:v>
      </x:c>
      <x:c r="V321" s="455">
        <x:v>5000</x:v>
      </x:c>
      <x:c r="W321" s="456">
        <x:f t="shared" si="69"/>
        <x:v>15000</x:v>
      </x:c>
      <x:c r="X321" s="450">
        <x:f t="shared" si="70"/>
        <x:v>1250</x:v>
      </x:c>
      <x:c r="Y321" s="457" t="s">
        <x:v>808</x:v>
      </x:c>
      <x:c r="Z321" s="458"/>
      <x:c r="AA321" s="458"/>
      <x:c r="AB321" s="458"/>
      <x:c r="AC321" s="458"/>
      <x:c r="AD321" s="458"/>
      <x:c r="AE321" s="458"/>
    </x:row>
    <x:row r="322" spans="1:31" ht="20.100000000000001" customHeight="1">
      <x:c r="A322" s="439" t="s">
        <x:v>765</x:v>
      </x:c>
      <x:c r="B322" s="466" t="str">
        <x:f t="shared" si="59"/>
        <x:v>복리후생비</x:v>
      </x:c>
      <x:c r="C322" s="440" t="str">
        <x:f t="shared" si="60"/>
        <x:v>후생비</x:v>
      </x:c>
      <x:c r="D322" s="441">
        <x:v>52130125</x:v>
      </x:c>
      <x:c r="E322" s="442" t="str">
        <x:f t="shared" si="61"/>
        <x:v>후생비_기타식대</x:v>
      </x:c>
      <x:c r="F322" s="443"/>
      <x:c r="G322" s="444" t="s">
        <x:v>249</x:v>
      </x:c>
      <x:c r="H322" s="445" t="str">
        <x:f t="shared" si="71"/>
        <x:v>부품품질팀(E)</x:v>
      </x:c>
      <x:c r="I322" s="446" t="str">
        <x:f t="shared" si="62"/>
        <x:v>[관리비]</x:v>
      </x:c>
      <x:c r="J322" s="445"/>
      <x:c r="K322" s="453">
        <x:v>0</x:v>
      </x:c>
      <x:c r="L322" s="454">
        <x:v>0</x:v>
      </x:c>
      <x:c r="M322" s="454">
        <x:v>0</x:v>
      </x:c>
      <x:c r="N322" s="454">
        <x:v>0</x:v>
      </x:c>
      <x:c r="O322" s="454">
        <x:v>10000</x:v>
      </x:c>
      <x:c r="P322" s="454">
        <x:v>0</x:v>
      </x:c>
      <x:c r="Q322" s="454">
        <x:v>0</x:v>
      </x:c>
      <x:c r="R322" s="454">
        <x:v>0</x:v>
      </x:c>
      <x:c r="S322" s="454">
        <x:v>0</x:v>
      </x:c>
      <x:c r="T322" s="454">
        <x:v>5000</x:v>
      </x:c>
      <x:c r="U322" s="454">
        <x:v>0</x:v>
      </x:c>
      <x:c r="V322" s="455">
        <x:v>5000</x:v>
      </x:c>
      <x:c r="W322" s="456">
        <x:f t="shared" si="69"/>
        <x:v>20000</x:v>
      </x:c>
      <x:c r="X322" s="450">
        <x:f t="shared" si="70"/>
        <x:v>1666.6666666666667</x:v>
      </x:c>
      <x:c r="Y322" s="457" t="s">
        <x:v>808</x:v>
      </x:c>
      <x:c r="Z322" s="458"/>
      <x:c r="AA322" s="458"/>
      <x:c r="AB322" s="458"/>
      <x:c r="AC322" s="458"/>
      <x:c r="AD322" s="458"/>
      <x:c r="AE322" s="458"/>
    </x:row>
    <x:row r="323" spans="1:31" ht="20.100000000000001" customHeight="1">
      <x:c r="A323" s="439" t="s">
        <x:v>765</x:v>
      </x:c>
      <x:c r="B323" s="466" t="str">
        <x:f t="shared" ref="B323:B386" si="72">IFERROR(VLOOKUP($C323,$AH:$AI,2,),"")</x:f>
        <x:v>세금,보험</x:v>
      </x:c>
      <x:c r="C323" s="440" t="str">
        <x:f t="shared" ref="C323:C386" si="73">IFERROR(VLOOKUP($D323,$AO:$AQ,3,),"")</x:f>
        <x:v>세금과공과</x:v>
      </x:c>
      <x:c r="D323" s="441">
        <x:v>52180131</x:v>
      </x:c>
      <x:c r="E323" s="442" t="str">
        <x:f t="shared" ref="E323:E386" si="74">IFERROR(VLOOKUP($D323,$AO:$AQ,2,),"")</x:f>
        <x:v>세금과공과_국민건강보험료</x:v>
      </x:c>
      <x:c r="F323" s="443"/>
      <x:c r="G323" s="444" t="s">
        <x:v>103</x:v>
      </x:c>
      <x:c r="H323" s="445" t="str">
        <x:f t="shared" si="71"/>
        <x:v>전장사업부(E)</x:v>
      </x:c>
      <x:c r="I323" s="446" t="str">
        <x:f t="shared" ref="I323:I386" si="75">IFERROR(VLOOKUP($G323,$AK:$AM,3,),"")</x:f>
        <x:v>[관리비]</x:v>
      </x:c>
      <x:c r="J323" s="445"/>
      <x:c r="K323" s="453">
        <x:v>550550</x:v>
      </x:c>
      <x:c r="L323" s="454">
        <x:v>579020</x:v>
      </x:c>
      <x:c r="M323" s="454">
        <x:v>550550</x:v>
      </x:c>
      <x:c r="N323" s="454">
        <x:v>550550</x:v>
      </x:c>
      <x:c r="O323" s="454">
        <x:v>550550</x:v>
      </x:c>
      <x:c r="P323" s="454">
        <x:v>550550</x:v>
      </x:c>
      <x:c r="Q323" s="454">
        <x:v>579020</x:v>
      </x:c>
      <x:c r="R323" s="454">
        <x:v>550550</x:v>
      </x:c>
      <x:c r="S323" s="454">
        <x:v>550550</x:v>
      </x:c>
      <x:c r="T323" s="454">
        <x:v>570890</x:v>
      </x:c>
      <x:c r="U323" s="454">
        <x:v>570890</x:v>
      </x:c>
      <x:c r="V323" s="455">
        <x:v>550550</x:v>
      </x:c>
      <x:c r="W323" s="456">
        <x:f t="shared" si="69"/>
        <x:v>6704220</x:v>
      </x:c>
      <x:c r="X323" s="450">
        <x:f t="shared" si="70"/>
        <x:v>558685</x:v>
      </x:c>
      <x:c r="Y323" s="457" t="s">
        <x:v>809</x:v>
      </x:c>
      <x:c r="Z323" s="458"/>
      <x:c r="AA323" s="458"/>
      <x:c r="AB323" s="458"/>
      <x:c r="AC323" s="458"/>
      <x:c r="AD323" s="458"/>
      <x:c r="AE323" s="458"/>
    </x:row>
    <x:row r="324" spans="1:31" ht="20.100000000000001" customHeight="1">
      <x:c r="A324" s="439" t="s">
        <x:v>765</x:v>
      </x:c>
      <x:c r="B324" s="466" t="str">
        <x:f t="shared" si="72"/>
        <x:v>세금,보험</x:v>
      </x:c>
      <x:c r="C324" s="440" t="str">
        <x:f t="shared" si="73"/>
        <x:v>세금과공과</x:v>
      </x:c>
      <x:c r="D324" s="441">
        <x:v>52180131</x:v>
      </x:c>
      <x:c r="E324" s="442" t="str">
        <x:f t="shared" si="74"/>
        <x:v>세금과공과_국민건강보험료</x:v>
      </x:c>
      <x:c r="F324" s="443"/>
      <x:c r="G324" s="444" t="s">
        <x:v>114</x:v>
      </x:c>
      <x:c r="H324" s="445" t="str">
        <x:f t="shared" si="71"/>
        <x:v>연구개발부문(E)</x:v>
      </x:c>
      <x:c r="I324" s="446" t="str">
        <x:f t="shared" si="75"/>
        <x:v>[연구개발비]</x:v>
      </x:c>
      <x:c r="J324" s="445"/>
      <x:c r="K324" s="453">
        <x:v>388870</x:v>
      </x:c>
      <x:c r="L324" s="454">
        <x:v>417350</x:v>
      </x:c>
      <x:c r="M324" s="454">
        <x:v>388870</x:v>
      </x:c>
      <x:c r="N324" s="454">
        <x:v>388870</x:v>
      </x:c>
      <x:c r="O324" s="454">
        <x:v>388870</x:v>
      </x:c>
      <x:c r="P324" s="454">
        <x:v>388870</x:v>
      </x:c>
      <x:c r="Q324" s="454">
        <x:v>417350</x:v>
      </x:c>
      <x:c r="R324" s="454">
        <x:v>388870</x:v>
      </x:c>
      <x:c r="S324" s="454">
        <x:v>388870</x:v>
      </x:c>
      <x:c r="T324" s="454">
        <x:v>409210</x:v>
      </x:c>
      <x:c r="U324" s="454">
        <x:v>409210</x:v>
      </x:c>
      <x:c r="V324" s="455">
        <x:v>388870</x:v>
      </x:c>
      <x:c r="W324" s="456">
        <x:f t="shared" si="69"/>
        <x:v>4764080</x:v>
      </x:c>
      <x:c r="X324" s="450">
        <x:f t="shared" si="70"/>
        <x:v>397006.66666666669</x:v>
      </x:c>
      <x:c r="Y324" s="457" t="s">
        <x:v>809</x:v>
      </x:c>
      <x:c r="Z324" s="458"/>
      <x:c r="AA324" s="458"/>
      <x:c r="AB324" s="458"/>
      <x:c r="AC324" s="458"/>
      <x:c r="AD324" s="458"/>
      <x:c r="AE324" s="458"/>
    </x:row>
    <x:row r="325" spans="1:31" ht="20.100000000000001" customHeight="1">
      <x:c r="A325" s="439" t="s">
        <x:v>765</x:v>
      </x:c>
      <x:c r="B325" s="466" t="str">
        <x:f t="shared" si="72"/>
        <x:v>세금,보험</x:v>
      </x:c>
      <x:c r="C325" s="440" t="str">
        <x:f t="shared" si="73"/>
        <x:v>세금과공과</x:v>
      </x:c>
      <x:c r="D325" s="441">
        <x:v>52180131</x:v>
      </x:c>
      <x:c r="E325" s="442" t="str">
        <x:f t="shared" si="74"/>
        <x:v>세금과공과_국민건강보험료</x:v>
      </x:c>
      <x:c r="F325" s="443"/>
      <x:c r="G325" s="444" t="s">
        <x:v>104</x:v>
      </x:c>
      <x:c r="H325" s="445" t="str">
        <x:f t="shared" si="71"/>
        <x:v>제품개발팀(E)</x:v>
      </x:c>
      <x:c r="I325" s="446" t="str">
        <x:f t="shared" si="75"/>
        <x:v>[연구개발비]</x:v>
      </x:c>
      <x:c r="J325" s="445"/>
      <x:c r="K325" s="453">
        <x:v>1644230</x:v>
      </x:c>
      <x:c r="L325" s="454">
        <x:v>1843510</x:v>
      </x:c>
      <x:c r="M325" s="454">
        <x:v>1644230</x:v>
      </x:c>
      <x:c r="N325" s="454">
        <x:v>1703400</x:v>
      </x:c>
      <x:c r="O325" s="454">
        <x:v>1703400</x:v>
      </x:c>
      <x:c r="P325" s="454">
        <x:v>1737160</x:v>
      </x:c>
      <x:c r="Q325" s="454">
        <x:v>1902710</x:v>
      </x:c>
      <x:c r="R325" s="454">
        <x:v>1703400</x:v>
      </x:c>
      <x:c r="S325" s="454">
        <x:v>1703400</x:v>
      </x:c>
      <x:c r="T325" s="454">
        <x:v>1845770</x:v>
      </x:c>
      <x:c r="U325" s="454">
        <x:v>1845770</x:v>
      </x:c>
      <x:c r="V325" s="455">
        <x:v>2094680</x:v>
      </x:c>
      <x:c r="W325" s="456">
        <x:f t="shared" si="69"/>
        <x:v>21371660</x:v>
      </x:c>
      <x:c r="X325" s="450">
        <x:f t="shared" si="70"/>
        <x:v>1780971.6666666667</x:v>
      </x:c>
      <x:c r="Y325" s="457" t="s">
        <x:v>809</x:v>
      </x:c>
      <x:c r="Z325" s="458"/>
      <x:c r="AA325" s="458"/>
      <x:c r="AB325" s="458"/>
      <x:c r="AC325" s="458"/>
      <x:c r="AD325" s="458"/>
      <x:c r="AE325" s="458"/>
    </x:row>
    <x:row r="326" spans="1:31" ht="20.100000000000001" customHeight="1">
      <x:c r="A326" s="439" t="s">
        <x:v>765</x:v>
      </x:c>
      <x:c r="B326" s="466" t="str">
        <x:f t="shared" si="72"/>
        <x:v>세금,보험</x:v>
      </x:c>
      <x:c r="C326" s="440" t="str">
        <x:f t="shared" si="73"/>
        <x:v>세금과공과</x:v>
      </x:c>
      <x:c r="D326" s="441">
        <x:v>52180131</x:v>
      </x:c>
      <x:c r="E326" s="442" t="str">
        <x:f t="shared" si="74"/>
        <x:v>세금과공과_국민건강보험료</x:v>
      </x:c>
      <x:c r="F326" s="443"/>
      <x:c r="G326" s="444" t="s">
        <x:v>251</x:v>
      </x:c>
      <x:c r="H326" s="445" t="str">
        <x:f t="shared" si="71"/>
        <x:v>시작평가팀(E)</x:v>
      </x:c>
      <x:c r="I326" s="446" t="str">
        <x:f t="shared" si="75"/>
        <x:v>[연구개발비]</x:v>
      </x:c>
      <x:c r="J326" s="445"/>
      <x:c r="K326" s="453">
        <x:v>1927900</x:v>
      </x:c>
      <x:c r="L326" s="454">
        <x:v>2155650</x:v>
      </x:c>
      <x:c r="M326" s="454">
        <x:v>1927900</x:v>
      </x:c>
      <x:c r="N326" s="454">
        <x:v>1996860</x:v>
      </x:c>
      <x:c r="O326" s="454">
        <x:v>1996860</x:v>
      </x:c>
      <x:c r="P326" s="454">
        <x:v>1996860</x:v>
      </x:c>
      <x:c r="Q326" s="454">
        <x:v>2224660</x:v>
      </x:c>
      <x:c r="R326" s="454">
        <x:v>1996860</x:v>
      </x:c>
      <x:c r="S326" s="454">
        <x:v>1996860</x:v>
      </x:c>
      <x:c r="T326" s="454">
        <x:v>2159610</x:v>
      </x:c>
      <x:c r="U326" s="454">
        <x:v>2159610</x:v>
      </x:c>
      <x:c r="V326" s="455">
        <x:v>2467300</x:v>
      </x:c>
      <x:c r="W326" s="456">
        <x:f t="shared" si="69"/>
        <x:v>25006930</x:v>
      </x:c>
      <x:c r="X326" s="450">
        <x:f t="shared" si="70"/>
        <x:v>2083910.8333333333</x:v>
      </x:c>
      <x:c r="Y326" s="457" t="s">
        <x:v>809</x:v>
      </x:c>
      <x:c r="Z326" s="458"/>
      <x:c r="AA326" s="458"/>
      <x:c r="AB326" s="458"/>
      <x:c r="AC326" s="458"/>
      <x:c r="AD326" s="458"/>
      <x:c r="AE326" s="458"/>
    </x:row>
    <x:row r="327" spans="1:31" ht="20.100000000000001" customHeight="1">
      <x:c r="A327" s="439" t="s">
        <x:v>765</x:v>
      </x:c>
      <x:c r="B327" s="466" t="str">
        <x:f t="shared" si="72"/>
        <x:v>세금,보험</x:v>
      </x:c>
      <x:c r="C327" s="440" t="str">
        <x:f t="shared" si="73"/>
        <x:v>세금과공과</x:v>
      </x:c>
      <x:c r="D327" s="441">
        <x:v>52180131</x:v>
      </x:c>
      <x:c r="E327" s="442" t="str">
        <x:f t="shared" si="74"/>
        <x:v>세금과공과_국민건강보험료</x:v>
      </x:c>
      <x:c r="F327" s="443"/>
      <x:c r="G327" s="444" t="s">
        <x:v>99</x:v>
      </x:c>
      <x:c r="H327" s="445" t="str">
        <x:f t="shared" si="71"/>
        <x:v>전장설계1팀(E)</x:v>
      </x:c>
      <x:c r="I327" s="446" t="str">
        <x:f t="shared" si="75"/>
        <x:v>[연구개발비]</x:v>
      </x:c>
      <x:c r="J327" s="445"/>
      <x:c r="K327" s="453">
        <x:v>1560740</x:v>
      </x:c>
      <x:c r="L327" s="454">
        <x:v>1731550</x:v>
      </x:c>
      <x:c r="M327" s="454">
        <x:v>1560740</x:v>
      </x:c>
      <x:c r="N327" s="454">
        <x:v>1616600</x:v>
      </x:c>
      <x:c r="O327" s="454">
        <x:v>1616600</x:v>
      </x:c>
      <x:c r="P327" s="454">
        <x:v>1685320</x:v>
      </x:c>
      <x:c r="Q327" s="454">
        <x:v>1787430</x:v>
      </x:c>
      <x:c r="R327" s="454">
        <x:v>1616600</x:v>
      </x:c>
      <x:c r="S327" s="454">
        <x:v>1616600</x:v>
      </x:c>
      <x:c r="T327" s="454">
        <x:v>1738630</x:v>
      </x:c>
      <x:c r="U327" s="454">
        <x:v>1738630</x:v>
      </x:c>
      <x:c r="V327" s="455">
        <x:v>2040510</x:v>
      </x:c>
      <x:c r="W327" s="456">
        <x:f t="shared" si="69"/>
        <x:v>20309950</x:v>
      </x:c>
      <x:c r="X327" s="450">
        <x:f t="shared" si="70"/>
        <x:v>1692495.8333333333</x:v>
      </x:c>
      <x:c r="Y327" s="457" t="s">
        <x:v>809</x:v>
      </x:c>
      <x:c r="Z327" s="458"/>
      <x:c r="AA327" s="458"/>
      <x:c r="AB327" s="458"/>
      <x:c r="AC327" s="458"/>
      <x:c r="AD327" s="458"/>
      <x:c r="AE327" s="458"/>
    </x:row>
    <x:row r="328" spans="1:31" ht="20.100000000000001" customHeight="1">
      <x:c r="A328" s="439" t="s">
        <x:v>765</x:v>
      </x:c>
      <x:c r="B328" s="466" t="str">
        <x:f t="shared" si="72"/>
        <x:v>세금,보험</x:v>
      </x:c>
      <x:c r="C328" s="440" t="str">
        <x:f t="shared" si="73"/>
        <x:v>세금과공과</x:v>
      </x:c>
      <x:c r="D328" s="441">
        <x:v>52180131</x:v>
      </x:c>
      <x:c r="E328" s="442" t="str">
        <x:f t="shared" si="74"/>
        <x:v>세금과공과_국민건강보험료</x:v>
      </x:c>
      <x:c r="F328" s="443"/>
      <x:c r="G328" s="444" t="s">
        <x:v>101</x:v>
      </x:c>
      <x:c r="H328" s="445" t="str">
        <x:f t="shared" si="71"/>
        <x:v>전장설계2팀(E)</x:v>
      </x:c>
      <x:c r="I328" s="446" t="str">
        <x:f t="shared" si="75"/>
        <x:v>[연구개발비]</x:v>
      </x:c>
      <x:c r="J328" s="445"/>
      <x:c r="K328" s="453">
        <x:v>3176130</x:v>
      </x:c>
      <x:c r="L328" s="454">
        <x:v>3603130</x:v>
      </x:c>
      <x:c r="M328" s="454">
        <x:v>3203820</x:v>
      </x:c>
      <x:c r="N328" s="454">
        <x:v>3512990</x:v>
      </x:c>
      <x:c r="O328" s="454">
        <x:v>3512990</x:v>
      </x:c>
      <x:c r="P328" s="454">
        <x:v>3521940</x:v>
      </x:c>
      <x:c r="Q328" s="454">
        <x:v>3940060</x:v>
      </x:c>
      <x:c r="R328" s="454">
        <x:v>3512990</x:v>
      </x:c>
      <x:c r="S328" s="454">
        <x:v>3512990</x:v>
      </x:c>
      <x:c r="T328" s="454">
        <x:v>3818020</x:v>
      </x:c>
      <x:c r="U328" s="454">
        <x:v>3818020</x:v>
      </x:c>
      <x:c r="V328" s="455">
        <x:v>4281310</x:v>
      </x:c>
      <x:c r="W328" s="456">
        <x:f t="shared" si="69"/>
        <x:v>43414390</x:v>
      </x:c>
      <x:c r="X328" s="450">
        <x:f t="shared" si="70"/>
        <x:v>3617865.8333333335</x:v>
      </x:c>
      <x:c r="Y328" s="457" t="s">
        <x:v>809</x:v>
      </x:c>
      <x:c r="Z328" s="458"/>
      <x:c r="AA328" s="458"/>
      <x:c r="AB328" s="458"/>
      <x:c r="AC328" s="458"/>
      <x:c r="AD328" s="458"/>
      <x:c r="AE328" s="458"/>
    </x:row>
    <x:row r="329" spans="1:31" ht="20.100000000000001" customHeight="1">
      <x:c r="A329" s="439" t="s">
        <x:v>765</x:v>
      </x:c>
      <x:c r="B329" s="466" t="str">
        <x:f t="shared" si="72"/>
        <x:v>세금,보험</x:v>
      </x:c>
      <x:c r="C329" s="440" t="str">
        <x:f t="shared" si="73"/>
        <x:v>세금과공과</x:v>
      </x:c>
      <x:c r="D329" s="441">
        <x:v>52180131</x:v>
      </x:c>
      <x:c r="E329" s="442" t="str">
        <x:f t="shared" si="74"/>
        <x:v>세금과공과_국민건강보험료</x:v>
      </x:c>
      <x:c r="F329" s="443"/>
      <x:c r="G329" s="444" t="s">
        <x:v>150</x:v>
      </x:c>
      <x:c r="H329" s="445" t="str">
        <x:f t="shared" si="71"/>
        <x:v>구매영업부문(E)</x:v>
      </x:c>
      <x:c r="I329" s="446" t="str">
        <x:f t="shared" si="75"/>
        <x:v>[판매비]</x:v>
      </x:c>
      <x:c r="J329" s="445"/>
      <x:c r="K329" s="453">
        <x:v>402300</x:v>
      </x:c>
      <x:c r="L329" s="454">
        <x:v>430760</x:v>
      </x:c>
      <x:c r="M329" s="454">
        <x:v>402300</x:v>
      </x:c>
      <x:c r="N329" s="454">
        <x:v>402300</x:v>
      </x:c>
      <x:c r="O329" s="454">
        <x:v>402300</x:v>
      </x:c>
      <x:c r="P329" s="454">
        <x:v>402300</x:v>
      </x:c>
      <x:c r="Q329" s="454">
        <x:v>430760</x:v>
      </x:c>
      <x:c r="R329" s="454">
        <x:v>402300</x:v>
      </x:c>
      <x:c r="S329" s="454">
        <x:v>402300</x:v>
      </x:c>
      <x:c r="T329" s="454">
        <x:v>422630</x:v>
      </x:c>
      <x:c r="U329" s="454">
        <x:v>422630</x:v>
      </x:c>
      <x:c r="V329" s="455">
        <x:v>402300</x:v>
      </x:c>
      <x:c r="W329" s="456">
        <x:f t="shared" si="69"/>
        <x:v>4925180</x:v>
      </x:c>
      <x:c r="X329" s="450">
        <x:f t="shared" si="70"/>
        <x:v>410431.66666666669</x:v>
      </x:c>
      <x:c r="Y329" s="457" t="s">
        <x:v>809</x:v>
      </x:c>
      <x:c r="Z329" s="458"/>
      <x:c r="AA329" s="458"/>
      <x:c r="AB329" s="458"/>
      <x:c r="AC329" s="458"/>
      <x:c r="AD329" s="458"/>
      <x:c r="AE329" s="458"/>
    </x:row>
    <x:row r="330" spans="1:31" ht="20.100000000000001" customHeight="1">
      <x:c r="A330" s="439" t="s">
        <x:v>765</x:v>
      </x:c>
      <x:c r="B330" s="466" t="str">
        <x:f t="shared" si="72"/>
        <x:v>세금,보험</x:v>
      </x:c>
      <x:c r="C330" s="440" t="str">
        <x:f t="shared" si="73"/>
        <x:v>세금과공과</x:v>
      </x:c>
      <x:c r="D330" s="441">
        <x:v>52180131</x:v>
      </x:c>
      <x:c r="E330" s="442" t="str">
        <x:f t="shared" si="74"/>
        <x:v>세금과공과_국민건강보험료</x:v>
      </x:c>
      <x:c r="F330" s="443"/>
      <x:c r="G330" s="444" t="s">
        <x:v>106</x:v>
      </x:c>
      <x:c r="H330" s="445" t="str">
        <x:f t="shared" si="71"/>
        <x:v>구매팀(E)</x:v>
      </x:c>
      <x:c r="I330" s="446" t="str">
        <x:f t="shared" si="75"/>
        <x:v>[관리비]</x:v>
      </x:c>
      <x:c r="J330" s="445"/>
      <x:c r="K330" s="453">
        <x:v>2315390</x:v>
      </x:c>
      <x:c r="L330" s="454">
        <x:v>2571620</x:v>
      </x:c>
      <x:c r="M330" s="454">
        <x:v>2315390</x:v>
      </x:c>
      <x:c r="N330" s="454">
        <x:v>2575710</x:v>
      </x:c>
      <x:c r="O330" s="454">
        <x:v>2575710</x:v>
      </x:c>
      <x:c r="P330" s="454">
        <x:v>2575710</x:v>
      </x:c>
      <x:c r="Q330" s="454">
        <x:v>2860420</x:v>
      </x:c>
      <x:c r="R330" s="454">
        <x:v>2575710</x:v>
      </x:c>
      <x:c r="S330" s="454">
        <x:v>2575710</x:v>
      </x:c>
      <x:c r="T330" s="454">
        <x:v>2779090</x:v>
      </x:c>
      <x:c r="U330" s="454">
        <x:v>2779090</x:v>
      </x:c>
      <x:c r="V330" s="455">
        <x:v>3235900</x:v>
      </x:c>
      <x:c r="W330" s="456">
        <x:f t="shared" si="69"/>
        <x:v>31735450</x:v>
      </x:c>
      <x:c r="X330" s="450">
        <x:f t="shared" si="70"/>
        <x:v>2644620.8333333335</x:v>
      </x:c>
      <x:c r="Y330" s="457" t="s">
        <x:v>809</x:v>
      </x:c>
      <x:c r="Z330" s="458"/>
      <x:c r="AA330" s="458"/>
      <x:c r="AB330" s="458"/>
      <x:c r="AC330" s="458"/>
      <x:c r="AD330" s="458"/>
      <x:c r="AE330" s="458"/>
    </x:row>
    <x:row r="331" spans="1:31" ht="20.100000000000001" customHeight="1">
      <x:c r="A331" s="439" t="s">
        <x:v>765</x:v>
      </x:c>
      <x:c r="B331" s="466" t="str">
        <x:f t="shared" si="72"/>
        <x:v>세금,보험</x:v>
      </x:c>
      <x:c r="C331" s="440" t="str">
        <x:f t="shared" si="73"/>
        <x:v>세금과공과</x:v>
      </x:c>
      <x:c r="D331" s="441">
        <x:v>52180131</x:v>
      </x:c>
      <x:c r="E331" s="442" t="str">
        <x:f t="shared" si="74"/>
        <x:v>세금과공과_국민건강보험료</x:v>
      </x:c>
      <x:c r="F331" s="443"/>
      <x:c r="G331" s="444" t="s">
        <x:v>247</x:v>
      </x:c>
      <x:c r="H331" s="445" t="str">
        <x:f t="shared" si="71"/>
        <x:v>영업팀(E)</x:v>
      </x:c>
      <x:c r="I331" s="446" t="str">
        <x:f t="shared" si="75"/>
        <x:v>[판매비]</x:v>
      </x:c>
      <x:c r="J331" s="445"/>
      <x:c r="K331" s="453">
        <x:v>1620380</x:v>
      </x:c>
      <x:c r="L331" s="454">
        <x:v>1819670</x:v>
      </x:c>
      <x:c r="M331" s="454">
        <x:v>1620380</x:v>
      </x:c>
      <x:c r="N331" s="454">
        <x:v>1678600</x:v>
      </x:c>
      <x:c r="O331" s="454">
        <x:v>1678600</x:v>
      </x:c>
      <x:c r="P331" s="454">
        <x:v>1765230</x:v>
      </x:c>
      <x:c r="Q331" s="454">
        <x:v>1877880</x:v>
      </x:c>
      <x:c r="R331" s="454">
        <x:v>1678600</x:v>
      </x:c>
      <x:c r="S331" s="454">
        <x:v>1678600</x:v>
      </x:c>
      <x:c r="T331" s="454">
        <x:v>1820960</x:v>
      </x:c>
      <x:c r="U331" s="454">
        <x:v>1820960</x:v>
      </x:c>
      <x:c r="V331" s="455">
        <x:v>2171180</x:v>
      </x:c>
      <x:c r="W331" s="456">
        <x:f t="shared" si="69"/>
        <x:v>21231040</x:v>
      </x:c>
      <x:c r="X331" s="450">
        <x:f t="shared" si="70"/>
        <x:v>1769253.3333333333</x:v>
      </x:c>
      <x:c r="Y331" s="457" t="s">
        <x:v>809</x:v>
      </x:c>
      <x:c r="Z331" s="458"/>
      <x:c r="AA331" s="458"/>
      <x:c r="AB331" s="458"/>
      <x:c r="AC331" s="458"/>
      <x:c r="AD331" s="458"/>
      <x:c r="AE331" s="458"/>
    </x:row>
    <x:row r="332" spans="1:31" ht="20.100000000000001" customHeight="1">
      <x:c r="A332" s="439" t="s">
        <x:v>765</x:v>
      </x:c>
      <x:c r="B332" s="466" t="str">
        <x:f t="shared" si="72"/>
        <x:v>세금,보험</x:v>
      </x:c>
      <x:c r="C332" s="440" t="str">
        <x:f t="shared" si="73"/>
        <x:v>세금과공과</x:v>
      </x:c>
      <x:c r="D332" s="441">
        <x:v>52180131</x:v>
      </x:c>
      <x:c r="E332" s="442" t="str">
        <x:f t="shared" si="74"/>
        <x:v>세금과공과_국민건강보험료</x:v>
      </x:c>
      <x:c r="F332" s="443"/>
      <x:c r="G332" s="444" t="s">
        <x:v>253</x:v>
      </x:c>
      <x:c r="H332" s="445" t="str">
        <x:f t="shared" si="71"/>
        <x:v>생산부문(E)</x:v>
      </x:c>
      <x:c r="I332" s="446" t="str">
        <x:f t="shared" si="75"/>
        <x:v>[관리비]</x:v>
      </x:c>
      <x:c r="J332" s="445"/>
      <x:c r="K332" s="453">
        <x:v>505610</x:v>
      </x:c>
      <x:c r="L332" s="454">
        <x:v>534070</x:v>
      </x:c>
      <x:c r="M332" s="454">
        <x:v>505610</x:v>
      </x:c>
      <x:c r="N332" s="454">
        <x:v>505610</x:v>
      </x:c>
      <x:c r="O332" s="454">
        <x:v>505610</x:v>
      </x:c>
      <x:c r="P332" s="454">
        <x:v>505610</x:v>
      </x:c>
      <x:c r="Q332" s="454">
        <x:v>534070</x:v>
      </x:c>
      <x:c r="R332" s="454">
        <x:v>505610</x:v>
      </x:c>
      <x:c r="S332" s="454">
        <x:v>505610</x:v>
      </x:c>
      <x:c r="T332" s="454">
        <x:v>525940</x:v>
      </x:c>
      <x:c r="U332" s="454">
        <x:v>525940</x:v>
      </x:c>
      <x:c r="V332" s="455">
        <x:v>505610</x:v>
      </x:c>
      <x:c r="W332" s="456">
        <x:f t="shared" si="69"/>
        <x:v>6164900</x:v>
      </x:c>
      <x:c r="X332" s="450">
        <x:f t="shared" si="70"/>
        <x:v>513741.66666666669</x:v>
      </x:c>
      <x:c r="Y332" s="457" t="s">
        <x:v>809</x:v>
      </x:c>
      <x:c r="Z332" s="458"/>
      <x:c r="AA332" s="458"/>
      <x:c r="AB332" s="458"/>
      <x:c r="AC332" s="458"/>
      <x:c r="AD332" s="458"/>
      <x:c r="AE332" s="458"/>
    </x:row>
    <x:row r="333" spans="1:31" ht="20.100000000000001" customHeight="1">
      <x:c r="A333" s="439" t="s">
        <x:v>765</x:v>
      </x:c>
      <x:c r="B333" s="466" t="str">
        <x:f t="shared" si="72"/>
        <x:v>세금,보험</x:v>
      </x:c>
      <x:c r="C333" s="440" t="str">
        <x:f t="shared" si="73"/>
        <x:v>세금과공과</x:v>
      </x:c>
      <x:c r="D333" s="441">
        <x:v>52180131</x:v>
      </x:c>
      <x:c r="E333" s="442" t="str">
        <x:f t="shared" si="74"/>
        <x:v>세금과공과_국민건강보험료</x:v>
      </x:c>
      <x:c r="F333" s="443"/>
      <x:c r="G333" s="444" t="s">
        <x:v>82</x:v>
      </x:c>
      <x:c r="H333" s="445" t="str">
        <x:f t="shared" si="71"/>
        <x:v>생산기술팀(E)</x:v>
      </x:c>
      <x:c r="I333" s="446" t="str">
        <x:f t="shared" si="75"/>
        <x:v>[관리비]</x:v>
      </x:c>
      <x:c r="J333" s="445"/>
      <x:c r="K333" s="453">
        <x:v>2728920</x:v>
      </x:c>
      <x:c r="L333" s="454">
        <x:v>3070570</x:v>
      </x:c>
      <x:c r="M333" s="454">
        <x:v>2728920</x:v>
      </x:c>
      <x:c r="N333" s="454">
        <x:v>2827000</x:v>
      </x:c>
      <x:c r="O333" s="454">
        <x:v>2827000</x:v>
      </x:c>
      <x:c r="P333" s="454">
        <x:v>2873370</x:v>
      </x:c>
      <x:c r="Q333" s="454">
        <x:v>3168650</x:v>
      </x:c>
      <x:c r="R333" s="454">
        <x:v>2827000</x:v>
      </x:c>
      <x:c r="S333" s="454">
        <x:v>2827000</x:v>
      </x:c>
      <x:c r="T333" s="454">
        <x:v>3071030</x:v>
      </x:c>
      <x:c r="U333" s="454">
        <x:v>3071030</x:v>
      </x:c>
      <x:c r="V333" s="455">
        <x:v>3489070</x:v>
      </x:c>
      <x:c r="W333" s="456">
        <x:f t="shared" si="69"/>
        <x:v>35509560</x:v>
      </x:c>
      <x:c r="X333" s="450">
        <x:f t="shared" si="70"/>
        <x:v>2959130</x:v>
      </x:c>
      <x:c r="Y333" s="457" t="s">
        <x:v>809</x:v>
      </x:c>
      <x:c r="Z333" s="458"/>
      <x:c r="AA333" s="458"/>
      <x:c r="AB333" s="458"/>
      <x:c r="AC333" s="458"/>
      <x:c r="AD333" s="458"/>
      <x:c r="AE333" s="458"/>
    </x:row>
    <x:row r="334" spans="1:31" ht="20.100000000000001" customHeight="1">
      <x:c r="A334" s="439" t="s">
        <x:v>765</x:v>
      </x:c>
      <x:c r="B334" s="466" t="str">
        <x:f t="shared" si="72"/>
        <x:v>세금,보험</x:v>
      </x:c>
      <x:c r="C334" s="440" t="str">
        <x:f t="shared" si="73"/>
        <x:v>세금과공과</x:v>
      </x:c>
      <x:c r="D334" s="441">
        <x:v>52180131</x:v>
      </x:c>
      <x:c r="E334" s="442" t="str">
        <x:f t="shared" si="74"/>
        <x:v>세금과공과_국민건강보험료</x:v>
      </x:c>
      <x:c r="F334" s="443"/>
      <x:c r="G334" s="444" t="s">
        <x:v>245</x:v>
      </x:c>
      <x:c r="H334" s="445" t="str">
        <x:f t="shared" si="71"/>
        <x:v>생산기획팀(E)</x:v>
      </x:c>
      <x:c r="I334" s="446" t="str">
        <x:f t="shared" si="75"/>
        <x:v>[관리비]</x:v>
      </x:c>
      <x:c r="J334" s="445"/>
      <x:c r="K334" s="453">
        <x:v>1940300</x:v>
      </x:c>
      <x:c r="L334" s="454">
        <x:v>2168090</x:v>
      </x:c>
      <x:c r="M334" s="454">
        <x:v>1940300</x:v>
      </x:c>
      <x:c r="N334" s="454">
        <x:v>2010260</x:v>
      </x:c>
      <x:c r="O334" s="454">
        <x:v>2010260</x:v>
      </x:c>
      <x:c r="P334" s="454">
        <x:v>2024910</x:v>
      </x:c>
      <x:c r="Q334" s="454">
        <x:v>2238010</x:v>
      </x:c>
      <x:c r="R334" s="454">
        <x:v>2010260</x:v>
      </x:c>
      <x:c r="S334" s="454">
        <x:v>2010260</x:v>
      </x:c>
      <x:c r="T334" s="454">
        <x:v>2172940</x:v>
      </x:c>
      <x:c r="U334" s="454">
        <x:v>2172940</x:v>
      </x:c>
      <x:c r="V334" s="455">
        <x:v>2549160</x:v>
      </x:c>
      <x:c r="W334" s="456">
        <x:f t="shared" si="69"/>
        <x:v>25247690</x:v>
      </x:c>
      <x:c r="X334" s="450">
        <x:f t="shared" si="70"/>
        <x:v>2103974.1666666665</x:v>
      </x:c>
      <x:c r="Y334" s="457" t="s">
        <x:v>809</x:v>
      </x:c>
      <x:c r="Z334" s="458"/>
      <x:c r="AA334" s="458"/>
      <x:c r="AB334" s="458"/>
      <x:c r="AC334" s="458"/>
      <x:c r="AD334" s="458"/>
      <x:c r="AE334" s="458"/>
    </x:row>
    <x:row r="335" spans="1:31" ht="20.100000000000001" customHeight="1">
      <x:c r="A335" s="439" t="s">
        <x:v>765</x:v>
      </x:c>
      <x:c r="B335" s="466" t="str">
        <x:f t="shared" si="72"/>
        <x:v>세금,보험</x:v>
      </x:c>
      <x:c r="C335" s="440" t="str">
        <x:f t="shared" si="73"/>
        <x:v>세금과공과</x:v>
      </x:c>
      <x:c r="D335" s="441">
        <x:v>52180131</x:v>
      </x:c>
      <x:c r="E335" s="442" t="str">
        <x:f t="shared" si="74"/>
        <x:v>세금과공과_국민건강보험료</x:v>
      </x:c>
      <x:c r="F335" s="443"/>
      <x:c r="G335" s="444" t="s">
        <x:v>256</x:v>
      </x:c>
      <x:c r="H335" s="445" t="str">
        <x:f t="shared" si="71"/>
        <x:v>품질부문(E)</x:v>
      </x:c>
      <x:c r="I335" s="446" t="str">
        <x:f t="shared" si="75"/>
        <x:v>[관리비]</x:v>
      </x:c>
      <x:c r="J335" s="445"/>
      <x:c r="K335" s="453">
        <x:v>371160</x:v>
      </x:c>
      <x:c r="L335" s="454">
        <x:v>399630</x:v>
      </x:c>
      <x:c r="M335" s="454">
        <x:v>371160</x:v>
      </x:c>
      <x:c r="N335" s="454">
        <x:v>383810</x:v>
      </x:c>
      <x:c r="O335" s="454">
        <x:v>383810</x:v>
      </x:c>
      <x:c r="P335" s="454">
        <x:v>383810</x:v>
      </x:c>
      <x:c r="Q335" s="454">
        <x:v>412290</x:v>
      </x:c>
      <x:c r="R335" s="454">
        <x:v>383810</x:v>
      </x:c>
      <x:c r="S335" s="454">
        <x:v>383810</x:v>
      </x:c>
      <x:c r="T335" s="454">
        <x:v>404150</x:v>
      </x:c>
      <x:c r="U335" s="454">
        <x:v>404150</x:v>
      </x:c>
      <x:c r="V335" s="455">
        <x:v>551200</x:v>
      </x:c>
      <x:c r="W335" s="456">
        <x:f t="shared" si="69"/>
        <x:v>4832790</x:v>
      </x:c>
      <x:c r="X335" s="450">
        <x:f t="shared" si="70"/>
        <x:v>402732.5</x:v>
      </x:c>
      <x:c r="Y335" s="457" t="s">
        <x:v>809</x:v>
      </x:c>
      <x:c r="Z335" s="458"/>
      <x:c r="AA335" s="458"/>
      <x:c r="AB335" s="458"/>
      <x:c r="AC335" s="458"/>
      <x:c r="AD335" s="458"/>
      <x:c r="AE335" s="458"/>
    </x:row>
    <x:row r="336" spans="1:31" ht="20.100000000000001" customHeight="1">
      <x:c r="A336" s="439" t="s">
        <x:v>765</x:v>
      </x:c>
      <x:c r="B336" s="466" t="str">
        <x:f t="shared" si="72"/>
        <x:v>세금,보험</x:v>
      </x:c>
      <x:c r="C336" s="440" t="str">
        <x:f t="shared" si="73"/>
        <x:v>세금과공과</x:v>
      </x:c>
      <x:c r="D336" s="441">
        <x:v>52180131</x:v>
      </x:c>
      <x:c r="E336" s="442" t="str">
        <x:f t="shared" si="74"/>
        <x:v>세금과공과_국민건강보험료</x:v>
      </x:c>
      <x:c r="F336" s="443"/>
      <x:c r="G336" s="444" t="s">
        <x:v>84</x:v>
      </x:c>
      <x:c r="H336" s="445" t="str">
        <x:f t="shared" si="71"/>
        <x:v>품질경영팀(E)</x:v>
      </x:c>
      <x:c r="I336" s="446" t="str">
        <x:f t="shared" si="75"/>
        <x:v>[관리비]</x:v>
      </x:c>
      <x:c r="J336" s="445"/>
      <x:c r="K336" s="453">
        <x:v>2141930</x:v>
      </x:c>
      <x:c r="L336" s="454">
        <x:v>2398160</x:v>
      </x:c>
      <x:c r="M336" s="454">
        <x:v>2141930</x:v>
      </x:c>
      <x:c r="N336" s="454">
        <x:v>2218720</x:v>
      </x:c>
      <x:c r="O336" s="454">
        <x:v>2218720</x:v>
      </x:c>
      <x:c r="P336" s="454">
        <x:v>2286660</x:v>
      </x:c>
      <x:c r="Q336" s="454">
        <x:v>2474960</x:v>
      </x:c>
      <x:c r="R336" s="454">
        <x:v>2218720</x:v>
      </x:c>
      <x:c r="S336" s="454">
        <x:v>2218720</x:v>
      </x:c>
      <x:c r="T336" s="454">
        <x:v>2401740</x:v>
      </x:c>
      <x:c r="U336" s="454">
        <x:v>2401740</x:v>
      </x:c>
      <x:c r="V336" s="455">
        <x:v>2710250</x:v>
      </x:c>
      <x:c r="W336" s="456">
        <x:f t="shared" si="69"/>
        <x:v>27832250</x:v>
      </x:c>
      <x:c r="X336" s="450">
        <x:f t="shared" si="70"/>
        <x:v>2319354.1666666665</x:v>
      </x:c>
      <x:c r="Y336" s="457" t="s">
        <x:v>809</x:v>
      </x:c>
      <x:c r="Z336" s="458"/>
      <x:c r="AA336" s="458"/>
      <x:c r="AB336" s="458"/>
      <x:c r="AC336" s="458"/>
      <x:c r="AD336" s="458"/>
      <x:c r="AE336" s="458"/>
    </x:row>
    <x:row r="337" spans="1:31" ht="20.100000000000001" customHeight="1">
      <x:c r="A337" s="439" t="s">
        <x:v>765</x:v>
      </x:c>
      <x:c r="B337" s="466" t="str">
        <x:f t="shared" si="72"/>
        <x:v>세금,보험</x:v>
      </x:c>
      <x:c r="C337" s="440" t="str">
        <x:f t="shared" si="73"/>
        <x:v>세금과공과</x:v>
      </x:c>
      <x:c r="D337" s="441">
        <x:v>52180131</x:v>
      </x:c>
      <x:c r="E337" s="442" t="str">
        <x:f t="shared" si="74"/>
        <x:v>세금과공과_국민건강보험료</x:v>
      </x:c>
      <x:c r="F337" s="443"/>
      <x:c r="G337" s="444" t="s">
        <x:v>249</x:v>
      </x:c>
      <x:c r="H337" s="445" t="str">
        <x:f t="shared" si="71"/>
        <x:v>부품품질팀(E)</x:v>
      </x:c>
      <x:c r="I337" s="446" t="str">
        <x:f t="shared" si="75"/>
        <x:v>[관리비]</x:v>
      </x:c>
      <x:c r="J337" s="445"/>
      <x:c r="K337" s="453">
        <x:v>1722580</x:v>
      </x:c>
      <x:c r="L337" s="454">
        <x:v>1921880</x:v>
      </x:c>
      <x:c r="M337" s="454">
        <x:v>1722580</x:v>
      </x:c>
      <x:c r="N337" s="454">
        <x:v>1784230</x:v>
      </x:c>
      <x:c r="O337" s="454">
        <x:v>1784230</x:v>
      </x:c>
      <x:c r="P337" s="454">
        <x:v>1804560</x:v>
      </x:c>
      <x:c r="Q337" s="454">
        <x:v>1983550</x:v>
      </x:c>
      <x:c r="R337" s="454">
        <x:v>1784230</x:v>
      </x:c>
      <x:c r="S337" s="454">
        <x:v>1784230</x:v>
      </x:c>
      <x:c r="T337" s="454">
        <x:v>1926600</x:v>
      </x:c>
      <x:c r="U337" s="454">
        <x:v>1926600</x:v>
      </x:c>
      <x:c r="V337" s="455">
        <x:v>2300410</x:v>
      </x:c>
      <x:c r="W337" s="456">
        <x:f t="shared" si="69"/>
        <x:v>22445680</x:v>
      </x:c>
      <x:c r="X337" s="450">
        <x:f t="shared" si="70"/>
        <x:v>1870473.3333333333</x:v>
      </x:c>
      <x:c r="Y337" s="457" t="s">
        <x:v>809</x:v>
      </x:c>
      <x:c r="Z337" s="458"/>
      <x:c r="AA337" s="458"/>
      <x:c r="AB337" s="458"/>
      <x:c r="AC337" s="458"/>
      <x:c r="AD337" s="458"/>
      <x:c r="AE337" s="458"/>
    </x:row>
    <x:row r="338" spans="1:31" ht="20.100000000000001" customHeight="1">
      <x:c r="A338" s="439" t="s">
        <x:v>765</x:v>
      </x:c>
      <x:c r="B338" s="466" t="str">
        <x:f t="shared" si="72"/>
        <x:v>세금,보험</x:v>
      </x:c>
      <x:c r="C338" s="440" t="str">
        <x:f t="shared" si="73"/>
        <x:v>세금과공과</x:v>
      </x:c>
      <x:c r="D338" s="441">
        <x:v>52180131</x:v>
      </x:c>
      <x:c r="E338" s="442" t="str">
        <x:f t="shared" si="74"/>
        <x:v>세금과공과_국민건강보험료</x:v>
      </x:c>
      <x:c r="F338" s="443"/>
      <x:c r="G338" s="444" t="s">
        <x:v>80</x:v>
      </x:c>
      <x:c r="H338" s="445" t="str">
        <x:f t="shared" si="71"/>
        <x:v>사업관리팀(E)</x:v>
      </x:c>
      <x:c r="I338" s="446" t="str">
        <x:f t="shared" si="75"/>
        <x:v>[관리비]</x:v>
      </x:c>
      <x:c r="J338" s="445"/>
      <x:c r="K338" s="453">
        <x:v>1274600</x:v>
      </x:c>
      <x:c r="L338" s="454">
        <x:v>1416960</x:v>
      </x:c>
      <x:c r="M338" s="454">
        <x:v>1274600</x:v>
      </x:c>
      <x:c r="N338" s="454">
        <x:v>1320510</x:v>
      </x:c>
      <x:c r="O338" s="454">
        <x:v>1320510</x:v>
      </x:c>
      <x:c r="P338" s="454">
        <x:v>1320510</x:v>
      </x:c>
      <x:c r="Q338" s="454">
        <x:v>1462900</x:v>
      </x:c>
      <x:c r="R338" s="454">
        <x:v>1320510</x:v>
      </x:c>
      <x:c r="S338" s="454">
        <x:v>1320510</x:v>
      </x:c>
      <x:c r="T338" s="454">
        <x:v>1422220</x:v>
      </x:c>
      <x:c r="U338" s="454">
        <x:v>1422220</x:v>
      </x:c>
      <x:c r="V338" s="455">
        <x:v>1730750</x:v>
      </x:c>
      <x:c r="W338" s="456">
        <x:f t="shared" si="69"/>
        <x:v>16606800</x:v>
      </x:c>
      <x:c r="X338" s="450">
        <x:f t="shared" si="70"/>
        <x:v>1383900</x:v>
      </x:c>
      <x:c r="Y338" s="457" t="s">
        <x:v>809</x:v>
      </x:c>
      <x:c r="Z338" s="458"/>
      <x:c r="AA338" s="458"/>
      <x:c r="AB338" s="458"/>
      <x:c r="AC338" s="458"/>
      <x:c r="AD338" s="458"/>
      <x:c r="AE338" s="458"/>
    </x:row>
    <x:row r="339" spans="1:31" ht="20.100000000000001" customHeight="1">
      <x:c r="A339" s="439" t="s">
        <x:v>765</x:v>
      </x:c>
      <x:c r="B339" s="466" t="str">
        <x:f t="shared" si="72"/>
        <x:v>세금,보험</x:v>
      </x:c>
      <x:c r="C339" s="440" t="str">
        <x:f t="shared" si="73"/>
        <x:v>세금과공과</x:v>
      </x:c>
      <x:c r="D339" s="441">
        <x:v>52180132</x:v>
      </x:c>
      <x:c r="E339" s="442" t="str">
        <x:f t="shared" si="74"/>
        <x:v>세금과공과_국민연금</x:v>
      </x:c>
      <x:c r="F339" s="443"/>
      <x:c r="G339" s="444" t="s">
        <x:v>103</x:v>
      </x:c>
      <x:c r="H339" s="445" t="str">
        <x:f t="shared" si="71"/>
        <x:v>전장사업부(E)</x:v>
      </x:c>
      <x:c r="I339" s="446" t="str">
        <x:f t="shared" si="75"/>
        <x:v>[관리비]</x:v>
      </x:c>
      <x:c r="J339" s="445"/>
      <x:c r="K339" s="453">
        <x:v>286650</x:v>
      </x:c>
      <x:c r="L339" s="454">
        <x:v>286650</x:v>
      </x:c>
      <x:c r="M339" s="454">
        <x:v>286650</x:v>
      </x:c>
      <x:c r="N339" s="454">
        <x:v>286650</x:v>
      </x:c>
      <x:c r="O339" s="454">
        <x:v>286650</x:v>
      </x:c>
      <x:c r="P339" s="454">
        <x:v>286650</x:v>
      </x:c>
      <x:c r="Q339" s="454">
        <x:v>313500</x:v>
      </x:c>
      <x:c r="R339" s="454">
        <x:v>313500</x:v>
      </x:c>
      <x:c r="S339" s="454">
        <x:v>313500</x:v>
      </x:c>
      <x:c r="T339" s="454">
        <x:v>313500</x:v>
      </x:c>
      <x:c r="U339" s="454">
        <x:v>313500</x:v>
      </x:c>
      <x:c r="V339" s="455">
        <x:v>313500</x:v>
      </x:c>
      <x:c r="W339" s="456">
        <x:f t="shared" si="69"/>
        <x:v>3600900</x:v>
      </x:c>
      <x:c r="X339" s="450">
        <x:f t="shared" si="70"/>
        <x:v>300075</x:v>
      </x:c>
      <x:c r="Y339" s="457" t="s">
        <x:v>810</x:v>
      </x:c>
      <x:c r="Z339" s="458"/>
      <x:c r="AA339" s="458"/>
      <x:c r="AB339" s="458"/>
      <x:c r="AC339" s="458"/>
      <x:c r="AD339" s="458"/>
      <x:c r="AE339" s="458"/>
    </x:row>
    <x:row r="340" spans="1:31" ht="20.100000000000001" customHeight="1">
      <x:c r="A340" s="439" t="s">
        <x:v>765</x:v>
      </x:c>
      <x:c r="B340" s="466" t="str">
        <x:f t="shared" si="72"/>
        <x:v>세금,보험</x:v>
      </x:c>
      <x:c r="C340" s="440" t="str">
        <x:f t="shared" si="73"/>
        <x:v>세금과공과</x:v>
      </x:c>
      <x:c r="D340" s="441">
        <x:v>52180132</x:v>
      </x:c>
      <x:c r="E340" s="442" t="str">
        <x:f t="shared" si="74"/>
        <x:v>세금과공과_국민연금</x:v>
      </x:c>
      <x:c r="F340" s="443"/>
      <x:c r="G340" s="444" t="s">
        <x:v>114</x:v>
      </x:c>
      <x:c r="H340" s="445" t="str">
        <x:f t="shared" si="71"/>
        <x:v>연구개발부문(E)</x:v>
      </x:c>
      <x:c r="I340" s="446" t="str">
        <x:f t="shared" si="75"/>
        <x:v>[연구개발비]</x:v>
      </x:c>
      <x:c r="J340" s="445"/>
      <x:c r="K340" s="453">
        <x:v>286650</x:v>
      </x:c>
      <x:c r="L340" s="454">
        <x:v>286650</x:v>
      </x:c>
      <x:c r="M340" s="454">
        <x:v>286650</x:v>
      </x:c>
      <x:c r="N340" s="454">
        <x:v>286650</x:v>
      </x:c>
      <x:c r="O340" s="454">
        <x:v>286650</x:v>
      </x:c>
      <x:c r="P340" s="454">
        <x:v>286650</x:v>
      </x:c>
      <x:c r="Q340" s="454">
        <x:v>313500</x:v>
      </x:c>
      <x:c r="R340" s="454">
        <x:v>313500</x:v>
      </x:c>
      <x:c r="S340" s="454">
        <x:v>313500</x:v>
      </x:c>
      <x:c r="T340" s="454">
        <x:v>313500</x:v>
      </x:c>
      <x:c r="U340" s="454">
        <x:v>313500</x:v>
      </x:c>
      <x:c r="V340" s="455">
        <x:v>313500</x:v>
      </x:c>
      <x:c r="W340" s="456">
        <x:f t="shared" si="69"/>
        <x:v>3600900</x:v>
      </x:c>
      <x:c r="X340" s="450">
        <x:f t="shared" si="70"/>
        <x:v>300075</x:v>
      </x:c>
      <x:c r="Y340" s="457" t="s">
        <x:v>810</x:v>
      </x:c>
      <x:c r="Z340" s="458"/>
      <x:c r="AA340" s="458"/>
      <x:c r="AB340" s="458"/>
      <x:c r="AC340" s="458"/>
      <x:c r="AD340" s="458"/>
      <x:c r="AE340" s="458"/>
    </x:row>
    <x:row r="341" spans="1:31" ht="20.100000000000001" customHeight="1">
      <x:c r="A341" s="439" t="s">
        <x:v>765</x:v>
      </x:c>
      <x:c r="B341" s="466" t="str">
        <x:f t="shared" si="72"/>
        <x:v>세금,보험</x:v>
      </x:c>
      <x:c r="C341" s="440" t="str">
        <x:f t="shared" si="73"/>
        <x:v>세금과공과</x:v>
      </x:c>
      <x:c r="D341" s="441">
        <x:v>52180132</x:v>
      </x:c>
      <x:c r="E341" s="442" t="str">
        <x:f t="shared" si="74"/>
        <x:v>세금과공과_국민연금</x:v>
      </x:c>
      <x:c r="F341" s="443"/>
      <x:c r="G341" s="444" t="s">
        <x:v>104</x:v>
      </x:c>
      <x:c r="H341" s="445" t="str">
        <x:f t="shared" si="71"/>
        <x:v>제품개발팀(E)</x:v>
      </x:c>
      <x:c r="I341" s="446" t="str">
        <x:f t="shared" si="75"/>
        <x:v>[연구개발비]</x:v>
      </x:c>
      <x:c r="J341" s="445"/>
      <x:c r="K341" s="453">
        <x:v>1690520</x:v>
      </x:c>
      <x:c r="L341" s="454">
        <x:v>1793650</x:v>
      </x:c>
      <x:c r="M341" s="454">
        <x:v>1690520</x:v>
      </x:c>
      <x:c r="N341" s="454">
        <x:v>1719540</x:v>
      </x:c>
      <x:c r="O341" s="454">
        <x:v>1719540</x:v>
      </x:c>
      <x:c r="P341" s="454">
        <x:v>1734390</x:v>
      </x:c>
      <x:c r="Q341" s="454">
        <x:v>1921440</x:v>
      </x:c>
      <x:c r="R341" s="454">
        <x:v>1801490</x:v>
      </x:c>
      <x:c r="S341" s="454">
        <x:v>1801490</x:v>
      </x:c>
      <x:c r="T341" s="454">
        <x:v>1894440</x:v>
      </x:c>
      <x:c r="U341" s="454">
        <x:v>1894440</x:v>
      </x:c>
      <x:c r="V341" s="455">
        <x:v>1941950</x:v>
      </x:c>
      <x:c r="W341" s="456">
        <x:f t="shared" si="69"/>
        <x:v>21603410</x:v>
      </x:c>
      <x:c r="X341" s="450">
        <x:f t="shared" si="70"/>
        <x:v>1800284.1666666667</x:v>
      </x:c>
      <x:c r="Y341" s="457" t="s">
        <x:v>810</x:v>
      </x:c>
      <x:c r="Z341" s="458"/>
      <x:c r="AA341" s="458"/>
      <x:c r="AB341" s="458"/>
      <x:c r="AC341" s="458"/>
      <x:c r="AD341" s="458"/>
      <x:c r="AE341" s="458"/>
    </x:row>
    <x:row r="342" spans="1:31" ht="20.100000000000001" customHeight="1">
      <x:c r="A342" s="439" t="s">
        <x:v>765</x:v>
      </x:c>
      <x:c r="B342" s="466" t="str">
        <x:f t="shared" si="72"/>
        <x:v>세금,보험</x:v>
      </x:c>
      <x:c r="C342" s="440" t="str">
        <x:f t="shared" si="73"/>
        <x:v>세금과공과</x:v>
      </x:c>
      <x:c r="D342" s="441">
        <x:v>52180132</x:v>
      </x:c>
      <x:c r="E342" s="442" t="str">
        <x:f t="shared" si="74"/>
        <x:v>세금과공과_국민연금</x:v>
      </x:c>
      <x:c r="F342" s="443"/>
      <x:c r="G342" s="444" t="s">
        <x:v>251</x:v>
      </x:c>
      <x:c r="H342" s="445" t="str">
        <x:f t="shared" si="71"/>
        <x:v>시작평가팀(E)</x:v>
      </x:c>
      <x:c r="I342" s="446" t="str">
        <x:f t="shared" si="75"/>
        <x:v>[연구개발비]</x:v>
      </x:c>
      <x:c r="J342" s="445"/>
      <x:c r="K342" s="453">
        <x:v>2030120</x:v>
      </x:c>
      <x:c r="L342" s="454">
        <x:v>2164750</x:v>
      </x:c>
      <x:c r="M342" s="454">
        <x:v>2030120</x:v>
      </x:c>
      <x:c r="N342" s="454">
        <x:v>2079720</x:v>
      </x:c>
      <x:c r="O342" s="454">
        <x:v>2079720</x:v>
      </x:c>
      <x:c r="P342" s="454">
        <x:v>2079720</x:v>
      </x:c>
      <x:c r="Q342" s="454">
        <x:v>2322050</x:v>
      </x:c>
      <x:c r="R342" s="454">
        <x:v>2136390</x:v>
      </x:c>
      <x:c r="S342" s="454">
        <x:v>2136390</x:v>
      </x:c>
      <x:c r="T342" s="454">
        <x:v>2295050</x:v>
      </x:c>
      <x:c r="U342" s="454">
        <x:v>2295050</x:v>
      </x:c>
      <x:c r="V342" s="455">
        <x:v>2369660</x:v>
      </x:c>
      <x:c r="W342" s="456">
        <x:f t="shared" si="69"/>
        <x:v>26018740</x:v>
      </x:c>
      <x:c r="X342" s="450">
        <x:f t="shared" si="70"/>
        <x:v>2168228.3333333335</x:v>
      </x:c>
      <x:c r="Y342" s="457" t="s">
        <x:v>810</x:v>
      </x:c>
      <x:c r="Z342" s="458"/>
      <x:c r="AA342" s="458"/>
      <x:c r="AB342" s="458"/>
      <x:c r="AC342" s="458"/>
      <x:c r="AD342" s="458"/>
      <x:c r="AE342" s="458"/>
    </x:row>
    <x:row r="343" spans="1:31" ht="20.100000000000001" customHeight="1">
      <x:c r="A343" s="439" t="s">
        <x:v>765</x:v>
      </x:c>
      <x:c r="B343" s="466" t="str">
        <x:f t="shared" si="72"/>
        <x:v>세금,보험</x:v>
      </x:c>
      <x:c r="C343" s="440" t="str">
        <x:f t="shared" si="73"/>
        <x:v>세금과공과</x:v>
      </x:c>
      <x:c r="D343" s="441">
        <x:v>52180132</x:v>
      </x:c>
      <x:c r="E343" s="442" t="str">
        <x:f t="shared" si="74"/>
        <x:v>세금과공과_국민연금</x:v>
      </x:c>
      <x:c r="F343" s="443"/>
      <x:c r="G343" s="444" t="s">
        <x:v>99</x:v>
      </x:c>
      <x:c r="H343" s="445" t="str">
        <x:f t="shared" si="71"/>
        <x:v>전장설계1팀(E)</x:v>
      </x:c>
      <x:c r="I343" s="446" t="str">
        <x:f t="shared" si="75"/>
        <x:v>[연구개발비]</x:v>
      </x:c>
      <x:c r="J343" s="445"/>
      <x:c r="K343" s="453">
        <x:v>1612680</x:v>
      </x:c>
      <x:c r="L343" s="454">
        <x:v>1673740</x:v>
      </x:c>
      <x:c r="M343" s="454">
        <x:v>1612680</x:v>
      </x:c>
      <x:c r="N343" s="454">
        <x:v>1634360</x:v>
      </x:c>
      <x:c r="O343" s="454">
        <x:v>1634360</x:v>
      </x:c>
      <x:c r="P343" s="454">
        <x:v>1634360</x:v>
      </x:c>
      <x:c r="Q343" s="454">
        <x:v>1815620</x:v>
      </x:c>
      <x:c r="R343" s="454">
        <x:v>1720430</x:v>
      </x:c>
      <x:c r="S343" s="454">
        <x:v>1720430</x:v>
      </x:c>
      <x:c r="T343" s="454">
        <x:v>1786760</x:v>
      </x:c>
      <x:c r="U343" s="454">
        <x:v>1786760</x:v>
      </x:c>
      <x:c r="V343" s="455">
        <x:v>1822660</x:v>
      </x:c>
      <x:c r="W343" s="456">
        <x:f t="shared" si="69"/>
        <x:v>20454840</x:v>
      </x:c>
      <x:c r="X343" s="450">
        <x:f t="shared" si="70"/>
        <x:v>1704570</x:v>
      </x:c>
      <x:c r="Y343" s="457" t="s">
        <x:v>810</x:v>
      </x:c>
      <x:c r="Z343" s="458"/>
      <x:c r="AA343" s="458"/>
      <x:c r="AB343" s="458"/>
      <x:c r="AC343" s="458"/>
      <x:c r="AD343" s="458"/>
      <x:c r="AE343" s="458"/>
    </x:row>
    <x:row r="344" spans="1:31" ht="20.100000000000001" customHeight="1">
      <x:c r="A344" s="439" t="s">
        <x:v>765</x:v>
      </x:c>
      <x:c r="B344" s="466" t="str">
        <x:f t="shared" si="72"/>
        <x:v>세금,보험</x:v>
      </x:c>
      <x:c r="C344" s="440" t="str">
        <x:f t="shared" si="73"/>
        <x:v>세금과공과</x:v>
      </x:c>
      <x:c r="D344" s="441">
        <x:v>52180132</x:v>
      </x:c>
      <x:c r="E344" s="442" t="str">
        <x:f t="shared" si="74"/>
        <x:v>세금과공과_국민연금</x:v>
      </x:c>
      <x:c r="F344" s="443"/>
      <x:c r="G344" s="444" t="s">
        <x:v>101</x:v>
      </x:c>
      <x:c r="H344" s="445" t="str">
        <x:f t="shared" si="71"/>
        <x:v>전장설계2팀(E)</x:v>
      </x:c>
      <x:c r="I344" s="446" t="str">
        <x:f t="shared" si="75"/>
        <x:v>[연구개발비]</x:v>
      </x:c>
      <x:c r="J344" s="445"/>
      <x:c r="K344" s="453">
        <x:v>3341630</x:v>
      </x:c>
      <x:c r="L344" s="454">
        <x:v>3647330</x:v>
      </x:c>
      <x:c r="M344" s="454">
        <x:v>3372270</x:v>
      </x:c>
      <x:c r="N344" s="454">
        <x:v>3665800</x:v>
      </x:c>
      <x:c r="O344" s="454">
        <x:v>3665800</x:v>
      </x:c>
      <x:c r="P344" s="454">
        <x:v>3675700</x:v>
      </x:c>
      <x:c r="Q344" s="454">
        <x:v>4114120</x:v>
      </x:c>
      <x:c r="R344" s="454">
        <x:v>3758100</x:v>
      </x:c>
      <x:c r="S344" s="454">
        <x:v>3758100</x:v>
      </x:c>
      <x:c r="T344" s="454">
        <x:v>4033120</x:v>
      </x:c>
      <x:c r="U344" s="454">
        <x:v>4033120</x:v>
      </x:c>
      <x:c r="V344" s="455">
        <x:v>4156630</x:v>
      </x:c>
      <x:c r="W344" s="456">
        <x:f t="shared" si="69"/>
        <x:v>45221720</x:v>
      </x:c>
      <x:c r="X344" s="450">
        <x:f t="shared" si="70"/>
        <x:v>3768476.6666666665</x:v>
      </x:c>
      <x:c r="Y344" s="457" t="s">
        <x:v>810</x:v>
      </x:c>
      <x:c r="Z344" s="458"/>
      <x:c r="AA344" s="458"/>
      <x:c r="AB344" s="458"/>
      <x:c r="AC344" s="458"/>
      <x:c r="AD344" s="458"/>
      <x:c r="AE344" s="458"/>
    </x:row>
    <x:row r="345" spans="1:31" ht="20.100000000000001" customHeight="1">
      <x:c r="A345" s="439" t="s">
        <x:v>765</x:v>
      </x:c>
      <x:c r="B345" s="466" t="str">
        <x:f t="shared" si="72"/>
        <x:v>세금,보험</x:v>
      </x:c>
      <x:c r="C345" s="440" t="str">
        <x:f t="shared" si="73"/>
        <x:v>세금과공과</x:v>
      </x:c>
      <x:c r="D345" s="441">
        <x:v>52180132</x:v>
      </x:c>
      <x:c r="E345" s="442" t="str">
        <x:f t="shared" si="74"/>
        <x:v>세금과공과_국민연금</x:v>
      </x:c>
      <x:c r="F345" s="443"/>
      <x:c r="G345" s="444" t="s">
        <x:v>150</x:v>
      </x:c>
      <x:c r="H345" s="445" t="str">
        <x:f t="shared" si="71"/>
        <x:v>구매영업부문(E)</x:v>
      </x:c>
      <x:c r="I345" s="446" t="str">
        <x:f t="shared" si="75"/>
        <x:v>[판매비]</x:v>
      </x:c>
      <x:c r="J345" s="445"/>
      <x:c r="K345" s="453">
        <x:v>286650</x:v>
      </x:c>
      <x:c r="L345" s="454">
        <x:v>286650</x:v>
      </x:c>
      <x:c r="M345" s="454">
        <x:v>286650</x:v>
      </x:c>
      <x:c r="N345" s="454">
        <x:v>286650</x:v>
      </x:c>
      <x:c r="O345" s="454">
        <x:v>286650</x:v>
      </x:c>
      <x:c r="P345" s="454">
        <x:v>286650</x:v>
      </x:c>
      <x:c r="Q345" s="454">
        <x:v>313500</x:v>
      </x:c>
      <x:c r="R345" s="454">
        <x:v>313500</x:v>
      </x:c>
      <x:c r="S345" s="454">
        <x:v>313500</x:v>
      </x:c>
      <x:c r="T345" s="454">
        <x:v>313500</x:v>
      </x:c>
      <x:c r="U345" s="454">
        <x:v>313500</x:v>
      </x:c>
      <x:c r="V345" s="455">
        <x:v>313500</x:v>
      </x:c>
      <x:c r="W345" s="456">
        <x:f t="shared" si="69"/>
        <x:v>3600900</x:v>
      </x:c>
      <x:c r="X345" s="450">
        <x:f t="shared" si="70"/>
        <x:v>300075</x:v>
      </x:c>
      <x:c r="Y345" s="457" t="s">
        <x:v>810</x:v>
      </x:c>
      <x:c r="Z345" s="458"/>
      <x:c r="AA345" s="458"/>
      <x:c r="AB345" s="458"/>
      <x:c r="AC345" s="458"/>
      <x:c r="AD345" s="458"/>
      <x:c r="AE345" s="458"/>
    </x:row>
    <x:row r="346" spans="1:31" ht="20.100000000000001" customHeight="1">
      <x:c r="A346" s="439" t="s">
        <x:v>765</x:v>
      </x:c>
      <x:c r="B346" s="466" t="str">
        <x:f t="shared" si="72"/>
        <x:v>세금,보험</x:v>
      </x:c>
      <x:c r="C346" s="440" t="str">
        <x:f t="shared" si="73"/>
        <x:v>세금과공과</x:v>
      </x:c>
      <x:c r="D346" s="441">
        <x:v>52180132</x:v>
      </x:c>
      <x:c r="E346" s="442" t="str">
        <x:f t="shared" si="74"/>
        <x:v>세금과공과_국민연금</x:v>
      </x:c>
      <x:c r="F346" s="443"/>
      <x:c r="G346" s="444" t="s">
        <x:v>106</x:v>
      </x:c>
      <x:c r="H346" s="445" t="str">
        <x:f t="shared" si="71"/>
        <x:v>구매팀(E)</x:v>
      </x:c>
      <x:c r="I346" s="446" t="str">
        <x:f t="shared" si="75"/>
        <x:v>[관리비]</x:v>
      </x:c>
      <x:c r="J346" s="445"/>
      <x:c r="K346" s="453">
        <x:v>2263160</x:v>
      </x:c>
      <x:c r="L346" s="454">
        <x:v>2389160</x:v>
      </x:c>
      <x:c r="M346" s="454">
        <x:v>2263160</x:v>
      </x:c>
      <x:c r="N346" s="454">
        <x:v>2488940</x:v>
      </x:c>
      <x:c r="O346" s="454">
        <x:v>2488940</x:v>
      </x:c>
      <x:c r="P346" s="454">
        <x:v>2488940</x:v>
      </x:c>
      <x:c r="Q346" s="454">
        <x:v>2780690</x:v>
      </x:c>
      <x:c r="R346" s="454">
        <x:v>2623190</x:v>
      </x:c>
      <x:c r="S346" s="454">
        <x:v>2623190</x:v>
      </x:c>
      <x:c r="T346" s="454">
        <x:v>2735690</x:v>
      </x:c>
      <x:c r="U346" s="454">
        <x:v>2735690</x:v>
      </x:c>
      <x:c r="V346" s="455">
        <x:v>2727990</x:v>
      </x:c>
      <x:c r="W346" s="456">
        <x:f t="shared" si="69"/>
        <x:v>30608740</x:v>
      </x:c>
      <x:c r="X346" s="450">
        <x:f t="shared" si="70"/>
        <x:v>2550728.3333333335</x:v>
      </x:c>
      <x:c r="Y346" s="457" t="s">
        <x:v>810</x:v>
      </x:c>
      <x:c r="Z346" s="458"/>
      <x:c r="AA346" s="458"/>
      <x:c r="AB346" s="458"/>
      <x:c r="AC346" s="458"/>
      <x:c r="AD346" s="458"/>
      <x:c r="AE346" s="458"/>
    </x:row>
    <x:row r="347" spans="1:31" ht="20.100000000000001" customHeight="1">
      <x:c r="A347" s="439" t="s">
        <x:v>765</x:v>
      </x:c>
      <x:c r="B347" s="466" t="str">
        <x:f t="shared" si="72"/>
        <x:v>세금,보험</x:v>
      </x:c>
      <x:c r="C347" s="440" t="str">
        <x:f t="shared" si="73"/>
        <x:v>세금과공과</x:v>
      </x:c>
      <x:c r="D347" s="441">
        <x:v>52180132</x:v>
      </x:c>
      <x:c r="E347" s="442" t="str">
        <x:f t="shared" si="74"/>
        <x:v>세금과공과_국민연금</x:v>
      </x:c>
      <x:c r="F347" s="443"/>
      <x:c r="G347" s="444" t="s">
        <x:v>247</x:v>
      </x:c>
      <x:c r="H347" s="445" t="str">
        <x:f t="shared" si="71"/>
        <x:v>영업팀(E)</x:v>
      </x:c>
      <x:c r="I347" s="446" t="str">
        <x:f t="shared" si="75"/>
        <x:v>[판매비]</x:v>
      </x:c>
      <x:c r="J347" s="445"/>
      <x:c r="K347" s="453">
        <x:v>1687890</x:v>
      </x:c>
      <x:c r="L347" s="454">
        <x:v>1828270</x:v>
      </x:c>
      <x:c r="M347" s="454">
        <x:v>1687890</x:v>
      </x:c>
      <x:c r="N347" s="454">
        <x:v>1738700</x:v>
      </x:c>
      <x:c r="O347" s="454">
        <x:v>1738700</x:v>
      </x:c>
      <x:c r="P347" s="454">
        <x:v>1751080</x:v>
      </x:c>
      <x:c r="Q347" s="454">
        <x:v>1957190</x:v>
      </x:c>
      <x:c r="R347" s="454">
        <x:v>1765550</x:v>
      </x:c>
      <x:c r="S347" s="454">
        <x:v>1765550</x:v>
      </x:c>
      <x:c r="T347" s="454">
        <x:v>1930190</x:v>
      </x:c>
      <x:c r="U347" s="454">
        <x:v>1930190</x:v>
      </x:c>
      <x:c r="V347" s="455">
        <x:v>1981480</x:v>
      </x:c>
      <x:c r="W347" s="456">
        <x:f t="shared" si="69"/>
        <x:v>21762680</x:v>
      </x:c>
      <x:c r="X347" s="450">
        <x:f t="shared" si="70"/>
        <x:v>1813556.6666666667</x:v>
      </x:c>
      <x:c r="Y347" s="457" t="s">
        <x:v>810</x:v>
      </x:c>
      <x:c r="Z347" s="458"/>
      <x:c r="AA347" s="458"/>
      <x:c r="AB347" s="458"/>
      <x:c r="AC347" s="458"/>
      <x:c r="AD347" s="458"/>
      <x:c r="AE347" s="458"/>
    </x:row>
    <x:row r="348" spans="1:31" ht="20.100000000000001" customHeight="1">
      <x:c r="A348" s="439" t="s">
        <x:v>765</x:v>
      </x:c>
      <x:c r="B348" s="466" t="str">
        <x:f t="shared" si="72"/>
        <x:v>세금,보험</x:v>
      </x:c>
      <x:c r="C348" s="440" t="str">
        <x:f t="shared" si="73"/>
        <x:v>세금과공과</x:v>
      </x:c>
      <x:c r="D348" s="441">
        <x:v>52180132</x:v>
      </x:c>
      <x:c r="E348" s="442" t="str">
        <x:f t="shared" si="74"/>
        <x:v>세금과공과_국민연금</x:v>
      </x:c>
      <x:c r="F348" s="443"/>
      <x:c r="G348" s="444" t="s">
        <x:v>253</x:v>
      </x:c>
      <x:c r="H348" s="445" t="str">
        <x:f t="shared" si="71"/>
        <x:v>생산부문(E)</x:v>
      </x:c>
      <x:c r="I348" s="446" t="str">
        <x:f t="shared" si="75"/>
        <x:v>[관리비]</x:v>
      </x:c>
      <x:c r="J348" s="445"/>
      <x:c r="K348" s="453">
        <x:v>286650</x:v>
      </x:c>
      <x:c r="L348" s="454">
        <x:v>286650</x:v>
      </x:c>
      <x:c r="M348" s="454">
        <x:v>286650</x:v>
      </x:c>
      <x:c r="N348" s="454">
        <x:v>286650</x:v>
      </x:c>
      <x:c r="O348" s="454">
        <x:v>286650</x:v>
      </x:c>
      <x:c r="P348" s="454">
        <x:v>286650</x:v>
      </x:c>
      <x:c r="Q348" s="454">
        <x:v>313500</x:v>
      </x:c>
      <x:c r="R348" s="454">
        <x:v>313500</x:v>
      </x:c>
      <x:c r="S348" s="454">
        <x:v>313500</x:v>
      </x:c>
      <x:c r="T348" s="454">
        <x:v>313500</x:v>
      </x:c>
      <x:c r="U348" s="454">
        <x:v>313500</x:v>
      </x:c>
      <x:c r="V348" s="455">
        <x:v>313500</x:v>
      </x:c>
      <x:c r="W348" s="456">
        <x:f t="shared" si="69"/>
        <x:v>3600900</x:v>
      </x:c>
      <x:c r="X348" s="450">
        <x:f t="shared" si="70"/>
        <x:v>300075</x:v>
      </x:c>
      <x:c r="Y348" s="457" t="s">
        <x:v>810</x:v>
      </x:c>
      <x:c r="Z348" s="458"/>
      <x:c r="AA348" s="458"/>
      <x:c r="AB348" s="458"/>
      <x:c r="AC348" s="458"/>
      <x:c r="AD348" s="458"/>
      <x:c r="AE348" s="458"/>
    </x:row>
    <x:row r="349" spans="1:31" ht="20.100000000000001" customHeight="1">
      <x:c r="A349" s="439" t="s">
        <x:v>765</x:v>
      </x:c>
      <x:c r="B349" s="466" t="str">
        <x:f t="shared" si="72"/>
        <x:v>세금,보험</x:v>
      </x:c>
      <x:c r="C349" s="440" t="str">
        <x:f t="shared" si="73"/>
        <x:v>세금과공과</x:v>
      </x:c>
      <x:c r="D349" s="441">
        <x:v>52180132</x:v>
      </x:c>
      <x:c r="E349" s="442" t="str">
        <x:f t="shared" si="74"/>
        <x:v>세금과공과_국민연금</x:v>
      </x:c>
      <x:c r="F349" s="443"/>
      <x:c r="G349" s="444" t="s">
        <x:v>82</x:v>
      </x:c>
      <x:c r="H349" s="445" t="str">
        <x:f t="shared" si="71"/>
        <x:v>생산기술팀(E)</x:v>
      </x:c>
      <x:c r="I349" s="446" t="str">
        <x:f t="shared" si="75"/>
        <x:v>[관리비]</x:v>
      </x:c>
      <x:c r="J349" s="445"/>
      <x:c r="K349" s="453">
        <x:v>2957280</x:v>
      </x:c>
      <x:c r="L349" s="454">
        <x:v>3201940</x:v>
      </x:c>
      <x:c r="M349" s="454">
        <x:v>2957280</x:v>
      </x:c>
      <x:c r="N349" s="454">
        <x:v>3034470</x:v>
      </x:c>
      <x:c r="O349" s="454">
        <x:v>3034470</x:v>
      </x:c>
      <x:c r="P349" s="454">
        <x:v>3063990</x:v>
      </x:c>
      <x:c r="Q349" s="454">
        <x:v>3392170</x:v>
      </x:c>
      <x:c r="R349" s="454">
        <x:v>3097110</x:v>
      </x:c>
      <x:c r="S349" s="454">
        <x:v>3097110</x:v>
      </x:c>
      <x:c r="T349" s="454">
        <x:v>3329170</x:v>
      </x:c>
      <x:c r="U349" s="454">
        <x:v>3329170</x:v>
      </x:c>
      <x:c r="V349" s="455">
        <x:v>3471700</x:v>
      </x:c>
      <x:c r="W349" s="456">
        <x:f t="shared" si="69"/>
        <x:v>37965860</x:v>
      </x:c>
      <x:c r="X349" s="450">
        <x:f t="shared" si="70"/>
        <x:v>3163821.6666666665</x:v>
      </x:c>
      <x:c r="Y349" s="457" t="s">
        <x:v>810</x:v>
      </x:c>
      <x:c r="Z349" s="458"/>
      <x:c r="AA349" s="458"/>
      <x:c r="AB349" s="458"/>
      <x:c r="AC349" s="458"/>
      <x:c r="AD349" s="458"/>
      <x:c r="AE349" s="458"/>
    </x:row>
    <x:row r="350" spans="1:31" ht="20.100000000000001" customHeight="1">
      <x:c r="A350" s="439" t="s">
        <x:v>765</x:v>
      </x:c>
      <x:c r="B350" s="466" t="str">
        <x:f t="shared" si="72"/>
        <x:v>세금,보험</x:v>
      </x:c>
      <x:c r="C350" s="440" t="str">
        <x:f t="shared" si="73"/>
        <x:v>세금과공과</x:v>
      </x:c>
      <x:c r="D350" s="441">
        <x:v>52180132</x:v>
      </x:c>
      <x:c r="E350" s="442" t="str">
        <x:f t="shared" si="74"/>
        <x:v>세금과공과_국민연금</x:v>
      </x:c>
      <x:c r="F350" s="443"/>
      <x:c r="G350" s="444" t="s">
        <x:v>245</x:v>
      </x:c>
      <x:c r="H350" s="445" t="str">
        <x:f t="shared" si="71"/>
        <x:v>생산기획팀(E)</x:v>
      </x:c>
      <x:c r="I350" s="446" t="str">
        <x:f t="shared" si="75"/>
        <x:v>[관리비]</x:v>
      </x:c>
      <x:c r="J350" s="445"/>
      <x:c r="K350" s="453">
        <x:v>1963570</x:v>
      </x:c>
      <x:c r="L350" s="454">
        <x:v>2104240</x:v>
      </x:c>
      <x:c r="M350" s="454">
        <x:v>1963570</x:v>
      </x:c>
      <x:c r="N350" s="454">
        <x:v>2003680</x:v>
      </x:c>
      <x:c r="O350" s="454">
        <x:v>2003680</x:v>
      </x:c>
      <x:c r="P350" s="454">
        <x:v>2003680</x:v>
      </x:c>
      <x:c r="Q350" s="454">
        <x:v>2241970</x:v>
      </x:c>
      <x:c r="R350" s="454">
        <x:v>2084230</x:v>
      </x:c>
      <x:c r="S350" s="454">
        <x:v>2084230</x:v>
      </x:c>
      <x:c r="T350" s="454">
        <x:v>2205970</x:v>
      </x:c>
      <x:c r="U350" s="454">
        <x:v>2205970</x:v>
      </x:c>
      <x:c r="V350" s="455">
        <x:v>2295350</x:v>
      </x:c>
      <x:c r="W350" s="456">
        <x:f t="shared" si="69"/>
        <x:v>25160140</x:v>
      </x:c>
      <x:c r="X350" s="450">
        <x:f t="shared" si="70"/>
        <x:v>2096678.3333333333</x:v>
      </x:c>
      <x:c r="Y350" s="457" t="s">
        <x:v>810</x:v>
      </x:c>
      <x:c r="Z350" s="458"/>
      <x:c r="AA350" s="458"/>
      <x:c r="AB350" s="458"/>
      <x:c r="AC350" s="458"/>
      <x:c r="AD350" s="458"/>
      <x:c r="AE350" s="458"/>
    </x:row>
    <x:row r="351" spans="1:31" ht="20.100000000000001" customHeight="1">
      <x:c r="A351" s="439" t="s">
        <x:v>765</x:v>
      </x:c>
      <x:c r="B351" s="466" t="str">
        <x:f t="shared" si="72"/>
        <x:v>세금,보험</x:v>
      </x:c>
      <x:c r="C351" s="440" t="str">
        <x:f t="shared" si="73"/>
        <x:v>세금과공과</x:v>
      </x:c>
      <x:c r="D351" s="441">
        <x:v>52180132</x:v>
      </x:c>
      <x:c r="E351" s="442" t="str">
        <x:f t="shared" si="74"/>
        <x:v>세금과공과_국민연금</x:v>
      </x:c>
      <x:c r="F351" s="443"/>
      <x:c r="G351" s="444" t="s">
        <x:v>256</x:v>
      </x:c>
      <x:c r="H351" s="445" t="str">
        <x:f t="shared" si="71"/>
        <x:v>품질부문(E)</x:v>
      </x:c>
      <x:c r="I351" s="446" t="str">
        <x:f t="shared" si="75"/>
        <x:v>[관리비]</x:v>
      </x:c>
      <x:c r="J351" s="445"/>
      <x:c r="K351" s="453">
        <x:v>286650</x:v>
      </x:c>
      <x:c r="L351" s="454">
        <x:v>286650</x:v>
      </x:c>
      <x:c r="M351" s="454">
        <x:v>286650</x:v>
      </x:c>
      <x:c r="N351" s="454">
        <x:v>286650</x:v>
      </x:c>
      <x:c r="O351" s="454">
        <x:v>286650</x:v>
      </x:c>
      <x:c r="P351" s="454">
        <x:v>286650</x:v>
      </x:c>
      <x:c r="Q351" s="454">
        <x:v>313500</x:v>
      </x:c>
      <x:c r="R351" s="454">
        <x:v>313500</x:v>
      </x:c>
      <x:c r="S351" s="454">
        <x:v>313500</x:v>
      </x:c>
      <x:c r="T351" s="454">
        <x:v>313500</x:v>
      </x:c>
      <x:c r="U351" s="454">
        <x:v>313500</x:v>
      </x:c>
      <x:c r="V351" s="455">
        <x:v>313500</x:v>
      </x:c>
      <x:c r="W351" s="456">
        <x:f t="shared" si="69"/>
        <x:v>3600900</x:v>
      </x:c>
      <x:c r="X351" s="450">
        <x:f t="shared" si="70"/>
        <x:v>300075</x:v>
      </x:c>
      <x:c r="Y351" s="457" t="s">
        <x:v>810</x:v>
      </x:c>
      <x:c r="Z351" s="458"/>
      <x:c r="AA351" s="458"/>
      <x:c r="AB351" s="458"/>
      <x:c r="AC351" s="458"/>
      <x:c r="AD351" s="458"/>
      <x:c r="AE351" s="458"/>
    </x:row>
    <x:row r="352" spans="1:31" ht="20.100000000000001" customHeight="1">
      <x:c r="A352" s="439" t="s">
        <x:v>765</x:v>
      </x:c>
      <x:c r="B352" s="466" t="str">
        <x:f t="shared" si="72"/>
        <x:v>세금,보험</x:v>
      </x:c>
      <x:c r="C352" s="440" t="str">
        <x:f t="shared" si="73"/>
        <x:v>세금과공과</x:v>
      </x:c>
      <x:c r="D352" s="441">
        <x:v>52180132</x:v>
      </x:c>
      <x:c r="E352" s="442" t="str">
        <x:f t="shared" si="74"/>
        <x:v>세금과공과_국민연금</x:v>
      </x:c>
      <x:c r="F352" s="443"/>
      <x:c r="G352" s="444" t="s">
        <x:v>84</x:v>
      </x:c>
      <x:c r="H352" s="445" t="str">
        <x:f t="shared" si="71"/>
        <x:v>품질경영팀(E)</x:v>
      </x:c>
      <x:c r="I352" s="446" t="str">
        <x:f t="shared" si="75"/>
        <x:v>[관리비]</x:v>
      </x:c>
      <x:c r="J352" s="445"/>
      <x:c r="K352" s="453">
        <x:v>2241630</x:v>
      </x:c>
      <x:c r="L352" s="454">
        <x:v>2432670</x:v>
      </x:c>
      <x:c r="M352" s="454">
        <x:v>2241630</x:v>
      </x:c>
      <x:c r="N352" s="454">
        <x:v>2301820</x:v>
      </x:c>
      <x:c r="O352" s="454">
        <x:v>2301820</x:v>
      </x:c>
      <x:c r="P352" s="454">
        <x:v>2343060</x:v>
      </x:c>
      <x:c r="Q352" s="454">
        <x:v>2580850</x:v>
      </x:c>
      <x:c r="R352" s="454">
        <x:v>2355520</x:v>
      </x:c>
      <x:c r="S352" s="454">
        <x:v>2355520</x:v>
      </x:c>
      <x:c r="T352" s="454">
        <x:v>2535850</x:v>
      </x:c>
      <x:c r="U352" s="454">
        <x:v>2535850</x:v>
      </x:c>
      <x:c r="V352" s="455">
        <x:v>2656570</x:v>
      </x:c>
      <x:c r="W352" s="456">
        <x:f t="shared" ref="W352:W415" si="76">IFERROR(SUM(K352:V352),"")</x:f>
        <x:v>28882790</x:v>
      </x:c>
      <x:c r="X352" s="450">
        <x:f t="shared" si="70"/>
        <x:v>2406899.1666666665</x:v>
      </x:c>
      <x:c r="Y352" s="457" t="s">
        <x:v>810</x:v>
      </x:c>
      <x:c r="Z352" s="458"/>
      <x:c r="AA352" s="458"/>
      <x:c r="AB352" s="458"/>
      <x:c r="AC352" s="458"/>
      <x:c r="AD352" s="458"/>
      <x:c r="AE352" s="458"/>
    </x:row>
    <x:row r="353" spans="1:31" ht="20.100000000000001" customHeight="1">
      <x:c r="A353" s="439" t="s">
        <x:v>765</x:v>
      </x:c>
      <x:c r="B353" s="466" t="str">
        <x:f t="shared" si="72"/>
        <x:v>세금,보험</x:v>
      </x:c>
      <x:c r="C353" s="440" t="str">
        <x:f t="shared" si="73"/>
        <x:v>세금과공과</x:v>
      </x:c>
      <x:c r="D353" s="441">
        <x:v>52180132</x:v>
      </x:c>
      <x:c r="E353" s="442" t="str">
        <x:f t="shared" si="74"/>
        <x:v>세금과공과_국민연금</x:v>
      </x:c>
      <x:c r="F353" s="443"/>
      <x:c r="G353" s="444" t="s">
        <x:v>249</x:v>
      </x:c>
      <x:c r="H353" s="445" t="str">
        <x:f t="shared" si="71"/>
        <x:v>부품품질팀(E)</x:v>
      </x:c>
      <x:c r="I353" s="446" t="str">
        <x:f t="shared" si="75"/>
        <x:v>[관리비]</x:v>
      </x:c>
      <x:c r="J353" s="445"/>
      <x:c r="K353" s="453">
        <x:v>1766900</x:v>
      </x:c>
      <x:c r="L353" s="454">
        <x:v>1904750</x:v>
      </x:c>
      <x:c r="M353" s="454">
        <x:v>1766900</x:v>
      </x:c>
      <x:c r="N353" s="454">
        <x:v>1809920</x:v>
      </x:c>
      <x:c r="O353" s="454">
        <x:v>1809920</x:v>
      </x:c>
      <x:c r="P353" s="454">
        <x:v>1811870</x:v>
      </x:c>
      <x:c r="Q353" s="454">
        <x:v>2018420</x:v>
      </x:c>
      <x:c r="R353" s="454">
        <x:v>1863620</x:v>
      </x:c>
      <x:c r="S353" s="454">
        <x:v>1863620</x:v>
      </x:c>
      <x:c r="T353" s="454">
        <x:v>1982420</x:v>
      </x:c>
      <x:c r="U353" s="454">
        <x:v>1982420</x:v>
      </x:c>
      <x:c r="V353" s="455">
        <x:v>2092840</x:v>
      </x:c>
      <x:c r="W353" s="456">
        <x:f t="shared" si="76"/>
        <x:v>22673600</x:v>
      </x:c>
      <x:c r="X353" s="450">
        <x:f t="shared" ref="X353:X416" si="77">IFERROR($W353/$Y$1,"")</x:f>
        <x:v>1889466.6666666667</x:v>
      </x:c>
      <x:c r="Y353" s="457" t="s">
        <x:v>810</x:v>
      </x:c>
      <x:c r="Z353" s="458"/>
      <x:c r="AA353" s="458"/>
      <x:c r="AB353" s="458"/>
      <x:c r="AC353" s="458"/>
      <x:c r="AD353" s="458"/>
      <x:c r="AE353" s="458"/>
    </x:row>
    <x:row r="354" spans="1:31" ht="20.100000000000001" customHeight="1">
      <x:c r="A354" s="439" t="s">
        <x:v>765</x:v>
      </x:c>
      <x:c r="B354" s="466" t="str">
        <x:f t="shared" si="72"/>
        <x:v>세금,보험</x:v>
      </x:c>
      <x:c r="C354" s="440" t="str">
        <x:f t="shared" si="73"/>
        <x:v>세금과공과</x:v>
      </x:c>
      <x:c r="D354" s="441">
        <x:v>52180132</x:v>
      </x:c>
      <x:c r="E354" s="442" t="str">
        <x:f t="shared" si="74"/>
        <x:v>세금과공과_국민연금</x:v>
      </x:c>
      <x:c r="F354" s="443"/>
      <x:c r="G354" s="444" t="s">
        <x:v>80</x:v>
      </x:c>
      <x:c r="H354" s="445" t="str">
        <x:f t="shared" si="71"/>
        <x:v>사업관리팀(E)</x:v>
      </x:c>
      <x:c r="I354" s="446" t="str">
        <x:f t="shared" si="75"/>
        <x:v>[관리비]</x:v>
      </x:c>
      <x:c r="J354" s="445"/>
      <x:c r="K354" s="453">
        <x:v>1295990</x:v>
      </x:c>
      <x:c r="L354" s="454">
        <x:v>1351660</x:v>
      </x:c>
      <x:c r="M354" s="454">
        <x:v>1295990</x:v>
      </x:c>
      <x:c r="N354" s="454">
        <x:v>1317280</x:v>
      </x:c>
      <x:c r="O354" s="454">
        <x:v>1317280</x:v>
      </x:c>
      <x:c r="P354" s="454">
        <x:v>1317280</x:v>
      </x:c>
      <x:c r="Q354" s="454">
        <x:v>1465740</x:v>
      </x:c>
      <x:c r="R354" s="454">
        <x:v>1376160</x:v>
      </x:c>
      <x:c r="S354" s="454">
        <x:v>1376160</x:v>
      </x:c>
      <x:c r="T354" s="454">
        <x:v>1456740</x:v>
      </x:c>
      <x:c r="U354" s="454">
        <x:v>1456740</x:v>
      </x:c>
      <x:c r="V354" s="455">
        <x:v>1522930</x:v>
      </x:c>
      <x:c r="W354" s="456">
        <x:f t="shared" si="76"/>
        <x:v>16549950</x:v>
      </x:c>
      <x:c r="X354" s="450">
        <x:f t="shared" si="77"/>
        <x:v>1379162.5</x:v>
      </x:c>
      <x:c r="Y354" s="457" t="s">
        <x:v>810</x:v>
      </x:c>
      <x:c r="Z354" s="458"/>
      <x:c r="AA354" s="458"/>
      <x:c r="AB354" s="458"/>
      <x:c r="AC354" s="458"/>
      <x:c r="AD354" s="458"/>
      <x:c r="AE354" s="458"/>
    </x:row>
    <x:row r="355" spans="1:31" ht="20.100000000000001" customHeight="1">
      <x:c r="A355" s="439" t="s">
        <x:v>765</x:v>
      </x:c>
      <x:c r="B355" s="466" t="str">
        <x:f t="shared" si="72"/>
        <x:v>세금,보험</x:v>
      </x:c>
      <x:c r="C355" s="440" t="str">
        <x:f t="shared" si="73"/>
        <x:v>세금과공과</x:v>
      </x:c>
      <x:c r="D355" s="441">
        <x:v>52180133</x:v>
      </x:c>
      <x:c r="E355" s="442" t="str">
        <x:f t="shared" si="74"/>
        <x:v>세금과공과_고용보험료</x:v>
      </x:c>
      <x:c r="F355" s="443"/>
      <x:c r="G355" s="444" t="s">
        <x:v>103</x:v>
      </x:c>
      <x:c r="H355" s="445" t="str">
        <x:f t="shared" si="71"/>
        <x:v>전장사업부(E)</x:v>
      </x:c>
      <x:c r="I355" s="446" t="str">
        <x:f t="shared" si="75"/>
        <x:v>[관리비]</x:v>
      </x:c>
      <x:c r="J355" s="445"/>
      <x:c r="K355" s="453">
        <x:v>182736</x:v>
      </x:c>
      <x:c r="L355" s="454">
        <x:v>192186</x:v>
      </x:c>
      <x:c r="M355" s="454">
        <x:v>182736</x:v>
      </x:c>
      <x:c r="N355" s="454">
        <x:v>182736</x:v>
      </x:c>
      <x:c r="O355" s="454">
        <x:v>182736</x:v>
      </x:c>
      <x:c r="P355" s="454">
        <x:v>182736</x:v>
      </x:c>
      <x:c r="Q355" s="454">
        <x:v>192186</x:v>
      </x:c>
      <x:c r="R355" s="454">
        <x:v>182736</x:v>
      </x:c>
      <x:c r="S355" s="454">
        <x:v>182736</x:v>
      </x:c>
      <x:c r="T355" s="454">
        <x:v>189486</x:v>
      </x:c>
      <x:c r="U355" s="454">
        <x:v>189486</x:v>
      </x:c>
      <x:c r="V355" s="455">
        <x:v>182736</x:v>
      </x:c>
      <x:c r="W355" s="456">
        <x:f t="shared" si="76"/>
        <x:v>2225232</x:v>
      </x:c>
      <x:c r="X355" s="450">
        <x:f t="shared" si="77"/>
        <x:v>185436</x:v>
      </x:c>
      <x:c r="Y355" s="457" t="s">
        <x:v>811</x:v>
      </x:c>
      <x:c r="Z355" s="458"/>
      <x:c r="AA355" s="458"/>
      <x:c r="AB355" s="458"/>
      <x:c r="AC355" s="458"/>
      <x:c r="AD355" s="458"/>
      <x:c r="AE355" s="458"/>
    </x:row>
    <x:row r="356" spans="1:31" ht="20.100000000000001" customHeight="1">
      <x:c r="A356" s="439" t="s">
        <x:v>765</x:v>
      </x:c>
      <x:c r="B356" s="466" t="str">
        <x:f t="shared" si="72"/>
        <x:v>세금,보험</x:v>
      </x:c>
      <x:c r="C356" s="440" t="str">
        <x:f t="shared" si="73"/>
        <x:v>세금과공과</x:v>
      </x:c>
      <x:c r="D356" s="441">
        <x:v>52180133</x:v>
      </x:c>
      <x:c r="E356" s="442" t="str">
        <x:f t="shared" si="74"/>
        <x:v>세금과공과_고용보험료</x:v>
      </x:c>
      <x:c r="F356" s="443"/>
      <x:c r="G356" s="444" t="s">
        <x:v>114</x:v>
      </x:c>
      <x:c r="H356" s="445" t="str">
        <x:f t="shared" si="71"/>
        <x:v>연구개발부문(E)</x:v>
      </x:c>
      <x:c r="I356" s="446" t="str">
        <x:f t="shared" si="75"/>
        <x:v>[연구개발비]</x:v>
      </x:c>
      <x:c r="J356" s="445"/>
      <x:c r="K356" s="453">
        <x:v>129073.5</x:v>
      </x:c>
      <x:c r="L356" s="454">
        <x:v>138523.5</x:v>
      </x:c>
      <x:c r="M356" s="454">
        <x:v>129073.5</x:v>
      </x:c>
      <x:c r="N356" s="454">
        <x:v>129073.5</x:v>
      </x:c>
      <x:c r="O356" s="454">
        <x:v>129073.5</x:v>
      </x:c>
      <x:c r="P356" s="454">
        <x:v>129073.5</x:v>
      </x:c>
      <x:c r="Q356" s="454">
        <x:v>138523.5</x:v>
      </x:c>
      <x:c r="R356" s="454">
        <x:v>129073.5</x:v>
      </x:c>
      <x:c r="S356" s="454">
        <x:v>129073.5</x:v>
      </x:c>
      <x:c r="T356" s="454">
        <x:v>135823.5</x:v>
      </x:c>
      <x:c r="U356" s="454">
        <x:v>135823.5</x:v>
      </x:c>
      <x:c r="V356" s="455">
        <x:v>129073.5</x:v>
      </x:c>
      <x:c r="W356" s="456">
        <x:f t="shared" si="76"/>
        <x:v>1581282</x:v>
      </x:c>
      <x:c r="X356" s="450">
        <x:f t="shared" si="77"/>
        <x:v>131773.5</x:v>
      </x:c>
      <x:c r="Y356" s="457" t="s">
        <x:v>811</x:v>
      </x:c>
      <x:c r="Z356" s="458"/>
      <x:c r="AA356" s="458"/>
      <x:c r="AB356" s="458"/>
      <x:c r="AC356" s="458"/>
      <x:c r="AD356" s="458"/>
      <x:c r="AE356" s="458"/>
    </x:row>
    <x:row r="357" spans="1:31" ht="20.100000000000001" customHeight="1">
      <x:c r="A357" s="439" t="s">
        <x:v>765</x:v>
      </x:c>
      <x:c r="B357" s="466" t="str">
        <x:f t="shared" si="72"/>
        <x:v>세금,보험</x:v>
      </x:c>
      <x:c r="C357" s="440" t="str">
        <x:f t="shared" si="73"/>
        <x:v>세금과공과</x:v>
      </x:c>
      <x:c r="D357" s="441">
        <x:v>52180133</x:v>
      </x:c>
      <x:c r="E357" s="442" t="str">
        <x:f t="shared" si="74"/>
        <x:v>세금과공과_고용보험료</x:v>
      </x:c>
      <x:c r="F357" s="443"/>
      <x:c r="G357" s="444" t="s">
        <x:v>104</x:v>
      </x:c>
      <x:c r="H357" s="445" t="str">
        <x:f t="shared" si="71"/>
        <x:v>제품개발팀(E)</x:v>
      </x:c>
      <x:c r="I357" s="446" t="str">
        <x:f t="shared" si="75"/>
        <x:v>[연구개발비]</x:v>
      </x:c>
      <x:c r="J357" s="445"/>
      <x:c r="K357" s="453">
        <x:v>545755.75199999998</x:v>
      </x:c>
      <x:c r="L357" s="454">
        <x:v>611905.75199999986</x:v>
      </x:c>
      <x:c r="M357" s="454">
        <x:v>545755.75199999998</x:v>
      </x:c>
      <x:c r="N357" s="454">
        <x:v>565398.27899999998</x:v>
      </x:c>
      <x:c r="O357" s="454">
        <x:v>565398.27899999998</x:v>
      </x:c>
      <x:c r="P357" s="454">
        <x:v>576603.27899999998</x:v>
      </x:c>
      <x:c r="Q357" s="454">
        <x:v>631548.27899999998</x:v>
      </x:c>
      <x:c r="R357" s="454">
        <x:v>565398.27899999998</x:v>
      </x:c>
      <x:c r="S357" s="454">
        <x:v>565398.27899999998</x:v>
      </x:c>
      <x:c r="T357" s="454">
        <x:v>612648.27899999998</x:v>
      </x:c>
      <x:c r="U357" s="454">
        <x:v>612648.27899999998</x:v>
      </x:c>
      <x:c r="V357" s="455">
        <x:v>695266.75349999988</x:v>
      </x:c>
      <x:c r="W357" s="456">
        <x:f t="shared" si="76"/>
        <x:v>7093725.2414999995</x:v>
      </x:c>
      <x:c r="X357" s="450">
        <x:f t="shared" si="77"/>
        <x:v>591143.77012499992</x:v>
      </x:c>
      <x:c r="Y357" s="457" t="s">
        <x:v>811</x:v>
      </x:c>
      <x:c r="Z357" s="458"/>
      <x:c r="AA357" s="458"/>
      <x:c r="AB357" s="458"/>
      <x:c r="AC357" s="458"/>
      <x:c r="AD357" s="458"/>
      <x:c r="AE357" s="458"/>
    </x:row>
    <x:row r="358" spans="1:31" ht="20.100000000000001" customHeight="1">
      <x:c r="A358" s="439" t="s">
        <x:v>765</x:v>
      </x:c>
      <x:c r="B358" s="466" t="str">
        <x:f t="shared" si="72"/>
        <x:v>세금,보험</x:v>
      </x:c>
      <x:c r="C358" s="440" t="str">
        <x:f t="shared" si="73"/>
        <x:v>세금과공과</x:v>
      </x:c>
      <x:c r="D358" s="441">
        <x:v>52180133</x:v>
      </x:c>
      <x:c r="E358" s="442" t="str">
        <x:f t="shared" si="74"/>
        <x:v>세금과공과_고용보험료</x:v>
      </x:c>
      <x:c r="F358" s="443"/>
      <x:c r="G358" s="444" t="s">
        <x:v>251</x:v>
      </x:c>
      <x:c r="H358" s="445" t="str">
        <x:f t="shared" si="71"/>
        <x:v>시작평가팀(E)</x:v>
      </x:c>
      <x:c r="I358" s="446" t="str">
        <x:f t="shared" si="75"/>
        <x:v>[연구개발비]</x:v>
      </x:c>
      <x:c r="J358" s="445"/>
      <x:c r="K358" s="453">
        <x:v>639911.826</x:v>
      </x:c>
      <x:c r="L358" s="454">
        <x:v>715511.826</x:v>
      </x:c>
      <x:c r="M358" s="454">
        <x:v>639911.826</x:v>
      </x:c>
      <x:c r="N358" s="454">
        <x:v>662813.27999999991</x:v>
      </x:c>
      <x:c r="O358" s="454">
        <x:v>662813.27999999991</x:v>
      </x:c>
      <x:c r="P358" s="454">
        <x:v>662813.27999999991</x:v>
      </x:c>
      <x:c r="Q358" s="454">
        <x:v>738413.27999999991</x:v>
      </x:c>
      <x:c r="R358" s="454">
        <x:v>662813.27999999991</x:v>
      </x:c>
      <x:c r="S358" s="454">
        <x:v>662813.27999999991</x:v>
      </x:c>
      <x:c r="T358" s="454">
        <x:v>716813.27999999991</x:v>
      </x:c>
      <x:c r="U358" s="454">
        <x:v>716813.27999999991</x:v>
      </x:c>
      <x:c r="V358" s="455">
        <x:v>818941.32000000007</x:v>
      </x:c>
      <x:c r="W358" s="456">
        <x:f t="shared" si="76"/>
        <x:v>8300383.0380000006</x:v>
      </x:c>
      <x:c r="X358" s="450">
        <x:f t="shared" si="77"/>
        <x:v>691698.58650000009</x:v>
      </x:c>
      <x:c r="Y358" s="457" t="s">
        <x:v>811</x:v>
      </x:c>
      <x:c r="Z358" s="458"/>
      <x:c r="AA358" s="458"/>
      <x:c r="AB358" s="458"/>
      <x:c r="AC358" s="458"/>
      <x:c r="AD358" s="458"/>
      <x:c r="AE358" s="458"/>
    </x:row>
    <x:row r="359" spans="1:31" ht="20.100000000000001" customHeight="1">
      <x:c r="A359" s="439" t="s">
        <x:v>765</x:v>
      </x:c>
      <x:c r="B359" s="466" t="str">
        <x:f t="shared" si="72"/>
        <x:v>세금,보험</x:v>
      </x:c>
      <x:c r="C359" s="440" t="str">
        <x:f t="shared" si="73"/>
        <x:v>세금과공과</x:v>
      </x:c>
      <x:c r="D359" s="441">
        <x:v>52180133</x:v>
      </x:c>
      <x:c r="E359" s="442" t="str">
        <x:f t="shared" si="74"/>
        <x:v>세금과공과_고용보험료</x:v>
      </x:c>
      <x:c r="F359" s="443"/>
      <x:c r="G359" s="444" t="s">
        <x:v>99</x:v>
      </x:c>
      <x:c r="H359" s="445" t="str">
        <x:f t="shared" si="71"/>
        <x:v>전장설계1팀(E)</x:v>
      </x:c>
      <x:c r="I359" s="446" t="str">
        <x:f t="shared" si="75"/>
        <x:v>[연구개발비]</x:v>
      </x:c>
      <x:c r="J359" s="445"/>
      <x:c r="K359" s="453">
        <x:v>518044.24800000002</x:v>
      </x:c>
      <x:c r="L359" s="454">
        <x:v>574744.24800000002</x:v>
      </x:c>
      <x:c r="M359" s="454">
        <x:v>518044.24800000002</x:v>
      </x:c>
      <x:c r="N359" s="454">
        <x:v>536581.58399999992</x:v>
      </x:c>
      <x:c r="O359" s="454">
        <x:v>536581.58399999992</x:v>
      </x:c>
      <x:c r="P359" s="454">
        <x:v>559396.58399999992</x:v>
      </x:c>
      <x:c r="Q359" s="454">
        <x:v>593281.58400000003</x:v>
      </x:c>
      <x:c r="R359" s="454">
        <x:v>536581.58399999992</x:v>
      </x:c>
      <x:c r="S359" s="454">
        <x:v>536581.58399999992</x:v>
      </x:c>
      <x:c r="T359" s="454">
        <x:v>577081.58400000003</x:v>
      </x:c>
      <x:c r="U359" s="454">
        <x:v>577081.58400000003</x:v>
      </x:c>
      <x:c r="V359" s="455">
        <x:v>677287.85849999997</x:v>
      </x:c>
      <x:c r="W359" s="456">
        <x:f t="shared" si="76"/>
        <x:v>6741288.2744999984</x:v>
      </x:c>
      <x:c r="X359" s="450">
        <x:f t="shared" si="77"/>
        <x:v>561774.02287499991</x:v>
      </x:c>
      <x:c r="Y359" s="457" t="s">
        <x:v>811</x:v>
      </x:c>
      <x:c r="Z359" s="458"/>
      <x:c r="AA359" s="458"/>
      <x:c r="AB359" s="458"/>
      <x:c r="AC359" s="458"/>
      <x:c r="AD359" s="458"/>
      <x:c r="AE359" s="458"/>
    </x:row>
    <x:row r="360" spans="1:31" ht="20.100000000000001" customHeight="1">
      <x:c r="A360" s="439" t="s">
        <x:v>765</x:v>
      </x:c>
      <x:c r="B360" s="466" t="str">
        <x:f t="shared" si="72"/>
        <x:v>세금,보험</x:v>
      </x:c>
      <x:c r="C360" s="440" t="str">
        <x:f t="shared" si="73"/>
        <x:v>세금과공과</x:v>
      </x:c>
      <x:c r="D360" s="441">
        <x:v>52180133</x:v>
      </x:c>
      <x:c r="E360" s="442" t="str">
        <x:f t="shared" si="74"/>
        <x:v>세금과공과_고용보험료</x:v>
      </x:c>
      <x:c r="F360" s="443"/>
      <x:c r="G360" s="444" t="s">
        <x:v>101</x:v>
      </x:c>
      <x:c r="H360" s="445" t="str">
        <x:f t="shared" si="71"/>
        <x:v>전장설계2팀(E)</x:v>
      </x:c>
      <x:c r="I360" s="446" t="str">
        <x:f t="shared" si="75"/>
        <x:v>[연구개발비]</x:v>
      </x:c>
      <x:c r="J360" s="445"/>
      <x:c r="K360" s="453">
        <x:v>1054222.7489999998</x:v>
      </x:c>
      <x:c r="L360" s="454">
        <x:v>1195972.7490000001</x:v>
      </x:c>
      <x:c r="M360" s="454">
        <x:v>1063415.806548387</x:v>
      </x:c>
      <x:c r="N360" s="454">
        <x:v>1166044.8689999999</x:v>
      </x:c>
      <x:c r="O360" s="454">
        <x:v>1166044.8689999999</x:v>
      </x:c>
      <x:c r="P360" s="454">
        <x:v>1169014.8689999999</x:v>
      </x:c>
      <x:c r="Q360" s="454">
        <x:v>1307794.8689999999</x:v>
      </x:c>
      <x:c r="R360" s="454">
        <x:v>1166044.8689999999</x:v>
      </x:c>
      <x:c r="S360" s="454">
        <x:v>1166044.8689999999</x:v>
      </x:c>
      <x:c r="T360" s="454">
        <x:v>1267294.8689999999</x:v>
      </x:c>
      <x:c r="U360" s="454">
        <x:v>1267294.8689999999</x:v>
      </x:c>
      <x:c r="V360" s="455">
        <x:v>1421055.3869999999</x:v>
      </x:c>
      <x:c r="W360" s="456">
        <x:f t="shared" si="76"/>
        <x:v>14410245.643548382</x:v>
      </x:c>
      <x:c r="X360" s="450">
        <x:f t="shared" si="77"/>
        <x:v>1200853.8036290319</x:v>
      </x:c>
      <x:c r="Y360" s="457" t="s">
        <x:v>811</x:v>
      </x:c>
      <x:c r="Z360" s="458"/>
      <x:c r="AA360" s="458"/>
      <x:c r="AB360" s="458"/>
      <x:c r="AC360" s="458"/>
      <x:c r="AD360" s="458"/>
      <x:c r="AE360" s="458"/>
    </x:row>
    <x:row r="361" spans="1:31" ht="20.100000000000001" customHeight="1">
      <x:c r="A361" s="439" t="s">
        <x:v>765</x:v>
      </x:c>
      <x:c r="B361" s="466" t="str">
        <x:f t="shared" si="72"/>
        <x:v>세금,보험</x:v>
      </x:c>
      <x:c r="C361" s="440" t="str">
        <x:f t="shared" si="73"/>
        <x:v>세금과공과</x:v>
      </x:c>
      <x:c r="D361" s="441">
        <x:v>52180133</x:v>
      </x:c>
      <x:c r="E361" s="442" t="str">
        <x:f t="shared" si="74"/>
        <x:v>세금과공과_고용보험료</x:v>
      </x:c>
      <x:c r="F361" s="443"/>
      <x:c r="G361" s="444" t="s">
        <x:v>150</x:v>
      </x:c>
      <x:c r="H361" s="445" t="str">
        <x:f t="shared" si="71"/>
        <x:v>구매영업부문(E)</x:v>
      </x:c>
      <x:c r="I361" s="446" t="str">
        <x:f t="shared" si="75"/>
        <x:v>[판매비]</x:v>
      </x:c>
      <x:c r="J361" s="445"/>
      <x:c r="K361" s="453">
        <x:v>133528.5</x:v>
      </x:c>
      <x:c r="L361" s="454">
        <x:v>142978.5</x:v>
      </x:c>
      <x:c r="M361" s="454">
        <x:v>133528.5</x:v>
      </x:c>
      <x:c r="N361" s="454">
        <x:v>133528.5</x:v>
      </x:c>
      <x:c r="O361" s="454">
        <x:v>133528.5</x:v>
      </x:c>
      <x:c r="P361" s="454">
        <x:v>133528.5</x:v>
      </x:c>
      <x:c r="Q361" s="454">
        <x:v>142978.5</x:v>
      </x:c>
      <x:c r="R361" s="454">
        <x:v>133528.5</x:v>
      </x:c>
      <x:c r="S361" s="454">
        <x:v>133528.5</x:v>
      </x:c>
      <x:c r="T361" s="454">
        <x:v>140278.5</x:v>
      </x:c>
      <x:c r="U361" s="454">
        <x:v>140278.5</x:v>
      </x:c>
      <x:c r="V361" s="455">
        <x:v>133528.5</x:v>
      </x:c>
      <x:c r="W361" s="456">
        <x:f t="shared" si="76"/>
        <x:v>1634742</x:v>
      </x:c>
      <x:c r="X361" s="450">
        <x:f t="shared" si="77"/>
        <x:v>136228.5</x:v>
      </x:c>
      <x:c r="Y361" s="457" t="s">
        <x:v>811</x:v>
      </x:c>
      <x:c r="Z361" s="458"/>
      <x:c r="AA361" s="458"/>
      <x:c r="AB361" s="458"/>
      <x:c r="AC361" s="458"/>
      <x:c r="AD361" s="458"/>
      <x:c r="AE361" s="458"/>
    </x:row>
    <x:row r="362" spans="1:31" ht="20.100000000000001" customHeight="1">
      <x:c r="A362" s="439" t="s">
        <x:v>765</x:v>
      </x:c>
      <x:c r="B362" s="466" t="str">
        <x:f t="shared" si="72"/>
        <x:v>세금,보험</x:v>
      </x:c>
      <x:c r="C362" s="440" t="str">
        <x:f t="shared" si="73"/>
        <x:v>세금과공과</x:v>
      </x:c>
      <x:c r="D362" s="441">
        <x:v>52180133</x:v>
      </x:c>
      <x:c r="E362" s="442" t="str">
        <x:f t="shared" si="74"/>
        <x:v>세금과공과_고용보험료</x:v>
      </x:c>
      <x:c r="F362" s="443"/>
      <x:c r="G362" s="444" t="s">
        <x:v>106</x:v>
      </x:c>
      <x:c r="H362" s="445" t="str">
        <x:f t="shared" si="71"/>
        <x:v>구매팀(E)</x:v>
      </x:c>
      <x:c r="I362" s="446" t="str">
        <x:f t="shared" si="75"/>
        <x:v>[관리비]</x:v>
      </x:c>
      <x:c r="J362" s="445"/>
      <x:c r="K362" s="453">
        <x:v>768526.49699999997</x:v>
      </x:c>
      <x:c r="L362" s="454">
        <x:v>853576.49700000009</x:v>
      </x:c>
      <x:c r="M362" s="454">
        <x:v>768526.49699999997</x:v>
      </x:c>
      <x:c r="N362" s="454">
        <x:v>854934.65639999986</x:v>
      </x:c>
      <x:c r="O362" s="454">
        <x:v>854934.65639999986</x:v>
      </x:c>
      <x:c r="P362" s="454">
        <x:v>854934.65639999986</x:v>
      </x:c>
      <x:c r="Q362" s="454">
        <x:v>949434.65639999986</x:v>
      </x:c>
      <x:c r="R362" s="454">
        <x:v>854934.65639999986</x:v>
      </x:c>
      <x:c r="S362" s="454">
        <x:v>854934.65639999986</x:v>
      </x:c>
      <x:c r="T362" s="454">
        <x:v>922434.65639999986</x:v>
      </x:c>
      <x:c r="U362" s="454">
        <x:v>922434.65639999986</x:v>
      </x:c>
      <x:c r="V362" s="455">
        <x:v>1074051.5499000002</x:v>
      </x:c>
      <x:c r="W362" s="456">
        <x:f t="shared" si="76"/>
        <x:v>10533658.292100001</x:v>
      </x:c>
      <x:c r="X362" s="450">
        <x:f t="shared" si="77"/>
        <x:v>877804.85767500009</x:v>
      </x:c>
      <x:c r="Y362" s="457" t="s">
        <x:v>811</x:v>
      </x:c>
      <x:c r="Z362" s="458"/>
      <x:c r="AA362" s="458"/>
      <x:c r="AB362" s="458"/>
      <x:c r="AC362" s="458"/>
      <x:c r="AD362" s="458"/>
      <x:c r="AE362" s="458"/>
    </x:row>
    <x:row r="363" spans="1:31" ht="20.100000000000001" customHeight="1">
      <x:c r="A363" s="439" t="s">
        <x:v>765</x:v>
      </x:c>
      <x:c r="B363" s="466" t="str">
        <x:f t="shared" si="72"/>
        <x:v>세금,보험</x:v>
      </x:c>
      <x:c r="C363" s="440" t="str">
        <x:f t="shared" si="73"/>
        <x:v>세금과공과</x:v>
      </x:c>
      <x:c r="D363" s="441">
        <x:v>52180133</x:v>
      </x:c>
      <x:c r="E363" s="442" t="str">
        <x:f t="shared" si="74"/>
        <x:v>세금과공과_고용보험료</x:v>
      </x:c>
      <x:c r="F363" s="443"/>
      <x:c r="G363" s="444" t="s">
        <x:v>247</x:v>
      </x:c>
      <x:c r="H363" s="445" t="str">
        <x:f t="shared" si="71"/>
        <x:v>영업팀(E)</x:v>
      </x:c>
      <x:c r="I363" s="446" t="str">
        <x:f t="shared" si="75"/>
        <x:v>[판매비]</x:v>
      </x:c>
      <x:c r="J363" s="445"/>
      <x:c r="K363" s="453">
        <x:v>537839.46</x:v>
      </x:c>
      <x:c r="L363" s="454">
        <x:v>603989.46</x:v>
      </x:c>
      <x:c r="M363" s="454">
        <x:v>537839.46</x:v>
      </x:c>
      <x:c r="N363" s="454">
        <x:v>557163.81900000002</x:v>
      </x:c>
      <x:c r="O363" s="454">
        <x:v>557163.81900000002</x:v>
      </x:c>
      <x:c r="P363" s="454">
        <x:v>585918.8189999999</x:v>
      </x:c>
      <x:c r="Q363" s="454">
        <x:v>623313.8189999999</x:v>
      </x:c>
      <x:c r="R363" s="454">
        <x:v>557163.81900000002</x:v>
      </x:c>
      <x:c r="S363" s="454">
        <x:v>557163.81900000002</x:v>
      </x:c>
      <x:c r="T363" s="454">
        <x:v>604413.8189999999</x:v>
      </x:c>
      <x:c r="U363" s="454">
        <x:v>604413.8189999999</x:v>
      </x:c>
      <x:c r="V363" s="455">
        <x:v>720653.80050000001</x:v>
      </x:c>
      <x:c r="W363" s="456">
        <x:f t="shared" si="76"/>
        <x:v>7047037.7325000009</x:v>
      </x:c>
      <x:c r="X363" s="450">
        <x:f t="shared" si="77"/>
        <x:v>587253.14437500003</x:v>
      </x:c>
      <x:c r="Y363" s="457" t="s">
        <x:v>811</x:v>
      </x:c>
      <x:c r="Z363" s="458"/>
      <x:c r="AA363" s="458"/>
      <x:c r="AB363" s="458"/>
      <x:c r="AC363" s="458"/>
      <x:c r="AD363" s="458"/>
      <x:c r="AE363" s="458"/>
    </x:row>
    <x:row r="364" spans="1:31" ht="20.100000000000001" customHeight="1">
      <x:c r="A364" s="439" t="s">
        <x:v>765</x:v>
      </x:c>
      <x:c r="B364" s="466" t="str">
        <x:f t="shared" si="72"/>
        <x:v>세금,보험</x:v>
      </x:c>
      <x:c r="C364" s="440" t="str">
        <x:f t="shared" si="73"/>
        <x:v>세금과공과</x:v>
      </x:c>
      <x:c r="D364" s="441">
        <x:v>52180133</x:v>
      </x:c>
      <x:c r="E364" s="442" t="str">
        <x:f t="shared" si="74"/>
        <x:v>세금과공과_고용보험료</x:v>
      </x:c>
      <x:c r="F364" s="443"/>
      <x:c r="G364" s="444" t="s">
        <x:v>253</x:v>
      </x:c>
      <x:c r="H364" s="445" t="str">
        <x:f t="shared" si="71"/>
        <x:v>생산부문(E)</x:v>
      </x:c>
      <x:c r="I364" s="446" t="str">
        <x:f t="shared" si="75"/>
        <x:v>[관리비]</x:v>
      </x:c>
      <x:c r="J364" s="445"/>
      <x:c r="K364" s="453">
        <x:v>167818.5</x:v>
      </x:c>
      <x:c r="L364" s="454">
        <x:v>177268.5</x:v>
      </x:c>
      <x:c r="M364" s="454">
        <x:v>167818.5</x:v>
      </x:c>
      <x:c r="N364" s="454">
        <x:v>167818.5</x:v>
      </x:c>
      <x:c r="O364" s="454">
        <x:v>167818.5</x:v>
      </x:c>
      <x:c r="P364" s="454">
        <x:v>167818.5</x:v>
      </x:c>
      <x:c r="Q364" s="454">
        <x:v>177268.5</x:v>
      </x:c>
      <x:c r="R364" s="454">
        <x:v>167818.5</x:v>
      </x:c>
      <x:c r="S364" s="454">
        <x:v>167818.5</x:v>
      </x:c>
      <x:c r="T364" s="454">
        <x:v>174568.5</x:v>
      </x:c>
      <x:c r="U364" s="454">
        <x:v>174568.5</x:v>
      </x:c>
      <x:c r="V364" s="455">
        <x:v>167818.5</x:v>
      </x:c>
      <x:c r="W364" s="456">
        <x:f t="shared" si="76"/>
        <x:v>2046222</x:v>
      </x:c>
      <x:c r="X364" s="450">
        <x:f t="shared" si="77"/>
        <x:v>170518.5</x:v>
      </x:c>
      <x:c r="Y364" s="457" t="s">
        <x:v>811</x:v>
      </x:c>
      <x:c r="Z364" s="458"/>
      <x:c r="AA364" s="458"/>
      <x:c r="AB364" s="458"/>
      <x:c r="AC364" s="458"/>
      <x:c r="AD364" s="458"/>
      <x:c r="AE364" s="458"/>
    </x:row>
    <x:row r="365" spans="1:31" ht="20.100000000000001" customHeight="1">
      <x:c r="A365" s="439" t="s">
        <x:v>765</x:v>
      </x:c>
      <x:c r="B365" s="466" t="str">
        <x:f t="shared" si="72"/>
        <x:v>세금,보험</x:v>
      </x:c>
      <x:c r="C365" s="440" t="str">
        <x:f t="shared" si="73"/>
        <x:v>세금과공과</x:v>
      </x:c>
      <x:c r="D365" s="441">
        <x:v>52180133</x:v>
      </x:c>
      <x:c r="E365" s="442" t="str">
        <x:f t="shared" si="74"/>
        <x:v>세금과공과_고용보험료</x:v>
      </x:c>
      <x:c r="F365" s="443"/>
      <x:c r="G365" s="444" t="s">
        <x:v>82</x:v>
      </x:c>
      <x:c r="H365" s="445" t="str">
        <x:f t="shared" si="71"/>
        <x:v>생산기술팀(E)</x:v>
      </x:c>
      <x:c r="I365" s="446" t="str">
        <x:f t="shared" si="75"/>
        <x:v>[관리비]</x:v>
      </x:c>
      <x:c r="J365" s="445"/>
      <x:c r="K365" s="453">
        <x:v>905793.83999999985</x:v>
      </x:c>
      <x:c r="L365" s="454">
        <x:v>1019193.84</x:v>
      </x:c>
      <x:c r="M365" s="454">
        <x:v>905793.83999999985</x:v>
      </x:c>
      <x:c r="N365" s="454">
        <x:v>938349.46800000011</x:v>
      </x:c>
      <x:c r="O365" s="454">
        <x:v>938349.46800000011</x:v>
      </x:c>
      <x:c r="P365" s="454">
        <x:v>953739.46800000011</x:v>
      </x:c>
      <x:c r="Q365" s="454">
        <x:v>1051749.4680000001</x:v>
      </x:c>
      <x:c r="R365" s="454">
        <x:v>938349.46800000011</x:v>
      </x:c>
      <x:c r="S365" s="454">
        <x:v>938349.46800000011</x:v>
      </x:c>
      <x:c r="T365" s="454">
        <x:v>1019349.4680000001</x:v>
      </x:c>
      <x:c r="U365" s="454">
        <x:v>1019349.4680000001</x:v>
      </x:c>
      <x:c r="V365" s="455">
        <x:v>1158084.7694999999</x:v>
      </x:c>
      <x:c r="W365" s="456">
        <x:f t="shared" si="76"/>
        <x:v>11786452.033500003</x:v>
      </x:c>
      <x:c r="X365" s="450">
        <x:f t="shared" si="77"/>
        <x:v>982204.33612500026</x:v>
      </x:c>
      <x:c r="Y365" s="457" t="s">
        <x:v>811</x:v>
      </x:c>
      <x:c r="Z365" s="458"/>
      <x:c r="AA365" s="458"/>
      <x:c r="AB365" s="458"/>
      <x:c r="AC365" s="458"/>
      <x:c r="AD365" s="458"/>
      <x:c r="AE365" s="458"/>
    </x:row>
    <x:row r="366" spans="1:31" ht="20.100000000000001" customHeight="1">
      <x:c r="A366" s="439" t="s">
        <x:v>765</x:v>
      </x:c>
      <x:c r="B366" s="466" t="str">
        <x:f t="shared" si="72"/>
        <x:v>세금,보험</x:v>
      </x:c>
      <x:c r="C366" s="440" t="str">
        <x:f t="shared" si="73"/>
        <x:v>세금과공과</x:v>
      </x:c>
      <x:c r="D366" s="441">
        <x:v>52180133</x:v>
      </x:c>
      <x:c r="E366" s="442" t="str">
        <x:f t="shared" si="74"/>
        <x:v>세금과공과_고용보험료</x:v>
      </x:c>
      <x:c r="F366" s="443"/>
      <x:c r="G366" s="444" t="s">
        <x:v>245</x:v>
      </x:c>
      <x:c r="H366" s="445" t="str">
        <x:f t="shared" si="71"/>
        <x:v>생산기획팀(E)</x:v>
      </x:c>
      <x:c r="I366" s="446" t="str">
        <x:f t="shared" si="75"/>
        <x:v>[관리비]</x:v>
      </x:c>
      <x:c r="J366" s="445"/>
      <x:c r="K366" s="453">
        <x:v>644036.4</x:v>
      </x:c>
      <x:c r="L366" s="454">
        <x:v>719636.4</x:v>
      </x:c>
      <x:c r="M366" s="454">
        <x:v>644036.4</x:v>
      </x:c>
      <x:c r="N366" s="454">
        <x:v>667244.49300000002</x:v>
      </x:c>
      <x:c r="O366" s="454">
        <x:v>667244.49300000002</x:v>
      </x:c>
      <x:c r="P366" s="454">
        <x:v>672104.49300000002</x:v>
      </x:c>
      <x:c r="Q366" s="454">
        <x:v>742844.49300000002</x:v>
      </x:c>
      <x:c r="R366" s="454">
        <x:v>667244.49300000002</x:v>
      </x:c>
      <x:c r="S366" s="454">
        <x:v>667244.49300000002</x:v>
      </x:c>
      <x:c r="T366" s="454">
        <x:v>721244.49300000002</x:v>
      </x:c>
      <x:c r="U366" s="454">
        <x:v>721244.49300000002</x:v>
      </x:c>
      <x:c r="V366" s="455">
        <x:v>846119.16900000011</x:v>
      </x:c>
      <x:c r="W366" s="456">
        <x:f t="shared" si="76"/>
        <x:v>8380244.3129999982</x:v>
      </x:c>
      <x:c r="X366" s="450">
        <x:f t="shared" si="77"/>
        <x:v>698353.69274999981</x:v>
      </x:c>
      <x:c r="Y366" s="457" t="s">
        <x:v>811</x:v>
      </x:c>
      <x:c r="Z366" s="458"/>
      <x:c r="AA366" s="458"/>
      <x:c r="AB366" s="458"/>
      <x:c r="AC366" s="458"/>
      <x:c r="AD366" s="458"/>
      <x:c r="AE366" s="458"/>
    </x:row>
    <x:row r="367" spans="1:31" ht="20.100000000000001" customHeight="1">
      <x:c r="A367" s="439" t="s">
        <x:v>765</x:v>
      </x:c>
      <x:c r="B367" s="466" t="str">
        <x:f t="shared" si="72"/>
        <x:v>세금,보험</x:v>
      </x:c>
      <x:c r="C367" s="440" t="str">
        <x:f t="shared" si="73"/>
        <x:v>세금과공과</x:v>
      </x:c>
      <x:c r="D367" s="441">
        <x:v>52180133</x:v>
      </x:c>
      <x:c r="E367" s="442" t="str">
        <x:f t="shared" si="74"/>
        <x:v>세금과공과_고용보험료</x:v>
      </x:c>
      <x:c r="F367" s="443"/>
      <x:c r="G367" s="444" t="s">
        <x:v>256</x:v>
      </x:c>
      <x:c r="H367" s="445" t="str">
        <x:f t="shared" si="71"/>
        <x:v>품질부문(E)</x:v>
      </x:c>
      <x:c r="I367" s="446" t="str">
        <x:f t="shared" si="75"/>
        <x:v>[관리비]</x:v>
      </x:c>
      <x:c r="J367" s="445"/>
      <x:c r="K367" s="453">
        <x:v>123193.764</x:v>
      </x:c>
      <x:c r="L367" s="454">
        <x:v>132643.764</x:v>
      </x:c>
      <x:c r="M367" s="454">
        <x:v>123193.764</x:v>
      </x:c>
      <x:c r="N367" s="454">
        <x:v>127394.208</x:v>
      </x:c>
      <x:c r="O367" s="454">
        <x:v>127394.208</x:v>
      </x:c>
      <x:c r="P367" s="454">
        <x:v>127394.208</x:v>
      </x:c>
      <x:c r="Q367" s="454">
        <x:v>136844.20799999998</x:v>
      </x:c>
      <x:c r="R367" s="454">
        <x:v>127394.208</x:v>
      </x:c>
      <x:c r="S367" s="454">
        <x:v>127394.208</x:v>
      </x:c>
      <x:c r="T367" s="454">
        <x:v>134144.20799999998</x:v>
      </x:c>
      <x:c r="U367" s="454">
        <x:v>134144.20799999998</x:v>
      </x:c>
      <x:c r="V367" s="455">
        <x:v>182950.48800000001</x:v>
      </x:c>
      <x:c r="W367" s="456">
        <x:f t="shared" si="76"/>
        <x:v>1604085.4440000001</x:v>
      </x:c>
      <x:c r="X367" s="450">
        <x:f t="shared" si="77"/>
        <x:v>133673.78700000001</x:v>
      </x:c>
      <x:c r="Y367" s="457" t="s">
        <x:v>811</x:v>
      </x:c>
      <x:c r="Z367" s="458"/>
      <x:c r="AA367" s="458"/>
      <x:c r="AB367" s="458"/>
      <x:c r="AC367" s="458"/>
      <x:c r="AD367" s="458"/>
      <x:c r="AE367" s="458"/>
    </x:row>
    <x:row r="368" spans="1:31" ht="20.100000000000001" customHeight="1">
      <x:c r="A368" s="439" t="s">
        <x:v>765</x:v>
      </x:c>
      <x:c r="B368" s="466" t="str">
        <x:f t="shared" si="72"/>
        <x:v>세금,보험</x:v>
      </x:c>
      <x:c r="C368" s="440" t="str">
        <x:f t="shared" si="73"/>
        <x:v>세금과공과</x:v>
      </x:c>
      <x:c r="D368" s="441">
        <x:v>52180133</x:v>
      </x:c>
      <x:c r="E368" s="442" t="str">
        <x:f t="shared" si="74"/>
        <x:v>세금과공과_고용보험료</x:v>
      </x:c>
      <x:c r="F368" s="443"/>
      <x:c r="G368" s="444" t="s">
        <x:v>84</x:v>
      </x:c>
      <x:c r="H368" s="445" t="str">
        <x:f t="shared" si="71"/>
        <x:v>품질경영팀(E)</x:v>
      </x:c>
      <x:c r="I368" s="446" t="str">
        <x:f t="shared" si="75"/>
        <x:v>[관리비]</x:v>
      </x:c>
      <x:c r="J368" s="445"/>
      <x:c r="K368" s="453">
        <x:v>710953.95600000001</x:v>
      </x:c>
      <x:c r="L368" s="454">
        <x:v>796003.95600000001</x:v>
      </x:c>
      <x:c r="M368" s="454">
        <x:v>710953.95600000001</x:v>
      </x:c>
      <x:c r="N368" s="454">
        <x:v>736442.17200000002</x:v>
      </x:c>
      <x:c r="O368" s="454">
        <x:v>736442.17200000002</x:v>
      </x:c>
      <x:c r="P368" s="454">
        <x:v>758987.17200000002</x:v>
      </x:c>
      <x:c r="Q368" s="454">
        <x:v>821492.17200000002</x:v>
      </x:c>
      <x:c r="R368" s="454">
        <x:v>736442.17200000002</x:v>
      </x:c>
      <x:c r="S368" s="454">
        <x:v>736442.17200000002</x:v>
      </x:c>
      <x:c r="T368" s="454">
        <x:v>797192.17200000002</x:v>
      </x:c>
      <x:c r="U368" s="454">
        <x:v>797192.17200000002</x:v>
      </x:c>
      <x:c r="V368" s="455">
        <x:v>899582.19299999985</x:v>
      </x:c>
      <x:c r="W368" s="456">
        <x:f t="shared" si="76"/>
        <x:v>9238126.4370000008</x:v>
      </x:c>
      <x:c r="X368" s="450">
        <x:f t="shared" si="77"/>
        <x:v>769843.86975000007</x:v>
      </x:c>
      <x:c r="Y368" s="457" t="s">
        <x:v>811</x:v>
      </x:c>
      <x:c r="Z368" s="458"/>
      <x:c r="AA368" s="458"/>
      <x:c r="AB368" s="458"/>
      <x:c r="AC368" s="458"/>
      <x:c r="AD368" s="458"/>
      <x:c r="AE368" s="458"/>
    </x:row>
    <x:row r="369" spans="1:31" ht="20.100000000000001" customHeight="1">
      <x:c r="A369" s="439" t="s">
        <x:v>765</x:v>
      </x:c>
      <x:c r="B369" s="466" t="str">
        <x:f t="shared" si="72"/>
        <x:v>세금,보험</x:v>
      </x:c>
      <x:c r="C369" s="440" t="str">
        <x:f t="shared" si="73"/>
        <x:v>세금과공과</x:v>
      </x:c>
      <x:c r="D369" s="441">
        <x:v>52180133</x:v>
      </x:c>
      <x:c r="E369" s="442" t="str">
        <x:f t="shared" si="74"/>
        <x:v>세금과공과_고용보험료</x:v>
      </x:c>
      <x:c r="F369" s="443"/>
      <x:c r="G369" s="444" t="s">
        <x:v>249</x:v>
      </x:c>
      <x:c r="H369" s="445" t="str">
        <x:f t="shared" si="71"/>
        <x:v>부품품질팀(E)</x:v>
      </x:c>
      <x:c r="I369" s="446" t="str">
        <x:f t="shared" si="75"/>
        <x:v>[관리비]</x:v>
      </x:c>
      <x:c r="J369" s="445"/>
      <x:c r="K369" s="453">
        <x:v>571764.20400000003</x:v>
      </x:c>
      <x:c r="L369" s="454">
        <x:v>637914.20399999991</x:v>
      </x:c>
      <x:c r="M369" s="454">
        <x:v>571764.20400000003</x:v>
      </x:c>
      <x:c r="N369" s="454">
        <x:v>592231.82400000002</x:v>
      </x:c>
      <x:c r="O369" s="454">
        <x:v>592231.82400000002</x:v>
      </x:c>
      <x:c r="P369" s="454">
        <x:v>598981.82400000002</x:v>
      </x:c>
      <x:c r="Q369" s="454">
        <x:v>658381.82400000002</x:v>
      </x:c>
      <x:c r="R369" s="454">
        <x:v>592231.82400000002</x:v>
      </x:c>
      <x:c r="S369" s="454">
        <x:v>592231.82400000002</x:v>
      </x:c>
      <x:c r="T369" s="454">
        <x:v>639481.82400000002</x:v>
      </x:c>
      <x:c r="U369" s="454">
        <x:v>639481.82400000002</x:v>
      </x:c>
      <x:c r="V369" s="455">
        <x:v>763548.67350000003</x:v>
      </x:c>
      <x:c r="W369" s="456">
        <x:f t="shared" si="76"/>
        <x:v>7450245.8774999995</x:v>
      </x:c>
      <x:c r="X369" s="450">
        <x:f t="shared" si="77"/>
        <x:v>620853.823125</x:v>
      </x:c>
      <x:c r="Y369" s="457" t="s">
        <x:v>811</x:v>
      </x:c>
      <x:c r="Z369" s="458"/>
      <x:c r="AA369" s="458"/>
      <x:c r="AB369" s="458"/>
      <x:c r="AC369" s="458"/>
      <x:c r="AD369" s="458"/>
      <x:c r="AE369" s="458"/>
    </x:row>
    <x:row r="370" spans="1:31" ht="20.100000000000001" customHeight="1">
      <x:c r="A370" s="439" t="s">
        <x:v>765</x:v>
      </x:c>
      <x:c r="B370" s="466" t="str">
        <x:f t="shared" si="72"/>
        <x:v>세금,보험</x:v>
      </x:c>
      <x:c r="C370" s="440" t="str">
        <x:f t="shared" si="73"/>
        <x:v>세금과공과</x:v>
      </x:c>
      <x:c r="D370" s="441">
        <x:v>52180133</x:v>
      </x:c>
      <x:c r="E370" s="442" t="str">
        <x:f t="shared" si="74"/>
        <x:v>세금과공과_고용보험료</x:v>
      </x:c>
      <x:c r="F370" s="443"/>
      <x:c r="G370" s="444" t="s">
        <x:v>80</x:v>
      </x:c>
      <x:c r="H370" s="445" t="str">
        <x:f t="shared" si="71"/>
        <x:v>사업관리팀(E)</x:v>
      </x:c>
      <x:c r="I370" s="446" t="str">
        <x:f t="shared" si="75"/>
        <x:v>[관리비]</x:v>
      </x:c>
      <x:c r="J370" s="445"/>
      <x:c r="K370" s="453">
        <x:v>423067.50900000002</x:v>
      </x:c>
      <x:c r="L370" s="454">
        <x:v>470317.50900000002</x:v>
      </x:c>
      <x:c r="M370" s="454">
        <x:v>423067.50900000002</x:v>
      </x:c>
      <x:c r="N370" s="454">
        <x:v>438312.24899999995</x:v>
      </x:c>
      <x:c r="O370" s="454">
        <x:v>438312.24899999995</x:v>
      </x:c>
      <x:c r="P370" s="454">
        <x:v>438312.24899999995</x:v>
      </x:c>
      <x:c r="Q370" s="454">
        <x:v>485562.24900000007</x:v>
      </x:c>
      <x:c r="R370" s="454">
        <x:v>438312.24899999995</x:v>
      </x:c>
      <x:c r="S370" s="454">
        <x:v>438312.24899999995</x:v>
      </x:c>
      <x:c r="T370" s="454">
        <x:v>472062.24899999995</x:v>
      </x:c>
      <x:c r="U370" s="454">
        <x:v>472062.24899999995</x:v>
      </x:c>
      <x:c r="V370" s="455">
        <x:v>574469.77950000006</x:v>
      </x:c>
      <x:c r="W370" s="456">
        <x:f t="shared" si="76"/>
        <x:v>5512170.2984999996</x:v>
      </x:c>
      <x:c r="X370" s="450">
        <x:f t="shared" si="77"/>
        <x:v>459347.52487499994</x:v>
      </x:c>
      <x:c r="Y370" s="457" t="s">
        <x:v>811</x:v>
      </x:c>
      <x:c r="Z370" s="458"/>
      <x:c r="AA370" s="458"/>
      <x:c r="AB370" s="458"/>
      <x:c r="AC370" s="458"/>
      <x:c r="AD370" s="458"/>
      <x:c r="AE370" s="458"/>
    </x:row>
    <x:row r="371" spans="1:31" ht="20.100000000000001" customHeight="1">
      <x:c r="A371" s="439" t="s">
        <x:v>766</x:v>
      </x:c>
      <x:c r="B371" s="466" t="str">
        <x:f t="shared" si="72"/>
        <x:v>기타비용</x:v>
      </x:c>
      <x:c r="C371" s="440" t="str">
        <x:f t="shared" si="73"/>
        <x:v>교육훈련비</x:v>
      </x:c>
      <x:c r="D371" s="441">
        <x:v>52140101</x:v>
      </x:c>
      <x:c r="E371" s="442" t="str">
        <x:f t="shared" si="74"/>
        <x:v>교육훈련비_사외교육</x:v>
      </x:c>
      <x:c r="F371" s="443"/>
      <x:c r="G371" s="444" t="s">
        <x:v>150</x:v>
      </x:c>
      <x:c r="H371" s="445" t="str">
        <x:f t="shared" si="71"/>
        <x:v>구매영업부문(E)</x:v>
      </x:c>
      <x:c r="I371" s="446" t="str">
        <x:f t="shared" si="75"/>
        <x:v>[판매비]</x:v>
      </x:c>
      <x:c r="J371" s="445"/>
      <x:c r="K371" s="453">
        <x:v>75000</x:v>
      </x:c>
      <x:c r="L371" s="454">
        <x:v>75000</x:v>
      </x:c>
      <x:c r="M371" s="454">
        <x:v>75000</x:v>
      </x:c>
      <x:c r="N371" s="454">
        <x:v>75000</x:v>
      </x:c>
      <x:c r="O371" s="454">
        <x:v>95000</x:v>
      </x:c>
      <x:c r="P371" s="454">
        <x:v>75000</x:v>
      </x:c>
      <x:c r="Q371" s="454">
        <x:v>75000</x:v>
      </x:c>
      <x:c r="R371" s="454">
        <x:v>75000</x:v>
      </x:c>
      <x:c r="S371" s="454">
        <x:v>75000</x:v>
      </x:c>
      <x:c r="T371" s="454">
        <x:v>75000</x:v>
      </x:c>
      <x:c r="U371" s="454">
        <x:v>95000</x:v>
      </x:c>
      <x:c r="V371" s="455">
        <x:v>75000</x:v>
      </x:c>
      <x:c r="W371" s="456">
        <x:f t="shared" si="76"/>
        <x:v>940000</x:v>
      </x:c>
      <x:c r="X371" s="450">
        <x:f t="shared" si="77"/>
        <x:v>78333.333333333328</x:v>
      </x:c>
      <x:c r="Y371" s="457" t="s">
        <x:v>812</x:v>
      </x:c>
      <x:c r="Z371" s="458"/>
      <x:c r="AA371" s="458"/>
      <x:c r="AB371" s="458"/>
      <x:c r="AC371" s="458"/>
      <x:c r="AD371" s="458"/>
      <x:c r="AE371" s="458"/>
    </x:row>
    <x:row r="372" spans="1:31" ht="20.100000000000001" customHeight="1">
      <x:c r="A372" s="439" t="s">
        <x:v>766</x:v>
      </x:c>
      <x:c r="B372" s="466" t="str">
        <x:f t="shared" si="72"/>
        <x:v>기타비용</x:v>
      </x:c>
      <x:c r="C372" s="440" t="str">
        <x:f t="shared" si="73"/>
        <x:v>교육훈련비</x:v>
      </x:c>
      <x:c r="D372" s="441">
        <x:v>52140101</x:v>
      </x:c>
      <x:c r="E372" s="442" t="str">
        <x:f t="shared" si="74"/>
        <x:v>교육훈련비_사외교육</x:v>
      </x:c>
      <x:c r="F372" s="443"/>
      <x:c r="G372" s="444" t="s">
        <x:v>106</x:v>
      </x:c>
      <x:c r="H372" s="445" t="str">
        <x:f t="shared" si="71"/>
        <x:v>구매팀(E)</x:v>
      </x:c>
      <x:c r="I372" s="446" t="str">
        <x:f t="shared" si="75"/>
        <x:v>[관리비]</x:v>
      </x:c>
      <x:c r="J372" s="445"/>
      <x:c r="K372" s="453">
        <x:v>675000</x:v>
      </x:c>
      <x:c r="L372" s="454">
        <x:v>675000</x:v>
      </x:c>
      <x:c r="M372" s="454">
        <x:v>675000</x:v>
      </x:c>
      <x:c r="N372" s="454">
        <x:v>675000</x:v>
      </x:c>
      <x:c r="O372" s="454">
        <x:v>855000</x:v>
      </x:c>
      <x:c r="P372" s="454">
        <x:v>675000</x:v>
      </x:c>
      <x:c r="Q372" s="454">
        <x:v>675000</x:v>
      </x:c>
      <x:c r="R372" s="454">
        <x:v>675000</x:v>
      </x:c>
      <x:c r="S372" s="454">
        <x:v>675000</x:v>
      </x:c>
      <x:c r="T372" s="454">
        <x:v>675000</x:v>
      </x:c>
      <x:c r="U372" s="454">
        <x:v>855000</x:v>
      </x:c>
      <x:c r="V372" s="455">
        <x:v>675000</x:v>
      </x:c>
      <x:c r="W372" s="456">
        <x:f t="shared" si="76"/>
        <x:v>8460000</x:v>
      </x:c>
      <x:c r="X372" s="450">
        <x:f t="shared" si="77"/>
        <x:v>705000</x:v>
      </x:c>
      <x:c r="Y372" s="457" t="s">
        <x:v>812</x:v>
      </x:c>
      <x:c r="Z372" s="458"/>
      <x:c r="AA372" s="458"/>
      <x:c r="AB372" s="458"/>
      <x:c r="AC372" s="458"/>
      <x:c r="AD372" s="458"/>
      <x:c r="AE372" s="458"/>
    </x:row>
    <x:row r="373" spans="1:31" ht="20.100000000000001" customHeight="1">
      <x:c r="A373" s="439" t="s">
        <x:v>766</x:v>
      </x:c>
      <x:c r="B373" s="466" t="str">
        <x:f t="shared" si="72"/>
        <x:v>기타비용</x:v>
      </x:c>
      <x:c r="C373" s="440" t="str">
        <x:f t="shared" si="73"/>
        <x:v>교육훈련비</x:v>
      </x:c>
      <x:c r="D373" s="441">
        <x:v>52140101</x:v>
      </x:c>
      <x:c r="E373" s="442" t="str">
        <x:f t="shared" si="74"/>
        <x:v>교육훈련비_사외교육</x:v>
      </x:c>
      <x:c r="F373" s="443"/>
      <x:c r="G373" s="444" t="s">
        <x:v>249</x:v>
      </x:c>
      <x:c r="H373" s="445" t="str">
        <x:f t="shared" si="71"/>
        <x:v>부품품질팀(E)</x:v>
      </x:c>
      <x:c r="I373" s="446" t="str">
        <x:f t="shared" si="75"/>
        <x:v>[관리비]</x:v>
      </x:c>
      <x:c r="J373" s="445"/>
      <x:c r="K373" s="453">
        <x:v>525000</x:v>
      </x:c>
      <x:c r="L373" s="454">
        <x:v>525000</x:v>
      </x:c>
      <x:c r="M373" s="454">
        <x:v>525000</x:v>
      </x:c>
      <x:c r="N373" s="454">
        <x:v>525000</x:v>
      </x:c>
      <x:c r="O373" s="454">
        <x:v>665000</x:v>
      </x:c>
      <x:c r="P373" s="454">
        <x:v>525000</x:v>
      </x:c>
      <x:c r="Q373" s="454">
        <x:v>525000</x:v>
      </x:c>
      <x:c r="R373" s="454">
        <x:v>525000</x:v>
      </x:c>
      <x:c r="S373" s="454">
        <x:v>525000</x:v>
      </x:c>
      <x:c r="T373" s="454">
        <x:v>525000</x:v>
      </x:c>
      <x:c r="U373" s="454">
        <x:v>665000</x:v>
      </x:c>
      <x:c r="V373" s="455">
        <x:v>525000</x:v>
      </x:c>
      <x:c r="W373" s="456">
        <x:f t="shared" si="76"/>
        <x:v>6580000</x:v>
      </x:c>
      <x:c r="X373" s="450">
        <x:f t="shared" si="77"/>
        <x:v>548333.33333333337</x:v>
      </x:c>
      <x:c r="Y373" s="457" t="s">
        <x:v>812</x:v>
      </x:c>
      <x:c r="Z373" s="458"/>
      <x:c r="AA373" s="458"/>
      <x:c r="AB373" s="458"/>
      <x:c r="AC373" s="458"/>
      <x:c r="AD373" s="458"/>
      <x:c r="AE373" s="458"/>
    </x:row>
    <x:row r="374" spans="1:31" ht="20.100000000000001" customHeight="1">
      <x:c r="A374" s="439" t="s">
        <x:v>766</x:v>
      </x:c>
      <x:c r="B374" s="466" t="str">
        <x:f t="shared" si="72"/>
        <x:v>기타비용</x:v>
      </x:c>
      <x:c r="C374" s="440" t="str">
        <x:f t="shared" si="73"/>
        <x:v>교육훈련비</x:v>
      </x:c>
      <x:c r="D374" s="441">
        <x:v>52140101</x:v>
      </x:c>
      <x:c r="E374" s="442" t="str">
        <x:f t="shared" si="74"/>
        <x:v>교육훈련비_사외교육</x:v>
      </x:c>
      <x:c r="F374" s="443"/>
      <x:c r="G374" s="444" t="s">
        <x:v>80</x:v>
      </x:c>
      <x:c r="H374" s="445" t="str">
        <x:f t="shared" si="71"/>
        <x:v>사업관리팀(E)</x:v>
      </x:c>
      <x:c r="I374" s="446" t="str">
        <x:f t="shared" si="75"/>
        <x:v>[관리비]</x:v>
      </x:c>
      <x:c r="J374" s="445"/>
      <x:c r="K374" s="453">
        <x:v>375000</x:v>
      </x:c>
      <x:c r="L374" s="454">
        <x:v>375000</x:v>
      </x:c>
      <x:c r="M374" s="454">
        <x:v>375000</x:v>
      </x:c>
      <x:c r="N374" s="454">
        <x:v>375000</x:v>
      </x:c>
      <x:c r="O374" s="454">
        <x:v>475000</x:v>
      </x:c>
      <x:c r="P374" s="454">
        <x:v>375000</x:v>
      </x:c>
      <x:c r="Q374" s="454">
        <x:v>375000</x:v>
      </x:c>
      <x:c r="R374" s="454">
        <x:v>375000</x:v>
      </x:c>
      <x:c r="S374" s="454">
        <x:v>375000</x:v>
      </x:c>
      <x:c r="T374" s="454">
        <x:v>375000</x:v>
      </x:c>
      <x:c r="U374" s="454">
        <x:v>475000</x:v>
      </x:c>
      <x:c r="V374" s="455">
        <x:v>375000</x:v>
      </x:c>
      <x:c r="W374" s="456">
        <x:f t="shared" si="76"/>
        <x:v>4700000</x:v>
      </x:c>
      <x:c r="X374" s="450">
        <x:f t="shared" si="77"/>
        <x:v>391666.66666666669</x:v>
      </x:c>
      <x:c r="Y374" s="457" t="s">
        <x:v>812</x:v>
      </x:c>
      <x:c r="Z374" s="458"/>
      <x:c r="AA374" s="458"/>
      <x:c r="AB374" s="458"/>
      <x:c r="AC374" s="458"/>
      <x:c r="AD374" s="458"/>
      <x:c r="AE374" s="458"/>
    </x:row>
    <x:row r="375" spans="1:31" ht="20.100000000000001" customHeight="1">
      <x:c r="A375" s="439" t="s">
        <x:v>766</x:v>
      </x:c>
      <x:c r="B375" s="466" t="str">
        <x:f t="shared" si="72"/>
        <x:v>기타비용</x:v>
      </x:c>
      <x:c r="C375" s="440" t="str">
        <x:f t="shared" si="73"/>
        <x:v>교육훈련비</x:v>
      </x:c>
      <x:c r="D375" s="441">
        <x:v>52140101</x:v>
      </x:c>
      <x:c r="E375" s="442" t="str">
        <x:f t="shared" si="74"/>
        <x:v>교육훈련비_사외교육</x:v>
      </x:c>
      <x:c r="F375" s="443"/>
      <x:c r="G375" s="444" t="s">
        <x:v>82</x:v>
      </x:c>
      <x:c r="H375" s="445" t="str">
        <x:f t="shared" si="71"/>
        <x:v>생산기술팀(E)</x:v>
      </x:c>
      <x:c r="I375" s="446" t="str">
        <x:f t="shared" si="75"/>
        <x:v>[관리비]</x:v>
      </x:c>
      <x:c r="J375" s="445"/>
      <x:c r="K375" s="453">
        <x:v>900000</x:v>
      </x:c>
      <x:c r="L375" s="454">
        <x:v>900000</x:v>
      </x:c>
      <x:c r="M375" s="454">
        <x:v>900000</x:v>
      </x:c>
      <x:c r="N375" s="454">
        <x:v>900000</x:v>
      </x:c>
      <x:c r="O375" s="454">
        <x:v>1140000</x:v>
      </x:c>
      <x:c r="P375" s="454">
        <x:v>900000</x:v>
      </x:c>
      <x:c r="Q375" s="454">
        <x:v>900000</x:v>
      </x:c>
      <x:c r="R375" s="454">
        <x:v>900000</x:v>
      </x:c>
      <x:c r="S375" s="454">
        <x:v>900000</x:v>
      </x:c>
      <x:c r="T375" s="454">
        <x:v>900000</x:v>
      </x:c>
      <x:c r="U375" s="454">
        <x:v>1140000</x:v>
      </x:c>
      <x:c r="V375" s="455">
        <x:v>900000</x:v>
      </x:c>
      <x:c r="W375" s="456">
        <x:f t="shared" si="76"/>
        <x:v>11280000</x:v>
      </x:c>
      <x:c r="X375" s="450">
        <x:f t="shared" si="77"/>
        <x:v>940000</x:v>
      </x:c>
      <x:c r="Y375" s="457" t="s">
        <x:v>812</x:v>
      </x:c>
      <x:c r="Z375" s="458"/>
      <x:c r="AA375" s="458"/>
      <x:c r="AB375" s="458"/>
      <x:c r="AC375" s="458"/>
      <x:c r="AD375" s="458"/>
      <x:c r="AE375" s="458"/>
    </x:row>
    <x:row r="376" spans="1:31" ht="20.100000000000001" customHeight="1">
      <x:c r="A376" s="439" t="s">
        <x:v>766</x:v>
      </x:c>
      <x:c r="B376" s="466" t="str">
        <x:f t="shared" si="72"/>
        <x:v>기타비용</x:v>
      </x:c>
      <x:c r="C376" s="440" t="str">
        <x:f t="shared" si="73"/>
        <x:v>교육훈련비</x:v>
      </x:c>
      <x:c r="D376" s="441">
        <x:v>52140101</x:v>
      </x:c>
      <x:c r="E376" s="442" t="str">
        <x:f t="shared" si="74"/>
        <x:v>교육훈련비_사외교육</x:v>
      </x:c>
      <x:c r="F376" s="443"/>
      <x:c r="G376" s="444" t="s">
        <x:v>245</x:v>
      </x:c>
      <x:c r="H376" s="445" t="str">
        <x:f t="shared" ref="H376:H439" si="78">IFERROR(VLOOKUP($G376,$AK:$AL,2,),"")</x:f>
        <x:v>생산기획팀(E)</x:v>
      </x:c>
      <x:c r="I376" s="446" t="str">
        <x:f t="shared" si="75"/>
        <x:v>[관리비]</x:v>
      </x:c>
      <x:c r="J376" s="445"/>
      <x:c r="K376" s="453">
        <x:v>600000</x:v>
      </x:c>
      <x:c r="L376" s="454">
        <x:v>600000</x:v>
      </x:c>
      <x:c r="M376" s="454">
        <x:v>600000</x:v>
      </x:c>
      <x:c r="N376" s="454">
        <x:v>600000</x:v>
      </x:c>
      <x:c r="O376" s="454">
        <x:v>760000</x:v>
      </x:c>
      <x:c r="P376" s="454">
        <x:v>600000</x:v>
      </x:c>
      <x:c r="Q376" s="454">
        <x:v>600000</x:v>
      </x:c>
      <x:c r="R376" s="454">
        <x:v>600000</x:v>
      </x:c>
      <x:c r="S376" s="454">
        <x:v>600000</x:v>
      </x:c>
      <x:c r="T376" s="454">
        <x:v>600000</x:v>
      </x:c>
      <x:c r="U376" s="454">
        <x:v>760000</x:v>
      </x:c>
      <x:c r="V376" s="455">
        <x:v>600000</x:v>
      </x:c>
      <x:c r="W376" s="456">
        <x:f t="shared" si="76"/>
        <x:v>7520000</x:v>
      </x:c>
      <x:c r="X376" s="450">
        <x:f t="shared" si="77"/>
        <x:v>626666.66666666663</x:v>
      </x:c>
      <x:c r="Y376" s="457" t="s">
        <x:v>812</x:v>
      </x:c>
      <x:c r="Z376" s="458"/>
      <x:c r="AA376" s="458"/>
      <x:c r="AB376" s="458"/>
      <x:c r="AC376" s="458"/>
      <x:c r="AD376" s="458"/>
      <x:c r="AE376" s="458"/>
    </x:row>
    <x:row r="377" spans="1:31" ht="20.100000000000001" customHeight="1">
      <x:c r="A377" s="439" t="s">
        <x:v>766</x:v>
      </x:c>
      <x:c r="B377" s="466" t="str">
        <x:f t="shared" si="72"/>
        <x:v>기타비용</x:v>
      </x:c>
      <x:c r="C377" s="440" t="str">
        <x:f t="shared" si="73"/>
        <x:v>교육훈련비</x:v>
      </x:c>
      <x:c r="D377" s="441">
        <x:v>52140101</x:v>
      </x:c>
      <x:c r="E377" s="442" t="str">
        <x:f t="shared" si="74"/>
        <x:v>교육훈련비_사외교육</x:v>
      </x:c>
      <x:c r="F377" s="443"/>
      <x:c r="G377" s="444" t="s">
        <x:v>253</x:v>
      </x:c>
      <x:c r="H377" s="445" t="str">
        <x:f t="shared" si="78"/>
        <x:v>생산부문(E)</x:v>
      </x:c>
      <x:c r="I377" s="446" t="str">
        <x:f t="shared" si="75"/>
        <x:v>[관리비]</x:v>
      </x:c>
      <x:c r="J377" s="445"/>
      <x:c r="K377" s="453">
        <x:v>75000</x:v>
      </x:c>
      <x:c r="L377" s="454">
        <x:v>75000</x:v>
      </x:c>
      <x:c r="M377" s="454">
        <x:v>75000</x:v>
      </x:c>
      <x:c r="N377" s="454">
        <x:v>75000</x:v>
      </x:c>
      <x:c r="O377" s="454">
        <x:v>95000</x:v>
      </x:c>
      <x:c r="P377" s="454">
        <x:v>75000</x:v>
      </x:c>
      <x:c r="Q377" s="454">
        <x:v>75000</x:v>
      </x:c>
      <x:c r="R377" s="454">
        <x:v>75000</x:v>
      </x:c>
      <x:c r="S377" s="454">
        <x:v>75000</x:v>
      </x:c>
      <x:c r="T377" s="454">
        <x:v>75000</x:v>
      </x:c>
      <x:c r="U377" s="454">
        <x:v>95000</x:v>
      </x:c>
      <x:c r="V377" s="455">
        <x:v>75000</x:v>
      </x:c>
      <x:c r="W377" s="456">
        <x:f t="shared" si="76"/>
        <x:v>940000</x:v>
      </x:c>
      <x:c r="X377" s="450">
        <x:f t="shared" si="77"/>
        <x:v>78333.333333333328</x:v>
      </x:c>
      <x:c r="Y377" s="457" t="s">
        <x:v>812</x:v>
      </x:c>
      <x:c r="Z377" s="458"/>
      <x:c r="AA377" s="458"/>
      <x:c r="AB377" s="458"/>
      <x:c r="AC377" s="458"/>
      <x:c r="AD377" s="458"/>
      <x:c r="AE377" s="458"/>
    </x:row>
    <x:row r="378" spans="1:31" ht="20.100000000000001" customHeight="1">
      <x:c r="A378" s="439" t="s">
        <x:v>766</x:v>
      </x:c>
      <x:c r="B378" s="466" t="str">
        <x:f t="shared" si="72"/>
        <x:v>기타비용</x:v>
      </x:c>
      <x:c r="C378" s="440" t="str">
        <x:f t="shared" si="73"/>
        <x:v>교육훈련비</x:v>
      </x:c>
      <x:c r="D378" s="441">
        <x:v>52140101</x:v>
      </x:c>
      <x:c r="E378" s="442" t="str">
        <x:f t="shared" si="74"/>
        <x:v>교육훈련비_사외교육</x:v>
      </x:c>
      <x:c r="F378" s="443"/>
      <x:c r="G378" s="444" t="s">
        <x:v>251</x:v>
      </x:c>
      <x:c r="H378" s="445" t="str">
        <x:f t="shared" si="78"/>
        <x:v>시작평가팀(E)</x:v>
      </x:c>
      <x:c r="I378" s="446" t="str">
        <x:f t="shared" si="75"/>
        <x:v>[연구개발비]</x:v>
      </x:c>
      <x:c r="J378" s="445"/>
      <x:c r="K378" s="453">
        <x:v>450000</x:v>
      </x:c>
      <x:c r="L378" s="454">
        <x:v>450000</x:v>
      </x:c>
      <x:c r="M378" s="454">
        <x:v>450000</x:v>
      </x:c>
      <x:c r="N378" s="454">
        <x:v>450000</x:v>
      </x:c>
      <x:c r="O378" s="454">
        <x:v>570000</x:v>
      </x:c>
      <x:c r="P378" s="454">
        <x:v>450000</x:v>
      </x:c>
      <x:c r="Q378" s="454">
        <x:v>450000</x:v>
      </x:c>
      <x:c r="R378" s="454">
        <x:v>450000</x:v>
      </x:c>
      <x:c r="S378" s="454">
        <x:v>450000</x:v>
      </x:c>
      <x:c r="T378" s="454">
        <x:v>450000</x:v>
      </x:c>
      <x:c r="U378" s="454">
        <x:v>570000</x:v>
      </x:c>
      <x:c r="V378" s="455">
        <x:v>450000</x:v>
      </x:c>
      <x:c r="W378" s="456">
        <x:f t="shared" si="76"/>
        <x:v>5640000</x:v>
      </x:c>
      <x:c r="X378" s="450">
        <x:f t="shared" si="77"/>
        <x:v>470000</x:v>
      </x:c>
      <x:c r="Y378" s="457" t="s">
        <x:v>812</x:v>
      </x:c>
      <x:c r="Z378" s="458"/>
      <x:c r="AA378" s="458"/>
      <x:c r="AB378" s="458"/>
      <x:c r="AC378" s="458"/>
      <x:c r="AD378" s="458"/>
      <x:c r="AE378" s="458"/>
    </x:row>
    <x:row r="379" spans="1:31" ht="20.100000000000001" customHeight="1">
      <x:c r="A379" s="439" t="s">
        <x:v>766</x:v>
      </x:c>
      <x:c r="B379" s="466" t="str">
        <x:f t="shared" si="72"/>
        <x:v>기타비용</x:v>
      </x:c>
      <x:c r="C379" s="440" t="str">
        <x:f t="shared" si="73"/>
        <x:v>교육훈련비</x:v>
      </x:c>
      <x:c r="D379" s="441">
        <x:v>52140101</x:v>
      </x:c>
      <x:c r="E379" s="442" t="str">
        <x:f t="shared" si="74"/>
        <x:v>교육훈련비_사외교육</x:v>
      </x:c>
      <x:c r="F379" s="443"/>
      <x:c r="G379" s="444" t="s">
        <x:v>114</x:v>
      </x:c>
      <x:c r="H379" s="445" t="str">
        <x:f t="shared" si="78"/>
        <x:v>연구개발부문(E)</x:v>
      </x:c>
      <x:c r="I379" s="446" t="str">
        <x:f t="shared" si="75"/>
        <x:v>[연구개발비]</x:v>
      </x:c>
      <x:c r="J379" s="445"/>
      <x:c r="K379" s="453">
        <x:v>75000</x:v>
      </x:c>
      <x:c r="L379" s="454">
        <x:v>75000</x:v>
      </x:c>
      <x:c r="M379" s="454">
        <x:v>75000</x:v>
      </x:c>
      <x:c r="N379" s="454">
        <x:v>75000</x:v>
      </x:c>
      <x:c r="O379" s="454">
        <x:v>95000</x:v>
      </x:c>
      <x:c r="P379" s="454">
        <x:v>75000</x:v>
      </x:c>
      <x:c r="Q379" s="454">
        <x:v>75000</x:v>
      </x:c>
      <x:c r="R379" s="454">
        <x:v>75000</x:v>
      </x:c>
      <x:c r="S379" s="454">
        <x:v>75000</x:v>
      </x:c>
      <x:c r="T379" s="454">
        <x:v>75000</x:v>
      </x:c>
      <x:c r="U379" s="454">
        <x:v>95000</x:v>
      </x:c>
      <x:c r="V379" s="455">
        <x:v>75000</x:v>
      </x:c>
      <x:c r="W379" s="456">
        <x:f t="shared" si="76"/>
        <x:v>940000</x:v>
      </x:c>
      <x:c r="X379" s="450">
        <x:f t="shared" si="77"/>
        <x:v>78333.333333333328</x:v>
      </x:c>
      <x:c r="Y379" s="457" t="s">
        <x:v>812</x:v>
      </x:c>
      <x:c r="Z379" s="458"/>
      <x:c r="AA379" s="458"/>
      <x:c r="AB379" s="458"/>
      <x:c r="AC379" s="458"/>
      <x:c r="AD379" s="458"/>
      <x:c r="AE379" s="458"/>
    </x:row>
    <x:row r="380" spans="1:31" ht="20.100000000000001" customHeight="1">
      <x:c r="A380" s="439" t="s">
        <x:v>766</x:v>
      </x:c>
      <x:c r="B380" s="466" t="str">
        <x:f t="shared" si="72"/>
        <x:v>기타비용</x:v>
      </x:c>
      <x:c r="C380" s="440" t="str">
        <x:f t="shared" si="73"/>
        <x:v>교육훈련비</x:v>
      </x:c>
      <x:c r="D380" s="441">
        <x:v>52140101</x:v>
      </x:c>
      <x:c r="E380" s="442" t="str">
        <x:f t="shared" si="74"/>
        <x:v>교육훈련비_사외교육</x:v>
      </x:c>
      <x:c r="F380" s="443"/>
      <x:c r="G380" s="444" t="s">
        <x:v>247</x:v>
      </x:c>
      <x:c r="H380" s="445" t="str">
        <x:f t="shared" si="78"/>
        <x:v>영업팀(E)</x:v>
      </x:c>
      <x:c r="I380" s="446" t="str">
        <x:f t="shared" si="75"/>
        <x:v>[판매비]</x:v>
      </x:c>
      <x:c r="J380" s="445"/>
      <x:c r="K380" s="453">
        <x:v>525000</x:v>
      </x:c>
      <x:c r="L380" s="454">
        <x:v>525000</x:v>
      </x:c>
      <x:c r="M380" s="454">
        <x:v>525000</x:v>
      </x:c>
      <x:c r="N380" s="454">
        <x:v>525000</x:v>
      </x:c>
      <x:c r="O380" s="454">
        <x:v>665000</x:v>
      </x:c>
      <x:c r="P380" s="454">
        <x:v>525000</x:v>
      </x:c>
      <x:c r="Q380" s="454">
        <x:v>525000</x:v>
      </x:c>
      <x:c r="R380" s="454">
        <x:v>525000</x:v>
      </x:c>
      <x:c r="S380" s="454">
        <x:v>525000</x:v>
      </x:c>
      <x:c r="T380" s="454">
        <x:v>525000</x:v>
      </x:c>
      <x:c r="U380" s="454">
        <x:v>665000</x:v>
      </x:c>
      <x:c r="V380" s="455">
        <x:v>525000</x:v>
      </x:c>
      <x:c r="W380" s="456">
        <x:f t="shared" si="76"/>
        <x:v>6580000</x:v>
      </x:c>
      <x:c r="X380" s="450">
        <x:f t="shared" si="77"/>
        <x:v>548333.33333333337</x:v>
      </x:c>
      <x:c r="Y380" s="457" t="s">
        <x:v>812</x:v>
      </x:c>
      <x:c r="Z380" s="458"/>
      <x:c r="AA380" s="458"/>
      <x:c r="AB380" s="458"/>
      <x:c r="AC380" s="458"/>
      <x:c r="AD380" s="458"/>
      <x:c r="AE380" s="458"/>
    </x:row>
    <x:row r="381" spans="1:31" ht="20.100000000000001" customHeight="1">
      <x:c r="A381" s="439" t="s">
        <x:v>766</x:v>
      </x:c>
      <x:c r="B381" s="466" t="str">
        <x:f t="shared" si="72"/>
        <x:v>기타비용</x:v>
      </x:c>
      <x:c r="C381" s="440" t="str">
        <x:f t="shared" si="73"/>
        <x:v>교육훈련비</x:v>
      </x:c>
      <x:c r="D381" s="441">
        <x:v>52140101</x:v>
      </x:c>
      <x:c r="E381" s="442" t="str">
        <x:f t="shared" si="74"/>
        <x:v>교육훈련비_사외교육</x:v>
      </x:c>
      <x:c r="F381" s="443"/>
      <x:c r="G381" s="444" t="s">
        <x:v>103</x:v>
      </x:c>
      <x:c r="H381" s="445" t="str">
        <x:f t="shared" si="78"/>
        <x:v>전장사업부(E)</x:v>
      </x:c>
      <x:c r="I381" s="446" t="str">
        <x:f t="shared" si="75"/>
        <x:v>[관리비]</x:v>
      </x:c>
      <x:c r="J381" s="445"/>
      <x:c r="K381" s="453">
        <x:v>75000</x:v>
      </x:c>
      <x:c r="L381" s="454">
        <x:v>75000</x:v>
      </x:c>
      <x:c r="M381" s="454">
        <x:v>75000</x:v>
      </x:c>
      <x:c r="N381" s="454">
        <x:v>75000</x:v>
      </x:c>
      <x:c r="O381" s="454">
        <x:v>95000</x:v>
      </x:c>
      <x:c r="P381" s="454">
        <x:v>75000</x:v>
      </x:c>
      <x:c r="Q381" s="454">
        <x:v>75000</x:v>
      </x:c>
      <x:c r="R381" s="454">
        <x:v>75000</x:v>
      </x:c>
      <x:c r="S381" s="454">
        <x:v>75000</x:v>
      </x:c>
      <x:c r="T381" s="454">
        <x:v>75000</x:v>
      </x:c>
      <x:c r="U381" s="454">
        <x:v>95000</x:v>
      </x:c>
      <x:c r="V381" s="455">
        <x:v>75000</x:v>
      </x:c>
      <x:c r="W381" s="456">
        <x:f t="shared" si="76"/>
        <x:v>940000</x:v>
      </x:c>
      <x:c r="X381" s="450">
        <x:f t="shared" si="77"/>
        <x:v>78333.333333333328</x:v>
      </x:c>
      <x:c r="Y381" s="457" t="s">
        <x:v>812</x:v>
      </x:c>
      <x:c r="Z381" s="458"/>
      <x:c r="AA381" s="458"/>
      <x:c r="AB381" s="458"/>
      <x:c r="AC381" s="458"/>
      <x:c r="AD381" s="458"/>
      <x:c r="AE381" s="458"/>
    </x:row>
    <x:row r="382" spans="1:31" ht="20.100000000000001" customHeight="1">
      <x:c r="A382" s="439" t="s">
        <x:v>766</x:v>
      </x:c>
      <x:c r="B382" s="466" t="str">
        <x:f t="shared" si="72"/>
        <x:v>기타비용</x:v>
      </x:c>
      <x:c r="C382" s="440" t="str">
        <x:f t="shared" si="73"/>
        <x:v>교육훈련비</x:v>
      </x:c>
      <x:c r="D382" s="441">
        <x:v>52140101</x:v>
      </x:c>
      <x:c r="E382" s="442" t="str">
        <x:f t="shared" si="74"/>
        <x:v>교육훈련비_사외교육</x:v>
      </x:c>
      <x:c r="F382" s="443"/>
      <x:c r="G382" s="444" t="s">
        <x:v>99</x:v>
      </x:c>
      <x:c r="H382" s="445" t="str">
        <x:f t="shared" si="78"/>
        <x:v>전장설계1팀(E)</x:v>
      </x:c>
      <x:c r="I382" s="446" t="str">
        <x:f t="shared" si="75"/>
        <x:v>[연구개발비]</x:v>
      </x:c>
      <x:c r="J382" s="445"/>
      <x:c r="K382" s="453">
        <x:v>525000</x:v>
      </x:c>
      <x:c r="L382" s="454">
        <x:v>525000</x:v>
      </x:c>
      <x:c r="M382" s="454">
        <x:v>525000</x:v>
      </x:c>
      <x:c r="N382" s="454">
        <x:v>525000</x:v>
      </x:c>
      <x:c r="O382" s="454">
        <x:v>665000</x:v>
      </x:c>
      <x:c r="P382" s="454">
        <x:v>525000</x:v>
      </x:c>
      <x:c r="Q382" s="454">
        <x:v>525000</x:v>
      </x:c>
      <x:c r="R382" s="454">
        <x:v>525000</x:v>
      </x:c>
      <x:c r="S382" s="454">
        <x:v>525000</x:v>
      </x:c>
      <x:c r="T382" s="454">
        <x:v>525000</x:v>
      </x:c>
      <x:c r="U382" s="454">
        <x:v>665000</x:v>
      </x:c>
      <x:c r="V382" s="455">
        <x:v>525000</x:v>
      </x:c>
      <x:c r="W382" s="456">
        <x:f t="shared" si="76"/>
        <x:v>6580000</x:v>
      </x:c>
      <x:c r="X382" s="450">
        <x:f t="shared" si="77"/>
        <x:v>548333.33333333337</x:v>
      </x:c>
      <x:c r="Y382" s="457" t="s">
        <x:v>812</x:v>
      </x:c>
      <x:c r="Z382" s="458"/>
      <x:c r="AA382" s="458"/>
      <x:c r="AB382" s="458"/>
      <x:c r="AC382" s="458"/>
      <x:c r="AD382" s="458"/>
      <x:c r="AE382" s="458"/>
    </x:row>
    <x:row r="383" spans="1:31" ht="20.100000000000001" customHeight="1">
      <x:c r="A383" s="439" t="s">
        <x:v>766</x:v>
      </x:c>
      <x:c r="B383" s="466" t="str">
        <x:f t="shared" si="72"/>
        <x:v>기타비용</x:v>
      </x:c>
      <x:c r="C383" s="440" t="str">
        <x:f t="shared" si="73"/>
        <x:v>교육훈련비</x:v>
      </x:c>
      <x:c r="D383" s="441">
        <x:v>52140101</x:v>
      </x:c>
      <x:c r="E383" s="442" t="str">
        <x:f t="shared" si="74"/>
        <x:v>교육훈련비_사외교육</x:v>
      </x:c>
      <x:c r="F383" s="443"/>
      <x:c r="G383" s="444" t="s">
        <x:v>101</x:v>
      </x:c>
      <x:c r="H383" s="445" t="str">
        <x:f t="shared" si="78"/>
        <x:v>전장설계2팀(E)</x:v>
      </x:c>
      <x:c r="I383" s="446" t="str">
        <x:f t="shared" si="75"/>
        <x:v>[연구개발비]</x:v>
      </x:c>
      <x:c r="J383" s="445"/>
      <x:c r="K383" s="453">
        <x:v>900000</x:v>
      </x:c>
      <x:c r="L383" s="454">
        <x:v>900000</x:v>
      </x:c>
      <x:c r="M383" s="454">
        <x:v>900000</x:v>
      </x:c>
      <x:c r="N383" s="454">
        <x:v>900000</x:v>
      </x:c>
      <x:c r="O383" s="454">
        <x:v>1140000</x:v>
      </x:c>
      <x:c r="P383" s="454">
        <x:v>900000</x:v>
      </x:c>
      <x:c r="Q383" s="454">
        <x:v>900000</x:v>
      </x:c>
      <x:c r="R383" s="454">
        <x:v>900000</x:v>
      </x:c>
      <x:c r="S383" s="454">
        <x:v>900000</x:v>
      </x:c>
      <x:c r="T383" s="454">
        <x:v>900000</x:v>
      </x:c>
      <x:c r="U383" s="454">
        <x:v>1140000</x:v>
      </x:c>
      <x:c r="V383" s="455">
        <x:v>900000</x:v>
      </x:c>
      <x:c r="W383" s="456">
        <x:f t="shared" si="76"/>
        <x:v>11280000</x:v>
      </x:c>
      <x:c r="X383" s="450">
        <x:f t="shared" si="77"/>
        <x:v>940000</x:v>
      </x:c>
      <x:c r="Y383" s="457" t="s">
        <x:v>812</x:v>
      </x:c>
      <x:c r="Z383" s="458"/>
      <x:c r="AA383" s="458"/>
      <x:c r="AB383" s="458"/>
      <x:c r="AC383" s="458"/>
      <x:c r="AD383" s="458"/>
      <x:c r="AE383" s="458"/>
    </x:row>
    <x:row r="384" spans="1:31" ht="20.100000000000001" customHeight="1">
      <x:c r="A384" s="439" t="s">
        <x:v>766</x:v>
      </x:c>
      <x:c r="B384" s="466" t="str">
        <x:f t="shared" si="72"/>
        <x:v>기타비용</x:v>
      </x:c>
      <x:c r="C384" s="440" t="str">
        <x:f t="shared" si="73"/>
        <x:v>교육훈련비</x:v>
      </x:c>
      <x:c r="D384" s="441">
        <x:v>52140101</x:v>
      </x:c>
      <x:c r="E384" s="442" t="str">
        <x:f t="shared" si="74"/>
        <x:v>교육훈련비_사외교육</x:v>
      </x:c>
      <x:c r="F384" s="443"/>
      <x:c r="G384" s="444" t="s">
        <x:v>104</x:v>
      </x:c>
      <x:c r="H384" s="445" t="str">
        <x:f t="shared" si="78"/>
        <x:v>제품개발팀(E)</x:v>
      </x:c>
      <x:c r="I384" s="446" t="str">
        <x:f t="shared" si="75"/>
        <x:v>[연구개발비]</x:v>
      </x:c>
      <x:c r="J384" s="445"/>
      <x:c r="K384" s="453">
        <x:v>525000</x:v>
      </x:c>
      <x:c r="L384" s="454">
        <x:v>525000</x:v>
      </x:c>
      <x:c r="M384" s="454">
        <x:v>525000</x:v>
      </x:c>
      <x:c r="N384" s="454">
        <x:v>525000</x:v>
      </x:c>
      <x:c r="O384" s="454">
        <x:v>665000</x:v>
      </x:c>
      <x:c r="P384" s="454">
        <x:v>525000</x:v>
      </x:c>
      <x:c r="Q384" s="454">
        <x:v>525000</x:v>
      </x:c>
      <x:c r="R384" s="454">
        <x:v>525000</x:v>
      </x:c>
      <x:c r="S384" s="454">
        <x:v>525000</x:v>
      </x:c>
      <x:c r="T384" s="454">
        <x:v>525000</x:v>
      </x:c>
      <x:c r="U384" s="454">
        <x:v>665000</x:v>
      </x:c>
      <x:c r="V384" s="455">
        <x:v>525000</x:v>
      </x:c>
      <x:c r="W384" s="456">
        <x:f t="shared" si="76"/>
        <x:v>6580000</x:v>
      </x:c>
      <x:c r="X384" s="450">
        <x:f t="shared" si="77"/>
        <x:v>548333.33333333337</x:v>
      </x:c>
      <x:c r="Y384" s="457" t="s">
        <x:v>812</x:v>
      </x:c>
      <x:c r="Z384" s="458"/>
      <x:c r="AA384" s="458"/>
      <x:c r="AB384" s="458"/>
      <x:c r="AC384" s="458"/>
      <x:c r="AD384" s="458"/>
      <x:c r="AE384" s="458"/>
    </x:row>
    <x:row r="385" spans="1:31" ht="20.100000000000001" customHeight="1">
      <x:c r="A385" s="439" t="s">
        <x:v>766</x:v>
      </x:c>
      <x:c r="B385" s="466" t="str">
        <x:f t="shared" si="72"/>
        <x:v>기타비용</x:v>
      </x:c>
      <x:c r="C385" s="440" t="str">
        <x:f t="shared" si="73"/>
        <x:v>교육훈련비</x:v>
      </x:c>
      <x:c r="D385" s="441">
        <x:v>52140101</x:v>
      </x:c>
      <x:c r="E385" s="442" t="str">
        <x:f t="shared" si="74"/>
        <x:v>교육훈련비_사외교육</x:v>
      </x:c>
      <x:c r="F385" s="443"/>
      <x:c r="G385" s="444" t="s">
        <x:v>84</x:v>
      </x:c>
      <x:c r="H385" s="445" t="str">
        <x:f t="shared" si="78"/>
        <x:v>품질경영팀(E)</x:v>
      </x:c>
      <x:c r="I385" s="446" t="str">
        <x:f t="shared" si="75"/>
        <x:v>[관리비]</x:v>
      </x:c>
      <x:c r="J385" s="445"/>
      <x:c r="K385" s="453">
        <x:v>675000</x:v>
      </x:c>
      <x:c r="L385" s="454">
        <x:v>675000</x:v>
      </x:c>
      <x:c r="M385" s="454">
        <x:v>675000</x:v>
      </x:c>
      <x:c r="N385" s="454">
        <x:v>675000</x:v>
      </x:c>
      <x:c r="O385" s="454">
        <x:v>855000</x:v>
      </x:c>
      <x:c r="P385" s="454">
        <x:v>675000</x:v>
      </x:c>
      <x:c r="Q385" s="454">
        <x:v>675000</x:v>
      </x:c>
      <x:c r="R385" s="454">
        <x:v>675000</x:v>
      </x:c>
      <x:c r="S385" s="454">
        <x:v>675000</x:v>
      </x:c>
      <x:c r="T385" s="454">
        <x:v>675000</x:v>
      </x:c>
      <x:c r="U385" s="454">
        <x:v>855000</x:v>
      </x:c>
      <x:c r="V385" s="455">
        <x:v>675000</x:v>
      </x:c>
      <x:c r="W385" s="456">
        <x:f t="shared" si="76"/>
        <x:v>8460000</x:v>
      </x:c>
      <x:c r="X385" s="450">
        <x:f t="shared" si="77"/>
        <x:v>705000</x:v>
      </x:c>
      <x:c r="Y385" s="457" t="s">
        <x:v>812</x:v>
      </x:c>
      <x:c r="Z385" s="458"/>
      <x:c r="AA385" s="458"/>
      <x:c r="AB385" s="458"/>
      <x:c r="AC385" s="458"/>
      <x:c r="AD385" s="458"/>
      <x:c r="AE385" s="458"/>
    </x:row>
    <x:row r="386" spans="1:31" ht="20.100000000000001" customHeight="1">
      <x:c r="A386" s="439" t="s">
        <x:v>766</x:v>
      </x:c>
      <x:c r="B386" s="466" t="str">
        <x:f t="shared" si="72"/>
        <x:v>기타비용</x:v>
      </x:c>
      <x:c r="C386" s="440" t="str">
        <x:f t="shared" si="73"/>
        <x:v>교육훈련비</x:v>
      </x:c>
      <x:c r="D386" s="441">
        <x:v>52140101</x:v>
      </x:c>
      <x:c r="E386" s="442" t="str">
        <x:f t="shared" si="74"/>
        <x:v>교육훈련비_사외교육</x:v>
      </x:c>
      <x:c r="F386" s="443"/>
      <x:c r="G386" s="444" t="s">
        <x:v>256</x:v>
      </x:c>
      <x:c r="H386" s="445" t="str">
        <x:f t="shared" si="78"/>
        <x:v>품질부문(E)</x:v>
      </x:c>
      <x:c r="I386" s="446" t="str">
        <x:f t="shared" si="75"/>
        <x:v>[관리비]</x:v>
      </x:c>
      <x:c r="J386" s="445"/>
      <x:c r="K386" s="453">
        <x:v>75000</x:v>
      </x:c>
      <x:c r="L386" s="454">
        <x:v>75000</x:v>
      </x:c>
      <x:c r="M386" s="454">
        <x:v>75000</x:v>
      </x:c>
      <x:c r="N386" s="454">
        <x:v>75000</x:v>
      </x:c>
      <x:c r="O386" s="454">
        <x:v>95000</x:v>
      </x:c>
      <x:c r="P386" s="454">
        <x:v>75000</x:v>
      </x:c>
      <x:c r="Q386" s="454">
        <x:v>75000</x:v>
      </x:c>
      <x:c r="R386" s="454">
        <x:v>75000</x:v>
      </x:c>
      <x:c r="S386" s="454">
        <x:v>75000</x:v>
      </x:c>
      <x:c r="T386" s="454">
        <x:v>75000</x:v>
      </x:c>
      <x:c r="U386" s="454">
        <x:v>95000</x:v>
      </x:c>
      <x:c r="V386" s="455">
        <x:v>75000</x:v>
      </x:c>
      <x:c r="W386" s="456">
        <x:f t="shared" si="76"/>
        <x:v>940000</x:v>
      </x:c>
      <x:c r="X386" s="450">
        <x:f t="shared" si="77"/>
        <x:v>78333.333333333328</x:v>
      </x:c>
      <x:c r="Y386" s="457" t="s">
        <x:v>812</x:v>
      </x:c>
      <x:c r="Z386" s="458"/>
      <x:c r="AA386" s="458"/>
      <x:c r="AB386" s="458"/>
      <x:c r="AC386" s="458"/>
      <x:c r="AD386" s="458"/>
      <x:c r="AE386" s="458"/>
    </x:row>
    <x:row r="387" spans="1:31" ht="20.100000000000001" customHeight="1">
      <x:c r="A387" s="439" t="s">
        <x:v>766</x:v>
      </x:c>
      <x:c r="B387" s="466" t="str">
        <x:f t="shared" ref="B387:B450" si="79">IFERROR(VLOOKUP($C387,$AH:$AI,2,),"")</x:f>
        <x:v>복리후생비</x:v>
      </x:c>
      <x:c r="C387" s="440" t="str">
        <x:f t="shared" ref="C387:C450" si="80">IFERROR(VLOOKUP($D387,$AO:$AQ,3,),"")</x:f>
        <x:v>후생비</x:v>
      </x:c>
      <x:c r="D387" s="441">
        <x:v>52130111</x:v>
      </x:c>
      <x:c r="E387" s="442" t="str">
        <x:f t="shared" ref="E387:E450" si="81">IFERROR(VLOOKUP($D387,$AO:$AQ,2,),"")</x:f>
        <x:v>후생비_시상금</x:v>
      </x:c>
      <x:c r="F387" s="443"/>
      <x:c r="G387" s="444" t="s">
        <x:v>80</x:v>
      </x:c>
      <x:c r="H387" s="445" t="str">
        <x:f t="shared" si="78"/>
        <x:v>사업관리팀(E)</x:v>
      </x:c>
      <x:c r="I387" s="446" t="str">
        <x:f t="shared" ref="I387:I450" si="82">IFERROR(VLOOKUP($G387,$AK:$AM,3,),"")</x:f>
        <x:v>[관리비]</x:v>
      </x:c>
      <x:c r="J387" s="445"/>
      <x:c r="K387" s="453">
        <x:v>0</x:v>
      </x:c>
      <x:c r="L387" s="454">
        <x:v>0</x:v>
      </x:c>
      <x:c r="M387" s="454">
        <x:v>0</x:v>
      </x:c>
      <x:c r="N387" s="454">
        <x:v>0</x:v>
      </x:c>
      <x:c r="O387" s="454">
        <x:v>0</x:v>
      </x:c>
      <x:c r="P387" s="454">
        <x:v>0</x:v>
      </x:c>
      <x:c r="Q387" s="454">
        <x:v>0</x:v>
      </x:c>
      <x:c r="R387" s="454">
        <x:v>0</x:v>
      </x:c>
      <x:c r="S387" s="454">
        <x:v>2200000</x:v>
      </x:c>
      <x:c r="T387" s="454">
        <x:v>0</x:v>
      </x:c>
      <x:c r="U387" s="454">
        <x:v>0</x:v>
      </x:c>
      <x:c r="V387" s="455">
        <x:v>0</x:v>
      </x:c>
      <x:c r="W387" s="456">
        <x:f t="shared" si="76"/>
        <x:v>2200000</x:v>
      </x:c>
      <x:c r="X387" s="450">
        <x:f t="shared" si="77"/>
        <x:v>183333.33333333334</x:v>
      </x:c>
      <x:c r="Y387" s="457" t="s">
        <x:v>813</x:v>
      </x:c>
      <x:c r="Z387" s="458"/>
      <x:c r="AA387" s="458"/>
      <x:c r="AB387" s="458"/>
      <x:c r="AC387" s="458"/>
      <x:c r="AD387" s="458"/>
      <x:c r="AE387" s="458"/>
    </x:row>
    <x:row r="388" spans="1:31" ht="20.100000000000001" customHeight="1">
      <x:c r="A388" s="439" t="s">
        <x:v>766</x:v>
      </x:c>
      <x:c r="B388" s="466" t="str">
        <x:f t="shared" si="79"/>
        <x:v>복리후생비</x:v>
      </x:c>
      <x:c r="C388" s="440" t="str">
        <x:f t="shared" si="80"/>
        <x:v>후생비</x:v>
      </x:c>
      <x:c r="D388" s="441">
        <x:v>52130111</x:v>
      </x:c>
      <x:c r="E388" s="442" t="str">
        <x:f t="shared" si="81"/>
        <x:v>후생비_시상금</x:v>
      </x:c>
      <x:c r="F388" s="443"/>
      <x:c r="G388" s="444" t="s">
        <x:v>106</x:v>
      </x:c>
      <x:c r="H388" s="445" t="str">
        <x:f t="shared" si="78"/>
        <x:v>구매팀(E)</x:v>
      </x:c>
      <x:c r="I388" s="446" t="str">
        <x:f t="shared" si="82"/>
        <x:v>[관리비]</x:v>
      </x:c>
      <x:c r="J388" s="445"/>
      <x:c r="K388" s="453">
        <x:v>0</x:v>
      </x:c>
      <x:c r="L388" s="454">
        <x:v>0</x:v>
      </x:c>
      <x:c r="M388" s="454">
        <x:v>0</x:v>
      </x:c>
      <x:c r="N388" s="454">
        <x:v>0</x:v>
      </x:c>
      <x:c r="O388" s="454">
        <x:v>0</x:v>
      </x:c>
      <x:c r="P388" s="454">
        <x:v>0</x:v>
      </x:c>
      <x:c r="Q388" s="454">
        <x:v>0</x:v>
      </x:c>
      <x:c r="R388" s="454">
        <x:v>0</x:v>
      </x:c>
      <x:c r="S388" s="454">
        <x:v>4400000</x:v>
      </x:c>
      <x:c r="T388" s="454">
        <x:v>0</x:v>
      </x:c>
      <x:c r="U388" s="454">
        <x:v>0</x:v>
      </x:c>
      <x:c r="V388" s="455">
        <x:v>0</x:v>
      </x:c>
      <x:c r="W388" s="456">
        <x:f t="shared" si="76"/>
        <x:v>4400000</x:v>
      </x:c>
      <x:c r="X388" s="450">
        <x:f t="shared" si="77"/>
        <x:v>366666.66666666669</x:v>
      </x:c>
      <x:c r="Y388" s="457" t="s">
        <x:v>813</x:v>
      </x:c>
      <x:c r="Z388" s="458"/>
      <x:c r="AA388" s="458"/>
      <x:c r="AB388" s="458"/>
      <x:c r="AC388" s="458"/>
      <x:c r="AD388" s="458"/>
      <x:c r="AE388" s="458"/>
    </x:row>
    <x:row r="389" spans="1:31" ht="20.100000000000001" customHeight="1">
      <x:c r="A389" s="439" t="s">
        <x:v>766</x:v>
      </x:c>
      <x:c r="B389" s="466" t="str">
        <x:f t="shared" si="79"/>
        <x:v>복리후생비</x:v>
      </x:c>
      <x:c r="C389" s="440" t="str">
        <x:f t="shared" si="80"/>
        <x:v>후생비</x:v>
      </x:c>
      <x:c r="D389" s="441">
        <x:v>52130111</x:v>
      </x:c>
      <x:c r="E389" s="442" t="str">
        <x:f t="shared" si="81"/>
        <x:v>후생비_시상금</x:v>
      </x:c>
      <x:c r="F389" s="443"/>
      <x:c r="G389" s="444" t="s">
        <x:v>249</x:v>
      </x:c>
      <x:c r="H389" s="445" t="str">
        <x:f t="shared" si="78"/>
        <x:v>부품품질팀(E)</x:v>
      </x:c>
      <x:c r="I389" s="446" t="str">
        <x:f t="shared" si="82"/>
        <x:v>[관리비]</x:v>
      </x:c>
      <x:c r="J389" s="445"/>
      <x:c r="K389" s="453">
        <x:v>0</x:v>
      </x:c>
      <x:c r="L389" s="454">
        <x:v>0</x:v>
      </x:c>
      <x:c r="M389" s="454">
        <x:v>0</x:v>
      </x:c>
      <x:c r="N389" s="454">
        <x:v>0</x:v>
      </x:c>
      <x:c r="O389" s="454">
        <x:v>0</x:v>
      </x:c>
      <x:c r="P389" s="454">
        <x:v>0</x:v>
      </x:c>
      <x:c r="Q389" s="454">
        <x:v>0</x:v>
      </x:c>
      <x:c r="R389" s="454">
        <x:v>0</x:v>
      </x:c>
      <x:c r="S389" s="454">
        <x:v>2200000</x:v>
      </x:c>
      <x:c r="T389" s="454">
        <x:v>0</x:v>
      </x:c>
      <x:c r="U389" s="454">
        <x:v>0</x:v>
      </x:c>
      <x:c r="V389" s="455">
        <x:v>0</x:v>
      </x:c>
      <x:c r="W389" s="456">
        <x:f t="shared" si="76"/>
        <x:v>2200000</x:v>
      </x:c>
      <x:c r="X389" s="450">
        <x:f t="shared" si="77"/>
        <x:v>183333.33333333334</x:v>
      </x:c>
      <x:c r="Y389" s="457" t="s">
        <x:v>813</x:v>
      </x:c>
      <x:c r="Z389" s="458"/>
      <x:c r="AA389" s="458"/>
      <x:c r="AB389" s="458"/>
      <x:c r="AC389" s="458"/>
      <x:c r="AD389" s="458"/>
      <x:c r="AE389" s="458"/>
    </x:row>
    <x:row r="390" spans="1:31" ht="20.100000000000001" customHeight="1">
      <x:c r="A390" s="439" t="s">
        <x:v>766</x:v>
      </x:c>
      <x:c r="B390" s="466" t="str">
        <x:f t="shared" si="79"/>
        <x:v>복리후생비</x:v>
      </x:c>
      <x:c r="C390" s="440" t="str">
        <x:f t="shared" si="80"/>
        <x:v>후생비</x:v>
      </x:c>
      <x:c r="D390" s="441">
        <x:v>52130111</x:v>
      </x:c>
      <x:c r="E390" s="442" t="str">
        <x:f t="shared" si="81"/>
        <x:v>후생비_시상금</x:v>
      </x:c>
      <x:c r="F390" s="443"/>
      <x:c r="G390" s="444" t="s">
        <x:v>247</x:v>
      </x:c>
      <x:c r="H390" s="445" t="str">
        <x:f t="shared" si="78"/>
        <x:v>영업팀(E)</x:v>
      </x:c>
      <x:c r="I390" s="446" t="str">
        <x:f t="shared" si="82"/>
        <x:v>[판매비]</x:v>
      </x:c>
      <x:c r="J390" s="445"/>
      <x:c r="K390" s="453">
        <x:v>0</x:v>
      </x:c>
      <x:c r="L390" s="454">
        <x:v>0</x:v>
      </x:c>
      <x:c r="M390" s="454">
        <x:v>0</x:v>
      </x:c>
      <x:c r="N390" s="454">
        <x:v>0</x:v>
      </x:c>
      <x:c r="O390" s="454">
        <x:v>0</x:v>
      </x:c>
      <x:c r="P390" s="454">
        <x:v>0</x:v>
      </x:c>
      <x:c r="Q390" s="454">
        <x:v>0</x:v>
      </x:c>
      <x:c r="R390" s="454">
        <x:v>0</x:v>
      </x:c>
      <x:c r="S390" s="454">
        <x:v>2200000</x:v>
      </x:c>
      <x:c r="T390" s="454">
        <x:v>0</x:v>
      </x:c>
      <x:c r="U390" s="454">
        <x:v>0</x:v>
      </x:c>
      <x:c r="V390" s="455">
        <x:v>2000000</x:v>
      </x:c>
      <x:c r="W390" s="456">
        <x:f t="shared" si="76"/>
        <x:v>4200000</x:v>
      </x:c>
      <x:c r="X390" s="450">
        <x:f t="shared" si="77"/>
        <x:v>350000</x:v>
      </x:c>
      <x:c r="Y390" s="457" t="s">
        <x:v>813</x:v>
      </x:c>
      <x:c r="Z390" s="458"/>
      <x:c r="AA390" s="458"/>
      <x:c r="AB390" s="458"/>
      <x:c r="AC390" s="458"/>
      <x:c r="AD390" s="458"/>
      <x:c r="AE390" s="458"/>
    </x:row>
    <x:row r="391" spans="1:31" ht="20.100000000000001" customHeight="1">
      <x:c r="A391" s="439" t="s">
        <x:v>766</x:v>
      </x:c>
      <x:c r="B391" s="466" t="str">
        <x:f t="shared" si="79"/>
        <x:v>복리후생비</x:v>
      </x:c>
      <x:c r="C391" s="440" t="str">
        <x:f t="shared" si="80"/>
        <x:v>후생비</x:v>
      </x:c>
      <x:c r="D391" s="441">
        <x:v>52130111</x:v>
      </x:c>
      <x:c r="E391" s="442" t="str">
        <x:f t="shared" si="81"/>
        <x:v>후생비_시상금</x:v>
      </x:c>
      <x:c r="F391" s="443"/>
      <x:c r="G391" s="444" t="s">
        <x:v>245</x:v>
      </x:c>
      <x:c r="H391" s="445" t="str">
        <x:f t="shared" si="78"/>
        <x:v>생산기획팀(E)</x:v>
      </x:c>
      <x:c r="I391" s="446" t="str">
        <x:f t="shared" si="82"/>
        <x:v>[관리비]</x:v>
      </x:c>
      <x:c r="J391" s="445"/>
      <x:c r="K391" s="453">
        <x:v>0</x:v>
      </x:c>
      <x:c r="L391" s="454">
        <x:v>0</x:v>
      </x:c>
      <x:c r="M391" s="454">
        <x:v>0</x:v>
      </x:c>
      <x:c r="N391" s="454">
        <x:v>0</x:v>
      </x:c>
      <x:c r="O391" s="454">
        <x:v>0</x:v>
      </x:c>
      <x:c r="P391" s="454">
        <x:v>0</x:v>
      </x:c>
      <x:c r="Q391" s="454">
        <x:v>0</x:v>
      </x:c>
      <x:c r="R391" s="454">
        <x:v>0</x:v>
      </x:c>
      <x:c r="S391" s="454">
        <x:v>0</x:v>
      </x:c>
      <x:c r="T391" s="454">
        <x:v>0</x:v>
      </x:c>
      <x:c r="U391" s="454">
        <x:v>0</x:v>
      </x:c>
      <x:c r="V391" s="455">
        <x:v>2000000</x:v>
      </x:c>
      <x:c r="W391" s="456">
        <x:f t="shared" si="76"/>
        <x:v>2000000</x:v>
      </x:c>
      <x:c r="X391" s="450">
        <x:f t="shared" si="77"/>
        <x:v>166666.66666666666</x:v>
      </x:c>
      <x:c r="Y391" s="457" t="s">
        <x:v>813</x:v>
      </x:c>
      <x:c r="Z391" s="458"/>
      <x:c r="AA391" s="458"/>
      <x:c r="AB391" s="458"/>
      <x:c r="AC391" s="458"/>
      <x:c r="AD391" s="458"/>
      <x:c r="AE391" s="458"/>
    </x:row>
    <x:row r="392" spans="1:31" ht="20.100000000000001" customHeight="1">
      <x:c r="A392" s="439" t="s">
        <x:v>767</x:v>
      </x:c>
      <x:c r="B392" s="466" t="str">
        <x:f t="shared" si="79"/>
        <x:v>유지비용</x:v>
      </x:c>
      <x:c r="C392" s="440" t="str">
        <x:f t="shared" si="80"/>
        <x:v>소모품비</x:v>
      </x:c>
      <x:c r="D392" s="441">
        <x:v>52330102</x:v>
      </x:c>
      <x:c r="E392" s="442" t="str">
        <x:f t="shared" si="81"/>
        <x:v>소모품비_문구</x:v>
      </x:c>
      <x:c r="F392" s="443"/>
      <x:c r="G392" s="444" t="s">
        <x:v>101</x:v>
      </x:c>
      <x:c r="H392" s="445" t="str">
        <x:f t="shared" si="78"/>
        <x:v>전장설계2팀(E)</x:v>
      </x:c>
      <x:c r="I392" s="446" t="str">
        <x:f t="shared" si="82"/>
        <x:v>[연구개발비]</x:v>
      </x:c>
      <x:c r="J392" s="445"/>
      <x:c r="K392" s="453">
        <x:v>23935.5</x:v>
      </x:c>
      <x:c r="L392" s="454">
        <x:v>23935.5</x:v>
      </x:c>
      <x:c r="M392" s="454">
        <x:v>23935.5</x:v>
      </x:c>
      <x:c r="N392" s="454">
        <x:v>23935.5</x:v>
      </x:c>
      <x:c r="O392" s="454">
        <x:v>23935.5</x:v>
      </x:c>
      <x:c r="P392" s="454">
        <x:v>23935.5</x:v>
      </x:c>
      <x:c r="Q392" s="454">
        <x:v>23935.5</x:v>
      </x:c>
      <x:c r="R392" s="454">
        <x:v>23935.5</x:v>
      </x:c>
      <x:c r="S392" s="454">
        <x:v>23935.5</x:v>
      </x:c>
      <x:c r="T392" s="454">
        <x:v>23935.5</x:v>
      </x:c>
      <x:c r="U392" s="454">
        <x:v>23935.5</x:v>
      </x:c>
      <x:c r="V392" s="455">
        <x:v>23935.5</x:v>
      </x:c>
      <x:c r="W392" s="456">
        <x:f t="shared" si="76"/>
        <x:v>287226</x:v>
      </x:c>
      <x:c r="X392" s="450">
        <x:f t="shared" si="77"/>
        <x:v>23935.5</x:v>
      </x:c>
      <x:c r="Y392" s="457" t="s">
        <x:v>814</x:v>
      </x:c>
      <x:c r="Z392" s="458"/>
      <x:c r="AA392" s="458"/>
      <x:c r="AB392" s="458"/>
      <x:c r="AC392" s="458"/>
      <x:c r="AD392" s="458"/>
      <x:c r="AE392" s="458"/>
    </x:row>
    <x:row r="393" spans="1:31" ht="20.100000000000001" customHeight="1">
      <x:c r="A393" s="439" t="s">
        <x:v>767</x:v>
      </x:c>
      <x:c r="B393" s="466" t="str">
        <x:f t="shared" si="79"/>
        <x:v>유지비용</x:v>
      </x:c>
      <x:c r="C393" s="440" t="str">
        <x:f t="shared" si="80"/>
        <x:v>소모품비</x:v>
      </x:c>
      <x:c r="D393" s="441">
        <x:v>52330102</x:v>
      </x:c>
      <x:c r="E393" s="442" t="str">
        <x:f t="shared" si="81"/>
        <x:v>소모품비_문구</x:v>
      </x:c>
      <x:c r="F393" s="443"/>
      <x:c r="G393" s="444" t="s">
        <x:v>104</x:v>
      </x:c>
      <x:c r="H393" s="445" t="str">
        <x:f t="shared" si="78"/>
        <x:v>제품개발팀(E)</x:v>
      </x:c>
      <x:c r="I393" s="446" t="str">
        <x:f t="shared" si="82"/>
        <x:v>[연구개발비]</x:v>
      </x:c>
      <x:c r="J393" s="445"/>
      <x:c r="K393" s="453">
        <x:v>34012</x:v>
      </x:c>
      <x:c r="L393" s="454">
        <x:v>34012</x:v>
      </x:c>
      <x:c r="M393" s="454">
        <x:v>34012</x:v>
      </x:c>
      <x:c r="N393" s="454">
        <x:v>34012</x:v>
      </x:c>
      <x:c r="O393" s="454">
        <x:v>34012</x:v>
      </x:c>
      <x:c r="P393" s="454">
        <x:v>34012</x:v>
      </x:c>
      <x:c r="Q393" s="454">
        <x:v>34012</x:v>
      </x:c>
      <x:c r="R393" s="454">
        <x:v>34012</x:v>
      </x:c>
      <x:c r="S393" s="454">
        <x:v>34012</x:v>
      </x:c>
      <x:c r="T393" s="454">
        <x:v>34012</x:v>
      </x:c>
      <x:c r="U393" s="454">
        <x:v>34012</x:v>
      </x:c>
      <x:c r="V393" s="455">
        <x:v>34012</x:v>
      </x:c>
      <x:c r="W393" s="456">
        <x:f t="shared" si="76"/>
        <x:v>408144</x:v>
      </x:c>
      <x:c r="X393" s="450">
        <x:f t="shared" si="77"/>
        <x:v>34012</x:v>
      </x:c>
      <x:c r="Y393" s="457" t="s">
        <x:v>814</x:v>
      </x:c>
      <x:c r="Z393" s="458"/>
      <x:c r="AA393" s="458"/>
      <x:c r="AB393" s="458"/>
      <x:c r="AC393" s="458"/>
      <x:c r="AD393" s="458"/>
      <x:c r="AE393" s="458"/>
    </x:row>
    <x:row r="394" spans="1:31" ht="20.100000000000001" customHeight="1">
      <x:c r="A394" s="439" t="s">
        <x:v>767</x:v>
      </x:c>
      <x:c r="B394" s="466" t="str">
        <x:f t="shared" si="79"/>
        <x:v>유지비용</x:v>
      </x:c>
      <x:c r="C394" s="440" t="str">
        <x:f t="shared" si="80"/>
        <x:v>소모품비</x:v>
      </x:c>
      <x:c r="D394" s="441">
        <x:v>52330102</x:v>
      </x:c>
      <x:c r="E394" s="442" t="str">
        <x:f t="shared" si="81"/>
        <x:v>소모품비_문구</x:v>
      </x:c>
      <x:c r="F394" s="443"/>
      <x:c r="G394" s="444" t="s">
        <x:v>82</x:v>
      </x:c>
      <x:c r="H394" s="445" t="str">
        <x:f t="shared" si="78"/>
        <x:v>생산기술팀(E)</x:v>
      </x:c>
      <x:c r="I394" s="446" t="str">
        <x:f t="shared" si="82"/>
        <x:v>[관리비]</x:v>
      </x:c>
      <x:c r="J394" s="445"/>
      <x:c r="K394" s="453">
        <x:v>3443</x:v>
      </x:c>
      <x:c r="L394" s="454">
        <x:v>3443</x:v>
      </x:c>
      <x:c r="M394" s="454">
        <x:v>3443</x:v>
      </x:c>
      <x:c r="N394" s="454">
        <x:v>3443</x:v>
      </x:c>
      <x:c r="O394" s="454">
        <x:v>3443</x:v>
      </x:c>
      <x:c r="P394" s="454">
        <x:v>3443</x:v>
      </x:c>
      <x:c r="Q394" s="454">
        <x:v>3443</x:v>
      </x:c>
      <x:c r="R394" s="454">
        <x:v>3443</x:v>
      </x:c>
      <x:c r="S394" s="454">
        <x:v>3443</x:v>
      </x:c>
      <x:c r="T394" s="454">
        <x:v>3443</x:v>
      </x:c>
      <x:c r="U394" s="454">
        <x:v>3443</x:v>
      </x:c>
      <x:c r="V394" s="455">
        <x:v>3443</x:v>
      </x:c>
      <x:c r="W394" s="456">
        <x:f t="shared" si="76"/>
        <x:v>41316</x:v>
      </x:c>
      <x:c r="X394" s="450">
        <x:f t="shared" si="77"/>
        <x:v>3443</x:v>
      </x:c>
      <x:c r="Y394" s="457" t="s">
        <x:v>814</x:v>
      </x:c>
      <x:c r="Z394" s="458"/>
      <x:c r="AA394" s="458"/>
      <x:c r="AB394" s="458"/>
      <x:c r="AC394" s="458"/>
      <x:c r="AD394" s="458"/>
      <x:c r="AE394" s="458"/>
    </x:row>
    <x:row r="395" spans="1:31" ht="20.100000000000001" customHeight="1">
      <x:c r="A395" s="439" t="s">
        <x:v>767</x:v>
      </x:c>
      <x:c r="B395" s="466" t="str">
        <x:f t="shared" si="79"/>
        <x:v>유지비용</x:v>
      </x:c>
      <x:c r="C395" s="440" t="str">
        <x:f t="shared" si="80"/>
        <x:v>소모품비</x:v>
      </x:c>
      <x:c r="D395" s="441">
        <x:v>52330102</x:v>
      </x:c>
      <x:c r="E395" s="442" t="str">
        <x:f t="shared" si="81"/>
        <x:v>소모품비_문구</x:v>
      </x:c>
      <x:c r="F395" s="443"/>
      <x:c r="G395" s="444" t="s">
        <x:v>249</x:v>
      </x:c>
      <x:c r="H395" s="445" t="str">
        <x:f t="shared" si="78"/>
        <x:v>부품품질팀(E)</x:v>
      </x:c>
      <x:c r="I395" s="446" t="str">
        <x:f t="shared" si="82"/>
        <x:v>[관리비]</x:v>
      </x:c>
      <x:c r="J395" s="445"/>
      <x:c r="K395" s="453">
        <x:v>31894</x:v>
      </x:c>
      <x:c r="L395" s="454">
        <x:v>31894</x:v>
      </x:c>
      <x:c r="M395" s="454">
        <x:v>31894</x:v>
      </x:c>
      <x:c r="N395" s="454">
        <x:v>31894</x:v>
      </x:c>
      <x:c r="O395" s="454">
        <x:v>31894</x:v>
      </x:c>
      <x:c r="P395" s="454">
        <x:v>31894</x:v>
      </x:c>
      <x:c r="Q395" s="454">
        <x:v>31894</x:v>
      </x:c>
      <x:c r="R395" s="454">
        <x:v>31894</x:v>
      </x:c>
      <x:c r="S395" s="454">
        <x:v>31894</x:v>
      </x:c>
      <x:c r="T395" s="454">
        <x:v>31894</x:v>
      </x:c>
      <x:c r="U395" s="454">
        <x:v>31894</x:v>
      </x:c>
      <x:c r="V395" s="455">
        <x:v>31894</x:v>
      </x:c>
      <x:c r="W395" s="456">
        <x:f t="shared" si="76"/>
        <x:v>382728</x:v>
      </x:c>
      <x:c r="X395" s="450">
        <x:f t="shared" si="77"/>
        <x:v>31894</x:v>
      </x:c>
      <x:c r="Y395" s="457" t="s">
        <x:v>814</x:v>
      </x:c>
      <x:c r="Z395" s="458"/>
      <x:c r="AA395" s="458"/>
      <x:c r="AB395" s="458"/>
      <x:c r="AC395" s="458"/>
      <x:c r="AD395" s="458"/>
      <x:c r="AE395" s="458"/>
    </x:row>
    <x:row r="396" spans="1:31" ht="20.100000000000001" customHeight="1">
      <x:c r="A396" s="439" t="s">
        <x:v>767</x:v>
      </x:c>
      <x:c r="B396" s="466" t="str">
        <x:f t="shared" si="79"/>
        <x:v>유지비용</x:v>
      </x:c>
      <x:c r="C396" s="440" t="str">
        <x:f t="shared" si="80"/>
        <x:v>소모품비</x:v>
      </x:c>
      <x:c r="D396" s="441">
        <x:v>52330102</x:v>
      </x:c>
      <x:c r="E396" s="442" t="str">
        <x:f t="shared" si="81"/>
        <x:v>소모품비_문구</x:v>
      </x:c>
      <x:c r="F396" s="443"/>
      <x:c r="G396" s="444" t="s">
        <x:v>247</x:v>
      </x:c>
      <x:c r="H396" s="445" t="str">
        <x:f t="shared" si="78"/>
        <x:v>영업팀(E)</x:v>
      </x:c>
      <x:c r="I396" s="446" t="str">
        <x:f t="shared" si="82"/>
        <x:v>[판매비]</x:v>
      </x:c>
      <x:c r="J396" s="445"/>
      <x:c r="K396" s="453">
        <x:v>38454</x:v>
      </x:c>
      <x:c r="L396" s="454">
        <x:v>38454</x:v>
      </x:c>
      <x:c r="M396" s="454">
        <x:v>38454</x:v>
      </x:c>
      <x:c r="N396" s="454">
        <x:v>38454</x:v>
      </x:c>
      <x:c r="O396" s="454">
        <x:v>38454</x:v>
      </x:c>
      <x:c r="P396" s="454">
        <x:v>38454</x:v>
      </x:c>
      <x:c r="Q396" s="454">
        <x:v>38454</x:v>
      </x:c>
      <x:c r="R396" s="454">
        <x:v>38454</x:v>
      </x:c>
      <x:c r="S396" s="454">
        <x:v>38454</x:v>
      </x:c>
      <x:c r="T396" s="454">
        <x:v>38454</x:v>
      </x:c>
      <x:c r="U396" s="454">
        <x:v>38454</x:v>
      </x:c>
      <x:c r="V396" s="455">
        <x:v>38454</x:v>
      </x:c>
      <x:c r="W396" s="456">
        <x:f t="shared" si="76"/>
        <x:v>461448</x:v>
      </x:c>
      <x:c r="X396" s="450">
        <x:f t="shared" si="77"/>
        <x:v>38454</x:v>
      </x:c>
      <x:c r="Y396" s="457" t="s">
        <x:v>814</x:v>
      </x:c>
      <x:c r="Z396" s="458"/>
      <x:c r="AA396" s="458"/>
      <x:c r="AB396" s="458"/>
      <x:c r="AC396" s="458"/>
      <x:c r="AD396" s="458"/>
      <x:c r="AE396" s="458"/>
    </x:row>
    <x:row r="397" spans="1:31" ht="20.100000000000001" customHeight="1">
      <x:c r="A397" s="439" t="s">
        <x:v>767</x:v>
      </x:c>
      <x:c r="B397" s="466" t="str">
        <x:f t="shared" si="79"/>
        <x:v>유지비용</x:v>
      </x:c>
      <x:c r="C397" s="440" t="str">
        <x:f t="shared" si="80"/>
        <x:v>소모품비</x:v>
      </x:c>
      <x:c r="D397" s="441">
        <x:v>52330101</x:v>
      </x:c>
      <x:c r="E397" s="442" t="str">
        <x:f t="shared" si="81"/>
        <x:v>소모품비_전산소모품</x:v>
      </x:c>
      <x:c r="F397" s="443"/>
      <x:c r="G397" s="444" t="s">
        <x:v>101</x:v>
      </x:c>
      <x:c r="H397" s="445" t="str">
        <x:f t="shared" si="78"/>
        <x:v>전장설계2팀(E)</x:v>
      </x:c>
      <x:c r="I397" s="446" t="str">
        <x:f t="shared" si="82"/>
        <x:v>[연구개발비]</x:v>
      </x:c>
      <x:c r="J397" s="445"/>
      <x:c r="K397" s="453">
        <x:v>0</x:v>
      </x:c>
      <x:c r="L397" s="454">
        <x:v>0</x:v>
      </x:c>
      <x:c r="M397" s="454">
        <x:v>0</x:v>
      </x:c>
      <x:c r="N397" s="454">
        <x:v>0</x:v>
      </x:c>
      <x:c r="O397" s="454">
        <x:v>0</x:v>
      </x:c>
      <x:c r="P397" s="454">
        <x:v>1460000</x:v>
      </x:c>
      <x:c r="Q397" s="454">
        <x:v>0</x:v>
      </x:c>
      <x:c r="R397" s="454">
        <x:v>0</x:v>
      </x:c>
      <x:c r="S397" s="454">
        <x:v>0</x:v>
      </x:c>
      <x:c r="T397" s="454">
        <x:v>0</x:v>
      </x:c>
      <x:c r="U397" s="454">
        <x:v>0</x:v>
      </x:c>
      <x:c r="V397" s="455">
        <x:v>0</x:v>
      </x:c>
      <x:c r="W397" s="456">
        <x:f t="shared" si="76"/>
        <x:v>1460000</x:v>
      </x:c>
      <x:c r="X397" s="450">
        <x:f t="shared" si="77"/>
        <x:v>121666.66666666667</x:v>
      </x:c>
      <x:c r="Y397" s="457" t="s">
        <x:v>815</x:v>
      </x:c>
      <x:c r="Z397" s="458"/>
      <x:c r="AA397" s="458"/>
      <x:c r="AB397" s="458"/>
      <x:c r="AC397" s="458"/>
      <x:c r="AD397" s="458"/>
      <x:c r="AE397" s="458"/>
    </x:row>
    <x:row r="398" spans="1:31" ht="20.100000000000001" customHeight="1">
      <x:c r="A398" s="439" t="s">
        <x:v>767</x:v>
      </x:c>
      <x:c r="B398" s="466" t="str">
        <x:f t="shared" si="79"/>
        <x:v>유지비용</x:v>
      </x:c>
      <x:c r="C398" s="440" t="str">
        <x:f t="shared" si="80"/>
        <x:v>소모품비</x:v>
      </x:c>
      <x:c r="D398" s="441">
        <x:v>52330101</x:v>
      </x:c>
      <x:c r="E398" s="442" t="str">
        <x:f t="shared" si="81"/>
        <x:v>소모품비_전산소모품</x:v>
      </x:c>
      <x:c r="F398" s="443"/>
      <x:c r="G398" s="444" t="s">
        <x:v>106</x:v>
      </x:c>
      <x:c r="H398" s="445" t="str">
        <x:f t="shared" si="78"/>
        <x:v>구매팀(E)</x:v>
      </x:c>
      <x:c r="I398" s="446" t="str">
        <x:f t="shared" si="82"/>
        <x:v>[관리비]</x:v>
      </x:c>
      <x:c r="J398" s="445"/>
      <x:c r="K398" s="453">
        <x:v>0</x:v>
      </x:c>
      <x:c r="L398" s="454">
        <x:v>0</x:v>
      </x:c>
      <x:c r="M398" s="454">
        <x:v>0</x:v>
      </x:c>
      <x:c r="N398" s="454">
        <x:v>0</x:v>
      </x:c>
      <x:c r="O398" s="454">
        <x:v>0</x:v>
      </x:c>
      <x:c r="P398" s="454">
        <x:v>1460000</x:v>
      </x:c>
      <x:c r="Q398" s="454">
        <x:v>0</x:v>
      </x:c>
      <x:c r="R398" s="454">
        <x:v>0</x:v>
      </x:c>
      <x:c r="S398" s="454">
        <x:v>0</x:v>
      </x:c>
      <x:c r="T398" s="454">
        <x:v>0</x:v>
      </x:c>
      <x:c r="U398" s="454">
        <x:v>0</x:v>
      </x:c>
      <x:c r="V398" s="455">
        <x:v>0</x:v>
      </x:c>
      <x:c r="W398" s="456">
        <x:f t="shared" si="76"/>
        <x:v>1460000</x:v>
      </x:c>
      <x:c r="X398" s="450">
        <x:f t="shared" si="77"/>
        <x:v>121666.66666666667</x:v>
      </x:c>
      <x:c r="Y398" s="457" t="s">
        <x:v>815</x:v>
      </x:c>
      <x:c r="Z398" s="458"/>
      <x:c r="AA398" s="458"/>
      <x:c r="AB398" s="458"/>
      <x:c r="AC398" s="458"/>
      <x:c r="AD398" s="458"/>
      <x:c r="AE398" s="458"/>
    </x:row>
    <x:row r="399" spans="1:31" ht="20.100000000000001" customHeight="1">
      <x:c r="A399" s="439" t="s">
        <x:v>767</x:v>
      </x:c>
      <x:c r="B399" s="466" t="str">
        <x:f t="shared" si="79"/>
        <x:v>유지비용</x:v>
      </x:c>
      <x:c r="C399" s="440" t="str">
        <x:f t="shared" si="80"/>
        <x:v>소모품비</x:v>
      </x:c>
      <x:c r="D399" s="441">
        <x:v>52330101</x:v>
      </x:c>
      <x:c r="E399" s="442" t="str">
        <x:f t="shared" si="81"/>
        <x:v>소모품비_전산소모품</x:v>
      </x:c>
      <x:c r="F399" s="443"/>
      <x:c r="G399" s="444" t="s">
        <x:v>82</x:v>
      </x:c>
      <x:c r="H399" s="445" t="str">
        <x:f t="shared" si="78"/>
        <x:v>생산기술팀(E)</x:v>
      </x:c>
      <x:c r="I399" s="446" t="str">
        <x:f t="shared" si="82"/>
        <x:v>[관리비]</x:v>
      </x:c>
      <x:c r="J399" s="445"/>
      <x:c r="K399" s="453">
        <x:v>0</x:v>
      </x:c>
      <x:c r="L399" s="454">
        <x:v>0</x:v>
      </x:c>
      <x:c r="M399" s="454">
        <x:v>0</x:v>
      </x:c>
      <x:c r="N399" s="454">
        <x:v>0</x:v>
      </x:c>
      <x:c r="O399" s="454">
        <x:v>0</x:v>
      </x:c>
      <x:c r="P399" s="454">
        <x:v>1460000</x:v>
      </x:c>
      <x:c r="Q399" s="454">
        <x:v>0</x:v>
      </x:c>
      <x:c r="R399" s="454">
        <x:v>0</x:v>
      </x:c>
      <x:c r="S399" s="454">
        <x:v>0</x:v>
      </x:c>
      <x:c r="T399" s="454">
        <x:v>0</x:v>
      </x:c>
      <x:c r="U399" s="454">
        <x:v>0</x:v>
      </x:c>
      <x:c r="V399" s="455">
        <x:v>0</x:v>
      </x:c>
      <x:c r="W399" s="456">
        <x:f t="shared" si="76"/>
        <x:v>1460000</x:v>
      </x:c>
      <x:c r="X399" s="450">
        <x:f t="shared" si="77"/>
        <x:v>121666.66666666667</x:v>
      </x:c>
      <x:c r="Y399" s="457" t="s">
        <x:v>815</x:v>
      </x:c>
      <x:c r="Z399" s="458"/>
      <x:c r="AA399" s="458"/>
      <x:c r="AB399" s="458"/>
      <x:c r="AC399" s="458"/>
      <x:c r="AD399" s="458"/>
      <x:c r="AE399" s="458"/>
    </x:row>
    <x:row r="400" spans="1:31" ht="20.100000000000001" customHeight="1">
      <x:c r="A400" s="439" t="s">
        <x:v>767</x:v>
      </x:c>
      <x:c r="B400" s="466" t="str">
        <x:f t="shared" si="79"/>
        <x:v>유지비용</x:v>
      </x:c>
      <x:c r="C400" s="440" t="str">
        <x:f t="shared" si="80"/>
        <x:v>소모품비</x:v>
      </x:c>
      <x:c r="D400" s="441">
        <x:v>52330101</x:v>
      </x:c>
      <x:c r="E400" s="442" t="str">
        <x:f t="shared" si="81"/>
        <x:v>소모품비_전산소모품</x:v>
      </x:c>
      <x:c r="F400" s="443"/>
      <x:c r="G400" s="444" t="s">
        <x:v>84</x:v>
      </x:c>
      <x:c r="H400" s="445" t="str">
        <x:f t="shared" si="78"/>
        <x:v>품질경영팀(E)</x:v>
      </x:c>
      <x:c r="I400" s="446" t="str">
        <x:f t="shared" si="82"/>
        <x:v>[관리비]</x:v>
      </x:c>
      <x:c r="J400" s="445"/>
      <x:c r="K400" s="453">
        <x:v>0</x:v>
      </x:c>
      <x:c r="L400" s="454">
        <x:v>0</x:v>
      </x:c>
      <x:c r="M400" s="454">
        <x:v>0</x:v>
      </x:c>
      <x:c r="N400" s="454">
        <x:v>0</x:v>
      </x:c>
      <x:c r="O400" s="454">
        <x:v>0</x:v>
      </x:c>
      <x:c r="P400" s="454">
        <x:v>1460000</x:v>
      </x:c>
      <x:c r="Q400" s="454">
        <x:v>0</x:v>
      </x:c>
      <x:c r="R400" s="454">
        <x:v>0</x:v>
      </x:c>
      <x:c r="S400" s="454">
        <x:v>0</x:v>
      </x:c>
      <x:c r="T400" s="454">
        <x:v>0</x:v>
      </x:c>
      <x:c r="U400" s="454">
        <x:v>0</x:v>
      </x:c>
      <x:c r="V400" s="455">
        <x:v>0</x:v>
      </x:c>
      <x:c r="W400" s="456">
        <x:f t="shared" si="76"/>
        <x:v>1460000</x:v>
      </x:c>
      <x:c r="X400" s="450">
        <x:f t="shared" si="77"/>
        <x:v>121666.66666666667</x:v>
      </x:c>
      <x:c r="Y400" s="457" t="s">
        <x:v>815</x:v>
      </x:c>
      <x:c r="Z400" s="458"/>
      <x:c r="AA400" s="458"/>
      <x:c r="AB400" s="458"/>
      <x:c r="AC400" s="458"/>
      <x:c r="AD400" s="458"/>
      <x:c r="AE400" s="458"/>
    </x:row>
    <x:row r="401" spans="1:31" ht="20.100000000000001" customHeight="1">
      <x:c r="A401" s="439" t="s">
        <x:v>767</x:v>
      </x:c>
      <x:c r="B401" s="466" t="str">
        <x:f t="shared" si="79"/>
        <x:v>유지비용</x:v>
      </x:c>
      <x:c r="C401" s="440" t="str">
        <x:f t="shared" si="80"/>
        <x:v>소모품비</x:v>
      </x:c>
      <x:c r="D401" s="441">
        <x:v>52330101</x:v>
      </x:c>
      <x:c r="E401" s="442" t="str">
        <x:f t="shared" si="81"/>
        <x:v>소모품비_전산소모품</x:v>
      </x:c>
      <x:c r="F401" s="443"/>
      <x:c r="G401" s="444" t="s">
        <x:v>245</x:v>
      </x:c>
      <x:c r="H401" s="445" t="str">
        <x:f t="shared" si="78"/>
        <x:v>생산기획팀(E)</x:v>
      </x:c>
      <x:c r="I401" s="446" t="str">
        <x:f t="shared" si="82"/>
        <x:v>[관리비]</x:v>
      </x:c>
      <x:c r="J401" s="445"/>
      <x:c r="K401" s="453">
        <x:v>0</x:v>
      </x:c>
      <x:c r="L401" s="454">
        <x:v>0</x:v>
      </x:c>
      <x:c r="M401" s="454">
        <x:v>0</x:v>
      </x:c>
      <x:c r="N401" s="454">
        <x:v>0</x:v>
      </x:c>
      <x:c r="O401" s="454">
        <x:v>0</x:v>
      </x:c>
      <x:c r="P401" s="454">
        <x:v>2920000</x:v>
      </x:c>
      <x:c r="Q401" s="454">
        <x:v>0</x:v>
      </x:c>
      <x:c r="R401" s="454">
        <x:v>0</x:v>
      </x:c>
      <x:c r="S401" s="454">
        <x:v>0</x:v>
      </x:c>
      <x:c r="T401" s="454">
        <x:v>0</x:v>
      </x:c>
      <x:c r="U401" s="454">
        <x:v>0</x:v>
      </x:c>
      <x:c r="V401" s="455">
        <x:v>0</x:v>
      </x:c>
      <x:c r="W401" s="456">
        <x:f t="shared" si="76"/>
        <x:v>2920000</x:v>
      </x:c>
      <x:c r="X401" s="450">
        <x:f t="shared" si="77"/>
        <x:v>243333.33333333334</x:v>
      </x:c>
      <x:c r="Y401" s="457" t="s">
        <x:v>815</x:v>
      </x:c>
      <x:c r="Z401" s="458"/>
      <x:c r="AA401" s="458"/>
      <x:c r="AB401" s="458"/>
      <x:c r="AC401" s="458"/>
      <x:c r="AD401" s="458"/>
      <x:c r="AE401" s="458"/>
    </x:row>
    <x:row r="402" spans="1:31" ht="20.100000000000001" customHeight="1">
      <x:c r="A402" s="439" t="s">
        <x:v>767</x:v>
      </x:c>
      <x:c r="B402" s="466" t="str">
        <x:f t="shared" si="79"/>
        <x:v>유지비용</x:v>
      </x:c>
      <x:c r="C402" s="440" t="str">
        <x:f t="shared" si="80"/>
        <x:v>소모품비</x:v>
      </x:c>
      <x:c r="D402" s="441">
        <x:v>52330101</x:v>
      </x:c>
      <x:c r="E402" s="442" t="str">
        <x:f t="shared" si="81"/>
        <x:v>소모품비_전산소모품</x:v>
      </x:c>
      <x:c r="F402" s="443"/>
      <x:c r="G402" s="444" t="s">
        <x:v>256</x:v>
      </x:c>
      <x:c r="H402" s="445" t="str">
        <x:f t="shared" si="78"/>
        <x:v>품질부문(E)</x:v>
      </x:c>
      <x:c r="I402" s="446" t="str">
        <x:f t="shared" si="82"/>
        <x:v>[관리비]</x:v>
      </x:c>
      <x:c r="J402" s="445"/>
      <x:c r="K402" s="453">
        <x:v>0</x:v>
      </x:c>
      <x:c r="L402" s="454">
        <x:v>0</x:v>
      </x:c>
      <x:c r="M402" s="454">
        <x:v>0</x:v>
      </x:c>
      <x:c r="N402" s="454">
        <x:v>0</x:v>
      </x:c>
      <x:c r="O402" s="454">
        <x:v>0</x:v>
      </x:c>
      <x:c r="P402" s="454">
        <x:v>1460000</x:v>
      </x:c>
      <x:c r="Q402" s="454">
        <x:v>0</x:v>
      </x:c>
      <x:c r="R402" s="454">
        <x:v>0</x:v>
      </x:c>
      <x:c r="S402" s="454">
        <x:v>0</x:v>
      </x:c>
      <x:c r="T402" s="454">
        <x:v>0</x:v>
      </x:c>
      <x:c r="U402" s="454">
        <x:v>0</x:v>
      </x:c>
      <x:c r="V402" s="455">
        <x:v>0</x:v>
      </x:c>
      <x:c r="W402" s="456">
        <x:f t="shared" si="76"/>
        <x:v>1460000</x:v>
      </x:c>
      <x:c r="X402" s="450">
        <x:f t="shared" si="77"/>
        <x:v>121666.66666666667</x:v>
      </x:c>
      <x:c r="Y402" s="457" t="s">
        <x:v>815</x:v>
      </x:c>
      <x:c r="Z402" s="458"/>
      <x:c r="AA402" s="458"/>
      <x:c r="AB402" s="458"/>
      <x:c r="AC402" s="458"/>
      <x:c r="AD402" s="458"/>
      <x:c r="AE402" s="458"/>
    </x:row>
    <x:row r="403" spans="1:31" ht="20.100000000000001" customHeight="1">
      <x:c r="A403" s="439" t="s">
        <x:v>767</x:v>
      </x:c>
      <x:c r="B403" s="466" t="str">
        <x:f t="shared" si="79"/>
        <x:v>유지비용</x:v>
      </x:c>
      <x:c r="C403" s="440" t="str">
        <x:f t="shared" si="80"/>
        <x:v>소모품비</x:v>
      </x:c>
      <x:c r="D403" s="441">
        <x:v>52330101</x:v>
      </x:c>
      <x:c r="E403" s="442" t="str">
        <x:f t="shared" si="81"/>
        <x:v>소모품비_전산소모품</x:v>
      </x:c>
      <x:c r="F403" s="443"/>
      <x:c r="G403" s="444" t="s">
        <x:v>249</x:v>
      </x:c>
      <x:c r="H403" s="445" t="str">
        <x:f t="shared" si="78"/>
        <x:v>부품품질팀(E)</x:v>
      </x:c>
      <x:c r="I403" s="446" t="str">
        <x:f t="shared" si="82"/>
        <x:v>[관리비]</x:v>
      </x:c>
      <x:c r="J403" s="445"/>
      <x:c r="K403" s="453">
        <x:v>0</x:v>
      </x:c>
      <x:c r="L403" s="454">
        <x:v>0</x:v>
      </x:c>
      <x:c r="M403" s="454">
        <x:v>0</x:v>
      </x:c>
      <x:c r="N403" s="454">
        <x:v>0</x:v>
      </x:c>
      <x:c r="O403" s="454">
        <x:v>0</x:v>
      </x:c>
      <x:c r="P403" s="454">
        <x:v>2920000</x:v>
      </x:c>
      <x:c r="Q403" s="454">
        <x:v>0</x:v>
      </x:c>
      <x:c r="R403" s="454">
        <x:v>0</x:v>
      </x:c>
      <x:c r="S403" s="454">
        <x:v>0</x:v>
      </x:c>
      <x:c r="T403" s="454">
        <x:v>0</x:v>
      </x:c>
      <x:c r="U403" s="454">
        <x:v>0</x:v>
      </x:c>
      <x:c r="V403" s="455">
        <x:v>0</x:v>
      </x:c>
      <x:c r="W403" s="456">
        <x:f t="shared" si="76"/>
        <x:v>2920000</x:v>
      </x:c>
      <x:c r="X403" s="450">
        <x:f t="shared" si="77"/>
        <x:v>243333.33333333334</x:v>
      </x:c>
      <x:c r="Y403" s="457" t="s">
        <x:v>815</x:v>
      </x:c>
      <x:c r="Z403" s="458"/>
      <x:c r="AA403" s="458"/>
      <x:c r="AB403" s="458"/>
      <x:c r="AC403" s="458"/>
      <x:c r="AD403" s="458"/>
      <x:c r="AE403" s="458"/>
    </x:row>
    <x:row r="404" spans="1:31" ht="20.100000000000001" customHeight="1">
      <x:c r="A404" s="439" t="s">
        <x:v>767</x:v>
      </x:c>
      <x:c r="B404" s="466" t="str">
        <x:f t="shared" si="79"/>
        <x:v>여비교통비</x:v>
      </x:c>
      <x:c r="C404" s="440" t="str">
        <x:f t="shared" si="80"/>
        <x:v>여비교통비</x:v>
      </x:c>
      <x:c r="D404" s="441">
        <x:v>52150105</x:v>
      </x:c>
      <x:c r="E404" s="442" t="str">
        <x:f t="shared" si="81"/>
        <x:v>여비교통비_시내</x:v>
      </x:c>
      <x:c r="F404" s="443"/>
      <x:c r="G404" s="444" t="s">
        <x:v>150</x:v>
      </x:c>
      <x:c r="H404" s="445" t="str">
        <x:f t="shared" si="78"/>
        <x:v>구매영업부문(E)</x:v>
      </x:c>
      <x:c r="I404" s="446" t="str">
        <x:f t="shared" si="82"/>
        <x:v>[판매비]</x:v>
      </x:c>
      <x:c r="J404" s="445"/>
      <x:c r="K404" s="453">
        <x:v>147083.33333333334</x:v>
      </x:c>
      <x:c r="L404" s="454">
        <x:v>147083.33333333334</x:v>
      </x:c>
      <x:c r="M404" s="454">
        <x:v>147083.33333333334</x:v>
      </x:c>
      <x:c r="N404" s="454">
        <x:v>147083.33333333334</x:v>
      </x:c>
      <x:c r="O404" s="454">
        <x:v>147083.33333333334</x:v>
      </x:c>
      <x:c r="P404" s="454">
        <x:v>147083.33333333334</x:v>
      </x:c>
      <x:c r="Q404" s="454">
        <x:v>147083.33333333334</x:v>
      </x:c>
      <x:c r="R404" s="454">
        <x:v>147083.33333333334</x:v>
      </x:c>
      <x:c r="S404" s="454">
        <x:v>147083.33333333334</x:v>
      </x:c>
      <x:c r="T404" s="454">
        <x:v>147083.33333333334</x:v>
      </x:c>
      <x:c r="U404" s="454">
        <x:v>147083.33333333334</x:v>
      </x:c>
      <x:c r="V404" s="455">
        <x:v>147083.33333333334</x:v>
      </x:c>
      <x:c r="W404" s="456">
        <x:f t="shared" si="76"/>
        <x:v>1764999.9999999998</x:v>
      </x:c>
      <x:c r="X404" s="450">
        <x:f t="shared" si="77"/>
        <x:v>147083.33333333331</x:v>
      </x:c>
      <x:c r="Y404" s="457" t="s">
        <x:v>816</x:v>
      </x:c>
      <x:c r="Z404" s="458"/>
      <x:c r="AA404" s="458"/>
      <x:c r="AB404" s="458"/>
      <x:c r="AC404" s="458"/>
      <x:c r="AD404" s="458"/>
      <x:c r="AE404" s="458"/>
    </x:row>
    <x:row r="405" spans="1:31" ht="20.100000000000001" customHeight="1">
      <x:c r="A405" s="439" t="s">
        <x:v>767</x:v>
      </x:c>
      <x:c r="B405" s="466" t="str">
        <x:f t="shared" si="79"/>
        <x:v>여비교통비</x:v>
      </x:c>
      <x:c r="C405" s="440" t="str">
        <x:f t="shared" si="80"/>
        <x:v>여비교통비</x:v>
      </x:c>
      <x:c r="D405" s="441">
        <x:v>52150105</x:v>
      </x:c>
      <x:c r="E405" s="442" t="str">
        <x:f t="shared" si="81"/>
        <x:v>여비교통비_시내</x:v>
      </x:c>
      <x:c r="F405" s="443"/>
      <x:c r="G405" s="444" t="s">
        <x:v>253</x:v>
      </x:c>
      <x:c r="H405" s="445" t="str">
        <x:f t="shared" si="78"/>
        <x:v>생산부문(E)</x:v>
      </x:c>
      <x:c r="I405" s="446" t="str">
        <x:f t="shared" si="82"/>
        <x:v>[관리비]</x:v>
      </x:c>
      <x:c r="J405" s="445"/>
      <x:c r="K405" s="453">
        <x:v>91666.666666666672</x:v>
      </x:c>
      <x:c r="L405" s="454">
        <x:v>91666.666666666672</x:v>
      </x:c>
      <x:c r="M405" s="454">
        <x:v>91666.666666666672</x:v>
      </x:c>
      <x:c r="N405" s="454">
        <x:v>91666.666666666672</x:v>
      </x:c>
      <x:c r="O405" s="454">
        <x:v>91666.666666666672</x:v>
      </x:c>
      <x:c r="P405" s="454">
        <x:v>91666.666666666672</x:v>
      </x:c>
      <x:c r="Q405" s="454">
        <x:v>91666.666666666672</x:v>
      </x:c>
      <x:c r="R405" s="454">
        <x:v>91666.666666666672</x:v>
      </x:c>
      <x:c r="S405" s="454">
        <x:v>91666.666666666672</x:v>
      </x:c>
      <x:c r="T405" s="454">
        <x:v>91666.666666666672</x:v>
      </x:c>
      <x:c r="U405" s="454">
        <x:v>91666.666666666672</x:v>
      </x:c>
      <x:c r="V405" s="455">
        <x:v>91666.666666666672</x:v>
      </x:c>
      <x:c r="W405" s="456">
        <x:f t="shared" si="76"/>
        <x:v>1099999.9999999998</x:v>
      </x:c>
      <x:c r="X405" s="450">
        <x:f t="shared" si="77"/>
        <x:v>91666.666666666642</x:v>
      </x:c>
      <x:c r="Y405" s="457" t="s">
        <x:v>816</x:v>
      </x:c>
      <x:c r="Z405" s="458"/>
      <x:c r="AA405" s="458"/>
      <x:c r="AB405" s="458"/>
      <x:c r="AC405" s="458"/>
      <x:c r="AD405" s="458"/>
      <x:c r="AE405" s="458"/>
    </x:row>
    <x:row r="406" spans="1:31" ht="20.100000000000001" customHeight="1">
      <x:c r="A406" s="439" t="s">
        <x:v>767</x:v>
      </x:c>
      <x:c r="B406" s="466" t="str">
        <x:f t="shared" si="79"/>
        <x:v>여비교통비</x:v>
      </x:c>
      <x:c r="C406" s="440" t="str">
        <x:f t="shared" si="80"/>
        <x:v>여비교통비</x:v>
      </x:c>
      <x:c r="D406" s="441">
        <x:v>52150105</x:v>
      </x:c>
      <x:c r="E406" s="442" t="str">
        <x:f t="shared" si="81"/>
        <x:v>여비교통비_시내</x:v>
      </x:c>
      <x:c r="F406" s="443"/>
      <x:c r="G406" s="444" t="s">
        <x:v>114</x:v>
      </x:c>
      <x:c r="H406" s="445" t="str">
        <x:f t="shared" si="78"/>
        <x:v>연구개발부문(E)</x:v>
      </x:c>
      <x:c r="I406" s="446" t="str">
        <x:f t="shared" si="82"/>
        <x:v>[연구개발비]</x:v>
      </x:c>
      <x:c r="J406" s="445"/>
      <x:c r="K406" s="453">
        <x:v>159583.33333333334</x:v>
      </x:c>
      <x:c r="L406" s="454">
        <x:v>159583.33333333334</x:v>
      </x:c>
      <x:c r="M406" s="454">
        <x:v>159583.33333333334</x:v>
      </x:c>
      <x:c r="N406" s="454">
        <x:v>159583.33333333334</x:v>
      </x:c>
      <x:c r="O406" s="454">
        <x:v>159583.33333333334</x:v>
      </x:c>
      <x:c r="P406" s="454">
        <x:v>159583.33333333334</x:v>
      </x:c>
      <x:c r="Q406" s="454">
        <x:v>159583.33333333334</x:v>
      </x:c>
      <x:c r="R406" s="454">
        <x:v>159583.33333333334</x:v>
      </x:c>
      <x:c r="S406" s="454">
        <x:v>159583.33333333334</x:v>
      </x:c>
      <x:c r="T406" s="454">
        <x:v>159583.33333333334</x:v>
      </x:c>
      <x:c r="U406" s="454">
        <x:v>159583.33333333334</x:v>
      </x:c>
      <x:c r="V406" s="455">
        <x:v>159583.33333333334</x:v>
      </x:c>
      <x:c r="W406" s="456">
        <x:f t="shared" si="76"/>
        <x:v>1914999.9999999998</x:v>
      </x:c>
      <x:c r="X406" s="450">
        <x:f t="shared" si="77"/>
        <x:v>159583.33333333331</x:v>
      </x:c>
      <x:c r="Y406" s="457" t="s">
        <x:v>816</x:v>
      </x:c>
      <x:c r="Z406" s="458"/>
      <x:c r="AA406" s="458"/>
      <x:c r="AB406" s="458"/>
      <x:c r="AC406" s="458"/>
      <x:c r="AD406" s="458"/>
      <x:c r="AE406" s="458"/>
    </x:row>
    <x:row r="407" spans="1:31" ht="20.100000000000001" customHeight="1">
      <x:c r="A407" s="439" t="s">
        <x:v>767</x:v>
      </x:c>
      <x:c r="B407" s="466" t="str">
        <x:f t="shared" si="79"/>
        <x:v>여비교통비</x:v>
      </x:c>
      <x:c r="C407" s="440" t="str">
        <x:f t="shared" si="80"/>
        <x:v>여비교통비</x:v>
      </x:c>
      <x:c r="D407" s="441">
        <x:v>52150105</x:v>
      </x:c>
      <x:c r="E407" s="442" t="str">
        <x:f t="shared" si="81"/>
        <x:v>여비교통비_시내</x:v>
      </x:c>
      <x:c r="F407" s="443"/>
      <x:c r="G407" s="444" t="s">
        <x:v>103</x:v>
      </x:c>
      <x:c r="H407" s="445" t="str">
        <x:f t="shared" si="78"/>
        <x:v>전장사업부(E)</x:v>
      </x:c>
      <x:c r="I407" s="446" t="str">
        <x:f t="shared" si="82"/>
        <x:v>[관리비]</x:v>
      </x:c>
      <x:c r="J407" s="445"/>
      <x:c r="K407" s="453">
        <x:v>155833.33333333334</x:v>
      </x:c>
      <x:c r="L407" s="454">
        <x:v>155833.33333333334</x:v>
      </x:c>
      <x:c r="M407" s="454">
        <x:v>155833.33333333334</x:v>
      </x:c>
      <x:c r="N407" s="454">
        <x:v>155833.33333333334</x:v>
      </x:c>
      <x:c r="O407" s="454">
        <x:v>155833.33333333334</x:v>
      </x:c>
      <x:c r="P407" s="454">
        <x:v>155833.33333333334</x:v>
      </x:c>
      <x:c r="Q407" s="454">
        <x:v>155833.33333333334</x:v>
      </x:c>
      <x:c r="R407" s="454">
        <x:v>155833.33333333334</x:v>
      </x:c>
      <x:c r="S407" s="454">
        <x:v>155833.33333333334</x:v>
      </x:c>
      <x:c r="T407" s="454">
        <x:v>155833.33333333334</x:v>
      </x:c>
      <x:c r="U407" s="454">
        <x:v>155833.33333333334</x:v>
      </x:c>
      <x:c r="V407" s="455">
        <x:v>155833.33333333334</x:v>
      </x:c>
      <x:c r="W407" s="456">
        <x:f t="shared" si="76"/>
        <x:v>1869999.9999999998</x:v>
      </x:c>
      <x:c r="X407" s="450">
        <x:f t="shared" si="77"/>
        <x:v>155833.33333333331</x:v>
      </x:c>
      <x:c r="Y407" s="457" t="s">
        <x:v>816</x:v>
      </x:c>
      <x:c r="Z407" s="458"/>
      <x:c r="AA407" s="458"/>
      <x:c r="AB407" s="458"/>
      <x:c r="AC407" s="458"/>
      <x:c r="AD407" s="458"/>
      <x:c r="AE407" s="458"/>
    </x:row>
    <x:row r="408" spans="1:31" ht="20.100000000000001" customHeight="1">
      <x:c r="A408" s="439" t="s">
        <x:v>767</x:v>
      </x:c>
      <x:c r="B408" s="466" t="str">
        <x:f t="shared" si="79"/>
        <x:v>지급수수료</x:v>
      </x:c>
      <x:c r="C408" s="440" t="str">
        <x:f t="shared" si="80"/>
        <x:v>지급수수료</x:v>
      </x:c>
      <x:c r="D408" s="441">
        <x:v>52310127</x:v>
      </x:c>
      <x:c r="E408" s="442" t="str">
        <x:f t="shared" si="81"/>
        <x:v>지급수수료-전산유지정비</x:v>
      </x:c>
      <x:c r="F408" s="443"/>
      <x:c r="G408" s="444" t="s">
        <x:v>114</x:v>
      </x:c>
      <x:c r="H408" s="445" t="str">
        <x:f t="shared" si="78"/>
        <x:v>연구개발부문(E)</x:v>
      </x:c>
      <x:c r="I408" s="446" t="str">
        <x:f t="shared" si="82"/>
        <x:v>[연구개발비]</x:v>
      </x:c>
      <x:c r="J408" s="445"/>
      <x:c r="K408" s="453">
        <x:v>29922999</x:v>
      </x:c>
      <x:c r="L408" s="454">
        <x:v>29922999</x:v>
      </x:c>
      <x:c r="M408" s="454">
        <x:v>29922999</x:v>
      </x:c>
      <x:c r="N408" s="454">
        <x:v>29922999</x:v>
      </x:c>
      <x:c r="O408" s="454">
        <x:v>29922999</x:v>
      </x:c>
      <x:c r="P408" s="454">
        <x:v>29922999</x:v>
      </x:c>
      <x:c r="Q408" s="454">
        <x:v>29922999</x:v>
      </x:c>
      <x:c r="R408" s="454">
        <x:v>29922999</x:v>
      </x:c>
      <x:c r="S408" s="454">
        <x:v>29922999</x:v>
      </x:c>
      <x:c r="T408" s="454">
        <x:v>29922999</x:v>
      </x:c>
      <x:c r="U408" s="454">
        <x:v>29922999</x:v>
      </x:c>
      <x:c r="V408" s="455">
        <x:v>29922999</x:v>
      </x:c>
      <x:c r="W408" s="456">
        <x:f t="shared" si="76"/>
        <x:v>359075988</x:v>
      </x:c>
      <x:c r="X408" s="450">
        <x:f t="shared" si="77"/>
        <x:v>29922999</x:v>
      </x:c>
      <x:c r="Y408" s="457" t="s">
        <x:v>817</x:v>
      </x:c>
      <x:c r="Z408" s="458"/>
      <x:c r="AA408" s="458"/>
      <x:c r="AB408" s="458"/>
      <x:c r="AC408" s="458"/>
      <x:c r="AD408" s="458"/>
      <x:c r="AE408" s="458"/>
    </x:row>
    <x:row r="409" spans="1:31" ht="20.100000000000001" customHeight="1">
      <x:c r="A409" s="439" t="s">
        <x:v>767</x:v>
      </x:c>
      <x:c r="B409" s="466" t="str">
        <x:f t="shared" si="79"/>
        <x:v>지급수수료</x:v>
      </x:c>
      <x:c r="C409" s="440" t="str">
        <x:f t="shared" si="80"/>
        <x:v>지급수수료</x:v>
      </x:c>
      <x:c r="D409" s="441">
        <x:v>52310127</x:v>
      </x:c>
      <x:c r="E409" s="442" t="str">
        <x:f t="shared" si="81"/>
        <x:v>지급수수료-전산유지정비</x:v>
      </x:c>
      <x:c r="F409" s="443"/>
      <x:c r="G409" s="444" t="s">
        <x:v>103</x:v>
      </x:c>
      <x:c r="H409" s="445" t="str">
        <x:f t="shared" si="78"/>
        <x:v>전장사업부(E)</x:v>
      </x:c>
      <x:c r="I409" s="446" t="str">
        <x:f t="shared" si="82"/>
        <x:v>[관리비]</x:v>
      </x:c>
      <x:c r="J409" s="445"/>
      <x:c r="K409" s="453">
        <x:v>16027949.363636363</x:v>
      </x:c>
      <x:c r="L409" s="454">
        <x:v>16027949.363636363</x:v>
      </x:c>
      <x:c r="M409" s="454">
        <x:v>16027949.363636363</x:v>
      </x:c>
      <x:c r="N409" s="454">
        <x:v>16027949.363636363</x:v>
      </x:c>
      <x:c r="O409" s="454">
        <x:v>16027949.363636363</x:v>
      </x:c>
      <x:c r="P409" s="454">
        <x:v>16027949.363636363</x:v>
      </x:c>
      <x:c r="Q409" s="454">
        <x:v>16027949.363636363</x:v>
      </x:c>
      <x:c r="R409" s="454">
        <x:v>16027949.363636363</x:v>
      </x:c>
      <x:c r="S409" s="454">
        <x:v>16027949.363636363</x:v>
      </x:c>
      <x:c r="T409" s="454">
        <x:v>16027949.363636363</x:v>
      </x:c>
      <x:c r="U409" s="454">
        <x:v>16027949.363636363</x:v>
      </x:c>
      <x:c r="V409" s="455">
        <x:v>16027949.363636363</x:v>
      </x:c>
      <x:c r="W409" s="456">
        <x:f t="shared" si="76"/>
        <x:v>192335392.36363637</x:v>
      </x:c>
      <x:c r="X409" s="450">
        <x:f t="shared" si="77"/>
        <x:v>16027949.363636365</x:v>
      </x:c>
      <x:c r="Y409" s="457" t="s">
        <x:v>818</x:v>
      </x:c>
      <x:c r="Z409" s="458"/>
      <x:c r="AA409" s="458"/>
      <x:c r="AB409" s="458"/>
      <x:c r="AC409" s="458"/>
      <x:c r="AD409" s="458"/>
      <x:c r="AE409" s="458"/>
    </x:row>
    <x:row r="410" spans="1:31" ht="20.100000000000001" customHeight="1">
      <x:c r="A410" s="439" t="s">
        <x:v>767</x:v>
      </x:c>
      <x:c r="B410" s="466" t="str">
        <x:f t="shared" si="79"/>
        <x:v>지급수수료</x:v>
      </x:c>
      <x:c r="C410" s="440" t="str">
        <x:f t="shared" si="80"/>
        <x:v>지급수수료</x:v>
      </x:c>
      <x:c r="D410" s="441">
        <x:v>52310127</x:v>
      </x:c>
      <x:c r="E410" s="442" t="str">
        <x:f t="shared" si="81"/>
        <x:v>지급수수료-전산유지정비</x:v>
      </x:c>
      <x:c r="F410" s="443"/>
      <x:c r="G410" s="444" t="s">
        <x:v>103</x:v>
      </x:c>
      <x:c r="H410" s="445" t="str">
        <x:f t="shared" si="78"/>
        <x:v>전장사업부(E)</x:v>
      </x:c>
      <x:c r="I410" s="446" t="str">
        <x:f t="shared" si="82"/>
        <x:v>[관리비]</x:v>
      </x:c>
      <x:c r="J410" s="445"/>
      <x:c r="K410" s="453">
        <x:v>0</x:v>
      </x:c>
      <x:c r="L410" s="454">
        <x:v>0</x:v>
      </x:c>
      <x:c r="M410" s="454">
        <x:v>0</x:v>
      </x:c>
      <x:c r="N410" s="454">
        <x:v>0</x:v>
      </x:c>
      <x:c r="O410" s="454">
        <x:v>0</x:v>
      </x:c>
      <x:c r="P410" s="454">
        <x:v>0</x:v>
      </x:c>
      <x:c r="Q410" s="454">
        <x:v>0</x:v>
      </x:c>
      <x:c r="R410" s="454">
        <x:v>0</x:v>
      </x:c>
      <x:c r="S410" s="454">
        <x:v>0</x:v>
      </x:c>
      <x:c r="T410" s="454">
        <x:v>0</x:v>
      </x:c>
      <x:c r="U410" s="454">
        <x:v>0</x:v>
      </x:c>
      <x:c r="V410" s="455">
        <x:v>0</x:v>
      </x:c>
      <x:c r="W410" s="456">
        <x:f t="shared" si="76"/>
        <x:v>0</x:v>
      </x:c>
      <x:c r="X410" s="450">
        <x:f t="shared" si="77"/>
        <x:v>0</x:v>
      </x:c>
      <x:c r="Y410" s="457" t="s">
        <x:v>819</x:v>
      </x:c>
      <x:c r="Z410" s="458"/>
      <x:c r="AA410" s="458"/>
      <x:c r="AB410" s="458"/>
      <x:c r="AC410" s="458"/>
      <x:c r="AD410" s="458"/>
      <x:c r="AE410" s="458"/>
    </x:row>
    <x:row r="411" spans="1:31" ht="20.100000000000001" customHeight="1">
      <x:c r="A411" s="439" t="s">
        <x:v>767</x:v>
      </x:c>
      <x:c r="B411" s="466" t="str">
        <x:f t="shared" si="79"/>
        <x:v>지급수수료</x:v>
      </x:c>
      <x:c r="C411" s="440" t="str">
        <x:f t="shared" si="80"/>
        <x:v>지급수수료</x:v>
      </x:c>
      <x:c r="D411" s="441">
        <x:v>52310127</x:v>
      </x:c>
      <x:c r="E411" s="442" t="str">
        <x:f t="shared" si="81"/>
        <x:v>지급수수료-전산유지정비</x:v>
      </x:c>
      <x:c r="F411" s="443"/>
      <x:c r="G411" s="444" t="s">
        <x:v>103</x:v>
      </x:c>
      <x:c r="H411" s="445" t="str">
        <x:f t="shared" si="78"/>
        <x:v>전장사업부(E)</x:v>
      </x:c>
      <x:c r="I411" s="446" t="str">
        <x:f t="shared" si="82"/>
        <x:v>[관리비]</x:v>
      </x:c>
      <x:c r="J411" s="445"/>
      <x:c r="K411" s="453">
        <x:v>19944708.569740526</x:v>
      </x:c>
      <x:c r="L411" s="454">
        <x:v>19944708.569740526</x:v>
      </x:c>
      <x:c r="M411" s="454">
        <x:v>19944708.569740526</x:v>
      </x:c>
      <x:c r="N411" s="454">
        <x:v>19944708.569740526</x:v>
      </x:c>
      <x:c r="O411" s="454">
        <x:v>19944708.569740526</x:v>
      </x:c>
      <x:c r="P411" s="454">
        <x:v>19944708.569740526</x:v>
      </x:c>
      <x:c r="Q411" s="454">
        <x:v>19944708.569740526</x:v>
      </x:c>
      <x:c r="R411" s="454">
        <x:v>19944708.569740526</x:v>
      </x:c>
      <x:c r="S411" s="454">
        <x:v>19944708.569740526</x:v>
      </x:c>
      <x:c r="T411" s="454">
        <x:v>19944708.569740526</x:v>
      </x:c>
      <x:c r="U411" s="454">
        <x:v>19944708.569740526</x:v>
      </x:c>
      <x:c r="V411" s="455">
        <x:v>19944708.569740526</x:v>
      </x:c>
      <x:c r="W411" s="456">
        <x:f t="shared" si="76"/>
        <x:v>239336502.83688638</x:v>
      </x:c>
      <x:c r="X411" s="450">
        <x:f t="shared" si="77"/>
        <x:v>19944708.56974053</x:v>
      </x:c>
      <x:c r="Y411" s="457" t="s">
        <x:v>820</x:v>
      </x:c>
      <x:c r="Z411" s="458"/>
      <x:c r="AA411" s="458"/>
      <x:c r="AB411" s="458"/>
      <x:c r="AC411" s="458"/>
      <x:c r="AD411" s="458"/>
      <x:c r="AE411" s="458"/>
    </x:row>
    <x:row r="412" spans="1:31" ht="20.100000000000001" customHeight="1">
      <x:c r="A412" s="439" t="s">
        <x:v>767</x:v>
      </x:c>
      <x:c r="B412" s="466" t="str">
        <x:f t="shared" si="79"/>
        <x:v>유지비용</x:v>
      </x:c>
      <x:c r="C412" s="440" t="str">
        <x:f t="shared" si="80"/>
        <x:v>지급임차료</x:v>
      </x:c>
      <x:c r="D412" s="441">
        <x:v>52199900</x:v>
      </x:c>
      <x:c r="E412" s="442" t="str">
        <x:f t="shared" si="81"/>
        <x:v>지급임차료_기타</x:v>
      </x:c>
      <x:c r="F412" s="443"/>
      <x:c r="G412" s="444" t="s">
        <x:v>253</x:v>
      </x:c>
      <x:c r="H412" s="445" t="str">
        <x:f t="shared" si="78"/>
        <x:v>생산부문(E)</x:v>
      </x:c>
      <x:c r="I412" s="446" t="str">
        <x:f t="shared" si="82"/>
        <x:v>[관리비]</x:v>
      </x:c>
      <x:c r="J412" s="445"/>
      <x:c r="K412" s="453">
        <x:v>925000</x:v>
      </x:c>
      <x:c r="L412" s="454">
        <x:v>925000</x:v>
      </x:c>
      <x:c r="M412" s="454">
        <x:v>925000</x:v>
      </x:c>
      <x:c r="N412" s="454">
        <x:v>925000</x:v>
      </x:c>
      <x:c r="O412" s="454">
        <x:v>925000</x:v>
      </x:c>
      <x:c r="P412" s="454">
        <x:v>925000</x:v>
      </x:c>
      <x:c r="Q412" s="454">
        <x:v>925000</x:v>
      </x:c>
      <x:c r="R412" s="454">
        <x:v>925000</x:v>
      </x:c>
      <x:c r="S412" s="454">
        <x:v>925000</x:v>
      </x:c>
      <x:c r="T412" s="454">
        <x:v>925000</x:v>
      </x:c>
      <x:c r="U412" s="454">
        <x:v>925000</x:v>
      </x:c>
      <x:c r="V412" s="455">
        <x:v>925000</x:v>
      </x:c>
      <x:c r="W412" s="456">
        <x:f t="shared" si="76"/>
        <x:v>11100000</x:v>
      </x:c>
      <x:c r="X412" s="450">
        <x:f t="shared" si="77"/>
        <x:v>925000</x:v>
      </x:c>
      <x:c r="Y412" s="457" t="s">
        <x:v>821</x:v>
      </x:c>
      <x:c r="Z412" s="458"/>
      <x:c r="AA412" s="458"/>
      <x:c r="AB412" s="458"/>
      <x:c r="AC412" s="458"/>
      <x:c r="AD412" s="458"/>
      <x:c r="AE412" s="458"/>
    </x:row>
    <x:row r="413" spans="1:31" ht="20.100000000000001" customHeight="1">
      <x:c r="A413" s="439" t="s">
        <x:v>767</x:v>
      </x:c>
      <x:c r="B413" s="466" t="str">
        <x:f t="shared" si="79"/>
        <x:v>유지비용</x:v>
      </x:c>
      <x:c r="C413" s="440" t="str">
        <x:f t="shared" si="80"/>
        <x:v>지급임차료</x:v>
      </x:c>
      <x:c r="D413" s="441">
        <x:v>52199900</x:v>
      </x:c>
      <x:c r="E413" s="442" t="str">
        <x:f t="shared" si="81"/>
        <x:v>지급임차료_기타</x:v>
      </x:c>
      <x:c r="F413" s="443"/>
      <x:c r="G413" s="444" t="s">
        <x:v>150</x:v>
      </x:c>
      <x:c r="H413" s="445" t="str">
        <x:f t="shared" si="78"/>
        <x:v>구매영업부문(E)</x:v>
      </x:c>
      <x:c r="I413" s="446" t="str">
        <x:f t="shared" si="82"/>
        <x:v>[판매비]</x:v>
      </x:c>
      <x:c r="J413" s="445"/>
      <x:c r="K413" s="453">
        <x:v>965000</x:v>
      </x:c>
      <x:c r="L413" s="454">
        <x:v>965000</x:v>
      </x:c>
      <x:c r="M413" s="454">
        <x:v>965000</x:v>
      </x:c>
      <x:c r="N413" s="454">
        <x:v>965000</x:v>
      </x:c>
      <x:c r="O413" s="454">
        <x:v>965000</x:v>
      </x:c>
      <x:c r="P413" s="454">
        <x:v>965000</x:v>
      </x:c>
      <x:c r="Q413" s="454">
        <x:v>965000</x:v>
      </x:c>
      <x:c r="R413" s="454">
        <x:v>965000</x:v>
      </x:c>
      <x:c r="S413" s="454">
        <x:v>965000</x:v>
      </x:c>
      <x:c r="T413" s="454">
        <x:v>965000</x:v>
      </x:c>
      <x:c r="U413" s="454">
        <x:v>965000</x:v>
      </x:c>
      <x:c r="V413" s="455">
        <x:v>965000</x:v>
      </x:c>
      <x:c r="W413" s="456">
        <x:f t="shared" si="76"/>
        <x:v>11580000</x:v>
      </x:c>
      <x:c r="X413" s="450">
        <x:f t="shared" si="77"/>
        <x:v>965000</x:v>
      </x:c>
      <x:c r="Y413" s="457" t="s">
        <x:v>821</x:v>
      </x:c>
      <x:c r="Z413" s="458"/>
      <x:c r="AA413" s="458"/>
      <x:c r="AB413" s="458"/>
      <x:c r="AC413" s="458"/>
      <x:c r="AD413" s="458"/>
      <x:c r="AE413" s="458"/>
    </x:row>
    <x:row r="414" spans="1:31" ht="20.100000000000001" customHeight="1">
      <x:c r="A414" s="439" t="s">
        <x:v>767</x:v>
      </x:c>
      <x:c r="B414" s="466" t="str">
        <x:f t="shared" si="79"/>
        <x:v>유지비용</x:v>
      </x:c>
      <x:c r="C414" s="440" t="str">
        <x:f t="shared" si="80"/>
        <x:v>지급임차료</x:v>
      </x:c>
      <x:c r="D414" s="441">
        <x:v>52199900</x:v>
      </x:c>
      <x:c r="E414" s="442" t="str">
        <x:f t="shared" si="81"/>
        <x:v>지급임차료_기타</x:v>
      </x:c>
      <x:c r="F414" s="443"/>
      <x:c r="G414" s="444" t="s">
        <x:v>114</x:v>
      </x:c>
      <x:c r="H414" s="445" t="str">
        <x:f t="shared" si="78"/>
        <x:v>연구개발부문(E)</x:v>
      </x:c>
      <x:c r="I414" s="446" t="str">
        <x:f t="shared" si="82"/>
        <x:v>[연구개발비]</x:v>
      </x:c>
      <x:c r="J414" s="445"/>
      <x:c r="K414" s="453">
        <x:v>1040000</x:v>
      </x:c>
      <x:c r="L414" s="454">
        <x:v>1040000</x:v>
      </x:c>
      <x:c r="M414" s="454">
        <x:v>1040000</x:v>
      </x:c>
      <x:c r="N414" s="454">
        <x:v>1040000</x:v>
      </x:c>
      <x:c r="O414" s="454">
        <x:v>1040000</x:v>
      </x:c>
      <x:c r="P414" s="454">
        <x:v>1040000</x:v>
      </x:c>
      <x:c r="Q414" s="454">
        <x:v>1040000</x:v>
      </x:c>
      <x:c r="R414" s="454">
        <x:v>1040000</x:v>
      </x:c>
      <x:c r="S414" s="454">
        <x:v>1040000</x:v>
      </x:c>
      <x:c r="T414" s="454">
        <x:v>1040000</x:v>
      </x:c>
      <x:c r="U414" s="454">
        <x:v>1040000</x:v>
      </x:c>
      <x:c r="V414" s="455">
        <x:v>1040000</x:v>
      </x:c>
      <x:c r="W414" s="456">
        <x:f t="shared" si="76"/>
        <x:v>12480000</x:v>
      </x:c>
      <x:c r="X414" s="450">
        <x:f t="shared" si="77"/>
        <x:v>1040000</x:v>
      </x:c>
      <x:c r="Y414" s="457" t="s">
        <x:v>821</x:v>
      </x:c>
      <x:c r="Z414" s="458"/>
      <x:c r="AA414" s="458"/>
      <x:c r="AB414" s="458"/>
      <x:c r="AC414" s="458"/>
      <x:c r="AD414" s="458"/>
      <x:c r="AE414" s="458"/>
    </x:row>
    <x:row r="415" spans="1:31" ht="20.100000000000001" customHeight="1">
      <x:c r="A415" s="439" t="s">
        <x:v>767</x:v>
      </x:c>
      <x:c r="B415" s="466" t="str">
        <x:f t="shared" si="79"/>
        <x:v>유지비용</x:v>
      </x:c>
      <x:c r="C415" s="440" t="str">
        <x:f t="shared" si="80"/>
        <x:v>지급임차료</x:v>
      </x:c>
      <x:c r="D415" s="441">
        <x:v>52199900</x:v>
      </x:c>
      <x:c r="E415" s="442" t="str">
        <x:f t="shared" si="81"/>
        <x:v>지급임차료_기타</x:v>
      </x:c>
      <x:c r="F415" s="443"/>
      <x:c r="G415" s="444" t="s">
        <x:v>103</x:v>
      </x:c>
      <x:c r="H415" s="445" t="str">
        <x:f t="shared" si="78"/>
        <x:v>전장사업부(E)</x:v>
      </x:c>
      <x:c r="I415" s="446" t="str">
        <x:f t="shared" si="82"/>
        <x:v>[관리비]</x:v>
      </x:c>
      <x:c r="J415" s="445"/>
      <x:c r="K415" s="453">
        <x:v>1160000</x:v>
      </x:c>
      <x:c r="L415" s="454">
        <x:v>1160000</x:v>
      </x:c>
      <x:c r="M415" s="454">
        <x:v>1160000</x:v>
      </x:c>
      <x:c r="N415" s="454">
        <x:v>1160000</x:v>
      </x:c>
      <x:c r="O415" s="454">
        <x:v>1160000</x:v>
      </x:c>
      <x:c r="P415" s="454">
        <x:v>1160000</x:v>
      </x:c>
      <x:c r="Q415" s="454">
        <x:v>1160000</x:v>
      </x:c>
      <x:c r="R415" s="454">
        <x:v>1160000</x:v>
      </x:c>
      <x:c r="S415" s="454">
        <x:v>1160000</x:v>
      </x:c>
      <x:c r="T415" s="454">
        <x:v>1160000</x:v>
      </x:c>
      <x:c r="U415" s="454">
        <x:v>1160000</x:v>
      </x:c>
      <x:c r="V415" s="455">
        <x:v>1160000</x:v>
      </x:c>
      <x:c r="W415" s="456">
        <x:f t="shared" si="76"/>
        <x:v>13920000</x:v>
      </x:c>
      <x:c r="X415" s="450">
        <x:f t="shared" si="77"/>
        <x:v>1160000</x:v>
      </x:c>
      <x:c r="Y415" s="457" t="s">
        <x:v>821</x:v>
      </x:c>
      <x:c r="Z415" s="458"/>
      <x:c r="AA415" s="458"/>
      <x:c r="AB415" s="458"/>
      <x:c r="AC415" s="458"/>
      <x:c r="AD415" s="458"/>
      <x:c r="AE415" s="458"/>
    </x:row>
    <x:row r="416" spans="1:31" ht="20.100000000000001" customHeight="1">
      <x:c r="A416" s="439" t="s">
        <x:v>767</x:v>
      </x:c>
      <x:c r="B416" s="466" t="str">
        <x:f t="shared" si="79"/>
        <x:v>기타비용</x:v>
      </x:c>
      <x:c r="C416" s="440" t="str">
        <x:f t="shared" si="80"/>
        <x:v>차량유지비</x:v>
      </x:c>
      <x:c r="D416" s="441">
        <x:v>52359900</x:v>
      </x:c>
      <x:c r="E416" s="442" t="str">
        <x:f t="shared" si="81"/>
        <x:v>차량유지비_기타</x:v>
      </x:c>
      <x:c r="F416" s="443"/>
      <x:c r="G416" s="444" t="s">
        <x:v>150</x:v>
      </x:c>
      <x:c r="H416" s="445" t="str">
        <x:f t="shared" si="78"/>
        <x:v>구매영업부문(E)</x:v>
      </x:c>
      <x:c r="I416" s="446" t="str">
        <x:f t="shared" si="82"/>
        <x:v>[판매비]</x:v>
      </x:c>
      <x:c r="J416" s="445"/>
      <x:c r="K416" s="453">
        <x:v>90000</x:v>
      </x:c>
      <x:c r="L416" s="454">
        <x:v>90000</x:v>
      </x:c>
      <x:c r="M416" s="454">
        <x:v>90000</x:v>
      </x:c>
      <x:c r="N416" s="454">
        <x:v>90000</x:v>
      </x:c>
      <x:c r="O416" s="454">
        <x:v>90000</x:v>
      </x:c>
      <x:c r="P416" s="454">
        <x:v>90000</x:v>
      </x:c>
      <x:c r="Q416" s="454">
        <x:v>90000</x:v>
      </x:c>
      <x:c r="R416" s="454">
        <x:v>90000</x:v>
      </x:c>
      <x:c r="S416" s="454">
        <x:v>90000</x:v>
      </x:c>
      <x:c r="T416" s="454">
        <x:v>90000</x:v>
      </x:c>
      <x:c r="U416" s="454">
        <x:v>90000</x:v>
      </x:c>
      <x:c r="V416" s="455">
        <x:v>90000</x:v>
      </x:c>
      <x:c r="W416" s="456">
        <x:f t="shared" ref="W416:W479" si="83">IFERROR(SUM(K416:V416),"")</x:f>
        <x:v>1080000</x:v>
      </x:c>
      <x:c r="X416" s="450">
        <x:f t="shared" si="77"/>
        <x:v>90000</x:v>
      </x:c>
      <x:c r="Y416" s="457" t="s">
        <x:v>822</x:v>
      </x:c>
      <x:c r="Z416" s="458"/>
      <x:c r="AA416" s="458"/>
      <x:c r="AB416" s="458"/>
      <x:c r="AC416" s="458"/>
      <x:c r="AD416" s="458"/>
      <x:c r="AE416" s="458"/>
    </x:row>
    <x:row r="417" spans="1:31" ht="20.100000000000001" customHeight="1">
      <x:c r="A417" s="439" t="s">
        <x:v>767</x:v>
      </x:c>
      <x:c r="B417" s="466" t="str">
        <x:f t="shared" si="79"/>
        <x:v>기타비용</x:v>
      </x:c>
      <x:c r="C417" s="440" t="str">
        <x:f t="shared" si="80"/>
        <x:v>차량유지비</x:v>
      </x:c>
      <x:c r="D417" s="441">
        <x:v>52359900</x:v>
      </x:c>
      <x:c r="E417" s="442" t="str">
        <x:f t="shared" si="81"/>
        <x:v>차량유지비_기타</x:v>
      </x:c>
      <x:c r="F417" s="443"/>
      <x:c r="G417" s="444" t="s">
        <x:v>253</x:v>
      </x:c>
      <x:c r="H417" s="445" t="str">
        <x:f t="shared" si="78"/>
        <x:v>생산부문(E)</x:v>
      </x:c>
      <x:c r="I417" s="446" t="str">
        <x:f t="shared" si="82"/>
        <x:v>[관리비]</x:v>
      </x:c>
      <x:c r="J417" s="445"/>
      <x:c r="K417" s="453">
        <x:v>90000</x:v>
      </x:c>
      <x:c r="L417" s="454">
        <x:v>90000</x:v>
      </x:c>
      <x:c r="M417" s="454">
        <x:v>90000</x:v>
      </x:c>
      <x:c r="N417" s="454">
        <x:v>90000</x:v>
      </x:c>
      <x:c r="O417" s="454">
        <x:v>90000</x:v>
      </x:c>
      <x:c r="P417" s="454">
        <x:v>90000</x:v>
      </x:c>
      <x:c r="Q417" s="454">
        <x:v>90000</x:v>
      </x:c>
      <x:c r="R417" s="454">
        <x:v>90000</x:v>
      </x:c>
      <x:c r="S417" s="454">
        <x:v>90000</x:v>
      </x:c>
      <x:c r="T417" s="454">
        <x:v>90000</x:v>
      </x:c>
      <x:c r="U417" s="454">
        <x:v>90000</x:v>
      </x:c>
      <x:c r="V417" s="455">
        <x:v>90000</x:v>
      </x:c>
      <x:c r="W417" s="456">
        <x:f t="shared" si="83"/>
        <x:v>1080000</x:v>
      </x:c>
      <x:c r="X417" s="450">
        <x:f t="shared" ref="X417:X480" si="84">IFERROR($W417/$Y$1,"")</x:f>
        <x:v>90000</x:v>
      </x:c>
      <x:c r="Y417" s="457" t="s">
        <x:v>822</x:v>
      </x:c>
      <x:c r="Z417" s="458"/>
      <x:c r="AA417" s="458"/>
      <x:c r="AB417" s="458"/>
      <x:c r="AC417" s="458"/>
      <x:c r="AD417" s="458"/>
      <x:c r="AE417" s="458"/>
    </x:row>
    <x:row r="418" spans="1:31" ht="20.100000000000001" customHeight="1">
      <x:c r="A418" s="439" t="s">
        <x:v>767</x:v>
      </x:c>
      <x:c r="B418" s="466" t="str">
        <x:f t="shared" si="79"/>
        <x:v>기타비용</x:v>
      </x:c>
      <x:c r="C418" s="440" t="str">
        <x:f t="shared" si="80"/>
        <x:v>차량유지비</x:v>
      </x:c>
      <x:c r="D418" s="441">
        <x:v>52359900</x:v>
      </x:c>
      <x:c r="E418" s="442" t="str">
        <x:f t="shared" si="81"/>
        <x:v>차량유지비_기타</x:v>
      </x:c>
      <x:c r="F418" s="443"/>
      <x:c r="G418" s="444" t="s">
        <x:v>114</x:v>
      </x:c>
      <x:c r="H418" s="445" t="str">
        <x:f t="shared" si="78"/>
        <x:v>연구개발부문(E)</x:v>
      </x:c>
      <x:c r="I418" s="446" t="str">
        <x:f t="shared" si="82"/>
        <x:v>[연구개발비]</x:v>
      </x:c>
      <x:c r="J418" s="445"/>
      <x:c r="K418" s="453">
        <x:v>90000</x:v>
      </x:c>
      <x:c r="L418" s="454">
        <x:v>90000</x:v>
      </x:c>
      <x:c r="M418" s="454">
        <x:v>90000</x:v>
      </x:c>
      <x:c r="N418" s="454">
        <x:v>90000</x:v>
      </x:c>
      <x:c r="O418" s="454">
        <x:v>90000</x:v>
      </x:c>
      <x:c r="P418" s="454">
        <x:v>90000</x:v>
      </x:c>
      <x:c r="Q418" s="454">
        <x:v>90000</x:v>
      </x:c>
      <x:c r="R418" s="454">
        <x:v>90000</x:v>
      </x:c>
      <x:c r="S418" s="454">
        <x:v>90000</x:v>
      </x:c>
      <x:c r="T418" s="454">
        <x:v>90000</x:v>
      </x:c>
      <x:c r="U418" s="454">
        <x:v>90000</x:v>
      </x:c>
      <x:c r="V418" s="455">
        <x:v>90000</x:v>
      </x:c>
      <x:c r="W418" s="456">
        <x:f t="shared" si="83"/>
        <x:v>1080000</x:v>
      </x:c>
      <x:c r="X418" s="450">
        <x:f t="shared" si="84"/>
        <x:v>90000</x:v>
      </x:c>
      <x:c r="Y418" s="457" t="s">
        <x:v>822</x:v>
      </x:c>
      <x:c r="Z418" s="458"/>
      <x:c r="AA418" s="458"/>
      <x:c r="AB418" s="458"/>
      <x:c r="AC418" s="458"/>
      <x:c r="AD418" s="458"/>
      <x:c r="AE418" s="458"/>
    </x:row>
    <x:row r="419" spans="1:31" ht="20.100000000000001" customHeight="1">
      <x:c r="A419" s="439" t="s">
        <x:v>767</x:v>
      </x:c>
      <x:c r="B419" s="466" t="str">
        <x:f t="shared" si="79"/>
        <x:v>기타비용</x:v>
      </x:c>
      <x:c r="C419" s="440" t="str">
        <x:f t="shared" si="80"/>
        <x:v>차량유지비</x:v>
      </x:c>
      <x:c r="D419" s="441">
        <x:v>52359900</x:v>
      </x:c>
      <x:c r="E419" s="442" t="str">
        <x:f t="shared" si="81"/>
        <x:v>차량유지비_기타</x:v>
      </x:c>
      <x:c r="F419" s="443"/>
      <x:c r="G419" s="444" t="s">
        <x:v>103</x:v>
      </x:c>
      <x:c r="H419" s="445" t="str">
        <x:f t="shared" si="78"/>
        <x:v>전장사업부(E)</x:v>
      </x:c>
      <x:c r="I419" s="446" t="str">
        <x:f t="shared" si="82"/>
        <x:v>[관리비]</x:v>
      </x:c>
      <x:c r="J419" s="445"/>
      <x:c r="K419" s="453">
        <x:v>90000</x:v>
      </x:c>
      <x:c r="L419" s="454">
        <x:v>90000</x:v>
      </x:c>
      <x:c r="M419" s="454">
        <x:v>90000</x:v>
      </x:c>
      <x:c r="N419" s="454">
        <x:v>90000</x:v>
      </x:c>
      <x:c r="O419" s="454">
        <x:v>90000</x:v>
      </x:c>
      <x:c r="P419" s="454">
        <x:v>90000</x:v>
      </x:c>
      <x:c r="Q419" s="454">
        <x:v>90000</x:v>
      </x:c>
      <x:c r="R419" s="454">
        <x:v>90000</x:v>
      </x:c>
      <x:c r="S419" s="454">
        <x:v>90000</x:v>
      </x:c>
      <x:c r="T419" s="454">
        <x:v>90000</x:v>
      </x:c>
      <x:c r="U419" s="454">
        <x:v>90000</x:v>
      </x:c>
      <x:c r="V419" s="455">
        <x:v>90000</x:v>
      </x:c>
      <x:c r="W419" s="456">
        <x:f t="shared" si="83"/>
        <x:v>1080000</x:v>
      </x:c>
      <x:c r="X419" s="450">
        <x:f t="shared" si="84"/>
        <x:v>90000</x:v>
      </x:c>
      <x:c r="Y419" s="457" t="s">
        <x:v>822</x:v>
      </x:c>
      <x:c r="Z419" s="458"/>
      <x:c r="AA419" s="458"/>
      <x:c r="AB419" s="458"/>
      <x:c r="AC419" s="458"/>
      <x:c r="AD419" s="458"/>
      <x:c r="AE419" s="458"/>
    </x:row>
    <x:row r="420" spans="1:31" ht="20.100000000000001" customHeight="1">
      <x:c r="A420" s="439" t="s">
        <x:v>767</x:v>
      </x:c>
      <x:c r="B420" s="466" t="str">
        <x:f t="shared" si="79"/>
        <x:v>기타비용</x:v>
      </x:c>
      <x:c r="C420" s="440" t="str">
        <x:f t="shared" si="80"/>
        <x:v>차량유지비</x:v>
      </x:c>
      <x:c r="D420" s="441">
        <x:v>52350101</x:v>
      </x:c>
      <x:c r="E420" s="442" t="str">
        <x:f t="shared" si="81"/>
        <x:v>차량유지비_유류대</x:v>
      </x:c>
      <x:c r="F420" s="443"/>
      <x:c r="G420" s="444" t="s">
        <x:v>99</x:v>
      </x:c>
      <x:c r="H420" s="445" t="str">
        <x:f t="shared" si="78"/>
        <x:v>전장설계1팀(E)</x:v>
      </x:c>
      <x:c r="I420" s="446" t="str">
        <x:f t="shared" si="82"/>
        <x:v>[연구개발비]</x:v>
      </x:c>
      <x:c r="J420" s="445"/>
      <x:c r="K420" s="453">
        <x:v>184910.44444444444</x:v>
      </x:c>
      <x:c r="L420" s="454">
        <x:v>184910.44444444444</x:v>
      </x:c>
      <x:c r="M420" s="454">
        <x:v>184910.44444444444</x:v>
      </x:c>
      <x:c r="N420" s="454">
        <x:v>184910.44444444444</x:v>
      </x:c>
      <x:c r="O420" s="454">
        <x:v>184910.44444444444</x:v>
      </x:c>
      <x:c r="P420" s="454">
        <x:v>184910.44444444444</x:v>
      </x:c>
      <x:c r="Q420" s="454">
        <x:v>184910.44444444444</x:v>
      </x:c>
      <x:c r="R420" s="454">
        <x:v>184910.44444444444</x:v>
      </x:c>
      <x:c r="S420" s="454">
        <x:v>184910.44444444444</x:v>
      </x:c>
      <x:c r="T420" s="454">
        <x:v>184910.44444444444</x:v>
      </x:c>
      <x:c r="U420" s="454">
        <x:v>184910.44444444444</x:v>
      </x:c>
      <x:c r="V420" s="455">
        <x:v>184910.44444444444</x:v>
      </x:c>
      <x:c r="W420" s="456">
        <x:f t="shared" si="83"/>
        <x:v>2218925.3333333335</x:v>
      </x:c>
      <x:c r="X420" s="450">
        <x:f t="shared" si="84"/>
        <x:v>184910.44444444447</x:v>
      </x:c>
      <x:c r="Y420" s="457" t="s">
        <x:v>823</x:v>
      </x:c>
      <x:c r="Z420" s="458"/>
      <x:c r="AA420" s="458"/>
      <x:c r="AB420" s="458"/>
      <x:c r="AC420" s="458"/>
      <x:c r="AD420" s="458"/>
      <x:c r="AE420" s="458"/>
    </x:row>
    <x:row r="421" spans="1:31" ht="20.100000000000001" customHeight="1">
      <x:c r="A421" s="439" t="s">
        <x:v>767</x:v>
      </x:c>
      <x:c r="B421" s="466" t="str">
        <x:f t="shared" si="79"/>
        <x:v>기타비용</x:v>
      </x:c>
      <x:c r="C421" s="440" t="str">
        <x:f t="shared" si="80"/>
        <x:v>차량유지비</x:v>
      </x:c>
      <x:c r="D421" s="441">
        <x:v>52350101</x:v>
      </x:c>
      <x:c r="E421" s="442" t="str">
        <x:f t="shared" si="81"/>
        <x:v>차량유지비_유류대</x:v>
      </x:c>
      <x:c r="F421" s="443"/>
      <x:c r="G421" s="444" t="s">
        <x:v>101</x:v>
      </x:c>
      <x:c r="H421" s="445" t="str">
        <x:f t="shared" si="78"/>
        <x:v>전장설계2팀(E)</x:v>
      </x:c>
      <x:c r="I421" s="446" t="str">
        <x:f t="shared" si="82"/>
        <x:v>[연구개발비]</x:v>
      </x:c>
      <x:c r="J421" s="445"/>
      <x:c r="K421" s="453">
        <x:v>139859.88888888888</x:v>
      </x:c>
      <x:c r="L421" s="454">
        <x:v>139859.88888888888</x:v>
      </x:c>
      <x:c r="M421" s="454">
        <x:v>139859.88888888888</x:v>
      </x:c>
      <x:c r="N421" s="454">
        <x:v>139859.88888888888</x:v>
      </x:c>
      <x:c r="O421" s="454">
        <x:v>139859.88888888888</x:v>
      </x:c>
      <x:c r="P421" s="454">
        <x:v>139859.88888888888</x:v>
      </x:c>
      <x:c r="Q421" s="454">
        <x:v>139859.88888888888</x:v>
      </x:c>
      <x:c r="R421" s="454">
        <x:v>139859.88888888888</x:v>
      </x:c>
      <x:c r="S421" s="454">
        <x:v>139859.88888888888</x:v>
      </x:c>
      <x:c r="T421" s="454">
        <x:v>139859.88888888888</x:v>
      </x:c>
      <x:c r="U421" s="454">
        <x:v>139859.88888888888</x:v>
      </x:c>
      <x:c r="V421" s="455">
        <x:v>139859.88888888888</x:v>
      </x:c>
      <x:c r="W421" s="456">
        <x:f t="shared" si="83"/>
        <x:v>1678318.666666667</x:v>
      </x:c>
      <x:c r="X421" s="450">
        <x:f t="shared" si="84"/>
        <x:v>139859.88888888891</x:v>
      </x:c>
      <x:c r="Y421" s="457" t="s">
        <x:v>823</x:v>
      </x:c>
      <x:c r="Z421" s="458"/>
      <x:c r="AA421" s="458"/>
      <x:c r="AB421" s="458"/>
      <x:c r="AC421" s="458"/>
      <x:c r="AD421" s="458"/>
      <x:c r="AE421" s="458"/>
    </x:row>
    <x:row r="422" spans="1:31" ht="20.100000000000001" customHeight="1">
      <x:c r="A422" s="439" t="s">
        <x:v>767</x:v>
      </x:c>
      <x:c r="B422" s="466" t="str">
        <x:f t="shared" si="79"/>
        <x:v>기타비용</x:v>
      </x:c>
      <x:c r="C422" s="440" t="str">
        <x:f t="shared" si="80"/>
        <x:v>차량유지비</x:v>
      </x:c>
      <x:c r="D422" s="441">
        <x:v>52350101</x:v>
      </x:c>
      <x:c r="E422" s="442" t="str">
        <x:f t="shared" si="81"/>
        <x:v>차량유지비_유류대</x:v>
      </x:c>
      <x:c r="F422" s="443"/>
      <x:c r="G422" s="444" t="s">
        <x:v>80</x:v>
      </x:c>
      <x:c r="H422" s="445" t="str">
        <x:f t="shared" si="78"/>
        <x:v>사업관리팀(E)</x:v>
      </x:c>
      <x:c r="I422" s="446" t="str">
        <x:f t="shared" si="82"/>
        <x:v>[관리비]</x:v>
      </x:c>
      <x:c r="J422" s="445"/>
      <x:c r="K422" s="453">
        <x:v>20841.444444444445</x:v>
      </x:c>
      <x:c r="L422" s="454">
        <x:v>20841.444444444445</x:v>
      </x:c>
      <x:c r="M422" s="454">
        <x:v>20841.444444444445</x:v>
      </x:c>
      <x:c r="N422" s="454">
        <x:v>20841.444444444445</x:v>
      </x:c>
      <x:c r="O422" s="454">
        <x:v>20841.444444444445</x:v>
      </x:c>
      <x:c r="P422" s="454">
        <x:v>20841.444444444445</x:v>
      </x:c>
      <x:c r="Q422" s="454">
        <x:v>20841.444444444445</x:v>
      </x:c>
      <x:c r="R422" s="454">
        <x:v>20841.444444444445</x:v>
      </x:c>
      <x:c r="S422" s="454">
        <x:v>20841.444444444445</x:v>
      </x:c>
      <x:c r="T422" s="454">
        <x:v>20841.444444444445</x:v>
      </x:c>
      <x:c r="U422" s="454">
        <x:v>20841.444444444445</x:v>
      </x:c>
      <x:c r="V422" s="455">
        <x:v>20841.444444444445</x:v>
      </x:c>
      <x:c r="W422" s="456">
        <x:f t="shared" si="83"/>
        <x:v>250097.33333333328</x:v>
      </x:c>
      <x:c r="X422" s="450">
        <x:f t="shared" si="84"/>
        <x:v>20841.444444444442</x:v>
      </x:c>
      <x:c r="Y422" s="457" t="s">
        <x:v>823</x:v>
      </x:c>
      <x:c r="Z422" s="458"/>
      <x:c r="AA422" s="458"/>
      <x:c r="AB422" s="458"/>
      <x:c r="AC422" s="458"/>
      <x:c r="AD422" s="458"/>
      <x:c r="AE422" s="458"/>
    </x:row>
    <x:row r="423" spans="1:31" ht="20.100000000000001" customHeight="1">
      <x:c r="A423" s="439" t="s">
        <x:v>767</x:v>
      </x:c>
      <x:c r="B423" s="466" t="str">
        <x:f t="shared" si="79"/>
        <x:v>기타비용</x:v>
      </x:c>
      <x:c r="C423" s="440" t="str">
        <x:f t="shared" si="80"/>
        <x:v>차량유지비</x:v>
      </x:c>
      <x:c r="D423" s="441">
        <x:v>52350101</x:v>
      </x:c>
      <x:c r="E423" s="442" t="str">
        <x:f t="shared" si="81"/>
        <x:v>차량유지비_유류대</x:v>
      </x:c>
      <x:c r="F423" s="443"/>
      <x:c r="G423" s="444" t="s">
        <x:v>104</x:v>
      </x:c>
      <x:c r="H423" s="445" t="str">
        <x:f t="shared" si="78"/>
        <x:v>제품개발팀(E)</x:v>
      </x:c>
      <x:c r="I423" s="446" t="str">
        <x:f t="shared" si="82"/>
        <x:v>[연구개발비]</x:v>
      </x:c>
      <x:c r="J423" s="445"/>
      <x:c r="K423" s="453">
        <x:v>139392.11111111112</x:v>
      </x:c>
      <x:c r="L423" s="454">
        <x:v>139392.11111111112</x:v>
      </x:c>
      <x:c r="M423" s="454">
        <x:v>139392.11111111112</x:v>
      </x:c>
      <x:c r="N423" s="454">
        <x:v>139392.11111111112</x:v>
      </x:c>
      <x:c r="O423" s="454">
        <x:v>139392.11111111112</x:v>
      </x:c>
      <x:c r="P423" s="454">
        <x:v>139392.11111111112</x:v>
      </x:c>
      <x:c r="Q423" s="454">
        <x:v>139392.11111111112</x:v>
      </x:c>
      <x:c r="R423" s="454">
        <x:v>139392.11111111112</x:v>
      </x:c>
      <x:c r="S423" s="454">
        <x:v>139392.11111111112</x:v>
      </x:c>
      <x:c r="T423" s="454">
        <x:v>139392.11111111112</x:v>
      </x:c>
      <x:c r="U423" s="454">
        <x:v>139392.11111111112</x:v>
      </x:c>
      <x:c r="V423" s="455">
        <x:v>139392.11111111112</x:v>
      </x:c>
      <x:c r="W423" s="456">
        <x:f t="shared" si="83"/>
        <x:v>1672705.333333333</x:v>
      </x:c>
      <x:c r="X423" s="450">
        <x:f t="shared" si="84"/>
        <x:v>139392.11111111109</x:v>
      </x:c>
      <x:c r="Y423" s="457" t="s">
        <x:v>823</x:v>
      </x:c>
      <x:c r="Z423" s="458"/>
      <x:c r="AA423" s="458"/>
      <x:c r="AB423" s="458"/>
      <x:c r="AC423" s="458"/>
      <x:c r="AD423" s="458"/>
      <x:c r="AE423" s="458"/>
    </x:row>
    <x:row r="424" spans="1:31" ht="20.100000000000001" customHeight="1">
      <x:c r="A424" s="439" t="s">
        <x:v>767</x:v>
      </x:c>
      <x:c r="B424" s="466" t="str">
        <x:f t="shared" si="79"/>
        <x:v>기타비용</x:v>
      </x:c>
      <x:c r="C424" s="440" t="str">
        <x:f t="shared" si="80"/>
        <x:v>차량유지비</x:v>
      </x:c>
      <x:c r="D424" s="441">
        <x:v>52350101</x:v>
      </x:c>
      <x:c r="E424" s="442" t="str">
        <x:f t="shared" si="81"/>
        <x:v>차량유지비_유류대</x:v>
      </x:c>
      <x:c r="F424" s="443"/>
      <x:c r="G424" s="444" t="s">
        <x:v>106</x:v>
      </x:c>
      <x:c r="H424" s="445" t="str">
        <x:f t="shared" si="78"/>
        <x:v>구매팀(E)</x:v>
      </x:c>
      <x:c r="I424" s="446" t="str">
        <x:f t="shared" si="82"/>
        <x:v>[관리비]</x:v>
      </x:c>
      <x:c r="J424" s="445"/>
      <x:c r="K424" s="453">
        <x:v>201255</x:v>
      </x:c>
      <x:c r="L424" s="454">
        <x:v>201255</x:v>
      </x:c>
      <x:c r="M424" s="454">
        <x:v>201255</x:v>
      </x:c>
      <x:c r="N424" s="454">
        <x:v>201255</x:v>
      </x:c>
      <x:c r="O424" s="454">
        <x:v>201255</x:v>
      </x:c>
      <x:c r="P424" s="454">
        <x:v>201255</x:v>
      </x:c>
      <x:c r="Q424" s="454">
        <x:v>201255</x:v>
      </x:c>
      <x:c r="R424" s="454">
        <x:v>201255</x:v>
      </x:c>
      <x:c r="S424" s="454">
        <x:v>201255</x:v>
      </x:c>
      <x:c r="T424" s="454">
        <x:v>201255</x:v>
      </x:c>
      <x:c r="U424" s="454">
        <x:v>201255</x:v>
      </x:c>
      <x:c r="V424" s="455">
        <x:v>201255</x:v>
      </x:c>
      <x:c r="W424" s="456">
        <x:f t="shared" si="83"/>
        <x:v>2415060</x:v>
      </x:c>
      <x:c r="X424" s="450">
        <x:f t="shared" si="84"/>
        <x:v>201255</x:v>
      </x:c>
      <x:c r="Y424" s="457" t="s">
        <x:v>823</x:v>
      </x:c>
      <x:c r="Z424" s="458"/>
      <x:c r="AA424" s="458"/>
      <x:c r="AB424" s="458"/>
      <x:c r="AC424" s="458"/>
      <x:c r="AD424" s="458"/>
      <x:c r="AE424" s="458"/>
    </x:row>
    <x:row r="425" spans="1:31" ht="20.100000000000001" customHeight="1">
      <x:c r="A425" s="439" t="s">
        <x:v>767</x:v>
      </x:c>
      <x:c r="B425" s="466" t="str">
        <x:f t="shared" si="79"/>
        <x:v>기타비용</x:v>
      </x:c>
      <x:c r="C425" s="440" t="str">
        <x:f t="shared" si="80"/>
        <x:v>차량유지비</x:v>
      </x:c>
      <x:c r="D425" s="441">
        <x:v>52350101</x:v>
      </x:c>
      <x:c r="E425" s="442" t="str">
        <x:f t="shared" si="81"/>
        <x:v>차량유지비_유류대</x:v>
      </x:c>
      <x:c r="F425" s="443"/>
      <x:c r="G425" s="444" t="s">
        <x:v>82</x:v>
      </x:c>
      <x:c r="H425" s="445" t="str">
        <x:f t="shared" si="78"/>
        <x:v>생산기술팀(E)</x:v>
      </x:c>
      <x:c r="I425" s="446" t="str">
        <x:f t="shared" si="82"/>
        <x:v>[관리비]</x:v>
      </x:c>
      <x:c r="J425" s="445"/>
      <x:c r="K425" s="453">
        <x:v>392375.55555555556</x:v>
      </x:c>
      <x:c r="L425" s="454">
        <x:v>392375.55555555556</x:v>
      </x:c>
      <x:c r="M425" s="454">
        <x:v>392375.55555555556</x:v>
      </x:c>
      <x:c r="N425" s="454">
        <x:v>392375.55555555556</x:v>
      </x:c>
      <x:c r="O425" s="454">
        <x:v>392375.55555555556</x:v>
      </x:c>
      <x:c r="P425" s="454">
        <x:v>392375.55555555556</x:v>
      </x:c>
      <x:c r="Q425" s="454">
        <x:v>392375.55555555556</x:v>
      </x:c>
      <x:c r="R425" s="454">
        <x:v>392375.55555555556</x:v>
      </x:c>
      <x:c r="S425" s="454">
        <x:v>392375.55555555556</x:v>
      </x:c>
      <x:c r="T425" s="454">
        <x:v>392375.55555555556</x:v>
      </x:c>
      <x:c r="U425" s="454">
        <x:v>392375.55555555556</x:v>
      </x:c>
      <x:c r="V425" s="455">
        <x:v>392375.55555555556</x:v>
      </x:c>
      <x:c r="W425" s="456">
        <x:f t="shared" si="83"/>
        <x:v>4708506.666666667</x:v>
      </x:c>
      <x:c r="X425" s="450">
        <x:f t="shared" si="84"/>
        <x:v>392375.55555555556</x:v>
      </x:c>
      <x:c r="Y425" s="457" t="s">
        <x:v>823</x:v>
      </x:c>
      <x:c r="Z425" s="458"/>
      <x:c r="AA425" s="458"/>
      <x:c r="AB425" s="458"/>
      <x:c r="AC425" s="458"/>
      <x:c r="AD425" s="458"/>
      <x:c r="AE425" s="458"/>
    </x:row>
    <x:row r="426" spans="1:31" ht="20.100000000000001" customHeight="1">
      <x:c r="A426" s="439" t="s">
        <x:v>767</x:v>
      </x:c>
      <x:c r="B426" s="466" t="str">
        <x:f t="shared" si="79"/>
        <x:v>기타비용</x:v>
      </x:c>
      <x:c r="C426" s="440" t="str">
        <x:f t="shared" si="80"/>
        <x:v>차량유지비</x:v>
      </x:c>
      <x:c r="D426" s="441">
        <x:v>52350101</x:v>
      </x:c>
      <x:c r="E426" s="442" t="str">
        <x:f t="shared" si="81"/>
        <x:v>차량유지비_유류대</x:v>
      </x:c>
      <x:c r="F426" s="443"/>
      <x:c r="G426" s="444" t="s">
        <x:v>84</x:v>
      </x:c>
      <x:c r="H426" s="445" t="str">
        <x:f t="shared" si="78"/>
        <x:v>품질경영팀(E)</x:v>
      </x:c>
      <x:c r="I426" s="446" t="str">
        <x:f t="shared" si="82"/>
        <x:v>[관리비]</x:v>
      </x:c>
      <x:c r="J426" s="445"/>
      <x:c r="K426" s="453">
        <x:v>243252.55555555556</x:v>
      </x:c>
      <x:c r="L426" s="454">
        <x:v>243252.55555555556</x:v>
      </x:c>
      <x:c r="M426" s="454">
        <x:v>243252.55555555556</x:v>
      </x:c>
      <x:c r="N426" s="454">
        <x:v>243252.55555555556</x:v>
      </x:c>
      <x:c r="O426" s="454">
        <x:v>243252.55555555556</x:v>
      </x:c>
      <x:c r="P426" s="454">
        <x:v>243252.55555555556</x:v>
      </x:c>
      <x:c r="Q426" s="454">
        <x:v>243252.55555555556</x:v>
      </x:c>
      <x:c r="R426" s="454">
        <x:v>243252.55555555556</x:v>
      </x:c>
      <x:c r="S426" s="454">
        <x:v>243252.55555555556</x:v>
      </x:c>
      <x:c r="T426" s="454">
        <x:v>243252.55555555556</x:v>
      </x:c>
      <x:c r="U426" s="454">
        <x:v>243252.55555555556</x:v>
      </x:c>
      <x:c r="V426" s="455">
        <x:v>243252.55555555556</x:v>
      </x:c>
      <x:c r="W426" s="456">
        <x:f t="shared" si="83"/>
        <x:v>2919030.6666666665</x:v>
      </x:c>
      <x:c r="X426" s="450">
        <x:f t="shared" si="84"/>
        <x:v>243252.55555555553</x:v>
      </x:c>
      <x:c r="Y426" s="457" t="s">
        <x:v>823</x:v>
      </x:c>
      <x:c r="Z426" s="458"/>
      <x:c r="AA426" s="458"/>
      <x:c r="AB426" s="458"/>
      <x:c r="AC426" s="458"/>
      <x:c r="AD426" s="458"/>
      <x:c r="AE426" s="458"/>
    </x:row>
    <x:row r="427" spans="1:31" ht="20.100000000000001" customHeight="1">
      <x:c r="A427" s="439" t="s">
        <x:v>767</x:v>
      </x:c>
      <x:c r="B427" s="466" t="str">
        <x:f t="shared" si="79"/>
        <x:v>기타비용</x:v>
      </x:c>
      <x:c r="C427" s="440" t="str">
        <x:f t="shared" si="80"/>
        <x:v>차량유지비</x:v>
      </x:c>
      <x:c r="D427" s="441">
        <x:v>52350101</x:v>
      </x:c>
      <x:c r="E427" s="442" t="str">
        <x:f t="shared" si="81"/>
        <x:v>차량유지비_유류대</x:v>
      </x:c>
      <x:c r="F427" s="443"/>
      <x:c r="G427" s="444" t="s">
        <x:v>245</x:v>
      </x:c>
      <x:c r="H427" s="445" t="str">
        <x:f t="shared" si="78"/>
        <x:v>생산기획팀(E)</x:v>
      </x:c>
      <x:c r="I427" s="446" t="str">
        <x:f t="shared" si="82"/>
        <x:v>[관리비]</x:v>
      </x:c>
      <x:c r="J427" s="445"/>
      <x:c r="K427" s="453">
        <x:v>116261.55555555556</x:v>
      </x:c>
      <x:c r="L427" s="454">
        <x:v>116261.55555555556</x:v>
      </x:c>
      <x:c r="M427" s="454">
        <x:v>116261.55555555556</x:v>
      </x:c>
      <x:c r="N427" s="454">
        <x:v>116261.55555555556</x:v>
      </x:c>
      <x:c r="O427" s="454">
        <x:v>116261.55555555556</x:v>
      </x:c>
      <x:c r="P427" s="454">
        <x:v>116261.55555555556</x:v>
      </x:c>
      <x:c r="Q427" s="454">
        <x:v>116261.55555555556</x:v>
      </x:c>
      <x:c r="R427" s="454">
        <x:v>116261.55555555556</x:v>
      </x:c>
      <x:c r="S427" s="454">
        <x:v>116261.55555555556</x:v>
      </x:c>
      <x:c r="T427" s="454">
        <x:v>116261.55555555556</x:v>
      </x:c>
      <x:c r="U427" s="454">
        <x:v>116261.55555555556</x:v>
      </x:c>
      <x:c r="V427" s="455">
        <x:v>116261.55555555556</x:v>
      </x:c>
      <x:c r="W427" s="456">
        <x:f t="shared" si="83"/>
        <x:v>1395138.6666666663</x:v>
      </x:c>
      <x:c r="X427" s="450">
        <x:f t="shared" si="84"/>
        <x:v>116261.55555555552</x:v>
      </x:c>
      <x:c r="Y427" s="457" t="s">
        <x:v>823</x:v>
      </x:c>
      <x:c r="Z427" s="458"/>
      <x:c r="AA427" s="458"/>
      <x:c r="AB427" s="458"/>
      <x:c r="AC427" s="458"/>
      <x:c r="AD427" s="458"/>
      <x:c r="AE427" s="458"/>
    </x:row>
    <x:row r="428" spans="1:31" ht="20.100000000000001" customHeight="1">
      <x:c r="A428" s="439" t="s">
        <x:v>767</x:v>
      </x:c>
      <x:c r="B428" s="466" t="str">
        <x:f t="shared" si="79"/>
        <x:v>기타비용</x:v>
      </x:c>
      <x:c r="C428" s="440" t="str">
        <x:f t="shared" si="80"/>
        <x:v>차량유지비</x:v>
      </x:c>
      <x:c r="D428" s="441">
        <x:v>52350101</x:v>
      </x:c>
      <x:c r="E428" s="442" t="str">
        <x:f t="shared" si="81"/>
        <x:v>차량유지비_유류대</x:v>
      </x:c>
      <x:c r="F428" s="443"/>
      <x:c r="G428" s="444" t="s">
        <x:v>249</x:v>
      </x:c>
      <x:c r="H428" s="445" t="str">
        <x:f t="shared" si="78"/>
        <x:v>부품품질팀(E)</x:v>
      </x:c>
      <x:c r="I428" s="446" t="str">
        <x:f t="shared" si="82"/>
        <x:v>[관리비]</x:v>
      </x:c>
      <x:c r="J428" s="445"/>
      <x:c r="K428" s="453">
        <x:v>131649.33333333334</x:v>
      </x:c>
      <x:c r="L428" s="454">
        <x:v>131649.33333333334</x:v>
      </x:c>
      <x:c r="M428" s="454">
        <x:v>131649.33333333334</x:v>
      </x:c>
      <x:c r="N428" s="454">
        <x:v>131649.33333333334</x:v>
      </x:c>
      <x:c r="O428" s="454">
        <x:v>131649.33333333334</x:v>
      </x:c>
      <x:c r="P428" s="454">
        <x:v>131649.33333333334</x:v>
      </x:c>
      <x:c r="Q428" s="454">
        <x:v>131649.33333333334</x:v>
      </x:c>
      <x:c r="R428" s="454">
        <x:v>131649.33333333334</x:v>
      </x:c>
      <x:c r="S428" s="454">
        <x:v>131649.33333333334</x:v>
      </x:c>
      <x:c r="T428" s="454">
        <x:v>131649.33333333334</x:v>
      </x:c>
      <x:c r="U428" s="454">
        <x:v>131649.33333333334</x:v>
      </x:c>
      <x:c r="V428" s="455">
        <x:v>131649.33333333334</x:v>
      </x:c>
      <x:c r="W428" s="456">
        <x:f t="shared" si="83"/>
        <x:v>1579791.9999999998</x:v>
      </x:c>
      <x:c r="X428" s="450">
        <x:f t="shared" si="84"/>
        <x:v>131649.33333333331</x:v>
      </x:c>
      <x:c r="Y428" s="457" t="s">
        <x:v>823</x:v>
      </x:c>
      <x:c r="Z428" s="458"/>
      <x:c r="AA428" s="458"/>
      <x:c r="AB428" s="458"/>
      <x:c r="AC428" s="458"/>
      <x:c r="AD428" s="458"/>
      <x:c r="AE428" s="458"/>
    </x:row>
    <x:row r="429" spans="1:31" ht="20.100000000000001" customHeight="1">
      <x:c r="A429" s="439" t="s">
        <x:v>767</x:v>
      </x:c>
      <x:c r="B429" s="466" t="str">
        <x:f t="shared" si="79"/>
        <x:v>기타비용</x:v>
      </x:c>
      <x:c r="C429" s="440" t="str">
        <x:f t="shared" si="80"/>
        <x:v>차량유지비</x:v>
      </x:c>
      <x:c r="D429" s="441">
        <x:v>52350101</x:v>
      </x:c>
      <x:c r="E429" s="442" t="str">
        <x:f t="shared" si="81"/>
        <x:v>차량유지비_유류대</x:v>
      </x:c>
      <x:c r="F429" s="443"/>
      <x:c r="G429" s="444" t="s">
        <x:v>247</x:v>
      </x:c>
      <x:c r="H429" s="445" t="str">
        <x:f t="shared" si="78"/>
        <x:v>영업팀(E)</x:v>
      </x:c>
      <x:c r="I429" s="446" t="str">
        <x:f t="shared" si="82"/>
        <x:v>[판매비]</x:v>
      </x:c>
      <x:c r="J429" s="445"/>
      <x:c r="K429" s="453">
        <x:v>32896.222222222219</x:v>
      </x:c>
      <x:c r="L429" s="454">
        <x:v>32896.222222222219</x:v>
      </x:c>
      <x:c r="M429" s="454">
        <x:v>32896.222222222219</x:v>
      </x:c>
      <x:c r="N429" s="454">
        <x:v>32896.222222222219</x:v>
      </x:c>
      <x:c r="O429" s="454">
        <x:v>32896.222222222219</x:v>
      </x:c>
      <x:c r="P429" s="454">
        <x:v>32896.222222222219</x:v>
      </x:c>
      <x:c r="Q429" s="454">
        <x:v>32896.222222222219</x:v>
      </x:c>
      <x:c r="R429" s="454">
        <x:v>32896.222222222219</x:v>
      </x:c>
      <x:c r="S429" s="454">
        <x:v>32896.222222222219</x:v>
      </x:c>
      <x:c r="T429" s="454">
        <x:v>32896.222222222219</x:v>
      </x:c>
      <x:c r="U429" s="454">
        <x:v>32896.222222222219</x:v>
      </x:c>
      <x:c r="V429" s="455">
        <x:v>32896.222222222219</x:v>
      </x:c>
      <x:c r="W429" s="456">
        <x:f t="shared" si="83"/>
        <x:v>394754.66666666674</x:v>
      </x:c>
      <x:c r="X429" s="450">
        <x:f t="shared" si="84"/>
        <x:v>32896.222222222226</x:v>
      </x:c>
      <x:c r="Y429" s="457" t="s">
        <x:v>823</x:v>
      </x:c>
      <x:c r="Z429" s="458"/>
      <x:c r="AA429" s="458"/>
      <x:c r="AB429" s="458"/>
      <x:c r="AC429" s="458"/>
      <x:c r="AD429" s="458"/>
      <x:c r="AE429" s="458"/>
    </x:row>
    <x:row r="430" spans="1:31" ht="20.100000000000001" customHeight="1">
      <x:c r="A430" s="439" t="s">
        <x:v>767</x:v>
      </x:c>
      <x:c r="B430" s="466" t="str">
        <x:f t="shared" si="79"/>
        <x:v>기타비용</x:v>
      </x:c>
      <x:c r="C430" s="440" t="str">
        <x:f t="shared" si="80"/>
        <x:v>차량유지비</x:v>
      </x:c>
      <x:c r="D430" s="441">
        <x:v>52350101</x:v>
      </x:c>
      <x:c r="E430" s="442" t="str">
        <x:f t="shared" si="81"/>
        <x:v>차량유지비_유류대</x:v>
      </x:c>
      <x:c r="F430" s="443"/>
      <x:c r="G430" s="444" t="s">
        <x:v>251</x:v>
      </x:c>
      <x:c r="H430" s="445" t="str">
        <x:f t="shared" si="78"/>
        <x:v>시작평가팀(E)</x:v>
      </x:c>
      <x:c r="I430" s="446" t="str">
        <x:f t="shared" si="82"/>
        <x:v>[연구개발비]</x:v>
      </x:c>
      <x:c r="J430" s="445"/>
      <x:c r="K430" s="453">
        <x:v>340856.66666666669</x:v>
      </x:c>
      <x:c r="L430" s="454">
        <x:v>340856.66666666669</x:v>
      </x:c>
      <x:c r="M430" s="454">
        <x:v>340856.66666666669</x:v>
      </x:c>
      <x:c r="N430" s="454">
        <x:v>340856.66666666669</x:v>
      </x:c>
      <x:c r="O430" s="454">
        <x:v>340856.66666666669</x:v>
      </x:c>
      <x:c r="P430" s="454">
        <x:v>340856.66666666669</x:v>
      </x:c>
      <x:c r="Q430" s="454">
        <x:v>340856.66666666669</x:v>
      </x:c>
      <x:c r="R430" s="454">
        <x:v>340856.66666666669</x:v>
      </x:c>
      <x:c r="S430" s="454">
        <x:v>340856.66666666669</x:v>
      </x:c>
      <x:c r="T430" s="454">
        <x:v>340856.66666666669</x:v>
      </x:c>
      <x:c r="U430" s="454">
        <x:v>340856.66666666669</x:v>
      </x:c>
      <x:c r="V430" s="455">
        <x:v>340856.66666666669</x:v>
      </x:c>
      <x:c r="W430" s="456">
        <x:f t="shared" si="83"/>
        <x:v>4090279.9999999995</x:v>
      </x:c>
      <x:c r="X430" s="450">
        <x:f t="shared" si="84"/>
        <x:v>340856.66666666663</x:v>
      </x:c>
      <x:c r="Y430" s="457" t="s">
        <x:v>823</x:v>
      </x:c>
      <x:c r="Z430" s="458"/>
      <x:c r="AA430" s="458"/>
      <x:c r="AB430" s="458"/>
      <x:c r="AC430" s="458"/>
      <x:c r="AD430" s="458"/>
      <x:c r="AE430" s="458"/>
    </x:row>
    <x:row r="431" spans="1:31" ht="20.100000000000001" customHeight="1">
      <x:c r="A431" s="439" t="s">
        <x:v>767</x:v>
      </x:c>
      <x:c r="B431" s="466" t="str">
        <x:f t="shared" si="79"/>
        <x:v>복리후생비</x:v>
      </x:c>
      <x:c r="C431" s="440" t="str">
        <x:f t="shared" si="80"/>
        <x:v>후생비</x:v>
      </x:c>
      <x:c r="D431" s="441">
        <x:v>52139900</x:v>
      </x:c>
      <x:c r="E431" s="442" t="str">
        <x:f t="shared" si="81"/>
        <x:v>후생비_기타</x:v>
      </x:c>
      <x:c r="F431" s="443"/>
      <x:c r="G431" s="444" t="s">
        <x:v>114</x:v>
      </x:c>
      <x:c r="H431" s="445" t="str">
        <x:f t="shared" si="78"/>
        <x:v>연구개발부문(E)</x:v>
      </x:c>
      <x:c r="I431" s="446" t="str">
        <x:f t="shared" si="82"/>
        <x:v>[연구개발비]</x:v>
      </x:c>
      <x:c r="J431" s="445"/>
      <x:c r="K431" s="453">
        <x:v>100000</x:v>
      </x:c>
      <x:c r="L431" s="454">
        <x:v>100000</x:v>
      </x:c>
      <x:c r="M431" s="454">
        <x:v>100000</x:v>
      </x:c>
      <x:c r="N431" s="454">
        <x:v>100000</x:v>
      </x:c>
      <x:c r="O431" s="454">
        <x:v>100000</x:v>
      </x:c>
      <x:c r="P431" s="454">
        <x:v>100000</x:v>
      </x:c>
      <x:c r="Q431" s="454">
        <x:v>100000</x:v>
      </x:c>
      <x:c r="R431" s="454">
        <x:v>100000</x:v>
      </x:c>
      <x:c r="S431" s="454">
        <x:v>100000</x:v>
      </x:c>
      <x:c r="T431" s="454">
        <x:v>100000</x:v>
      </x:c>
      <x:c r="U431" s="454">
        <x:v>100000</x:v>
      </x:c>
      <x:c r="V431" s="455">
        <x:v>100000</x:v>
      </x:c>
      <x:c r="W431" s="456">
        <x:f t="shared" si="83"/>
        <x:v>1200000</x:v>
      </x:c>
      <x:c r="X431" s="450">
        <x:f t="shared" si="84"/>
        <x:v>100000</x:v>
      </x:c>
      <x:c r="Y431" s="457" t="s">
        <x:v>453</x:v>
      </x:c>
      <x:c r="Z431" s="458"/>
      <x:c r="AA431" s="458"/>
      <x:c r="AB431" s="458"/>
      <x:c r="AC431" s="458"/>
      <x:c r="AD431" s="458"/>
      <x:c r="AE431" s="458"/>
    </x:row>
    <x:row r="432" spans="1:31" ht="20.100000000000001" customHeight="1">
      <x:c r="A432" s="439" t="s">
        <x:v>767</x:v>
      </x:c>
      <x:c r="B432" s="466" t="str">
        <x:f t="shared" si="79"/>
        <x:v>복리후생비</x:v>
      </x:c>
      <x:c r="C432" s="440" t="str">
        <x:f t="shared" si="80"/>
        <x:v>후생비</x:v>
      </x:c>
      <x:c r="D432" s="441">
        <x:v>52139900</x:v>
      </x:c>
      <x:c r="E432" s="442" t="str">
        <x:f t="shared" si="81"/>
        <x:v>후생비_기타</x:v>
      </x:c>
      <x:c r="F432" s="443"/>
      <x:c r="G432" s="444" t="s">
        <x:v>103</x:v>
      </x:c>
      <x:c r="H432" s="445" t="str">
        <x:f t="shared" si="78"/>
        <x:v>전장사업부(E)</x:v>
      </x:c>
      <x:c r="I432" s="446" t="str">
        <x:f t="shared" si="82"/>
        <x:v>[관리비]</x:v>
      </x:c>
      <x:c r="J432" s="445"/>
      <x:c r="K432" s="453">
        <x:v>100000</x:v>
      </x:c>
      <x:c r="L432" s="454">
        <x:v>100000</x:v>
      </x:c>
      <x:c r="M432" s="454">
        <x:v>100000</x:v>
      </x:c>
      <x:c r="N432" s="454">
        <x:v>100000</x:v>
      </x:c>
      <x:c r="O432" s="454">
        <x:v>100000</x:v>
      </x:c>
      <x:c r="P432" s="454">
        <x:v>100000</x:v>
      </x:c>
      <x:c r="Q432" s="454">
        <x:v>100000</x:v>
      </x:c>
      <x:c r="R432" s="454">
        <x:v>100000</x:v>
      </x:c>
      <x:c r="S432" s="454">
        <x:v>100000</x:v>
      </x:c>
      <x:c r="T432" s="454">
        <x:v>100000</x:v>
      </x:c>
      <x:c r="U432" s="454">
        <x:v>100000</x:v>
      </x:c>
      <x:c r="V432" s="455">
        <x:v>100000</x:v>
      </x:c>
      <x:c r="W432" s="456">
        <x:f t="shared" si="83"/>
        <x:v>1200000</x:v>
      </x:c>
      <x:c r="X432" s="450">
        <x:f t="shared" si="84"/>
        <x:v>100000</x:v>
      </x:c>
      <x:c r="Y432" s="457" t="s">
        <x:v>453</x:v>
      </x:c>
      <x:c r="Z432" s="458"/>
      <x:c r="AA432" s="458"/>
      <x:c r="AB432" s="458"/>
      <x:c r="AC432" s="458"/>
      <x:c r="AD432" s="458"/>
      <x:c r="AE432" s="458"/>
    </x:row>
    <x:row r="433" spans="1:31" ht="20.100000000000001" customHeight="1">
      <x:c r="A433" s="439" t="s">
        <x:v>767</x:v>
      </x:c>
      <x:c r="B433" s="466" t="str">
        <x:f t="shared" si="79"/>
        <x:v>복리후생비</x:v>
      </x:c>
      <x:c r="C433" s="440" t="str">
        <x:f t="shared" si="80"/>
        <x:v>후생비</x:v>
      </x:c>
      <x:c r="D433" s="441">
        <x:v>52139900</x:v>
      </x:c>
      <x:c r="E433" s="442" t="str">
        <x:f t="shared" si="81"/>
        <x:v>후생비_기타</x:v>
      </x:c>
      <x:c r="F433" s="443"/>
      <x:c r="G433" s="444" t="s">
        <x:v>150</x:v>
      </x:c>
      <x:c r="H433" s="445" t="str">
        <x:f t="shared" si="78"/>
        <x:v>구매영업부문(E)</x:v>
      </x:c>
      <x:c r="I433" s="446" t="str">
        <x:f t="shared" si="82"/>
        <x:v>[판매비]</x:v>
      </x:c>
      <x:c r="J433" s="445"/>
      <x:c r="K433" s="453">
        <x:v>100000</x:v>
      </x:c>
      <x:c r="L433" s="454">
        <x:v>100000</x:v>
      </x:c>
      <x:c r="M433" s="454">
        <x:v>100000</x:v>
      </x:c>
      <x:c r="N433" s="454">
        <x:v>100000</x:v>
      </x:c>
      <x:c r="O433" s="454">
        <x:v>100000</x:v>
      </x:c>
      <x:c r="P433" s="454">
        <x:v>100000</x:v>
      </x:c>
      <x:c r="Q433" s="454">
        <x:v>100000</x:v>
      </x:c>
      <x:c r="R433" s="454">
        <x:v>100000</x:v>
      </x:c>
      <x:c r="S433" s="454">
        <x:v>100000</x:v>
      </x:c>
      <x:c r="T433" s="454">
        <x:v>100000</x:v>
      </x:c>
      <x:c r="U433" s="454">
        <x:v>100000</x:v>
      </x:c>
      <x:c r="V433" s="455">
        <x:v>100000</x:v>
      </x:c>
      <x:c r="W433" s="456">
        <x:f t="shared" si="83"/>
        <x:v>1200000</x:v>
      </x:c>
      <x:c r="X433" s="450">
        <x:f t="shared" si="84"/>
        <x:v>100000</x:v>
      </x:c>
      <x:c r="Y433" s="457" t="s">
        <x:v>453</x:v>
      </x:c>
      <x:c r="Z433" s="458"/>
      <x:c r="AA433" s="458"/>
      <x:c r="AB433" s="458"/>
      <x:c r="AC433" s="458"/>
      <x:c r="AD433" s="458"/>
      <x:c r="AE433" s="458"/>
    </x:row>
    <x:row r="434" spans="1:31" ht="20.100000000000001" customHeight="1">
      <x:c r="A434" s="439" t="s">
        <x:v>767</x:v>
      </x:c>
      <x:c r="B434" s="466" t="str">
        <x:f t="shared" si="79"/>
        <x:v>복리후생비</x:v>
      </x:c>
      <x:c r="C434" s="440" t="str">
        <x:f t="shared" si="80"/>
        <x:v>후생비</x:v>
      </x:c>
      <x:c r="D434" s="441">
        <x:v>52139900</x:v>
      </x:c>
      <x:c r="E434" s="442" t="str">
        <x:f t="shared" si="81"/>
        <x:v>후생비_기타</x:v>
      </x:c>
      <x:c r="F434" s="443"/>
      <x:c r="G434" s="444" t="s">
        <x:v>253</x:v>
      </x:c>
      <x:c r="H434" s="445" t="str">
        <x:f t="shared" si="78"/>
        <x:v>생산부문(E)</x:v>
      </x:c>
      <x:c r="I434" s="446" t="str">
        <x:f t="shared" si="82"/>
        <x:v>[관리비]</x:v>
      </x:c>
      <x:c r="J434" s="445"/>
      <x:c r="K434" s="453">
        <x:v>100000</x:v>
      </x:c>
      <x:c r="L434" s="454">
        <x:v>100000</x:v>
      </x:c>
      <x:c r="M434" s="454">
        <x:v>100000</x:v>
      </x:c>
      <x:c r="N434" s="454">
        <x:v>100000</x:v>
      </x:c>
      <x:c r="O434" s="454">
        <x:v>100000</x:v>
      </x:c>
      <x:c r="P434" s="454">
        <x:v>100000</x:v>
      </x:c>
      <x:c r="Q434" s="454">
        <x:v>100000</x:v>
      </x:c>
      <x:c r="R434" s="454">
        <x:v>100000</x:v>
      </x:c>
      <x:c r="S434" s="454">
        <x:v>100000</x:v>
      </x:c>
      <x:c r="T434" s="454">
        <x:v>100000</x:v>
      </x:c>
      <x:c r="U434" s="454">
        <x:v>100000</x:v>
      </x:c>
      <x:c r="V434" s="455">
        <x:v>100000</x:v>
      </x:c>
      <x:c r="W434" s="456">
        <x:f t="shared" si="83"/>
        <x:v>1200000</x:v>
      </x:c>
      <x:c r="X434" s="450">
        <x:f t="shared" si="84"/>
        <x:v>100000</x:v>
      </x:c>
      <x:c r="Y434" s="457" t="s">
        <x:v>453</x:v>
      </x:c>
      <x:c r="Z434" s="458"/>
      <x:c r="AA434" s="458"/>
      <x:c r="AB434" s="458"/>
      <x:c r="AC434" s="458"/>
      <x:c r="AD434" s="458"/>
      <x:c r="AE434" s="458"/>
    </x:row>
    <x:row r="435" spans="1:31" ht="20.100000000000001" customHeight="1">
      <x:c r="A435" s="439" t="s">
        <x:v>767</x:v>
      </x:c>
      <x:c r="B435" s="466" t="str">
        <x:f t="shared" si="79"/>
        <x:v>복리후생비</x:v>
      </x:c>
      <x:c r="C435" s="440" t="str">
        <x:f t="shared" si="80"/>
        <x:v>후생비</x:v>
      </x:c>
      <x:c r="D435" s="441">
        <x:v>52130111</x:v>
      </x:c>
      <x:c r="E435" s="442" t="str">
        <x:f t="shared" si="81"/>
        <x:v>후생비_시상금</x:v>
      </x:c>
      <x:c r="F435" s="443"/>
      <x:c r="G435" s="444" t="s">
        <x:v>99</x:v>
      </x:c>
      <x:c r="H435" s="445" t="str">
        <x:f t="shared" si="78"/>
        <x:v>전장설계1팀(E)</x:v>
      </x:c>
      <x:c r="I435" s="446" t="str">
        <x:f t="shared" si="82"/>
        <x:v>[연구개발비]</x:v>
      </x:c>
      <x:c r="J435" s="445"/>
      <x:c r="K435" s="453">
        <x:v>0</x:v>
      </x:c>
      <x:c r="L435" s="454">
        <x:v>0</x:v>
      </x:c>
      <x:c r="M435" s="454">
        <x:v>0</x:v>
      </x:c>
      <x:c r="N435" s="454">
        <x:v>0</x:v>
      </x:c>
      <x:c r="O435" s="454">
        <x:v>0</x:v>
      </x:c>
      <x:c r="P435" s="454">
        <x:v>0</x:v>
      </x:c>
      <x:c r="Q435" s="454">
        <x:v>0</x:v>
      </x:c>
      <x:c r="R435" s="454">
        <x:v>8873944</x:v>
      </x:c>
      <x:c r="S435" s="454">
        <x:v>0</x:v>
      </x:c>
      <x:c r="T435" s="454">
        <x:v>0</x:v>
      </x:c>
      <x:c r="U435" s="454">
        <x:v>0</x:v>
      </x:c>
      <x:c r="V435" s="455">
        <x:v>0</x:v>
      </x:c>
      <x:c r="W435" s="456">
        <x:f t="shared" si="83"/>
        <x:v>8873944</x:v>
      </x:c>
      <x:c r="X435" s="450">
        <x:f t="shared" si="84"/>
        <x:v>739495.33333333337</x:v>
      </x:c>
      <x:c r="Y435" s="457" t="s">
        <x:v>824</x:v>
      </x:c>
      <x:c r="Z435" s="458"/>
      <x:c r="AA435" s="458"/>
      <x:c r="AB435" s="458"/>
      <x:c r="AC435" s="458"/>
      <x:c r="AD435" s="458"/>
      <x:c r="AE435" s="458"/>
    </x:row>
    <x:row r="436" spans="1:31" ht="20.100000000000001" customHeight="1">
      <x:c r="A436" s="439" t="s">
        <x:v>767</x:v>
      </x:c>
      <x:c r="B436" s="466" t="str">
        <x:f t="shared" si="79"/>
        <x:v>복리후생비</x:v>
      </x:c>
      <x:c r="C436" s="440" t="str">
        <x:f t="shared" si="80"/>
        <x:v>후생비</x:v>
      </x:c>
      <x:c r="D436" s="441">
        <x:v>52130111</x:v>
      </x:c>
      <x:c r="E436" s="442" t="str">
        <x:f t="shared" si="81"/>
        <x:v>후생비_시상금</x:v>
      </x:c>
      <x:c r="F436" s="443"/>
      <x:c r="G436" s="444" t="s">
        <x:v>80</x:v>
      </x:c>
      <x:c r="H436" s="445" t="str">
        <x:f t="shared" si="78"/>
        <x:v>사업관리팀(E)</x:v>
      </x:c>
      <x:c r="I436" s="446" t="str">
        <x:f t="shared" si="82"/>
        <x:v>[관리비]</x:v>
      </x:c>
      <x:c r="J436" s="445"/>
      <x:c r="K436" s="453">
        <x:v>0</x:v>
      </x:c>
      <x:c r="L436" s="454">
        <x:v>0</x:v>
      </x:c>
      <x:c r="M436" s="454">
        <x:v>0</x:v>
      </x:c>
      <x:c r="N436" s="454">
        <x:v>0</x:v>
      </x:c>
      <x:c r="O436" s="454">
        <x:v>0</x:v>
      </x:c>
      <x:c r="P436" s="454">
        <x:v>0</x:v>
      </x:c>
      <x:c r="Q436" s="454">
        <x:v>0</x:v>
      </x:c>
      <x:c r="R436" s="454">
        <x:v>7369620</x:v>
      </x:c>
      <x:c r="S436" s="454">
        <x:v>0</x:v>
      </x:c>
      <x:c r="T436" s="454">
        <x:v>0</x:v>
      </x:c>
      <x:c r="U436" s="454">
        <x:v>0</x:v>
      </x:c>
      <x:c r="V436" s="455">
        <x:v>0</x:v>
      </x:c>
      <x:c r="W436" s="456">
        <x:f t="shared" si="83"/>
        <x:v>7369620</x:v>
      </x:c>
      <x:c r="X436" s="450">
        <x:f t="shared" si="84"/>
        <x:v>614135</x:v>
      </x:c>
      <x:c r="Y436" s="457" t="s">
        <x:v>824</x:v>
      </x:c>
      <x:c r="Z436" s="458"/>
      <x:c r="AA436" s="458"/>
      <x:c r="AB436" s="458"/>
      <x:c r="AC436" s="458"/>
      <x:c r="AD436" s="458"/>
      <x:c r="AE436" s="458"/>
    </x:row>
    <x:row r="437" spans="1:31" ht="20.100000000000001" customHeight="1">
      <x:c r="A437" s="439" t="s">
        <x:v>767</x:v>
      </x:c>
      <x:c r="B437" s="466" t="str">
        <x:f t="shared" si="79"/>
        <x:v>복리후생비</x:v>
      </x:c>
      <x:c r="C437" s="440" t="str">
        <x:f t="shared" si="80"/>
        <x:v>후생비</x:v>
      </x:c>
      <x:c r="D437" s="441">
        <x:v>52130111</x:v>
      </x:c>
      <x:c r="E437" s="442" t="str">
        <x:f t="shared" si="81"/>
        <x:v>후생비_시상금</x:v>
      </x:c>
      <x:c r="F437" s="443"/>
      <x:c r="G437" s="444" t="s">
        <x:v>106</x:v>
      </x:c>
      <x:c r="H437" s="445" t="str">
        <x:f t="shared" si="78"/>
        <x:v>구매팀(E)</x:v>
      </x:c>
      <x:c r="I437" s="446" t="str">
        <x:f t="shared" si="82"/>
        <x:v>[관리비]</x:v>
      </x:c>
      <x:c r="J437" s="445"/>
      <x:c r="K437" s="453">
        <x:v>0</x:v>
      </x:c>
      <x:c r="L437" s="454">
        <x:v>0</x:v>
      </x:c>
      <x:c r="M437" s="454">
        <x:v>0</x:v>
      </x:c>
      <x:c r="N437" s="454">
        <x:v>0</x:v>
      </x:c>
      <x:c r="O437" s="454">
        <x:v>0</x:v>
      </x:c>
      <x:c r="P437" s="454">
        <x:v>0</x:v>
      </x:c>
      <x:c r="Q437" s="454">
        <x:v>0</x:v>
      </x:c>
      <x:c r="R437" s="454">
        <x:v>14739240</x:v>
      </x:c>
      <x:c r="S437" s="454">
        <x:v>0</x:v>
      </x:c>
      <x:c r="T437" s="454">
        <x:v>0</x:v>
      </x:c>
      <x:c r="U437" s="454">
        <x:v>0</x:v>
      </x:c>
      <x:c r="V437" s="455">
        <x:v>0</x:v>
      </x:c>
      <x:c r="W437" s="456">
        <x:f t="shared" si="83"/>
        <x:v>14739240</x:v>
      </x:c>
      <x:c r="X437" s="450">
        <x:f t="shared" si="84"/>
        <x:v>1228270</x:v>
      </x:c>
      <x:c r="Y437" s="457" t="s">
        <x:v>824</x:v>
      </x:c>
      <x:c r="Z437" s="458"/>
      <x:c r="AA437" s="458"/>
      <x:c r="AB437" s="458"/>
      <x:c r="AC437" s="458"/>
      <x:c r="AD437" s="458"/>
      <x:c r="AE437" s="458"/>
    </x:row>
    <x:row r="438" spans="1:31" ht="20.100000000000001" customHeight="1">
      <x:c r="A438" s="439" t="s">
        <x:v>767</x:v>
      </x:c>
      <x:c r="B438" s="466" t="str">
        <x:f t="shared" si="79"/>
        <x:v>복리후생비</x:v>
      </x:c>
      <x:c r="C438" s="440" t="str">
        <x:f t="shared" si="80"/>
        <x:v>후생비</x:v>
      </x:c>
      <x:c r="D438" s="441">
        <x:v>52130111</x:v>
      </x:c>
      <x:c r="E438" s="442" t="str">
        <x:f t="shared" si="81"/>
        <x:v>후생비_시상금</x:v>
      </x:c>
      <x:c r="F438" s="443"/>
      <x:c r="G438" s="444" t="s">
        <x:v>82</x:v>
      </x:c>
      <x:c r="H438" s="445" t="str">
        <x:f t="shared" si="78"/>
        <x:v>생산기술팀(E)</x:v>
      </x:c>
      <x:c r="I438" s="446" t="str">
        <x:f t="shared" si="82"/>
        <x:v>[관리비]</x:v>
      </x:c>
      <x:c r="J438" s="445"/>
      <x:c r="K438" s="453">
        <x:v>0</x:v>
      </x:c>
      <x:c r="L438" s="454">
        <x:v>0</x:v>
      </x:c>
      <x:c r="M438" s="454">
        <x:v>0</x:v>
      </x:c>
      <x:c r="N438" s="454">
        <x:v>0</x:v>
      </x:c>
      <x:c r="O438" s="454">
        <x:v>0</x:v>
      </x:c>
      <x:c r="P438" s="454">
        <x:v>0</x:v>
      </x:c>
      <x:c r="Q438" s="454">
        <x:v>0</x:v>
      </x:c>
      <x:c r="R438" s="454">
        <x:v>1504324</x:v>
      </x:c>
      <x:c r="S438" s="454">
        <x:v>0</x:v>
      </x:c>
      <x:c r="T438" s="454">
        <x:v>0</x:v>
      </x:c>
      <x:c r="U438" s="454">
        <x:v>0</x:v>
      </x:c>
      <x:c r="V438" s="455">
        <x:v>0</x:v>
      </x:c>
      <x:c r="W438" s="456">
        <x:f t="shared" si="83"/>
        <x:v>1504324</x:v>
      </x:c>
      <x:c r="X438" s="450">
        <x:f t="shared" si="84"/>
        <x:v>125360.33333333333</x:v>
      </x:c>
      <x:c r="Y438" s="457" t="s">
        <x:v>824</x:v>
      </x:c>
      <x:c r="Z438" s="458"/>
      <x:c r="AA438" s="458"/>
      <x:c r="AB438" s="458"/>
      <x:c r="AC438" s="458"/>
      <x:c r="AD438" s="458"/>
      <x:c r="AE438" s="458"/>
    </x:row>
    <x:row r="439" spans="1:31" ht="20.100000000000001" customHeight="1">
      <x:c r="A439" s="439" t="s">
        <x:v>767</x:v>
      </x:c>
      <x:c r="B439" s="466" t="str">
        <x:f t="shared" si="79"/>
        <x:v>복리후생비</x:v>
      </x:c>
      <x:c r="C439" s="440" t="str">
        <x:f t="shared" si="80"/>
        <x:v>후생비</x:v>
      </x:c>
      <x:c r="D439" s="441">
        <x:v>52130111</x:v>
      </x:c>
      <x:c r="E439" s="442" t="str">
        <x:f t="shared" si="81"/>
        <x:v>후생비_시상금</x:v>
      </x:c>
      <x:c r="F439" s="443"/>
      <x:c r="G439" s="444" t="s">
        <x:v>84</x:v>
      </x:c>
      <x:c r="H439" s="445" t="str">
        <x:f t="shared" si="78"/>
        <x:v>품질경영팀(E)</x:v>
      </x:c>
      <x:c r="I439" s="446" t="str">
        <x:f t="shared" si="82"/>
        <x:v>[관리비]</x:v>
      </x:c>
      <x:c r="J439" s="445"/>
      <x:c r="K439" s="453">
        <x:v>0</x:v>
      </x:c>
      <x:c r="L439" s="454">
        <x:v>0</x:v>
      </x:c>
      <x:c r="M439" s="454">
        <x:v>0</x:v>
      </x:c>
      <x:c r="N439" s="454">
        <x:v>0</x:v>
      </x:c>
      <x:c r="O439" s="454">
        <x:v>0</x:v>
      </x:c>
      <x:c r="P439" s="454">
        <x:v>0</x:v>
      </x:c>
      <x:c r="Q439" s="454">
        <x:v>0</x:v>
      </x:c>
      <x:c r="R439" s="454">
        <x:v>7445620</x:v>
      </x:c>
      <x:c r="S439" s="454">
        <x:v>0</x:v>
      </x:c>
      <x:c r="T439" s="454">
        <x:v>0</x:v>
      </x:c>
      <x:c r="U439" s="454">
        <x:v>0</x:v>
      </x:c>
      <x:c r="V439" s="455">
        <x:v>0</x:v>
      </x:c>
      <x:c r="W439" s="456">
        <x:f t="shared" si="83"/>
        <x:v>7445620</x:v>
      </x:c>
      <x:c r="X439" s="450">
        <x:f t="shared" si="84"/>
        <x:v>620468.33333333337</x:v>
      </x:c>
      <x:c r="Y439" s="457" t="s">
        <x:v>824</x:v>
      </x:c>
      <x:c r="Z439" s="458"/>
      <x:c r="AA439" s="458"/>
      <x:c r="AB439" s="458"/>
      <x:c r="AC439" s="458"/>
      <x:c r="AD439" s="458"/>
      <x:c r="AE439" s="458"/>
    </x:row>
    <x:row r="440" spans="1:31" ht="20.100000000000001" customHeight="1">
      <x:c r="A440" s="439" t="s">
        <x:v>767</x:v>
      </x:c>
      <x:c r="B440" s="466" t="str">
        <x:f t="shared" si="79"/>
        <x:v>복리후생비</x:v>
      </x:c>
      <x:c r="C440" s="440" t="str">
        <x:f t="shared" si="80"/>
        <x:v>후생비</x:v>
      </x:c>
      <x:c r="D440" s="441">
        <x:v>52130111</x:v>
      </x:c>
      <x:c r="E440" s="442" t="str">
        <x:f t="shared" si="81"/>
        <x:v>후생비_시상금</x:v>
      </x:c>
      <x:c r="F440" s="443"/>
      <x:c r="G440" s="444" t="s">
        <x:v>245</x:v>
      </x:c>
      <x:c r="H440" s="445" t="str">
        <x:f t="shared" ref="H440:H503" si="85">IFERROR(VLOOKUP($G440,$AK:$AL,2,),"")</x:f>
        <x:v>생산기획팀(E)</x:v>
      </x:c>
      <x:c r="I440" s="446" t="str">
        <x:f t="shared" si="82"/>
        <x:v>[관리비]</x:v>
      </x:c>
      <x:c r="J440" s="445"/>
      <x:c r="K440" s="453">
        <x:v>0</x:v>
      </x:c>
      <x:c r="L440" s="454">
        <x:v>0</x:v>
      </x:c>
      <x:c r="M440" s="454">
        <x:v>0</x:v>
      </x:c>
      <x:c r="N440" s="454">
        <x:v>0</x:v>
      </x:c>
      <x:c r="O440" s="454">
        <x:v>0</x:v>
      </x:c>
      <x:c r="P440" s="454">
        <x:v>0</x:v>
      </x:c>
      <x:c r="Q440" s="454">
        <x:v>0</x:v>
      </x:c>
      <x:c r="R440" s="454">
        <x:v>5941296</x:v>
      </x:c>
      <x:c r="S440" s="454">
        <x:v>0</x:v>
      </x:c>
      <x:c r="T440" s="454">
        <x:v>0</x:v>
      </x:c>
      <x:c r="U440" s="454">
        <x:v>0</x:v>
      </x:c>
      <x:c r="V440" s="455">
        <x:v>0</x:v>
      </x:c>
      <x:c r="W440" s="456">
        <x:f t="shared" si="83"/>
        <x:v>5941296</x:v>
      </x:c>
      <x:c r="X440" s="450">
        <x:f t="shared" si="84"/>
        <x:v>495108</x:v>
      </x:c>
      <x:c r="Y440" s="457" t="s">
        <x:v>824</x:v>
      </x:c>
      <x:c r="Z440" s="458"/>
      <x:c r="AA440" s="458"/>
      <x:c r="AB440" s="458"/>
      <x:c r="AC440" s="458"/>
      <x:c r="AD440" s="458"/>
      <x:c r="AE440" s="458"/>
    </x:row>
    <x:row r="441" spans="1:31" ht="20.100000000000001" customHeight="1">
      <x:c r="A441" s="439" t="s">
        <x:v>767</x:v>
      </x:c>
      <x:c r="B441" s="466" t="str">
        <x:f t="shared" si="79"/>
        <x:v>복리후생비</x:v>
      </x:c>
      <x:c r="C441" s="440" t="str">
        <x:f t="shared" si="80"/>
        <x:v>후생비</x:v>
      </x:c>
      <x:c r="D441" s="441">
        <x:v>52130111</x:v>
      </x:c>
      <x:c r="E441" s="442" t="str">
        <x:f t="shared" si="81"/>
        <x:v>후생비_시상금</x:v>
      </x:c>
      <x:c r="F441" s="443"/>
      <x:c r="G441" s="444" t="s">
        <x:v>249</x:v>
      </x:c>
      <x:c r="H441" s="445" t="str">
        <x:f t="shared" si="85"/>
        <x:v>부품품질팀(E)</x:v>
      </x:c>
      <x:c r="I441" s="446" t="str">
        <x:f t="shared" si="82"/>
        <x:v>[관리비]</x:v>
      </x:c>
      <x:c r="J441" s="445"/>
      <x:c r="K441" s="453">
        <x:v>0</x:v>
      </x:c>
      <x:c r="L441" s="454">
        <x:v>0</x:v>
      </x:c>
      <x:c r="M441" s="454">
        <x:v>0</x:v>
      </x:c>
      <x:c r="N441" s="454">
        <x:v>0</x:v>
      </x:c>
      <x:c r="O441" s="454">
        <x:v>0</x:v>
      </x:c>
      <x:c r="P441" s="454">
        <x:v>0</x:v>
      </x:c>
      <x:c r="Q441" s="454">
        <x:v>0</x:v>
      </x:c>
      <x:c r="R441" s="454">
        <x:v>8873944</x:v>
      </x:c>
      <x:c r="S441" s="454">
        <x:v>0</x:v>
      </x:c>
      <x:c r="T441" s="454">
        <x:v>0</x:v>
      </x:c>
      <x:c r="U441" s="454">
        <x:v>0</x:v>
      </x:c>
      <x:c r="V441" s="455">
        <x:v>0</x:v>
      </x:c>
      <x:c r="W441" s="456">
        <x:f t="shared" si="83"/>
        <x:v>8873944</x:v>
      </x:c>
      <x:c r="X441" s="450">
        <x:f t="shared" si="84"/>
        <x:v>739495.33333333337</x:v>
      </x:c>
      <x:c r="Y441" s="457" t="s">
        <x:v>824</x:v>
      </x:c>
      <x:c r="Z441" s="458"/>
      <x:c r="AA441" s="458"/>
      <x:c r="AB441" s="458"/>
      <x:c r="AC441" s="458"/>
      <x:c r="AD441" s="458"/>
      <x:c r="AE441" s="458"/>
    </x:row>
    <x:row r="442" spans="1:31" ht="20.100000000000001" customHeight="1">
      <x:c r="A442" s="439" t="s">
        <x:v>767</x:v>
      </x:c>
      <x:c r="B442" s="466" t="str">
        <x:f t="shared" si="79"/>
        <x:v>복리후생비</x:v>
      </x:c>
      <x:c r="C442" s="440" t="str">
        <x:f t="shared" si="80"/>
        <x:v>후생비</x:v>
      </x:c>
      <x:c r="D442" s="441">
        <x:v>52130111</x:v>
      </x:c>
      <x:c r="E442" s="442" t="str">
        <x:f t="shared" si="81"/>
        <x:v>후생비_시상금</x:v>
      </x:c>
      <x:c r="F442" s="443"/>
      <x:c r="G442" s="444" t="s">
        <x:v>247</x:v>
      </x:c>
      <x:c r="H442" s="445" t="str">
        <x:f t="shared" si="85"/>
        <x:v>영업팀(E)</x:v>
      </x:c>
      <x:c r="I442" s="446" t="str">
        <x:f t="shared" si="82"/>
        <x:v>[판매비]</x:v>
      </x:c>
      <x:c r="J442" s="445"/>
      <x:c r="K442" s="453">
        <x:v>0</x:v>
      </x:c>
      <x:c r="L442" s="454">
        <x:v>0</x:v>
      </x:c>
      <x:c r="M442" s="454">
        <x:v>0</x:v>
      </x:c>
      <x:c r="N442" s="454">
        <x:v>0</x:v>
      </x:c>
      <x:c r="O442" s="454">
        <x:v>0</x:v>
      </x:c>
      <x:c r="P442" s="454">
        <x:v>0</x:v>
      </x:c>
      <x:c r="Q442" s="454">
        <x:v>0</x:v>
      </x:c>
      <x:c r="R442" s="454">
        <x:v>7369620</x:v>
      </x:c>
      <x:c r="S442" s="454">
        <x:v>0</x:v>
      </x:c>
      <x:c r="T442" s="454">
        <x:v>0</x:v>
      </x:c>
      <x:c r="U442" s="454">
        <x:v>0</x:v>
      </x:c>
      <x:c r="V442" s="455">
        <x:v>0</x:v>
      </x:c>
      <x:c r="W442" s="456">
        <x:f t="shared" si="83"/>
        <x:v>7369620</x:v>
      </x:c>
      <x:c r="X442" s="450">
        <x:f t="shared" si="84"/>
        <x:v>614135</x:v>
      </x:c>
      <x:c r="Y442" s="457" t="s">
        <x:v>824</x:v>
      </x:c>
      <x:c r="Z442" s="458"/>
      <x:c r="AA442" s="458"/>
      <x:c r="AB442" s="458"/>
      <x:c r="AC442" s="458"/>
      <x:c r="AD442" s="458"/>
      <x:c r="AE442" s="458"/>
    </x:row>
    <x:row r="443" spans="1:31" ht="20.100000000000001" customHeight="1">
      <x:c r="A443" s="439" t="s">
        <x:v>767</x:v>
      </x:c>
      <x:c r="B443" s="466" t="str">
        <x:f t="shared" si="79"/>
        <x:v>복리후생비</x:v>
      </x:c>
      <x:c r="C443" s="440" t="str">
        <x:f t="shared" si="80"/>
        <x:v>후생비</x:v>
      </x:c>
      <x:c r="D443" s="441">
        <x:v>52139900</x:v>
      </x:c>
      <x:c r="E443" s="442" t="str">
        <x:f t="shared" si="81"/>
        <x:v>후생비_기타</x:v>
      </x:c>
      <x:c r="F443" s="443"/>
      <x:c r="G443" s="444" t="s">
        <x:v>106</x:v>
      </x:c>
      <x:c r="H443" s="445" t="str">
        <x:f t="shared" si="85"/>
        <x:v>구매팀(E)</x:v>
      </x:c>
      <x:c r="I443" s="446" t="str">
        <x:f t="shared" si="82"/>
        <x:v>[관리비]</x:v>
      </x:c>
      <x:c r="J443" s="445"/>
      <x:c r="K443" s="453">
        <x:v>0</x:v>
      </x:c>
      <x:c r="L443" s="454">
        <x:v>0</x:v>
      </x:c>
      <x:c r="M443" s="454">
        <x:v>30000</x:v>
      </x:c>
      <x:c r="N443" s="454">
        <x:v>0</x:v>
      </x:c>
      <x:c r="O443" s="454">
        <x:v>0</x:v>
      </x:c>
      <x:c r="P443" s="454">
        <x:v>30000</x:v>
      </x:c>
      <x:c r="Q443" s="454">
        <x:v>0</x:v>
      </x:c>
      <x:c r="R443" s="454">
        <x:v>0</x:v>
      </x:c>
      <x:c r="S443" s="454">
        <x:v>30000</x:v>
      </x:c>
      <x:c r="T443" s="454">
        <x:v>0</x:v>
      </x:c>
      <x:c r="U443" s="454">
        <x:v>0</x:v>
      </x:c>
      <x:c r="V443" s="455">
        <x:v>30000</x:v>
      </x:c>
      <x:c r="W443" s="456">
        <x:f t="shared" si="83"/>
        <x:v>120000</x:v>
      </x:c>
      <x:c r="X443" s="450">
        <x:f t="shared" si="84"/>
        <x:v>10000</x:v>
      </x:c>
      <x:c r="Y443" s="457" t="s">
        <x:v>825</x:v>
      </x:c>
      <x:c r="Z443" s="458"/>
      <x:c r="AA443" s="458"/>
      <x:c r="AB443" s="458"/>
      <x:c r="AC443" s="458"/>
      <x:c r="AD443" s="458"/>
      <x:c r="AE443" s="458"/>
    </x:row>
    <x:row r="444" spans="1:31" ht="20.100000000000001" customHeight="1">
      <x:c r="A444" s="439" t="s">
        <x:v>767</x:v>
      </x:c>
      <x:c r="B444" s="466" t="str">
        <x:f t="shared" si="79"/>
        <x:v>복리후생비</x:v>
      </x:c>
      <x:c r="C444" s="440" t="str">
        <x:f t="shared" si="80"/>
        <x:v>후생비</x:v>
      </x:c>
      <x:c r="D444" s="441">
        <x:v>52139900</x:v>
      </x:c>
      <x:c r="E444" s="442" t="str">
        <x:f t="shared" si="81"/>
        <x:v>후생비_기타</x:v>
      </x:c>
      <x:c r="F444" s="443"/>
      <x:c r="G444" s="444" t="s">
        <x:v>249</x:v>
      </x:c>
      <x:c r="H444" s="445" t="str">
        <x:f t="shared" si="85"/>
        <x:v>부품품질팀(E)</x:v>
      </x:c>
      <x:c r="I444" s="446" t="str">
        <x:f t="shared" si="82"/>
        <x:v>[관리비]</x:v>
      </x:c>
      <x:c r="J444" s="445"/>
      <x:c r="K444" s="453">
        <x:v>0</x:v>
      </x:c>
      <x:c r="L444" s="454">
        <x:v>0</x:v>
      </x:c>
      <x:c r="M444" s="454">
        <x:v>15000</x:v>
      </x:c>
      <x:c r="N444" s="454">
        <x:v>0</x:v>
      </x:c>
      <x:c r="O444" s="454">
        <x:v>0</x:v>
      </x:c>
      <x:c r="P444" s="454">
        <x:v>15000</x:v>
      </x:c>
      <x:c r="Q444" s="454">
        <x:v>0</x:v>
      </x:c>
      <x:c r="R444" s="454">
        <x:v>0</x:v>
      </x:c>
      <x:c r="S444" s="454">
        <x:v>15000</x:v>
      </x:c>
      <x:c r="T444" s="454">
        <x:v>0</x:v>
      </x:c>
      <x:c r="U444" s="454">
        <x:v>0</x:v>
      </x:c>
      <x:c r="V444" s="455">
        <x:v>15000</x:v>
      </x:c>
      <x:c r="W444" s="456">
        <x:f t="shared" si="83"/>
        <x:v>60000</x:v>
      </x:c>
      <x:c r="X444" s="450">
        <x:f t="shared" si="84"/>
        <x:v>5000</x:v>
      </x:c>
      <x:c r="Y444" s="457" t="s">
        <x:v>825</x:v>
      </x:c>
      <x:c r="Z444" s="458"/>
      <x:c r="AA444" s="458"/>
      <x:c r="AB444" s="458"/>
      <x:c r="AC444" s="458"/>
      <x:c r="AD444" s="458"/>
      <x:c r="AE444" s="458"/>
    </x:row>
    <x:row r="445" spans="1:31" ht="20.100000000000001" customHeight="1">
      <x:c r="A445" s="439" t="s">
        <x:v>767</x:v>
      </x:c>
      <x:c r="B445" s="466" t="str">
        <x:f t="shared" si="79"/>
        <x:v>복리후생비</x:v>
      </x:c>
      <x:c r="C445" s="440" t="str">
        <x:f t="shared" si="80"/>
        <x:v>후생비</x:v>
      </x:c>
      <x:c r="D445" s="441">
        <x:v>52139900</x:v>
      </x:c>
      <x:c r="E445" s="442" t="str">
        <x:f t="shared" si="81"/>
        <x:v>후생비_기타</x:v>
      </x:c>
      <x:c r="F445" s="443"/>
      <x:c r="G445" s="444" t="s">
        <x:v>80</x:v>
      </x:c>
      <x:c r="H445" s="445" t="str">
        <x:f t="shared" si="85"/>
        <x:v>사업관리팀(E)</x:v>
      </x:c>
      <x:c r="I445" s="446" t="str">
        <x:f t="shared" si="82"/>
        <x:v>[관리비]</x:v>
      </x:c>
      <x:c r="J445" s="445"/>
      <x:c r="K445" s="453">
        <x:v>0</x:v>
      </x:c>
      <x:c r="L445" s="454">
        <x:v>0</x:v>
      </x:c>
      <x:c r="M445" s="454">
        <x:v>15000</x:v>
      </x:c>
      <x:c r="N445" s="454">
        <x:v>0</x:v>
      </x:c>
      <x:c r="O445" s="454">
        <x:v>0</x:v>
      </x:c>
      <x:c r="P445" s="454">
        <x:v>15000</x:v>
      </x:c>
      <x:c r="Q445" s="454">
        <x:v>0</x:v>
      </x:c>
      <x:c r="R445" s="454">
        <x:v>0</x:v>
      </x:c>
      <x:c r="S445" s="454">
        <x:v>15000</x:v>
      </x:c>
      <x:c r="T445" s="454">
        <x:v>0</x:v>
      </x:c>
      <x:c r="U445" s="454">
        <x:v>0</x:v>
      </x:c>
      <x:c r="V445" s="455">
        <x:v>15000</x:v>
      </x:c>
      <x:c r="W445" s="456">
        <x:f t="shared" si="83"/>
        <x:v>60000</x:v>
      </x:c>
      <x:c r="X445" s="450">
        <x:f t="shared" si="84"/>
        <x:v>5000</x:v>
      </x:c>
      <x:c r="Y445" s="457" t="s">
        <x:v>825</x:v>
      </x:c>
      <x:c r="Z445" s="458"/>
      <x:c r="AA445" s="458"/>
      <x:c r="AB445" s="458"/>
      <x:c r="AC445" s="458"/>
      <x:c r="AD445" s="458"/>
      <x:c r="AE445" s="458"/>
    </x:row>
    <x:row r="446" spans="1:31" ht="20.100000000000001" customHeight="1">
      <x:c r="A446" s="439" t="s">
        <x:v>767</x:v>
      </x:c>
      <x:c r="B446" s="466" t="str">
        <x:f t="shared" si="79"/>
        <x:v>복리후생비</x:v>
      </x:c>
      <x:c r="C446" s="440" t="str">
        <x:f t="shared" si="80"/>
        <x:v>후생비</x:v>
      </x:c>
      <x:c r="D446" s="441">
        <x:v>52139900</x:v>
      </x:c>
      <x:c r="E446" s="442" t="str">
        <x:f t="shared" si="81"/>
        <x:v>후생비_기타</x:v>
      </x:c>
      <x:c r="F446" s="443"/>
      <x:c r="G446" s="444" t="s">
        <x:v>82</x:v>
      </x:c>
      <x:c r="H446" s="445" t="str">
        <x:f t="shared" si="85"/>
        <x:v>생산기술팀(E)</x:v>
      </x:c>
      <x:c r="I446" s="446" t="str">
        <x:f t="shared" si="82"/>
        <x:v>[관리비]</x:v>
      </x:c>
      <x:c r="J446" s="445"/>
      <x:c r="K446" s="453">
        <x:v>0</x:v>
      </x:c>
      <x:c r="L446" s="454">
        <x:v>0</x:v>
      </x:c>
      <x:c r="M446" s="454">
        <x:v>105000</x:v>
      </x:c>
      <x:c r="N446" s="454">
        <x:v>0</x:v>
      </x:c>
      <x:c r="O446" s="454">
        <x:v>0</x:v>
      </x:c>
      <x:c r="P446" s="454">
        <x:v>105000</x:v>
      </x:c>
      <x:c r="Q446" s="454">
        <x:v>0</x:v>
      </x:c>
      <x:c r="R446" s="454">
        <x:v>0</x:v>
      </x:c>
      <x:c r="S446" s="454">
        <x:v>105000</x:v>
      </x:c>
      <x:c r="T446" s="454">
        <x:v>0</x:v>
      </x:c>
      <x:c r="U446" s="454">
        <x:v>0</x:v>
      </x:c>
      <x:c r="V446" s="455">
        <x:v>105000</x:v>
      </x:c>
      <x:c r="W446" s="456">
        <x:f t="shared" si="83"/>
        <x:v>420000</x:v>
      </x:c>
      <x:c r="X446" s="450">
        <x:f t="shared" si="84"/>
        <x:v>35000</x:v>
      </x:c>
      <x:c r="Y446" s="457" t="s">
        <x:v>825</x:v>
      </x:c>
      <x:c r="Z446" s="458"/>
      <x:c r="AA446" s="458"/>
      <x:c r="AB446" s="458"/>
      <x:c r="AC446" s="458"/>
      <x:c r="AD446" s="458"/>
      <x:c r="AE446" s="458"/>
    </x:row>
    <x:row r="447" spans="1:31" ht="20.100000000000001" customHeight="1">
      <x:c r="A447" s="439" t="s">
        <x:v>767</x:v>
      </x:c>
      <x:c r="B447" s="466" t="str">
        <x:f t="shared" si="79"/>
        <x:v>복리후생비</x:v>
      </x:c>
      <x:c r="C447" s="440" t="str">
        <x:f t="shared" si="80"/>
        <x:v>후생비</x:v>
      </x:c>
      <x:c r="D447" s="441">
        <x:v>52139900</x:v>
      </x:c>
      <x:c r="E447" s="442" t="str">
        <x:f t="shared" si="81"/>
        <x:v>후생비_기타</x:v>
      </x:c>
      <x:c r="F447" s="443"/>
      <x:c r="G447" s="444" t="s">
        <x:v>245</x:v>
      </x:c>
      <x:c r="H447" s="445" t="str">
        <x:f t="shared" si="85"/>
        <x:v>생산기획팀(E)</x:v>
      </x:c>
      <x:c r="I447" s="446" t="str">
        <x:f t="shared" si="82"/>
        <x:v>[관리비]</x:v>
      </x:c>
      <x:c r="J447" s="445"/>
      <x:c r="K447" s="453">
        <x:v>0</x:v>
      </x:c>
      <x:c r="L447" s="454">
        <x:v>0</x:v>
      </x:c>
      <x:c r="M447" s="454">
        <x:v>30000</x:v>
      </x:c>
      <x:c r="N447" s="454">
        <x:v>0</x:v>
      </x:c>
      <x:c r="O447" s="454">
        <x:v>0</x:v>
      </x:c>
      <x:c r="P447" s="454">
        <x:v>30000</x:v>
      </x:c>
      <x:c r="Q447" s="454">
        <x:v>0</x:v>
      </x:c>
      <x:c r="R447" s="454">
        <x:v>0</x:v>
      </x:c>
      <x:c r="S447" s="454">
        <x:v>30000</x:v>
      </x:c>
      <x:c r="T447" s="454">
        <x:v>0</x:v>
      </x:c>
      <x:c r="U447" s="454">
        <x:v>0</x:v>
      </x:c>
      <x:c r="V447" s="455">
        <x:v>30000</x:v>
      </x:c>
      <x:c r="W447" s="456">
        <x:f t="shared" si="83"/>
        <x:v>120000</x:v>
      </x:c>
      <x:c r="X447" s="450">
        <x:f t="shared" si="84"/>
        <x:v>10000</x:v>
      </x:c>
      <x:c r="Y447" s="457" t="s">
        <x:v>825</x:v>
      </x:c>
      <x:c r="Z447" s="458"/>
      <x:c r="AA447" s="458"/>
      <x:c r="AB447" s="458"/>
      <x:c r="AC447" s="458"/>
      <x:c r="AD447" s="458"/>
      <x:c r="AE447" s="458"/>
    </x:row>
    <x:row r="448" spans="1:31" ht="20.100000000000001" customHeight="1">
      <x:c r="A448" s="439" t="s">
        <x:v>767</x:v>
      </x:c>
      <x:c r="B448" s="466" t="str">
        <x:f t="shared" si="79"/>
        <x:v>복리후생비</x:v>
      </x:c>
      <x:c r="C448" s="440" t="str">
        <x:f t="shared" si="80"/>
        <x:v>후생비</x:v>
      </x:c>
      <x:c r="D448" s="441">
        <x:v>52139900</x:v>
      </x:c>
      <x:c r="E448" s="442" t="str">
        <x:f t="shared" si="81"/>
        <x:v>후생비_기타</x:v>
      </x:c>
      <x:c r="F448" s="443"/>
      <x:c r="G448" s="444" t="s">
        <x:v>251</x:v>
      </x:c>
      <x:c r="H448" s="445" t="str">
        <x:f t="shared" si="85"/>
        <x:v>시작평가팀(E)</x:v>
      </x:c>
      <x:c r="I448" s="446" t="str">
        <x:f t="shared" si="82"/>
        <x:v>[연구개발비]</x:v>
      </x:c>
      <x:c r="J448" s="445"/>
      <x:c r="K448" s="453">
        <x:v>0</x:v>
      </x:c>
      <x:c r="L448" s="454">
        <x:v>0</x:v>
      </x:c>
      <x:c r="M448" s="454">
        <x:v>30000</x:v>
      </x:c>
      <x:c r="N448" s="454">
        <x:v>0</x:v>
      </x:c>
      <x:c r="O448" s="454">
        <x:v>0</x:v>
      </x:c>
      <x:c r="P448" s="454">
        <x:v>30000</x:v>
      </x:c>
      <x:c r="Q448" s="454">
        <x:v>0</x:v>
      </x:c>
      <x:c r="R448" s="454">
        <x:v>0</x:v>
      </x:c>
      <x:c r="S448" s="454">
        <x:v>30000</x:v>
      </x:c>
      <x:c r="T448" s="454">
        <x:v>0</x:v>
      </x:c>
      <x:c r="U448" s="454">
        <x:v>0</x:v>
      </x:c>
      <x:c r="V448" s="455">
        <x:v>30000</x:v>
      </x:c>
      <x:c r="W448" s="456">
        <x:f t="shared" si="83"/>
        <x:v>120000</x:v>
      </x:c>
      <x:c r="X448" s="450">
        <x:f t="shared" si="84"/>
        <x:v>10000</x:v>
      </x:c>
      <x:c r="Y448" s="457" t="s">
        <x:v>825</x:v>
      </x:c>
      <x:c r="Z448" s="458"/>
      <x:c r="AA448" s="458"/>
      <x:c r="AB448" s="458"/>
      <x:c r="AC448" s="458"/>
      <x:c r="AD448" s="458"/>
      <x:c r="AE448" s="458"/>
    </x:row>
    <x:row r="449" spans="1:31" ht="20.100000000000001" customHeight="1">
      <x:c r="A449" s="439" t="s">
        <x:v>767</x:v>
      </x:c>
      <x:c r="B449" s="466" t="str">
        <x:f t="shared" si="79"/>
        <x:v>복리후생비</x:v>
      </x:c>
      <x:c r="C449" s="440" t="str">
        <x:f t="shared" si="80"/>
        <x:v>후생비</x:v>
      </x:c>
      <x:c r="D449" s="441">
        <x:v>52139900</x:v>
      </x:c>
      <x:c r="E449" s="442" t="str">
        <x:f t="shared" si="81"/>
        <x:v>후생비_기타</x:v>
      </x:c>
      <x:c r="F449" s="443"/>
      <x:c r="G449" s="444" t="s">
        <x:v>247</x:v>
      </x:c>
      <x:c r="H449" s="445" t="str">
        <x:f t="shared" si="85"/>
        <x:v>영업팀(E)</x:v>
      </x:c>
      <x:c r="I449" s="446" t="str">
        <x:f t="shared" si="82"/>
        <x:v>[판매비]</x:v>
      </x:c>
      <x:c r="J449" s="445"/>
      <x:c r="K449" s="453">
        <x:v>0</x:v>
      </x:c>
      <x:c r="L449" s="454">
        <x:v>0</x:v>
      </x:c>
      <x:c r="M449" s="454">
        <x:v>30000</x:v>
      </x:c>
      <x:c r="N449" s="454">
        <x:v>0</x:v>
      </x:c>
      <x:c r="O449" s="454">
        <x:v>0</x:v>
      </x:c>
      <x:c r="P449" s="454">
        <x:v>30000</x:v>
      </x:c>
      <x:c r="Q449" s="454">
        <x:v>0</x:v>
      </x:c>
      <x:c r="R449" s="454">
        <x:v>0</x:v>
      </x:c>
      <x:c r="S449" s="454">
        <x:v>30000</x:v>
      </x:c>
      <x:c r="T449" s="454">
        <x:v>0</x:v>
      </x:c>
      <x:c r="U449" s="454">
        <x:v>0</x:v>
      </x:c>
      <x:c r="V449" s="455">
        <x:v>30000</x:v>
      </x:c>
      <x:c r="W449" s="456">
        <x:f t="shared" si="83"/>
        <x:v>120000</x:v>
      </x:c>
      <x:c r="X449" s="450">
        <x:f t="shared" si="84"/>
        <x:v>10000</x:v>
      </x:c>
      <x:c r="Y449" s="457" t="s">
        <x:v>825</x:v>
      </x:c>
      <x:c r="Z449" s="458"/>
      <x:c r="AA449" s="458"/>
      <x:c r="AB449" s="458"/>
      <x:c r="AC449" s="458"/>
      <x:c r="AD449" s="458"/>
      <x:c r="AE449" s="458"/>
    </x:row>
    <x:row r="450" spans="1:31" ht="20.100000000000001" customHeight="1">
      <x:c r="A450" s="439" t="s">
        <x:v>767</x:v>
      </x:c>
      <x:c r="B450" s="466" t="str">
        <x:f t="shared" si="79"/>
        <x:v>복리후생비</x:v>
      </x:c>
      <x:c r="C450" s="440" t="str">
        <x:f t="shared" si="80"/>
        <x:v>후생비</x:v>
      </x:c>
      <x:c r="D450" s="441">
        <x:v>52139900</x:v>
      </x:c>
      <x:c r="E450" s="442" t="str">
        <x:f t="shared" si="81"/>
        <x:v>후생비_기타</x:v>
      </x:c>
      <x:c r="F450" s="443"/>
      <x:c r="G450" s="444" t="s">
        <x:v>99</x:v>
      </x:c>
      <x:c r="H450" s="445" t="str">
        <x:f t="shared" si="85"/>
        <x:v>전장설계1팀(E)</x:v>
      </x:c>
      <x:c r="I450" s="446" t="str">
        <x:f t="shared" si="82"/>
        <x:v>[연구개발비]</x:v>
      </x:c>
      <x:c r="J450" s="445"/>
      <x:c r="K450" s="453">
        <x:v>0</x:v>
      </x:c>
      <x:c r="L450" s="454">
        <x:v>0</x:v>
      </x:c>
      <x:c r="M450" s="454">
        <x:v>15000</x:v>
      </x:c>
      <x:c r="N450" s="454">
        <x:v>0</x:v>
      </x:c>
      <x:c r="O450" s="454">
        <x:v>0</x:v>
      </x:c>
      <x:c r="P450" s="454">
        <x:v>15000</x:v>
      </x:c>
      <x:c r="Q450" s="454">
        <x:v>0</x:v>
      </x:c>
      <x:c r="R450" s="454">
        <x:v>0</x:v>
      </x:c>
      <x:c r="S450" s="454">
        <x:v>15000</x:v>
      </x:c>
      <x:c r="T450" s="454">
        <x:v>0</x:v>
      </x:c>
      <x:c r="U450" s="454">
        <x:v>0</x:v>
      </x:c>
      <x:c r="V450" s="455">
        <x:v>15000</x:v>
      </x:c>
      <x:c r="W450" s="456">
        <x:f t="shared" si="83"/>
        <x:v>60000</x:v>
      </x:c>
      <x:c r="X450" s="450">
        <x:f t="shared" si="84"/>
        <x:v>5000</x:v>
      </x:c>
      <x:c r="Y450" s="457" t="s">
        <x:v>825</x:v>
      </x:c>
      <x:c r="Z450" s="458"/>
      <x:c r="AA450" s="458"/>
      <x:c r="AB450" s="458"/>
      <x:c r="AC450" s="458"/>
      <x:c r="AD450" s="458"/>
      <x:c r="AE450" s="458"/>
    </x:row>
    <x:row r="451" spans="1:31" ht="20.100000000000001" customHeight="1">
      <x:c r="A451" s="439" t="s">
        <x:v>767</x:v>
      </x:c>
      <x:c r="B451" s="466" t="str">
        <x:f t="shared" ref="B451:B514" si="86">IFERROR(VLOOKUP($C451,$AH:$AI,2,),"")</x:f>
        <x:v>복리후생비</x:v>
      </x:c>
      <x:c r="C451" s="440" t="str">
        <x:f t="shared" ref="C451:C514" si="87">IFERROR(VLOOKUP($D451,$AO:$AQ,3,),"")</x:f>
        <x:v>후생비</x:v>
      </x:c>
      <x:c r="D451" s="441">
        <x:v>52139900</x:v>
      </x:c>
      <x:c r="E451" s="442" t="str">
        <x:f t="shared" ref="E451:E514" si="88">IFERROR(VLOOKUP($D451,$AO:$AQ,2,),"")</x:f>
        <x:v>후생비_기타</x:v>
      </x:c>
      <x:c r="F451" s="443"/>
      <x:c r="G451" s="444" t="s">
        <x:v>101</x:v>
      </x:c>
      <x:c r="H451" s="445" t="str">
        <x:f t="shared" si="85"/>
        <x:v>전장설계2팀(E)</x:v>
      </x:c>
      <x:c r="I451" s="446" t="str">
        <x:f t="shared" ref="I451:I514" si="89">IFERROR(VLOOKUP($G451,$AK:$AM,3,),"")</x:f>
        <x:v>[연구개발비]</x:v>
      </x:c>
      <x:c r="J451" s="445"/>
      <x:c r="K451" s="453">
        <x:v>0</x:v>
      </x:c>
      <x:c r="L451" s="454">
        <x:v>0</x:v>
      </x:c>
      <x:c r="M451" s="454">
        <x:v>15000</x:v>
      </x:c>
      <x:c r="N451" s="454">
        <x:v>0</x:v>
      </x:c>
      <x:c r="O451" s="454">
        <x:v>0</x:v>
      </x:c>
      <x:c r="P451" s="454">
        <x:v>15000</x:v>
      </x:c>
      <x:c r="Q451" s="454">
        <x:v>0</x:v>
      </x:c>
      <x:c r="R451" s="454">
        <x:v>0</x:v>
      </x:c>
      <x:c r="S451" s="454">
        <x:v>15000</x:v>
      </x:c>
      <x:c r="T451" s="454">
        <x:v>0</x:v>
      </x:c>
      <x:c r="U451" s="454">
        <x:v>0</x:v>
      </x:c>
      <x:c r="V451" s="455">
        <x:v>15000</x:v>
      </x:c>
      <x:c r="W451" s="456">
        <x:f t="shared" si="83"/>
        <x:v>60000</x:v>
      </x:c>
      <x:c r="X451" s="450">
        <x:f t="shared" si="84"/>
        <x:v>5000</x:v>
      </x:c>
      <x:c r="Y451" s="457" t="s">
        <x:v>825</x:v>
      </x:c>
      <x:c r="Z451" s="458"/>
      <x:c r="AA451" s="458"/>
      <x:c r="AB451" s="458"/>
      <x:c r="AC451" s="458"/>
      <x:c r="AD451" s="458"/>
      <x:c r="AE451" s="458"/>
    </x:row>
    <x:row r="452" spans="1:31" ht="20.100000000000001" customHeight="1">
      <x:c r="A452" s="439" t="s">
        <x:v>767</x:v>
      </x:c>
      <x:c r="B452" s="466" t="str">
        <x:f t="shared" si="86"/>
        <x:v>복리후생비</x:v>
      </x:c>
      <x:c r="C452" s="440" t="str">
        <x:f t="shared" si="87"/>
        <x:v>후생비</x:v>
      </x:c>
      <x:c r="D452" s="441">
        <x:v>52130117</x:v>
      </x:c>
      <x:c r="E452" s="442" t="str">
        <x:f t="shared" si="88"/>
        <x:v>후생비_경조금</x:v>
      </x:c>
      <x:c r="F452" s="443"/>
      <x:c r="G452" s="444" t="s">
        <x:v>106</x:v>
      </x:c>
      <x:c r="H452" s="445" t="str">
        <x:f t="shared" si="85"/>
        <x:v>구매팀(E)</x:v>
      </x:c>
      <x:c r="I452" s="446" t="str">
        <x:f t="shared" si="89"/>
        <x:v>[관리비]</x:v>
      </x:c>
      <x:c r="J452" s="445"/>
      <x:c r="K452" s="453">
        <x:v>0</x:v>
      </x:c>
      <x:c r="L452" s="454">
        <x:v>0</x:v>
      </x:c>
      <x:c r="M452" s="454">
        <x:v>0</x:v>
      </x:c>
      <x:c r="N452" s="454">
        <x:v>0</x:v>
      </x:c>
      <x:c r="O452" s="454">
        <x:v>0</x:v>
      </x:c>
      <x:c r="P452" s="454">
        <x:v>100000</x:v>
      </x:c>
      <x:c r="Q452" s="454">
        <x:v>0</x:v>
      </x:c>
      <x:c r="R452" s="454">
        <x:v>0</x:v>
      </x:c>
      <x:c r="S452" s="454">
        <x:v>0</x:v>
      </x:c>
      <x:c r="T452" s="454">
        <x:v>0</x:v>
      </x:c>
      <x:c r="U452" s="454">
        <x:v>0</x:v>
      </x:c>
      <x:c r="V452" s="455">
        <x:v>100000</x:v>
      </x:c>
      <x:c r="W452" s="456">
        <x:f t="shared" si="83"/>
        <x:v>200000</x:v>
      </x:c>
      <x:c r="X452" s="450">
        <x:f t="shared" si="84"/>
        <x:v>16666.666666666668</x:v>
      </x:c>
      <x:c r="Y452" s="457" t="s">
        <x:v>826</x:v>
      </x:c>
      <x:c r="Z452" s="458"/>
      <x:c r="AA452" s="458"/>
      <x:c r="AB452" s="458"/>
      <x:c r="AC452" s="458"/>
      <x:c r="AD452" s="458"/>
      <x:c r="AE452" s="458"/>
    </x:row>
    <x:row r="453" spans="1:31" ht="20.100000000000001" customHeight="1">
      <x:c r="A453" s="439" t="s">
        <x:v>767</x:v>
      </x:c>
      <x:c r="B453" s="466" t="str">
        <x:f t="shared" si="86"/>
        <x:v>복리후생비</x:v>
      </x:c>
      <x:c r="C453" s="440" t="str">
        <x:f t="shared" si="87"/>
        <x:v>후생비</x:v>
      </x:c>
      <x:c r="D453" s="441">
        <x:v>52130117</x:v>
      </x:c>
      <x:c r="E453" s="442" t="str">
        <x:f t="shared" si="88"/>
        <x:v>후생비_경조금</x:v>
      </x:c>
      <x:c r="F453" s="443"/>
      <x:c r="G453" s="444" t="s">
        <x:v>80</x:v>
      </x:c>
      <x:c r="H453" s="445" t="str">
        <x:f t="shared" si="85"/>
        <x:v>사업관리팀(E)</x:v>
      </x:c>
      <x:c r="I453" s="446" t="str">
        <x:f t="shared" si="89"/>
        <x:v>[관리비]</x:v>
      </x:c>
      <x:c r="J453" s="445"/>
      <x:c r="K453" s="453">
        <x:v>0</x:v>
      </x:c>
      <x:c r="L453" s="454">
        <x:v>0</x:v>
      </x:c>
      <x:c r="M453" s="454">
        <x:v>0</x:v>
      </x:c>
      <x:c r="N453" s="454">
        <x:v>0</x:v>
      </x:c>
      <x:c r="O453" s="454">
        <x:v>0</x:v>
      </x:c>
      <x:c r="P453" s="454">
        <x:v>100000</x:v>
      </x:c>
      <x:c r="Q453" s="454">
        <x:v>0</x:v>
      </x:c>
      <x:c r="R453" s="454">
        <x:v>0</x:v>
      </x:c>
      <x:c r="S453" s="454">
        <x:v>0</x:v>
      </x:c>
      <x:c r="T453" s="454">
        <x:v>0</x:v>
      </x:c>
      <x:c r="U453" s="454">
        <x:v>0</x:v>
      </x:c>
      <x:c r="V453" s="455">
        <x:v>100000</x:v>
      </x:c>
      <x:c r="W453" s="456">
        <x:f t="shared" si="83"/>
        <x:v>200000</x:v>
      </x:c>
      <x:c r="X453" s="450">
        <x:f t="shared" si="84"/>
        <x:v>16666.666666666668</x:v>
      </x:c>
      <x:c r="Y453" s="457" t="s">
        <x:v>826</x:v>
      </x:c>
      <x:c r="Z453" s="458"/>
      <x:c r="AA453" s="458"/>
      <x:c r="AB453" s="458"/>
      <x:c r="AC453" s="458"/>
      <x:c r="AD453" s="458"/>
      <x:c r="AE453" s="458"/>
    </x:row>
    <x:row r="454" spans="1:31" ht="20.100000000000001" customHeight="1">
      <x:c r="A454" s="439" t="s">
        <x:v>767</x:v>
      </x:c>
      <x:c r="B454" s="466" t="str">
        <x:f t="shared" si="86"/>
        <x:v>복리후생비</x:v>
      </x:c>
      <x:c r="C454" s="440" t="str">
        <x:f t="shared" si="87"/>
        <x:v>후생비</x:v>
      </x:c>
      <x:c r="D454" s="441">
        <x:v>52130117</x:v>
      </x:c>
      <x:c r="E454" s="442" t="str">
        <x:f t="shared" si="88"/>
        <x:v>후생비_경조금</x:v>
      </x:c>
      <x:c r="F454" s="443"/>
      <x:c r="G454" s="444" t="s">
        <x:v>104</x:v>
      </x:c>
      <x:c r="H454" s="445" t="str">
        <x:f t="shared" si="85"/>
        <x:v>제품개발팀(E)</x:v>
      </x:c>
      <x:c r="I454" s="446" t="str">
        <x:f t="shared" si="89"/>
        <x:v>[연구개발비]</x:v>
      </x:c>
      <x:c r="J454" s="445"/>
      <x:c r="K454" s="453">
        <x:v>0</x:v>
      </x:c>
      <x:c r="L454" s="454">
        <x:v>0</x:v>
      </x:c>
      <x:c r="M454" s="454">
        <x:v>0</x:v>
      </x:c>
      <x:c r="N454" s="454">
        <x:v>0</x:v>
      </x:c>
      <x:c r="O454" s="454">
        <x:v>0</x:v>
      </x:c>
      <x:c r="P454" s="454">
        <x:v>100000</x:v>
      </x:c>
      <x:c r="Q454" s="454">
        <x:v>0</x:v>
      </x:c>
      <x:c r="R454" s="454">
        <x:v>0</x:v>
      </x:c>
      <x:c r="S454" s="454">
        <x:v>0</x:v>
      </x:c>
      <x:c r="T454" s="454">
        <x:v>0</x:v>
      </x:c>
      <x:c r="U454" s="454">
        <x:v>0</x:v>
      </x:c>
      <x:c r="V454" s="455">
        <x:v>100000</x:v>
      </x:c>
      <x:c r="W454" s="456">
        <x:f t="shared" si="83"/>
        <x:v>200000</x:v>
      </x:c>
      <x:c r="X454" s="450">
        <x:f t="shared" si="84"/>
        <x:v>16666.666666666668</x:v>
      </x:c>
      <x:c r="Y454" s="457" t="s">
        <x:v>826</x:v>
      </x:c>
      <x:c r="Z454" s="458"/>
      <x:c r="AA454" s="458"/>
      <x:c r="AB454" s="458"/>
      <x:c r="AC454" s="458"/>
      <x:c r="AD454" s="458"/>
      <x:c r="AE454" s="458"/>
    </x:row>
    <x:row r="455" spans="1:31" ht="20.100000000000001" customHeight="1">
      <x:c r="A455" s="439" t="s">
        <x:v>767</x:v>
      </x:c>
      <x:c r="B455" s="466" t="str">
        <x:f t="shared" si="86"/>
        <x:v>복리후생비</x:v>
      </x:c>
      <x:c r="C455" s="440" t="str">
        <x:f t="shared" si="87"/>
        <x:v>후생비</x:v>
      </x:c>
      <x:c r="D455" s="441">
        <x:v>52130117</x:v>
      </x:c>
      <x:c r="E455" s="442" t="str">
        <x:f t="shared" si="88"/>
        <x:v>후생비_경조금</x:v>
      </x:c>
      <x:c r="F455" s="443"/>
      <x:c r="G455" s="444" t="s">
        <x:v>84</x:v>
      </x:c>
      <x:c r="H455" s="445" t="str">
        <x:f t="shared" si="85"/>
        <x:v>품질경영팀(E)</x:v>
      </x:c>
      <x:c r="I455" s="446" t="str">
        <x:f t="shared" si="89"/>
        <x:v>[관리비]</x:v>
      </x:c>
      <x:c r="J455" s="445"/>
      <x:c r="K455" s="453">
        <x:v>0</x:v>
      </x:c>
      <x:c r="L455" s="454">
        <x:v>0</x:v>
      </x:c>
      <x:c r="M455" s="454">
        <x:v>0</x:v>
      </x:c>
      <x:c r="N455" s="454">
        <x:v>0</x:v>
      </x:c>
      <x:c r="O455" s="454">
        <x:v>0</x:v>
      </x:c>
      <x:c r="P455" s="454">
        <x:v>0</x:v>
      </x:c>
      <x:c r="Q455" s="454">
        <x:v>0</x:v>
      </x:c>
      <x:c r="R455" s="454">
        <x:v>0</x:v>
      </x:c>
      <x:c r="S455" s="454">
        <x:v>0</x:v>
      </x:c>
      <x:c r="T455" s="454">
        <x:v>0</x:v>
      </x:c>
      <x:c r="U455" s="454">
        <x:v>0</x:v>
      </x:c>
      <x:c r="V455" s="455">
        <x:v>100000</x:v>
      </x:c>
      <x:c r="W455" s="456">
        <x:f t="shared" si="83"/>
        <x:v>100000</x:v>
      </x:c>
      <x:c r="X455" s="450">
        <x:f t="shared" si="84"/>
        <x:v>8333.3333333333339</x:v>
      </x:c>
      <x:c r="Y455" s="457" t="s">
        <x:v>826</x:v>
      </x:c>
      <x:c r="Z455" s="458"/>
      <x:c r="AA455" s="458"/>
      <x:c r="AB455" s="458"/>
      <x:c r="AC455" s="458"/>
      <x:c r="AD455" s="458"/>
      <x:c r="AE455" s="458"/>
    </x:row>
    <x:row r="456" spans="1:31" ht="20.100000000000001" customHeight="1">
      <x:c r="A456" s="439" t="s">
        <x:v>767</x:v>
      </x:c>
      <x:c r="B456" s="466" t="str">
        <x:f t="shared" si="86"/>
        <x:v>복리후생비</x:v>
      </x:c>
      <x:c r="C456" s="440" t="str">
        <x:f t="shared" si="87"/>
        <x:v>후생비</x:v>
      </x:c>
      <x:c r="D456" s="441">
        <x:v>52130117</x:v>
      </x:c>
      <x:c r="E456" s="442" t="str">
        <x:f t="shared" si="88"/>
        <x:v>후생비_경조금</x:v>
      </x:c>
      <x:c r="F456" s="443"/>
      <x:c r="G456" s="444" t="s">
        <x:v>106</x:v>
      </x:c>
      <x:c r="H456" s="445" t="str">
        <x:f t="shared" si="85"/>
        <x:v>구매팀(E)</x:v>
      </x:c>
      <x:c r="I456" s="446" t="str">
        <x:f t="shared" si="89"/>
        <x:v>[관리비]</x:v>
      </x:c>
      <x:c r="J456" s="445"/>
      <x:c r="K456" s="453">
        <x:v>0</x:v>
      </x:c>
      <x:c r="L456" s="454">
        <x:v>0</x:v>
      </x:c>
      <x:c r="M456" s="454">
        <x:v>0</x:v>
      </x:c>
      <x:c r="N456" s="454">
        <x:v>0</x:v>
      </x:c>
      <x:c r="O456" s="454">
        <x:v>0</x:v>
      </x:c>
      <x:c r="P456" s="454">
        <x:v>500000</x:v>
      </x:c>
      <x:c r="Q456" s="454">
        <x:v>0</x:v>
      </x:c>
      <x:c r="R456" s="454">
        <x:v>0</x:v>
      </x:c>
      <x:c r="S456" s="454">
        <x:v>0</x:v>
      </x:c>
      <x:c r="T456" s="454">
        <x:v>0</x:v>
      </x:c>
      <x:c r="U456" s="454">
        <x:v>0</x:v>
      </x:c>
      <x:c r="V456" s="455">
        <x:v>500000</x:v>
      </x:c>
      <x:c r="W456" s="456">
        <x:f t="shared" si="83"/>
        <x:v>1000000</x:v>
      </x:c>
      <x:c r="X456" s="450">
        <x:f t="shared" si="84"/>
        <x:v>83333.333333333328</x:v>
      </x:c>
      <x:c r="Y456" s="457" t="s">
        <x:v>827</x:v>
      </x:c>
      <x:c r="Z456" s="458"/>
      <x:c r="AA456" s="458"/>
      <x:c r="AB456" s="458"/>
      <x:c r="AC456" s="458"/>
      <x:c r="AD456" s="458"/>
      <x:c r="AE456" s="458"/>
    </x:row>
    <x:row r="457" spans="1:31" ht="20.100000000000001" customHeight="1">
      <x:c r="A457" s="439" t="s">
        <x:v>767</x:v>
      </x:c>
      <x:c r="B457" s="466" t="str">
        <x:f t="shared" si="86"/>
        <x:v>복리후생비</x:v>
      </x:c>
      <x:c r="C457" s="440" t="str">
        <x:f t="shared" si="87"/>
        <x:v>후생비</x:v>
      </x:c>
      <x:c r="D457" s="441">
        <x:v>52130117</x:v>
      </x:c>
      <x:c r="E457" s="442" t="str">
        <x:f t="shared" si="88"/>
        <x:v>후생비_경조금</x:v>
      </x:c>
      <x:c r="F457" s="443"/>
      <x:c r="G457" s="444" t="s">
        <x:v>80</x:v>
      </x:c>
      <x:c r="H457" s="445" t="str">
        <x:f t="shared" si="85"/>
        <x:v>사업관리팀(E)</x:v>
      </x:c>
      <x:c r="I457" s="446" t="str">
        <x:f t="shared" si="89"/>
        <x:v>[관리비]</x:v>
      </x:c>
      <x:c r="J457" s="445"/>
      <x:c r="K457" s="453">
        <x:v>0</x:v>
      </x:c>
      <x:c r="L457" s="454">
        <x:v>0</x:v>
      </x:c>
      <x:c r="M457" s="454">
        <x:v>0</x:v>
      </x:c>
      <x:c r="N457" s="454">
        <x:v>0</x:v>
      </x:c>
      <x:c r="O457" s="454">
        <x:v>0</x:v>
      </x:c>
      <x:c r="P457" s="454">
        <x:v>500000</x:v>
      </x:c>
      <x:c r="Q457" s="454">
        <x:v>0</x:v>
      </x:c>
      <x:c r="R457" s="454">
        <x:v>0</x:v>
      </x:c>
      <x:c r="S457" s="454">
        <x:v>0</x:v>
      </x:c>
      <x:c r="T457" s="454">
        <x:v>0</x:v>
      </x:c>
      <x:c r="U457" s="454">
        <x:v>0</x:v>
      </x:c>
      <x:c r="V457" s="455">
        <x:v>500000</x:v>
      </x:c>
      <x:c r="W457" s="456">
        <x:f t="shared" si="83"/>
        <x:v>1000000</x:v>
      </x:c>
      <x:c r="X457" s="450">
        <x:f t="shared" si="84"/>
        <x:v>83333.333333333328</x:v>
      </x:c>
      <x:c r="Y457" s="457" t="s">
        <x:v>827</x:v>
      </x:c>
      <x:c r="Z457" s="458"/>
      <x:c r="AA457" s="458"/>
      <x:c r="AB457" s="458"/>
      <x:c r="AC457" s="458"/>
      <x:c r="AD457" s="458"/>
      <x:c r="AE457" s="458"/>
    </x:row>
    <x:row r="458" spans="1:31" ht="20.100000000000001" customHeight="1">
      <x:c r="A458" s="439" t="s">
        <x:v>767</x:v>
      </x:c>
      <x:c r="B458" s="466" t="str">
        <x:f t="shared" si="86"/>
        <x:v>복리후생비</x:v>
      </x:c>
      <x:c r="C458" s="440" t="str">
        <x:f t="shared" si="87"/>
        <x:v>후생비</x:v>
      </x:c>
      <x:c r="D458" s="441">
        <x:v>52130117</x:v>
      </x:c>
      <x:c r="E458" s="442" t="str">
        <x:f t="shared" si="88"/>
        <x:v>후생비_경조금</x:v>
      </x:c>
      <x:c r="F458" s="443"/>
      <x:c r="G458" s="444" t="s">
        <x:v>104</x:v>
      </x:c>
      <x:c r="H458" s="445" t="str">
        <x:f t="shared" si="85"/>
        <x:v>제품개발팀(E)</x:v>
      </x:c>
      <x:c r="I458" s="446" t="str">
        <x:f t="shared" si="89"/>
        <x:v>[연구개발비]</x:v>
      </x:c>
      <x:c r="J458" s="445"/>
      <x:c r="K458" s="453">
        <x:v>0</x:v>
      </x:c>
      <x:c r="L458" s="454">
        <x:v>0</x:v>
      </x:c>
      <x:c r="M458" s="454">
        <x:v>0</x:v>
      </x:c>
      <x:c r="N458" s="454">
        <x:v>0</x:v>
      </x:c>
      <x:c r="O458" s="454">
        <x:v>0</x:v>
      </x:c>
      <x:c r="P458" s="454">
        <x:v>500000</x:v>
      </x:c>
      <x:c r="Q458" s="454">
        <x:v>0</x:v>
      </x:c>
      <x:c r="R458" s="454">
        <x:v>0</x:v>
      </x:c>
      <x:c r="S458" s="454">
        <x:v>0</x:v>
      </x:c>
      <x:c r="T458" s="454">
        <x:v>0</x:v>
      </x:c>
      <x:c r="U458" s="454">
        <x:v>0</x:v>
      </x:c>
      <x:c r="V458" s="455">
        <x:v>500000</x:v>
      </x:c>
      <x:c r="W458" s="456">
        <x:f t="shared" si="83"/>
        <x:v>1000000</x:v>
      </x:c>
      <x:c r="X458" s="450">
        <x:f t="shared" si="84"/>
        <x:v>83333.333333333328</x:v>
      </x:c>
      <x:c r="Y458" s="457" t="s">
        <x:v>827</x:v>
      </x:c>
      <x:c r="Z458" s="458"/>
      <x:c r="AA458" s="458"/>
      <x:c r="AB458" s="458"/>
      <x:c r="AC458" s="458"/>
      <x:c r="AD458" s="458"/>
      <x:c r="AE458" s="458"/>
    </x:row>
    <x:row r="459" spans="1:31" ht="20.100000000000001" customHeight="1">
      <x:c r="A459" s="439" t="s">
        <x:v>767</x:v>
      </x:c>
      <x:c r="B459" s="466" t="str">
        <x:f t="shared" si="86"/>
        <x:v>복리후생비</x:v>
      </x:c>
      <x:c r="C459" s="440" t="str">
        <x:f t="shared" si="87"/>
        <x:v>후생비</x:v>
      </x:c>
      <x:c r="D459" s="441">
        <x:v>52139900</x:v>
      </x:c>
      <x:c r="E459" s="442" t="str">
        <x:f t="shared" si="88"/>
        <x:v>후생비_기타</x:v>
      </x:c>
      <x:c r="F459" s="443"/>
      <x:c r="G459" s="444" t="s">
        <x:v>106</x:v>
      </x:c>
      <x:c r="H459" s="445" t="str">
        <x:f t="shared" si="85"/>
        <x:v>구매팀(E)</x:v>
      </x:c>
      <x:c r="I459" s="446" t="str">
        <x:f t="shared" si="89"/>
        <x:v>[관리비]</x:v>
      </x:c>
      <x:c r="J459" s="445"/>
      <x:c r="K459" s="453">
        <x:v>0</x:v>
      </x:c>
      <x:c r="L459" s="454">
        <x:v>0</x:v>
      </x:c>
      <x:c r="M459" s="454">
        <x:v>0</x:v>
      </x:c>
      <x:c r="N459" s="454">
        <x:v>0</x:v>
      </x:c>
      <x:c r="O459" s="454">
        <x:v>565455</x:v>
      </x:c>
      <x:c r="P459" s="454">
        <x:v>0</x:v>
      </x:c>
      <x:c r="Q459" s="454">
        <x:v>0</x:v>
      </x:c>
      <x:c r="R459" s="454">
        <x:v>0</x:v>
      </x:c>
      <x:c r="S459" s="454">
        <x:v>0</x:v>
      </x:c>
      <x:c r="T459" s="454">
        <x:v>0</x:v>
      </x:c>
      <x:c r="U459" s="454">
        <x:v>0</x:v>
      </x:c>
      <x:c r="V459" s="455">
        <x:v>565455</x:v>
      </x:c>
      <x:c r="W459" s="456">
        <x:f t="shared" si="83"/>
        <x:v>1130910</x:v>
      </x:c>
      <x:c r="X459" s="450">
        <x:f t="shared" si="84"/>
        <x:v>94242.5</x:v>
      </x:c>
      <x:c r="Y459" s="457" t="s">
        <x:v>828</x:v>
      </x:c>
      <x:c r="Z459" s="458"/>
      <x:c r="AA459" s="458"/>
      <x:c r="AB459" s="458"/>
      <x:c r="AC459" s="458"/>
      <x:c r="AD459" s="458"/>
      <x:c r="AE459" s="458"/>
    </x:row>
    <x:row r="460" spans="1:31" ht="20.100000000000001" customHeight="1">
      <x:c r="A460" s="439" t="s">
        <x:v>767</x:v>
      </x:c>
      <x:c r="B460" s="466" t="str">
        <x:f t="shared" si="86"/>
        <x:v>복리후생비</x:v>
      </x:c>
      <x:c r="C460" s="440" t="str">
        <x:f t="shared" si="87"/>
        <x:v>후생비</x:v>
      </x:c>
      <x:c r="D460" s="441">
        <x:v>52139900</x:v>
      </x:c>
      <x:c r="E460" s="442" t="str">
        <x:f t="shared" si="88"/>
        <x:v>후생비_기타</x:v>
      </x:c>
      <x:c r="F460" s="443"/>
      <x:c r="G460" s="444" t="s">
        <x:v>80</x:v>
      </x:c>
      <x:c r="H460" s="445" t="str">
        <x:f t="shared" si="85"/>
        <x:v>사업관리팀(E)</x:v>
      </x:c>
      <x:c r="I460" s="446" t="str">
        <x:f t="shared" si="89"/>
        <x:v>[관리비]</x:v>
      </x:c>
      <x:c r="J460" s="445"/>
      <x:c r="K460" s="453">
        <x:v>0</x:v>
      </x:c>
      <x:c r="L460" s="454">
        <x:v>0</x:v>
      </x:c>
      <x:c r="M460" s="454">
        <x:v>0</x:v>
      </x:c>
      <x:c r="N460" s="454">
        <x:v>0</x:v>
      </x:c>
      <x:c r="O460" s="454">
        <x:v>565455</x:v>
      </x:c>
      <x:c r="P460" s="454">
        <x:v>0</x:v>
      </x:c>
      <x:c r="Q460" s="454">
        <x:v>0</x:v>
      </x:c>
      <x:c r="R460" s="454">
        <x:v>0</x:v>
      </x:c>
      <x:c r="S460" s="454">
        <x:v>0</x:v>
      </x:c>
      <x:c r="T460" s="454">
        <x:v>0</x:v>
      </x:c>
      <x:c r="U460" s="454">
        <x:v>0</x:v>
      </x:c>
      <x:c r="V460" s="455">
        <x:v>565455</x:v>
      </x:c>
      <x:c r="W460" s="456">
        <x:f t="shared" si="83"/>
        <x:v>1130910</x:v>
      </x:c>
      <x:c r="X460" s="450">
        <x:f t="shared" si="84"/>
        <x:v>94242.5</x:v>
      </x:c>
      <x:c r="Y460" s="457" t="s">
        <x:v>828</x:v>
      </x:c>
      <x:c r="Z460" s="458"/>
      <x:c r="AA460" s="458"/>
      <x:c r="AB460" s="458"/>
      <x:c r="AC460" s="458"/>
      <x:c r="AD460" s="458"/>
      <x:c r="AE460" s="458"/>
    </x:row>
    <x:row r="461" spans="1:31" ht="20.100000000000001" customHeight="1">
      <x:c r="A461" s="439" t="s">
        <x:v>767</x:v>
      </x:c>
      <x:c r="B461" s="466" t="str">
        <x:f t="shared" si="86"/>
        <x:v>복리후생비</x:v>
      </x:c>
      <x:c r="C461" s="440" t="str">
        <x:f t="shared" si="87"/>
        <x:v>후생비</x:v>
      </x:c>
      <x:c r="D461" s="441">
        <x:v>52139900</x:v>
      </x:c>
      <x:c r="E461" s="442" t="str">
        <x:f t="shared" si="88"/>
        <x:v>후생비_기타</x:v>
      </x:c>
      <x:c r="F461" s="443"/>
      <x:c r="G461" s="444" t="s">
        <x:v>104</x:v>
      </x:c>
      <x:c r="H461" s="445" t="str">
        <x:f t="shared" si="85"/>
        <x:v>제품개발팀(E)</x:v>
      </x:c>
      <x:c r="I461" s="446" t="str">
        <x:f t="shared" si="89"/>
        <x:v>[연구개발비]</x:v>
      </x:c>
      <x:c r="J461" s="445"/>
      <x:c r="K461" s="453">
        <x:v>0</x:v>
      </x:c>
      <x:c r="L461" s="454">
        <x:v>0</x:v>
      </x:c>
      <x:c r="M461" s="454">
        <x:v>0</x:v>
      </x:c>
      <x:c r="N461" s="454">
        <x:v>0</x:v>
      </x:c>
      <x:c r="O461" s="454">
        <x:v>565455</x:v>
      </x:c>
      <x:c r="P461" s="454">
        <x:v>0</x:v>
      </x:c>
      <x:c r="Q461" s="454">
        <x:v>0</x:v>
      </x:c>
      <x:c r="R461" s="454">
        <x:v>0</x:v>
      </x:c>
      <x:c r="S461" s="454">
        <x:v>0</x:v>
      </x:c>
      <x:c r="T461" s="454">
        <x:v>0</x:v>
      </x:c>
      <x:c r="U461" s="454">
        <x:v>0</x:v>
      </x:c>
      <x:c r="V461" s="455">
        <x:v>565455</x:v>
      </x:c>
      <x:c r="W461" s="456">
        <x:f t="shared" si="83"/>
        <x:v>1130910</x:v>
      </x:c>
      <x:c r="X461" s="450">
        <x:f t="shared" si="84"/>
        <x:v>94242.5</x:v>
      </x:c>
      <x:c r="Y461" s="457" t="s">
        <x:v>828</x:v>
      </x:c>
      <x:c r="Z461" s="458"/>
      <x:c r="AA461" s="458"/>
      <x:c r="AB461" s="458"/>
      <x:c r="AC461" s="458"/>
      <x:c r="AD461" s="458"/>
      <x:c r="AE461" s="458"/>
    </x:row>
    <x:row r="462" spans="1:31" ht="20.100000000000001" customHeight="1">
      <x:c r="A462" s="439" t="s">
        <x:v>767</x:v>
      </x:c>
      <x:c r="B462" s="466" t="str">
        <x:f t="shared" si="86"/>
        <x:v>복리후생비</x:v>
      </x:c>
      <x:c r="C462" s="440" t="str">
        <x:f t="shared" si="87"/>
        <x:v>후생비</x:v>
      </x:c>
      <x:c r="D462" s="441">
        <x:v>52130134</x:v>
      </x:c>
      <x:c r="E462" s="442" t="str">
        <x:f t="shared" si="88"/>
        <x:v>후생비_식대(생산성향상)</x:v>
      </x:c>
      <x:c r="F462" s="443"/>
      <x:c r="G462" s="444" t="s">
        <x:v>103</x:v>
      </x:c>
      <x:c r="H462" s="445" t="str">
        <x:f t="shared" si="85"/>
        <x:v>전장사업부(E)</x:v>
      </x:c>
      <x:c r="I462" s="446" t="str">
        <x:f t="shared" si="89"/>
        <x:v>[관리비]</x:v>
      </x:c>
      <x:c r="J462" s="445"/>
      <x:c r="K462" s="453">
        <x:v>40000</x:v>
      </x:c>
      <x:c r="L462" s="454">
        <x:v>0</x:v>
      </x:c>
      <x:c r="M462" s="454">
        <x:v>0</x:v>
      </x:c>
      <x:c r="N462" s="454">
        <x:v>0</x:v>
      </x:c>
      <x:c r="O462" s="454">
        <x:v>0</x:v>
      </x:c>
      <x:c r="P462" s="454">
        <x:v>0</x:v>
      </x:c>
      <x:c r="Q462" s="454">
        <x:v>40000</x:v>
      </x:c>
      <x:c r="R462" s="454">
        <x:v>0</x:v>
      </x:c>
      <x:c r="S462" s="454">
        <x:v>0</x:v>
      </x:c>
      <x:c r="T462" s="454">
        <x:v>40000</x:v>
      </x:c>
      <x:c r="U462" s="454">
        <x:v>0</x:v>
      </x:c>
      <x:c r="V462" s="455">
        <x:v>0</x:v>
      </x:c>
      <x:c r="W462" s="456">
        <x:f t="shared" si="83"/>
        <x:v>120000</x:v>
      </x:c>
      <x:c r="X462" s="450">
        <x:f t="shared" si="84"/>
        <x:v>10000</x:v>
      </x:c>
      <x:c r="Y462" s="457" t="s">
        <x:v>829</x:v>
      </x:c>
      <x:c r="Z462" s="458"/>
      <x:c r="AA462" s="458"/>
      <x:c r="AB462" s="458"/>
      <x:c r="AC462" s="458"/>
      <x:c r="AD462" s="458"/>
      <x:c r="AE462" s="458"/>
    </x:row>
    <x:row r="463" spans="1:31" ht="20.100000000000001" customHeight="1">
      <x:c r="A463" s="439" t="s">
        <x:v>767</x:v>
      </x:c>
      <x:c r="B463" s="466" t="str">
        <x:f t="shared" si="86"/>
        <x:v>복리후생비</x:v>
      </x:c>
      <x:c r="C463" s="440" t="str">
        <x:f t="shared" si="87"/>
        <x:v>후생비</x:v>
      </x:c>
      <x:c r="D463" s="441">
        <x:v>52130134</x:v>
      </x:c>
      <x:c r="E463" s="442" t="str">
        <x:f t="shared" si="88"/>
        <x:v>후생비_식대(생산성향상)</x:v>
      </x:c>
      <x:c r="F463" s="443"/>
      <x:c r="G463" s="444" t="s">
        <x:v>80</x:v>
      </x:c>
      <x:c r="H463" s="445" t="str">
        <x:f t="shared" si="85"/>
        <x:v>사업관리팀(E)</x:v>
      </x:c>
      <x:c r="I463" s="446" t="str">
        <x:f t="shared" si="89"/>
        <x:v>[관리비]</x:v>
      </x:c>
      <x:c r="J463" s="445"/>
      <x:c r="K463" s="453">
        <x:v>200000</x:v>
      </x:c>
      <x:c r="L463" s="454">
        <x:v>0</x:v>
      </x:c>
      <x:c r="M463" s="454">
        <x:v>0</x:v>
      </x:c>
      <x:c r="N463" s="454">
        <x:v>0</x:v>
      </x:c>
      <x:c r="O463" s="454">
        <x:v>0</x:v>
      </x:c>
      <x:c r="P463" s="454">
        <x:v>0</x:v>
      </x:c>
      <x:c r="Q463" s="454">
        <x:v>200000</x:v>
      </x:c>
      <x:c r="R463" s="454">
        <x:v>0</x:v>
      </x:c>
      <x:c r="S463" s="454">
        <x:v>0</x:v>
      </x:c>
      <x:c r="T463" s="454">
        <x:v>200000</x:v>
      </x:c>
      <x:c r="U463" s="454">
        <x:v>0</x:v>
      </x:c>
      <x:c r="V463" s="455">
        <x:v>0</x:v>
      </x:c>
      <x:c r="W463" s="456">
        <x:f t="shared" si="83"/>
        <x:v>600000</x:v>
      </x:c>
      <x:c r="X463" s="450">
        <x:f t="shared" si="84"/>
        <x:v>50000</x:v>
      </x:c>
      <x:c r="Y463" s="457" t="s">
        <x:v>829</x:v>
      </x:c>
      <x:c r="Z463" s="458"/>
      <x:c r="AA463" s="458"/>
      <x:c r="AB463" s="458"/>
      <x:c r="AC463" s="458"/>
      <x:c r="AD463" s="458"/>
      <x:c r="AE463" s="458"/>
    </x:row>
    <x:row r="464" spans="1:31" ht="20.100000000000001" customHeight="1">
      <x:c r="A464" s="439" t="s">
        <x:v>767</x:v>
      </x:c>
      <x:c r="B464" s="466" t="str">
        <x:f t="shared" si="86"/>
        <x:v>복리후생비</x:v>
      </x:c>
      <x:c r="C464" s="440" t="str">
        <x:f t="shared" si="87"/>
        <x:v>후생비</x:v>
      </x:c>
      <x:c r="D464" s="441">
        <x:v>52130134</x:v>
      </x:c>
      <x:c r="E464" s="442" t="str">
        <x:f t="shared" si="88"/>
        <x:v>후생비_식대(생산성향상)</x:v>
      </x:c>
      <x:c r="F464" s="443"/>
      <x:c r="G464" s="444" t="s">
        <x:v>106</x:v>
      </x:c>
      <x:c r="H464" s="445" t="str">
        <x:f t="shared" si="85"/>
        <x:v>구매팀(E)</x:v>
      </x:c>
      <x:c r="I464" s="446" t="str">
        <x:f t="shared" si="89"/>
        <x:v>[관리비]</x:v>
      </x:c>
      <x:c r="J464" s="445"/>
      <x:c r="K464" s="453">
        <x:v>480000</x:v>
      </x:c>
      <x:c r="L464" s="454">
        <x:v>0</x:v>
      </x:c>
      <x:c r="M464" s="454">
        <x:v>0</x:v>
      </x:c>
      <x:c r="N464" s="454">
        <x:v>0</x:v>
      </x:c>
      <x:c r="O464" s="454">
        <x:v>0</x:v>
      </x:c>
      <x:c r="P464" s="454">
        <x:v>0</x:v>
      </x:c>
      <x:c r="Q464" s="454">
        <x:v>480000</x:v>
      </x:c>
      <x:c r="R464" s="454">
        <x:v>0</x:v>
      </x:c>
      <x:c r="S464" s="454">
        <x:v>0</x:v>
      </x:c>
      <x:c r="T464" s="454">
        <x:v>480000</x:v>
      </x:c>
      <x:c r="U464" s="454">
        <x:v>0</x:v>
      </x:c>
      <x:c r="V464" s="455">
        <x:v>0</x:v>
      </x:c>
      <x:c r="W464" s="456">
        <x:f t="shared" si="83"/>
        <x:v>1440000</x:v>
      </x:c>
      <x:c r="X464" s="450">
        <x:f t="shared" si="84"/>
        <x:v>120000</x:v>
      </x:c>
      <x:c r="Y464" s="457" t="s">
        <x:v>829</x:v>
      </x:c>
      <x:c r="Z464" s="458"/>
      <x:c r="AA464" s="458"/>
      <x:c r="AB464" s="458"/>
      <x:c r="AC464" s="458"/>
      <x:c r="AD464" s="458"/>
      <x:c r="AE464" s="458"/>
    </x:row>
    <x:row r="465" spans="1:31" ht="20.100000000000001" customHeight="1">
      <x:c r="A465" s="439" t="s">
        <x:v>767</x:v>
      </x:c>
      <x:c r="B465" s="466" t="str">
        <x:f t="shared" si="86"/>
        <x:v>복리후생비</x:v>
      </x:c>
      <x:c r="C465" s="440" t="str">
        <x:f t="shared" si="87"/>
        <x:v>후생비</x:v>
      </x:c>
      <x:c r="D465" s="441">
        <x:v>52130134</x:v>
      </x:c>
      <x:c r="E465" s="442" t="str">
        <x:f t="shared" si="88"/>
        <x:v>후생비_식대(생산성향상)</x:v>
      </x:c>
      <x:c r="F465" s="443"/>
      <x:c r="G465" s="444" t="s">
        <x:v>247</x:v>
      </x:c>
      <x:c r="H465" s="445" t="str">
        <x:f t="shared" si="85"/>
        <x:v>영업팀(E)</x:v>
      </x:c>
      <x:c r="I465" s="446" t="str">
        <x:f t="shared" si="89"/>
        <x:v>[판매비]</x:v>
      </x:c>
      <x:c r="J465" s="445"/>
      <x:c r="K465" s="453">
        <x:v>280000</x:v>
      </x:c>
      <x:c r="L465" s="454">
        <x:v>0</x:v>
      </x:c>
      <x:c r="M465" s="454">
        <x:v>0</x:v>
      </x:c>
      <x:c r="N465" s="454">
        <x:v>0</x:v>
      </x:c>
      <x:c r="O465" s="454">
        <x:v>0</x:v>
      </x:c>
      <x:c r="P465" s="454">
        <x:v>0</x:v>
      </x:c>
      <x:c r="Q465" s="454">
        <x:v>280000</x:v>
      </x:c>
      <x:c r="R465" s="454">
        <x:v>0</x:v>
      </x:c>
      <x:c r="S465" s="454">
        <x:v>0</x:v>
      </x:c>
      <x:c r="T465" s="454">
        <x:v>280000</x:v>
      </x:c>
      <x:c r="U465" s="454">
        <x:v>0</x:v>
      </x:c>
      <x:c r="V465" s="455">
        <x:v>0</x:v>
      </x:c>
      <x:c r="W465" s="456">
        <x:f t="shared" si="83"/>
        <x:v>840000</x:v>
      </x:c>
      <x:c r="X465" s="450">
        <x:f t="shared" si="84"/>
        <x:v>70000</x:v>
      </x:c>
      <x:c r="Y465" s="457" t="s">
        <x:v>829</x:v>
      </x:c>
      <x:c r="Z465" s="458"/>
      <x:c r="AA465" s="458"/>
      <x:c r="AB465" s="458"/>
      <x:c r="AC465" s="458"/>
      <x:c r="AD465" s="458"/>
      <x:c r="AE465" s="458"/>
    </x:row>
    <x:row r="466" spans="1:31" ht="20.100000000000001" customHeight="1">
      <x:c r="A466" s="439" t="s">
        <x:v>767</x:v>
      </x:c>
      <x:c r="B466" s="466" t="str">
        <x:f t="shared" si="86"/>
        <x:v>복리후생비</x:v>
      </x:c>
      <x:c r="C466" s="440" t="str">
        <x:f t="shared" si="87"/>
        <x:v>후생비</x:v>
      </x:c>
      <x:c r="D466" s="441">
        <x:v>52130134</x:v>
      </x:c>
      <x:c r="E466" s="442" t="str">
        <x:f t="shared" si="88"/>
        <x:v>후생비_식대(생산성향상)</x:v>
      </x:c>
      <x:c r="F466" s="443"/>
      <x:c r="G466" s="444" t="s">
        <x:v>104</x:v>
      </x:c>
      <x:c r="H466" s="445" t="str">
        <x:f t="shared" si="85"/>
        <x:v>제품개발팀(E)</x:v>
      </x:c>
      <x:c r="I466" s="446" t="str">
        <x:f t="shared" si="89"/>
        <x:v>[연구개발비]</x:v>
      </x:c>
      <x:c r="J466" s="445"/>
      <x:c r="K466" s="453">
        <x:v>320000</x:v>
      </x:c>
      <x:c r="L466" s="454">
        <x:v>0</x:v>
      </x:c>
      <x:c r="M466" s="454">
        <x:v>0</x:v>
      </x:c>
      <x:c r="N466" s="454">
        <x:v>0</x:v>
      </x:c>
      <x:c r="O466" s="454">
        <x:v>0</x:v>
      </x:c>
      <x:c r="P466" s="454">
        <x:v>0</x:v>
      </x:c>
      <x:c r="Q466" s="454">
        <x:v>320000</x:v>
      </x:c>
      <x:c r="R466" s="454">
        <x:v>0</x:v>
      </x:c>
      <x:c r="S466" s="454">
        <x:v>0</x:v>
      </x:c>
      <x:c r="T466" s="454">
        <x:v>320000</x:v>
      </x:c>
      <x:c r="U466" s="454">
        <x:v>0</x:v>
      </x:c>
      <x:c r="V466" s="455">
        <x:v>0</x:v>
      </x:c>
      <x:c r="W466" s="456">
        <x:f t="shared" si="83"/>
        <x:v>960000</x:v>
      </x:c>
      <x:c r="X466" s="450">
        <x:f t="shared" si="84"/>
        <x:v>80000</x:v>
      </x:c>
      <x:c r="Y466" s="457" t="s">
        <x:v>829</x:v>
      </x:c>
      <x:c r="Z466" s="458"/>
      <x:c r="AA466" s="458"/>
      <x:c r="AB466" s="458"/>
      <x:c r="AC466" s="458"/>
      <x:c r="AD466" s="458"/>
      <x:c r="AE466" s="458"/>
    </x:row>
    <x:row r="467" spans="1:31" ht="20.100000000000001" customHeight="1">
      <x:c r="A467" s="439" t="s">
        <x:v>767</x:v>
      </x:c>
      <x:c r="B467" s="466" t="str">
        <x:f t="shared" si="86"/>
        <x:v>복리후생비</x:v>
      </x:c>
      <x:c r="C467" s="440" t="str">
        <x:f t="shared" si="87"/>
        <x:v>후생비</x:v>
      </x:c>
      <x:c r="D467" s="441">
        <x:v>52130134</x:v>
      </x:c>
      <x:c r="E467" s="442" t="str">
        <x:f t="shared" si="88"/>
        <x:v>후생비_식대(생산성향상)</x:v>
      </x:c>
      <x:c r="F467" s="443"/>
      <x:c r="G467" s="444" t="s">
        <x:v>251</x:v>
      </x:c>
      <x:c r="H467" s="445" t="str">
        <x:f t="shared" si="85"/>
        <x:v>시작평가팀(E)</x:v>
      </x:c>
      <x:c r="I467" s="446" t="str">
        <x:f t="shared" si="89"/>
        <x:v>[연구개발비]</x:v>
      </x:c>
      <x:c r="J467" s="445"/>
      <x:c r="K467" s="453">
        <x:v>320000</x:v>
      </x:c>
      <x:c r="L467" s="454">
        <x:v>0</x:v>
      </x:c>
      <x:c r="M467" s="454">
        <x:v>0</x:v>
      </x:c>
      <x:c r="N467" s="454">
        <x:v>0</x:v>
      </x:c>
      <x:c r="O467" s="454">
        <x:v>0</x:v>
      </x:c>
      <x:c r="P467" s="454">
        <x:v>0</x:v>
      </x:c>
      <x:c r="Q467" s="454">
        <x:v>320000</x:v>
      </x:c>
      <x:c r="R467" s="454">
        <x:v>0</x:v>
      </x:c>
      <x:c r="S467" s="454">
        <x:v>0</x:v>
      </x:c>
      <x:c r="T467" s="454">
        <x:v>320000</x:v>
      </x:c>
      <x:c r="U467" s="454">
        <x:v>0</x:v>
      </x:c>
      <x:c r="V467" s="455">
        <x:v>0</x:v>
      </x:c>
      <x:c r="W467" s="456">
        <x:f t="shared" si="83"/>
        <x:v>960000</x:v>
      </x:c>
      <x:c r="X467" s="450">
        <x:f t="shared" si="84"/>
        <x:v>80000</x:v>
      </x:c>
      <x:c r="Y467" s="457" t="s">
        <x:v>829</x:v>
      </x:c>
      <x:c r="Z467" s="458"/>
      <x:c r="AA467" s="458"/>
      <x:c r="AB467" s="458"/>
      <x:c r="AC467" s="458"/>
      <x:c r="AD467" s="458"/>
      <x:c r="AE467" s="458"/>
    </x:row>
    <x:row r="468" spans="1:31" ht="20.100000000000001" customHeight="1">
      <x:c r="A468" s="439" t="s">
        <x:v>767</x:v>
      </x:c>
      <x:c r="B468" s="466" t="str">
        <x:f t="shared" si="86"/>
        <x:v>복리후생비</x:v>
      </x:c>
      <x:c r="C468" s="440" t="str">
        <x:f t="shared" si="87"/>
        <x:v>후생비</x:v>
      </x:c>
      <x:c r="D468" s="441">
        <x:v>52130134</x:v>
      </x:c>
      <x:c r="E468" s="442" t="str">
        <x:f t="shared" si="88"/>
        <x:v>후생비_식대(생산성향상)</x:v>
      </x:c>
      <x:c r="F468" s="443"/>
      <x:c r="G468" s="444" t="s">
        <x:v>99</x:v>
      </x:c>
      <x:c r="H468" s="445" t="str">
        <x:f t="shared" si="85"/>
        <x:v>전장설계1팀(E)</x:v>
      </x:c>
      <x:c r="I468" s="446" t="str">
        <x:f t="shared" si="89"/>
        <x:v>[연구개발비]</x:v>
      </x:c>
      <x:c r="J468" s="445"/>
      <x:c r="K468" s="453">
        <x:v>280000</x:v>
      </x:c>
      <x:c r="L468" s="454">
        <x:v>0</x:v>
      </x:c>
      <x:c r="M468" s="454">
        <x:v>0</x:v>
      </x:c>
      <x:c r="N468" s="454">
        <x:v>0</x:v>
      </x:c>
      <x:c r="O468" s="454">
        <x:v>0</x:v>
      </x:c>
      <x:c r="P468" s="454">
        <x:v>0</x:v>
      </x:c>
      <x:c r="Q468" s="454">
        <x:v>280000</x:v>
      </x:c>
      <x:c r="R468" s="454">
        <x:v>0</x:v>
      </x:c>
      <x:c r="S468" s="454">
        <x:v>0</x:v>
      </x:c>
      <x:c r="T468" s="454">
        <x:v>280000</x:v>
      </x:c>
      <x:c r="U468" s="454">
        <x:v>0</x:v>
      </x:c>
      <x:c r="V468" s="455">
        <x:v>0</x:v>
      </x:c>
      <x:c r="W468" s="456">
        <x:f t="shared" si="83"/>
        <x:v>840000</x:v>
      </x:c>
      <x:c r="X468" s="450">
        <x:f t="shared" si="84"/>
        <x:v>70000</x:v>
      </x:c>
      <x:c r="Y468" s="457" t="s">
        <x:v>829</x:v>
      </x:c>
      <x:c r="Z468" s="458"/>
      <x:c r="AA468" s="458"/>
      <x:c r="AB468" s="458"/>
      <x:c r="AC468" s="458"/>
      <x:c r="AD468" s="458"/>
      <x:c r="AE468" s="458"/>
    </x:row>
    <x:row r="469" spans="1:31" ht="20.100000000000001" customHeight="1">
      <x:c r="A469" s="439" t="s">
        <x:v>767</x:v>
      </x:c>
      <x:c r="B469" s="466" t="str">
        <x:f t="shared" si="86"/>
        <x:v>복리후생비</x:v>
      </x:c>
      <x:c r="C469" s="440" t="str">
        <x:f t="shared" si="87"/>
        <x:v>후생비</x:v>
      </x:c>
      <x:c r="D469" s="441">
        <x:v>52130134</x:v>
      </x:c>
      <x:c r="E469" s="442" t="str">
        <x:f t="shared" si="88"/>
        <x:v>후생비_식대(생산성향상)</x:v>
      </x:c>
      <x:c r="F469" s="443"/>
      <x:c r="G469" s="444" t="s">
        <x:v>101</x:v>
      </x:c>
      <x:c r="H469" s="445" t="str">
        <x:f t="shared" si="85"/>
        <x:v>전장설계2팀(E)</x:v>
      </x:c>
      <x:c r="I469" s="446" t="str">
        <x:f t="shared" si="89"/>
        <x:v>[연구개발비]</x:v>
      </x:c>
      <x:c r="J469" s="445"/>
      <x:c r="K469" s="453">
        <x:v>600000</x:v>
      </x:c>
      <x:c r="L469" s="454">
        <x:v>0</x:v>
      </x:c>
      <x:c r="M469" s="454">
        <x:v>0</x:v>
      </x:c>
      <x:c r="N469" s="454">
        <x:v>0</x:v>
      </x:c>
      <x:c r="O469" s="454">
        <x:v>0</x:v>
      </x:c>
      <x:c r="P469" s="454">
        <x:v>0</x:v>
      </x:c>
      <x:c r="Q469" s="454">
        <x:v>600000</x:v>
      </x:c>
      <x:c r="R469" s="454">
        <x:v>0</x:v>
      </x:c>
      <x:c r="S469" s="454">
        <x:v>0</x:v>
      </x:c>
      <x:c r="T469" s="454">
        <x:v>600000</x:v>
      </x:c>
      <x:c r="U469" s="454">
        <x:v>0</x:v>
      </x:c>
      <x:c r="V469" s="455">
        <x:v>0</x:v>
      </x:c>
      <x:c r="W469" s="456">
        <x:f t="shared" si="83"/>
        <x:v>1800000</x:v>
      </x:c>
      <x:c r="X469" s="450">
        <x:f t="shared" si="84"/>
        <x:v>150000</x:v>
      </x:c>
      <x:c r="Y469" s="457" t="s">
        <x:v>829</x:v>
      </x:c>
      <x:c r="Z469" s="458"/>
      <x:c r="AA469" s="458"/>
      <x:c r="AB469" s="458"/>
      <x:c r="AC469" s="458"/>
      <x:c r="AD469" s="458"/>
      <x:c r="AE469" s="458"/>
    </x:row>
    <x:row r="470" spans="1:31" ht="20.100000000000001" customHeight="1">
      <x:c r="A470" s="439" t="s">
        <x:v>767</x:v>
      </x:c>
      <x:c r="B470" s="466" t="str">
        <x:f t="shared" si="86"/>
        <x:v>복리후생비</x:v>
      </x:c>
      <x:c r="C470" s="440" t="str">
        <x:f t="shared" si="87"/>
        <x:v>후생비</x:v>
      </x:c>
      <x:c r="D470" s="441">
        <x:v>52130134</x:v>
      </x:c>
      <x:c r="E470" s="442" t="str">
        <x:f t="shared" si="88"/>
        <x:v>후생비_식대(생산성향상)</x:v>
      </x:c>
      <x:c r="F470" s="443"/>
      <x:c r="G470" s="444" t="s">
        <x:v>82</x:v>
      </x:c>
      <x:c r="H470" s="445" t="str">
        <x:f t="shared" si="85"/>
        <x:v>생산기술팀(E)</x:v>
      </x:c>
      <x:c r="I470" s="446" t="str">
        <x:f t="shared" si="89"/>
        <x:v>[관리비]</x:v>
      </x:c>
      <x:c r="J470" s="445"/>
      <x:c r="K470" s="453">
        <x:v>520000</x:v>
      </x:c>
      <x:c r="L470" s="454">
        <x:v>0</x:v>
      </x:c>
      <x:c r="M470" s="454">
        <x:v>0</x:v>
      </x:c>
      <x:c r="N470" s="454">
        <x:v>0</x:v>
      </x:c>
      <x:c r="O470" s="454">
        <x:v>0</x:v>
      </x:c>
      <x:c r="P470" s="454">
        <x:v>0</x:v>
      </x:c>
      <x:c r="Q470" s="454">
        <x:v>520000</x:v>
      </x:c>
      <x:c r="R470" s="454">
        <x:v>0</x:v>
      </x:c>
      <x:c r="S470" s="454">
        <x:v>0</x:v>
      </x:c>
      <x:c r="T470" s="454">
        <x:v>520000</x:v>
      </x:c>
      <x:c r="U470" s="454">
        <x:v>0</x:v>
      </x:c>
      <x:c r="V470" s="455">
        <x:v>0</x:v>
      </x:c>
      <x:c r="W470" s="456">
        <x:f t="shared" si="83"/>
        <x:v>1560000</x:v>
      </x:c>
      <x:c r="X470" s="450">
        <x:f t="shared" si="84"/>
        <x:v>130000</x:v>
      </x:c>
      <x:c r="Y470" s="457" t="s">
        <x:v>829</x:v>
      </x:c>
      <x:c r="Z470" s="458"/>
      <x:c r="AA470" s="458"/>
      <x:c r="AB470" s="458"/>
      <x:c r="AC470" s="458"/>
      <x:c r="AD470" s="458"/>
      <x:c r="AE470" s="458"/>
    </x:row>
    <x:row r="471" spans="1:31" ht="20.100000000000001" customHeight="1">
      <x:c r="A471" s="439" t="s">
        <x:v>767</x:v>
      </x:c>
      <x:c r="B471" s="466" t="str">
        <x:f t="shared" si="86"/>
        <x:v>복리후생비</x:v>
      </x:c>
      <x:c r="C471" s="440" t="str">
        <x:f t="shared" si="87"/>
        <x:v>후생비</x:v>
      </x:c>
      <x:c r="D471" s="441">
        <x:v>52130134</x:v>
      </x:c>
      <x:c r="E471" s="442" t="str">
        <x:f t="shared" si="88"/>
        <x:v>후생비_식대(생산성향상)</x:v>
      </x:c>
      <x:c r="F471" s="443"/>
      <x:c r="G471" s="444" t="s">
        <x:v>245</x:v>
      </x:c>
      <x:c r="H471" s="445" t="str">
        <x:f t="shared" si="85"/>
        <x:v>생산기획팀(E)</x:v>
      </x:c>
      <x:c r="I471" s="446" t="str">
        <x:f t="shared" si="89"/>
        <x:v>[관리비]</x:v>
      </x:c>
      <x:c r="J471" s="445"/>
      <x:c r="K471" s="453">
        <x:v>320000</x:v>
      </x:c>
      <x:c r="L471" s="454">
        <x:v>0</x:v>
      </x:c>
      <x:c r="M471" s="454">
        <x:v>0</x:v>
      </x:c>
      <x:c r="N471" s="454">
        <x:v>0</x:v>
      </x:c>
      <x:c r="O471" s="454">
        <x:v>0</x:v>
      </x:c>
      <x:c r="P471" s="454">
        <x:v>0</x:v>
      </x:c>
      <x:c r="Q471" s="454">
        <x:v>320000</x:v>
      </x:c>
      <x:c r="R471" s="454">
        <x:v>0</x:v>
      </x:c>
      <x:c r="S471" s="454">
        <x:v>0</x:v>
      </x:c>
      <x:c r="T471" s="454">
        <x:v>320000</x:v>
      </x:c>
      <x:c r="U471" s="454">
        <x:v>0</x:v>
      </x:c>
      <x:c r="V471" s="455">
        <x:v>0</x:v>
      </x:c>
      <x:c r="W471" s="456">
        <x:f t="shared" si="83"/>
        <x:v>960000</x:v>
      </x:c>
      <x:c r="X471" s="450">
        <x:f t="shared" si="84"/>
        <x:v>80000</x:v>
      </x:c>
      <x:c r="Y471" s="457" t="s">
        <x:v>829</x:v>
      </x:c>
      <x:c r="Z471" s="458"/>
      <x:c r="AA471" s="458"/>
      <x:c r="AB471" s="458"/>
      <x:c r="AC471" s="458"/>
      <x:c r="AD471" s="458"/>
      <x:c r="AE471" s="458"/>
    </x:row>
    <x:row r="472" spans="1:31" ht="20.100000000000001" customHeight="1">
      <x:c r="A472" s="439" t="s">
        <x:v>767</x:v>
      </x:c>
      <x:c r="B472" s="466" t="str">
        <x:f t="shared" si="86"/>
        <x:v>복리후생비</x:v>
      </x:c>
      <x:c r="C472" s="440" t="str">
        <x:f t="shared" si="87"/>
        <x:v>후생비</x:v>
      </x:c>
      <x:c r="D472" s="441">
        <x:v>52130134</x:v>
      </x:c>
      <x:c r="E472" s="442" t="str">
        <x:f t="shared" si="88"/>
        <x:v>후생비_식대(생산성향상)</x:v>
      </x:c>
      <x:c r="F472" s="443"/>
      <x:c r="G472" s="444" t="s">
        <x:v>84</x:v>
      </x:c>
      <x:c r="H472" s="445" t="str">
        <x:f t="shared" si="85"/>
        <x:v>품질경영팀(E)</x:v>
      </x:c>
      <x:c r="I472" s="446" t="str">
        <x:f t="shared" si="89"/>
        <x:v>[관리비]</x:v>
      </x:c>
      <x:c r="J472" s="445"/>
      <x:c r="K472" s="453">
        <x:v>360000</x:v>
      </x:c>
      <x:c r="L472" s="454">
        <x:v>0</x:v>
      </x:c>
      <x:c r="M472" s="454">
        <x:v>0</x:v>
      </x:c>
      <x:c r="N472" s="454">
        <x:v>0</x:v>
      </x:c>
      <x:c r="O472" s="454">
        <x:v>0</x:v>
      </x:c>
      <x:c r="P472" s="454">
        <x:v>0</x:v>
      </x:c>
      <x:c r="Q472" s="454">
        <x:v>360000</x:v>
      </x:c>
      <x:c r="R472" s="454">
        <x:v>0</x:v>
      </x:c>
      <x:c r="S472" s="454">
        <x:v>0</x:v>
      </x:c>
      <x:c r="T472" s="454">
        <x:v>360000</x:v>
      </x:c>
      <x:c r="U472" s="454">
        <x:v>0</x:v>
      </x:c>
      <x:c r="V472" s="455">
        <x:v>0</x:v>
      </x:c>
      <x:c r="W472" s="456">
        <x:f t="shared" si="83"/>
        <x:v>1080000</x:v>
      </x:c>
      <x:c r="X472" s="450">
        <x:f t="shared" si="84"/>
        <x:v>90000</x:v>
      </x:c>
      <x:c r="Y472" s="457" t="s">
        <x:v>829</x:v>
      </x:c>
      <x:c r="Z472" s="458"/>
      <x:c r="AA472" s="458"/>
      <x:c r="AB472" s="458"/>
      <x:c r="AC472" s="458"/>
      <x:c r="AD472" s="458"/>
      <x:c r="AE472" s="458"/>
    </x:row>
    <x:row r="473" spans="1:31" ht="20.100000000000001" customHeight="1">
      <x:c r="A473" s="439" t="s">
        <x:v>767</x:v>
      </x:c>
      <x:c r="B473" s="466" t="str">
        <x:f t="shared" si="86"/>
        <x:v>복리후생비</x:v>
      </x:c>
      <x:c r="C473" s="440" t="str">
        <x:f t="shared" si="87"/>
        <x:v>후생비</x:v>
      </x:c>
      <x:c r="D473" s="441">
        <x:v>52130134</x:v>
      </x:c>
      <x:c r="E473" s="442" t="str">
        <x:f t="shared" si="88"/>
        <x:v>후생비_식대(생산성향상)</x:v>
      </x:c>
      <x:c r="F473" s="443"/>
      <x:c r="G473" s="444" t="s">
        <x:v>249</x:v>
      </x:c>
      <x:c r="H473" s="445" t="str">
        <x:f t="shared" si="85"/>
        <x:v>부품품질팀(E)</x:v>
      </x:c>
      <x:c r="I473" s="446" t="str">
        <x:f t="shared" si="89"/>
        <x:v>[관리비]</x:v>
      </x:c>
      <x:c r="J473" s="445"/>
      <x:c r="K473" s="453">
        <x:v>320000</x:v>
      </x:c>
      <x:c r="L473" s="454">
        <x:v>0</x:v>
      </x:c>
      <x:c r="M473" s="454">
        <x:v>0</x:v>
      </x:c>
      <x:c r="N473" s="454">
        <x:v>0</x:v>
      </x:c>
      <x:c r="O473" s="454">
        <x:v>0</x:v>
      </x:c>
      <x:c r="P473" s="454">
        <x:v>0</x:v>
      </x:c>
      <x:c r="Q473" s="454">
        <x:v>320000</x:v>
      </x:c>
      <x:c r="R473" s="454">
        <x:v>0</x:v>
      </x:c>
      <x:c r="S473" s="454">
        <x:v>0</x:v>
      </x:c>
      <x:c r="T473" s="454">
        <x:v>320000</x:v>
      </x:c>
      <x:c r="U473" s="454">
        <x:v>0</x:v>
      </x:c>
      <x:c r="V473" s="455">
        <x:v>0</x:v>
      </x:c>
      <x:c r="W473" s="456">
        <x:f t="shared" si="83"/>
        <x:v>960000</x:v>
      </x:c>
      <x:c r="X473" s="450">
        <x:f t="shared" si="84"/>
        <x:v>80000</x:v>
      </x:c>
      <x:c r="Y473" s="457" t="s">
        <x:v>829</x:v>
      </x:c>
      <x:c r="Z473" s="458"/>
      <x:c r="AA473" s="458"/>
      <x:c r="AB473" s="458"/>
      <x:c r="AC473" s="458"/>
      <x:c r="AD473" s="458"/>
      <x:c r="AE473" s="458"/>
    </x:row>
    <x:row r="474" spans="1:31" ht="20.100000000000001" customHeight="1">
      <x:c r="A474" s="439" t="s">
        <x:v>767</x:v>
      </x:c>
      <x:c r="B474" s="466" t="str">
        <x:f t="shared" si="86"/>
        <x:v>복리후생비</x:v>
      </x:c>
      <x:c r="C474" s="440" t="str">
        <x:f t="shared" si="87"/>
        <x:v>후생비</x:v>
      </x:c>
      <x:c r="D474" s="441">
        <x:v>52130131</x:v>
      </x:c>
      <x:c r="E474" s="442" t="str">
        <x:f t="shared" si="88"/>
        <x:v>후생비_행사지원비</x:v>
      </x:c>
      <x:c r="F474" s="443"/>
      <x:c r="G474" s="444" t="s">
        <x:v>103</x:v>
      </x:c>
      <x:c r="H474" s="445" t="str">
        <x:f t="shared" si="85"/>
        <x:v>전장사업부(E)</x:v>
      </x:c>
      <x:c r="I474" s="446" t="str">
        <x:f t="shared" si="89"/>
        <x:v>[관리비]</x:v>
      </x:c>
      <x:c r="J474" s="445"/>
      <x:c r="K474" s="453">
        <x:v>0</x:v>
      </x:c>
      <x:c r="L474" s="454">
        <x:v>0</x:v>
      </x:c>
      <x:c r="M474" s="454">
        <x:v>0</x:v>
      </x:c>
      <x:c r="N474" s="454">
        <x:v>60000</x:v>
      </x:c>
      <x:c r="O474" s="454">
        <x:v>0</x:v>
      </x:c>
      <x:c r="P474" s="454">
        <x:v>0</x:v>
      </x:c>
      <x:c r="Q474" s="454">
        <x:v>0</x:v>
      </x:c>
      <x:c r="R474" s="454">
        <x:v>0</x:v>
      </x:c>
      <x:c r="S474" s="454">
        <x:v>0</x:v>
      </x:c>
      <x:c r="T474" s="454">
        <x:v>0</x:v>
      </x:c>
      <x:c r="U474" s="454">
        <x:v>0</x:v>
      </x:c>
      <x:c r="V474" s="455">
        <x:v>60000</x:v>
      </x:c>
      <x:c r="W474" s="456">
        <x:f t="shared" si="83"/>
        <x:v>120000</x:v>
      </x:c>
      <x:c r="X474" s="450">
        <x:f t="shared" si="84"/>
        <x:v>10000</x:v>
      </x:c>
      <x:c r="Y474" s="457" t="s">
        <x:v>830</x:v>
      </x:c>
      <x:c r="Z474" s="458"/>
      <x:c r="AA474" s="458"/>
      <x:c r="AB474" s="458"/>
      <x:c r="AC474" s="458"/>
      <x:c r="AD474" s="458"/>
      <x:c r="AE474" s="458"/>
    </x:row>
    <x:row r="475" spans="1:31" ht="20.100000000000001" customHeight="1">
      <x:c r="A475" s="439" t="s">
        <x:v>767</x:v>
      </x:c>
      <x:c r="B475" s="466" t="str">
        <x:f t="shared" si="86"/>
        <x:v>복리후생비</x:v>
      </x:c>
      <x:c r="C475" s="440" t="str">
        <x:f t="shared" si="87"/>
        <x:v>후생비</x:v>
      </x:c>
      <x:c r="D475" s="441">
        <x:v>52130131</x:v>
      </x:c>
      <x:c r="E475" s="442" t="str">
        <x:f t="shared" si="88"/>
        <x:v>후생비_행사지원비</x:v>
      </x:c>
      <x:c r="F475" s="443"/>
      <x:c r="G475" s="444" t="s">
        <x:v>80</x:v>
      </x:c>
      <x:c r="H475" s="445" t="str">
        <x:f t="shared" si="85"/>
        <x:v>사업관리팀(E)</x:v>
      </x:c>
      <x:c r="I475" s="446" t="str">
        <x:f t="shared" si="89"/>
        <x:v>[관리비]</x:v>
      </x:c>
      <x:c r="J475" s="445"/>
      <x:c r="K475" s="453">
        <x:v>0</x:v>
      </x:c>
      <x:c r="L475" s="454">
        <x:v>0</x:v>
      </x:c>
      <x:c r="M475" s="454">
        <x:v>0</x:v>
      </x:c>
      <x:c r="N475" s="454">
        <x:v>300000</x:v>
      </x:c>
      <x:c r="O475" s="454">
        <x:v>0</x:v>
      </x:c>
      <x:c r="P475" s="454">
        <x:v>0</x:v>
      </x:c>
      <x:c r="Q475" s="454">
        <x:v>0</x:v>
      </x:c>
      <x:c r="R475" s="454">
        <x:v>0</x:v>
      </x:c>
      <x:c r="S475" s="454">
        <x:v>0</x:v>
      </x:c>
      <x:c r="T475" s="454">
        <x:v>0</x:v>
      </x:c>
      <x:c r="U475" s="454">
        <x:v>0</x:v>
      </x:c>
      <x:c r="V475" s="455">
        <x:v>300000</x:v>
      </x:c>
      <x:c r="W475" s="456">
        <x:f t="shared" si="83"/>
        <x:v>600000</x:v>
      </x:c>
      <x:c r="X475" s="450">
        <x:f t="shared" si="84"/>
        <x:v>50000</x:v>
      </x:c>
      <x:c r="Y475" s="457" t="s">
        <x:v>830</x:v>
      </x:c>
      <x:c r="Z475" s="458"/>
      <x:c r="AA475" s="458"/>
      <x:c r="AB475" s="458"/>
      <x:c r="AC475" s="458"/>
      <x:c r="AD475" s="458"/>
      <x:c r="AE475" s="458"/>
    </x:row>
    <x:row r="476" spans="1:31" ht="20.100000000000001" customHeight="1">
      <x:c r="A476" s="439" t="s">
        <x:v>767</x:v>
      </x:c>
      <x:c r="B476" s="466" t="str">
        <x:f t="shared" si="86"/>
        <x:v>복리후생비</x:v>
      </x:c>
      <x:c r="C476" s="440" t="str">
        <x:f t="shared" si="87"/>
        <x:v>후생비</x:v>
      </x:c>
      <x:c r="D476" s="441">
        <x:v>52130131</x:v>
      </x:c>
      <x:c r="E476" s="442" t="str">
        <x:f t="shared" si="88"/>
        <x:v>후생비_행사지원비</x:v>
      </x:c>
      <x:c r="F476" s="443"/>
      <x:c r="G476" s="444" t="s">
        <x:v>106</x:v>
      </x:c>
      <x:c r="H476" s="445" t="str">
        <x:f t="shared" si="85"/>
        <x:v>구매팀(E)</x:v>
      </x:c>
      <x:c r="I476" s="446" t="str">
        <x:f t="shared" si="89"/>
        <x:v>[관리비]</x:v>
      </x:c>
      <x:c r="J476" s="445"/>
      <x:c r="K476" s="453">
        <x:v>0</x:v>
      </x:c>
      <x:c r="L476" s="454">
        <x:v>0</x:v>
      </x:c>
      <x:c r="M476" s="454">
        <x:v>0</x:v>
      </x:c>
      <x:c r="N476" s="454">
        <x:v>720000</x:v>
      </x:c>
      <x:c r="O476" s="454">
        <x:v>0</x:v>
      </x:c>
      <x:c r="P476" s="454">
        <x:v>0</x:v>
      </x:c>
      <x:c r="Q476" s="454">
        <x:v>0</x:v>
      </x:c>
      <x:c r="R476" s="454">
        <x:v>0</x:v>
      </x:c>
      <x:c r="S476" s="454">
        <x:v>0</x:v>
      </x:c>
      <x:c r="T476" s="454">
        <x:v>0</x:v>
      </x:c>
      <x:c r="U476" s="454">
        <x:v>0</x:v>
      </x:c>
      <x:c r="V476" s="455">
        <x:v>720000</x:v>
      </x:c>
      <x:c r="W476" s="456">
        <x:f t="shared" si="83"/>
        <x:v>1440000</x:v>
      </x:c>
      <x:c r="X476" s="450">
        <x:f t="shared" si="84"/>
        <x:v>120000</x:v>
      </x:c>
      <x:c r="Y476" s="457" t="s">
        <x:v>830</x:v>
      </x:c>
      <x:c r="Z476" s="458"/>
      <x:c r="AA476" s="458"/>
      <x:c r="AB476" s="458"/>
      <x:c r="AC476" s="458"/>
      <x:c r="AD476" s="458"/>
      <x:c r="AE476" s="458"/>
    </x:row>
    <x:row r="477" spans="1:31" ht="20.100000000000001" customHeight="1">
      <x:c r="A477" s="439" t="s">
        <x:v>767</x:v>
      </x:c>
      <x:c r="B477" s="466" t="str">
        <x:f t="shared" si="86"/>
        <x:v>복리후생비</x:v>
      </x:c>
      <x:c r="C477" s="440" t="str">
        <x:f t="shared" si="87"/>
        <x:v>후생비</x:v>
      </x:c>
      <x:c r="D477" s="441">
        <x:v>52130131</x:v>
      </x:c>
      <x:c r="E477" s="442" t="str">
        <x:f t="shared" si="88"/>
        <x:v>후생비_행사지원비</x:v>
      </x:c>
      <x:c r="F477" s="443"/>
      <x:c r="G477" s="444" t="s">
        <x:v>247</x:v>
      </x:c>
      <x:c r="H477" s="445" t="str">
        <x:f t="shared" si="85"/>
        <x:v>영업팀(E)</x:v>
      </x:c>
      <x:c r="I477" s="446" t="str">
        <x:f t="shared" si="89"/>
        <x:v>[판매비]</x:v>
      </x:c>
      <x:c r="J477" s="445"/>
      <x:c r="K477" s="453">
        <x:v>0</x:v>
      </x:c>
      <x:c r="L477" s="454">
        <x:v>0</x:v>
      </x:c>
      <x:c r="M477" s="454">
        <x:v>0</x:v>
      </x:c>
      <x:c r="N477" s="454">
        <x:v>420000</x:v>
      </x:c>
      <x:c r="O477" s="454">
        <x:v>0</x:v>
      </x:c>
      <x:c r="P477" s="454">
        <x:v>0</x:v>
      </x:c>
      <x:c r="Q477" s="454">
        <x:v>0</x:v>
      </x:c>
      <x:c r="R477" s="454">
        <x:v>0</x:v>
      </x:c>
      <x:c r="S477" s="454">
        <x:v>0</x:v>
      </x:c>
      <x:c r="T477" s="454">
        <x:v>0</x:v>
      </x:c>
      <x:c r="U477" s="454">
        <x:v>0</x:v>
      </x:c>
      <x:c r="V477" s="455">
        <x:v>420000</x:v>
      </x:c>
      <x:c r="W477" s="456">
        <x:f t="shared" si="83"/>
        <x:v>840000</x:v>
      </x:c>
      <x:c r="X477" s="450">
        <x:f t="shared" si="84"/>
        <x:v>70000</x:v>
      </x:c>
      <x:c r="Y477" s="457" t="s">
        <x:v>830</x:v>
      </x:c>
      <x:c r="Z477" s="458"/>
      <x:c r="AA477" s="458"/>
      <x:c r="AB477" s="458"/>
      <x:c r="AC477" s="458"/>
      <x:c r="AD477" s="458"/>
      <x:c r="AE477" s="458"/>
    </x:row>
    <x:row r="478" spans="1:31" ht="20.100000000000001" customHeight="1">
      <x:c r="A478" s="439" t="s">
        <x:v>767</x:v>
      </x:c>
      <x:c r="B478" s="466" t="str">
        <x:f t="shared" si="86"/>
        <x:v>복리후생비</x:v>
      </x:c>
      <x:c r="C478" s="440" t="str">
        <x:f t="shared" si="87"/>
        <x:v>후생비</x:v>
      </x:c>
      <x:c r="D478" s="441">
        <x:v>52130131</x:v>
      </x:c>
      <x:c r="E478" s="442" t="str">
        <x:f t="shared" si="88"/>
        <x:v>후생비_행사지원비</x:v>
      </x:c>
      <x:c r="F478" s="443"/>
      <x:c r="G478" s="444" t="s">
        <x:v>104</x:v>
      </x:c>
      <x:c r="H478" s="445" t="str">
        <x:f t="shared" si="85"/>
        <x:v>제품개발팀(E)</x:v>
      </x:c>
      <x:c r="I478" s="446" t="str">
        <x:f t="shared" si="89"/>
        <x:v>[연구개발비]</x:v>
      </x:c>
      <x:c r="J478" s="445"/>
      <x:c r="K478" s="453">
        <x:v>0</x:v>
      </x:c>
      <x:c r="L478" s="454">
        <x:v>0</x:v>
      </x:c>
      <x:c r="M478" s="454">
        <x:v>0</x:v>
      </x:c>
      <x:c r="N478" s="454">
        <x:v>480000</x:v>
      </x:c>
      <x:c r="O478" s="454">
        <x:v>0</x:v>
      </x:c>
      <x:c r="P478" s="454">
        <x:v>0</x:v>
      </x:c>
      <x:c r="Q478" s="454">
        <x:v>0</x:v>
      </x:c>
      <x:c r="R478" s="454">
        <x:v>0</x:v>
      </x:c>
      <x:c r="S478" s="454">
        <x:v>0</x:v>
      </x:c>
      <x:c r="T478" s="454">
        <x:v>0</x:v>
      </x:c>
      <x:c r="U478" s="454">
        <x:v>0</x:v>
      </x:c>
      <x:c r="V478" s="455">
        <x:v>480000</x:v>
      </x:c>
      <x:c r="W478" s="456">
        <x:f t="shared" si="83"/>
        <x:v>960000</x:v>
      </x:c>
      <x:c r="X478" s="450">
        <x:f t="shared" si="84"/>
        <x:v>80000</x:v>
      </x:c>
      <x:c r="Y478" s="457" t="s">
        <x:v>830</x:v>
      </x:c>
      <x:c r="Z478" s="458"/>
      <x:c r="AA478" s="458"/>
      <x:c r="AB478" s="458"/>
      <x:c r="AC478" s="458"/>
      <x:c r="AD478" s="458"/>
      <x:c r="AE478" s="458"/>
    </x:row>
    <x:row r="479" spans="1:31" ht="20.100000000000001" customHeight="1">
      <x:c r="A479" s="439" t="s">
        <x:v>767</x:v>
      </x:c>
      <x:c r="B479" s="466" t="str">
        <x:f t="shared" si="86"/>
        <x:v>복리후생비</x:v>
      </x:c>
      <x:c r="C479" s="440" t="str">
        <x:f t="shared" si="87"/>
        <x:v>후생비</x:v>
      </x:c>
      <x:c r="D479" s="441">
        <x:v>52130131</x:v>
      </x:c>
      <x:c r="E479" s="442" t="str">
        <x:f t="shared" si="88"/>
        <x:v>후생비_행사지원비</x:v>
      </x:c>
      <x:c r="F479" s="443"/>
      <x:c r="G479" s="444" t="s">
        <x:v>251</x:v>
      </x:c>
      <x:c r="H479" s="445" t="str">
        <x:f t="shared" si="85"/>
        <x:v>시작평가팀(E)</x:v>
      </x:c>
      <x:c r="I479" s="446" t="str">
        <x:f t="shared" si="89"/>
        <x:v>[연구개발비]</x:v>
      </x:c>
      <x:c r="J479" s="445"/>
      <x:c r="K479" s="453">
        <x:v>0</x:v>
      </x:c>
      <x:c r="L479" s="454">
        <x:v>0</x:v>
      </x:c>
      <x:c r="M479" s="454">
        <x:v>0</x:v>
      </x:c>
      <x:c r="N479" s="454">
        <x:v>480000</x:v>
      </x:c>
      <x:c r="O479" s="454">
        <x:v>0</x:v>
      </x:c>
      <x:c r="P479" s="454">
        <x:v>0</x:v>
      </x:c>
      <x:c r="Q479" s="454">
        <x:v>0</x:v>
      </x:c>
      <x:c r="R479" s="454">
        <x:v>0</x:v>
      </x:c>
      <x:c r="S479" s="454">
        <x:v>0</x:v>
      </x:c>
      <x:c r="T479" s="454">
        <x:v>0</x:v>
      </x:c>
      <x:c r="U479" s="454">
        <x:v>0</x:v>
      </x:c>
      <x:c r="V479" s="455">
        <x:v>480000</x:v>
      </x:c>
      <x:c r="W479" s="456">
        <x:f t="shared" si="83"/>
        <x:v>960000</x:v>
      </x:c>
      <x:c r="X479" s="450">
        <x:f t="shared" si="84"/>
        <x:v>80000</x:v>
      </x:c>
      <x:c r="Y479" s="457" t="s">
        <x:v>830</x:v>
      </x:c>
      <x:c r="Z479" s="458"/>
      <x:c r="AA479" s="458"/>
      <x:c r="AB479" s="458"/>
      <x:c r="AC479" s="458"/>
      <x:c r="AD479" s="458"/>
      <x:c r="AE479" s="458"/>
    </x:row>
    <x:row r="480" spans="1:31" ht="20.100000000000001" customHeight="1">
      <x:c r="A480" s="439" t="s">
        <x:v>767</x:v>
      </x:c>
      <x:c r="B480" s="466" t="str">
        <x:f t="shared" si="86"/>
        <x:v>복리후생비</x:v>
      </x:c>
      <x:c r="C480" s="440" t="str">
        <x:f t="shared" si="87"/>
        <x:v>후생비</x:v>
      </x:c>
      <x:c r="D480" s="441">
        <x:v>52130131</x:v>
      </x:c>
      <x:c r="E480" s="442" t="str">
        <x:f t="shared" si="88"/>
        <x:v>후생비_행사지원비</x:v>
      </x:c>
      <x:c r="F480" s="443"/>
      <x:c r="G480" s="444" t="s">
        <x:v>99</x:v>
      </x:c>
      <x:c r="H480" s="445" t="str">
        <x:f t="shared" si="85"/>
        <x:v>전장설계1팀(E)</x:v>
      </x:c>
      <x:c r="I480" s="446" t="str">
        <x:f t="shared" si="89"/>
        <x:v>[연구개발비]</x:v>
      </x:c>
      <x:c r="J480" s="445"/>
      <x:c r="K480" s="453">
        <x:v>0</x:v>
      </x:c>
      <x:c r="L480" s="454">
        <x:v>0</x:v>
      </x:c>
      <x:c r="M480" s="454">
        <x:v>0</x:v>
      </x:c>
      <x:c r="N480" s="454">
        <x:v>420000</x:v>
      </x:c>
      <x:c r="O480" s="454">
        <x:v>0</x:v>
      </x:c>
      <x:c r="P480" s="454">
        <x:v>0</x:v>
      </x:c>
      <x:c r="Q480" s="454">
        <x:v>0</x:v>
      </x:c>
      <x:c r="R480" s="454">
        <x:v>0</x:v>
      </x:c>
      <x:c r="S480" s="454">
        <x:v>0</x:v>
      </x:c>
      <x:c r="T480" s="454">
        <x:v>0</x:v>
      </x:c>
      <x:c r="U480" s="454">
        <x:v>0</x:v>
      </x:c>
      <x:c r="V480" s="455">
        <x:v>420000</x:v>
      </x:c>
      <x:c r="W480" s="456">
        <x:f t="shared" ref="W480:W542" si="90">IFERROR(SUM(K480:V480),"")</x:f>
        <x:v>840000</x:v>
      </x:c>
      <x:c r="X480" s="450">
        <x:f t="shared" si="84"/>
        <x:v>70000</x:v>
      </x:c>
      <x:c r="Y480" s="457" t="s">
        <x:v>830</x:v>
      </x:c>
      <x:c r="Z480" s="458"/>
      <x:c r="AA480" s="458"/>
      <x:c r="AB480" s="458"/>
      <x:c r="AC480" s="458"/>
      <x:c r="AD480" s="458"/>
      <x:c r="AE480" s="458"/>
    </x:row>
    <x:row r="481" spans="1:31" ht="20.100000000000001" customHeight="1">
      <x:c r="A481" s="439" t="s">
        <x:v>767</x:v>
      </x:c>
      <x:c r="B481" s="466" t="str">
        <x:f t="shared" si="86"/>
        <x:v>복리후생비</x:v>
      </x:c>
      <x:c r="C481" s="440" t="str">
        <x:f t="shared" si="87"/>
        <x:v>후생비</x:v>
      </x:c>
      <x:c r="D481" s="441">
        <x:v>52130131</x:v>
      </x:c>
      <x:c r="E481" s="442" t="str">
        <x:f t="shared" si="88"/>
        <x:v>후생비_행사지원비</x:v>
      </x:c>
      <x:c r="F481" s="443"/>
      <x:c r="G481" s="444" t="s">
        <x:v>101</x:v>
      </x:c>
      <x:c r="H481" s="445" t="str">
        <x:f t="shared" si="85"/>
        <x:v>전장설계2팀(E)</x:v>
      </x:c>
      <x:c r="I481" s="446" t="str">
        <x:f t="shared" si="89"/>
        <x:v>[연구개발비]</x:v>
      </x:c>
      <x:c r="J481" s="445"/>
      <x:c r="K481" s="453">
        <x:v>0</x:v>
      </x:c>
      <x:c r="L481" s="454">
        <x:v>0</x:v>
      </x:c>
      <x:c r="M481" s="454">
        <x:v>0</x:v>
      </x:c>
      <x:c r="N481" s="454">
        <x:v>900000</x:v>
      </x:c>
      <x:c r="O481" s="454">
        <x:v>0</x:v>
      </x:c>
      <x:c r="P481" s="454">
        <x:v>0</x:v>
      </x:c>
      <x:c r="Q481" s="454">
        <x:v>0</x:v>
      </x:c>
      <x:c r="R481" s="454">
        <x:v>0</x:v>
      </x:c>
      <x:c r="S481" s="454">
        <x:v>0</x:v>
      </x:c>
      <x:c r="T481" s="454">
        <x:v>0</x:v>
      </x:c>
      <x:c r="U481" s="454">
        <x:v>0</x:v>
      </x:c>
      <x:c r="V481" s="455">
        <x:v>900000</x:v>
      </x:c>
      <x:c r="W481" s="456">
        <x:f t="shared" si="90"/>
        <x:v>1800000</x:v>
      </x:c>
      <x:c r="X481" s="450">
        <x:f t="shared" ref="X481:X543" si="91">IFERROR($W481/$Y$1,"")</x:f>
        <x:v>150000</x:v>
      </x:c>
      <x:c r="Y481" s="457" t="s">
        <x:v>830</x:v>
      </x:c>
      <x:c r="Z481" s="458"/>
      <x:c r="AA481" s="458"/>
      <x:c r="AB481" s="458"/>
      <x:c r="AC481" s="458"/>
      <x:c r="AD481" s="458"/>
      <x:c r="AE481" s="458"/>
    </x:row>
    <x:row r="482" spans="1:31" ht="20.100000000000001" customHeight="1">
      <x:c r="A482" s="439" t="s">
        <x:v>767</x:v>
      </x:c>
      <x:c r="B482" s="466" t="str">
        <x:f t="shared" si="86"/>
        <x:v>복리후생비</x:v>
      </x:c>
      <x:c r="C482" s="440" t="str">
        <x:f t="shared" si="87"/>
        <x:v>후생비</x:v>
      </x:c>
      <x:c r="D482" s="441">
        <x:v>52130131</x:v>
      </x:c>
      <x:c r="E482" s="442" t="str">
        <x:f t="shared" si="88"/>
        <x:v>후생비_행사지원비</x:v>
      </x:c>
      <x:c r="F482" s="443"/>
      <x:c r="G482" s="444" t="s">
        <x:v>82</x:v>
      </x:c>
      <x:c r="H482" s="445" t="str">
        <x:f t="shared" si="85"/>
        <x:v>생산기술팀(E)</x:v>
      </x:c>
      <x:c r="I482" s="446" t="str">
        <x:f t="shared" si="89"/>
        <x:v>[관리비]</x:v>
      </x:c>
      <x:c r="J482" s="445"/>
      <x:c r="K482" s="453">
        <x:v>0</x:v>
      </x:c>
      <x:c r="L482" s="454">
        <x:v>0</x:v>
      </x:c>
      <x:c r="M482" s="454">
        <x:v>0</x:v>
      </x:c>
      <x:c r="N482" s="454">
        <x:v>780000</x:v>
      </x:c>
      <x:c r="O482" s="454">
        <x:v>0</x:v>
      </x:c>
      <x:c r="P482" s="454">
        <x:v>0</x:v>
      </x:c>
      <x:c r="Q482" s="454">
        <x:v>0</x:v>
      </x:c>
      <x:c r="R482" s="454">
        <x:v>0</x:v>
      </x:c>
      <x:c r="S482" s="454">
        <x:v>0</x:v>
      </x:c>
      <x:c r="T482" s="454">
        <x:v>0</x:v>
      </x:c>
      <x:c r="U482" s="454">
        <x:v>0</x:v>
      </x:c>
      <x:c r="V482" s="455">
        <x:v>780000</x:v>
      </x:c>
      <x:c r="W482" s="456">
        <x:f t="shared" si="90"/>
        <x:v>1560000</x:v>
      </x:c>
      <x:c r="X482" s="450">
        <x:f t="shared" si="91"/>
        <x:v>130000</x:v>
      </x:c>
      <x:c r="Y482" s="457" t="s">
        <x:v>830</x:v>
      </x:c>
      <x:c r="Z482" s="458"/>
      <x:c r="AA482" s="458"/>
      <x:c r="AB482" s="458"/>
      <x:c r="AC482" s="458"/>
      <x:c r="AD482" s="458"/>
      <x:c r="AE482" s="458"/>
    </x:row>
    <x:row r="483" spans="1:31" ht="20.100000000000001" customHeight="1">
      <x:c r="A483" s="439" t="s">
        <x:v>767</x:v>
      </x:c>
      <x:c r="B483" s="466" t="str">
        <x:f t="shared" si="86"/>
        <x:v>복리후생비</x:v>
      </x:c>
      <x:c r="C483" s="440" t="str">
        <x:f t="shared" si="87"/>
        <x:v>후생비</x:v>
      </x:c>
      <x:c r="D483" s="441">
        <x:v>52130131</x:v>
      </x:c>
      <x:c r="E483" s="442" t="str">
        <x:f t="shared" si="88"/>
        <x:v>후생비_행사지원비</x:v>
      </x:c>
      <x:c r="F483" s="443"/>
      <x:c r="G483" s="444" t="s">
        <x:v>245</x:v>
      </x:c>
      <x:c r="H483" s="445" t="str">
        <x:f t="shared" si="85"/>
        <x:v>생산기획팀(E)</x:v>
      </x:c>
      <x:c r="I483" s="446" t="str">
        <x:f t="shared" si="89"/>
        <x:v>[관리비]</x:v>
      </x:c>
      <x:c r="J483" s="445"/>
      <x:c r="K483" s="453">
        <x:v>0</x:v>
      </x:c>
      <x:c r="L483" s="454">
        <x:v>0</x:v>
      </x:c>
      <x:c r="M483" s="454">
        <x:v>0</x:v>
      </x:c>
      <x:c r="N483" s="454">
        <x:v>480000</x:v>
      </x:c>
      <x:c r="O483" s="454">
        <x:v>0</x:v>
      </x:c>
      <x:c r="P483" s="454">
        <x:v>0</x:v>
      </x:c>
      <x:c r="Q483" s="454">
        <x:v>0</x:v>
      </x:c>
      <x:c r="R483" s="454">
        <x:v>0</x:v>
      </x:c>
      <x:c r="S483" s="454">
        <x:v>0</x:v>
      </x:c>
      <x:c r="T483" s="454">
        <x:v>0</x:v>
      </x:c>
      <x:c r="U483" s="454">
        <x:v>0</x:v>
      </x:c>
      <x:c r="V483" s="455">
        <x:v>480000</x:v>
      </x:c>
      <x:c r="W483" s="456">
        <x:f t="shared" si="90"/>
        <x:v>960000</x:v>
      </x:c>
      <x:c r="X483" s="450">
        <x:f t="shared" si="91"/>
        <x:v>80000</x:v>
      </x:c>
      <x:c r="Y483" s="457" t="s">
        <x:v>830</x:v>
      </x:c>
      <x:c r="Z483" s="458"/>
      <x:c r="AA483" s="458"/>
      <x:c r="AB483" s="458"/>
      <x:c r="AC483" s="458"/>
      <x:c r="AD483" s="458"/>
      <x:c r="AE483" s="458"/>
    </x:row>
    <x:row r="484" spans="1:31" ht="20.100000000000001" customHeight="1">
      <x:c r="A484" s="439" t="s">
        <x:v>767</x:v>
      </x:c>
      <x:c r="B484" s="466" t="str">
        <x:f t="shared" si="86"/>
        <x:v>복리후생비</x:v>
      </x:c>
      <x:c r="C484" s="440" t="str">
        <x:f t="shared" si="87"/>
        <x:v>후생비</x:v>
      </x:c>
      <x:c r="D484" s="441">
        <x:v>52130131</x:v>
      </x:c>
      <x:c r="E484" s="442" t="str">
        <x:f t="shared" si="88"/>
        <x:v>후생비_행사지원비</x:v>
      </x:c>
      <x:c r="F484" s="443"/>
      <x:c r="G484" s="444" t="s">
        <x:v>84</x:v>
      </x:c>
      <x:c r="H484" s="445" t="str">
        <x:f t="shared" si="85"/>
        <x:v>품질경영팀(E)</x:v>
      </x:c>
      <x:c r="I484" s="446" t="str">
        <x:f t="shared" si="89"/>
        <x:v>[관리비]</x:v>
      </x:c>
      <x:c r="J484" s="445"/>
      <x:c r="K484" s="453">
        <x:v>0</x:v>
      </x:c>
      <x:c r="L484" s="454">
        <x:v>0</x:v>
      </x:c>
      <x:c r="M484" s="454">
        <x:v>0</x:v>
      </x:c>
      <x:c r="N484" s="454">
        <x:v>540000</x:v>
      </x:c>
      <x:c r="O484" s="454">
        <x:v>0</x:v>
      </x:c>
      <x:c r="P484" s="454">
        <x:v>0</x:v>
      </x:c>
      <x:c r="Q484" s="454">
        <x:v>0</x:v>
      </x:c>
      <x:c r="R484" s="454">
        <x:v>0</x:v>
      </x:c>
      <x:c r="S484" s="454">
        <x:v>0</x:v>
      </x:c>
      <x:c r="T484" s="454">
        <x:v>0</x:v>
      </x:c>
      <x:c r="U484" s="454">
        <x:v>0</x:v>
      </x:c>
      <x:c r="V484" s="455">
        <x:v>540000</x:v>
      </x:c>
      <x:c r="W484" s="456">
        <x:f t="shared" si="90"/>
        <x:v>1080000</x:v>
      </x:c>
      <x:c r="X484" s="450">
        <x:f t="shared" si="91"/>
        <x:v>90000</x:v>
      </x:c>
      <x:c r="Y484" s="457" t="s">
        <x:v>830</x:v>
      </x:c>
      <x:c r="Z484" s="458"/>
      <x:c r="AA484" s="458"/>
      <x:c r="AB484" s="458"/>
      <x:c r="AC484" s="458"/>
      <x:c r="AD484" s="458"/>
      <x:c r="AE484" s="458"/>
    </x:row>
    <x:row r="485" spans="1:31" ht="20.100000000000001" customHeight="1">
      <x:c r="A485" s="439" t="s">
        <x:v>767</x:v>
      </x:c>
      <x:c r="B485" s="466" t="str">
        <x:f t="shared" si="86"/>
        <x:v>복리후생비</x:v>
      </x:c>
      <x:c r="C485" s="440" t="str">
        <x:f t="shared" si="87"/>
        <x:v>후생비</x:v>
      </x:c>
      <x:c r="D485" s="441">
        <x:v>52130131</x:v>
      </x:c>
      <x:c r="E485" s="442" t="str">
        <x:f t="shared" si="88"/>
        <x:v>후생비_행사지원비</x:v>
      </x:c>
      <x:c r="F485" s="443"/>
      <x:c r="G485" s="444" t="s">
        <x:v>249</x:v>
      </x:c>
      <x:c r="H485" s="445" t="str">
        <x:f t="shared" si="85"/>
        <x:v>부품품질팀(E)</x:v>
      </x:c>
      <x:c r="I485" s="446" t="str">
        <x:f t="shared" si="89"/>
        <x:v>[관리비]</x:v>
      </x:c>
      <x:c r="J485" s="445"/>
      <x:c r="K485" s="453">
        <x:v>0</x:v>
      </x:c>
      <x:c r="L485" s="454">
        <x:v>0</x:v>
      </x:c>
      <x:c r="M485" s="454">
        <x:v>0</x:v>
      </x:c>
      <x:c r="N485" s="454">
        <x:v>480000</x:v>
      </x:c>
      <x:c r="O485" s="454">
        <x:v>0</x:v>
      </x:c>
      <x:c r="P485" s="454">
        <x:v>0</x:v>
      </x:c>
      <x:c r="Q485" s="454">
        <x:v>0</x:v>
      </x:c>
      <x:c r="R485" s="454">
        <x:v>0</x:v>
      </x:c>
      <x:c r="S485" s="454">
        <x:v>0</x:v>
      </x:c>
      <x:c r="T485" s="454">
        <x:v>0</x:v>
      </x:c>
      <x:c r="U485" s="454">
        <x:v>0</x:v>
      </x:c>
      <x:c r="V485" s="455">
        <x:v>480000</x:v>
      </x:c>
      <x:c r="W485" s="456">
        <x:f t="shared" si="90"/>
        <x:v>960000</x:v>
      </x:c>
      <x:c r="X485" s="450">
        <x:f t="shared" si="91"/>
        <x:v>80000</x:v>
      </x:c>
      <x:c r="Y485" s="457" t="s">
        <x:v>830</x:v>
      </x:c>
      <x:c r="Z485" s="458"/>
      <x:c r="AA485" s="458"/>
      <x:c r="AB485" s="458"/>
      <x:c r="AC485" s="458"/>
      <x:c r="AD485" s="458"/>
      <x:c r="AE485" s="458"/>
    </x:row>
    <x:row r="486" spans="1:31" ht="20.100000000000001" customHeight="1">
      <x:c r="A486" s="439" t="s">
        <x:v>767</x:v>
      </x:c>
      <x:c r="B486" s="466" t="str">
        <x:f t="shared" si="86"/>
        <x:v>복리후생비</x:v>
      </x:c>
      <x:c r="C486" s="440" t="str">
        <x:f t="shared" si="87"/>
        <x:v>후생비</x:v>
      </x:c>
      <x:c r="D486" s="441">
        <x:v>52139900</x:v>
      </x:c>
      <x:c r="E486" s="442" t="str">
        <x:f t="shared" si="88"/>
        <x:v>후생비_기타</x:v>
      </x:c>
      <x:c r="F486" s="443"/>
      <x:c r="G486" s="444" t="s">
        <x:v>150</x:v>
      </x:c>
      <x:c r="H486" s="445" t="str">
        <x:f t="shared" si="85"/>
        <x:v>구매영업부문(E)</x:v>
      </x:c>
      <x:c r="I486" s="446" t="str">
        <x:f t="shared" si="89"/>
        <x:v>[판매비]</x:v>
      </x:c>
      <x:c r="J486" s="445"/>
      <x:c r="K486" s="453">
        <x:v>0</x:v>
      </x:c>
      <x:c r="L486" s="454">
        <x:v>0</x:v>
      </x:c>
      <x:c r="M486" s="454">
        <x:v>0</x:v>
      </x:c>
      <x:c r="N486" s="454">
        <x:v>0</x:v>
      </x:c>
      <x:c r="O486" s="454">
        <x:v>0</x:v>
      </x:c>
      <x:c r="P486" s="454">
        <x:v>0</x:v>
      </x:c>
      <x:c r="Q486" s="454">
        <x:v>0</x:v>
      </x:c>
      <x:c r="R486" s="454">
        <x:v>0</x:v>
      </x:c>
      <x:c r="S486" s="454">
        <x:v>0</x:v>
      </x:c>
      <x:c r="T486" s="454">
        <x:v>0</x:v>
      </x:c>
      <x:c r="U486" s="454">
        <x:v>0</x:v>
      </x:c>
      <x:c r="V486" s="455">
        <x:v>500000</x:v>
      </x:c>
      <x:c r="W486" s="456">
        <x:f t="shared" si="90"/>
        <x:v>500000</x:v>
      </x:c>
      <x:c r="X486" s="450">
        <x:f t="shared" si="91"/>
        <x:v>41666.666666666664</x:v>
      </x:c>
      <x:c r="Y486" s="457" t="s">
        <x:v>831</x:v>
      </x:c>
      <x:c r="Z486" s="458"/>
      <x:c r="AA486" s="458"/>
      <x:c r="AB486" s="458"/>
      <x:c r="AC486" s="458"/>
      <x:c r="AD486" s="458"/>
      <x:c r="AE486" s="458"/>
    </x:row>
    <x:row r="487" spans="1:31" ht="20.100000000000001" customHeight="1">
      <x:c r="A487" s="439" t="s">
        <x:v>767</x:v>
      </x:c>
      <x:c r="B487" s="466" t="str">
        <x:f t="shared" si="86"/>
        <x:v>복리후생비</x:v>
      </x:c>
      <x:c r="C487" s="440" t="str">
        <x:f t="shared" si="87"/>
        <x:v>후생비</x:v>
      </x:c>
      <x:c r="D487" s="441">
        <x:v>52139900</x:v>
      </x:c>
      <x:c r="E487" s="442" t="str">
        <x:f t="shared" si="88"/>
        <x:v>후생비_기타</x:v>
      </x:c>
      <x:c r="F487" s="443"/>
      <x:c r="G487" s="444" t="s">
        <x:v>253</x:v>
      </x:c>
      <x:c r="H487" s="445" t="str">
        <x:f t="shared" si="85"/>
        <x:v>생산부문(E)</x:v>
      </x:c>
      <x:c r="I487" s="446" t="str">
        <x:f t="shared" si="89"/>
        <x:v>[관리비]</x:v>
      </x:c>
      <x:c r="J487" s="445"/>
      <x:c r="K487" s="453">
        <x:v>0</x:v>
      </x:c>
      <x:c r="L487" s="454">
        <x:v>0</x:v>
      </x:c>
      <x:c r="M487" s="454">
        <x:v>0</x:v>
      </x:c>
      <x:c r="N487" s="454">
        <x:v>0</x:v>
      </x:c>
      <x:c r="O487" s="454">
        <x:v>0</x:v>
      </x:c>
      <x:c r="P487" s="454">
        <x:v>0</x:v>
      </x:c>
      <x:c r="Q487" s="454">
        <x:v>0</x:v>
      </x:c>
      <x:c r="R487" s="454">
        <x:v>0</x:v>
      </x:c>
      <x:c r="S487" s="454">
        <x:v>0</x:v>
      </x:c>
      <x:c r="T487" s="454">
        <x:v>0</x:v>
      </x:c>
      <x:c r="U487" s="454">
        <x:v>0</x:v>
      </x:c>
      <x:c r="V487" s="455">
        <x:v>500000</x:v>
      </x:c>
      <x:c r="W487" s="456">
        <x:f t="shared" si="90"/>
        <x:v>500000</x:v>
      </x:c>
      <x:c r="X487" s="450">
        <x:f t="shared" si="91"/>
        <x:v>41666.666666666664</x:v>
      </x:c>
      <x:c r="Y487" s="457" t="s">
        <x:v>831</x:v>
      </x:c>
      <x:c r="Z487" s="458"/>
      <x:c r="AA487" s="458"/>
      <x:c r="AB487" s="458"/>
      <x:c r="AC487" s="458"/>
      <x:c r="AD487" s="458"/>
      <x:c r="AE487" s="458"/>
    </x:row>
    <x:row r="488" spans="1:31" ht="20.100000000000001" customHeight="1">
      <x:c r="A488" s="439" t="s">
        <x:v>767</x:v>
      </x:c>
      <x:c r="B488" s="466" t="str">
        <x:f t="shared" si="86"/>
        <x:v>복리후생비</x:v>
      </x:c>
      <x:c r="C488" s="440" t="str">
        <x:f t="shared" si="87"/>
        <x:v>후생비</x:v>
      </x:c>
      <x:c r="D488" s="441">
        <x:v>52139900</x:v>
      </x:c>
      <x:c r="E488" s="442" t="str">
        <x:f t="shared" si="88"/>
        <x:v>후생비_기타</x:v>
      </x:c>
      <x:c r="F488" s="443"/>
      <x:c r="G488" s="444" t="s">
        <x:v>256</x:v>
      </x:c>
      <x:c r="H488" s="445" t="str">
        <x:f t="shared" si="85"/>
        <x:v>품질부문(E)</x:v>
      </x:c>
      <x:c r="I488" s="446" t="str">
        <x:f t="shared" si="89"/>
        <x:v>[관리비]</x:v>
      </x:c>
      <x:c r="J488" s="445"/>
      <x:c r="K488" s="453">
        <x:v>0</x:v>
      </x:c>
      <x:c r="L488" s="454">
        <x:v>0</x:v>
      </x:c>
      <x:c r="M488" s="454">
        <x:v>0</x:v>
      </x:c>
      <x:c r="N488" s="454">
        <x:v>0</x:v>
      </x:c>
      <x:c r="O488" s="454">
        <x:v>0</x:v>
      </x:c>
      <x:c r="P488" s="454">
        <x:v>0</x:v>
      </x:c>
      <x:c r="Q488" s="454">
        <x:v>0</x:v>
      </x:c>
      <x:c r="R488" s="454">
        <x:v>0</x:v>
      </x:c>
      <x:c r="S488" s="454">
        <x:v>0</x:v>
      </x:c>
      <x:c r="T488" s="454">
        <x:v>0</x:v>
      </x:c>
      <x:c r="U488" s="454">
        <x:v>0</x:v>
      </x:c>
      <x:c r="V488" s="455">
        <x:v>500000</x:v>
      </x:c>
      <x:c r="W488" s="456">
        <x:f t="shared" si="90"/>
        <x:v>500000</x:v>
      </x:c>
      <x:c r="X488" s="450">
        <x:f t="shared" si="91"/>
        <x:v>41666.666666666664</x:v>
      </x:c>
      <x:c r="Y488" s="457" t="s">
        <x:v>831</x:v>
      </x:c>
      <x:c r="Z488" s="458"/>
      <x:c r="AA488" s="458"/>
      <x:c r="AB488" s="458"/>
      <x:c r="AC488" s="458"/>
      <x:c r="AD488" s="458"/>
      <x:c r="AE488" s="458"/>
    </x:row>
    <x:row r="489" spans="1:31" ht="20.100000000000001" customHeight="1">
      <x:c r="A489" s="439" t="s">
        <x:v>767</x:v>
      </x:c>
      <x:c r="B489" s="466" t="str">
        <x:f t="shared" si="86"/>
        <x:v>복리후생비</x:v>
      </x:c>
      <x:c r="C489" s="440" t="str">
        <x:f t="shared" si="87"/>
        <x:v>후생비</x:v>
      </x:c>
      <x:c r="D489" s="441">
        <x:v>52139900</x:v>
      </x:c>
      <x:c r="E489" s="442" t="str">
        <x:f t="shared" si="88"/>
        <x:v>후생비_기타</x:v>
      </x:c>
      <x:c r="F489" s="443"/>
      <x:c r="G489" s="444" t="s">
        <x:v>103</x:v>
      </x:c>
      <x:c r="H489" s="445" t="str">
        <x:f t="shared" si="85"/>
        <x:v>전장사업부(E)</x:v>
      </x:c>
      <x:c r="I489" s="446" t="str">
        <x:f t="shared" si="89"/>
        <x:v>[관리비]</x:v>
      </x:c>
      <x:c r="J489" s="445"/>
      <x:c r="K489" s="453">
        <x:v>0</x:v>
      </x:c>
      <x:c r="L489" s="454">
        <x:v>0</x:v>
      </x:c>
      <x:c r="M489" s="454">
        <x:v>0</x:v>
      </x:c>
      <x:c r="N489" s="454">
        <x:v>0</x:v>
      </x:c>
      <x:c r="O489" s="454">
        <x:v>0</x:v>
      </x:c>
      <x:c r="P489" s="454">
        <x:v>0</x:v>
      </x:c>
      <x:c r="Q489" s="454">
        <x:v>0</x:v>
      </x:c>
      <x:c r="R489" s="454">
        <x:v>0</x:v>
      </x:c>
      <x:c r="S489" s="454">
        <x:v>0</x:v>
      </x:c>
      <x:c r="T489" s="454">
        <x:v>0</x:v>
      </x:c>
      <x:c r="U489" s="454">
        <x:v>0</x:v>
      </x:c>
      <x:c r="V489" s="455">
        <x:v>500000</x:v>
      </x:c>
      <x:c r="W489" s="456">
        <x:f t="shared" si="90"/>
        <x:v>500000</x:v>
      </x:c>
      <x:c r="X489" s="450">
        <x:f t="shared" si="91"/>
        <x:v>41666.666666666664</x:v>
      </x:c>
      <x:c r="Y489" s="457" t="s">
        <x:v>831</x:v>
      </x:c>
      <x:c r="Z489" s="458"/>
      <x:c r="AA489" s="458"/>
      <x:c r="AB489" s="458"/>
      <x:c r="AC489" s="458"/>
      <x:c r="AD489" s="458"/>
      <x:c r="AE489" s="458"/>
    </x:row>
    <x:row r="490" spans="1:31" ht="20.100000000000001" customHeight="1">
      <x:c r="A490" s="439" t="s">
        <x:v>767</x:v>
      </x:c>
      <x:c r="B490" s="466" t="str">
        <x:f t="shared" si="86"/>
        <x:v>복리후생비</x:v>
      </x:c>
      <x:c r="C490" s="440" t="str">
        <x:f t="shared" si="87"/>
        <x:v>후생비</x:v>
      </x:c>
      <x:c r="D490" s="441">
        <x:v>52139900</x:v>
      </x:c>
      <x:c r="E490" s="442" t="str">
        <x:f t="shared" si="88"/>
        <x:v>후생비_기타</x:v>
      </x:c>
      <x:c r="F490" s="443"/>
      <x:c r="G490" s="444" t="s">
        <x:v>114</x:v>
      </x:c>
      <x:c r="H490" s="445" t="str">
        <x:f t="shared" si="85"/>
        <x:v>연구개발부문(E)</x:v>
      </x:c>
      <x:c r="I490" s="446" t="str">
        <x:f t="shared" si="89"/>
        <x:v>[연구개발비]</x:v>
      </x:c>
      <x:c r="J490" s="445"/>
      <x:c r="K490" s="453">
        <x:v>0</x:v>
      </x:c>
      <x:c r="L490" s="454">
        <x:v>0</x:v>
      </x:c>
      <x:c r="M490" s="454">
        <x:v>0</x:v>
      </x:c>
      <x:c r="N490" s="454">
        <x:v>0</x:v>
      </x:c>
      <x:c r="O490" s="454">
        <x:v>0</x:v>
      </x:c>
      <x:c r="P490" s="454">
        <x:v>0</x:v>
      </x:c>
      <x:c r="Q490" s="454">
        <x:v>0</x:v>
      </x:c>
      <x:c r="R490" s="454">
        <x:v>0</x:v>
      </x:c>
      <x:c r="S490" s="454">
        <x:v>0</x:v>
      </x:c>
      <x:c r="T490" s="454">
        <x:v>0</x:v>
      </x:c>
      <x:c r="U490" s="454">
        <x:v>0</x:v>
      </x:c>
      <x:c r="V490" s="455">
        <x:v>500000</x:v>
      </x:c>
      <x:c r="W490" s="456">
        <x:f t="shared" si="90"/>
        <x:v>500000</x:v>
      </x:c>
      <x:c r="X490" s="450">
        <x:f t="shared" si="91"/>
        <x:v>41666.666666666664</x:v>
      </x:c>
      <x:c r="Y490" s="457" t="s">
        <x:v>831</x:v>
      </x:c>
      <x:c r="Z490" s="458"/>
      <x:c r="AA490" s="458"/>
      <x:c r="AB490" s="458"/>
      <x:c r="AC490" s="458"/>
      <x:c r="AD490" s="458"/>
      <x:c r="AE490" s="458"/>
    </x:row>
    <x:row r="491" spans="1:31" ht="20.100000000000001" customHeight="1">
      <x:c r="A491" s="439" t="s">
        <x:v>767</x:v>
      </x:c>
      <x:c r="B491" s="466" t="str">
        <x:f t="shared" si="86"/>
        <x:v>복리후생비</x:v>
      </x:c>
      <x:c r="C491" s="440" t="str">
        <x:f t="shared" si="87"/>
        <x:v>후생비</x:v>
      </x:c>
      <x:c r="D491" s="441">
        <x:v>52139900</x:v>
      </x:c>
      <x:c r="E491" s="442" t="str">
        <x:f t="shared" si="88"/>
        <x:v>후생비_기타</x:v>
      </x:c>
      <x:c r="F491" s="443"/>
      <x:c r="G491" s="444" t="s">
        <x:v>80</x:v>
      </x:c>
      <x:c r="H491" s="445" t="str">
        <x:f t="shared" si="85"/>
        <x:v>사업관리팀(E)</x:v>
      </x:c>
      <x:c r="I491" s="446" t="str">
        <x:f t="shared" si="89"/>
        <x:v>[관리비]</x:v>
      </x:c>
      <x:c r="J491" s="445"/>
      <x:c r="K491" s="453">
        <x:v>0</x:v>
      </x:c>
      <x:c r="L491" s="454">
        <x:v>0</x:v>
      </x:c>
      <x:c r="M491" s="454">
        <x:v>0</x:v>
      </x:c>
      <x:c r="N491" s="454">
        <x:v>0</x:v>
      </x:c>
      <x:c r="O491" s="454">
        <x:v>0</x:v>
      </x:c>
      <x:c r="P491" s="454">
        <x:v>0</x:v>
      </x:c>
      <x:c r="Q491" s="454">
        <x:v>0</x:v>
      </x:c>
      <x:c r="R491" s="454">
        <x:v>0</x:v>
      </x:c>
      <x:c r="S491" s="454">
        <x:v>0</x:v>
      </x:c>
      <x:c r="T491" s="454">
        <x:v>0</x:v>
      </x:c>
      <x:c r="U491" s="454">
        <x:v>0</x:v>
      </x:c>
      <x:c r="V491" s="455">
        <x:v>2500000</x:v>
      </x:c>
      <x:c r="W491" s="456">
        <x:f t="shared" si="90"/>
        <x:v>2500000</x:v>
      </x:c>
      <x:c r="X491" s="450">
        <x:f t="shared" si="91"/>
        <x:v>208333.33333333334</x:v>
      </x:c>
      <x:c r="Y491" s="457" t="s">
        <x:v>831</x:v>
      </x:c>
      <x:c r="Z491" s="458"/>
      <x:c r="AA491" s="458"/>
      <x:c r="AB491" s="458"/>
      <x:c r="AC491" s="458"/>
      <x:c r="AD491" s="458"/>
      <x:c r="AE491" s="458"/>
    </x:row>
    <x:row r="492" spans="1:31" ht="20.100000000000001" customHeight="1">
      <x:c r="A492" s="439" t="s">
        <x:v>767</x:v>
      </x:c>
      <x:c r="B492" s="466" t="str">
        <x:f t="shared" si="86"/>
        <x:v>복리후생비</x:v>
      </x:c>
      <x:c r="C492" s="440" t="str">
        <x:f t="shared" si="87"/>
        <x:v>후생비</x:v>
      </x:c>
      <x:c r="D492" s="441">
        <x:v>52139900</x:v>
      </x:c>
      <x:c r="E492" s="442" t="str">
        <x:f t="shared" si="88"/>
        <x:v>후생비_기타</x:v>
      </x:c>
      <x:c r="F492" s="443"/>
      <x:c r="G492" s="444" t="s">
        <x:v>106</x:v>
      </x:c>
      <x:c r="H492" s="445" t="str">
        <x:f t="shared" si="85"/>
        <x:v>구매팀(E)</x:v>
      </x:c>
      <x:c r="I492" s="446" t="str">
        <x:f t="shared" si="89"/>
        <x:v>[관리비]</x:v>
      </x:c>
      <x:c r="J492" s="445"/>
      <x:c r="K492" s="453">
        <x:v>0</x:v>
      </x:c>
      <x:c r="L492" s="454">
        <x:v>0</x:v>
      </x:c>
      <x:c r="M492" s="454">
        <x:v>0</x:v>
      </x:c>
      <x:c r="N492" s="454">
        <x:v>0</x:v>
      </x:c>
      <x:c r="O492" s="454">
        <x:v>0</x:v>
      </x:c>
      <x:c r="P492" s="454">
        <x:v>0</x:v>
      </x:c>
      <x:c r="Q492" s="454">
        <x:v>0</x:v>
      </x:c>
      <x:c r="R492" s="454">
        <x:v>0</x:v>
      </x:c>
      <x:c r="S492" s="454">
        <x:v>0</x:v>
      </x:c>
      <x:c r="T492" s="454">
        <x:v>0</x:v>
      </x:c>
      <x:c r="U492" s="454">
        <x:v>0</x:v>
      </x:c>
      <x:c r="V492" s="455">
        <x:v>5500000</x:v>
      </x:c>
      <x:c r="W492" s="456">
        <x:f t="shared" si="90"/>
        <x:v>5500000</x:v>
      </x:c>
      <x:c r="X492" s="450">
        <x:f t="shared" si="91"/>
        <x:v>458333.33333333331</x:v>
      </x:c>
      <x:c r="Y492" s="457" t="s">
        <x:v>831</x:v>
      </x:c>
      <x:c r="Z492" s="458"/>
      <x:c r="AA492" s="458"/>
      <x:c r="AB492" s="458"/>
      <x:c r="AC492" s="458"/>
      <x:c r="AD492" s="458"/>
      <x:c r="AE492" s="458"/>
    </x:row>
    <x:row r="493" spans="1:31" ht="20.100000000000001" customHeight="1">
      <x:c r="A493" s="439" t="s">
        <x:v>767</x:v>
      </x:c>
      <x:c r="B493" s="466" t="str">
        <x:f t="shared" si="86"/>
        <x:v>복리후생비</x:v>
      </x:c>
      <x:c r="C493" s="440" t="str">
        <x:f t="shared" si="87"/>
        <x:v>후생비</x:v>
      </x:c>
      <x:c r="D493" s="441">
        <x:v>52139900</x:v>
      </x:c>
      <x:c r="E493" s="442" t="str">
        <x:f t="shared" si="88"/>
        <x:v>후생비_기타</x:v>
      </x:c>
      <x:c r="F493" s="443"/>
      <x:c r="G493" s="444" t="s">
        <x:v>247</x:v>
      </x:c>
      <x:c r="H493" s="445" t="str">
        <x:f t="shared" si="85"/>
        <x:v>영업팀(E)</x:v>
      </x:c>
      <x:c r="I493" s="446" t="str">
        <x:f t="shared" si="89"/>
        <x:v>[판매비]</x:v>
      </x:c>
      <x:c r="J493" s="445"/>
      <x:c r="K493" s="453">
        <x:v>0</x:v>
      </x:c>
      <x:c r="L493" s="454">
        <x:v>0</x:v>
      </x:c>
      <x:c r="M493" s="454">
        <x:v>0</x:v>
      </x:c>
      <x:c r="N493" s="454">
        <x:v>0</x:v>
      </x:c>
      <x:c r="O493" s="454">
        <x:v>0</x:v>
      </x:c>
      <x:c r="P493" s="454">
        <x:v>0</x:v>
      </x:c>
      <x:c r="Q493" s="454">
        <x:v>0</x:v>
      </x:c>
      <x:c r="R493" s="454">
        <x:v>0</x:v>
      </x:c>
      <x:c r="S493" s="454">
        <x:v>0</x:v>
      </x:c>
      <x:c r="T493" s="454">
        <x:v>0</x:v>
      </x:c>
      <x:c r="U493" s="454">
        <x:v>0</x:v>
      </x:c>
      <x:c r="V493" s="455">
        <x:v>3500000</x:v>
      </x:c>
      <x:c r="W493" s="456">
        <x:f t="shared" si="90"/>
        <x:v>3500000</x:v>
      </x:c>
      <x:c r="X493" s="450">
        <x:f t="shared" si="91"/>
        <x:v>291666.66666666669</x:v>
      </x:c>
      <x:c r="Y493" s="457" t="s">
        <x:v>831</x:v>
      </x:c>
      <x:c r="Z493" s="458"/>
      <x:c r="AA493" s="458"/>
      <x:c r="AB493" s="458"/>
      <x:c r="AC493" s="458"/>
      <x:c r="AD493" s="458"/>
      <x:c r="AE493" s="458"/>
    </x:row>
    <x:row r="494" spans="1:31" ht="20.100000000000001" customHeight="1">
      <x:c r="A494" s="439" t="s">
        <x:v>767</x:v>
      </x:c>
      <x:c r="B494" s="466" t="str">
        <x:f t="shared" si="86"/>
        <x:v>복리후생비</x:v>
      </x:c>
      <x:c r="C494" s="440" t="str">
        <x:f t="shared" si="87"/>
        <x:v>후생비</x:v>
      </x:c>
      <x:c r="D494" s="441">
        <x:v>52139900</x:v>
      </x:c>
      <x:c r="E494" s="442" t="str">
        <x:f t="shared" si="88"/>
        <x:v>후생비_기타</x:v>
      </x:c>
      <x:c r="F494" s="443"/>
      <x:c r="G494" s="444" t="s">
        <x:v>104</x:v>
      </x:c>
      <x:c r="H494" s="445" t="str">
        <x:f t="shared" si="85"/>
        <x:v>제품개발팀(E)</x:v>
      </x:c>
      <x:c r="I494" s="446" t="str">
        <x:f t="shared" si="89"/>
        <x:v>[연구개발비]</x:v>
      </x:c>
      <x:c r="J494" s="445"/>
      <x:c r="K494" s="453">
        <x:v>0</x:v>
      </x:c>
      <x:c r="L494" s="454">
        <x:v>0</x:v>
      </x:c>
      <x:c r="M494" s="454">
        <x:v>0</x:v>
      </x:c>
      <x:c r="N494" s="454">
        <x:v>0</x:v>
      </x:c>
      <x:c r="O494" s="454">
        <x:v>0</x:v>
      </x:c>
      <x:c r="P494" s="454">
        <x:v>0</x:v>
      </x:c>
      <x:c r="Q494" s="454">
        <x:v>0</x:v>
      </x:c>
      <x:c r="R494" s="454">
        <x:v>0</x:v>
      </x:c>
      <x:c r="S494" s="454">
        <x:v>0</x:v>
      </x:c>
      <x:c r="T494" s="454">
        <x:v>0</x:v>
      </x:c>
      <x:c r="U494" s="454">
        <x:v>0</x:v>
      </x:c>
      <x:c r="V494" s="455">
        <x:v>3500000</x:v>
      </x:c>
      <x:c r="W494" s="456">
        <x:f t="shared" si="90"/>
        <x:v>3500000</x:v>
      </x:c>
      <x:c r="X494" s="450">
        <x:f t="shared" si="91"/>
        <x:v>291666.66666666669</x:v>
      </x:c>
      <x:c r="Y494" s="457" t="s">
        <x:v>831</x:v>
      </x:c>
      <x:c r="Z494" s="458"/>
      <x:c r="AA494" s="458"/>
      <x:c r="AB494" s="458"/>
      <x:c r="AC494" s="458"/>
      <x:c r="AD494" s="458"/>
      <x:c r="AE494" s="458"/>
    </x:row>
    <x:row r="495" spans="1:31" ht="20.100000000000001" customHeight="1">
      <x:c r="A495" s="439" t="s">
        <x:v>767</x:v>
      </x:c>
      <x:c r="B495" s="466" t="str">
        <x:f t="shared" si="86"/>
        <x:v>복리후생비</x:v>
      </x:c>
      <x:c r="C495" s="440" t="str">
        <x:f t="shared" si="87"/>
        <x:v>후생비</x:v>
      </x:c>
      <x:c r="D495" s="441">
        <x:v>52139900</x:v>
      </x:c>
      <x:c r="E495" s="442" t="str">
        <x:f t="shared" si="88"/>
        <x:v>후생비_기타</x:v>
      </x:c>
      <x:c r="F495" s="443"/>
      <x:c r="G495" s="444" t="s">
        <x:v>251</x:v>
      </x:c>
      <x:c r="H495" s="445" t="str">
        <x:f t="shared" si="85"/>
        <x:v>시작평가팀(E)</x:v>
      </x:c>
      <x:c r="I495" s="446" t="str">
        <x:f t="shared" si="89"/>
        <x:v>[연구개발비]</x:v>
      </x:c>
      <x:c r="J495" s="445"/>
      <x:c r="K495" s="453">
        <x:v>0</x:v>
      </x:c>
      <x:c r="L495" s="454">
        <x:v>0</x:v>
      </x:c>
      <x:c r="M495" s="454">
        <x:v>0</x:v>
      </x:c>
      <x:c r="N495" s="454">
        <x:v>0</x:v>
      </x:c>
      <x:c r="O495" s="454">
        <x:v>0</x:v>
      </x:c>
      <x:c r="P495" s="454">
        <x:v>0</x:v>
      </x:c>
      <x:c r="Q495" s="454">
        <x:v>0</x:v>
      </x:c>
      <x:c r="R495" s="454">
        <x:v>0</x:v>
      </x:c>
      <x:c r="S495" s="454">
        <x:v>0</x:v>
      </x:c>
      <x:c r="T495" s="454">
        <x:v>0</x:v>
      </x:c>
      <x:c r="U495" s="454">
        <x:v>0</x:v>
      </x:c>
      <x:c r="V495" s="455">
        <x:v>4000000</x:v>
      </x:c>
      <x:c r="W495" s="456">
        <x:f t="shared" si="90"/>
        <x:v>4000000</x:v>
      </x:c>
      <x:c r="X495" s="450">
        <x:f t="shared" si="91"/>
        <x:v>333333.33333333331</x:v>
      </x:c>
      <x:c r="Y495" s="457" t="s">
        <x:v>831</x:v>
      </x:c>
      <x:c r="Z495" s="458"/>
      <x:c r="AA495" s="458"/>
      <x:c r="AB495" s="458"/>
      <x:c r="AC495" s="458"/>
      <x:c r="AD495" s="458"/>
      <x:c r="AE495" s="458"/>
    </x:row>
    <x:row r="496" spans="1:31" ht="20.100000000000001" customHeight="1">
      <x:c r="A496" s="439" t="s">
        <x:v>767</x:v>
      </x:c>
      <x:c r="B496" s="466" t="str">
        <x:f t="shared" si="86"/>
        <x:v>복리후생비</x:v>
      </x:c>
      <x:c r="C496" s="440" t="str">
        <x:f t="shared" si="87"/>
        <x:v>후생비</x:v>
      </x:c>
      <x:c r="D496" s="441">
        <x:v>52139900</x:v>
      </x:c>
      <x:c r="E496" s="442" t="str">
        <x:f t="shared" si="88"/>
        <x:v>후생비_기타</x:v>
      </x:c>
      <x:c r="F496" s="443"/>
      <x:c r="G496" s="444" t="s">
        <x:v>99</x:v>
      </x:c>
      <x:c r="H496" s="445" t="str">
        <x:f t="shared" si="85"/>
        <x:v>전장설계1팀(E)</x:v>
      </x:c>
      <x:c r="I496" s="446" t="str">
        <x:f t="shared" si="89"/>
        <x:v>[연구개발비]</x:v>
      </x:c>
      <x:c r="J496" s="445"/>
      <x:c r="K496" s="453">
        <x:v>0</x:v>
      </x:c>
      <x:c r="L496" s="454">
        <x:v>0</x:v>
      </x:c>
      <x:c r="M496" s="454">
        <x:v>0</x:v>
      </x:c>
      <x:c r="N496" s="454">
        <x:v>0</x:v>
      </x:c>
      <x:c r="O496" s="454">
        <x:v>0</x:v>
      </x:c>
      <x:c r="P496" s="454">
        <x:v>0</x:v>
      </x:c>
      <x:c r="Q496" s="454">
        <x:v>0</x:v>
      </x:c>
      <x:c r="R496" s="454">
        <x:v>0</x:v>
      </x:c>
      <x:c r="S496" s="454">
        <x:v>0</x:v>
      </x:c>
      <x:c r="T496" s="454">
        <x:v>0</x:v>
      </x:c>
      <x:c r="U496" s="454">
        <x:v>0</x:v>
      </x:c>
      <x:c r="V496" s="455">
        <x:v>3500000</x:v>
      </x:c>
      <x:c r="W496" s="456">
        <x:f t="shared" si="90"/>
        <x:v>3500000</x:v>
      </x:c>
      <x:c r="X496" s="450">
        <x:f t="shared" si="91"/>
        <x:v>291666.66666666669</x:v>
      </x:c>
      <x:c r="Y496" s="457" t="s">
        <x:v>831</x:v>
      </x:c>
      <x:c r="Z496" s="458"/>
      <x:c r="AA496" s="458"/>
      <x:c r="AB496" s="458"/>
      <x:c r="AC496" s="458"/>
      <x:c r="AD496" s="458"/>
      <x:c r="AE496" s="458"/>
    </x:row>
    <x:row r="497" spans="1:31" ht="20.100000000000001" customHeight="1">
      <x:c r="A497" s="439" t="s">
        <x:v>767</x:v>
      </x:c>
      <x:c r="B497" s="466" t="str">
        <x:f t="shared" si="86"/>
        <x:v>복리후생비</x:v>
      </x:c>
      <x:c r="C497" s="440" t="str">
        <x:f t="shared" si="87"/>
        <x:v>후생비</x:v>
      </x:c>
      <x:c r="D497" s="441">
        <x:v>52139900</x:v>
      </x:c>
      <x:c r="E497" s="442" t="str">
        <x:f t="shared" si="88"/>
        <x:v>후생비_기타</x:v>
      </x:c>
      <x:c r="F497" s="443"/>
      <x:c r="G497" s="444" t="s">
        <x:v>101</x:v>
      </x:c>
      <x:c r="H497" s="445" t="str">
        <x:f t="shared" si="85"/>
        <x:v>전장설계2팀(E)</x:v>
      </x:c>
      <x:c r="I497" s="446" t="str">
        <x:f t="shared" si="89"/>
        <x:v>[연구개발비]</x:v>
      </x:c>
      <x:c r="J497" s="445"/>
      <x:c r="K497" s="453">
        <x:v>0</x:v>
      </x:c>
      <x:c r="L497" s="454">
        <x:v>0</x:v>
      </x:c>
      <x:c r="M497" s="454">
        <x:v>0</x:v>
      </x:c>
      <x:c r="N497" s="454">
        <x:v>0</x:v>
      </x:c>
      <x:c r="O497" s="454">
        <x:v>0</x:v>
      </x:c>
      <x:c r="P497" s="454">
        <x:v>0</x:v>
      </x:c>
      <x:c r="Q497" s="454">
        <x:v>0</x:v>
      </x:c>
      <x:c r="R497" s="454">
        <x:v>0</x:v>
      </x:c>
      <x:c r="S497" s="454">
        <x:v>0</x:v>
      </x:c>
      <x:c r="T497" s="454">
        <x:v>0</x:v>
      </x:c>
      <x:c r="U497" s="454">
        <x:v>0</x:v>
      </x:c>
      <x:c r="V497" s="455">
        <x:v>7500000</x:v>
      </x:c>
      <x:c r="W497" s="456">
        <x:f t="shared" si="90"/>
        <x:v>7500000</x:v>
      </x:c>
      <x:c r="X497" s="450">
        <x:f t="shared" si="91"/>
        <x:v>625000</x:v>
      </x:c>
      <x:c r="Y497" s="457" t="s">
        <x:v>831</x:v>
      </x:c>
      <x:c r="Z497" s="458"/>
      <x:c r="AA497" s="458"/>
      <x:c r="AB497" s="458"/>
      <x:c r="AC497" s="458"/>
      <x:c r="AD497" s="458"/>
      <x:c r="AE497" s="458"/>
    </x:row>
    <x:row r="498" spans="1:31" ht="20.100000000000001" customHeight="1">
      <x:c r="A498" s="439" t="s">
        <x:v>767</x:v>
      </x:c>
      <x:c r="B498" s="466" t="str">
        <x:f t="shared" si="86"/>
        <x:v>복리후생비</x:v>
      </x:c>
      <x:c r="C498" s="440" t="str">
        <x:f t="shared" si="87"/>
        <x:v>후생비</x:v>
      </x:c>
      <x:c r="D498" s="441">
        <x:v>52139900</x:v>
      </x:c>
      <x:c r="E498" s="442" t="str">
        <x:f t="shared" si="88"/>
        <x:v>후생비_기타</x:v>
      </x:c>
      <x:c r="F498" s="443"/>
      <x:c r="G498" s="444" t="s">
        <x:v>82</x:v>
      </x:c>
      <x:c r="H498" s="445" t="str">
        <x:f t="shared" si="85"/>
        <x:v>생산기술팀(E)</x:v>
      </x:c>
      <x:c r="I498" s="446" t="str">
        <x:f t="shared" si="89"/>
        <x:v>[관리비]</x:v>
      </x:c>
      <x:c r="J498" s="445"/>
      <x:c r="K498" s="453">
        <x:v>0</x:v>
      </x:c>
      <x:c r="L498" s="454">
        <x:v>0</x:v>
      </x:c>
      <x:c r="M498" s="454">
        <x:v>0</x:v>
      </x:c>
      <x:c r="N498" s="454">
        <x:v>0</x:v>
      </x:c>
      <x:c r="O498" s="454">
        <x:v>0</x:v>
      </x:c>
      <x:c r="P498" s="454">
        <x:v>0</x:v>
      </x:c>
      <x:c r="Q498" s="454">
        <x:v>0</x:v>
      </x:c>
      <x:c r="R498" s="454">
        <x:v>0</x:v>
      </x:c>
      <x:c r="S498" s="454">
        <x:v>0</x:v>
      </x:c>
      <x:c r="T498" s="454">
        <x:v>0</x:v>
      </x:c>
      <x:c r="U498" s="454">
        <x:v>0</x:v>
      </x:c>
      <x:c r="V498" s="455">
        <x:v>6000000</x:v>
      </x:c>
      <x:c r="W498" s="456">
        <x:f t="shared" si="90"/>
        <x:v>6000000</x:v>
      </x:c>
      <x:c r="X498" s="450">
        <x:f t="shared" si="91"/>
        <x:v>500000</x:v>
      </x:c>
      <x:c r="Y498" s="457" t="s">
        <x:v>831</x:v>
      </x:c>
      <x:c r="Z498" s="458"/>
      <x:c r="AA498" s="458"/>
      <x:c r="AB498" s="458"/>
      <x:c r="AC498" s="458"/>
      <x:c r="AD498" s="458"/>
      <x:c r="AE498" s="458"/>
    </x:row>
    <x:row r="499" spans="1:31" ht="20.100000000000001" customHeight="1">
      <x:c r="A499" s="439" t="s">
        <x:v>767</x:v>
      </x:c>
      <x:c r="B499" s="466" t="str">
        <x:f t="shared" si="86"/>
        <x:v>복리후생비</x:v>
      </x:c>
      <x:c r="C499" s="440" t="str">
        <x:f t="shared" si="87"/>
        <x:v>후생비</x:v>
      </x:c>
      <x:c r="D499" s="441">
        <x:v>52139900</x:v>
      </x:c>
      <x:c r="E499" s="442" t="str">
        <x:f t="shared" si="88"/>
        <x:v>후생비_기타</x:v>
      </x:c>
      <x:c r="F499" s="443"/>
      <x:c r="G499" s="444" t="s">
        <x:v>245</x:v>
      </x:c>
      <x:c r="H499" s="445" t="str">
        <x:f t="shared" si="85"/>
        <x:v>생산기획팀(E)</x:v>
      </x:c>
      <x:c r="I499" s="446" t="str">
        <x:f t="shared" si="89"/>
        <x:v>[관리비]</x:v>
      </x:c>
      <x:c r="J499" s="445"/>
      <x:c r="K499" s="453">
        <x:v>0</x:v>
      </x:c>
      <x:c r="L499" s="454">
        <x:v>0</x:v>
      </x:c>
      <x:c r="M499" s="454">
        <x:v>0</x:v>
      </x:c>
      <x:c r="N499" s="454">
        <x:v>0</x:v>
      </x:c>
      <x:c r="O499" s="454">
        <x:v>0</x:v>
      </x:c>
      <x:c r="P499" s="454">
        <x:v>0</x:v>
      </x:c>
      <x:c r="Q499" s="454">
        <x:v>0</x:v>
      </x:c>
      <x:c r="R499" s="454">
        <x:v>0</x:v>
      </x:c>
      <x:c r="S499" s="454">
        <x:v>0</x:v>
      </x:c>
      <x:c r="T499" s="454">
        <x:v>0</x:v>
      </x:c>
      <x:c r="U499" s="454">
        <x:v>0</x:v>
      </x:c>
      <x:c r="V499" s="455">
        <x:v>4000000</x:v>
      </x:c>
      <x:c r="W499" s="456">
        <x:f t="shared" si="90"/>
        <x:v>4000000</x:v>
      </x:c>
      <x:c r="X499" s="450">
        <x:f t="shared" si="91"/>
        <x:v>333333.33333333331</x:v>
      </x:c>
      <x:c r="Y499" s="457" t="s">
        <x:v>831</x:v>
      </x:c>
      <x:c r="Z499" s="458"/>
      <x:c r="AA499" s="458"/>
      <x:c r="AB499" s="458"/>
      <x:c r="AC499" s="458"/>
      <x:c r="AD499" s="458"/>
      <x:c r="AE499" s="458"/>
    </x:row>
    <x:row r="500" spans="1:31" ht="20.100000000000001" customHeight="1">
      <x:c r="A500" s="439" t="s">
        <x:v>767</x:v>
      </x:c>
      <x:c r="B500" s="466" t="str">
        <x:f t="shared" si="86"/>
        <x:v>복리후생비</x:v>
      </x:c>
      <x:c r="C500" s="440" t="str">
        <x:f t="shared" si="87"/>
        <x:v>후생비</x:v>
      </x:c>
      <x:c r="D500" s="441">
        <x:v>52139900</x:v>
      </x:c>
      <x:c r="E500" s="442" t="str">
        <x:f t="shared" si="88"/>
        <x:v>후생비_기타</x:v>
      </x:c>
      <x:c r="F500" s="443"/>
      <x:c r="G500" s="444" t="s">
        <x:v>84</x:v>
      </x:c>
      <x:c r="H500" s="445" t="str">
        <x:f t="shared" si="85"/>
        <x:v>품질경영팀(E)</x:v>
      </x:c>
      <x:c r="I500" s="446" t="str">
        <x:f t="shared" si="89"/>
        <x:v>[관리비]</x:v>
      </x:c>
      <x:c r="J500" s="445"/>
      <x:c r="K500" s="453">
        <x:v>0</x:v>
      </x:c>
      <x:c r="L500" s="454">
        <x:v>0</x:v>
      </x:c>
      <x:c r="M500" s="454">
        <x:v>0</x:v>
      </x:c>
      <x:c r="N500" s="454">
        <x:v>0</x:v>
      </x:c>
      <x:c r="O500" s="454">
        <x:v>0</x:v>
      </x:c>
      <x:c r="P500" s="454">
        <x:v>0</x:v>
      </x:c>
      <x:c r="Q500" s="454">
        <x:v>0</x:v>
      </x:c>
      <x:c r="R500" s="454">
        <x:v>0</x:v>
      </x:c>
      <x:c r="S500" s="454">
        <x:v>0</x:v>
      </x:c>
      <x:c r="T500" s="454">
        <x:v>0</x:v>
      </x:c>
      <x:c r="U500" s="454">
        <x:v>0</x:v>
      </x:c>
      <x:c r="V500" s="455">
        <x:v>4500000</x:v>
      </x:c>
      <x:c r="W500" s="456">
        <x:f t="shared" si="90"/>
        <x:v>4500000</x:v>
      </x:c>
      <x:c r="X500" s="450">
        <x:f t="shared" si="91"/>
        <x:v>375000</x:v>
      </x:c>
      <x:c r="Y500" s="457" t="s">
        <x:v>831</x:v>
      </x:c>
      <x:c r="Z500" s="458"/>
      <x:c r="AA500" s="458"/>
      <x:c r="AB500" s="458"/>
      <x:c r="AC500" s="458"/>
      <x:c r="AD500" s="458"/>
      <x:c r="AE500" s="458"/>
    </x:row>
    <x:row r="501" spans="1:31" ht="20.100000000000001" customHeight="1">
      <x:c r="A501" s="439" t="s">
        <x:v>767</x:v>
      </x:c>
      <x:c r="B501" s="466" t="str">
        <x:f t="shared" si="86"/>
        <x:v>복리후생비</x:v>
      </x:c>
      <x:c r="C501" s="440" t="str">
        <x:f t="shared" si="87"/>
        <x:v>후생비</x:v>
      </x:c>
      <x:c r="D501" s="441">
        <x:v>52139900</x:v>
      </x:c>
      <x:c r="E501" s="442" t="str">
        <x:f t="shared" si="88"/>
        <x:v>후생비_기타</x:v>
      </x:c>
      <x:c r="F501" s="443"/>
      <x:c r="G501" s="444" t="s">
        <x:v>249</x:v>
      </x:c>
      <x:c r="H501" s="445" t="str">
        <x:f t="shared" si="85"/>
        <x:v>부품품질팀(E)</x:v>
      </x:c>
      <x:c r="I501" s="446" t="str">
        <x:f t="shared" si="89"/>
        <x:v>[관리비]</x:v>
      </x:c>
      <x:c r="J501" s="445"/>
      <x:c r="K501" s="453">
        <x:v>0</x:v>
      </x:c>
      <x:c r="L501" s="454">
        <x:v>0</x:v>
      </x:c>
      <x:c r="M501" s="454">
        <x:v>0</x:v>
      </x:c>
      <x:c r="N501" s="454">
        <x:v>0</x:v>
      </x:c>
      <x:c r="O501" s="454">
        <x:v>0</x:v>
      </x:c>
      <x:c r="P501" s="454">
        <x:v>0</x:v>
      </x:c>
      <x:c r="Q501" s="454">
        <x:v>0</x:v>
      </x:c>
      <x:c r="R501" s="454">
        <x:v>0</x:v>
      </x:c>
      <x:c r="S501" s="454">
        <x:v>0</x:v>
      </x:c>
      <x:c r="T501" s="454">
        <x:v>0</x:v>
      </x:c>
      <x:c r="U501" s="454">
        <x:v>0</x:v>
      </x:c>
      <x:c r="V501" s="455">
        <x:v>3500000</x:v>
      </x:c>
      <x:c r="W501" s="456">
        <x:f t="shared" si="90"/>
        <x:v>3500000</x:v>
      </x:c>
      <x:c r="X501" s="450">
        <x:f t="shared" si="91"/>
        <x:v>291666.66666666669</x:v>
      </x:c>
      <x:c r="Y501" s="457" t="s">
        <x:v>831</x:v>
      </x:c>
      <x:c r="Z501" s="458"/>
      <x:c r="AA501" s="458"/>
      <x:c r="AB501" s="458"/>
      <x:c r="AC501" s="458"/>
      <x:c r="AD501" s="458"/>
      <x:c r="AE501" s="458"/>
    </x:row>
    <x:row r="502" spans="1:31" ht="20.100000000000001" customHeight="1">
      <x:c r="A502" s="439" t="s">
        <x:v>767</x:v>
      </x:c>
      <x:c r="B502" s="466" t="str">
        <x:f t="shared" si="86"/>
        <x:v>복리후생비</x:v>
      </x:c>
      <x:c r="C502" s="440" t="str">
        <x:f t="shared" si="87"/>
        <x:v>후생비</x:v>
      </x:c>
      <x:c r="D502" s="441">
        <x:v>52139900</x:v>
      </x:c>
      <x:c r="E502" s="442" t="str">
        <x:f t="shared" si="88"/>
        <x:v>후생비_기타</x:v>
      </x:c>
      <x:c r="F502" s="443"/>
      <x:c r="G502" s="444" t="s">
        <x:v>150</x:v>
      </x:c>
      <x:c r="H502" s="445" t="str">
        <x:f t="shared" si="85"/>
        <x:v>구매영업부문(E)</x:v>
      </x:c>
      <x:c r="I502" s="446" t="str">
        <x:f t="shared" si="89"/>
        <x:v>[판매비]</x:v>
      </x:c>
      <x:c r="J502" s="445"/>
      <x:c r="K502" s="453">
        <x:v>0</x:v>
      </x:c>
      <x:c r="L502" s="454">
        <x:v>0</x:v>
      </x:c>
      <x:c r="M502" s="454">
        <x:v>95160</x:v>
      </x:c>
      <x:c r="N502" s="454">
        <x:v>0</x:v>
      </x:c>
      <x:c r="O502" s="454">
        <x:v>0</x:v>
      </x:c>
      <x:c r="P502" s="454">
        <x:v>0</x:v>
      </x:c>
      <x:c r="Q502" s="454">
        <x:v>0</x:v>
      </x:c>
      <x:c r="R502" s="454">
        <x:v>0</x:v>
      </x:c>
      <x:c r="S502" s="454">
        <x:v>0</x:v>
      </x:c>
      <x:c r="T502" s="454">
        <x:v>0</x:v>
      </x:c>
      <x:c r="U502" s="454">
        <x:v>0</x:v>
      </x:c>
      <x:c r="V502" s="455">
        <x:v>0</x:v>
      </x:c>
      <x:c r="W502" s="456">
        <x:f t="shared" si="90"/>
        <x:v>95160</x:v>
      </x:c>
      <x:c r="X502" s="450">
        <x:f t="shared" si="91"/>
        <x:v>7930</x:v>
      </x:c>
      <x:c r="Y502" s="457" t="s">
        <x:v>832</x:v>
      </x:c>
      <x:c r="Z502" s="458"/>
      <x:c r="AA502" s="458"/>
      <x:c r="AB502" s="458"/>
      <x:c r="AC502" s="458"/>
      <x:c r="AD502" s="458"/>
      <x:c r="AE502" s="458"/>
    </x:row>
    <x:row r="503" spans="1:31" ht="20.100000000000001" customHeight="1">
      <x:c r="A503" s="439" t="s">
        <x:v>767</x:v>
      </x:c>
      <x:c r="B503" s="466" t="str">
        <x:f t="shared" si="86"/>
        <x:v>복리후생비</x:v>
      </x:c>
      <x:c r="C503" s="440" t="str">
        <x:f t="shared" si="87"/>
        <x:v>후생비</x:v>
      </x:c>
      <x:c r="D503" s="441">
        <x:v>52139900</x:v>
      </x:c>
      <x:c r="E503" s="442" t="str">
        <x:f t="shared" si="88"/>
        <x:v>후생비_기타</x:v>
      </x:c>
      <x:c r="F503" s="443"/>
      <x:c r="G503" s="444" t="s">
        <x:v>253</x:v>
      </x:c>
      <x:c r="H503" s="445" t="str">
        <x:f t="shared" si="85"/>
        <x:v>생산부문(E)</x:v>
      </x:c>
      <x:c r="I503" s="446" t="str">
        <x:f t="shared" si="89"/>
        <x:v>[관리비]</x:v>
      </x:c>
      <x:c r="J503" s="445"/>
      <x:c r="K503" s="453">
        <x:v>0</x:v>
      </x:c>
      <x:c r="L503" s="454">
        <x:v>0</x:v>
      </x:c>
      <x:c r="M503" s="454">
        <x:v>95160</x:v>
      </x:c>
      <x:c r="N503" s="454">
        <x:v>0</x:v>
      </x:c>
      <x:c r="O503" s="454">
        <x:v>0</x:v>
      </x:c>
      <x:c r="P503" s="454">
        <x:v>0</x:v>
      </x:c>
      <x:c r="Q503" s="454">
        <x:v>0</x:v>
      </x:c>
      <x:c r="R503" s="454">
        <x:v>0</x:v>
      </x:c>
      <x:c r="S503" s="454">
        <x:v>0</x:v>
      </x:c>
      <x:c r="T503" s="454">
        <x:v>0</x:v>
      </x:c>
      <x:c r="U503" s="454">
        <x:v>0</x:v>
      </x:c>
      <x:c r="V503" s="455">
        <x:v>0</x:v>
      </x:c>
      <x:c r="W503" s="456">
        <x:f t="shared" si="90"/>
        <x:v>95160</x:v>
      </x:c>
      <x:c r="X503" s="450">
        <x:f t="shared" si="91"/>
        <x:v>7930</x:v>
      </x:c>
      <x:c r="Y503" s="457" t="s">
        <x:v>832</x:v>
      </x:c>
      <x:c r="Z503" s="458"/>
      <x:c r="AA503" s="458"/>
      <x:c r="AB503" s="458"/>
      <x:c r="AC503" s="458"/>
      <x:c r="AD503" s="458"/>
      <x:c r="AE503" s="458"/>
    </x:row>
    <x:row r="504" spans="1:31" ht="20.100000000000001" customHeight="1">
      <x:c r="A504" s="439" t="s">
        <x:v>767</x:v>
      </x:c>
      <x:c r="B504" s="466" t="str">
        <x:f t="shared" si="86"/>
        <x:v>복리후생비</x:v>
      </x:c>
      <x:c r="C504" s="440" t="str">
        <x:f t="shared" si="87"/>
        <x:v>후생비</x:v>
      </x:c>
      <x:c r="D504" s="441">
        <x:v>52139900</x:v>
      </x:c>
      <x:c r="E504" s="442" t="str">
        <x:f t="shared" si="88"/>
        <x:v>후생비_기타</x:v>
      </x:c>
      <x:c r="F504" s="443"/>
      <x:c r="G504" s="444" t="s">
        <x:v>256</x:v>
      </x:c>
      <x:c r="H504" s="445" t="str">
        <x:f t="shared" ref="H504:H567" si="92">IFERROR(VLOOKUP($G504,$AK:$AL,2,),"")</x:f>
        <x:v>품질부문(E)</x:v>
      </x:c>
      <x:c r="I504" s="446" t="str">
        <x:f t="shared" si="89"/>
        <x:v>[관리비]</x:v>
      </x:c>
      <x:c r="J504" s="445"/>
      <x:c r="K504" s="453">
        <x:v>0</x:v>
      </x:c>
      <x:c r="L504" s="454">
        <x:v>0</x:v>
      </x:c>
      <x:c r="M504" s="454">
        <x:v>95160</x:v>
      </x:c>
      <x:c r="N504" s="454">
        <x:v>0</x:v>
      </x:c>
      <x:c r="O504" s="454">
        <x:v>0</x:v>
      </x:c>
      <x:c r="P504" s="454">
        <x:v>0</x:v>
      </x:c>
      <x:c r="Q504" s="454">
        <x:v>0</x:v>
      </x:c>
      <x:c r="R504" s="454">
        <x:v>0</x:v>
      </x:c>
      <x:c r="S504" s="454">
        <x:v>0</x:v>
      </x:c>
      <x:c r="T504" s="454">
        <x:v>0</x:v>
      </x:c>
      <x:c r="U504" s="454">
        <x:v>0</x:v>
      </x:c>
      <x:c r="V504" s="455">
        <x:v>0</x:v>
      </x:c>
      <x:c r="W504" s="456">
        <x:f t="shared" si="90"/>
        <x:v>95160</x:v>
      </x:c>
      <x:c r="X504" s="450">
        <x:f t="shared" si="91"/>
        <x:v>7930</x:v>
      </x:c>
      <x:c r="Y504" s="457" t="s">
        <x:v>832</x:v>
      </x:c>
      <x:c r="Z504" s="458"/>
      <x:c r="AA504" s="458"/>
      <x:c r="AB504" s="458"/>
      <x:c r="AC504" s="458"/>
      <x:c r="AD504" s="458"/>
      <x:c r="AE504" s="458"/>
    </x:row>
    <x:row r="505" spans="1:31" ht="20.100000000000001" customHeight="1">
      <x:c r="A505" s="439" t="s">
        <x:v>767</x:v>
      </x:c>
      <x:c r="B505" s="466" t="str">
        <x:f t="shared" si="86"/>
        <x:v>복리후생비</x:v>
      </x:c>
      <x:c r="C505" s="440" t="str">
        <x:f t="shared" si="87"/>
        <x:v>후생비</x:v>
      </x:c>
      <x:c r="D505" s="441">
        <x:v>52139900</x:v>
      </x:c>
      <x:c r="E505" s="442" t="str">
        <x:f t="shared" si="88"/>
        <x:v>후생비_기타</x:v>
      </x:c>
      <x:c r="F505" s="443"/>
      <x:c r="G505" s="444" t="s">
        <x:v>103</x:v>
      </x:c>
      <x:c r="H505" s="445" t="str">
        <x:f t="shared" si="92"/>
        <x:v>전장사업부(E)</x:v>
      </x:c>
      <x:c r="I505" s="446" t="str">
        <x:f t="shared" si="89"/>
        <x:v>[관리비]</x:v>
      </x:c>
      <x:c r="J505" s="445"/>
      <x:c r="K505" s="453">
        <x:v>0</x:v>
      </x:c>
      <x:c r="L505" s="454">
        <x:v>0</x:v>
      </x:c>
      <x:c r="M505" s="454">
        <x:v>95160</x:v>
      </x:c>
      <x:c r="N505" s="454">
        <x:v>0</x:v>
      </x:c>
      <x:c r="O505" s="454">
        <x:v>0</x:v>
      </x:c>
      <x:c r="P505" s="454">
        <x:v>0</x:v>
      </x:c>
      <x:c r="Q505" s="454">
        <x:v>0</x:v>
      </x:c>
      <x:c r="R505" s="454">
        <x:v>0</x:v>
      </x:c>
      <x:c r="S505" s="454">
        <x:v>0</x:v>
      </x:c>
      <x:c r="T505" s="454">
        <x:v>0</x:v>
      </x:c>
      <x:c r="U505" s="454">
        <x:v>0</x:v>
      </x:c>
      <x:c r="V505" s="455">
        <x:v>0</x:v>
      </x:c>
      <x:c r="W505" s="456">
        <x:f t="shared" si="90"/>
        <x:v>95160</x:v>
      </x:c>
      <x:c r="X505" s="450">
        <x:f t="shared" si="91"/>
        <x:v>7930</x:v>
      </x:c>
      <x:c r="Y505" s="457" t="s">
        <x:v>832</x:v>
      </x:c>
      <x:c r="Z505" s="458"/>
      <x:c r="AA505" s="458"/>
      <x:c r="AB505" s="458"/>
      <x:c r="AC505" s="458"/>
      <x:c r="AD505" s="458"/>
      <x:c r="AE505" s="458"/>
    </x:row>
    <x:row r="506" spans="1:31" ht="20.100000000000001" customHeight="1">
      <x:c r="A506" s="439" t="s">
        <x:v>767</x:v>
      </x:c>
      <x:c r="B506" s="466" t="str">
        <x:f t="shared" si="86"/>
        <x:v>복리후생비</x:v>
      </x:c>
      <x:c r="C506" s="440" t="str">
        <x:f t="shared" si="87"/>
        <x:v>후생비</x:v>
      </x:c>
      <x:c r="D506" s="441">
        <x:v>52139900</x:v>
      </x:c>
      <x:c r="E506" s="442" t="str">
        <x:f t="shared" si="88"/>
        <x:v>후생비_기타</x:v>
      </x:c>
      <x:c r="F506" s="443"/>
      <x:c r="G506" s="444" t="s">
        <x:v>114</x:v>
      </x:c>
      <x:c r="H506" s="445" t="str">
        <x:f t="shared" si="92"/>
        <x:v>연구개발부문(E)</x:v>
      </x:c>
      <x:c r="I506" s="446" t="str">
        <x:f t="shared" si="89"/>
        <x:v>[연구개발비]</x:v>
      </x:c>
      <x:c r="J506" s="445"/>
      <x:c r="K506" s="453">
        <x:v>0</x:v>
      </x:c>
      <x:c r="L506" s="454">
        <x:v>0</x:v>
      </x:c>
      <x:c r="M506" s="454">
        <x:v>95160</x:v>
      </x:c>
      <x:c r="N506" s="454">
        <x:v>0</x:v>
      </x:c>
      <x:c r="O506" s="454">
        <x:v>0</x:v>
      </x:c>
      <x:c r="P506" s="454">
        <x:v>0</x:v>
      </x:c>
      <x:c r="Q506" s="454">
        <x:v>0</x:v>
      </x:c>
      <x:c r="R506" s="454">
        <x:v>0</x:v>
      </x:c>
      <x:c r="S506" s="454">
        <x:v>0</x:v>
      </x:c>
      <x:c r="T506" s="454">
        <x:v>0</x:v>
      </x:c>
      <x:c r="U506" s="454">
        <x:v>0</x:v>
      </x:c>
      <x:c r="V506" s="455">
        <x:v>0</x:v>
      </x:c>
      <x:c r="W506" s="456">
        <x:f t="shared" si="90"/>
        <x:v>95160</x:v>
      </x:c>
      <x:c r="X506" s="450">
        <x:f t="shared" si="91"/>
        <x:v>7930</x:v>
      </x:c>
      <x:c r="Y506" s="457" t="s">
        <x:v>832</x:v>
      </x:c>
      <x:c r="Z506" s="458"/>
      <x:c r="AA506" s="458"/>
      <x:c r="AB506" s="458"/>
      <x:c r="AC506" s="458"/>
      <x:c r="AD506" s="458"/>
      <x:c r="AE506" s="458"/>
    </x:row>
    <x:row r="507" spans="1:31" ht="20.100000000000001" customHeight="1">
      <x:c r="A507" s="439" t="s">
        <x:v>767</x:v>
      </x:c>
      <x:c r="B507" s="466" t="str">
        <x:f t="shared" si="86"/>
        <x:v>복리후생비</x:v>
      </x:c>
      <x:c r="C507" s="440" t="str">
        <x:f t="shared" si="87"/>
        <x:v>후생비</x:v>
      </x:c>
      <x:c r="D507" s="441">
        <x:v>52139900</x:v>
      </x:c>
      <x:c r="E507" s="442" t="str">
        <x:f t="shared" si="88"/>
        <x:v>후생비_기타</x:v>
      </x:c>
      <x:c r="F507" s="443"/>
      <x:c r="G507" s="444" t="s">
        <x:v>80</x:v>
      </x:c>
      <x:c r="H507" s="445" t="str">
        <x:f t="shared" si="92"/>
        <x:v>사업관리팀(E)</x:v>
      </x:c>
      <x:c r="I507" s="446" t="str">
        <x:f t="shared" si="89"/>
        <x:v>[관리비]</x:v>
      </x:c>
      <x:c r="J507" s="445"/>
      <x:c r="K507" s="453">
        <x:v>0</x:v>
      </x:c>
      <x:c r="L507" s="454">
        <x:v>0</x:v>
      </x:c>
      <x:c r="M507" s="454">
        <x:v>475800</x:v>
      </x:c>
      <x:c r="N507" s="454">
        <x:v>0</x:v>
      </x:c>
      <x:c r="O507" s="454">
        <x:v>0</x:v>
      </x:c>
      <x:c r="P507" s="454">
        <x:v>0</x:v>
      </x:c>
      <x:c r="Q507" s="454">
        <x:v>0</x:v>
      </x:c>
      <x:c r="R507" s="454">
        <x:v>0</x:v>
      </x:c>
      <x:c r="S507" s="454">
        <x:v>0</x:v>
      </x:c>
      <x:c r="T507" s="454">
        <x:v>0</x:v>
      </x:c>
      <x:c r="U507" s="454">
        <x:v>0</x:v>
      </x:c>
      <x:c r="V507" s="455">
        <x:v>0</x:v>
      </x:c>
      <x:c r="W507" s="456">
        <x:f t="shared" si="90"/>
        <x:v>475800</x:v>
      </x:c>
      <x:c r="X507" s="450">
        <x:f t="shared" si="91"/>
        <x:v>39650</x:v>
      </x:c>
      <x:c r="Y507" s="457" t="s">
        <x:v>832</x:v>
      </x:c>
      <x:c r="Z507" s="458"/>
      <x:c r="AA507" s="458"/>
      <x:c r="AB507" s="458"/>
      <x:c r="AC507" s="458"/>
      <x:c r="AD507" s="458"/>
      <x:c r="AE507" s="458"/>
    </x:row>
    <x:row r="508" spans="1:31" ht="20.100000000000001" customHeight="1">
      <x:c r="A508" s="439" t="s">
        <x:v>767</x:v>
      </x:c>
      <x:c r="B508" s="466" t="str">
        <x:f t="shared" si="86"/>
        <x:v>복리후생비</x:v>
      </x:c>
      <x:c r="C508" s="440" t="str">
        <x:f t="shared" si="87"/>
        <x:v>후생비</x:v>
      </x:c>
      <x:c r="D508" s="441">
        <x:v>52139900</x:v>
      </x:c>
      <x:c r="E508" s="442" t="str">
        <x:f t="shared" si="88"/>
        <x:v>후생비_기타</x:v>
      </x:c>
      <x:c r="F508" s="443"/>
      <x:c r="G508" s="444" t="s">
        <x:v>106</x:v>
      </x:c>
      <x:c r="H508" s="445" t="str">
        <x:f t="shared" si="92"/>
        <x:v>구매팀(E)</x:v>
      </x:c>
      <x:c r="I508" s="446" t="str">
        <x:f t="shared" si="89"/>
        <x:v>[관리비]</x:v>
      </x:c>
      <x:c r="J508" s="445"/>
      <x:c r="K508" s="453">
        <x:v>0</x:v>
      </x:c>
      <x:c r="L508" s="454">
        <x:v>0</x:v>
      </x:c>
      <x:c r="M508" s="454">
        <x:v>1046760</x:v>
      </x:c>
      <x:c r="N508" s="454">
        <x:v>0</x:v>
      </x:c>
      <x:c r="O508" s="454">
        <x:v>0</x:v>
      </x:c>
      <x:c r="P508" s="454">
        <x:v>0</x:v>
      </x:c>
      <x:c r="Q508" s="454">
        <x:v>0</x:v>
      </x:c>
      <x:c r="R508" s="454">
        <x:v>0</x:v>
      </x:c>
      <x:c r="S508" s="454">
        <x:v>0</x:v>
      </x:c>
      <x:c r="T508" s="454">
        <x:v>0</x:v>
      </x:c>
      <x:c r="U508" s="454">
        <x:v>0</x:v>
      </x:c>
      <x:c r="V508" s="455">
        <x:v>0</x:v>
      </x:c>
      <x:c r="W508" s="456">
        <x:f t="shared" si="90"/>
        <x:v>1046760</x:v>
      </x:c>
      <x:c r="X508" s="450">
        <x:f t="shared" si="91"/>
        <x:v>87230</x:v>
      </x:c>
      <x:c r="Y508" s="457" t="s">
        <x:v>832</x:v>
      </x:c>
      <x:c r="Z508" s="458"/>
      <x:c r="AA508" s="458"/>
      <x:c r="AB508" s="458"/>
      <x:c r="AC508" s="458"/>
      <x:c r="AD508" s="458"/>
      <x:c r="AE508" s="458"/>
    </x:row>
    <x:row r="509" spans="1:31" ht="20.100000000000001" customHeight="1">
      <x:c r="A509" s="439" t="s">
        <x:v>767</x:v>
      </x:c>
      <x:c r="B509" s="466" t="str">
        <x:f t="shared" si="86"/>
        <x:v>복리후생비</x:v>
      </x:c>
      <x:c r="C509" s="440" t="str">
        <x:f t="shared" si="87"/>
        <x:v>후생비</x:v>
      </x:c>
      <x:c r="D509" s="441">
        <x:v>52139900</x:v>
      </x:c>
      <x:c r="E509" s="442" t="str">
        <x:f t="shared" si="88"/>
        <x:v>후생비_기타</x:v>
      </x:c>
      <x:c r="F509" s="443"/>
      <x:c r="G509" s="444" t="s">
        <x:v>247</x:v>
      </x:c>
      <x:c r="H509" s="445" t="str">
        <x:f t="shared" si="92"/>
        <x:v>영업팀(E)</x:v>
      </x:c>
      <x:c r="I509" s="446" t="str">
        <x:f t="shared" si="89"/>
        <x:v>[판매비]</x:v>
      </x:c>
      <x:c r="J509" s="445"/>
      <x:c r="K509" s="453">
        <x:v>0</x:v>
      </x:c>
      <x:c r="L509" s="454">
        <x:v>0</x:v>
      </x:c>
      <x:c r="M509" s="454">
        <x:v>666120</x:v>
      </x:c>
      <x:c r="N509" s="454">
        <x:v>0</x:v>
      </x:c>
      <x:c r="O509" s="454">
        <x:v>0</x:v>
      </x:c>
      <x:c r="P509" s="454">
        <x:v>0</x:v>
      </x:c>
      <x:c r="Q509" s="454">
        <x:v>0</x:v>
      </x:c>
      <x:c r="R509" s="454">
        <x:v>0</x:v>
      </x:c>
      <x:c r="S509" s="454">
        <x:v>0</x:v>
      </x:c>
      <x:c r="T509" s="454">
        <x:v>0</x:v>
      </x:c>
      <x:c r="U509" s="454">
        <x:v>0</x:v>
      </x:c>
      <x:c r="V509" s="455">
        <x:v>0</x:v>
      </x:c>
      <x:c r="W509" s="456">
        <x:f t="shared" si="90"/>
        <x:v>666120</x:v>
      </x:c>
      <x:c r="X509" s="450">
        <x:f t="shared" si="91"/>
        <x:v>55510</x:v>
      </x:c>
      <x:c r="Y509" s="457" t="s">
        <x:v>832</x:v>
      </x:c>
      <x:c r="Z509" s="458"/>
      <x:c r="AA509" s="458"/>
      <x:c r="AB509" s="458"/>
      <x:c r="AC509" s="458"/>
      <x:c r="AD509" s="458"/>
      <x:c r="AE509" s="458"/>
    </x:row>
    <x:row r="510" spans="1:31" ht="20.100000000000001" customHeight="1">
      <x:c r="A510" s="439" t="s">
        <x:v>767</x:v>
      </x:c>
      <x:c r="B510" s="466" t="str">
        <x:f t="shared" si="86"/>
        <x:v>복리후생비</x:v>
      </x:c>
      <x:c r="C510" s="440" t="str">
        <x:f t="shared" si="87"/>
        <x:v>후생비</x:v>
      </x:c>
      <x:c r="D510" s="441">
        <x:v>52139900</x:v>
      </x:c>
      <x:c r="E510" s="442" t="str">
        <x:f t="shared" si="88"/>
        <x:v>후생비_기타</x:v>
      </x:c>
      <x:c r="F510" s="443"/>
      <x:c r="G510" s="444" t="s">
        <x:v>104</x:v>
      </x:c>
      <x:c r="H510" s="445" t="str">
        <x:f t="shared" si="92"/>
        <x:v>제품개발팀(E)</x:v>
      </x:c>
      <x:c r="I510" s="446" t="str">
        <x:f t="shared" si="89"/>
        <x:v>[연구개발비]</x:v>
      </x:c>
      <x:c r="J510" s="445"/>
      <x:c r="K510" s="453">
        <x:v>0</x:v>
      </x:c>
      <x:c r="L510" s="454">
        <x:v>0</x:v>
      </x:c>
      <x:c r="M510" s="454">
        <x:v>666120</x:v>
      </x:c>
      <x:c r="N510" s="454">
        <x:v>0</x:v>
      </x:c>
      <x:c r="O510" s="454">
        <x:v>0</x:v>
      </x:c>
      <x:c r="P510" s="454">
        <x:v>0</x:v>
      </x:c>
      <x:c r="Q510" s="454">
        <x:v>0</x:v>
      </x:c>
      <x:c r="R510" s="454">
        <x:v>0</x:v>
      </x:c>
      <x:c r="S510" s="454">
        <x:v>0</x:v>
      </x:c>
      <x:c r="T510" s="454">
        <x:v>0</x:v>
      </x:c>
      <x:c r="U510" s="454">
        <x:v>0</x:v>
      </x:c>
      <x:c r="V510" s="455">
        <x:v>0</x:v>
      </x:c>
      <x:c r="W510" s="456">
        <x:f t="shared" si="90"/>
        <x:v>666120</x:v>
      </x:c>
      <x:c r="X510" s="450">
        <x:f t="shared" si="91"/>
        <x:v>55510</x:v>
      </x:c>
      <x:c r="Y510" s="457" t="s">
        <x:v>832</x:v>
      </x:c>
      <x:c r="Z510" s="458"/>
      <x:c r="AA510" s="458"/>
      <x:c r="AB510" s="458"/>
      <x:c r="AC510" s="458"/>
      <x:c r="AD510" s="458"/>
      <x:c r="AE510" s="458"/>
    </x:row>
    <x:row r="511" spans="1:31" ht="20.100000000000001" customHeight="1">
      <x:c r="A511" s="439" t="s">
        <x:v>767</x:v>
      </x:c>
      <x:c r="B511" s="466" t="str">
        <x:f t="shared" si="86"/>
        <x:v>복리후생비</x:v>
      </x:c>
      <x:c r="C511" s="440" t="str">
        <x:f t="shared" si="87"/>
        <x:v>후생비</x:v>
      </x:c>
      <x:c r="D511" s="441">
        <x:v>52139900</x:v>
      </x:c>
      <x:c r="E511" s="442" t="str">
        <x:f t="shared" si="88"/>
        <x:v>후생비_기타</x:v>
      </x:c>
      <x:c r="F511" s="443"/>
      <x:c r="G511" s="444" t="s">
        <x:v>251</x:v>
      </x:c>
      <x:c r="H511" s="445" t="str">
        <x:f t="shared" si="92"/>
        <x:v>시작평가팀(E)</x:v>
      </x:c>
      <x:c r="I511" s="446" t="str">
        <x:f t="shared" si="89"/>
        <x:v>[연구개발비]</x:v>
      </x:c>
      <x:c r="J511" s="445"/>
      <x:c r="K511" s="453">
        <x:v>0</x:v>
      </x:c>
      <x:c r="L511" s="454">
        <x:v>0</x:v>
      </x:c>
      <x:c r="M511" s="454">
        <x:v>761280</x:v>
      </x:c>
      <x:c r="N511" s="454">
        <x:v>0</x:v>
      </x:c>
      <x:c r="O511" s="454">
        <x:v>0</x:v>
      </x:c>
      <x:c r="P511" s="454">
        <x:v>0</x:v>
      </x:c>
      <x:c r="Q511" s="454">
        <x:v>0</x:v>
      </x:c>
      <x:c r="R511" s="454">
        <x:v>0</x:v>
      </x:c>
      <x:c r="S511" s="454">
        <x:v>0</x:v>
      </x:c>
      <x:c r="T511" s="454">
        <x:v>0</x:v>
      </x:c>
      <x:c r="U511" s="454">
        <x:v>0</x:v>
      </x:c>
      <x:c r="V511" s="455">
        <x:v>0</x:v>
      </x:c>
      <x:c r="W511" s="456">
        <x:f t="shared" si="90"/>
        <x:v>761280</x:v>
      </x:c>
      <x:c r="X511" s="450">
        <x:f t="shared" si="91"/>
        <x:v>63440</x:v>
      </x:c>
      <x:c r="Y511" s="457" t="s">
        <x:v>832</x:v>
      </x:c>
      <x:c r="Z511" s="458"/>
      <x:c r="AA511" s="458"/>
      <x:c r="AB511" s="458"/>
      <x:c r="AC511" s="458"/>
      <x:c r="AD511" s="458"/>
      <x:c r="AE511" s="458"/>
    </x:row>
    <x:row r="512" spans="1:31" ht="20.100000000000001" customHeight="1">
      <x:c r="A512" s="439" t="s">
        <x:v>767</x:v>
      </x:c>
      <x:c r="B512" s="466" t="str">
        <x:f t="shared" si="86"/>
        <x:v>복리후생비</x:v>
      </x:c>
      <x:c r="C512" s="440" t="str">
        <x:f t="shared" si="87"/>
        <x:v>후생비</x:v>
      </x:c>
      <x:c r="D512" s="441">
        <x:v>52139900</x:v>
      </x:c>
      <x:c r="E512" s="442" t="str">
        <x:f t="shared" si="88"/>
        <x:v>후생비_기타</x:v>
      </x:c>
      <x:c r="F512" s="443"/>
      <x:c r="G512" s="444" t="s">
        <x:v>99</x:v>
      </x:c>
      <x:c r="H512" s="445" t="str">
        <x:f t="shared" si="92"/>
        <x:v>전장설계1팀(E)</x:v>
      </x:c>
      <x:c r="I512" s="446" t="str">
        <x:f t="shared" si="89"/>
        <x:v>[연구개발비]</x:v>
      </x:c>
      <x:c r="J512" s="445"/>
      <x:c r="K512" s="453">
        <x:v>0</x:v>
      </x:c>
      <x:c r="L512" s="454">
        <x:v>0</x:v>
      </x:c>
      <x:c r="M512" s="454">
        <x:v>666120</x:v>
      </x:c>
      <x:c r="N512" s="454">
        <x:v>0</x:v>
      </x:c>
      <x:c r="O512" s="454">
        <x:v>0</x:v>
      </x:c>
      <x:c r="P512" s="454">
        <x:v>0</x:v>
      </x:c>
      <x:c r="Q512" s="454">
        <x:v>0</x:v>
      </x:c>
      <x:c r="R512" s="454">
        <x:v>0</x:v>
      </x:c>
      <x:c r="S512" s="454">
        <x:v>0</x:v>
      </x:c>
      <x:c r="T512" s="454">
        <x:v>0</x:v>
      </x:c>
      <x:c r="U512" s="454">
        <x:v>0</x:v>
      </x:c>
      <x:c r="V512" s="455">
        <x:v>0</x:v>
      </x:c>
      <x:c r="W512" s="456">
        <x:f t="shared" si="90"/>
        <x:v>666120</x:v>
      </x:c>
      <x:c r="X512" s="450">
        <x:f t="shared" si="91"/>
        <x:v>55510</x:v>
      </x:c>
      <x:c r="Y512" s="457" t="s">
        <x:v>832</x:v>
      </x:c>
      <x:c r="Z512" s="458"/>
      <x:c r="AA512" s="458"/>
      <x:c r="AB512" s="458"/>
      <x:c r="AC512" s="458"/>
      <x:c r="AD512" s="458"/>
      <x:c r="AE512" s="458"/>
    </x:row>
    <x:row r="513" spans="1:31" ht="20.100000000000001" customHeight="1">
      <x:c r="A513" s="439" t="s">
        <x:v>767</x:v>
      </x:c>
      <x:c r="B513" s="466" t="str">
        <x:f t="shared" si="86"/>
        <x:v>복리후생비</x:v>
      </x:c>
      <x:c r="C513" s="440" t="str">
        <x:f t="shared" si="87"/>
        <x:v>후생비</x:v>
      </x:c>
      <x:c r="D513" s="441">
        <x:v>52139900</x:v>
      </x:c>
      <x:c r="E513" s="442" t="str">
        <x:f t="shared" si="88"/>
        <x:v>후생비_기타</x:v>
      </x:c>
      <x:c r="F513" s="443"/>
      <x:c r="G513" s="444" t="s">
        <x:v>101</x:v>
      </x:c>
      <x:c r="H513" s="445" t="str">
        <x:f t="shared" si="92"/>
        <x:v>전장설계2팀(E)</x:v>
      </x:c>
      <x:c r="I513" s="446" t="str">
        <x:f t="shared" si="89"/>
        <x:v>[연구개발비]</x:v>
      </x:c>
      <x:c r="J513" s="445"/>
      <x:c r="K513" s="453">
        <x:v>0</x:v>
      </x:c>
      <x:c r="L513" s="454">
        <x:v>0</x:v>
      </x:c>
      <x:c r="M513" s="454">
        <x:v>1427400</x:v>
      </x:c>
      <x:c r="N513" s="454">
        <x:v>0</x:v>
      </x:c>
      <x:c r="O513" s="454">
        <x:v>0</x:v>
      </x:c>
      <x:c r="P513" s="454">
        <x:v>0</x:v>
      </x:c>
      <x:c r="Q513" s="454">
        <x:v>0</x:v>
      </x:c>
      <x:c r="R513" s="454">
        <x:v>0</x:v>
      </x:c>
      <x:c r="S513" s="454">
        <x:v>0</x:v>
      </x:c>
      <x:c r="T513" s="454">
        <x:v>0</x:v>
      </x:c>
      <x:c r="U513" s="454">
        <x:v>0</x:v>
      </x:c>
      <x:c r="V513" s="455">
        <x:v>0</x:v>
      </x:c>
      <x:c r="W513" s="456">
        <x:f t="shared" si="90"/>
        <x:v>1427400</x:v>
      </x:c>
      <x:c r="X513" s="450">
        <x:f t="shared" si="91"/>
        <x:v>118950</x:v>
      </x:c>
      <x:c r="Y513" s="457" t="s">
        <x:v>832</x:v>
      </x:c>
      <x:c r="Z513" s="458"/>
      <x:c r="AA513" s="458"/>
      <x:c r="AB513" s="458"/>
      <x:c r="AC513" s="458"/>
      <x:c r="AD513" s="458"/>
      <x:c r="AE513" s="458"/>
    </x:row>
    <x:row r="514" spans="1:31" ht="20.100000000000001" customHeight="1">
      <x:c r="A514" s="439" t="s">
        <x:v>767</x:v>
      </x:c>
      <x:c r="B514" s="466" t="str">
        <x:f t="shared" si="86"/>
        <x:v>복리후생비</x:v>
      </x:c>
      <x:c r="C514" s="440" t="str">
        <x:f t="shared" si="87"/>
        <x:v>후생비</x:v>
      </x:c>
      <x:c r="D514" s="441">
        <x:v>52139900</x:v>
      </x:c>
      <x:c r="E514" s="442" t="str">
        <x:f t="shared" si="88"/>
        <x:v>후생비_기타</x:v>
      </x:c>
      <x:c r="F514" s="443"/>
      <x:c r="G514" s="444" t="s">
        <x:v>82</x:v>
      </x:c>
      <x:c r="H514" s="445" t="str">
        <x:f t="shared" si="92"/>
        <x:v>생산기술팀(E)</x:v>
      </x:c>
      <x:c r="I514" s="446" t="str">
        <x:f t="shared" si="89"/>
        <x:v>[관리비]</x:v>
      </x:c>
      <x:c r="J514" s="445"/>
      <x:c r="K514" s="453">
        <x:v>0</x:v>
      </x:c>
      <x:c r="L514" s="454">
        <x:v>0</x:v>
      </x:c>
      <x:c r="M514" s="454">
        <x:v>1141920</x:v>
      </x:c>
      <x:c r="N514" s="454">
        <x:v>0</x:v>
      </x:c>
      <x:c r="O514" s="454">
        <x:v>0</x:v>
      </x:c>
      <x:c r="P514" s="454">
        <x:v>0</x:v>
      </x:c>
      <x:c r="Q514" s="454">
        <x:v>0</x:v>
      </x:c>
      <x:c r="R514" s="454">
        <x:v>0</x:v>
      </x:c>
      <x:c r="S514" s="454">
        <x:v>0</x:v>
      </x:c>
      <x:c r="T514" s="454">
        <x:v>0</x:v>
      </x:c>
      <x:c r="U514" s="454">
        <x:v>0</x:v>
      </x:c>
      <x:c r="V514" s="455">
        <x:v>0</x:v>
      </x:c>
      <x:c r="W514" s="456">
        <x:f t="shared" si="90"/>
        <x:v>1141920</x:v>
      </x:c>
      <x:c r="X514" s="450">
        <x:f t="shared" si="91"/>
        <x:v>95160</x:v>
      </x:c>
      <x:c r="Y514" s="457" t="s">
        <x:v>832</x:v>
      </x:c>
      <x:c r="Z514" s="458"/>
      <x:c r="AA514" s="458"/>
      <x:c r="AB514" s="458"/>
      <x:c r="AC514" s="458"/>
      <x:c r="AD514" s="458"/>
      <x:c r="AE514" s="458"/>
    </x:row>
    <x:row r="515" spans="1:31" ht="20.100000000000001" customHeight="1">
      <x:c r="A515" s="439" t="s">
        <x:v>767</x:v>
      </x:c>
      <x:c r="B515" s="466" t="str">
        <x:f t="shared" ref="B515:B578" si="93">IFERROR(VLOOKUP($C515,$AH:$AI,2,),"")</x:f>
        <x:v>복리후생비</x:v>
      </x:c>
      <x:c r="C515" s="440" t="str">
        <x:f t="shared" ref="C515:C578" si="94">IFERROR(VLOOKUP($D515,$AO:$AQ,3,),"")</x:f>
        <x:v>후생비</x:v>
      </x:c>
      <x:c r="D515" s="441">
        <x:v>52139900</x:v>
      </x:c>
      <x:c r="E515" s="442" t="str">
        <x:f t="shared" ref="E515:E578" si="95">IFERROR(VLOOKUP($D515,$AO:$AQ,2,),"")</x:f>
        <x:v>후생비_기타</x:v>
      </x:c>
      <x:c r="F515" s="443"/>
      <x:c r="G515" s="444" t="s">
        <x:v>245</x:v>
      </x:c>
      <x:c r="H515" s="445" t="str">
        <x:f t="shared" si="92"/>
        <x:v>생산기획팀(E)</x:v>
      </x:c>
      <x:c r="I515" s="446" t="str">
        <x:f t="shared" ref="I515:I578" si="96">IFERROR(VLOOKUP($G515,$AK:$AM,3,),"")</x:f>
        <x:v>[관리비]</x:v>
      </x:c>
      <x:c r="J515" s="445"/>
      <x:c r="K515" s="453">
        <x:v>0</x:v>
      </x:c>
      <x:c r="L515" s="454">
        <x:v>0</x:v>
      </x:c>
      <x:c r="M515" s="454">
        <x:v>761280</x:v>
      </x:c>
      <x:c r="N515" s="454">
        <x:v>0</x:v>
      </x:c>
      <x:c r="O515" s="454">
        <x:v>0</x:v>
      </x:c>
      <x:c r="P515" s="454">
        <x:v>0</x:v>
      </x:c>
      <x:c r="Q515" s="454">
        <x:v>0</x:v>
      </x:c>
      <x:c r="R515" s="454">
        <x:v>0</x:v>
      </x:c>
      <x:c r="S515" s="454">
        <x:v>0</x:v>
      </x:c>
      <x:c r="T515" s="454">
        <x:v>0</x:v>
      </x:c>
      <x:c r="U515" s="454">
        <x:v>0</x:v>
      </x:c>
      <x:c r="V515" s="455">
        <x:v>0</x:v>
      </x:c>
      <x:c r="W515" s="456">
        <x:f t="shared" si="90"/>
        <x:v>761280</x:v>
      </x:c>
      <x:c r="X515" s="450">
        <x:f t="shared" si="91"/>
        <x:v>63440</x:v>
      </x:c>
      <x:c r="Y515" s="457" t="s">
        <x:v>832</x:v>
      </x:c>
      <x:c r="Z515" s="458"/>
      <x:c r="AA515" s="458"/>
      <x:c r="AB515" s="458"/>
      <x:c r="AC515" s="458"/>
      <x:c r="AD515" s="458"/>
      <x:c r="AE515" s="458"/>
    </x:row>
    <x:row r="516" spans="1:31" ht="20.100000000000001" customHeight="1">
      <x:c r="A516" s="439" t="s">
        <x:v>767</x:v>
      </x:c>
      <x:c r="B516" s="466" t="str">
        <x:f t="shared" si="93"/>
        <x:v>복리후생비</x:v>
      </x:c>
      <x:c r="C516" s="440" t="str">
        <x:f t="shared" si="94"/>
        <x:v>후생비</x:v>
      </x:c>
      <x:c r="D516" s="441">
        <x:v>52139900</x:v>
      </x:c>
      <x:c r="E516" s="442" t="str">
        <x:f t="shared" si="95"/>
        <x:v>후생비_기타</x:v>
      </x:c>
      <x:c r="F516" s="443"/>
      <x:c r="G516" s="444" t="s">
        <x:v>84</x:v>
      </x:c>
      <x:c r="H516" s="445" t="str">
        <x:f t="shared" si="92"/>
        <x:v>품질경영팀(E)</x:v>
      </x:c>
      <x:c r="I516" s="446" t="str">
        <x:f t="shared" si="96"/>
        <x:v>[관리비]</x:v>
      </x:c>
      <x:c r="J516" s="445"/>
      <x:c r="K516" s="453">
        <x:v>0</x:v>
      </x:c>
      <x:c r="L516" s="454">
        <x:v>0</x:v>
      </x:c>
      <x:c r="M516" s="454">
        <x:v>856440</x:v>
      </x:c>
      <x:c r="N516" s="454">
        <x:v>0</x:v>
      </x:c>
      <x:c r="O516" s="454">
        <x:v>0</x:v>
      </x:c>
      <x:c r="P516" s="454">
        <x:v>0</x:v>
      </x:c>
      <x:c r="Q516" s="454">
        <x:v>0</x:v>
      </x:c>
      <x:c r="R516" s="454">
        <x:v>0</x:v>
      </x:c>
      <x:c r="S516" s="454">
        <x:v>0</x:v>
      </x:c>
      <x:c r="T516" s="454">
        <x:v>0</x:v>
      </x:c>
      <x:c r="U516" s="454">
        <x:v>0</x:v>
      </x:c>
      <x:c r="V516" s="455">
        <x:v>0</x:v>
      </x:c>
      <x:c r="W516" s="456">
        <x:f t="shared" si="90"/>
        <x:v>856440</x:v>
      </x:c>
      <x:c r="X516" s="450">
        <x:f t="shared" si="91"/>
        <x:v>71370</x:v>
      </x:c>
      <x:c r="Y516" s="457" t="s">
        <x:v>832</x:v>
      </x:c>
      <x:c r="Z516" s="458"/>
      <x:c r="AA516" s="458"/>
      <x:c r="AB516" s="458"/>
      <x:c r="AC516" s="458"/>
      <x:c r="AD516" s="458"/>
      <x:c r="AE516" s="458"/>
    </x:row>
    <x:row r="517" spans="1:31" ht="20.100000000000001" customHeight="1">
      <x:c r="A517" s="439" t="s">
        <x:v>767</x:v>
      </x:c>
      <x:c r="B517" s="466" t="str">
        <x:f t="shared" si="93"/>
        <x:v>복리후생비</x:v>
      </x:c>
      <x:c r="C517" s="440" t="str">
        <x:f t="shared" si="94"/>
        <x:v>후생비</x:v>
      </x:c>
      <x:c r="D517" s="441">
        <x:v>52139900</x:v>
      </x:c>
      <x:c r="E517" s="442" t="str">
        <x:f t="shared" si="95"/>
        <x:v>후생비_기타</x:v>
      </x:c>
      <x:c r="F517" s="443"/>
      <x:c r="G517" s="444" t="s">
        <x:v>249</x:v>
      </x:c>
      <x:c r="H517" s="445" t="str">
        <x:f t="shared" si="92"/>
        <x:v>부품품질팀(E)</x:v>
      </x:c>
      <x:c r="I517" s="446" t="str">
        <x:f t="shared" si="96"/>
        <x:v>[관리비]</x:v>
      </x:c>
      <x:c r="J517" s="445"/>
      <x:c r="K517" s="453">
        <x:v>0</x:v>
      </x:c>
      <x:c r="L517" s="454">
        <x:v>0</x:v>
      </x:c>
      <x:c r="M517" s="454">
        <x:v>666120</x:v>
      </x:c>
      <x:c r="N517" s="454">
        <x:v>0</x:v>
      </x:c>
      <x:c r="O517" s="454">
        <x:v>0</x:v>
      </x:c>
      <x:c r="P517" s="454">
        <x:v>0</x:v>
      </x:c>
      <x:c r="Q517" s="454">
        <x:v>0</x:v>
      </x:c>
      <x:c r="R517" s="454">
        <x:v>0</x:v>
      </x:c>
      <x:c r="S517" s="454">
        <x:v>0</x:v>
      </x:c>
      <x:c r="T517" s="454">
        <x:v>0</x:v>
      </x:c>
      <x:c r="U517" s="454">
        <x:v>0</x:v>
      </x:c>
      <x:c r="V517" s="455">
        <x:v>0</x:v>
      </x:c>
      <x:c r="W517" s="456">
        <x:f t="shared" si="90"/>
        <x:v>666120</x:v>
      </x:c>
      <x:c r="X517" s="450">
        <x:f t="shared" si="91"/>
        <x:v>55510</x:v>
      </x:c>
      <x:c r="Y517" s="457" t="s">
        <x:v>832</x:v>
      </x:c>
      <x:c r="Z517" s="458"/>
      <x:c r="AA517" s="458"/>
      <x:c r="AB517" s="458"/>
      <x:c r="AC517" s="458"/>
      <x:c r="AD517" s="458"/>
      <x:c r="AE517" s="458"/>
    </x:row>
    <x:row r="518" spans="1:31" ht="20.100000000000001" customHeight="1">
      <x:c r="A518" s="439" t="s">
        <x:v>767</x:v>
      </x:c>
      <x:c r="B518" s="466" t="str">
        <x:f t="shared" si="93"/>
        <x:v>복리후생비</x:v>
      </x:c>
      <x:c r="C518" s="440" t="str">
        <x:f t="shared" si="94"/>
        <x:v>후생비</x:v>
      </x:c>
      <x:c r="D518" s="441">
        <x:v>52130132</x:v>
      </x:c>
      <x:c r="E518" s="442" t="str">
        <x:f t="shared" si="95"/>
        <x:v>후생비_안전보건장비</x:v>
      </x:c>
      <x:c r="F518" s="443"/>
      <x:c r="G518" s="444" t="s">
        <x:v>99</x:v>
      </x:c>
      <x:c r="H518" s="445" t="str">
        <x:f t="shared" si="92"/>
        <x:v>전장설계1팀(E)</x:v>
      </x:c>
      <x:c r="I518" s="446" t="str">
        <x:f t="shared" si="96"/>
        <x:v>[연구개발비]</x:v>
      </x:c>
      <x:c r="J518" s="445"/>
      <x:c r="K518" s="453">
        <x:v>0</x:v>
      </x:c>
      <x:c r="L518" s="454">
        <x:v>0</x:v>
      </x:c>
      <x:c r="M518" s="454">
        <x:v>0</x:v>
      </x:c>
      <x:c r="N518" s="454">
        <x:v>0</x:v>
      </x:c>
      <x:c r="O518" s="454">
        <x:v>0</x:v>
      </x:c>
      <x:c r="P518" s="454">
        <x:v>0</x:v>
      </x:c>
      <x:c r="Q518" s="454">
        <x:v>0</x:v>
      </x:c>
      <x:c r="R518" s="454">
        <x:v>0</x:v>
      </x:c>
      <x:c r="S518" s="454">
        <x:v>0</x:v>
      </x:c>
      <x:c r="T518" s="454">
        <x:v>0</x:v>
      </x:c>
      <x:c r="U518" s="454">
        <x:v>0</x:v>
      </x:c>
      <x:c r="V518" s="455">
        <x:v>2400000</x:v>
      </x:c>
      <x:c r="W518" s="456">
        <x:f t="shared" si="90"/>
        <x:v>2400000</x:v>
      </x:c>
      <x:c r="X518" s="450">
        <x:f t="shared" si="91"/>
        <x:v>200000</x:v>
      </x:c>
      <x:c r="Y518" s="457" t="s">
        <x:v>833</x:v>
      </x:c>
      <x:c r="Z518" s="458"/>
      <x:c r="AA518" s="458"/>
      <x:c r="AB518" s="458"/>
      <x:c r="AC518" s="458"/>
      <x:c r="AD518" s="458"/>
      <x:c r="AE518" s="458"/>
    </x:row>
    <x:row r="519" spans="1:31" ht="20.100000000000001" customHeight="1">
      <x:c r="A519" s="439" t="s">
        <x:v>767</x:v>
      </x:c>
      <x:c r="B519" s="466" t="str">
        <x:f t="shared" si="93"/>
        <x:v>복리후생비</x:v>
      </x:c>
      <x:c r="C519" s="440" t="str">
        <x:f t="shared" si="94"/>
        <x:v>후생비</x:v>
      </x:c>
      <x:c r="D519" s="441">
        <x:v>52130132</x:v>
      </x:c>
      <x:c r="E519" s="442" t="str">
        <x:f t="shared" si="95"/>
        <x:v>후생비_안전보건장비</x:v>
      </x:c>
      <x:c r="F519" s="443"/>
      <x:c r="G519" s="444" t="s">
        <x:v>101</x:v>
      </x:c>
      <x:c r="H519" s="445" t="str">
        <x:f t="shared" si="92"/>
        <x:v>전장설계2팀(E)</x:v>
      </x:c>
      <x:c r="I519" s="446" t="str">
        <x:f t="shared" si="96"/>
        <x:v>[연구개발비]</x:v>
      </x:c>
      <x:c r="J519" s="445"/>
      <x:c r="K519" s="453">
        <x:v>0</x:v>
      </x:c>
      <x:c r="L519" s="454">
        <x:v>0</x:v>
      </x:c>
      <x:c r="M519" s="454">
        <x:v>0</x:v>
      </x:c>
      <x:c r="N519" s="454">
        <x:v>0</x:v>
      </x:c>
      <x:c r="O519" s="454">
        <x:v>0</x:v>
      </x:c>
      <x:c r="P519" s="454">
        <x:v>0</x:v>
      </x:c>
      <x:c r="Q519" s="454">
        <x:v>0</x:v>
      </x:c>
      <x:c r="R519" s="454">
        <x:v>0</x:v>
      </x:c>
      <x:c r="S519" s="454">
        <x:v>0</x:v>
      </x:c>
      <x:c r="T519" s="454">
        <x:v>0</x:v>
      </x:c>
      <x:c r="U519" s="454">
        <x:v>0</x:v>
      </x:c>
      <x:c r="V519" s="455">
        <x:v>3000000</x:v>
      </x:c>
      <x:c r="W519" s="456">
        <x:f t="shared" si="90"/>
        <x:v>3000000</x:v>
      </x:c>
      <x:c r="X519" s="450">
        <x:f t="shared" si="91"/>
        <x:v>250000</x:v>
      </x:c>
      <x:c r="Y519" s="457" t="s">
        <x:v>833</x:v>
      </x:c>
      <x:c r="Z519" s="458"/>
      <x:c r="AA519" s="458"/>
      <x:c r="AB519" s="458"/>
      <x:c r="AC519" s="458"/>
      <x:c r="AD519" s="458"/>
      <x:c r="AE519" s="458"/>
    </x:row>
    <x:row r="520" spans="1:31" ht="20.100000000000001" customHeight="1">
      <x:c r="A520" s="439" t="s">
        <x:v>767</x:v>
      </x:c>
      <x:c r="B520" s="466" t="str">
        <x:f t="shared" si="93"/>
        <x:v>복리후생비</x:v>
      </x:c>
      <x:c r="C520" s="440" t="str">
        <x:f t="shared" si="94"/>
        <x:v>후생비</x:v>
      </x:c>
      <x:c r="D520" s="441">
        <x:v>52130132</x:v>
      </x:c>
      <x:c r="E520" s="442" t="str">
        <x:f t="shared" si="95"/>
        <x:v>후생비_안전보건장비</x:v>
      </x:c>
      <x:c r="F520" s="443"/>
      <x:c r="G520" s="444" t="s">
        <x:v>80</x:v>
      </x:c>
      <x:c r="H520" s="445" t="str">
        <x:f t="shared" si="92"/>
        <x:v>사업관리팀(E)</x:v>
      </x:c>
      <x:c r="I520" s="446" t="str">
        <x:f t="shared" si="96"/>
        <x:v>[관리비]</x:v>
      </x:c>
      <x:c r="J520" s="445"/>
      <x:c r="K520" s="453">
        <x:v>0</x:v>
      </x:c>
      <x:c r="L520" s="454">
        <x:v>0</x:v>
      </x:c>
      <x:c r="M520" s="454">
        <x:v>0</x:v>
      </x:c>
      <x:c r="N520" s="454">
        <x:v>0</x:v>
      </x:c>
      <x:c r="O520" s="454">
        <x:v>0</x:v>
      </x:c>
      <x:c r="P520" s="454">
        <x:v>0</x:v>
      </x:c>
      <x:c r="Q520" s="454">
        <x:v>0</x:v>
      </x:c>
      <x:c r="R520" s="454">
        <x:v>0</x:v>
      </x:c>
      <x:c r="S520" s="454">
        <x:v>0</x:v>
      </x:c>
      <x:c r="T520" s="454">
        <x:v>0</x:v>
      </x:c>
      <x:c r="U520" s="454">
        <x:v>0</x:v>
      </x:c>
      <x:c r="V520" s="455">
        <x:v>1800000</x:v>
      </x:c>
      <x:c r="W520" s="456">
        <x:f t="shared" si="90"/>
        <x:v>1800000</x:v>
      </x:c>
      <x:c r="X520" s="450">
        <x:f t="shared" si="91"/>
        <x:v>150000</x:v>
      </x:c>
      <x:c r="Y520" s="457" t="s">
        <x:v>833</x:v>
      </x:c>
      <x:c r="Z520" s="458"/>
      <x:c r="AA520" s="458"/>
      <x:c r="AB520" s="458"/>
      <x:c r="AC520" s="458"/>
      <x:c r="AD520" s="458"/>
      <x:c r="AE520" s="458"/>
    </x:row>
    <x:row r="521" spans="1:31" ht="20.100000000000001" customHeight="1">
      <x:c r="A521" s="439" t="s">
        <x:v>767</x:v>
      </x:c>
      <x:c r="B521" s="466" t="str">
        <x:f t="shared" si="93"/>
        <x:v>복리후생비</x:v>
      </x:c>
      <x:c r="C521" s="440" t="str">
        <x:f t="shared" si="94"/>
        <x:v>후생비</x:v>
      </x:c>
      <x:c r="D521" s="441">
        <x:v>52130132</x:v>
      </x:c>
      <x:c r="E521" s="442" t="str">
        <x:f t="shared" si="95"/>
        <x:v>후생비_안전보건장비</x:v>
      </x:c>
      <x:c r="F521" s="443"/>
      <x:c r="G521" s="444" t="s">
        <x:v>104</x:v>
      </x:c>
      <x:c r="H521" s="445" t="str">
        <x:f t="shared" si="92"/>
        <x:v>제품개발팀(E)</x:v>
      </x:c>
      <x:c r="I521" s="446" t="str">
        <x:f t="shared" si="96"/>
        <x:v>[연구개발비]</x:v>
      </x:c>
      <x:c r="J521" s="445"/>
      <x:c r="K521" s="453">
        <x:v>0</x:v>
      </x:c>
      <x:c r="L521" s="454">
        <x:v>0</x:v>
      </x:c>
      <x:c r="M521" s="454">
        <x:v>0</x:v>
      </x:c>
      <x:c r="N521" s="454">
        <x:v>0</x:v>
      </x:c>
      <x:c r="O521" s="454">
        <x:v>0</x:v>
      </x:c>
      <x:c r="P521" s="454">
        <x:v>0</x:v>
      </x:c>
      <x:c r="Q521" s="454">
        <x:v>0</x:v>
      </x:c>
      <x:c r="R521" s="454">
        <x:v>0</x:v>
      </x:c>
      <x:c r="S521" s="454">
        <x:v>0</x:v>
      </x:c>
      <x:c r="T521" s="454">
        <x:v>0</x:v>
      </x:c>
      <x:c r="U521" s="454">
        <x:v>0</x:v>
      </x:c>
      <x:c r="V521" s="455">
        <x:v>1800000</x:v>
      </x:c>
      <x:c r="W521" s="456">
        <x:f t="shared" si="90"/>
        <x:v>1800000</x:v>
      </x:c>
      <x:c r="X521" s="450">
        <x:f t="shared" si="91"/>
        <x:v>150000</x:v>
      </x:c>
      <x:c r="Y521" s="457" t="s">
        <x:v>833</x:v>
      </x:c>
      <x:c r="Z521" s="458"/>
      <x:c r="AA521" s="458"/>
      <x:c r="AB521" s="458"/>
      <x:c r="AC521" s="458"/>
      <x:c r="AD521" s="458"/>
      <x:c r="AE521" s="458"/>
    </x:row>
    <x:row r="522" spans="1:31" ht="20.100000000000001" customHeight="1">
      <x:c r="A522" s="439" t="s">
        <x:v>767</x:v>
      </x:c>
      <x:c r="B522" s="466" t="str">
        <x:f t="shared" si="93"/>
        <x:v>복리후생비</x:v>
      </x:c>
      <x:c r="C522" s="440" t="str">
        <x:f t="shared" si="94"/>
        <x:v>후생비</x:v>
      </x:c>
      <x:c r="D522" s="441">
        <x:v>52130132</x:v>
      </x:c>
      <x:c r="E522" s="442" t="str">
        <x:f t="shared" si="95"/>
        <x:v>후생비_안전보건장비</x:v>
      </x:c>
      <x:c r="F522" s="443"/>
      <x:c r="G522" s="444" t="s">
        <x:v>106</x:v>
      </x:c>
      <x:c r="H522" s="445" t="str">
        <x:f t="shared" si="92"/>
        <x:v>구매팀(E)</x:v>
      </x:c>
      <x:c r="I522" s="446" t="str">
        <x:f t="shared" si="96"/>
        <x:v>[관리비]</x:v>
      </x:c>
      <x:c r="J522" s="445"/>
      <x:c r="K522" s="453">
        <x:v>0</x:v>
      </x:c>
      <x:c r="L522" s="454">
        <x:v>0</x:v>
      </x:c>
      <x:c r="M522" s="454">
        <x:v>0</x:v>
      </x:c>
      <x:c r="N522" s="454">
        <x:v>0</x:v>
      </x:c>
      <x:c r="O522" s="454">
        <x:v>0</x:v>
      </x:c>
      <x:c r="P522" s="454">
        <x:v>0</x:v>
      </x:c>
      <x:c r="Q522" s="454">
        <x:v>0</x:v>
      </x:c>
      <x:c r="R522" s="454">
        <x:v>0</x:v>
      </x:c>
      <x:c r="S522" s="454">
        <x:v>0</x:v>
      </x:c>
      <x:c r="T522" s="454">
        <x:v>0</x:v>
      </x:c>
      <x:c r="U522" s="454">
        <x:v>0</x:v>
      </x:c>
      <x:c r="V522" s="455">
        <x:v>1800000</x:v>
      </x:c>
      <x:c r="W522" s="456">
        <x:f t="shared" si="90"/>
        <x:v>1800000</x:v>
      </x:c>
      <x:c r="X522" s="450">
        <x:f t="shared" si="91"/>
        <x:v>150000</x:v>
      </x:c>
      <x:c r="Y522" s="457" t="s">
        <x:v>833</x:v>
      </x:c>
      <x:c r="Z522" s="458"/>
      <x:c r="AA522" s="458"/>
      <x:c r="AB522" s="458"/>
      <x:c r="AC522" s="458"/>
      <x:c r="AD522" s="458"/>
      <x:c r="AE522" s="458"/>
    </x:row>
    <x:row r="523" spans="1:31" ht="20.100000000000001" customHeight="1">
      <x:c r="A523" s="439" t="s">
        <x:v>767</x:v>
      </x:c>
      <x:c r="B523" s="466" t="str">
        <x:f t="shared" si="93"/>
        <x:v>복리후생비</x:v>
      </x:c>
      <x:c r="C523" s="440" t="str">
        <x:f t="shared" si="94"/>
        <x:v>후생비</x:v>
      </x:c>
      <x:c r="D523" s="441">
        <x:v>52130132</x:v>
      </x:c>
      <x:c r="E523" s="442" t="str">
        <x:f t="shared" si="95"/>
        <x:v>후생비_안전보건장비</x:v>
      </x:c>
      <x:c r="F523" s="443"/>
      <x:c r="G523" s="444" t="s">
        <x:v>82</x:v>
      </x:c>
      <x:c r="H523" s="445" t="str">
        <x:f t="shared" si="92"/>
        <x:v>생산기술팀(E)</x:v>
      </x:c>
      <x:c r="I523" s="446" t="str">
        <x:f t="shared" si="96"/>
        <x:v>[관리비]</x:v>
      </x:c>
      <x:c r="J523" s="445"/>
      <x:c r="K523" s="453">
        <x:v>0</x:v>
      </x:c>
      <x:c r="L523" s="454">
        <x:v>0</x:v>
      </x:c>
      <x:c r="M523" s="454">
        <x:v>0</x:v>
      </x:c>
      <x:c r="N523" s="454">
        <x:v>0</x:v>
      </x:c>
      <x:c r="O523" s="454">
        <x:v>0</x:v>
      </x:c>
      <x:c r="P523" s="454">
        <x:v>0</x:v>
      </x:c>
      <x:c r="Q523" s="454">
        <x:v>0</x:v>
      </x:c>
      <x:c r="R523" s="454">
        <x:v>0</x:v>
      </x:c>
      <x:c r="S523" s="454">
        <x:v>0</x:v>
      </x:c>
      <x:c r="T523" s="454">
        <x:v>0</x:v>
      </x:c>
      <x:c r="U523" s="454">
        <x:v>0</x:v>
      </x:c>
      <x:c r="V523" s="455">
        <x:v>4200000</x:v>
      </x:c>
      <x:c r="W523" s="456">
        <x:f t="shared" si="90"/>
        <x:v>4200000</x:v>
      </x:c>
      <x:c r="X523" s="450">
        <x:f t="shared" si="91"/>
        <x:v>350000</x:v>
      </x:c>
      <x:c r="Y523" s="457" t="s">
        <x:v>833</x:v>
      </x:c>
      <x:c r="Z523" s="458"/>
      <x:c r="AA523" s="458"/>
      <x:c r="AB523" s="458"/>
      <x:c r="AC523" s="458"/>
      <x:c r="AD523" s="458"/>
      <x:c r="AE523" s="458"/>
    </x:row>
    <x:row r="524" spans="1:31" ht="20.100000000000001" customHeight="1">
      <x:c r="A524" s="439" t="s">
        <x:v>767</x:v>
      </x:c>
      <x:c r="B524" s="466" t="str">
        <x:f t="shared" si="93"/>
        <x:v>복리후생비</x:v>
      </x:c>
      <x:c r="C524" s="440" t="str">
        <x:f t="shared" si="94"/>
        <x:v>후생비</x:v>
      </x:c>
      <x:c r="D524" s="441">
        <x:v>52130132</x:v>
      </x:c>
      <x:c r="E524" s="442" t="str">
        <x:f t="shared" si="95"/>
        <x:v>후생비_안전보건장비</x:v>
      </x:c>
      <x:c r="F524" s="443"/>
      <x:c r="G524" s="444" t="s">
        <x:v>84</x:v>
      </x:c>
      <x:c r="H524" s="445" t="str">
        <x:f t="shared" si="92"/>
        <x:v>품질경영팀(E)</x:v>
      </x:c>
      <x:c r="I524" s="446" t="str">
        <x:f t="shared" si="96"/>
        <x:v>[관리비]</x:v>
      </x:c>
      <x:c r="J524" s="445"/>
      <x:c r="K524" s="453">
        <x:v>0</x:v>
      </x:c>
      <x:c r="L524" s="454">
        <x:v>0</x:v>
      </x:c>
      <x:c r="M524" s="454">
        <x:v>0</x:v>
      </x:c>
      <x:c r="N524" s="454">
        <x:v>0</x:v>
      </x:c>
      <x:c r="O524" s="454">
        <x:v>0</x:v>
      </x:c>
      <x:c r="P524" s="454">
        <x:v>0</x:v>
      </x:c>
      <x:c r="Q524" s="454">
        <x:v>0</x:v>
      </x:c>
      <x:c r="R524" s="454">
        <x:v>0</x:v>
      </x:c>
      <x:c r="S524" s="454">
        <x:v>0</x:v>
      </x:c>
      <x:c r="T524" s="454">
        <x:v>0</x:v>
      </x:c>
      <x:c r="U524" s="454">
        <x:v>0</x:v>
      </x:c>
      <x:c r="V524" s="455">
        <x:v>1800000</x:v>
      </x:c>
      <x:c r="W524" s="456">
        <x:f t="shared" si="90"/>
        <x:v>1800000</x:v>
      </x:c>
      <x:c r="X524" s="450">
        <x:f t="shared" si="91"/>
        <x:v>150000</x:v>
      </x:c>
      <x:c r="Y524" s="457" t="s">
        <x:v>833</x:v>
      </x:c>
      <x:c r="Z524" s="458"/>
      <x:c r="AA524" s="458"/>
      <x:c r="AB524" s="458"/>
      <x:c r="AC524" s="458"/>
      <x:c r="AD524" s="458"/>
      <x:c r="AE524" s="458"/>
    </x:row>
    <x:row r="525" spans="1:31" ht="20.100000000000001" customHeight="1">
      <x:c r="A525" s="439" t="s">
        <x:v>767</x:v>
      </x:c>
      <x:c r="B525" s="466" t="str">
        <x:f t="shared" si="93"/>
        <x:v>복리후생비</x:v>
      </x:c>
      <x:c r="C525" s="440" t="str">
        <x:f t="shared" si="94"/>
        <x:v>후생비</x:v>
      </x:c>
      <x:c r="D525" s="441">
        <x:v>52130132</x:v>
      </x:c>
      <x:c r="E525" s="442" t="str">
        <x:f t="shared" si="95"/>
        <x:v>후생비_안전보건장비</x:v>
      </x:c>
      <x:c r="F525" s="443"/>
      <x:c r="G525" s="444" t="s">
        <x:v>245</x:v>
      </x:c>
      <x:c r="H525" s="445" t="str">
        <x:f t="shared" si="92"/>
        <x:v>생산기획팀(E)</x:v>
      </x:c>
      <x:c r="I525" s="446" t="str">
        <x:f t="shared" si="96"/>
        <x:v>[관리비]</x:v>
      </x:c>
      <x:c r="J525" s="445"/>
      <x:c r="K525" s="453">
        <x:v>0</x:v>
      </x:c>
      <x:c r="L525" s="454">
        <x:v>0</x:v>
      </x:c>
      <x:c r="M525" s="454">
        <x:v>0</x:v>
      </x:c>
      <x:c r="N525" s="454">
        <x:v>0</x:v>
      </x:c>
      <x:c r="O525" s="454">
        <x:v>0</x:v>
      </x:c>
      <x:c r="P525" s="454">
        <x:v>0</x:v>
      </x:c>
      <x:c r="Q525" s="454">
        <x:v>0</x:v>
      </x:c>
      <x:c r="R525" s="454">
        <x:v>0</x:v>
      </x:c>
      <x:c r="S525" s="454">
        <x:v>0</x:v>
      </x:c>
      <x:c r="T525" s="454">
        <x:v>0</x:v>
      </x:c>
      <x:c r="U525" s="454">
        <x:v>0</x:v>
      </x:c>
      <x:c r="V525" s="455">
        <x:v>1200000</x:v>
      </x:c>
      <x:c r="W525" s="456">
        <x:f t="shared" si="90"/>
        <x:v>1200000</x:v>
      </x:c>
      <x:c r="X525" s="450">
        <x:f t="shared" si="91"/>
        <x:v>100000</x:v>
      </x:c>
      <x:c r="Y525" s="457" t="s">
        <x:v>833</x:v>
      </x:c>
      <x:c r="Z525" s="458"/>
      <x:c r="AA525" s="458"/>
      <x:c r="AB525" s="458"/>
      <x:c r="AC525" s="458"/>
      <x:c r="AD525" s="458"/>
      <x:c r="AE525" s="458"/>
    </x:row>
    <x:row r="526" spans="1:31" ht="20.100000000000001" customHeight="1">
      <x:c r="A526" s="439" t="s">
        <x:v>767</x:v>
      </x:c>
      <x:c r="B526" s="466" t="str">
        <x:f t="shared" si="93"/>
        <x:v>복리후생비</x:v>
      </x:c>
      <x:c r="C526" s="440" t="str">
        <x:f t="shared" si="94"/>
        <x:v>후생비</x:v>
      </x:c>
      <x:c r="D526" s="441">
        <x:v>52130132</x:v>
      </x:c>
      <x:c r="E526" s="442" t="str">
        <x:f t="shared" si="95"/>
        <x:v>후생비_안전보건장비</x:v>
      </x:c>
      <x:c r="F526" s="443"/>
      <x:c r="G526" s="444" t="s">
        <x:v>256</x:v>
      </x:c>
      <x:c r="H526" s="445" t="str">
        <x:f t="shared" si="92"/>
        <x:v>품질부문(E)</x:v>
      </x:c>
      <x:c r="I526" s="446" t="str">
        <x:f t="shared" si="96"/>
        <x:v>[관리비]</x:v>
      </x:c>
      <x:c r="J526" s="445"/>
      <x:c r="K526" s="453">
        <x:v>0</x:v>
      </x:c>
      <x:c r="L526" s="454">
        <x:v>0</x:v>
      </x:c>
      <x:c r="M526" s="454">
        <x:v>0</x:v>
      </x:c>
      <x:c r="N526" s="454">
        <x:v>0</x:v>
      </x:c>
      <x:c r="O526" s="454">
        <x:v>0</x:v>
      </x:c>
      <x:c r="P526" s="454">
        <x:v>0</x:v>
      </x:c>
      <x:c r="Q526" s="454">
        <x:v>0</x:v>
      </x:c>
      <x:c r="R526" s="454">
        <x:v>0</x:v>
      </x:c>
      <x:c r="S526" s="454">
        <x:v>0</x:v>
      </x:c>
      <x:c r="T526" s="454">
        <x:v>0</x:v>
      </x:c>
      <x:c r="U526" s="454">
        <x:v>0</x:v>
      </x:c>
      <x:c r="V526" s="455">
        <x:v>600000</x:v>
      </x:c>
      <x:c r="W526" s="456">
        <x:f t="shared" si="90"/>
        <x:v>600000</x:v>
      </x:c>
      <x:c r="X526" s="450">
        <x:f t="shared" si="91"/>
        <x:v>50000</x:v>
      </x:c>
      <x:c r="Y526" s="457" t="s">
        <x:v>833</x:v>
      </x:c>
      <x:c r="Z526" s="458"/>
      <x:c r="AA526" s="458"/>
      <x:c r="AB526" s="458"/>
      <x:c r="AC526" s="458"/>
      <x:c r="AD526" s="458"/>
      <x:c r="AE526" s="458"/>
    </x:row>
    <x:row r="527" spans="1:31" ht="20.100000000000001" customHeight="1">
      <x:c r="A527" s="439" t="s">
        <x:v>767</x:v>
      </x:c>
      <x:c r="B527" s="466" t="str">
        <x:f t="shared" si="93"/>
        <x:v>복리후생비</x:v>
      </x:c>
      <x:c r="C527" s="440" t="str">
        <x:f t="shared" si="94"/>
        <x:v>후생비</x:v>
      </x:c>
      <x:c r="D527" s="441">
        <x:v>52130132</x:v>
      </x:c>
      <x:c r="E527" s="442" t="str">
        <x:f t="shared" si="95"/>
        <x:v>후생비_안전보건장비</x:v>
      </x:c>
      <x:c r="F527" s="443"/>
      <x:c r="G527" s="444" t="s">
        <x:v>249</x:v>
      </x:c>
      <x:c r="H527" s="445" t="str">
        <x:f t="shared" si="92"/>
        <x:v>부품품질팀(E)</x:v>
      </x:c>
      <x:c r="I527" s="446" t="str">
        <x:f t="shared" si="96"/>
        <x:v>[관리비]</x:v>
      </x:c>
      <x:c r="J527" s="445"/>
      <x:c r="K527" s="453">
        <x:v>0</x:v>
      </x:c>
      <x:c r="L527" s="454">
        <x:v>0</x:v>
      </x:c>
      <x:c r="M527" s="454">
        <x:v>0</x:v>
      </x:c>
      <x:c r="N527" s="454">
        <x:v>0</x:v>
      </x:c>
      <x:c r="O527" s="454">
        <x:v>0</x:v>
      </x:c>
      <x:c r="P527" s="454">
        <x:v>0</x:v>
      </x:c>
      <x:c r="Q527" s="454">
        <x:v>0</x:v>
      </x:c>
      <x:c r="R527" s="454">
        <x:v>0</x:v>
      </x:c>
      <x:c r="S527" s="454">
        <x:v>0</x:v>
      </x:c>
      <x:c r="T527" s="454">
        <x:v>0</x:v>
      </x:c>
      <x:c r="U527" s="454">
        <x:v>0</x:v>
      </x:c>
      <x:c r="V527" s="455">
        <x:v>1200000</x:v>
      </x:c>
      <x:c r="W527" s="456">
        <x:f t="shared" si="90"/>
        <x:v>1200000</x:v>
      </x:c>
      <x:c r="X527" s="450">
        <x:f t="shared" si="91"/>
        <x:v>100000</x:v>
      </x:c>
      <x:c r="Y527" s="457" t="s">
        <x:v>833</x:v>
      </x:c>
      <x:c r="Z527" s="458"/>
      <x:c r="AA527" s="458"/>
      <x:c r="AB527" s="458"/>
      <x:c r="AC527" s="458"/>
      <x:c r="AD527" s="458"/>
      <x:c r="AE527" s="458"/>
    </x:row>
    <x:row r="528" spans="1:31" ht="20.100000000000001" customHeight="1">
      <x:c r="A528" s="439" t="s">
        <x:v>767</x:v>
      </x:c>
      <x:c r="B528" s="466" t="str">
        <x:f t="shared" si="93"/>
        <x:v>복리후생비</x:v>
      </x:c>
      <x:c r="C528" s="440" t="str">
        <x:f t="shared" si="94"/>
        <x:v>후생비</x:v>
      </x:c>
      <x:c r="D528" s="441">
        <x:v>52130132</x:v>
      </x:c>
      <x:c r="E528" s="442" t="str">
        <x:f t="shared" si="95"/>
        <x:v>후생비_안전보건장비</x:v>
      </x:c>
      <x:c r="F528" s="443"/>
      <x:c r="G528" s="444" t="s">
        <x:v>247</x:v>
      </x:c>
      <x:c r="H528" s="445" t="str">
        <x:f t="shared" si="92"/>
        <x:v>영업팀(E)</x:v>
      </x:c>
      <x:c r="I528" s="446" t="str">
        <x:f t="shared" si="96"/>
        <x:v>[판매비]</x:v>
      </x:c>
      <x:c r="J528" s="445"/>
      <x:c r="K528" s="453">
        <x:v>0</x:v>
      </x:c>
      <x:c r="L528" s="454">
        <x:v>0</x:v>
      </x:c>
      <x:c r="M528" s="454">
        <x:v>0</x:v>
      </x:c>
      <x:c r="N528" s="454">
        <x:v>0</x:v>
      </x:c>
      <x:c r="O528" s="454">
        <x:v>0</x:v>
      </x:c>
      <x:c r="P528" s="454">
        <x:v>0</x:v>
      </x:c>
      <x:c r="Q528" s="454">
        <x:v>0</x:v>
      </x:c>
      <x:c r="R528" s="454">
        <x:v>0</x:v>
      </x:c>
      <x:c r="S528" s="454">
        <x:v>0</x:v>
      </x:c>
      <x:c r="T528" s="454">
        <x:v>0</x:v>
      </x:c>
      <x:c r="U528" s="454">
        <x:v>0</x:v>
      </x:c>
      <x:c r="V528" s="455">
        <x:v>1800000</x:v>
      </x:c>
      <x:c r="W528" s="456">
        <x:f t="shared" si="90"/>
        <x:v>1800000</x:v>
      </x:c>
      <x:c r="X528" s="450">
        <x:f t="shared" si="91"/>
        <x:v>150000</x:v>
      </x:c>
      <x:c r="Y528" s="457" t="s">
        <x:v>833</x:v>
      </x:c>
      <x:c r="Z528" s="458"/>
      <x:c r="AA528" s="458"/>
      <x:c r="AB528" s="458"/>
      <x:c r="AC528" s="458"/>
      <x:c r="AD528" s="458"/>
      <x:c r="AE528" s="458"/>
    </x:row>
    <x:row r="529" spans="1:31" ht="20.100000000000001" customHeight="1">
      <x:c r="A529" s="439" t="s">
        <x:v>767</x:v>
      </x:c>
      <x:c r="B529" s="466" t="str">
        <x:f t="shared" si="93"/>
        <x:v>복리후생비</x:v>
      </x:c>
      <x:c r="C529" s="440" t="str">
        <x:f t="shared" si="94"/>
        <x:v>후생비</x:v>
      </x:c>
      <x:c r="D529" s="441">
        <x:v>52130132</x:v>
      </x:c>
      <x:c r="E529" s="442" t="str">
        <x:f t="shared" si="95"/>
        <x:v>후생비_안전보건장비</x:v>
      </x:c>
      <x:c r="F529" s="443"/>
      <x:c r="G529" s="444" t="s">
        <x:v>251</x:v>
      </x:c>
      <x:c r="H529" s="445" t="str">
        <x:f t="shared" si="92"/>
        <x:v>시작평가팀(E)</x:v>
      </x:c>
      <x:c r="I529" s="446" t="str">
        <x:f t="shared" si="96"/>
        <x:v>[연구개발비]</x:v>
      </x:c>
      <x:c r="J529" s="445"/>
      <x:c r="K529" s="453">
        <x:v>0</x:v>
      </x:c>
      <x:c r="L529" s="454">
        <x:v>0</x:v>
      </x:c>
      <x:c r="M529" s="454">
        <x:v>0</x:v>
      </x:c>
      <x:c r="N529" s="454">
        <x:v>0</x:v>
      </x:c>
      <x:c r="O529" s="454">
        <x:v>0</x:v>
      </x:c>
      <x:c r="P529" s="454">
        <x:v>0</x:v>
      </x:c>
      <x:c r="Q529" s="454">
        <x:v>0</x:v>
      </x:c>
      <x:c r="R529" s="454">
        <x:v>0</x:v>
      </x:c>
      <x:c r="S529" s="454">
        <x:v>0</x:v>
      </x:c>
      <x:c r="T529" s="454">
        <x:v>0</x:v>
      </x:c>
      <x:c r="U529" s="454">
        <x:v>0</x:v>
      </x:c>
      <x:c r="V529" s="455">
        <x:v>2400000</x:v>
      </x:c>
      <x:c r="W529" s="456">
        <x:f t="shared" si="90"/>
        <x:v>2400000</x:v>
      </x:c>
      <x:c r="X529" s="450">
        <x:f t="shared" si="91"/>
        <x:v>200000</x:v>
      </x:c>
      <x:c r="Y529" s="457" t="s">
        <x:v>833</x:v>
      </x:c>
      <x:c r="Z529" s="458"/>
      <x:c r="AA529" s="458"/>
      <x:c r="AB529" s="458"/>
      <x:c r="AC529" s="458"/>
      <x:c r="AD529" s="458"/>
      <x:c r="AE529" s="458"/>
    </x:row>
    <x:row r="530" spans="1:31" ht="20.100000000000001" customHeight="1">
      <x:c r="A530" s="439" t="s">
        <x:v>98</x:v>
      </x:c>
      <x:c r="B530" s="466" t="str">
        <x:f t="shared" si="93"/>
        <x:v>감가상각비</x:v>
      </x:c>
      <x:c r="C530" s="440" t="str">
        <x:f t="shared" si="94"/>
        <x:v>감가상각비</x:v>
      </x:c>
      <x:c r="D530" s="441">
        <x:v>52200140</x:v>
      </x:c>
      <x:c r="E530" s="442" t="str">
        <x:f t="shared" si="95"/>
        <x:v>감가상각비_공구와기구</x:v>
      </x:c>
      <x:c r="F530" s="443"/>
      <x:c r="G530" s="444" t="s">
        <x:v>106</x:v>
      </x:c>
      <x:c r="H530" s="445" t="str">
        <x:f t="shared" si="92"/>
        <x:v>구매팀(E)</x:v>
      </x:c>
      <x:c r="I530" s="446" t="str">
        <x:f t="shared" si="96"/>
        <x:v>[관리비]</x:v>
      </x:c>
      <x:c r="J530" s="445"/>
      <x:c r="K530" s="453">
        <x:v>442896</x:v>
      </x:c>
      <x:c r="L530" s="454">
        <x:v>442902</x:v>
      </x:c>
      <x:c r="M530" s="454">
        <x:v>442902</x:v>
      </x:c>
      <x:c r="N530" s="454">
        <x:v>442902</x:v>
      </x:c>
      <x:c r="O530" s="454">
        <x:v>442902</x:v>
      </x:c>
      <x:c r="P530" s="454">
        <x:v>442902</x:v>
      </x:c>
      <x:c r="Q530" s="454">
        <x:v>442902</x:v>
      </x:c>
      <x:c r="R530" s="454">
        <x:v>442902</x:v>
      </x:c>
      <x:c r="S530" s="454">
        <x:v>442902</x:v>
      </x:c>
      <x:c r="T530" s="454">
        <x:v>442902</x:v>
      </x:c>
      <x:c r="U530" s="454">
        <x:v>442902</x:v>
      </x:c>
      <x:c r="V530" s="455">
        <x:v>442902</x:v>
      </x:c>
      <x:c r="W530" s="456">
        <x:f t="shared" si="90"/>
        <x:v>5314818</x:v>
      </x:c>
      <x:c r="X530" s="450">
        <x:f t="shared" si="91"/>
        <x:v>442901.5</x:v>
      </x:c>
      <x:c r="Y530" s="457"/>
      <x:c r="Z530" s="458"/>
      <x:c r="AA530" s="458"/>
      <x:c r="AB530" s="458"/>
      <x:c r="AC530" s="458"/>
      <x:c r="AD530" s="458"/>
      <x:c r="AE530" s="458"/>
    </x:row>
    <x:row r="531" spans="1:31" ht="20.100000000000001" customHeight="1">
      <x:c r="A531" s="439" t="s">
        <x:v>98</x:v>
      </x:c>
      <x:c r="B531" s="466" t="str">
        <x:f t="shared" si="93"/>
        <x:v>감가상각비</x:v>
      </x:c>
      <x:c r="C531" s="440" t="str">
        <x:f t="shared" si="94"/>
        <x:v>감가상각비</x:v>
      </x:c>
      <x:c r="D531" s="441">
        <x:v>52200140</x:v>
      </x:c>
      <x:c r="E531" s="442" t="str">
        <x:f t="shared" si="95"/>
        <x:v>감가상각비_공구와기구</x:v>
      </x:c>
      <x:c r="F531" s="443"/>
      <x:c r="G531" s="444" t="s">
        <x:v>106</x:v>
      </x:c>
      <x:c r="H531" s="445" t="str">
        <x:f t="shared" si="92"/>
        <x:v>구매팀(E)</x:v>
      </x:c>
      <x:c r="I531" s="446" t="str">
        <x:f t="shared" si="96"/>
        <x:v>[관리비]</x:v>
      </x:c>
      <x:c r="J531" s="445"/>
      <x:c r="K531" s="453">
        <x:v>445895</x:v>
      </x:c>
      <x:c r="L531" s="454">
        <x:v>445894</x:v>
      </x:c>
      <x:c r="M531" s="454">
        <x:v>445894</x:v>
      </x:c>
      <x:c r="N531" s="454">
        <x:v>445894</x:v>
      </x:c>
      <x:c r="O531" s="454">
        <x:v>445894</x:v>
      </x:c>
      <x:c r="P531" s="454">
        <x:v>445894</x:v>
      </x:c>
      <x:c r="Q531" s="454">
        <x:v>445894</x:v>
      </x:c>
      <x:c r="R531" s="454">
        <x:v>445894</x:v>
      </x:c>
      <x:c r="S531" s="454">
        <x:v>445894</x:v>
      </x:c>
      <x:c r="T531" s="454">
        <x:v>445894</x:v>
      </x:c>
      <x:c r="U531" s="454">
        <x:v>445894</x:v>
      </x:c>
      <x:c r="V531" s="455">
        <x:v>445894</x:v>
      </x:c>
      <x:c r="W531" s="456">
        <x:f t="shared" si="90"/>
        <x:v>5350729</x:v>
      </x:c>
      <x:c r="X531" s="450">
        <x:f t="shared" si="91"/>
        <x:v>445894.08333333331</x:v>
      </x:c>
      <x:c r="Y531" s="457"/>
      <x:c r="Z531" s="458"/>
      <x:c r="AA531" s="458"/>
      <x:c r="AB531" s="458"/>
      <x:c r="AC531" s="458"/>
      <x:c r="AD531" s="458"/>
      <x:c r="AE531" s="458"/>
    </x:row>
    <x:row r="532" spans="1:31" ht="20.100000000000001" customHeight="1">
      <x:c r="A532" s="439" t="s">
        <x:v>98</x:v>
      </x:c>
      <x:c r="B532" s="466" t="str">
        <x:f t="shared" si="93"/>
        <x:v>감가상각비</x:v>
      </x:c>
      <x:c r="C532" s="440" t="str">
        <x:f t="shared" si="94"/>
        <x:v>감가상각비</x:v>
      </x:c>
      <x:c r="D532" s="441">
        <x:v>52200140</x:v>
      </x:c>
      <x:c r="E532" s="442" t="str">
        <x:f t="shared" si="95"/>
        <x:v>감가상각비_공구와기구</x:v>
      </x:c>
      <x:c r="F532" s="443"/>
      <x:c r="G532" s="444" t="s">
        <x:v>106</x:v>
      </x:c>
      <x:c r="H532" s="445" t="str">
        <x:f t="shared" si="92"/>
        <x:v>구매팀(E)</x:v>
      </x:c>
      <x:c r="I532" s="446" t="str">
        <x:f t="shared" si="96"/>
        <x:v>[관리비]</x:v>
      </x:c>
      <x:c r="J532" s="445"/>
      <x:c r="K532" s="453">
        <x:v>389037</x:v>
      </x:c>
      <x:c r="L532" s="454">
        <x:v>389035</x:v>
      </x:c>
      <x:c r="M532" s="454">
        <x:v>389035</x:v>
      </x:c>
      <x:c r="N532" s="454">
        <x:v>389035</x:v>
      </x:c>
      <x:c r="O532" s="454">
        <x:v>389035</x:v>
      </x:c>
      <x:c r="P532" s="454">
        <x:v>389035</x:v>
      </x:c>
      <x:c r="Q532" s="454">
        <x:v>389035</x:v>
      </x:c>
      <x:c r="R532" s="454">
        <x:v>389035</x:v>
      </x:c>
      <x:c r="S532" s="454">
        <x:v>389035</x:v>
      </x:c>
      <x:c r="T532" s="454">
        <x:v>389035</x:v>
      </x:c>
      <x:c r="U532" s="454">
        <x:v>389035</x:v>
      </x:c>
      <x:c r="V532" s="455">
        <x:v>389035</x:v>
      </x:c>
      <x:c r="W532" s="456">
        <x:f t="shared" si="90"/>
        <x:v>4668422</x:v>
      </x:c>
      <x:c r="X532" s="450">
        <x:f t="shared" si="91"/>
        <x:v>389035.16666666669</x:v>
      </x:c>
      <x:c r="Y532" s="457"/>
      <x:c r="Z532" s="458"/>
      <x:c r="AA532" s="458"/>
      <x:c r="AB532" s="458"/>
      <x:c r="AC532" s="458"/>
      <x:c r="AD532" s="458"/>
      <x:c r="AE532" s="458"/>
    </x:row>
    <x:row r="533" spans="1:31" ht="20.100000000000001" customHeight="1">
      <x:c r="A533" s="439" t="s">
        <x:v>98</x:v>
      </x:c>
      <x:c r="B533" s="466" t="str">
        <x:f t="shared" si="93"/>
        <x:v>감가상각비</x:v>
      </x:c>
      <x:c r="C533" s="440" t="str">
        <x:f t="shared" si="94"/>
        <x:v>감가상각비</x:v>
      </x:c>
      <x:c r="D533" s="441">
        <x:v>52200140</x:v>
      </x:c>
      <x:c r="E533" s="442" t="str">
        <x:f t="shared" si="95"/>
        <x:v>감가상각비_공구와기구</x:v>
      </x:c>
      <x:c r="F533" s="443"/>
      <x:c r="G533" s="444" t="s">
        <x:v>106</x:v>
      </x:c>
      <x:c r="H533" s="445" t="str">
        <x:f t="shared" si="92"/>
        <x:v>구매팀(E)</x:v>
      </x:c>
      <x:c r="I533" s="446" t="str">
        <x:f t="shared" si="96"/>
        <x:v>[관리비]</x:v>
      </x:c>
      <x:c r="J533" s="445"/>
      <x:c r="K533" s="453">
        <x:v>347139</x:v>
      </x:c>
      <x:c r="L533" s="454">
        <x:v>347139</x:v>
      </x:c>
      <x:c r="M533" s="454">
        <x:v>347139</x:v>
      </x:c>
      <x:c r="N533" s="454">
        <x:v>347139</x:v>
      </x:c>
      <x:c r="O533" s="454">
        <x:v>347139</x:v>
      </x:c>
      <x:c r="P533" s="454">
        <x:v>347139</x:v>
      </x:c>
      <x:c r="Q533" s="454">
        <x:v>347139</x:v>
      </x:c>
      <x:c r="R533" s="454">
        <x:v>347139</x:v>
      </x:c>
      <x:c r="S533" s="454">
        <x:v>347139</x:v>
      </x:c>
      <x:c r="T533" s="454">
        <x:v>347139</x:v>
      </x:c>
      <x:c r="U533" s="454">
        <x:v>347139</x:v>
      </x:c>
      <x:c r="V533" s="455">
        <x:v>347139</x:v>
      </x:c>
      <x:c r="W533" s="456">
        <x:f t="shared" si="90"/>
        <x:v>4165668</x:v>
      </x:c>
      <x:c r="X533" s="450">
        <x:f t="shared" si="91"/>
        <x:v>347139</x:v>
      </x:c>
      <x:c r="Y533" s="457"/>
      <x:c r="Z533" s="458"/>
      <x:c r="AA533" s="458"/>
      <x:c r="AB533" s="458"/>
      <x:c r="AC533" s="458"/>
      <x:c r="AD533" s="458"/>
      <x:c r="AE533" s="458"/>
    </x:row>
    <x:row r="534" spans="1:31" ht="20.100000000000001" customHeight="1">
      <x:c r="A534" s="439" t="s">
        <x:v>98</x:v>
      </x:c>
      <x:c r="B534" s="466" t="str">
        <x:f t="shared" si="93"/>
        <x:v>감가상각비</x:v>
      </x:c>
      <x:c r="C534" s="440" t="str">
        <x:f t="shared" si="94"/>
        <x:v>감가상각비</x:v>
      </x:c>
      <x:c r="D534" s="441">
        <x:v>52200140</x:v>
      </x:c>
      <x:c r="E534" s="442" t="str">
        <x:f t="shared" si="95"/>
        <x:v>감가상각비_공구와기구</x:v>
      </x:c>
      <x:c r="F534" s="443"/>
      <x:c r="G534" s="444" t="s">
        <x:v>106</x:v>
      </x:c>
      <x:c r="H534" s="445" t="str">
        <x:f t="shared" si="92"/>
        <x:v>구매팀(E)</x:v>
      </x:c>
      <x:c r="I534" s="446" t="str">
        <x:f t="shared" si="96"/>
        <x:v>[관리비]</x:v>
      </x:c>
      <x:c r="J534" s="445"/>
      <x:c r="K534" s="453">
        <x:v>386038</x:v>
      </x:c>
      <x:c r="L534" s="454">
        <x:v>386043</x:v>
      </x:c>
      <x:c r="M534" s="454">
        <x:v>386043</x:v>
      </x:c>
      <x:c r="N534" s="454">
        <x:v>386043</x:v>
      </x:c>
      <x:c r="O534" s="454">
        <x:v>386043</x:v>
      </x:c>
      <x:c r="P534" s="454">
        <x:v>386043</x:v>
      </x:c>
      <x:c r="Q534" s="454">
        <x:v>386043</x:v>
      </x:c>
      <x:c r="R534" s="454">
        <x:v>386043</x:v>
      </x:c>
      <x:c r="S534" s="454">
        <x:v>386043</x:v>
      </x:c>
      <x:c r="T534" s="454">
        <x:v>386043</x:v>
      </x:c>
      <x:c r="U534" s="454">
        <x:v>386043</x:v>
      </x:c>
      <x:c r="V534" s="455">
        <x:v>386043</x:v>
      </x:c>
      <x:c r="W534" s="456">
        <x:f t="shared" si="90"/>
        <x:v>4632511</x:v>
      </x:c>
      <x:c r="X534" s="450">
        <x:f t="shared" si="91"/>
        <x:v>386042.58333333331</x:v>
      </x:c>
      <x:c r="Y534" s="457"/>
      <x:c r="Z534" s="458"/>
      <x:c r="AA534" s="458"/>
      <x:c r="AB534" s="458"/>
      <x:c r="AC534" s="458"/>
      <x:c r="AD534" s="458"/>
      <x:c r="AE534" s="458"/>
    </x:row>
    <x:row r="535" spans="1:31" ht="20.100000000000001" customHeight="1">
      <x:c r="A535" s="439" t="s">
        <x:v>98</x:v>
      </x:c>
      <x:c r="B535" s="466" t="str">
        <x:f t="shared" si="93"/>
        <x:v>감가상각비</x:v>
      </x:c>
      <x:c r="C535" s="440" t="str">
        <x:f t="shared" si="94"/>
        <x:v>감가상각비</x:v>
      </x:c>
      <x:c r="D535" s="441">
        <x:v>52200140</x:v>
      </x:c>
      <x:c r="E535" s="442" t="str">
        <x:f t="shared" si="95"/>
        <x:v>감가상각비_공구와기구</x:v>
      </x:c>
      <x:c r="F535" s="443"/>
      <x:c r="G535" s="444" t="s">
        <x:v>106</x:v>
      </x:c>
      <x:c r="H535" s="445" t="str">
        <x:f t="shared" si="92"/>
        <x:v>구매팀(E)</x:v>
      </x:c>
      <x:c r="I535" s="446" t="str">
        <x:f t="shared" si="96"/>
        <x:v>[관리비]</x:v>
      </x:c>
      <x:c r="J535" s="445"/>
      <x:c r="K535" s="453">
        <x:v>354917</x:v>
      </x:c>
      <x:c r="L535" s="454">
        <x:v>354920</x:v>
      </x:c>
      <x:c r="M535" s="454">
        <x:v>354920</x:v>
      </x:c>
      <x:c r="N535" s="454">
        <x:v>354920</x:v>
      </x:c>
      <x:c r="O535" s="454">
        <x:v>354920</x:v>
      </x:c>
      <x:c r="P535" s="454">
        <x:v>354920</x:v>
      </x:c>
      <x:c r="Q535" s="454">
        <x:v>354920</x:v>
      </x:c>
      <x:c r="R535" s="454">
        <x:v>354920</x:v>
      </x:c>
      <x:c r="S535" s="454">
        <x:v>354920</x:v>
      </x:c>
      <x:c r="T535" s="454">
        <x:v>354920</x:v>
      </x:c>
      <x:c r="U535" s="454">
        <x:v>354920</x:v>
      </x:c>
      <x:c r="V535" s="455">
        <x:v>354920</x:v>
      </x:c>
      <x:c r="W535" s="456">
        <x:f t="shared" si="90"/>
        <x:v>4259037</x:v>
      </x:c>
      <x:c r="X535" s="450">
        <x:f t="shared" si="91"/>
        <x:v>354919.75</x:v>
      </x:c>
      <x:c r="Y535" s="457"/>
      <x:c r="Z535" s="458"/>
      <x:c r="AA535" s="458"/>
      <x:c r="AB535" s="458"/>
      <x:c r="AC535" s="458"/>
      <x:c r="AD535" s="458"/>
      <x:c r="AE535" s="458"/>
    </x:row>
    <x:row r="536" spans="1:31" ht="20.100000000000001" customHeight="1">
      <x:c r="A536" s="439" t="s">
        <x:v>98</x:v>
      </x:c>
      <x:c r="B536" s="466" t="str">
        <x:f t="shared" si="93"/>
        <x:v>감가상각비</x:v>
      </x:c>
      <x:c r="C536" s="440" t="str">
        <x:f t="shared" si="94"/>
        <x:v>감가상각비</x:v>
      </x:c>
      <x:c r="D536" s="441">
        <x:v>52200140</x:v>
      </x:c>
      <x:c r="E536" s="442" t="str">
        <x:f t="shared" si="95"/>
        <x:v>감가상각비_공구와기구</x:v>
      </x:c>
      <x:c r="F536" s="443"/>
      <x:c r="G536" s="444" t="s">
        <x:v>106</x:v>
      </x:c>
      <x:c r="H536" s="445" t="str">
        <x:f t="shared" si="92"/>
        <x:v>구매팀(E)</x:v>
      </x:c>
      <x:c r="I536" s="446" t="str">
        <x:f t="shared" si="96"/>
        <x:v>[관리비]</x:v>
      </x:c>
      <x:c r="J536" s="445"/>
      <x:c r="K536" s="453">
        <x:v>535676</x:v>
      </x:c>
      <x:c r="L536" s="454">
        <x:v>535671</x:v>
      </x:c>
      <x:c r="M536" s="454">
        <x:v>535671</x:v>
      </x:c>
      <x:c r="N536" s="454">
        <x:v>535671</x:v>
      </x:c>
      <x:c r="O536" s="454">
        <x:v>535671</x:v>
      </x:c>
      <x:c r="P536" s="454">
        <x:v>535671</x:v>
      </x:c>
      <x:c r="Q536" s="454">
        <x:v>535671</x:v>
      </x:c>
      <x:c r="R536" s="454">
        <x:v>535671</x:v>
      </x:c>
      <x:c r="S536" s="454">
        <x:v>535671</x:v>
      </x:c>
      <x:c r="T536" s="454">
        <x:v>535671</x:v>
      </x:c>
      <x:c r="U536" s="454">
        <x:v>535671</x:v>
      </x:c>
      <x:c r="V536" s="455">
        <x:v>535671</x:v>
      </x:c>
      <x:c r="W536" s="456">
        <x:f t="shared" si="90"/>
        <x:v>6428057</x:v>
      </x:c>
      <x:c r="X536" s="450">
        <x:f t="shared" si="91"/>
        <x:v>535671.41666666663</x:v>
      </x:c>
      <x:c r="Y536" s="457"/>
      <x:c r="Z536" s="458"/>
      <x:c r="AA536" s="458"/>
      <x:c r="AB536" s="458"/>
      <x:c r="AC536" s="458"/>
      <x:c r="AD536" s="458"/>
      <x:c r="AE536" s="458"/>
    </x:row>
    <x:row r="537" spans="1:31" ht="20.100000000000001" customHeight="1">
      <x:c r="A537" s="439" t="s">
        <x:v>98</x:v>
      </x:c>
      <x:c r="B537" s="466" t="str">
        <x:f t="shared" si="93"/>
        <x:v>감가상각비</x:v>
      </x:c>
      <x:c r="C537" s="440" t="str">
        <x:f t="shared" si="94"/>
        <x:v>감가상각비</x:v>
      </x:c>
      <x:c r="D537" s="441">
        <x:v>52200140</x:v>
      </x:c>
      <x:c r="E537" s="442" t="str">
        <x:f t="shared" si="95"/>
        <x:v>감가상각비_공구와기구</x:v>
      </x:c>
      <x:c r="F537" s="443"/>
      <x:c r="G537" s="444" t="s">
        <x:v>106</x:v>
      </x:c>
      <x:c r="H537" s="445" t="str">
        <x:f t="shared" si="92"/>
        <x:v>구매팀(E)</x:v>
      </x:c>
      <x:c r="I537" s="446" t="str">
        <x:f t="shared" si="96"/>
        <x:v>[관리비]</x:v>
      </x:c>
      <x:c r="J537" s="445"/>
      <x:c r="K537" s="453">
        <x:v>532678</x:v>
      </x:c>
      <x:c r="L537" s="454">
        <x:v>532679</x:v>
      </x:c>
      <x:c r="M537" s="454">
        <x:v>532679</x:v>
      </x:c>
      <x:c r="N537" s="454">
        <x:v>532679</x:v>
      </x:c>
      <x:c r="O537" s="454">
        <x:v>532679</x:v>
      </x:c>
      <x:c r="P537" s="454">
        <x:v>532679</x:v>
      </x:c>
      <x:c r="Q537" s="454">
        <x:v>532679</x:v>
      </x:c>
      <x:c r="R537" s="454">
        <x:v>532679</x:v>
      </x:c>
      <x:c r="S537" s="454">
        <x:v>532679</x:v>
      </x:c>
      <x:c r="T537" s="454">
        <x:v>532679</x:v>
      </x:c>
      <x:c r="U537" s="454">
        <x:v>532679</x:v>
      </x:c>
      <x:c r="V537" s="455">
        <x:v>532679</x:v>
      </x:c>
      <x:c r="W537" s="456">
        <x:f t="shared" si="90"/>
        <x:v>6392147</x:v>
      </x:c>
      <x:c r="X537" s="450">
        <x:f t="shared" si="91"/>
        <x:v>532678.91666666663</x:v>
      </x:c>
      <x:c r="Y537" s="457"/>
      <x:c r="Z537" s="458"/>
      <x:c r="AA537" s="458"/>
      <x:c r="AB537" s="458"/>
      <x:c r="AC537" s="458"/>
      <x:c r="AD537" s="458"/>
      <x:c r="AE537" s="458"/>
    </x:row>
    <x:row r="538" spans="1:31" ht="20.100000000000001" customHeight="1">
      <x:c r="A538" s="439" t="s">
        <x:v>98</x:v>
      </x:c>
      <x:c r="B538" s="466" t="str">
        <x:f t="shared" si="93"/>
        <x:v>감가상각비</x:v>
      </x:c>
      <x:c r="C538" s="440" t="str">
        <x:f t="shared" si="94"/>
        <x:v>감가상각비</x:v>
      </x:c>
      <x:c r="D538" s="441">
        <x:v>52200140</x:v>
      </x:c>
      <x:c r="E538" s="442" t="str">
        <x:f t="shared" si="95"/>
        <x:v>감가상각비_공구와기구</x:v>
      </x:c>
      <x:c r="F538" s="443"/>
      <x:c r="G538" s="444" t="s">
        <x:v>106</x:v>
      </x:c>
      <x:c r="H538" s="445" t="str">
        <x:f t="shared" si="92"/>
        <x:v>구매팀(E)</x:v>
      </x:c>
      <x:c r="I538" s="446" t="str">
        <x:f t="shared" si="96"/>
        <x:v>[관리비]</x:v>
      </x:c>
      <x:c r="J538" s="445"/>
      <x:c r="K538" s="453">
        <x:v>259044</x:v>
      </x:c>
      <x:c r="L538" s="454">
        <x:v>259043</x:v>
      </x:c>
      <x:c r="M538" s="454">
        <x:v>259043</x:v>
      </x:c>
      <x:c r="N538" s="454">
        <x:v>259043</x:v>
      </x:c>
      <x:c r="O538" s="454">
        <x:v>259043</x:v>
      </x:c>
      <x:c r="P538" s="454">
        <x:v>259043</x:v>
      </x:c>
      <x:c r="Q538" s="454">
        <x:v>259043</x:v>
      </x:c>
      <x:c r="R538" s="454">
        <x:v>259043</x:v>
      </x:c>
      <x:c r="S538" s="454">
        <x:v>259043</x:v>
      </x:c>
      <x:c r="T538" s="454">
        <x:v>259043</x:v>
      </x:c>
      <x:c r="U538" s="454">
        <x:v>259043</x:v>
      </x:c>
      <x:c r="V538" s="455">
        <x:v>259043</x:v>
      </x:c>
      <x:c r="W538" s="456">
        <x:f t="shared" si="90"/>
        <x:v>3108517</x:v>
      </x:c>
      <x:c r="X538" s="450">
        <x:f t="shared" si="91"/>
        <x:v>259043.08333333334</x:v>
      </x:c>
      <x:c r="Y538" s="457"/>
      <x:c r="Z538" s="458"/>
      <x:c r="AA538" s="458"/>
      <x:c r="AB538" s="458"/>
      <x:c r="AC538" s="458"/>
      <x:c r="AD538" s="458"/>
      <x:c r="AE538" s="458"/>
    </x:row>
    <x:row r="539" spans="1:31" ht="20.100000000000001" customHeight="1">
      <x:c r="A539" s="439" t="s">
        <x:v>98</x:v>
      </x:c>
      <x:c r="B539" s="466" t="str">
        <x:f t="shared" si="93"/>
        <x:v>감가상각비</x:v>
      </x:c>
      <x:c r="C539" s="440" t="str">
        <x:f t="shared" si="94"/>
        <x:v>감가상각비</x:v>
      </x:c>
      <x:c r="D539" s="441">
        <x:v>52200140</x:v>
      </x:c>
      <x:c r="E539" s="442" t="str">
        <x:f t="shared" si="95"/>
        <x:v>감가상각비_공구와기구</x:v>
      </x:c>
      <x:c r="F539" s="443"/>
      <x:c r="G539" s="444" t="s">
        <x:v>106</x:v>
      </x:c>
      <x:c r="H539" s="445" t="str">
        <x:f t="shared" si="92"/>
        <x:v>구매팀(E)</x:v>
      </x:c>
      <x:c r="I539" s="446" t="str">
        <x:f t="shared" si="96"/>
        <x:v>[관리비]</x:v>
      </x:c>
      <x:c r="J539" s="445"/>
      <x:c r="K539" s="453">
        <x:v>233696</x:v>
      </x:c>
      <x:c r="L539" s="454">
        <x:v>233693</x:v>
      </x:c>
      <x:c r="M539" s="454">
        <x:v>233693</x:v>
      </x:c>
      <x:c r="N539" s="454">
        <x:v>233693</x:v>
      </x:c>
      <x:c r="O539" s="454">
        <x:v>233693</x:v>
      </x:c>
      <x:c r="P539" s="454">
        <x:v>233693</x:v>
      </x:c>
      <x:c r="Q539" s="454">
        <x:v>233693</x:v>
      </x:c>
      <x:c r="R539" s="454">
        <x:v>233693</x:v>
      </x:c>
      <x:c r="S539" s="454">
        <x:v>233693</x:v>
      </x:c>
      <x:c r="T539" s="454">
        <x:v>233693</x:v>
      </x:c>
      <x:c r="U539" s="454">
        <x:v>233693</x:v>
      </x:c>
      <x:c r="V539" s="455">
        <x:v>233693</x:v>
      </x:c>
      <x:c r="W539" s="456">
        <x:f t="shared" si="90"/>
        <x:v>2804319</x:v>
      </x:c>
      <x:c r="X539" s="450">
        <x:f t="shared" si="91"/>
        <x:v>233693.25</x:v>
      </x:c>
      <x:c r="Y539" s="457"/>
      <x:c r="Z539" s="458"/>
      <x:c r="AA539" s="458"/>
      <x:c r="AB539" s="458"/>
      <x:c r="AC539" s="458"/>
      <x:c r="AD539" s="458"/>
      <x:c r="AE539" s="458"/>
    </x:row>
    <x:row r="540" spans="1:31" ht="20.100000000000001" customHeight="1">
      <x:c r="A540" s="439" t="s">
        <x:v>98</x:v>
      </x:c>
      <x:c r="B540" s="466" t="str">
        <x:f t="shared" si="93"/>
        <x:v>감가상각비</x:v>
      </x:c>
      <x:c r="C540" s="440" t="str">
        <x:f t="shared" si="94"/>
        <x:v>감가상각비</x:v>
      </x:c>
      <x:c r="D540" s="441">
        <x:v>52200140</x:v>
      </x:c>
      <x:c r="E540" s="442" t="str">
        <x:f t="shared" si="95"/>
        <x:v>감가상각비_공구와기구</x:v>
      </x:c>
      <x:c r="F540" s="443"/>
      <x:c r="G540" s="444" t="s">
        <x:v>106</x:v>
      </x:c>
      <x:c r="H540" s="445" t="str">
        <x:f t="shared" si="92"/>
        <x:v>구매팀(E)</x:v>
      </x:c>
      <x:c r="I540" s="446" t="str">
        <x:f t="shared" si="96"/>
        <x:v>[관리비]</x:v>
      </x:c>
      <x:c r="J540" s="445"/>
      <x:c r="K540" s="453">
        <x:v>233696</x:v>
      </x:c>
      <x:c r="L540" s="454">
        <x:v>233693</x:v>
      </x:c>
      <x:c r="M540" s="454">
        <x:v>233693</x:v>
      </x:c>
      <x:c r="N540" s="454">
        <x:v>233693</x:v>
      </x:c>
      <x:c r="O540" s="454">
        <x:v>233693</x:v>
      </x:c>
      <x:c r="P540" s="454">
        <x:v>233693</x:v>
      </x:c>
      <x:c r="Q540" s="454">
        <x:v>233693</x:v>
      </x:c>
      <x:c r="R540" s="454">
        <x:v>233693</x:v>
      </x:c>
      <x:c r="S540" s="454">
        <x:v>233693</x:v>
      </x:c>
      <x:c r="T540" s="454">
        <x:v>233693</x:v>
      </x:c>
      <x:c r="U540" s="454">
        <x:v>233693</x:v>
      </x:c>
      <x:c r="V540" s="455">
        <x:v>233693</x:v>
      </x:c>
      <x:c r="W540" s="456">
        <x:f t="shared" si="90"/>
        <x:v>2804319</x:v>
      </x:c>
      <x:c r="X540" s="450">
        <x:f t="shared" si="91"/>
        <x:v>233693.25</x:v>
      </x:c>
      <x:c r="Y540" s="457"/>
      <x:c r="Z540" s="458"/>
      <x:c r="AA540" s="458"/>
      <x:c r="AB540" s="458"/>
      <x:c r="AC540" s="458"/>
      <x:c r="AD540" s="458"/>
      <x:c r="AE540" s="458"/>
    </x:row>
    <x:row r="541" spans="1:31" ht="20.100000000000001" customHeight="1">
      <x:c r="A541" s="439" t="s">
        <x:v>98</x:v>
      </x:c>
      <x:c r="B541" s="466" t="str">
        <x:f t="shared" si="93"/>
        <x:v>감가상각비</x:v>
      </x:c>
      <x:c r="C541" s="440" t="str">
        <x:f t="shared" si="94"/>
        <x:v>감가상각비</x:v>
      </x:c>
      <x:c r="D541" s="441">
        <x:v>52200140</x:v>
      </x:c>
      <x:c r="E541" s="442" t="str">
        <x:f t="shared" si="95"/>
        <x:v>감가상각비_공구와기구</x:v>
      </x:c>
      <x:c r="F541" s="443"/>
      <x:c r="G541" s="444" t="s">
        <x:v>106</x:v>
      </x:c>
      <x:c r="H541" s="445" t="str">
        <x:f t="shared" si="92"/>
        <x:v>구매팀(E)</x:v>
      </x:c>
      <x:c r="I541" s="446" t="str">
        <x:f t="shared" si="96"/>
        <x:v>[관리비]</x:v>
      </x:c>
      <x:c r="J541" s="445"/>
      <x:c r="K541" s="453">
        <x:v>116860</x:v>
      </x:c>
      <x:c r="L541" s="454">
        <x:v>116866</x:v>
      </x:c>
      <x:c r="M541" s="454">
        <x:v>116866</x:v>
      </x:c>
      <x:c r="N541" s="454">
        <x:v>116866</x:v>
      </x:c>
      <x:c r="O541" s="454">
        <x:v>116866</x:v>
      </x:c>
      <x:c r="P541" s="454">
        <x:v>116866</x:v>
      </x:c>
      <x:c r="Q541" s="454">
        <x:v>116866</x:v>
      </x:c>
      <x:c r="R541" s="454">
        <x:v>116866</x:v>
      </x:c>
      <x:c r="S541" s="454">
        <x:v>116866</x:v>
      </x:c>
      <x:c r="T541" s="454">
        <x:v>116866</x:v>
      </x:c>
      <x:c r="U541" s="454">
        <x:v>116866</x:v>
      </x:c>
      <x:c r="V541" s="455">
        <x:v>116866</x:v>
      </x:c>
      <x:c r="W541" s="456">
        <x:f t="shared" si="90"/>
        <x:v>1402386</x:v>
      </x:c>
      <x:c r="X541" s="450">
        <x:f t="shared" si="91"/>
        <x:v>116865.5</x:v>
      </x:c>
      <x:c r="Y541" s="457"/>
      <x:c r="Z541" s="458"/>
      <x:c r="AA541" s="458"/>
      <x:c r="AB541" s="458"/>
      <x:c r="AC541" s="458"/>
      <x:c r="AD541" s="458"/>
      <x:c r="AE541" s="458"/>
    </x:row>
    <x:row r="542" spans="1:31" ht="20.100000000000001" customHeight="1">
      <x:c r="A542" s="439" t="s">
        <x:v>98</x:v>
      </x:c>
      <x:c r="B542" s="466" t="str">
        <x:f t="shared" si="93"/>
        <x:v>감가상각비</x:v>
      </x:c>
      <x:c r="C542" s="440" t="str">
        <x:f t="shared" si="94"/>
        <x:v>감가상각비</x:v>
      </x:c>
      <x:c r="D542" s="441">
        <x:v>52200140</x:v>
      </x:c>
      <x:c r="E542" s="442" t="str">
        <x:f t="shared" si="95"/>
        <x:v>감가상각비_공구와기구</x:v>
      </x:c>
      <x:c r="F542" s="443"/>
      <x:c r="G542" s="444" t="s">
        <x:v>106</x:v>
      </x:c>
      <x:c r="H542" s="445" t="str">
        <x:f t="shared" si="92"/>
        <x:v>구매팀(E)</x:v>
      </x:c>
      <x:c r="I542" s="446" t="str">
        <x:f t="shared" si="96"/>
        <x:v>[관리비]</x:v>
      </x:c>
      <x:c r="J542" s="445"/>
      <x:c r="K542" s="453">
        <x:v>798848</x:v>
      </x:c>
      <x:c r="L542" s="454">
        <x:v>798853</x:v>
      </x:c>
      <x:c r="M542" s="454">
        <x:v>798853</x:v>
      </x:c>
      <x:c r="N542" s="454">
        <x:v>798853</x:v>
      </x:c>
      <x:c r="O542" s="454">
        <x:v>798853</x:v>
      </x:c>
      <x:c r="P542" s="454">
        <x:v>798853</x:v>
      </x:c>
      <x:c r="Q542" s="454">
        <x:v>798853</x:v>
      </x:c>
      <x:c r="R542" s="454">
        <x:v>798853</x:v>
      </x:c>
      <x:c r="S542" s="454">
        <x:v>798853</x:v>
      </x:c>
      <x:c r="T542" s="454">
        <x:v>798853</x:v>
      </x:c>
      <x:c r="U542" s="454">
        <x:v>798853</x:v>
      </x:c>
      <x:c r="V542" s="455">
        <x:v>798853</x:v>
      </x:c>
      <x:c r="W542" s="456">
        <x:f t="shared" si="90"/>
        <x:v>9586231</x:v>
      </x:c>
      <x:c r="X542" s="450">
        <x:f t="shared" si="91"/>
        <x:v>798852.58333333337</x:v>
      </x:c>
      <x:c r="Y542" s="457"/>
      <x:c r="Z542" s="458"/>
      <x:c r="AA542" s="458"/>
      <x:c r="AB542" s="458"/>
      <x:c r="AC542" s="458"/>
      <x:c r="AD542" s="458"/>
      <x:c r="AE542" s="458"/>
    </x:row>
    <x:row r="543" spans="1:31" ht="20.100000000000001" customHeight="1">
      <x:c r="A543" s="439" t="s">
        <x:v>98</x:v>
      </x:c>
      <x:c r="B543" s="466" t="str">
        <x:f t="shared" si="93"/>
        <x:v>감가상각비</x:v>
      </x:c>
      <x:c r="C543" s="440" t="str">
        <x:f t="shared" si="94"/>
        <x:v>감가상각비</x:v>
      </x:c>
      <x:c r="D543" s="441">
        <x:v>52200140</x:v>
      </x:c>
      <x:c r="E543" s="442" t="str">
        <x:f t="shared" si="95"/>
        <x:v>감가상각비_공구와기구</x:v>
      </x:c>
      <x:c r="F543" s="443"/>
      <x:c r="G543" s="444" t="s">
        <x:v>106</x:v>
      </x:c>
      <x:c r="H543" s="445" t="str">
        <x:f t="shared" si="92"/>
        <x:v>구매팀(E)</x:v>
      </x:c>
      <x:c r="I543" s="446" t="str">
        <x:f t="shared" si="96"/>
        <x:v>[관리비]</x:v>
      </x:c>
      <x:c r="J543" s="445"/>
      <x:c r="K543" s="453">
        <x:v>399504</x:v>
      </x:c>
      <x:c r="L543" s="454">
        <x:v>399506</x:v>
      </x:c>
      <x:c r="M543" s="454">
        <x:v>399506</x:v>
      </x:c>
      <x:c r="N543" s="454">
        <x:v>399506</x:v>
      </x:c>
      <x:c r="O543" s="454">
        <x:v>399506</x:v>
      </x:c>
      <x:c r="P543" s="454">
        <x:v>399506</x:v>
      </x:c>
      <x:c r="Q543" s="454">
        <x:v>399506</x:v>
      </x:c>
      <x:c r="R543" s="454">
        <x:v>399506</x:v>
      </x:c>
      <x:c r="S543" s="454">
        <x:v>399506</x:v>
      </x:c>
      <x:c r="T543" s="454">
        <x:v>399506</x:v>
      </x:c>
      <x:c r="U543" s="454">
        <x:v>399506</x:v>
      </x:c>
      <x:c r="V543" s="455">
        <x:v>399506</x:v>
      </x:c>
      <x:c r="W543" s="456">
        <x:f t="shared" ref="W543:W606" si="97">IFERROR(SUM(K543:V543),"")</x:f>
        <x:v>4794070</x:v>
      </x:c>
      <x:c r="X543" s="450">
        <x:f t="shared" si="91"/>
        <x:v>399505.83333333331</x:v>
      </x:c>
      <x:c r="Y543" s="457"/>
      <x:c r="Z543" s="458"/>
      <x:c r="AA543" s="458"/>
      <x:c r="AB543" s="458"/>
      <x:c r="AC543" s="458"/>
      <x:c r="AD543" s="458"/>
      <x:c r="AE543" s="458"/>
    </x:row>
    <x:row r="544" spans="1:31" ht="20.100000000000001" customHeight="1">
      <x:c r="A544" s="439" t="s">
        <x:v>98</x:v>
      </x:c>
      <x:c r="B544" s="466" t="str">
        <x:f t="shared" si="93"/>
        <x:v>감가상각비</x:v>
      </x:c>
      <x:c r="C544" s="440" t="str">
        <x:f t="shared" si="94"/>
        <x:v>감가상각비</x:v>
      </x:c>
      <x:c r="D544" s="441">
        <x:v>52200140</x:v>
      </x:c>
      <x:c r="E544" s="442" t="str">
        <x:f t="shared" si="95"/>
        <x:v>감가상각비_공구와기구</x:v>
      </x:c>
      <x:c r="F544" s="443"/>
      <x:c r="G544" s="444" t="s">
        <x:v>106</x:v>
      </x:c>
      <x:c r="H544" s="445" t="str">
        <x:f t="shared" si="92"/>
        <x:v>구매팀(E)</x:v>
      </x:c>
      <x:c r="I544" s="446" t="str">
        <x:f t="shared" si="96"/>
        <x:v>[관리비]</x:v>
      </x:c>
      <x:c r="J544" s="445"/>
      <x:c r="K544" s="453">
        <x:v>733338</x:v>
      </x:c>
      <x:c r="L544" s="454">
        <x:v>733333</x:v>
      </x:c>
      <x:c r="M544" s="454">
        <x:v>733333</x:v>
      </x:c>
      <x:c r="N544" s="454">
        <x:v>733333</x:v>
      </x:c>
      <x:c r="O544" s="454">
        <x:v>733333</x:v>
      </x:c>
      <x:c r="P544" s="454">
        <x:v>733333</x:v>
      </x:c>
      <x:c r="Q544" s="454">
        <x:v>733333</x:v>
      </x:c>
      <x:c r="R544" s="454">
        <x:v>733333</x:v>
      </x:c>
      <x:c r="S544" s="454">
        <x:v>733333</x:v>
      </x:c>
      <x:c r="T544" s="454">
        <x:v>733333</x:v>
      </x:c>
      <x:c r="U544" s="454">
        <x:v>733333</x:v>
      </x:c>
      <x:c r="V544" s="455">
        <x:v>733333</x:v>
      </x:c>
      <x:c r="W544" s="456">
        <x:f t="shared" si="97"/>
        <x:v>8800001</x:v>
      </x:c>
      <x:c r="X544" s="450">
        <x:f t="shared" ref="X544:X607" si="98">IFERROR($W544/$Y$1,"")</x:f>
        <x:v>733333.41666666663</x:v>
      </x:c>
      <x:c r="Y544" s="457"/>
      <x:c r="Z544" s="458"/>
      <x:c r="AA544" s="458"/>
      <x:c r="AB544" s="458"/>
      <x:c r="AC544" s="458"/>
      <x:c r="AD544" s="458"/>
      <x:c r="AE544" s="458"/>
    </x:row>
    <x:row r="545" spans="1:31" ht="20.100000000000001" customHeight="1">
      <x:c r="A545" s="439" t="s">
        <x:v>98</x:v>
      </x:c>
      <x:c r="B545" s="466" t="str">
        <x:f t="shared" si="93"/>
        <x:v>감가상각비</x:v>
      </x:c>
      <x:c r="C545" s="440" t="str">
        <x:f t="shared" si="94"/>
        <x:v>감가상각비</x:v>
      </x:c>
      <x:c r="D545" s="441">
        <x:v>52200140</x:v>
      </x:c>
      <x:c r="E545" s="442" t="str">
        <x:f t="shared" si="95"/>
        <x:v>감가상각비_공구와기구</x:v>
      </x:c>
      <x:c r="F545" s="443"/>
      <x:c r="G545" s="444" t="s">
        <x:v>106</x:v>
      </x:c>
      <x:c r="H545" s="445" t="str">
        <x:f t="shared" si="92"/>
        <x:v>구매팀(E)</x:v>
      </x:c>
      <x:c r="I545" s="446" t="str">
        <x:f t="shared" si="96"/>
        <x:v>[관리비]</x:v>
      </x:c>
      <x:c r="J545" s="445"/>
      <x:c r="K545" s="453">
        <x:v>1153785</x:v>
      </x:c>
      <x:c r="L545" s="454">
        <x:v>1153789</x:v>
      </x:c>
      <x:c r="M545" s="454">
        <x:v>1153789</x:v>
      </x:c>
      <x:c r="N545" s="454">
        <x:v>1153789</x:v>
      </x:c>
      <x:c r="O545" s="454">
        <x:v>1153789</x:v>
      </x:c>
      <x:c r="P545" s="454">
        <x:v>1153789</x:v>
      </x:c>
      <x:c r="Q545" s="454">
        <x:v>1153789</x:v>
      </x:c>
      <x:c r="R545" s="454">
        <x:v>1153789</x:v>
      </x:c>
      <x:c r="S545" s="454">
        <x:v>1153789</x:v>
      </x:c>
      <x:c r="T545" s="454">
        <x:v>1153789</x:v>
      </x:c>
      <x:c r="U545" s="454">
        <x:v>1153789</x:v>
      </x:c>
      <x:c r="V545" s="455">
        <x:v>1153789</x:v>
      </x:c>
      <x:c r="W545" s="456">
        <x:f t="shared" si="97"/>
        <x:v>13845464</x:v>
      </x:c>
      <x:c r="X545" s="450">
        <x:f t="shared" si="98"/>
        <x:v>1153788.6666666667</x:v>
      </x:c>
      <x:c r="Y545" s="457"/>
      <x:c r="Z545" s="458"/>
      <x:c r="AA545" s="458"/>
      <x:c r="AB545" s="458"/>
      <x:c r="AC545" s="458"/>
      <x:c r="AD545" s="458"/>
      <x:c r="AE545" s="458"/>
    </x:row>
    <x:row r="546" spans="1:31" ht="20.100000000000001" customHeight="1">
      <x:c r="A546" s="439" t="s">
        <x:v>98</x:v>
      </x:c>
      <x:c r="B546" s="466" t="str">
        <x:f t="shared" si="93"/>
        <x:v>감가상각비</x:v>
      </x:c>
      <x:c r="C546" s="440" t="str">
        <x:f t="shared" si="94"/>
        <x:v>감가상각비</x:v>
      </x:c>
      <x:c r="D546" s="441">
        <x:v>52200140</x:v>
      </x:c>
      <x:c r="E546" s="442" t="str">
        <x:f t="shared" si="95"/>
        <x:v>감가상각비_공구와기구</x:v>
      </x:c>
      <x:c r="F546" s="443"/>
      <x:c r="G546" s="444" t="s">
        <x:v>106</x:v>
      </x:c>
      <x:c r="H546" s="445" t="str">
        <x:f t="shared" si="92"/>
        <x:v>구매팀(E)</x:v>
      </x:c>
      <x:c r="I546" s="446" t="str">
        <x:f t="shared" si="96"/>
        <x:v>[관리비]</x:v>
      </x:c>
      <x:c r="J546" s="445"/>
      <x:c r="K546" s="453">
        <x:v>1492030</x:v>
      </x:c>
      <x:c r="L546" s="454">
        <x:v>1492031</x:v>
      </x:c>
      <x:c r="M546" s="454">
        <x:v>1492031</x:v>
      </x:c>
      <x:c r="N546" s="454">
        <x:v>1492031</x:v>
      </x:c>
      <x:c r="O546" s="454">
        <x:v>1492031</x:v>
      </x:c>
      <x:c r="P546" s="454">
        <x:v>1492031</x:v>
      </x:c>
      <x:c r="Q546" s="454">
        <x:v>1492031</x:v>
      </x:c>
      <x:c r="R546" s="454">
        <x:v>1492031</x:v>
      </x:c>
      <x:c r="S546" s="454">
        <x:v>1492031</x:v>
      </x:c>
      <x:c r="T546" s="454">
        <x:v>1492031</x:v>
      </x:c>
      <x:c r="U546" s="454">
        <x:v>1492031</x:v>
      </x:c>
      <x:c r="V546" s="455">
        <x:v>1492031</x:v>
      </x:c>
      <x:c r="W546" s="456">
        <x:f t="shared" si="97"/>
        <x:v>17904371</x:v>
      </x:c>
      <x:c r="X546" s="450">
        <x:f t="shared" si="98"/>
        <x:v>1492030.9166666667</x:v>
      </x:c>
      <x:c r="Y546" s="457"/>
      <x:c r="Z546" s="458"/>
      <x:c r="AA546" s="458"/>
      <x:c r="AB546" s="458"/>
      <x:c r="AC546" s="458"/>
      <x:c r="AD546" s="458"/>
      <x:c r="AE546" s="458"/>
    </x:row>
    <x:row r="547" spans="1:31" ht="20.100000000000001" customHeight="1">
      <x:c r="A547" s="439" t="s">
        <x:v>98</x:v>
      </x:c>
      <x:c r="B547" s="466" t="str">
        <x:f t="shared" si="93"/>
        <x:v>감가상각비</x:v>
      </x:c>
      <x:c r="C547" s="440" t="str">
        <x:f t="shared" si="94"/>
        <x:v>감가상각비</x:v>
      </x:c>
      <x:c r="D547" s="441">
        <x:v>52200140</x:v>
      </x:c>
      <x:c r="E547" s="442" t="str">
        <x:f t="shared" si="95"/>
        <x:v>감가상각비_공구와기구</x:v>
      </x:c>
      <x:c r="F547" s="443"/>
      <x:c r="G547" s="444" t="s">
        <x:v>106</x:v>
      </x:c>
      <x:c r="H547" s="445" t="str">
        <x:f t="shared" si="92"/>
        <x:v>구매팀(E)</x:v>
      </x:c>
      <x:c r="I547" s="446" t="str">
        <x:f t="shared" si="96"/>
        <x:v>[관리비]</x:v>
      </x:c>
      <x:c r="J547" s="445"/>
      <x:c r="K547" s="453">
        <x:v>1132841</x:v>
      </x:c>
      <x:c r="L547" s="454">
        <x:v>1132838</x:v>
      </x:c>
      <x:c r="M547" s="454">
        <x:v>1132838</x:v>
      </x:c>
      <x:c r="N547" s="454">
        <x:v>1132838</x:v>
      </x:c>
      <x:c r="O547" s="454">
        <x:v>1132838</x:v>
      </x:c>
      <x:c r="P547" s="454">
        <x:v>1132838</x:v>
      </x:c>
      <x:c r="Q547" s="454">
        <x:v>1132838</x:v>
      </x:c>
      <x:c r="R547" s="454">
        <x:v>1132838</x:v>
      </x:c>
      <x:c r="S547" s="454">
        <x:v>1132838</x:v>
      </x:c>
      <x:c r="T547" s="454">
        <x:v>1132838</x:v>
      </x:c>
      <x:c r="U547" s="454">
        <x:v>1132838</x:v>
      </x:c>
      <x:c r="V547" s="455">
        <x:v>1132838</x:v>
      </x:c>
      <x:c r="W547" s="456">
        <x:f t="shared" si="97"/>
        <x:v>13594059</x:v>
      </x:c>
      <x:c r="X547" s="450">
        <x:f t="shared" si="98"/>
        <x:v>1132838.25</x:v>
      </x:c>
      <x:c r="Y547" s="457"/>
      <x:c r="Z547" s="458"/>
      <x:c r="AA547" s="458"/>
      <x:c r="AB547" s="458"/>
      <x:c r="AC547" s="458"/>
      <x:c r="AD547" s="458"/>
      <x:c r="AE547" s="458"/>
    </x:row>
    <x:row r="548" spans="1:31" ht="20.100000000000001" customHeight="1">
      <x:c r="A548" s="439" t="s">
        <x:v>98</x:v>
      </x:c>
      <x:c r="B548" s="466" t="str">
        <x:f t="shared" si="93"/>
        <x:v>감가상각비</x:v>
      </x:c>
      <x:c r="C548" s="440" t="str">
        <x:f t="shared" si="94"/>
        <x:v>감가상각비</x:v>
      </x:c>
      <x:c r="D548" s="441">
        <x:v>52200140</x:v>
      </x:c>
      <x:c r="E548" s="442" t="str">
        <x:f t="shared" si="95"/>
        <x:v>감가상각비_공구와기구</x:v>
      </x:c>
      <x:c r="F548" s="443"/>
      <x:c r="G548" s="444" t="s">
        <x:v>106</x:v>
      </x:c>
      <x:c r="H548" s="445" t="str">
        <x:f t="shared" si="92"/>
        <x:v>구매팀(E)</x:v>
      </x:c>
      <x:c r="I548" s="446" t="str">
        <x:f t="shared" si="96"/>
        <x:v>[관리비]</x:v>
      </x:c>
      <x:c r="J548" s="445"/>
      <x:c r="K548" s="453">
        <x:v>1492030</x:v>
      </x:c>
      <x:c r="L548" s="454">
        <x:v>1492031</x:v>
      </x:c>
      <x:c r="M548" s="454">
        <x:v>1492031</x:v>
      </x:c>
      <x:c r="N548" s="454">
        <x:v>1492031</x:v>
      </x:c>
      <x:c r="O548" s="454">
        <x:v>1492031</x:v>
      </x:c>
      <x:c r="P548" s="454">
        <x:v>1492031</x:v>
      </x:c>
      <x:c r="Q548" s="454">
        <x:v>1492031</x:v>
      </x:c>
      <x:c r="R548" s="454">
        <x:v>1492031</x:v>
      </x:c>
      <x:c r="S548" s="454">
        <x:v>1492031</x:v>
      </x:c>
      <x:c r="T548" s="454">
        <x:v>1492031</x:v>
      </x:c>
      <x:c r="U548" s="454">
        <x:v>1492031</x:v>
      </x:c>
      <x:c r="V548" s="455">
        <x:v>1492031</x:v>
      </x:c>
      <x:c r="W548" s="456">
        <x:f t="shared" si="97"/>
        <x:v>17904371</x:v>
      </x:c>
      <x:c r="X548" s="450">
        <x:f t="shared" si="98"/>
        <x:v>1492030.9166666667</x:v>
      </x:c>
      <x:c r="Y548" s="457"/>
      <x:c r="Z548" s="458"/>
      <x:c r="AA548" s="458"/>
      <x:c r="AB548" s="458"/>
      <x:c r="AC548" s="458"/>
      <x:c r="AD548" s="458"/>
      <x:c r="AE548" s="458"/>
    </x:row>
    <x:row r="549" spans="1:31" ht="20.100000000000001" customHeight="1">
      <x:c r="A549" s="439" t="s">
        <x:v>98</x:v>
      </x:c>
      <x:c r="B549" s="466" t="str">
        <x:f t="shared" si="93"/>
        <x:v>감가상각비</x:v>
      </x:c>
      <x:c r="C549" s="440" t="str">
        <x:f t="shared" si="94"/>
        <x:v>감가상각비</x:v>
      </x:c>
      <x:c r="D549" s="441">
        <x:v>52200140</x:v>
      </x:c>
      <x:c r="E549" s="442" t="str">
        <x:f t="shared" si="95"/>
        <x:v>감가상각비_공구와기구</x:v>
      </x:c>
      <x:c r="F549" s="443"/>
      <x:c r="G549" s="444" t="s">
        <x:v>106</x:v>
      </x:c>
      <x:c r="H549" s="445" t="str">
        <x:f t="shared" si="92"/>
        <x:v>구매팀(E)</x:v>
      </x:c>
      <x:c r="I549" s="446" t="str">
        <x:f t="shared" si="96"/>
        <x:v>[관리비]</x:v>
      </x:c>
      <x:c r="J549" s="445"/>
      <x:c r="K549" s="453">
        <x:v>899360</x:v>
      </x:c>
      <x:c r="L549" s="454">
        <x:v>899360</x:v>
      </x:c>
      <x:c r="M549" s="454">
        <x:v>899360</x:v>
      </x:c>
      <x:c r="N549" s="454">
        <x:v>899360</x:v>
      </x:c>
      <x:c r="O549" s="454">
        <x:v>899360</x:v>
      </x:c>
      <x:c r="P549" s="454">
        <x:v>899360</x:v>
      </x:c>
      <x:c r="Q549" s="454">
        <x:v>899360</x:v>
      </x:c>
      <x:c r="R549" s="454">
        <x:v>899360</x:v>
      </x:c>
      <x:c r="S549" s="454">
        <x:v>899360</x:v>
      </x:c>
      <x:c r="T549" s="454">
        <x:v>899360</x:v>
      </x:c>
      <x:c r="U549" s="454">
        <x:v>899360</x:v>
      </x:c>
      <x:c r="V549" s="455">
        <x:v>899360</x:v>
      </x:c>
      <x:c r="W549" s="456">
        <x:f t="shared" si="97"/>
        <x:v>10792320</x:v>
      </x:c>
      <x:c r="X549" s="450">
        <x:f t="shared" si="98"/>
        <x:v>899360</x:v>
      </x:c>
      <x:c r="Y549" s="457"/>
      <x:c r="Z549" s="458"/>
      <x:c r="AA549" s="458"/>
      <x:c r="AB549" s="458"/>
      <x:c r="AC549" s="458"/>
      <x:c r="AD549" s="458"/>
      <x:c r="AE549" s="458"/>
    </x:row>
    <x:row r="550" spans="1:31" ht="20.100000000000001" customHeight="1">
      <x:c r="A550" s="439" t="s">
        <x:v>98</x:v>
      </x:c>
      <x:c r="B550" s="466" t="str">
        <x:f t="shared" si="93"/>
        <x:v>감가상각비</x:v>
      </x:c>
      <x:c r="C550" s="440" t="str">
        <x:f t="shared" si="94"/>
        <x:v>감가상각비</x:v>
      </x:c>
      <x:c r="D550" s="441">
        <x:v>52200140</x:v>
      </x:c>
      <x:c r="E550" s="442" t="str">
        <x:f t="shared" si="95"/>
        <x:v>감가상각비_공구와기구</x:v>
      </x:c>
      <x:c r="F550" s="443"/>
      <x:c r="G550" s="444" t="s">
        <x:v>106</x:v>
      </x:c>
      <x:c r="H550" s="445" t="str">
        <x:f t="shared" si="92"/>
        <x:v>구매팀(E)</x:v>
      </x:c>
      <x:c r="I550" s="446" t="str">
        <x:f t="shared" si="96"/>
        <x:v>[관리비]</x:v>
      </x:c>
      <x:c r="J550" s="445"/>
      <x:c r="K550" s="453">
        <x:v>899360</x:v>
      </x:c>
      <x:c r="L550" s="454">
        <x:v>899360</x:v>
      </x:c>
      <x:c r="M550" s="454">
        <x:v>899360</x:v>
      </x:c>
      <x:c r="N550" s="454">
        <x:v>899360</x:v>
      </x:c>
      <x:c r="O550" s="454">
        <x:v>899360</x:v>
      </x:c>
      <x:c r="P550" s="454">
        <x:v>899360</x:v>
      </x:c>
      <x:c r="Q550" s="454">
        <x:v>899360</x:v>
      </x:c>
      <x:c r="R550" s="454">
        <x:v>899360</x:v>
      </x:c>
      <x:c r="S550" s="454">
        <x:v>899360</x:v>
      </x:c>
      <x:c r="T550" s="454">
        <x:v>899360</x:v>
      </x:c>
      <x:c r="U550" s="454">
        <x:v>899360</x:v>
      </x:c>
      <x:c r="V550" s="455">
        <x:v>899360</x:v>
      </x:c>
      <x:c r="W550" s="456">
        <x:f t="shared" si="97"/>
        <x:v>10792320</x:v>
      </x:c>
      <x:c r="X550" s="450">
        <x:f t="shared" si="98"/>
        <x:v>899360</x:v>
      </x:c>
      <x:c r="Y550" s="457"/>
      <x:c r="Z550" s="458"/>
      <x:c r="AA550" s="458"/>
      <x:c r="AB550" s="458"/>
      <x:c r="AC550" s="458"/>
      <x:c r="AD550" s="458"/>
      <x:c r="AE550" s="458"/>
    </x:row>
    <x:row r="551" spans="1:31" ht="20.100000000000001" customHeight="1">
      <x:c r="A551" s="439" t="s">
        <x:v>98</x:v>
      </x:c>
      <x:c r="B551" s="466" t="str">
        <x:f t="shared" si="93"/>
        <x:v>감가상각비</x:v>
      </x:c>
      <x:c r="C551" s="440" t="str">
        <x:f t="shared" si="94"/>
        <x:v>감가상각비</x:v>
      </x:c>
      <x:c r="D551" s="441">
        <x:v>52200150</x:v>
      </x:c>
      <x:c r="E551" s="442" t="str">
        <x:f t="shared" si="95"/>
        <x:v>감가상각비_기계장치</x:v>
      </x:c>
      <x:c r="F551" s="443"/>
      <x:c r="G551" s="444" t="s">
        <x:v>84</x:v>
      </x:c>
      <x:c r="H551" s="445" t="str">
        <x:f t="shared" si="92"/>
        <x:v>품질경영팀(E)</x:v>
      </x:c>
      <x:c r="I551" s="446" t="str">
        <x:f t="shared" si="96"/>
        <x:v>[관리비]</x:v>
      </x:c>
      <x:c r="J551" s="445"/>
      <x:c r="K551" s="453">
        <x:v>17676</x:v>
      </x:c>
      <x:c r="L551" s="454">
        <x:v>17673</x:v>
      </x:c>
      <x:c r="M551" s="454">
        <x:v>17673</x:v>
      </x:c>
      <x:c r="N551" s="454">
        <x:v>17673</x:v>
      </x:c>
      <x:c r="O551" s="454">
        <x:v>17673</x:v>
      </x:c>
      <x:c r="P551" s="454">
        <x:v>17673</x:v>
      </x:c>
      <x:c r="Q551" s="454">
        <x:v>17673</x:v>
      </x:c>
      <x:c r="R551" s="454">
        <x:v>17673</x:v>
      </x:c>
      <x:c r="S551" s="454">
        <x:v>17673</x:v>
      </x:c>
      <x:c r="T551" s="454">
        <x:v>17673</x:v>
      </x:c>
      <x:c r="U551" s="454">
        <x:v>17673</x:v>
      </x:c>
      <x:c r="V551" s="455">
        <x:v>17673</x:v>
      </x:c>
      <x:c r="W551" s="456">
        <x:f t="shared" si="97"/>
        <x:v>212079</x:v>
      </x:c>
      <x:c r="X551" s="450">
        <x:f t="shared" si="98"/>
        <x:v>17673.25</x:v>
      </x:c>
      <x:c r="Y551" s="457"/>
      <x:c r="Z551" s="458"/>
      <x:c r="AA551" s="458"/>
      <x:c r="AB551" s="458"/>
      <x:c r="AC551" s="458"/>
      <x:c r="AD551" s="458"/>
      <x:c r="AE551" s="458"/>
    </x:row>
    <x:row r="552" spans="1:31" ht="20.100000000000001" customHeight="1">
      <x:c r="A552" s="439" t="s">
        <x:v>98</x:v>
      </x:c>
      <x:c r="B552" s="466" t="str">
        <x:f t="shared" si="93"/>
        <x:v>감가상각비</x:v>
      </x:c>
      <x:c r="C552" s="440" t="str">
        <x:f t="shared" si="94"/>
        <x:v>감가상각비</x:v>
      </x:c>
      <x:c r="D552" s="441">
        <x:v>52200150</x:v>
      </x:c>
      <x:c r="E552" s="442" t="str">
        <x:f t="shared" si="95"/>
        <x:v>감가상각비_기계장치</x:v>
      </x:c>
      <x:c r="F552" s="443"/>
      <x:c r="G552" s="444" t="s">
        <x:v>84</x:v>
      </x:c>
      <x:c r="H552" s="445" t="str">
        <x:f t="shared" si="92"/>
        <x:v>품질경영팀(E)</x:v>
      </x:c>
      <x:c r="I552" s="446" t="str">
        <x:f t="shared" si="96"/>
        <x:v>[관리비]</x:v>
      </x:c>
      <x:c r="J552" s="445"/>
      <x:c r="K552" s="453">
        <x:v>17676</x:v>
      </x:c>
      <x:c r="L552" s="454">
        <x:v>17673</x:v>
      </x:c>
      <x:c r="M552" s="454">
        <x:v>17673</x:v>
      </x:c>
      <x:c r="N552" s="454">
        <x:v>17673</x:v>
      </x:c>
      <x:c r="O552" s="454">
        <x:v>17673</x:v>
      </x:c>
      <x:c r="P552" s="454">
        <x:v>17673</x:v>
      </x:c>
      <x:c r="Q552" s="454">
        <x:v>17673</x:v>
      </x:c>
      <x:c r="R552" s="454">
        <x:v>17673</x:v>
      </x:c>
      <x:c r="S552" s="454">
        <x:v>17673</x:v>
      </x:c>
      <x:c r="T552" s="454">
        <x:v>17673</x:v>
      </x:c>
      <x:c r="U552" s="454">
        <x:v>17673</x:v>
      </x:c>
      <x:c r="V552" s="455">
        <x:v>17673</x:v>
      </x:c>
      <x:c r="W552" s="456">
        <x:f t="shared" si="97"/>
        <x:v>212079</x:v>
      </x:c>
      <x:c r="X552" s="450">
        <x:f t="shared" si="98"/>
        <x:v>17673.25</x:v>
      </x:c>
      <x:c r="Y552" s="457"/>
      <x:c r="Z552" s="458"/>
      <x:c r="AA552" s="458"/>
      <x:c r="AB552" s="458"/>
      <x:c r="AC552" s="458"/>
      <x:c r="AD552" s="458"/>
      <x:c r="AE552" s="458"/>
    </x:row>
    <x:row r="553" spans="1:31" ht="20.100000000000001" customHeight="1">
      <x:c r="A553" s="439" t="s">
        <x:v>98</x:v>
      </x:c>
      <x:c r="B553" s="466" t="str">
        <x:f t="shared" si="93"/>
        <x:v>감가상각비</x:v>
      </x:c>
      <x:c r="C553" s="440" t="str">
        <x:f t="shared" si="94"/>
        <x:v>감가상각비</x:v>
      </x:c>
      <x:c r="D553" s="441">
        <x:v>52200150</x:v>
      </x:c>
      <x:c r="E553" s="442" t="str">
        <x:f t="shared" si="95"/>
        <x:v>감가상각비_기계장치</x:v>
      </x:c>
      <x:c r="F553" s="443"/>
      <x:c r="G553" s="444" t="s">
        <x:v>106</x:v>
      </x:c>
      <x:c r="H553" s="445" t="str">
        <x:f t="shared" si="92"/>
        <x:v>구매팀(E)</x:v>
      </x:c>
      <x:c r="I553" s="446" t="str">
        <x:f t="shared" si="96"/>
        <x:v>[관리비]</x:v>
      </x:c>
      <x:c r="J553" s="445"/>
      <x:c r="K553" s="453">
        <x:v>468097</x:v>
      </x:c>
      <x:c r="L553" s="454">
        <x:v>468103</x:v>
      </x:c>
      <x:c r="M553" s="454">
        <x:v>468103</x:v>
      </x:c>
      <x:c r="N553" s="454">
        <x:v>468103</x:v>
      </x:c>
      <x:c r="O553" s="454">
        <x:v>468103</x:v>
      </x:c>
      <x:c r="P553" s="454">
        <x:v>468103</x:v>
      </x:c>
      <x:c r="Q553" s="454">
        <x:v>468103</x:v>
      </x:c>
      <x:c r="R553" s="454">
        <x:v>468103</x:v>
      </x:c>
      <x:c r="S553" s="454">
        <x:v>468103</x:v>
      </x:c>
      <x:c r="T553" s="454">
        <x:v>468103</x:v>
      </x:c>
      <x:c r="U553" s="454">
        <x:v>468103</x:v>
      </x:c>
      <x:c r="V553" s="455">
        <x:v>468103</x:v>
      </x:c>
      <x:c r="W553" s="456">
        <x:f t="shared" si="97"/>
        <x:v>5617230</x:v>
      </x:c>
      <x:c r="X553" s="450">
        <x:f t="shared" si="98"/>
        <x:v>468102.5</x:v>
      </x:c>
      <x:c r="Y553" s="457"/>
      <x:c r="Z553" s="458"/>
      <x:c r="AA553" s="458"/>
      <x:c r="AB553" s="458"/>
      <x:c r="AC553" s="458"/>
      <x:c r="AD553" s="458"/>
      <x:c r="AE553" s="458"/>
    </x:row>
    <x:row r="554" spans="1:31" ht="20.100000000000001" customHeight="1">
      <x:c r="A554" s="439" t="s">
        <x:v>98</x:v>
      </x:c>
      <x:c r="B554" s="466" t="str">
        <x:f t="shared" si="93"/>
        <x:v>감가상각비</x:v>
      </x:c>
      <x:c r="C554" s="440" t="str">
        <x:f t="shared" si="94"/>
        <x:v>감가상각비</x:v>
      </x:c>
      <x:c r="D554" s="441">
        <x:v>52200150</x:v>
      </x:c>
      <x:c r="E554" s="442" t="str">
        <x:f t="shared" si="95"/>
        <x:v>감가상각비_기계장치</x:v>
      </x:c>
      <x:c r="F554" s="443"/>
      <x:c r="G554" s="444" t="s">
        <x:v>106</x:v>
      </x:c>
      <x:c r="H554" s="445" t="str">
        <x:f t="shared" si="92"/>
        <x:v>구매팀(E)</x:v>
      </x:c>
      <x:c r="I554" s="446" t="str">
        <x:f t="shared" si="96"/>
        <x:v>[관리비]</x:v>
      </x:c>
      <x:c r="J554" s="445"/>
      <x:c r="K554" s="453">
        <x:v>363466</x:v>
      </x:c>
      <x:c r="L554" s="454">
        <x:v>363468</x:v>
      </x:c>
      <x:c r="M554" s="454">
        <x:v>363468</x:v>
      </x:c>
      <x:c r="N554" s="454">
        <x:v>363468</x:v>
      </x:c>
      <x:c r="O554" s="454">
        <x:v>363468</x:v>
      </x:c>
      <x:c r="P554" s="454">
        <x:v>363468</x:v>
      </x:c>
      <x:c r="Q554" s="454">
        <x:v>363468</x:v>
      </x:c>
      <x:c r="R554" s="454">
        <x:v>363468</x:v>
      </x:c>
      <x:c r="S554" s="454">
        <x:v>363468</x:v>
      </x:c>
      <x:c r="T554" s="454">
        <x:v>363468</x:v>
      </x:c>
      <x:c r="U554" s="454">
        <x:v>363468</x:v>
      </x:c>
      <x:c r="V554" s="455">
        <x:v>363468</x:v>
      </x:c>
      <x:c r="W554" s="456">
        <x:f t="shared" si="97"/>
        <x:v>4361614</x:v>
      </x:c>
      <x:c r="X554" s="450">
        <x:f t="shared" si="98"/>
        <x:v>363467.83333333331</x:v>
      </x:c>
      <x:c r="Y554" s="457"/>
      <x:c r="Z554" s="458"/>
      <x:c r="AA554" s="458"/>
      <x:c r="AB554" s="458"/>
      <x:c r="AC554" s="458"/>
      <x:c r="AD554" s="458"/>
      <x:c r="AE554" s="458"/>
    </x:row>
    <x:row r="555" spans="1:31" ht="20.100000000000001" customHeight="1">
      <x:c r="A555" s="439" t="s">
        <x:v>98</x:v>
      </x:c>
      <x:c r="B555" s="466" t="str">
        <x:f t="shared" si="93"/>
        <x:v>감가상각비</x:v>
      </x:c>
      <x:c r="C555" s="440" t="str">
        <x:f t="shared" si="94"/>
        <x:v>감가상각비</x:v>
      </x:c>
      <x:c r="D555" s="441">
        <x:v>52200150</x:v>
      </x:c>
      <x:c r="E555" s="442" t="str">
        <x:f t="shared" si="95"/>
        <x:v>감가상각비_기계장치</x:v>
      </x:c>
      <x:c r="F555" s="443"/>
      <x:c r="G555" s="444" t="s">
        <x:v>106</x:v>
      </x:c>
      <x:c r="H555" s="445" t="str">
        <x:f t="shared" si="92"/>
        <x:v>구매팀(E)</x:v>
      </x:c>
      <x:c r="I555" s="446" t="str">
        <x:f t="shared" si="96"/>
        <x:v>[관리비]</x:v>
      </x:c>
      <x:c r="J555" s="445"/>
      <x:c r="K555" s="453">
        <x:v>148696</x:v>
      </x:c>
      <x:c r="L555" s="454">
        <x:v>148691</x:v>
      </x:c>
      <x:c r="M555" s="454">
        <x:v>148691</x:v>
      </x:c>
      <x:c r="N555" s="454">
        <x:v>148691</x:v>
      </x:c>
      <x:c r="O555" s="454">
        <x:v>148691</x:v>
      </x:c>
      <x:c r="P555" s="454">
        <x:v>148691</x:v>
      </x:c>
      <x:c r="Q555" s="454">
        <x:v>148691</x:v>
      </x:c>
      <x:c r="R555" s="454">
        <x:v>148691</x:v>
      </x:c>
      <x:c r="S555" s="454">
        <x:v>148691</x:v>
      </x:c>
      <x:c r="T555" s="454">
        <x:v>148691</x:v>
      </x:c>
      <x:c r="U555" s="454">
        <x:v>148691</x:v>
      </x:c>
      <x:c r="V555" s="455">
        <x:v>148691</x:v>
      </x:c>
      <x:c r="W555" s="456">
        <x:f t="shared" si="97"/>
        <x:v>1784297</x:v>
      </x:c>
      <x:c r="X555" s="450">
        <x:f t="shared" si="98"/>
        <x:v>148691.41666666666</x:v>
      </x:c>
      <x:c r="Y555" s="457"/>
      <x:c r="Z555" s="458"/>
      <x:c r="AA555" s="458"/>
      <x:c r="AB555" s="458"/>
      <x:c r="AC555" s="458"/>
      <x:c r="AD555" s="458"/>
      <x:c r="AE555" s="458"/>
    </x:row>
    <x:row r="556" spans="1:31" ht="20.100000000000001" customHeight="1">
      <x:c r="A556" s="439" t="s">
        <x:v>98</x:v>
      </x:c>
      <x:c r="B556" s="466" t="str">
        <x:f t="shared" si="93"/>
        <x:v>감가상각비</x:v>
      </x:c>
      <x:c r="C556" s="440" t="str">
        <x:f t="shared" si="94"/>
        <x:v>감가상각비</x:v>
      </x:c>
      <x:c r="D556" s="441">
        <x:v>52200150</x:v>
      </x:c>
      <x:c r="E556" s="442" t="str">
        <x:f t="shared" si="95"/>
        <x:v>감가상각비_기계장치</x:v>
      </x:c>
      <x:c r="F556" s="443"/>
      <x:c r="G556" s="444" t="s">
        <x:v>106</x:v>
      </x:c>
      <x:c r="H556" s="445" t="str">
        <x:f t="shared" si="92"/>
        <x:v>구매팀(E)</x:v>
      </x:c>
      <x:c r="I556" s="446" t="str">
        <x:f t="shared" si="96"/>
        <x:v>[관리비]</x:v>
      </x:c>
      <x:c r="J556" s="445"/>
      <x:c r="K556" s="453">
        <x:v>446075</x:v>
      </x:c>
      <x:c r="L556" s="454">
        <x:v>446074</x:v>
      </x:c>
      <x:c r="M556" s="454">
        <x:v>446074</x:v>
      </x:c>
      <x:c r="N556" s="454">
        <x:v>446074</x:v>
      </x:c>
      <x:c r="O556" s="454">
        <x:v>446074</x:v>
      </x:c>
      <x:c r="P556" s="454">
        <x:v>446074</x:v>
      </x:c>
      <x:c r="Q556" s="454">
        <x:v>446074</x:v>
      </x:c>
      <x:c r="R556" s="454">
        <x:v>446074</x:v>
      </x:c>
      <x:c r="S556" s="454">
        <x:v>446074</x:v>
      </x:c>
      <x:c r="T556" s="454">
        <x:v>446074</x:v>
      </x:c>
      <x:c r="U556" s="454">
        <x:v>446074</x:v>
      </x:c>
      <x:c r="V556" s="455">
        <x:v>446074</x:v>
      </x:c>
      <x:c r="W556" s="456">
        <x:f t="shared" si="97"/>
        <x:v>5352889</x:v>
      </x:c>
      <x:c r="X556" s="450">
        <x:f t="shared" si="98"/>
        <x:v>446074.08333333331</x:v>
      </x:c>
      <x:c r="Y556" s="457"/>
      <x:c r="Z556" s="458"/>
      <x:c r="AA556" s="458"/>
      <x:c r="AB556" s="458"/>
      <x:c r="AC556" s="458"/>
      <x:c r="AD556" s="458"/>
      <x:c r="AE556" s="458"/>
    </x:row>
    <x:row r="557" spans="1:31" ht="20.100000000000001" customHeight="1">
      <x:c r="A557" s="439" t="s">
        <x:v>98</x:v>
      </x:c>
      <x:c r="B557" s="466" t="str">
        <x:f t="shared" si="93"/>
        <x:v>감가상각비</x:v>
      </x:c>
      <x:c r="C557" s="440" t="str">
        <x:f t="shared" si="94"/>
        <x:v>감가상각비</x:v>
      </x:c>
      <x:c r="D557" s="441">
        <x:v>52200150</x:v>
      </x:c>
      <x:c r="E557" s="442" t="str">
        <x:f t="shared" si="95"/>
        <x:v>감가상각비_기계장치</x:v>
      </x:c>
      <x:c r="F557" s="443"/>
      <x:c r="G557" s="444" t="s">
        <x:v>106</x:v>
      </x:c>
      <x:c r="H557" s="445" t="str">
        <x:f t="shared" si="92"/>
        <x:v>구매팀(E)</x:v>
      </x:c>
      <x:c r="I557" s="446" t="str">
        <x:f t="shared" si="96"/>
        <x:v>[관리비]</x:v>
      </x:c>
      <x:c r="J557" s="445"/>
      <x:c r="K557" s="453">
        <x:v>416446</x:v>
      </x:c>
      <x:c r="L557" s="454">
        <x:v>416446</x:v>
      </x:c>
      <x:c r="M557" s="454">
        <x:v>416446</x:v>
      </x:c>
      <x:c r="N557" s="454">
        <x:v>416446</x:v>
      </x:c>
      <x:c r="O557" s="454">
        <x:v>416446</x:v>
      </x:c>
      <x:c r="P557" s="454">
        <x:v>416446</x:v>
      </x:c>
      <x:c r="Q557" s="454">
        <x:v>416446</x:v>
      </x:c>
      <x:c r="R557" s="454">
        <x:v>416446</x:v>
      </x:c>
      <x:c r="S557" s="454">
        <x:v>416446</x:v>
      </x:c>
      <x:c r="T557" s="454">
        <x:v>416446</x:v>
      </x:c>
      <x:c r="U557" s="454">
        <x:v>416446</x:v>
      </x:c>
      <x:c r="V557" s="455">
        <x:v>416446</x:v>
      </x:c>
      <x:c r="W557" s="456">
        <x:f t="shared" si="97"/>
        <x:v>4997352</x:v>
      </x:c>
      <x:c r="X557" s="450">
        <x:f t="shared" si="98"/>
        <x:v>416446</x:v>
      </x:c>
      <x:c r="Y557" s="457"/>
      <x:c r="Z557" s="458"/>
      <x:c r="AA557" s="458"/>
      <x:c r="AB557" s="458"/>
      <x:c r="AC557" s="458"/>
      <x:c r="AD557" s="458"/>
      <x:c r="AE557" s="458"/>
    </x:row>
    <x:row r="558" spans="1:31" ht="20.100000000000001" customHeight="1">
      <x:c r="A558" s="439" t="s">
        <x:v>98</x:v>
      </x:c>
      <x:c r="B558" s="466" t="str">
        <x:f t="shared" si="93"/>
        <x:v>감가상각비</x:v>
      </x:c>
      <x:c r="C558" s="440" t="str">
        <x:f t="shared" si="94"/>
        <x:v>감가상각비</x:v>
      </x:c>
      <x:c r="D558" s="441">
        <x:v>52200150</x:v>
      </x:c>
      <x:c r="E558" s="442" t="str">
        <x:f t="shared" si="95"/>
        <x:v>감가상각비_기계장치</x:v>
      </x:c>
      <x:c r="F558" s="443"/>
      <x:c r="G558" s="444" t="s">
        <x:v>106</x:v>
      </x:c>
      <x:c r="H558" s="445" t="str">
        <x:f t="shared" si="92"/>
        <x:v>구매팀(E)</x:v>
      </x:c>
      <x:c r="I558" s="446" t="str">
        <x:f t="shared" si="96"/>
        <x:v>[관리비]</x:v>
      </x:c>
      <x:c r="J558" s="445"/>
      <x:c r="K558" s="453">
        <x:v>171212</x:v>
      </x:c>
      <x:c r="L558" s="454">
        <x:v>171210</x:v>
      </x:c>
      <x:c r="M558" s="454">
        <x:v>171210</x:v>
      </x:c>
      <x:c r="N558" s="454">
        <x:v>171210</x:v>
      </x:c>
      <x:c r="O558" s="454">
        <x:v>171210</x:v>
      </x:c>
      <x:c r="P558" s="454">
        <x:v>171210</x:v>
      </x:c>
      <x:c r="Q558" s="454">
        <x:v>171210</x:v>
      </x:c>
      <x:c r="R558" s="454">
        <x:v>171210</x:v>
      </x:c>
      <x:c r="S558" s="454">
        <x:v>171210</x:v>
      </x:c>
      <x:c r="T558" s="454">
        <x:v>171210</x:v>
      </x:c>
      <x:c r="U558" s="454">
        <x:v>171210</x:v>
      </x:c>
      <x:c r="V558" s="455">
        <x:v>171210</x:v>
      </x:c>
      <x:c r="W558" s="456">
        <x:f t="shared" si="97"/>
        <x:v>2054522</x:v>
      </x:c>
      <x:c r="X558" s="450">
        <x:f t="shared" si="98"/>
        <x:v>171210.16666666666</x:v>
      </x:c>
      <x:c r="Y558" s="457"/>
      <x:c r="Z558" s="458"/>
      <x:c r="AA558" s="458"/>
      <x:c r="AB558" s="458"/>
      <x:c r="AC558" s="458"/>
      <x:c r="AD558" s="458"/>
      <x:c r="AE558" s="458"/>
    </x:row>
    <x:row r="559" spans="1:31" ht="20.100000000000001" customHeight="1">
      <x:c r="A559" s="439" t="s">
        <x:v>98</x:v>
      </x:c>
      <x:c r="B559" s="466" t="str">
        <x:f t="shared" si="93"/>
        <x:v>감가상각비</x:v>
      </x:c>
      <x:c r="C559" s="440" t="str">
        <x:f t="shared" si="94"/>
        <x:v>감가상각비</x:v>
      </x:c>
      <x:c r="D559" s="441">
        <x:v>52200150</x:v>
      </x:c>
      <x:c r="E559" s="442" t="str">
        <x:f t="shared" si="95"/>
        <x:v>감가상각비_기계장치</x:v>
      </x:c>
      <x:c r="F559" s="443"/>
      <x:c r="G559" s="444" t="s">
        <x:v>106</x:v>
      </x:c>
      <x:c r="H559" s="445" t="str">
        <x:f t="shared" si="92"/>
        <x:v>구매팀(E)</x:v>
      </x:c>
      <x:c r="I559" s="446" t="str">
        <x:f t="shared" si="96"/>
        <x:v>[관리비]</x:v>
      </x:c>
      <x:c r="J559" s="445"/>
      <x:c r="K559" s="453">
        <x:v>5211296</x:v>
      </x:c>
      <x:c r="L559" s="454">
        <x:v>5211301</x:v>
      </x:c>
      <x:c r="M559" s="454">
        <x:v>5211301</x:v>
      </x:c>
      <x:c r="N559" s="454">
        <x:v>5211301</x:v>
      </x:c>
      <x:c r="O559" s="454">
        <x:v>5211301</x:v>
      </x:c>
      <x:c r="P559" s="454">
        <x:v>5211301</x:v>
      </x:c>
      <x:c r="Q559" s="454">
        <x:v>5211301</x:v>
      </x:c>
      <x:c r="R559" s="454">
        <x:v>5211301</x:v>
      </x:c>
      <x:c r="S559" s="454">
        <x:v>5211301</x:v>
      </x:c>
      <x:c r="T559" s="454">
        <x:v>5211301</x:v>
      </x:c>
      <x:c r="U559" s="454">
        <x:v>5211301</x:v>
      </x:c>
      <x:c r="V559" s="455">
        <x:v>5211301</x:v>
      </x:c>
      <x:c r="W559" s="456">
        <x:f t="shared" si="97"/>
        <x:v>62535607</x:v>
      </x:c>
      <x:c r="X559" s="450">
        <x:f t="shared" si="98"/>
        <x:v>5211300.583333333</x:v>
      </x:c>
      <x:c r="Y559" s="457"/>
      <x:c r="Z559" s="458"/>
      <x:c r="AA559" s="458"/>
      <x:c r="AB559" s="458"/>
      <x:c r="AC559" s="458"/>
      <x:c r="AD559" s="458"/>
      <x:c r="AE559" s="458"/>
    </x:row>
    <x:row r="560" spans="1:31" ht="20.100000000000001" customHeight="1">
      <x:c r="A560" s="439" t="s">
        <x:v>98</x:v>
      </x:c>
      <x:c r="B560" s="466" t="str">
        <x:f t="shared" si="93"/>
        <x:v>감가상각비</x:v>
      </x:c>
      <x:c r="C560" s="440" t="str">
        <x:f t="shared" si="94"/>
        <x:v>감가상각비</x:v>
      </x:c>
      <x:c r="D560" s="441">
        <x:v>52200180</x:v>
      </x:c>
      <x:c r="E560" s="442" t="str">
        <x:f t="shared" si="95"/>
        <x:v>감가상각비_시험설비</x:v>
      </x:c>
      <x:c r="F560" s="443"/>
      <x:c r="G560" s="444" t="s">
        <x:v>80</x:v>
      </x:c>
      <x:c r="H560" s="445" t="str">
        <x:f t="shared" si="92"/>
        <x:v>사업관리팀(E)</x:v>
      </x:c>
      <x:c r="I560" s="446" t="str">
        <x:f t="shared" si="96"/>
        <x:v>[관리비]</x:v>
      </x:c>
      <x:c r="J560" s="445"/>
      <x:c r="K560" s="453">
        <x:v>47154</x:v>
      </x:c>
      <x:c r="L560" s="454">
        <x:v>47154</x:v>
      </x:c>
      <x:c r="M560" s="454">
        <x:v>47154</x:v>
      </x:c>
      <x:c r="N560" s="454">
        <x:v>47154</x:v>
      </x:c>
      <x:c r="O560" s="454">
        <x:v>47154</x:v>
      </x:c>
      <x:c r="P560" s="454">
        <x:v>47154</x:v>
      </x:c>
      <x:c r="Q560" s="454">
        <x:v>47154</x:v>
      </x:c>
      <x:c r="R560" s="454">
        <x:v>47154</x:v>
      </x:c>
      <x:c r="S560" s="454">
        <x:v>47154</x:v>
      </x:c>
      <x:c r="T560" s="454">
        <x:v>47154</x:v>
      </x:c>
      <x:c r="U560" s="454">
        <x:v>0</x:v>
      </x:c>
      <x:c r="V560" s="455">
        <x:v>0</x:v>
      </x:c>
      <x:c r="W560" s="456">
        <x:f t="shared" si="97"/>
        <x:v>471540</x:v>
      </x:c>
      <x:c r="X560" s="450">
        <x:f t="shared" si="98"/>
        <x:v>39295</x:v>
      </x:c>
      <x:c r="Y560" s="457"/>
      <x:c r="Z560" s="458"/>
      <x:c r="AA560" s="458"/>
      <x:c r="AB560" s="458"/>
      <x:c r="AC560" s="458"/>
      <x:c r="AD560" s="458"/>
      <x:c r="AE560" s="458"/>
    </x:row>
    <x:row r="561" spans="1:31" ht="20.100000000000001" customHeight="1">
      <x:c r="A561" s="439" t="s">
        <x:v>98</x:v>
      </x:c>
      <x:c r="B561" s="466" t="str">
        <x:f t="shared" si="93"/>
        <x:v>감가상각비</x:v>
      </x:c>
      <x:c r="C561" s="440" t="str">
        <x:f t="shared" si="94"/>
        <x:v>감가상각비</x:v>
      </x:c>
      <x:c r="D561" s="441">
        <x:v>52200180</x:v>
      </x:c>
      <x:c r="E561" s="442" t="str">
        <x:f t="shared" si="95"/>
        <x:v>감가상각비_시험설비</x:v>
      </x:c>
      <x:c r="F561" s="443"/>
      <x:c r="G561" s="444" t="s">
        <x:v>80</x:v>
      </x:c>
      <x:c r="H561" s="445" t="str">
        <x:f t="shared" si="92"/>
        <x:v>사업관리팀(E)</x:v>
      </x:c>
      <x:c r="I561" s="446" t="str">
        <x:f t="shared" si="96"/>
        <x:v>[관리비]</x:v>
      </x:c>
      <x:c r="J561" s="445"/>
      <x:c r="K561" s="453">
        <x:v>25510</x:v>
      </x:c>
      <x:c r="L561" s="454">
        <x:v>25510</x:v>
      </x:c>
      <x:c r="M561" s="454">
        <x:v>25510</x:v>
      </x:c>
      <x:c r="N561" s="454">
        <x:v>25510</x:v>
      </x:c>
      <x:c r="O561" s="454">
        <x:v>25510</x:v>
      </x:c>
      <x:c r="P561" s="454">
        <x:v>25510</x:v>
      </x:c>
      <x:c r="Q561" s="454">
        <x:v>25510</x:v>
      </x:c>
      <x:c r="R561" s="454">
        <x:v>25510</x:v>
      </x:c>
      <x:c r="S561" s="454">
        <x:v>25510</x:v>
      </x:c>
      <x:c r="T561" s="454">
        <x:v>25508</x:v>
      </x:c>
      <x:c r="U561" s="454">
        <x:v>0</x:v>
      </x:c>
      <x:c r="V561" s="455">
        <x:v>0</x:v>
      </x:c>
      <x:c r="W561" s="456">
        <x:f t="shared" si="97"/>
        <x:v>255098</x:v>
      </x:c>
      <x:c r="X561" s="450">
        <x:f t="shared" si="98"/>
        <x:v>21258.166666666668</x:v>
      </x:c>
      <x:c r="Y561" s="457"/>
      <x:c r="Z561" s="458"/>
      <x:c r="AA561" s="458"/>
      <x:c r="AB561" s="458"/>
      <x:c r="AC561" s="458"/>
      <x:c r="AD561" s="458"/>
      <x:c r="AE561" s="458"/>
    </x:row>
    <x:row r="562" spans="1:31" ht="20.100000000000001" customHeight="1">
      <x:c r="A562" s="439" t="s">
        <x:v>98</x:v>
      </x:c>
      <x:c r="B562" s="466" t="str">
        <x:f t="shared" si="93"/>
        <x:v>감가상각비</x:v>
      </x:c>
      <x:c r="C562" s="440" t="str">
        <x:f t="shared" si="94"/>
        <x:v>감가상각비</x:v>
      </x:c>
      <x:c r="D562" s="441">
        <x:v>52200180</x:v>
      </x:c>
      <x:c r="E562" s="442" t="str">
        <x:f t="shared" si="95"/>
        <x:v>감가상각비_시험설비</x:v>
      </x:c>
      <x:c r="F562" s="443"/>
      <x:c r="G562" s="444" t="s">
        <x:v>80</x:v>
      </x:c>
      <x:c r="H562" s="445" t="str">
        <x:f t="shared" si="92"/>
        <x:v>사업관리팀(E)</x:v>
      </x:c>
      <x:c r="I562" s="446" t="str">
        <x:f t="shared" si="96"/>
        <x:v>[관리비]</x:v>
      </x:c>
      <x:c r="J562" s="445"/>
      <x:c r="K562" s="453">
        <x:v>6558</x:v>
      </x:c>
      <x:c r="L562" s="454">
        <x:v>6558</x:v>
      </x:c>
      <x:c r="M562" s="454">
        <x:v>6558</x:v>
      </x:c>
      <x:c r="N562" s="454">
        <x:v>6558</x:v>
      </x:c>
      <x:c r="O562" s="454">
        <x:v>6558</x:v>
      </x:c>
      <x:c r="P562" s="454">
        <x:v>6558</x:v>
      </x:c>
      <x:c r="Q562" s="454">
        <x:v>6558</x:v>
      </x:c>
      <x:c r="R562" s="454">
        <x:v>6558</x:v>
      </x:c>
      <x:c r="S562" s="454">
        <x:v>6558</x:v>
      </x:c>
      <x:c r="T562" s="454">
        <x:v>6553</x:v>
      </x:c>
      <x:c r="U562" s="454">
        <x:v>0</x:v>
      </x:c>
      <x:c r="V562" s="455">
        <x:v>0</x:v>
      </x:c>
      <x:c r="W562" s="456">
        <x:f t="shared" si="97"/>
        <x:v>65575</x:v>
      </x:c>
      <x:c r="X562" s="450">
        <x:f t="shared" si="98"/>
        <x:v>5464.583333333333</x:v>
      </x:c>
      <x:c r="Y562" s="457"/>
      <x:c r="Z562" s="458"/>
      <x:c r="AA562" s="458"/>
      <x:c r="AB562" s="458"/>
      <x:c r="AC562" s="458"/>
      <x:c r="AD562" s="458"/>
      <x:c r="AE562" s="458"/>
    </x:row>
    <x:row r="563" spans="1:31" ht="20.100000000000001" customHeight="1">
      <x:c r="A563" s="439" t="s">
        <x:v>98</x:v>
      </x:c>
      <x:c r="B563" s="466" t="str">
        <x:f t="shared" si="93"/>
        <x:v>감가상각비</x:v>
      </x:c>
      <x:c r="C563" s="440" t="str">
        <x:f t="shared" si="94"/>
        <x:v>감가상각비</x:v>
      </x:c>
      <x:c r="D563" s="441">
        <x:v>52200180</x:v>
      </x:c>
      <x:c r="E563" s="442" t="str">
        <x:f t="shared" si="95"/>
        <x:v>감가상각비_시험설비</x:v>
      </x:c>
      <x:c r="F563" s="443"/>
      <x:c r="G563" s="444" t="s">
        <x:v>80</x:v>
      </x:c>
      <x:c r="H563" s="445" t="str">
        <x:f t="shared" si="92"/>
        <x:v>사업관리팀(E)</x:v>
      </x:c>
      <x:c r="I563" s="446" t="str">
        <x:f t="shared" si="96"/>
        <x:v>[관리비]</x:v>
      </x:c>
      <x:c r="J563" s="445"/>
      <x:c r="K563" s="453">
        <x:v>26286</x:v>
      </x:c>
      <x:c r="L563" s="454">
        <x:v>26286</x:v>
      </x:c>
      <x:c r="M563" s="454">
        <x:v>26286</x:v>
      </x:c>
      <x:c r="N563" s="454">
        <x:v>26286</x:v>
      </x:c>
      <x:c r="O563" s="454">
        <x:v>26286</x:v>
      </x:c>
      <x:c r="P563" s="454">
        <x:v>26286</x:v>
      </x:c>
      <x:c r="Q563" s="454">
        <x:v>26286</x:v>
      </x:c>
      <x:c r="R563" s="454">
        <x:v>26286</x:v>
      </x:c>
      <x:c r="S563" s="454">
        <x:v>26286</x:v>
      </x:c>
      <x:c r="T563" s="454">
        <x:v>26284</x:v>
      </x:c>
      <x:c r="U563" s="454">
        <x:v>0</x:v>
      </x:c>
      <x:c r="V563" s="455">
        <x:v>0</x:v>
      </x:c>
      <x:c r="W563" s="456">
        <x:f t="shared" si="97"/>
        <x:v>262858</x:v>
      </x:c>
      <x:c r="X563" s="450">
        <x:f t="shared" si="98"/>
        <x:v>21904.833333333332</x:v>
      </x:c>
      <x:c r="Y563" s="457"/>
      <x:c r="Z563" s="458"/>
      <x:c r="AA563" s="458"/>
      <x:c r="AB563" s="458"/>
      <x:c r="AC563" s="458"/>
      <x:c r="AD563" s="458"/>
      <x:c r="AE563" s="458"/>
    </x:row>
    <x:row r="564" spans="1:31" ht="20.100000000000001" customHeight="1">
      <x:c r="A564" s="439" t="s">
        <x:v>98</x:v>
      </x:c>
      <x:c r="B564" s="466" t="str">
        <x:f t="shared" si="93"/>
        <x:v>감가상각비</x:v>
      </x:c>
      <x:c r="C564" s="440" t="str">
        <x:f t="shared" si="94"/>
        <x:v>감가상각비</x:v>
      </x:c>
      <x:c r="D564" s="441">
        <x:v>52200180</x:v>
      </x:c>
      <x:c r="E564" s="442" t="str">
        <x:f t="shared" si="95"/>
        <x:v>감가상각비_시험설비</x:v>
      </x:c>
      <x:c r="F564" s="443"/>
      <x:c r="G564" s="444" t="s">
        <x:v>80</x:v>
      </x:c>
      <x:c r="H564" s="445" t="str">
        <x:f t="shared" si="92"/>
        <x:v>사업관리팀(E)</x:v>
      </x:c>
      <x:c r="I564" s="446" t="str">
        <x:f t="shared" si="96"/>
        <x:v>[관리비]</x:v>
      </x:c>
      <x:c r="J564" s="445"/>
      <x:c r="K564" s="453">
        <x:v>19865</x:v>
      </x:c>
      <x:c r="L564" s="454">
        <x:v>19865</x:v>
      </x:c>
      <x:c r="M564" s="454">
        <x:v>19865</x:v>
      </x:c>
      <x:c r="N564" s="454">
        <x:v>19865</x:v>
      </x:c>
      <x:c r="O564" s="454">
        <x:v>19865</x:v>
      </x:c>
      <x:c r="P564" s="454">
        <x:v>19865</x:v>
      </x:c>
      <x:c r="Q564" s="454">
        <x:v>19865</x:v>
      </x:c>
      <x:c r="R564" s="454">
        <x:v>19865</x:v>
      </x:c>
      <x:c r="S564" s="454">
        <x:v>19865</x:v>
      </x:c>
      <x:c r="T564" s="454">
        <x:v>19863</x:v>
      </x:c>
      <x:c r="U564" s="454">
        <x:v>0</x:v>
      </x:c>
      <x:c r="V564" s="455">
        <x:v>0</x:v>
      </x:c>
      <x:c r="W564" s="456">
        <x:f t="shared" si="97"/>
        <x:v>198648</x:v>
      </x:c>
      <x:c r="X564" s="450">
        <x:f t="shared" si="98"/>
        <x:v>16554</x:v>
      </x:c>
      <x:c r="Y564" s="457"/>
      <x:c r="Z564" s="458"/>
      <x:c r="AA564" s="458"/>
      <x:c r="AB564" s="458"/>
      <x:c r="AC564" s="458"/>
      <x:c r="AD564" s="458"/>
      <x:c r="AE564" s="458"/>
    </x:row>
    <x:row r="565" spans="1:31" ht="20.100000000000001" customHeight="1">
      <x:c r="A565" s="439" t="s">
        <x:v>98</x:v>
      </x:c>
      <x:c r="B565" s="466" t="str">
        <x:f t="shared" si="93"/>
        <x:v>감가상각비</x:v>
      </x:c>
      <x:c r="C565" s="440" t="str">
        <x:f t="shared" si="94"/>
        <x:v>감가상각비</x:v>
      </x:c>
      <x:c r="D565" s="441">
        <x:v>52200180</x:v>
      </x:c>
      <x:c r="E565" s="442" t="str">
        <x:f t="shared" si="95"/>
        <x:v>감가상각비_시험설비</x:v>
      </x:c>
      <x:c r="F565" s="443"/>
      <x:c r="G565" s="444" t="s">
        <x:v>80</x:v>
      </x:c>
      <x:c r="H565" s="445" t="str">
        <x:f t="shared" si="92"/>
        <x:v>사업관리팀(E)</x:v>
      </x:c>
      <x:c r="I565" s="446" t="str">
        <x:f t="shared" si="96"/>
        <x:v>[관리비]</x:v>
      </x:c>
      <x:c r="J565" s="445"/>
      <x:c r="K565" s="453">
        <x:v>19865</x:v>
      </x:c>
      <x:c r="L565" s="454">
        <x:v>19865</x:v>
      </x:c>
      <x:c r="M565" s="454">
        <x:v>19865</x:v>
      </x:c>
      <x:c r="N565" s="454">
        <x:v>19865</x:v>
      </x:c>
      <x:c r="O565" s="454">
        <x:v>19865</x:v>
      </x:c>
      <x:c r="P565" s="454">
        <x:v>19865</x:v>
      </x:c>
      <x:c r="Q565" s="454">
        <x:v>19865</x:v>
      </x:c>
      <x:c r="R565" s="454">
        <x:v>19865</x:v>
      </x:c>
      <x:c r="S565" s="454">
        <x:v>19865</x:v>
      </x:c>
      <x:c r="T565" s="454">
        <x:v>19863</x:v>
      </x:c>
      <x:c r="U565" s="454">
        <x:v>0</x:v>
      </x:c>
      <x:c r="V565" s="455">
        <x:v>0</x:v>
      </x:c>
      <x:c r="W565" s="456">
        <x:f t="shared" si="97"/>
        <x:v>198648</x:v>
      </x:c>
      <x:c r="X565" s="450">
        <x:f t="shared" si="98"/>
        <x:v>16554</x:v>
      </x:c>
      <x:c r="Y565" s="457"/>
      <x:c r="Z565" s="458"/>
      <x:c r="AA565" s="458"/>
      <x:c r="AB565" s="458"/>
      <x:c r="AC565" s="458"/>
      <x:c r="AD565" s="458"/>
      <x:c r="AE565" s="458"/>
    </x:row>
    <x:row r="566" spans="1:31" ht="20.100000000000001" customHeight="1">
      <x:c r="A566" s="439" t="s">
        <x:v>98</x:v>
      </x:c>
      <x:c r="B566" s="466" t="str">
        <x:f t="shared" si="93"/>
        <x:v>감가상각비</x:v>
      </x:c>
      <x:c r="C566" s="440" t="str">
        <x:f t="shared" si="94"/>
        <x:v>감가상각비</x:v>
      </x:c>
      <x:c r="D566" s="441">
        <x:v>52200180</x:v>
      </x:c>
      <x:c r="E566" s="442" t="str">
        <x:f t="shared" si="95"/>
        <x:v>감가상각비_시험설비</x:v>
      </x:c>
      <x:c r="F566" s="443"/>
      <x:c r="G566" s="444" t="s">
        <x:v>80</x:v>
      </x:c>
      <x:c r="H566" s="445" t="str">
        <x:f t="shared" si="92"/>
        <x:v>사업관리팀(E)</x:v>
      </x:c>
      <x:c r="I566" s="446" t="str">
        <x:f t="shared" si="96"/>
        <x:v>[관리비]</x:v>
      </x:c>
      <x:c r="J566" s="445"/>
      <x:c r="K566" s="453">
        <x:v>8294</x:v>
      </x:c>
      <x:c r="L566" s="454">
        <x:v>8294</x:v>
      </x:c>
      <x:c r="M566" s="454">
        <x:v>8294</x:v>
      </x:c>
      <x:c r="N566" s="454">
        <x:v>8294</x:v>
      </x:c>
      <x:c r="O566" s="454">
        <x:v>8294</x:v>
      </x:c>
      <x:c r="P566" s="454">
        <x:v>8294</x:v>
      </x:c>
      <x:c r="Q566" s="454">
        <x:v>8294</x:v>
      </x:c>
      <x:c r="R566" s="454">
        <x:v>8294</x:v>
      </x:c>
      <x:c r="S566" s="454">
        <x:v>8294</x:v>
      </x:c>
      <x:c r="T566" s="454">
        <x:v>8290</x:v>
      </x:c>
      <x:c r="U566" s="454">
        <x:v>0</x:v>
      </x:c>
      <x:c r="V566" s="455">
        <x:v>0</x:v>
      </x:c>
      <x:c r="W566" s="456">
        <x:f t="shared" si="97"/>
        <x:v>82936</x:v>
      </x:c>
      <x:c r="X566" s="450">
        <x:f t="shared" si="98"/>
        <x:v>6911.333333333333</x:v>
      </x:c>
      <x:c r="Y566" s="457"/>
      <x:c r="Z566" s="458"/>
      <x:c r="AA566" s="458"/>
      <x:c r="AB566" s="458"/>
      <x:c r="AC566" s="458"/>
      <x:c r="AD566" s="458"/>
      <x:c r="AE566" s="458"/>
    </x:row>
    <x:row r="567" spans="1:31" ht="20.100000000000001" customHeight="1">
      <x:c r="A567" s="439" t="s">
        <x:v>98</x:v>
      </x:c>
      <x:c r="B567" s="466" t="str">
        <x:f t="shared" si="93"/>
        <x:v>감가상각비</x:v>
      </x:c>
      <x:c r="C567" s="440" t="str">
        <x:f t="shared" si="94"/>
        <x:v>감가상각비</x:v>
      </x:c>
      <x:c r="D567" s="441">
        <x:v>52200180</x:v>
      </x:c>
      <x:c r="E567" s="442" t="str">
        <x:f t="shared" si="95"/>
        <x:v>감가상각비_시험설비</x:v>
      </x:c>
      <x:c r="F567" s="443"/>
      <x:c r="G567" s="444" t="s">
        <x:v>114</x:v>
      </x:c>
      <x:c r="H567" s="445" t="str">
        <x:f t="shared" si="92"/>
        <x:v>연구개발부문(E)</x:v>
      </x:c>
      <x:c r="I567" s="446" t="str">
        <x:f t="shared" si="96"/>
        <x:v>[연구개발비]</x:v>
      </x:c>
      <x:c r="J567" s="445"/>
      <x:c r="K567" s="453">
        <x:v>1401</x:v>
      </x:c>
      <x:c r="L567" s="454">
        <x:v>1398</x:v>
      </x:c>
      <x:c r="M567" s="454">
        <x:v>1398</x:v>
      </x:c>
      <x:c r="N567" s="454">
        <x:v>1398</x:v>
      </x:c>
      <x:c r="O567" s="454">
        <x:v>1398</x:v>
      </x:c>
      <x:c r="P567" s="454">
        <x:v>1398</x:v>
      </x:c>
      <x:c r="Q567" s="454">
        <x:v>1398</x:v>
      </x:c>
      <x:c r="R567" s="454">
        <x:v>1398</x:v>
      </x:c>
      <x:c r="S567" s="454">
        <x:v>1398</x:v>
      </x:c>
      <x:c r="T567" s="454">
        <x:v>1398</x:v>
      </x:c>
      <x:c r="U567" s="454">
        <x:v>1398</x:v>
      </x:c>
      <x:c r="V567" s="455">
        <x:v>1398</x:v>
      </x:c>
      <x:c r="W567" s="456">
        <x:f t="shared" si="97"/>
        <x:v>16779</x:v>
      </x:c>
      <x:c r="X567" s="450">
        <x:f t="shared" si="98"/>
        <x:v>1398.25</x:v>
      </x:c>
      <x:c r="Y567" s="457"/>
      <x:c r="Z567" s="458"/>
      <x:c r="AA567" s="458"/>
      <x:c r="AB567" s="458"/>
      <x:c r="AC567" s="458"/>
      <x:c r="AD567" s="458"/>
      <x:c r="AE567" s="458"/>
    </x:row>
    <x:row r="568" spans="1:31" ht="20.100000000000001" customHeight="1">
      <x:c r="A568" s="439" t="s">
        <x:v>98</x:v>
      </x:c>
      <x:c r="B568" s="466" t="str">
        <x:f t="shared" si="93"/>
        <x:v>감가상각비</x:v>
      </x:c>
      <x:c r="C568" s="440" t="str">
        <x:f t="shared" si="94"/>
        <x:v>감가상각비</x:v>
      </x:c>
      <x:c r="D568" s="441">
        <x:v>52200180</x:v>
      </x:c>
      <x:c r="E568" s="442" t="str">
        <x:f t="shared" si="95"/>
        <x:v>감가상각비_시험설비</x:v>
      </x:c>
      <x:c r="F568" s="443"/>
      <x:c r="G568" s="444" t="s">
        <x:v>114</x:v>
      </x:c>
      <x:c r="H568" s="445" t="str">
        <x:f t="shared" ref="H568:H631" si="99">IFERROR(VLOOKUP($G568,$AK:$AL,2,),"")</x:f>
        <x:v>연구개발부문(E)</x:v>
      </x:c>
      <x:c r="I568" s="446" t="str">
        <x:f t="shared" si="96"/>
        <x:v>[연구개발비]</x:v>
      </x:c>
      <x:c r="J568" s="445"/>
      <x:c r="K568" s="453">
        <x:v>26070</x:v>
      </x:c>
      <x:c r="L568" s="454">
        <x:v>26075</x:v>
      </x:c>
      <x:c r="M568" s="454">
        <x:v>26075</x:v>
      </x:c>
      <x:c r="N568" s="454">
        <x:v>26075</x:v>
      </x:c>
      <x:c r="O568" s="454">
        <x:v>26075</x:v>
      </x:c>
      <x:c r="P568" s="454">
        <x:v>26075</x:v>
      </x:c>
      <x:c r="Q568" s="454">
        <x:v>26075</x:v>
      </x:c>
      <x:c r="R568" s="454">
        <x:v>26075</x:v>
      </x:c>
      <x:c r="S568" s="454">
        <x:v>26075</x:v>
      </x:c>
      <x:c r="T568" s="454">
        <x:v>26075</x:v>
      </x:c>
      <x:c r="U568" s="454">
        <x:v>26075</x:v>
      </x:c>
      <x:c r="V568" s="455">
        <x:v>26075</x:v>
      </x:c>
      <x:c r="W568" s="456">
        <x:f t="shared" si="97"/>
        <x:v>312895</x:v>
      </x:c>
      <x:c r="X568" s="450">
        <x:f t="shared" si="98"/>
        <x:v>26074.583333333332</x:v>
      </x:c>
      <x:c r="Y568" s="457"/>
      <x:c r="Z568" s="458"/>
      <x:c r="AA568" s="458"/>
      <x:c r="AB568" s="458"/>
      <x:c r="AC568" s="458"/>
      <x:c r="AD568" s="458"/>
      <x:c r="AE568" s="458"/>
    </x:row>
    <x:row r="569" spans="1:31" ht="20.100000000000001" customHeight="1">
      <x:c r="A569" s="439" t="s">
        <x:v>98</x:v>
      </x:c>
      <x:c r="B569" s="466" t="str">
        <x:f t="shared" si="93"/>
        <x:v>감가상각비</x:v>
      </x:c>
      <x:c r="C569" s="440" t="str">
        <x:f t="shared" si="94"/>
        <x:v>감가상각비</x:v>
      </x:c>
      <x:c r="D569" s="441">
        <x:v>52200180</x:v>
      </x:c>
      <x:c r="E569" s="442" t="str">
        <x:f t="shared" si="95"/>
        <x:v>감가상각비_시험설비</x:v>
      </x:c>
      <x:c r="F569" s="443"/>
      <x:c r="G569" s="444" t="s">
        <x:v>114</x:v>
      </x:c>
      <x:c r="H569" s="445" t="str">
        <x:f t="shared" si="99"/>
        <x:v>연구개발부문(E)</x:v>
      </x:c>
      <x:c r="I569" s="446" t="str">
        <x:f t="shared" si="96"/>
        <x:v>[연구개발비]</x:v>
      </x:c>
      <x:c r="J569" s="445"/>
      <x:c r="K569" s="453">
        <x:v>13827</x:v>
      </x:c>
      <x:c r="L569" s="454">
        <x:v>13825</x:v>
      </x:c>
      <x:c r="M569" s="454">
        <x:v>13825</x:v>
      </x:c>
      <x:c r="N569" s="454">
        <x:v>13825</x:v>
      </x:c>
      <x:c r="O569" s="454">
        <x:v>13825</x:v>
      </x:c>
      <x:c r="P569" s="454">
        <x:v>13825</x:v>
      </x:c>
      <x:c r="Q569" s="454">
        <x:v>13825</x:v>
      </x:c>
      <x:c r="R569" s="454">
        <x:v>13825</x:v>
      </x:c>
      <x:c r="S569" s="454">
        <x:v>13825</x:v>
      </x:c>
      <x:c r="T569" s="454">
        <x:v>13825</x:v>
      </x:c>
      <x:c r="U569" s="454">
        <x:v>13825</x:v>
      </x:c>
      <x:c r="V569" s="455">
        <x:v>13825</x:v>
      </x:c>
      <x:c r="W569" s="456">
        <x:f t="shared" si="97"/>
        <x:v>165902</x:v>
      </x:c>
      <x:c r="X569" s="450">
        <x:f t="shared" si="98"/>
        <x:v>13825.166666666666</x:v>
      </x:c>
      <x:c r="Y569" s="457"/>
      <x:c r="Z569" s="458"/>
      <x:c r="AA569" s="458"/>
      <x:c r="AB569" s="458"/>
      <x:c r="AC569" s="458"/>
      <x:c r="AD569" s="458"/>
      <x:c r="AE569" s="458"/>
    </x:row>
    <x:row r="570" spans="1:31" ht="20.100000000000001" customHeight="1">
      <x:c r="A570" s="439" t="s">
        <x:v>98</x:v>
      </x:c>
      <x:c r="B570" s="466" t="str">
        <x:f t="shared" si="93"/>
        <x:v>감가상각비</x:v>
      </x:c>
      <x:c r="C570" s="440" t="str">
        <x:f t="shared" si="94"/>
        <x:v>감가상각비</x:v>
      </x:c>
      <x:c r="D570" s="441">
        <x:v>52200180</x:v>
      </x:c>
      <x:c r="E570" s="442" t="str">
        <x:f t="shared" si="95"/>
        <x:v>감가상각비_시험설비</x:v>
      </x:c>
      <x:c r="F570" s="443"/>
      <x:c r="G570" s="444" t="s">
        <x:v>114</x:v>
      </x:c>
      <x:c r="H570" s="445" t="str">
        <x:f t="shared" si="99"/>
        <x:v>연구개발부문(E)</x:v>
      </x:c>
      <x:c r="I570" s="446" t="str">
        <x:f t="shared" si="96"/>
        <x:v>[연구개발비]</x:v>
      </x:c>
      <x:c r="J570" s="445"/>
      <x:c r="K570" s="453">
        <x:v>2408</x:v>
      </x:c>
      <x:c r="L570" s="454">
        <x:v>2412</x:v>
      </x:c>
      <x:c r="M570" s="454">
        <x:v>2412</x:v>
      </x:c>
      <x:c r="N570" s="454">
        <x:v>2412</x:v>
      </x:c>
      <x:c r="O570" s="454">
        <x:v>2412</x:v>
      </x:c>
      <x:c r="P570" s="454">
        <x:v>2412</x:v>
      </x:c>
      <x:c r="Q570" s="454">
        <x:v>2412</x:v>
      </x:c>
      <x:c r="R570" s="454">
        <x:v>2412</x:v>
      </x:c>
      <x:c r="S570" s="454">
        <x:v>2412</x:v>
      </x:c>
      <x:c r="T570" s="454">
        <x:v>2412</x:v>
      </x:c>
      <x:c r="U570" s="454">
        <x:v>2412</x:v>
      </x:c>
      <x:c r="V570" s="455">
        <x:v>2412</x:v>
      </x:c>
      <x:c r="W570" s="456">
        <x:f t="shared" si="97"/>
        <x:v>28940</x:v>
      </x:c>
      <x:c r="X570" s="450">
        <x:f t="shared" si="98"/>
        <x:v>2411.6666666666665</x:v>
      </x:c>
      <x:c r="Y570" s="457"/>
      <x:c r="Z570" s="458"/>
      <x:c r="AA570" s="458"/>
      <x:c r="AB570" s="458"/>
      <x:c r="AC570" s="458"/>
      <x:c r="AD570" s="458"/>
      <x:c r="AE570" s="458"/>
    </x:row>
    <x:row r="571" spans="1:31" ht="20.100000000000001" customHeight="1">
      <x:c r="A571" s="439" t="s">
        <x:v>98</x:v>
      </x:c>
      <x:c r="B571" s="466" t="str">
        <x:f t="shared" si="93"/>
        <x:v>감가상각비</x:v>
      </x:c>
      <x:c r="C571" s="440" t="str">
        <x:f t="shared" si="94"/>
        <x:v>감가상각비</x:v>
      </x:c>
      <x:c r="D571" s="441">
        <x:v>52200180</x:v>
      </x:c>
      <x:c r="E571" s="442" t="str">
        <x:f t="shared" si="95"/>
        <x:v>감가상각비_시험설비</x:v>
      </x:c>
      <x:c r="F571" s="443"/>
      <x:c r="G571" s="444" t="s">
        <x:v>114</x:v>
      </x:c>
      <x:c r="H571" s="445" t="str">
        <x:f t="shared" si="99"/>
        <x:v>연구개발부문(E)</x:v>
      </x:c>
      <x:c r="I571" s="446" t="str">
        <x:f t="shared" si="96"/>
        <x:v>[연구개발비]</x:v>
      </x:c>
      <x:c r="J571" s="445"/>
      <x:c r="K571" s="453">
        <x:v>2408</x:v>
      </x:c>
      <x:c r="L571" s="454">
        <x:v>2412</x:v>
      </x:c>
      <x:c r="M571" s="454">
        <x:v>2412</x:v>
      </x:c>
      <x:c r="N571" s="454">
        <x:v>2412</x:v>
      </x:c>
      <x:c r="O571" s="454">
        <x:v>2412</x:v>
      </x:c>
      <x:c r="P571" s="454">
        <x:v>2412</x:v>
      </x:c>
      <x:c r="Q571" s="454">
        <x:v>2412</x:v>
      </x:c>
      <x:c r="R571" s="454">
        <x:v>2412</x:v>
      </x:c>
      <x:c r="S571" s="454">
        <x:v>2412</x:v>
      </x:c>
      <x:c r="T571" s="454">
        <x:v>2412</x:v>
      </x:c>
      <x:c r="U571" s="454">
        <x:v>2412</x:v>
      </x:c>
      <x:c r="V571" s="455">
        <x:v>2412</x:v>
      </x:c>
      <x:c r="W571" s="456">
        <x:f t="shared" si="97"/>
        <x:v>28940</x:v>
      </x:c>
      <x:c r="X571" s="450">
        <x:f t="shared" si="98"/>
        <x:v>2411.6666666666665</x:v>
      </x:c>
      <x:c r="Y571" s="457"/>
      <x:c r="Z571" s="458"/>
      <x:c r="AA571" s="458"/>
      <x:c r="AB571" s="458"/>
      <x:c r="AC571" s="458"/>
      <x:c r="AD571" s="458"/>
      <x:c r="AE571" s="458"/>
    </x:row>
    <x:row r="572" spans="1:31" ht="20.100000000000001" customHeight="1">
      <x:c r="A572" s="439" t="s">
        <x:v>98</x:v>
      </x:c>
      <x:c r="B572" s="466" t="str">
        <x:f t="shared" si="93"/>
        <x:v>감가상각비</x:v>
      </x:c>
      <x:c r="C572" s="440" t="str">
        <x:f t="shared" si="94"/>
        <x:v>감가상각비</x:v>
      </x:c>
      <x:c r="D572" s="441">
        <x:v>52200180</x:v>
      </x:c>
      <x:c r="E572" s="442" t="str">
        <x:f t="shared" si="95"/>
        <x:v>감가상각비_시험설비</x:v>
      </x:c>
      <x:c r="F572" s="443"/>
      <x:c r="G572" s="444" t="s">
        <x:v>114</x:v>
      </x:c>
      <x:c r="H572" s="445" t="str">
        <x:f t="shared" si="99"/>
        <x:v>연구개발부문(E)</x:v>
      </x:c>
      <x:c r="I572" s="446" t="str">
        <x:f t="shared" si="96"/>
        <x:v>[연구개발비]</x:v>
      </x:c>
      <x:c r="J572" s="445"/>
      <x:c r="K572" s="453">
        <x:v>2408</x:v>
      </x:c>
      <x:c r="L572" s="454">
        <x:v>2412</x:v>
      </x:c>
      <x:c r="M572" s="454">
        <x:v>2412</x:v>
      </x:c>
      <x:c r="N572" s="454">
        <x:v>2412</x:v>
      </x:c>
      <x:c r="O572" s="454">
        <x:v>2412</x:v>
      </x:c>
      <x:c r="P572" s="454">
        <x:v>2412</x:v>
      </x:c>
      <x:c r="Q572" s="454">
        <x:v>2412</x:v>
      </x:c>
      <x:c r="R572" s="454">
        <x:v>2412</x:v>
      </x:c>
      <x:c r="S572" s="454">
        <x:v>2412</x:v>
      </x:c>
      <x:c r="T572" s="454">
        <x:v>2412</x:v>
      </x:c>
      <x:c r="U572" s="454">
        <x:v>2412</x:v>
      </x:c>
      <x:c r="V572" s="455">
        <x:v>2412</x:v>
      </x:c>
      <x:c r="W572" s="456">
        <x:f t="shared" si="97"/>
        <x:v>28940</x:v>
      </x:c>
      <x:c r="X572" s="450">
        <x:f t="shared" si="98"/>
        <x:v>2411.6666666666665</x:v>
      </x:c>
      <x:c r="Y572" s="457"/>
      <x:c r="Z572" s="458"/>
      <x:c r="AA572" s="458"/>
      <x:c r="AB572" s="458"/>
      <x:c r="AC572" s="458"/>
      <x:c r="AD572" s="458"/>
      <x:c r="AE572" s="458"/>
    </x:row>
    <x:row r="573" spans="1:31" ht="20.100000000000001" customHeight="1">
      <x:c r="A573" s="439" t="s">
        <x:v>98</x:v>
      </x:c>
      <x:c r="B573" s="466" t="str">
        <x:f t="shared" si="93"/>
        <x:v>감가상각비</x:v>
      </x:c>
      <x:c r="C573" s="440" t="str">
        <x:f t="shared" si="94"/>
        <x:v>감가상각비</x:v>
      </x:c>
      <x:c r="D573" s="441">
        <x:v>52200180</x:v>
      </x:c>
      <x:c r="E573" s="442" t="str">
        <x:f t="shared" si="95"/>
        <x:v>감가상각비_시험설비</x:v>
      </x:c>
      <x:c r="F573" s="443"/>
      <x:c r="G573" s="444" t="s">
        <x:v>114</x:v>
      </x:c>
      <x:c r="H573" s="445" t="str">
        <x:f t="shared" si="99"/>
        <x:v>연구개발부문(E)</x:v>
      </x:c>
      <x:c r="I573" s="446" t="str">
        <x:f t="shared" si="96"/>
        <x:v>[연구개발비]</x:v>
      </x:c>
      <x:c r="J573" s="445"/>
      <x:c r="K573" s="453">
        <x:v>2408</x:v>
      </x:c>
      <x:c r="L573" s="454">
        <x:v>2412</x:v>
      </x:c>
      <x:c r="M573" s="454">
        <x:v>2412</x:v>
      </x:c>
      <x:c r="N573" s="454">
        <x:v>2412</x:v>
      </x:c>
      <x:c r="O573" s="454">
        <x:v>2412</x:v>
      </x:c>
      <x:c r="P573" s="454">
        <x:v>2412</x:v>
      </x:c>
      <x:c r="Q573" s="454">
        <x:v>2412</x:v>
      </x:c>
      <x:c r="R573" s="454">
        <x:v>2412</x:v>
      </x:c>
      <x:c r="S573" s="454">
        <x:v>2412</x:v>
      </x:c>
      <x:c r="T573" s="454">
        <x:v>2412</x:v>
      </x:c>
      <x:c r="U573" s="454">
        <x:v>2412</x:v>
      </x:c>
      <x:c r="V573" s="455">
        <x:v>2412</x:v>
      </x:c>
      <x:c r="W573" s="456">
        <x:f t="shared" si="97"/>
        <x:v>28940</x:v>
      </x:c>
      <x:c r="X573" s="450">
        <x:f t="shared" si="98"/>
        <x:v>2411.6666666666665</x:v>
      </x:c>
      <x:c r="Y573" s="457"/>
      <x:c r="Z573" s="458"/>
      <x:c r="AA573" s="458"/>
      <x:c r="AB573" s="458"/>
      <x:c r="AC573" s="458"/>
      <x:c r="AD573" s="458"/>
      <x:c r="AE573" s="458"/>
    </x:row>
    <x:row r="574" spans="1:31" ht="20.100000000000001" customHeight="1">
      <x:c r="A574" s="439" t="s">
        <x:v>98</x:v>
      </x:c>
      <x:c r="B574" s="466" t="str">
        <x:f t="shared" si="93"/>
        <x:v>감가상각비</x:v>
      </x:c>
      <x:c r="C574" s="440" t="str">
        <x:f t="shared" si="94"/>
        <x:v>감가상각비</x:v>
      </x:c>
      <x:c r="D574" s="441">
        <x:v>52200180</x:v>
      </x:c>
      <x:c r="E574" s="442" t="str">
        <x:f t="shared" si="95"/>
        <x:v>감가상각비_시험설비</x:v>
      </x:c>
      <x:c r="F574" s="443"/>
      <x:c r="G574" s="444" t="s">
        <x:v>114</x:v>
      </x:c>
      <x:c r="H574" s="445" t="str">
        <x:f t="shared" si="99"/>
        <x:v>연구개발부문(E)</x:v>
      </x:c>
      <x:c r="I574" s="446" t="str">
        <x:f t="shared" si="96"/>
        <x:v>[연구개발비]</x:v>
      </x:c>
      <x:c r="J574" s="445"/>
      <x:c r="K574" s="453">
        <x:v>1870</x:v>
      </x:c>
      <x:c r="L574" s="454">
        <x:v>1865</x:v>
      </x:c>
      <x:c r="M574" s="454">
        <x:v>1865</x:v>
      </x:c>
      <x:c r="N574" s="454">
        <x:v>1865</x:v>
      </x:c>
      <x:c r="O574" s="454">
        <x:v>1865</x:v>
      </x:c>
      <x:c r="P574" s="454">
        <x:v>1865</x:v>
      </x:c>
      <x:c r="Q574" s="454">
        <x:v>1865</x:v>
      </x:c>
      <x:c r="R574" s="454">
        <x:v>1865</x:v>
      </x:c>
      <x:c r="S574" s="454">
        <x:v>1865</x:v>
      </x:c>
      <x:c r="T574" s="454">
        <x:v>1865</x:v>
      </x:c>
      <x:c r="U574" s="454">
        <x:v>1865</x:v>
      </x:c>
      <x:c r="V574" s="455">
        <x:v>1865</x:v>
      </x:c>
      <x:c r="W574" s="456">
        <x:f t="shared" si="97"/>
        <x:v>22385</x:v>
      </x:c>
      <x:c r="X574" s="450">
        <x:f t="shared" si="98"/>
        <x:v>1865.4166666666667</x:v>
      </x:c>
      <x:c r="Y574" s="457"/>
      <x:c r="Z574" s="458"/>
      <x:c r="AA574" s="458"/>
      <x:c r="AB574" s="458"/>
      <x:c r="AC574" s="458"/>
      <x:c r="AD574" s="458"/>
      <x:c r="AE574" s="458"/>
    </x:row>
    <x:row r="575" spans="1:31" ht="20.100000000000001" customHeight="1">
      <x:c r="A575" s="439" t="s">
        <x:v>98</x:v>
      </x:c>
      <x:c r="B575" s="466" t="str">
        <x:f t="shared" si="93"/>
        <x:v>감가상각비</x:v>
      </x:c>
      <x:c r="C575" s="440" t="str">
        <x:f t="shared" si="94"/>
        <x:v>감가상각비</x:v>
      </x:c>
      <x:c r="D575" s="441">
        <x:v>52200180</x:v>
      </x:c>
      <x:c r="E575" s="442" t="str">
        <x:f t="shared" si="95"/>
        <x:v>감가상각비_시험설비</x:v>
      </x:c>
      <x:c r="F575" s="443"/>
      <x:c r="G575" s="444" t="s">
        <x:v>114</x:v>
      </x:c>
      <x:c r="H575" s="445" t="str">
        <x:f t="shared" si="99"/>
        <x:v>연구개발부문(E)</x:v>
      </x:c>
      <x:c r="I575" s="446" t="str">
        <x:f t="shared" si="96"/>
        <x:v>[연구개발비]</x:v>
      </x:c>
      <x:c r="J575" s="445"/>
      <x:c r="K575" s="453">
        <x:v>3537</x:v>
      </x:c>
      <x:c r="L575" s="454">
        <x:v>3543</x:v>
      </x:c>
      <x:c r="M575" s="454">
        <x:v>3543</x:v>
      </x:c>
      <x:c r="N575" s="454">
        <x:v>3543</x:v>
      </x:c>
      <x:c r="O575" s="454">
        <x:v>3543</x:v>
      </x:c>
      <x:c r="P575" s="454">
        <x:v>3543</x:v>
      </x:c>
      <x:c r="Q575" s="454">
        <x:v>3543</x:v>
      </x:c>
      <x:c r="R575" s="454">
        <x:v>3543</x:v>
      </x:c>
      <x:c r="S575" s="454">
        <x:v>3543</x:v>
      </x:c>
      <x:c r="T575" s="454">
        <x:v>3543</x:v>
      </x:c>
      <x:c r="U575" s="454">
        <x:v>3543</x:v>
      </x:c>
      <x:c r="V575" s="455">
        <x:v>3543</x:v>
      </x:c>
      <x:c r="W575" s="456">
        <x:f t="shared" si="97"/>
        <x:v>42510</x:v>
      </x:c>
      <x:c r="X575" s="450">
        <x:f t="shared" si="98"/>
        <x:v>3542.5</x:v>
      </x:c>
      <x:c r="Y575" s="457"/>
      <x:c r="Z575" s="458"/>
      <x:c r="AA575" s="458"/>
      <x:c r="AB575" s="458"/>
      <x:c r="AC575" s="458"/>
      <x:c r="AD575" s="458"/>
      <x:c r="AE575" s="458"/>
    </x:row>
    <x:row r="576" spans="1:31" ht="20.100000000000001" customHeight="1">
      <x:c r="A576" s="439" t="s">
        <x:v>98</x:v>
      </x:c>
      <x:c r="B576" s="466" t="str">
        <x:f t="shared" si="93"/>
        <x:v>감가상각비</x:v>
      </x:c>
      <x:c r="C576" s="440" t="str">
        <x:f t="shared" si="94"/>
        <x:v>감가상각비</x:v>
      </x:c>
      <x:c r="D576" s="441">
        <x:v>52200180</x:v>
      </x:c>
      <x:c r="E576" s="442" t="str">
        <x:f t="shared" si="95"/>
        <x:v>감가상각비_시험설비</x:v>
      </x:c>
      <x:c r="F576" s="443"/>
      <x:c r="G576" s="444" t="s">
        <x:v>114</x:v>
      </x:c>
      <x:c r="H576" s="445" t="str">
        <x:f t="shared" si="99"/>
        <x:v>연구개발부문(E)</x:v>
      </x:c>
      <x:c r="I576" s="446" t="str">
        <x:f t="shared" si="96"/>
        <x:v>[연구개발비]</x:v>
      </x:c>
      <x:c r="J576" s="445"/>
      <x:c r="K576" s="453">
        <x:v>2200</x:v>
      </x:c>
      <x:c r="L576" s="454">
        <x:v>2205</x:v>
      </x:c>
      <x:c r="M576" s="454">
        <x:v>2205</x:v>
      </x:c>
      <x:c r="N576" s="454">
        <x:v>2205</x:v>
      </x:c>
      <x:c r="O576" s="454">
        <x:v>2205</x:v>
      </x:c>
      <x:c r="P576" s="454">
        <x:v>2205</x:v>
      </x:c>
      <x:c r="Q576" s="454">
        <x:v>2205</x:v>
      </x:c>
      <x:c r="R576" s="454">
        <x:v>2205</x:v>
      </x:c>
      <x:c r="S576" s="454">
        <x:v>2205</x:v>
      </x:c>
      <x:c r="T576" s="454">
        <x:v>2205</x:v>
      </x:c>
      <x:c r="U576" s="454">
        <x:v>2205</x:v>
      </x:c>
      <x:c r="V576" s="455">
        <x:v>2205</x:v>
      </x:c>
      <x:c r="W576" s="456">
        <x:f t="shared" si="97"/>
        <x:v>26455</x:v>
      </x:c>
      <x:c r="X576" s="450">
        <x:f t="shared" si="98"/>
        <x:v>2204.5833333333335</x:v>
      </x:c>
      <x:c r="Y576" s="457"/>
      <x:c r="Z576" s="458"/>
      <x:c r="AA576" s="458"/>
      <x:c r="AB576" s="458"/>
      <x:c r="AC576" s="458"/>
      <x:c r="AD576" s="458"/>
      <x:c r="AE576" s="458"/>
    </x:row>
    <x:row r="577" spans="1:31" ht="20.100000000000001" customHeight="1">
      <x:c r="A577" s="439" t="s">
        <x:v>98</x:v>
      </x:c>
      <x:c r="B577" s="466" t="str">
        <x:f t="shared" si="93"/>
        <x:v>감가상각비</x:v>
      </x:c>
      <x:c r="C577" s="440" t="str">
        <x:f t="shared" si="94"/>
        <x:v>감가상각비</x:v>
      </x:c>
      <x:c r="D577" s="441">
        <x:v>52200180</x:v>
      </x:c>
      <x:c r="E577" s="442" t="str">
        <x:f t="shared" si="95"/>
        <x:v>감가상각비_시험설비</x:v>
      </x:c>
      <x:c r="F577" s="443"/>
      <x:c r="G577" s="444" t="s">
        <x:v>114</x:v>
      </x:c>
      <x:c r="H577" s="445" t="str">
        <x:f t="shared" si="99"/>
        <x:v>연구개발부문(E)</x:v>
      </x:c>
      <x:c r="I577" s="446" t="str">
        <x:f t="shared" si="96"/>
        <x:v>[연구개발비]</x:v>
      </x:c>
      <x:c r="J577" s="445"/>
      <x:c r="K577" s="453">
        <x:v>588351</x:v>
      </x:c>
      <x:c r="L577" s="454">
        <x:v>588348</x:v>
      </x:c>
      <x:c r="M577" s="454">
        <x:v>588348</x:v>
      </x:c>
      <x:c r="N577" s="454">
        <x:v>588348</x:v>
      </x:c>
      <x:c r="O577" s="454">
        <x:v>588348</x:v>
      </x:c>
      <x:c r="P577" s="454">
        <x:v>588348</x:v>
      </x:c>
      <x:c r="Q577" s="454">
        <x:v>588348</x:v>
      </x:c>
      <x:c r="R577" s="454">
        <x:v>588348</x:v>
      </x:c>
      <x:c r="S577" s="454">
        <x:v>588348</x:v>
      </x:c>
      <x:c r="T577" s="454">
        <x:v>588348</x:v>
      </x:c>
      <x:c r="U577" s="454">
        <x:v>588348</x:v>
      </x:c>
      <x:c r="V577" s="455">
        <x:v>588348</x:v>
      </x:c>
      <x:c r="W577" s="456">
        <x:f t="shared" si="97"/>
        <x:v>7060179</x:v>
      </x:c>
      <x:c r="X577" s="450">
        <x:f t="shared" si="98"/>
        <x:v>588348.25</x:v>
      </x:c>
      <x:c r="Y577" s="457"/>
      <x:c r="Z577" s="458"/>
      <x:c r="AA577" s="458"/>
      <x:c r="AB577" s="458"/>
      <x:c r="AC577" s="458"/>
      <x:c r="AD577" s="458"/>
      <x:c r="AE577" s="458"/>
    </x:row>
    <x:row r="578" spans="1:31" ht="20.100000000000001" customHeight="1">
      <x:c r="A578" s="439" t="s">
        <x:v>98</x:v>
      </x:c>
      <x:c r="B578" s="466" t="str">
        <x:f t="shared" si="93"/>
        <x:v>감가상각비</x:v>
      </x:c>
      <x:c r="C578" s="440" t="str">
        <x:f t="shared" si="94"/>
        <x:v>감가상각비</x:v>
      </x:c>
      <x:c r="D578" s="441">
        <x:v>52200180</x:v>
      </x:c>
      <x:c r="E578" s="442" t="str">
        <x:f t="shared" si="95"/>
        <x:v>감가상각비_시험설비</x:v>
      </x:c>
      <x:c r="F578" s="443"/>
      <x:c r="G578" s="444" t="s">
        <x:v>114</x:v>
      </x:c>
      <x:c r="H578" s="445" t="str">
        <x:f t="shared" si="99"/>
        <x:v>연구개발부문(E)</x:v>
      </x:c>
      <x:c r="I578" s="446" t="str">
        <x:f t="shared" si="96"/>
        <x:v>[연구개발비]</x:v>
      </x:c>
      <x:c r="J578" s="445"/>
      <x:c r="K578" s="453">
        <x:v>506715</x:v>
      </x:c>
      <x:c r="L578" s="454">
        <x:v>506710</x:v>
      </x:c>
      <x:c r="M578" s="454">
        <x:v>506710</x:v>
      </x:c>
      <x:c r="N578" s="454">
        <x:v>506710</x:v>
      </x:c>
      <x:c r="O578" s="454">
        <x:v>506710</x:v>
      </x:c>
      <x:c r="P578" s="454">
        <x:v>506710</x:v>
      </x:c>
      <x:c r="Q578" s="454">
        <x:v>506710</x:v>
      </x:c>
      <x:c r="R578" s="454">
        <x:v>506710</x:v>
      </x:c>
      <x:c r="S578" s="454">
        <x:v>506710</x:v>
      </x:c>
      <x:c r="T578" s="454">
        <x:v>506710</x:v>
      </x:c>
      <x:c r="U578" s="454">
        <x:v>506710</x:v>
      </x:c>
      <x:c r="V578" s="455">
        <x:v>506710</x:v>
      </x:c>
      <x:c r="W578" s="456">
        <x:f t="shared" si="97"/>
        <x:v>6080525</x:v>
      </x:c>
      <x:c r="X578" s="450">
        <x:f t="shared" si="98"/>
        <x:v>506710.41666666669</x:v>
      </x:c>
      <x:c r="Y578" s="457"/>
      <x:c r="Z578" s="458"/>
      <x:c r="AA578" s="458"/>
      <x:c r="AB578" s="458"/>
      <x:c r="AC578" s="458"/>
      <x:c r="AD578" s="458"/>
      <x:c r="AE578" s="458"/>
    </x:row>
    <x:row r="579" spans="1:31" ht="20.100000000000001" customHeight="1">
      <x:c r="A579" s="439" t="s">
        <x:v>98</x:v>
      </x:c>
      <x:c r="B579" s="466" t="str">
        <x:f t="shared" ref="B579:B642" si="100">IFERROR(VLOOKUP($C579,$AH:$AI,2,),"")</x:f>
        <x:v>감가상각비</x:v>
      </x:c>
      <x:c r="C579" s="440" t="str">
        <x:f t="shared" ref="C579:C642" si="101">IFERROR(VLOOKUP($D579,$AO:$AQ,3,),"")</x:f>
        <x:v>감가상각비</x:v>
      </x:c>
      <x:c r="D579" s="441">
        <x:v>52200180</x:v>
      </x:c>
      <x:c r="E579" s="442" t="str">
        <x:f t="shared" ref="E579:E642" si="102">IFERROR(VLOOKUP($D579,$AO:$AQ,2,),"")</x:f>
        <x:v>감가상각비_시험설비</x:v>
      </x:c>
      <x:c r="F579" s="443"/>
      <x:c r="G579" s="444" t="s">
        <x:v>84</x:v>
      </x:c>
      <x:c r="H579" s="445" t="str">
        <x:f t="shared" si="99"/>
        <x:v>품질경영팀(E)</x:v>
      </x:c>
      <x:c r="I579" s="446" t="str">
        <x:f t="shared" ref="I579:I642" si="103">IFERROR(VLOOKUP($G579,$AK:$AM,3,),"")</x:f>
        <x:v>[관리비]</x:v>
      </x:c>
      <x:c r="J579" s="445"/>
      <x:c r="K579" s="453">
        <x:v>444780</x:v>
      </x:c>
      <x:c r="L579" s="454">
        <x:v>444784</x:v>
      </x:c>
      <x:c r="M579" s="454">
        <x:v>444784</x:v>
      </x:c>
      <x:c r="N579" s="454">
        <x:v>444784</x:v>
      </x:c>
      <x:c r="O579" s="454">
        <x:v>444784</x:v>
      </x:c>
      <x:c r="P579" s="454">
        <x:v>444784</x:v>
      </x:c>
      <x:c r="Q579" s="454">
        <x:v>444784</x:v>
      </x:c>
      <x:c r="R579" s="454">
        <x:v>444784</x:v>
      </x:c>
      <x:c r="S579" s="454">
        <x:v>444784</x:v>
      </x:c>
      <x:c r="T579" s="454">
        <x:v>444784</x:v>
      </x:c>
      <x:c r="U579" s="454">
        <x:v>444784</x:v>
      </x:c>
      <x:c r="V579" s="455">
        <x:v>444784</x:v>
      </x:c>
      <x:c r="W579" s="456">
        <x:f t="shared" si="97"/>
        <x:v>5337404</x:v>
      </x:c>
      <x:c r="X579" s="450">
        <x:f t="shared" si="98"/>
        <x:v>444783.66666666669</x:v>
      </x:c>
      <x:c r="Y579" s="457"/>
      <x:c r="Z579" s="458"/>
      <x:c r="AA579" s="458"/>
      <x:c r="AB579" s="458"/>
      <x:c r="AC579" s="458"/>
      <x:c r="AD579" s="458"/>
      <x:c r="AE579" s="458"/>
    </x:row>
    <x:row r="580" spans="1:31" ht="20.100000000000001" customHeight="1">
      <x:c r="A580" s="439" t="s">
        <x:v>98</x:v>
      </x:c>
      <x:c r="B580" s="466" t="str">
        <x:f t="shared" si="100"/>
        <x:v>감가상각비</x:v>
      </x:c>
      <x:c r="C580" s="440" t="str">
        <x:f t="shared" si="101"/>
        <x:v>감가상각비</x:v>
      </x:c>
      <x:c r="D580" s="441">
        <x:v>52200180</x:v>
      </x:c>
      <x:c r="E580" s="442" t="str">
        <x:f t="shared" si="102"/>
        <x:v>감가상각비_시험설비</x:v>
      </x:c>
      <x:c r="F580" s="443"/>
      <x:c r="G580" s="444" t="s">
        <x:v>84</x:v>
      </x:c>
      <x:c r="H580" s="445" t="str">
        <x:f t="shared" si="99"/>
        <x:v>품질경영팀(E)</x:v>
      </x:c>
      <x:c r="I580" s="446" t="str">
        <x:f t="shared" si="103"/>
        <x:v>[관리비]</x:v>
      </x:c>
      <x:c r="J580" s="445"/>
      <x:c r="K580" s="453">
        <x:v>298497</x:v>
      </x:c>
      <x:c r="L580" s="454">
        <x:v>298493</x:v>
      </x:c>
      <x:c r="M580" s="454">
        <x:v>298493</x:v>
      </x:c>
      <x:c r="N580" s="454">
        <x:v>298493</x:v>
      </x:c>
      <x:c r="O580" s="454">
        <x:v>298493</x:v>
      </x:c>
      <x:c r="P580" s="454">
        <x:v>298493</x:v>
      </x:c>
      <x:c r="Q580" s="454">
        <x:v>298493</x:v>
      </x:c>
      <x:c r="R580" s="454">
        <x:v>298493</x:v>
      </x:c>
      <x:c r="S580" s="454">
        <x:v>298493</x:v>
      </x:c>
      <x:c r="T580" s="454">
        <x:v>298493</x:v>
      </x:c>
      <x:c r="U580" s="454">
        <x:v>298493</x:v>
      </x:c>
      <x:c r="V580" s="455">
        <x:v>298493</x:v>
      </x:c>
      <x:c r="W580" s="456">
        <x:f t="shared" si="97"/>
        <x:v>3581920</x:v>
      </x:c>
      <x:c r="X580" s="450">
        <x:f t="shared" si="98"/>
        <x:v>298493.33333333331</x:v>
      </x:c>
      <x:c r="Y580" s="457"/>
      <x:c r="Z580" s="458"/>
      <x:c r="AA580" s="458"/>
      <x:c r="AB580" s="458"/>
      <x:c r="AC580" s="458"/>
      <x:c r="AD580" s="458"/>
      <x:c r="AE580" s="458"/>
    </x:row>
    <x:row r="581" spans="1:31" ht="20.100000000000001" customHeight="1">
      <x:c r="A581" s="439" t="s">
        <x:v>98</x:v>
      </x:c>
      <x:c r="B581" s="466" t="str">
        <x:f t="shared" si="100"/>
        <x:v>감가상각비</x:v>
      </x:c>
      <x:c r="C581" s="440" t="str">
        <x:f t="shared" si="101"/>
        <x:v>감가상각비</x:v>
      </x:c>
      <x:c r="D581" s="441">
        <x:v>52200180</x:v>
      </x:c>
      <x:c r="E581" s="442" t="str">
        <x:f t="shared" si="102"/>
        <x:v>감가상각비_시험설비</x:v>
      </x:c>
      <x:c r="F581" s="443"/>
      <x:c r="G581" s="444" t="s">
        <x:v>251</x:v>
      </x:c>
      <x:c r="H581" s="445" t="str">
        <x:f t="shared" si="99"/>
        <x:v>시작평가팀(E)</x:v>
      </x:c>
      <x:c r="I581" s="446" t="str">
        <x:f t="shared" si="103"/>
        <x:v>[연구개발비]</x:v>
      </x:c>
      <x:c r="J581" s="445"/>
      <x:c r="K581" s="453">
        <x:v>5964620</x:v>
      </x:c>
      <x:c r="L581" s="454">
        <x:v>5964623</x:v>
      </x:c>
      <x:c r="M581" s="454">
        <x:v>5964623</x:v>
      </x:c>
      <x:c r="N581" s="454">
        <x:v>5964623</x:v>
      </x:c>
      <x:c r="O581" s="454">
        <x:v>5964623</x:v>
      </x:c>
      <x:c r="P581" s="454">
        <x:v>5964623</x:v>
      </x:c>
      <x:c r="Q581" s="454">
        <x:v>5964623</x:v>
      </x:c>
      <x:c r="R581" s="454">
        <x:v>5964623</x:v>
      </x:c>
      <x:c r="S581" s="454">
        <x:v>5964623</x:v>
      </x:c>
      <x:c r="T581" s="454">
        <x:v>5964623</x:v>
      </x:c>
      <x:c r="U581" s="454">
        <x:v>5964623</x:v>
      </x:c>
      <x:c r="V581" s="455">
        <x:v>5964623</x:v>
      </x:c>
      <x:c r="W581" s="456">
        <x:f t="shared" si="97"/>
        <x:v>71575473</x:v>
      </x:c>
      <x:c r="X581" s="450">
        <x:f t="shared" si="98"/>
        <x:v>5964622.75</x:v>
      </x:c>
      <x:c r="Y581" s="457" t="s">
        <x:v>834</x:v>
      </x:c>
      <x:c r="Z581" s="458"/>
      <x:c r="AA581" s="458"/>
      <x:c r="AB581" s="458"/>
      <x:c r="AC581" s="458"/>
      <x:c r="AD581" s="458"/>
      <x:c r="AE581" s="458"/>
    </x:row>
    <x:row r="582" spans="1:31" ht="20.100000000000001" customHeight="1">
      <x:c r="A582" s="439" t="s">
        <x:v>98</x:v>
      </x:c>
      <x:c r="B582" s="466" t="str">
        <x:f t="shared" si="100"/>
        <x:v>감가상각비</x:v>
      </x:c>
      <x:c r="C582" s="440" t="str">
        <x:f t="shared" si="101"/>
        <x:v>감가상각비</x:v>
      </x:c>
      <x:c r="D582" s="441">
        <x:v>52200180</x:v>
      </x:c>
      <x:c r="E582" s="442" t="str">
        <x:f t="shared" si="102"/>
        <x:v>감가상각비_시험설비</x:v>
      </x:c>
      <x:c r="F582" s="443"/>
      <x:c r="G582" s="444" t="s">
        <x:v>251</x:v>
      </x:c>
      <x:c r="H582" s="445" t="str">
        <x:f t="shared" si="99"/>
        <x:v>시작평가팀(E)</x:v>
      </x:c>
      <x:c r="I582" s="446" t="str">
        <x:f t="shared" si="103"/>
        <x:v>[연구개발비]</x:v>
      </x:c>
      <x:c r="J582" s="445"/>
      <x:c r="K582" s="453">
        <x:v>1600384</x:v>
      </x:c>
      <x:c r="L582" s="454">
        <x:v>1600389</x:v>
      </x:c>
      <x:c r="M582" s="454">
        <x:v>1600389</x:v>
      </x:c>
      <x:c r="N582" s="454">
        <x:v>1600389</x:v>
      </x:c>
      <x:c r="O582" s="454">
        <x:v>1600389</x:v>
      </x:c>
      <x:c r="P582" s="454">
        <x:v>1600389</x:v>
      </x:c>
      <x:c r="Q582" s="454">
        <x:v>1600389</x:v>
      </x:c>
      <x:c r="R582" s="454">
        <x:v>1600389</x:v>
      </x:c>
      <x:c r="S582" s="454">
        <x:v>1600389</x:v>
      </x:c>
      <x:c r="T582" s="454">
        <x:v>1600389</x:v>
      </x:c>
      <x:c r="U582" s="454">
        <x:v>1600389</x:v>
      </x:c>
      <x:c r="V582" s="455">
        <x:v>1600389</x:v>
      </x:c>
      <x:c r="W582" s="456">
        <x:f t="shared" si="97"/>
        <x:v>19204663</x:v>
      </x:c>
      <x:c r="X582" s="450">
        <x:f t="shared" si="98"/>
        <x:v>1600388.5833333333</x:v>
      </x:c>
      <x:c r="Y582" s="457" t="s">
        <x:v>835</x:v>
      </x:c>
      <x:c r="Z582" s="458"/>
      <x:c r="AA582" s="458"/>
      <x:c r="AB582" s="458"/>
      <x:c r="AC582" s="458"/>
      <x:c r="AD582" s="458"/>
      <x:c r="AE582" s="458"/>
    </x:row>
    <x:row r="583" spans="1:31" ht="20.100000000000001" customHeight="1">
      <x:c r="A583" s="439" t="s">
        <x:v>98</x:v>
      </x:c>
      <x:c r="B583" s="466" t="str">
        <x:f t="shared" si="100"/>
        <x:v>감가상각비</x:v>
      </x:c>
      <x:c r="C583" s="440" t="str">
        <x:f t="shared" si="101"/>
        <x:v>감가상각비</x:v>
      </x:c>
      <x:c r="D583" s="441">
        <x:v>52200180</x:v>
      </x:c>
      <x:c r="E583" s="442" t="str">
        <x:f t="shared" si="102"/>
        <x:v>감가상각비_시험설비</x:v>
      </x:c>
      <x:c r="F583" s="443"/>
      <x:c r="G583" s="444" t="s">
        <x:v>251</x:v>
      </x:c>
      <x:c r="H583" s="445" t="str">
        <x:f t="shared" si="99"/>
        <x:v>시작평가팀(E)</x:v>
      </x:c>
      <x:c r="I583" s="446" t="str">
        <x:f t="shared" si="103"/>
        <x:v>[연구개발비]</x:v>
      </x:c>
      <x:c r="J583" s="445"/>
      <x:c r="K583" s="453">
        <x:v>5842693</x:v>
      </x:c>
      <x:c r="L583" s="454">
        <x:v>5842688</x:v>
      </x:c>
      <x:c r="M583" s="454">
        <x:v>5842688</x:v>
      </x:c>
      <x:c r="N583" s="454">
        <x:v>5842688</x:v>
      </x:c>
      <x:c r="O583" s="454">
        <x:v>5842688</x:v>
      </x:c>
      <x:c r="P583" s="454">
        <x:v>5842688</x:v>
      </x:c>
      <x:c r="Q583" s="454">
        <x:v>5842688</x:v>
      </x:c>
      <x:c r="R583" s="454">
        <x:v>5842688</x:v>
      </x:c>
      <x:c r="S583" s="454">
        <x:v>5842688</x:v>
      </x:c>
      <x:c r="T583" s="454">
        <x:v>5842688</x:v>
      </x:c>
      <x:c r="U583" s="454">
        <x:v>5842688</x:v>
      </x:c>
      <x:c r="V583" s="455">
        <x:v>5842688</x:v>
      </x:c>
      <x:c r="W583" s="456">
        <x:f t="shared" si="97"/>
        <x:v>70112261</x:v>
      </x:c>
      <x:c r="X583" s="450">
        <x:f t="shared" si="98"/>
        <x:v>5842688.416666667</x:v>
      </x:c>
      <x:c r="Y583" s="457" t="s">
        <x:v>836</x:v>
      </x:c>
      <x:c r="Z583" s="458"/>
      <x:c r="AA583" s="458"/>
      <x:c r="AB583" s="458"/>
      <x:c r="AC583" s="458"/>
      <x:c r="AD583" s="458"/>
      <x:c r="AE583" s="458"/>
    </x:row>
    <x:row r="584" spans="1:31" ht="20.100000000000001" customHeight="1">
      <x:c r="A584" s="439" t="s">
        <x:v>98</x:v>
      </x:c>
      <x:c r="B584" s="466" t="str">
        <x:f t="shared" si="100"/>
        <x:v>감가상각비</x:v>
      </x:c>
      <x:c r="C584" s="440" t="str">
        <x:f t="shared" si="101"/>
        <x:v>감가상각비</x:v>
      </x:c>
      <x:c r="D584" s="441">
        <x:v>52200180</x:v>
      </x:c>
      <x:c r="E584" s="442" t="str">
        <x:f t="shared" si="102"/>
        <x:v>감가상각비_시험설비</x:v>
      </x:c>
      <x:c r="F584" s="443"/>
      <x:c r="G584" s="444" t="s">
        <x:v>251</x:v>
      </x:c>
      <x:c r="H584" s="445" t="str">
        <x:f t="shared" si="99"/>
        <x:v>시작평가팀(E)</x:v>
      </x:c>
      <x:c r="I584" s="446" t="str">
        <x:f t="shared" si="103"/>
        <x:v>[연구개발비]</x:v>
      </x:c>
      <x:c r="J584" s="445"/>
      <x:c r="K584" s="453">
        <x:v>704934</x:v>
      </x:c>
      <x:c r="L584" s="454">
        <x:v>704933</x:v>
      </x:c>
      <x:c r="M584" s="454">
        <x:v>704933</x:v>
      </x:c>
      <x:c r="N584" s="454">
        <x:v>704933</x:v>
      </x:c>
      <x:c r="O584" s="454">
        <x:v>704933</x:v>
      </x:c>
      <x:c r="P584" s="454">
        <x:v>704933</x:v>
      </x:c>
      <x:c r="Q584" s="454">
        <x:v>704933</x:v>
      </x:c>
      <x:c r="R584" s="454">
        <x:v>704933</x:v>
      </x:c>
      <x:c r="S584" s="454">
        <x:v>704933</x:v>
      </x:c>
      <x:c r="T584" s="454">
        <x:v>704933</x:v>
      </x:c>
      <x:c r="U584" s="454">
        <x:v>704933</x:v>
      </x:c>
      <x:c r="V584" s="455">
        <x:v>704933</x:v>
      </x:c>
      <x:c r="W584" s="456">
        <x:f t="shared" si="97"/>
        <x:v>8459197</x:v>
      </x:c>
      <x:c r="X584" s="450">
        <x:f t="shared" si="98"/>
        <x:v>704933.08333333337</x:v>
      </x:c>
      <x:c r="Y584" s="457" t="s">
        <x:v>837</x:v>
      </x:c>
      <x:c r="Z584" s="458"/>
      <x:c r="AA584" s="458"/>
      <x:c r="AB584" s="458"/>
      <x:c r="AC584" s="458"/>
      <x:c r="AD584" s="458"/>
      <x:c r="AE584" s="458"/>
    </x:row>
    <x:row r="585" spans="1:31" ht="20.100000000000001" customHeight="1">
      <x:c r="A585" s="439" t="s">
        <x:v>98</x:v>
      </x:c>
      <x:c r="B585" s="466" t="str">
        <x:f t="shared" si="100"/>
        <x:v>감가상각비</x:v>
      </x:c>
      <x:c r="C585" s="440" t="str">
        <x:f t="shared" si="101"/>
        <x:v>감가상각비</x:v>
      </x:c>
      <x:c r="D585" s="441">
        <x:v>52200180</x:v>
      </x:c>
      <x:c r="E585" s="442" t="str">
        <x:f t="shared" si="102"/>
        <x:v>감가상각비_시험설비</x:v>
      </x:c>
      <x:c r="F585" s="443"/>
      <x:c r="G585" s="444" t="s">
        <x:v>251</x:v>
      </x:c>
      <x:c r="H585" s="445" t="str">
        <x:f t="shared" si="99"/>
        <x:v>시작평가팀(E)</x:v>
      </x:c>
      <x:c r="I585" s="446" t="str">
        <x:f t="shared" si="103"/>
        <x:v>[연구개발비]</x:v>
      </x:c>
      <x:c r="J585" s="445"/>
      <x:c r="K585" s="453">
        <x:v>2253602</x:v>
      </x:c>
      <x:c r="L585" s="454">
        <x:v>2253601</x:v>
      </x:c>
      <x:c r="M585" s="454">
        <x:v>2253601</x:v>
      </x:c>
      <x:c r="N585" s="454">
        <x:v>2253601</x:v>
      </x:c>
      <x:c r="O585" s="454">
        <x:v>2253601</x:v>
      </x:c>
      <x:c r="P585" s="454">
        <x:v>2253601</x:v>
      </x:c>
      <x:c r="Q585" s="454">
        <x:v>2253601</x:v>
      </x:c>
      <x:c r="R585" s="454">
        <x:v>2253601</x:v>
      </x:c>
      <x:c r="S585" s="454">
        <x:v>2253601</x:v>
      </x:c>
      <x:c r="T585" s="454">
        <x:v>2253601</x:v>
      </x:c>
      <x:c r="U585" s="454">
        <x:v>2253601</x:v>
      </x:c>
      <x:c r="V585" s="455">
        <x:v>2253601</x:v>
      </x:c>
      <x:c r="W585" s="456">
        <x:f t="shared" si="97"/>
        <x:v>27043213</x:v>
      </x:c>
      <x:c r="X585" s="450">
        <x:f t="shared" si="98"/>
        <x:v>2253601.0833333335</x:v>
      </x:c>
      <x:c r="Y585" s="457" t="s">
        <x:v>838</x:v>
      </x:c>
      <x:c r="Z585" s="458"/>
      <x:c r="AA585" s="458"/>
      <x:c r="AB585" s="458"/>
      <x:c r="AC585" s="458"/>
      <x:c r="AD585" s="458"/>
      <x:c r="AE585" s="458"/>
    </x:row>
    <x:row r="586" spans="1:31" ht="20.100000000000001" customHeight="1">
      <x:c r="A586" s="439" t="s">
        <x:v>98</x:v>
      </x:c>
      <x:c r="B586" s="466" t="str">
        <x:f t="shared" si="100"/>
        <x:v>감가상각비</x:v>
      </x:c>
      <x:c r="C586" s="440" t="str">
        <x:f t="shared" si="101"/>
        <x:v>감가상각비</x:v>
      </x:c>
      <x:c r="D586" s="441">
        <x:v>52200180</x:v>
      </x:c>
      <x:c r="E586" s="442" t="str">
        <x:f t="shared" si="102"/>
        <x:v>감가상각비_시험설비</x:v>
      </x:c>
      <x:c r="F586" s="443"/>
      <x:c r="G586" s="444" t="s">
        <x:v>251</x:v>
      </x:c>
      <x:c r="H586" s="445" t="str">
        <x:f t="shared" si="99"/>
        <x:v>시작평가팀(E)</x:v>
      </x:c>
      <x:c r="I586" s="446" t="str">
        <x:f t="shared" si="103"/>
        <x:v>[연구개발비]</x:v>
      </x:c>
      <x:c r="J586" s="445"/>
      <x:c r="K586" s="453">
        <x:v>544407</x:v>
      </x:c>
      <x:c r="L586" s="454">
        <x:v>544412</x:v>
      </x:c>
      <x:c r="M586" s="454">
        <x:v>544412</x:v>
      </x:c>
      <x:c r="N586" s="454">
        <x:v>544412</x:v>
      </x:c>
      <x:c r="O586" s="454">
        <x:v>544412</x:v>
      </x:c>
      <x:c r="P586" s="454">
        <x:v>544412</x:v>
      </x:c>
      <x:c r="Q586" s="454">
        <x:v>544412</x:v>
      </x:c>
      <x:c r="R586" s="454">
        <x:v>544412</x:v>
      </x:c>
      <x:c r="S586" s="454">
        <x:v>544412</x:v>
      </x:c>
      <x:c r="T586" s="454">
        <x:v>544412</x:v>
      </x:c>
      <x:c r="U586" s="454">
        <x:v>544412</x:v>
      </x:c>
      <x:c r="V586" s="455">
        <x:v>544412</x:v>
      </x:c>
      <x:c r="W586" s="456">
        <x:f t="shared" si="97"/>
        <x:v>6532939</x:v>
      </x:c>
      <x:c r="X586" s="450">
        <x:f t="shared" si="98"/>
        <x:v>544411.58333333337</x:v>
      </x:c>
      <x:c r="Y586" s="457" t="s">
        <x:v>839</x:v>
      </x:c>
      <x:c r="Z586" s="458"/>
      <x:c r="AA586" s="458"/>
      <x:c r="AB586" s="458"/>
      <x:c r="AC586" s="458"/>
      <x:c r="AD586" s="458"/>
      <x:c r="AE586" s="458"/>
    </x:row>
    <x:row r="587" spans="1:31" ht="20.100000000000001" customHeight="1">
      <x:c r="A587" s="439" t="s">
        <x:v>88</x:v>
      </x:c>
      <x:c r="B587" s="466" t="str">
        <x:f t="shared" si="100"/>
        <x:v>복리후생비</x:v>
      </x:c>
      <x:c r="C587" s="440" t="str">
        <x:f t="shared" si="101"/>
        <x:v>후생비</x:v>
      </x:c>
      <x:c r="D587" s="441">
        <x:v>52130124</x:v>
      </x:c>
      <x:c r="E587" s="442" t="str">
        <x:f t="shared" si="102"/>
        <x:v>후생비_관리식대</x:v>
      </x:c>
      <x:c r="F587" s="443"/>
      <x:c r="G587" s="444" t="s">
        <x:v>114</x:v>
      </x:c>
      <x:c r="H587" s="445" t="str">
        <x:f t="shared" si="99"/>
        <x:v>연구개발부문(E)</x:v>
      </x:c>
      <x:c r="I587" s="446" t="str">
        <x:f t="shared" si="103"/>
        <x:v>[연구개발비]</x:v>
      </x:c>
      <x:c r="J587" s="445"/>
      <x:c r="K587" s="453">
        <x:v>0</x:v>
      </x:c>
      <x:c r="L587" s="454">
        <x:v>0</x:v>
      </x:c>
      <x:c r="M587" s="454">
        <x:v>1000000</x:v>
      </x:c>
      <x:c r="N587" s="454">
        <x:v>0</x:v>
      </x:c>
      <x:c r="O587" s="454">
        <x:v>0</x:v>
      </x:c>
      <x:c r="P587" s="454">
        <x:v>1000000</x:v>
      </x:c>
      <x:c r="Q587" s="454">
        <x:v>0</x:v>
      </x:c>
      <x:c r="R587" s="454">
        <x:v>0</x:v>
      </x:c>
      <x:c r="S587" s="454">
        <x:v>1000000</x:v>
      </x:c>
      <x:c r="T587" s="454">
        <x:v>0</x:v>
      </x:c>
      <x:c r="U587" s="454">
        <x:v>0</x:v>
      </x:c>
      <x:c r="V587" s="455">
        <x:v>1000000</x:v>
      </x:c>
      <x:c r="W587" s="456">
        <x:f t="shared" si="97"/>
        <x:v>4000000</x:v>
      </x:c>
      <x:c r="X587" s="450">
        <x:f t="shared" si="98"/>
        <x:v>333333.33333333331</x:v>
      </x:c>
      <x:c r="Y587" s="457" t="s">
        <x:v>840</x:v>
      </x:c>
      <x:c r="Z587" s="458"/>
      <x:c r="AA587" s="458"/>
      <x:c r="AB587" s="458"/>
      <x:c r="AC587" s="458"/>
      <x:c r="AD587" s="458"/>
      <x:c r="AE587" s="458"/>
    </x:row>
    <x:row r="588" spans="1:31" ht="20.100000000000001" customHeight="1">
      <x:c r="A588" s="439" t="s">
        <x:v>88</x:v>
      </x:c>
      <x:c r="B588" s="466" t="str">
        <x:f t="shared" si="100"/>
        <x:v>복리후생비</x:v>
      </x:c>
      <x:c r="C588" s="440" t="str">
        <x:f t="shared" si="101"/>
        <x:v>후생비</x:v>
      </x:c>
      <x:c r="D588" s="441">
        <x:v>52130124</x:v>
      </x:c>
      <x:c r="E588" s="442" t="str">
        <x:f t="shared" si="102"/>
        <x:v>후생비_관리식대</x:v>
      </x:c>
      <x:c r="F588" s="443"/>
      <x:c r="G588" s="444" t="s">
        <x:v>103</x:v>
      </x:c>
      <x:c r="H588" s="445" t="str">
        <x:f t="shared" si="99"/>
        <x:v>전장사업부(E)</x:v>
      </x:c>
      <x:c r="I588" s="446" t="str">
        <x:f t="shared" si="103"/>
        <x:v>[관리비]</x:v>
      </x:c>
      <x:c r="J588" s="445"/>
      <x:c r="K588" s="453">
        <x:v>0</x:v>
      </x:c>
      <x:c r="L588" s="454">
        <x:v>0</x:v>
      </x:c>
      <x:c r="M588" s="454">
        <x:v>1500000</x:v>
      </x:c>
      <x:c r="N588" s="454">
        <x:v>0</x:v>
      </x:c>
      <x:c r="O588" s="454">
        <x:v>0</x:v>
      </x:c>
      <x:c r="P588" s="454">
        <x:v>1500000</x:v>
      </x:c>
      <x:c r="Q588" s="454">
        <x:v>0</x:v>
      </x:c>
      <x:c r="R588" s="454">
        <x:v>0</x:v>
      </x:c>
      <x:c r="S588" s="454">
        <x:v>1500000</x:v>
      </x:c>
      <x:c r="T588" s="454">
        <x:v>0</x:v>
      </x:c>
      <x:c r="U588" s="454">
        <x:v>0</x:v>
      </x:c>
      <x:c r="V588" s="455">
        <x:v>1500000</x:v>
      </x:c>
      <x:c r="W588" s="456">
        <x:f t="shared" si="97"/>
        <x:v>6000000</x:v>
      </x:c>
      <x:c r="X588" s="450">
        <x:f t="shared" si="98"/>
        <x:v>500000</x:v>
      </x:c>
      <x:c r="Y588" s="457" t="s">
        <x:v>841</x:v>
      </x:c>
      <x:c r="Z588" s="458"/>
      <x:c r="AA588" s="458"/>
      <x:c r="AB588" s="458"/>
      <x:c r="AC588" s="458"/>
      <x:c r="AD588" s="458"/>
      <x:c r="AE588" s="458"/>
    </x:row>
    <x:row r="589" spans="1:31" ht="20.100000000000001" customHeight="1">
      <x:c r="A589" s="439" t="s">
        <x:v>88</x:v>
      </x:c>
      <x:c r="B589" s="466" t="str">
        <x:f t="shared" si="100"/>
        <x:v>복리후생비</x:v>
      </x:c>
      <x:c r="C589" s="440" t="str">
        <x:f t="shared" si="101"/>
        <x:v>후생비</x:v>
      </x:c>
      <x:c r="D589" s="441">
        <x:v>52130124</x:v>
      </x:c>
      <x:c r="E589" s="442" t="str">
        <x:f t="shared" si="102"/>
        <x:v>후생비_관리식대</x:v>
      </x:c>
      <x:c r="F589" s="443"/>
      <x:c r="G589" s="444" t="s">
        <x:v>150</x:v>
      </x:c>
      <x:c r="H589" s="445" t="str">
        <x:f t="shared" si="99"/>
        <x:v>구매영업부문(E)</x:v>
      </x:c>
      <x:c r="I589" s="446" t="str">
        <x:f t="shared" si="103"/>
        <x:v>[판매비]</x:v>
      </x:c>
      <x:c r="J589" s="445"/>
      <x:c r="K589" s="453">
        <x:v>0</x:v>
      </x:c>
      <x:c r="L589" s="454">
        <x:v>0</x:v>
      </x:c>
      <x:c r="M589" s="454">
        <x:v>1000000</x:v>
      </x:c>
      <x:c r="N589" s="454">
        <x:v>0</x:v>
      </x:c>
      <x:c r="O589" s="454">
        <x:v>0</x:v>
      </x:c>
      <x:c r="P589" s="454">
        <x:v>1000000</x:v>
      </x:c>
      <x:c r="Q589" s="454">
        <x:v>0</x:v>
      </x:c>
      <x:c r="R589" s="454">
        <x:v>0</x:v>
      </x:c>
      <x:c r="S589" s="454">
        <x:v>1000000</x:v>
      </x:c>
      <x:c r="T589" s="454">
        <x:v>0</x:v>
      </x:c>
      <x:c r="U589" s="454">
        <x:v>0</x:v>
      </x:c>
      <x:c r="V589" s="455">
        <x:v>1000000</x:v>
      </x:c>
      <x:c r="W589" s="456">
        <x:f t="shared" si="97"/>
        <x:v>4000000</x:v>
      </x:c>
      <x:c r="X589" s="450">
        <x:f t="shared" si="98"/>
        <x:v>333333.33333333331</x:v>
      </x:c>
      <x:c r="Y589" s="457" t="s">
        <x:v>840</x:v>
      </x:c>
      <x:c r="Z589" s="458"/>
      <x:c r="AA589" s="458"/>
      <x:c r="AB589" s="458"/>
      <x:c r="AC589" s="458"/>
      <x:c r="AD589" s="458"/>
      <x:c r="AE589" s="458"/>
    </x:row>
    <x:row r="590" spans="1:31" ht="20.100000000000001" customHeight="1">
      <x:c r="A590" s="439" t="s">
        <x:v>88</x:v>
      </x:c>
      <x:c r="B590" s="466" t="str">
        <x:f t="shared" si="100"/>
        <x:v>복리후생비</x:v>
      </x:c>
      <x:c r="C590" s="440" t="str">
        <x:f t="shared" si="101"/>
        <x:v>후생비</x:v>
      </x:c>
      <x:c r="D590" s="441">
        <x:v>52130124</x:v>
      </x:c>
      <x:c r="E590" s="442" t="str">
        <x:f t="shared" si="102"/>
        <x:v>후생비_관리식대</x:v>
      </x:c>
      <x:c r="F590" s="443"/>
      <x:c r="G590" s="444" t="s">
        <x:v>253</x:v>
      </x:c>
      <x:c r="H590" s="445" t="str">
        <x:f t="shared" si="99"/>
        <x:v>생산부문(E)</x:v>
      </x:c>
      <x:c r="I590" s="446" t="str">
        <x:f t="shared" si="103"/>
        <x:v>[관리비]</x:v>
      </x:c>
      <x:c r="J590" s="445"/>
      <x:c r="K590" s="453">
        <x:v>0</x:v>
      </x:c>
      <x:c r="L590" s="454">
        <x:v>0</x:v>
      </x:c>
      <x:c r="M590" s="454">
        <x:v>1000000</x:v>
      </x:c>
      <x:c r="N590" s="454">
        <x:v>0</x:v>
      </x:c>
      <x:c r="O590" s="454">
        <x:v>0</x:v>
      </x:c>
      <x:c r="P590" s="454">
        <x:v>1000000</x:v>
      </x:c>
      <x:c r="Q590" s="454">
        <x:v>0</x:v>
      </x:c>
      <x:c r="R590" s="454">
        <x:v>0</x:v>
      </x:c>
      <x:c r="S590" s="454">
        <x:v>1000000</x:v>
      </x:c>
      <x:c r="T590" s="454">
        <x:v>0</x:v>
      </x:c>
      <x:c r="U590" s="454">
        <x:v>0</x:v>
      </x:c>
      <x:c r="V590" s="455">
        <x:v>1000000</x:v>
      </x:c>
      <x:c r="W590" s="456">
        <x:f t="shared" si="97"/>
        <x:v>4000000</x:v>
      </x:c>
      <x:c r="X590" s="450">
        <x:f t="shared" si="98"/>
        <x:v>333333.33333333331</x:v>
      </x:c>
      <x:c r="Y590" s="457" t="s">
        <x:v>840</x:v>
      </x:c>
      <x:c r="Z590" s="458"/>
      <x:c r="AA590" s="458"/>
      <x:c r="AB590" s="458"/>
      <x:c r="AC590" s="458"/>
      <x:c r="AD590" s="458"/>
      <x:c r="AE590" s="458"/>
    </x:row>
    <x:row r="591" spans="1:31" ht="20.100000000000001" customHeight="1">
      <x:c r="A591" s="439" t="s">
        <x:v>88</x:v>
      </x:c>
      <x:c r="B591" s="466" t="str">
        <x:f t="shared" si="100"/>
        <x:v>복리후생비</x:v>
      </x:c>
      <x:c r="C591" s="440" t="str">
        <x:f t="shared" si="101"/>
        <x:v>후생비</x:v>
      </x:c>
      <x:c r="D591" s="441">
        <x:v>52130124</x:v>
      </x:c>
      <x:c r="E591" s="442" t="str">
        <x:f t="shared" si="102"/>
        <x:v>후생비_관리식대</x:v>
      </x:c>
      <x:c r="F591" s="443"/>
      <x:c r="G591" s="444" t="s">
        <x:v>256</x:v>
      </x:c>
      <x:c r="H591" s="445" t="str">
        <x:f t="shared" si="99"/>
        <x:v>품질부문(E)</x:v>
      </x:c>
      <x:c r="I591" s="446" t="str">
        <x:f t="shared" si="103"/>
        <x:v>[관리비]</x:v>
      </x:c>
      <x:c r="J591" s="445"/>
      <x:c r="K591" s="453">
        <x:v>0</x:v>
      </x:c>
      <x:c r="L591" s="454">
        <x:v>0</x:v>
      </x:c>
      <x:c r="M591" s="454">
        <x:v>500000</x:v>
      </x:c>
      <x:c r="N591" s="454">
        <x:v>0</x:v>
      </x:c>
      <x:c r="O591" s="454">
        <x:v>0</x:v>
      </x:c>
      <x:c r="P591" s="454">
        <x:v>500000</x:v>
      </x:c>
      <x:c r="Q591" s="454">
        <x:v>0</x:v>
      </x:c>
      <x:c r="R591" s="454">
        <x:v>0</x:v>
      </x:c>
      <x:c r="S591" s="454">
        <x:v>500000</x:v>
      </x:c>
      <x:c r="T591" s="454">
        <x:v>0</x:v>
      </x:c>
      <x:c r="U591" s="454">
        <x:v>0</x:v>
      </x:c>
      <x:c r="V591" s="455">
        <x:v>500000</x:v>
      </x:c>
      <x:c r="W591" s="456">
        <x:f t="shared" si="97"/>
        <x:v>2000000</x:v>
      </x:c>
      <x:c r="X591" s="450">
        <x:f t="shared" si="98"/>
        <x:v>166666.66666666666</x:v>
      </x:c>
      <x:c r="Y591" s="457" t="s">
        <x:v>842</x:v>
      </x:c>
      <x:c r="Z591" s="458"/>
      <x:c r="AA591" s="458"/>
      <x:c r="AB591" s="458"/>
      <x:c r="AC591" s="458"/>
      <x:c r="AD591" s="458"/>
      <x:c r="AE591" s="458"/>
    </x:row>
    <x:row r="592" spans="1:31" ht="20.100000000000001" customHeight="1">
      <x:c r="A592" s="439" t="s">
        <x:v>88</x:v>
      </x:c>
      <x:c r="B592" s="466" t="str">
        <x:f t="shared" si="100"/>
        <x:v>복리후생비</x:v>
      </x:c>
      <x:c r="C592" s="440" t="str">
        <x:f t="shared" si="101"/>
        <x:v>후생비</x:v>
      </x:c>
      <x:c r="D592" s="441">
        <x:v>52130138</x:v>
      </x:c>
      <x:c r="E592" s="442" t="str">
        <x:f t="shared" si="102"/>
        <x:v>후생비_자기계발비</x:v>
      </x:c>
      <x:c r="F592" s="443"/>
      <x:c r="G592" s="444" t="s">
        <x:v>114</x:v>
      </x:c>
      <x:c r="H592" s="445" t="str">
        <x:f t="shared" si="99"/>
        <x:v>연구개발부문(E)</x:v>
      </x:c>
      <x:c r="I592" s="446" t="str">
        <x:f t="shared" si="103"/>
        <x:v>[연구개발비]</x:v>
      </x:c>
      <x:c r="J592" s="445"/>
      <x:c r="K592" s="453">
        <x:v>0</x:v>
      </x:c>
      <x:c r="L592" s="454">
        <x:v>0</x:v>
      </x:c>
      <x:c r="M592" s="454">
        <x:v>375000</x:v>
      </x:c>
      <x:c r="N592" s="454">
        <x:v>0</x:v>
      </x:c>
      <x:c r="O592" s="454">
        <x:v>0</x:v>
      </x:c>
      <x:c r="P592" s="454">
        <x:v>375000</x:v>
      </x:c>
      <x:c r="Q592" s="454">
        <x:v>0</x:v>
      </x:c>
      <x:c r="R592" s="454">
        <x:v>0</x:v>
      </x:c>
      <x:c r="S592" s="454">
        <x:v>375000</x:v>
      </x:c>
      <x:c r="T592" s="454">
        <x:v>0</x:v>
      </x:c>
      <x:c r="U592" s="454">
        <x:v>0</x:v>
      </x:c>
      <x:c r="V592" s="455">
        <x:v>375000</x:v>
      </x:c>
      <x:c r="W592" s="456">
        <x:f t="shared" si="97"/>
        <x:v>1500000</x:v>
      </x:c>
      <x:c r="X592" s="450">
        <x:f t="shared" si="98"/>
        <x:v>125000</x:v>
      </x:c>
      <x:c r="Y592" s="457" t="s">
        <x:v>843</x:v>
      </x:c>
      <x:c r="Z592" s="458"/>
      <x:c r="AA592" s="458"/>
      <x:c r="AB592" s="458"/>
      <x:c r="AC592" s="458"/>
      <x:c r="AD592" s="458"/>
      <x:c r="AE592" s="458"/>
    </x:row>
    <x:row r="593" spans="1:31" ht="20.100000000000001" customHeight="1">
      <x:c r="A593" s="439" t="s">
        <x:v>88</x:v>
      </x:c>
      <x:c r="B593" s="466" t="str">
        <x:f t="shared" si="100"/>
        <x:v>복리후생비</x:v>
      </x:c>
      <x:c r="C593" s="440" t="str">
        <x:f t="shared" si="101"/>
        <x:v>후생비</x:v>
      </x:c>
      <x:c r="D593" s="441">
        <x:v>52130138</x:v>
      </x:c>
      <x:c r="E593" s="442" t="str">
        <x:f t="shared" si="102"/>
        <x:v>후생비_자기계발비</x:v>
      </x:c>
      <x:c r="F593" s="443"/>
      <x:c r="G593" s="444" t="s">
        <x:v>103</x:v>
      </x:c>
      <x:c r="H593" s="445" t="str">
        <x:f t="shared" si="99"/>
        <x:v>전장사업부(E)</x:v>
      </x:c>
      <x:c r="I593" s="446" t="str">
        <x:f t="shared" si="103"/>
        <x:v>[관리비]</x:v>
      </x:c>
      <x:c r="J593" s="445"/>
      <x:c r="K593" s="453">
        <x:v>0</x:v>
      </x:c>
      <x:c r="L593" s="454">
        <x:v>0</x:v>
      </x:c>
      <x:c r="M593" s="454">
        <x:v>625000</x:v>
      </x:c>
      <x:c r="N593" s="454">
        <x:v>0</x:v>
      </x:c>
      <x:c r="O593" s="454">
        <x:v>0</x:v>
      </x:c>
      <x:c r="P593" s="454">
        <x:v>625000</x:v>
      </x:c>
      <x:c r="Q593" s="454">
        <x:v>0</x:v>
      </x:c>
      <x:c r="R593" s="454">
        <x:v>0</x:v>
      </x:c>
      <x:c r="S593" s="454">
        <x:v>625000</x:v>
      </x:c>
      <x:c r="T593" s="454">
        <x:v>0</x:v>
      </x:c>
      <x:c r="U593" s="454">
        <x:v>0</x:v>
      </x:c>
      <x:c r="V593" s="455">
        <x:v>625000</x:v>
      </x:c>
      <x:c r="W593" s="456">
        <x:f t="shared" si="97"/>
        <x:v>2500000</x:v>
      </x:c>
      <x:c r="X593" s="450">
        <x:f t="shared" si="98"/>
        <x:v>208333.33333333334</x:v>
      </x:c>
      <x:c r="Y593" s="457" t="s">
        <x:v>844</x:v>
      </x:c>
      <x:c r="Z593" s="458"/>
      <x:c r="AA593" s="458"/>
      <x:c r="AB593" s="458"/>
      <x:c r="AC593" s="458"/>
      <x:c r="AD593" s="458"/>
      <x:c r="AE593" s="458"/>
    </x:row>
    <x:row r="594" spans="1:31" ht="20.100000000000001" customHeight="1">
      <x:c r="A594" s="439" t="s">
        <x:v>88</x:v>
      </x:c>
      <x:c r="B594" s="466" t="str">
        <x:f t="shared" si="100"/>
        <x:v>복리후생비</x:v>
      </x:c>
      <x:c r="C594" s="440" t="str">
        <x:f t="shared" si="101"/>
        <x:v>후생비</x:v>
      </x:c>
      <x:c r="D594" s="441">
        <x:v>52130138</x:v>
      </x:c>
      <x:c r="E594" s="442" t="str">
        <x:f t="shared" si="102"/>
        <x:v>후생비_자기계발비</x:v>
      </x:c>
      <x:c r="F594" s="443"/>
      <x:c r="G594" s="444" t="s">
        <x:v>150</x:v>
      </x:c>
      <x:c r="H594" s="445" t="str">
        <x:f t="shared" si="99"/>
        <x:v>구매영업부문(E)</x:v>
      </x:c>
      <x:c r="I594" s="446" t="str">
        <x:f t="shared" si="103"/>
        <x:v>[판매비]</x:v>
      </x:c>
      <x:c r="J594" s="445"/>
      <x:c r="K594" s="453">
        <x:v>0</x:v>
      </x:c>
      <x:c r="L594" s="454">
        <x:v>0</x:v>
      </x:c>
      <x:c r="M594" s="454">
        <x:v>375000</x:v>
      </x:c>
      <x:c r="N594" s="454">
        <x:v>0</x:v>
      </x:c>
      <x:c r="O594" s="454">
        <x:v>0</x:v>
      </x:c>
      <x:c r="P594" s="454">
        <x:v>375000</x:v>
      </x:c>
      <x:c r="Q594" s="454">
        <x:v>0</x:v>
      </x:c>
      <x:c r="R594" s="454">
        <x:v>0</x:v>
      </x:c>
      <x:c r="S594" s="454">
        <x:v>375000</x:v>
      </x:c>
      <x:c r="T594" s="454">
        <x:v>0</x:v>
      </x:c>
      <x:c r="U594" s="454">
        <x:v>0</x:v>
      </x:c>
      <x:c r="V594" s="455">
        <x:v>375000</x:v>
      </x:c>
      <x:c r="W594" s="456">
        <x:f t="shared" si="97"/>
        <x:v>1500000</x:v>
      </x:c>
      <x:c r="X594" s="450">
        <x:f t="shared" si="98"/>
        <x:v>125000</x:v>
      </x:c>
      <x:c r="Y594" s="457" t="s">
        <x:v>843</x:v>
      </x:c>
      <x:c r="Z594" s="458"/>
      <x:c r="AA594" s="458"/>
      <x:c r="AB594" s="458"/>
      <x:c r="AC594" s="458"/>
      <x:c r="AD594" s="458"/>
      <x:c r="AE594" s="458"/>
    </x:row>
    <x:row r="595" spans="1:31" ht="20.100000000000001" customHeight="1">
      <x:c r="A595" s="439" t="s">
        <x:v>88</x:v>
      </x:c>
      <x:c r="B595" s="466" t="str">
        <x:f t="shared" si="100"/>
        <x:v>복리후생비</x:v>
      </x:c>
      <x:c r="C595" s="440" t="str">
        <x:f t="shared" si="101"/>
        <x:v>후생비</x:v>
      </x:c>
      <x:c r="D595" s="441">
        <x:v>52130138</x:v>
      </x:c>
      <x:c r="E595" s="442" t="str">
        <x:f t="shared" si="102"/>
        <x:v>후생비_자기계발비</x:v>
      </x:c>
      <x:c r="F595" s="443"/>
      <x:c r="G595" s="444" t="s">
        <x:v>253</x:v>
      </x:c>
      <x:c r="H595" s="445" t="str">
        <x:f t="shared" si="99"/>
        <x:v>생산부문(E)</x:v>
      </x:c>
      <x:c r="I595" s="446" t="str">
        <x:f t="shared" si="103"/>
        <x:v>[관리비]</x:v>
      </x:c>
      <x:c r="J595" s="445"/>
      <x:c r="K595" s="453">
        <x:v>0</x:v>
      </x:c>
      <x:c r="L595" s="454">
        <x:v>0</x:v>
      </x:c>
      <x:c r="M595" s="454">
        <x:v>375000</x:v>
      </x:c>
      <x:c r="N595" s="454">
        <x:v>0</x:v>
      </x:c>
      <x:c r="O595" s="454">
        <x:v>0</x:v>
      </x:c>
      <x:c r="P595" s="454">
        <x:v>375000</x:v>
      </x:c>
      <x:c r="Q595" s="454">
        <x:v>0</x:v>
      </x:c>
      <x:c r="R595" s="454">
        <x:v>0</x:v>
      </x:c>
      <x:c r="S595" s="454">
        <x:v>375000</x:v>
      </x:c>
      <x:c r="T595" s="454">
        <x:v>0</x:v>
      </x:c>
      <x:c r="U595" s="454">
        <x:v>0</x:v>
      </x:c>
      <x:c r="V595" s="455">
        <x:v>375000</x:v>
      </x:c>
      <x:c r="W595" s="456">
        <x:f t="shared" si="97"/>
        <x:v>1500000</x:v>
      </x:c>
      <x:c r="X595" s="450">
        <x:f t="shared" si="98"/>
        <x:v>125000</x:v>
      </x:c>
      <x:c r="Y595" s="457" t="s">
        <x:v>843</x:v>
      </x:c>
      <x:c r="Z595" s="458"/>
      <x:c r="AA595" s="458"/>
      <x:c r="AB595" s="458"/>
      <x:c r="AC595" s="458"/>
      <x:c r="AD595" s="458"/>
      <x:c r="AE595" s="458"/>
    </x:row>
    <x:row r="596" spans="1:31" ht="20.100000000000001" customHeight="1">
      <x:c r="A596" s="439" t="s">
        <x:v>88</x:v>
      </x:c>
      <x:c r="B596" s="466" t="str">
        <x:f t="shared" si="100"/>
        <x:v>기타비용</x:v>
      </x:c>
      <x:c r="C596" s="440" t="str">
        <x:f t="shared" si="101"/>
        <x:v>접대비</x:v>
      </x:c>
      <x:c r="D596" s="441">
        <x:v>52230103</x:v>
      </x:c>
      <x:c r="E596" s="442" t="str">
        <x:f t="shared" si="102"/>
        <x:v>접대비_법인카드</x:v>
      </x:c>
      <x:c r="F596" s="443"/>
      <x:c r="G596" s="444" t="s">
        <x:v>103</x:v>
      </x:c>
      <x:c r="H596" s="445" t="str">
        <x:f t="shared" si="99"/>
        <x:v>전장사업부(E)</x:v>
      </x:c>
      <x:c r="I596" s="446" t="str">
        <x:f t="shared" si="103"/>
        <x:v>[관리비]</x:v>
      </x:c>
      <x:c r="J596" s="445"/>
      <x:c r="K596" s="453">
        <x:v>0</x:v>
      </x:c>
      <x:c r="L596" s="454">
        <x:v>0</x:v>
      </x:c>
      <x:c r="M596" s="454">
        <x:v>4500000</x:v>
      </x:c>
      <x:c r="N596" s="454">
        <x:v>0</x:v>
      </x:c>
      <x:c r="O596" s="454">
        <x:v>0</x:v>
      </x:c>
      <x:c r="P596" s="454">
        <x:v>2500000</x:v>
      </x:c>
      <x:c r="Q596" s="454">
        <x:v>0</x:v>
      </x:c>
      <x:c r="R596" s="454">
        <x:v>0</x:v>
      </x:c>
      <x:c r="S596" s="454">
        <x:v>2500000</x:v>
      </x:c>
      <x:c r="T596" s="454">
        <x:v>0</x:v>
      </x:c>
      <x:c r="U596" s="454">
        <x:v>0</x:v>
      </x:c>
      <x:c r="V596" s="455">
        <x:v>2500000</x:v>
      </x:c>
      <x:c r="W596" s="456">
        <x:f t="shared" si="97"/>
        <x:v>12000000</x:v>
      </x:c>
      <x:c r="X596" s="450">
        <x:f t="shared" si="98"/>
        <x:v>1000000</x:v>
      </x:c>
      <x:c r="Y596" s="457" t="s">
        <x:v>845</x:v>
      </x:c>
      <x:c r="Z596" s="458"/>
      <x:c r="AA596" s="458"/>
      <x:c r="AB596" s="458"/>
      <x:c r="AC596" s="458"/>
      <x:c r="AD596" s="458"/>
      <x:c r="AE596" s="458"/>
    </x:row>
    <x:row r="597" spans="1:31" ht="20.100000000000001" customHeight="1">
      <x:c r="A597" s="439" t="s">
        <x:v>88</x:v>
      </x:c>
      <x:c r="B597" s="466" t="str">
        <x:f t="shared" si="100"/>
        <x:v>복리후생비</x:v>
      </x:c>
      <x:c r="C597" s="440" t="str">
        <x:f t="shared" si="101"/>
        <x:v>후생비</x:v>
      </x:c>
      <x:c r="D597" s="441">
        <x:v>52130109</x:v>
      </x:c>
      <x:c r="E597" s="442" t="str">
        <x:f t="shared" si="102"/>
        <x:v>후생비_부서지원비</x:v>
      </x:c>
      <x:c r="F597" s="443"/>
      <x:c r="G597" s="444" t="s">
        <x:v>99</x:v>
      </x:c>
      <x:c r="H597" s="445" t="str">
        <x:f t="shared" si="99"/>
        <x:v>전장설계1팀(E)</x:v>
      </x:c>
      <x:c r="I597" s="446" t="str">
        <x:f t="shared" si="103"/>
        <x:v>[연구개발비]</x:v>
      </x:c>
      <x:c r="J597" s="445"/>
      <x:c r="K597" s="453">
        <x:v>240000</x:v>
      </x:c>
      <x:c r="L597" s="454">
        <x:v>240000</x:v>
      </x:c>
      <x:c r="M597" s="454">
        <x:v>240000</x:v>
      </x:c>
      <x:c r="N597" s="454">
        <x:v>240000</x:v>
      </x:c>
      <x:c r="O597" s="454">
        <x:v>240000</x:v>
      </x:c>
      <x:c r="P597" s="454">
        <x:v>240000</x:v>
      </x:c>
      <x:c r="Q597" s="454">
        <x:v>240000</x:v>
      </x:c>
      <x:c r="R597" s="454">
        <x:v>240000</x:v>
      </x:c>
      <x:c r="S597" s="454">
        <x:v>240000</x:v>
      </x:c>
      <x:c r="T597" s="454">
        <x:v>240000</x:v>
      </x:c>
      <x:c r="U597" s="454">
        <x:v>240000</x:v>
      </x:c>
      <x:c r="V597" s="455">
        <x:v>240000</x:v>
      </x:c>
      <x:c r="W597" s="456">
        <x:f t="shared" si="97"/>
        <x:v>2880000</x:v>
      </x:c>
      <x:c r="X597" s="450">
        <x:f t="shared" si="98"/>
        <x:v>240000</x:v>
      </x:c>
      <x:c r="Y597" s="457" t="s">
        <x:v>846</x:v>
      </x:c>
      <x:c r="Z597" s="458"/>
      <x:c r="AA597" s="458"/>
      <x:c r="AB597" s="458"/>
      <x:c r="AC597" s="458"/>
      <x:c r="AD597" s="458"/>
      <x:c r="AE597" s="458"/>
    </x:row>
    <x:row r="598" spans="1:31" ht="20.100000000000001" customHeight="1">
      <x:c r="A598" s="439" t="s">
        <x:v>88</x:v>
      </x:c>
      <x:c r="B598" s="466" t="str">
        <x:f t="shared" si="100"/>
        <x:v>복리후생비</x:v>
      </x:c>
      <x:c r="C598" s="440" t="str">
        <x:f t="shared" si="101"/>
        <x:v>후생비</x:v>
      </x:c>
      <x:c r="D598" s="441">
        <x:v>52130109</x:v>
      </x:c>
      <x:c r="E598" s="442" t="str">
        <x:f t="shared" si="102"/>
        <x:v>후생비_부서지원비</x:v>
      </x:c>
      <x:c r="F598" s="443"/>
      <x:c r="G598" s="444" t="s">
        <x:v>101</x:v>
      </x:c>
      <x:c r="H598" s="445" t="str">
        <x:f t="shared" si="99"/>
        <x:v>전장설계2팀(E)</x:v>
      </x:c>
      <x:c r="I598" s="446" t="str">
        <x:f t="shared" si="103"/>
        <x:v>[연구개발비]</x:v>
      </x:c>
      <x:c r="J598" s="445"/>
      <x:c r="K598" s="453">
        <x:v>600000</x:v>
      </x:c>
      <x:c r="L598" s="454">
        <x:v>600000</x:v>
      </x:c>
      <x:c r="M598" s="454">
        <x:v>600000</x:v>
      </x:c>
      <x:c r="N598" s="454">
        <x:v>600000</x:v>
      </x:c>
      <x:c r="O598" s="454">
        <x:v>600000</x:v>
      </x:c>
      <x:c r="P598" s="454">
        <x:v>600000</x:v>
      </x:c>
      <x:c r="Q598" s="454">
        <x:v>600000</x:v>
      </x:c>
      <x:c r="R598" s="454">
        <x:v>600000</x:v>
      </x:c>
      <x:c r="S598" s="454">
        <x:v>600000</x:v>
      </x:c>
      <x:c r="T598" s="454">
        <x:v>600000</x:v>
      </x:c>
      <x:c r="U598" s="454">
        <x:v>600000</x:v>
      </x:c>
      <x:c r="V598" s="455">
        <x:v>600000</x:v>
      </x:c>
      <x:c r="W598" s="456">
        <x:f t="shared" si="97"/>
        <x:v>7200000</x:v>
      </x:c>
      <x:c r="X598" s="450">
        <x:f t="shared" si="98"/>
        <x:v>600000</x:v>
      </x:c>
      <x:c r="Y598" s="457" t="s">
        <x:v>846</x:v>
      </x:c>
      <x:c r="Z598" s="458"/>
      <x:c r="AA598" s="458"/>
      <x:c r="AB598" s="458"/>
      <x:c r="AC598" s="458"/>
      <x:c r="AD598" s="458"/>
      <x:c r="AE598" s="458"/>
    </x:row>
    <x:row r="599" spans="1:31" ht="20.100000000000001" customHeight="1">
      <x:c r="A599" s="439" t="s">
        <x:v>88</x:v>
      </x:c>
      <x:c r="B599" s="466" t="str">
        <x:f t="shared" si="100"/>
        <x:v>복리후생비</x:v>
      </x:c>
      <x:c r="C599" s="440" t="str">
        <x:f t="shared" si="101"/>
        <x:v>후생비</x:v>
      </x:c>
      <x:c r="D599" s="441">
        <x:v>52130109</x:v>
      </x:c>
      <x:c r="E599" s="442" t="str">
        <x:f t="shared" si="102"/>
        <x:v>후생비_부서지원비</x:v>
      </x:c>
      <x:c r="F599" s="443"/>
      <x:c r="G599" s="444" t="s">
        <x:v>80</x:v>
      </x:c>
      <x:c r="H599" s="445" t="str">
        <x:f t="shared" si="99"/>
        <x:v>사업관리팀(E)</x:v>
      </x:c>
      <x:c r="I599" s="446" t="str">
        <x:f t="shared" si="103"/>
        <x:v>[관리비]</x:v>
      </x:c>
      <x:c r="J599" s="445"/>
      <x:c r="K599" s="453">
        <x:v>200000</x:v>
      </x:c>
      <x:c r="L599" s="454">
        <x:v>200000</x:v>
      </x:c>
      <x:c r="M599" s="454">
        <x:v>200000</x:v>
      </x:c>
      <x:c r="N599" s="454">
        <x:v>200000</x:v>
      </x:c>
      <x:c r="O599" s="454">
        <x:v>200000</x:v>
      </x:c>
      <x:c r="P599" s="454">
        <x:v>200000</x:v>
      </x:c>
      <x:c r="Q599" s="454">
        <x:v>200000</x:v>
      </x:c>
      <x:c r="R599" s="454">
        <x:v>200000</x:v>
      </x:c>
      <x:c r="S599" s="454">
        <x:v>200000</x:v>
      </x:c>
      <x:c r="T599" s="454">
        <x:v>200000</x:v>
      </x:c>
      <x:c r="U599" s="454">
        <x:v>200000</x:v>
      </x:c>
      <x:c r="V599" s="455">
        <x:v>200000</x:v>
      </x:c>
      <x:c r="W599" s="456">
        <x:f t="shared" si="97"/>
        <x:v>2400000</x:v>
      </x:c>
      <x:c r="X599" s="450">
        <x:f t="shared" si="98"/>
        <x:v>200000</x:v>
      </x:c>
      <x:c r="Y599" s="457" t="s">
        <x:v>846</x:v>
      </x:c>
      <x:c r="Z599" s="458"/>
      <x:c r="AA599" s="458"/>
      <x:c r="AB599" s="458"/>
      <x:c r="AC599" s="458"/>
      <x:c r="AD599" s="458"/>
      <x:c r="AE599" s="458"/>
    </x:row>
    <x:row r="600" spans="1:31" ht="20.100000000000001" customHeight="1">
      <x:c r="A600" s="439" t="s">
        <x:v>88</x:v>
      </x:c>
      <x:c r="B600" s="466" t="str">
        <x:f t="shared" si="100"/>
        <x:v>복리후생비</x:v>
      </x:c>
      <x:c r="C600" s="440" t="str">
        <x:f t="shared" si="101"/>
        <x:v>후생비</x:v>
      </x:c>
      <x:c r="D600" s="441">
        <x:v>52130109</x:v>
      </x:c>
      <x:c r="E600" s="442" t="str">
        <x:f t="shared" si="102"/>
        <x:v>후생비_부서지원비</x:v>
      </x:c>
      <x:c r="F600" s="443"/>
      <x:c r="G600" s="444" t="s">
        <x:v>104</x:v>
      </x:c>
      <x:c r="H600" s="445" t="str">
        <x:f t="shared" si="99"/>
        <x:v>제품개발팀(E)</x:v>
      </x:c>
      <x:c r="I600" s="446" t="str">
        <x:f t="shared" si="103"/>
        <x:v>[연구개발비]</x:v>
      </x:c>
      <x:c r="J600" s="445"/>
      <x:c r="K600" s="453">
        <x:v>280000</x:v>
      </x:c>
      <x:c r="L600" s="454">
        <x:v>280000</x:v>
      </x:c>
      <x:c r="M600" s="454">
        <x:v>280000</x:v>
      </x:c>
      <x:c r="N600" s="454">
        <x:v>280000</x:v>
      </x:c>
      <x:c r="O600" s="454">
        <x:v>280000</x:v>
      </x:c>
      <x:c r="P600" s="454">
        <x:v>280000</x:v>
      </x:c>
      <x:c r="Q600" s="454">
        <x:v>280000</x:v>
      </x:c>
      <x:c r="R600" s="454">
        <x:v>280000</x:v>
      </x:c>
      <x:c r="S600" s="454">
        <x:v>280000</x:v>
      </x:c>
      <x:c r="T600" s="454">
        <x:v>280000</x:v>
      </x:c>
      <x:c r="U600" s="454">
        <x:v>280000</x:v>
      </x:c>
      <x:c r="V600" s="455">
        <x:v>280000</x:v>
      </x:c>
      <x:c r="W600" s="456">
        <x:f t="shared" si="97"/>
        <x:v>3360000</x:v>
      </x:c>
      <x:c r="X600" s="450">
        <x:f t="shared" si="98"/>
        <x:v>280000</x:v>
      </x:c>
      <x:c r="Y600" s="457" t="s">
        <x:v>846</x:v>
      </x:c>
      <x:c r="Z600" s="458"/>
      <x:c r="AA600" s="458"/>
      <x:c r="AB600" s="458"/>
      <x:c r="AC600" s="458"/>
      <x:c r="AD600" s="458"/>
      <x:c r="AE600" s="458"/>
    </x:row>
    <x:row r="601" spans="1:31" ht="20.100000000000001" customHeight="1">
      <x:c r="A601" s="439" t="s">
        <x:v>88</x:v>
      </x:c>
      <x:c r="B601" s="466" t="str">
        <x:f t="shared" si="100"/>
        <x:v>복리후생비</x:v>
      </x:c>
      <x:c r="C601" s="440" t="str">
        <x:f t="shared" si="101"/>
        <x:v>후생비</x:v>
      </x:c>
      <x:c r="D601" s="441">
        <x:v>52130109</x:v>
      </x:c>
      <x:c r="E601" s="442" t="str">
        <x:f t="shared" si="102"/>
        <x:v>후생비_부서지원비</x:v>
      </x:c>
      <x:c r="F601" s="443"/>
      <x:c r="G601" s="444" t="s">
        <x:v>106</x:v>
      </x:c>
      <x:c r="H601" s="445" t="str">
        <x:f t="shared" si="99"/>
        <x:v>구매팀(E)</x:v>
      </x:c>
      <x:c r="I601" s="446" t="str">
        <x:f t="shared" si="103"/>
        <x:v>[관리비]</x:v>
      </x:c>
      <x:c r="J601" s="445"/>
      <x:c r="K601" s="453">
        <x:v>360000</x:v>
      </x:c>
      <x:c r="L601" s="454">
        <x:v>360000</x:v>
      </x:c>
      <x:c r="M601" s="454">
        <x:v>360000</x:v>
      </x:c>
      <x:c r="N601" s="454">
        <x:v>360000</x:v>
      </x:c>
      <x:c r="O601" s="454">
        <x:v>360000</x:v>
      </x:c>
      <x:c r="P601" s="454">
        <x:v>360000</x:v>
      </x:c>
      <x:c r="Q601" s="454">
        <x:v>360000</x:v>
      </x:c>
      <x:c r="R601" s="454">
        <x:v>360000</x:v>
      </x:c>
      <x:c r="S601" s="454">
        <x:v>360000</x:v>
      </x:c>
      <x:c r="T601" s="454">
        <x:v>360000</x:v>
      </x:c>
      <x:c r="U601" s="454">
        <x:v>360000</x:v>
      </x:c>
      <x:c r="V601" s="455">
        <x:v>360000</x:v>
      </x:c>
      <x:c r="W601" s="456">
        <x:f t="shared" si="97"/>
        <x:v>4320000</x:v>
      </x:c>
      <x:c r="X601" s="450">
        <x:f t="shared" si="98"/>
        <x:v>360000</x:v>
      </x:c>
      <x:c r="Y601" s="457" t="s">
        <x:v>846</x:v>
      </x:c>
      <x:c r="Z601" s="458"/>
      <x:c r="AA601" s="458"/>
      <x:c r="AB601" s="458"/>
      <x:c r="AC601" s="458"/>
      <x:c r="AD601" s="458"/>
      <x:c r="AE601" s="458"/>
    </x:row>
    <x:row r="602" spans="1:31" ht="20.100000000000001" customHeight="1">
      <x:c r="A602" s="439" t="s">
        <x:v>88</x:v>
      </x:c>
      <x:c r="B602" s="466" t="str">
        <x:f t="shared" si="100"/>
        <x:v>복리후생비</x:v>
      </x:c>
      <x:c r="C602" s="440" t="str">
        <x:f t="shared" si="101"/>
        <x:v>후생비</x:v>
      </x:c>
      <x:c r="D602" s="441">
        <x:v>52130109</x:v>
      </x:c>
      <x:c r="E602" s="442" t="str">
        <x:f t="shared" si="102"/>
        <x:v>후생비_부서지원비</x:v>
      </x:c>
      <x:c r="F602" s="443"/>
      <x:c r="G602" s="444" t="s">
        <x:v>82</x:v>
      </x:c>
      <x:c r="H602" s="445" t="str">
        <x:f t="shared" si="99"/>
        <x:v>생산기술팀(E)</x:v>
      </x:c>
      <x:c r="I602" s="446" t="str">
        <x:f t="shared" si="103"/>
        <x:v>[관리비]</x:v>
      </x:c>
      <x:c r="J602" s="445"/>
      <x:c r="K602" s="453">
        <x:v>480000</x:v>
      </x:c>
      <x:c r="L602" s="454">
        <x:v>480000</x:v>
      </x:c>
      <x:c r="M602" s="454">
        <x:v>480000</x:v>
      </x:c>
      <x:c r="N602" s="454">
        <x:v>480000</x:v>
      </x:c>
      <x:c r="O602" s="454">
        <x:v>480000</x:v>
      </x:c>
      <x:c r="P602" s="454">
        <x:v>480000</x:v>
      </x:c>
      <x:c r="Q602" s="454">
        <x:v>480000</x:v>
      </x:c>
      <x:c r="R602" s="454">
        <x:v>480000</x:v>
      </x:c>
      <x:c r="S602" s="454">
        <x:v>480000</x:v>
      </x:c>
      <x:c r="T602" s="454">
        <x:v>480000</x:v>
      </x:c>
      <x:c r="U602" s="454">
        <x:v>480000</x:v>
      </x:c>
      <x:c r="V602" s="455">
        <x:v>480000</x:v>
      </x:c>
      <x:c r="W602" s="456">
        <x:f t="shared" si="97"/>
        <x:v>5760000</x:v>
      </x:c>
      <x:c r="X602" s="450">
        <x:f t="shared" si="98"/>
        <x:v>480000</x:v>
      </x:c>
      <x:c r="Y602" s="457" t="s">
        <x:v>846</x:v>
      </x:c>
      <x:c r="Z602" s="458"/>
      <x:c r="AA602" s="458"/>
      <x:c r="AB602" s="458"/>
      <x:c r="AC602" s="458"/>
      <x:c r="AD602" s="458"/>
      <x:c r="AE602" s="458"/>
    </x:row>
    <x:row r="603" spans="1:31" ht="20.100000000000001" customHeight="1">
      <x:c r="A603" s="439" t="s">
        <x:v>88</x:v>
      </x:c>
      <x:c r="B603" s="466" t="str">
        <x:f t="shared" si="100"/>
        <x:v>복리후생비</x:v>
      </x:c>
      <x:c r="C603" s="440" t="str">
        <x:f t="shared" si="101"/>
        <x:v>후생비</x:v>
      </x:c>
      <x:c r="D603" s="441">
        <x:v>52130109</x:v>
      </x:c>
      <x:c r="E603" s="442" t="str">
        <x:f t="shared" si="102"/>
        <x:v>후생비_부서지원비</x:v>
      </x:c>
      <x:c r="F603" s="443"/>
      <x:c r="G603" s="444" t="s">
        <x:v>84</x:v>
      </x:c>
      <x:c r="H603" s="445" t="str">
        <x:f t="shared" si="99"/>
        <x:v>품질경영팀(E)</x:v>
      </x:c>
      <x:c r="I603" s="446" t="str">
        <x:f t="shared" si="103"/>
        <x:v>[관리비]</x:v>
      </x:c>
      <x:c r="J603" s="445"/>
      <x:c r="K603" s="453">
        <x:v>360000</x:v>
      </x:c>
      <x:c r="L603" s="454">
        <x:v>360000</x:v>
      </x:c>
      <x:c r="M603" s="454">
        <x:v>360000</x:v>
      </x:c>
      <x:c r="N603" s="454">
        <x:v>360000</x:v>
      </x:c>
      <x:c r="O603" s="454">
        <x:v>360000</x:v>
      </x:c>
      <x:c r="P603" s="454">
        <x:v>360000</x:v>
      </x:c>
      <x:c r="Q603" s="454">
        <x:v>360000</x:v>
      </x:c>
      <x:c r="R603" s="454">
        <x:v>360000</x:v>
      </x:c>
      <x:c r="S603" s="454">
        <x:v>360000</x:v>
      </x:c>
      <x:c r="T603" s="454">
        <x:v>360000</x:v>
      </x:c>
      <x:c r="U603" s="454">
        <x:v>360000</x:v>
      </x:c>
      <x:c r="V603" s="455">
        <x:v>360000</x:v>
      </x:c>
      <x:c r="W603" s="456">
        <x:f t="shared" si="97"/>
        <x:v>4320000</x:v>
      </x:c>
      <x:c r="X603" s="450">
        <x:f t="shared" si="98"/>
        <x:v>360000</x:v>
      </x:c>
      <x:c r="Y603" s="457" t="s">
        <x:v>846</x:v>
      </x:c>
      <x:c r="Z603" s="458"/>
      <x:c r="AA603" s="458"/>
      <x:c r="AB603" s="458"/>
      <x:c r="AC603" s="458"/>
      <x:c r="AD603" s="458"/>
      <x:c r="AE603" s="458"/>
    </x:row>
    <x:row r="604" spans="1:31" ht="20.100000000000001" customHeight="1">
      <x:c r="A604" s="439" t="s">
        <x:v>88</x:v>
      </x:c>
      <x:c r="B604" s="466" t="str">
        <x:f t="shared" si="100"/>
        <x:v>복리후생비</x:v>
      </x:c>
      <x:c r="C604" s="440" t="str">
        <x:f t="shared" si="101"/>
        <x:v>후생비</x:v>
      </x:c>
      <x:c r="D604" s="441">
        <x:v>52130109</x:v>
      </x:c>
      <x:c r="E604" s="442" t="str">
        <x:f t="shared" si="102"/>
        <x:v>후생비_부서지원비</x:v>
      </x:c>
      <x:c r="F604" s="443"/>
      <x:c r="G604" s="444" t="s">
        <x:v>245</x:v>
      </x:c>
      <x:c r="H604" s="445" t="str">
        <x:f t="shared" si="99"/>
        <x:v>생산기획팀(E)</x:v>
      </x:c>
      <x:c r="I604" s="446" t="str">
        <x:f t="shared" si="103"/>
        <x:v>[관리비]</x:v>
      </x:c>
      <x:c r="J604" s="445"/>
      <x:c r="K604" s="453">
        <x:v>320000</x:v>
      </x:c>
      <x:c r="L604" s="454">
        <x:v>320000</x:v>
      </x:c>
      <x:c r="M604" s="454">
        <x:v>320000</x:v>
      </x:c>
      <x:c r="N604" s="454">
        <x:v>320000</x:v>
      </x:c>
      <x:c r="O604" s="454">
        <x:v>320000</x:v>
      </x:c>
      <x:c r="P604" s="454">
        <x:v>320000</x:v>
      </x:c>
      <x:c r="Q604" s="454">
        <x:v>320000</x:v>
      </x:c>
      <x:c r="R604" s="454">
        <x:v>320000</x:v>
      </x:c>
      <x:c r="S604" s="454">
        <x:v>320000</x:v>
      </x:c>
      <x:c r="T604" s="454">
        <x:v>320000</x:v>
      </x:c>
      <x:c r="U604" s="454">
        <x:v>320000</x:v>
      </x:c>
      <x:c r="V604" s="455">
        <x:v>320000</x:v>
      </x:c>
      <x:c r="W604" s="456">
        <x:f t="shared" si="97"/>
        <x:v>3840000</x:v>
      </x:c>
      <x:c r="X604" s="450">
        <x:f t="shared" si="98"/>
        <x:v>320000</x:v>
      </x:c>
      <x:c r="Y604" s="457" t="s">
        <x:v>846</x:v>
      </x:c>
      <x:c r="Z604" s="458"/>
      <x:c r="AA604" s="458"/>
      <x:c r="AB604" s="458"/>
      <x:c r="AC604" s="458"/>
      <x:c r="AD604" s="458"/>
      <x:c r="AE604" s="458"/>
    </x:row>
    <x:row r="605" spans="1:31" ht="20.100000000000001" customHeight="1">
      <x:c r="A605" s="439" t="s">
        <x:v>88</x:v>
      </x:c>
      <x:c r="B605" s="466" t="str">
        <x:f t="shared" si="100"/>
        <x:v>복리후생비</x:v>
      </x:c>
      <x:c r="C605" s="440" t="str">
        <x:f t="shared" si="101"/>
        <x:v>후생비</x:v>
      </x:c>
      <x:c r="D605" s="441">
        <x:v>52130109</x:v>
      </x:c>
      <x:c r="E605" s="442" t="str">
        <x:f t="shared" si="102"/>
        <x:v>후생비_부서지원비</x:v>
      </x:c>
      <x:c r="F605" s="443"/>
      <x:c r="G605" s="444" t="s">
        <x:v>249</x:v>
      </x:c>
      <x:c r="H605" s="445" t="str">
        <x:f t="shared" si="99"/>
        <x:v>부품품질팀(E)</x:v>
      </x:c>
      <x:c r="I605" s="446" t="str">
        <x:f t="shared" si="103"/>
        <x:v>[관리비]</x:v>
      </x:c>
      <x:c r="J605" s="445"/>
      <x:c r="K605" s="453">
        <x:v>280000</x:v>
      </x:c>
      <x:c r="L605" s="454">
        <x:v>280000</x:v>
      </x:c>
      <x:c r="M605" s="454">
        <x:v>280000</x:v>
      </x:c>
      <x:c r="N605" s="454">
        <x:v>280000</x:v>
      </x:c>
      <x:c r="O605" s="454">
        <x:v>280000</x:v>
      </x:c>
      <x:c r="P605" s="454">
        <x:v>280000</x:v>
      </x:c>
      <x:c r="Q605" s="454">
        <x:v>280000</x:v>
      </x:c>
      <x:c r="R605" s="454">
        <x:v>280000</x:v>
      </x:c>
      <x:c r="S605" s="454">
        <x:v>280000</x:v>
      </x:c>
      <x:c r="T605" s="454">
        <x:v>280000</x:v>
      </x:c>
      <x:c r="U605" s="454">
        <x:v>280000</x:v>
      </x:c>
      <x:c r="V605" s="455">
        <x:v>280000</x:v>
      </x:c>
      <x:c r="W605" s="456">
        <x:f t="shared" si="97"/>
        <x:v>3360000</x:v>
      </x:c>
      <x:c r="X605" s="450">
        <x:f t="shared" si="98"/>
        <x:v>280000</x:v>
      </x:c>
      <x:c r="Y605" s="457" t="s">
        <x:v>846</x:v>
      </x:c>
      <x:c r="Z605" s="458"/>
      <x:c r="AA605" s="458"/>
      <x:c r="AB605" s="458"/>
      <x:c r="AC605" s="458"/>
      <x:c r="AD605" s="458"/>
      <x:c r="AE605" s="458"/>
    </x:row>
    <x:row r="606" spans="1:31" ht="20.100000000000001" customHeight="1">
      <x:c r="A606" s="439" t="s">
        <x:v>88</x:v>
      </x:c>
      <x:c r="B606" s="466" t="str">
        <x:f t="shared" si="100"/>
        <x:v>복리후생비</x:v>
      </x:c>
      <x:c r="C606" s="440" t="str">
        <x:f t="shared" si="101"/>
        <x:v>후생비</x:v>
      </x:c>
      <x:c r="D606" s="441">
        <x:v>52130109</x:v>
      </x:c>
      <x:c r="E606" s="442" t="str">
        <x:f t="shared" si="102"/>
        <x:v>후생비_부서지원비</x:v>
      </x:c>
      <x:c r="F606" s="443"/>
      <x:c r="G606" s="444" t="s">
        <x:v>247</x:v>
      </x:c>
      <x:c r="H606" s="445" t="str">
        <x:f t="shared" si="99"/>
        <x:v>영업팀(E)</x:v>
      </x:c>
      <x:c r="I606" s="446" t="str">
        <x:f t="shared" si="103"/>
        <x:v>[판매비]</x:v>
      </x:c>
      <x:c r="J606" s="445"/>
      <x:c r="K606" s="453">
        <x:v>320000</x:v>
      </x:c>
      <x:c r="L606" s="454">
        <x:v>320000</x:v>
      </x:c>
      <x:c r="M606" s="454">
        <x:v>320000</x:v>
      </x:c>
      <x:c r="N606" s="454">
        <x:v>320000</x:v>
      </x:c>
      <x:c r="O606" s="454">
        <x:v>320000</x:v>
      </x:c>
      <x:c r="P606" s="454">
        <x:v>320000</x:v>
      </x:c>
      <x:c r="Q606" s="454">
        <x:v>320000</x:v>
      </x:c>
      <x:c r="R606" s="454">
        <x:v>320000</x:v>
      </x:c>
      <x:c r="S606" s="454">
        <x:v>320000</x:v>
      </x:c>
      <x:c r="T606" s="454">
        <x:v>320000</x:v>
      </x:c>
      <x:c r="U606" s="454">
        <x:v>320000</x:v>
      </x:c>
      <x:c r="V606" s="455">
        <x:v>320000</x:v>
      </x:c>
      <x:c r="W606" s="456">
        <x:f t="shared" si="97"/>
        <x:v>3840000</x:v>
      </x:c>
      <x:c r="X606" s="450">
        <x:f t="shared" si="98"/>
        <x:v>320000</x:v>
      </x:c>
      <x:c r="Y606" s="457" t="s">
        <x:v>846</x:v>
      </x:c>
      <x:c r="Z606" s="458"/>
      <x:c r="AA606" s="458"/>
      <x:c r="AB606" s="458"/>
      <x:c r="AC606" s="458"/>
      <x:c r="AD606" s="458"/>
      <x:c r="AE606" s="458"/>
    </x:row>
    <x:row r="607" spans="1:31" ht="20.100000000000001" customHeight="1">
      <x:c r="A607" s="439" t="s">
        <x:v>88</x:v>
      </x:c>
      <x:c r="B607" s="466" t="str">
        <x:f t="shared" si="100"/>
        <x:v>복리후생비</x:v>
      </x:c>
      <x:c r="C607" s="440" t="str">
        <x:f t="shared" si="101"/>
        <x:v>후생비</x:v>
      </x:c>
      <x:c r="D607" s="441">
        <x:v>52130109</x:v>
      </x:c>
      <x:c r="E607" s="442" t="str">
        <x:f t="shared" si="102"/>
        <x:v>후생비_부서지원비</x:v>
      </x:c>
      <x:c r="F607" s="443"/>
      <x:c r="G607" s="444" t="s">
        <x:v>251</x:v>
      </x:c>
      <x:c r="H607" s="445" t="str">
        <x:f t="shared" si="99"/>
        <x:v>시작평가팀(E)</x:v>
      </x:c>
      <x:c r="I607" s="446" t="str">
        <x:f t="shared" si="103"/>
        <x:v>[연구개발비]</x:v>
      </x:c>
      <x:c r="J607" s="445"/>
      <x:c r="K607" s="453">
        <x:v>320000</x:v>
      </x:c>
      <x:c r="L607" s="454">
        <x:v>320000</x:v>
      </x:c>
      <x:c r="M607" s="454">
        <x:v>320000</x:v>
      </x:c>
      <x:c r="N607" s="454">
        <x:v>320000</x:v>
      </x:c>
      <x:c r="O607" s="454">
        <x:v>320000</x:v>
      </x:c>
      <x:c r="P607" s="454">
        <x:v>320000</x:v>
      </x:c>
      <x:c r="Q607" s="454">
        <x:v>320000</x:v>
      </x:c>
      <x:c r="R607" s="454">
        <x:v>320000</x:v>
      </x:c>
      <x:c r="S607" s="454">
        <x:v>320000</x:v>
      </x:c>
      <x:c r="T607" s="454">
        <x:v>320000</x:v>
      </x:c>
      <x:c r="U607" s="454">
        <x:v>320000</x:v>
      </x:c>
      <x:c r="V607" s="455">
        <x:v>320000</x:v>
      </x:c>
      <x:c r="W607" s="456">
        <x:f t="shared" ref="W607:W670" si="104">IFERROR(SUM(K607:V607),"")</x:f>
        <x:v>3840000</x:v>
      </x:c>
      <x:c r="X607" s="450">
        <x:f t="shared" si="98"/>
        <x:v>320000</x:v>
      </x:c>
      <x:c r="Y607" s="457" t="s">
        <x:v>846</x:v>
      </x:c>
      <x:c r="Z607" s="458"/>
      <x:c r="AA607" s="458"/>
      <x:c r="AB607" s="458"/>
      <x:c r="AC607" s="458"/>
      <x:c r="AD607" s="458"/>
      <x:c r="AE607" s="458"/>
    </x:row>
    <x:row r="608" spans="1:31" ht="20.100000000000001" customHeight="1">
      <x:c r="A608" s="439" t="s">
        <x:v>88</x:v>
      </x:c>
      <x:c r="B608" s="466" t="str">
        <x:f t="shared" si="100"/>
        <x:v>복리후생비</x:v>
      </x:c>
      <x:c r="C608" s="440" t="str">
        <x:f t="shared" si="101"/>
        <x:v>후생비</x:v>
      </x:c>
      <x:c r="D608" s="441">
        <x:v>52130139</x:v>
      </x:c>
      <x:c r="E608" s="442" t="str">
        <x:f t="shared" si="102"/>
        <x:v>후생비_교류활동비</x:v>
      </x:c>
      <x:c r="F608" s="443"/>
      <x:c r="G608" s="444" t="s">
        <x:v>103</x:v>
      </x:c>
      <x:c r="H608" s="445" t="str">
        <x:f t="shared" si="99"/>
        <x:v>전장사업부(E)</x:v>
      </x:c>
      <x:c r="I608" s="446" t="str">
        <x:f t="shared" si="103"/>
        <x:v>[관리비]</x:v>
      </x:c>
      <x:c r="J608" s="445"/>
      <x:c r="K608" s="453"/>
      <x:c r="L608" s="454">
        <x:v>200000</x:v>
      </x:c>
      <x:c r="M608" s="454"/>
      <x:c r="N608" s="454">
        <x:v>200000</x:v>
      </x:c>
      <x:c r="O608" s="454"/>
      <x:c r="P608" s="454"/>
      <x:c r="Q608" s="454">
        <x:v>200000</x:v>
      </x:c>
      <x:c r="R608" s="454"/>
      <x:c r="S608" s="454">
        <x:v>200000</x:v>
      </x:c>
      <x:c r="T608" s="454"/>
      <x:c r="U608" s="454"/>
      <x:c r="V608" s="455">
        <x:v>200000</x:v>
      </x:c>
      <x:c r="W608" s="456">
        <x:f t="shared" si="104"/>
        <x:v>1000000</x:v>
      </x:c>
      <x:c r="X608" s="450">
        <x:f t="shared" ref="X608:X671" si="105">IFERROR($W608/$Y$1,"")</x:f>
        <x:v>83333.333333333328</x:v>
      </x:c>
      <x:c r="Y608" s="457" t="s">
        <x:v>847</x:v>
      </x:c>
      <x:c r="Z608" s="458"/>
      <x:c r="AA608" s="458"/>
      <x:c r="AB608" s="458"/>
      <x:c r="AC608" s="458"/>
      <x:c r="AD608" s="458"/>
      <x:c r="AE608" s="458"/>
    </x:row>
    <x:row r="609" spans="1:31" ht="20.100000000000001" customHeight="1">
      <x:c r="A609" s="439" t="s">
        <x:v>88</x:v>
      </x:c>
      <x:c r="B609" s="466" t="str">
        <x:f t="shared" si="100"/>
        <x:v>복리후생비</x:v>
      </x:c>
      <x:c r="C609" s="440" t="str">
        <x:f t="shared" si="101"/>
        <x:v>후생비</x:v>
      </x:c>
      <x:c r="D609" s="441">
        <x:v>52130139</x:v>
      </x:c>
      <x:c r="E609" s="442" t="str">
        <x:f t="shared" si="102"/>
        <x:v>후생비_교류활동비</x:v>
      </x:c>
      <x:c r="F609" s="443"/>
      <x:c r="G609" s="444" t="s">
        <x:v>253</x:v>
      </x:c>
      <x:c r="H609" s="445" t="str">
        <x:f t="shared" si="99"/>
        <x:v>생산부문(E)</x:v>
      </x:c>
      <x:c r="I609" s="446" t="str">
        <x:f t="shared" si="103"/>
        <x:v>[관리비]</x:v>
      </x:c>
      <x:c r="J609" s="445"/>
      <x:c r="K609" s="453"/>
      <x:c r="L609" s="454">
        <x:v>200000</x:v>
      </x:c>
      <x:c r="M609" s="454"/>
      <x:c r="N609" s="454">
        <x:v>200000</x:v>
      </x:c>
      <x:c r="O609" s="454"/>
      <x:c r="P609" s="454"/>
      <x:c r="Q609" s="454">
        <x:v>200000</x:v>
      </x:c>
      <x:c r="R609" s="454"/>
      <x:c r="S609" s="454">
        <x:v>200000</x:v>
      </x:c>
      <x:c r="T609" s="454"/>
      <x:c r="U609" s="454"/>
      <x:c r="V609" s="455">
        <x:v>200000</x:v>
      </x:c>
      <x:c r="W609" s="456">
        <x:f t="shared" si="104"/>
        <x:v>1000000</x:v>
      </x:c>
      <x:c r="X609" s="450">
        <x:f t="shared" si="105"/>
        <x:v>83333.333333333328</x:v>
      </x:c>
      <x:c r="Y609" s="457" t="s">
        <x:v>847</x:v>
      </x:c>
      <x:c r="Z609" s="458"/>
      <x:c r="AA609" s="458"/>
      <x:c r="AB609" s="458"/>
      <x:c r="AC609" s="458"/>
      <x:c r="AD609" s="458"/>
      <x:c r="AE609" s="458"/>
    </x:row>
    <x:row r="610" spans="1:31" ht="20.100000000000001" customHeight="1">
      <x:c r="A610" s="439" t="s">
        <x:v>88</x:v>
      </x:c>
      <x:c r="B610" s="466" t="str">
        <x:f t="shared" si="100"/>
        <x:v>복리후생비</x:v>
      </x:c>
      <x:c r="C610" s="440" t="str">
        <x:f t="shared" si="101"/>
        <x:v>후생비</x:v>
      </x:c>
      <x:c r="D610" s="441">
        <x:v>52130139</x:v>
      </x:c>
      <x:c r="E610" s="442" t="str">
        <x:f t="shared" si="102"/>
        <x:v>후생비_교류활동비</x:v>
      </x:c>
      <x:c r="F610" s="443"/>
      <x:c r="G610" s="444" t="s">
        <x:v>114</x:v>
      </x:c>
      <x:c r="H610" s="445" t="str">
        <x:f t="shared" si="99"/>
        <x:v>연구개발부문(E)</x:v>
      </x:c>
      <x:c r="I610" s="446" t="str">
        <x:f t="shared" si="103"/>
        <x:v>[연구개발비]</x:v>
      </x:c>
      <x:c r="J610" s="445"/>
      <x:c r="K610" s="453">
        <x:v>200000</x:v>
      </x:c>
      <x:c r="L610" s="454"/>
      <x:c r="M610" s="454">
        <x:v>200000</x:v>
      </x:c>
      <x:c r="N610" s="454"/>
      <x:c r="O610" s="454"/>
      <x:c r="P610" s="454">
        <x:v>200000</x:v>
      </x:c>
      <x:c r="Q610" s="454"/>
      <x:c r="R610" s="454">
        <x:v>200000</x:v>
      </x:c>
      <x:c r="S610" s="454"/>
      <x:c r="T610" s="454"/>
      <x:c r="U610" s="454">
        <x:v>200000</x:v>
      </x:c>
      <x:c r="V610" s="455"/>
      <x:c r="W610" s="456">
        <x:f t="shared" si="104"/>
        <x:v>1000000</x:v>
      </x:c>
      <x:c r="X610" s="450">
        <x:f t="shared" si="105"/>
        <x:v>83333.333333333328</x:v>
      </x:c>
      <x:c r="Y610" s="457" t="s">
        <x:v>847</x:v>
      </x:c>
      <x:c r="Z610" s="458"/>
      <x:c r="AA610" s="458"/>
      <x:c r="AB610" s="458"/>
      <x:c r="AC610" s="458"/>
      <x:c r="AD610" s="458"/>
      <x:c r="AE610" s="458"/>
    </x:row>
    <x:row r="611" spans="1:31" ht="20.100000000000001" customHeight="1">
      <x:c r="A611" s="439" t="s">
        <x:v>88</x:v>
      </x:c>
      <x:c r="B611" s="466" t="str">
        <x:f t="shared" si="100"/>
        <x:v>복리후생비</x:v>
      </x:c>
      <x:c r="C611" s="440" t="str">
        <x:f t="shared" si="101"/>
        <x:v>후생비</x:v>
      </x:c>
      <x:c r="D611" s="441">
        <x:v>52130139</x:v>
      </x:c>
      <x:c r="E611" s="442" t="str">
        <x:f t="shared" si="102"/>
        <x:v>후생비_교류활동비</x:v>
      </x:c>
      <x:c r="F611" s="443"/>
      <x:c r="G611" s="444" t="s">
        <x:v>150</x:v>
      </x:c>
      <x:c r="H611" s="445" t="str">
        <x:f t="shared" si="99"/>
        <x:v>구매영업부문(E)</x:v>
      </x:c>
      <x:c r="I611" s="446" t="str">
        <x:f t="shared" si="103"/>
        <x:v>[판매비]</x:v>
      </x:c>
      <x:c r="J611" s="445"/>
      <x:c r="K611" s="453">
        <x:v>200000</x:v>
      </x:c>
      <x:c r="L611" s="454"/>
      <x:c r="M611" s="454">
        <x:v>200000</x:v>
      </x:c>
      <x:c r="N611" s="454"/>
      <x:c r="O611" s="454"/>
      <x:c r="P611" s="454">
        <x:v>200000</x:v>
      </x:c>
      <x:c r="Q611" s="454"/>
      <x:c r="R611" s="454">
        <x:v>200000</x:v>
      </x:c>
      <x:c r="S611" s="454"/>
      <x:c r="T611" s="454"/>
      <x:c r="U611" s="454">
        <x:v>200000</x:v>
      </x:c>
      <x:c r="V611" s="455"/>
      <x:c r="W611" s="456">
        <x:f t="shared" si="104"/>
        <x:v>1000000</x:v>
      </x:c>
      <x:c r="X611" s="450">
        <x:f t="shared" si="105"/>
        <x:v>83333.333333333328</x:v>
      </x:c>
      <x:c r="Y611" s="457" t="s">
        <x:v>847</x:v>
      </x:c>
      <x:c r="Z611" s="458"/>
      <x:c r="AA611" s="458"/>
      <x:c r="AB611" s="458"/>
      <x:c r="AC611" s="458"/>
      <x:c r="AD611" s="458"/>
      <x:c r="AE611" s="458"/>
    </x:row>
    <x:row r="612" spans="1:31" ht="20.100000000000001" customHeight="1">
      <x:c r="A612" s="439" t="s">
        <x:v>765</x:v>
      </x:c>
      <x:c r="B612" s="466" t="str">
        <x:f t="shared" si="100"/>
        <x:v>인건비</x:v>
      </x:c>
      <x:c r="C612" s="440" t="str">
        <x:f t="shared" si="101"/>
        <x:v>급여</x:v>
      </x:c>
      <x:c r="D612" s="441">
        <x:v>52110111</x:v>
      </x:c>
      <x:c r="E612" s="442" t="str">
        <x:f t="shared" si="102"/>
        <x:v>급여_직원본봉</x:v>
      </x:c>
      <x:c r="F612" s="443"/>
      <x:c r="G612" s="444" t="s">
        <x:v>85</x:v>
      </x:c>
      <x:c r="H612" s="445" t="str">
        <x:f t="shared" si="99"/>
        <x:v>부회장</x:v>
      </x:c>
      <x:c r="I612" s="446" t="str">
        <x:f t="shared" si="103"/>
        <x:v>[관리비]</x:v>
      </x:c>
      <x:c r="J612" s="445"/>
      <x:c r="K612" s="453">
        <x:v>4126967.1061771326</x:v>
      </x:c>
      <x:c r="L612" s="454">
        <x:v>4126967.1061771326</x:v>
      </x:c>
      <x:c r="M612" s="454">
        <x:v>4126967.1061771326</x:v>
      </x:c>
      <x:c r="N612" s="454">
        <x:v>4126967.1061771326</x:v>
      </x:c>
      <x:c r="O612" s="454">
        <x:v>4126967.1061771326</x:v>
      </x:c>
      <x:c r="P612" s="454">
        <x:v>4126967.1061771326</x:v>
      </x:c>
      <x:c r="Q612" s="454">
        <x:v>4126967.1061771326</x:v>
      </x:c>
      <x:c r="R612" s="454">
        <x:v>4126967.1061771326</x:v>
      </x:c>
      <x:c r="S612" s="454">
        <x:v>4126967.1061771326</x:v>
      </x:c>
      <x:c r="T612" s="454">
        <x:v>4126967.1061771326</x:v>
      </x:c>
      <x:c r="U612" s="454">
        <x:v>4126967.1061771326</x:v>
      </x:c>
      <x:c r="V612" s="455">
        <x:v>4126967.1061771326</x:v>
      </x:c>
      <x:c r="W612" s="456">
        <x:f t="shared" si="104"/>
        <x:v>49523605.274125606</x:v>
      </x:c>
      <x:c r="X612" s="450">
        <x:f t="shared" si="105"/>
        <x:v>4126967.106177134</x:v>
      </x:c>
      <x:c r="Y612" s="457"/>
      <x:c r="Z612" s="458"/>
      <x:c r="AA612" s="458"/>
      <x:c r="AB612" s="458"/>
      <x:c r="AC612" s="458"/>
      <x:c r="AD612" s="458"/>
      <x:c r="AE612" s="458"/>
    </x:row>
    <x:row r="613" spans="1:31" ht="20.100000000000001" customHeight="1">
      <x:c r="A613" s="439" t="s">
        <x:v>765</x:v>
      </x:c>
      <x:c r="B613" s="466" t="str">
        <x:f t="shared" si="100"/>
        <x:v>인건비</x:v>
      </x:c>
      <x:c r="C613" s="440" t="str">
        <x:f t="shared" si="101"/>
        <x:v>급여</x:v>
      </x:c>
      <x:c r="D613" s="441">
        <x:v>52110111</x:v>
      </x:c>
      <x:c r="E613" s="442" t="str">
        <x:f t="shared" si="102"/>
        <x:v>급여_직원본봉</x:v>
      </x:c>
      <x:c r="F613" s="443"/>
      <x:c r="G613" s="444" t="s">
        <x:v>318</x:v>
      </x:c>
      <x:c r="H613" s="445" t="str">
        <x:f t="shared" si="99"/>
        <x:v>대표이사</x:v>
      </x:c>
      <x:c r="I613" s="446" t="str">
        <x:f t="shared" si="103"/>
        <x:v>[관리비]</x:v>
      </x:c>
      <x:c r="J613" s="445"/>
      <x:c r="K613" s="453">
        <x:v>994653.37478745438</x:v>
      </x:c>
      <x:c r="L613" s="454">
        <x:v>994653.37478745438</x:v>
      </x:c>
      <x:c r="M613" s="454">
        <x:v>994653.37478745438</x:v>
      </x:c>
      <x:c r="N613" s="454">
        <x:v>994653.37478745438</x:v>
      </x:c>
      <x:c r="O613" s="454">
        <x:v>994653.37478745438</x:v>
      </x:c>
      <x:c r="P613" s="454">
        <x:v>994653.37478745438</x:v>
      </x:c>
      <x:c r="Q613" s="454">
        <x:v>994653.37478745438</x:v>
      </x:c>
      <x:c r="R613" s="454">
        <x:v>994653.37478745438</x:v>
      </x:c>
      <x:c r="S613" s="454">
        <x:v>994653.37478745438</x:v>
      </x:c>
      <x:c r="T613" s="454">
        <x:v>994653.37478745438</x:v>
      </x:c>
      <x:c r="U613" s="454">
        <x:v>994653.37478745438</x:v>
      </x:c>
      <x:c r="V613" s="455">
        <x:v>994653.37478745438</x:v>
      </x:c>
      <x:c r="W613" s="456">
        <x:f t="shared" si="104"/>
        <x:v>11935840.49744945</x:v>
      </x:c>
      <x:c r="X613" s="450">
        <x:f t="shared" si="105"/>
        <x:v>994653.37478745414</x:v>
      </x:c>
      <x:c r="Y613" s="457"/>
      <x:c r="Z613" s="458"/>
      <x:c r="AA613" s="458"/>
      <x:c r="AB613" s="458"/>
      <x:c r="AC613" s="458"/>
      <x:c r="AD613" s="458"/>
      <x:c r="AE613" s="458"/>
    </x:row>
    <x:row r="614" spans="1:31" ht="20.100000000000001" customHeight="1">
      <x:c r="A614" s="439" t="s">
        <x:v>765</x:v>
      </x:c>
      <x:c r="B614" s="466" t="str">
        <x:f t="shared" si="100"/>
        <x:v>인건비</x:v>
      </x:c>
      <x:c r="C614" s="440" t="str">
        <x:f t="shared" si="101"/>
        <x:v>급여</x:v>
      </x:c>
      <x:c r="D614" s="441">
        <x:v>52110111</x:v>
      </x:c>
      <x:c r="E614" s="442" t="str">
        <x:f t="shared" si="102"/>
        <x:v>급여_직원본봉</x:v>
      </x:c>
      <x:c r="F614" s="443"/>
      <x:c r="G614" s="444" t="s">
        <x:v>436</x:v>
      </x:c>
      <x:c r="H614" s="445" t="str">
        <x:f t="shared" si="99"/>
        <x:v>자문위원</x:v>
      </x:c>
      <x:c r="I614" s="446" t="str">
        <x:f t="shared" si="103"/>
        <x:v>[관리비]</x:v>
      </x:c>
      <x:c r="J614" s="445"/>
      <x:c r="K614" s="453">
        <x:v>271510.99382744293</x:v>
      </x:c>
      <x:c r="L614" s="454">
        <x:v>271510.99382744293</x:v>
      </x:c>
      <x:c r="M614" s="454">
        <x:v>271510.99382744293</x:v>
      </x:c>
      <x:c r="N614" s="454">
        <x:v>271510.99382744293</x:v>
      </x:c>
      <x:c r="O614" s="454">
        <x:v>271510.99382744293</x:v>
      </x:c>
      <x:c r="P614" s="454">
        <x:v>271510.99382744293</x:v>
      </x:c>
      <x:c r="Q614" s="454">
        <x:v>271510.99382744293</x:v>
      </x:c>
      <x:c r="R614" s="454">
        <x:v>271510.99382744293</x:v>
      </x:c>
      <x:c r="S614" s="454">
        <x:v>271510.99382744293</x:v>
      </x:c>
      <x:c r="T614" s="454">
        <x:v>271510.99382744293</x:v>
      </x:c>
      <x:c r="U614" s="454">
        <x:v>271510.99382744293</x:v>
      </x:c>
      <x:c r="V614" s="455">
        <x:v>271510.99382744293</x:v>
      </x:c>
      <x:c r="W614" s="456">
        <x:f t="shared" si="104"/>
        <x:v>3258131.9259293159</x:v>
      </x:c>
      <x:c r="X614" s="450">
        <x:f t="shared" si="105"/>
        <x:v>271510.99382744299</x:v>
      </x:c>
      <x:c r="Y614" s="457"/>
      <x:c r="Z614" s="458"/>
      <x:c r="AA614" s="458"/>
      <x:c r="AB614" s="458"/>
      <x:c r="AC614" s="458"/>
      <x:c r="AD614" s="458"/>
      <x:c r="AE614" s="458"/>
    </x:row>
    <x:row r="615" spans="1:31" ht="20.100000000000001" customHeight="1">
      <x:c r="A615" s="439" t="s">
        <x:v>765</x:v>
      </x:c>
      <x:c r="B615" s="466" t="str">
        <x:f t="shared" si="100"/>
        <x:v>인건비</x:v>
      </x:c>
      <x:c r="C615" s="440" t="str">
        <x:f t="shared" si="101"/>
        <x:v>급여</x:v>
      </x:c>
      <x:c r="D615" s="441">
        <x:v>52110111</x:v>
      </x:c>
      <x:c r="E615" s="442" t="str">
        <x:f t="shared" si="102"/>
        <x:v>급여_직원본봉</x:v>
      </x:c>
      <x:c r="F615" s="443"/>
      <x:c r="G615" s="444" t="s">
        <x:v>87</x:v>
      </x:c>
      <x:c r="H615" s="445" t="str">
        <x:f t="shared" si="99"/>
        <x:v>기획팀</x:v>
      </x:c>
      <x:c r="I615" s="446" t="str">
        <x:f t="shared" si="103"/>
        <x:v>[관리비]</x:v>
      </x:c>
      <x:c r="J615" s="445"/>
      <x:c r="K615" s="453">
        <x:v>1676325.1665502624</x:v>
      </x:c>
      <x:c r="L615" s="454">
        <x:v>1676325.1665502624</x:v>
      </x:c>
      <x:c r="M615" s="454">
        <x:v>1676325.1665502624</x:v>
      </x:c>
      <x:c r="N615" s="454">
        <x:v>1743378.1732122728</x:v>
      </x:c>
      <x:c r="O615" s="454">
        <x:v>1743378.1732122728</x:v>
      </x:c>
      <x:c r="P615" s="454">
        <x:v>1743378.1732122728</x:v>
      </x:c>
      <x:c r="Q615" s="454">
        <x:v>1743378.1732122728</x:v>
      </x:c>
      <x:c r="R615" s="454">
        <x:v>1743378.1732122728</x:v>
      </x:c>
      <x:c r="S615" s="454">
        <x:v>1743378.1732122728</x:v>
      </x:c>
      <x:c r="T615" s="454">
        <x:v>1743378.1732122728</x:v>
      </x:c>
      <x:c r="U615" s="454">
        <x:v>1743378.1732122728</x:v>
      </x:c>
      <x:c r="V615" s="455">
        <x:v>1743378.1732122728</x:v>
      </x:c>
      <x:c r="W615" s="456">
        <x:f t="shared" si="104"/>
        <x:v>20719379.058561239</x:v>
      </x:c>
      <x:c r="X615" s="450">
        <x:f t="shared" si="105"/>
        <x:v>1726614.92154677</x:v>
      </x:c>
      <x:c r="Y615" s="457"/>
      <x:c r="Z615" s="458"/>
      <x:c r="AA615" s="458"/>
      <x:c r="AB615" s="458"/>
      <x:c r="AC615" s="458"/>
      <x:c r="AD615" s="458"/>
      <x:c r="AE615" s="458"/>
    </x:row>
    <x:row r="616" spans="1:31" ht="20.100000000000001" customHeight="1">
      <x:c r="A616" s="439" t="s">
        <x:v>765</x:v>
      </x:c>
      <x:c r="B616" s="466" t="str">
        <x:f t="shared" si="100"/>
        <x:v>인건비</x:v>
      </x:c>
      <x:c r="C616" s="440" t="str">
        <x:f t="shared" si="101"/>
        <x:v>급여</x:v>
      </x:c>
      <x:c r="D616" s="441">
        <x:v>52110111</x:v>
      </x:c>
      <x:c r="E616" s="442" t="str">
        <x:f t="shared" si="102"/>
        <x:v>급여_직원본봉</x:v>
      </x:c>
      <x:c r="F616" s="443"/>
      <x:c r="G616" s="444" t="s">
        <x:v>89</x:v>
      </x:c>
      <x:c r="H616" s="445" t="str">
        <x:f t="shared" si="99"/>
        <x:v>기획담당</x:v>
      </x:c>
      <x:c r="I616" s="446" t="str">
        <x:f t="shared" si="103"/>
        <x:v>[관리비]</x:v>
      </x:c>
      <x:c r="J616" s="445"/>
      <x:c r="K616" s="453">
        <x:v>679320.50655626215</x:v>
      </x:c>
      <x:c r="L616" s="454">
        <x:v>679320.50655626215</x:v>
      </x:c>
      <x:c r="M616" s="454">
        <x:v>679320.50655626215</x:v>
      </x:c>
      <x:c r="N616" s="454">
        <x:v>679320.50655626215</x:v>
      </x:c>
      <x:c r="O616" s="454">
        <x:v>679320.50655626215</x:v>
      </x:c>
      <x:c r="P616" s="454">
        <x:v>679320.50655626215</x:v>
      </x:c>
      <x:c r="Q616" s="454">
        <x:v>679320.50655626215</x:v>
      </x:c>
      <x:c r="R616" s="454">
        <x:v>679320.50655626215</x:v>
      </x:c>
      <x:c r="S616" s="454">
        <x:v>679320.50655626215</x:v>
      </x:c>
      <x:c r="T616" s="454">
        <x:v>679320.50655626215</x:v>
      </x:c>
      <x:c r="U616" s="454">
        <x:v>679320.50655626215</x:v>
      </x:c>
      <x:c r="V616" s="455">
        <x:v>679320.50655626215</x:v>
      </x:c>
      <x:c r="W616" s="456">
        <x:f t="shared" si="104"/>
        <x:v>8151846.0786751462</x:v>
      </x:c>
      <x:c r="X616" s="450">
        <x:f t="shared" si="105"/>
        <x:v>679320.50655626215</x:v>
      </x:c>
      <x:c r="Y616" s="457"/>
      <x:c r="Z616" s="458"/>
      <x:c r="AA616" s="458"/>
      <x:c r="AB616" s="458"/>
      <x:c r="AC616" s="458"/>
      <x:c r="AD616" s="458"/>
      <x:c r="AE616" s="458"/>
    </x:row>
    <x:row r="617" spans="1:31" ht="20.100000000000001" customHeight="1">
      <x:c r="A617" s="439" t="s">
        <x:v>765</x:v>
      </x:c>
      <x:c r="B617" s="466" t="str">
        <x:f t="shared" si="100"/>
        <x:v>인건비</x:v>
      </x:c>
      <x:c r="C617" s="440" t="str">
        <x:f t="shared" si="101"/>
        <x:v>급여</x:v>
      </x:c>
      <x:c r="D617" s="441">
        <x:v>52110111</x:v>
      </x:c>
      <x:c r="E617" s="442" t="str">
        <x:f t="shared" si="102"/>
        <x:v>급여_직원본봉</x:v>
      </x:c>
      <x:c r="F617" s="443"/>
      <x:c r="G617" s="444" t="s">
        <x:v>91</x:v>
      </x:c>
      <x:c r="H617" s="445" t="str">
        <x:f t="shared" si="99"/>
        <x:v>인사총무팀</x:v>
      </x:c>
      <x:c r="I617" s="446" t="str">
        <x:f t="shared" si="103"/>
        <x:v>[관리비]</x:v>
      </x:c>
      <x:c r="J617" s="445"/>
      <x:c r="K617" s="453">
        <x:v>4253667.1684247209</x:v>
      </x:c>
      <x:c r="L617" s="454">
        <x:v>4253667.1684247209</x:v>
      </x:c>
      <x:c r="M617" s="454">
        <x:v>4081333.7104225666</x:v>
      </x:c>
      <x:c r="N617" s="454">
        <x:v>4001299.7414247859</x:v>
      </x:c>
      <x:c r="O617" s="454">
        <x:v>4001299.7414247859</x:v>
      </x:c>
      <x:c r="P617" s="454">
        <x:v>4001299.7414247859</x:v>
      </x:c>
      <x:c r="Q617" s="454">
        <x:v>4001299.7414247859</x:v>
      </x:c>
      <x:c r="R617" s="454">
        <x:v>4001299.7414247859</x:v>
      </x:c>
      <x:c r="S617" s="454">
        <x:v>4001299.7414247859</x:v>
      </x:c>
      <x:c r="T617" s="454">
        <x:v>4001299.7414247859</x:v>
      </x:c>
      <x:c r="U617" s="454">
        <x:v>4001299.7414247859</x:v>
      </x:c>
      <x:c r="V617" s="455">
        <x:v>4001299.7414247859</x:v>
      </x:c>
      <x:c r="W617" s="456">
        <x:f t="shared" si="104"/>
        <x:v>48600365.720095068</x:v>
      </x:c>
      <x:c r="X617" s="450">
        <x:f t="shared" si="105"/>
        <x:v>4050030.4766745889</x:v>
      </x:c>
      <x:c r="Y617" s="457"/>
      <x:c r="Z617" s="458"/>
      <x:c r="AA617" s="458"/>
      <x:c r="AB617" s="458"/>
      <x:c r="AC617" s="458"/>
      <x:c r="AD617" s="458"/>
      <x:c r="AE617" s="458"/>
    </x:row>
    <x:row r="618" spans="1:31" ht="20.100000000000001" customHeight="1">
      <x:c r="A618" s="439" t="s">
        <x:v>765</x:v>
      </x:c>
      <x:c r="B618" s="466" t="str">
        <x:f t="shared" si="100"/>
        <x:v>인건비</x:v>
      </x:c>
      <x:c r="C618" s="440" t="str">
        <x:f t="shared" si="101"/>
        <x:v>급여</x:v>
      </x:c>
      <x:c r="D618" s="441">
        <x:v>52110111</x:v>
      </x:c>
      <x:c r="E618" s="442" t="str">
        <x:f t="shared" si="102"/>
        <x:v>급여_직원본봉</x:v>
      </x:c>
      <x:c r="F618" s="443"/>
      <x:c r="G618" s="444" t="s">
        <x:v>93</x:v>
      </x:c>
      <x:c r="H618" s="445" t="str">
        <x:f t="shared" si="99"/>
        <x:v>인사총무담당</x:v>
      </x:c>
      <x:c r="I618" s="446" t="str">
        <x:f t="shared" si="103"/>
        <x:v>[관리비]</x:v>
      </x:c>
      <x:c r="J618" s="445"/>
      <x:c r="K618" s="453">
        <x:v>677854.34718959406</x:v>
      </x:c>
      <x:c r="L618" s="454">
        <x:v>677854.34718959406</x:v>
      </x:c>
      <x:c r="M618" s="454">
        <x:v>677854.34718959406</x:v>
      </x:c>
      <x:c r="N618" s="454">
        <x:v>677854.34718959406</x:v>
      </x:c>
      <x:c r="O618" s="454">
        <x:v>677854.34718959406</x:v>
      </x:c>
      <x:c r="P618" s="454">
        <x:v>677854.34718959406</x:v>
      </x:c>
      <x:c r="Q618" s="454">
        <x:v>677854.34718959406</x:v>
      </x:c>
      <x:c r="R618" s="454">
        <x:v>677854.34718959406</x:v>
      </x:c>
      <x:c r="S618" s="454">
        <x:v>677854.34718959406</x:v>
      </x:c>
      <x:c r="T618" s="454">
        <x:v>677854.34718959406</x:v>
      </x:c>
      <x:c r="U618" s="454">
        <x:v>677854.34718959406</x:v>
      </x:c>
      <x:c r="V618" s="455">
        <x:v>677854.34718959406</x:v>
      </x:c>
      <x:c r="W618" s="456">
        <x:f t="shared" si="104"/>
        <x:v>8134252.1662751287</x:v>
      </x:c>
      <x:c r="X618" s="450">
        <x:f t="shared" si="105"/>
        <x:v>677854.34718959406</x:v>
      </x:c>
      <x:c r="Y618" s="457"/>
      <x:c r="Z618" s="458"/>
      <x:c r="AA618" s="458"/>
      <x:c r="AB618" s="458"/>
      <x:c r="AC618" s="458"/>
      <x:c r="AD618" s="458"/>
      <x:c r="AE618" s="458"/>
    </x:row>
    <x:row r="619" spans="1:31" ht="20.100000000000001" customHeight="1">
      <x:c r="A619" s="439" t="s">
        <x:v>765</x:v>
      </x:c>
      <x:c r="B619" s="466" t="str">
        <x:f t="shared" si="100"/>
        <x:v>인건비</x:v>
      </x:c>
      <x:c r="C619" s="440" t="str">
        <x:f t="shared" si="101"/>
        <x:v>급여</x:v>
      </x:c>
      <x:c r="D619" s="441">
        <x:v>52110111</x:v>
      </x:c>
      <x:c r="E619" s="442" t="str">
        <x:f t="shared" si="102"/>
        <x:v>급여_직원본봉</x:v>
      </x:c>
      <x:c r="F619" s="443"/>
      <x:c r="G619" s="444" t="s">
        <x:v>95</x:v>
      </x:c>
      <x:c r="H619" s="445" t="str">
        <x:f t="shared" si="99"/>
        <x:v>재경담당</x:v>
      </x:c>
      <x:c r="I619" s="446" t="str">
        <x:f t="shared" si="103"/>
        <x:v>[관리비]</x:v>
      </x:c>
      <x:c r="J619" s="445"/>
      <x:c r="K619" s="453">
        <x:v>677854.34718959406</x:v>
      </x:c>
      <x:c r="L619" s="454">
        <x:v>677854.34718959406</x:v>
      </x:c>
      <x:c r="M619" s="454">
        <x:v>677854.34718959406</x:v>
      </x:c>
      <x:c r="N619" s="454">
        <x:v>677854.34718959406</x:v>
      </x:c>
      <x:c r="O619" s="454">
        <x:v>677854.34718959406</x:v>
      </x:c>
      <x:c r="P619" s="454">
        <x:v>677854.34718959406</x:v>
      </x:c>
      <x:c r="Q619" s="454">
        <x:v>677854.34718959406</x:v>
      </x:c>
      <x:c r="R619" s="454">
        <x:v>677854.34718959406</x:v>
      </x:c>
      <x:c r="S619" s="454">
        <x:v>677854.34718959406</x:v>
      </x:c>
      <x:c r="T619" s="454">
        <x:v>677854.34718959406</x:v>
      </x:c>
      <x:c r="U619" s="454">
        <x:v>677854.34718959406</x:v>
      </x:c>
      <x:c r="V619" s="455">
        <x:v>677854.34718959406</x:v>
      </x:c>
      <x:c r="W619" s="456">
        <x:f t="shared" si="104"/>
        <x:v>8134252.1662751287</x:v>
      </x:c>
      <x:c r="X619" s="450">
        <x:f t="shared" si="105"/>
        <x:v>677854.34718959406</x:v>
      </x:c>
      <x:c r="Y619" s="457"/>
      <x:c r="Z619" s="458"/>
      <x:c r="AA619" s="458"/>
      <x:c r="AB619" s="458"/>
      <x:c r="AC619" s="458"/>
      <x:c r="AD619" s="458"/>
      <x:c r="AE619" s="458"/>
    </x:row>
    <x:row r="620" spans="1:31" ht="20.100000000000001" customHeight="1">
      <x:c r="A620" s="439" t="s">
        <x:v>765</x:v>
      </x:c>
      <x:c r="B620" s="466" t="str">
        <x:f t="shared" si="100"/>
        <x:v>인건비</x:v>
      </x:c>
      <x:c r="C620" s="440" t="str">
        <x:f t="shared" si="101"/>
        <x:v>급여</x:v>
      </x:c>
      <x:c r="D620" s="441">
        <x:v>52110111</x:v>
      </x:c>
      <x:c r="E620" s="442" t="str">
        <x:f t="shared" si="102"/>
        <x:v>급여_직원본봉</x:v>
      </x:c>
      <x:c r="F620" s="443"/>
      <x:c r="G620" s="444" t="s">
        <x:v>97</x:v>
      </x:c>
      <x:c r="H620" s="445" t="str">
        <x:f t="shared" si="99"/>
        <x:v>재경팀</x:v>
      </x:c>
      <x:c r="I620" s="446" t="str">
        <x:f t="shared" si="103"/>
        <x:v>[관리비]</x:v>
      </x:c>
      <x:c r="J620" s="445"/>
      <x:c r="K620" s="453">
        <x:v>1291583.2278570225</x:v>
      </x:c>
      <x:c r="L620" s="454">
        <x:v>1291583.2278570225</x:v>
      </x:c>
      <x:c r="M620" s="454">
        <x:v>1291583.2278570225</x:v>
      </x:c>
      <x:c r="N620" s="454">
        <x:v>1343246.5569713034</x:v>
      </x:c>
      <x:c r="O620" s="454">
        <x:v>1343246.5569713034</x:v>
      </x:c>
      <x:c r="P620" s="454">
        <x:v>1343246.5569713034</x:v>
      </x:c>
      <x:c r="Q620" s="454">
        <x:v>1343246.5569713034</x:v>
      </x:c>
      <x:c r="R620" s="454">
        <x:v>1343246.5569713034</x:v>
      </x:c>
      <x:c r="S620" s="454">
        <x:v>1343246.5569713034</x:v>
      </x:c>
      <x:c r="T620" s="454">
        <x:v>1343246.5569713034</x:v>
      </x:c>
      <x:c r="U620" s="454">
        <x:v>1343246.5569713034</x:v>
      </x:c>
      <x:c r="V620" s="455">
        <x:v>1343246.5569713034</x:v>
      </x:c>
      <x:c r="W620" s="456">
        <x:f t="shared" si="104"/>
        <x:v>15963968.696312802</x:v>
      </x:c>
      <x:c r="X620" s="450">
        <x:f t="shared" si="105"/>
        <x:v>1330330.7246927335</x:v>
      </x:c>
      <x:c r="Y620" s="457"/>
      <x:c r="Z620" s="458"/>
      <x:c r="AA620" s="458"/>
      <x:c r="AB620" s="458"/>
      <x:c r="AC620" s="458"/>
      <x:c r="AD620" s="458"/>
      <x:c r="AE620" s="458"/>
    </x:row>
    <x:row r="621" spans="1:31" ht="20.100000000000001" customHeight="1">
      <x:c r="A621" s="439" t="s">
        <x:v>765</x:v>
      </x:c>
      <x:c r="B621" s="466" t="str">
        <x:f t="shared" si="100"/>
        <x:v>인건비</x:v>
      </x:c>
      <x:c r="C621" s="440" t="str">
        <x:f t="shared" si="101"/>
        <x:v>급여</x:v>
      </x:c>
      <x:c r="D621" s="441">
        <x:v>52110301</x:v>
      </x:c>
      <x:c r="E621" s="442" t="str">
        <x:f t="shared" si="102"/>
        <x:v>제수당_고정수당</x:v>
      </x:c>
      <x:c r="F621" s="443"/>
      <x:c r="G621" s="444" t="s">
        <x:v>318</x:v>
      </x:c>
      <x:c r="H621" s="445" t="str">
        <x:f t="shared" si="99"/>
        <x:v>대표이사</x:v>
      </x:c>
      <x:c r="I621" s="446" t="str">
        <x:f t="shared" si="103"/>
        <x:v>[관리비]</x:v>
      </x:c>
      <x:c r="J621" s="445"/>
      <x:c r="K621" s="453">
        <x:v>108604.39753097716</x:v>
      </x:c>
      <x:c r="L621" s="454">
        <x:v>108604.39753097716</x:v>
      </x:c>
      <x:c r="M621" s="454">
        <x:v>108604.39753097716</x:v>
      </x:c>
      <x:c r="N621" s="454">
        <x:v>108604.39753097716</x:v>
      </x:c>
      <x:c r="O621" s="454">
        <x:v>108604.39753097716</x:v>
      </x:c>
      <x:c r="P621" s="454">
        <x:v>108604.39753097716</x:v>
      </x:c>
      <x:c r="Q621" s="454">
        <x:v>108604.39753097716</x:v>
      </x:c>
      <x:c r="R621" s="454">
        <x:v>108604.39753097716</x:v>
      </x:c>
      <x:c r="S621" s="454">
        <x:v>108604.39753097716</x:v>
      </x:c>
      <x:c r="T621" s="454">
        <x:v>108604.39753097716</x:v>
      </x:c>
      <x:c r="U621" s="454">
        <x:v>108604.39753097716</x:v>
      </x:c>
      <x:c r="V621" s="455">
        <x:v>108604.39753097716</x:v>
      </x:c>
      <x:c r="W621" s="456">
        <x:f t="shared" si="104"/>
        <x:v>1303252.770371726</x:v>
      </x:c>
      <x:c r="X621" s="450">
        <x:f t="shared" si="105"/>
        <x:v>108604.39753097716</x:v>
      </x:c>
      <x:c r="Y621" s="457"/>
      <x:c r="Z621" s="458"/>
      <x:c r="AA621" s="458"/>
      <x:c r="AB621" s="458"/>
      <x:c r="AC621" s="458"/>
      <x:c r="AD621" s="458"/>
      <x:c r="AE621" s="458"/>
    </x:row>
    <x:row r="622" spans="1:31" ht="20.100000000000001" customHeight="1">
      <x:c r="A622" s="439" t="s">
        <x:v>765</x:v>
      </x:c>
      <x:c r="B622" s="466" t="str">
        <x:f t="shared" si="100"/>
        <x:v>인건비</x:v>
      </x:c>
      <x:c r="C622" s="440" t="str">
        <x:f t="shared" si="101"/>
        <x:v>급여</x:v>
      </x:c>
      <x:c r="D622" s="441">
        <x:v>52110301</x:v>
      </x:c>
      <x:c r="E622" s="442" t="str">
        <x:f t="shared" si="102"/>
        <x:v>제수당_고정수당</x:v>
      </x:c>
      <x:c r="F622" s="443"/>
      <x:c r="G622" s="444" t="s">
        <x:v>87</x:v>
      </x:c>
      <x:c r="H622" s="445" t="str">
        <x:f t="shared" si="99"/>
        <x:v>기획팀</x:v>
      </x:c>
      <x:c r="I622" s="446" t="str">
        <x:f t="shared" si="103"/>
        <x:v>[관리비]</x:v>
      </x:c>
      <x:c r="J622" s="445"/>
      <x:c r="K622" s="453">
        <x:v>168336.81617301461</x:v>
      </x:c>
      <x:c r="L622" s="454">
        <x:v>168336.81617301461</x:v>
      </x:c>
      <x:c r="M622" s="454">
        <x:v>168336.81617301461</x:v>
      </x:c>
      <x:c r="N622" s="454">
        <x:v>168336.81617301461</x:v>
      </x:c>
      <x:c r="O622" s="454">
        <x:v>168336.81617301461</x:v>
      </x:c>
      <x:c r="P622" s="454">
        <x:v>168336.81617301461</x:v>
      </x:c>
      <x:c r="Q622" s="454">
        <x:v>168336.81617301461</x:v>
      </x:c>
      <x:c r="R622" s="454">
        <x:v>168336.81617301461</x:v>
      </x:c>
      <x:c r="S622" s="454">
        <x:v>168336.81617301461</x:v>
      </x:c>
      <x:c r="T622" s="454">
        <x:v>168336.81617301461</x:v>
      </x:c>
      <x:c r="U622" s="454">
        <x:v>168336.81617301461</x:v>
      </x:c>
      <x:c r="V622" s="455">
        <x:v>168336.81617301461</x:v>
      </x:c>
      <x:c r="W622" s="456">
        <x:f t="shared" si="104"/>
        <x:v>2020041.7940761757</x:v>
      </x:c>
      <x:c r="X622" s="450">
        <x:f t="shared" si="105"/>
        <x:v>168336.81617301464</x:v>
      </x:c>
      <x:c r="Y622" s="457"/>
      <x:c r="Z622" s="458"/>
      <x:c r="AA622" s="458"/>
      <x:c r="AB622" s="458"/>
      <x:c r="AC622" s="458"/>
      <x:c r="AD622" s="458"/>
      <x:c r="AE622" s="458"/>
    </x:row>
    <x:row r="623" spans="1:31" ht="20.100000000000001" customHeight="1">
      <x:c r="A623" s="439" t="s">
        <x:v>765</x:v>
      </x:c>
      <x:c r="B623" s="466" t="str">
        <x:f t="shared" si="100"/>
        <x:v>인건비</x:v>
      </x:c>
      <x:c r="C623" s="440" t="str">
        <x:f t="shared" si="101"/>
        <x:v>급여</x:v>
      </x:c>
      <x:c r="D623" s="441">
        <x:v>52110301</x:v>
      </x:c>
      <x:c r="E623" s="442" t="str">
        <x:f t="shared" si="102"/>
        <x:v>제수당_고정수당</x:v>
      </x:c>
      <x:c r="F623" s="443"/>
      <x:c r="G623" s="444" t="s">
        <x:v>91</x:v>
      </x:c>
      <x:c r="H623" s="445" t="str">
        <x:f t="shared" si="99"/>
        <x:v>인사총무팀</x:v>
      </x:c>
      <x:c r="I623" s="446" t="str">
        <x:f t="shared" si="103"/>
        <x:v>[관리비]</x:v>
      </x:c>
      <x:c r="J623" s="445"/>
      <x:c r="K623" s="453">
        <x:v>346448.02812381717</x:v>
      </x:c>
      <x:c r="L623" s="454">
        <x:v>346448.02812381717</x:v>
      </x:c>
      <x:c r="M623" s="454">
        <x:v>324727.14861762174</x:v>
      </x:c>
      <x:c r="N623" s="454">
        <x:v>301377.20314846165</x:v>
      </x:c>
      <x:c r="O623" s="454">
        <x:v>24683064.448852837</x:v>
      </x:c>
      <x:c r="P623" s="454">
        <x:v>301377.20314846165</x:v>
      </x:c>
      <x:c r="Q623" s="454">
        <x:v>301377.20314846165</x:v>
      </x:c>
      <x:c r="R623" s="454">
        <x:v>301377.20314846165</x:v>
      </x:c>
      <x:c r="S623" s="454">
        <x:v>301377.20314846165</x:v>
      </x:c>
      <x:c r="T623" s="454">
        <x:v>301377.20314846165</x:v>
      </x:c>
      <x:c r="U623" s="454">
        <x:v>301377.20314846165</x:v>
      </x:c>
      <x:c r="V623" s="455">
        <x:v>301377.20314846165</x:v>
      </x:c>
      <x:c r="W623" s="456">
        <x:f t="shared" si="104"/>
        <x:v>28111705.278905787</x:v>
      </x:c>
      <x:c r="X623" s="450">
        <x:f t="shared" si="105"/>
        <x:v>2342642.1065754821</x:v>
      </x:c>
      <x:c r="Y623" s="457"/>
      <x:c r="Z623" s="458"/>
      <x:c r="AA623" s="458"/>
      <x:c r="AB623" s="458"/>
      <x:c r="AC623" s="458"/>
      <x:c r="AD623" s="458"/>
      <x:c r="AE623" s="458"/>
    </x:row>
    <x:row r="624" spans="1:31" ht="20.100000000000001" customHeight="1">
      <x:c r="A624" s="439" t="s">
        <x:v>765</x:v>
      </x:c>
      <x:c r="B624" s="466" t="str">
        <x:f t="shared" si="100"/>
        <x:v>인건비</x:v>
      </x:c>
      <x:c r="C624" s="440" t="str">
        <x:f t="shared" si="101"/>
        <x:v>급여</x:v>
      </x:c>
      <x:c r="D624" s="441">
        <x:v>52110301</x:v>
      </x:c>
      <x:c r="E624" s="442" t="str">
        <x:f t="shared" si="102"/>
        <x:v>제수당_고정수당</x:v>
      </x:c>
      <x:c r="F624" s="443"/>
      <x:c r="G624" s="444" t="s">
        <x:v>97</x:v>
      </x:c>
      <x:c r="H624" s="445" t="str">
        <x:f t="shared" si="99"/>
        <x:v>재경팀</x:v>
      </x:c>
      <x:c r="I624" s="446" t="str">
        <x:f t="shared" si="103"/>
        <x:v>[관리비]</x:v>
      </x:c>
      <x:c r="J624" s="445"/>
      <x:c r="K624" s="453">
        <x:v>123265.99119765908</x:v>
      </x:c>
      <x:c r="L624" s="454">
        <x:v>123265.99119765908</x:v>
      </x:c>
      <x:c r="M624" s="454">
        <x:v>123265.99119765908</x:v>
      </x:c>
      <x:c r="N624" s="454">
        <x:v>123265.99119765908</x:v>
      </x:c>
      <x:c r="O624" s="454">
        <x:v>123265.99119765908</x:v>
      </x:c>
      <x:c r="P624" s="454">
        <x:v>123265.99119765908</x:v>
      </x:c>
      <x:c r="Q624" s="454">
        <x:v>123265.99119765908</x:v>
      </x:c>
      <x:c r="R624" s="454">
        <x:v>123265.99119765908</x:v>
      </x:c>
      <x:c r="S624" s="454">
        <x:v>123265.99119765908</x:v>
      </x:c>
      <x:c r="T624" s="454">
        <x:v>123265.99119765908</x:v>
      </x:c>
      <x:c r="U624" s="454">
        <x:v>123265.99119765908</x:v>
      </x:c>
      <x:c r="V624" s="455">
        <x:v>123265.99119765908</x:v>
      </x:c>
      <x:c r="W624" s="456">
        <x:f t="shared" si="104"/>
        <x:v>1479191.8943719091</x:v>
      </x:c>
      <x:c r="X624" s="450">
        <x:f t="shared" si="105"/>
        <x:v>123265.9911976591</x:v>
      </x:c>
      <x:c r="Y624" s="457"/>
      <x:c r="Z624" s="458"/>
      <x:c r="AA624" s="458"/>
      <x:c r="AB624" s="458"/>
      <x:c r="AC624" s="458"/>
      <x:c r="AD624" s="458"/>
      <x:c r="AE624" s="458"/>
    </x:row>
    <x:row r="625" spans="1:31" ht="20.100000000000001" customHeight="1">
      <x:c r="A625" s="439" t="s">
        <x:v>765</x:v>
      </x:c>
      <x:c r="B625" s="466" t="str">
        <x:f t="shared" si="100"/>
        <x:v>인건비</x:v>
      </x:c>
      <x:c r="C625" s="440" t="str">
        <x:f t="shared" si="101"/>
        <x:v>급여</x:v>
      </x:c>
      <x:c r="D625" s="441">
        <x:v>52110303</x:v>
      </x:c>
      <x:c r="E625" s="442" t="str">
        <x:f t="shared" si="102"/>
        <x:v>제수당_변동수당</x:v>
      </x:c>
      <x:c r="F625" s="443"/>
      <x:c r="G625" s="444" t="s">
        <x:v>87</x:v>
      </x:c>
      <x:c r="H625" s="445" t="str">
        <x:f t="shared" si="99"/>
        <x:v>기획팀</x:v>
      </x:c>
      <x:c r="I625" s="446" t="str">
        <x:f t="shared" si="103"/>
        <x:v>[관리비]</x:v>
      </x:c>
      <x:c r="J625" s="445"/>
      <x:c r="K625" s="453">
        <x:v>661683.58681482158</x:v>
      </x:c>
      <x:c r="L625" s="454">
        <x:v>661683.58681482158</x:v>
      </x:c>
      <x:c r="M625" s="454">
        <x:v>661683.58681482158</x:v>
      </x:c>
      <x:c r="N625" s="454">
        <x:v>684786.34867520118</x:v>
      </x:c>
      <x:c r="O625" s="454">
        <x:v>684786.34867520118</x:v>
      </x:c>
      <x:c r="P625" s="454">
        <x:v>713566.51402091014</x:v>
      </x:c>
      <x:c r="Q625" s="454">
        <x:v>684786.34867520118</x:v>
      </x:c>
      <x:c r="R625" s="454">
        <x:v>684786.34867520118</x:v>
      </x:c>
      <x:c r="S625" s="454">
        <x:v>684786.34867520118</x:v>
      </x:c>
      <x:c r="T625" s="454">
        <x:v>684786.34867520118</x:v>
      </x:c>
      <x:c r="U625" s="454">
        <x:v>684786.34867520118</x:v>
      </x:c>
      <x:c r="V625" s="455">
        <x:v>713566.51402091014</x:v>
      </x:c>
      <x:c r="W625" s="456">
        <x:f t="shared" si="104"/>
        <x:v>8205688.229212692</x:v>
      </x:c>
      <x:c r="X625" s="450">
        <x:f t="shared" si="105"/>
        <x:v>683807.35243439104</x:v>
      </x:c>
      <x:c r="Y625" s="457"/>
      <x:c r="Z625" s="458"/>
      <x:c r="AA625" s="458"/>
      <x:c r="AB625" s="458"/>
      <x:c r="AC625" s="458"/>
      <x:c r="AD625" s="458"/>
      <x:c r="AE625" s="458"/>
    </x:row>
    <x:row r="626" spans="1:31" ht="20.100000000000001" customHeight="1">
      <x:c r="A626" s="439" t="s">
        <x:v>765</x:v>
      </x:c>
      <x:c r="B626" s="466" t="str">
        <x:f t="shared" si="100"/>
        <x:v>인건비</x:v>
      </x:c>
      <x:c r="C626" s="440" t="str">
        <x:f t="shared" si="101"/>
        <x:v>급여</x:v>
      </x:c>
      <x:c r="D626" s="441">
        <x:v>52110303</x:v>
      </x:c>
      <x:c r="E626" s="442" t="str">
        <x:f t="shared" si="102"/>
        <x:v>제수당_변동수당</x:v>
      </x:c>
      <x:c r="F626" s="443"/>
      <x:c r="G626" s="444" t="s">
        <x:v>91</x:v>
      </x:c>
      <x:c r="H626" s="445" t="str">
        <x:f t="shared" si="99"/>
        <x:v>인사총무팀</x:v>
      </x:c>
      <x:c r="I626" s="446" t="str">
        <x:f t="shared" si="103"/>
        <x:v>[관리비]</x:v>
      </x:c>
      <x:c r="J626" s="445"/>
      <x:c r="K626" s="453">
        <x:v>1349681.1503162188</x:v>
      </x:c>
      <x:c r="L626" s="454">
        <x:v>1349681.1503162188</x:v>
      </x:c>
      <x:c r="M626" s="454">
        <x:v>1270358.0188211584</x:v>
      </x:c>
      <x:c r="N626" s="454">
        <x:v>1217907.1992203805</x:v>
      </x:c>
      <x:c r="O626" s="454">
        <x:v>1217907.1992203805</x:v>
      </x:c>
      <x:c r="P626" s="454">
        <x:v>1388416.1033440146</x:v>
      </x:c>
      <x:c r="Q626" s="454">
        <x:v>1217907.1992203805</x:v>
      </x:c>
      <x:c r="R626" s="454">
        <x:v>1217907.1992203805</x:v>
      </x:c>
      <x:c r="S626" s="454">
        <x:v>1217907.1992203805</x:v>
      </x:c>
      <x:c r="T626" s="454">
        <x:v>1217907.1992203805</x:v>
      </x:c>
      <x:c r="U626" s="454">
        <x:v>1217907.1992203805</x:v>
      </x:c>
      <x:c r="V626" s="455">
        <x:v>1388416.1033440146</x:v>
      </x:c>
      <x:c r="W626" s="456">
        <x:f t="shared" si="104"/>
        <x:v>15271902.920684285</x:v>
      </x:c>
      <x:c r="X626" s="450">
        <x:f t="shared" si="105"/>
        <x:v>1272658.5767236904</x:v>
      </x:c>
      <x:c r="Y626" s="457"/>
      <x:c r="Z626" s="458"/>
      <x:c r="AA626" s="458"/>
      <x:c r="AB626" s="458"/>
      <x:c r="AC626" s="458"/>
      <x:c r="AD626" s="458"/>
      <x:c r="AE626" s="458"/>
    </x:row>
    <x:row r="627" spans="1:31" ht="20.100000000000001" customHeight="1">
      <x:c r="A627" s="439" t="s">
        <x:v>765</x:v>
      </x:c>
      <x:c r="B627" s="466" t="str">
        <x:f t="shared" si="100"/>
        <x:v>인건비</x:v>
      </x:c>
      <x:c r="C627" s="440" t="str">
        <x:f t="shared" si="101"/>
        <x:v>급여</x:v>
      </x:c>
      <x:c r="D627" s="441">
        <x:v>52110303</x:v>
      </x:c>
      <x:c r="E627" s="442" t="str">
        <x:f t="shared" si="102"/>
        <x:v>제수당_변동수당</x:v>
      </x:c>
      <x:c r="F627" s="443"/>
      <x:c r="G627" s="444" t="s">
        <x:v>97</x:v>
      </x:c>
      <x:c r="H627" s="445" t="str">
        <x:f t="shared" si="99"/>
        <x:v>재경팀</x:v>
      </x:c>
      <x:c r="I627" s="446" t="str">
        <x:f t="shared" si="103"/>
        <x:v>[관리비]</x:v>
      </x:c>
      <x:c r="J627" s="445"/>
      <x:c r="K627" s="453">
        <x:v>481161.24863443384</x:v>
      </x:c>
      <x:c r="L627" s="454">
        <x:v>481161.24863443384</x:v>
      </x:c>
      <x:c r="M627" s="454">
        <x:v>481161.24863443384</x:v>
      </x:c>
      <x:c r="N627" s="454">
        <x:v>497811.60602870304</x:v>
      </x:c>
      <x:c r="O627" s="454">
        <x:v>497811.60602870304</x:v>
      </x:c>
      <x:c r="P627" s="454">
        <x:v>502698.80391759699</x:v>
      </x:c>
      <x:c r="Q627" s="454">
        <x:v>497811.60602870304</x:v>
      </x:c>
      <x:c r="R627" s="454">
        <x:v>497811.60602870304</x:v>
      </x:c>
      <x:c r="S627" s="454">
        <x:v>497811.60602870304</x:v>
      </x:c>
      <x:c r="T627" s="454">
        <x:v>497811.60602870304</x:v>
      </x:c>
      <x:c r="U627" s="454">
        <x:v>497811.60602870304</x:v>
      </x:c>
      <x:c r="V627" s="455">
        <x:v>502698.80391759699</x:v>
      </x:c>
      <x:c r="W627" s="456">
        <x:f t="shared" si="104"/>
        <x:v>5933562.5959394174</x:v>
      </x:c>
      <x:c r="X627" s="450">
        <x:f t="shared" si="105"/>
        <x:v>494463.54966161813</x:v>
      </x:c>
      <x:c r="Y627" s="457"/>
      <x:c r="Z627" s="458"/>
      <x:c r="AA627" s="458"/>
      <x:c r="AB627" s="458"/>
      <x:c r="AC627" s="458"/>
      <x:c r="AD627" s="458"/>
      <x:c r="AE627" s="458"/>
    </x:row>
    <x:row r="628" spans="1:31" ht="20.100000000000001" customHeight="1">
      <x:c r="A628" s="439" t="s">
        <x:v>765</x:v>
      </x:c>
      <x:c r="B628" s="466" t="str">
        <x:f t="shared" si="100"/>
        <x:v>인건비</x:v>
      </x:c>
      <x:c r="C628" s="440" t="str">
        <x:f t="shared" si="101"/>
        <x:v>상여</x:v>
      </x:c>
      <x:c r="D628" s="441">
        <x:v>52110512</x:v>
      </x:c>
      <x:c r="E628" s="442" t="str">
        <x:f t="shared" si="102"/>
        <x:v>상여_특별상여</x:v>
      </x:c>
      <x:c r="F628" s="443"/>
      <x:c r="G628" s="444" t="s">
        <x:v>85</x:v>
      </x:c>
      <x:c r="H628" s="445" t="str">
        <x:f t="shared" si="99"/>
        <x:v>부회장</x:v>
      </x:c>
      <x:c r="I628" s="446" t="str">
        <x:f t="shared" si="103"/>
        <x:v>[관리비]</x:v>
      </x:c>
      <x:c r="J628" s="445"/>
      <x:c r="K628" s="453">
        <x:v>0</x:v>
      </x:c>
      <x:c r="L628" s="454">
        <x:v>38011.539135842009</x:v>
      </x:c>
      <x:c r="M628" s="454">
        <x:v>0</x:v>
      </x:c>
      <x:c r="N628" s="454">
        <x:v>0</x:v>
      </x:c>
      <x:c r="O628" s="454">
        <x:v>0</x:v>
      </x:c>
      <x:c r="P628" s="454">
        <x:v>0</x:v>
      </x:c>
      <x:c r="Q628" s="454">
        <x:v>38011.539135842009</x:v>
      </x:c>
      <x:c r="R628" s="454">
        <x:v>0</x:v>
      </x:c>
      <x:c r="S628" s="454">
        <x:v>0</x:v>
      </x:c>
      <x:c r="T628" s="454">
        <x:v>27151.099382744291</x:v>
      </x:c>
      <x:c r="U628" s="454">
        <x:v>27151.099382744291</x:v>
      </x:c>
      <x:c r="V628" s="455">
        <x:v>0</x:v>
      </x:c>
      <x:c r="W628" s="456">
        <x:f t="shared" si="104"/>
        <x:v>130325.27703717259</x:v>
      </x:c>
      <x:c r="X628" s="450">
        <x:f t="shared" si="105"/>
        <x:v>10860.439753097717</x:v>
      </x:c>
      <x:c r="Y628" s="457"/>
      <x:c r="Z628" s="458"/>
      <x:c r="AA628" s="458"/>
      <x:c r="AB628" s="458"/>
      <x:c r="AC628" s="458"/>
      <x:c r="AD628" s="458"/>
      <x:c r="AE628" s="458"/>
    </x:row>
    <x:row r="629" spans="1:31" ht="20.100000000000001" customHeight="1">
      <x:c r="A629" s="439" t="s">
        <x:v>765</x:v>
      </x:c>
      <x:c r="B629" s="466" t="str">
        <x:f t="shared" si="100"/>
        <x:v>인건비</x:v>
      </x:c>
      <x:c r="C629" s="440" t="str">
        <x:f t="shared" si="101"/>
        <x:v>상여</x:v>
      </x:c>
      <x:c r="D629" s="441">
        <x:v>52110512</x:v>
      </x:c>
      <x:c r="E629" s="442" t="str">
        <x:f t="shared" si="102"/>
        <x:v>상여_특별상여</x:v>
      </x:c>
      <x:c r="F629" s="443"/>
      <x:c r="G629" s="444" t="s">
        <x:v>318</x:v>
      </x:c>
      <x:c r="H629" s="445" t="str">
        <x:f t="shared" si="99"/>
        <x:v>대표이사</x:v>
      </x:c>
      <x:c r="I629" s="446" t="str">
        <x:f t="shared" si="103"/>
        <x:v>[관리비]</x:v>
      </x:c>
      <x:c r="J629" s="445"/>
      <x:c r="K629" s="453">
        <x:v>0</x:v>
      </x:c>
      <x:c r="L629" s="454">
        <x:v>38011.539135842009</x:v>
      </x:c>
      <x:c r="M629" s="454">
        <x:v>0</x:v>
      </x:c>
      <x:c r="N629" s="454">
        <x:v>0</x:v>
      </x:c>
      <x:c r="O629" s="454">
        <x:v>0</x:v>
      </x:c>
      <x:c r="P629" s="454">
        <x:v>0</x:v>
      </x:c>
      <x:c r="Q629" s="454">
        <x:v>38011.539135842009</x:v>
      </x:c>
      <x:c r="R629" s="454">
        <x:v>0</x:v>
      </x:c>
      <x:c r="S629" s="454">
        <x:v>0</x:v>
      </x:c>
      <x:c r="T629" s="454">
        <x:v>27151.099382744291</x:v>
      </x:c>
      <x:c r="U629" s="454">
        <x:v>27151.099382744291</x:v>
      </x:c>
      <x:c r="V629" s="455">
        <x:v>0</x:v>
      </x:c>
      <x:c r="W629" s="456">
        <x:f t="shared" si="104"/>
        <x:v>130325.27703717259</x:v>
      </x:c>
      <x:c r="X629" s="450">
        <x:f t="shared" si="105"/>
        <x:v>10860.439753097717</x:v>
      </x:c>
      <x:c r="Y629" s="457"/>
      <x:c r="Z629" s="458"/>
      <x:c r="AA629" s="458"/>
      <x:c r="AB629" s="458"/>
      <x:c r="AC629" s="458"/>
      <x:c r="AD629" s="458"/>
      <x:c r="AE629" s="458"/>
    </x:row>
    <x:row r="630" spans="1:31" ht="20.100000000000001" customHeight="1">
      <x:c r="A630" s="439" t="s">
        <x:v>765</x:v>
      </x:c>
      <x:c r="B630" s="466" t="str">
        <x:f t="shared" si="100"/>
        <x:v>인건비</x:v>
      </x:c>
      <x:c r="C630" s="440" t="str">
        <x:f t="shared" si="101"/>
        <x:v>상여</x:v>
      </x:c>
      <x:c r="D630" s="441">
        <x:v>52110512</x:v>
      </x:c>
      <x:c r="E630" s="442" t="str">
        <x:f t="shared" si="102"/>
        <x:v>상여_특별상여</x:v>
      </x:c>
      <x:c r="F630" s="443"/>
      <x:c r="G630" s="444" t="s">
        <x:v>87</x:v>
      </x:c>
      <x:c r="H630" s="445" t="str">
        <x:f t="shared" si="99"/>
        <x:v>기획팀</x:v>
      </x:c>
      <x:c r="I630" s="446" t="str">
        <x:f t="shared" si="103"/>
        <x:v>[관리비]</x:v>
      </x:c>
      <x:c r="J630" s="445"/>
      <x:c r="K630" s="453">
        <x:v>0</x:v>
      </x:c>
      <x:c r="L630" s="454">
        <x:v>266080.77395089407</x:v>
      </x:c>
      <x:c r="M630" s="454">
        <x:v>0</x:v>
      </x:c>
      <x:c r="N630" s="454">
        <x:v>0</x:v>
      </x:c>
      <x:c r="O630" s="454">
        <x:v>0</x:v>
      </x:c>
      <x:c r="P630" s="454">
        <x:v>0</x:v>
      </x:c>
      <x:c r="Q630" s="454">
        <x:v>266080.77395089407</x:v>
      </x:c>
      <x:c r="R630" s="454">
        <x:v>0</x:v>
      </x:c>
      <x:c r="S630" s="454">
        <x:v>0</x:v>
      </x:c>
      <x:c r="T630" s="454">
        <x:v>190057.69567921004</x:v>
      </x:c>
      <x:c r="U630" s="454">
        <x:v>190057.69567921004</x:v>
      </x:c>
      <x:c r="V630" s="455">
        <x:v>0</x:v>
      </x:c>
      <x:c r="W630" s="456">
        <x:f t="shared" si="104"/>
        <x:v>912276.93926020816</x:v>
      </x:c>
      <x:c r="X630" s="450">
        <x:f t="shared" si="105"/>
        <x:v>76023.078271684019</x:v>
      </x:c>
      <x:c r="Y630" s="457"/>
      <x:c r="Z630" s="458"/>
      <x:c r="AA630" s="458"/>
      <x:c r="AB630" s="458"/>
      <x:c r="AC630" s="458"/>
      <x:c r="AD630" s="458"/>
      <x:c r="AE630" s="458"/>
    </x:row>
    <x:row r="631" spans="1:31" ht="20.100000000000001" customHeight="1">
      <x:c r="A631" s="439" t="s">
        <x:v>765</x:v>
      </x:c>
      <x:c r="B631" s="466" t="str">
        <x:f t="shared" si="100"/>
        <x:v>인건비</x:v>
      </x:c>
      <x:c r="C631" s="440" t="str">
        <x:f t="shared" si="101"/>
        <x:v>상여</x:v>
      </x:c>
      <x:c r="D631" s="441">
        <x:v>52110512</x:v>
      </x:c>
      <x:c r="E631" s="442" t="str">
        <x:f t="shared" si="102"/>
        <x:v>상여_특별상여</x:v>
      </x:c>
      <x:c r="F631" s="443"/>
      <x:c r="G631" s="444" t="s">
        <x:v>89</x:v>
      </x:c>
      <x:c r="H631" s="445" t="str">
        <x:f t="shared" si="99"/>
        <x:v>기획담당</x:v>
      </x:c>
      <x:c r="I631" s="446" t="str">
        <x:f t="shared" si="103"/>
        <x:v>[관리비]</x:v>
      </x:c>
      <x:c r="J631" s="445"/>
      <x:c r="K631" s="453">
        <x:v>0</x:v>
      </x:c>
      <x:c r="L631" s="454">
        <x:v>38011.539135842009</x:v>
      </x:c>
      <x:c r="M631" s="454">
        <x:v>0</x:v>
      </x:c>
      <x:c r="N631" s="454">
        <x:v>0</x:v>
      </x:c>
      <x:c r="O631" s="454">
        <x:v>0</x:v>
      </x:c>
      <x:c r="P631" s="454">
        <x:v>0</x:v>
      </x:c>
      <x:c r="Q631" s="454">
        <x:v>38011.539135842009</x:v>
      </x:c>
      <x:c r="R631" s="454">
        <x:v>0</x:v>
      </x:c>
      <x:c r="S631" s="454">
        <x:v>0</x:v>
      </x:c>
      <x:c r="T631" s="454">
        <x:v>27151.099382744291</x:v>
      </x:c>
      <x:c r="U631" s="454">
        <x:v>27151.099382744291</x:v>
      </x:c>
      <x:c r="V631" s="455">
        <x:v>0</x:v>
      </x:c>
      <x:c r="W631" s="456">
        <x:f t="shared" si="104"/>
        <x:v>130325.27703717259</x:v>
      </x:c>
      <x:c r="X631" s="450">
        <x:f t="shared" si="105"/>
        <x:v>10860.439753097717</x:v>
      </x:c>
      <x:c r="Y631" s="457"/>
      <x:c r="Z631" s="458"/>
      <x:c r="AA631" s="458"/>
      <x:c r="AB631" s="458"/>
      <x:c r="AC631" s="458"/>
      <x:c r="AD631" s="458"/>
      <x:c r="AE631" s="458"/>
    </x:row>
    <x:row r="632" spans="1:31" ht="20.100000000000001" customHeight="1">
      <x:c r="A632" s="439" t="s">
        <x:v>765</x:v>
      </x:c>
      <x:c r="B632" s="466" t="str">
        <x:f t="shared" si="100"/>
        <x:v>인건비</x:v>
      </x:c>
      <x:c r="C632" s="440" t="str">
        <x:f t="shared" si="101"/>
        <x:v>상여</x:v>
      </x:c>
      <x:c r="D632" s="441">
        <x:v>52110512</x:v>
      </x:c>
      <x:c r="E632" s="442" t="str">
        <x:f t="shared" si="102"/>
        <x:v>상여_특별상여</x:v>
      </x:c>
      <x:c r="F632" s="443"/>
      <x:c r="G632" s="444" t="s">
        <x:v>91</x:v>
      </x:c>
      <x:c r="H632" s="445" t="str">
        <x:f t="shared" ref="H632:H695" si="106">IFERROR(VLOOKUP($G632,$AK:$AL,2,),"")</x:f>
        <x:v>인사총무팀</x:v>
      </x:c>
      <x:c r="I632" s="446" t="str">
        <x:f t="shared" si="103"/>
        <x:v>[관리비]</x:v>
      </x:c>
      <x:c r="J632" s="445"/>
      <x:c r="K632" s="453">
        <x:v>0</x:v>
      </x:c>
      <x:c r="L632" s="454">
        <x:v>1596484.6437053643</x:v>
      </x:c>
      <x:c r="M632" s="454">
        <x:v>0</x:v>
      </x:c>
      <x:c r="N632" s="454">
        <x:v>0</x:v>
      </x:c>
      <x:c r="O632" s="454">
        <x:v>0</x:v>
      </x:c>
      <x:c r="P632" s="454">
        <x:v>0</x:v>
      </x:c>
      <x:c r="Q632" s="454">
        <x:v>1596484.6437053643</x:v>
      </x:c>
      <x:c r="R632" s="454">
        <x:v>0</x:v>
      </x:c>
      <x:c r="S632" s="454">
        <x:v>0</x:v>
      </x:c>
      <x:c r="T632" s="454">
        <x:v>1140346.1740752603</x:v>
      </x:c>
      <x:c r="U632" s="454">
        <x:v>1140346.1740752603</x:v>
      </x:c>
      <x:c r="V632" s="455">
        <x:v>0</x:v>
      </x:c>
      <x:c r="W632" s="456">
        <x:f t="shared" si="104"/>
        <x:v>5473661.6355612502</x:v>
      </x:c>
      <x:c r="X632" s="450">
        <x:f t="shared" si="105"/>
        <x:v>456138.4696301042</x:v>
      </x:c>
      <x:c r="Y632" s="457"/>
      <x:c r="Z632" s="458"/>
      <x:c r="AA632" s="458"/>
      <x:c r="AB632" s="458"/>
      <x:c r="AC632" s="458"/>
      <x:c r="AD632" s="458"/>
      <x:c r="AE632" s="458"/>
    </x:row>
    <x:row r="633" spans="1:31" ht="20.100000000000001" customHeight="1">
      <x:c r="A633" s="439" t="s">
        <x:v>765</x:v>
      </x:c>
      <x:c r="B633" s="466" t="str">
        <x:f t="shared" si="100"/>
        <x:v>인건비</x:v>
      </x:c>
      <x:c r="C633" s="440" t="str">
        <x:f t="shared" si="101"/>
        <x:v>상여</x:v>
      </x:c>
      <x:c r="D633" s="441">
        <x:v>52110512</x:v>
      </x:c>
      <x:c r="E633" s="442" t="str">
        <x:f t="shared" si="102"/>
        <x:v>상여_특별상여</x:v>
      </x:c>
      <x:c r="F633" s="443"/>
      <x:c r="G633" s="444" t="s">
        <x:v>93</x:v>
      </x:c>
      <x:c r="H633" s="445" t="str">
        <x:f t="shared" si="106"/>
        <x:v>인사총무담당</x:v>
      </x:c>
      <x:c r="I633" s="446" t="str">
        <x:f t="shared" si="103"/>
        <x:v>[관리비]</x:v>
      </x:c>
      <x:c r="J633" s="445"/>
      <x:c r="K633" s="453">
        <x:v>0</x:v>
      </x:c>
      <x:c r="L633" s="454">
        <x:v>38011.539135842009</x:v>
      </x:c>
      <x:c r="M633" s="454">
        <x:v>0</x:v>
      </x:c>
      <x:c r="N633" s="454">
        <x:v>0</x:v>
      </x:c>
      <x:c r="O633" s="454">
        <x:v>0</x:v>
      </x:c>
      <x:c r="P633" s="454">
        <x:v>0</x:v>
      </x:c>
      <x:c r="Q633" s="454">
        <x:v>38011.539135842009</x:v>
      </x:c>
      <x:c r="R633" s="454">
        <x:v>0</x:v>
      </x:c>
      <x:c r="S633" s="454">
        <x:v>0</x:v>
      </x:c>
      <x:c r="T633" s="454">
        <x:v>27151.099382744291</x:v>
      </x:c>
      <x:c r="U633" s="454">
        <x:v>27151.099382744291</x:v>
      </x:c>
      <x:c r="V633" s="455">
        <x:v>0</x:v>
      </x:c>
      <x:c r="W633" s="456">
        <x:f t="shared" si="104"/>
        <x:v>130325.27703717259</x:v>
      </x:c>
      <x:c r="X633" s="450">
        <x:f t="shared" si="105"/>
        <x:v>10860.439753097717</x:v>
      </x:c>
      <x:c r="Y633" s="457"/>
      <x:c r="Z633" s="458"/>
      <x:c r="AA633" s="458"/>
      <x:c r="AB633" s="458"/>
      <x:c r="AC633" s="458"/>
      <x:c r="AD633" s="458"/>
      <x:c r="AE633" s="458"/>
    </x:row>
    <x:row r="634" spans="1:31" ht="20.100000000000001" customHeight="1">
      <x:c r="A634" s="439" t="s">
        <x:v>765</x:v>
      </x:c>
      <x:c r="B634" s="466" t="str">
        <x:f t="shared" si="100"/>
        <x:v>인건비</x:v>
      </x:c>
      <x:c r="C634" s="440" t="str">
        <x:f t="shared" si="101"/>
        <x:v>상여</x:v>
      </x:c>
      <x:c r="D634" s="441">
        <x:v>52110512</x:v>
      </x:c>
      <x:c r="E634" s="442" t="str">
        <x:f t="shared" si="102"/>
        <x:v>상여_특별상여</x:v>
      </x:c>
      <x:c r="F634" s="443"/>
      <x:c r="G634" s="444" t="s">
        <x:v>95</x:v>
      </x:c>
      <x:c r="H634" s="445" t="str">
        <x:f t="shared" si="106"/>
        <x:v>재경담당</x:v>
      </x:c>
      <x:c r="I634" s="446" t="str">
        <x:f t="shared" si="103"/>
        <x:v>[관리비]</x:v>
      </x:c>
      <x:c r="J634" s="445"/>
      <x:c r="K634" s="453">
        <x:v>0</x:v>
      </x:c>
      <x:c r="L634" s="454">
        <x:v>38011.539135842009</x:v>
      </x:c>
      <x:c r="M634" s="454">
        <x:v>0</x:v>
      </x:c>
      <x:c r="N634" s="454">
        <x:v>0</x:v>
      </x:c>
      <x:c r="O634" s="454">
        <x:v>0</x:v>
      </x:c>
      <x:c r="P634" s="454">
        <x:v>0</x:v>
      </x:c>
      <x:c r="Q634" s="454">
        <x:v>38011.539135842009</x:v>
      </x:c>
      <x:c r="R634" s="454">
        <x:v>0</x:v>
      </x:c>
      <x:c r="S634" s="454">
        <x:v>0</x:v>
      </x:c>
      <x:c r="T634" s="454">
        <x:v>27151.099382744291</x:v>
      </x:c>
      <x:c r="U634" s="454">
        <x:v>27151.099382744291</x:v>
      </x:c>
      <x:c r="V634" s="455">
        <x:v>0</x:v>
      </x:c>
      <x:c r="W634" s="456">
        <x:f t="shared" si="104"/>
        <x:v>130325.27703717259</x:v>
      </x:c>
      <x:c r="X634" s="450">
        <x:f t="shared" si="105"/>
        <x:v>10860.439753097717</x:v>
      </x:c>
      <x:c r="Y634" s="457"/>
      <x:c r="Z634" s="458"/>
      <x:c r="AA634" s="458"/>
      <x:c r="AB634" s="458"/>
      <x:c r="AC634" s="458"/>
      <x:c r="AD634" s="458"/>
      <x:c r="AE634" s="458"/>
    </x:row>
    <x:row r="635" spans="1:31" ht="20.100000000000001" customHeight="1">
      <x:c r="A635" s="439" t="s">
        <x:v>765</x:v>
      </x:c>
      <x:c r="B635" s="466" t="str">
        <x:f t="shared" si="100"/>
        <x:v>인건비</x:v>
      </x:c>
      <x:c r="C635" s="440" t="str">
        <x:f t="shared" si="101"/>
        <x:v>상여</x:v>
      </x:c>
      <x:c r="D635" s="441">
        <x:v>52110512</x:v>
      </x:c>
      <x:c r="E635" s="442" t="str">
        <x:f t="shared" si="102"/>
        <x:v>상여_특별상여</x:v>
      </x:c>
      <x:c r="F635" s="443"/>
      <x:c r="G635" s="444" t="s">
        <x:v>97</x:v>
      </x:c>
      <x:c r="H635" s="445" t="str">
        <x:f t="shared" si="106"/>
        <x:v>재경팀</x:v>
      </x:c>
      <x:c r="I635" s="446" t="str">
        <x:f t="shared" si="103"/>
        <x:v>[관리비]</x:v>
      </x:c>
      <x:c r="J635" s="445"/>
      <x:c r="K635" s="453">
        <x:v>0</x:v>
      </x:c>
      <x:c r="L635" s="454">
        <x:v>266080.77395089407</x:v>
      </x:c>
      <x:c r="M635" s="454">
        <x:v>0</x:v>
      </x:c>
      <x:c r="N635" s="454">
        <x:v>0</x:v>
      </x:c>
      <x:c r="O635" s="454">
        <x:v>0</x:v>
      </x:c>
      <x:c r="P635" s="454">
        <x:v>0</x:v>
      </x:c>
      <x:c r="Q635" s="454">
        <x:v>266080.77395089407</x:v>
      </x:c>
      <x:c r="R635" s="454">
        <x:v>0</x:v>
      </x:c>
      <x:c r="S635" s="454">
        <x:v>0</x:v>
      </x:c>
      <x:c r="T635" s="454">
        <x:v>190057.69567921004</x:v>
      </x:c>
      <x:c r="U635" s="454">
        <x:v>190057.69567921004</x:v>
      </x:c>
      <x:c r="V635" s="455">
        <x:v>0</x:v>
      </x:c>
      <x:c r="W635" s="456">
        <x:f t="shared" si="104"/>
        <x:v>912276.93926020816</x:v>
      </x:c>
      <x:c r="X635" s="450">
        <x:f t="shared" si="105"/>
        <x:v>76023.078271684019</x:v>
      </x:c>
      <x:c r="Y635" s="457"/>
      <x:c r="Z635" s="458"/>
      <x:c r="AA635" s="458"/>
      <x:c r="AB635" s="458"/>
      <x:c r="AC635" s="458"/>
      <x:c r="AD635" s="458"/>
      <x:c r="AE635" s="458"/>
    </x:row>
    <x:row r="636" spans="1:31" ht="20.100000000000001" customHeight="1">
      <x:c r="A636" s="439" t="s">
        <x:v>88</x:v>
      </x:c>
      <x:c r="B636" s="466" t="str">
        <x:f t="shared" si="100"/>
        <x:v>인건비</x:v>
      </x:c>
      <x:c r="C636" s="440" t="str">
        <x:f t="shared" si="101"/>
        <x:v>상여</x:v>
      </x:c>
      <x:c r="D636" s="441">
        <x:v>52110512</x:v>
      </x:c>
      <x:c r="E636" s="442" t="str">
        <x:f t="shared" si="102"/>
        <x:v>상여_특별상여</x:v>
      </x:c>
      <x:c r="F636" s="443"/>
      <x:c r="G636" s="444" t="s">
        <x:v>85</x:v>
      </x:c>
      <x:c r="H636" s="445" t="str">
        <x:f t="shared" si="106"/>
        <x:v>부회장</x:v>
      </x:c>
      <x:c r="I636" s="446" t="str">
        <x:f t="shared" si="103"/>
        <x:v>[관리비]</x:v>
      </x:c>
      <x:c r="J636" s="445"/>
      <x:c r="K636" s="453">
        <x:v>0</x:v>
      </x:c>
      <x:c r="L636" s="454">
        <x:v>0</x:v>
      </x:c>
      <x:c r="M636" s="454">
        <x:v>0</x:v>
      </x:c>
      <x:c r="N636" s="454">
        <x:v>0</x:v>
      </x:c>
      <x:c r="O636" s="454">
        <x:v>0</x:v>
      </x:c>
      <x:c r="P636" s="454">
        <x:v>0</x:v>
      </x:c>
      <x:c r="Q636" s="454">
        <x:v>0</x:v>
      </x:c>
      <x:c r="R636" s="454">
        <x:v>0</x:v>
      </x:c>
      <x:c r="S636" s="454">
        <x:v>0</x:v>
      </x:c>
      <x:c r="T636" s="454">
        <x:v>0</x:v>
      </x:c>
      <x:c r="U636" s="454">
        <x:v>0</x:v>
      </x:c>
      <x:c r="V636" s="455">
        <x:v>81453.298148232876</x:v>
      </x:c>
      <x:c r="W636" s="456">
        <x:f t="shared" si="104"/>
        <x:v>81453.298148232876</x:v>
      </x:c>
      <x:c r="X636" s="450">
        <x:f t="shared" si="105"/>
        <x:v>6787.7748456860727</x:v>
      </x:c>
      <x:c r="Y636" s="457"/>
      <x:c r="Z636" s="458"/>
      <x:c r="AA636" s="458"/>
      <x:c r="AB636" s="458"/>
      <x:c r="AC636" s="458"/>
      <x:c r="AD636" s="458"/>
      <x:c r="AE636" s="458"/>
    </x:row>
    <x:row r="637" spans="1:31" ht="20.100000000000001" customHeight="1">
      <x:c r="A637" s="439" t="s">
        <x:v>88</x:v>
      </x:c>
      <x:c r="B637" s="466" t="str">
        <x:f t="shared" si="100"/>
        <x:v>인건비</x:v>
      </x:c>
      <x:c r="C637" s="440" t="str">
        <x:f t="shared" si="101"/>
        <x:v>상여</x:v>
      </x:c>
      <x:c r="D637" s="441">
        <x:v>52110512</x:v>
      </x:c>
      <x:c r="E637" s="442" t="str">
        <x:f t="shared" si="102"/>
        <x:v>상여_특별상여</x:v>
      </x:c>
      <x:c r="F637" s="443"/>
      <x:c r="G637" s="444" t="s">
        <x:v>318</x:v>
      </x:c>
      <x:c r="H637" s="445" t="str">
        <x:f t="shared" si="106"/>
        <x:v>대표이사</x:v>
      </x:c>
      <x:c r="I637" s="446" t="str">
        <x:f t="shared" si="103"/>
        <x:v>[관리비]</x:v>
      </x:c>
      <x:c r="J637" s="445"/>
      <x:c r="K637" s="453">
        <x:v>0</x:v>
      </x:c>
      <x:c r="L637" s="454">
        <x:v>0</x:v>
      </x:c>
      <x:c r="M637" s="454">
        <x:v>0</x:v>
      </x:c>
      <x:c r="N637" s="454">
        <x:v>0</x:v>
      </x:c>
      <x:c r="O637" s="454">
        <x:v>0</x:v>
      </x:c>
      <x:c r="P637" s="454">
        <x:v>0</x:v>
      </x:c>
      <x:c r="Q637" s="454">
        <x:v>0</x:v>
      </x:c>
      <x:c r="R637" s="454">
        <x:v>0</x:v>
      </x:c>
      <x:c r="S637" s="454">
        <x:v>0</x:v>
      </x:c>
      <x:c r="T637" s="454">
        <x:v>0</x:v>
      </x:c>
      <x:c r="U637" s="454">
        <x:v>0</x:v>
      </x:c>
      <x:c r="V637" s="455">
        <x:v>81453.298148232876</x:v>
      </x:c>
      <x:c r="W637" s="456">
        <x:f t="shared" si="104"/>
        <x:v>81453.298148232876</x:v>
      </x:c>
      <x:c r="X637" s="450">
        <x:f t="shared" si="105"/>
        <x:v>6787.7748456860727</x:v>
      </x:c>
      <x:c r="Y637" s="457"/>
      <x:c r="Z637" s="458"/>
      <x:c r="AA637" s="458"/>
      <x:c r="AB637" s="458"/>
      <x:c r="AC637" s="458"/>
      <x:c r="AD637" s="458"/>
      <x:c r="AE637" s="458"/>
    </x:row>
    <x:row r="638" spans="1:31" ht="20.100000000000001" customHeight="1">
      <x:c r="A638" s="439" t="s">
        <x:v>88</x:v>
      </x:c>
      <x:c r="B638" s="466" t="str">
        <x:f t="shared" si="100"/>
        <x:v>인건비</x:v>
      </x:c>
      <x:c r="C638" s="440" t="str">
        <x:f t="shared" si="101"/>
        <x:v>상여</x:v>
      </x:c>
      <x:c r="D638" s="441">
        <x:v>52110512</x:v>
      </x:c>
      <x:c r="E638" s="442" t="str">
        <x:f t="shared" si="102"/>
        <x:v>상여_특별상여</x:v>
      </x:c>
      <x:c r="F638" s="443"/>
      <x:c r="G638" s="444" t="s">
        <x:v>87</x:v>
      </x:c>
      <x:c r="H638" s="445" t="str">
        <x:f t="shared" si="106"/>
        <x:v>기획팀</x:v>
      </x:c>
      <x:c r="I638" s="446" t="str">
        <x:f t="shared" si="103"/>
        <x:v>[관리비]</x:v>
      </x:c>
      <x:c r="J638" s="445"/>
      <x:c r="K638" s="453">
        <x:v>0</x:v>
      </x:c>
      <x:c r="L638" s="454">
        <x:v>0</x:v>
      </x:c>
      <x:c r="M638" s="454">
        <x:v>0</x:v>
      </x:c>
      <x:c r="N638" s="454">
        <x:v>0</x:v>
      </x:c>
      <x:c r="O638" s="454">
        <x:v>0</x:v>
      </x:c>
      <x:c r="P638" s="454">
        <x:v>0</x:v>
      </x:c>
      <x:c r="Q638" s="454">
        <x:v>0</x:v>
      </x:c>
      <x:c r="R638" s="454">
        <x:v>0</x:v>
      </x:c>
      <x:c r="S638" s="454">
        <x:v>0</x:v>
      </x:c>
      <x:c r="T638" s="454">
        <x:v>0</x:v>
      </x:c>
      <x:c r="U638" s="454">
        <x:v>0</x:v>
      </x:c>
      <x:c r="V638" s="455">
        <x:v>570173.08703763015</x:v>
      </x:c>
      <x:c r="W638" s="456">
        <x:f t="shared" si="104"/>
        <x:v>570173.08703763015</x:v>
      </x:c>
      <x:c r="X638" s="450">
        <x:f t="shared" si="105"/>
        <x:v>47514.42391980251</x:v>
      </x:c>
      <x:c r="Y638" s="457"/>
      <x:c r="Z638" s="458"/>
      <x:c r="AA638" s="458"/>
      <x:c r="AB638" s="458"/>
      <x:c r="AC638" s="458"/>
      <x:c r="AD638" s="458"/>
      <x:c r="AE638" s="458"/>
    </x:row>
    <x:row r="639" spans="1:31" ht="20.100000000000001" customHeight="1">
      <x:c r="A639" s="439" t="s">
        <x:v>88</x:v>
      </x:c>
      <x:c r="B639" s="466" t="str">
        <x:f t="shared" si="100"/>
        <x:v>인건비</x:v>
      </x:c>
      <x:c r="C639" s="440" t="str">
        <x:f t="shared" si="101"/>
        <x:v>상여</x:v>
      </x:c>
      <x:c r="D639" s="441">
        <x:v>52110512</x:v>
      </x:c>
      <x:c r="E639" s="442" t="str">
        <x:f t="shared" si="102"/>
        <x:v>상여_특별상여</x:v>
      </x:c>
      <x:c r="F639" s="443"/>
      <x:c r="G639" s="444" t="s">
        <x:v>89</x:v>
      </x:c>
      <x:c r="H639" s="445" t="str">
        <x:f t="shared" si="106"/>
        <x:v>기획담당</x:v>
      </x:c>
      <x:c r="I639" s="446" t="str">
        <x:f t="shared" si="103"/>
        <x:v>[관리비]</x:v>
      </x:c>
      <x:c r="J639" s="445"/>
      <x:c r="K639" s="453">
        <x:v>0</x:v>
      </x:c>
      <x:c r="L639" s="454">
        <x:v>0</x:v>
      </x:c>
      <x:c r="M639" s="454">
        <x:v>0</x:v>
      </x:c>
      <x:c r="N639" s="454">
        <x:v>0</x:v>
      </x:c>
      <x:c r="O639" s="454">
        <x:v>0</x:v>
      </x:c>
      <x:c r="P639" s="454">
        <x:v>0</x:v>
      </x:c>
      <x:c r="Q639" s="454">
        <x:v>0</x:v>
      </x:c>
      <x:c r="R639" s="454">
        <x:v>0</x:v>
      </x:c>
      <x:c r="S639" s="454">
        <x:v>0</x:v>
      </x:c>
      <x:c r="T639" s="454">
        <x:v>0</x:v>
      </x:c>
      <x:c r="U639" s="454">
        <x:v>0</x:v>
      </x:c>
      <x:c r="V639" s="455">
        <x:v>81453.298148232876</x:v>
      </x:c>
      <x:c r="W639" s="456">
        <x:f t="shared" si="104"/>
        <x:v>81453.298148232876</x:v>
      </x:c>
      <x:c r="X639" s="450">
        <x:f t="shared" si="105"/>
        <x:v>6787.7748456860727</x:v>
      </x:c>
      <x:c r="Y639" s="457"/>
      <x:c r="Z639" s="458"/>
      <x:c r="AA639" s="458"/>
      <x:c r="AB639" s="458"/>
      <x:c r="AC639" s="458"/>
      <x:c r="AD639" s="458"/>
      <x:c r="AE639" s="458"/>
    </x:row>
    <x:row r="640" spans="1:31" ht="20.100000000000001" customHeight="1">
      <x:c r="A640" s="439" t="s">
        <x:v>88</x:v>
      </x:c>
      <x:c r="B640" s="466" t="str">
        <x:f t="shared" si="100"/>
        <x:v>인건비</x:v>
      </x:c>
      <x:c r="C640" s="440" t="str">
        <x:f t="shared" si="101"/>
        <x:v>상여</x:v>
      </x:c>
      <x:c r="D640" s="441">
        <x:v>52110512</x:v>
      </x:c>
      <x:c r="E640" s="442" t="str">
        <x:f t="shared" si="102"/>
        <x:v>상여_특별상여</x:v>
      </x:c>
      <x:c r="F640" s="443"/>
      <x:c r="G640" s="444" t="s">
        <x:v>91</x:v>
      </x:c>
      <x:c r="H640" s="445" t="str">
        <x:f t="shared" si="106"/>
        <x:v>인사총무팀</x:v>
      </x:c>
      <x:c r="I640" s="446" t="str">
        <x:f t="shared" si="103"/>
        <x:v>[관리비]</x:v>
      </x:c>
      <x:c r="J640" s="445"/>
      <x:c r="K640" s="453">
        <x:v>0</x:v>
      </x:c>
      <x:c r="L640" s="454">
        <x:v>0</x:v>
      </x:c>
      <x:c r="M640" s="454">
        <x:v>0</x:v>
      </x:c>
      <x:c r="N640" s="454">
        <x:v>0</x:v>
      </x:c>
      <x:c r="O640" s="454">
        <x:v>0</x:v>
      </x:c>
      <x:c r="P640" s="454">
        <x:v>0</x:v>
      </x:c>
      <x:c r="Q640" s="454">
        <x:v>0</x:v>
      </x:c>
      <x:c r="R640" s="454">
        <x:v>0</x:v>
      </x:c>
      <x:c r="S640" s="454">
        <x:v>0</x:v>
      </x:c>
      <x:c r="T640" s="454">
        <x:v>0</x:v>
      </x:c>
      <x:c r="U640" s="454">
        <x:v>0</x:v>
      </x:c>
      <x:c r="V640" s="455">
        <x:v>3421038.5222257809</x:v>
      </x:c>
      <x:c r="W640" s="456">
        <x:f t="shared" si="104"/>
        <x:v>3421038.5222257809</x:v>
      </x:c>
      <x:c r="X640" s="450">
        <x:f t="shared" si="105"/>
        <x:v>285086.54351881507</x:v>
      </x:c>
      <x:c r="Y640" s="457"/>
      <x:c r="Z640" s="458"/>
      <x:c r="AA640" s="458"/>
      <x:c r="AB640" s="458"/>
      <x:c r="AC640" s="458"/>
      <x:c r="AD640" s="458"/>
      <x:c r="AE640" s="458"/>
    </x:row>
    <x:row r="641" spans="1:31" ht="20.100000000000001" customHeight="1">
      <x:c r="A641" s="439" t="s">
        <x:v>88</x:v>
      </x:c>
      <x:c r="B641" s="466" t="str">
        <x:f t="shared" si="100"/>
        <x:v>인건비</x:v>
      </x:c>
      <x:c r="C641" s="440" t="str">
        <x:f t="shared" si="101"/>
        <x:v>상여</x:v>
      </x:c>
      <x:c r="D641" s="441">
        <x:v>52110512</x:v>
      </x:c>
      <x:c r="E641" s="442" t="str">
        <x:f t="shared" si="102"/>
        <x:v>상여_특별상여</x:v>
      </x:c>
      <x:c r="F641" s="443"/>
      <x:c r="G641" s="444" t="s">
        <x:v>93</x:v>
      </x:c>
      <x:c r="H641" s="445" t="str">
        <x:f t="shared" si="106"/>
        <x:v>인사총무담당</x:v>
      </x:c>
      <x:c r="I641" s="446" t="str">
        <x:f t="shared" si="103"/>
        <x:v>[관리비]</x:v>
      </x:c>
      <x:c r="J641" s="445"/>
      <x:c r="K641" s="453">
        <x:v>0</x:v>
      </x:c>
      <x:c r="L641" s="454">
        <x:v>0</x:v>
      </x:c>
      <x:c r="M641" s="454">
        <x:v>0</x:v>
      </x:c>
      <x:c r="N641" s="454">
        <x:v>0</x:v>
      </x:c>
      <x:c r="O641" s="454">
        <x:v>0</x:v>
      </x:c>
      <x:c r="P641" s="454">
        <x:v>0</x:v>
      </x:c>
      <x:c r="Q641" s="454">
        <x:v>0</x:v>
      </x:c>
      <x:c r="R641" s="454">
        <x:v>0</x:v>
      </x:c>
      <x:c r="S641" s="454">
        <x:v>0</x:v>
      </x:c>
      <x:c r="T641" s="454">
        <x:v>0</x:v>
      </x:c>
      <x:c r="U641" s="454">
        <x:v>0</x:v>
      </x:c>
      <x:c r="V641" s="455">
        <x:v>81453.298148232876</x:v>
      </x:c>
      <x:c r="W641" s="456">
        <x:f t="shared" si="104"/>
        <x:v>81453.298148232876</x:v>
      </x:c>
      <x:c r="X641" s="450">
        <x:f t="shared" si="105"/>
        <x:v>6787.7748456860727</x:v>
      </x:c>
      <x:c r="Y641" s="457"/>
      <x:c r="Z641" s="458"/>
      <x:c r="AA641" s="458"/>
      <x:c r="AB641" s="458"/>
      <x:c r="AC641" s="458"/>
      <x:c r="AD641" s="458"/>
      <x:c r="AE641" s="458"/>
    </x:row>
    <x:row r="642" spans="1:31" ht="20.100000000000001" customHeight="1">
      <x:c r="A642" s="439" t="s">
        <x:v>88</x:v>
      </x:c>
      <x:c r="B642" s="466" t="str">
        <x:f t="shared" si="100"/>
        <x:v>인건비</x:v>
      </x:c>
      <x:c r="C642" s="440" t="str">
        <x:f t="shared" si="101"/>
        <x:v>상여</x:v>
      </x:c>
      <x:c r="D642" s="441">
        <x:v>52110512</x:v>
      </x:c>
      <x:c r="E642" s="442" t="str">
        <x:f t="shared" si="102"/>
        <x:v>상여_특별상여</x:v>
      </x:c>
      <x:c r="F642" s="443"/>
      <x:c r="G642" s="444" t="s">
        <x:v>95</x:v>
      </x:c>
      <x:c r="H642" s="445" t="str">
        <x:f t="shared" si="106"/>
        <x:v>재경담당</x:v>
      </x:c>
      <x:c r="I642" s="446" t="str">
        <x:f t="shared" si="103"/>
        <x:v>[관리비]</x:v>
      </x:c>
      <x:c r="J642" s="445"/>
      <x:c r="K642" s="453">
        <x:v>0</x:v>
      </x:c>
      <x:c r="L642" s="454">
        <x:v>0</x:v>
      </x:c>
      <x:c r="M642" s="454">
        <x:v>0</x:v>
      </x:c>
      <x:c r="N642" s="454">
        <x:v>0</x:v>
      </x:c>
      <x:c r="O642" s="454">
        <x:v>0</x:v>
      </x:c>
      <x:c r="P642" s="454">
        <x:v>0</x:v>
      </x:c>
      <x:c r="Q642" s="454">
        <x:v>0</x:v>
      </x:c>
      <x:c r="R642" s="454">
        <x:v>0</x:v>
      </x:c>
      <x:c r="S642" s="454">
        <x:v>0</x:v>
      </x:c>
      <x:c r="T642" s="454">
        <x:v>0</x:v>
      </x:c>
      <x:c r="U642" s="454">
        <x:v>0</x:v>
      </x:c>
      <x:c r="V642" s="455">
        <x:v>81453.298148232876</x:v>
      </x:c>
      <x:c r="W642" s="456">
        <x:f t="shared" si="104"/>
        <x:v>81453.298148232876</x:v>
      </x:c>
      <x:c r="X642" s="450">
        <x:f t="shared" si="105"/>
        <x:v>6787.7748456860727</x:v>
      </x:c>
      <x:c r="Y642" s="457"/>
      <x:c r="Z642" s="458"/>
      <x:c r="AA642" s="458"/>
      <x:c r="AB642" s="458"/>
      <x:c r="AC642" s="458"/>
      <x:c r="AD642" s="458"/>
      <x:c r="AE642" s="458"/>
    </x:row>
    <x:row r="643" spans="1:31" ht="20.100000000000001" customHeight="1">
      <x:c r="A643" s="439" t="s">
        <x:v>88</x:v>
      </x:c>
      <x:c r="B643" s="466" t="str">
        <x:f t="shared" ref="B643:B706" si="107">IFERROR(VLOOKUP($C643,$AH:$AI,2,),"")</x:f>
        <x:v>인건비</x:v>
      </x:c>
      <x:c r="C643" s="440" t="str">
        <x:f t="shared" ref="C643:C706" si="108">IFERROR(VLOOKUP($D643,$AO:$AQ,3,),"")</x:f>
        <x:v>상여</x:v>
      </x:c>
      <x:c r="D643" s="441">
        <x:v>52110512</x:v>
      </x:c>
      <x:c r="E643" s="442" t="str">
        <x:f t="shared" ref="E643:E706" si="109">IFERROR(VLOOKUP($D643,$AO:$AQ,2,),"")</x:f>
        <x:v>상여_특별상여</x:v>
      </x:c>
      <x:c r="F643" s="443"/>
      <x:c r="G643" s="444" t="s">
        <x:v>97</x:v>
      </x:c>
      <x:c r="H643" s="445" t="str">
        <x:f t="shared" si="106"/>
        <x:v>재경팀</x:v>
      </x:c>
      <x:c r="I643" s="446" t="str">
        <x:f t="shared" ref="I643:I706" si="110">IFERROR(VLOOKUP($G643,$AK:$AM,3,),"")</x:f>
        <x:v>[관리비]</x:v>
      </x:c>
      <x:c r="J643" s="445"/>
      <x:c r="K643" s="453">
        <x:v>0</x:v>
      </x:c>
      <x:c r="L643" s="454">
        <x:v>0</x:v>
      </x:c>
      <x:c r="M643" s="454">
        <x:v>0</x:v>
      </x:c>
      <x:c r="N643" s="454">
        <x:v>0</x:v>
      </x:c>
      <x:c r="O643" s="454">
        <x:v>0</x:v>
      </x:c>
      <x:c r="P643" s="454">
        <x:v>0</x:v>
      </x:c>
      <x:c r="Q643" s="454">
        <x:v>0</x:v>
      </x:c>
      <x:c r="R643" s="454">
        <x:v>0</x:v>
      </x:c>
      <x:c r="S643" s="454">
        <x:v>0</x:v>
      </x:c>
      <x:c r="T643" s="454">
        <x:v>0</x:v>
      </x:c>
      <x:c r="U643" s="454">
        <x:v>0</x:v>
      </x:c>
      <x:c r="V643" s="455">
        <x:v>570173.08703763015</x:v>
      </x:c>
      <x:c r="W643" s="456">
        <x:f t="shared" si="104"/>
        <x:v>570173.08703763015</x:v>
      </x:c>
      <x:c r="X643" s="450">
        <x:f t="shared" si="105"/>
        <x:v>47514.42391980251</x:v>
      </x:c>
      <x:c r="Y643" s="457"/>
      <x:c r="Z643" s="458"/>
      <x:c r="AA643" s="458"/>
      <x:c r="AB643" s="458"/>
      <x:c r="AC643" s="458"/>
      <x:c r="AD643" s="458"/>
      <x:c r="AE643" s="458"/>
    </x:row>
    <x:row r="644" spans="1:31" ht="20.100000000000001" customHeight="1">
      <x:c r="A644" s="439" t="s">
        <x:v>765</x:v>
      </x:c>
      <x:c r="B644" s="466" t="str">
        <x:f t="shared" si="107"/>
        <x:v>인건비</x:v>
      </x:c>
      <x:c r="C644" s="440" t="str">
        <x:f t="shared" si="108"/>
        <x:v>퇴직급여</x:v>
      </x:c>
      <x:c r="D644" s="441">
        <x:v>52120101</x:v>
      </x:c>
      <x:c r="E644" s="442" t="str">
        <x:f t="shared" si="109"/>
        <x:v>퇴직급여충당금전입</x:v>
      </x:c>
      <x:c r="F644" s="443"/>
      <x:c r="G644" s="444" t="s">
        <x:v>85</x:v>
      </x:c>
      <x:c r="H644" s="445" t="str">
        <x:f t="shared" si="106"/>
        <x:v>부회장</x:v>
      </x:c>
      <x:c r="I644" s="446" t="str">
        <x:f t="shared" si="110"/>
        <x:v>[관리비]</x:v>
      </x:c>
      <x:c r="J644" s="445"/>
      <x:c r="K644" s="453">
        <x:v>2536704.3470212254</x:v>
      </x:c>
      <x:c r="L644" s="454">
        <x:v>5263857.9770427458</x:v>
      </x:c>
      <x:c r="M644" s="454">
        <x:v>2646000.2358341757</x:v>
      </x:c>
      <x:c r="N644" s="454">
        <x:v>2469225.4009949919</x:v>
      </x:c>
      <x:c r="O644" s="454">
        <x:v>-3209386.4168613004</x:v>
      </x:c>
      <x:c r="P644" s="454">
        <x:v>2406822.2373110717</x:v>
      </x:c>
      <x:c r="Q644" s="454">
        <x:v>-388196.97039189271</x:v>
      </x:c>
      <x:c r="R644" s="454">
        <x:v>1009312.5791573906</x:v>
      </x:c>
      <x:c r="S644" s="454">
        <x:v>1009312.6334595894</x:v>
      </x:c>
      <x:c r="T644" s="454">
        <x:v>1009312.6334595894</x:v>
      </x:c>
      <x:c r="U644" s="454">
        <x:v>2462278.9551245132</x:v>
      </x:c>
      <x:c r="V644" s="455">
        <x:v>-443653.74250753311</x:v>
      </x:c>
      <x:c r="W644" s="456">
        <x:f t="shared" si="104"/>
        <x:v>16771589.869644571</x:v>
      </x:c>
      <x:c r="X644" s="450">
        <x:f t="shared" si="105"/>
        <x:v>1397632.4891370477</x:v>
      </x:c>
      <x:c r="Y644" s="457"/>
      <x:c r="Z644" s="458"/>
      <x:c r="AA644" s="458"/>
      <x:c r="AB644" s="458"/>
      <x:c r="AC644" s="458"/>
      <x:c r="AD644" s="458"/>
      <x:c r="AE644" s="458"/>
    </x:row>
    <x:row r="645" spans="1:31" ht="20.100000000000001" customHeight="1">
      <x:c r="A645" s="439" t="s">
        <x:v>765</x:v>
      </x:c>
      <x:c r="B645" s="466" t="str">
        <x:f t="shared" si="107"/>
        <x:v>인건비</x:v>
      </x:c>
      <x:c r="C645" s="440" t="str">
        <x:f t="shared" si="108"/>
        <x:v>퇴직급여</x:v>
      </x:c>
      <x:c r="D645" s="441">
        <x:v>52120101</x:v>
      </x:c>
      <x:c r="E645" s="442" t="str">
        <x:f t="shared" si="109"/>
        <x:v>퇴직급여충당금전입</x:v>
      </x:c>
      <x:c r="F645" s="443"/>
      <x:c r="G645" s="444" t="s">
        <x:v>318</x:v>
      </x:c>
      <x:c r="H645" s="445" t="str">
        <x:f t="shared" si="106"/>
        <x:v>대표이사</x:v>
      </x:c>
      <x:c r="I645" s="446" t="str">
        <x:f t="shared" si="110"/>
        <x:v>[관리비]</x:v>
      </x:c>
      <x:c r="J645" s="445"/>
      <x:c r="K645" s="453">
        <x:v>351506.61791780585</x:v>
      </x:c>
      <x:c r="L645" s="454">
        <x:v>693637.60707397584</x:v>
      </x:c>
      <x:c r="M645" s="454">
        <x:v>367824.957503032</x:v>
      </x:c>
      <x:c r="N645" s="454">
        <x:v>346452.31799751963</x:v>
      </x:c>
      <x:c r="O645" s="454">
        <x:v>-368074.63901295571</x:v>
      </x:c>
      <x:c r="P645" s="454">
        <x:v>338600.43726482504</x:v>
      </x:c>
      <x:c r="Q645" s="454">
        <x:v>-14256.933681481498</x:v>
      </x:c>
      <x:c r="R645" s="454">
        <x:v>162171.77894277117</x:v>
      </x:c>
      <x:c r="S645" s="454">
        <x:v>162171.72464057239</x:v>
      </x:c>
      <x:c r="T645" s="454">
        <x:v>162171.77894277117</x:v>
      </x:c>
      <x:c r="U645" s="454">
        <x:v>347510.93936245283</x:v>
      </x:c>
      <x:c r="V645" s="455">
        <x:v>-23167.435779109284</x:v>
      </x:c>
      <x:c r="W645" s="456">
        <x:f t="shared" si="104"/>
        <x:v>2526549.1511721793</x:v>
      </x:c>
      <x:c r="X645" s="450">
        <x:f t="shared" si="105"/>
        <x:v>210545.76259768161</x:v>
      </x:c>
      <x:c r="Y645" s="457"/>
      <x:c r="Z645" s="458"/>
      <x:c r="AA645" s="458"/>
      <x:c r="AB645" s="458"/>
      <x:c r="AC645" s="458"/>
      <x:c r="AD645" s="458"/>
      <x:c r="AE645" s="458"/>
    </x:row>
    <x:row r="646" spans="1:31" ht="20.100000000000001" customHeight="1">
      <x:c r="A646" s="439" t="s">
        <x:v>765</x:v>
      </x:c>
      <x:c r="B646" s="466" t="str">
        <x:f t="shared" si="107"/>
        <x:v>인건비</x:v>
      </x:c>
      <x:c r="C646" s="440" t="str">
        <x:f t="shared" si="108"/>
        <x:v>퇴직급여</x:v>
      </x:c>
      <x:c r="D646" s="441">
        <x:v>52120101</x:v>
      </x:c>
      <x:c r="E646" s="442" t="str">
        <x:f t="shared" si="109"/>
        <x:v>퇴직급여충당금전입</x:v>
      </x:c>
      <x:c r="F646" s="443"/>
      <x:c r="G646" s="444" t="s">
        <x:v>87</x:v>
      </x:c>
      <x:c r="H646" s="445" t="str">
        <x:f t="shared" si="106"/>
        <x:v>기획팀</x:v>
      </x:c>
      <x:c r="I646" s="446" t="str">
        <x:f t="shared" si="110"/>
        <x:v>[관리비]</x:v>
      </x:c>
      <x:c r="J646" s="445"/>
      <x:c r="K646" s="453">
        <x:v>508578.99085749389</x:v>
      </x:c>
      <x:c r="L646" s="454">
        <x:v>912892.45468321501</x:v>
      </x:c>
      <x:c r="M646" s="454">
        <x:v>475481.51015455759</x:v>
      </x:c>
      <x:c r="N646" s="454">
        <x:v>773204.06672170432</x:v>
      </x:c>
      <x:c r="O646" s="454">
        <x:v>-323076.41607734963</x:v>
      </x:c>
      <x:c r="P646" s="454">
        <x:v>769212.47499704955</x:v>
      </x:c>
      <x:c r="Q646" s="454">
        <x:v>-48973.524000631187</x:v>
      </x:c>
      <x:c r="R646" s="454">
        <x:v>221088.68716374849</x:v>
      </x:c>
      <x:c r="S646" s="454">
        <x:v>217428.55606035827</x:v>
      </x:c>
      <x:c r="T646" s="454">
        <x:v>227011.26507650403</x:v>
      </x:c>
      <x:c r="U646" s="454">
        <x:v>506628.43683346035</x:v>
      </x:c>
      <x:c r="V646" s="455">
        <x:v>-62188.507092200489</x:v>
      </x:c>
      <x:c r="W646" s="456">
        <x:f t="shared" si="104"/>
        <x:v>4177287.9953779099</x:v>
      </x:c>
      <x:c r="X646" s="450">
        <x:f t="shared" si="105"/>
        <x:v>348107.33294815914</x:v>
      </x:c>
      <x:c r="Y646" s="457"/>
      <x:c r="Z646" s="458"/>
      <x:c r="AA646" s="458"/>
      <x:c r="AB646" s="458"/>
      <x:c r="AC646" s="458"/>
      <x:c r="AD646" s="458"/>
      <x:c r="AE646" s="458"/>
    </x:row>
    <x:row r="647" spans="1:31" ht="20.100000000000001" customHeight="1">
      <x:c r="A647" s="439" t="s">
        <x:v>765</x:v>
      </x:c>
      <x:c r="B647" s="466" t="str">
        <x:f t="shared" si="107"/>
        <x:v>인건비</x:v>
      </x:c>
      <x:c r="C647" s="440" t="str">
        <x:f t="shared" si="108"/>
        <x:v>퇴직급여</x:v>
      </x:c>
      <x:c r="D647" s="441">
        <x:v>52120101</x:v>
      </x:c>
      <x:c r="E647" s="442" t="str">
        <x:f t="shared" si="109"/>
        <x:v>퇴직급여충당금전입</x:v>
      </x:c>
      <x:c r="F647" s="443"/>
      <x:c r="G647" s="444" t="s">
        <x:v>89</x:v>
      </x:c>
      <x:c r="H647" s="445" t="str">
        <x:f t="shared" si="106"/>
        <x:v>기획담당</x:v>
      </x:c>
      <x:c r="I647" s="446" t="str">
        <x:f t="shared" si="110"/>
        <x:v>[관리비]</x:v>
      </x:c>
      <x:c r="J647" s="445"/>
      <x:c r="K647" s="453">
        <x:v>244472.36374220197</x:v>
      </x:c>
      <x:c r="L647" s="454">
        <x:v>485427.44657824567</x:v>
      </x:c>
      <x:c r="M647" s="454">
        <x:v>255720.51175062527</x:v>
      </x:c>
      <x:c r="N647" s="454">
        <x:v>240433.84547395381</x:v>
      </x:c>
      <x:c r="O647" s="454">
        <x:v>-262585.12420756451</x:v>
      </x:c>
      <x:c r="P647" s="454">
        <x:v>234905.99024402461</x:v>
      </x:c>
      <x:c r="Q647" s="454">
        <x:v>-13388.424314426273</x:v>
      </x:c>
      <x:c r="R647" s="454">
        <x:v>110758.78296479916</x:v>
      </x:c>
      <x:c r="S647" s="454">
        <x:v>110758.78296479916</x:v>
      </x:c>
      <x:c r="T647" s="454">
        <x:v>110758.78296479916</x:v>
      </x:c>
      <x:c r="U647" s="454">
        <x:v>240991.63765967291</x:v>
      </x:c>
      <x:c r="V647" s="455">
        <x:v>-19474.071730074578</x:v>
      </x:c>
      <x:c r="W647" s="456">
        <x:f t="shared" si="104"/>
        <x:v>1738780.5240910561</x:v>
      </x:c>
      <x:c r="X647" s="450">
        <x:f t="shared" si="105"/>
        <x:v>144898.37700758802</x:v>
      </x:c>
      <x:c r="Y647" s="457"/>
      <x:c r="Z647" s="458"/>
      <x:c r="AA647" s="458"/>
      <x:c r="AB647" s="458"/>
      <x:c r="AC647" s="458"/>
      <x:c r="AD647" s="458"/>
      <x:c r="AE647" s="458"/>
    </x:row>
    <x:row r="648" spans="1:31" ht="20.100000000000001" customHeight="1">
      <x:c r="A648" s="439" t="s">
        <x:v>765</x:v>
      </x:c>
      <x:c r="B648" s="466" t="str">
        <x:f t="shared" si="107"/>
        <x:v>인건비</x:v>
      </x:c>
      <x:c r="C648" s="440" t="str">
        <x:f t="shared" si="108"/>
        <x:v>퇴직급여</x:v>
      </x:c>
      <x:c r="D648" s="441">
        <x:v>52120101</x:v>
      </x:c>
      <x:c r="E648" s="442" t="str">
        <x:f t="shared" si="109"/>
        <x:v>퇴직급여충당금전입</x:v>
      </x:c>
      <x:c r="F648" s="443"/>
      <x:c r="G648" s="444" t="s">
        <x:v>91</x:v>
      </x:c>
      <x:c r="H648" s="445" t="str">
        <x:f t="shared" si="106"/>
        <x:v>인사총무팀</x:v>
      </x:c>
      <x:c r="I648" s="446" t="str">
        <x:f t="shared" si="110"/>
        <x:v>[관리비]</x:v>
      </x:c>
      <x:c r="J648" s="445"/>
      <x:c r="K648" s="453">
        <x:v>3153957.5222865269</x:v>
      </x:c>
      <x:c r="L648" s="454">
        <x:v>6600819.8690399257</x:v>
      </x:c>
      <x:c r="M648" s="454">
        <x:v>3024031.9975237655</x:v>
      </x:c>
      <x:c r="N648" s="454">
        <x:v>5319563.7790419245</x:v>
      </x:c>
      <x:c r="O648" s="454">
        <x:v>-2765995.279786997</x:v>
      </x:c>
      <x:c r="P648" s="454">
        <x:v>5270036.1554050902</x:v>
      </x:c>
      <x:c r="Q648" s="454">
        <x:v>-401537.98888679669</x:v>
      </x:c>
      <x:c r="R648" s="454">
        <x:v>1602371.3821669347</x:v>
      </x:c>
      <x:c r="S648" s="454">
        <x:v>1813733.2422790139</x:v>
      </x:c>
      <x:c r="T648" s="454">
        <x:v>1879030.2787395448</x:v>
      </x:c>
      <x:c r="U648" s="454">
        <x:v>4066115.3020097432</x:v>
      </x:c>
      <x:c r="V648" s="455">
        <x:v>506661.61547690607</x:v>
      </x:c>
      <x:c r="W648" s="456">
        <x:f t="shared" si="104"/>
        <x:v>30068787.875295583</x:v>
      </x:c>
      <x:c r="X648" s="450">
        <x:f t="shared" si="105"/>
        <x:v>2505732.3229412986</x:v>
      </x:c>
      <x:c r="Y648" s="457"/>
      <x:c r="Z648" s="458"/>
      <x:c r="AA648" s="458"/>
      <x:c r="AB648" s="458"/>
      <x:c r="AC648" s="458"/>
      <x:c r="AD648" s="458"/>
      <x:c r="AE648" s="458"/>
    </x:row>
    <x:row r="649" spans="1:31" ht="20.100000000000001" customHeight="1">
      <x:c r="A649" s="439" t="s">
        <x:v>765</x:v>
      </x:c>
      <x:c r="B649" s="466" t="str">
        <x:f t="shared" si="107"/>
        <x:v>인건비</x:v>
      </x:c>
      <x:c r="C649" s="440" t="str">
        <x:f t="shared" si="108"/>
        <x:v>퇴직급여</x:v>
      </x:c>
      <x:c r="D649" s="441">
        <x:v>52120101</x:v>
      </x:c>
      <x:c r="E649" s="442" t="str">
        <x:f t="shared" si="109"/>
        <x:v>퇴직급여충당금전입</x:v>
      </x:c>
      <x:c r="F649" s="443"/>
      <x:c r="G649" s="444" t="s">
        <x:v>93</x:v>
      </x:c>
      <x:c r="H649" s="445" t="str">
        <x:f t="shared" si="106"/>
        <x:v>인사총무담당</x:v>
      </x:c>
      <x:c r="I649" s="446" t="str">
        <x:f t="shared" si="110"/>
        <x:v>[관리비]</x:v>
      </x:c>
      <x:c r="J649" s="445"/>
      <x:c r="K649" s="453">
        <x:v>171559.64222588553</x:v>
      </x:c>
      <x:c r="L649" s="454">
        <x:v>288347.77067007404</x:v>
      </x:c>
      <x:c r="M649" s="454">
        <x:v>181176.08235132549</x:v>
      </x:c>
      <x:c r="N649" s="454">
        <x:v>175176.12380532915</x:v>
      </x:c>
      <x:c r="O649" s="454">
        <x:v>-72024.101447997149</x:v>
      </x:c>
      <x:c r="P649" s="454">
        <x:v>172459.49340548928</x:v>
      </x:c>
      <x:c r="Q649" s="454">
        <x:v>48579.995966177696</x:v>
      </x:c>
      <x:c r="R649" s="454">
        <x:v>110519.74468583349</x:v>
      </x:c>
      <x:c r="S649" s="454">
        <x:v>110519.69038363472</x:v>
      </x:c>
      <x:c r="T649" s="454">
        <x:v>110519.74468583349</x:v>
      </x:c>
      <x:c r="U649" s="454">
        <x:v>178531.99968903634</x:v>
      </x:c>
      <x:c r="V649" s="455">
        <x:v>42507.489682630636</x:v>
      </x:c>
      <x:c r="W649" s="456">
        <x:f t="shared" si="104"/>
        <x:v>1517873.6761032529</x:v>
      </x:c>
      <x:c r="X649" s="450">
        <x:f t="shared" si="105"/>
        <x:v>126489.47300860441</x:v>
      </x:c>
      <x:c r="Y649" s="457"/>
      <x:c r="Z649" s="458"/>
      <x:c r="AA649" s="458"/>
      <x:c r="AB649" s="458"/>
      <x:c r="AC649" s="458"/>
      <x:c r="AD649" s="458"/>
      <x:c r="AE649" s="458"/>
    </x:row>
    <x:row r="650" spans="1:31" ht="20.100000000000001" customHeight="1">
      <x:c r="A650" s="439" t="s">
        <x:v>765</x:v>
      </x:c>
      <x:c r="B650" s="466" t="str">
        <x:f t="shared" si="107"/>
        <x:v>인건비</x:v>
      </x:c>
      <x:c r="C650" s="440" t="str">
        <x:f t="shared" si="108"/>
        <x:v>퇴직급여</x:v>
      </x:c>
      <x:c r="D650" s="441">
        <x:v>52120101</x:v>
      </x:c>
      <x:c r="E650" s="442" t="str">
        <x:f t="shared" si="109"/>
        <x:v>퇴직급여충당금전입</x:v>
      </x:c>
      <x:c r="F650" s="443"/>
      <x:c r="G650" s="444" t="s">
        <x:v>95</x:v>
      </x:c>
      <x:c r="H650" s="445" t="str">
        <x:f t="shared" si="106"/>
        <x:v>재경담당</x:v>
      </x:c>
      <x:c r="I650" s="446" t="str">
        <x:f t="shared" si="110"/>
        <x:v>[관리비]</x:v>
      </x:c>
      <x:c r="J650" s="445"/>
      <x:c r="K650" s="453">
        <x:v>171559.64222588553</x:v>
      </x:c>
      <x:c r="L650" s="454">
        <x:v>288347.77067007404</x:v>
      </x:c>
      <x:c r="M650" s="454">
        <x:v>181176.08235132549</x:v>
      </x:c>
      <x:c r="N650" s="454">
        <x:v>175176.12380532915</x:v>
      </x:c>
      <x:c r="O650" s="454">
        <x:v>-72024.101447997149</x:v>
      </x:c>
      <x:c r="P650" s="454">
        <x:v>172459.49340548928</x:v>
      </x:c>
      <x:c r="Q650" s="454">
        <x:v>48579.995966177696</x:v>
      </x:c>
      <x:c r="R650" s="454">
        <x:v>110519.74468583349</x:v>
      </x:c>
      <x:c r="S650" s="454">
        <x:v>110519.69038363472</x:v>
      </x:c>
      <x:c r="T650" s="454">
        <x:v>110519.74468583349</x:v>
      </x:c>
      <x:c r="U650" s="454">
        <x:v>178531.99968903634</x:v>
      </x:c>
      <x:c r="V650" s="455">
        <x:v>42507.489682630636</x:v>
      </x:c>
      <x:c r="W650" s="456">
        <x:f t="shared" si="104"/>
        <x:v>1517873.6761032529</x:v>
      </x:c>
      <x:c r="X650" s="450">
        <x:f t="shared" si="105"/>
        <x:v>126489.47300860441</x:v>
      </x:c>
      <x:c r="Y650" s="457"/>
      <x:c r="Z650" s="458"/>
      <x:c r="AA650" s="458"/>
      <x:c r="AB650" s="458"/>
      <x:c r="AC650" s="458"/>
      <x:c r="AD650" s="458"/>
      <x:c r="AE650" s="458"/>
    </x:row>
    <x:row r="651" spans="1:31" ht="20.100000000000001" customHeight="1">
      <x:c r="A651" s="439" t="s">
        <x:v>765</x:v>
      </x:c>
      <x:c r="B651" s="466" t="str">
        <x:f t="shared" si="107"/>
        <x:v>인건비</x:v>
      </x:c>
      <x:c r="C651" s="440" t="str">
        <x:f t="shared" si="108"/>
        <x:v>퇴직급여</x:v>
      </x:c>
      <x:c r="D651" s="441">
        <x:v>52120101</x:v>
      </x:c>
      <x:c r="E651" s="442" t="str">
        <x:f t="shared" si="109"/>
        <x:v>퇴직급여충당금전입</x:v>
      </x:c>
      <x:c r="F651" s="443"/>
      <x:c r="G651" s="444" t="s">
        <x:v>97</x:v>
      </x:c>
      <x:c r="H651" s="445" t="str">
        <x:f t="shared" si="106"/>
        <x:v>재경팀</x:v>
      </x:c>
      <x:c r="I651" s="446" t="str">
        <x:f t="shared" si="110"/>
        <x:v>[관리비]</x:v>
      </x:c>
      <x:c r="J651" s="445"/>
      <x:c r="K651" s="453">
        <x:v>211123.47622069463</x:v>
      </x:c>
      <x:c r="L651" s="454">
        <x:v>489150.6768366014</x:v>
      </x:c>
      <x:c r="M651" s="454">
        <x:v>262228.19585507893</x:v>
      </x:c>
      <x:c r="N651" s="454">
        <x:v>515434.51580286206</x:v>
      </x:c>
      <x:c r="O651" s="454">
        <x:v>-178155.90266038655</x:v>
      </x:c>
      <x:c r="P651" s="454">
        <x:v>515194.66299091495</x:v>
      </x:c>
      <x:c r="Q651" s="454">
        <x:v>-2807.4779783745253</x:v>
      </x:c>
      <x:c r="R651" s="454">
        <x:v>169531.95326564426</x:v>
      </x:c>
      <x:c r="S651" s="454">
        <x:v>163958.26697995697</x:v>
      </x:c>
      <x:c r="T651" s="454">
        <x:v>175105.63955133152</x:v>
      </x:c>
      <x:c r="U651" s="454">
        <x:v>351186.27508149738</x:v>
      </x:c>
      <x:c r="V651" s="455">
        <x:v>-12122.477154606437</x:v>
      </x:c>
      <x:c r="W651" s="456">
        <x:f t="shared" si="104"/>
        <x:v>2659827.8047912144</x:v>
      </x:c>
      <x:c r="X651" s="450">
        <x:f t="shared" si="105"/>
        <x:v>221652.31706593453</x:v>
      </x:c>
      <x:c r="Y651" s="457"/>
      <x:c r="Z651" s="458"/>
      <x:c r="AA651" s="458"/>
      <x:c r="AB651" s="458"/>
      <x:c r="AC651" s="458"/>
      <x:c r="AD651" s="458"/>
      <x:c r="AE651" s="458"/>
    </x:row>
    <x:row r="652" spans="1:31" ht="20.100000000000001" customHeight="1">
      <x:c r="A652" s="439" t="s">
        <x:v>765</x:v>
      </x:c>
      <x:c r="B652" s="466" t="str">
        <x:f t="shared" si="107"/>
        <x:v>복리후생비</x:v>
      </x:c>
      <x:c r="C652" s="440" t="str">
        <x:f t="shared" si="108"/>
        <x:v>후생비</x:v>
      </x:c>
      <x:c r="D652" s="441">
        <x:v>52130141</x:v>
      </x:c>
      <x:c r="E652" s="442" t="str">
        <x:f t="shared" si="109"/>
        <x:v>후생비_연월차수당</x:v>
      </x:c>
      <x:c r="F652" s="443"/>
      <x:c r="G652" s="444" t="s">
        <x:v>85</x:v>
      </x:c>
      <x:c r="H652" s="445" t="str">
        <x:f t="shared" si="106"/>
        <x:v>부회장</x:v>
      </x:c>
      <x:c r="I652" s="446" t="str">
        <x:f t="shared" si="110"/>
        <x:v>[관리비]</x:v>
      </x:c>
      <x:c r="J652" s="445"/>
      <x:c r="K652" s="453">
        <x:v>0</x:v>
      </x:c>
      <x:c r="L652" s="454">
        <x:v>0</x:v>
      </x:c>
      <x:c r="M652" s="454">
        <x:v>0</x:v>
      </x:c>
      <x:c r="N652" s="454">
        <x:v>0</x:v>
      </x:c>
      <x:c r="O652" s="454">
        <x:v>0</x:v>
      </x:c>
      <x:c r="P652" s="454">
        <x:v>0</x:v>
      </x:c>
      <x:c r="Q652" s="454">
        <x:v>0</x:v>
      </x:c>
      <x:c r="R652" s="454">
        <x:v>0</x:v>
      </x:c>
      <x:c r="S652" s="454">
        <x:v>0</x:v>
      </x:c>
      <x:c r="T652" s="454">
        <x:v>0</x:v>
      </x:c>
      <x:c r="U652" s="454">
        <x:v>0</x:v>
      </x:c>
      <x:c r="V652" s="455">
        <x:v>0</x:v>
      </x:c>
      <x:c r="W652" s="456">
        <x:f t="shared" si="104"/>
        <x:v>0</x:v>
      </x:c>
      <x:c r="X652" s="450">
        <x:f t="shared" si="105"/>
        <x:v>0</x:v>
      </x:c>
      <x:c r="Y652" s="457"/>
      <x:c r="Z652" s="458"/>
      <x:c r="AA652" s="458"/>
      <x:c r="AB652" s="458"/>
      <x:c r="AC652" s="458"/>
      <x:c r="AD652" s="458"/>
      <x:c r="AE652" s="458"/>
    </x:row>
    <x:row r="653" spans="1:31" ht="20.100000000000001" customHeight="1">
      <x:c r="A653" s="439" t="s">
        <x:v>765</x:v>
      </x:c>
      <x:c r="B653" s="466" t="str">
        <x:f t="shared" si="107"/>
        <x:v>복리후생비</x:v>
      </x:c>
      <x:c r="C653" s="440" t="str">
        <x:f t="shared" si="108"/>
        <x:v>후생비</x:v>
      </x:c>
      <x:c r="D653" s="441">
        <x:v>52130141</x:v>
      </x:c>
      <x:c r="E653" s="442" t="str">
        <x:f t="shared" si="109"/>
        <x:v>후생비_연월차수당</x:v>
      </x:c>
      <x:c r="F653" s="443"/>
      <x:c r="G653" s="444" t="s">
        <x:v>318</x:v>
      </x:c>
      <x:c r="H653" s="445" t="str">
        <x:f t="shared" si="106"/>
        <x:v>대표이사</x:v>
      </x:c>
      <x:c r="I653" s="446" t="str">
        <x:f t="shared" si="110"/>
        <x:v>[관리비]</x:v>
      </x:c>
      <x:c r="J653" s="445"/>
      <x:c r="K653" s="453">
        <x:v>0</x:v>
      </x:c>
      <x:c r="L653" s="454">
        <x:v>0</x:v>
      </x:c>
      <x:c r="M653" s="454">
        <x:v>0</x:v>
      </x:c>
      <x:c r="N653" s="454">
        <x:v>0</x:v>
      </x:c>
      <x:c r="O653" s="454">
        <x:v>0</x:v>
      </x:c>
      <x:c r="P653" s="454">
        <x:v>0</x:v>
      </x:c>
      <x:c r="Q653" s="454">
        <x:v>0</x:v>
      </x:c>
      <x:c r="R653" s="454">
        <x:v>0</x:v>
      </x:c>
      <x:c r="S653" s="454">
        <x:v>0</x:v>
      </x:c>
      <x:c r="T653" s="454">
        <x:v>0</x:v>
      </x:c>
      <x:c r="U653" s="454">
        <x:v>0</x:v>
      </x:c>
      <x:c r="V653" s="455">
        <x:v>0</x:v>
      </x:c>
      <x:c r="W653" s="456">
        <x:f t="shared" si="104"/>
        <x:v>0</x:v>
      </x:c>
      <x:c r="X653" s="450">
        <x:f t="shared" si="105"/>
        <x:v>0</x:v>
      </x:c>
      <x:c r="Y653" s="457"/>
      <x:c r="Z653" s="458"/>
      <x:c r="AA653" s="458"/>
      <x:c r="AB653" s="458"/>
      <x:c r="AC653" s="458"/>
      <x:c r="AD653" s="458"/>
      <x:c r="AE653" s="458"/>
    </x:row>
    <x:row r="654" spans="1:31" ht="20.100000000000001" customHeight="1">
      <x:c r="A654" s="439" t="s">
        <x:v>765</x:v>
      </x:c>
      <x:c r="B654" s="466" t="str">
        <x:f t="shared" si="107"/>
        <x:v>복리후생비</x:v>
      </x:c>
      <x:c r="C654" s="440" t="str">
        <x:f t="shared" si="108"/>
        <x:v>후생비</x:v>
      </x:c>
      <x:c r="D654" s="441">
        <x:v>52130141</x:v>
      </x:c>
      <x:c r="E654" s="442" t="str">
        <x:f t="shared" si="109"/>
        <x:v>후생비_연월차수당</x:v>
      </x:c>
      <x:c r="F654" s="443"/>
      <x:c r="G654" s="444" t="s">
        <x:v>436</x:v>
      </x:c>
      <x:c r="H654" s="445" t="str">
        <x:f t="shared" si="106"/>
        <x:v>자문위원</x:v>
      </x:c>
      <x:c r="I654" s="446" t="str">
        <x:f t="shared" si="110"/>
        <x:v>[관리비]</x:v>
      </x:c>
      <x:c r="J654" s="445"/>
      <x:c r="K654" s="453">
        <x:v>0</x:v>
      </x:c>
      <x:c r="L654" s="454">
        <x:v>0</x:v>
      </x:c>
      <x:c r="M654" s="454">
        <x:v>0</x:v>
      </x:c>
      <x:c r="N654" s="454">
        <x:v>0</x:v>
      </x:c>
      <x:c r="O654" s="454">
        <x:v>0</x:v>
      </x:c>
      <x:c r="P654" s="454">
        <x:v>0</x:v>
      </x:c>
      <x:c r="Q654" s="454">
        <x:v>0</x:v>
      </x:c>
      <x:c r="R654" s="454">
        <x:v>0</x:v>
      </x:c>
      <x:c r="S654" s="454">
        <x:v>0</x:v>
      </x:c>
      <x:c r="T654" s="454">
        <x:v>0</x:v>
      </x:c>
      <x:c r="U654" s="454">
        <x:v>0</x:v>
      </x:c>
      <x:c r="V654" s="455">
        <x:v>0</x:v>
      </x:c>
      <x:c r="W654" s="456">
        <x:f t="shared" si="104"/>
        <x:v>0</x:v>
      </x:c>
      <x:c r="X654" s="450">
        <x:f t="shared" si="105"/>
        <x:v>0</x:v>
      </x:c>
      <x:c r="Y654" s="457"/>
      <x:c r="Z654" s="458"/>
      <x:c r="AA654" s="458"/>
      <x:c r="AB654" s="458"/>
      <x:c r="AC654" s="458"/>
      <x:c r="AD654" s="458"/>
      <x:c r="AE654" s="458"/>
    </x:row>
    <x:row r="655" spans="1:31" ht="20.100000000000001" customHeight="1">
      <x:c r="A655" s="439" t="s">
        <x:v>765</x:v>
      </x:c>
      <x:c r="B655" s="466" t="str">
        <x:f t="shared" si="107"/>
        <x:v>복리후생비</x:v>
      </x:c>
      <x:c r="C655" s="440" t="str">
        <x:f t="shared" si="108"/>
        <x:v>후생비</x:v>
      </x:c>
      <x:c r="D655" s="441">
        <x:v>52130141</x:v>
      </x:c>
      <x:c r="E655" s="442" t="str">
        <x:f t="shared" si="109"/>
        <x:v>후생비_연월차수당</x:v>
      </x:c>
      <x:c r="F655" s="443"/>
      <x:c r="G655" s="444" t="s">
        <x:v>87</x:v>
      </x:c>
      <x:c r="H655" s="445" t="str">
        <x:f t="shared" si="106"/>
        <x:v>기획팀</x:v>
      </x:c>
      <x:c r="I655" s="446" t="str">
        <x:f t="shared" si="110"/>
        <x:v>[관리비]</x:v>
      </x:c>
      <x:c r="J655" s="445"/>
      <x:c r="K655" s="453">
        <x:v>69584.869305367552</x:v>
      </x:c>
      <x:c r="L655" s="454">
        <x:v>69584.869305367552</x:v>
      </x:c>
      <x:c r="M655" s="454">
        <x:v>69584.869305367552</x:v>
      </x:c>
      <x:c r="N655" s="454">
        <x:v>69584.869305367552</x:v>
      </x:c>
      <x:c r="O655" s="454">
        <x:v>69584.869305367552</x:v>
      </x:c>
      <x:c r="P655" s="454">
        <x:v>69584.869305367552</x:v>
      </x:c>
      <x:c r="Q655" s="454">
        <x:v>69584.869305367552</x:v>
      </x:c>
      <x:c r="R655" s="454">
        <x:v>69584.869305367552</x:v>
      </x:c>
      <x:c r="S655" s="454">
        <x:v>69584.869305367552</x:v>
      </x:c>
      <x:c r="T655" s="454">
        <x:v>69584.869305367552</x:v>
      </x:c>
      <x:c r="U655" s="454">
        <x:v>69584.869305367552</x:v>
      </x:c>
      <x:c r="V655" s="455">
        <x:v>69584.869305367552</x:v>
      </x:c>
      <x:c r="W655" s="456">
        <x:f t="shared" si="104"/>
        <x:v>835018.43166441086</x:v>
      </x:c>
      <x:c r="X655" s="450">
        <x:f t="shared" si="105"/>
        <x:v>69584.869305367567</x:v>
      </x:c>
      <x:c r="Y655" s="457"/>
      <x:c r="Z655" s="458"/>
      <x:c r="AA655" s="458"/>
      <x:c r="AB655" s="458"/>
      <x:c r="AC655" s="458"/>
      <x:c r="AD655" s="458"/>
      <x:c r="AE655" s="458"/>
    </x:row>
    <x:row r="656" spans="1:31" ht="20.100000000000001" customHeight="1">
      <x:c r="A656" s="439" t="s">
        <x:v>765</x:v>
      </x:c>
      <x:c r="B656" s="466" t="str">
        <x:f t="shared" si="107"/>
        <x:v>복리후생비</x:v>
      </x:c>
      <x:c r="C656" s="440" t="str">
        <x:f t="shared" si="108"/>
        <x:v>후생비</x:v>
      </x:c>
      <x:c r="D656" s="441">
        <x:v>52130141</x:v>
      </x:c>
      <x:c r="E656" s="442" t="str">
        <x:f t="shared" si="109"/>
        <x:v>후생비_연월차수당</x:v>
      </x:c>
      <x:c r="F656" s="443"/>
      <x:c r="G656" s="444" t="s">
        <x:v>89</x:v>
      </x:c>
      <x:c r="H656" s="445" t="str">
        <x:f t="shared" si="106"/>
        <x:v>기획담당</x:v>
      </x:c>
      <x:c r="I656" s="446" t="str">
        <x:f t="shared" si="110"/>
        <x:v>[관리비]</x:v>
      </x:c>
      <x:c r="J656" s="445"/>
      <x:c r="K656" s="453">
        <x:v>0</x:v>
      </x:c>
      <x:c r="L656" s="454">
        <x:v>0</x:v>
      </x:c>
      <x:c r="M656" s="454">
        <x:v>0</x:v>
      </x:c>
      <x:c r="N656" s="454">
        <x:v>0</x:v>
      </x:c>
      <x:c r="O656" s="454">
        <x:v>0</x:v>
      </x:c>
      <x:c r="P656" s="454">
        <x:v>0</x:v>
      </x:c>
      <x:c r="Q656" s="454">
        <x:v>0</x:v>
      </x:c>
      <x:c r="R656" s="454">
        <x:v>0</x:v>
      </x:c>
      <x:c r="S656" s="454">
        <x:v>0</x:v>
      </x:c>
      <x:c r="T656" s="454">
        <x:v>0</x:v>
      </x:c>
      <x:c r="U656" s="454">
        <x:v>0</x:v>
      </x:c>
      <x:c r="V656" s="455">
        <x:v>0</x:v>
      </x:c>
      <x:c r="W656" s="456">
        <x:f t="shared" si="104"/>
        <x:v>0</x:v>
      </x:c>
      <x:c r="X656" s="450">
        <x:f t="shared" si="105"/>
        <x:v>0</x:v>
      </x:c>
      <x:c r="Y656" s="457"/>
      <x:c r="Z656" s="458"/>
      <x:c r="AA656" s="458"/>
      <x:c r="AB656" s="458"/>
      <x:c r="AC656" s="458"/>
      <x:c r="AD656" s="458"/>
      <x:c r="AE656" s="458"/>
    </x:row>
    <x:row r="657" spans="1:31" ht="20.100000000000001" customHeight="1">
      <x:c r="A657" s="439" t="s">
        <x:v>765</x:v>
      </x:c>
      <x:c r="B657" s="466" t="str">
        <x:f t="shared" si="107"/>
        <x:v>복리후생비</x:v>
      </x:c>
      <x:c r="C657" s="440" t="str">
        <x:f t="shared" si="108"/>
        <x:v>후생비</x:v>
      </x:c>
      <x:c r="D657" s="441">
        <x:v>52130141</x:v>
      </x:c>
      <x:c r="E657" s="442" t="str">
        <x:f t="shared" si="109"/>
        <x:v>후생비_연월차수당</x:v>
      </x:c>
      <x:c r="F657" s="443"/>
      <x:c r="G657" s="444" t="s">
        <x:v>91</x:v>
      </x:c>
      <x:c r="H657" s="445" t="str">
        <x:f t="shared" si="106"/>
        <x:v>인사총무팀</x:v>
      </x:c>
      <x:c r="I657" s="446" t="str">
        <x:f t="shared" si="110"/>
        <x:v>[관리비]</x:v>
      </x:c>
      <x:c r="J657" s="445"/>
      <x:c r="K657" s="453">
        <x:v>102270.13654864754</x:v>
      </x:c>
      <x:c r="L657" s="454">
        <x:v>102270.13654864754</x:v>
      </x:c>
      <x:c r="M657" s="454">
        <x:v>102270.13654864754</x:v>
      </x:c>
      <x:c r="N657" s="454">
        <x:v>102270.13654864754</x:v>
      </x:c>
      <x:c r="O657" s="454">
        <x:v>102270.13654864754</x:v>
      </x:c>
      <x:c r="P657" s="454">
        <x:v>102270.13654864754</x:v>
      </x:c>
      <x:c r="Q657" s="454">
        <x:v>102270.13654864754</x:v>
      </x:c>
      <x:c r="R657" s="454">
        <x:v>102270.13654864754</x:v>
      </x:c>
      <x:c r="S657" s="454">
        <x:v>102270.13654864754</x:v>
      </x:c>
      <x:c r="T657" s="454">
        <x:v>102270.13654864754</x:v>
      </x:c>
      <x:c r="U657" s="454">
        <x:v>102270.13654864754</x:v>
      </x:c>
      <x:c r="V657" s="455">
        <x:v>102270.13654864754</x:v>
      </x:c>
      <x:c r="W657" s="456">
        <x:f t="shared" si="104"/>
        <x:v>1227241.6385837705</x:v>
      </x:c>
      <x:c r="X657" s="450">
        <x:f t="shared" si="105"/>
        <x:v>102270.13654864754</x:v>
      </x:c>
      <x:c r="Y657" s="457"/>
      <x:c r="Z657" s="458"/>
      <x:c r="AA657" s="458"/>
      <x:c r="AB657" s="458"/>
      <x:c r="AC657" s="458"/>
      <x:c r="AD657" s="458"/>
      <x:c r="AE657" s="458"/>
    </x:row>
    <x:row r="658" spans="1:31" ht="20.100000000000001" customHeight="1">
      <x:c r="A658" s="439" t="s">
        <x:v>765</x:v>
      </x:c>
      <x:c r="B658" s="466" t="str">
        <x:f t="shared" si="107"/>
        <x:v>복리후생비</x:v>
      </x:c>
      <x:c r="C658" s="440" t="str">
        <x:f t="shared" si="108"/>
        <x:v>후생비</x:v>
      </x:c>
      <x:c r="D658" s="441">
        <x:v>52130141</x:v>
      </x:c>
      <x:c r="E658" s="442" t="str">
        <x:f t="shared" si="109"/>
        <x:v>후생비_연월차수당</x:v>
      </x:c>
      <x:c r="F658" s="443"/>
      <x:c r="G658" s="444" t="s">
        <x:v>93</x:v>
      </x:c>
      <x:c r="H658" s="445" t="str">
        <x:f t="shared" si="106"/>
        <x:v>인사총무담당</x:v>
      </x:c>
      <x:c r="I658" s="446" t="str">
        <x:f t="shared" si="110"/>
        <x:v>[관리비]</x:v>
      </x:c>
      <x:c r="J658" s="445"/>
      <x:c r="K658" s="453">
        <x:v>0</x:v>
      </x:c>
      <x:c r="L658" s="454">
        <x:v>0</x:v>
      </x:c>
      <x:c r="M658" s="454">
        <x:v>0</x:v>
      </x:c>
      <x:c r="N658" s="454">
        <x:v>0</x:v>
      </x:c>
      <x:c r="O658" s="454">
        <x:v>0</x:v>
      </x:c>
      <x:c r="P658" s="454">
        <x:v>0</x:v>
      </x:c>
      <x:c r="Q658" s="454">
        <x:v>0</x:v>
      </x:c>
      <x:c r="R658" s="454">
        <x:v>0</x:v>
      </x:c>
      <x:c r="S658" s="454">
        <x:v>0</x:v>
      </x:c>
      <x:c r="T658" s="454">
        <x:v>0</x:v>
      </x:c>
      <x:c r="U658" s="454">
        <x:v>0</x:v>
      </x:c>
      <x:c r="V658" s="455">
        <x:v>0</x:v>
      </x:c>
      <x:c r="W658" s="456">
        <x:f t="shared" si="104"/>
        <x:v>0</x:v>
      </x:c>
      <x:c r="X658" s="450">
        <x:f t="shared" si="105"/>
        <x:v>0</x:v>
      </x:c>
      <x:c r="Y658" s="457"/>
      <x:c r="Z658" s="458"/>
      <x:c r="AA658" s="458"/>
      <x:c r="AB658" s="458"/>
      <x:c r="AC658" s="458"/>
      <x:c r="AD658" s="458"/>
      <x:c r="AE658" s="458"/>
    </x:row>
    <x:row r="659" spans="1:31" ht="20.100000000000001" customHeight="1">
      <x:c r="A659" s="439" t="s">
        <x:v>765</x:v>
      </x:c>
      <x:c r="B659" s="466" t="str">
        <x:f t="shared" si="107"/>
        <x:v>복리후생비</x:v>
      </x:c>
      <x:c r="C659" s="440" t="str">
        <x:f t="shared" si="108"/>
        <x:v>후생비</x:v>
      </x:c>
      <x:c r="D659" s="441">
        <x:v>52130141</x:v>
      </x:c>
      <x:c r="E659" s="442" t="str">
        <x:f t="shared" si="109"/>
        <x:v>후생비_연월차수당</x:v>
      </x:c>
      <x:c r="F659" s="443"/>
      <x:c r="G659" s="444" t="s">
        <x:v>95</x:v>
      </x:c>
      <x:c r="H659" s="445" t="str">
        <x:f t="shared" si="106"/>
        <x:v>재경담당</x:v>
      </x:c>
      <x:c r="I659" s="446" t="str">
        <x:f t="shared" si="110"/>
        <x:v>[관리비]</x:v>
      </x:c>
      <x:c r="J659" s="445"/>
      <x:c r="K659" s="453">
        <x:v>0</x:v>
      </x:c>
      <x:c r="L659" s="454">
        <x:v>0</x:v>
      </x:c>
      <x:c r="M659" s="454">
        <x:v>0</x:v>
      </x:c>
      <x:c r="N659" s="454">
        <x:v>0</x:v>
      </x:c>
      <x:c r="O659" s="454">
        <x:v>0</x:v>
      </x:c>
      <x:c r="P659" s="454">
        <x:v>0</x:v>
      </x:c>
      <x:c r="Q659" s="454">
        <x:v>0</x:v>
      </x:c>
      <x:c r="R659" s="454">
        <x:v>0</x:v>
      </x:c>
      <x:c r="S659" s="454">
        <x:v>0</x:v>
      </x:c>
      <x:c r="T659" s="454">
        <x:v>0</x:v>
      </x:c>
      <x:c r="U659" s="454">
        <x:v>0</x:v>
      </x:c>
      <x:c r="V659" s="455">
        <x:v>0</x:v>
      </x:c>
      <x:c r="W659" s="456">
        <x:f t="shared" si="104"/>
        <x:v>0</x:v>
      </x:c>
      <x:c r="X659" s="450">
        <x:f t="shared" si="105"/>
        <x:v>0</x:v>
      </x:c>
      <x:c r="Y659" s="457"/>
      <x:c r="Z659" s="458"/>
      <x:c r="AA659" s="458"/>
      <x:c r="AB659" s="458"/>
      <x:c r="AC659" s="458"/>
      <x:c r="AD659" s="458"/>
      <x:c r="AE659" s="458"/>
    </x:row>
    <x:row r="660" spans="1:31" ht="20.100000000000001" customHeight="1">
      <x:c r="A660" s="439" t="s">
        <x:v>765</x:v>
      </x:c>
      <x:c r="B660" s="466" t="str">
        <x:f t="shared" si="107"/>
        <x:v>복리후생비</x:v>
      </x:c>
      <x:c r="C660" s="440" t="str">
        <x:f t="shared" si="108"/>
        <x:v>후생비</x:v>
      </x:c>
      <x:c r="D660" s="441">
        <x:v>52130141</x:v>
      </x:c>
      <x:c r="E660" s="442" t="str">
        <x:f t="shared" si="109"/>
        <x:v>후생비_연월차수당</x:v>
      </x:c>
      <x:c r="F660" s="443"/>
      <x:c r="G660" s="444" t="s">
        <x:v>97</x:v>
      </x:c>
      <x:c r="H660" s="445" t="str">
        <x:f t="shared" si="106"/>
        <x:v>재경팀</x:v>
      </x:c>
      <x:c r="I660" s="446" t="str">
        <x:f t="shared" si="110"/>
        <x:v>[관리비]</x:v>
      </x:c>
      <x:c r="J660" s="445"/>
      <x:c r="K660" s="453">
        <x:v>37709.614385522662</x:v>
      </x:c>
      <x:c r="L660" s="454">
        <x:v>37709.614385522662</x:v>
      </x:c>
      <x:c r="M660" s="454">
        <x:v>37709.614385522662</x:v>
      </x:c>
      <x:c r="N660" s="454">
        <x:v>37709.614385522662</x:v>
      </x:c>
      <x:c r="O660" s="454">
        <x:v>37709.614385522662</x:v>
      </x:c>
      <x:c r="P660" s="454">
        <x:v>37709.614385522662</x:v>
      </x:c>
      <x:c r="Q660" s="454">
        <x:v>37709.614385522662</x:v>
      </x:c>
      <x:c r="R660" s="454">
        <x:v>37709.614385522662</x:v>
      </x:c>
      <x:c r="S660" s="454">
        <x:v>37709.614385522662</x:v>
      </x:c>
      <x:c r="T660" s="454">
        <x:v>37709.614385522662</x:v>
      </x:c>
      <x:c r="U660" s="454">
        <x:v>37709.614385522662</x:v>
      </x:c>
      <x:c r="V660" s="455">
        <x:v>37709.614385522662</x:v>
      </x:c>
      <x:c r="W660" s="456">
        <x:f t="shared" si="104"/>
        <x:v>452515.37262627197</x:v>
      </x:c>
      <x:c r="X660" s="450">
        <x:f t="shared" si="105"/>
        <x:v>37709.614385522662</x:v>
      </x:c>
      <x:c r="Y660" s="457"/>
      <x:c r="Z660" s="458"/>
      <x:c r="AA660" s="458"/>
      <x:c r="AB660" s="458"/>
      <x:c r="AC660" s="458"/>
      <x:c r="AD660" s="458"/>
      <x:c r="AE660" s="458"/>
    </x:row>
    <x:row r="661" spans="1:31" ht="20.100000000000001" customHeight="1">
      <x:c r="A661" s="439" t="s">
        <x:v>765</x:v>
      </x:c>
      <x:c r="B661" s="466" t="str">
        <x:f t="shared" si="107"/>
        <x:v>복리후생비</x:v>
      </x:c>
      <x:c r="C661" s="440" t="str">
        <x:f t="shared" si="108"/>
        <x:v>후생비</x:v>
      </x:c>
      <x:c r="D661" s="441">
        <x:v>52130108</x:v>
      </x:c>
      <x:c r="E661" s="442" t="str">
        <x:f t="shared" si="109"/>
        <x:v>후생비_학자금</x:v>
      </x:c>
      <x:c r="F661" s="443"/>
      <x:c r="G661" s="444" t="s">
        <x:v>91</x:v>
      </x:c>
      <x:c r="H661" s="445" t="str">
        <x:f t="shared" si="106"/>
        <x:v>인사총무팀</x:v>
      </x:c>
      <x:c r="I661" s="446" t="str">
        <x:f t="shared" si="110"/>
        <x:v>[관리비]</x:v>
      </x:c>
      <x:c r="J661" s="445"/>
      <x:c r="K661" s="453">
        <x:v>0</x:v>
      </x:c>
      <x:c r="L661" s="454">
        <x:v>1310257.7540124741</x:v>
      </x:c>
      <x:c r="M661" s="454">
        <x:v>0</x:v>
      </x:c>
      <x:c r="N661" s="454">
        <x:v>0</x:v>
      </x:c>
      <x:c r="O661" s="454">
        <x:v>48871.978888939724</x:v>
      </x:c>
      <x:c r="P661" s="454">
        <x:v>0</x:v>
      </x:c>
      <x:c r="Q661" s="454">
        <x:v>0</x:v>
      </x:c>
      <x:c r="R661" s="454">
        <x:v>1282074.9128531856</x:v>
      </x:c>
      <x:c r="S661" s="454">
        <x:v>0</x:v>
      </x:c>
      <x:c r="T661" s="454">
        <x:v>0</x:v>
      </x:c>
      <x:c r="U661" s="454">
        <x:v>0</x:v>
      </x:c>
      <x:c r="V661" s="455">
        <x:v>0</x:v>
      </x:c>
      <x:c r="W661" s="456">
        <x:f t="shared" si="104"/>
        <x:v>2641204.6457545995</x:v>
      </x:c>
      <x:c r="X661" s="450">
        <x:f t="shared" si="105"/>
        <x:v>220100.38714621661</x:v>
      </x:c>
      <x:c r="Y661" s="457"/>
      <x:c r="Z661" s="458"/>
      <x:c r="AA661" s="458"/>
      <x:c r="AB661" s="458"/>
      <x:c r="AC661" s="458"/>
      <x:c r="AD661" s="458"/>
      <x:c r="AE661" s="458"/>
    </x:row>
    <x:row r="662" spans="1:31" ht="20.100000000000001" customHeight="1">
      <x:c r="A662" s="439" t="s">
        <x:v>765</x:v>
      </x:c>
      <x:c r="B662" s="466" t="str">
        <x:f t="shared" si="107"/>
        <x:v>복리후생비</x:v>
      </x:c>
      <x:c r="C662" s="440" t="str">
        <x:f t="shared" si="108"/>
        <x:v>후생비</x:v>
      </x:c>
      <x:c r="D662" s="441">
        <x:v>52130108</x:v>
      </x:c>
      <x:c r="E662" s="442" t="str">
        <x:f t="shared" si="109"/>
        <x:v>후생비_학자금</x:v>
      </x:c>
      <x:c r="F662" s="443"/>
      <x:c r="G662" s="444" t="s">
        <x:v>89</x:v>
      </x:c>
      <x:c r="H662" s="445" t="str">
        <x:f t="shared" si="106"/>
        <x:v>기획담당</x:v>
      </x:c>
      <x:c r="I662" s="446" t="str">
        <x:f t="shared" si="110"/>
        <x:v>[관리비]</x:v>
      </x:c>
      <x:c r="J662" s="445"/>
      <x:c r="K662" s="453">
        <x:v>0</x:v>
      </x:c>
      <x:c r="L662" s="454">
        <x:v>161549.04132732854</x:v>
      </x:c>
      <x:c r="M662" s="454">
        <x:v>0</x:v>
      </x:c>
      <x:c r="N662" s="454">
        <x:v>0</x:v>
      </x:c>
      <x:c r="O662" s="454">
        <x:v>0</x:v>
      </x:c>
      <x:c r="P662" s="454">
        <x:v>0</x:v>
      </x:c>
      <x:c r="Q662" s="454">
        <x:v>0</x:v>
      </x:c>
      <x:c r="R662" s="454">
        <x:v>161549.04132732854</x:v>
      </x:c>
      <x:c r="S662" s="454">
        <x:v>0</x:v>
      </x:c>
      <x:c r="T662" s="454">
        <x:v>0</x:v>
      </x:c>
      <x:c r="U662" s="454">
        <x:v>0</x:v>
      </x:c>
      <x:c r="V662" s="455">
        <x:v>0</x:v>
      </x:c>
      <x:c r="W662" s="456">
        <x:f t="shared" si="104"/>
        <x:v>323098.08265465708</x:v>
      </x:c>
      <x:c r="X662" s="450">
        <x:f t="shared" si="105"/>
        <x:v>26924.840221221424</x:v>
      </x:c>
      <x:c r="Y662" s="457"/>
      <x:c r="Z662" s="458"/>
      <x:c r="AA662" s="458"/>
      <x:c r="AB662" s="458"/>
      <x:c r="AC662" s="458"/>
      <x:c r="AD662" s="458"/>
      <x:c r="AE662" s="458"/>
    </x:row>
    <x:row r="663" spans="1:31" ht="20.100000000000001" customHeight="1">
      <x:c r="A663" s="439" t="s">
        <x:v>765</x:v>
      </x:c>
      <x:c r="B663" s="466" t="str">
        <x:f t="shared" si="107"/>
        <x:v>복리후생비</x:v>
      </x:c>
      <x:c r="C663" s="440" t="str">
        <x:f t="shared" si="108"/>
        <x:v>후생비</x:v>
      </x:c>
      <x:c r="D663" s="441">
        <x:v>52130108</x:v>
      </x:c>
      <x:c r="E663" s="442" t="str">
        <x:f t="shared" si="109"/>
        <x:v>후생비_학자금</x:v>
      </x:c>
      <x:c r="F663" s="443"/>
      <x:c r="G663" s="444" t="s">
        <x:v>87</x:v>
      </x:c>
      <x:c r="H663" s="445" t="str">
        <x:f t="shared" si="106"/>
        <x:v>기획팀</x:v>
      </x:c>
      <x:c r="I663" s="446" t="str">
        <x:f t="shared" si="110"/>
        <x:v>[관리비]</x:v>
      </x:c>
      <x:c r="J663" s="445"/>
      <x:c r="K663" s="453">
        <x:v>0</x:v>
      </x:c>
      <x:c r="L663" s="454">
        <x:v>0</x:v>
      </x:c>
      <x:c r="M663" s="454">
        <x:v>0</x:v>
      </x:c>
      <x:c r="N663" s="454">
        <x:v>0</x:v>
      </x:c>
      <x:c r="O663" s="454">
        <x:v>10860.439753097717</x:v>
      </x:c>
      <x:c r="P663" s="454">
        <x:v>0</x:v>
      </x:c>
      <x:c r="Q663" s="454">
        <x:v>0</x:v>
      </x:c>
      <x:c r="R663" s="454">
        <x:v>0</x:v>
      </x:c>
      <x:c r="S663" s="454">
        <x:v>0</x:v>
      </x:c>
      <x:c r="T663" s="454">
        <x:v>0</x:v>
      </x:c>
      <x:c r="U663" s="454">
        <x:v>0</x:v>
      </x:c>
      <x:c r="V663" s="455">
        <x:v>0</x:v>
      </x:c>
      <x:c r="W663" s="456">
        <x:f t="shared" si="104"/>
        <x:v>10860.439753097717</x:v>
      </x:c>
      <x:c r="X663" s="450">
        <x:f t="shared" si="105"/>
        <x:v>905.03664609147643</x:v>
      </x:c>
      <x:c r="Y663" s="457"/>
      <x:c r="Z663" s="458"/>
      <x:c r="AA663" s="458"/>
      <x:c r="AB663" s="458"/>
      <x:c r="AC663" s="458"/>
      <x:c r="AD663" s="458"/>
      <x:c r="AE663" s="458"/>
    </x:row>
    <x:row r="664" spans="1:31" ht="20.100000000000001" customHeight="1">
      <x:c r="A664" s="439" t="s">
        <x:v>765</x:v>
      </x:c>
      <x:c r="B664" s="466" t="str">
        <x:f t="shared" si="107"/>
        <x:v>복리후생비</x:v>
      </x:c>
      <x:c r="C664" s="440" t="str">
        <x:f t="shared" si="108"/>
        <x:v>후생비</x:v>
      </x:c>
      <x:c r="D664" s="441">
        <x:v>52130125</x:v>
      </x:c>
      <x:c r="E664" s="442" t="str">
        <x:f t="shared" si="109"/>
        <x:v>후생비_기타식대</x:v>
      </x:c>
      <x:c r="F664" s="443"/>
      <x:c r="G664" s="444" t="s">
        <x:v>91</x:v>
      </x:c>
      <x:c r="H664" s="445" t="str">
        <x:f t="shared" si="106"/>
        <x:v>인사총무팀</x:v>
      </x:c>
      <x:c r="I664" s="446" t="str">
        <x:f t="shared" si="110"/>
        <x:v>[관리비]</x:v>
      </x:c>
      <x:c r="J664" s="445"/>
      <x:c r="K664" s="453">
        <x:v>0</x:v>
      </x:c>
      <x:c r="L664" s="454">
        <x:v>0</x:v>
      </x:c>
      <x:c r="M664" s="454">
        <x:v>0</x:v>
      </x:c>
      <x:c r="N664" s="454">
        <x:v>0</x:v>
      </x:c>
      <x:c r="O664" s="454">
        <x:v>543.02198765488583</x:v>
      </x:c>
      <x:c r="P664" s="454">
        <x:v>0</x:v>
      </x:c>
      <x:c r="Q664" s="454">
        <x:v>0</x:v>
      </x:c>
      <x:c r="R664" s="454">
        <x:v>0</x:v>
      </x:c>
      <x:c r="S664" s="454">
        <x:v>0</x:v>
      </x:c>
      <x:c r="T664" s="454">
        <x:v>0</x:v>
      </x:c>
      <x:c r="U664" s="454">
        <x:v>0</x:v>
      </x:c>
      <x:c r="V664" s="455">
        <x:v>0</x:v>
      </x:c>
      <x:c r="W664" s="456">
        <x:f t="shared" si="104"/>
        <x:v>543.02198765488583</x:v>
      </x:c>
      <x:c r="X664" s="450">
        <x:f t="shared" si="105"/>
        <x:v>45.251832304573817</x:v>
      </x:c>
      <x:c r="Y664" s="457"/>
      <x:c r="Z664" s="458"/>
      <x:c r="AA664" s="458"/>
      <x:c r="AB664" s="458"/>
      <x:c r="AC664" s="458"/>
      <x:c r="AD664" s="458"/>
      <x:c r="AE664" s="458"/>
    </x:row>
    <x:row r="665" spans="1:31" ht="20.100000000000001" customHeight="1">
      <x:c r="A665" s="439" t="s">
        <x:v>765</x:v>
      </x:c>
      <x:c r="B665" s="466" t="str">
        <x:f t="shared" si="107"/>
        <x:v>복리후생비</x:v>
      </x:c>
      <x:c r="C665" s="440" t="str">
        <x:f t="shared" si="108"/>
        <x:v>후생비</x:v>
      </x:c>
      <x:c r="D665" s="441">
        <x:v>52130125</x:v>
      </x:c>
      <x:c r="E665" s="442" t="str">
        <x:f t="shared" si="109"/>
        <x:v>후생비_기타식대</x:v>
      </x:c>
      <x:c r="F665" s="443"/>
      <x:c r="G665" s="444" t="s">
        <x:v>97</x:v>
      </x:c>
      <x:c r="H665" s="445" t="str">
        <x:f t="shared" si="106"/>
        <x:v>재경팀</x:v>
      </x:c>
      <x:c r="I665" s="446" t="str">
        <x:f t="shared" si="110"/>
        <x:v>[관리비]</x:v>
      </x:c>
      <x:c r="J665" s="445"/>
      <x:c r="K665" s="453">
        <x:v>0</x:v>
      </x:c>
      <x:c r="L665" s="454">
        <x:v>0</x:v>
      </x:c>
      <x:c r="M665" s="454">
        <x:v>0</x:v>
      </x:c>
      <x:c r="N665" s="454">
        <x:v>0</x:v>
      </x:c>
      <x:c r="O665" s="454">
        <x:v>543.02198765488583</x:v>
      </x:c>
      <x:c r="P665" s="454">
        <x:v>0</x:v>
      </x:c>
      <x:c r="Q665" s="454">
        <x:v>543.02198765488583</x:v>
      </x:c>
      <x:c r="R665" s="454">
        <x:v>0</x:v>
      </x:c>
      <x:c r="S665" s="454">
        <x:v>0</x:v>
      </x:c>
      <x:c r="T665" s="454">
        <x:v>814.53298148232875</x:v>
      </x:c>
      <x:c r="U665" s="454">
        <x:v>0</x:v>
      </x:c>
      <x:c r="V665" s="455">
        <x:v>543.02198765488583</x:v>
      </x:c>
      <x:c r="W665" s="456">
        <x:f t="shared" si="104"/>
        <x:v>2443.598944446986</x:v>
      </x:c>
      <x:c r="X665" s="450">
        <x:f t="shared" si="105"/>
        <x:v>203.63324537058216</x:v>
      </x:c>
      <x:c r="Y665" s="457"/>
      <x:c r="Z665" s="458"/>
      <x:c r="AA665" s="458"/>
      <x:c r="AB665" s="458"/>
      <x:c r="AC665" s="458"/>
      <x:c r="AD665" s="458"/>
      <x:c r="AE665" s="458"/>
    </x:row>
    <x:row r="666" spans="1:31" ht="20.100000000000001" customHeight="1">
      <x:c r="A666" s="439" t="s">
        <x:v>765</x:v>
      </x:c>
      <x:c r="B666" s="466" t="str">
        <x:f t="shared" si="107"/>
        <x:v>세금,보험</x:v>
      </x:c>
      <x:c r="C666" s="440" t="str">
        <x:f t="shared" si="108"/>
        <x:v>보험료</x:v>
      </x:c>
      <x:c r="D666" s="441">
        <x:v>52220103</x:v>
      </x:c>
      <x:c r="E666" s="442" t="str">
        <x:f t="shared" si="109"/>
        <x:v>보험료_산재보험</x:v>
      </x:c>
      <x:c r="F666" s="443"/>
      <x:c r="G666" s="444" t="s">
        <x:v>91</x:v>
      </x:c>
      <x:c r="H666" s="445" t="str">
        <x:f t="shared" si="106"/>
        <x:v>인사총무팀</x:v>
      </x:c>
      <x:c r="I666" s="446" t="str">
        <x:f t="shared" si="110"/>
        <x:v>[관리비]</x:v>
      </x:c>
      <x:c r="J666" s="445"/>
      <x:c r="K666" s="453">
        <x:v>449411.33223970619</x:v>
      </x:c>
      <x:c r="L666" s="454">
        <x:v>449411.33223970619</x:v>
      </x:c>
      <x:c r="M666" s="454">
        <x:v>449411.33223970619</x:v>
      </x:c>
      <x:c r="N666" s="454">
        <x:v>449411.33223970619</x:v>
      </x:c>
      <x:c r="O666" s="454">
        <x:v>449411.33223970619</x:v>
      </x:c>
      <x:c r="P666" s="454">
        <x:v>449411.33223970619</x:v>
      </x:c>
      <x:c r="Q666" s="454">
        <x:v>449411.33223970619</x:v>
      </x:c>
      <x:c r="R666" s="454">
        <x:v>449411.33223970619</x:v>
      </x:c>
      <x:c r="S666" s="454">
        <x:v>449411.33223970619</x:v>
      </x:c>
      <x:c r="T666" s="454">
        <x:v>449411.33223970619</x:v>
      </x:c>
      <x:c r="U666" s="454">
        <x:v>449411.33223970619</x:v>
      </x:c>
      <x:c r="V666" s="455">
        <x:v>449411.33223970619</x:v>
      </x:c>
      <x:c r="W666" s="456">
        <x:f t="shared" si="104"/>
        <x:v>5392935.9868764738</x:v>
      </x:c>
      <x:c r="X666" s="450">
        <x:f t="shared" si="105"/>
        <x:v>449411.33223970613</x:v>
      </x:c>
      <x:c r="Y666" s="457"/>
      <x:c r="Z666" s="458"/>
      <x:c r="AA666" s="458"/>
      <x:c r="AB666" s="458"/>
      <x:c r="AC666" s="458"/>
      <x:c r="AD666" s="458"/>
      <x:c r="AE666" s="458"/>
    </x:row>
    <x:row r="667" spans="1:31" ht="20.100000000000001" customHeight="1">
      <x:c r="A667" s="439" t="s">
        <x:v>765</x:v>
      </x:c>
      <x:c r="B667" s="466" t="str">
        <x:f t="shared" si="107"/>
        <x:v>세금,보험</x:v>
      </x:c>
      <x:c r="C667" s="440" t="str">
        <x:f t="shared" si="108"/>
        <x:v>세금과공과</x:v>
      </x:c>
      <x:c r="D667" s="441">
        <x:v>52180119</x:v>
      </x:c>
      <x:c r="E667" s="442" t="str">
        <x:f t="shared" si="109"/>
        <x:v>세금과공과_장애인고용부담금</x:v>
      </x:c>
      <x:c r="F667" s="443"/>
      <x:c r="G667" s="444" t="s">
        <x:v>91</x:v>
      </x:c>
      <x:c r="H667" s="445" t="str">
        <x:f t="shared" si="106"/>
        <x:v>인사총무팀</x:v>
      </x:c>
      <x:c r="I667" s="446" t="str">
        <x:f t="shared" si="110"/>
        <x:v>[관리비]</x:v>
      </x:c>
      <x:c r="J667" s="445"/>
      <x:c r="K667" s="453">
        <x:v>3156022.0713706906</x:v>
      </x:c>
      <x:c r="L667" s="454">
        <x:v>0</x:v>
      </x:c>
      <x:c r="M667" s="454">
        <x:v>0</x:v>
      </x:c>
      <x:c r="N667" s="454">
        <x:v>3156022.0713706906</x:v>
      </x:c>
      <x:c r="O667" s="454">
        <x:v>0</x:v>
      </x:c>
      <x:c r="P667" s="454">
        <x:v>0</x:v>
      </x:c>
      <x:c r="Q667" s="454">
        <x:v>3156022.0713706906</x:v>
      </x:c>
      <x:c r="R667" s="454">
        <x:v>0</x:v>
      </x:c>
      <x:c r="S667" s="454">
        <x:v>0</x:v>
      </x:c>
      <x:c r="T667" s="454">
        <x:v>3156022.0713706906</x:v>
      </x:c>
      <x:c r="U667" s="454">
        <x:v>0</x:v>
      </x:c>
      <x:c r="V667" s="455">
        <x:v>0</x:v>
      </x:c>
      <x:c r="W667" s="456">
        <x:f t="shared" si="104"/>
        <x:v>12624088.285482762</x:v>
      </x:c>
      <x:c r="X667" s="450">
        <x:f t="shared" si="105"/>
        <x:v>1052007.3571235635</x:v>
      </x:c>
      <x:c r="Y667" s="457"/>
      <x:c r="Z667" s="458"/>
      <x:c r="AA667" s="458"/>
      <x:c r="AB667" s="458"/>
      <x:c r="AC667" s="458"/>
      <x:c r="AD667" s="458"/>
      <x:c r="AE667" s="458"/>
    </x:row>
    <x:row r="668" spans="1:31" ht="20.100000000000001" customHeight="1">
      <x:c r="A668" s="439" t="s">
        <x:v>765</x:v>
      </x:c>
      <x:c r="B668" s="466" t="str">
        <x:f t="shared" si="107"/>
        <x:v>세금,보험</x:v>
      </x:c>
      <x:c r="C668" s="440" t="str">
        <x:f t="shared" si="108"/>
        <x:v>세금과공과</x:v>
      </x:c>
      <x:c r="D668" s="441">
        <x:v>52180131</x:v>
      </x:c>
      <x:c r="E668" s="442" t="str">
        <x:f t="shared" si="109"/>
        <x:v>세금과공과_국민건강보험료</x:v>
      </x:c>
      <x:c r="F668" s="443"/>
      <x:c r="G668" s="444" t="s">
        <x:v>85</x:v>
      </x:c>
      <x:c r="H668" s="445" t="str">
        <x:f t="shared" si="106"/>
        <x:v>부회장</x:v>
      </x:c>
      <x:c r="I668" s="446" t="str">
        <x:f t="shared" si="110"/>
        <x:v>[관리비]</x:v>
      </x:c>
      <x:c r="J668" s="445"/>
      <x:c r="K668" s="453">
        <x:v>167859.49984586597</x:v>
      </x:c>
      <x:c r="L668" s="454">
        <x:v>169404.94042273177</x:v>
      </x:c>
      <x:c r="M668" s="454">
        <x:v>167859.49984586597</x:v>
      </x:c>
      <x:c r="N668" s="454">
        <x:v>167859.49984586597</x:v>
      </x:c>
      <x:c r="O668" s="454">
        <x:v>167859.49984586597</x:v>
      </x:c>
      <x:c r="P668" s="454">
        <x:v>167859.49984586597</x:v>
      </x:c>
      <x:c r="Q668" s="454">
        <x:v>169404.94042273177</x:v>
      </x:c>
      <x:c r="R668" s="454">
        <x:v>167859.49984586597</x:v>
      </x:c>
      <x:c r="S668" s="454">
        <x:v>167859.49984586597</x:v>
      </x:c>
      <x:c r="T668" s="454">
        <x:v>168963.46354676835</x:v>
      </x:c>
      <x:c r="U668" s="454">
        <x:v>168963.46354676835</x:v>
      </x:c>
      <x:c r="V668" s="455">
        <x:v>167859.49984586597</x:v>
      </x:c>
      <x:c r="W668" s="456">
        <x:f t="shared" si="104"/>
        <x:v>2019612.8067059277</x:v>
      </x:c>
      <x:c r="X668" s="450">
        <x:f t="shared" si="105"/>
        <x:v>168301.06722549399</x:v>
      </x:c>
      <x:c r="Y668" s="457"/>
      <x:c r="Z668" s="458"/>
      <x:c r="AA668" s="458"/>
      <x:c r="AB668" s="458"/>
      <x:c r="AC668" s="458"/>
      <x:c r="AD668" s="458"/>
      <x:c r="AE668" s="458"/>
    </x:row>
    <x:row r="669" spans="1:31" ht="20.100000000000001" customHeight="1">
      <x:c r="A669" s="439" t="s">
        <x:v>765</x:v>
      </x:c>
      <x:c r="B669" s="466" t="str">
        <x:f t="shared" si="107"/>
        <x:v>세금,보험</x:v>
      </x:c>
      <x:c r="C669" s="440" t="str">
        <x:f t="shared" si="108"/>
        <x:v>세금과공과</x:v>
      </x:c>
      <x:c r="D669" s="441">
        <x:v>52180131</x:v>
      </x:c>
      <x:c r="E669" s="442" t="str">
        <x:f t="shared" si="109"/>
        <x:v>세금과공과_국민건강보험료</x:v>
      </x:c>
      <x:c r="F669" s="443"/>
      <x:c r="G669" s="444" t="s">
        <x:v>318</x:v>
      </x:c>
      <x:c r="H669" s="445" t="str">
        <x:f t="shared" si="106"/>
        <x:v>대표이사</x:v>
      </x:c>
      <x:c r="I669" s="446" t="str">
        <x:f t="shared" si="110"/>
        <x:v>[관리비]</x:v>
      </x:c>
      <x:c r="J669" s="445"/>
      <x:c r="K669" s="453">
        <x:v>44873.164971849146</x:v>
      </x:c>
      <x:c r="L669" s="454">
        <x:v>46419.691592690266</x:v>
      </x:c>
      <x:c r="M669" s="454">
        <x:v>44873.164971849146</x:v>
      </x:c>
      <x:c r="N669" s="454">
        <x:v>44873.164971849146</x:v>
      </x:c>
      <x:c r="O669" s="454">
        <x:v>44873.164971849146</x:v>
      </x:c>
      <x:c r="P669" s="454">
        <x:v>44873.164971849146</x:v>
      </x:c>
      <x:c r="Q669" s="454">
        <x:v>46419.691592690266</x:v>
      </x:c>
      <x:c r="R669" s="454">
        <x:v>44873.164971849146</x:v>
      </x:c>
      <x:c r="S669" s="454">
        <x:v>44873.164971849146</x:v>
      </x:c>
      <x:c r="T669" s="454">
        <x:v>45977.671694739183</x:v>
      </x:c>
      <x:c r="U669" s="454">
        <x:v>45977.671694739183</x:v>
      </x:c>
      <x:c r="V669" s="455">
        <x:v>44873.164971849146</x:v>
      </x:c>
      <x:c r="W669" s="456">
        <x:f t="shared" si="104"/>
        <x:v>543780.046349652</x:v>
      </x:c>
      <x:c r="X669" s="450">
        <x:f t="shared" si="105"/>
        <x:v>45315.003862471</x:v>
      </x:c>
      <x:c r="Y669" s="457"/>
      <x:c r="Z669" s="458"/>
      <x:c r="AA669" s="458"/>
      <x:c r="AB669" s="458"/>
      <x:c r="AC669" s="458"/>
      <x:c r="AD669" s="458"/>
      <x:c r="AE669" s="458"/>
    </x:row>
    <x:row r="670" spans="1:31" ht="20.100000000000001" customHeight="1">
      <x:c r="A670" s="439" t="s">
        <x:v>765</x:v>
      </x:c>
      <x:c r="B670" s="466" t="str">
        <x:f t="shared" si="107"/>
        <x:v>세금,보험</x:v>
      </x:c>
      <x:c r="C670" s="440" t="str">
        <x:f t="shared" si="108"/>
        <x:v>세금과공과</x:v>
      </x:c>
      <x:c r="D670" s="441">
        <x:v>52180131</x:v>
      </x:c>
      <x:c r="E670" s="442" t="str">
        <x:f t="shared" si="109"/>
        <x:v>세금과공과_국민건강보험료</x:v>
      </x:c>
      <x:c r="F670" s="443"/>
      <x:c r="G670" s="444" t="s">
        <x:v>93</x:v>
      </x:c>
      <x:c r="H670" s="445" t="str">
        <x:f t="shared" si="106"/>
        <x:v>인사총무담당</x:v>
      </x:c>
      <x:c r="I670" s="446" t="str">
        <x:f t="shared" si="110"/>
        <x:v>[관리비]</x:v>
      </x:c>
      <x:c r="J670" s="445"/>
      <x:c r="K670" s="453">
        <x:v>27570.312357213865</x:v>
      </x:c>
      <x:c r="L670" s="454">
        <x:v>29116.295956067326</x:v>
      </x:c>
      <x:c r="M670" s="454">
        <x:v>27570.312357213865</x:v>
      </x:c>
      <x:c r="N670" s="454">
        <x:v>27570.312357213865</x:v>
      </x:c>
      <x:c r="O670" s="454">
        <x:v>27570.312357213865</x:v>
      </x:c>
      <x:c r="P670" s="454">
        <x:v>27570.312357213865</x:v>
      </x:c>
      <x:c r="Q670" s="454">
        <x:v>29116.295956067326</x:v>
      </x:c>
      <x:c r="R670" s="454">
        <x:v>27570.312357213865</x:v>
      </x:c>
      <x:c r="S670" s="454">
        <x:v>27570.312357213865</x:v>
      </x:c>
      <x:c r="T670" s="454">
        <x:v>28674.276058116247</x:v>
      </x:c>
      <x:c r="U670" s="454">
        <x:v>28674.276058116247</x:v>
      </x:c>
      <x:c r="V670" s="455">
        <x:v>27570.312357213865</x:v>
      </x:c>
      <x:c r="W670" s="456">
        <x:f t="shared" si="104"/>
        <x:v>336143.6428860781</x:v>
      </x:c>
      <x:c r="X670" s="450">
        <x:f t="shared" si="105"/>
        <x:v>28011.970240506507</x:v>
      </x:c>
      <x:c r="Y670" s="457"/>
      <x:c r="Z670" s="458"/>
      <x:c r="AA670" s="458"/>
      <x:c r="AB670" s="458"/>
      <x:c r="AC670" s="458"/>
      <x:c r="AD670" s="458"/>
      <x:c r="AE670" s="458"/>
    </x:row>
    <x:row r="671" spans="1:31" ht="20.100000000000001" customHeight="1">
      <x:c r="A671" s="439" t="s">
        <x:v>765</x:v>
      </x:c>
      <x:c r="B671" s="466" t="str">
        <x:f t="shared" si="107"/>
        <x:v>세금,보험</x:v>
      </x:c>
      <x:c r="C671" s="440" t="str">
        <x:f t="shared" si="108"/>
        <x:v>세금과공과</x:v>
      </x:c>
      <x:c r="D671" s="441">
        <x:v>52180131</x:v>
      </x:c>
      <x:c r="E671" s="442" t="str">
        <x:f t="shared" si="109"/>
        <x:v>세금과공과_국민건강보험료</x:v>
      </x:c>
      <x:c r="F671" s="443"/>
      <x:c r="G671" s="444" t="s">
        <x:v>91</x:v>
      </x:c>
      <x:c r="H671" s="445" t="str">
        <x:f t="shared" si="106"/>
        <x:v>인사총무팀</x:v>
      </x:c>
      <x:c r="I671" s="446" t="str">
        <x:f t="shared" si="110"/>
        <x:v>[관리비]</x:v>
      </x:c>
      <x:c r="J671" s="445"/>
      <x:c r="K671" s="453">
        <x:v>241983.08720473319</x:v>
      </x:c>
      <x:c r="L671" s="454">
        <x:v>306914.39835657855</x:v>
      </x:c>
      <x:c r="M671" s="454">
        <x:v>230863.6259635241</x:v>
      </x:c>
      <x:c r="N671" s="454">
        <x:v>224523.84425765331</x:v>
      </x:c>
      <x:c r="O671" s="454">
        <x:v>1216216.6631684133</x:v>
      </x:c>
      <x:c r="P671" s="454">
        <x:v>231460.95014994449</x:v>
      </x:c>
      <x:c r="Q671" s="454">
        <x:v>289458.95656341221</x:v>
      </x:c>
      <x:c r="R671" s="454">
        <x:v>224523.84425765331</x:v>
      </x:c>
      <x:c r="S671" s="454">
        <x:v>224523.84425765331</x:v>
      </x:c>
      <x:c r="T671" s="454">
        <x:v>270912.0405750596</x:v>
      </x:c>
      <x:c r="U671" s="454">
        <x:v>270912.0405750596</x:v>
      </x:c>
      <x:c r="V671" s="455">
        <x:v>281377.16032114456</x:v>
      </x:c>
      <x:c r="W671" s="456">
        <x:f t="shared" ref="W671:W733" si="111">IFERROR(SUM(K671:V671),"")</x:f>
        <x:v>4013670.4556508292</x:v>
      </x:c>
      <x:c r="X671" s="450">
        <x:f t="shared" si="105"/>
        <x:v>334472.53797090246</x:v>
      </x:c>
      <x:c r="Y671" s="457"/>
      <x:c r="Z671" s="458"/>
      <x:c r="AA671" s="458"/>
      <x:c r="AB671" s="458"/>
      <x:c r="AC671" s="458"/>
      <x:c r="AD671" s="458"/>
      <x:c r="AE671" s="458"/>
    </x:row>
    <x:row r="672" spans="1:31" ht="20.100000000000001" customHeight="1">
      <x:c r="A672" s="439" t="s">
        <x:v>765</x:v>
      </x:c>
      <x:c r="B672" s="466" t="str">
        <x:f t="shared" si="107"/>
        <x:v>세금,보험</x:v>
      </x:c>
      <x:c r="C672" s="440" t="str">
        <x:f t="shared" si="108"/>
        <x:v>세금과공과</x:v>
      </x:c>
      <x:c r="D672" s="441">
        <x:v>52180131</x:v>
      </x:c>
      <x:c r="E672" s="442" t="str">
        <x:f t="shared" si="109"/>
        <x:v>세금과공과_국민건강보험료</x:v>
      </x:c>
      <x:c r="F672" s="443"/>
      <x:c r="G672" s="444" t="s">
        <x:v>95</x:v>
      </x:c>
      <x:c r="H672" s="445" t="str">
        <x:f t="shared" si="106"/>
        <x:v>재경담당</x:v>
      </x:c>
      <x:c r="I672" s="446" t="str">
        <x:f t="shared" si="110"/>
        <x:v>[관리비]</x:v>
      </x:c>
      <x:c r="J672" s="445"/>
      <x:c r="K672" s="453">
        <x:v>27570.312357213865</x:v>
      </x:c>
      <x:c r="L672" s="454">
        <x:v>29116.295956067326</x:v>
      </x:c>
      <x:c r="M672" s="454">
        <x:v>27570.312357213865</x:v>
      </x:c>
      <x:c r="N672" s="454">
        <x:v>27570.312357213865</x:v>
      </x:c>
      <x:c r="O672" s="454">
        <x:v>27570.312357213865</x:v>
      </x:c>
      <x:c r="P672" s="454">
        <x:v>27570.312357213865</x:v>
      </x:c>
      <x:c r="Q672" s="454">
        <x:v>29116.295956067326</x:v>
      </x:c>
      <x:c r="R672" s="454">
        <x:v>27570.312357213865</x:v>
      </x:c>
      <x:c r="S672" s="454">
        <x:v>27570.312357213865</x:v>
      </x:c>
      <x:c r="T672" s="454">
        <x:v>28674.276058116247</x:v>
      </x:c>
      <x:c r="U672" s="454">
        <x:v>28674.276058116247</x:v>
      </x:c>
      <x:c r="V672" s="455">
        <x:v>27570.312357213865</x:v>
      </x:c>
      <x:c r="W672" s="456">
        <x:f t="shared" si="111"/>
        <x:v>336143.6428860781</x:v>
      </x:c>
      <x:c r="X672" s="450">
        <x:f t="shared" ref="X672:X734" si="112">IFERROR($W672/$Y$1,"")</x:f>
        <x:v>28011.970240506507</x:v>
      </x:c>
      <x:c r="Y672" s="457"/>
      <x:c r="Z672" s="458"/>
      <x:c r="AA672" s="458"/>
      <x:c r="AB672" s="458"/>
      <x:c r="AC672" s="458"/>
      <x:c r="AD672" s="458"/>
      <x:c r="AE672" s="458"/>
    </x:row>
    <x:row r="673" spans="1:31" ht="20.100000000000001" customHeight="1">
      <x:c r="A673" s="439" t="s">
        <x:v>765</x:v>
      </x:c>
      <x:c r="B673" s="466" t="str">
        <x:f t="shared" si="107"/>
        <x:v>세금,보험</x:v>
      </x:c>
      <x:c r="C673" s="440" t="str">
        <x:f t="shared" si="108"/>
        <x:v>세금과공과</x:v>
      </x:c>
      <x:c r="D673" s="441">
        <x:v>52180131</x:v>
      </x:c>
      <x:c r="E673" s="442" t="str">
        <x:f t="shared" si="109"/>
        <x:v>세금과공과_국민건강보험료</x:v>
      </x:c>
      <x:c r="F673" s="443"/>
      <x:c r="G673" s="444" t="s">
        <x:v>97</x:v>
      </x:c>
      <x:c r="H673" s="445" t="str">
        <x:f t="shared" si="106"/>
        <x:v>재경팀</x:v>
      </x:c>
      <x:c r="I673" s="446" t="str">
        <x:f t="shared" si="110"/>
        <x:v>[관리비]</x:v>
      </x:c>
      <x:c r="J673" s="445"/>
      <x:c r="K673" s="453">
        <x:v>77113.466422895028</x:v>
      </x:c>
      <x:c r="L673" s="454">
        <x:v>87936.980680832217</x:v>
      </x:c>
      <x:c r="M673" s="454">
        <x:v>77113.466422895028</x:v>
      </x:c>
      <x:c r="N673" s="454">
        <x:v>79892.652955712736</x:v>
      </x:c>
      <x:c r="O673" s="454">
        <x:v>79892.652955712736</x:v>
      </x:c>
      <x:c r="P673" s="454">
        <x:v>80091.942025182085</x:v>
      </x:c>
      <x:c r="Q673" s="454">
        <x:v>90714.538147686952</x:v>
      </x:c>
      <x:c r="R673" s="454">
        <x:v>79892.652955712736</x:v>
      </x:c>
      <x:c r="S673" s="454">
        <x:v>79892.652955712736</x:v>
      </x:c>
      <x:c r="T673" s="454">
        <x:v>87622.570949980029</x:v>
      </x:c>
      <x:c r="U673" s="454">
        <x:v>87622.570949980029</x:v>
      </x:c>
      <x:c r="V673" s="455">
        <x:v>98497.672296744437</x:v>
      </x:c>
      <x:c r="W673" s="456">
        <x:f t="shared" si="111"/>
        <x:v>1006283.8197190468</x:v>
      </x:c>
      <x:c r="X673" s="450">
        <x:f t="shared" si="112"/>
        <x:v>83856.984976587235</x:v>
      </x:c>
      <x:c r="Y673" s="457"/>
      <x:c r="Z673" s="458"/>
      <x:c r="AA673" s="458"/>
      <x:c r="AB673" s="458"/>
      <x:c r="AC673" s="458"/>
      <x:c r="AD673" s="458"/>
      <x:c r="AE673" s="458"/>
    </x:row>
    <x:row r="674" spans="1:31" ht="20.100000000000001" customHeight="1">
      <x:c r="A674" s="439" t="s">
        <x:v>765</x:v>
      </x:c>
      <x:c r="B674" s="466" t="str">
        <x:f t="shared" si="107"/>
        <x:v>세금,보험</x:v>
      </x:c>
      <x:c r="C674" s="440" t="str">
        <x:f t="shared" si="108"/>
        <x:v>세금과공과</x:v>
      </x:c>
      <x:c r="D674" s="441">
        <x:v>52180131</x:v>
      </x:c>
      <x:c r="E674" s="442" t="str">
        <x:f t="shared" si="109"/>
        <x:v>세금과공과_국민건강보험료</x:v>
      </x:c>
      <x:c r="F674" s="443"/>
      <x:c r="G674" s="444" t="s">
        <x:v>89</x:v>
      </x:c>
      <x:c r="H674" s="445" t="str">
        <x:f t="shared" si="106"/>
        <x:v>기획담당</x:v>
      </x:c>
      <x:c r="I674" s="446" t="str">
        <x:f t="shared" si="110"/>
        <x:v>[관리비]</x:v>
      </x:c>
      <x:c r="J674" s="445"/>
      <x:c r="K674" s="453">
        <x:v>27630.044775855902</x:v>
      </x:c>
      <x:c r="L674" s="454">
        <x:v>29176.028374709364</x:v>
      </x:c>
      <x:c r="M674" s="454">
        <x:v>27630.044775855902</x:v>
      </x:c>
      <x:c r="N674" s="454">
        <x:v>27630.044775855902</x:v>
      </x:c>
      <x:c r="O674" s="454">
        <x:v>27630.044775855902</x:v>
      </x:c>
      <x:c r="P674" s="454">
        <x:v>27630.044775855902</x:v>
      </x:c>
      <x:c r="Q674" s="454">
        <x:v>29176.028374709364</x:v>
      </x:c>
      <x:c r="R674" s="454">
        <x:v>27630.044775855902</x:v>
      </x:c>
      <x:c r="S674" s="454">
        <x:v>27630.044775855902</x:v>
      </x:c>
      <x:c r="T674" s="454">
        <x:v>28734.008476758285</x:v>
      </x:c>
      <x:c r="U674" s="454">
        <x:v>28734.008476758285</x:v>
      </x:c>
      <x:c r="V674" s="455">
        <x:v>27630.044775855902</x:v>
      </x:c>
      <x:c r="W674" s="456">
        <x:f t="shared" si="111"/>
        <x:v>336860.43190978246</x:v>
      </x:c>
      <x:c r="X674" s="450">
        <x:f t="shared" si="112"/>
        <x:v>28071.702659148537</x:v>
      </x:c>
      <x:c r="Y674" s="457"/>
      <x:c r="Z674" s="458"/>
      <x:c r="AA674" s="458"/>
      <x:c r="AB674" s="458"/>
      <x:c r="AC674" s="458"/>
      <x:c r="AD674" s="458"/>
      <x:c r="AE674" s="458"/>
    </x:row>
    <x:row r="675" spans="1:31" ht="20.100000000000001" customHeight="1">
      <x:c r="A675" s="439" t="s">
        <x:v>765</x:v>
      </x:c>
      <x:c r="B675" s="466" t="str">
        <x:f t="shared" si="107"/>
        <x:v>세금,보험</x:v>
      </x:c>
      <x:c r="C675" s="440" t="str">
        <x:f t="shared" si="108"/>
        <x:v>세금과공과</x:v>
      </x:c>
      <x:c r="D675" s="441">
        <x:v>52180131</x:v>
      </x:c>
      <x:c r="E675" s="442" t="str">
        <x:f t="shared" si="109"/>
        <x:v>세금과공과_국민건강보험료</x:v>
      </x:c>
      <x:c r="F675" s="443"/>
      <x:c r="G675" s="444" t="s">
        <x:v>87</x:v>
      </x:c>
      <x:c r="H675" s="445" t="str">
        <x:f t="shared" si="106"/>
        <x:v>기획팀</x:v>
      </x:c>
      <x:c r="I675" s="446" t="str">
        <x:f t="shared" si="110"/>
        <x:v>[관리비]</x:v>
      </x:c>
      <x:c r="J675" s="445"/>
      <x:c r="K675" s="453">
        <x:v>101938.2596105258</x:v>
      </x:c>
      <x:c r="L675" s="454">
        <x:v>112761.77386846297</x:v>
      </x:c>
      <x:c r="M675" s="454">
        <x:v>101938.2596105258</x:v>
      </x:c>
      <x:c r="N675" s="454">
        <x:v>105605.83011514689</x:v>
      </x:c>
      <x:c r="O675" s="454">
        <x:v>105605.83011514689</x:v>
      </x:c>
      <x:c r="P675" s="454">
        <x:v>106776.04249854317</x:v>
      </x:c>
      <x:c r="Q675" s="454">
        <x:v>116427.17228513345</x:v>
      </x:c>
      <x:c r="R675" s="454">
        <x:v>105605.83011514689</x:v>
      </x:c>
      <x:c r="S675" s="454">
        <x:v>105605.83011514689</x:v>
      </x:c>
      <x:c r="T675" s="454">
        <x:v>113334.66206543888</x:v>
      </x:c>
      <x:c r="U675" s="454">
        <x:v>113334.66206543888</x:v>
      </x:c>
      <x:c r="V675" s="455">
        <x:v>140739.35271641801</x:v>
      </x:c>
      <x:c r="W675" s="456">
        <x:f t="shared" si="111"/>
        <x:v>1329673.5051810746</x:v>
      </x:c>
      <x:c r="X675" s="450">
        <x:f t="shared" si="112"/>
        <x:v>110806.12543175621</x:v>
      </x:c>
      <x:c r="Y675" s="457"/>
      <x:c r="Z675" s="458"/>
      <x:c r="AA675" s="458"/>
      <x:c r="AB675" s="458"/>
      <x:c r="AC675" s="458"/>
      <x:c r="AD675" s="458"/>
      <x:c r="AE675" s="458"/>
    </x:row>
    <x:row r="676" spans="1:31" ht="20.100000000000001" customHeight="1">
      <x:c r="A676" s="439" t="s">
        <x:v>765</x:v>
      </x:c>
      <x:c r="B676" s="466" t="str">
        <x:f t="shared" si="107"/>
        <x:v>세금,보험</x:v>
      </x:c>
      <x:c r="C676" s="440" t="str">
        <x:f t="shared" si="108"/>
        <x:v>세금과공과</x:v>
      </x:c>
      <x:c r="D676" s="441">
        <x:v>52180131</x:v>
      </x:c>
      <x:c r="E676" s="442" t="str">
        <x:f t="shared" si="109"/>
        <x:v>세금과공과_국민건강보험료</x:v>
      </x:c>
      <x:c r="F676" s="443"/>
      <x:c r="G676" s="444" t="s">
        <x:v>436</x:v>
      </x:c>
      <x:c r="H676" s="445" t="str">
        <x:f t="shared" si="106"/>
        <x:v>자문위원</x:v>
      </x:c>
      <x:c r="I676" s="446" t="str">
        <x:f t="shared" si="110"/>
        <x:v>[관리비]</x:v>
      </x:c>
      <x:c r="J676" s="445"/>
      <x:c r="K676" s="453">
        <x:v>11042.895140949759</x:v>
      </x:c>
      <x:c r="L676" s="454">
        <x:v>11042.895140949759</x:v>
      </x:c>
      <x:c r="M676" s="454">
        <x:v>11042.895140949759</x:v>
      </x:c>
      <x:c r="N676" s="454">
        <x:v>11042.895140949759</x:v>
      </x:c>
      <x:c r="O676" s="454">
        <x:v>11042.895140949759</x:v>
      </x:c>
      <x:c r="P676" s="454">
        <x:v>11042.895140949759</x:v>
      </x:c>
      <x:c r="Q676" s="454">
        <x:v>11042.895140949759</x:v>
      </x:c>
      <x:c r="R676" s="454">
        <x:v>11042.895140949759</x:v>
      </x:c>
      <x:c r="S676" s="454">
        <x:v>11042.895140949759</x:v>
      </x:c>
      <x:c r="T676" s="454">
        <x:v>11042.895140949759</x:v>
      </x:c>
      <x:c r="U676" s="454">
        <x:v>11042.895140949759</x:v>
      </x:c>
      <x:c r="V676" s="455">
        <x:v>11042.895140949759</x:v>
      </x:c>
      <x:c r="W676" s="456">
        <x:f t="shared" si="111"/>
        <x:v>132514.74169139707</x:v>
      </x:c>
      <x:c r="X676" s="450">
        <x:f t="shared" si="112"/>
        <x:v>11042.895140949755</x:v>
      </x:c>
      <x:c r="Y676" s="457"/>
      <x:c r="Z676" s="458"/>
      <x:c r="AA676" s="458"/>
      <x:c r="AB676" s="458"/>
      <x:c r="AC676" s="458"/>
      <x:c r="AD676" s="458"/>
      <x:c r="AE676" s="458"/>
    </x:row>
    <x:row r="677" spans="1:31" ht="20.100000000000001" customHeight="1">
      <x:c r="A677" s="439" t="s">
        <x:v>765</x:v>
      </x:c>
      <x:c r="B677" s="466" t="str">
        <x:f t="shared" si="107"/>
        <x:v>세금,보험</x:v>
      </x:c>
      <x:c r="C677" s="440" t="str">
        <x:f t="shared" si="108"/>
        <x:v>세금과공과</x:v>
      </x:c>
      <x:c r="D677" s="441">
        <x:v>52180132</x:v>
      </x:c>
      <x:c r="E677" s="442" t="str">
        <x:f t="shared" si="109"/>
        <x:v>세금과공과_국민연금</x:v>
      </x:c>
      <x:c r="F677" s="443"/>
      <x:c r="G677" s="444" t="s">
        <x:v>85</x:v>
      </x:c>
      <x:c r="H677" s="445" t="str">
        <x:f t="shared" si="106"/>
        <x:v>부회장</x:v>
      </x:c>
      <x:c r="I677" s="446" t="str">
        <x:f t="shared" si="110"/>
        <x:v>[관리비]</x:v>
      </x:c>
      <x:c r="J677" s="445"/>
      <x:c r="K677" s="453">
        <x:v>15565.725276127303</x:v>
      </x:c>
      <x:c r="L677" s="454">
        <x:v>15565.725276127303</x:v>
      </x:c>
      <x:c r="M677" s="454">
        <x:v>15565.725276127303</x:v>
      </x:c>
      <x:c r="N677" s="454">
        <x:v>15565.725276127303</x:v>
      </x:c>
      <x:c r="O677" s="454">
        <x:v>15565.725276127303</x:v>
      </x:c>
      <x:c r="P677" s="454">
        <x:v>15565.725276127303</x:v>
      </x:c>
      <x:c r="Q677" s="454">
        <x:v>17023.73931298067</x:v>
      </x:c>
      <x:c r="R677" s="454">
        <x:v>17023.73931298067</x:v>
      </x:c>
      <x:c r="S677" s="454">
        <x:v>17023.73931298067</x:v>
      </x:c>
      <x:c r="T677" s="454">
        <x:v>17023.73931298067</x:v>
      </x:c>
      <x:c r="U677" s="454">
        <x:v>17023.73931298067</x:v>
      </x:c>
      <x:c r="V677" s="455">
        <x:v>17023.73931298067</x:v>
      </x:c>
      <x:c r="W677" s="456">
        <x:f t="shared" si="111"/>
        <x:v>195536.78753464785</x:v>
      </x:c>
      <x:c r="X677" s="450">
        <x:f t="shared" si="112"/>
        <x:v>16294.732294553987</x:v>
      </x:c>
      <x:c r="Y677" s="457"/>
      <x:c r="Z677" s="458"/>
      <x:c r="AA677" s="458"/>
      <x:c r="AB677" s="458"/>
      <x:c r="AC677" s="458"/>
      <x:c r="AD677" s="458"/>
      <x:c r="AE677" s="458"/>
    </x:row>
    <x:row r="678" spans="1:31" ht="20.100000000000001" customHeight="1">
      <x:c r="A678" s="439" t="s">
        <x:v>765</x:v>
      </x:c>
      <x:c r="B678" s="466" t="str">
        <x:f t="shared" si="107"/>
        <x:v>세금,보험</x:v>
      </x:c>
      <x:c r="C678" s="440" t="str">
        <x:f t="shared" si="108"/>
        <x:v>세금과공과</x:v>
      </x:c>
      <x:c r="D678" s="441">
        <x:v>52180132</x:v>
      </x:c>
      <x:c r="E678" s="442" t="str">
        <x:f t="shared" si="109"/>
        <x:v>세금과공과_국민연금</x:v>
      </x:c>
      <x:c r="F678" s="443"/>
      <x:c r="G678" s="444" t="s">
        <x:v>318</x:v>
      </x:c>
      <x:c r="H678" s="445" t="str">
        <x:f t="shared" si="106"/>
        <x:v>대표이사</x:v>
      </x:c>
      <x:c r="I678" s="446" t="str">
        <x:f t="shared" si="110"/>
        <x:v>[관리비]</x:v>
      </x:c>
      <x:c r="J678" s="445"/>
      <x:c r="K678" s="453">
        <x:v>15565.725276127303</x:v>
      </x:c>
      <x:c r="L678" s="454">
        <x:v>15565.725276127303</x:v>
      </x:c>
      <x:c r="M678" s="454">
        <x:v>15565.725276127303</x:v>
      </x:c>
      <x:c r="N678" s="454">
        <x:v>15565.725276127303</x:v>
      </x:c>
      <x:c r="O678" s="454">
        <x:v>15565.725276127303</x:v>
      </x:c>
      <x:c r="P678" s="454">
        <x:v>15565.725276127303</x:v>
      </x:c>
      <x:c r="Q678" s="454">
        <x:v>17023.73931298067</x:v>
      </x:c>
      <x:c r="R678" s="454">
        <x:v>17023.73931298067</x:v>
      </x:c>
      <x:c r="S678" s="454">
        <x:v>17023.73931298067</x:v>
      </x:c>
      <x:c r="T678" s="454">
        <x:v>17023.73931298067</x:v>
      </x:c>
      <x:c r="U678" s="454">
        <x:v>17023.73931298067</x:v>
      </x:c>
      <x:c r="V678" s="455">
        <x:v>17023.73931298067</x:v>
      </x:c>
      <x:c r="W678" s="456">
        <x:f t="shared" si="111"/>
        <x:v>195536.78753464785</x:v>
      </x:c>
      <x:c r="X678" s="450">
        <x:f t="shared" si="112"/>
        <x:v>16294.732294553987</x:v>
      </x:c>
      <x:c r="Y678" s="457"/>
      <x:c r="Z678" s="458"/>
      <x:c r="AA678" s="458"/>
      <x:c r="AB678" s="458"/>
      <x:c r="AC678" s="458"/>
      <x:c r="AD678" s="458"/>
      <x:c r="AE678" s="458"/>
    </x:row>
    <x:row r="679" spans="1:31" ht="20.100000000000001" customHeight="1">
      <x:c r="A679" s="439" t="s">
        <x:v>765</x:v>
      </x:c>
      <x:c r="B679" s="466" t="str">
        <x:f t="shared" si="107"/>
        <x:v>세금,보험</x:v>
      </x:c>
      <x:c r="C679" s="440" t="str">
        <x:f t="shared" si="108"/>
        <x:v>세금과공과</x:v>
      </x:c>
      <x:c r="D679" s="441">
        <x:v>52180132</x:v>
      </x:c>
      <x:c r="E679" s="442" t="str">
        <x:f t="shared" si="109"/>
        <x:v>세금과공과_국민연금</x:v>
      </x:c>
      <x:c r="F679" s="443"/>
      <x:c r="G679" s="444" t="s">
        <x:v>93</x:v>
      </x:c>
      <x:c r="H679" s="445" t="str">
        <x:f t="shared" si="106"/>
        <x:v>인사총무담당</x:v>
      </x:c>
      <x:c r="I679" s="446" t="str">
        <x:f t="shared" si="110"/>
        <x:v>[관리비]</x:v>
      </x:c>
      <x:c r="J679" s="445"/>
      <x:c r="K679" s="453">
        <x:v>15565.725276127303</x:v>
      </x:c>
      <x:c r="L679" s="454">
        <x:v>15565.725276127303</x:v>
      </x:c>
      <x:c r="M679" s="454">
        <x:v>15565.725276127303</x:v>
      </x:c>
      <x:c r="N679" s="454">
        <x:v>15565.725276127303</x:v>
      </x:c>
      <x:c r="O679" s="454">
        <x:v>15565.725276127303</x:v>
      </x:c>
      <x:c r="P679" s="454">
        <x:v>15565.725276127303</x:v>
      </x:c>
      <x:c r="Q679" s="454">
        <x:v>17023.73931298067</x:v>
      </x:c>
      <x:c r="R679" s="454">
        <x:v>17023.73931298067</x:v>
      </x:c>
      <x:c r="S679" s="454">
        <x:v>17023.73931298067</x:v>
      </x:c>
      <x:c r="T679" s="454">
        <x:v>17023.73931298067</x:v>
      </x:c>
      <x:c r="U679" s="454">
        <x:v>17023.73931298067</x:v>
      </x:c>
      <x:c r="V679" s="455">
        <x:v>17023.73931298067</x:v>
      </x:c>
      <x:c r="W679" s="456">
        <x:f t="shared" si="111"/>
        <x:v>195536.78753464785</x:v>
      </x:c>
      <x:c r="X679" s="450">
        <x:f t="shared" si="112"/>
        <x:v>16294.732294553987</x:v>
      </x:c>
      <x:c r="Y679" s="457"/>
      <x:c r="Z679" s="458"/>
      <x:c r="AA679" s="458"/>
      <x:c r="AB679" s="458"/>
      <x:c r="AC679" s="458"/>
      <x:c r="AD679" s="458"/>
      <x:c r="AE679" s="458"/>
    </x:row>
    <x:row r="680" spans="1:31" ht="20.100000000000001" customHeight="1">
      <x:c r="A680" s="439" t="s">
        <x:v>765</x:v>
      </x:c>
      <x:c r="B680" s="466" t="str">
        <x:f t="shared" si="107"/>
        <x:v>세금,보험</x:v>
      </x:c>
      <x:c r="C680" s="440" t="str">
        <x:f t="shared" si="108"/>
        <x:v>세금과공과</x:v>
      </x:c>
      <x:c r="D680" s="441">
        <x:v>52180132</x:v>
      </x:c>
      <x:c r="E680" s="442" t="str">
        <x:f t="shared" si="109"/>
        <x:v>세금과공과_국민연금</x:v>
      </x:c>
      <x:c r="F680" s="443"/>
      <x:c r="G680" s="444" t="s">
        <x:v>91</x:v>
      </x:c>
      <x:c r="H680" s="445" t="str">
        <x:f t="shared" si="106"/>
        <x:v>인사총무팀</x:v>
      </x:c>
      <x:c r="I680" s="446" t="str">
        <x:f t="shared" si="110"/>
        <x:v>[관리비]</x:v>
      </x:c>
      <x:c r="J680" s="445"/>
      <x:c r="K680" s="453">
        <x:v>251410.49193240967</x:v>
      </x:c>
      <x:c r="L680" s="454">
        <x:v>312936.51219967118</x:v>
      </x:c>
      <x:c r="M680" s="454">
        <x:v>239108.87182407588</x:v>
      </x:c>
      <x:c r="N680" s="454">
        <x:v>228802.8575203738</x:v>
      </x:c>
      <x:c r="O680" s="454">
        <x:v>471159.00083062594</x:v>
      </x:c>
      <x:c r="P680" s="454">
        <x:v>232708.27165558774</x:v>
      </x:c>
      <x:c r="Q680" s="454">
        <x:v>299382.14036581758</x:v>
      </x:c>
      <x:c r="R680" s="454">
        <x:v>236092.92770464066</x:v>
      </x:c>
      <x:c r="S680" s="454">
        <x:v>236092.92770464066</x:v>
      </x:c>
      <x:c r="T680" s="454">
        <x:v>281299.50817690988</x:v>
      </x:c>
      <x:c r="U680" s="454">
        <x:v>281299.50817690988</x:v>
      </x:c>
      <x:c r="V680" s="455">
        <x:v>256866.77686436597</x:v>
      </x:c>
      <x:c r="W680" s="456">
        <x:f t="shared" si="111"/>
        <x:v>3327159.7949560289</x:v>
      </x:c>
      <x:c r="X680" s="450">
        <x:f t="shared" si="112"/>
        <x:v>277263.31624633574</x:v>
      </x:c>
      <x:c r="Y680" s="457"/>
      <x:c r="Z680" s="458"/>
      <x:c r="AA680" s="458"/>
      <x:c r="AB680" s="458"/>
      <x:c r="AC680" s="458"/>
      <x:c r="AD680" s="458"/>
      <x:c r="AE680" s="458"/>
    </x:row>
    <x:row r="681" spans="1:31" ht="20.100000000000001" customHeight="1">
      <x:c r="A681" s="439" t="s">
        <x:v>765</x:v>
      </x:c>
      <x:c r="B681" s="466" t="str">
        <x:f t="shared" si="107"/>
        <x:v>세금,보험</x:v>
      </x:c>
      <x:c r="C681" s="440" t="str">
        <x:f t="shared" si="108"/>
        <x:v>세금과공과</x:v>
      </x:c>
      <x:c r="D681" s="441">
        <x:v>52180132</x:v>
      </x:c>
      <x:c r="E681" s="442" t="str">
        <x:f t="shared" si="109"/>
        <x:v>세금과공과_국민연금</x:v>
      </x:c>
      <x:c r="F681" s="443"/>
      <x:c r="G681" s="444" t="s">
        <x:v>95</x:v>
      </x:c>
      <x:c r="H681" s="445" t="str">
        <x:f t="shared" si="106"/>
        <x:v>재경담당</x:v>
      </x:c>
      <x:c r="I681" s="446" t="str">
        <x:f t="shared" si="110"/>
        <x:v>[관리비]</x:v>
      </x:c>
      <x:c r="J681" s="445"/>
      <x:c r="K681" s="453">
        <x:v>15565.725276127303</x:v>
      </x:c>
      <x:c r="L681" s="454">
        <x:v>15565.725276127303</x:v>
      </x:c>
      <x:c r="M681" s="454">
        <x:v>15565.725276127303</x:v>
      </x:c>
      <x:c r="N681" s="454">
        <x:v>15565.725276127303</x:v>
      </x:c>
      <x:c r="O681" s="454">
        <x:v>15565.725276127303</x:v>
      </x:c>
      <x:c r="P681" s="454">
        <x:v>15565.725276127303</x:v>
      </x:c>
      <x:c r="Q681" s="454">
        <x:v>17023.73931298067</x:v>
      </x:c>
      <x:c r="R681" s="454">
        <x:v>17023.73931298067</x:v>
      </x:c>
      <x:c r="S681" s="454">
        <x:v>17023.73931298067</x:v>
      </x:c>
      <x:c r="T681" s="454">
        <x:v>17023.73931298067</x:v>
      </x:c>
      <x:c r="U681" s="454">
        <x:v>17023.73931298067</x:v>
      </x:c>
      <x:c r="V681" s="455">
        <x:v>17023.73931298067</x:v>
      </x:c>
      <x:c r="W681" s="456">
        <x:f t="shared" si="111"/>
        <x:v>195536.78753464785</x:v>
      </x:c>
      <x:c r="X681" s="450">
        <x:f t="shared" si="112"/>
        <x:v>16294.732294553987</x:v>
      </x:c>
      <x:c r="Y681" s="457"/>
      <x:c r="Z681" s="458"/>
      <x:c r="AA681" s="458"/>
      <x:c r="AB681" s="458"/>
      <x:c r="AC681" s="458"/>
      <x:c r="AD681" s="458"/>
      <x:c r="AE681" s="458"/>
    </x:row>
    <x:row r="682" spans="1:31" ht="20.100000000000001" customHeight="1">
      <x:c r="A682" s="439" t="s">
        <x:v>765</x:v>
      </x:c>
      <x:c r="B682" s="466" t="str">
        <x:f t="shared" si="107"/>
        <x:v>세금,보험</x:v>
      </x:c>
      <x:c r="C682" s="440" t="str">
        <x:f t="shared" si="108"/>
        <x:v>세금과공과</x:v>
      </x:c>
      <x:c r="D682" s="441">
        <x:v>52180132</x:v>
      </x:c>
      <x:c r="E682" s="442" t="str">
        <x:f t="shared" si="109"/>
        <x:v>세금과공과_국민연금</x:v>
      </x:c>
      <x:c r="F682" s="443"/>
      <x:c r="G682" s="444" t="s">
        <x:v>97</x:v>
      </x:c>
      <x:c r="H682" s="445" t="str">
        <x:f t="shared" si="106"/>
        <x:v>재경팀</x:v>
      </x:c>
      <x:c r="I682" s="446" t="str">
        <x:f t="shared" si="110"/>
        <x:v>[관리비]</x:v>
      </x:c>
      <x:c r="J682" s="445"/>
      <x:c r="K682" s="453">
        <x:v>81653.673261677526</x:v>
      </x:c>
      <x:c r="L682" s="454">
        <x:v>90484.296824921286</x:v>
      </x:c>
      <x:c r="M682" s="454">
        <x:v>81653.673261677526</x:v>
      </x:c>
      <x:c r="N682" s="454">
        <x:v>83789.921761111851</x:v>
      </x:c>
      <x:c r="O682" s="454">
        <x:v>83789.921761111851</x:v>
      </x:c>
      <x:c r="P682" s="454">
        <x:v>84009.845666112087</x:v>
      </x:c>
      <x:c r="Q682" s="454">
        <x:v>95258.546140383041</x:v>
      </x:c>
      <x:c r="R682" s="454">
        <x:v>85522.161901730942</x:v>
      </x:c>
      <x:c r="S682" s="454">
        <x:v>85522.161901730942</x:v>
      </x:c>
      <x:c r="T682" s="454">
        <x:v>92814.947195936053</x:v>
      </x:c>
      <x:c r="U682" s="454">
        <x:v>92814.947195936053</x:v>
      </x:c>
      <x:c r="V682" s="455">
        <x:v>95561.009387506812</x:v>
      </x:c>
      <x:c r="W682" s="456">
        <x:f t="shared" si="111"/>
        <x:v>1052875.1062598359</x:v>
      </x:c>
      <x:c r="X682" s="450">
        <x:f t="shared" si="112"/>
        <x:v>87739.592188319657</x:v>
      </x:c>
      <x:c r="Y682" s="457"/>
      <x:c r="Z682" s="458"/>
      <x:c r="AA682" s="458"/>
      <x:c r="AB682" s="458"/>
      <x:c r="AC682" s="458"/>
      <x:c r="AD682" s="458"/>
      <x:c r="AE682" s="458"/>
    </x:row>
    <x:row r="683" spans="1:31" ht="20.100000000000001" customHeight="1">
      <x:c r="A683" s="439" t="s">
        <x:v>765</x:v>
      </x:c>
      <x:c r="B683" s="466" t="str">
        <x:f t="shared" si="107"/>
        <x:v>세금,보험</x:v>
      </x:c>
      <x:c r="C683" s="440" t="str">
        <x:f t="shared" si="108"/>
        <x:v>세금과공과</x:v>
      </x:c>
      <x:c r="D683" s="441">
        <x:v>52180132</x:v>
      </x:c>
      <x:c r="E683" s="442" t="str">
        <x:f t="shared" si="109"/>
        <x:v>세금과공과_국민연금</x:v>
      </x:c>
      <x:c r="F683" s="443"/>
      <x:c r="G683" s="444" t="s">
        <x:v>89</x:v>
      </x:c>
      <x:c r="H683" s="445" t="str">
        <x:f t="shared" si="106"/>
        <x:v>기획담당</x:v>
      </x:c>
      <x:c r="I683" s="446" t="str">
        <x:f t="shared" si="110"/>
        <x:v>[관리비]</x:v>
      </x:c>
      <x:c r="J683" s="445"/>
      <x:c r="K683" s="453">
        <x:v>15565.725276127303</x:v>
      </x:c>
      <x:c r="L683" s="454">
        <x:v>15565.725276127303</x:v>
      </x:c>
      <x:c r="M683" s="454">
        <x:v>15565.725276127303</x:v>
      </x:c>
      <x:c r="N683" s="454">
        <x:v>15565.725276127303</x:v>
      </x:c>
      <x:c r="O683" s="454">
        <x:v>15565.725276127303</x:v>
      </x:c>
      <x:c r="P683" s="454">
        <x:v>15565.725276127303</x:v>
      </x:c>
      <x:c r="Q683" s="454">
        <x:v>17023.73931298067</x:v>
      </x:c>
      <x:c r="R683" s="454">
        <x:v>17023.73931298067</x:v>
      </x:c>
      <x:c r="S683" s="454">
        <x:v>17023.73931298067</x:v>
      </x:c>
      <x:c r="T683" s="454">
        <x:v>17023.73931298067</x:v>
      </x:c>
      <x:c r="U683" s="454">
        <x:v>17023.73931298067</x:v>
      </x:c>
      <x:c r="V683" s="455">
        <x:v>17023.73931298067</x:v>
      </x:c>
      <x:c r="W683" s="456">
        <x:f t="shared" si="111"/>
        <x:v>195536.78753464785</x:v>
      </x:c>
      <x:c r="X683" s="450">
        <x:f t="shared" si="112"/>
        <x:v>16294.732294553987</x:v>
      </x:c>
      <x:c r="Y683" s="457"/>
      <x:c r="Z683" s="458"/>
      <x:c r="AA683" s="458"/>
      <x:c r="AB683" s="458"/>
      <x:c r="AC683" s="458"/>
      <x:c r="AD683" s="458"/>
      <x:c r="AE683" s="458"/>
    </x:row>
    <x:row r="684" spans="1:31" ht="20.100000000000001" customHeight="1">
      <x:c r="A684" s="439" t="s">
        <x:v>765</x:v>
      </x:c>
      <x:c r="B684" s="466" t="str">
        <x:f t="shared" si="107"/>
        <x:v>세금,보험</x:v>
      </x:c>
      <x:c r="C684" s="440" t="str">
        <x:f t="shared" si="108"/>
        <x:v>세금과공과</x:v>
      </x:c>
      <x:c r="D684" s="441">
        <x:v>52180132</x:v>
      </x:c>
      <x:c r="E684" s="442" t="str">
        <x:f t="shared" si="109"/>
        <x:v>세금과공과_국민연금</x:v>
      </x:c>
      <x:c r="F684" s="443"/>
      <x:c r="G684" s="444" t="s">
        <x:v>87</x:v>
      </x:c>
      <x:c r="H684" s="445" t="str">
        <x:f t="shared" si="106"/>
        <x:v>기획팀</x:v>
      </x:c>
      <x:c r="I684" s="446" t="str">
        <x:f t="shared" si="110"/>
        <x:v>[관리비]</x:v>
      </x:c>
      <x:c r="J684" s="445"/>
      <x:c r="K684" s="453">
        <x:v>100332.00057104263</x:v>
      </x:c>
      <x:c r="L684" s="454">
        <x:v>104185.82761742936</x:v>
      </x:c>
      <x:c r="M684" s="454">
        <x:v>100332.00057104263</x:v>
      </x:c>
      <x:c r="N684" s="454">
        <x:v>101596.69878029087</x:v>
      </x:c>
      <x:c r="O684" s="454">
        <x:v>101596.69878029087</x:v>
      </x:c>
      <x:c r="P684" s="454">
        <x:v>101596.69878029087</x:v>
      </x:c>
      <x:c r="Q684" s="454">
        <x:v>112307.80748678349</x:v>
      </x:c>
      <x:c r="R684" s="454">
        <x:v>107541.70350113655</x:v>
      </x:c>
      <x:c r="S684" s="454">
        <x:v>107541.70350113655</x:v>
      </x:c>
      <x:c r="T684" s="454">
        <x:v>111330.36790900469</x:v>
      </x:c>
      <x:c r="U684" s="454">
        <x:v>111330.36790900469</x:v>
      </x:c>
      <x:c r="V684" s="455">
        <x:v>113725.6378965504</x:v>
      </x:c>
      <x:c r="W684" s="456">
        <x:f t="shared" si="111"/>
        <x:v>1273417.5133040035</x:v>
      </x:c>
      <x:c r="X684" s="450">
        <x:f t="shared" si="112"/>
        <x:v>106118.12610866695</x:v>
      </x:c>
      <x:c r="Y684" s="457"/>
      <x:c r="Z684" s="458"/>
      <x:c r="AA684" s="458"/>
      <x:c r="AB684" s="458"/>
      <x:c r="AC684" s="458"/>
      <x:c r="AD684" s="458"/>
      <x:c r="AE684" s="458"/>
    </x:row>
    <x:row r="685" spans="1:31" ht="20.100000000000001" customHeight="1">
      <x:c r="A685" s="439" t="s">
        <x:v>765</x:v>
      </x:c>
      <x:c r="B685" s="466" t="str">
        <x:f t="shared" si="107"/>
        <x:v>세금,보험</x:v>
      </x:c>
      <x:c r="C685" s="440" t="str">
        <x:f t="shared" si="108"/>
        <x:v>세금과공과</x:v>
      </x:c>
      <x:c r="D685" s="441">
        <x:v>52180133</x:v>
      </x:c>
      <x:c r="E685" s="442" t="str">
        <x:f t="shared" si="109"/>
        <x:v>세금과공과_고용보험료</x:v>
      </x:c>
      <x:c r="F685" s="443"/>
      <x:c r="G685" s="444" t="s">
        <x:v>93</x:v>
      </x:c>
      <x:c r="H685" s="445" t="str">
        <x:f t="shared" si="106"/>
        <x:v>인사총무담당</x:v>
      </x:c>
      <x:c r="I685" s="446" t="str">
        <x:f t="shared" si="110"/>
        <x:v>[관리비]</x:v>
      </x:c>
      <x:c r="J685" s="445"/>
      <x:c r="K685" s="453">
        <x:v>9151.0336870595183</x:v>
      </x:c>
      <x:c r="L685" s="454">
        <x:v>9664.1894653933869</x:v>
      </x:c>
      <x:c r="M685" s="454">
        <x:v>9151.0336870595183</x:v>
      </x:c>
      <x:c r="N685" s="454">
        <x:v>9151.0336870595183</x:v>
      </x:c>
      <x:c r="O685" s="454">
        <x:v>9151.0336870595183</x:v>
      </x:c>
      <x:c r="P685" s="454">
        <x:v>9151.0336870595183</x:v>
      </x:c>
      <x:c r="Q685" s="454">
        <x:v>9664.1894653933869</x:v>
      </x:c>
      <x:c r="R685" s="454">
        <x:v>9151.0336870595183</x:v>
      </x:c>
      <x:c r="S685" s="454">
        <x:v>9151.0336870595183</x:v>
      </x:c>
      <x:c r="T685" s="454">
        <x:v>9517.573528726567</x:v>
      </x:c>
      <x:c r="U685" s="454">
        <x:v>9517.573528726567</x:v>
      </x:c>
      <x:c r="V685" s="455">
        <x:v>9151.0336870595183</x:v>
      </x:c>
      <x:c r="W685" s="456">
        <x:f t="shared" si="111"/>
        <x:v>111571.79548471607</x:v>
      </x:c>
      <x:c r="X685" s="450">
        <x:f t="shared" si="112"/>
        <x:v>9297.64962372634</x:v>
      </x:c>
      <x:c r="Y685" s="457"/>
      <x:c r="Z685" s="458"/>
      <x:c r="AA685" s="458"/>
      <x:c r="AB685" s="458"/>
      <x:c r="AC685" s="458"/>
      <x:c r="AD685" s="458"/>
      <x:c r="AE685" s="458"/>
    </x:row>
    <x:row r="686" spans="1:31" ht="20.100000000000001" customHeight="1">
      <x:c r="A686" s="439" t="s">
        <x:v>765</x:v>
      </x:c>
      <x:c r="B686" s="466" t="str">
        <x:f t="shared" si="107"/>
        <x:v>세금,보험</x:v>
      </x:c>
      <x:c r="C686" s="440" t="str">
        <x:f t="shared" si="108"/>
        <x:v>세금과공과</x:v>
      </x:c>
      <x:c r="D686" s="441">
        <x:v>52180133</x:v>
      </x:c>
      <x:c r="E686" s="442" t="str">
        <x:f t="shared" si="109"/>
        <x:v>세금과공과_고용보험료</x:v>
      </x:c>
      <x:c r="F686" s="443"/>
      <x:c r="G686" s="444" t="s">
        <x:v>91</x:v>
      </x:c>
      <x:c r="H686" s="445" t="str">
        <x:f t="shared" si="106"/>
        <x:v>인사총무팀</x:v>
      </x:c>
      <x:c r="I686" s="446" t="str">
        <x:f t="shared" si="110"/>
        <x:v>[관리비]</x:v>
      </x:c>
      <x:c r="J686" s="445"/>
      <x:c r="K686" s="453">
        <x:v>80322.250682674217</x:v>
      </x:c>
      <x:c r="L686" s="454">
        <x:v>101874.79337269664</x:v>
      </x:c>
      <x:c r="M686" s="454">
        <x:v>76631.654851128173</x:v>
      </x:c>
      <x:c r="N686" s="454">
        <x:v>74527.885941214001</x:v>
      </x:c>
      <x:c r="O686" s="454">
        <x:v>403680.663758223</x:v>
      </x:c>
      <x:c r="P686" s="454">
        <x:v>76829.756146883039</x:v>
      </x:c>
      <x:c r="Q686" s="454">
        <x:v>96080.428631236413</x:v>
      </x:c>
      <x:c r="R686" s="454">
        <x:v>74527.885941214001</x:v>
      </x:c>
      <x:c r="S686" s="454">
        <x:v>74527.885941214001</x:v>
      </x:c>
      <x:c r="T686" s="454">
        <x:v>89922.559291229991</x:v>
      </x:c>
      <x:c r="U686" s="454">
        <x:v>89922.559291229991</x:v>
      </x:c>
      <x:c r="V686" s="455">
        <x:v>93397.518267763953</x:v>
      </x:c>
      <x:c r="W686" s="456">
        <x:f t="shared" si="111"/>
        <x:v>1332245.8421167077</x:v>
      </x:c>
      <x:c r="X686" s="450">
        <x:f t="shared" si="112"/>
        <x:v>111020.48684305897</x:v>
      </x:c>
      <x:c r="Y686" s="457"/>
      <x:c r="Z686" s="458"/>
      <x:c r="AA686" s="458"/>
      <x:c r="AB686" s="458"/>
      <x:c r="AC686" s="458"/>
      <x:c r="AD686" s="458"/>
      <x:c r="AE686" s="458"/>
    </x:row>
    <x:row r="687" spans="1:31" ht="20.100000000000001" customHeight="1">
      <x:c r="A687" s="439" t="s">
        <x:v>765</x:v>
      </x:c>
      <x:c r="B687" s="466" t="str">
        <x:f t="shared" si="107"/>
        <x:v>세금,보험</x:v>
      </x:c>
      <x:c r="C687" s="440" t="str">
        <x:f t="shared" si="108"/>
        <x:v>세금과공과</x:v>
      </x:c>
      <x:c r="D687" s="441">
        <x:v>52180133</x:v>
      </x:c>
      <x:c r="E687" s="442" t="str">
        <x:f t="shared" si="109"/>
        <x:v>세금과공과_고용보험료</x:v>
      </x:c>
      <x:c r="F687" s="443"/>
      <x:c r="G687" s="444" t="s">
        <x:v>95</x:v>
      </x:c>
      <x:c r="H687" s="445" t="str">
        <x:f t="shared" si="106"/>
        <x:v>재경담당</x:v>
      </x:c>
      <x:c r="I687" s="446" t="str">
        <x:f t="shared" si="110"/>
        <x:v>[관리비]</x:v>
      </x:c>
      <x:c r="J687" s="445"/>
      <x:c r="K687" s="453">
        <x:v>9151.0336870595183</x:v>
      </x:c>
      <x:c r="L687" s="454">
        <x:v>9664.1894653933869</x:v>
      </x:c>
      <x:c r="M687" s="454">
        <x:v>9151.0336870595183</x:v>
      </x:c>
      <x:c r="N687" s="454">
        <x:v>9151.0336870595183</x:v>
      </x:c>
      <x:c r="O687" s="454">
        <x:v>9151.0336870595183</x:v>
      </x:c>
      <x:c r="P687" s="454">
        <x:v>9151.0336870595183</x:v>
      </x:c>
      <x:c r="Q687" s="454">
        <x:v>9664.1894653933869</x:v>
      </x:c>
      <x:c r="R687" s="454">
        <x:v>9151.0336870595183</x:v>
      </x:c>
      <x:c r="S687" s="454">
        <x:v>9151.0336870595183</x:v>
      </x:c>
      <x:c r="T687" s="454">
        <x:v>9517.573528726567</x:v>
      </x:c>
      <x:c r="U687" s="454">
        <x:v>9517.573528726567</x:v>
      </x:c>
      <x:c r="V687" s="455">
        <x:v>9151.0336870595183</x:v>
      </x:c>
      <x:c r="W687" s="456">
        <x:f t="shared" si="111"/>
        <x:v>111571.79548471607</x:v>
      </x:c>
      <x:c r="X687" s="450">
        <x:f t="shared" si="112"/>
        <x:v>9297.64962372634</x:v>
      </x:c>
      <x:c r="Y687" s="457"/>
      <x:c r="Z687" s="458"/>
      <x:c r="AA687" s="458"/>
      <x:c r="AB687" s="458"/>
      <x:c r="AC687" s="458"/>
      <x:c r="AD687" s="458"/>
      <x:c r="AE687" s="458"/>
    </x:row>
    <x:row r="688" spans="1:31" ht="20.100000000000001" customHeight="1">
      <x:c r="A688" s="439" t="s">
        <x:v>765</x:v>
      </x:c>
      <x:c r="B688" s="466" t="str">
        <x:f t="shared" si="107"/>
        <x:v>세금,보험</x:v>
      </x:c>
      <x:c r="C688" s="440" t="str">
        <x:f t="shared" si="108"/>
        <x:v>세금과공과</x:v>
      </x:c>
      <x:c r="D688" s="441">
        <x:v>52180133</x:v>
      </x:c>
      <x:c r="E688" s="442" t="str">
        <x:f t="shared" si="109"/>
        <x:v>세금과공과_고용보험료</x:v>
      </x:c>
      <x:c r="F688" s="443"/>
      <x:c r="G688" s="444" t="s">
        <x:v>97</x:v>
      </x:c>
      <x:c r="H688" s="445" t="str">
        <x:f t="shared" si="106"/>
        <x:v>재경팀</x:v>
      </x:c>
      <x:c r="I688" s="446" t="str">
        <x:f t="shared" si="110"/>
        <x:v>[관리비]</x:v>
      </x:c>
      <x:c r="J688" s="445"/>
      <x:c r="K688" s="453">
        <x:v>25596.141313803058</x:v>
      </x:c>
      <x:c r="L688" s="454">
        <x:v>29188.231762140123</x:v>
      </x:c>
      <x:c r="M688" s="454">
        <x:v>25596.141313803058</x:v>
      </x:c>
      <x:c r="N688" s="454">
        <x:v>26518.376081668484</x:v>
      </x:c>
      <x:c r="O688" s="454">
        <x:v>26518.376081668484</x:v>
      </x:c>
      <x:c r="P688" s="454">
        <x:v>26584.353253168552</x:v>
      </x:c>
      <x:c r="Q688" s="454">
        <x:v>30110.466530005553</x:v>
      </x:c>
      <x:c r="R688" s="454">
        <x:v>26518.376081668484</x:v>
      </x:c>
      <x:c r="S688" s="454">
        <x:v>26518.376081668484</x:v>
      </x:c>
      <x:c r="T688" s="454">
        <x:v>29084.154973337816</x:v>
      </x:c>
      <x:c r="U688" s="454">
        <x:v>29084.154973337816</x:v>
      </x:c>
      <x:c r="V688" s="455">
        <x:v>32693.310783623223</x:v>
      </x:c>
      <x:c r="W688" s="456">
        <x:f t="shared" si="111"/>
        <x:v>334010.45922989317</x:v>
      </x:c>
      <x:c r="X688" s="450">
        <x:f t="shared" si="112"/>
        <x:v>27834.204935824429</x:v>
      </x:c>
      <x:c r="Y688" s="457"/>
      <x:c r="Z688" s="458"/>
      <x:c r="AA688" s="458"/>
      <x:c r="AB688" s="458"/>
      <x:c r="AC688" s="458"/>
      <x:c r="AD688" s="458"/>
      <x:c r="AE688" s="458"/>
    </x:row>
    <x:row r="689" spans="1:31" ht="20.100000000000001" customHeight="1">
      <x:c r="A689" s="439" t="s">
        <x:v>765</x:v>
      </x:c>
      <x:c r="B689" s="466" t="str">
        <x:f t="shared" si="107"/>
        <x:v>세금,보험</x:v>
      </x:c>
      <x:c r="C689" s="440" t="str">
        <x:f t="shared" si="108"/>
        <x:v>세금과공과</x:v>
      </x:c>
      <x:c r="D689" s="441">
        <x:v>52180133</x:v>
      </x:c>
      <x:c r="E689" s="442" t="str">
        <x:f t="shared" si="109"/>
        <x:v>세금과공과_고용보험료</x:v>
      </x:c>
      <x:c r="F689" s="443"/>
      <x:c r="G689" s="444" t="s">
        <x:v>89</x:v>
      </x:c>
      <x:c r="H689" s="445" t="str">
        <x:f t="shared" si="106"/>
        <x:v>기획담당</x:v>
      </x:c>
      <x:c r="I689" s="446" t="str">
        <x:f t="shared" si="110"/>
        <x:v>[관리비]</x:v>
      </x:c>
      <x:c r="J689" s="445"/>
      <x:c r="K689" s="453">
        <x:v>9170.8268385095398</x:v>
      </x:c>
      <x:c r="L689" s="454">
        <x:v>9683.9826168434065</x:v>
      </x:c>
      <x:c r="M689" s="454">
        <x:v>9170.8268385095398</x:v>
      </x:c>
      <x:c r="N689" s="454">
        <x:v>9170.8268385095398</x:v>
      </x:c>
      <x:c r="O689" s="454">
        <x:v>9170.8268385095398</x:v>
      </x:c>
      <x:c r="P689" s="454">
        <x:v>9170.8268385095398</x:v>
      </x:c>
      <x:c r="Q689" s="454">
        <x:v>9683.9826168434065</x:v>
      </x:c>
      <x:c r="R689" s="454">
        <x:v>9170.8268385095398</x:v>
      </x:c>
      <x:c r="S689" s="454">
        <x:v>9170.8268385095398</x:v>
      </x:c>
      <x:c r="T689" s="454">
        <x:v>9537.3666801765885</x:v>
      </x:c>
      <x:c r="U689" s="454">
        <x:v>9537.3666801765885</x:v>
      </x:c>
      <x:c r="V689" s="455">
        <x:v>9170.8268385095398</x:v>
      </x:c>
      <x:c r="W689" s="456">
        <x:f t="shared" si="111"/>
        <x:v>111809.31330211634</x:v>
      </x:c>
      <x:c r="X689" s="450">
        <x:f t="shared" si="112"/>
        <x:v>9317.4427751763615</x:v>
      </x:c>
      <x:c r="Y689" s="457"/>
      <x:c r="Z689" s="458"/>
      <x:c r="AA689" s="458"/>
      <x:c r="AB689" s="458"/>
      <x:c r="AC689" s="458"/>
      <x:c r="AD689" s="458"/>
      <x:c r="AE689" s="458"/>
    </x:row>
    <x:row r="690" spans="1:31" ht="20.100000000000001" customHeight="1">
      <x:c r="A690" s="439" t="s">
        <x:v>765</x:v>
      </x:c>
      <x:c r="B690" s="466" t="str">
        <x:f t="shared" si="107"/>
        <x:v>세금,보험</x:v>
      </x:c>
      <x:c r="C690" s="440" t="str">
        <x:f t="shared" si="108"/>
        <x:v>세금과공과</x:v>
      </x:c>
      <x:c r="D690" s="441">
        <x:v>52180133</x:v>
      </x:c>
      <x:c r="E690" s="442" t="str">
        <x:f t="shared" si="109"/>
        <x:v>세금과공과_고용보험료</x:v>
      </x:c>
      <x:c r="F690" s="443"/>
      <x:c r="G690" s="444" t="s">
        <x:v>87</x:v>
      </x:c>
      <x:c r="H690" s="445" t="str">
        <x:f t="shared" si="106"/>
        <x:v>기획팀</x:v>
      </x:c>
      <x:c r="I690" s="446" t="str">
        <x:f t="shared" si="110"/>
        <x:v>[관리비]</x:v>
      </x:c>
      <x:c r="J690" s="445"/>
      <x:c r="K690" s="453">
        <x:v>33835.665188764331</x:v>
      </x:c>
      <x:c r="L690" s="454">
        <x:v>37427.7556371014</x:v>
      </x:c>
      <x:c r="M690" s="454">
        <x:v>33835.665188764331</x:v>
      </x:c>
      <x:c r="N690" s="454">
        <x:v>35052.768063816598</x:v>
      </x:c>
      <x:c r="O690" s="454">
        <x:v>35052.768063816598</x:v>
      </x:c>
      <x:c r="P690" s="454">
        <x:v>35441.300295983667</x:v>
      </x:c>
      <x:c r="Q690" s="454">
        <x:v>38644.858512153674</x:v>
      </x:c>
      <x:c r="R690" s="454">
        <x:v>35052.768063816598</x:v>
      </x:c>
      <x:c r="S690" s="454">
        <x:v>35052.768063816598</x:v>
      </x:c>
      <x:c r="T690" s="454">
        <x:v>37618.54695548593</x:v>
      </x:c>
      <x:c r="U690" s="454">
        <x:v>37618.54695548593</x:v>
      </x:c>
      <x:c r="V690" s="455">
        <x:v>46714.049123453209</x:v>
      </x:c>
      <x:c r="W690" s="456">
        <x:f t="shared" si="111"/>
        <x:v>441347.46011245891</x:v>
      </x:c>
      <x:c r="X690" s="450">
        <x:f t="shared" si="112"/>
        <x:v>36778.955009371573</x:v>
      </x:c>
      <x:c r="Y690" s="457"/>
      <x:c r="Z690" s="458"/>
      <x:c r="AA690" s="458"/>
      <x:c r="AB690" s="458"/>
      <x:c r="AC690" s="458"/>
      <x:c r="AD690" s="458"/>
      <x:c r="AE690" s="458"/>
    </x:row>
    <x:row r="691" spans="1:31" ht="20.100000000000001" customHeight="1">
      <x:c r="A691" s="439" t="s">
        <x:v>765</x:v>
      </x:c>
      <x:c r="B691" s="466" t="str">
        <x:f t="shared" si="107"/>
        <x:v>세금,보험</x:v>
      </x:c>
      <x:c r="C691" s="440" t="str">
        <x:f t="shared" si="108"/>
        <x:v>세금과공과</x:v>
      </x:c>
      <x:c r="D691" s="441">
        <x:v>52180133</x:v>
      </x:c>
      <x:c r="E691" s="442" t="str">
        <x:f t="shared" si="109"/>
        <x:v>세금과공과_고용보험료</x:v>
      </x:c>
      <x:c r="F691" s="443"/>
      <x:c r="G691" s="444" t="s">
        <x:v>436</x:v>
      </x:c>
      <x:c r="H691" s="445" t="str">
        <x:f t="shared" si="106"/>
        <x:v>자문위원</x:v>
      </x:c>
      <x:c r="I691" s="446" t="str">
        <x:f t="shared" si="110"/>
        <x:v>[관리비]</x:v>
      </x:c>
      <x:c r="J691" s="445"/>
      <x:c r="K691" s="453">
        <x:v>3665.3984166704795</x:v>
      </x:c>
      <x:c r="L691" s="454">
        <x:v>3665.3984166704795</x:v>
      </x:c>
      <x:c r="M691" s="454">
        <x:v>3665.3984166704795</x:v>
      </x:c>
      <x:c r="N691" s="454">
        <x:v>3665.3984166704795</x:v>
      </x:c>
      <x:c r="O691" s="454">
        <x:v>3665.3984166704795</x:v>
      </x:c>
      <x:c r="P691" s="454">
        <x:v>3665.3984166704795</x:v>
      </x:c>
      <x:c r="Q691" s="454">
        <x:v>3665.3984166704795</x:v>
      </x:c>
      <x:c r="R691" s="454">
        <x:v>3665.3984166704795</x:v>
      </x:c>
      <x:c r="S691" s="454">
        <x:v>3665.3984166704795</x:v>
      </x:c>
      <x:c r="T691" s="454">
        <x:v>3665.3984166704795</x:v>
      </x:c>
      <x:c r="U691" s="454">
        <x:v>3665.3984166704795</x:v>
      </x:c>
      <x:c r="V691" s="455">
        <x:v>3665.3984166704795</x:v>
      </x:c>
      <x:c r="W691" s="456">
        <x:f t="shared" si="111"/>
        <x:v>43984.781000045739</x:v>
      </x:c>
      <x:c r="X691" s="450">
        <x:f t="shared" si="112"/>
        <x:v>3665.3984166704781</x:v>
      </x:c>
      <x:c r="Y691" s="457"/>
      <x:c r="Z691" s="458"/>
      <x:c r="AA691" s="458"/>
      <x:c r="AB691" s="458"/>
      <x:c r="AC691" s="458"/>
      <x:c r="AD691" s="458"/>
      <x:c r="AE691" s="458"/>
    </x:row>
    <x:row r="692" spans="1:31" ht="20.100000000000001" customHeight="1">
      <x:c r="A692" s="439" t="s">
        <x:v>766</x:v>
      </x:c>
      <x:c r="B692" s="466" t="str">
        <x:f t="shared" si="107"/>
        <x:v>여비교통비</x:v>
      </x:c>
      <x:c r="C692" s="440" t="str">
        <x:f t="shared" si="108"/>
        <x:v>여비교통비</x:v>
      </x:c>
      <x:c r="D692" s="441">
        <x:v>52150103</x:v>
      </x:c>
      <x:c r="E692" s="442" t="str">
        <x:f t="shared" si="109"/>
        <x:v>여비교통비_해외출장</x:v>
      </x:c>
      <x:c r="F692" s="443"/>
      <x:c r="G692" s="444" t="s">
        <x:v>93</x:v>
      </x:c>
      <x:c r="H692" s="445" t="str">
        <x:f t="shared" si="106"/>
        <x:v>인사총무담당</x:v>
      </x:c>
      <x:c r="I692" s="446" t="str">
        <x:f t="shared" si="110"/>
        <x:v>[관리비]</x:v>
      </x:c>
      <x:c r="J692" s="445"/>
      <x:c r="K692" s="453">
        <x:v>0</x:v>
      </x:c>
      <x:c r="L692" s="454">
        <x:v>0</x:v>
      </x:c>
      <x:c r="M692" s="454">
        <x:v>0</x:v>
      </x:c>
      <x:c r="N692" s="454">
        <x:v>483289.56901284843</x:v>
      </x:c>
      <x:c r="O692" s="454">
        <x:v>0</x:v>
      </x:c>
      <x:c r="P692" s="454">
        <x:v>0</x:v>
      </x:c>
      <x:c r="Q692" s="454">
        <x:v>0</x:v>
      </x:c>
      <x:c r="R692" s="454">
        <x:v>0</x:v>
      </x:c>
      <x:c r="S692" s="454">
        <x:v>0</x:v>
      </x:c>
      <x:c r="T692" s="454">
        <x:v>705928.58395135158</x:v>
      </x:c>
      <x:c r="U692" s="454">
        <x:v>0</x:v>
      </x:c>
      <x:c r="V692" s="455">
        <x:v>0</x:v>
      </x:c>
      <x:c r="W692" s="456">
        <x:f t="shared" si="111"/>
        <x:v>1189218.1529641999</x:v>
      </x:c>
      <x:c r="X692" s="450">
        <x:f t="shared" si="112"/>
        <x:v>99101.512747016663</x:v>
      </x:c>
      <x:c r="Y692" s="457"/>
      <x:c r="Z692" s="458"/>
      <x:c r="AA692" s="458"/>
      <x:c r="AB692" s="458"/>
      <x:c r="AC692" s="458"/>
      <x:c r="AD692" s="458"/>
      <x:c r="AE692" s="458"/>
    </x:row>
    <x:row r="693" spans="1:31" ht="20.100000000000001" customHeight="1">
      <x:c r="A693" s="439" t="s">
        <x:v>766</x:v>
      </x:c>
      <x:c r="B693" s="466" t="str">
        <x:f t="shared" si="107"/>
        <x:v>여비교통비</x:v>
      </x:c>
      <x:c r="C693" s="440" t="str">
        <x:f t="shared" si="108"/>
        <x:v>여비교통비</x:v>
      </x:c>
      <x:c r="D693" s="441">
        <x:v>52150103</x:v>
      </x:c>
      <x:c r="E693" s="442" t="str">
        <x:f t="shared" si="109"/>
        <x:v>여비교통비_해외출장</x:v>
      </x:c>
      <x:c r="F693" s="443"/>
      <x:c r="G693" s="444" t="s">
        <x:v>91</x:v>
      </x:c>
      <x:c r="H693" s="445" t="str">
        <x:f t="shared" si="106"/>
        <x:v>인사총무팀</x:v>
      </x:c>
      <x:c r="I693" s="446" t="str">
        <x:f t="shared" si="110"/>
        <x:v>[관리비]</x:v>
      </x:c>
      <x:c r="J693" s="445"/>
      <x:c r="K693" s="453">
        <x:v>0</x:v>
      </x:c>
      <x:c r="L693" s="454">
        <x:v>0</x:v>
      </x:c>
      <x:c r="M693" s="454">
        <x:v>0</x:v>
      </x:c>
      <x:c r="N693" s="454">
        <x:v>233499.45469160093</x:v>
      </x:c>
      <x:c r="O693" s="454">
        <x:v>0</x:v>
      </x:c>
      <x:c r="P693" s="454">
        <x:v>0</x:v>
      </x:c>
      <x:c r="Q693" s="454">
        <x:v>0</x:v>
      </x:c>
      <x:c r="R693" s="454">
        <x:v>0</x:v>
      </x:c>
      <x:c r="S693" s="454">
        <x:v>0</x:v>
      </x:c>
      <x:c r="T693" s="454">
        <x:v>450708.24975355528</x:v>
      </x:c>
      <x:c r="U693" s="454">
        <x:v>0</x:v>
      </x:c>
      <x:c r="V693" s="455">
        <x:v>0</x:v>
      </x:c>
      <x:c r="W693" s="456">
        <x:f t="shared" si="111"/>
        <x:v>684207.70444515627</x:v>
      </x:c>
      <x:c r="X693" s="450">
        <x:f t="shared" si="112"/>
        <x:v>57017.308703763025</x:v>
      </x:c>
      <x:c r="Y693" s="457"/>
      <x:c r="Z693" s="458"/>
      <x:c r="AA693" s="458"/>
      <x:c r="AB693" s="458"/>
      <x:c r="AC693" s="458"/>
      <x:c r="AD693" s="458"/>
      <x:c r="AE693" s="458"/>
    </x:row>
    <x:row r="694" spans="1:31" ht="20.100000000000001" customHeight="1">
      <x:c r="A694" s="439" t="s">
        <x:v>766</x:v>
      </x:c>
      <x:c r="B694" s="466" t="str">
        <x:f t="shared" si="107"/>
        <x:v>여비교통비</x:v>
      </x:c>
      <x:c r="C694" s="440" t="str">
        <x:f t="shared" si="108"/>
        <x:v>여비교통비</x:v>
      </x:c>
      <x:c r="D694" s="441">
        <x:v>52159900</x:v>
      </x:c>
      <x:c r="E694" s="442" t="str">
        <x:f t="shared" si="109"/>
        <x:v>여비교통비_기타</x:v>
      </x:c>
      <x:c r="F694" s="443"/>
      <x:c r="G694" s="444" t="s">
        <x:v>91</x:v>
      </x:c>
      <x:c r="H694" s="445" t="str">
        <x:f t="shared" si="106"/>
        <x:v>인사총무팀</x:v>
      </x:c>
      <x:c r="I694" s="446" t="str">
        <x:f t="shared" si="110"/>
        <x:v>[관리비]</x:v>
      </x:c>
      <x:c r="J694" s="445"/>
      <x:c r="K694" s="453">
        <x:v>0</x:v>
      </x:c>
      <x:c r="L694" s="454">
        <x:v>21720.879506195433</x:v>
      </x:c>
      <x:c r="M694" s="454">
        <x:v>0</x:v>
      </x:c>
      <x:c r="N694" s="454">
        <x:v>21720.879506195433</x:v>
      </x:c>
      <x:c r="O694" s="454">
        <x:v>0</x:v>
      </x:c>
      <x:c r="P694" s="454">
        <x:v>21720.879506195433</x:v>
      </x:c>
      <x:c r="Q694" s="454">
        <x:v>0</x:v>
      </x:c>
      <x:c r="R694" s="454">
        <x:v>21720.879506195433</x:v>
      </x:c>
      <x:c r="S694" s="454">
        <x:v>0</x:v>
      </x:c>
      <x:c r="T694" s="454">
        <x:v>21720.879506195433</x:v>
      </x:c>
      <x:c r="U694" s="454">
        <x:v>0</x:v>
      </x:c>
      <x:c r="V694" s="455">
        <x:v>21720.879506195433</x:v>
      </x:c>
      <x:c r="W694" s="456">
        <x:f t="shared" si="111"/>
        <x:v>130325.27703717259</x:v>
      </x:c>
      <x:c r="X694" s="450">
        <x:f t="shared" si="112"/>
        <x:v>10860.439753097717</x:v>
      </x:c>
      <x:c r="Y694" s="457"/>
      <x:c r="Z694" s="458"/>
      <x:c r="AA694" s="458"/>
      <x:c r="AB694" s="458"/>
      <x:c r="AC694" s="458"/>
      <x:c r="AD694" s="458"/>
      <x:c r="AE694" s="458"/>
    </x:row>
    <x:row r="695" spans="1:31" ht="20.100000000000001" customHeight="1">
      <x:c r="A695" s="439" t="s">
        <x:v>766</x:v>
      </x:c>
      <x:c r="B695" s="466" t="str">
        <x:f t="shared" si="107"/>
        <x:v>유지비용</x:v>
      </x:c>
      <x:c r="C695" s="440" t="str">
        <x:f t="shared" si="108"/>
        <x:v>소모품비</x:v>
      </x:c>
      <x:c r="D695" s="441">
        <x:v>52339900</x:v>
      </x:c>
      <x:c r="E695" s="442" t="str">
        <x:f t="shared" si="109"/>
        <x:v>소모품비_기타</x:v>
      </x:c>
      <x:c r="F695" s="443"/>
      <x:c r="G695" s="444" t="s">
        <x:v>91</x:v>
      </x:c>
      <x:c r="H695" s="445" t="str">
        <x:f t="shared" si="106"/>
        <x:v>인사총무팀</x:v>
      </x:c>
      <x:c r="I695" s="446" t="str">
        <x:f t="shared" si="110"/>
        <x:v>[관리비]</x:v>
      </x:c>
      <x:c r="J695" s="445"/>
      <x:c r="K695" s="453">
        <x:v>0</x:v>
      </x:c>
      <x:c r="L695" s="454">
        <x:v>0</x:v>
      </x:c>
      <x:c r="M695" s="454">
        <x:v>0</x:v>
      </x:c>
      <x:c r="N695" s="454">
        <x:v>0</x:v>
      </x:c>
      <x:c r="O695" s="454">
        <x:v>0</x:v>
      </x:c>
      <x:c r="P695" s="454">
        <x:v>0</x:v>
      </x:c>
      <x:c r="Q695" s="454">
        <x:v>0</x:v>
      </x:c>
      <x:c r="R695" s="454">
        <x:v>0</x:v>
      </x:c>
      <x:c r="S695" s="454">
        <x:v>0</x:v>
      </x:c>
      <x:c r="T695" s="454">
        <x:v>0</x:v>
      </x:c>
      <x:c r="U695" s="454">
        <x:v>0</x:v>
      </x:c>
      <x:c r="V695" s="455">
        <x:v>97743.957777879448</x:v>
      </x:c>
      <x:c r="W695" s="456">
        <x:f t="shared" si="111"/>
        <x:v>97743.957777879448</x:v>
      </x:c>
      <x:c r="X695" s="450">
        <x:f t="shared" si="112"/>
        <x:v>8145.3298148232871</x:v>
      </x:c>
      <x:c r="Y695" s="457"/>
      <x:c r="Z695" s="458"/>
      <x:c r="AA695" s="458"/>
      <x:c r="AB695" s="458"/>
      <x:c r="AC695" s="458"/>
      <x:c r="AD695" s="458"/>
      <x:c r="AE695" s="458"/>
    </x:row>
    <x:row r="696" spans="1:31" ht="20.100000000000001" customHeight="1">
      <x:c r="A696" s="439" t="s">
        <x:v>766</x:v>
      </x:c>
      <x:c r="B696" s="466" t="str">
        <x:f t="shared" si="107"/>
        <x:v>지급수수료</x:v>
      </x:c>
      <x:c r="C696" s="440" t="str">
        <x:f t="shared" si="108"/>
        <x:v>지급수수료</x:v>
      </x:c>
      <x:c r="D696" s="441">
        <x:v>52319900</x:v>
      </x:c>
      <x:c r="E696" s="442" t="str">
        <x:f t="shared" si="109"/>
        <x:v>지급수수료_기타</x:v>
      </x:c>
      <x:c r="F696" s="443"/>
      <x:c r="G696" s="444" t="s">
        <x:v>91</x:v>
      </x:c>
      <x:c r="H696" s="445" t="str">
        <x:f t="shared" ref="H696:H759" si="113">IFERROR(VLOOKUP($G696,$AK:$AL,2,),"")</x:f>
        <x:v>인사총무팀</x:v>
      </x:c>
      <x:c r="I696" s="446" t="str">
        <x:f t="shared" si="110"/>
        <x:v>[관리비]</x:v>
      </x:c>
      <x:c r="J696" s="445"/>
      <x:c r="K696" s="453">
        <x:v>0</x:v>
      </x:c>
      <x:c r="L696" s="454">
        <x:v>0</x:v>
      </x:c>
      <x:c r="M696" s="454">
        <x:v>0</x:v>
      </x:c>
      <x:c r="N696" s="454">
        <x:v>3258.131925929315</x:v>
      </x:c>
      <x:c r="O696" s="454">
        <x:v>0</x:v>
      </x:c>
      <x:c r="P696" s="454">
        <x:v>0</x:v>
      </x:c>
      <x:c r="Q696" s="454">
        <x:v>0</x:v>
      </x:c>
      <x:c r="R696" s="454">
        <x:v>0</x:v>
      </x:c>
      <x:c r="S696" s="454">
        <x:v>0</x:v>
      </x:c>
      <x:c r="T696" s="454">
        <x:v>3258.131925929315</x:v>
      </x:c>
      <x:c r="U696" s="454">
        <x:v>0</x:v>
      </x:c>
      <x:c r="V696" s="455">
        <x:v>0</x:v>
      </x:c>
      <x:c r="W696" s="456">
        <x:f t="shared" si="111"/>
        <x:v>6516.26385185863</x:v>
      </x:c>
      <x:c r="X696" s="450">
        <x:f t="shared" si="112"/>
        <x:v>543.02198765488583</x:v>
      </x:c>
      <x:c r="Y696" s="457"/>
      <x:c r="Z696" s="458"/>
      <x:c r="AA696" s="458"/>
      <x:c r="AB696" s="458"/>
      <x:c r="AC696" s="458"/>
      <x:c r="AD696" s="458"/>
      <x:c r="AE696" s="458"/>
    </x:row>
    <x:row r="697" spans="1:31" ht="20.100000000000001" customHeight="1">
      <x:c r="A697" s="439" t="s">
        <x:v>766</x:v>
      </x:c>
      <x:c r="B697" s="466" t="str">
        <x:f t="shared" si="107"/>
        <x:v>지급수수료</x:v>
      </x:c>
      <x:c r="C697" s="440" t="str">
        <x:f t="shared" si="108"/>
        <x:v>지급수수료</x:v>
      </x:c>
      <x:c r="D697" s="441">
        <x:v>52319900</x:v>
      </x:c>
      <x:c r="E697" s="442" t="str">
        <x:f t="shared" si="109"/>
        <x:v>지급수수료_기타</x:v>
      </x:c>
      <x:c r="F697" s="443"/>
      <x:c r="G697" s="444" t="s">
        <x:v>91</x:v>
      </x:c>
      <x:c r="H697" s="445" t="str">
        <x:f t="shared" si="113"/>
        <x:v>인사총무팀</x:v>
      </x:c>
      <x:c r="I697" s="446" t="str">
        <x:f t="shared" si="110"/>
        <x:v>[관리비]</x:v>
      </x:c>
      <x:c r="J697" s="445"/>
      <x:c r="K697" s="453">
        <x:v>0</x:v>
      </x:c>
      <x:c r="L697" s="454">
        <x:v>0</x:v>
      </x:c>
      <x:c r="M697" s="454">
        <x:v>0</x:v>
      </x:c>
      <x:c r="N697" s="454">
        <x:v>325813.1925929315</x:v>
      </x:c>
      <x:c r="O697" s="454">
        <x:v>0</x:v>
      </x:c>
      <x:c r="P697" s="454">
        <x:v>0</x:v>
      </x:c>
      <x:c r="Q697" s="454">
        <x:v>325813.1925929315</x:v>
      </x:c>
      <x:c r="R697" s="454">
        <x:v>0</x:v>
      </x:c>
      <x:c r="S697" s="454">
        <x:v>0</x:v>
      </x:c>
      <x:c r="T697" s="454">
        <x:v>325813.1925929315</x:v>
      </x:c>
      <x:c r="U697" s="454">
        <x:v>0</x:v>
      </x:c>
      <x:c r="V697" s="455">
        <x:v>0</x:v>
      </x:c>
      <x:c r="W697" s="456">
        <x:f t="shared" si="111"/>
        <x:v>977439.57777879457</x:v>
      </x:c>
      <x:c r="X697" s="450">
        <x:f t="shared" si="112"/>
        <x:v>81453.298148232876</x:v>
      </x:c>
      <x:c r="Y697" s="457"/>
      <x:c r="Z697" s="458"/>
      <x:c r="AA697" s="458"/>
      <x:c r="AB697" s="458"/>
      <x:c r="AC697" s="458"/>
      <x:c r="AD697" s="458"/>
      <x:c r="AE697" s="458"/>
    </x:row>
    <x:row r="698" spans="1:31" ht="20.100000000000001" customHeight="1">
      <x:c r="A698" s="439" t="s">
        <x:v>766</x:v>
      </x:c>
      <x:c r="B698" s="466" t="str">
        <x:f t="shared" si="107"/>
        <x:v>지급수수료</x:v>
      </x:c>
      <x:c r="C698" s="440" t="str">
        <x:f t="shared" si="108"/>
        <x:v>지급수수료</x:v>
      </x:c>
      <x:c r="D698" s="441">
        <x:v>52319900</x:v>
      </x:c>
      <x:c r="E698" s="442" t="str">
        <x:f t="shared" si="109"/>
        <x:v>지급수수료_기타</x:v>
      </x:c>
      <x:c r="F698" s="443"/>
      <x:c r="G698" s="444" t="s">
        <x:v>91</x:v>
      </x:c>
      <x:c r="H698" s="445" t="str">
        <x:f t="shared" si="113"/>
        <x:v>인사총무팀</x:v>
      </x:c>
      <x:c r="I698" s="446" t="str">
        <x:f t="shared" si="110"/>
        <x:v>[관리비]</x:v>
      </x:c>
      <x:c r="J698" s="445"/>
      <x:c r="K698" s="453">
        <x:v>0</x:v>
      </x:c>
      <x:c r="L698" s="454">
        <x:v>0</x:v>
      </x:c>
      <x:c r="M698" s="454">
        <x:v>17376.703604956347</x:v>
      </x:c>
      <x:c r="N698" s="454">
        <x:v>0</x:v>
      </x:c>
      <x:c r="O698" s="454">
        <x:v>0</x:v>
      </x:c>
      <x:c r="P698" s="454">
        <x:v>17376.703604956347</x:v>
      </x:c>
      <x:c r="Q698" s="454">
        <x:v>0</x:v>
      </x:c>
      <x:c r="R698" s="454">
        <x:v>0</x:v>
      </x:c>
      <x:c r="S698" s="454">
        <x:v>17376.703604956347</x:v>
      </x:c>
      <x:c r="T698" s="454">
        <x:v>0</x:v>
      </x:c>
      <x:c r="U698" s="454">
        <x:v>0</x:v>
      </x:c>
      <x:c r="V698" s="455">
        <x:v>0</x:v>
      </x:c>
      <x:c r="W698" s="456">
        <x:f t="shared" si="111"/>
        <x:v>52130.11081486904</x:v>
      </x:c>
      <x:c r="X698" s="450">
        <x:f t="shared" si="112"/>
        <x:v>4344.1759012390867</x:v>
      </x:c>
      <x:c r="Y698" s="457"/>
      <x:c r="Z698" s="458"/>
      <x:c r="AA698" s="458"/>
      <x:c r="AB698" s="458"/>
      <x:c r="AC698" s="458"/>
      <x:c r="AD698" s="458"/>
      <x:c r="AE698" s="458"/>
    </x:row>
    <x:row r="699" spans="1:31" ht="20.100000000000001" customHeight="1">
      <x:c r="A699" s="439" t="s">
        <x:v>766</x:v>
      </x:c>
      <x:c r="B699" s="466" t="str">
        <x:f t="shared" si="107"/>
        <x:v>지급수수료</x:v>
      </x:c>
      <x:c r="C699" s="440" t="str">
        <x:f t="shared" si="108"/>
        <x:v>지급수수료</x:v>
      </x:c>
      <x:c r="D699" s="441">
        <x:v>52319900</x:v>
      </x:c>
      <x:c r="E699" s="442" t="str">
        <x:f t="shared" si="109"/>
        <x:v>지급수수료_기타</x:v>
      </x:c>
      <x:c r="F699" s="443"/>
      <x:c r="G699" s="444" t="s">
        <x:v>91</x:v>
      </x:c>
      <x:c r="H699" s="445" t="str">
        <x:f t="shared" si="113"/>
        <x:v>인사총무팀</x:v>
      </x:c>
      <x:c r="I699" s="446" t="str">
        <x:f t="shared" si="110"/>
        <x:v>[관리비]</x:v>
      </x:c>
      <x:c r="J699" s="445"/>
      <x:c r="K699" s="453">
        <x:v>38011.539135842009</x:v>
      </x:c>
      <x:c r="L699" s="454">
        <x:v>38011.539135842009</x:v>
      </x:c>
      <x:c r="M699" s="454">
        <x:v>38011.539135842009</x:v>
      </x:c>
      <x:c r="N699" s="454">
        <x:v>38011.539135842009</x:v>
      </x:c>
      <x:c r="O699" s="454">
        <x:v>38011.539135842009</x:v>
      </x:c>
      <x:c r="P699" s="454">
        <x:v>38011.539135842009</x:v>
      </x:c>
      <x:c r="Q699" s="454">
        <x:v>38011.539135842009</x:v>
      </x:c>
      <x:c r="R699" s="454">
        <x:v>38011.539135842009</x:v>
      </x:c>
      <x:c r="S699" s="454">
        <x:v>38011.539135842009</x:v>
      </x:c>
      <x:c r="T699" s="454">
        <x:v>38011.539135842009</x:v>
      </x:c>
      <x:c r="U699" s="454">
        <x:v>38011.539135842009</x:v>
      </x:c>
      <x:c r="V699" s="455">
        <x:v>38011.539135842009</x:v>
      </x:c>
      <x:c r="W699" s="456">
        <x:f t="shared" si="111"/>
        <x:v>456138.46963010408</x:v>
      </x:c>
      <x:c r="X699" s="450">
        <x:f t="shared" si="112"/>
        <x:v>38011.539135842009</x:v>
      </x:c>
      <x:c r="Y699" s="457"/>
      <x:c r="Z699" s="458"/>
      <x:c r="AA699" s="458"/>
      <x:c r="AB699" s="458"/>
      <x:c r="AC699" s="458"/>
      <x:c r="AD699" s="458"/>
      <x:c r="AE699" s="458"/>
    </x:row>
    <x:row r="700" spans="1:31" ht="20.100000000000001" customHeight="1">
      <x:c r="A700" s="439" t="s">
        <x:v>766</x:v>
      </x:c>
      <x:c r="B700" s="466" t="str">
        <x:f t="shared" si="107"/>
        <x:v>지급수수료</x:v>
      </x:c>
      <x:c r="C700" s="440" t="str">
        <x:f t="shared" si="108"/>
        <x:v>지급수수료</x:v>
      </x:c>
      <x:c r="D700" s="441">
        <x:v>52319900</x:v>
      </x:c>
      <x:c r="E700" s="442" t="str">
        <x:f t="shared" si="109"/>
        <x:v>지급수수료_기타</x:v>
      </x:c>
      <x:c r="F700" s="443"/>
      <x:c r="G700" s="444" t="s">
        <x:v>91</x:v>
      </x:c>
      <x:c r="H700" s="445" t="str">
        <x:f t="shared" si="113"/>
        <x:v>인사총무팀</x:v>
      </x:c>
      <x:c r="I700" s="446" t="str">
        <x:f t="shared" si="110"/>
        <x:v>[관리비]</x:v>
      </x:c>
      <x:c r="J700" s="445"/>
      <x:c r="K700" s="453">
        <x:v>81453.298148232876</x:v>
      </x:c>
      <x:c r="L700" s="454">
        <x:v>0</x:v>
      </x:c>
      <x:c r="M700" s="454">
        <x:v>0</x:v>
      </x:c>
      <x:c r="N700" s="454">
        <x:v>0</x:v>
      </x:c>
      <x:c r="O700" s="454">
        <x:v>0</x:v>
      </x:c>
      <x:c r="P700" s="454">
        <x:v>0</x:v>
      </x:c>
      <x:c r="Q700" s="454">
        <x:v>0</x:v>
      </x:c>
      <x:c r="R700" s="454">
        <x:v>0</x:v>
      </x:c>
      <x:c r="S700" s="454">
        <x:v>0</x:v>
      </x:c>
      <x:c r="T700" s="454">
        <x:v>0</x:v>
      </x:c>
      <x:c r="U700" s="454">
        <x:v>0</x:v>
      </x:c>
      <x:c r="V700" s="455">
        <x:v>0</x:v>
      </x:c>
      <x:c r="W700" s="456">
        <x:f t="shared" si="111"/>
        <x:v>81453.298148232876</x:v>
      </x:c>
      <x:c r="X700" s="450">
        <x:f t="shared" si="112"/>
        <x:v>6787.7748456860727</x:v>
      </x:c>
      <x:c r="Y700" s="457"/>
      <x:c r="Z700" s="458"/>
      <x:c r="AA700" s="458"/>
      <x:c r="AB700" s="458"/>
      <x:c r="AC700" s="458"/>
      <x:c r="AD700" s="458"/>
      <x:c r="AE700" s="458"/>
    </x:row>
    <x:row r="701" spans="1:31" ht="20.100000000000001" customHeight="1">
      <x:c r="A701" s="439" t="s">
        <x:v>766</x:v>
      </x:c>
      <x:c r="B701" s="466" t="str">
        <x:f t="shared" si="107"/>
        <x:v>지급수수료</x:v>
      </x:c>
      <x:c r="C701" s="440" t="str">
        <x:f t="shared" si="108"/>
        <x:v>지급수수료</x:v>
      </x:c>
      <x:c r="D701" s="441">
        <x:v>52319900</x:v>
      </x:c>
      <x:c r="E701" s="442" t="str">
        <x:f t="shared" si="109"/>
        <x:v>지급수수료_기타</x:v>
      </x:c>
      <x:c r="F701" s="443"/>
      <x:c r="G701" s="444" t="s">
        <x:v>91</x:v>
      </x:c>
      <x:c r="H701" s="445" t="str">
        <x:f t="shared" si="113"/>
        <x:v>인사총무팀</x:v>
      </x:c>
      <x:c r="I701" s="446" t="str">
        <x:f t="shared" si="110"/>
        <x:v>[관리비]</x:v>
      </x:c>
      <x:c r="J701" s="445"/>
      <x:c r="K701" s="453">
        <x:v>173767.03604956347</x:v>
      </x:c>
      <x:c r="L701" s="454">
        <x:v>0</x:v>
      </x:c>
      <x:c r="M701" s="454">
        <x:v>0</x:v>
      </x:c>
      <x:c r="N701" s="454">
        <x:v>0</x:v>
      </x:c>
      <x:c r="O701" s="454">
        <x:v>0</x:v>
      </x:c>
      <x:c r="P701" s="454">
        <x:v>0</x:v>
      </x:c>
      <x:c r="Q701" s="454">
        <x:v>0</x:v>
      </x:c>
      <x:c r="R701" s="454">
        <x:v>0</x:v>
      </x:c>
      <x:c r="S701" s="454">
        <x:v>0</x:v>
      </x:c>
      <x:c r="T701" s="454">
        <x:v>0</x:v>
      </x:c>
      <x:c r="U701" s="454">
        <x:v>0</x:v>
      </x:c>
      <x:c r="V701" s="455">
        <x:v>0</x:v>
      </x:c>
      <x:c r="W701" s="456">
        <x:f t="shared" si="111"/>
        <x:v>173767.03604956347</x:v>
      </x:c>
      <x:c r="X701" s="450">
        <x:f t="shared" si="112"/>
        <x:v>14480.586337463623</x:v>
      </x:c>
      <x:c r="Y701" s="457"/>
      <x:c r="Z701" s="458"/>
      <x:c r="AA701" s="458"/>
      <x:c r="AB701" s="458"/>
      <x:c r="AC701" s="458"/>
      <x:c r="AD701" s="458"/>
      <x:c r="AE701" s="458"/>
    </x:row>
    <x:row r="702" spans="1:31" ht="20.100000000000001" customHeight="1">
      <x:c r="A702" s="439" t="s">
        <x:v>766</x:v>
      </x:c>
      <x:c r="B702" s="466" t="str">
        <x:f t="shared" si="107"/>
        <x:v>기타비용</x:v>
      </x:c>
      <x:c r="C702" s="440" t="str">
        <x:f t="shared" si="108"/>
        <x:v>교육훈련비</x:v>
      </x:c>
      <x:c r="D702" s="441">
        <x:v>52140101</x:v>
      </x:c>
      <x:c r="E702" s="442" t="str">
        <x:f t="shared" si="109"/>
        <x:v>교육훈련비_사외교육</x:v>
      </x:c>
      <x:c r="F702" s="443"/>
      <x:c r="G702" s="444" t="s">
        <x:v>89</x:v>
      </x:c>
      <x:c r="H702" s="445" t="str">
        <x:f t="shared" si="113"/>
        <x:v>기획담당</x:v>
      </x:c>
      <x:c r="I702" s="446" t="str">
        <x:f t="shared" si="110"/>
        <x:v>[관리비]</x:v>
      </x:c>
      <x:c r="J702" s="445"/>
      <x:c r="K702" s="453">
        <x:v>4072.664907411644</x:v>
      </x:c>
      <x:c r="L702" s="454">
        <x:v>4072.664907411644</x:v>
      </x:c>
      <x:c r="M702" s="454">
        <x:v>4072.664907411644</x:v>
      </x:c>
      <x:c r="N702" s="454">
        <x:v>4072.664907411644</x:v>
      </x:c>
      <x:c r="O702" s="454">
        <x:v>5158.7088827214156</x:v>
      </x:c>
      <x:c r="P702" s="454">
        <x:v>4072.664907411644</x:v>
      </x:c>
      <x:c r="Q702" s="454">
        <x:v>4072.664907411644</x:v>
      </x:c>
      <x:c r="R702" s="454">
        <x:v>4072.664907411644</x:v>
      </x:c>
      <x:c r="S702" s="454">
        <x:v>4072.664907411644</x:v>
      </x:c>
      <x:c r="T702" s="454">
        <x:v>4072.664907411644</x:v>
      </x:c>
      <x:c r="U702" s="454">
        <x:v>5158.7088827214156</x:v>
      </x:c>
      <x:c r="V702" s="455">
        <x:v>4072.664907411644</x:v>
      </x:c>
      <x:c r="W702" s="456">
        <x:f t="shared" si="111"/>
        <x:v>51044.066839559266</x:v>
      </x:c>
      <x:c r="X702" s="450">
        <x:f t="shared" si="112"/>
        <x:v>4253.6722366299391</x:v>
      </x:c>
      <x:c r="Y702" s="457"/>
      <x:c r="Z702" s="458"/>
      <x:c r="AA702" s="458"/>
      <x:c r="AB702" s="458"/>
      <x:c r="AC702" s="458"/>
      <x:c r="AD702" s="458"/>
      <x:c r="AE702" s="458"/>
    </x:row>
    <x:row r="703" spans="1:31" ht="20.100000000000001" customHeight="1">
      <x:c r="A703" s="439" t="s">
        <x:v>766</x:v>
      </x:c>
      <x:c r="B703" s="466" t="str">
        <x:f t="shared" si="107"/>
        <x:v>기타비용</x:v>
      </x:c>
      <x:c r="C703" s="440" t="str">
        <x:f t="shared" si="108"/>
        <x:v>교육훈련비</x:v>
      </x:c>
      <x:c r="D703" s="441">
        <x:v>52140101</x:v>
      </x:c>
      <x:c r="E703" s="442" t="str">
        <x:f t="shared" si="109"/>
        <x:v>교육훈련비_사외교육</x:v>
      </x:c>
      <x:c r="F703" s="443"/>
      <x:c r="G703" s="444" t="s">
        <x:v>87</x:v>
      </x:c>
      <x:c r="H703" s="445" t="str">
        <x:f t="shared" si="113"/>
        <x:v>기획팀</x:v>
      </x:c>
      <x:c r="I703" s="446" t="str">
        <x:f t="shared" si="110"/>
        <x:v>[관리비]</x:v>
      </x:c>
      <x:c r="J703" s="445"/>
      <x:c r="K703" s="453">
        <x:v>28508.654351881509</x:v>
      </x:c>
      <x:c r="L703" s="454">
        <x:v>28508.654351881509</x:v>
      </x:c>
      <x:c r="M703" s="454">
        <x:v>28508.654351881509</x:v>
      </x:c>
      <x:c r="N703" s="454">
        <x:v>28508.654351881509</x:v>
      </x:c>
      <x:c r="O703" s="454">
        <x:v>36110.962179049908</x:v>
      </x:c>
      <x:c r="P703" s="454">
        <x:v>28508.654351881509</x:v>
      </x:c>
      <x:c r="Q703" s="454">
        <x:v>28508.654351881509</x:v>
      </x:c>
      <x:c r="R703" s="454">
        <x:v>28508.654351881509</x:v>
      </x:c>
      <x:c r="S703" s="454">
        <x:v>28508.654351881509</x:v>
      </x:c>
      <x:c r="T703" s="454">
        <x:v>28508.654351881509</x:v>
      </x:c>
      <x:c r="U703" s="454">
        <x:v>36110.962179049908</x:v>
      </x:c>
      <x:c r="V703" s="455">
        <x:v>28508.654351881509</x:v>
      </x:c>
      <x:c r="W703" s="456">
        <x:f t="shared" si="111"/>
        <x:v>357308.46787691495</x:v>
      </x:c>
      <x:c r="X703" s="450">
        <x:f t="shared" si="112"/>
        <x:v>29775.70565640958</x:v>
      </x:c>
      <x:c r="Y703" s="457"/>
      <x:c r="Z703" s="458"/>
      <x:c r="AA703" s="458"/>
      <x:c r="AB703" s="458"/>
      <x:c r="AC703" s="458"/>
      <x:c r="AD703" s="458"/>
      <x:c r="AE703" s="458"/>
    </x:row>
    <x:row r="704" spans="1:31" ht="20.100000000000001" customHeight="1">
      <x:c r="A704" s="439" t="s">
        <x:v>766</x:v>
      </x:c>
      <x:c r="B704" s="466" t="str">
        <x:f t="shared" si="107"/>
        <x:v>기타비용</x:v>
      </x:c>
      <x:c r="C704" s="440" t="str">
        <x:f t="shared" si="108"/>
        <x:v>교육훈련비</x:v>
      </x:c>
      <x:c r="D704" s="441">
        <x:v>52140101</x:v>
      </x:c>
      <x:c r="E704" s="442" t="str">
        <x:f t="shared" si="109"/>
        <x:v>교육훈련비_사외교육</x:v>
      </x:c>
      <x:c r="F704" s="443"/>
      <x:c r="G704" s="444" t="s">
        <x:v>91</x:v>
      </x:c>
      <x:c r="H704" s="445" t="str">
        <x:f t="shared" si="113"/>
        <x:v>인사총무팀</x:v>
      </x:c>
      <x:c r="I704" s="446" t="str">
        <x:f t="shared" si="110"/>
        <x:v>[관리비]</x:v>
      </x:c>
      <x:c r="J704" s="445"/>
      <x:c r="K704" s="453">
        <x:v>871821.80117991928</x:v>
      </x:c>
      <x:c r="L704" s="454">
        <x:v>57017.308703763018</x:v>
      </x:c>
      <x:c r="M704" s="454">
        <x:v>57017.308703763018</x:v>
      </x:c>
      <x:c r="N704" s="454">
        <x:v>323098.08265465708</x:v>
      </x:c>
      <x:c r="O704" s="454">
        <x:v>72221.924358099815</x:v>
      </x:c>
      <x:c r="P704" s="454">
        <x:v>57017.308703763018</x:v>
      </x:c>
      <x:c r="Q704" s="454">
        <x:v>871821.80117991928</x:v>
      </x:c>
      <x:c r="R704" s="454">
        <x:v>57017.308703763018</x:v>
      </x:c>
      <x:c r="S704" s="454">
        <x:v>57017.308703763018</x:v>
      </x:c>
      <x:c r="T704" s="454">
        <x:v>323098.08265465708</x:v>
      </x:c>
      <x:c r="U704" s="454">
        <x:v>72221.924358099815</x:v>
      </x:c>
      <x:c r="V704" s="455">
        <x:v>57017.308703763018</x:v>
      </x:c>
      <x:c r="W704" s="456">
        <x:f t="shared" si="111"/>
        <x:v>2876387.46860793</x:v>
      </x:c>
      <x:c r="X704" s="450">
        <x:f t="shared" si="112"/>
        <x:v>239698.95571732751</x:v>
      </x:c>
      <x:c r="Y704" s="457"/>
      <x:c r="Z704" s="458"/>
      <x:c r="AA704" s="458"/>
      <x:c r="AB704" s="458"/>
      <x:c r="AC704" s="458"/>
      <x:c r="AD704" s="458"/>
      <x:c r="AE704" s="458"/>
    </x:row>
    <x:row r="705" spans="1:31" ht="20.100000000000001" customHeight="1">
      <x:c r="A705" s="439" t="s">
        <x:v>766</x:v>
      </x:c>
      <x:c r="B705" s="466" t="str">
        <x:f t="shared" si="107"/>
        <x:v>기타비용</x:v>
      </x:c>
      <x:c r="C705" s="440" t="str">
        <x:f t="shared" si="108"/>
        <x:v>교육훈련비</x:v>
      </x:c>
      <x:c r="D705" s="441">
        <x:v>52140101</x:v>
      </x:c>
      <x:c r="E705" s="442" t="str">
        <x:f t="shared" si="109"/>
        <x:v>교육훈련비_사외교육</x:v>
      </x:c>
      <x:c r="F705" s="443"/>
      <x:c r="G705" s="444" t="s">
        <x:v>97</x:v>
      </x:c>
      <x:c r="H705" s="445" t="str">
        <x:f t="shared" si="113"/>
        <x:v>재경팀</x:v>
      </x:c>
      <x:c r="I705" s="446" t="str">
        <x:f t="shared" si="110"/>
        <x:v>[관리비]</x:v>
      </x:c>
      <x:c r="J705" s="445"/>
      <x:c r="K705" s="453">
        <x:v>32581.319259293152</x:v>
      </x:c>
      <x:c r="L705" s="454">
        <x:v>32581.319259293152</x:v>
      </x:c>
      <x:c r="M705" s="454">
        <x:v>32581.319259293152</x:v>
      </x:c>
      <x:c r="N705" s="454">
        <x:v>32581.319259293152</x:v>
      </x:c>
      <x:c r="O705" s="454">
        <x:v>41269.671061771325</x:v>
      </x:c>
      <x:c r="P705" s="454">
        <x:v>32581.319259293152</x:v>
      </x:c>
      <x:c r="Q705" s="454">
        <x:v>32581.319259293152</x:v>
      </x:c>
      <x:c r="R705" s="454">
        <x:v>32581.319259293152</x:v>
      </x:c>
      <x:c r="S705" s="454">
        <x:v>32581.319259293152</x:v>
      </x:c>
      <x:c r="T705" s="454">
        <x:v>32581.319259293152</x:v>
      </x:c>
      <x:c r="U705" s="454">
        <x:v>41269.671061771325</x:v>
      </x:c>
      <x:c r="V705" s="455">
        <x:v>32581.319259293152</x:v>
      </x:c>
      <x:c r="W705" s="456">
        <x:f t="shared" si="111"/>
        <x:v>408352.53471647413</x:v>
      </x:c>
      <x:c r="X705" s="450">
        <x:f t="shared" si="112"/>
        <x:v>34029.377893039513</x:v>
      </x:c>
      <x:c r="Y705" s="457"/>
      <x:c r="Z705" s="458"/>
      <x:c r="AA705" s="458"/>
      <x:c r="AB705" s="458"/>
      <x:c r="AC705" s="458"/>
      <x:c r="AD705" s="458"/>
      <x:c r="AE705" s="458"/>
    </x:row>
    <x:row r="706" spans="1:31" ht="20.100000000000001" customHeight="1">
      <x:c r="A706" s="439" t="s">
        <x:v>766</x:v>
      </x:c>
      <x:c r="B706" s="466" t="str">
        <x:f t="shared" si="107"/>
        <x:v>기타비용</x:v>
      </x:c>
      <x:c r="C706" s="440" t="str">
        <x:f t="shared" si="108"/>
        <x:v>교육훈련비</x:v>
      </x:c>
      <x:c r="D706" s="441">
        <x:v>52140105</x:v>
      </x:c>
      <x:c r="E706" s="442" t="str">
        <x:f t="shared" si="109"/>
        <x:v>교육훈련비_사내교육</x:v>
      </x:c>
      <x:c r="F706" s="443"/>
      <x:c r="G706" s="444" t="s">
        <x:v>91</x:v>
      </x:c>
      <x:c r="H706" s="445" t="str">
        <x:f t="shared" si="113"/>
        <x:v>인사총무팀</x:v>
      </x:c>
      <x:c r="I706" s="446" t="str">
        <x:f t="shared" si="110"/>
        <x:v>[관리비]</x:v>
      </x:c>
      <x:c r="J706" s="445"/>
      <x:c r="K706" s="453">
        <x:v>50229.533858076938</x:v>
      </x:c>
      <x:c r="L706" s="454">
        <x:v>304092.31308673607</x:v>
      </x:c>
      <x:c r="M706" s="454">
        <x:v>1020881.3367911854</x:v>
      </x:c>
      <x:c r="N706" s="454">
        <x:v>756158.1178094286</x:v>
      </x:c>
      <x:c r="O706" s="454">
        <x:v>304092.31308673607</x:v>
      </x:c>
      <x:c r="P706" s="454">
        <x:v>2430566.4167432692</x:v>
      </x:c>
      <x:c r="Q706" s="454">
        <x:v>1820481.2136130049</x:v>
      </x:c>
      <x:c r="R706" s="454">
        <x:v>304092.31308673607</x:v>
      </x:c>
      <x:c r="S706" s="454">
        <x:v>0</x:v>
      </x:c>
      <x:c r="T706" s="454">
        <x:v>1095003.8381060774</x:v>
      </x:c>
      <x:c r="U706" s="454">
        <x:v>1324973.6498779214</x:v>
      </x:c>
      <x:c r="V706" s="455">
        <x:v>0</x:v>
      </x:c>
      <x:c r="W706" s="456">
        <x:f t="shared" si="111"/>
        <x:v>9410571.0460591726</x:v>
      </x:c>
      <x:c r="X706" s="450">
        <x:f t="shared" si="112"/>
        <x:v>784214.25383826438</x:v>
      </x:c>
      <x:c r="Y706" s="457"/>
      <x:c r="Z706" s="458"/>
      <x:c r="AA706" s="458"/>
      <x:c r="AB706" s="458"/>
      <x:c r="AC706" s="458"/>
      <x:c r="AD706" s="458"/>
      <x:c r="AE706" s="458"/>
    </x:row>
    <x:row r="707" spans="1:31" ht="20.100000000000001" customHeight="1">
      <x:c r="A707" s="439" t="s">
        <x:v>766</x:v>
      </x:c>
      <x:c r="B707" s="466" t="str">
        <x:f t="shared" ref="B707:B770" si="114">IFERROR(VLOOKUP($C707,$AH:$AI,2,),"")</x:f>
        <x:v>복리후생비</x:v>
      </x:c>
      <x:c r="C707" s="440" t="str">
        <x:f t="shared" ref="C707:C770" si="115">IFERROR(VLOOKUP($D707,$AO:$AQ,3,),"")</x:f>
        <x:v>후생비</x:v>
      </x:c>
      <x:c r="D707" s="441">
        <x:v>52130111</x:v>
      </x:c>
      <x:c r="E707" s="442" t="str">
        <x:f t="shared" ref="E707:E770" si="116">IFERROR(VLOOKUP($D707,$AO:$AQ,2,),"")</x:f>
        <x:v>후생비_시상금</x:v>
      </x:c>
      <x:c r="F707" s="443"/>
      <x:c r="G707" s="444" t="s">
        <x:v>95</x:v>
      </x:c>
      <x:c r="H707" s="445" t="str">
        <x:f t="shared" si="113"/>
        <x:v>재경담당</x:v>
      </x:c>
      <x:c r="I707" s="446" t="str">
        <x:f t="shared" ref="I707:I770" si="117">IFERROR(VLOOKUP($G707,$AK:$AM,3,),"")</x:f>
        <x:v>[관리비]</x:v>
      </x:c>
      <x:c r="J707" s="445"/>
      <x:c r="K707" s="453">
        <x:v>0</x:v>
      </x:c>
      <x:c r="L707" s="454">
        <x:v>0</x:v>
      </x:c>
      <x:c r="M707" s="454">
        <x:v>0</x:v>
      </x:c>
      <x:c r="N707" s="454">
        <x:v>0</x:v>
      </x:c>
      <x:c r="O707" s="454">
        <x:v>0</x:v>
      </x:c>
      <x:c r="P707" s="454">
        <x:v>0</x:v>
      </x:c>
      <x:c r="Q707" s="454">
        <x:v>0</x:v>
      </x:c>
      <x:c r="R707" s="454">
        <x:v>0</x:v>
      </x:c>
      <x:c r="S707" s="454">
        <x:v>54302.198765488582</x:v>
      </x:c>
      <x:c r="T707" s="454">
        <x:v>0</x:v>
      </x:c>
      <x:c r="U707" s="454">
        <x:v>0</x:v>
      </x:c>
      <x:c r="V707" s="455">
        <x:v>0</x:v>
      </x:c>
      <x:c r="W707" s="456">
        <x:f t="shared" si="111"/>
        <x:v>54302.198765488582</x:v>
      </x:c>
      <x:c r="X707" s="450">
        <x:f t="shared" si="112"/>
        <x:v>4525.1832304573818</x:v>
      </x:c>
      <x:c r="Y707" s="457"/>
      <x:c r="Z707" s="458"/>
      <x:c r="AA707" s="458"/>
      <x:c r="AB707" s="458"/>
      <x:c r="AC707" s="458"/>
      <x:c r="AD707" s="458"/>
      <x:c r="AE707" s="458"/>
    </x:row>
    <x:row r="708" spans="1:31" ht="20.100000000000001" customHeight="1">
      <x:c r="A708" s="439" t="s">
        <x:v>766</x:v>
      </x:c>
      <x:c r="B708" s="466" t="str">
        <x:f t="shared" si="114"/>
        <x:v>복리후생비</x:v>
      </x:c>
      <x:c r="C708" s="440" t="str">
        <x:f t="shared" si="115"/>
        <x:v>후생비</x:v>
      </x:c>
      <x:c r="D708" s="441">
        <x:v>52130111</x:v>
      </x:c>
      <x:c r="E708" s="442" t="str">
        <x:f t="shared" si="116"/>
        <x:v>후생비_시상금</x:v>
      </x:c>
      <x:c r="F708" s="443"/>
      <x:c r="G708" s="444" t="s">
        <x:v>91</x:v>
      </x:c>
      <x:c r="H708" s="445" t="str">
        <x:f t="shared" si="113"/>
        <x:v>인사총무팀</x:v>
      </x:c>
      <x:c r="I708" s="446" t="str">
        <x:f t="shared" si="117"/>
        <x:v>[관리비]</x:v>
      </x:c>
      <x:c r="J708" s="445"/>
      <x:c r="K708" s="453">
        <x:v>0</x:v>
      </x:c>
      <x:c r="L708" s="454">
        <x:v>0</x:v>
      </x:c>
      <x:c r="M708" s="454">
        <x:v>0</x:v>
      </x:c>
      <x:c r="N708" s="454">
        <x:v>0</x:v>
      </x:c>
      <x:c r="O708" s="454">
        <x:v>0</x:v>
      </x:c>
      <x:c r="P708" s="454">
        <x:v>0</x:v>
      </x:c>
      <x:c r="Q708" s="454">
        <x:v>0</x:v>
      </x:c>
      <x:c r="R708" s="454">
        <x:v>0</x:v>
      </x:c>
      <x:c r="S708" s="454">
        <x:v>347534.07209912693</x:v>
      </x:c>
      <x:c r="T708" s="454">
        <x:v>0</x:v>
      </x:c>
      <x:c r="U708" s="454">
        <x:v>0</x:v>
      </x:c>
      <x:c r="V708" s="455">
        <x:v>0</x:v>
      </x:c>
      <x:c r="W708" s="456">
        <x:f t="shared" si="111"/>
        <x:v>347534.07209912693</x:v>
      </x:c>
      <x:c r="X708" s="450">
        <x:f t="shared" si="112"/>
        <x:v>28961.172674927246</x:v>
      </x:c>
      <x:c r="Y708" s="457"/>
      <x:c r="Z708" s="458"/>
      <x:c r="AA708" s="458"/>
      <x:c r="AB708" s="458"/>
      <x:c r="AC708" s="458"/>
      <x:c r="AD708" s="458"/>
      <x:c r="AE708" s="458"/>
    </x:row>
    <x:row r="709" spans="1:31" ht="20.100000000000001" customHeight="1">
      <x:c r="A709" s="439" t="s">
        <x:v>766</x:v>
      </x:c>
      <x:c r="B709" s="466" t="str">
        <x:f t="shared" si="114"/>
        <x:v>복리후생비</x:v>
      </x:c>
      <x:c r="C709" s="440" t="str">
        <x:f t="shared" si="115"/>
        <x:v>후생비</x:v>
      </x:c>
      <x:c r="D709" s="441">
        <x:v>52130111</x:v>
      </x:c>
      <x:c r="E709" s="442" t="str">
        <x:f t="shared" si="116"/>
        <x:v>후생비_시상금</x:v>
      </x:c>
      <x:c r="F709" s="443"/>
      <x:c r="G709" s="444" t="s">
        <x:v>87</x:v>
      </x:c>
      <x:c r="H709" s="445" t="str">
        <x:f t="shared" si="113"/>
        <x:v>기획팀</x:v>
      </x:c>
      <x:c r="I709" s="446" t="str">
        <x:f t="shared" si="117"/>
        <x:v>[관리비]</x:v>
      </x:c>
      <x:c r="J709" s="445"/>
      <x:c r="K709" s="453">
        <x:v>0</x:v>
      </x:c>
      <x:c r="L709" s="454">
        <x:v>0</x:v>
      </x:c>
      <x:c r="M709" s="454">
        <x:v>0</x:v>
      </x:c>
      <x:c r="N709" s="454">
        <x:v>0</x:v>
      </x:c>
      <x:c r="O709" s="454">
        <x:v>0</x:v>
      </x:c>
      <x:c r="P709" s="454">
        <x:v>0</x:v>
      </x:c>
      <x:c r="Q709" s="454">
        <x:v>0</x:v>
      </x:c>
      <x:c r="R709" s="454">
        <x:v>0</x:v>
      </x:c>
      <x:c r="S709" s="454">
        <x:v>119464.83728407489</x:v>
      </x:c>
      <x:c r="T709" s="454">
        <x:v>0</x:v>
      </x:c>
      <x:c r="U709" s="454">
        <x:v>0</x:v>
      </x:c>
      <x:c r="V709" s="455">
        <x:v>0</x:v>
      </x:c>
      <x:c r="W709" s="456">
        <x:f t="shared" si="111"/>
        <x:v>119464.83728407489</x:v>
      </x:c>
      <x:c r="X709" s="450">
        <x:f t="shared" si="112"/>
        <x:v>9955.403107006241</x:v>
      </x:c>
      <x:c r="Y709" s="457"/>
      <x:c r="Z709" s="458"/>
      <x:c r="AA709" s="458"/>
      <x:c r="AB709" s="458"/>
      <x:c r="AC709" s="458"/>
      <x:c r="AD709" s="458"/>
      <x:c r="AE709" s="458"/>
    </x:row>
    <x:row r="710" spans="1:31" ht="20.100000000000001" customHeight="1">
      <x:c r="A710" s="439" t="s">
        <x:v>766</x:v>
      </x:c>
      <x:c r="B710" s="466" t="str">
        <x:f t="shared" si="114"/>
        <x:v>복리후생비</x:v>
      </x:c>
      <x:c r="C710" s="440" t="str">
        <x:f t="shared" si="115"/>
        <x:v>후생비</x:v>
      </x:c>
      <x:c r="D710" s="441">
        <x:v>52130111</x:v>
      </x:c>
      <x:c r="E710" s="442" t="str">
        <x:f t="shared" si="116"/>
        <x:v>후생비_시상금</x:v>
      </x:c>
      <x:c r="F710" s="443"/>
      <x:c r="G710" s="444" t="s">
        <x:v>91</x:v>
      </x:c>
      <x:c r="H710" s="445" t="str">
        <x:f t="shared" si="113"/>
        <x:v>인사총무팀</x:v>
      </x:c>
      <x:c r="I710" s="446" t="str">
        <x:f t="shared" si="117"/>
        <x:v>[관리비]</x:v>
      </x:c>
      <x:c r="J710" s="445"/>
      <x:c r="K710" s="453">
        <x:v>0</x:v>
      </x:c>
      <x:c r="L710" s="454">
        <x:v>10860.439753097717</x:v>
      </x:c>
      <x:c r="M710" s="454">
        <x:v>0</x:v>
      </x:c>
      <x:c r="N710" s="454">
        <x:v>10860.439753097717</x:v>
      </x:c>
      <x:c r="O710" s="454">
        <x:v>0</x:v>
      </x:c>
      <x:c r="P710" s="454">
        <x:v>10860.439753097717</x:v>
      </x:c>
      <x:c r="Q710" s="454">
        <x:v>0</x:v>
      </x:c>
      <x:c r="R710" s="454">
        <x:v>10860.439753097717</x:v>
      </x:c>
      <x:c r="S710" s="454">
        <x:v>0</x:v>
      </x:c>
      <x:c r="T710" s="454">
        <x:v>10860.439753097717</x:v>
      </x:c>
      <x:c r="U710" s="454">
        <x:v>0</x:v>
      </x:c>
      <x:c r="V710" s="455">
        <x:v>10860.439753097717</x:v>
      </x:c>
      <x:c r="W710" s="456">
        <x:f t="shared" si="111"/>
        <x:v>65162.638518586296</x:v>
      </x:c>
      <x:c r="X710" s="450">
        <x:f t="shared" si="112"/>
        <x:v>5430.2198765488583</x:v>
      </x:c>
      <x:c r="Y710" s="457"/>
      <x:c r="Z710" s="458"/>
      <x:c r="AA710" s="458"/>
      <x:c r="AB710" s="458"/>
      <x:c r="AC710" s="458"/>
      <x:c r="AD710" s="458"/>
      <x:c r="AE710" s="458"/>
    </x:row>
    <x:row r="711" spans="1:31" ht="20.100000000000001" customHeight="1">
      <x:c r="A711" s="439" t="s">
        <x:v>766</x:v>
      </x:c>
      <x:c r="B711" s="466" t="str">
        <x:f t="shared" si="114"/>
        <x:v>복리후생비</x:v>
      </x:c>
      <x:c r="C711" s="440" t="str">
        <x:f t="shared" si="115"/>
        <x:v>후생비</x:v>
      </x:c>
      <x:c r="D711" s="441">
        <x:v>52130117</x:v>
      </x:c>
      <x:c r="E711" s="442" t="str">
        <x:f t="shared" si="116"/>
        <x:v>후생비_경조금</x:v>
      </x:c>
      <x:c r="F711" s="443"/>
      <x:c r="G711" s="444" t="s">
        <x:v>91</x:v>
      </x:c>
      <x:c r="H711" s="445" t="str">
        <x:f t="shared" si="113"/>
        <x:v>인사총무팀</x:v>
      </x:c>
      <x:c r="I711" s="446" t="str">
        <x:f t="shared" si="117"/>
        <x:v>[관리비]</x:v>
      </x:c>
      <x:c r="J711" s="445"/>
      <x:c r="K711" s="453">
        <x:v>14580.140368533685</x:v>
      </x:c>
      <x:c r="L711" s="454">
        <x:v>0</x:v>
      </x:c>
      <x:c r="M711" s="454">
        <x:v>0</x:v>
      </x:c>
      <x:c r="N711" s="454">
        <x:v>14580.140368533685</x:v>
      </x:c>
      <x:c r="O711" s="454">
        <x:v>0</x:v>
      </x:c>
      <x:c r="P711" s="454">
        <x:v>0</x:v>
      </x:c>
      <x:c r="Q711" s="454">
        <x:v>14580.140368533685</x:v>
      </x:c>
      <x:c r="R711" s="454">
        <x:v>0</x:v>
      </x:c>
      <x:c r="S711" s="454">
        <x:v>0</x:v>
      </x:c>
      <x:c r="T711" s="454">
        <x:v>14580.140368533685</x:v>
      </x:c>
      <x:c r="U711" s="454">
        <x:v>0</x:v>
      </x:c>
      <x:c r="V711" s="455">
        <x:v>0</x:v>
      </x:c>
      <x:c r="W711" s="456">
        <x:f t="shared" si="111"/>
        <x:v>58320.561474134738</x:v>
      </x:c>
      <x:c r="X711" s="450">
        <x:f t="shared" si="112"/>
        <x:v>4860.0467895112279</x:v>
      </x:c>
      <x:c r="Y711" s="457"/>
      <x:c r="Z711" s="458"/>
      <x:c r="AA711" s="458"/>
      <x:c r="AB711" s="458"/>
      <x:c r="AC711" s="458"/>
      <x:c r="AD711" s="458"/>
      <x:c r="AE711" s="458"/>
    </x:row>
    <x:row r="712" spans="1:31" ht="20.100000000000001" customHeight="1">
      <x:c r="A712" s="439" t="s">
        <x:v>766</x:v>
      </x:c>
      <x:c r="B712" s="466" t="str">
        <x:f t="shared" si="114"/>
        <x:v>기타비용</x:v>
      </x:c>
      <x:c r="C712" s="440" t="str">
        <x:f t="shared" si="115"/>
        <x:v>도서인쇄비</x:v>
      </x:c>
      <x:c r="D712" s="441">
        <x:v>52320102</x:v>
      </x:c>
      <x:c r="E712" s="442" t="str">
        <x:f t="shared" si="116"/>
        <x:v>도서인쇄비_도서구입</x:v>
      </x:c>
      <x:c r="F712" s="443"/>
      <x:c r="G712" s="444" t="s">
        <x:v>91</x:v>
      </x:c>
      <x:c r="H712" s="445" t="str">
        <x:f t="shared" si="113"/>
        <x:v>인사총무팀</x:v>
      </x:c>
      <x:c r="I712" s="446" t="str">
        <x:f t="shared" si="117"/>
        <x:v>[관리비]</x:v>
      </x:c>
      <x:c r="J712" s="445"/>
      <x:c r="K712" s="453">
        <x:v>10860.439753097717</x:v>
      </x:c>
      <x:c r="L712" s="454">
        <x:v>0</x:v>
      </x:c>
      <x:c r="M712" s="454">
        <x:v>0</x:v>
      </x:c>
      <x:c r="N712" s="454">
        <x:v>0</x:v>
      </x:c>
      <x:c r="O712" s="454">
        <x:v>0</x:v>
      </x:c>
      <x:c r="P712" s="454">
        <x:v>0</x:v>
      </x:c>
      <x:c r="Q712" s="454">
        <x:v>0</x:v>
      </x:c>
      <x:c r="R712" s="454">
        <x:v>0</x:v>
      </x:c>
      <x:c r="S712" s="454">
        <x:v>0</x:v>
      </x:c>
      <x:c r="T712" s="454">
        <x:v>0</x:v>
      </x:c>
      <x:c r="U712" s="454">
        <x:v>0</x:v>
      </x:c>
      <x:c r="V712" s="455">
        <x:v>0</x:v>
      </x:c>
      <x:c r="W712" s="456">
        <x:f t="shared" si="111"/>
        <x:v>10860.439753097717</x:v>
      </x:c>
      <x:c r="X712" s="450">
        <x:f t="shared" si="112"/>
        <x:v>905.03664609147643</x:v>
      </x:c>
      <x:c r="Y712" s="457"/>
      <x:c r="Z712" s="458"/>
      <x:c r="AA712" s="458"/>
      <x:c r="AB712" s="458"/>
      <x:c r="AC712" s="458"/>
      <x:c r="AD712" s="458"/>
      <x:c r="AE712" s="458"/>
    </x:row>
    <x:row r="713" spans="1:31" ht="20.100000000000001" customHeight="1">
      <x:c r="A713" s="439" t="s">
        <x:v>850</x:v>
      </x:c>
      <x:c r="B713" s="466" t="str">
        <x:f t="shared" si="114"/>
        <x:v>여비교통비</x:v>
      </x:c>
      <x:c r="C713" s="440" t="str">
        <x:f t="shared" si="115"/>
        <x:v>여비교통비</x:v>
      </x:c>
      <x:c r="D713" s="441">
        <x:v>52150101</x:v>
      </x:c>
      <x:c r="E713" s="442" t="str">
        <x:f t="shared" si="116"/>
        <x:v>여비교통비_국내출장</x:v>
      </x:c>
      <x:c r="F713" s="443"/>
      <x:c r="G713" s="444" t="s">
        <x:v>91</x:v>
      </x:c>
      <x:c r="H713" s="445" t="str">
        <x:f t="shared" si="113"/>
        <x:v>인사총무팀</x:v>
      </x:c>
      <x:c r="I713" s="446" t="str">
        <x:f t="shared" si="117"/>
        <x:v>[관리비]</x:v>
      </x:c>
      <x:c r="J713" s="445"/>
      <x:c r="K713" s="453">
        <x:v>0</x:v>
      </x:c>
      <x:c r="L713" s="454">
        <x:v>0</x:v>
      </x:c>
      <x:c r="M713" s="454">
        <x:v>0</x:v>
      </x:c>
      <x:c r="N713" s="454">
        <x:v>0</x:v>
      </x:c>
      <x:c r="O713" s="454">
        <x:v>0</x:v>
      </x:c>
      <x:c r="P713" s="454">
        <x:v>0</x:v>
      </x:c>
      <x:c r="Q713" s="454">
        <x:v>0</x:v>
      </x:c>
      <x:c r="R713" s="454">
        <x:v>73307.96833340959</x:v>
      </x:c>
      <x:c r="S713" s="454">
        <x:v>0</x:v>
      </x:c>
      <x:c r="T713" s="454">
        <x:v>73307.96833340959</x:v>
      </x:c>
      <x:c r="U713" s="454">
        <x:v>0</x:v>
      </x:c>
      <x:c r="V713" s="455">
        <x:v>0</x:v>
      </x:c>
      <x:c r="W713" s="456">
        <x:f t="shared" si="111"/>
        <x:v>146615.93666681918</x:v>
      </x:c>
      <x:c r="X713" s="450">
        <x:f t="shared" si="112"/>
        <x:v>12217.994722234931</x:v>
      </x:c>
      <x:c r="Y713" s="457"/>
      <x:c r="Z713" s="458"/>
      <x:c r="AA713" s="458"/>
      <x:c r="AB713" s="458"/>
      <x:c r="AC713" s="458"/>
      <x:c r="AD713" s="458"/>
      <x:c r="AE713" s="458"/>
    </x:row>
    <x:row r="714" spans="1:31" ht="20.100000000000001" customHeight="1">
      <x:c r="A714" s="439" t="s">
        <x:v>850</x:v>
      </x:c>
      <x:c r="B714" s="466" t="str">
        <x:f t="shared" si="114"/>
        <x:v>여비교통비</x:v>
      </x:c>
      <x:c r="C714" s="440" t="str">
        <x:f t="shared" si="115"/>
        <x:v>여비교통비</x:v>
      </x:c>
      <x:c r="D714" s="441">
        <x:v>52150103</x:v>
      </x:c>
      <x:c r="E714" s="442" t="str">
        <x:f t="shared" si="116"/>
        <x:v>여비교통비_해외출장</x:v>
      </x:c>
      <x:c r="F714" s="443"/>
      <x:c r="G714" s="444" t="s">
        <x:v>91</x:v>
      </x:c>
      <x:c r="H714" s="445" t="str">
        <x:f t="shared" si="113"/>
        <x:v>인사총무팀</x:v>
      </x:c>
      <x:c r="I714" s="446" t="str">
        <x:f t="shared" si="117"/>
        <x:v>[관리비]</x:v>
      </x:c>
      <x:c r="J714" s="445"/>
      <x:c r="K714" s="453">
        <x:v>0</x:v>
      </x:c>
      <x:c r="L714" s="454">
        <x:v>0</x:v>
      </x:c>
      <x:c r="M714" s="454">
        <x:v>0</x:v>
      </x:c>
      <x:c r="N714" s="454">
        <x:v>0</x:v>
      </x:c>
      <x:c r="O714" s="454">
        <x:v>0</x:v>
      </x:c>
      <x:c r="P714" s="454">
        <x:v>0</x:v>
      </x:c>
      <x:c r="Q714" s="454">
        <x:v>0</x:v>
      </x:c>
      <x:c r="R714" s="454">
        <x:v>0</x:v>
      </x:c>
      <x:c r="S714" s="454">
        <x:v>325813.1925929315</x:v>
      </x:c>
      <x:c r="T714" s="454">
        <x:v>0</x:v>
      </x:c>
      <x:c r="U714" s="454">
        <x:v>0</x:v>
      </x:c>
      <x:c r="V714" s="455">
        <x:v>0</x:v>
      </x:c>
      <x:c r="W714" s="456">
        <x:f t="shared" si="111"/>
        <x:v>325813.1925929315</x:v>
      </x:c>
      <x:c r="X714" s="450">
        <x:f t="shared" si="112"/>
        <x:v>27151.099382744291</x:v>
      </x:c>
      <x:c r="Y714" s="457"/>
      <x:c r="Z714" s="458"/>
      <x:c r="AA714" s="458"/>
      <x:c r="AB714" s="458"/>
      <x:c r="AC714" s="458"/>
      <x:c r="AD714" s="458"/>
      <x:c r="AE714" s="458"/>
    </x:row>
    <x:row r="715" spans="1:31" ht="20.100000000000001" customHeight="1">
      <x:c r="A715" s="439" t="s">
        <x:v>850</x:v>
      </x:c>
      <x:c r="B715" s="466" t="str">
        <x:f t="shared" si="114"/>
        <x:v>여비교통비</x:v>
      </x:c>
      <x:c r="C715" s="440" t="str">
        <x:f t="shared" si="115"/>
        <x:v>여비교통비</x:v>
      </x:c>
      <x:c r="D715" s="441">
        <x:v>52150109</x:v>
      </x:c>
      <x:c r="E715" s="442" t="str">
        <x:f t="shared" si="116"/>
        <x:v>여비교통비_교육</x:v>
      </x:c>
      <x:c r="F715" s="443"/>
      <x:c r="G715" s="444" t="s">
        <x:v>91</x:v>
      </x:c>
      <x:c r="H715" s="445" t="str">
        <x:f t="shared" si="113"/>
        <x:v>인사총무팀</x:v>
      </x:c>
      <x:c r="I715" s="446" t="str">
        <x:f t="shared" si="117"/>
        <x:v>[관리비]</x:v>
      </x:c>
      <x:c r="J715" s="445"/>
      <x:c r="K715" s="453">
        <x:v>1629.0659629646575</x:v>
      </x:c>
      <x:c r="L715" s="454">
        <x:v>1629.0659629646575</x:v>
      </x:c>
      <x:c r="M715" s="454">
        <x:v>1629.0659629646575</x:v>
      </x:c>
      <x:c r="N715" s="454">
        <x:v>1629.0659629646575</x:v>
      </x:c>
      <x:c r="O715" s="454">
        <x:v>1629.0659629646575</x:v>
      </x:c>
      <x:c r="P715" s="454">
        <x:v>1629.0659629646575</x:v>
      </x:c>
      <x:c r="Q715" s="454">
        <x:v>1629.0659629646575</x:v>
      </x:c>
      <x:c r="R715" s="454">
        <x:v>1629.0659629646575</x:v>
      </x:c>
      <x:c r="S715" s="454">
        <x:v>1629.0659629646575</x:v>
      </x:c>
      <x:c r="T715" s="454">
        <x:v>1629.0659629646575</x:v>
      </x:c>
      <x:c r="U715" s="454">
        <x:v>1629.0659629646575</x:v>
      </x:c>
      <x:c r="V715" s="455">
        <x:v>1629.0659629646575</x:v>
      </x:c>
      <x:c r="W715" s="456">
        <x:f t="shared" si="111"/>
        <x:v>19548.791555575892</x:v>
      </x:c>
      <x:c r="X715" s="450">
        <x:f t="shared" si="112"/>
        <x:v>1629.0659629646577</x:v>
      </x:c>
      <x:c r="Y715" s="457"/>
      <x:c r="Z715" s="458"/>
      <x:c r="AA715" s="458"/>
      <x:c r="AB715" s="458"/>
      <x:c r="AC715" s="458"/>
      <x:c r="AD715" s="458"/>
      <x:c r="AE715" s="458"/>
    </x:row>
    <x:row r="716" spans="1:31" ht="20.100000000000001" customHeight="1">
      <x:c r="A716" s="439" t="s">
        <x:v>850</x:v>
      </x:c>
      <x:c r="B716" s="466" t="str">
        <x:f t="shared" si="114"/>
        <x:v>복리후생비</x:v>
      </x:c>
      <x:c r="C716" s="440" t="str">
        <x:f t="shared" si="115"/>
        <x:v>후생비</x:v>
      </x:c>
      <x:c r="D716" s="441">
        <x:v>52130123</x:v>
      </x:c>
      <x:c r="E716" s="442" t="str">
        <x:f t="shared" si="116"/>
        <x:v>후생비_외근식대</x:v>
      </x:c>
      <x:c r="F716" s="443"/>
      <x:c r="G716" s="444" t="s">
        <x:v>91</x:v>
      </x:c>
      <x:c r="H716" s="445" t="str">
        <x:f t="shared" si="113"/>
        <x:v>인사총무팀</x:v>
      </x:c>
      <x:c r="I716" s="446" t="str">
        <x:f t="shared" si="117"/>
        <x:v>[관리비]</x:v>
      </x:c>
      <x:c r="J716" s="445"/>
      <x:c r="K716" s="453">
        <x:v>4235.57150370811</x:v>
      </x:c>
      <x:c r="L716" s="454">
        <x:v>0</x:v>
      </x:c>
      <x:c r="M716" s="454">
        <x:v>0</x:v>
      </x:c>
      <x:c r="N716" s="454">
        <x:v>0</x:v>
      </x:c>
      <x:c r="O716" s="454">
        <x:v>0</x:v>
      </x:c>
      <x:c r="P716" s="454">
        <x:v>3529.6429197567581</x:v>
      </x:c>
      <x:c r="Q716" s="454">
        <x:v>0</x:v>
      </x:c>
      <x:c r="R716" s="454">
        <x:v>0</x:v>
      </x:c>
      <x:c r="S716" s="454">
        <x:v>0</x:v>
      </x:c>
      <x:c r="T716" s="454">
        <x:v>0</x:v>
      </x:c>
      <x:c r="U716" s="454">
        <x:v>0</x:v>
      </x:c>
      <x:c r="V716" s="455">
        <x:v>0</x:v>
      </x:c>
      <x:c r="W716" s="456">
        <x:f t="shared" si="111"/>
        <x:v>7765.2144234648677</x:v>
      </x:c>
      <x:c r="X716" s="450">
        <x:f t="shared" si="112"/>
        <x:v>647.1012019554056</x:v>
      </x:c>
      <x:c r="Y716" s="457"/>
      <x:c r="Z716" s="458"/>
      <x:c r="AA716" s="458"/>
      <x:c r="AB716" s="458"/>
      <x:c r="AC716" s="458"/>
      <x:c r="AD716" s="458"/>
      <x:c r="AE716" s="458"/>
    </x:row>
    <x:row r="717" spans="1:31" ht="20.100000000000001" customHeight="1">
      <x:c r="A717" s="439" t="s">
        <x:v>850</x:v>
      </x:c>
      <x:c r="B717" s="466" t="str">
        <x:f t="shared" si="114"/>
        <x:v>복리후생비</x:v>
      </x:c>
      <x:c r="C717" s="440" t="str">
        <x:f t="shared" si="115"/>
        <x:v>후생비</x:v>
      </x:c>
      <x:c r="D717" s="441">
        <x:v>52130125</x:v>
      </x:c>
      <x:c r="E717" s="442" t="str">
        <x:f t="shared" si="116"/>
        <x:v>후생비_기타식대</x:v>
      </x:c>
      <x:c r="F717" s="443"/>
      <x:c r="G717" s="444" t="s">
        <x:v>91</x:v>
      </x:c>
      <x:c r="H717" s="445" t="str">
        <x:f t="shared" si="113"/>
        <x:v>인사총무팀</x:v>
      </x:c>
      <x:c r="I717" s="446" t="str">
        <x:f t="shared" si="117"/>
        <x:v>[관리비]</x:v>
      </x:c>
      <x:c r="J717" s="445"/>
      <x:c r="K717" s="453">
        <x:v>0</x:v>
      </x:c>
      <x:c r="L717" s="454">
        <x:v>0</x:v>
      </x:c>
      <x:c r="M717" s="454">
        <x:v>0</x:v>
      </x:c>
      <x:c r="N717" s="454">
        <x:v>0</x:v>
      </x:c>
      <x:c r="O717" s="454">
        <x:v>0</x:v>
      </x:c>
      <x:c r="P717" s="454">
        <x:v>0</x:v>
      </x:c>
      <x:c r="Q717" s="454">
        <x:v>0</x:v>
      </x:c>
      <x:c r="R717" s="454">
        <x:v>0</x:v>
      </x:c>
      <x:c r="S717" s="454">
        <x:v>0</x:v>
      </x:c>
      <x:c r="T717" s="454">
        <x:v>0</x:v>
      </x:c>
      <x:c r="U717" s="454">
        <x:v>0</x:v>
      </x:c>
      <x:c r="V717" s="455">
        <x:v>0</x:v>
      </x:c>
      <x:c r="W717" s="456">
        <x:f t="shared" si="111"/>
        <x:v>0</x:v>
      </x:c>
      <x:c r="X717" s="450">
        <x:f t="shared" si="112"/>
        <x:v>0</x:v>
      </x:c>
      <x:c r="Y717" s="457"/>
      <x:c r="Z717" s="458"/>
      <x:c r="AA717" s="458"/>
      <x:c r="AB717" s="458"/>
      <x:c r="AC717" s="458"/>
      <x:c r="AD717" s="458"/>
      <x:c r="AE717" s="458"/>
    </x:row>
    <x:row r="718" spans="1:31" ht="20.100000000000001" customHeight="1">
      <x:c r="A718" s="439" t="s">
        <x:v>850</x:v>
      </x:c>
      <x:c r="B718" s="466" t="str">
        <x:f t="shared" si="114"/>
        <x:v>기타비용</x:v>
      </x:c>
      <x:c r="C718" s="440" t="str">
        <x:f t="shared" si="115"/>
        <x:v>도서인쇄비</x:v>
      </x:c>
      <x:c r="D718" s="441">
        <x:v>52320102</x:v>
      </x:c>
      <x:c r="E718" s="442" t="str">
        <x:f t="shared" si="116"/>
        <x:v>도서인쇄비_도서구입</x:v>
      </x:c>
      <x:c r="F718" s="443"/>
      <x:c r="G718" s="444" t="s">
        <x:v>91</x:v>
      </x:c>
      <x:c r="H718" s="445" t="str">
        <x:f t="shared" si="113"/>
        <x:v>인사총무팀</x:v>
      </x:c>
      <x:c r="I718" s="446" t="str">
        <x:f t="shared" si="117"/>
        <x:v>[관리비]</x:v>
      </x:c>
      <x:c r="J718" s="445"/>
      <x:c r="K718" s="453">
        <x:v>0</x:v>
      </x:c>
      <x:c r="L718" s="454">
        <x:v>0</x:v>
      </x:c>
      <x:c r="M718" s="454">
        <x:v>2715.1099382744292</x:v>
      </x:c>
      <x:c r="N718" s="454">
        <x:v>0</x:v>
      </x:c>
      <x:c r="O718" s="454">
        <x:v>0</x:v>
      </x:c>
      <x:c r="P718" s="454">
        <x:v>2715.1099382744292</x:v>
      </x:c>
      <x:c r="Q718" s="454">
        <x:v>0</x:v>
      </x:c>
      <x:c r="R718" s="454">
        <x:v>0</x:v>
      </x:c>
      <x:c r="S718" s="454">
        <x:v>2715.1099382744292</x:v>
      </x:c>
      <x:c r="T718" s="454">
        <x:v>0</x:v>
      </x:c>
      <x:c r="U718" s="454">
        <x:v>0</x:v>
      </x:c>
      <x:c r="V718" s="455">
        <x:v>0</x:v>
      </x:c>
      <x:c r="W718" s="456">
        <x:f t="shared" si="111"/>
        <x:v>8145.329814823288</x:v>
      </x:c>
      <x:c r="X718" s="450">
        <x:f t="shared" si="112"/>
        <x:v>678.77748456860729</x:v>
      </x:c>
      <x:c r="Y718" s="457"/>
      <x:c r="Z718" s="458"/>
      <x:c r="AA718" s="458"/>
      <x:c r="AB718" s="458"/>
      <x:c r="AC718" s="458"/>
      <x:c r="AD718" s="458"/>
      <x:c r="AE718" s="458"/>
    </x:row>
    <x:row r="719" spans="1:31" ht="20.100000000000001" customHeight="1">
      <x:c r="A719" s="439" t="s">
        <x:v>850</x:v>
      </x:c>
      <x:c r="B719" s="466" t="str">
        <x:f t="shared" si="114"/>
        <x:v>유지비용</x:v>
      </x:c>
      <x:c r="C719" s="440" t="str">
        <x:f t="shared" si="115"/>
        <x:v>소모품비</x:v>
      </x:c>
      <x:c r="D719" s="441">
        <x:v>52330102</x:v>
      </x:c>
      <x:c r="E719" s="442" t="str">
        <x:f t="shared" si="116"/>
        <x:v>소모품비_문구</x:v>
      </x:c>
      <x:c r="F719" s="443"/>
      <x:c r="G719" s="444" t="s">
        <x:v>91</x:v>
      </x:c>
      <x:c r="H719" s="445" t="str">
        <x:f t="shared" si="113"/>
        <x:v>인사총무팀</x:v>
      </x:c>
      <x:c r="I719" s="446" t="str">
        <x:f t="shared" si="117"/>
        <x:v>[관리비]</x:v>
      </x:c>
      <x:c r="J719" s="445"/>
      <x:c r="K719" s="453">
        <x:v>5430.2198765488583</x:v>
      </x:c>
      <x:c r="L719" s="454">
        <x:v>0</x:v>
      </x:c>
      <x:c r="M719" s="454">
        <x:v>0</x:v>
      </x:c>
      <x:c r="N719" s="454">
        <x:v>5430.2198765488583</x:v>
      </x:c>
      <x:c r="O719" s="454">
        <x:v>0</x:v>
      </x:c>
      <x:c r="P719" s="454">
        <x:v>0</x:v>
      </x:c>
      <x:c r="Q719" s="454">
        <x:v>2715.1099382744292</x:v>
      </x:c>
      <x:c r="R719" s="454">
        <x:v>0</x:v>
      </x:c>
      <x:c r="S719" s="454">
        <x:v>0</x:v>
      </x:c>
      <x:c r="T719" s="454">
        <x:v>2715.1099382744292</x:v>
      </x:c>
      <x:c r="U719" s="454">
        <x:v>0</x:v>
      </x:c>
      <x:c r="V719" s="455">
        <x:v>0</x:v>
      </x:c>
      <x:c r="W719" s="456">
        <x:f t="shared" si="111"/>
        <x:v>16290.659629646574</x:v>
      </x:c>
      <x:c r="X719" s="450">
        <x:f t="shared" si="112"/>
        <x:v>1357.5549691372146</x:v>
      </x:c>
      <x:c r="Y719" s="457"/>
      <x:c r="Z719" s="458"/>
      <x:c r="AA719" s="458"/>
      <x:c r="AB719" s="458"/>
      <x:c r="AC719" s="458"/>
      <x:c r="AD719" s="458"/>
      <x:c r="AE719" s="458"/>
    </x:row>
    <x:row r="720" spans="1:31" ht="20.100000000000001" customHeight="1">
      <x:c r="A720" s="439" t="s">
        <x:v>850</x:v>
      </x:c>
      <x:c r="B720" s="466" t="str">
        <x:f t="shared" si="114"/>
        <x:v>유지비용</x:v>
      </x:c>
      <x:c r="C720" s="440" t="str">
        <x:f t="shared" si="115"/>
        <x:v>소모품비</x:v>
      </x:c>
      <x:c r="D720" s="441">
        <x:v>52339900</x:v>
      </x:c>
      <x:c r="E720" s="442" t="str">
        <x:f t="shared" si="116"/>
        <x:v>소모품비_기타</x:v>
      </x:c>
      <x:c r="F720" s="443"/>
      <x:c r="G720" s="444" t="s">
        <x:v>91</x:v>
      </x:c>
      <x:c r="H720" s="445" t="str">
        <x:f t="shared" si="113"/>
        <x:v>인사총무팀</x:v>
      </x:c>
      <x:c r="I720" s="446" t="str">
        <x:f t="shared" si="117"/>
        <x:v>[관리비]</x:v>
      </x:c>
      <x:c r="J720" s="445"/>
      <x:c r="K720" s="453">
        <x:v>0</x:v>
      </x:c>
      <x:c r="L720" s="454">
        <x:v>0</x:v>
      </x:c>
      <x:c r="M720" s="454">
        <x:v>0</x:v>
      </x:c>
      <x:c r="N720" s="454">
        <x:v>0</x:v>
      </x:c>
      <x:c r="O720" s="454">
        <x:v>0</x:v>
      </x:c>
      <x:c r="P720" s="454">
        <x:v>0</x:v>
      </x:c>
      <x:c r="Q720" s="454">
        <x:v>0</x:v>
      </x:c>
      <x:c r="R720" s="454">
        <x:v>0</x:v>
      </x:c>
      <x:c r="S720" s="454">
        <x:v>0</x:v>
      </x:c>
      <x:c r="T720" s="454">
        <x:v>0</x:v>
      </x:c>
      <x:c r="U720" s="454">
        <x:v>0</x:v>
      </x:c>
      <x:c r="V720" s="455">
        <x:v>16290.659629646576</x:v>
      </x:c>
      <x:c r="W720" s="456">
        <x:f t="shared" si="111"/>
        <x:v>16290.659629646576</x:v>
      </x:c>
      <x:c r="X720" s="450">
        <x:f t="shared" si="112"/>
        <x:v>1357.5549691372146</x:v>
      </x:c>
      <x:c r="Y720" s="457"/>
      <x:c r="Z720" s="458"/>
      <x:c r="AA720" s="458"/>
      <x:c r="AB720" s="458"/>
      <x:c r="AC720" s="458"/>
      <x:c r="AD720" s="458"/>
      <x:c r="AE720" s="458"/>
    </x:row>
    <x:row r="721" spans="1:31" ht="20.100000000000001" customHeight="1">
      <x:c r="A721" s="439" t="s">
        <x:v>850</x:v>
      </x:c>
      <x:c r="B721" s="466" t="str">
        <x:f t="shared" si="114"/>
        <x:v>복리후생비</x:v>
      </x:c>
      <x:c r="C721" s="440" t="str">
        <x:f t="shared" si="115"/>
        <x:v>후생비</x:v>
      </x:c>
      <x:c r="D721" s="441">
        <x:v>52130111</x:v>
      </x:c>
      <x:c r="E721" s="442" t="str">
        <x:f t="shared" si="116"/>
        <x:v>후생비_시상금</x:v>
      </x:c>
      <x:c r="F721" s="443"/>
      <x:c r="G721" s="444" t="s">
        <x:v>91</x:v>
      </x:c>
      <x:c r="H721" s="445" t="str">
        <x:f t="shared" si="113"/>
        <x:v>인사총무팀</x:v>
      </x:c>
      <x:c r="I721" s="446" t="str">
        <x:f t="shared" si="117"/>
        <x:v>[관리비]</x:v>
      </x:c>
      <x:c r="J721" s="445"/>
      <x:c r="K721" s="453">
        <x:v>0</x:v>
      </x:c>
      <x:c r="L721" s="454">
        <x:v>0</x:v>
      </x:c>
      <x:c r="M721" s="454">
        <x:v>0</x:v>
      </x:c>
      <x:c r="N721" s="454">
        <x:v>0</x:v>
      </x:c>
      <x:c r="O721" s="454">
        <x:v>0</x:v>
      </x:c>
      <x:c r="P721" s="454">
        <x:v>0</x:v>
      </x:c>
      <x:c r="Q721" s="454">
        <x:v>0</x:v>
      </x:c>
      <x:c r="R721" s="454">
        <x:v>0</x:v>
      </x:c>
      <x:c r="S721" s="454">
        <x:v>0</x:v>
      </x:c>
      <x:c r="T721" s="454">
        <x:v>0</x:v>
      </x:c>
      <x:c r="U721" s="454">
        <x:v>0</x:v>
      </x:c>
      <x:c r="V721" s="455">
        <x:v>108604.39753097716</x:v>
      </x:c>
      <x:c r="W721" s="456">
        <x:f t="shared" si="111"/>
        <x:v>108604.39753097716</x:v>
      </x:c>
      <x:c r="X721" s="450">
        <x:f t="shared" si="112"/>
        <x:v>9050.3664609147636</x:v>
      </x:c>
      <x:c r="Y721" s="457"/>
      <x:c r="Z721" s="458"/>
      <x:c r="AA721" s="458"/>
      <x:c r="AB721" s="458"/>
      <x:c r="AC721" s="458"/>
      <x:c r="AD721" s="458"/>
      <x:c r="AE721" s="458"/>
    </x:row>
    <x:row r="722" spans="1:31" ht="20.100000000000001" customHeight="1">
      <x:c r="A722" s="439" t="s">
        <x:v>850</x:v>
      </x:c>
      <x:c r="B722" s="466" t="str">
        <x:f t="shared" si="114"/>
        <x:v>기타비용</x:v>
      </x:c>
      <x:c r="C722" s="440" t="str">
        <x:f t="shared" si="115"/>
        <x:v>접대비</x:v>
      </x:c>
      <x:c r="D722" s="441">
        <x:v>52230103</x:v>
      </x:c>
      <x:c r="E722" s="442" t="str">
        <x:f t="shared" si="116"/>
        <x:v>접대비_법인카드</x:v>
      </x:c>
      <x:c r="F722" s="443"/>
      <x:c r="G722" s="444" t="s">
        <x:v>91</x:v>
      </x:c>
      <x:c r="H722" s="445" t="str">
        <x:f t="shared" si="113"/>
        <x:v>인사총무팀</x:v>
      </x:c>
      <x:c r="I722" s="446" t="str">
        <x:f t="shared" si="117"/>
        <x:v>[관리비]</x:v>
      </x:c>
      <x:c r="J722" s="445"/>
      <x:c r="K722" s="453">
        <x:v>0</x:v>
      </x:c>
      <x:c r="L722" s="454">
        <x:v>8145.329814823288</x:v>
      </x:c>
      <x:c r="M722" s="454">
        <x:v>8145.329814823288</x:v>
      </x:c>
      <x:c r="N722" s="454">
        <x:v>0</x:v>
      </x:c>
      <x:c r="O722" s="454">
        <x:v>8145.329814823288</x:v>
      </x:c>
      <x:c r="P722" s="454">
        <x:v>8145.329814823288</x:v>
      </x:c>
      <x:c r="Q722" s="454">
        <x:v>0</x:v>
      </x:c>
      <x:c r="R722" s="454">
        <x:v>8145.329814823288</x:v>
      </x:c>
      <x:c r="S722" s="454">
        <x:v>8145.329814823288</x:v>
      </x:c>
      <x:c r="T722" s="454">
        <x:v>0</x:v>
      </x:c>
      <x:c r="U722" s="454">
        <x:v>8145.329814823288</x:v>
      </x:c>
      <x:c r="V722" s="455">
        <x:v>8145.329814823288</x:v>
      </x:c>
      <x:c r="W722" s="456">
        <x:f t="shared" si="111"/>
        <x:v>65162.638518586296</x:v>
      </x:c>
      <x:c r="X722" s="450">
        <x:f t="shared" si="112"/>
        <x:v>5430.2198765488583</x:v>
      </x:c>
      <x:c r="Y722" s="457"/>
      <x:c r="Z722" s="458"/>
      <x:c r="AA722" s="458"/>
      <x:c r="AB722" s="458"/>
      <x:c r="AC722" s="458"/>
      <x:c r="AD722" s="458"/>
      <x:c r="AE722" s="458"/>
    </x:row>
    <x:row r="723" spans="1:31" ht="20.100000000000001" customHeight="1">
      <x:c r="A723" s="439" t="s">
        <x:v>850</x:v>
      </x:c>
      <x:c r="B723" s="466" t="str">
        <x:f t="shared" si="114"/>
        <x:v>복리후생비</x:v>
      </x:c>
      <x:c r="C723" s="440" t="str">
        <x:f t="shared" si="115"/>
        <x:v>후생비</x:v>
      </x:c>
      <x:c r="D723" s="441">
        <x:v>52130115</x:v>
      </x:c>
      <x:c r="E723" s="442" t="str">
        <x:f t="shared" si="116"/>
        <x:v>후생비_회의체운영식대</x:v>
      </x:c>
      <x:c r="F723" s="443"/>
      <x:c r="G723" s="444" t="s">
        <x:v>91</x:v>
      </x:c>
      <x:c r="H723" s="445" t="str">
        <x:f t="shared" si="113"/>
        <x:v>인사총무팀</x:v>
      </x:c>
      <x:c r="I723" s="446" t="str">
        <x:f t="shared" si="117"/>
        <x:v>[관리비]</x:v>
      </x:c>
      <x:c r="J723" s="445"/>
      <x:c r="K723" s="453">
        <x:v>5430.2198765488583</x:v>
      </x:c>
      <x:c r="L723" s="454">
        <x:v>5430.2198765488583</x:v>
      </x:c>
      <x:c r="M723" s="454">
        <x:v>5430.2198765488583</x:v>
      </x:c>
      <x:c r="N723" s="454">
        <x:v>5430.2198765488583</x:v>
      </x:c>
      <x:c r="O723" s="454">
        <x:v>5430.2198765488583</x:v>
      </x:c>
      <x:c r="P723" s="454">
        <x:v>5430.2198765488583</x:v>
      </x:c>
      <x:c r="Q723" s="454">
        <x:v>5430.2198765488583</x:v>
      </x:c>
      <x:c r="R723" s="454">
        <x:v>5430.2198765488583</x:v>
      </x:c>
      <x:c r="S723" s="454">
        <x:v>5430.2198765488583</x:v>
      </x:c>
      <x:c r="T723" s="454">
        <x:v>5430.2198765488583</x:v>
      </x:c>
      <x:c r="U723" s="454">
        <x:v>5430.2198765488583</x:v>
      </x:c>
      <x:c r="V723" s="455">
        <x:v>5430.2198765488583</x:v>
      </x:c>
      <x:c r="W723" s="456">
        <x:f t="shared" si="111"/>
        <x:v>65162.638518586296</x:v>
      </x:c>
      <x:c r="X723" s="450">
        <x:f t="shared" si="112"/>
        <x:v>5430.2198765488583</x:v>
      </x:c>
      <x:c r="Y723" s="457"/>
      <x:c r="Z723" s="458"/>
      <x:c r="AA723" s="458"/>
      <x:c r="AB723" s="458"/>
      <x:c r="AC723" s="458"/>
      <x:c r="AD723" s="458"/>
      <x:c r="AE723" s="458"/>
    </x:row>
    <x:row r="724" spans="1:31" ht="20.100000000000001" customHeight="1">
      <x:c r="A724" s="439" t="s">
        <x:v>767</x:v>
      </x:c>
      <x:c r="B724" s="466" t="str">
        <x:f t="shared" si="114"/>
        <x:v>기타비용</x:v>
      </x:c>
      <x:c r="C724" s="440" t="str">
        <x:f t="shared" si="115"/>
        <x:v>도서인쇄비</x:v>
      </x:c>
      <x:c r="D724" s="441">
        <x:v>52329900</x:v>
      </x:c>
      <x:c r="E724" s="442" t="str">
        <x:f t="shared" si="116"/>
        <x:v>도서인쇄비_기타</x:v>
      </x:c>
      <x:c r="F724" s="443"/>
      <x:c r="G724" s="444" t="s">
        <x:v>91</x:v>
      </x:c>
      <x:c r="H724" s="445" t="str">
        <x:f t="shared" si="113"/>
        <x:v>인사총무팀</x:v>
      </x:c>
      <x:c r="I724" s="446" t="str">
        <x:f t="shared" si="117"/>
        <x:v>[관리비]</x:v>
      </x:c>
      <x:c r="J724" s="445"/>
      <x:c r="K724" s="453">
        <x:v>0</x:v>
      </x:c>
      <x:c r="L724" s="454">
        <x:v>0</x:v>
      </x:c>
      <x:c r="M724" s="454">
        <x:v>0</x:v>
      </x:c>
      <x:c r="N724" s="454">
        <x:v>0</x:v>
      </x:c>
      <x:c r="O724" s="454">
        <x:v>0</x:v>
      </x:c>
      <x:c r="P724" s="454">
        <x:v>0</x:v>
      </x:c>
      <x:c r="Q724" s="454">
        <x:v>0</x:v>
      </x:c>
      <x:c r="R724" s="454">
        <x:v>0</x:v>
      </x:c>
      <x:c r="S724" s="454">
        <x:v>0</x:v>
      </x:c>
      <x:c r="T724" s="454">
        <x:v>0</x:v>
      </x:c>
      <x:c r="U724" s="454">
        <x:v>0</x:v>
      </x:c>
      <x:c r="V724" s="455">
        <x:v>1954879.1555575891</x:v>
      </x:c>
      <x:c r="W724" s="456">
        <x:f t="shared" si="111"/>
        <x:v>1954879.1555575891</x:v>
      </x:c>
      <x:c r="X724" s="450">
        <x:f t="shared" si="112"/>
        <x:v>162906.59629646575</x:v>
      </x:c>
      <x:c r="Y724" s="457"/>
      <x:c r="Z724" s="458"/>
      <x:c r="AA724" s="458"/>
      <x:c r="AB724" s="458"/>
      <x:c r="AC724" s="458"/>
      <x:c r="AD724" s="458"/>
      <x:c r="AE724" s="458"/>
    </x:row>
    <x:row r="725" spans="1:31" ht="20.100000000000001" customHeight="1">
      <x:c r="A725" s="439" t="s">
        <x:v>767</x:v>
      </x:c>
      <x:c r="B725" s="466" t="str">
        <x:f t="shared" si="114"/>
        <x:v>기타비용</x:v>
      </x:c>
      <x:c r="C725" s="440" t="str">
        <x:f t="shared" si="115"/>
        <x:v>도서인쇄비</x:v>
      </x:c>
      <x:c r="D725" s="441">
        <x:v>52329900</x:v>
      </x:c>
      <x:c r="E725" s="442" t="str">
        <x:f t="shared" si="116"/>
        <x:v>도서인쇄비_기타</x:v>
      </x:c>
      <x:c r="F725" s="443"/>
      <x:c r="G725" s="444" t="s">
        <x:v>91</x:v>
      </x:c>
      <x:c r="H725" s="445" t="str">
        <x:f t="shared" si="113"/>
        <x:v>인사총무팀</x:v>
      </x:c>
      <x:c r="I725" s="446" t="str">
        <x:f t="shared" si="117"/>
        <x:v>[관리비]</x:v>
      </x:c>
      <x:c r="J725" s="445"/>
      <x:c r="K725" s="453">
        <x:v>54302.198765488582</x:v>
      </x:c>
      <x:c r="L725" s="454">
        <x:v>9774.3957777879459</x:v>
      </x:c>
      <x:c r="M725" s="454">
        <x:v>9774.3957777879459</x:v>
      </x:c>
      <x:c r="N725" s="454">
        <x:v>9774.3957777879459</x:v>
      </x:c>
      <x:c r="O725" s="454">
        <x:v>9774.3957777879459</x:v>
      </x:c>
      <x:c r="P725" s="454">
        <x:v>9774.3957777879459</x:v>
      </x:c>
      <x:c r="Q725" s="454">
        <x:v>9774.3957777879459</x:v>
      </x:c>
      <x:c r="R725" s="454">
        <x:v>9774.3957777879459</x:v>
      </x:c>
      <x:c r="S725" s="454">
        <x:v>9774.3957777879459</x:v>
      </x:c>
      <x:c r="T725" s="454">
        <x:v>9774.3957777879459</x:v>
      </x:c>
      <x:c r="U725" s="454">
        <x:v>9774.3957777879459</x:v>
      </x:c>
      <x:c r="V725" s="455">
        <x:v>9774.3957777879459</x:v>
      </x:c>
      <x:c r="W725" s="456">
        <x:f t="shared" si="111"/>
        <x:v>161820.55232115599</x:v>
      </x:c>
      <x:c r="X725" s="450">
        <x:f t="shared" si="112"/>
        <x:v>13485.046026762999</x:v>
      </x:c>
      <x:c r="Y725" s="457"/>
      <x:c r="Z725" s="458"/>
      <x:c r="AA725" s="458"/>
      <x:c r="AB725" s="458"/>
      <x:c r="AC725" s="458"/>
      <x:c r="AD725" s="458"/>
      <x:c r="AE725" s="458"/>
    </x:row>
    <x:row r="726" spans="1:31" ht="20.100000000000001" customHeight="1">
      <x:c r="A726" s="439" t="s">
        <x:v>767</x:v>
      </x:c>
      <x:c r="B726" s="466" t="str">
        <x:f t="shared" si="114"/>
        <x:v>기타비용</x:v>
      </x:c>
      <x:c r="C726" s="440" t="str">
        <x:f t="shared" si="115"/>
        <x:v>도서인쇄비</x:v>
      </x:c>
      <x:c r="D726" s="441">
        <x:v>52320102</x:v>
      </x:c>
      <x:c r="E726" s="442" t="str">
        <x:f t="shared" si="116"/>
        <x:v>도서인쇄비_도서구입</x:v>
      </x:c>
      <x:c r="F726" s="443"/>
      <x:c r="G726" s="444" t="s">
        <x:v>91</x:v>
      </x:c>
      <x:c r="H726" s="445" t="str">
        <x:f t="shared" si="113"/>
        <x:v>인사총무팀</x:v>
      </x:c>
      <x:c r="I726" s="446" t="str">
        <x:f t="shared" si="117"/>
        <x:v>[관리비]</x:v>
      </x:c>
      <x:c r="J726" s="445"/>
      <x:c r="K726" s="453">
        <x:v>0</x:v>
      </x:c>
      <x:c r="L726" s="454">
        <x:v>0</x:v>
      </x:c>
      <x:c r="M726" s="454">
        <x:v>0</x:v>
      </x:c>
      <x:c r="N726" s="454">
        <x:v>0</x:v>
      </x:c>
      <x:c r="O726" s="454">
        <x:v>0</x:v>
      </x:c>
      <x:c r="P726" s="454">
        <x:v>0</x:v>
      </x:c>
      <x:c r="Q726" s="454">
        <x:v>0</x:v>
      </x:c>
      <x:c r="R726" s="454">
        <x:v>0</x:v>
      </x:c>
      <x:c r="S726" s="454">
        <x:v>0</x:v>
      </x:c>
      <x:c r="T726" s="454">
        <x:v>0</x:v>
      </x:c>
      <x:c r="U726" s="454">
        <x:v>0</x:v>
      </x:c>
      <x:c r="V726" s="455">
        <x:v>13575.549691372145</x:v>
      </x:c>
      <x:c r="W726" s="456">
        <x:f t="shared" si="111"/>
        <x:v>13575.549691372145</x:v>
      </x:c>
      <x:c r="X726" s="450">
        <x:f t="shared" si="112"/>
        <x:v>1131.2958076143454</x:v>
      </x:c>
      <x:c r="Y726" s="457"/>
      <x:c r="Z726" s="458"/>
      <x:c r="AA726" s="458"/>
      <x:c r="AB726" s="458"/>
      <x:c r="AC726" s="458"/>
      <x:c r="AD726" s="458"/>
      <x:c r="AE726" s="458"/>
    </x:row>
    <x:row r="727" spans="1:31" ht="20.100000000000001" customHeight="1">
      <x:c r="A727" s="439" t="s">
        <x:v>767</x:v>
      </x:c>
      <x:c r="B727" s="466" t="str">
        <x:f t="shared" si="114"/>
        <x:v>기타비용</x:v>
      </x:c>
      <x:c r="C727" s="440" t="str">
        <x:f t="shared" si="115"/>
        <x:v>도서인쇄비</x:v>
      </x:c>
      <x:c r="D727" s="441">
        <x:v>52320103</x:v>
      </x:c>
      <x:c r="E727" s="442" t="str">
        <x:f t="shared" si="116"/>
        <x:v>도서인쇄비_신문구독</x:v>
      </x:c>
      <x:c r="F727" s="443"/>
      <x:c r="G727" s="444" t="s">
        <x:v>93</x:v>
      </x:c>
      <x:c r="H727" s="445" t="str">
        <x:f t="shared" si="113"/>
        <x:v>인사총무담당</x:v>
      </x:c>
      <x:c r="I727" s="446" t="str">
        <x:f t="shared" si="117"/>
        <x:v>[관리비]</x:v>
      </x:c>
      <x:c r="J727" s="445"/>
      <x:c r="K727" s="453">
        <x:v>1357.5549691372146</x:v>
      </x:c>
      <x:c r="L727" s="454">
        <x:v>1357.5549691372146</x:v>
      </x:c>
      <x:c r="M727" s="454">
        <x:v>1357.5549691372146</x:v>
      </x:c>
      <x:c r="N727" s="454">
        <x:v>1357.5549691372146</x:v>
      </x:c>
      <x:c r="O727" s="454">
        <x:v>1357.5549691372146</x:v>
      </x:c>
      <x:c r="P727" s="454">
        <x:v>1357.5549691372146</x:v>
      </x:c>
      <x:c r="Q727" s="454">
        <x:v>1357.5549691372146</x:v>
      </x:c>
      <x:c r="R727" s="454">
        <x:v>1357.5549691372146</x:v>
      </x:c>
      <x:c r="S727" s="454">
        <x:v>1357.5549691372146</x:v>
      </x:c>
      <x:c r="T727" s="454">
        <x:v>1357.5549691372146</x:v>
      </x:c>
      <x:c r="U727" s="454">
        <x:v>1357.5549691372146</x:v>
      </x:c>
      <x:c r="V727" s="455">
        <x:v>1357.5549691372146</x:v>
      </x:c>
      <x:c r="W727" s="456">
        <x:f t="shared" si="111"/>
        <x:v>16290.659629646574</x:v>
      </x:c>
      <x:c r="X727" s="450">
        <x:f t="shared" si="112"/>
        <x:v>1357.5549691372146</x:v>
      </x:c>
      <x:c r="Y727" s="457"/>
      <x:c r="Z727" s="458"/>
      <x:c r="AA727" s="458"/>
      <x:c r="AB727" s="458"/>
      <x:c r="AC727" s="458"/>
      <x:c r="AD727" s="458"/>
      <x:c r="AE727" s="458"/>
    </x:row>
    <x:row r="728" spans="1:31" ht="20.100000000000001" customHeight="1">
      <x:c r="A728" s="439" t="s">
        <x:v>767</x:v>
      </x:c>
      <x:c r="B728" s="466" t="str">
        <x:f t="shared" si="114"/>
        <x:v>유지비용</x:v>
      </x:c>
      <x:c r="C728" s="440" t="str">
        <x:f t="shared" si="115"/>
        <x:v>동력비</x:v>
      </x:c>
      <x:c r="D728" s="441">
        <x:v>52500101</x:v>
      </x:c>
      <x:c r="E728" s="442" t="str">
        <x:f t="shared" si="116"/>
        <x:v>동력비</x:v>
      </x:c>
      <x:c r="F728" s="443"/>
      <x:c r="G728" s="444" t="s">
        <x:v>119</x:v>
      </x:c>
      <x:c r="H728" s="445" t="str">
        <x:f t="shared" si="113"/>
        <x:v>KiB 클러스터</x:v>
      </x:c>
      <x:c r="I728" s="446" t="str">
        <x:f t="shared" si="117"/>
        <x:v>[관리비]</x:v>
      </x:c>
      <x:c r="J728" s="445"/>
      <x:c r="K728" s="453">
        <x:v>3805475.8255839464</x:v>
      </x:c>
      <x:c r="L728" s="454">
        <x:v>3828473.0239699255</x:v>
      </x:c>
      <x:c r="M728" s="454">
        <x:v>3944881.027578895</x:v>
      </x:c>
      <x:c r="N728" s="454">
        <x:v>3706336.5185065889</x:v>
      </x:c>
      <x:c r="O728" s="454">
        <x:v>3313838.1623460841</x:v>
      </x:c>
      <x:c r="P728" s="454">
        <x:v>3139922.2296675057</x:v>
      </x:c>
      <x:c r="Q728" s="454">
        <x:v>4023472.2740389938</x:v>
      </x:c>
      <x:c r="R728" s="454">
        <x:v>4932946.133798928</x:v>
      </x:c>
      <x:c r="S728" s="454">
        <x:v>4657690.4060424175</x:v>
      </x:c>
      <x:c r="T728" s="454">
        <x:v>4056065.8112930092</x:v>
      </x:c>
      <x:c r="U728" s="454">
        <x:v>3486625.3695211234</x:v>
      </x:c>
      <x:c r="V728" s="455">
        <x:v>4056065.8112930092</x:v>
      </x:c>
      <x:c r="W728" s="456">
        <x:f t="shared" si="111"/>
        <x:v>46951792.593640424</x:v>
      </x:c>
      <x:c r="X728" s="450">
        <x:f t="shared" si="112"/>
        <x:v>3912649.3828033688</x:v>
      </x:c>
      <x:c r="Y728" s="457"/>
      <x:c r="Z728" s="458"/>
      <x:c r="AA728" s="458"/>
      <x:c r="AB728" s="458"/>
      <x:c r="AC728" s="458"/>
      <x:c r="AD728" s="458"/>
      <x:c r="AE728" s="458"/>
    </x:row>
    <x:row r="729" spans="1:31" ht="20.100000000000001" customHeight="1">
      <x:c r="A729" s="439" t="s">
        <x:v>767</x:v>
      </x:c>
      <x:c r="B729" s="466" t="str">
        <x:f t="shared" si="114"/>
        <x:v>유지비용</x:v>
      </x:c>
      <x:c r="C729" s="440" t="str">
        <x:f t="shared" si="115"/>
        <x:v>동력비</x:v>
      </x:c>
      <x:c r="D729" s="441">
        <x:v>52500101</x:v>
      </x:c>
      <x:c r="E729" s="442" t="str">
        <x:f t="shared" si="116"/>
        <x:v>동력비</x:v>
      </x:c>
      <x:c r="F729" s="443"/>
      <x:c r="G729" s="444" t="s">
        <x:v>119</x:v>
      </x:c>
      <x:c r="H729" s="445" t="str">
        <x:f t="shared" si="113"/>
        <x:v>KiB 클러스터</x:v>
      </x:c>
      <x:c r="I729" s="446" t="str">
        <x:f t="shared" si="117"/>
        <x:v>[관리비]</x:v>
      </x:c>
      <x:c r="J729" s="445"/>
      <x:c r="K729" s="453">
        <x:v>-2701887.8361646016</x:v>
      </x:c>
      <x:c r="L729" s="454">
        <x:v>-2718215.847018647</x:v>
      </x:c>
      <x:c r="M729" s="454">
        <x:v>-2800865.5295810155</x:v>
      </x:c>
      <x:c r="N729" s="454">
        <x:v>-2631498.9281396777</x:v>
      </x:c>
      <x:c r="O729" s="454">
        <x:v>-2352825.0952657196</x:v>
      </x:c>
      <x:c r="P729" s="454">
        <x:v>-2229344.7830639291</x:v>
      </x:c>
      <x:c r="Q729" s="454">
        <x:v>-2856665.3145676856</x:v>
      </x:c>
      <x:c r="R729" s="454">
        <x:v>-3502391.7549972385</x:v>
      </x:c>
      <x:c r="S729" s="454">
        <x:v>-3306960.1882901164</x:v>
      </x:c>
      <x:c r="T729" s="454">
        <x:v>-2879806.7260180363</x:v>
      </x:c>
      <x:c r="U729" s="454">
        <x:v>-2475504.0123599973</x:v>
      </x:c>
      <x:c r="V729" s="455">
        <x:v>-2879806.7260180363</x:v>
      </x:c>
      <x:c r="W729" s="456">
        <x:f t="shared" si="111"/>
        <x:v>-33335772.741484705</x:v>
      </x:c>
      <x:c r="X729" s="450">
        <x:f t="shared" si="112"/>
        <x:v>-2777981.0617903923</x:v>
      </x:c>
      <x:c r="Y729" s="457"/>
      <x:c r="Z729" s="458"/>
      <x:c r="AA729" s="458"/>
      <x:c r="AB729" s="458"/>
      <x:c r="AC729" s="458"/>
      <x:c r="AD729" s="458"/>
      <x:c r="AE729" s="458"/>
    </x:row>
    <x:row r="730" spans="1:31" ht="20.100000000000001" customHeight="1">
      <x:c r="A730" s="439" t="s">
        <x:v>767</x:v>
      </x:c>
      <x:c r="B730" s="466" t="str">
        <x:f t="shared" si="114"/>
        <x:v>유지비용</x:v>
      </x:c>
      <x:c r="C730" s="440" t="str">
        <x:f t="shared" si="115"/>
        <x:v>동력비</x:v>
      </x:c>
      <x:c r="D730" s="441">
        <x:v>52500101</x:v>
      </x:c>
      <x:c r="E730" s="442" t="str">
        <x:f t="shared" si="116"/>
        <x:v>동력비</x:v>
      </x:c>
      <x:c r="F730" s="443"/>
      <x:c r="G730" s="444" t="s">
        <x:v>119</x:v>
      </x:c>
      <x:c r="H730" s="445" t="str">
        <x:f t="shared" si="113"/>
        <x:v>KiB 클러스터</x:v>
      </x:c>
      <x:c r="I730" s="446" t="str">
        <x:f t="shared" si="117"/>
        <x:v>[관리비]</x:v>
      </x:c>
      <x:c r="J730" s="445"/>
      <x:c r="K730" s="453">
        <x:v>-380547.58255839464</x:v>
      </x:c>
      <x:c r="L730" s="454">
        <x:v>-382847.30239699257</x:v>
      </x:c>
      <x:c r="M730" s="454">
        <x:v>-394488.10275788954</x:v>
      </x:c>
      <x:c r="N730" s="454">
        <x:v>-370633.65185065888</x:v>
      </x:c>
      <x:c r="O730" s="454">
        <x:v>-331383.81623460847</x:v>
      </x:c>
      <x:c r="P730" s="454">
        <x:v>-313992.22296675062</x:v>
      </x:c>
      <x:c r="Q730" s="454">
        <x:v>-402347.22740389942</x:v>
      </x:c>
      <x:c r="R730" s="454">
        <x:v>-493294.61337989278</x:v>
      </x:c>
      <x:c r="S730" s="454">
        <x:v>-465769.04060424183</x:v>
      </x:c>
      <x:c r="T730" s="454">
        <x:v>-405606.58112930093</x:v>
      </x:c>
      <x:c r="U730" s="454">
        <x:v>-348662.53695211234</x:v>
      </x:c>
      <x:c r="V730" s="455">
        <x:v>-405606.58112930093</x:v>
      </x:c>
      <x:c r="W730" s="456">
        <x:f t="shared" si="111"/>
        <x:v>-4695179.2593640443</x:v>
      </x:c>
      <x:c r="X730" s="450">
        <x:f t="shared" si="112"/>
        <x:v>-391264.93828033702</x:v>
      </x:c>
      <x:c r="Y730" s="457"/>
      <x:c r="Z730" s="458"/>
      <x:c r="AA730" s="458"/>
      <x:c r="AB730" s="458"/>
      <x:c r="AC730" s="458"/>
      <x:c r="AD730" s="458"/>
      <x:c r="AE730" s="458"/>
    </x:row>
    <x:row r="731" spans="1:31" ht="20.100000000000001" customHeight="1">
      <x:c r="A731" s="439" t="s">
        <x:v>767</x:v>
      </x:c>
      <x:c r="B731" s="466" t="str">
        <x:f t="shared" si="114"/>
        <x:v>세금,보험</x:v>
      </x:c>
      <x:c r="C731" s="440" t="str">
        <x:f t="shared" si="115"/>
        <x:v>세금과공과</x:v>
      </x:c>
      <x:c r="D731" s="441">
        <x:v>52189900</x:v>
      </x:c>
      <x:c r="E731" s="442" t="str">
        <x:f t="shared" si="116"/>
        <x:v>세금과공과_기타</x:v>
      </x:c>
      <x:c r="F731" s="443"/>
      <x:c r="G731" s="444" t="s">
        <x:v>119</x:v>
      </x:c>
      <x:c r="H731" s="445" t="str">
        <x:f t="shared" si="113"/>
        <x:v>KiB 클러스터</x:v>
      </x:c>
      <x:c r="I731" s="446" t="str">
        <x:f t="shared" si="117"/>
        <x:v>[관리비]</x:v>
      </x:c>
      <x:c r="J731" s="445"/>
      <x:c r="K731" s="453">
        <x:v>1466.1593666681918</x:v>
      </x:c>
      <x:c r="L731" s="454">
        <x:v>0</x:v>
      </x:c>
      <x:c r="M731" s="454">
        <x:v>0</x:v>
      </x:c>
      <x:c r="N731" s="454">
        <x:v>0</x:v>
      </x:c>
      <x:c r="O731" s="454">
        <x:v>0</x:v>
      </x:c>
      <x:c r="P731" s="454">
        <x:v>0</x:v>
      </x:c>
      <x:c r="Q731" s="454">
        <x:v>0</x:v>
      </x:c>
      <x:c r="R731" s="454">
        <x:v>0</x:v>
      </x:c>
      <x:c r="S731" s="454">
        <x:v>0</x:v>
      </x:c>
      <x:c r="T731" s="454">
        <x:v>0</x:v>
      </x:c>
      <x:c r="U731" s="454">
        <x:v>0</x:v>
      </x:c>
      <x:c r="V731" s="455">
        <x:v>0</x:v>
      </x:c>
      <x:c r="W731" s="456">
        <x:f t="shared" si="111"/>
        <x:v>1466.1593666681918</x:v>
      </x:c>
      <x:c r="X731" s="450">
        <x:f t="shared" si="112"/>
        <x:v>122.17994722234931</x:v>
      </x:c>
      <x:c r="Y731" s="457"/>
      <x:c r="Z731" s="458"/>
      <x:c r="AA731" s="458"/>
      <x:c r="AB731" s="458"/>
      <x:c r="AC731" s="458"/>
      <x:c r="AD731" s="458"/>
      <x:c r="AE731" s="458"/>
    </x:row>
    <x:row r="732" spans="1:31" ht="20.100000000000001" customHeight="1">
      <x:c r="A732" s="439" t="s">
        <x:v>767</x:v>
      </x:c>
      <x:c r="B732" s="466" t="str">
        <x:f t="shared" si="114"/>
        <x:v>세금,보험</x:v>
      </x:c>
      <x:c r="C732" s="440" t="str">
        <x:f t="shared" si="115"/>
        <x:v>세금과공과</x:v>
      </x:c>
      <x:c r="D732" s="441">
        <x:v>52189900</x:v>
      </x:c>
      <x:c r="E732" s="442" t="str">
        <x:f t="shared" si="116"/>
        <x:v>세금과공과_기타</x:v>
      </x:c>
      <x:c r="F732" s="443"/>
      <x:c r="G732" s="444" t="s">
        <x:v>119</x:v>
      </x:c>
      <x:c r="H732" s="445" t="str">
        <x:f t="shared" si="113"/>
        <x:v>KiB 클러스터</x:v>
      </x:c>
      <x:c r="I732" s="446" t="str">
        <x:f t="shared" si="117"/>
        <x:v>[관리비]</x:v>
      </x:c>
      <x:c r="J732" s="445"/>
      <x:c r="K732" s="453">
        <x:v>0</x:v>
      </x:c>
      <x:c r="L732" s="454">
        <x:v>0</x:v>
      </x:c>
      <x:c r="M732" s="454">
        <x:v>0</x:v>
      </x:c>
      <x:c r="N732" s="454">
        <x:v>210771.81242029334</x:v>
      </x:c>
      <x:c r="O732" s="454">
        <x:v>0</x:v>
      </x:c>
      <x:c r="P732" s="454">
        <x:v>0</x:v>
      </x:c>
      <x:c r="Q732" s="454">
        <x:v>0</x:v>
      </x:c>
      <x:c r="R732" s="454">
        <x:v>0</x:v>
      </x:c>
      <x:c r="S732" s="454">
        <x:v>0</x:v>
      </x:c>
      <x:c r="T732" s="454">
        <x:v>0</x:v>
      </x:c>
      <x:c r="U732" s="454">
        <x:v>0</x:v>
      </x:c>
      <x:c r="V732" s="455">
        <x:v>0</x:v>
      </x:c>
      <x:c r="W732" s="456">
        <x:f t="shared" si="111"/>
        <x:v>210771.81242029334</x:v>
      </x:c>
      <x:c r="X732" s="450">
        <x:f t="shared" si="112"/>
        <x:v>17564.31770169111</x:v>
      </x:c>
      <x:c r="Y732" s="457"/>
      <x:c r="Z732" s="458"/>
      <x:c r="AA732" s="458"/>
      <x:c r="AB732" s="458"/>
      <x:c r="AC732" s="458"/>
      <x:c r="AD732" s="458"/>
      <x:c r="AE732" s="458"/>
    </x:row>
    <x:row r="733" spans="1:31" ht="20.100000000000001" customHeight="1">
      <x:c r="A733" s="439" t="s">
        <x:v>767</x:v>
      </x:c>
      <x:c r="B733" s="466" t="str">
        <x:f t="shared" si="114"/>
        <x:v>세금,보험</x:v>
      </x:c>
      <x:c r="C733" s="440" t="str">
        <x:f t="shared" si="115"/>
        <x:v>세금과공과</x:v>
      </x:c>
      <x:c r="D733" s="441">
        <x:v>52189900</x:v>
      </x:c>
      <x:c r="E733" s="442" t="str">
        <x:f t="shared" si="116"/>
        <x:v>세금과공과_기타</x:v>
      </x:c>
      <x:c r="F733" s="443"/>
      <x:c r="G733" s="444" t="s">
        <x:v>119</x:v>
      </x:c>
      <x:c r="H733" s="445" t="str">
        <x:f t="shared" si="113"/>
        <x:v>KiB 클러스터</x:v>
      </x:c>
      <x:c r="I733" s="446" t="str">
        <x:f t="shared" si="117"/>
        <x:v>[관리비]</x:v>
      </x:c>
      <x:c r="J733" s="445"/>
      <x:c r="K733" s="453">
        <x:v>0</x:v>
      </x:c>
      <x:c r="L733" s="454">
        <x:v>0</x:v>
      </x:c>
      <x:c r="M733" s="454">
        <x:v>0</x:v>
      </x:c>
      <x:c r="N733" s="454">
        <x:v>0</x:v>
      </x:c>
      <x:c r="O733" s="454">
        <x:v>0</x:v>
      </x:c>
      <x:c r="P733" s="454">
        <x:v>0</x:v>
      </x:c>
      <x:c r="Q733" s="454">
        <x:v>0</x:v>
      </x:c>
      <x:c r="R733" s="454">
        <x:v>0</x:v>
      </x:c>
      <x:c r="S733" s="454">
        <x:v>0</x:v>
      </x:c>
      <x:c r="T733" s="454">
        <x:v>577352.92375840305</x:v>
      </x:c>
      <x:c r="U733" s="454">
        <x:v>0</x:v>
      </x:c>
      <x:c r="V733" s="455">
        <x:v>0</x:v>
      </x:c>
      <x:c r="W733" s="456">
        <x:f t="shared" si="111"/>
        <x:v>577352.92375840305</x:v>
      </x:c>
      <x:c r="X733" s="450">
        <x:f t="shared" si="112"/>
        <x:v>48112.743646533585</x:v>
      </x:c>
      <x:c r="Y733" s="457"/>
      <x:c r="Z733" s="458"/>
      <x:c r="AA733" s="458"/>
      <x:c r="AB733" s="458"/>
      <x:c r="AC733" s="458"/>
      <x:c r="AD733" s="458"/>
      <x:c r="AE733" s="458"/>
    </x:row>
    <x:row r="734" spans="1:31" ht="20.100000000000001" customHeight="1">
      <x:c r="A734" s="439" t="s">
        <x:v>767</x:v>
      </x:c>
      <x:c r="B734" s="466" t="str">
        <x:f t="shared" si="114"/>
        <x:v>유지비용</x:v>
      </x:c>
      <x:c r="C734" s="440" t="str">
        <x:f t="shared" si="115"/>
        <x:v>소모품비</x:v>
      </x:c>
      <x:c r="D734" s="441">
        <x:v>52339900</x:v>
      </x:c>
      <x:c r="E734" s="442" t="str">
        <x:f t="shared" si="116"/>
        <x:v>소모품비_기타</x:v>
      </x:c>
      <x:c r="F734" s="443"/>
      <x:c r="G734" s="444" t="s">
        <x:v>91</x:v>
      </x:c>
      <x:c r="H734" s="445" t="str">
        <x:f t="shared" si="113"/>
        <x:v>인사총무팀</x:v>
      </x:c>
      <x:c r="I734" s="446" t="str">
        <x:f t="shared" si="117"/>
        <x:v>[관리비]</x:v>
      </x:c>
      <x:c r="J734" s="445"/>
      <x:c r="K734" s="453">
        <x:v>128093.89108550115</x:v>
      </x:c>
      <x:c r="L734" s="454">
        <x:v>128093.89108550115</x:v>
      </x:c>
      <x:c r="M734" s="454">
        <x:v>128093.89108550115</x:v>
      </x:c>
      <x:c r="N734" s="454">
        <x:v>128093.89108550115</x:v>
      </x:c>
      <x:c r="O734" s="454">
        <x:v>128093.89108550115</x:v>
      </x:c>
      <x:c r="P734" s="454">
        <x:v>128093.89108550115</x:v>
      </x:c>
      <x:c r="Q734" s="454">
        <x:v>128093.89108550115</x:v>
      </x:c>
      <x:c r="R734" s="454">
        <x:v>128093.89108550115</x:v>
      </x:c>
      <x:c r="S734" s="454">
        <x:v>128093.89108550115</x:v>
      </x:c>
      <x:c r="T734" s="454">
        <x:v>128093.89108550115</x:v>
      </x:c>
      <x:c r="U734" s="454">
        <x:v>128093.89108550115</x:v>
      </x:c>
      <x:c r="V734" s="455">
        <x:v>128093.89108550115</x:v>
      </x:c>
      <x:c r="W734" s="456">
        <x:f t="shared" ref="W734:W779" si="118">IFERROR(SUM(K734:V734),"")</x:f>
        <x:v>1537126.6930260137</x:v>
      </x:c>
      <x:c r="X734" s="450">
        <x:f t="shared" si="112"/>
        <x:v>128093.89108550113</x:v>
      </x:c>
      <x:c r="Y734" s="457"/>
      <x:c r="Z734" s="458"/>
      <x:c r="AA734" s="458"/>
      <x:c r="AB734" s="458"/>
      <x:c r="AC734" s="458"/>
      <x:c r="AD734" s="458"/>
      <x:c r="AE734" s="458"/>
    </x:row>
    <x:row r="735" spans="1:31" ht="20.100000000000001" customHeight="1">
      <x:c r="A735" s="439" t="s">
        <x:v>767</x:v>
      </x:c>
      <x:c r="B735" s="466" t="str">
        <x:f t="shared" si="114"/>
        <x:v>유지비용</x:v>
      </x:c>
      <x:c r="C735" s="440" t="str">
        <x:f t="shared" si="115"/>
        <x:v>소모품비</x:v>
      </x:c>
      <x:c r="D735" s="441">
        <x:v>52339900</x:v>
      </x:c>
      <x:c r="E735" s="442" t="str">
        <x:f t="shared" si="116"/>
        <x:v>소모품비_기타</x:v>
      </x:c>
      <x:c r="F735" s="443"/>
      <x:c r="G735" s="444" t="s">
        <x:v>119</x:v>
      </x:c>
      <x:c r="H735" s="445" t="str">
        <x:f t="shared" si="113"/>
        <x:v>KiB 클러스터</x:v>
      </x:c>
      <x:c r="I735" s="446" t="str">
        <x:f t="shared" si="117"/>
        <x:v>[관리비]</x:v>
      </x:c>
      <x:c r="J735" s="445"/>
      <x:c r="K735" s="453">
        <x:v>270878.1560030299</x:v>
      </x:c>
      <x:c r="L735" s="454">
        <x:v>270878.1560030299</x:v>
      </x:c>
      <x:c r="M735" s="454">
        <x:v>270878.1560030299</x:v>
      </x:c>
      <x:c r="N735" s="454">
        <x:v>270878.1560030299</x:v>
      </x:c>
      <x:c r="O735" s="454">
        <x:v>270878.1560030299</x:v>
      </x:c>
      <x:c r="P735" s="454">
        <x:v>270878.1560030299</x:v>
      </x:c>
      <x:c r="Q735" s="454">
        <x:v>270878.1560030299</x:v>
      </x:c>
      <x:c r="R735" s="454">
        <x:v>270878.1560030299</x:v>
      </x:c>
      <x:c r="S735" s="454">
        <x:v>270878.1560030299</x:v>
      </x:c>
      <x:c r="T735" s="454">
        <x:v>270878.1560030299</x:v>
      </x:c>
      <x:c r="U735" s="454">
        <x:v>270878.1560030299</x:v>
      </x:c>
      <x:c r="V735" s="455">
        <x:v>270878.1560030299</x:v>
      </x:c>
      <x:c r="W735" s="456">
        <x:f t="shared" si="118"/>
        <x:v>3250537.8720363597</x:v>
      </x:c>
      <x:c r="X735" s="450">
        <x:f t="shared" ref="X735:X798" si="119">IFERROR($W735/$Y$1,"")</x:f>
        <x:v>270878.15600302996</x:v>
      </x:c>
      <x:c r="Y735" s="457"/>
      <x:c r="Z735" s="458"/>
      <x:c r="AA735" s="458"/>
      <x:c r="AB735" s="458"/>
      <x:c r="AC735" s="458"/>
      <x:c r="AD735" s="458"/>
      <x:c r="AE735" s="458"/>
    </x:row>
    <x:row r="736" spans="1:31" ht="20.100000000000001" customHeight="1">
      <x:c r="A736" s="439" t="s">
        <x:v>767</x:v>
      </x:c>
      <x:c r="B736" s="466" t="str">
        <x:f t="shared" si="114"/>
        <x:v>유지비용</x:v>
      </x:c>
      <x:c r="C736" s="440" t="str">
        <x:f t="shared" si="115"/>
        <x:v>소모품비</x:v>
      </x:c>
      <x:c r="D736" s="441">
        <x:v>52339900</x:v>
      </x:c>
      <x:c r="E736" s="442" t="str">
        <x:f t="shared" si="116"/>
        <x:v>소모품비_기타</x:v>
      </x:c>
      <x:c r="F736" s="443"/>
      <x:c r="G736" s="444" t="s">
        <x:v>119</x:v>
      </x:c>
      <x:c r="H736" s="445" t="str">
        <x:f t="shared" si="113"/>
        <x:v>KiB 클러스터</x:v>
      </x:c>
      <x:c r="I736" s="446" t="str">
        <x:f t="shared" si="117"/>
        <x:v>[관리비]</x:v>
      </x:c>
      <x:c r="J736" s="445"/>
      <x:c r="K736" s="453">
        <x:v>0</x:v>
      </x:c>
      <x:c r="L736" s="454">
        <x:v>0</x:v>
      </x:c>
      <x:c r="M736" s="454">
        <x:v>0</x:v>
      </x:c>
      <x:c r="N736" s="454">
        <x:v>0</x:v>
      </x:c>
      <x:c r="O736" s="454">
        <x:v>407266.49074116437</x:v>
      </x:c>
      <x:c r="P736" s="454">
        <x:v>0</x:v>
      </x:c>
      <x:c r="Q736" s="454">
        <x:v>0</x:v>
      </x:c>
      <x:c r="R736" s="454">
        <x:v>0</x:v>
      </x:c>
      <x:c r="S736" s="454">
        <x:v>0</x:v>
      </x:c>
      <x:c r="T736" s="454">
        <x:v>0</x:v>
      </x:c>
      <x:c r="U736" s="454">
        <x:v>0</x:v>
      </x:c>
      <x:c r="V736" s="455">
        <x:v>0</x:v>
      </x:c>
      <x:c r="W736" s="456">
        <x:f t="shared" si="118"/>
        <x:v>407266.49074116437</x:v>
      </x:c>
      <x:c r="X736" s="450">
        <x:f t="shared" si="119"/>
        <x:v>33938.874228430366</x:v>
      </x:c>
      <x:c r="Y736" s="457"/>
      <x:c r="Z736" s="458"/>
      <x:c r="AA736" s="458"/>
      <x:c r="AB736" s="458"/>
      <x:c r="AC736" s="458"/>
      <x:c r="AD736" s="458"/>
      <x:c r="AE736" s="458"/>
    </x:row>
    <x:row r="737" spans="1:31" ht="20.100000000000001" customHeight="1">
      <x:c r="A737" s="439" t="s">
        <x:v>767</x:v>
      </x:c>
      <x:c r="B737" s="466" t="str">
        <x:f t="shared" si="114"/>
        <x:v>유지비용</x:v>
      </x:c>
      <x:c r="C737" s="440" t="str">
        <x:f t="shared" si="115"/>
        <x:v>소모품비</x:v>
      </x:c>
      <x:c r="D737" s="441">
        <x:v>52339900</x:v>
      </x:c>
      <x:c r="E737" s="442" t="str">
        <x:f t="shared" si="116"/>
        <x:v>소모품비_기타</x:v>
      </x:c>
      <x:c r="F737" s="443"/>
      <x:c r="G737" s="444" t="s">
        <x:v>91</x:v>
      </x:c>
      <x:c r="H737" s="445" t="str">
        <x:f t="shared" si="113"/>
        <x:v>인사총무팀</x:v>
      </x:c>
      <x:c r="I737" s="446" t="str">
        <x:f t="shared" si="117"/>
        <x:v>[관리비]</x:v>
      </x:c>
      <x:c r="J737" s="445"/>
      <x:c r="K737" s="453">
        <x:v>1954.879155557589</x:v>
      </x:c>
      <x:c r="L737" s="454">
        <x:v>1954.879155557589</x:v>
      </x:c>
      <x:c r="M737" s="454">
        <x:v>1954.879155557589</x:v>
      </x:c>
      <x:c r="N737" s="454">
        <x:v>1954.879155557589</x:v>
      </x:c>
      <x:c r="O737" s="454">
        <x:v>1954.879155557589</x:v>
      </x:c>
      <x:c r="P737" s="454">
        <x:v>1954.879155557589</x:v>
      </x:c>
      <x:c r="Q737" s="454">
        <x:v>1954.879155557589</x:v>
      </x:c>
      <x:c r="R737" s="454">
        <x:v>1954.879155557589</x:v>
      </x:c>
      <x:c r="S737" s="454">
        <x:v>1954.879155557589</x:v>
      </x:c>
      <x:c r="T737" s="454">
        <x:v>1954.879155557589</x:v>
      </x:c>
      <x:c r="U737" s="454">
        <x:v>1954.879155557589</x:v>
      </x:c>
      <x:c r="V737" s="455">
        <x:v>1954.879155557589</x:v>
      </x:c>
      <x:c r="W737" s="456">
        <x:f t="shared" si="118"/>
        <x:v>23458.549866691061</x:v>
      </x:c>
      <x:c r="X737" s="450">
        <x:f t="shared" si="119"/>
        <x:v>1954.8791555575883</x:v>
      </x:c>
      <x:c r="Y737" s="457"/>
      <x:c r="Z737" s="458"/>
      <x:c r="AA737" s="458"/>
      <x:c r="AB737" s="458"/>
      <x:c r="AC737" s="458"/>
      <x:c r="AD737" s="458"/>
      <x:c r="AE737" s="458"/>
    </x:row>
    <x:row r="738" spans="1:31" ht="20.100000000000001" customHeight="1">
      <x:c r="A738" s="439" t="s">
        <x:v>767</x:v>
      </x:c>
      <x:c r="B738" s="466" t="str">
        <x:f t="shared" si="114"/>
        <x:v>유지비용</x:v>
      </x:c>
      <x:c r="C738" s="440" t="str">
        <x:f t="shared" si="115"/>
        <x:v>소모품비</x:v>
      </x:c>
      <x:c r="D738" s="441">
        <x:v>52330102</x:v>
      </x:c>
      <x:c r="E738" s="442" t="str">
        <x:f t="shared" si="116"/>
        <x:v>소모품비_문구</x:v>
      </x:c>
      <x:c r="F738" s="443"/>
      <x:c r="G738" s="444" t="s">
        <x:v>91</x:v>
      </x:c>
      <x:c r="H738" s="445" t="str">
        <x:f t="shared" si="113"/>
        <x:v>인사총무팀</x:v>
      </x:c>
      <x:c r="I738" s="446" t="str">
        <x:f t="shared" si="117"/>
        <x:v>[관리비]</x:v>
      </x:c>
      <x:c r="J738" s="445"/>
      <x:c r="K738" s="453">
        <x:v>4826.5423328729221</x:v>
      </x:c>
      <x:c r="L738" s="454">
        <x:v>4826.5423328729221</x:v>
      </x:c>
      <x:c r="M738" s="454">
        <x:v>4826.5423328729221</x:v>
      </x:c>
      <x:c r="N738" s="454">
        <x:v>4826.5423328729221</x:v>
      </x:c>
      <x:c r="O738" s="454">
        <x:v>4826.5423328729221</x:v>
      </x:c>
      <x:c r="P738" s="454">
        <x:v>4826.5423328729221</x:v>
      </x:c>
      <x:c r="Q738" s="454">
        <x:v>4826.5423328729221</x:v>
      </x:c>
      <x:c r="R738" s="454">
        <x:v>4826.5423328729221</x:v>
      </x:c>
      <x:c r="S738" s="454">
        <x:v>4826.5423328729221</x:v>
      </x:c>
      <x:c r="T738" s="454">
        <x:v>4826.5423328729221</x:v>
      </x:c>
      <x:c r="U738" s="454">
        <x:v>4826.5423328729221</x:v>
      </x:c>
      <x:c r="V738" s="455">
        <x:v>4826.5423328729221</x:v>
      </x:c>
      <x:c r="W738" s="456">
        <x:f t="shared" si="118"/>
        <x:v>57918.507994475069</x:v>
      </x:c>
      <x:c r="X738" s="450">
        <x:f t="shared" si="119"/>
        <x:v>4826.5423328729221</x:v>
      </x:c>
      <x:c r="Y738" s="457"/>
      <x:c r="Z738" s="458"/>
      <x:c r="AA738" s="458"/>
      <x:c r="AB738" s="458"/>
      <x:c r="AC738" s="458"/>
      <x:c r="AD738" s="458"/>
      <x:c r="AE738" s="458"/>
    </x:row>
    <x:row r="739" spans="1:31" ht="20.100000000000001" customHeight="1">
      <x:c r="A739" s="439" t="s">
        <x:v>767</x:v>
      </x:c>
      <x:c r="B739" s="466" t="str">
        <x:f t="shared" si="114"/>
        <x:v>유지비용</x:v>
      </x:c>
      <x:c r="C739" s="440" t="str">
        <x:f t="shared" si="115"/>
        <x:v>소모품비</x:v>
      </x:c>
      <x:c r="D739" s="441">
        <x:v>52330101</x:v>
      </x:c>
      <x:c r="E739" s="442" t="str">
        <x:f t="shared" si="116"/>
        <x:v>소모품비_전산소모품</x:v>
      </x:c>
      <x:c r="F739" s="443"/>
      <x:c r="G739" s="444" t="s">
        <x:v>87</x:v>
      </x:c>
      <x:c r="H739" s="445" t="str">
        <x:f t="shared" si="113"/>
        <x:v>기획팀</x:v>
      </x:c>
      <x:c r="I739" s="446" t="str">
        <x:f t="shared" si="117"/>
        <x:v>[관리비]</x:v>
      </x:c>
      <x:c r="J739" s="445"/>
      <x:c r="K739" s="453">
        <x:v>0</x:v>
      </x:c>
      <x:c r="L739" s="454">
        <x:v>0</x:v>
      </x:c>
      <x:c r="M739" s="454">
        <x:v>0</x:v>
      </x:c>
      <x:c r="N739" s="454">
        <x:v>0</x:v>
      </x:c>
      <x:c r="O739" s="454">
        <x:v>0</x:v>
      </x:c>
      <x:c r="P739" s="454">
        <x:v>79281.210197613327</x:v>
      </x:c>
      <x:c r="Q739" s="454">
        <x:v>0</x:v>
      </x:c>
      <x:c r="R739" s="454">
        <x:v>0</x:v>
      </x:c>
      <x:c r="S739" s="454">
        <x:v>0</x:v>
      </x:c>
      <x:c r="T739" s="454">
        <x:v>0</x:v>
      </x:c>
      <x:c r="U739" s="454">
        <x:v>0</x:v>
      </x:c>
      <x:c r="V739" s="455">
        <x:v>0</x:v>
      </x:c>
      <x:c r="W739" s="456">
        <x:f t="shared" si="118"/>
        <x:v>79281.210197613327</x:v>
      </x:c>
      <x:c r="X739" s="450">
        <x:f t="shared" si="119"/>
        <x:v>6606.7675164677776</x:v>
      </x:c>
      <x:c r="Y739" s="457"/>
      <x:c r="Z739" s="458"/>
      <x:c r="AA739" s="458"/>
      <x:c r="AB739" s="458"/>
      <x:c r="AC739" s="458"/>
      <x:c r="AD739" s="458"/>
      <x:c r="AE739" s="458"/>
    </x:row>
    <x:row r="740" spans="1:31" ht="20.100000000000001" customHeight="1">
      <x:c r="A740" s="439" t="s">
        <x:v>767</x:v>
      </x:c>
      <x:c r="B740" s="466" t="str">
        <x:f t="shared" si="114"/>
        <x:v>유지비용</x:v>
      </x:c>
      <x:c r="C740" s="440" t="str">
        <x:f t="shared" si="115"/>
        <x:v>소모품비</x:v>
      </x:c>
      <x:c r="D740" s="441">
        <x:v>52330101</x:v>
      </x:c>
      <x:c r="E740" s="442" t="str">
        <x:f t="shared" si="116"/>
        <x:v>소모품비_전산소모품</x:v>
      </x:c>
      <x:c r="F740" s="443"/>
      <x:c r="G740" s="444" t="s">
        <x:v>91</x:v>
      </x:c>
      <x:c r="H740" s="445" t="str">
        <x:f t="shared" si="113"/>
        <x:v>인사총무팀</x:v>
      </x:c>
      <x:c r="I740" s="446" t="str">
        <x:f t="shared" si="117"/>
        <x:v>[관리비]</x:v>
      </x:c>
      <x:c r="J740" s="445"/>
      <x:c r="K740" s="453">
        <x:v>0</x:v>
      </x:c>
      <x:c r="L740" s="454">
        <x:v>0</x:v>
      </x:c>
      <x:c r="M740" s="454">
        <x:v>0</x:v>
      </x:c>
      <x:c r="N740" s="454">
        <x:v>0</x:v>
      </x:c>
      <x:c r="O740" s="454">
        <x:v>0</x:v>
      </x:c>
      <x:c r="P740" s="454">
        <x:v>158562.42039522665</x:v>
      </x:c>
      <x:c r="Q740" s="454">
        <x:v>0</x:v>
      </x:c>
      <x:c r="R740" s="454">
        <x:v>0</x:v>
      </x:c>
      <x:c r="S740" s="454">
        <x:v>0</x:v>
      </x:c>
      <x:c r="T740" s="454">
        <x:v>0</x:v>
      </x:c>
      <x:c r="U740" s="454">
        <x:v>0</x:v>
      </x:c>
      <x:c r="V740" s="455">
        <x:v>0</x:v>
      </x:c>
      <x:c r="W740" s="456">
        <x:f t="shared" si="118"/>
        <x:v>158562.42039522665</x:v>
      </x:c>
      <x:c r="X740" s="450">
        <x:f t="shared" si="119"/>
        <x:v>13213.535032935555</x:v>
      </x:c>
      <x:c r="Y740" s="457"/>
      <x:c r="Z740" s="458"/>
      <x:c r="AA740" s="458"/>
      <x:c r="AB740" s="458"/>
      <x:c r="AC740" s="458"/>
      <x:c r="AD740" s="458"/>
      <x:c r="AE740" s="458"/>
    </x:row>
    <x:row r="741" spans="1:31" ht="20.100000000000001" customHeight="1">
      <x:c r="A741" s="439" t="s">
        <x:v>767</x:v>
      </x:c>
      <x:c r="B741" s="466" t="str">
        <x:f t="shared" si="114"/>
        <x:v>유지비용</x:v>
      </x:c>
      <x:c r="C741" s="440" t="str">
        <x:f t="shared" si="115"/>
        <x:v>소모품비</x:v>
      </x:c>
      <x:c r="D741" s="441">
        <x:v>52330101</x:v>
      </x:c>
      <x:c r="E741" s="442" t="str">
        <x:f t="shared" si="116"/>
        <x:v>소모품비_전산소모품</x:v>
      </x:c>
      <x:c r="F741" s="443"/>
      <x:c r="G741" s="444" t="s">
        <x:v>97</x:v>
      </x:c>
      <x:c r="H741" s="445" t="str">
        <x:f t="shared" si="113"/>
        <x:v>재경팀</x:v>
      </x:c>
      <x:c r="I741" s="446" t="str">
        <x:f t="shared" si="117"/>
        <x:v>[관리비]</x:v>
      </x:c>
      <x:c r="J741" s="445"/>
      <x:c r="K741" s="453">
        <x:v>0</x:v>
      </x:c>
      <x:c r="L741" s="454">
        <x:v>0</x:v>
      </x:c>
      <x:c r="M741" s="454">
        <x:v>0</x:v>
      </x:c>
      <x:c r="N741" s="454">
        <x:v>0</x:v>
      </x:c>
      <x:c r="O741" s="454">
        <x:v>0</x:v>
      </x:c>
      <x:c r="P741" s="454">
        <x:v>79281.210197613327</x:v>
      </x:c>
      <x:c r="Q741" s="454">
        <x:v>0</x:v>
      </x:c>
      <x:c r="R741" s="454">
        <x:v>0</x:v>
      </x:c>
      <x:c r="S741" s="454">
        <x:v>0</x:v>
      </x:c>
      <x:c r="T741" s="454">
        <x:v>0</x:v>
      </x:c>
      <x:c r="U741" s="454">
        <x:v>0</x:v>
      </x:c>
      <x:c r="V741" s="455">
        <x:v>0</x:v>
      </x:c>
      <x:c r="W741" s="456">
        <x:f t="shared" si="118"/>
        <x:v>79281.210197613327</x:v>
      </x:c>
      <x:c r="X741" s="450">
        <x:f t="shared" si="119"/>
        <x:v>6606.7675164677776</x:v>
      </x:c>
      <x:c r="Y741" s="457"/>
      <x:c r="Z741" s="458"/>
      <x:c r="AA741" s="458"/>
      <x:c r="AB741" s="458"/>
      <x:c r="AC741" s="458"/>
      <x:c r="AD741" s="458"/>
      <x:c r="AE741" s="458"/>
    </x:row>
    <x:row r="742" spans="1:31" ht="20.100000000000001" customHeight="1">
      <x:c r="A742" s="439" t="s">
        <x:v>767</x:v>
      </x:c>
      <x:c r="B742" s="466" t="str">
        <x:f t="shared" si="114"/>
        <x:v>유지비용</x:v>
      </x:c>
      <x:c r="C742" s="440" t="str">
        <x:f t="shared" si="115"/>
        <x:v>수도광열비</x:v>
      </x:c>
      <x:c r="D742" s="441">
        <x:v>52179900</x:v>
      </x:c>
      <x:c r="E742" s="442" t="str">
        <x:f t="shared" si="116"/>
        <x:v>수도광열비_기타</x:v>
      </x:c>
      <x:c r="F742" s="443"/>
      <x:c r="G742" s="444" t="s">
        <x:v>119</x:v>
      </x:c>
      <x:c r="H742" s="445" t="str">
        <x:f t="shared" si="113"/>
        <x:v>KiB 클러스터</x:v>
      </x:c>
      <x:c r="I742" s="446" t="str">
        <x:f t="shared" si="117"/>
        <x:v>[관리비]</x:v>
      </x:c>
      <x:c r="J742" s="445"/>
      <x:c r="K742" s="453">
        <x:v>24774.726560368981</x:v>
      </x:c>
      <x:c r="L742" s="454">
        <x:v>17291.829268285888</x:v>
      </x:c>
      <x:c r="M742" s="454">
        <x:v>21943.627125531468</x:v>
      </x:c>
      <x:c r="N742" s="454">
        <x:v>25903.452063908426</x:v>
      </x:c>
      <x:c r="O742" s="454">
        <x:v>27931.530583401895</x:v>
      </x:c>
      <x:c r="P742" s="454">
        <x:v>25955.962290114654</x:v>
      </x:c>
      <x:c r="Q742" s="454">
        <x:v>28936.827189147385</x:v>
      </x:c>
      <x:c r="R742" s="454">
        <x:v>31188.250652163308</x:v>
      </x:c>
      <x:c r="S742" s="454">
        <x:v>22440.926661825812</x:v>
      </x:c>
      <x:c r="T742" s="454">
        <x:v>28564.422710013663</x:v>
      </x:c>
      <x:c r="U742" s="454">
        <x:v>24653.198239531819</x:v>
      </x:c>
      <x:c r="V742" s="455">
        <x:v>24653.198239531819</x:v>
      </x:c>
      <x:c r="W742" s="456">
        <x:f t="shared" si="118"/>
        <x:v>304237.95158382511</x:v>
      </x:c>
      <x:c r="X742" s="450">
        <x:f t="shared" si="119"/>
        <x:v>25353.162631985426</x:v>
      </x:c>
      <x:c r="Y742" s="457"/>
      <x:c r="Z742" s="458"/>
      <x:c r="AA742" s="458"/>
      <x:c r="AB742" s="458"/>
      <x:c r="AC742" s="458"/>
      <x:c r="AD742" s="458"/>
      <x:c r="AE742" s="458"/>
    </x:row>
    <x:row r="743" spans="1:31" ht="20.100000000000001" customHeight="1">
      <x:c r="A743" s="439" t="s">
        <x:v>767</x:v>
      </x:c>
      <x:c r="B743" s="466" t="str">
        <x:f t="shared" si="114"/>
        <x:v>유지비용</x:v>
      </x:c>
      <x:c r="C743" s="440" t="str">
        <x:f t="shared" si="115"/>
        <x:v>수도광열비</x:v>
      </x:c>
      <x:c r="D743" s="441">
        <x:v>52179900</x:v>
      </x:c>
      <x:c r="E743" s="442" t="str">
        <x:f t="shared" si="116"/>
        <x:v>수도광열비_기타</x:v>
      </x:c>
      <x:c r="F743" s="443"/>
      <x:c r="G743" s="444" t="s">
        <x:v>119</x:v>
      </x:c>
      <x:c r="H743" s="445" t="str">
        <x:f t="shared" si="113"/>
        <x:v>KiB 클러스터</x:v>
      </x:c>
      <x:c r="I743" s="446" t="str">
        <x:f t="shared" si="117"/>
        <x:v>[관리비]</x:v>
      </x:c>
      <x:c r="J743" s="445"/>
      <x:c r="K743" s="453">
        <x:v>1086284.7512590978</x:v>
      </x:c>
      <x:c r="L743" s="454">
        <x:v>1206168.4757044497</x:v>
      </x:c>
      <x:c r="M743" s="454">
        <x:v>1497959.5487982433</x:v>
      </x:c>
      <x:c r="N743" s="454">
        <x:v>650142.1974892047</x:v>
      </x:c>
      <x:c r="O743" s="454">
        <x:v>144508.30542613426</x:v>
      </x:c>
      <x:c r="P743" s="454">
        <x:v>119375.40156270812</x:v>
      </x:c>
      <x:c r="Q743" s="454">
        <x:v>364432.42763515812</x:v>
      </x:c>
      <x:c r="R743" s="454">
        <x:v>914472.43145849567</x:v>
      </x:c>
      <x:c r="S743" s="454">
        <x:v>1136043.6479604742</x:v>
      </x:c>
      <x:c r="T743" s="454">
        <x:v>615222.29973787698</x:v>
      </x:c>
      <x:c r="U743" s="454">
        <x:v>221490.4148302156</x:v>
      </x:c>
      <x:c r="V743" s="455">
        <x:v>357084.19979601342</x:v>
      </x:c>
      <x:c r="W743" s="456">
        <x:f t="shared" si="118"/>
        <x:v>8313184.1016580733</x:v>
      </x:c>
      <x:c r="X743" s="450">
        <x:f t="shared" si="119"/>
        <x:v>692765.34180483944</x:v>
      </x:c>
      <x:c r="Y743" s="457"/>
      <x:c r="Z743" s="458"/>
      <x:c r="AA743" s="458"/>
      <x:c r="AB743" s="458"/>
      <x:c r="AC743" s="458"/>
      <x:c r="AD743" s="458"/>
      <x:c r="AE743" s="458"/>
    </x:row>
    <x:row r="744" spans="1:31" ht="20.100000000000001" customHeight="1">
      <x:c r="A744" s="439" t="s">
        <x:v>767</x:v>
      </x:c>
      <x:c r="B744" s="466" t="str">
        <x:f t="shared" si="114"/>
        <x:v>유지비용</x:v>
      </x:c>
      <x:c r="C744" s="440" t="str">
        <x:f t="shared" si="115"/>
        <x:v>수도광열비</x:v>
      </x:c>
      <x:c r="D744" s="441">
        <x:v>52179900</x:v>
      </x:c>
      <x:c r="E744" s="442" t="str">
        <x:f t="shared" si="116"/>
        <x:v>수도광열비_기타</x:v>
      </x:c>
      <x:c r="F744" s="443"/>
      <x:c r="G744" s="444" t="s">
        <x:v>119</x:v>
      </x:c>
      <x:c r="H744" s="445" t="str">
        <x:f t="shared" si="113"/>
        <x:v>KiB 클러스터</x:v>
      </x:c>
      <x:c r="I744" s="446" t="str">
        <x:f t="shared" si="117"/>
        <x:v>[관리비]</x:v>
      </x:c>
      <x:c r="J744" s="445"/>
      <x:c r="K744" s="453">
        <x:v>-760399.32588136848</x:v>
      </x:c>
      <x:c r="L744" s="454">
        <x:v>-844317.93299311481</x:v>
      </x:c>
      <x:c r="M744" s="454">
        <x:v>-1048571.6841587704</x:v>
      </x:c>
      <x:c r="N744" s="454">
        <x:v>-455099.53824244329</x:v>
      </x:c>
      <x:c r="O744" s="454">
        <x:v>-101155.81379829398</x:v>
      </x:c>
      <x:c r="P744" s="454">
        <x:v>-83562.781093895683</x:v>
      </x:c>
      <x:c r="Q744" s="454">
        <x:v>-255102.69934461062</x:v>
      </x:c>
      <x:c r="R744" s="454">
        <x:v>-640130.70202094701</x:v>
      </x:c>
      <x:c r="S744" s="454">
        <x:v>-795230.5535723319</x:v>
      </x:c>
      <x:c r="T744" s="454">
        <x:v>-430655.6098165139</x:v>
      </x:c>
      <x:c r="U744" s="454">
        <x:v>-155043.2903811509</x:v>
      </x:c>
      <x:c r="V744" s="455">
        <x:v>-249958.93985720939</x:v>
      </x:c>
      <x:c r="W744" s="456">
        <x:f t="shared" si="118"/>
        <x:v>-5819228.8711606506</x:v>
      </x:c>
      <x:c r="X744" s="450">
        <x:f t="shared" si="119"/>
        <x:v>-484935.73926338757</x:v>
      </x:c>
      <x:c r="Y744" s="457"/>
      <x:c r="Z744" s="458"/>
      <x:c r="AA744" s="458"/>
      <x:c r="AB744" s="458"/>
      <x:c r="AC744" s="458"/>
      <x:c r="AD744" s="458"/>
      <x:c r="AE744" s="458"/>
    </x:row>
    <x:row r="745" spans="1:31" ht="20.100000000000001" customHeight="1">
      <x:c r="A745" s="439" t="s">
        <x:v>767</x:v>
      </x:c>
      <x:c r="B745" s="466" t="str">
        <x:f t="shared" si="114"/>
        <x:v>유지비용</x:v>
      </x:c>
      <x:c r="C745" s="440" t="str">
        <x:f t="shared" si="115"/>
        <x:v>수도광열비</x:v>
      </x:c>
      <x:c r="D745" s="441">
        <x:v>52179900</x:v>
      </x:c>
      <x:c r="E745" s="442" t="str">
        <x:f t="shared" si="116"/>
        <x:v>수도광열비_기타</x:v>
      </x:c>
      <x:c r="F745" s="443"/>
      <x:c r="G745" s="444" t="s">
        <x:v>119</x:v>
      </x:c>
      <x:c r="H745" s="445" t="str">
        <x:f t="shared" si="113"/>
        <x:v>KiB 클러스터</x:v>
      </x:c>
      <x:c r="I745" s="446" t="str">
        <x:f t="shared" si="117"/>
        <x:v>[관리비]</x:v>
      </x:c>
      <x:c r="J745" s="445"/>
      <x:c r="K745" s="453">
        <x:v>-108628.4751259098</x:v>
      </x:c>
      <x:c r="L745" s="454">
        <x:v>-120616.847570445</x:v>
      </x:c>
      <x:c r="M745" s="454">
        <x:v>-149795.95487982433</x:v>
      </x:c>
      <x:c r="N745" s="454">
        <x:v>-65014.21974892047</x:v>
      </x:c>
      <x:c r="O745" s="454">
        <x:v>-14450.830542613428</x:v>
      </x:c>
      <x:c r="P745" s="454">
        <x:v>-11937.540156270814</x:v>
      </x:c>
      <x:c r="Q745" s="454">
        <x:v>-36443.242763515816</x:v>
      </x:c>
      <x:c r="R745" s="454">
        <x:v>-91447.24314584957</x:v>
      </x:c>
      <x:c r="S745" s="454">
        <x:v>-113604.36479604745</x:v>
      </x:c>
      <x:c r="T745" s="454">
        <x:v>-61522.229973787697</x:v>
      </x:c>
      <x:c r="U745" s="454">
        <x:v>-22149.04148302156</x:v>
      </x:c>
      <x:c r="V745" s="455">
        <x:v>-35708.419979601342</x:v>
      </x:c>
      <x:c r="W745" s="456">
        <x:f t="shared" si="118"/>
        <x:v>-831318.41016580723</x:v>
      </x:c>
      <x:c r="X745" s="450">
        <x:f t="shared" si="119"/>
        <x:v>-69276.534180483941</x:v>
      </x:c>
      <x:c r="Y745" s="457"/>
      <x:c r="Z745" s="458"/>
      <x:c r="AA745" s="458"/>
      <x:c r="AB745" s="458"/>
      <x:c r="AC745" s="458"/>
      <x:c r="AD745" s="458"/>
      <x:c r="AE745" s="458"/>
    </x:row>
    <x:row r="746" spans="1:31" ht="20.100000000000001" customHeight="1">
      <x:c r="A746" s="439" t="s">
        <x:v>767</x:v>
      </x:c>
      <x:c r="B746" s="466" t="str">
        <x:f t="shared" si="114"/>
        <x:v>유지비용</x:v>
      </x:c>
      <x:c r="C746" s="440" t="str">
        <x:f t="shared" si="115"/>
        <x:v>수도광열비</x:v>
      </x:c>
      <x:c r="D746" s="441">
        <x:v>52170102</x:v>
      </x:c>
      <x:c r="E746" s="442" t="str">
        <x:f t="shared" si="116"/>
        <x:v>수도광열비_상하수도</x:v>
      </x:c>
      <x:c r="F746" s="443"/>
      <x:c r="G746" s="444" t="s">
        <x:v>119</x:v>
      </x:c>
      <x:c r="H746" s="445" t="str">
        <x:f t="shared" si="113"/>
        <x:v>KiB 클러스터</x:v>
      </x:c>
      <x:c r="I746" s="446" t="str">
        <x:f t="shared" si="117"/>
        <x:v>[관리비]</x:v>
      </x:c>
      <x:c r="J746" s="445"/>
      <x:c r="K746" s="453">
        <x:v>92394.105155503523</x:v>
      </x:c>
      <x:c r="L746" s="454">
        <x:v>88621.188385277375</x:v>
      </x:c>
      <x:c r="M746" s="454">
        <x:v>124699.56924506799</x:v>
      </x:c>
      <x:c r="N746" s="454">
        <x:v>167706.91066733495</x:v>
      </x:c>
      <x:c r="O746" s="454">
        <x:v>109885.92942184269</x:v>
      </x:c>
      <x:c r="P746" s="454">
        <x:v>111916.83165567198</x:v>
      </x:c>
      <x:c r="Q746" s="454">
        <x:v>154326.84889151857</x:v>
      </x:c>
      <x:c r="R746" s="454">
        <x:v>203665.82668984149</x:v>
      </x:c>
      <x:c r="S746" s="454">
        <x:v>226961.46996023608</x:v>
      </x:c>
      <x:c r="T746" s="454">
        <x:v>184431.98788710544</x:v>
      </x:c>
      <x:c r="U746" s="454">
        <x:v>106540.9139778886</x:v>
      </x:c>
      <x:c r="V746" s="455">
        <x:v>106540.9139778886</x:v>
      </x:c>
      <x:c r="W746" s="456">
        <x:f t="shared" si="118"/>
        <x:v>1677692.4959151773</x:v>
      </x:c>
      <x:c r="X746" s="450">
        <x:f t="shared" si="119"/>
        <x:v>139807.70799293145</x:v>
      </x:c>
      <x:c r="Y746" s="457"/>
      <x:c r="Z746" s="458"/>
      <x:c r="AA746" s="458"/>
      <x:c r="AB746" s="458"/>
      <x:c r="AC746" s="458"/>
      <x:c r="AD746" s="458"/>
      <x:c r="AE746" s="458"/>
    </x:row>
    <x:row r="747" spans="1:31" ht="20.100000000000001" customHeight="1">
      <x:c r="A747" s="439" t="s">
        <x:v>767</x:v>
      </x:c>
      <x:c r="B747" s="466" t="str">
        <x:f t="shared" si="114"/>
        <x:v>유지비용</x:v>
      </x:c>
      <x:c r="C747" s="440" t="str">
        <x:f t="shared" si="115"/>
        <x:v>수도광열비</x:v>
      </x:c>
      <x:c r="D747" s="441">
        <x:v>52170102</x:v>
      </x:c>
      <x:c r="E747" s="442" t="str">
        <x:f t="shared" si="116"/>
        <x:v>수도광열비_상하수도</x:v>
      </x:c>
      <x:c r="F747" s="443"/>
      <x:c r="G747" s="444" t="s">
        <x:v>119</x:v>
      </x:c>
      <x:c r="H747" s="445" t="str">
        <x:f t="shared" si="113"/>
        <x:v>KiB 클러스터</x:v>
      </x:c>
      <x:c r="I747" s="446" t="str">
        <x:f t="shared" si="117"/>
        <x:v>[관리비]</x:v>
      </x:c>
      <x:c r="J747" s="445"/>
      <x:c r="K747" s="453">
        <x:v>-23098.526288875881</x:v>
      </x:c>
      <x:c r="L747" s="454">
        <x:v>-22155.297096319344</x:v>
      </x:c>
      <x:c r="M747" s="454">
        <x:v>-31174.892311266998</x:v>
      </x:c>
      <x:c r="N747" s="454">
        <x:v>-41926.727666833736</x:v>
      </x:c>
      <x:c r="O747" s="454">
        <x:v>-27471.482355460674</x:v>
      </x:c>
      <x:c r="P747" s="454">
        <x:v>-27979.207913917995</x:v>
      </x:c>
      <x:c r="Q747" s="454">
        <x:v>-38581.712222879643</x:v>
      </x:c>
      <x:c r="R747" s="454">
        <x:v>-50916.456672460372</x:v>
      </x:c>
      <x:c r="S747" s="454">
        <x:v>-56740.367490059019</x:v>
      </x:c>
      <x:c r="T747" s="454">
        <x:v>-46107.99697177636</x:v>
      </x:c>
      <x:c r="U747" s="454">
        <x:v>-26635.22849447215</x:v>
      </x:c>
      <x:c r="V747" s="455">
        <x:v>-26635.22849447215</x:v>
      </x:c>
      <x:c r="W747" s="456">
        <x:f t="shared" si="118"/>
        <x:v>-419423.12397879432</x:v>
      </x:c>
      <x:c r="X747" s="450">
        <x:f t="shared" si="119"/>
        <x:v>-34951.926998232862</x:v>
      </x:c>
      <x:c r="Y747" s="457"/>
      <x:c r="Z747" s="458"/>
      <x:c r="AA747" s="458"/>
      <x:c r="AB747" s="458"/>
      <x:c r="AC747" s="458"/>
      <x:c r="AD747" s="458"/>
      <x:c r="AE747" s="458"/>
    </x:row>
    <x:row r="748" spans="1:31" ht="20.100000000000001" customHeight="1">
      <x:c r="A748" s="439" t="s">
        <x:v>767</x:v>
      </x:c>
      <x:c r="B748" s="466" t="str">
        <x:f t="shared" si="114"/>
        <x:v>유지비용</x:v>
      </x:c>
      <x:c r="C748" s="440" t="str">
        <x:f t="shared" si="115"/>
        <x:v>수도광열비</x:v>
      </x:c>
      <x:c r="D748" s="441">
        <x:v>52170102</x:v>
      </x:c>
      <x:c r="E748" s="442" t="str">
        <x:f t="shared" si="116"/>
        <x:v>수도광열비_상하수도</x:v>
      </x:c>
      <x:c r="F748" s="443"/>
      <x:c r="G748" s="444" t="s">
        <x:v>119</x:v>
      </x:c>
      <x:c r="H748" s="445" t="str">
        <x:f t="shared" si="113"/>
        <x:v>KiB 클러스터</x:v>
      </x:c>
      <x:c r="I748" s="446" t="str">
        <x:f t="shared" si="117"/>
        <x:v>[관리비]</x:v>
      </x:c>
      <x:c r="J748" s="445"/>
      <x:c r="K748" s="453">
        <x:v>-23098.526288875881</x:v>
      </x:c>
      <x:c r="L748" s="454">
        <x:v>-22155.297096319344</x:v>
      </x:c>
      <x:c r="M748" s="454">
        <x:v>-31174.892311266998</x:v>
      </x:c>
      <x:c r="N748" s="454">
        <x:v>-41926.727666833736</x:v>
      </x:c>
      <x:c r="O748" s="454">
        <x:v>-27471.482355460674</x:v>
      </x:c>
      <x:c r="P748" s="454">
        <x:v>-27979.207913917995</x:v>
      </x:c>
      <x:c r="Q748" s="454">
        <x:v>-38581.712222879643</x:v>
      </x:c>
      <x:c r="R748" s="454">
        <x:v>-50916.456672460372</x:v>
      </x:c>
      <x:c r="S748" s="454">
        <x:v>-56740.367490059019</x:v>
      </x:c>
      <x:c r="T748" s="454">
        <x:v>-46107.99697177636</x:v>
      </x:c>
      <x:c r="U748" s="454">
        <x:v>-26635.22849447215</x:v>
      </x:c>
      <x:c r="V748" s="455">
        <x:v>-26635.22849447215</x:v>
      </x:c>
      <x:c r="W748" s="456">
        <x:f t="shared" si="118"/>
        <x:v>-419423.12397879432</x:v>
      </x:c>
      <x:c r="X748" s="450">
        <x:f t="shared" si="119"/>
        <x:v>-34951.926998232862</x:v>
      </x:c>
      <x:c r="Y748" s="457"/>
      <x:c r="Z748" s="458"/>
      <x:c r="AA748" s="458"/>
      <x:c r="AB748" s="458"/>
      <x:c r="AC748" s="458"/>
      <x:c r="AD748" s="458"/>
      <x:c r="AE748" s="458"/>
    </x:row>
    <x:row r="749" spans="1:31" ht="20.100000000000001" customHeight="1">
      <x:c r="A749" s="439" t="s">
        <x:v>767</x:v>
      </x:c>
      <x:c r="B749" s="466" t="str">
        <x:f t="shared" si="114"/>
        <x:v>유지비용</x:v>
      </x:c>
      <x:c r="C749" s="440" t="str">
        <x:f t="shared" si="115"/>
        <x:v>수선비</x:v>
      </x:c>
      <x:c r="D749" s="441">
        <x:v>52219900</x:v>
      </x:c>
      <x:c r="E749" s="442" t="str">
        <x:f t="shared" si="116"/>
        <x:v>수선비_기타</x:v>
      </x:c>
      <x:c r="F749" s="443"/>
      <x:c r="G749" s="444" t="s">
        <x:v>119</x:v>
      </x:c>
      <x:c r="H749" s="445" t="str">
        <x:f t="shared" si="113"/>
        <x:v>KiB 클러스터</x:v>
      </x:c>
      <x:c r="I749" s="446" t="str">
        <x:f t="shared" si="117"/>
        <x:v>[관리비]</x:v>
      </x:c>
      <x:c r="J749" s="445"/>
      <x:c r="K749" s="453">
        <x:v>677914.57375824475</x:v>
      </x:c>
      <x:c r="L749" s="454">
        <x:v>677914.57375824475</x:v>
      </x:c>
      <x:c r="M749" s="454">
        <x:v>677914.57375824475</x:v>
      </x:c>
      <x:c r="N749" s="454">
        <x:v>677914.57375824475</x:v>
      </x:c>
      <x:c r="O749" s="454">
        <x:v>677914.57375824475</x:v>
      </x:c>
      <x:c r="P749" s="454">
        <x:v>677914.57375824475</x:v>
      </x:c>
      <x:c r="Q749" s="454">
        <x:v>677914.57375824475</x:v>
      </x:c>
      <x:c r="R749" s="454">
        <x:v>677914.57375824475</x:v>
      </x:c>
      <x:c r="S749" s="454">
        <x:v>677914.57375824475</x:v>
      </x:c>
      <x:c r="T749" s="454">
        <x:v>677914.57375824475</x:v>
      </x:c>
      <x:c r="U749" s="454">
        <x:v>677914.57375824475</x:v>
      </x:c>
      <x:c r="V749" s="455">
        <x:v>677914.57375824475</x:v>
      </x:c>
      <x:c r="W749" s="456">
        <x:f t="shared" si="118"/>
        <x:v>8134974.8850989351</x:v>
      </x:c>
      <x:c r="X749" s="450">
        <x:f t="shared" si="119"/>
        <x:v>677914.57375824463</x:v>
      </x:c>
      <x:c r="Y749" s="457"/>
      <x:c r="Z749" s="458"/>
      <x:c r="AA749" s="458"/>
      <x:c r="AB749" s="458"/>
      <x:c r="AC749" s="458"/>
      <x:c r="AD749" s="458"/>
      <x:c r="AE749" s="458"/>
    </x:row>
    <x:row r="750" spans="1:31" ht="20.100000000000001" customHeight="1">
      <x:c r="A750" s="439" t="s">
        <x:v>767</x:v>
      </x:c>
      <x:c r="B750" s="466" t="str">
        <x:f t="shared" si="114"/>
        <x:v>유지비용</x:v>
      </x:c>
      <x:c r="C750" s="440" t="str">
        <x:f t="shared" si="115"/>
        <x:v>수선비</x:v>
      </x:c>
      <x:c r="D750" s="441">
        <x:v>52219900</x:v>
      </x:c>
      <x:c r="E750" s="442" t="str">
        <x:f t="shared" si="116"/>
        <x:v>수선비_기타</x:v>
      </x:c>
      <x:c r="F750" s="443"/>
      <x:c r="G750" s="444" t="s">
        <x:v>119</x:v>
      </x:c>
      <x:c r="H750" s="445" t="str">
        <x:f t="shared" si="113"/>
        <x:v>KiB 클러스터</x:v>
      </x:c>
      <x:c r="I750" s="446" t="str">
        <x:f t="shared" si="117"/>
        <x:v>[관리비]</x:v>
      </x:c>
      <x:c r="J750" s="445"/>
      <x:c r="K750" s="453">
        <x:v>3366736.3234602921</x:v>
      </x:c>
      <x:c r="L750" s="454">
        <x:v>0</x:v>
      </x:c>
      <x:c r="M750" s="454">
        <x:v>2459075.0710951504</x:v>
      </x:c>
      <x:c r="N750" s="454">
        <x:v>2291552.7879036181</x:v>
      </x:c>
      <x:c r="O750" s="454">
        <x:v>135755.49691372146</x:v>
      </x:c>
      <x:c r="P750" s="454">
        <x:v>0</x:v>
      </x:c>
      <x:c r="Q750" s="454">
        <x:v>0</x:v>
      </x:c>
      <x:c r="R750" s="454">
        <x:v>3116946.2091390449</x:v>
      </x:c>
      <x:c r="S750" s="454">
        <x:v>0</x:v>
      </x:c>
      <x:c r="T750" s="454">
        <x:v>222639.01493850321</x:v>
      </x:c>
      <x:c r="U750" s="454">
        <x:v>0</x:v>
      </x:c>
      <x:c r="V750" s="455">
        <x:v>0</x:v>
      </x:c>
      <x:c r="W750" s="456">
        <x:f t="shared" si="118"/>
        <x:v>11592704.903450331</x:v>
      </x:c>
      <x:c r="X750" s="450">
        <x:f t="shared" si="119"/>
        <x:v>966058.74195419427</x:v>
      </x:c>
      <x:c r="Y750" s="457"/>
      <x:c r="Z750" s="458"/>
      <x:c r="AA750" s="458"/>
      <x:c r="AB750" s="458"/>
      <x:c r="AC750" s="458"/>
      <x:c r="AD750" s="458"/>
      <x:c r="AE750" s="458"/>
    </x:row>
    <x:row r="751" spans="1:31" ht="20.100000000000001" customHeight="1">
      <x:c r="A751" s="439" t="s">
        <x:v>767</x:v>
      </x:c>
      <x:c r="B751" s="466" t="str">
        <x:f t="shared" si="114"/>
        <x:v>유지비용</x:v>
      </x:c>
      <x:c r="C751" s="440" t="str">
        <x:f t="shared" si="115"/>
        <x:v>수선비</x:v>
      </x:c>
      <x:c r="D751" s="441">
        <x:v>52219900</x:v>
      </x:c>
      <x:c r="E751" s="442" t="str">
        <x:f t="shared" si="116"/>
        <x:v>수선비_기타</x:v>
      </x:c>
      <x:c r="F751" s="443"/>
      <x:c r="G751" s="444" t="s">
        <x:v>119</x:v>
      </x:c>
      <x:c r="H751" s="445" t="str">
        <x:f t="shared" si="113"/>
        <x:v>KiB 클러스터</x:v>
      </x:c>
      <x:c r="I751" s="446" t="str">
        <x:f t="shared" si="117"/>
        <x:v>[관리비]</x:v>
      </x:c>
      <x:c r="J751" s="445"/>
      <x:c r="K751" s="453">
        <x:v>0</x:v>
      </x:c>
      <x:c r="L751" s="454">
        <x:v>0</x:v>
      </x:c>
      <x:c r="M751" s="454">
        <x:v>0</x:v>
      </x:c>
      <x:c r="N751" s="454">
        <x:v>0</x:v>
      </x:c>
      <x:c r="O751" s="454">
        <x:v>0</x:v>
      </x:c>
      <x:c r="P751" s="454">
        <x:v>434417.59012390865</x:v>
      </x:c>
      <x:c r="Q751" s="454">
        <x:v>0</x:v>
      </x:c>
      <x:c r="R751" s="454">
        <x:v>0</x:v>
      </x:c>
      <x:c r="S751" s="454">
        <x:v>0</x:v>
      </x:c>
      <x:c r="T751" s="454">
        <x:v>0</x:v>
      </x:c>
      <x:c r="U751" s="454">
        <x:v>0</x:v>
      </x:c>
      <x:c r="V751" s="455">
        <x:v>0</x:v>
      </x:c>
      <x:c r="W751" s="456">
        <x:f t="shared" si="118"/>
        <x:v>434417.59012390865</x:v>
      </x:c>
      <x:c r="X751" s="450">
        <x:f t="shared" si="119"/>
        <x:v>36201.465843659054</x:v>
      </x:c>
      <x:c r="Y751" s="457"/>
      <x:c r="Z751" s="458"/>
      <x:c r="AA751" s="458"/>
      <x:c r="AB751" s="458"/>
      <x:c r="AC751" s="458"/>
      <x:c r="AD751" s="458"/>
      <x:c r="AE751" s="458"/>
    </x:row>
    <x:row r="752" spans="1:31" ht="20.100000000000001" customHeight="1">
      <x:c r="A752" s="439" t="s">
        <x:v>767</x:v>
      </x:c>
      <x:c r="B752" s="466" t="str">
        <x:f t="shared" si="114"/>
        <x:v>여비교통비</x:v>
      </x:c>
      <x:c r="C752" s="440" t="str">
        <x:f t="shared" si="115"/>
        <x:v>여비교통비</x:v>
      </x:c>
      <x:c r="D752" s="441">
        <x:v>52150105</x:v>
      </x:c>
      <x:c r="E752" s="442" t="str">
        <x:f t="shared" si="116"/>
        <x:v>여비교통비_시내</x:v>
      </x:c>
      <x:c r="F752" s="443"/>
      <x:c r="G752" s="444" t="s">
        <x:v>119</x:v>
      </x:c>
      <x:c r="H752" s="445" t="str">
        <x:f t="shared" si="113"/>
        <x:v>KiB 클러스터</x:v>
      </x:c>
      <x:c r="I752" s="446" t="str">
        <x:f t="shared" si="117"/>
        <x:v>[관리비]</x:v>
      </x:c>
      <x:c r="J752" s="445"/>
      <x:c r="K752" s="453">
        <x:v>143811.4845276314</x:v>
      </x:c>
      <x:c r="L752" s="454">
        <x:v>143811.4845276314</x:v>
      </x:c>
      <x:c r="M752" s="454">
        <x:v>143811.4845276314</x:v>
      </x:c>
      <x:c r="N752" s="454">
        <x:v>143811.4845276314</x:v>
      </x:c>
      <x:c r="O752" s="454">
        <x:v>143811.4845276314</x:v>
      </x:c>
      <x:c r="P752" s="454">
        <x:v>143811.4845276314</x:v>
      </x:c>
      <x:c r="Q752" s="454">
        <x:v>143811.4845276314</x:v>
      </x:c>
      <x:c r="R752" s="454">
        <x:v>143811.4845276314</x:v>
      </x:c>
      <x:c r="S752" s="454">
        <x:v>143811.4845276314</x:v>
      </x:c>
      <x:c r="T752" s="454">
        <x:v>143811.4845276314</x:v>
      </x:c>
      <x:c r="U752" s="454">
        <x:v>143811.4845276314</x:v>
      </x:c>
      <x:c r="V752" s="455">
        <x:v>143811.4845276314</x:v>
      </x:c>
      <x:c r="W752" s="456">
        <x:f t="shared" si="118"/>
        <x:v>1725737.8143315769</x:v>
      </x:c>
      <x:c r="X752" s="450">
        <x:f t="shared" si="119"/>
        <x:v>143811.4845276314</x:v>
      </x:c>
      <x:c r="Y752" s="457"/>
      <x:c r="Z752" s="458"/>
      <x:c r="AA752" s="458"/>
      <x:c r="AB752" s="458"/>
      <x:c r="AC752" s="458"/>
      <x:c r="AD752" s="458"/>
      <x:c r="AE752" s="458"/>
    </x:row>
    <x:row r="753" spans="1:31" ht="20.100000000000001" customHeight="1">
      <x:c r="A753" s="439" t="s">
        <x:v>767</x:v>
      </x:c>
      <x:c r="B753" s="466" t="str">
        <x:f t="shared" si="114"/>
        <x:v>여비교통비</x:v>
      </x:c>
      <x:c r="C753" s="440" t="str">
        <x:f t="shared" si="115"/>
        <x:v>여비교통비</x:v>
      </x:c>
      <x:c r="D753" s="441">
        <x:v>52150105</x:v>
      </x:c>
      <x:c r="E753" s="442" t="str">
        <x:f t="shared" si="116"/>
        <x:v>여비교통비_시내</x:v>
      </x:c>
      <x:c r="F753" s="443"/>
      <x:c r="G753" s="444" t="s">
        <x:v>89</x:v>
      </x:c>
      <x:c r="H753" s="445" t="str">
        <x:f t="shared" si="113"/>
        <x:v>기획담당</x:v>
      </x:c>
      <x:c r="I753" s="446" t="str">
        <x:f t="shared" si="117"/>
        <x:v>[관리비]</x:v>
      </x:c>
      <x:c r="J753" s="445"/>
      <x:c r="K753" s="453">
        <x:v>2782.9876867312901</x:v>
      </x:c>
      <x:c r="L753" s="454">
        <x:v>2782.9876867312901</x:v>
      </x:c>
      <x:c r="M753" s="454">
        <x:v>2782.9876867312901</x:v>
      </x:c>
      <x:c r="N753" s="454">
        <x:v>2782.9876867312901</x:v>
      </x:c>
      <x:c r="O753" s="454">
        <x:v>2782.9876867312901</x:v>
      </x:c>
      <x:c r="P753" s="454">
        <x:v>2782.9876867312901</x:v>
      </x:c>
      <x:c r="Q753" s="454">
        <x:v>2782.9876867312901</x:v>
      </x:c>
      <x:c r="R753" s="454">
        <x:v>2782.9876867312901</x:v>
      </x:c>
      <x:c r="S753" s="454">
        <x:v>2782.9876867312901</x:v>
      </x:c>
      <x:c r="T753" s="454">
        <x:v>2782.9876867312901</x:v>
      </x:c>
      <x:c r="U753" s="454">
        <x:v>2782.9876867312901</x:v>
      </x:c>
      <x:c r="V753" s="455">
        <x:v>2782.9876867312901</x:v>
      </x:c>
      <x:c r="W753" s="456">
        <x:f t="shared" si="118"/>
        <x:v>33395.852240775472</x:v>
      </x:c>
      <x:c r="X753" s="450">
        <x:f t="shared" si="119"/>
        <x:v>2782.9876867312892</x:v>
      </x:c>
      <x:c r="Y753" s="457"/>
      <x:c r="Z753" s="458"/>
      <x:c r="AA753" s="458"/>
      <x:c r="AB753" s="458"/>
      <x:c r="AC753" s="458"/>
      <x:c r="AD753" s="458"/>
      <x:c r="AE753" s="458"/>
    </x:row>
    <x:row r="754" spans="1:31" ht="20.100000000000001" customHeight="1">
      <x:c r="A754" s="439" t="s">
        <x:v>767</x:v>
      </x:c>
      <x:c r="B754" s="466" t="str">
        <x:f t="shared" si="114"/>
        <x:v>여비교통비</x:v>
      </x:c>
      <x:c r="C754" s="440" t="str">
        <x:f t="shared" si="115"/>
        <x:v>여비교통비</x:v>
      </x:c>
      <x:c r="D754" s="441">
        <x:v>52150105</x:v>
      </x:c>
      <x:c r="E754" s="442" t="str">
        <x:f t="shared" si="116"/>
        <x:v>여비교통비_시내</x:v>
      </x:c>
      <x:c r="F754" s="443"/>
      <x:c r="G754" s="444" t="s">
        <x:v>318</x:v>
      </x:c>
      <x:c r="H754" s="445" t="str">
        <x:f t="shared" si="113"/>
        <x:v>대표이사</x:v>
      </x:c>
      <x:c r="I754" s="446" t="str">
        <x:f t="shared" si="117"/>
        <x:v>[관리비]</x:v>
      </x:c>
      <x:c r="J754" s="445"/>
      <x:c r="K754" s="453">
        <x:v>18010.229257220381</x:v>
      </x:c>
      <x:c r="L754" s="454">
        <x:v>18010.229257220381</x:v>
      </x:c>
      <x:c r="M754" s="454">
        <x:v>18010.229257220381</x:v>
      </x:c>
      <x:c r="N754" s="454">
        <x:v>18010.229257220381</x:v>
      </x:c>
      <x:c r="O754" s="454">
        <x:v>18010.229257220381</x:v>
      </x:c>
      <x:c r="P754" s="454">
        <x:v>18010.229257220381</x:v>
      </x:c>
      <x:c r="Q754" s="454">
        <x:v>18010.229257220381</x:v>
      </x:c>
      <x:c r="R754" s="454">
        <x:v>18010.229257220381</x:v>
      </x:c>
      <x:c r="S754" s="454">
        <x:v>18010.229257220381</x:v>
      </x:c>
      <x:c r="T754" s="454">
        <x:v>18010.229257220381</x:v>
      </x:c>
      <x:c r="U754" s="454">
        <x:v>18010.229257220381</x:v>
      </x:c>
      <x:c r="V754" s="455">
        <x:v>18010.229257220381</x:v>
      </x:c>
      <x:c r="W754" s="456">
        <x:f t="shared" si="118"/>
        <x:v>216122.75108664451</x:v>
      </x:c>
      <x:c r="X754" s="450">
        <x:f t="shared" si="119"/>
        <x:v>18010.229257220377</x:v>
      </x:c>
      <x:c r="Y754" s="457"/>
      <x:c r="Z754" s="458"/>
      <x:c r="AA754" s="458"/>
      <x:c r="AB754" s="458"/>
      <x:c r="AC754" s="458"/>
      <x:c r="AD754" s="458"/>
      <x:c r="AE754" s="458"/>
    </x:row>
    <x:row r="755" spans="1:31" ht="20.100000000000001" customHeight="1">
      <x:c r="A755" s="439" t="s">
        <x:v>767</x:v>
      </x:c>
      <x:c r="B755" s="466" t="str">
        <x:f t="shared" si="114"/>
        <x:v>여비교통비</x:v>
      </x:c>
      <x:c r="C755" s="440" t="str">
        <x:f t="shared" si="115"/>
        <x:v>여비교통비</x:v>
      </x:c>
      <x:c r="D755" s="441">
        <x:v>52150105</x:v>
      </x:c>
      <x:c r="E755" s="442" t="str">
        <x:f t="shared" si="116"/>
        <x:v>여비교통비_시내</x:v>
      </x:c>
      <x:c r="F755" s="443"/>
      <x:c r="G755" s="444" t="s">
        <x:v>93</x:v>
      </x:c>
      <x:c r="H755" s="445" t="str">
        <x:f t="shared" si="113"/>
        <x:v>인사총무담당</x:v>
      </x:c>
      <x:c r="I755" s="446" t="str">
        <x:f t="shared" si="117"/>
        <x:v>[관리비]</x:v>
      </x:c>
      <x:c r="J755" s="445"/>
      <x:c r="K755" s="453">
        <x:v>11969.109644559776</x:v>
      </x:c>
      <x:c r="L755" s="454">
        <x:v>11969.109644559776</x:v>
      </x:c>
      <x:c r="M755" s="454">
        <x:v>11969.109644559776</x:v>
      </x:c>
      <x:c r="N755" s="454">
        <x:v>11969.109644559776</x:v>
      </x:c>
      <x:c r="O755" s="454">
        <x:v>11969.109644559776</x:v>
      </x:c>
      <x:c r="P755" s="454">
        <x:v>11969.109644559776</x:v>
      </x:c>
      <x:c r="Q755" s="454">
        <x:v>11969.109644559776</x:v>
      </x:c>
      <x:c r="R755" s="454">
        <x:v>11969.109644559776</x:v>
      </x:c>
      <x:c r="S755" s="454">
        <x:v>11969.109644559776</x:v>
      </x:c>
      <x:c r="T755" s="454">
        <x:v>11969.109644559776</x:v>
      </x:c>
      <x:c r="U755" s="454">
        <x:v>11969.109644559776</x:v>
      </x:c>
      <x:c r="V755" s="455">
        <x:v>11969.109644559776</x:v>
      </x:c>
      <x:c r="W755" s="456">
        <x:f t="shared" si="118"/>
        <x:v>143629.31573471733</x:v>
      </x:c>
      <x:c r="X755" s="450">
        <x:f t="shared" si="119"/>
        <x:v>11969.109644559778</x:v>
      </x:c>
      <x:c r="Y755" s="457"/>
      <x:c r="Z755" s="458"/>
      <x:c r="AA755" s="458"/>
      <x:c r="AB755" s="458"/>
      <x:c r="AC755" s="458"/>
      <x:c r="AD755" s="458"/>
      <x:c r="AE755" s="458"/>
    </x:row>
    <x:row r="756" spans="1:31" ht="20.100000000000001" customHeight="1">
      <x:c r="A756" s="439" t="s">
        <x:v>767</x:v>
      </x:c>
      <x:c r="B756" s="466" t="str">
        <x:f t="shared" si="114"/>
        <x:v>여비교통비</x:v>
      </x:c>
      <x:c r="C756" s="440" t="str">
        <x:f t="shared" si="115"/>
        <x:v>여비교통비</x:v>
      </x:c>
      <x:c r="D756" s="441">
        <x:v>52150105</x:v>
      </x:c>
      <x:c r="E756" s="442" t="str">
        <x:f t="shared" si="116"/>
        <x:v>여비교통비_시내</x:v>
      </x:c>
      <x:c r="F756" s="443"/>
      <x:c r="G756" s="444" t="s">
        <x:v>95</x:v>
      </x:c>
      <x:c r="H756" s="445" t="str">
        <x:f t="shared" si="113"/>
        <x:v>재경담당</x:v>
      </x:c>
      <x:c r="I756" s="446" t="str">
        <x:f t="shared" si="117"/>
        <x:v>[관리비]</x:v>
      </x:c>
      <x:c r="J756" s="445"/>
      <x:c r="K756" s="453">
        <x:v>11833.354147646054</x:v>
      </x:c>
      <x:c r="L756" s="454">
        <x:v>11833.354147646054</x:v>
      </x:c>
      <x:c r="M756" s="454">
        <x:v>11833.354147646054</x:v>
      </x:c>
      <x:c r="N756" s="454">
        <x:v>11833.354147646054</x:v>
      </x:c>
      <x:c r="O756" s="454">
        <x:v>11833.354147646054</x:v>
      </x:c>
      <x:c r="P756" s="454">
        <x:v>11833.354147646054</x:v>
      </x:c>
      <x:c r="Q756" s="454">
        <x:v>11833.354147646054</x:v>
      </x:c>
      <x:c r="R756" s="454">
        <x:v>11833.354147646054</x:v>
      </x:c>
      <x:c r="S756" s="454">
        <x:v>11833.354147646054</x:v>
      </x:c>
      <x:c r="T756" s="454">
        <x:v>11833.354147646054</x:v>
      </x:c>
      <x:c r="U756" s="454">
        <x:v>11833.354147646054</x:v>
      </x:c>
      <x:c r="V756" s="455">
        <x:v>11833.354147646054</x:v>
      </x:c>
      <x:c r="W756" s="456">
        <x:f t="shared" si="118"/>
        <x:v>142000.24977175266</x:v>
      </x:c>
      <x:c r="X756" s="450">
        <x:f t="shared" si="119"/>
        <x:v>11833.354147646054</x:v>
      </x:c>
      <x:c r="Y756" s="457"/>
      <x:c r="Z756" s="458"/>
      <x:c r="AA756" s="458"/>
      <x:c r="AB756" s="458"/>
      <x:c r="AC756" s="458"/>
      <x:c r="AD756" s="458"/>
      <x:c r="AE756" s="458"/>
    </x:row>
    <x:row r="757" spans="1:31" ht="20.100000000000001" customHeight="1">
      <x:c r="A757" s="439" t="s">
        <x:v>767</x:v>
      </x:c>
      <x:c r="B757" s="466" t="str">
        <x:f t="shared" si="114"/>
        <x:v>운반비</x:v>
      </x:c>
      <x:c r="C757" s="440" t="str">
        <x:f t="shared" si="115"/>
        <x:v>운반비</x:v>
      </x:c>
      <x:c r="D757" s="441">
        <x:v>52259900</x:v>
      </x:c>
      <x:c r="E757" s="442" t="str">
        <x:f t="shared" si="116"/>
        <x:v>운반비_기타</x:v>
      </x:c>
      <x:c r="F757" s="443"/>
      <x:c r="G757" s="444" t="s">
        <x:v>91</x:v>
      </x:c>
      <x:c r="H757" s="445" t="str">
        <x:f t="shared" si="113"/>
        <x:v>인사총무팀</x:v>
      </x:c>
      <x:c r="I757" s="446" t="str">
        <x:f t="shared" si="117"/>
        <x:v>[관리비]</x:v>
      </x:c>
      <x:c r="J757" s="445"/>
      <x:c r="K757" s="453">
        <x:v>141481.93528453607</x:v>
      </x:c>
      <x:c r="L757" s="454">
        <x:v>403056.11545768345</x:v>
      </x:c>
      <x:c r="M757" s="454">
        <x:v>7404.8650324570854</x:v>
      </x:c>
      <x:c r="N757" s="454">
        <x:v>0</x:v>
      </x:c>
      <x:c r="O757" s="454">
        <x:v>0</x:v>
      </x:c>
      <x:c r="P757" s="454">
        <x:v>0</x:v>
      </x:c>
      <x:c r="Q757" s="454">
        <x:v>0</x:v>
      </x:c>
      <x:c r="R757" s="454">
        <x:v>0</x:v>
      </x:c>
      <x:c r="S757" s="454">
        <x:v>0</x:v>
      </x:c>
      <x:c r="T757" s="454">
        <x:v>2715.1099382744292</x:v>
      </x:c>
      <x:c r="U757" s="454">
        <x:v>0</x:v>
      </x:c>
      <x:c r="V757" s="455">
        <x:v>108604.39753097716</x:v>
      </x:c>
      <x:c r="W757" s="456">
        <x:f t="shared" si="118"/>
        <x:v>663262.42324392824</x:v>
      </x:c>
      <x:c r="X757" s="450">
        <x:f t="shared" si="119"/>
        <x:v>55271.868603660689</x:v>
      </x:c>
      <x:c r="Y757" s="457"/>
      <x:c r="Z757" s="458"/>
      <x:c r="AA757" s="458"/>
      <x:c r="AB757" s="458"/>
      <x:c r="AC757" s="458"/>
      <x:c r="AD757" s="458"/>
      <x:c r="AE757" s="458"/>
    </x:row>
    <x:row r="758" spans="1:31" ht="20.100000000000001" customHeight="1">
      <x:c r="A758" s="439" t="s">
        <x:v>767</x:v>
      </x:c>
      <x:c r="B758" s="466" t="str">
        <x:f t="shared" si="114"/>
        <x:v>지급수수료</x:v>
      </x:c>
      <x:c r="C758" s="440" t="str">
        <x:f t="shared" si="115"/>
        <x:v>지급수수료</x:v>
      </x:c>
      <x:c r="D758" s="441">
        <x:v>52310107</x:v>
      </x:c>
      <x:c r="E758" s="442" t="str">
        <x:f t="shared" si="116"/>
        <x:v>지급수수료_경비시스템</x:v>
      </x:c>
      <x:c r="F758" s="443"/>
      <x:c r="G758" s="444" t="s">
        <x:v>119</x:v>
      </x:c>
      <x:c r="H758" s="445" t="str">
        <x:f t="shared" si="113"/>
        <x:v>KiB 클러스터</x:v>
      </x:c>
      <x:c r="I758" s="446" t="str">
        <x:f t="shared" si="117"/>
        <x:v>[관리비]</x:v>
      </x:c>
      <x:c r="J758" s="445"/>
      <x:c r="K758" s="453">
        <x:v>117021.2383396279</x:v>
      </x:c>
      <x:c r="L758" s="454">
        <x:v>117021.2383396279</x:v>
      </x:c>
      <x:c r="M758" s="454">
        <x:v>117021.2383396279</x:v>
      </x:c>
      <x:c r="N758" s="454">
        <x:v>117021.2383396279</x:v>
      </x:c>
      <x:c r="O758" s="454">
        <x:v>117021.2383396279</x:v>
      </x:c>
      <x:c r="P758" s="454">
        <x:v>117021.2383396279</x:v>
      </x:c>
      <x:c r="Q758" s="454">
        <x:v>117021.2383396279</x:v>
      </x:c>
      <x:c r="R758" s="454">
        <x:v>117021.2383396279</x:v>
      </x:c>
      <x:c r="S758" s="454">
        <x:v>117021.2383396279</x:v>
      </x:c>
      <x:c r="T758" s="454">
        <x:v>117021.2383396279</x:v>
      </x:c>
      <x:c r="U758" s="454">
        <x:v>117021.2383396279</x:v>
      </x:c>
      <x:c r="V758" s="455">
        <x:v>117021.2383396279</x:v>
      </x:c>
      <x:c r="W758" s="456">
        <x:f t="shared" si="118"/>
        <x:v>1404254.8600755346</x:v>
      </x:c>
      <x:c r="X758" s="450">
        <x:f t="shared" si="119"/>
        <x:v>117021.23833962787</x:v>
      </x:c>
      <x:c r="Y758" s="457"/>
      <x:c r="Z758" s="458"/>
      <x:c r="AA758" s="458"/>
      <x:c r="AB758" s="458"/>
      <x:c r="AC758" s="458"/>
      <x:c r="AD758" s="458"/>
      <x:c r="AE758" s="458"/>
    </x:row>
    <x:row r="759" spans="1:31" ht="20.100000000000001" customHeight="1">
      <x:c r="A759" s="439" t="s">
        <x:v>767</x:v>
      </x:c>
      <x:c r="B759" s="466" t="str">
        <x:f t="shared" si="114"/>
        <x:v>지급수수료</x:v>
      </x:c>
      <x:c r="C759" s="440" t="str">
        <x:f t="shared" si="115"/>
        <x:v>지급수수료</x:v>
      </x:c>
      <x:c r="D759" s="441">
        <x:v>52319900</x:v>
      </x:c>
      <x:c r="E759" s="442" t="str">
        <x:f t="shared" si="116"/>
        <x:v>지급수수료_기타</x:v>
      </x:c>
      <x:c r="F759" s="443"/>
      <x:c r="G759" s="444" t="s">
        <x:v>119</x:v>
      </x:c>
      <x:c r="H759" s="445" t="str">
        <x:f t="shared" si="113"/>
        <x:v>KiB 클러스터</x:v>
      </x:c>
      <x:c r="I759" s="446" t="str">
        <x:f t="shared" si="117"/>
        <x:v>[관리비]</x:v>
      </x:c>
      <x:c r="J759" s="445"/>
      <x:c r="K759" s="453">
        <x:v>13575.549691372145</x:v>
      </x:c>
      <x:c r="L759" s="454">
        <x:v>13575.549691372145</x:v>
      </x:c>
      <x:c r="M759" s="454">
        <x:v>13575.549691372145</x:v>
      </x:c>
      <x:c r="N759" s="454">
        <x:v>13575.549691372145</x:v>
      </x:c>
      <x:c r="O759" s="454">
        <x:v>13575.549691372145</x:v>
      </x:c>
      <x:c r="P759" s="454">
        <x:v>13575.549691372145</x:v>
      </x:c>
      <x:c r="Q759" s="454">
        <x:v>13575.549691372145</x:v>
      </x:c>
      <x:c r="R759" s="454">
        <x:v>13575.549691372145</x:v>
      </x:c>
      <x:c r="S759" s="454">
        <x:v>13575.549691372145</x:v>
      </x:c>
      <x:c r="T759" s="454">
        <x:v>13575.549691372145</x:v>
      </x:c>
      <x:c r="U759" s="454">
        <x:v>13575.549691372145</x:v>
      </x:c>
      <x:c r="V759" s="455">
        <x:v>13575.549691372145</x:v>
      </x:c>
      <x:c r="W759" s="456">
        <x:f t="shared" si="118"/>
        <x:v>162906.59629646575</x:v>
      </x:c>
      <x:c r="X759" s="450">
        <x:f t="shared" si="119"/>
        <x:v>13575.549691372145</x:v>
      </x:c>
      <x:c r="Y759" s="457"/>
      <x:c r="Z759" s="458"/>
      <x:c r="AA759" s="458"/>
      <x:c r="AB759" s="458"/>
      <x:c r="AC759" s="458"/>
      <x:c r="AD759" s="458"/>
      <x:c r="AE759" s="458"/>
    </x:row>
    <x:row r="760" spans="1:31" ht="20.100000000000001" customHeight="1">
      <x:c r="A760" s="439" t="s">
        <x:v>767</x:v>
      </x:c>
      <x:c r="B760" s="466" t="str">
        <x:f t="shared" si="114"/>
        <x:v>지급수수료</x:v>
      </x:c>
      <x:c r="C760" s="440" t="str">
        <x:f t="shared" si="115"/>
        <x:v>지급수수료</x:v>
      </x:c>
      <x:c r="D760" s="441">
        <x:v>52319900</x:v>
      </x:c>
      <x:c r="E760" s="442" t="str">
        <x:f t="shared" si="116"/>
        <x:v>지급수수료_기타</x:v>
      </x:c>
      <x:c r="F760" s="443"/>
      <x:c r="G760" s="444" t="s">
        <x:v>119</x:v>
      </x:c>
      <x:c r="H760" s="445" t="str">
        <x:f t="shared" ref="H760:H823" si="120">IFERROR(VLOOKUP($G760,$AK:$AL,2,),"")</x:f>
        <x:v>KiB 클러스터</x:v>
      </x:c>
      <x:c r="I760" s="446" t="str">
        <x:f t="shared" si="117"/>
        <x:v>[관리비]</x:v>
      </x:c>
      <x:c r="J760" s="445"/>
      <x:c r="K760" s="453">
        <x:v>0</x:v>
      </x:c>
      <x:c r="L760" s="454">
        <x:v>0</x:v>
      </x:c>
      <x:c r="M760" s="454">
        <x:v>0</x:v>
      </x:c>
      <x:c r="N760" s="454">
        <x:v>0</x:v>
      </x:c>
      <x:c r="O760" s="454">
        <x:v>46699.890938320183</x:v>
      </x:c>
      <x:c r="P760" s="454">
        <x:v>0</x:v>
      </x:c>
      <x:c r="Q760" s="454">
        <x:v>0</x:v>
      </x:c>
      <x:c r="R760" s="454">
        <x:v>0</x:v>
      </x:c>
      <x:c r="S760" s="454">
        <x:v>0</x:v>
      </x:c>
      <x:c r="T760" s="454">
        <x:v>0</x:v>
      </x:c>
      <x:c r="U760" s="454">
        <x:v>46699.890938320183</x:v>
      </x:c>
      <x:c r="V760" s="455">
        <x:v>0</x:v>
      </x:c>
      <x:c r="W760" s="456">
        <x:f t="shared" si="118"/>
        <x:v>93399.781876640365</x:v>
      </x:c>
      <x:c r="X760" s="450">
        <x:f t="shared" si="119"/>
        <x:v>7783.3151563866968</x:v>
      </x:c>
      <x:c r="Y760" s="457"/>
      <x:c r="Z760" s="458"/>
      <x:c r="AA760" s="458"/>
      <x:c r="AB760" s="458"/>
      <x:c r="AC760" s="458"/>
      <x:c r="AD760" s="458"/>
      <x:c r="AE760" s="458"/>
    </x:row>
    <x:row r="761" spans="1:31" ht="20.100000000000001" customHeight="1">
      <x:c r="A761" s="439" t="s">
        <x:v>767</x:v>
      </x:c>
      <x:c r="B761" s="466" t="str">
        <x:f t="shared" si="114"/>
        <x:v>지급수수료</x:v>
      </x:c>
      <x:c r="C761" s="440" t="str">
        <x:f t="shared" si="115"/>
        <x:v>지급수수료</x:v>
      </x:c>
      <x:c r="D761" s="441">
        <x:v>52319900</x:v>
      </x:c>
      <x:c r="E761" s="442" t="str">
        <x:f t="shared" si="116"/>
        <x:v>지급수수료_기타</x:v>
      </x:c>
      <x:c r="F761" s="443"/>
      <x:c r="G761" s="444" t="s">
        <x:v>119</x:v>
      </x:c>
      <x:c r="H761" s="445" t="str">
        <x:f t="shared" si="120"/>
        <x:v>KiB 클러스터</x:v>
      </x:c>
      <x:c r="I761" s="446" t="str">
        <x:f t="shared" si="117"/>
        <x:v>[관리비]</x:v>
      </x:c>
      <x:c r="J761" s="445"/>
      <x:c r="K761" s="453">
        <x:v>21720.879506195433</x:v>
      </x:c>
      <x:c r="L761" s="454">
        <x:v>21720.879506195433</x:v>
      </x:c>
      <x:c r="M761" s="454">
        <x:v>21720.879506195433</x:v>
      </x:c>
      <x:c r="N761" s="454">
        <x:v>21720.879506195433</x:v>
      </x:c>
      <x:c r="O761" s="454">
        <x:v>21720.879506195433</x:v>
      </x:c>
      <x:c r="P761" s="454">
        <x:v>21720.879506195433</x:v>
      </x:c>
      <x:c r="Q761" s="454">
        <x:v>21720.879506195433</x:v>
      </x:c>
      <x:c r="R761" s="454">
        <x:v>21720.879506195433</x:v>
      </x:c>
      <x:c r="S761" s="454">
        <x:v>21720.879506195433</x:v>
      </x:c>
      <x:c r="T761" s="454">
        <x:v>21720.879506195433</x:v>
      </x:c>
      <x:c r="U761" s="454">
        <x:v>21720.879506195433</x:v>
      </x:c>
      <x:c r="V761" s="455">
        <x:v>21720.879506195433</x:v>
      </x:c>
      <x:c r="W761" s="456">
        <x:f t="shared" si="118"/>
        <x:v>260650.55407434519</x:v>
      </x:c>
      <x:c r="X761" s="450">
        <x:f t="shared" si="119"/>
        <x:v>21720.879506195433</x:v>
      </x:c>
      <x:c r="Y761" s="457"/>
      <x:c r="Z761" s="458"/>
      <x:c r="AA761" s="458"/>
      <x:c r="AB761" s="458"/>
      <x:c r="AC761" s="458"/>
      <x:c r="AD761" s="458"/>
      <x:c r="AE761" s="458"/>
    </x:row>
    <x:row r="762" spans="1:31" ht="20.100000000000001" customHeight="1">
      <x:c r="A762" s="439" t="s">
        <x:v>767</x:v>
      </x:c>
      <x:c r="B762" s="466" t="str">
        <x:f t="shared" si="114"/>
        <x:v>지급수수료</x:v>
      </x:c>
      <x:c r="C762" s="440" t="str">
        <x:f t="shared" si="115"/>
        <x:v>지급수수료</x:v>
      </x:c>
      <x:c r="D762" s="441">
        <x:v>52319900</x:v>
      </x:c>
      <x:c r="E762" s="442" t="str">
        <x:f t="shared" si="116"/>
        <x:v>지급수수료_기타</x:v>
      </x:c>
      <x:c r="F762" s="443"/>
      <x:c r="G762" s="444" t="s">
        <x:v>119</x:v>
      </x:c>
      <x:c r="H762" s="445" t="str">
        <x:f t="shared" si="120"/>
        <x:v>KiB 클러스터</x:v>
      </x:c>
      <x:c r="I762" s="446" t="str">
        <x:f t="shared" si="117"/>
        <x:v>[관리비]</x:v>
      </x:c>
      <x:c r="J762" s="445"/>
      <x:c r="K762" s="453">
        <x:v>100459.06771615388</x:v>
      </x:c>
      <x:c r="L762" s="454">
        <x:v>100459.06771615388</x:v>
      </x:c>
      <x:c r="M762" s="454">
        <x:v>100459.06771615388</x:v>
      </x:c>
      <x:c r="N762" s="454">
        <x:v>100459.06771615388</x:v>
      </x:c>
      <x:c r="O762" s="454">
        <x:v>100459.06771615388</x:v>
      </x:c>
      <x:c r="P762" s="454">
        <x:v>100459.06771615388</x:v>
      </x:c>
      <x:c r="Q762" s="454">
        <x:v>100459.06771615388</x:v>
      </x:c>
      <x:c r="R762" s="454">
        <x:v>100459.06771615388</x:v>
      </x:c>
      <x:c r="S762" s="454">
        <x:v>100459.06771615388</x:v>
      </x:c>
      <x:c r="T762" s="454">
        <x:v>100459.06771615388</x:v>
      </x:c>
      <x:c r="U762" s="454">
        <x:v>100459.06771615388</x:v>
      </x:c>
      <x:c r="V762" s="455">
        <x:v>100459.06771615388</x:v>
      </x:c>
      <x:c r="W762" s="456">
        <x:f t="shared" si="118"/>
        <x:v>1205508.8125938466</x:v>
      </x:c>
      <x:c r="X762" s="450">
        <x:f t="shared" si="119"/>
        <x:v>100459.06771615388</x:v>
      </x:c>
      <x:c r="Y762" s="457"/>
      <x:c r="Z762" s="458"/>
      <x:c r="AA762" s="458"/>
      <x:c r="AB762" s="458"/>
      <x:c r="AC762" s="458"/>
      <x:c r="AD762" s="458"/>
      <x:c r="AE762" s="458"/>
    </x:row>
    <x:row r="763" spans="1:31" ht="20.100000000000001" customHeight="1">
      <x:c r="A763" s="439" t="s">
        <x:v>767</x:v>
      </x:c>
      <x:c r="B763" s="466" t="str">
        <x:f t="shared" si="114"/>
        <x:v>지급수수료</x:v>
      </x:c>
      <x:c r="C763" s="440" t="str">
        <x:f t="shared" si="115"/>
        <x:v>지급수수료</x:v>
      </x:c>
      <x:c r="D763" s="441">
        <x:v>52319900</x:v>
      </x:c>
      <x:c r="E763" s="442" t="str">
        <x:f t="shared" si="116"/>
        <x:v>지급수수료_기타</x:v>
      </x:c>
      <x:c r="F763" s="443"/>
      <x:c r="G763" s="444" t="s">
        <x:v>119</x:v>
      </x:c>
      <x:c r="H763" s="445" t="str">
        <x:f t="shared" si="120"/>
        <x:v>KiB 클러스터</x:v>
      </x:c>
      <x:c r="I763" s="446" t="str">
        <x:f t="shared" si="117"/>
        <x:v>[관리비]</x:v>
      </x:c>
      <x:c r="J763" s="445"/>
      <x:c r="K763" s="453">
        <x:v>5430.2198765488583</x:v>
      </x:c>
      <x:c r="L763" s="454">
        <x:v>5430.2198765488583</x:v>
      </x:c>
      <x:c r="M763" s="454">
        <x:v>5430.2198765488583</x:v>
      </x:c>
      <x:c r="N763" s="454">
        <x:v>5430.2198765488583</x:v>
      </x:c>
      <x:c r="O763" s="454">
        <x:v>5430.2198765488583</x:v>
      </x:c>
      <x:c r="P763" s="454">
        <x:v>5430.2198765488583</x:v>
      </x:c>
      <x:c r="Q763" s="454">
        <x:v>5430.2198765488583</x:v>
      </x:c>
      <x:c r="R763" s="454">
        <x:v>5430.2198765488583</x:v>
      </x:c>
      <x:c r="S763" s="454">
        <x:v>5430.2198765488583</x:v>
      </x:c>
      <x:c r="T763" s="454">
        <x:v>5430.2198765488583</x:v>
      </x:c>
      <x:c r="U763" s="454">
        <x:v>5430.2198765488583</x:v>
      </x:c>
      <x:c r="V763" s="455">
        <x:v>5430.2198765488583</x:v>
      </x:c>
      <x:c r="W763" s="456">
        <x:f t="shared" si="118"/>
        <x:v>65162.638518586296</x:v>
      </x:c>
      <x:c r="X763" s="450">
        <x:f t="shared" si="119"/>
        <x:v>5430.2198765488583</x:v>
      </x:c>
      <x:c r="Y763" s="457"/>
      <x:c r="Z763" s="458"/>
      <x:c r="AA763" s="458"/>
      <x:c r="AB763" s="458"/>
      <x:c r="AC763" s="458"/>
      <x:c r="AD763" s="458"/>
      <x:c r="AE763" s="458"/>
    </x:row>
    <x:row r="764" spans="1:31" ht="20.100000000000001" customHeight="1">
      <x:c r="A764" s="439" t="s">
        <x:v>767</x:v>
      </x:c>
      <x:c r="B764" s="466" t="str">
        <x:f t="shared" si="114"/>
        <x:v>지급수수료</x:v>
      </x:c>
      <x:c r="C764" s="440" t="str">
        <x:f t="shared" si="115"/>
        <x:v>지급수수료</x:v>
      </x:c>
      <x:c r="D764" s="441">
        <x:v>52319900</x:v>
      </x:c>
      <x:c r="E764" s="442" t="str">
        <x:f t="shared" si="116"/>
        <x:v>지급수수료_기타</x:v>
      </x:c>
      <x:c r="F764" s="443"/>
      <x:c r="G764" s="444" t="s">
        <x:v>119</x:v>
      </x:c>
      <x:c r="H764" s="445" t="str">
        <x:f t="shared" si="120"/>
        <x:v>KiB 클러스터</x:v>
      </x:c>
      <x:c r="I764" s="446" t="str">
        <x:f t="shared" si="117"/>
        <x:v>[관리비]</x:v>
      </x:c>
      <x:c r="J764" s="445"/>
      <x:c r="K764" s="453">
        <x:v>38011.539135842009</x:v>
      </x:c>
      <x:c r="L764" s="454">
        <x:v>38011.539135842009</x:v>
      </x:c>
      <x:c r="M764" s="454">
        <x:v>38011.539135842009</x:v>
      </x:c>
      <x:c r="N764" s="454">
        <x:v>38011.539135842009</x:v>
      </x:c>
      <x:c r="O764" s="454">
        <x:v>38011.539135842009</x:v>
      </x:c>
      <x:c r="P764" s="454">
        <x:v>38011.539135842009</x:v>
      </x:c>
      <x:c r="Q764" s="454">
        <x:v>38011.539135842009</x:v>
      </x:c>
      <x:c r="R764" s="454">
        <x:v>38011.539135842009</x:v>
      </x:c>
      <x:c r="S764" s="454">
        <x:v>38011.539135842009</x:v>
      </x:c>
      <x:c r="T764" s="454">
        <x:v>38011.539135842009</x:v>
      </x:c>
      <x:c r="U764" s="454">
        <x:v>38011.539135842009</x:v>
      </x:c>
      <x:c r="V764" s="455">
        <x:v>38011.539135842009</x:v>
      </x:c>
      <x:c r="W764" s="456">
        <x:f t="shared" si="118"/>
        <x:v>456138.46963010408</x:v>
      </x:c>
      <x:c r="X764" s="450">
        <x:f t="shared" si="119"/>
        <x:v>38011.539135842009</x:v>
      </x:c>
      <x:c r="Y764" s="457"/>
      <x:c r="Z764" s="458"/>
      <x:c r="AA764" s="458"/>
      <x:c r="AB764" s="458"/>
      <x:c r="AC764" s="458"/>
      <x:c r="AD764" s="458"/>
      <x:c r="AE764" s="458"/>
    </x:row>
    <x:row r="765" spans="1:31" ht="20.100000000000001" customHeight="1">
      <x:c r="A765" s="439" t="s">
        <x:v>767</x:v>
      </x:c>
      <x:c r="B765" s="466" t="str">
        <x:f t="shared" si="114"/>
        <x:v>지급수수료</x:v>
      </x:c>
      <x:c r="C765" s="440" t="str">
        <x:f t="shared" si="115"/>
        <x:v>지급수수료</x:v>
      </x:c>
      <x:c r="D765" s="441">
        <x:v>52319900</x:v>
      </x:c>
      <x:c r="E765" s="442" t="str">
        <x:f t="shared" si="116"/>
        <x:v>지급수수료_기타</x:v>
      </x:c>
      <x:c r="F765" s="443"/>
      <x:c r="G765" s="444" t="s">
        <x:v>119</x:v>
      </x:c>
      <x:c r="H765" s="445" t="str">
        <x:f t="shared" si="120"/>
        <x:v>KiB 클러스터</x:v>
      </x:c>
      <x:c r="I765" s="446" t="str">
        <x:f t="shared" si="117"/>
        <x:v>[관리비]</x:v>
      </x:c>
      <x:c r="J765" s="445"/>
      <x:c r="K765" s="453">
        <x:v>16290.659629646576</x:v>
      </x:c>
      <x:c r="L765" s="454">
        <x:v>16290.659629646576</x:v>
      </x:c>
      <x:c r="M765" s="454">
        <x:v>16290.659629646576</x:v>
      </x:c>
      <x:c r="N765" s="454">
        <x:v>16290.659629646576</x:v>
      </x:c>
      <x:c r="O765" s="454">
        <x:v>16290.659629646576</x:v>
      </x:c>
      <x:c r="P765" s="454">
        <x:v>16290.659629646576</x:v>
      </x:c>
      <x:c r="Q765" s="454">
        <x:v>16290.659629646576</x:v>
      </x:c>
      <x:c r="R765" s="454">
        <x:v>16290.659629646576</x:v>
      </x:c>
      <x:c r="S765" s="454">
        <x:v>16290.659629646576</x:v>
      </x:c>
      <x:c r="T765" s="454">
        <x:v>16290.659629646576</x:v>
      </x:c>
      <x:c r="U765" s="454">
        <x:v>16290.659629646576</x:v>
      </x:c>
      <x:c r="V765" s="455">
        <x:v>16290.659629646576</x:v>
      </x:c>
      <x:c r="W765" s="456">
        <x:f t="shared" si="118"/>
        <x:v>195487.9155557589</x:v>
      </x:c>
      <x:c r="X765" s="450">
        <x:f t="shared" si="119"/>
        <x:v>16290.659629646574</x:v>
      </x:c>
      <x:c r="Y765" s="457"/>
      <x:c r="Z765" s="458"/>
      <x:c r="AA765" s="458"/>
      <x:c r="AB765" s="458"/>
      <x:c r="AC765" s="458"/>
      <x:c r="AD765" s="458"/>
      <x:c r="AE765" s="458"/>
    </x:row>
    <x:row r="766" spans="1:31" ht="20.100000000000001" customHeight="1">
      <x:c r="A766" s="439" t="s">
        <x:v>767</x:v>
      </x:c>
      <x:c r="B766" s="466" t="str">
        <x:f t="shared" si="114"/>
        <x:v>지급수수료</x:v>
      </x:c>
      <x:c r="C766" s="440" t="str">
        <x:f t="shared" si="115"/>
        <x:v>지급수수료</x:v>
      </x:c>
      <x:c r="D766" s="441">
        <x:v>52319900</x:v>
      </x:c>
      <x:c r="E766" s="442" t="str">
        <x:f t="shared" si="116"/>
        <x:v>지급수수료_기타</x:v>
      </x:c>
      <x:c r="F766" s="443"/>
      <x:c r="G766" s="444" t="s">
        <x:v>119</x:v>
      </x:c>
      <x:c r="H766" s="445" t="str">
        <x:f t="shared" si="120"/>
        <x:v>KiB 클러스터</x:v>
      </x:c>
      <x:c r="I766" s="446" t="str">
        <x:f t="shared" si="117"/>
        <x:v>[관리비]</x:v>
      </x:c>
      <x:c r="J766" s="445"/>
      <x:c r="K766" s="453">
        <x:v>0</x:v>
      </x:c>
      <x:c r="L766" s="454">
        <x:v>0</x:v>
      </x:c>
      <x:c r="M766" s="454">
        <x:v>1086043.9753097717</x:v>
      </x:c>
      <x:c r="N766" s="454">
        <x:v>0</x:v>
      </x:c>
      <x:c r="O766" s="454">
        <x:v>0</x:v>
      </x:c>
      <x:c r="P766" s="454">
        <x:v>0</x:v>
      </x:c>
      <x:c r="Q766" s="454">
        <x:v>0</x:v>
      </x:c>
      <x:c r="R766" s="454">
        <x:v>0</x:v>
      </x:c>
      <x:c r="S766" s="454">
        <x:v>0</x:v>
      </x:c>
      <x:c r="T766" s="454">
        <x:v>0</x:v>
      </x:c>
      <x:c r="U766" s="454">
        <x:v>0</x:v>
      </x:c>
      <x:c r="V766" s="455">
        <x:v>0</x:v>
      </x:c>
      <x:c r="W766" s="456">
        <x:f t="shared" si="118"/>
        <x:v>1086043.9753097717</x:v>
      </x:c>
      <x:c r="X766" s="450">
        <x:f t="shared" si="119"/>
        <x:v>90503.664609147643</x:v>
      </x:c>
      <x:c r="Y766" s="457"/>
      <x:c r="Z766" s="458"/>
      <x:c r="AA766" s="458"/>
      <x:c r="AB766" s="458"/>
      <x:c r="AC766" s="458"/>
      <x:c r="AD766" s="458"/>
      <x:c r="AE766" s="458"/>
    </x:row>
    <x:row r="767" spans="1:31" ht="20.100000000000001" customHeight="1">
      <x:c r="A767" s="439" t="s">
        <x:v>767</x:v>
      </x:c>
      <x:c r="B767" s="466" t="str">
        <x:f t="shared" si="114"/>
        <x:v>지급수수료</x:v>
      </x:c>
      <x:c r="C767" s="440" t="str">
        <x:f t="shared" si="115"/>
        <x:v>지급수수료</x:v>
      </x:c>
      <x:c r="D767" s="441">
        <x:v>52319900</x:v>
      </x:c>
      <x:c r="E767" s="442" t="str">
        <x:f t="shared" si="116"/>
        <x:v>지급수수료_기타</x:v>
      </x:c>
      <x:c r="F767" s="443"/>
      <x:c r="G767" s="444" t="s">
        <x:v>119</x:v>
      </x:c>
      <x:c r="H767" s="445" t="str">
        <x:f t="shared" si="120"/>
        <x:v>KiB 클러스터</x:v>
      </x:c>
      <x:c r="I767" s="446" t="str">
        <x:f t="shared" si="117"/>
        <x:v>[관리비]</x:v>
      </x:c>
      <x:c r="J767" s="445"/>
      <x:c r="K767" s="453">
        <x:v>39640.605098806664</x:v>
      </x:c>
      <x:c r="L767" s="454">
        <x:v>39640.605098806664</x:v>
      </x:c>
      <x:c r="M767" s="454">
        <x:v>39640.605098806664</x:v>
      </x:c>
      <x:c r="N767" s="454">
        <x:v>39640.605098806664</x:v>
      </x:c>
      <x:c r="O767" s="454">
        <x:v>39640.605098806664</x:v>
      </x:c>
      <x:c r="P767" s="454">
        <x:v>39640.605098806664</x:v>
      </x:c>
      <x:c r="Q767" s="454">
        <x:v>39640.605098806664</x:v>
      </x:c>
      <x:c r="R767" s="454">
        <x:v>39640.605098806664</x:v>
      </x:c>
      <x:c r="S767" s="454">
        <x:v>39640.605098806664</x:v>
      </x:c>
      <x:c r="T767" s="454">
        <x:v>39640.605098806664</x:v>
      </x:c>
      <x:c r="U767" s="454">
        <x:v>39640.605098806664</x:v>
      </x:c>
      <x:c r="V767" s="455">
        <x:v>39640.605098806664</x:v>
      </x:c>
      <x:c r="W767" s="456">
        <x:f t="shared" si="118"/>
        <x:v>475687.26118567999</x:v>
      </x:c>
      <x:c r="X767" s="450">
        <x:f t="shared" si="119"/>
        <x:v>39640.605098806664</x:v>
      </x:c>
      <x:c r="Y767" s="457"/>
      <x:c r="Z767" s="458"/>
      <x:c r="AA767" s="458"/>
      <x:c r="AB767" s="458"/>
      <x:c r="AC767" s="458"/>
      <x:c r="AD767" s="458"/>
      <x:c r="AE767" s="458"/>
    </x:row>
    <x:row r="768" spans="1:31" ht="20.100000000000001" customHeight="1">
      <x:c r="A768" s="439" t="s">
        <x:v>767</x:v>
      </x:c>
      <x:c r="B768" s="466" t="str">
        <x:f t="shared" si="114"/>
        <x:v>지급수수료</x:v>
      </x:c>
      <x:c r="C768" s="440" t="str">
        <x:f t="shared" si="115"/>
        <x:v>지급수수료</x:v>
      </x:c>
      <x:c r="D768" s="441">
        <x:v>52319900</x:v>
      </x:c>
      <x:c r="E768" s="442" t="str">
        <x:f t="shared" si="116"/>
        <x:v>지급수수료_기타</x:v>
      </x:c>
      <x:c r="F768" s="443"/>
      <x:c r="G768" s="444" t="s">
        <x:v>119</x:v>
      </x:c>
      <x:c r="H768" s="445" t="str">
        <x:f t="shared" si="120"/>
        <x:v>KiB 클러스터</x:v>
      </x:c>
      <x:c r="I768" s="446" t="str">
        <x:f t="shared" si="117"/>
        <x:v>[관리비]</x:v>
      </x:c>
      <x:c r="J768" s="445"/>
      <x:c r="K768" s="453">
        <x:v>0</x:v>
      </x:c>
      <x:c r="L768" s="454">
        <x:v>0</x:v>
      </x:c>
      <x:c r="M768" s="454">
        <x:v>0</x:v>
      </x:c>
      <x:c r="N768" s="454">
        <x:v>0</x:v>
      </x:c>
      <x:c r="O768" s="454">
        <x:v>0</x:v>
      </x:c>
      <x:c r="P768" s="454">
        <x:v>0</x:v>
      </x:c>
      <x:c r="Q768" s="454">
        <x:v>0</x:v>
      </x:c>
      <x:c r="R768" s="454">
        <x:v>0</x:v>
      </x:c>
      <x:c r="S768" s="454">
        <x:v>0</x:v>
      </x:c>
      <x:c r="T768" s="454">
        <x:v>319432.68423798663</x:v>
      </x:c>
      <x:c r="U768" s="454">
        <x:v>0</x:v>
      </x:c>
      <x:c r="V768" s="455">
        <x:v>0</x:v>
      </x:c>
      <x:c r="W768" s="456">
        <x:f t="shared" si="118"/>
        <x:v>319432.68423798663</x:v>
      </x:c>
      <x:c r="X768" s="450">
        <x:f t="shared" si="119"/>
        <x:v>26619.390353165552</x:v>
      </x:c>
      <x:c r="Y768" s="457"/>
      <x:c r="Z768" s="458"/>
      <x:c r="AA768" s="458"/>
      <x:c r="AB768" s="458"/>
      <x:c r="AC768" s="458"/>
      <x:c r="AD768" s="458"/>
      <x:c r="AE768" s="458"/>
    </x:row>
    <x:row r="769" spans="1:31" ht="20.100000000000001" customHeight="1">
      <x:c r="A769" s="439" t="s">
        <x:v>767</x:v>
      </x:c>
      <x:c r="B769" s="466" t="str">
        <x:f t="shared" si="114"/>
        <x:v>지급수수료</x:v>
      </x:c>
      <x:c r="C769" s="440" t="str">
        <x:f t="shared" si="115"/>
        <x:v>지급수수료</x:v>
      </x:c>
      <x:c r="D769" s="441">
        <x:v>52319900</x:v>
      </x:c>
      <x:c r="E769" s="442" t="str">
        <x:f t="shared" si="116"/>
        <x:v>지급수수료_기타</x:v>
      </x:c>
      <x:c r="F769" s="443"/>
      <x:c r="G769" s="444" t="s">
        <x:v>119</x:v>
      </x:c>
      <x:c r="H769" s="445" t="str">
        <x:f t="shared" si="120"/>
        <x:v>KiB 클러스터</x:v>
      </x:c>
      <x:c r="I769" s="446" t="str">
        <x:f t="shared" si="117"/>
        <x:v>[관리비]</x:v>
      </x:c>
      <x:c r="J769" s="445"/>
      <x:c r="K769" s="453">
        <x:v>0</x:v>
      </x:c>
      <x:c r="L769" s="454">
        <x:v>0</x:v>
      </x:c>
      <x:c r="M769" s="454">
        <x:v>244359.89444469864</x:v>
      </x:c>
      <x:c r="N769" s="454">
        <x:v>0</x:v>
      </x:c>
      <x:c r="O769" s="454">
        <x:v>0</x:v>
      </x:c>
      <x:c r="P769" s="454">
        <x:v>0</x:v>
      </x:c>
      <x:c r="Q769" s="454">
        <x:v>217208.79506195433</x:v>
      </x:c>
      <x:c r="R769" s="454">
        <x:v>0</x:v>
      </x:c>
      <x:c r="S769" s="454">
        <x:v>0</x:v>
      </x:c>
      <x:c r="T769" s="454">
        <x:v>0</x:v>
      </x:c>
      <x:c r="U769" s="454">
        <x:v>0</x:v>
      </x:c>
      <x:c r="V769" s="455">
        <x:v>0</x:v>
      </x:c>
      <x:c r="W769" s="456">
        <x:f t="shared" si="118"/>
        <x:v>461568.689506653</x:v>
      </x:c>
      <x:c r="X769" s="450">
        <x:f t="shared" si="119"/>
        <x:v>38464.05745888775</x:v>
      </x:c>
      <x:c r="Y769" s="457"/>
      <x:c r="Z769" s="458"/>
      <x:c r="AA769" s="458"/>
      <x:c r="AB769" s="458"/>
      <x:c r="AC769" s="458"/>
      <x:c r="AD769" s="458"/>
      <x:c r="AE769" s="458"/>
    </x:row>
    <x:row r="770" spans="1:31" ht="20.100000000000001" customHeight="1">
      <x:c r="A770" s="439" t="s">
        <x:v>767</x:v>
      </x:c>
      <x:c r="B770" s="466" t="str">
        <x:f t="shared" si="114"/>
        <x:v>지급수수료</x:v>
      </x:c>
      <x:c r="C770" s="440" t="str">
        <x:f t="shared" si="115"/>
        <x:v>지급수수료</x:v>
      </x:c>
      <x:c r="D770" s="441">
        <x:v>52310118</x:v>
      </x:c>
      <x:c r="E770" s="442" t="str">
        <x:f t="shared" si="116"/>
        <x:v>지급수수료-방역수수료</x:v>
      </x:c>
      <x:c r="F770" s="443"/>
      <x:c r="G770" s="444" t="s">
        <x:v>119</x:v>
      </x:c>
      <x:c r="H770" s="445" t="str">
        <x:f t="shared" si="120"/>
        <x:v>KiB 클러스터</x:v>
      </x:c>
      <x:c r="I770" s="446" t="str">
        <x:f t="shared" si="117"/>
        <x:v>[관리비]</x:v>
      </x:c>
      <x:c r="J770" s="445"/>
      <x:c r="K770" s="453">
        <x:v>0</x:v>
      </x:c>
      <x:c r="L770" s="454">
        <x:v>16290.659629646576</x:v>
      </x:c>
      <x:c r="M770" s="454">
        <x:v>0</x:v>
      </x:c>
      <x:c r="N770" s="454">
        <x:v>16290.659629646576</x:v>
      </x:c>
      <x:c r="O770" s="454">
        <x:v>0</x:v>
      </x:c>
      <x:c r="P770" s="454">
        <x:v>16290.659629646576</x:v>
      </x:c>
      <x:c r="Q770" s="454">
        <x:v>0</x:v>
      </x:c>
      <x:c r="R770" s="454">
        <x:v>16290.659629646576</x:v>
      </x:c>
      <x:c r="S770" s="454">
        <x:v>0</x:v>
      </x:c>
      <x:c r="T770" s="454">
        <x:v>16290.659629646576</x:v>
      </x:c>
      <x:c r="U770" s="454">
        <x:v>0</x:v>
      </x:c>
      <x:c r="V770" s="455">
        <x:v>16290.659629646576</x:v>
      </x:c>
      <x:c r="W770" s="456">
        <x:f t="shared" si="118"/>
        <x:v>97743.957777879448</x:v>
      </x:c>
      <x:c r="X770" s="450">
        <x:f t="shared" si="119"/>
        <x:v>8145.3298148232871</x:v>
      </x:c>
      <x:c r="Y770" s="457"/>
      <x:c r="Z770" s="458"/>
      <x:c r="AA770" s="458"/>
      <x:c r="AB770" s="458"/>
      <x:c r="AC770" s="458"/>
      <x:c r="AD770" s="458"/>
      <x:c r="AE770" s="458"/>
    </x:row>
    <x:row r="771" spans="1:31" ht="20.100000000000001" customHeight="1">
      <x:c r="A771" s="439" t="s">
        <x:v>767</x:v>
      </x:c>
      <x:c r="B771" s="466" t="str">
        <x:f t="shared" ref="B771:B834" si="121">IFERROR(VLOOKUP($C771,$AH:$AI,2,),"")</x:f>
        <x:v>지급수수료</x:v>
      </x:c>
      <x:c r="C771" s="440" t="str">
        <x:f t="shared" ref="C771:C834" si="122">IFERROR(VLOOKUP($D771,$AO:$AQ,3,),"")</x:f>
        <x:v>지급수수료</x:v>
      </x:c>
      <x:c r="D771" s="441">
        <x:v>52310117</x:v>
      </x:c>
      <x:c r="E771" s="442" t="str">
        <x:f t="shared" ref="E771:E834" si="123">IFERROR(VLOOKUP($D771,$AO:$AQ,2,),"")</x:f>
        <x:v>지급수수료-보건대행료</x:v>
      </x:c>
      <x:c r="F771" s="443"/>
      <x:c r="G771" s="444" t="s">
        <x:v>119</x:v>
      </x:c>
      <x:c r="H771" s="445" t="str">
        <x:f t="shared" si="120"/>
        <x:v>KiB 클러스터</x:v>
      </x:c>
      <x:c r="I771" s="446" t="str">
        <x:f t="shared" ref="I771:I834" si="124">IFERROR(VLOOKUP($G771,$AK:$AM,3,),"")</x:f>
        <x:v>[관리비]</x:v>
      </x:c>
      <x:c r="J771" s="445"/>
      <x:c r="K771" s="453">
        <x:v>25413.429022248656</x:v>
      </x:c>
      <x:c r="L771" s="454">
        <x:v>25413.429022248656</x:v>
      </x:c>
      <x:c r="M771" s="454">
        <x:v>25413.429022248656</x:v>
      </x:c>
      <x:c r="N771" s="454">
        <x:v>25413.429022248656</x:v>
      </x:c>
      <x:c r="O771" s="454">
        <x:v>25413.429022248656</x:v>
      </x:c>
      <x:c r="P771" s="454">
        <x:v>25413.429022248656</x:v>
      </x:c>
      <x:c r="Q771" s="454">
        <x:v>25413.429022248656</x:v>
      </x:c>
      <x:c r="R771" s="454">
        <x:v>25413.429022248656</x:v>
      </x:c>
      <x:c r="S771" s="454">
        <x:v>25413.429022248656</x:v>
      </x:c>
      <x:c r="T771" s="454">
        <x:v>25413.429022248656</x:v>
      </x:c>
      <x:c r="U771" s="454">
        <x:v>25413.429022248656</x:v>
      </x:c>
      <x:c r="V771" s="455">
        <x:v>25413.429022248656</x:v>
      </x:c>
      <x:c r="W771" s="456">
        <x:f t="shared" si="118"/>
        <x:v>304961.14826698386</x:v>
      </x:c>
      <x:c r="X771" s="450">
        <x:f t="shared" si="119"/>
        <x:v>25413.429022248656</x:v>
      </x:c>
      <x:c r="Y771" s="457"/>
      <x:c r="Z771" s="458"/>
      <x:c r="AA771" s="458"/>
      <x:c r="AB771" s="458"/>
      <x:c r="AC771" s="458"/>
      <x:c r="AD771" s="458"/>
      <x:c r="AE771" s="458"/>
    </x:row>
    <x:row r="772" spans="1:31" ht="20.100000000000001" customHeight="1">
      <x:c r="A772" s="439" t="s">
        <x:v>767</x:v>
      </x:c>
      <x:c r="B772" s="466" t="str">
        <x:f t="shared" si="121"/>
        <x:v>지급수수료</x:v>
      </x:c>
      <x:c r="C772" s="440" t="str">
        <x:f t="shared" si="122"/>
        <x:v>지급수수료</x:v>
      </x:c>
      <x:c r="D772" s="441">
        <x:v>52310114</x:v>
      </x:c>
      <x:c r="E772" s="442" t="str">
        <x:f t="shared" si="123"/>
        <x:v>지급수수료-용역수수료</x:v>
      </x:c>
      <x:c r="F772" s="443"/>
      <x:c r="G772" s="444" t="s">
        <x:v>119</x:v>
      </x:c>
      <x:c r="H772" s="445" t="str">
        <x:f t="shared" si="120"/>
        <x:v>KiB 클러스터</x:v>
      </x:c>
      <x:c r="I772" s="446" t="str">
        <x:f t="shared" si="124"/>
        <x:v>[관리비]</x:v>
      </x:c>
      <x:c r="J772" s="445"/>
      <x:c r="K772" s="453">
        <x:v>2576042.0072360132</x:v>
      </x:c>
      <x:c r="L772" s="454">
        <x:v>2576042.0072360132</x:v>
      </x:c>
      <x:c r="M772" s="454">
        <x:v>2576042.0072360132</x:v>
      </x:c>
      <x:c r="N772" s="454">
        <x:v>2576042.0072360132</x:v>
      </x:c>
      <x:c r="O772" s="454">
        <x:v>2576042.0072360132</x:v>
      </x:c>
      <x:c r="P772" s="454">
        <x:v>2576042.0072360132</x:v>
      </x:c>
      <x:c r="Q772" s="454">
        <x:v>2576042.0072360132</x:v>
      </x:c>
      <x:c r="R772" s="454">
        <x:v>2576042.0072360132</x:v>
      </x:c>
      <x:c r="S772" s="454">
        <x:v>2576042.0072360132</x:v>
      </x:c>
      <x:c r="T772" s="454">
        <x:v>2576042.0072360132</x:v>
      </x:c>
      <x:c r="U772" s="454">
        <x:v>2576042.0072360132</x:v>
      </x:c>
      <x:c r="V772" s="455">
        <x:v>2576042.0072360132</x:v>
      </x:c>
      <x:c r="W772" s="456">
        <x:f t="shared" si="118"/>
        <x:v>30912504.086832151</x:v>
      </x:c>
      <x:c r="X772" s="450">
        <x:f t="shared" si="119"/>
        <x:v>2576042.0072360127</x:v>
      </x:c>
      <x:c r="Y772" s="457"/>
      <x:c r="Z772" s="458"/>
      <x:c r="AA772" s="458"/>
      <x:c r="AB772" s="458"/>
      <x:c r="AC772" s="458"/>
      <x:c r="AD772" s="458"/>
      <x:c r="AE772" s="458"/>
    </x:row>
    <x:row r="773" spans="1:31" ht="20.100000000000001" customHeight="1">
      <x:c r="A773" s="439" t="s">
        <x:v>767</x:v>
      </x:c>
      <x:c r="B773" s="466" t="str">
        <x:f t="shared" si="121"/>
        <x:v>지급수수료</x:v>
      </x:c>
      <x:c r="C773" s="440" t="str">
        <x:f t="shared" si="122"/>
        <x:v>지급수수료</x:v>
      </x:c>
      <x:c r="D773" s="441">
        <x:v>52310114</x:v>
      </x:c>
      <x:c r="E773" s="442" t="str">
        <x:f t="shared" si="123"/>
        <x:v>지급수수료-용역수수료</x:v>
      </x:c>
      <x:c r="F773" s="443"/>
      <x:c r="G773" s="444" t="s">
        <x:v>436</x:v>
      </x:c>
      <x:c r="H773" s="445" t="str">
        <x:f t="shared" si="120"/>
        <x:v>자문위원</x:v>
      </x:c>
      <x:c r="I773" s="446" t="str">
        <x:f t="shared" si="124"/>
        <x:v>[관리비]</x:v>
      </x:c>
      <x:c r="J773" s="445"/>
      <x:c r="K773" s="453">
        <x:v>9231.3737901330587</x:v>
      </x:c>
      <x:c r="L773" s="454">
        <x:v>9231.3737901330587</x:v>
      </x:c>
      <x:c r="M773" s="454">
        <x:v>9231.3737901330587</x:v>
      </x:c>
      <x:c r="N773" s="454">
        <x:v>9231.3737901330587</x:v>
      </x:c>
      <x:c r="O773" s="454">
        <x:v>9231.3737901330587</x:v>
      </x:c>
      <x:c r="P773" s="454">
        <x:v>9231.3737901330587</x:v>
      </x:c>
      <x:c r="Q773" s="454">
        <x:v>9231.3737901330587</x:v>
      </x:c>
      <x:c r="R773" s="454">
        <x:v>9231.3737901330587</x:v>
      </x:c>
      <x:c r="S773" s="454">
        <x:v>9231.3737901330587</x:v>
      </x:c>
      <x:c r="T773" s="454">
        <x:v>9231.3737901330587</x:v>
      </x:c>
      <x:c r="U773" s="454">
        <x:v>9231.3737901330587</x:v>
      </x:c>
      <x:c r="V773" s="455">
        <x:v>9231.3737901330587</x:v>
      </x:c>
      <x:c r="W773" s="456">
        <x:f t="shared" si="118"/>
        <x:v>110776.48548159671</x:v>
      </x:c>
      <x:c r="X773" s="450">
        <x:f t="shared" si="119"/>
        <x:v>9231.3737901330587</x:v>
      </x:c>
      <x:c r="Y773" s="457"/>
      <x:c r="Z773" s="458"/>
      <x:c r="AA773" s="458"/>
      <x:c r="AB773" s="458"/>
      <x:c r="AC773" s="458"/>
      <x:c r="AD773" s="458"/>
      <x:c r="AE773" s="458"/>
    </x:row>
    <x:row r="774" spans="1:31" ht="20.100000000000001" customHeight="1">
      <x:c r="A774" s="439" t="s">
        <x:v>767</x:v>
      </x:c>
      <x:c r="B774" s="466" t="str">
        <x:f t="shared" si="121"/>
        <x:v>지급수수료</x:v>
      </x:c>
      <x:c r="C774" s="440" t="str">
        <x:f t="shared" si="122"/>
        <x:v>지급수수료</x:v>
      </x:c>
      <x:c r="D774" s="441">
        <x:v>52310127</x:v>
      </x:c>
      <x:c r="E774" s="442" t="str">
        <x:f t="shared" si="123"/>
        <x:v>지급수수료-전산유지정비</x:v>
      </x:c>
      <x:c r="F774" s="443"/>
      <x:c r="G774" s="444" t="s">
        <x:v>91</x:v>
      </x:c>
      <x:c r="H774" s="445" t="str">
        <x:f t="shared" si="120"/>
        <x:v>인사총무팀</x:v>
      </x:c>
      <x:c r="I774" s="446" t="str">
        <x:f t="shared" si="124"/>
        <x:v>[관리비]</x:v>
      </x:c>
      <x:c r="J774" s="445"/>
      <x:c r="K774" s="453">
        <x:v>10860.439753097717</x:v>
      </x:c>
      <x:c r="L774" s="454">
        <x:v>10860.439753097717</x:v>
      </x:c>
      <x:c r="M774" s="454">
        <x:v>10860.439753097717</x:v>
      </x:c>
      <x:c r="N774" s="454">
        <x:v>10860.439753097717</x:v>
      </x:c>
      <x:c r="O774" s="454">
        <x:v>10860.439753097717</x:v>
      </x:c>
      <x:c r="P774" s="454">
        <x:v>10860.439753097717</x:v>
      </x:c>
      <x:c r="Q774" s="454">
        <x:v>10860.439753097717</x:v>
      </x:c>
      <x:c r="R774" s="454">
        <x:v>10860.439753097717</x:v>
      </x:c>
      <x:c r="S774" s="454">
        <x:v>10860.439753097717</x:v>
      </x:c>
      <x:c r="T774" s="454">
        <x:v>10860.439753097717</x:v>
      </x:c>
      <x:c r="U774" s="454">
        <x:v>10860.439753097717</x:v>
      </x:c>
      <x:c r="V774" s="455">
        <x:v>10860.439753097717</x:v>
      </x:c>
      <x:c r="W774" s="456">
        <x:f t="shared" si="118"/>
        <x:v>130325.27703717259</x:v>
      </x:c>
      <x:c r="X774" s="450">
        <x:f t="shared" si="119"/>
        <x:v>10860.439753097717</x:v>
      </x:c>
      <x:c r="Y774" s="457"/>
      <x:c r="Z774" s="458"/>
      <x:c r="AA774" s="458"/>
      <x:c r="AB774" s="458"/>
      <x:c r="AC774" s="458"/>
      <x:c r="AD774" s="458"/>
      <x:c r="AE774" s="458"/>
    </x:row>
    <x:row r="775" spans="1:31" ht="20.100000000000001" customHeight="1">
      <x:c r="A775" s="439" t="s">
        <x:v>767</x:v>
      </x:c>
      <x:c r="B775" s="466" t="str">
        <x:f t="shared" si="121"/>
        <x:v>지급수수료</x:v>
      </x:c>
      <x:c r="C775" s="440" t="str">
        <x:f t="shared" si="122"/>
        <x:v>지급수수료</x:v>
      </x:c>
      <x:c r="D775" s="441">
        <x:v>52310127</x:v>
      </x:c>
      <x:c r="E775" s="442" t="str">
        <x:f t="shared" si="123"/>
        <x:v>지급수수료-전산유지정비</x:v>
      </x:c>
      <x:c r="F775" s="443"/>
      <x:c r="G775" s="444" t="s">
        <x:v>91</x:v>
      </x:c>
      <x:c r="H775" s="445" t="str">
        <x:f t="shared" si="120"/>
        <x:v>인사총무팀</x:v>
      </x:c>
      <x:c r="I775" s="446" t="str">
        <x:f t="shared" si="124"/>
        <x:v>[관리비]</x:v>
      </x:c>
      <x:c r="J775" s="445"/>
      <x:c r="K775" s="453">
        <x:v>10860.439753097717</x:v>
      </x:c>
      <x:c r="L775" s="454">
        <x:v>10860.439753097717</x:v>
      </x:c>
      <x:c r="M775" s="454">
        <x:v>10860.439753097717</x:v>
      </x:c>
      <x:c r="N775" s="454">
        <x:v>10860.439753097717</x:v>
      </x:c>
      <x:c r="O775" s="454">
        <x:v>10860.439753097717</x:v>
      </x:c>
      <x:c r="P775" s="454">
        <x:v>10860.439753097717</x:v>
      </x:c>
      <x:c r="Q775" s="454">
        <x:v>10860.439753097717</x:v>
      </x:c>
      <x:c r="R775" s="454">
        <x:v>10860.439753097717</x:v>
      </x:c>
      <x:c r="S775" s="454">
        <x:v>10860.439753097717</x:v>
      </x:c>
      <x:c r="T775" s="454">
        <x:v>10860.439753097717</x:v>
      </x:c>
      <x:c r="U775" s="454">
        <x:v>10860.439753097717</x:v>
      </x:c>
      <x:c r="V775" s="455">
        <x:v>10860.439753097717</x:v>
      </x:c>
      <x:c r="W775" s="456">
        <x:f t="shared" si="118"/>
        <x:v>130325.27703717259</x:v>
      </x:c>
      <x:c r="X775" s="450">
        <x:f t="shared" si="119"/>
        <x:v>10860.439753097717</x:v>
      </x:c>
      <x:c r="Y775" s="457"/>
      <x:c r="Z775" s="458"/>
      <x:c r="AA775" s="458"/>
      <x:c r="AB775" s="458"/>
      <x:c r="AC775" s="458"/>
      <x:c r="AD775" s="458"/>
      <x:c r="AE775" s="458"/>
    </x:row>
    <x:row r="776" spans="1:31" ht="20.100000000000001" customHeight="1">
      <x:c r="A776" s="439" t="s">
        <x:v>767</x:v>
      </x:c>
      <x:c r="B776" s="466" t="str">
        <x:f t="shared" si="121"/>
        <x:v>지급수수료</x:v>
      </x:c>
      <x:c r="C776" s="440" t="str">
        <x:f t="shared" si="122"/>
        <x:v>지급수수료</x:v>
      </x:c>
      <x:c r="D776" s="441">
        <x:v>52310127</x:v>
      </x:c>
      <x:c r="E776" s="442" t="str">
        <x:f t="shared" si="123"/>
        <x:v>지급수수료-전산유지정비</x:v>
      </x:c>
      <x:c r="F776" s="443"/>
      <x:c r="G776" s="444" t="s">
        <x:v>91</x:v>
      </x:c>
      <x:c r="H776" s="445" t="str">
        <x:f t="shared" si="120"/>
        <x:v>인사총무팀</x:v>
      </x:c>
      <x:c r="I776" s="446" t="str">
        <x:f t="shared" si="124"/>
        <x:v>[관리비]</x:v>
      </x:c>
      <x:c r="J776" s="445"/>
      <x:c r="K776" s="453">
        <x:v>424.64319434612071</x:v>
      </x:c>
      <x:c r="L776" s="454">
        <x:v>424.64319434612071</x:v>
      </x:c>
      <x:c r="M776" s="454">
        <x:v>424.64319434612071</x:v>
      </x:c>
      <x:c r="N776" s="454">
        <x:v>424.64319434612071</x:v>
      </x:c>
      <x:c r="O776" s="454">
        <x:v>424.64319434612071</x:v>
      </x:c>
      <x:c r="P776" s="454">
        <x:v>424.64319434612071</x:v>
      </x:c>
      <x:c r="Q776" s="454">
        <x:v>424.64319434612071</x:v>
      </x:c>
      <x:c r="R776" s="454">
        <x:v>424.64319434612071</x:v>
      </x:c>
      <x:c r="S776" s="454">
        <x:v>424.64319434612071</x:v>
      </x:c>
      <x:c r="T776" s="454">
        <x:v>424.64319434612071</x:v>
      </x:c>
      <x:c r="U776" s="454">
        <x:v>424.64319434612071</x:v>
      </x:c>
      <x:c r="V776" s="455">
        <x:v>424.64319434612071</x:v>
      </x:c>
      <x:c r="W776" s="456">
        <x:f t="shared" si="118"/>
        <x:v>5095.7183321534485</x:v>
      </x:c>
      <x:c r="X776" s="450">
        <x:f t="shared" si="119"/>
        <x:v>424.64319434612071</x:v>
      </x:c>
      <x:c r="Y776" s="457"/>
      <x:c r="Z776" s="458"/>
      <x:c r="AA776" s="458"/>
      <x:c r="AB776" s="458"/>
      <x:c r="AC776" s="458"/>
      <x:c r="AD776" s="458"/>
      <x:c r="AE776" s="458"/>
    </x:row>
    <x:row r="777" spans="1:31" ht="20.100000000000001" customHeight="1">
      <x:c r="A777" s="439" t="s">
        <x:v>767</x:v>
      </x:c>
      <x:c r="B777" s="466" t="str">
        <x:f t="shared" si="121"/>
        <x:v>지급수수료</x:v>
      </x:c>
      <x:c r="C777" s="440" t="str">
        <x:f t="shared" si="122"/>
        <x:v>지급수수료</x:v>
      </x:c>
      <x:c r="D777" s="441">
        <x:v>52310127</x:v>
      </x:c>
      <x:c r="E777" s="442" t="str">
        <x:f t="shared" si="123"/>
        <x:v>지급수수료-전산유지정비</x:v>
      </x:c>
      <x:c r="F777" s="443"/>
      <x:c r="G777" s="444" t="s">
        <x:v>91</x:v>
      </x:c>
      <x:c r="H777" s="445" t="str">
        <x:f t="shared" si="120"/>
        <x:v>인사총무팀</x:v>
      </x:c>
      <x:c r="I777" s="446" t="str">
        <x:f t="shared" si="124"/>
        <x:v>[관리비]</x:v>
      </x:c>
      <x:c r="J777" s="445"/>
      <x:c r="K777" s="453">
        <x:v>49788.622630017322</x:v>
      </x:c>
      <x:c r="L777" s="454">
        <x:v>49788.622630017322</x:v>
      </x:c>
      <x:c r="M777" s="454">
        <x:v>49788.622630017322</x:v>
      </x:c>
      <x:c r="N777" s="454">
        <x:v>49788.622630017322</x:v>
      </x:c>
      <x:c r="O777" s="454">
        <x:v>49788.622630017322</x:v>
      </x:c>
      <x:c r="P777" s="454">
        <x:v>49788.622630017322</x:v>
      </x:c>
      <x:c r="Q777" s="454">
        <x:v>49788.622630017322</x:v>
      </x:c>
      <x:c r="R777" s="454">
        <x:v>49788.622630017322</x:v>
      </x:c>
      <x:c r="S777" s="454">
        <x:v>49788.622630017322</x:v>
      </x:c>
      <x:c r="T777" s="454">
        <x:v>49788.622630017322</x:v>
      </x:c>
      <x:c r="U777" s="454">
        <x:v>49788.622630017322</x:v>
      </x:c>
      <x:c r="V777" s="455">
        <x:v>49788.622630017322</x:v>
      </x:c>
      <x:c r="W777" s="456">
        <x:f t="shared" si="118"/>
        <x:v>597463.47156020801</x:v>
      </x:c>
      <x:c r="X777" s="450">
        <x:f t="shared" si="119"/>
        <x:v>49788.622630017337</x:v>
      </x:c>
      <x:c r="Y777" s="457"/>
      <x:c r="Z777" s="458"/>
      <x:c r="AA777" s="458"/>
      <x:c r="AB777" s="458"/>
      <x:c r="AC777" s="458"/>
      <x:c r="AD777" s="458"/>
      <x:c r="AE777" s="458"/>
    </x:row>
    <x:row r="778" spans="1:31" ht="20.100000000000001" customHeight="1">
      <x:c r="A778" s="439" t="s">
        <x:v>767</x:v>
      </x:c>
      <x:c r="B778" s="466" t="str">
        <x:f t="shared" si="121"/>
        <x:v>지급수수료</x:v>
      </x:c>
      <x:c r="C778" s="440" t="str">
        <x:f t="shared" si="122"/>
        <x:v>지급수수료</x:v>
      </x:c>
      <x:c r="D778" s="441">
        <x:v>52310127</x:v>
      </x:c>
      <x:c r="E778" s="442" t="str">
        <x:f t="shared" si="123"/>
        <x:v>지급수수료-전산유지정비</x:v>
      </x:c>
      <x:c r="F778" s="443"/>
      <x:c r="G778" s="444" t="s">
        <x:v>91</x:v>
      </x:c>
      <x:c r="H778" s="445" t="str">
        <x:f t="shared" si="120"/>
        <x:v>인사총무팀</x:v>
      </x:c>
      <x:c r="I778" s="446" t="str">
        <x:f t="shared" si="124"/>
        <x:v>[관리비]</x:v>
      </x:c>
      <x:c r="J778" s="445"/>
      <x:c r="K778" s="453">
        <x:v>1124275.1432596035</x:v>
      </x:c>
      <x:c r="L778" s="454">
        <x:v>1124275.1432596035</x:v>
      </x:c>
      <x:c r="M778" s="454">
        <x:v>1124275.1432596035</x:v>
      </x:c>
      <x:c r="N778" s="454">
        <x:v>1124275.1432596035</x:v>
      </x:c>
      <x:c r="O778" s="454">
        <x:v>1124275.1432596035</x:v>
      </x:c>
      <x:c r="P778" s="454">
        <x:v>1124275.1432596035</x:v>
      </x:c>
      <x:c r="Q778" s="454">
        <x:v>1124275.1432596035</x:v>
      </x:c>
      <x:c r="R778" s="454">
        <x:v>1124275.1432596035</x:v>
      </x:c>
      <x:c r="S778" s="454">
        <x:v>1124275.1432596035</x:v>
      </x:c>
      <x:c r="T778" s="454">
        <x:v>1124275.1432596035</x:v>
      </x:c>
      <x:c r="U778" s="454">
        <x:v>1124275.1432596035</x:v>
      </x:c>
      <x:c r="V778" s="455">
        <x:v>1124275.1432596035</x:v>
      </x:c>
      <x:c r="W778" s="456">
        <x:f t="shared" si="118"/>
        <x:v>13491301.719115242</x:v>
      </x:c>
      <x:c r="X778" s="450">
        <x:f t="shared" si="119"/>
        <x:v>1124275.1432596035</x:v>
      </x:c>
      <x:c r="Y778" s="457"/>
      <x:c r="Z778" s="458"/>
      <x:c r="AA778" s="458"/>
      <x:c r="AB778" s="458"/>
      <x:c r="AC778" s="458"/>
      <x:c r="AD778" s="458"/>
      <x:c r="AE778" s="458"/>
    </x:row>
    <x:row r="779" spans="1:31" ht="20.100000000000001" customHeight="1">
      <x:c r="A779" s="439" t="s">
        <x:v>767</x:v>
      </x:c>
      <x:c r="B779" s="466" t="str">
        <x:f t="shared" si="121"/>
        <x:v>지급수수료</x:v>
      </x:c>
      <x:c r="C779" s="440" t="str">
        <x:f t="shared" si="122"/>
        <x:v>지급수수료</x:v>
      </x:c>
      <x:c r="D779" s="441">
        <x:v>52310127</x:v>
      </x:c>
      <x:c r="E779" s="442" t="str">
        <x:f t="shared" si="123"/>
        <x:v>지급수수료-전산유지정비</x:v>
      </x:c>
      <x:c r="F779" s="443"/>
      <x:c r="G779" s="444" t="s">
        <x:v>91</x:v>
      </x:c>
      <x:c r="H779" s="445" t="str">
        <x:f t="shared" si="120"/>
        <x:v>인사총무팀</x:v>
      </x:c>
      <x:c r="I779" s="446" t="str">
        <x:f t="shared" si="124"/>
        <x:v>[관리비]</x:v>
      </x:c>
      <x:c r="J779" s="445"/>
      <x:c r="K779" s="453">
        <x:v>2766949.5006000106</x:v>
      </x:c>
      <x:c r="L779" s="454">
        <x:v>2766949.5006000106</x:v>
      </x:c>
      <x:c r="M779" s="454">
        <x:v>2766949.5006000106</x:v>
      </x:c>
      <x:c r="N779" s="454">
        <x:v>2766949.5006000106</x:v>
      </x:c>
      <x:c r="O779" s="454">
        <x:v>2766949.5006000106</x:v>
      </x:c>
      <x:c r="P779" s="454">
        <x:v>2766949.5006000106</x:v>
      </x:c>
      <x:c r="Q779" s="454">
        <x:v>2766949.5006000106</x:v>
      </x:c>
      <x:c r="R779" s="454">
        <x:v>2766949.5006000106</x:v>
      </x:c>
      <x:c r="S779" s="454">
        <x:v>2766949.5006000106</x:v>
      </x:c>
      <x:c r="T779" s="454">
        <x:v>2766949.5006000106</x:v>
      </x:c>
      <x:c r="U779" s="454">
        <x:v>2766949.5006000106</x:v>
      </x:c>
      <x:c r="V779" s="455">
        <x:v>2766949.5006000106</x:v>
      </x:c>
      <x:c r="W779" s="456">
        <x:f t="shared" si="118"/>
        <x:v>33203394.007200126</x:v>
      </x:c>
      <x:c r="X779" s="450">
        <x:f t="shared" si="119"/>
        <x:v>2766949.5006000106</x:v>
      </x:c>
      <x:c r="Y779" s="457"/>
      <x:c r="Z779" s="458"/>
      <x:c r="AA779" s="458"/>
      <x:c r="AB779" s="458"/>
      <x:c r="AC779" s="458"/>
      <x:c r="AD779" s="458"/>
      <x:c r="AE779" s="458"/>
    </x:row>
    <x:row r="780" spans="1:31" ht="20.100000000000001" customHeight="1">
      <x:c r="A780" s="439" t="s">
        <x:v>767</x:v>
      </x:c>
      <x:c r="B780" s="466" t="str">
        <x:f t="shared" si="121"/>
        <x:v>지급수수료</x:v>
      </x:c>
      <x:c r="C780" s="440" t="str">
        <x:f t="shared" si="122"/>
        <x:v>지급수수료</x:v>
      </x:c>
      <x:c r="D780" s="441">
        <x:v>52310127</x:v>
      </x:c>
      <x:c r="E780" s="442" t="str">
        <x:f t="shared" si="123"/>
        <x:v>지급수수료-전산유지정비</x:v>
      </x:c>
      <x:c r="F780" s="443"/>
      <x:c r="G780" s="444" t="s">
        <x:v>91</x:v>
      </x:c>
      <x:c r="H780" s="445" t="str">
        <x:f t="shared" si="120"/>
        <x:v>인사총무팀</x:v>
      </x:c>
      <x:c r="I780" s="446" t="str">
        <x:f t="shared" si="124"/>
        <x:v>[관리비]</x:v>
      </x:c>
      <x:c r="J780" s="445"/>
      <x:c r="K780" s="453">
        <x:v>2715.1099382744292</x:v>
      </x:c>
      <x:c r="L780" s="454">
        <x:v>2715.1099382744292</x:v>
      </x:c>
      <x:c r="M780" s="454">
        <x:v>2715.1099382744292</x:v>
      </x:c>
      <x:c r="N780" s="454">
        <x:v>2715.1099382744292</x:v>
      </x:c>
      <x:c r="O780" s="454">
        <x:v>2715.1099382744292</x:v>
      </x:c>
      <x:c r="P780" s="454">
        <x:v>2715.1099382744292</x:v>
      </x:c>
      <x:c r="Q780" s="454">
        <x:v>2715.1099382744292</x:v>
      </x:c>
      <x:c r="R780" s="454">
        <x:v>2715.1099382744292</x:v>
      </x:c>
      <x:c r="S780" s="454">
        <x:v>2715.1099382744292</x:v>
      </x:c>
      <x:c r="T780" s="454">
        <x:v>2715.1099382744292</x:v>
      </x:c>
      <x:c r="U780" s="454">
        <x:v>2715.1099382744292</x:v>
      </x:c>
      <x:c r="V780" s="454">
        <x:v>2715.1099382744292</x:v>
      </x:c>
      <x:c r="W780" s="456">
        <x:f>0+(IFERROR(SUM(K780:V780),""))</x:f>
        <x:v>32581.319259293148</x:v>
      </x:c>
      <x:c r="X780" s="450">
        <x:f t="shared" si="119"/>
        <x:v>2715.1099382744292</x:v>
      </x:c>
      <x:c r="Y780" s="457"/>
      <x:c r="Z780" s="458"/>
      <x:c r="AA780" s="458"/>
      <x:c r="AB780" s="458"/>
      <x:c r="AC780" s="458"/>
      <x:c r="AD780" s="458"/>
      <x:c r="AE780" s="458"/>
    </x:row>
    <x:row r="781" spans="1:31" ht="20.100000000000001" customHeight="1">
      <x:c r="A781" s="439" t="s">
        <x:v>767</x:v>
      </x:c>
      <x:c r="B781" s="466" t="str">
        <x:f t="shared" si="121"/>
        <x:v>지급수수료</x:v>
      </x:c>
      <x:c r="C781" s="440" t="str">
        <x:f t="shared" si="122"/>
        <x:v>지급수수료</x:v>
      </x:c>
      <x:c r="D781" s="441">
        <x:v>52310127</x:v>
      </x:c>
      <x:c r="E781" s="442" t="str">
        <x:f t="shared" si="123"/>
        <x:v>지급수수료-전산유지정비</x:v>
      </x:c>
      <x:c r="F781" s="443"/>
      <x:c r="G781" s="444" t="s">
        <x:v>91</x:v>
      </x:c>
      <x:c r="H781" s="445" t="str">
        <x:f t="shared" si="120"/>
        <x:v>인사총무팀</x:v>
      </x:c>
      <x:c r="I781" s="446" t="str">
        <x:f t="shared" si="124"/>
        <x:v>[관리비]</x:v>
      </x:c>
      <x:c r="J781" s="445"/>
      <x:c r="K781" s="453">
        <x:v>228069.23481505207</x:v>
      </x:c>
      <x:c r="L781" s="454">
        <x:v>228069.23481505207</x:v>
      </x:c>
      <x:c r="M781" s="454">
        <x:v>228069.23481505207</x:v>
      </x:c>
      <x:c r="N781" s="454">
        <x:v>228069.23481505207</x:v>
      </x:c>
      <x:c r="O781" s="454">
        <x:v>228069.23481505207</x:v>
      </x:c>
      <x:c r="P781" s="454">
        <x:v>228069.23481505207</x:v>
      </x:c>
      <x:c r="Q781" s="454">
        <x:v>228069.23481505207</x:v>
      </x:c>
      <x:c r="R781" s="454">
        <x:v>228069.23481505207</x:v>
      </x:c>
      <x:c r="S781" s="454">
        <x:v>228069.23481505207</x:v>
      </x:c>
      <x:c r="T781" s="454">
        <x:v>228069.23481505207</x:v>
      </x:c>
      <x:c r="U781" s="454">
        <x:v>228069.23481505207</x:v>
      </x:c>
      <x:c r="V781" s="455">
        <x:v>228069.23481505207</x:v>
      </x:c>
      <x:c r="W781" s="456">
        <x:f t="shared" ref="W781:W844" si="125">0+(IFERROR(SUM(K781:V781),""))</x:f>
        <x:v>2736830.8177806251</x:v>
      </x:c>
      <x:c r="X781" s="450">
        <x:f t="shared" si="119"/>
        <x:v>228069.2348150521</x:v>
      </x:c>
      <x:c r="Y781" s="457"/>
      <x:c r="Z781" s="458"/>
      <x:c r="AA781" s="458"/>
      <x:c r="AB781" s="458"/>
      <x:c r="AC781" s="458"/>
      <x:c r="AD781" s="458"/>
      <x:c r="AE781" s="458"/>
    </x:row>
    <x:row r="782" spans="1:31" ht="20.100000000000001" customHeight="1">
      <x:c r="A782" s="439" t="s">
        <x:v>767</x:v>
      </x:c>
      <x:c r="B782" s="466" t="str">
        <x:f t="shared" si="121"/>
        <x:v>지급수수료</x:v>
      </x:c>
      <x:c r="C782" s="440" t="str">
        <x:f t="shared" si="122"/>
        <x:v>지급수수료</x:v>
      </x:c>
      <x:c r="D782" s="441">
        <x:v>52310113</x:v>
      </x:c>
      <x:c r="E782" s="442" t="str">
        <x:f t="shared" si="123"/>
        <x:v>지급수수료-폐유.폐기물처리비</x:v>
      </x:c>
      <x:c r="F782" s="443"/>
      <x:c r="G782" s="444" t="s">
        <x:v>119</x:v>
      </x:c>
      <x:c r="H782" s="445" t="str">
        <x:f t="shared" si="120"/>
        <x:v>KiB 클러스터</x:v>
      </x:c>
      <x:c r="I782" s="446" t="str">
        <x:f t="shared" si="124"/>
        <x:v>[관리비]</x:v>
      </x:c>
      <x:c r="J782" s="445"/>
      <x:c r="K782" s="453">
        <x:v>65162.638518586304</x:v>
      </x:c>
      <x:c r="L782" s="454">
        <x:v>65162.638518586304</x:v>
      </x:c>
      <x:c r="M782" s="454">
        <x:v>65162.638518586304</x:v>
      </x:c>
      <x:c r="N782" s="454">
        <x:v>65162.638518586304</x:v>
      </x:c>
      <x:c r="O782" s="454">
        <x:v>65162.638518586304</x:v>
      </x:c>
      <x:c r="P782" s="454">
        <x:v>65162.638518586304</x:v>
      </x:c>
      <x:c r="Q782" s="454">
        <x:v>65162.638518586304</x:v>
      </x:c>
      <x:c r="R782" s="454">
        <x:v>65162.638518586304</x:v>
      </x:c>
      <x:c r="S782" s="454">
        <x:v>65162.638518586304</x:v>
      </x:c>
      <x:c r="T782" s="454">
        <x:v>65162.638518586304</x:v>
      </x:c>
      <x:c r="U782" s="454">
        <x:v>65162.638518586304</x:v>
      </x:c>
      <x:c r="V782" s="455">
        <x:v>65162.638518586304</x:v>
      </x:c>
      <x:c r="W782" s="456">
        <x:f t="shared" si="125"/>
        <x:v>781951.66222303559</x:v>
      </x:c>
      <x:c r="X782" s="450">
        <x:f t="shared" si="119"/>
        <x:v>65162.638518586296</x:v>
      </x:c>
      <x:c r="Y782" s="457"/>
      <x:c r="Z782" s="458"/>
      <x:c r="AA782" s="458"/>
      <x:c r="AB782" s="458"/>
      <x:c r="AC782" s="458"/>
      <x:c r="AD782" s="458"/>
      <x:c r="AE782" s="458"/>
    </x:row>
    <x:row r="783" spans="1:31" ht="20.100000000000001" customHeight="1">
      <x:c r="A783" s="439" t="s">
        <x:v>767</x:v>
      </x:c>
      <x:c r="B783" s="466" t="str">
        <x:f t="shared" si="121"/>
        <x:v>유지비용</x:v>
      </x:c>
      <x:c r="C783" s="440" t="str">
        <x:f t="shared" si="122"/>
        <x:v>지급임차료</x:v>
      </x:c>
      <x:c r="D783" s="441">
        <x:v>52199900</x:v>
      </x:c>
      <x:c r="E783" s="442" t="str">
        <x:f t="shared" si="123"/>
        <x:v>지급임차료_기타</x:v>
      </x:c>
      <x:c r="F783" s="443"/>
      <x:c r="G783" s="444" t="s">
        <x:v>119</x:v>
      </x:c>
      <x:c r="H783" s="445" t="str">
        <x:f t="shared" si="120"/>
        <x:v>KiB 클러스터</x:v>
      </x:c>
      <x:c r="I783" s="446" t="str">
        <x:f t="shared" si="124"/>
        <x:v>[관리비]</x:v>
      </x:c>
      <x:c r="J783" s="445"/>
      <x:c r="K783" s="453">
        <x:v>9774.3957777879459</x:v>
      </x:c>
      <x:c r="L783" s="454">
        <x:v>9774.3957777879459</x:v>
      </x:c>
      <x:c r="M783" s="454">
        <x:v>9774.3957777879459</x:v>
      </x:c>
      <x:c r="N783" s="454">
        <x:v>9774.3957777879459</x:v>
      </x:c>
      <x:c r="O783" s="454">
        <x:v>9774.3957777879459</x:v>
      </x:c>
      <x:c r="P783" s="454">
        <x:v>9774.3957777879459</x:v>
      </x:c>
      <x:c r="Q783" s="454">
        <x:v>9774.3957777879459</x:v>
      </x:c>
      <x:c r="R783" s="454">
        <x:v>9774.3957777879459</x:v>
      </x:c>
      <x:c r="S783" s="454">
        <x:v>9774.3957777879459</x:v>
      </x:c>
      <x:c r="T783" s="454">
        <x:v>9774.3957777879459</x:v>
      </x:c>
      <x:c r="U783" s="454">
        <x:v>9774.3957777879459</x:v>
      </x:c>
      <x:c r="V783" s="455">
        <x:v>9774.3957777879459</x:v>
      </x:c>
      <x:c r="W783" s="456">
        <x:f t="shared" si="125"/>
        <x:v>117292.74933345533</x:v>
      </x:c>
      <x:c r="X783" s="450">
        <x:f t="shared" si="119"/>
        <x:v>9774.3957777879441</x:v>
      </x:c>
      <x:c r="Y783" s="457"/>
      <x:c r="Z783" s="458"/>
      <x:c r="AA783" s="458"/>
      <x:c r="AB783" s="458"/>
      <x:c r="AC783" s="458"/>
      <x:c r="AD783" s="458"/>
      <x:c r="AE783" s="458"/>
    </x:row>
    <x:row r="784" spans="1:31" ht="20.100000000000001" customHeight="1">
      <x:c r="A784" s="439" t="s">
        <x:v>767</x:v>
      </x:c>
      <x:c r="B784" s="466" t="str">
        <x:f t="shared" si="121"/>
        <x:v>유지비용</x:v>
      </x:c>
      <x:c r="C784" s="440" t="str">
        <x:f t="shared" si="122"/>
        <x:v>지급임차료</x:v>
      </x:c>
      <x:c r="D784" s="441">
        <x:v>52199900</x:v>
      </x:c>
      <x:c r="E784" s="442" t="str">
        <x:f t="shared" si="123"/>
        <x:v>지급임차료_기타</x:v>
      </x:c>
      <x:c r="F784" s="443"/>
      <x:c r="G784" s="444" t="s">
        <x:v>119</x:v>
      </x:c>
      <x:c r="H784" s="445" t="str">
        <x:f t="shared" si="120"/>
        <x:v>KiB 클러스터</x:v>
      </x:c>
      <x:c r="I784" s="446" t="str">
        <x:f t="shared" si="124"/>
        <x:v>[관리비]</x:v>
      </x:c>
      <x:c r="J784" s="445"/>
      <x:c r="K784" s="453">
        <x:v>30211.679909564758</x:v>
      </x:c>
      <x:c r="L784" s="454">
        <x:v>30211.679909564758</x:v>
      </x:c>
      <x:c r="M784" s="454">
        <x:v>30211.679909564758</x:v>
      </x:c>
      <x:c r="N784" s="454">
        <x:v>30211.679909564758</x:v>
      </x:c>
      <x:c r="O784" s="454">
        <x:v>30211.679909564758</x:v>
      </x:c>
      <x:c r="P784" s="454">
        <x:v>30211.679909564758</x:v>
      </x:c>
      <x:c r="Q784" s="454">
        <x:v>30211.679909564758</x:v>
      </x:c>
      <x:c r="R784" s="454">
        <x:v>30211.679909564758</x:v>
      </x:c>
      <x:c r="S784" s="454">
        <x:v>30211.679909564758</x:v>
      </x:c>
      <x:c r="T784" s="454">
        <x:v>30211.679909564758</x:v>
      </x:c>
      <x:c r="U784" s="454">
        <x:v>30211.679909564758</x:v>
      </x:c>
      <x:c r="V784" s="455">
        <x:v>30211.679909564758</x:v>
      </x:c>
      <x:c r="W784" s="456">
        <x:f t="shared" si="125"/>
        <x:v>362540.15891477722</x:v>
      </x:c>
      <x:c r="X784" s="450">
        <x:f t="shared" si="119"/>
        <x:v>30211.679909564769</x:v>
      </x:c>
      <x:c r="Y784" s="457"/>
      <x:c r="Z784" s="458"/>
      <x:c r="AA784" s="458"/>
      <x:c r="AB784" s="458"/>
      <x:c r="AC784" s="458"/>
      <x:c r="AD784" s="458"/>
      <x:c r="AE784" s="458"/>
    </x:row>
    <x:row r="785" spans="1:31" ht="20.100000000000001" customHeight="1">
      <x:c r="A785" s="439" t="s">
        <x:v>767</x:v>
      </x:c>
      <x:c r="B785" s="466" t="str">
        <x:f t="shared" si="121"/>
        <x:v>유지비용</x:v>
      </x:c>
      <x:c r="C785" s="440" t="str">
        <x:f t="shared" si="122"/>
        <x:v>지급임차료</x:v>
      </x:c>
      <x:c r="D785" s="441">
        <x:v>52199900</x:v>
      </x:c>
      <x:c r="E785" s="442" t="str">
        <x:f t="shared" si="123"/>
        <x:v>지급임차료_기타</x:v>
      </x:c>
      <x:c r="F785" s="443"/>
      <x:c r="G785" s="444" t="s">
        <x:v>119</x:v>
      </x:c>
      <x:c r="H785" s="445" t="str">
        <x:f t="shared" si="120"/>
        <x:v>KiB 클러스터</x:v>
      </x:c>
      <x:c r="I785" s="446" t="str">
        <x:f t="shared" si="124"/>
        <x:v>[관리비]</x:v>
      </x:c>
      <x:c r="J785" s="445"/>
      <x:c r="K785" s="453">
        <x:v>60794.080930101511</x:v>
      </x:c>
      <x:c r="L785" s="454">
        <x:v>60794.080930101511</x:v>
      </x:c>
      <x:c r="M785" s="454">
        <x:v>60794.080930101511</x:v>
      </x:c>
      <x:c r="N785" s="454">
        <x:v>60794.080930101511</x:v>
      </x:c>
      <x:c r="O785" s="454">
        <x:v>60794.080930101511</x:v>
      </x:c>
      <x:c r="P785" s="454">
        <x:v>60794.080930101511</x:v>
      </x:c>
      <x:c r="Q785" s="454">
        <x:v>60794.080930101511</x:v>
      </x:c>
      <x:c r="R785" s="454">
        <x:v>60794.080930101511</x:v>
      </x:c>
      <x:c r="S785" s="454">
        <x:v>60794.080930101511</x:v>
      </x:c>
      <x:c r="T785" s="454">
        <x:v>60794.080930101511</x:v>
      </x:c>
      <x:c r="U785" s="454">
        <x:v>60794.080930101511</x:v>
      </x:c>
      <x:c r="V785" s="455">
        <x:v>60794.080930101511</x:v>
      </x:c>
      <x:c r="W785" s="456">
        <x:f t="shared" si="125"/>
        <x:v>729528.97116121789</x:v>
      </x:c>
      <x:c r="X785" s="450">
        <x:f t="shared" si="119"/>
        <x:v>60794.080930101489</x:v>
      </x:c>
      <x:c r="Y785" s="457"/>
      <x:c r="Z785" s="458"/>
      <x:c r="AA785" s="458"/>
      <x:c r="AB785" s="458"/>
      <x:c r="AC785" s="458"/>
      <x:c r="AD785" s="458"/>
      <x:c r="AE785" s="458"/>
    </x:row>
    <x:row r="786" spans="1:31" ht="20.100000000000001" customHeight="1">
      <x:c r="A786" s="439" t="s">
        <x:v>767</x:v>
      </x:c>
      <x:c r="B786" s="466" t="str">
        <x:f t="shared" si="121"/>
        <x:v>유지비용</x:v>
      </x:c>
      <x:c r="C786" s="440" t="str">
        <x:f t="shared" si="122"/>
        <x:v>지급임차료</x:v>
      </x:c>
      <x:c r="D786" s="441">
        <x:v>52199900</x:v>
      </x:c>
      <x:c r="E786" s="442" t="str">
        <x:f t="shared" si="123"/>
        <x:v>지급임차료_기타</x:v>
      </x:c>
      <x:c r="F786" s="443"/>
      <x:c r="G786" s="444" t="s">
        <x:v>119</x:v>
      </x:c>
      <x:c r="H786" s="445" t="str">
        <x:f t="shared" si="120"/>
        <x:v>KiB 클러스터</x:v>
      </x:c>
      <x:c r="I786" s="446" t="str">
        <x:f t="shared" si="124"/>
        <x:v>[관리비]</x:v>
      </x:c>
      <x:c r="J786" s="445"/>
      <x:c r="K786" s="453">
        <x:v>4739.1157928604853</x:v>
      </x:c>
      <x:c r="L786" s="454">
        <x:v>4739.1157928604853</x:v>
      </x:c>
      <x:c r="M786" s="454">
        <x:v>4739.1157928604853</x:v>
      </x:c>
      <x:c r="N786" s="454">
        <x:v>4739.1157928604853</x:v>
      </x:c>
      <x:c r="O786" s="454">
        <x:v>4739.1157928604853</x:v>
      </x:c>
      <x:c r="P786" s="454">
        <x:v>4739.1157928604853</x:v>
      </x:c>
      <x:c r="Q786" s="454">
        <x:v>4739.1157928604853</x:v>
      </x:c>
      <x:c r="R786" s="454">
        <x:v>4739.1157928604853</x:v>
      </x:c>
      <x:c r="S786" s="454">
        <x:v>4739.1157928604853</x:v>
      </x:c>
      <x:c r="T786" s="454">
        <x:v>4739.1157928604853</x:v>
      </x:c>
      <x:c r="U786" s="454">
        <x:v>4739.1157928604853</x:v>
      </x:c>
      <x:c r="V786" s="455">
        <x:v>4739.1157928604853</x:v>
      </x:c>
      <x:c r="W786" s="456">
        <x:f t="shared" si="125"/>
        <x:v>56869.389514325834</x:v>
      </x:c>
      <x:c r="X786" s="450">
        <x:f t="shared" si="119"/>
        <x:v>4739.1157928604862</x:v>
      </x:c>
      <x:c r="Y786" s="457"/>
      <x:c r="Z786" s="458"/>
      <x:c r="AA786" s="458"/>
      <x:c r="AB786" s="458"/>
      <x:c r="AC786" s="458"/>
      <x:c r="AD786" s="458"/>
      <x:c r="AE786" s="458"/>
    </x:row>
    <x:row r="787" spans="1:31" ht="20.100000000000001" customHeight="1">
      <x:c r="A787" s="439" t="s">
        <x:v>767</x:v>
      </x:c>
      <x:c r="B787" s="466" t="str">
        <x:f t="shared" si="121"/>
        <x:v>유지비용</x:v>
      </x:c>
      <x:c r="C787" s="440" t="str">
        <x:f t="shared" si="122"/>
        <x:v>지급임차료</x:v>
      </x:c>
      <x:c r="D787" s="441">
        <x:v>52199900</x:v>
      </x:c>
      <x:c r="E787" s="442" t="str">
        <x:f t="shared" si="123"/>
        <x:v>지급임차료_기타</x:v>
      </x:c>
      <x:c r="F787" s="443"/>
      <x:c r="G787" s="444" t="s">
        <x:v>119</x:v>
      </x:c>
      <x:c r="H787" s="445" t="str">
        <x:f t="shared" si="120"/>
        <x:v>KiB 클러스터</x:v>
      </x:c>
      <x:c r="I787" s="446" t="str">
        <x:f t="shared" si="124"/>
        <x:v>[관리비]</x:v>
      </x:c>
      <x:c r="J787" s="445"/>
      <x:c r="K787" s="453">
        <x:v>1673.5394637535926</x:v>
      </x:c>
      <x:c r="L787" s="454">
        <x:v>1673.5394637535926</x:v>
      </x:c>
      <x:c r="M787" s="454">
        <x:v>1673.5394637535926</x:v>
      </x:c>
      <x:c r="N787" s="454">
        <x:v>1673.5394637535926</x:v>
      </x:c>
      <x:c r="O787" s="454">
        <x:v>1673.5394637535926</x:v>
      </x:c>
      <x:c r="P787" s="454">
        <x:v>1673.5394637535926</x:v>
      </x:c>
      <x:c r="Q787" s="454">
        <x:v>1673.5394637535926</x:v>
      </x:c>
      <x:c r="R787" s="454">
        <x:v>1673.5394637535926</x:v>
      </x:c>
      <x:c r="S787" s="454">
        <x:v>1673.5394637535926</x:v>
      </x:c>
      <x:c r="T787" s="454">
        <x:v>1673.5394637535926</x:v>
      </x:c>
      <x:c r="U787" s="454">
        <x:v>1673.5394637535926</x:v>
      </x:c>
      <x:c r="V787" s="455">
        <x:v>1673.5394637535926</x:v>
      </x:c>
      <x:c r="W787" s="456">
        <x:f t="shared" si="125"/>
        <x:v>20082.47356504311</x:v>
      </x:c>
      <x:c r="X787" s="450">
        <x:f t="shared" si="119"/>
        <x:v>1673.5394637535926</x:v>
      </x:c>
      <x:c r="Y787" s="457"/>
      <x:c r="Z787" s="458"/>
      <x:c r="AA787" s="458"/>
      <x:c r="AB787" s="458"/>
      <x:c r="AC787" s="458"/>
      <x:c r="AD787" s="458"/>
      <x:c r="AE787" s="458"/>
    </x:row>
    <x:row r="788" spans="1:31" ht="20.100000000000001" customHeight="1">
      <x:c r="A788" s="439" t="s">
        <x:v>767</x:v>
      </x:c>
      <x:c r="B788" s="466" t="str">
        <x:f t="shared" si="121"/>
        <x:v>유지비용</x:v>
      </x:c>
      <x:c r="C788" s="440" t="str">
        <x:f t="shared" si="122"/>
        <x:v>지급임차료</x:v>
      </x:c>
      <x:c r="D788" s="441">
        <x:v>52199900</x:v>
      </x:c>
      <x:c r="E788" s="442" t="str">
        <x:f t="shared" si="123"/>
        <x:v>지급임차료_기타</x:v>
      </x:c>
      <x:c r="F788" s="443"/>
      <x:c r="G788" s="444" t="s">
        <x:v>119</x:v>
      </x:c>
      <x:c r="H788" s="445" t="str">
        <x:f t="shared" si="120"/>
        <x:v>KiB 클러스터</x:v>
      </x:c>
      <x:c r="I788" s="446" t="str">
        <x:f t="shared" si="124"/>
        <x:v>[관리비]</x:v>
      </x:c>
      <x:c r="J788" s="445"/>
      <x:c r="K788" s="453">
        <x:v>33884.626331863641</x:v>
      </x:c>
      <x:c r="L788" s="454">
        <x:v>33884.626331863641</x:v>
      </x:c>
      <x:c r="M788" s="454">
        <x:v>33884.626331863641</x:v>
      </x:c>
      <x:c r="N788" s="454">
        <x:v>33884.626331863641</x:v>
      </x:c>
      <x:c r="O788" s="454">
        <x:v>33884.626331863641</x:v>
      </x:c>
      <x:c r="P788" s="454">
        <x:v>33884.626331863641</x:v>
      </x:c>
      <x:c r="Q788" s="454">
        <x:v>33884.626331863641</x:v>
      </x:c>
      <x:c r="R788" s="454">
        <x:v>33884.626331863641</x:v>
      </x:c>
      <x:c r="S788" s="454">
        <x:v>33884.626331863641</x:v>
      </x:c>
      <x:c r="T788" s="454">
        <x:v>33884.626331863641</x:v>
      </x:c>
      <x:c r="U788" s="454">
        <x:v>33884.626331863641</x:v>
      </x:c>
      <x:c r="V788" s="455">
        <x:v>33884.626331863641</x:v>
      </x:c>
      <x:c r="W788" s="456">
        <x:f t="shared" si="125"/>
        <x:v>406615.51598236366</x:v>
      </x:c>
      <x:c r="X788" s="450">
        <x:f t="shared" si="119"/>
        <x:v>33884.626331863641</x:v>
      </x:c>
      <x:c r="Y788" s="457"/>
      <x:c r="Z788" s="458"/>
      <x:c r="AA788" s="458"/>
      <x:c r="AB788" s="458"/>
      <x:c r="AC788" s="458"/>
      <x:c r="AD788" s="458"/>
      <x:c r="AE788" s="458"/>
    </x:row>
    <x:row r="789" spans="1:31" ht="20.100000000000001" customHeight="1">
      <x:c r="A789" s="439" t="s">
        <x:v>767</x:v>
      </x:c>
      <x:c r="B789" s="466" t="str">
        <x:f t="shared" si="121"/>
        <x:v>유지비용</x:v>
      </x:c>
      <x:c r="C789" s="440" t="str">
        <x:f t="shared" si="122"/>
        <x:v>지급임차료</x:v>
      </x:c>
      <x:c r="D789" s="441">
        <x:v>52199900</x:v>
      </x:c>
      <x:c r="E789" s="442" t="str">
        <x:f t="shared" si="123"/>
        <x:v>지급임차료_기타</x:v>
      </x:c>
      <x:c r="F789" s="443"/>
      <x:c r="G789" s="444" t="s">
        <x:v>89</x:v>
      </x:c>
      <x:c r="H789" s="445" t="str">
        <x:f t="shared" si="120"/>
        <x:v>기획담당</x:v>
      </x:c>
      <x:c r="I789" s="446" t="str">
        <x:f t="shared" si="124"/>
        <x:v>[관리비]</x:v>
      </x:c>
      <x:c r="J789" s="445"/>
      <x:c r="K789" s="453">
        <x:v>50338.138255607919</x:v>
      </x:c>
      <x:c r="L789" s="454">
        <x:v>50338.138255607919</x:v>
      </x:c>
      <x:c r="M789" s="454">
        <x:v>50338.138255607919</x:v>
      </x:c>
      <x:c r="N789" s="454">
        <x:v>50338.138255607919</x:v>
      </x:c>
      <x:c r="O789" s="454">
        <x:v>50338.138255607919</x:v>
      </x:c>
      <x:c r="P789" s="454">
        <x:v>50338.138255607919</x:v>
      </x:c>
      <x:c r="Q789" s="454">
        <x:v>50338.138255607919</x:v>
      </x:c>
      <x:c r="R789" s="454">
        <x:v>50338.138255607919</x:v>
      </x:c>
      <x:c r="S789" s="454">
        <x:v>50338.138255607919</x:v>
      </x:c>
      <x:c r="T789" s="454">
        <x:v>50338.138255607919</x:v>
      </x:c>
      <x:c r="U789" s="454">
        <x:v>50338.138255607919</x:v>
      </x:c>
      <x:c r="V789" s="455">
        <x:v>50338.138255607919</x:v>
      </x:c>
      <x:c r="W789" s="456">
        <x:f t="shared" si="125"/>
        <x:v>604057.65906729503</x:v>
      </x:c>
      <x:c r="X789" s="450">
        <x:f t="shared" si="119"/>
        <x:v>50338.138255607919</x:v>
      </x:c>
      <x:c r="Y789" s="457"/>
      <x:c r="Z789" s="458"/>
      <x:c r="AA789" s="458"/>
      <x:c r="AB789" s="458"/>
      <x:c r="AC789" s="458"/>
      <x:c r="AD789" s="458"/>
      <x:c r="AE789" s="458"/>
    </x:row>
    <x:row r="790" spans="1:31" ht="20.100000000000001" customHeight="1">
      <x:c r="A790" s="439" t="s">
        <x:v>767</x:v>
      </x:c>
      <x:c r="B790" s="466" t="str">
        <x:f t="shared" si="121"/>
        <x:v>유지비용</x:v>
      </x:c>
      <x:c r="C790" s="440" t="str">
        <x:f t="shared" si="122"/>
        <x:v>지급임차료</x:v>
      </x:c>
      <x:c r="D790" s="441">
        <x:v>52199900</x:v>
      </x:c>
      <x:c r="E790" s="442" t="str">
        <x:f t="shared" si="123"/>
        <x:v>지급임차료_기타</x:v>
      </x:c>
      <x:c r="F790" s="443"/>
      <x:c r="G790" s="444" t="s">
        <x:v>318</x:v>
      </x:c>
      <x:c r="H790" s="445" t="str">
        <x:f t="shared" si="120"/>
        <x:v>대표이사</x:v>
      </x:c>
      <x:c r="I790" s="446" t="str">
        <x:f t="shared" si="124"/>
        <x:v>[관리비]</x:v>
      </x:c>
      <x:c r="J790" s="445"/>
      <x:c r="K790" s="453">
        <x:v>126524.06882138964</x:v>
      </x:c>
      <x:c r="L790" s="454">
        <x:v>126524.06882138964</x:v>
      </x:c>
      <x:c r="M790" s="454">
        <x:v>126524.06882138964</x:v>
      </x:c>
      <x:c r="N790" s="454">
        <x:v>126524.06882138964</x:v>
      </x:c>
      <x:c r="O790" s="454">
        <x:v>126524.06882138964</x:v>
      </x:c>
      <x:c r="P790" s="454">
        <x:v>126524.06882138964</x:v>
      </x:c>
      <x:c r="Q790" s="454">
        <x:v>126524.06882138964</x:v>
      </x:c>
      <x:c r="R790" s="454">
        <x:v>126524.06882138964</x:v>
      </x:c>
      <x:c r="S790" s="454">
        <x:v>126524.06882138964</x:v>
      </x:c>
      <x:c r="T790" s="454">
        <x:v>126524.06882138964</x:v>
      </x:c>
      <x:c r="U790" s="454">
        <x:v>126524.06882138964</x:v>
      </x:c>
      <x:c r="V790" s="455">
        <x:v>126524.06882138964</x:v>
      </x:c>
      <x:c r="W790" s="456">
        <x:f t="shared" si="125"/>
        <x:v>1518288.8258566761</x:v>
      </x:c>
      <x:c r="X790" s="450">
        <x:f t="shared" si="119"/>
        <x:v>126524.06882138968</x:v>
      </x:c>
      <x:c r="Y790" s="457"/>
      <x:c r="Z790" s="458"/>
      <x:c r="AA790" s="458"/>
      <x:c r="AB790" s="458"/>
      <x:c r="AC790" s="458"/>
      <x:c r="AD790" s="458"/>
      <x:c r="AE790" s="458"/>
    </x:row>
    <x:row r="791" spans="1:31" ht="20.100000000000001" customHeight="1">
      <x:c r="A791" s="439" t="s">
        <x:v>767</x:v>
      </x:c>
      <x:c r="B791" s="466" t="str">
        <x:f t="shared" si="121"/>
        <x:v>유지비용</x:v>
      </x:c>
      <x:c r="C791" s="440" t="str">
        <x:f t="shared" si="122"/>
        <x:v>지급임차료</x:v>
      </x:c>
      <x:c r="D791" s="441">
        <x:v>52199900</x:v>
      </x:c>
      <x:c r="E791" s="442" t="str">
        <x:f t="shared" si="123"/>
        <x:v>지급임차료_기타</x:v>
      </x:c>
      <x:c r="F791" s="443"/>
      <x:c r="G791" s="444" t="s">
        <x:v>93</x:v>
      </x:c>
      <x:c r="H791" s="445" t="str">
        <x:f t="shared" si="120"/>
        <x:v>인사총무담당</x:v>
      </x:c>
      <x:c r="I791" s="446" t="str">
        <x:f t="shared" si="124"/>
        <x:v>[관리비]</x:v>
      </x:c>
      <x:c r="J791" s="445"/>
      <x:c r="K791" s="453">
        <x:v>55478.438692947835</x:v>
      </x:c>
      <x:c r="L791" s="454">
        <x:v>55478.438692947835</x:v>
      </x:c>
      <x:c r="M791" s="454">
        <x:v>55478.438692947835</x:v>
      </x:c>
      <x:c r="N791" s="454">
        <x:v>55478.438692947835</x:v>
      </x:c>
      <x:c r="O791" s="454">
        <x:v>55478.438692947835</x:v>
      </x:c>
      <x:c r="P791" s="454">
        <x:v>55478.438692947835</x:v>
      </x:c>
      <x:c r="Q791" s="454">
        <x:v>55478.438692947835</x:v>
      </x:c>
      <x:c r="R791" s="454">
        <x:v>55478.438692947835</x:v>
      </x:c>
      <x:c r="S791" s="454">
        <x:v>55478.438692947835</x:v>
      </x:c>
      <x:c r="T791" s="454">
        <x:v>55478.438692947835</x:v>
      </x:c>
      <x:c r="U791" s="454">
        <x:v>55478.438692947835</x:v>
      </x:c>
      <x:c r="V791" s="455">
        <x:v>55478.438692947835</x:v>
      </x:c>
      <x:c r="W791" s="456">
        <x:f t="shared" si="125"/>
        <x:v>665741.26431537408</x:v>
      </x:c>
      <x:c r="X791" s="450">
        <x:f t="shared" si="119"/>
        <x:v>55478.438692947842</x:v>
      </x:c>
      <x:c r="Y791" s="457"/>
      <x:c r="Z791" s="458"/>
      <x:c r="AA791" s="458"/>
      <x:c r="AB791" s="458"/>
      <x:c r="AC791" s="458"/>
      <x:c r="AD791" s="458"/>
      <x:c r="AE791" s="458"/>
    </x:row>
    <x:row r="792" spans="1:31" ht="20.100000000000001" customHeight="1">
      <x:c r="A792" s="439" t="s">
        <x:v>767</x:v>
      </x:c>
      <x:c r="B792" s="466" t="str">
        <x:f t="shared" si="121"/>
        <x:v>유지비용</x:v>
      </x:c>
      <x:c r="C792" s="440" t="str">
        <x:f t="shared" si="122"/>
        <x:v>지급임차료</x:v>
      </x:c>
      <x:c r="D792" s="441">
        <x:v>52199900</x:v>
      </x:c>
      <x:c r="E792" s="442" t="str">
        <x:f t="shared" si="123"/>
        <x:v>지급임차료_기타</x:v>
      </x:c>
      <x:c r="F792" s="443"/>
      <x:c r="G792" s="444" t="s">
        <x:v>91</x:v>
      </x:c>
      <x:c r="H792" s="445" t="str">
        <x:f t="shared" si="120"/>
        <x:v>인사총무팀</x:v>
      </x:c>
      <x:c r="I792" s="446" t="str">
        <x:f t="shared" si="124"/>
        <x:v>[관리비]</x:v>
      </x:c>
      <x:c r="J792" s="445"/>
      <x:c r="K792" s="453">
        <x:v>131139.81001865494</x:v>
      </x:c>
      <x:c r="L792" s="454">
        <x:v>131139.81001865494</x:v>
      </x:c>
      <x:c r="M792" s="454">
        <x:v>131139.81001865494</x:v>
      </x:c>
      <x:c r="N792" s="454">
        <x:v>131139.81001865494</x:v>
      </x:c>
      <x:c r="O792" s="454">
        <x:v>131139.81001865494</x:v>
      </x:c>
      <x:c r="P792" s="454">
        <x:v>131139.81001865494</x:v>
      </x:c>
      <x:c r="Q792" s="454">
        <x:v>131139.81001865494</x:v>
      </x:c>
      <x:c r="R792" s="454">
        <x:v>131139.81001865494</x:v>
      </x:c>
      <x:c r="S792" s="454">
        <x:v>131139.81001865494</x:v>
      </x:c>
      <x:c r="T792" s="454">
        <x:v>131139.81001865494</x:v>
      </x:c>
      <x:c r="U792" s="454">
        <x:v>131139.81001865494</x:v>
      </x:c>
      <x:c r="V792" s="455">
        <x:v>131139.81001865494</x:v>
      </x:c>
      <x:c r="W792" s="456">
        <x:f t="shared" si="125"/>
        <x:v>1573677.7202238592</x:v>
      </x:c>
      <x:c r="X792" s="450">
        <x:f t="shared" si="119"/>
        <x:v>131139.81001865494</x:v>
      </x:c>
      <x:c r="Y792" s="457"/>
      <x:c r="Z792" s="458"/>
      <x:c r="AA792" s="458"/>
      <x:c r="AB792" s="458"/>
      <x:c r="AC792" s="458"/>
      <x:c r="AD792" s="458"/>
      <x:c r="AE792" s="458"/>
    </x:row>
    <x:row r="793" spans="1:31" ht="20.100000000000001" customHeight="1">
      <x:c r="A793" s="439" t="s">
        <x:v>767</x:v>
      </x:c>
      <x:c r="B793" s="466" t="str">
        <x:f t="shared" si="121"/>
        <x:v>유지비용</x:v>
      </x:c>
      <x:c r="C793" s="440" t="str">
        <x:f t="shared" si="122"/>
        <x:v>지급임차료</x:v>
      </x:c>
      <x:c r="D793" s="441">
        <x:v>52199900</x:v>
      </x:c>
      <x:c r="E793" s="442" t="str">
        <x:f t="shared" si="123"/>
        <x:v>지급임차료_기타</x:v>
      </x:c>
      <x:c r="F793" s="443"/>
      <x:c r="G793" s="444" t="s">
        <x:v>436</x:v>
      </x:c>
      <x:c r="H793" s="445" t="str">
        <x:f t="shared" si="120"/>
        <x:v>자문위원</x:v>
      </x:c>
      <x:c r="I793" s="446" t="str">
        <x:f t="shared" si="124"/>
        <x:v>[관리비]</x:v>
      </x:c>
      <x:c r="J793" s="445"/>
      <x:c r="K793" s="453">
        <x:v>143900.772426346</x:v>
      </x:c>
      <x:c r="L793" s="454">
        <x:v>143900.772426346</x:v>
      </x:c>
      <x:c r="M793" s="454">
        <x:v>143900.772426346</x:v>
      </x:c>
      <x:c r="N793" s="454">
        <x:v>143900.772426346</x:v>
      </x:c>
      <x:c r="O793" s="454">
        <x:v>143900.772426346</x:v>
      </x:c>
      <x:c r="P793" s="454">
        <x:v>143900.772426346</x:v>
      </x:c>
      <x:c r="Q793" s="454">
        <x:v>143900.772426346</x:v>
      </x:c>
      <x:c r="R793" s="454">
        <x:v>143900.772426346</x:v>
      </x:c>
      <x:c r="S793" s="454">
        <x:v>143900.772426346</x:v>
      </x:c>
      <x:c r="T793" s="454">
        <x:v>143900.772426346</x:v>
      </x:c>
      <x:c r="U793" s="454">
        <x:v>143900.772426346</x:v>
      </x:c>
      <x:c r="V793" s="455">
        <x:v>143900.772426346</x:v>
      </x:c>
      <x:c r="W793" s="456">
        <x:f t="shared" si="125"/>
        <x:v>1726809.2691161523</x:v>
      </x:c>
      <x:c r="X793" s="450">
        <x:f t="shared" si="119"/>
        <x:v>143900.77242634603</x:v>
      </x:c>
      <x:c r="Y793" s="457"/>
      <x:c r="Z793" s="458"/>
      <x:c r="AA793" s="458"/>
      <x:c r="AB793" s="458"/>
      <x:c r="AC793" s="458"/>
      <x:c r="AD793" s="458"/>
      <x:c r="AE793" s="458"/>
    </x:row>
    <x:row r="794" spans="1:31" ht="20.100000000000001" customHeight="1">
      <x:c r="A794" s="439" t="s">
        <x:v>767</x:v>
      </x:c>
      <x:c r="B794" s="466" t="str">
        <x:f t="shared" si="121"/>
        <x:v>유지비용</x:v>
      </x:c>
      <x:c r="C794" s="440" t="str">
        <x:f t="shared" si="122"/>
        <x:v>지급임차료</x:v>
      </x:c>
      <x:c r="D794" s="441">
        <x:v>52199900</x:v>
      </x:c>
      <x:c r="E794" s="442" t="str">
        <x:f t="shared" si="123"/>
        <x:v>지급임차료_기타</x:v>
      </x:c>
      <x:c r="F794" s="443"/>
      <x:c r="G794" s="444" t="s">
        <x:v>95</x:v>
      </x:c>
      <x:c r="H794" s="445" t="str">
        <x:f t="shared" si="120"/>
        <x:v>재경담당</x:v>
      </x:c>
      <x:c r="I794" s="446" t="str">
        <x:f t="shared" si="124"/>
        <x:v>[관리비]</x:v>
      </x:c>
      <x:c r="J794" s="445"/>
      <x:c r="K794" s="453">
        <x:v>53216.154790178814</x:v>
      </x:c>
      <x:c r="L794" s="454">
        <x:v>53216.154790178814</x:v>
      </x:c>
      <x:c r="M794" s="454">
        <x:v>53216.154790178814</x:v>
      </x:c>
      <x:c r="N794" s="454">
        <x:v>53216.154790178814</x:v>
      </x:c>
      <x:c r="O794" s="454">
        <x:v>53216.154790178814</x:v>
      </x:c>
      <x:c r="P794" s="454">
        <x:v>53216.154790178814</x:v>
      </x:c>
      <x:c r="Q794" s="454">
        <x:v>53216.154790178814</x:v>
      </x:c>
      <x:c r="R794" s="454">
        <x:v>53216.154790178814</x:v>
      </x:c>
      <x:c r="S794" s="454">
        <x:v>53216.154790178814</x:v>
      </x:c>
      <x:c r="T794" s="454">
        <x:v>53216.154790178814</x:v>
      </x:c>
      <x:c r="U794" s="454">
        <x:v>53216.154790178814</x:v>
      </x:c>
      <x:c r="V794" s="455">
        <x:v>53216.154790178814</x:v>
      </x:c>
      <x:c r="W794" s="456">
        <x:f t="shared" si="125"/>
        <x:v>638593.85748214577</x:v>
      </x:c>
      <x:c r="X794" s="450">
        <x:f t="shared" si="119"/>
        <x:v>53216.154790178814</x:v>
      </x:c>
      <x:c r="Y794" s="457"/>
      <x:c r="Z794" s="458"/>
      <x:c r="AA794" s="458"/>
      <x:c r="AB794" s="458"/>
      <x:c r="AC794" s="458"/>
      <x:c r="AD794" s="458"/>
      <x:c r="AE794" s="458"/>
    </x:row>
    <x:row r="795" spans="1:31" ht="20.100000000000001" customHeight="1">
      <x:c r="A795" s="439" t="s">
        <x:v>767</x:v>
      </x:c>
      <x:c r="B795" s="466" t="str">
        <x:f t="shared" si="121"/>
        <x:v>기타비용</x:v>
      </x:c>
      <x:c r="C795" s="440" t="str">
        <x:f t="shared" si="122"/>
        <x:v>차량유지비</x:v>
      </x:c>
      <x:c r="D795" s="441">
        <x:v>52359900</x:v>
      </x:c>
      <x:c r="E795" s="442" t="str">
        <x:f t="shared" si="123"/>
        <x:v>차량유지비_기타</x:v>
      </x:c>
      <x:c r="F795" s="443"/>
      <x:c r="G795" s="444" t="s">
        <x:v>436</x:v>
      </x:c>
      <x:c r="H795" s="445" t="str">
        <x:f t="shared" si="120"/>
        <x:v>자문위원</x:v>
      </x:c>
      <x:c r="I795" s="446" t="str">
        <x:f t="shared" si="124"/>
        <x:v>[관리비]</x:v>
      </x:c>
      <x:c r="J795" s="445"/>
      <x:c r="K795" s="453">
        <x:v>2508.7615829655724</x:v>
      </x:c>
      <x:c r="L795" s="454">
        <x:v>2508.7615829655724</x:v>
      </x:c>
      <x:c r="M795" s="454">
        <x:v>2508.7615829655724</x:v>
      </x:c>
      <x:c r="N795" s="454">
        <x:v>2508.7615829655724</x:v>
      </x:c>
      <x:c r="O795" s="454">
        <x:v>2508.7615829655724</x:v>
      </x:c>
      <x:c r="P795" s="454">
        <x:v>2508.7615829655724</x:v>
      </x:c>
      <x:c r="Q795" s="454">
        <x:v>2508.7615829655724</x:v>
      </x:c>
      <x:c r="R795" s="454">
        <x:v>2508.7615829655724</x:v>
      </x:c>
      <x:c r="S795" s="454">
        <x:v>2508.7615829655724</x:v>
      </x:c>
      <x:c r="T795" s="454">
        <x:v>2508.7615829655724</x:v>
      </x:c>
      <x:c r="U795" s="454">
        <x:v>2508.7615829655724</x:v>
      </x:c>
      <x:c r="V795" s="455">
        <x:v>2508.7615829655724</x:v>
      </x:c>
      <x:c r="W795" s="456">
        <x:f t="shared" si="125"/>
        <x:v>30105.138995586876</x:v>
      </x:c>
      <x:c r="X795" s="450">
        <x:f t="shared" si="119"/>
        <x:v>2508.7615829655729</x:v>
      </x:c>
      <x:c r="Y795" s="457"/>
      <x:c r="Z795" s="458"/>
      <x:c r="AA795" s="458"/>
      <x:c r="AB795" s="458"/>
      <x:c r="AC795" s="458"/>
      <x:c r="AD795" s="458"/>
      <x:c r="AE795" s="458"/>
    </x:row>
    <x:row r="796" spans="1:31" ht="20.100000000000001" customHeight="1">
      <x:c r="A796" s="439" t="s">
        <x:v>767</x:v>
      </x:c>
      <x:c r="B796" s="466" t="str">
        <x:f t="shared" si="121"/>
        <x:v>기타비용</x:v>
      </x:c>
      <x:c r="C796" s="440" t="str">
        <x:f t="shared" si="122"/>
        <x:v>차량유지비</x:v>
      </x:c>
      <x:c r="D796" s="441">
        <x:v>52359900</x:v>
      </x:c>
      <x:c r="E796" s="442" t="str">
        <x:f t="shared" si="123"/>
        <x:v>차량유지비_기타</x:v>
      </x:c>
      <x:c r="F796" s="443"/>
      <x:c r="G796" s="444" t="s">
        <x:v>89</x:v>
      </x:c>
      <x:c r="H796" s="445" t="str">
        <x:f t="shared" si="120"/>
        <x:v>기획담당</x:v>
      </x:c>
      <x:c r="I796" s="446" t="str">
        <x:f t="shared" si="124"/>
        <x:v>[관리비]</x:v>
      </x:c>
      <x:c r="J796" s="445"/>
      <x:c r="K796" s="453">
        <x:v>4887.197888893973</x:v>
      </x:c>
      <x:c r="L796" s="454">
        <x:v>4887.197888893973</x:v>
      </x:c>
      <x:c r="M796" s="454">
        <x:v>4887.197888893973</x:v>
      </x:c>
      <x:c r="N796" s="454">
        <x:v>4887.197888893973</x:v>
      </x:c>
      <x:c r="O796" s="454">
        <x:v>4887.197888893973</x:v>
      </x:c>
      <x:c r="P796" s="454">
        <x:v>4887.197888893973</x:v>
      </x:c>
      <x:c r="Q796" s="454">
        <x:v>4887.197888893973</x:v>
      </x:c>
      <x:c r="R796" s="454">
        <x:v>4887.197888893973</x:v>
      </x:c>
      <x:c r="S796" s="454">
        <x:v>4887.197888893973</x:v>
      </x:c>
      <x:c r="T796" s="454">
        <x:v>4887.197888893973</x:v>
      </x:c>
      <x:c r="U796" s="454">
        <x:v>4887.197888893973</x:v>
      </x:c>
      <x:c r="V796" s="455">
        <x:v>4887.197888893973</x:v>
      </x:c>
      <x:c r="W796" s="456">
        <x:f t="shared" si="125"/>
        <x:v>58646.374666727665</x:v>
      </x:c>
      <x:c r="X796" s="450">
        <x:f t="shared" si="119"/>
        <x:v>4887.197888893972</x:v>
      </x:c>
      <x:c r="Y796" s="457"/>
      <x:c r="Z796" s="458"/>
      <x:c r="AA796" s="458"/>
      <x:c r="AB796" s="458"/>
      <x:c r="AC796" s="458"/>
      <x:c r="AD796" s="458"/>
      <x:c r="AE796" s="458"/>
    </x:row>
    <x:row r="797" spans="1:31" ht="20.100000000000001" customHeight="1">
      <x:c r="A797" s="439" t="s">
        <x:v>767</x:v>
      </x:c>
      <x:c r="B797" s="466" t="str">
        <x:f t="shared" si="121"/>
        <x:v>기타비용</x:v>
      </x:c>
      <x:c r="C797" s="440" t="str">
        <x:f t="shared" si="122"/>
        <x:v>차량유지비</x:v>
      </x:c>
      <x:c r="D797" s="441">
        <x:v>52359900</x:v>
      </x:c>
      <x:c r="E797" s="442" t="str">
        <x:f t="shared" si="123"/>
        <x:v>차량유지비_기타</x:v>
      </x:c>
      <x:c r="F797" s="443"/>
      <x:c r="G797" s="444" t="s">
        <x:v>318</x:v>
      </x:c>
      <x:c r="H797" s="445" t="str">
        <x:f t="shared" si="120"/>
        <x:v>대표이사</x:v>
      </x:c>
      <x:c r="I797" s="446" t="str">
        <x:f t="shared" si="124"/>
        <x:v>[관리비]</x:v>
      </x:c>
      <x:c r="J797" s="445"/>
      <x:c r="K797" s="453">
        <x:v>4887.197888893973</x:v>
      </x:c>
      <x:c r="L797" s="454">
        <x:v>4887.197888893973</x:v>
      </x:c>
      <x:c r="M797" s="454">
        <x:v>4887.197888893973</x:v>
      </x:c>
      <x:c r="N797" s="454">
        <x:v>4887.197888893973</x:v>
      </x:c>
      <x:c r="O797" s="454">
        <x:v>4887.197888893973</x:v>
      </x:c>
      <x:c r="P797" s="454">
        <x:v>4887.197888893973</x:v>
      </x:c>
      <x:c r="Q797" s="454">
        <x:v>4887.197888893973</x:v>
      </x:c>
      <x:c r="R797" s="454">
        <x:v>4887.197888893973</x:v>
      </x:c>
      <x:c r="S797" s="454">
        <x:v>4887.197888893973</x:v>
      </x:c>
      <x:c r="T797" s="454">
        <x:v>4887.197888893973</x:v>
      </x:c>
      <x:c r="U797" s="454">
        <x:v>4887.197888893973</x:v>
      </x:c>
      <x:c r="V797" s="455">
        <x:v>4887.197888893973</x:v>
      </x:c>
      <x:c r="W797" s="456">
        <x:f t="shared" si="125"/>
        <x:v>58646.374666727665</x:v>
      </x:c>
      <x:c r="X797" s="450">
        <x:f t="shared" si="119"/>
        <x:v>4887.197888893972</x:v>
      </x:c>
      <x:c r="Y797" s="457"/>
      <x:c r="Z797" s="458"/>
      <x:c r="AA797" s="458"/>
      <x:c r="AB797" s="458"/>
      <x:c r="AC797" s="458"/>
      <x:c r="AD797" s="458"/>
      <x:c r="AE797" s="458"/>
    </x:row>
    <x:row r="798" spans="1:31" ht="20.100000000000001" customHeight="1">
      <x:c r="A798" s="439" t="s">
        <x:v>767</x:v>
      </x:c>
      <x:c r="B798" s="466" t="str">
        <x:f t="shared" si="121"/>
        <x:v>기타비용</x:v>
      </x:c>
      <x:c r="C798" s="440" t="str">
        <x:f t="shared" si="122"/>
        <x:v>차량유지비</x:v>
      </x:c>
      <x:c r="D798" s="441">
        <x:v>52359900</x:v>
      </x:c>
      <x:c r="E798" s="442" t="str">
        <x:f t="shared" si="123"/>
        <x:v>차량유지비_기타</x:v>
      </x:c>
      <x:c r="F798" s="443"/>
      <x:c r="G798" s="444" t="s">
        <x:v>93</x:v>
      </x:c>
      <x:c r="H798" s="445" t="str">
        <x:f t="shared" si="120"/>
        <x:v>인사총무담당</x:v>
      </x:c>
      <x:c r="I798" s="446" t="str">
        <x:f t="shared" si="124"/>
        <x:v>[관리비]</x:v>
      </x:c>
      <x:c r="J798" s="445"/>
      <x:c r="K798" s="453">
        <x:v>4887.197888893973</x:v>
      </x:c>
      <x:c r="L798" s="454">
        <x:v>4887.197888893973</x:v>
      </x:c>
      <x:c r="M798" s="454">
        <x:v>4887.197888893973</x:v>
      </x:c>
      <x:c r="N798" s="454">
        <x:v>4887.197888893973</x:v>
      </x:c>
      <x:c r="O798" s="454">
        <x:v>4887.197888893973</x:v>
      </x:c>
      <x:c r="P798" s="454">
        <x:v>4887.197888893973</x:v>
      </x:c>
      <x:c r="Q798" s="454">
        <x:v>4887.197888893973</x:v>
      </x:c>
      <x:c r="R798" s="454">
        <x:v>4887.197888893973</x:v>
      </x:c>
      <x:c r="S798" s="454">
        <x:v>4887.197888893973</x:v>
      </x:c>
      <x:c r="T798" s="454">
        <x:v>4887.197888893973</x:v>
      </x:c>
      <x:c r="U798" s="454">
        <x:v>4887.197888893973</x:v>
      </x:c>
      <x:c r="V798" s="455">
        <x:v>4887.197888893973</x:v>
      </x:c>
      <x:c r="W798" s="456">
        <x:f t="shared" si="125"/>
        <x:v>58646.374666727665</x:v>
      </x:c>
      <x:c r="X798" s="450">
        <x:f t="shared" si="119"/>
        <x:v>4887.197888893972</x:v>
      </x:c>
      <x:c r="Y798" s="457"/>
      <x:c r="Z798" s="458"/>
      <x:c r="AA798" s="458"/>
      <x:c r="AB798" s="458"/>
      <x:c r="AC798" s="458"/>
      <x:c r="AD798" s="458"/>
      <x:c r="AE798" s="458"/>
    </x:row>
    <x:row r="799" spans="1:31" ht="20.100000000000001" customHeight="1">
      <x:c r="A799" s="439" t="s">
        <x:v>767</x:v>
      </x:c>
      <x:c r="B799" s="466" t="str">
        <x:f t="shared" si="121"/>
        <x:v>기타비용</x:v>
      </x:c>
      <x:c r="C799" s="440" t="str">
        <x:f t="shared" si="122"/>
        <x:v>차량유지비</x:v>
      </x:c>
      <x:c r="D799" s="441">
        <x:v>52359900</x:v>
      </x:c>
      <x:c r="E799" s="442" t="str">
        <x:f t="shared" si="123"/>
        <x:v>차량유지비_기타</x:v>
      </x:c>
      <x:c r="F799" s="443"/>
      <x:c r="G799" s="444" t="s">
        <x:v>91</x:v>
      </x:c>
      <x:c r="H799" s="445" t="str">
        <x:f t="shared" si="120"/>
        <x:v>인사총무팀</x:v>
      </x:c>
      <x:c r="I799" s="446" t="str">
        <x:f t="shared" si="124"/>
        <x:v>[관리비]</x:v>
      </x:c>
      <x:c r="J799" s="445"/>
      <x:c r="K799" s="453">
        <x:v>11131.95074692516</x:v>
      </x:c>
      <x:c r="L799" s="454">
        <x:v>11131.95074692516</x:v>
      </x:c>
      <x:c r="M799" s="454">
        <x:v>11131.95074692516</x:v>
      </x:c>
      <x:c r="N799" s="454">
        <x:v>11131.95074692516</x:v>
      </x:c>
      <x:c r="O799" s="454">
        <x:v>11131.95074692516</x:v>
      </x:c>
      <x:c r="P799" s="454">
        <x:v>11131.95074692516</x:v>
      </x:c>
      <x:c r="Q799" s="454">
        <x:v>11131.95074692516</x:v>
      </x:c>
      <x:c r="R799" s="454">
        <x:v>11131.95074692516</x:v>
      </x:c>
      <x:c r="S799" s="454">
        <x:v>11131.95074692516</x:v>
      </x:c>
      <x:c r="T799" s="454">
        <x:v>11131.95074692516</x:v>
      </x:c>
      <x:c r="U799" s="454">
        <x:v>11131.95074692516</x:v>
      </x:c>
      <x:c r="V799" s="455">
        <x:v>11131.95074692516</x:v>
      </x:c>
      <x:c r="W799" s="456">
        <x:f t="shared" si="125"/>
        <x:v>133583.40896310189</x:v>
      </x:c>
      <x:c r="X799" s="450">
        <x:f t="shared" ref="X799:X862" si="126">IFERROR($W799/$Y$1,"")</x:f>
        <x:v>11131.950746925157</x:v>
      </x:c>
      <x:c r="Y799" s="457"/>
      <x:c r="Z799" s="458"/>
      <x:c r="AA799" s="458"/>
      <x:c r="AB799" s="458"/>
      <x:c r="AC799" s="458"/>
      <x:c r="AD799" s="458"/>
      <x:c r="AE799" s="458"/>
    </x:row>
    <x:row r="800" spans="1:31" ht="20.100000000000001" customHeight="1">
      <x:c r="A800" s="439" t="s">
        <x:v>767</x:v>
      </x:c>
      <x:c r="B800" s="466" t="str">
        <x:f t="shared" si="121"/>
        <x:v>기타비용</x:v>
      </x:c>
      <x:c r="C800" s="440" t="str">
        <x:f t="shared" si="122"/>
        <x:v>차량유지비</x:v>
      </x:c>
      <x:c r="D800" s="441">
        <x:v>52359900</x:v>
      </x:c>
      <x:c r="E800" s="442" t="str">
        <x:f t="shared" si="123"/>
        <x:v>차량유지비_기타</x:v>
      </x:c>
      <x:c r="F800" s="443"/>
      <x:c r="G800" s="444" t="s">
        <x:v>95</x:v>
      </x:c>
      <x:c r="H800" s="445" t="str">
        <x:f t="shared" si="120"/>
        <x:v>재경담당</x:v>
      </x:c>
      <x:c r="I800" s="446" t="str">
        <x:f t="shared" si="124"/>
        <x:v>[관리비]</x:v>
      </x:c>
      <x:c r="J800" s="445"/>
      <x:c r="K800" s="453">
        <x:v>4887.197888893973</x:v>
      </x:c>
      <x:c r="L800" s="454">
        <x:v>4887.197888893973</x:v>
      </x:c>
      <x:c r="M800" s="454">
        <x:v>4887.197888893973</x:v>
      </x:c>
      <x:c r="N800" s="454">
        <x:v>4887.197888893973</x:v>
      </x:c>
      <x:c r="O800" s="454">
        <x:v>4887.197888893973</x:v>
      </x:c>
      <x:c r="P800" s="454">
        <x:v>4887.197888893973</x:v>
      </x:c>
      <x:c r="Q800" s="454">
        <x:v>4887.197888893973</x:v>
      </x:c>
      <x:c r="R800" s="454">
        <x:v>4887.197888893973</x:v>
      </x:c>
      <x:c r="S800" s="454">
        <x:v>4887.197888893973</x:v>
      </x:c>
      <x:c r="T800" s="454">
        <x:v>4887.197888893973</x:v>
      </x:c>
      <x:c r="U800" s="454">
        <x:v>4887.197888893973</x:v>
      </x:c>
      <x:c r="V800" s="455">
        <x:v>4887.197888893973</x:v>
      </x:c>
      <x:c r="W800" s="456">
        <x:f t="shared" si="125"/>
        <x:v>58646.374666727665</x:v>
      </x:c>
      <x:c r="X800" s="450">
        <x:f t="shared" si="126"/>
        <x:v>4887.197888893972</x:v>
      </x:c>
      <x:c r="Y800" s="457"/>
      <x:c r="Z800" s="458"/>
      <x:c r="AA800" s="458"/>
      <x:c r="AB800" s="458"/>
      <x:c r="AC800" s="458"/>
      <x:c r="AD800" s="458"/>
      <x:c r="AE800" s="458"/>
    </x:row>
    <x:row r="801" spans="1:31" ht="20.100000000000001" customHeight="1">
      <x:c r="A801" s="439" t="s">
        <x:v>767</x:v>
      </x:c>
      <x:c r="B801" s="466" t="str">
        <x:f t="shared" si="121"/>
        <x:v>기타비용</x:v>
      </x:c>
      <x:c r="C801" s="440" t="str">
        <x:f t="shared" si="122"/>
        <x:v>차량유지비</x:v>
      </x:c>
      <x:c r="D801" s="441">
        <x:v>52350101</x:v>
      </x:c>
      <x:c r="E801" s="442" t="str">
        <x:f t="shared" si="123"/>
        <x:v>차량유지비_유류대</x:v>
      </x:c>
      <x:c r="F801" s="443"/>
      <x:c r="G801" s="444" t="s">
        <x:v>87</x:v>
      </x:c>
      <x:c r="H801" s="445" t="str">
        <x:f t="shared" si="120"/>
        <x:v>기획팀</x:v>
      </x:c>
      <x:c r="I801" s="446" t="str">
        <x:f t="shared" si="124"/>
        <x:v>[관리비]</x:v>
      </x:c>
      <x:c r="J801" s="445"/>
      <x:c r="K801" s="453">
        <x:v>403.00678492689383</x:v>
      </x:c>
      <x:c r="L801" s="454">
        <x:v>403.00678492689383</x:v>
      </x:c>
      <x:c r="M801" s="454">
        <x:v>403.00678492689383</x:v>
      </x:c>
      <x:c r="N801" s="454">
        <x:v>403.00678492689383</x:v>
      </x:c>
      <x:c r="O801" s="454">
        <x:v>403.00678492689383</x:v>
      </x:c>
      <x:c r="P801" s="454">
        <x:v>403.00678492689383</x:v>
      </x:c>
      <x:c r="Q801" s="454">
        <x:v>403.00678492689383</x:v>
      </x:c>
      <x:c r="R801" s="454">
        <x:v>403.00678492689383</x:v>
      </x:c>
      <x:c r="S801" s="454">
        <x:v>403.00678492689383</x:v>
      </x:c>
      <x:c r="T801" s="454">
        <x:v>403.00678492689383</x:v>
      </x:c>
      <x:c r="U801" s="454">
        <x:v>403.00678492689383</x:v>
      </x:c>
      <x:c r="V801" s="455">
        <x:v>403.00678492689383</x:v>
      </x:c>
      <x:c r="W801" s="456">
        <x:f t="shared" si="125"/>
        <x:v>4836.0814191227264</x:v>
      </x:c>
      <x:c r="X801" s="450">
        <x:f t="shared" si="126"/>
        <x:v>403.00678492689389</x:v>
      </x:c>
      <x:c r="Y801" s="457"/>
      <x:c r="Z801" s="458"/>
      <x:c r="AA801" s="458"/>
      <x:c r="AB801" s="458"/>
      <x:c r="AC801" s="458"/>
      <x:c r="AD801" s="458"/>
      <x:c r="AE801" s="458"/>
    </x:row>
    <x:row r="802" spans="1:31" ht="20.100000000000001" customHeight="1">
      <x:c r="A802" s="439" t="s">
        <x:v>767</x:v>
      </x:c>
      <x:c r="B802" s="466" t="str">
        <x:f t="shared" si="121"/>
        <x:v>기타비용</x:v>
      </x:c>
      <x:c r="C802" s="440" t="str">
        <x:f t="shared" si="122"/>
        <x:v>차량유지비</x:v>
      </x:c>
      <x:c r="D802" s="441">
        <x:v>52350101</x:v>
      </x:c>
      <x:c r="E802" s="442" t="str">
        <x:f t="shared" si="123"/>
        <x:v>차량유지비_유류대</x:v>
      </x:c>
      <x:c r="F802" s="443"/>
      <x:c r="G802" s="444" t="s">
        <x:v>91</x:v>
      </x:c>
      <x:c r="H802" s="445" t="str">
        <x:f t="shared" si="120"/>
        <x:v>인사총무팀</x:v>
      </x:c>
      <x:c r="I802" s="446" t="str">
        <x:f t="shared" si="124"/>
        <x:v>[관리비]</x:v>
      </x:c>
      <x:c r="J802" s="445"/>
      <x:c r="K802" s="453">
        <x:v>7439.2805593191242</x:v>
      </x:c>
      <x:c r="L802" s="454">
        <x:v>7439.2805593191242</x:v>
      </x:c>
      <x:c r="M802" s="454">
        <x:v>7439.2805593191242</x:v>
      </x:c>
      <x:c r="N802" s="454">
        <x:v>7439.2805593191242</x:v>
      </x:c>
      <x:c r="O802" s="454">
        <x:v>7439.2805593191242</x:v>
      </x:c>
      <x:c r="P802" s="454">
        <x:v>7439.2805593191242</x:v>
      </x:c>
      <x:c r="Q802" s="454">
        <x:v>7439.2805593191242</x:v>
      </x:c>
      <x:c r="R802" s="454">
        <x:v>7439.2805593191242</x:v>
      </x:c>
      <x:c r="S802" s="454">
        <x:v>7439.2805593191242</x:v>
      </x:c>
      <x:c r="T802" s="454">
        <x:v>7439.2805593191242</x:v>
      </x:c>
      <x:c r="U802" s="454">
        <x:v>7439.2805593191242</x:v>
      </x:c>
      <x:c r="V802" s="455">
        <x:v>7439.2805593191242</x:v>
      </x:c>
      <x:c r="W802" s="456">
        <x:f t="shared" si="125"/>
        <x:v>89271.366711829498</x:v>
      </x:c>
      <x:c r="X802" s="450">
        <x:f t="shared" si="126"/>
        <x:v>7439.2805593191251</x:v>
      </x:c>
      <x:c r="Y802" s="457"/>
      <x:c r="Z802" s="458"/>
      <x:c r="AA802" s="458"/>
      <x:c r="AB802" s="458"/>
      <x:c r="AC802" s="458"/>
      <x:c r="AD802" s="458"/>
      <x:c r="AE802" s="458"/>
    </x:row>
    <x:row r="803" spans="1:31" ht="20.100000000000001" customHeight="1">
      <x:c r="A803" s="439" t="s">
        <x:v>767</x:v>
      </x:c>
      <x:c r="B803" s="466" t="str">
        <x:f t="shared" si="121"/>
        <x:v>기타비용</x:v>
      </x:c>
      <x:c r="C803" s="440" t="str">
        <x:f t="shared" si="122"/>
        <x:v>차량유지비</x:v>
      </x:c>
      <x:c r="D803" s="441">
        <x:v>52350101</x:v>
      </x:c>
      <x:c r="E803" s="442" t="str">
        <x:f t="shared" si="123"/>
        <x:v>차량유지비_유류대</x:v>
      </x:c>
      <x:c r="F803" s="443"/>
      <x:c r="G803" s="444" t="s">
        <x:v>97</x:v>
      </x:c>
      <x:c r="H803" s="445" t="str">
        <x:f t="shared" si="120"/>
        <x:v>재경팀</x:v>
      </x:c>
      <x:c r="I803" s="446" t="str">
        <x:f t="shared" si="124"/>
        <x:v>[관리비]</x:v>
      </x:c>
      <x:c r="J803" s="445"/>
      <x:c r="K803" s="453">
        <x:v>4999.8749513323619</x:v>
      </x:c>
      <x:c r="L803" s="454">
        <x:v>4999.8749513323619</x:v>
      </x:c>
      <x:c r="M803" s="454">
        <x:v>4999.8749513323619</x:v>
      </x:c>
      <x:c r="N803" s="454">
        <x:v>4999.8749513323619</x:v>
      </x:c>
      <x:c r="O803" s="454">
        <x:v>4999.8749513323619</x:v>
      </x:c>
      <x:c r="P803" s="454">
        <x:v>4999.8749513323619</x:v>
      </x:c>
      <x:c r="Q803" s="454">
        <x:v>4999.8749513323619</x:v>
      </x:c>
      <x:c r="R803" s="454">
        <x:v>4999.8749513323619</x:v>
      </x:c>
      <x:c r="S803" s="454">
        <x:v>4999.8749513323619</x:v>
      </x:c>
      <x:c r="T803" s="454">
        <x:v>4999.8749513323619</x:v>
      </x:c>
      <x:c r="U803" s="454">
        <x:v>4999.8749513323619</x:v>
      </x:c>
      <x:c r="V803" s="455">
        <x:v>4999.8749513323619</x:v>
      </x:c>
      <x:c r="W803" s="456">
        <x:f t="shared" si="125"/>
        <x:v>59998.499415988357</x:v>
      </x:c>
      <x:c r="X803" s="450">
        <x:f t="shared" si="126"/>
        <x:v>4999.8749513323628</x:v>
      </x:c>
      <x:c r="Y803" s="457"/>
      <x:c r="Z803" s="458"/>
      <x:c r="AA803" s="458"/>
      <x:c r="AB803" s="458"/>
      <x:c r="AC803" s="458"/>
      <x:c r="AD803" s="458"/>
      <x:c r="AE803" s="458"/>
    </x:row>
    <x:row r="804" spans="1:31" ht="20.100000000000001" customHeight="1">
      <x:c r="A804" s="439" t="s">
        <x:v>767</x:v>
      </x:c>
      <x:c r="B804" s="466" t="str">
        <x:f t="shared" si="121"/>
        <x:v>기타비용</x:v>
      </x:c>
      <x:c r="C804" s="440" t="str">
        <x:f t="shared" si="122"/>
        <x:v>차량유지비</x:v>
      </x:c>
      <x:c r="D804" s="441">
        <x:v>52350101</x:v>
      </x:c>
      <x:c r="E804" s="442" t="str">
        <x:f t="shared" si="123"/>
        <x:v>차량유지비_유류대</x:v>
      </x:c>
      <x:c r="F804" s="443"/>
      <x:c r="G804" s="444" t="s">
        <x:v>119</x:v>
      </x:c>
      <x:c r="H804" s="445" t="str">
        <x:f t="shared" si="120"/>
        <x:v>KiB 클러스터</x:v>
      </x:c>
      <x:c r="I804" s="446" t="str">
        <x:f t="shared" si="124"/>
        <x:v>[관리비]</x:v>
      </x:c>
      <x:c r="J804" s="445"/>
      <x:c r="K804" s="453">
        <x:v>32216.281778458611</x:v>
      </x:c>
      <x:c r="L804" s="454">
        <x:v>32216.281778458611</x:v>
      </x:c>
      <x:c r="M804" s="454">
        <x:v>32216.281778458611</x:v>
      </x:c>
      <x:c r="N804" s="454">
        <x:v>32216.281778458611</x:v>
      </x:c>
      <x:c r="O804" s="454">
        <x:v>32216.281778458611</x:v>
      </x:c>
      <x:c r="P804" s="454">
        <x:v>32216.281778458611</x:v>
      </x:c>
      <x:c r="Q804" s="454">
        <x:v>32216.281778458611</x:v>
      </x:c>
      <x:c r="R804" s="454">
        <x:v>32216.281778458611</x:v>
      </x:c>
      <x:c r="S804" s="454">
        <x:v>32216.281778458611</x:v>
      </x:c>
      <x:c r="T804" s="454">
        <x:v>32216.281778458611</x:v>
      </x:c>
      <x:c r="U804" s="454">
        <x:v>32216.281778458611</x:v>
      </x:c>
      <x:c r="V804" s="455">
        <x:v>32216.281778458611</x:v>
      </x:c>
      <x:c r="W804" s="456">
        <x:f t="shared" si="125"/>
        <x:v>386595.38134150341</x:v>
      </x:c>
      <x:c r="X804" s="450">
        <x:f t="shared" si="126"/>
        <x:v>32216.281778458619</x:v>
      </x:c>
      <x:c r="Y804" s="457"/>
      <x:c r="Z804" s="458"/>
      <x:c r="AA804" s="458"/>
      <x:c r="AB804" s="458"/>
      <x:c r="AC804" s="458"/>
      <x:c r="AD804" s="458"/>
      <x:c r="AE804" s="458"/>
    </x:row>
    <x:row r="805" spans="1:31" ht="20.100000000000001" customHeight="1">
      <x:c r="A805" s="439" t="s">
        <x:v>767</x:v>
      </x:c>
      <x:c r="B805" s="466" t="str">
        <x:f t="shared" si="121"/>
        <x:v>기타비용</x:v>
      </x:c>
      <x:c r="C805" s="440" t="str">
        <x:f t="shared" si="122"/>
        <x:v>통신비</x:v>
      </x:c>
      <x:c r="D805" s="441">
        <x:v>52169900</x:v>
      </x:c>
      <x:c r="E805" s="442" t="str">
        <x:f t="shared" si="123"/>
        <x:v>통신비_기타</x:v>
      </x:c>
      <x:c r="F805" s="443"/>
      <x:c r="G805" s="444" t="s">
        <x:v>119</x:v>
      </x:c>
      <x:c r="H805" s="445" t="str">
        <x:f t="shared" si="120"/>
        <x:v>KiB 클러스터</x:v>
      </x:c>
      <x:c r="I805" s="446" t="str">
        <x:f t="shared" si="124"/>
        <x:v>[관리비]</x:v>
      </x:c>
      <x:c r="J805" s="445"/>
      <x:c r="K805" s="453">
        <x:v>2012.4394862490069</x:v>
      </x:c>
      <x:c r="L805" s="454">
        <x:v>2012.4394862490069</x:v>
      </x:c>
      <x:c r="M805" s="454">
        <x:v>2012.4394862490069</x:v>
      </x:c>
      <x:c r="N805" s="454">
        <x:v>2012.4394862490069</x:v>
      </x:c>
      <x:c r="O805" s="454">
        <x:v>2012.4394862490069</x:v>
      </x:c>
      <x:c r="P805" s="454">
        <x:v>2012.4394862490069</x:v>
      </x:c>
      <x:c r="Q805" s="454">
        <x:v>2012.4394862490069</x:v>
      </x:c>
      <x:c r="R805" s="454">
        <x:v>2012.4394862490069</x:v>
      </x:c>
      <x:c r="S805" s="454">
        <x:v>2012.4394862490069</x:v>
      </x:c>
      <x:c r="T805" s="454">
        <x:v>2012.4394862490069</x:v>
      </x:c>
      <x:c r="U805" s="454">
        <x:v>2012.4394862490069</x:v>
      </x:c>
      <x:c r="V805" s="455">
        <x:v>2012.4394862490069</x:v>
      </x:c>
      <x:c r="W805" s="456">
        <x:f t="shared" si="125"/>
        <x:v>24149.273834988086</x:v>
      </x:c>
      <x:c r="X805" s="450">
        <x:f t="shared" si="126"/>
        <x:v>2012.4394862490071</x:v>
      </x:c>
      <x:c r="Y805" s="457"/>
      <x:c r="Z805" s="458"/>
      <x:c r="AA805" s="458"/>
      <x:c r="AB805" s="458"/>
      <x:c r="AC805" s="458"/>
      <x:c r="AD805" s="458"/>
      <x:c r="AE805" s="458"/>
    </x:row>
    <x:row r="806" spans="1:31" ht="20.100000000000001" customHeight="1">
      <x:c r="A806" s="439" t="s">
        <x:v>767</x:v>
      </x:c>
      <x:c r="B806" s="466" t="str">
        <x:f t="shared" si="121"/>
        <x:v>기타비용</x:v>
      </x:c>
      <x:c r="C806" s="440" t="str">
        <x:f t="shared" si="122"/>
        <x:v>통신비</x:v>
      </x:c>
      <x:c r="D806" s="441">
        <x:v>52169900</x:v>
      </x:c>
      <x:c r="E806" s="442" t="str">
        <x:f t="shared" si="123"/>
        <x:v>통신비_기타</x:v>
      </x:c>
      <x:c r="F806" s="443"/>
      <x:c r="G806" s="444" t="s">
        <x:v>119</x:v>
      </x:c>
      <x:c r="H806" s="445" t="str">
        <x:f t="shared" si="120"/>
        <x:v>KiB 클러스터</x:v>
      </x:c>
      <x:c r="I806" s="446" t="str">
        <x:f t="shared" si="124"/>
        <x:v>[관리비]</x:v>
      </x:c>
      <x:c r="J806" s="445"/>
      <x:c r="K806" s="453">
        <x:v>3939.6245204361967</x:v>
      </x:c>
      <x:c r="L806" s="454">
        <x:v>3939.6245204361967</x:v>
      </x:c>
      <x:c r="M806" s="454">
        <x:v>3939.6245204361967</x:v>
      </x:c>
      <x:c r="N806" s="454">
        <x:v>3939.6245204361967</x:v>
      </x:c>
      <x:c r="O806" s="454">
        <x:v>3939.6245204361967</x:v>
      </x:c>
      <x:c r="P806" s="454">
        <x:v>3939.6245204361967</x:v>
      </x:c>
      <x:c r="Q806" s="454">
        <x:v>3939.6245204361967</x:v>
      </x:c>
      <x:c r="R806" s="454">
        <x:v>3939.6245204361967</x:v>
      </x:c>
      <x:c r="S806" s="454">
        <x:v>3939.6245204361967</x:v>
      </x:c>
      <x:c r="T806" s="454">
        <x:v>3939.6245204361967</x:v>
      </x:c>
      <x:c r="U806" s="454">
        <x:v>3939.6245204361967</x:v>
      </x:c>
      <x:c r="V806" s="455">
        <x:v>3939.6245204361967</x:v>
      </x:c>
      <x:c r="W806" s="456">
        <x:f t="shared" si="125"/>
        <x:v>47275.494245234375</x:v>
      </x:c>
      <x:c r="X806" s="450">
        <x:f t="shared" si="126"/>
        <x:v>3939.6245204361981</x:v>
      </x:c>
      <x:c r="Y806" s="457"/>
      <x:c r="Z806" s="458"/>
      <x:c r="AA806" s="458"/>
      <x:c r="AB806" s="458"/>
      <x:c r="AC806" s="458"/>
      <x:c r="AD806" s="458"/>
      <x:c r="AE806" s="458"/>
    </x:row>
    <x:row r="807" spans="1:31" ht="20.100000000000001" customHeight="1">
      <x:c r="A807" s="439" t="s">
        <x:v>767</x:v>
      </x:c>
      <x:c r="B807" s="466" t="str">
        <x:f t="shared" si="121"/>
        <x:v>기타비용</x:v>
      </x:c>
      <x:c r="C807" s="440" t="str">
        <x:f t="shared" si="122"/>
        <x:v>통신비</x:v>
      </x:c>
      <x:c r="D807" s="441">
        <x:v>52160101</x:v>
      </x:c>
      <x:c r="E807" s="442" t="str">
        <x:f t="shared" si="123"/>
        <x:v>통신비_전화료</x:v>
      </x:c>
      <x:c r="F807" s="443"/>
      <x:c r="G807" s="444" t="s">
        <x:v>119</x:v>
      </x:c>
      <x:c r="H807" s="445" t="str">
        <x:f t="shared" si="120"/>
        <x:v>KiB 클러스터</x:v>
      </x:c>
      <x:c r="I807" s="446" t="str">
        <x:f t="shared" si="124"/>
        <x:v>[관리비]</x:v>
      </x:c>
      <x:c r="J807" s="445"/>
      <x:c r="K807" s="453">
        <x:v>1676.9605022758185</x:v>
      </x:c>
      <x:c r="L807" s="454">
        <x:v>1676.9605022758185</x:v>
      </x:c>
      <x:c r="M807" s="454">
        <x:v>1676.9605022758185</x:v>
      </x:c>
      <x:c r="N807" s="454">
        <x:v>1676.9605022758185</x:v>
      </x:c>
      <x:c r="O807" s="454">
        <x:v>1676.9605022758185</x:v>
      </x:c>
      <x:c r="P807" s="454">
        <x:v>1676.9605022758185</x:v>
      </x:c>
      <x:c r="Q807" s="454">
        <x:v>1676.9605022758185</x:v>
      </x:c>
      <x:c r="R807" s="454">
        <x:v>1676.9605022758185</x:v>
      </x:c>
      <x:c r="S807" s="454">
        <x:v>1676.9605022758185</x:v>
      </x:c>
      <x:c r="T807" s="454">
        <x:v>1676.9605022758185</x:v>
      </x:c>
      <x:c r="U807" s="454">
        <x:v>1676.9605022758185</x:v>
      </x:c>
      <x:c r="V807" s="455">
        <x:v>1676.9605022758185</x:v>
      </x:c>
      <x:c r="W807" s="456">
        <x:f t="shared" si="125"/>
        <x:v>20123.526027309821</x:v>
      </x:c>
      <x:c r="X807" s="450">
        <x:f t="shared" si="126"/>
        <x:v>1676.9605022758185</x:v>
      </x:c>
      <x:c r="Y807" s="457"/>
      <x:c r="Z807" s="458"/>
      <x:c r="AA807" s="458"/>
      <x:c r="AB807" s="458"/>
      <x:c r="AC807" s="458"/>
      <x:c r="AD807" s="458"/>
      <x:c r="AE807" s="458"/>
    </x:row>
    <x:row r="808" spans="1:31" ht="20.100000000000001" customHeight="1">
      <x:c r="A808" s="439" t="s">
        <x:v>767</x:v>
      </x:c>
      <x:c r="B808" s="466" t="str">
        <x:f t="shared" si="121"/>
        <x:v>기타비용</x:v>
      </x:c>
      <x:c r="C808" s="440" t="str">
        <x:f t="shared" si="122"/>
        <x:v>통신비</x:v>
      </x:c>
      <x:c r="D808" s="441">
        <x:v>52160101</x:v>
      </x:c>
      <x:c r="E808" s="442" t="str">
        <x:f t="shared" si="123"/>
        <x:v>통신비_전화료</x:v>
      </x:c>
      <x:c r="F808" s="443"/>
      <x:c r="G808" s="444" t="s">
        <x:v>119</x:v>
      </x:c>
      <x:c r="H808" s="445" t="str">
        <x:f t="shared" si="120"/>
        <x:v>KiB 클러스터</x:v>
      </x:c>
      <x:c r="I808" s="446" t="str">
        <x:f t="shared" si="124"/>
        <x:v>[관리비]</x:v>
      </x:c>
      <x:c r="J808" s="445"/>
      <x:c r="K808" s="453">
        <x:v>23720.069255945662</x:v>
      </x:c>
      <x:c r="L808" s="454">
        <x:v>23720.069255945662</x:v>
      </x:c>
      <x:c r="M808" s="454">
        <x:v>23720.069255945662</x:v>
      </x:c>
      <x:c r="N808" s="454">
        <x:v>23720.069255945662</x:v>
      </x:c>
      <x:c r="O808" s="454">
        <x:v>23720.069255945662</x:v>
      </x:c>
      <x:c r="P808" s="454">
        <x:v>23720.069255945662</x:v>
      </x:c>
      <x:c r="Q808" s="454">
        <x:v>23720.069255945662</x:v>
      </x:c>
      <x:c r="R808" s="454">
        <x:v>23720.069255945662</x:v>
      </x:c>
      <x:c r="S808" s="454">
        <x:v>23720.069255945662</x:v>
      </x:c>
      <x:c r="T808" s="454">
        <x:v>23720.069255945662</x:v>
      </x:c>
      <x:c r="U808" s="454">
        <x:v>23720.069255945662</x:v>
      </x:c>
      <x:c r="V808" s="455">
        <x:v>23720.069255945662</x:v>
      </x:c>
      <x:c r="W808" s="456">
        <x:f t="shared" si="125"/>
        <x:v>284640.83107134787</x:v>
      </x:c>
      <x:c r="X808" s="450">
        <x:f t="shared" si="126"/>
        <x:v>23720.069255945655</x:v>
      </x:c>
      <x:c r="Y808" s="457"/>
      <x:c r="Z808" s="458"/>
      <x:c r="AA808" s="458"/>
      <x:c r="AB808" s="458"/>
      <x:c r="AC808" s="458"/>
      <x:c r="AD808" s="458"/>
      <x:c r="AE808" s="458"/>
    </x:row>
    <x:row r="809" spans="1:31" ht="20.100000000000001" customHeight="1">
      <x:c r="A809" s="439" t="s">
        <x:v>767</x:v>
      </x:c>
      <x:c r="B809" s="466" t="str">
        <x:f t="shared" si="121"/>
        <x:v>기타비용</x:v>
      </x:c>
      <x:c r="C809" s="440" t="str">
        <x:f t="shared" si="122"/>
        <x:v>통신비</x:v>
      </x:c>
      <x:c r="D809" s="441">
        <x:v>52160101</x:v>
      </x:c>
      <x:c r="E809" s="442" t="str">
        <x:f t="shared" si="123"/>
        <x:v>통신비_전화료</x:v>
      </x:c>
      <x:c r="F809" s="443"/>
      <x:c r="G809" s="444" t="s">
        <x:v>119</x:v>
      </x:c>
      <x:c r="H809" s="445" t="str">
        <x:f t="shared" si="120"/>
        <x:v>KiB 클러스터</x:v>
      </x:c>
      <x:c r="I809" s="446" t="str">
        <x:f t="shared" si="124"/>
        <x:v>[관리비]</x:v>
      </x:c>
      <x:c r="J809" s="445"/>
      <x:c r="K809" s="453">
        <x:v>190.05769567921004</x:v>
      </x:c>
      <x:c r="L809" s="454">
        <x:v>190.05769567921004</x:v>
      </x:c>
      <x:c r="M809" s="454">
        <x:v>190.05769567921004</x:v>
      </x:c>
      <x:c r="N809" s="454">
        <x:v>190.05769567921004</x:v>
      </x:c>
      <x:c r="O809" s="454">
        <x:v>190.05769567921004</x:v>
      </x:c>
      <x:c r="P809" s="454">
        <x:v>190.05769567921004</x:v>
      </x:c>
      <x:c r="Q809" s="454">
        <x:v>190.05769567921004</x:v>
      </x:c>
      <x:c r="R809" s="454">
        <x:v>190.05769567921004</x:v>
      </x:c>
      <x:c r="S809" s="454">
        <x:v>190.05769567921004</x:v>
      </x:c>
      <x:c r="T809" s="454">
        <x:v>190.05769567921004</x:v>
      </x:c>
      <x:c r="U809" s="454">
        <x:v>190.05769567921004</x:v>
      </x:c>
      <x:c r="V809" s="455">
        <x:v>190.05769567921004</x:v>
      </x:c>
      <x:c r="W809" s="456">
        <x:f t="shared" si="125"/>
        <x:v>2280.692348150521</x:v>
      </x:c>
      <x:c r="X809" s="450">
        <x:f t="shared" si="126"/>
        <x:v>190.05769567921007</x:v>
      </x:c>
      <x:c r="Y809" s="457"/>
      <x:c r="Z809" s="458"/>
      <x:c r="AA809" s="458"/>
      <x:c r="AB809" s="458"/>
      <x:c r="AC809" s="458"/>
      <x:c r="AD809" s="458"/>
      <x:c r="AE809" s="458"/>
    </x:row>
    <x:row r="810" spans="1:31" ht="20.100000000000001" customHeight="1">
      <x:c r="A810" s="439" t="s">
        <x:v>767</x:v>
      </x:c>
      <x:c r="B810" s="466" t="str">
        <x:f t="shared" si="121"/>
        <x:v>복리후생비</x:v>
      </x:c>
      <x:c r="C810" s="440" t="str">
        <x:f t="shared" si="122"/>
        <x:v>후생비</x:v>
      </x:c>
      <x:c r="D810" s="441">
        <x:v>52139900</x:v>
      </x:c>
      <x:c r="E810" s="442" t="str">
        <x:f t="shared" si="123"/>
        <x:v>후생비_기타</x:v>
      </x:c>
      <x:c r="F810" s="443"/>
      <x:c r="G810" s="444" t="s">
        <x:v>91</x:v>
      </x:c>
      <x:c r="H810" s="445" t="str">
        <x:f t="shared" si="120"/>
        <x:v>인사총무팀</x:v>
      </x:c>
      <x:c r="I810" s="446" t="str">
        <x:f t="shared" si="124"/>
        <x:v>[관리비]</x:v>
      </x:c>
      <x:c r="J810" s="445"/>
      <x:c r="K810" s="453">
        <x:v>0</x:v>
      </x:c>
      <x:c r="L810" s="454">
        <x:v>0</x:v>
      </x:c>
      <x:c r="M810" s="454">
        <x:v>0</x:v>
      </x:c>
      <x:c r="N810" s="454">
        <x:v>0</x:v>
      </x:c>
      <x:c r="O810" s="454">
        <x:v>0</x:v>
      </x:c>
      <x:c r="P810" s="454">
        <x:v>0</x:v>
      </x:c>
      <x:c r="Q810" s="454">
        <x:v>0</x:v>
      </x:c>
      <x:c r="R810" s="454">
        <x:v>0</x:v>
      </x:c>
      <x:c r="S810" s="454">
        <x:v>88403.979590215415</x:v>
      </x:c>
      <x:c r="T810" s="454">
        <x:v>0</x:v>
      </x:c>
      <x:c r="U810" s="454">
        <x:v>0</x:v>
      </x:c>
      <x:c r="V810" s="455">
        <x:v>0</x:v>
      </x:c>
      <x:c r="W810" s="456">
        <x:f t="shared" si="125"/>
        <x:v>88403.979590215415</x:v>
      </x:c>
      <x:c r="X810" s="450">
        <x:f t="shared" si="126"/>
        <x:v>7366.9982991846182</x:v>
      </x:c>
      <x:c r="Y810" s="457"/>
      <x:c r="Z810" s="458"/>
      <x:c r="AA810" s="458"/>
      <x:c r="AB810" s="458"/>
      <x:c r="AC810" s="458"/>
      <x:c r="AD810" s="458"/>
      <x:c r="AE810" s="458"/>
    </x:row>
    <x:row r="811" spans="1:31" ht="20.100000000000001" customHeight="1">
      <x:c r="A811" s="439" t="s">
        <x:v>767</x:v>
      </x:c>
      <x:c r="B811" s="466" t="str">
        <x:f t="shared" si="121"/>
        <x:v>복리후생비</x:v>
      </x:c>
      <x:c r="C811" s="440" t="str">
        <x:f t="shared" si="122"/>
        <x:v>후생비</x:v>
      </x:c>
      <x:c r="D811" s="441">
        <x:v>52139900</x:v>
      </x:c>
      <x:c r="E811" s="442" t="str">
        <x:f t="shared" si="123"/>
        <x:v>후생비_기타</x:v>
      </x:c>
      <x:c r="F811" s="443"/>
      <x:c r="G811" s="444" t="s">
        <x:v>91</x:v>
      </x:c>
      <x:c r="H811" s="445" t="str">
        <x:f t="shared" si="120"/>
        <x:v>인사총무팀</x:v>
      </x:c>
      <x:c r="I811" s="446" t="str">
        <x:f t="shared" si="124"/>
        <x:v>[관리비]</x:v>
      </x:c>
      <x:c r="J811" s="445"/>
      <x:c r="K811" s="453">
        <x:v>0</x:v>
      </x:c>
      <x:c r="L811" s="454">
        <x:v>286567.52738574625</x:v>
      </x:c>
      <x:c r="M811" s="454">
        <x:v>0</x:v>
      </x:c>
      <x:c r="N811" s="454">
        <x:v>0</x:v>
      </x:c>
      <x:c r="O811" s="454">
        <x:v>0</x:v>
      </x:c>
      <x:c r="P811" s="454">
        <x:v>0</x:v>
      </x:c>
      <x:c r="Q811" s="454">
        <x:v>0</x:v>
      </x:c>
      <x:c r="R811" s="454">
        <x:v>0</x:v>
      </x:c>
      <x:c r="S811" s="454">
        <x:v>267808.56131121441</x:v>
      </x:c>
      <x:c r="T811" s="454">
        <x:v>0</x:v>
      </x:c>
      <x:c r="U811" s="454">
        <x:v>0</x:v>
      </x:c>
      <x:c r="V811" s="455">
        <x:v>0</x:v>
      </x:c>
      <x:c r="W811" s="456">
        <x:f t="shared" si="125"/>
        <x:v>554376.08869696059</x:v>
      </x:c>
      <x:c r="X811" s="450">
        <x:f t="shared" si="126"/>
        <x:v>46198.007391413383</x:v>
      </x:c>
      <x:c r="Y811" s="457"/>
      <x:c r="Z811" s="458"/>
      <x:c r="AA811" s="458"/>
      <x:c r="AB811" s="458"/>
      <x:c r="AC811" s="458"/>
      <x:c r="AD811" s="458"/>
      <x:c r="AE811" s="458"/>
    </x:row>
    <x:row r="812" spans="1:31" ht="20.100000000000001" customHeight="1">
      <x:c r="A812" s="439" t="s">
        <x:v>767</x:v>
      </x:c>
      <x:c r="B812" s="466" t="str">
        <x:f t="shared" si="121"/>
        <x:v>복리후생비</x:v>
      </x:c>
      <x:c r="C812" s="440" t="str">
        <x:f t="shared" si="122"/>
        <x:v>후생비</x:v>
      </x:c>
      <x:c r="D812" s="441">
        <x:v>52130129</x:v>
      </x:c>
      <x:c r="E812" s="442" t="str">
        <x:f t="shared" si="123"/>
        <x:v>후생비_식당경비</x:v>
      </x:c>
      <x:c r="F812" s="443"/>
      <x:c r="G812" s="444" t="s">
        <x:v>119</x:v>
      </x:c>
      <x:c r="H812" s="445" t="str">
        <x:f t="shared" si="120"/>
        <x:v>KiB 클러스터</x:v>
      </x:c>
      <x:c r="I812" s="446" t="str">
        <x:f t="shared" si="124"/>
        <x:v>[관리비]</x:v>
      </x:c>
      <x:c r="J812" s="445"/>
      <x:c r="K812" s="453">
        <x:v>2508761.5829655728</x:v>
      </x:c>
      <x:c r="L812" s="454">
        <x:v>2007009.2663724581</x:v>
      </x:c>
      <x:c r="M812" s="454">
        <x:v>2634199.6621138514</x:v>
      </x:c>
      <x:c r="N812" s="454">
        <x:v>2759637.74126213</x:v>
      </x:c>
      <x:c r="O812" s="454">
        <x:v>2257885.4246690152</x:v>
      </x:c>
      <x:c r="P812" s="454">
        <x:v>2634199.6621138514</x:v>
      </x:c>
      <x:c r="Q812" s="454">
        <x:v>2885075.8204104085</x:v>
      </x:c>
      <x:c r="R812" s="454">
        <x:v>1881571.1872241795</x:v>
      </x:c>
      <x:c r="S812" s="454">
        <x:v>2290466.7439283086</x:v>
      </x:c>
      <x:c r="T812" s="454">
        <x:v>2508761.5829655728</x:v>
      </x:c>
      <x:c r="U812" s="454">
        <x:v>2634199.6621138514</x:v>
      </x:c>
      <x:c r="V812" s="455">
        <x:v>2759637.74126213</x:v>
      </x:c>
      <x:c r="W812" s="456">
        <x:f t="shared" si="125"/>
        <x:v>29761406.077401333</x:v>
      </x:c>
      <x:c r="X812" s="450">
        <x:f t="shared" si="126"/>
        <x:v>2480117.1731167776</x:v>
      </x:c>
      <x:c r="Y812" s="457"/>
      <x:c r="Z812" s="458"/>
      <x:c r="AA812" s="458"/>
      <x:c r="AB812" s="458"/>
      <x:c r="AC812" s="458"/>
      <x:c r="AD812" s="458"/>
      <x:c r="AE812" s="458"/>
    </x:row>
    <x:row r="813" spans="1:31" ht="20.100000000000001" customHeight="1">
      <x:c r="A813" s="439" t="s">
        <x:v>767</x:v>
      </x:c>
      <x:c r="B813" s="466" t="str">
        <x:f t="shared" si="121"/>
        <x:v>복리후생비</x:v>
      </x:c>
      <x:c r="C813" s="440" t="str">
        <x:f t="shared" si="122"/>
        <x:v>후생비</x:v>
      </x:c>
      <x:c r="D813" s="441">
        <x:v>52130129</x:v>
      </x:c>
      <x:c r="E813" s="442" t="str">
        <x:f t="shared" si="123"/>
        <x:v>후생비_식당경비</x:v>
      </x:c>
      <x:c r="F813" s="443"/>
      <x:c r="G813" s="444" t="s">
        <x:v>119</x:v>
      </x:c>
      <x:c r="H813" s="445" t="str">
        <x:f t="shared" si="120"/>
        <x:v>KiB 클러스터</x:v>
      </x:c>
      <x:c r="I813" s="446" t="str">
        <x:f t="shared" si="124"/>
        <x:v>[관리비]</x:v>
      </x:c>
      <x:c r="J813" s="445"/>
      <x:c r="K813" s="453">
        <x:v>-827891.32237863902</x:v>
      </x:c>
      <x:c r="L813" s="454">
        <x:v>-662313.05790291121</x:v>
      </x:c>
      <x:c r="M813" s="454">
        <x:v>-869285.88849757088</x:v>
      </x:c>
      <x:c r="N813" s="454">
        <x:v>-910680.45461650286</x:v>
      </x:c>
      <x:c r="O813" s="454">
        <x:v>-745102.19014077506</x:v>
      </x:c>
      <x:c r="P813" s="454">
        <x:v>-869285.88849757088</x:v>
      </x:c>
      <x:c r="Q813" s="454">
        <x:v>-952075.02073543484</x:v>
      </x:c>
      <x:c r="R813" s="454">
        <x:v>-620918.49178397923</x:v>
      </x:c>
      <x:c r="S813" s="454">
        <x:v>-755854.02549634187</x:v>
      </x:c>
      <x:c r="T813" s="454">
        <x:v>-827891.32237863902</x:v>
      </x:c>
      <x:c r="U813" s="454">
        <x:v>-869285.88849757088</x:v>
      </x:c>
      <x:c r="V813" s="455">
        <x:v>-910680.45461650286</x:v>
      </x:c>
      <x:c r="W813" s="456">
        <x:f t="shared" si="125"/>
        <x:v>-9821264.0055424385</x:v>
      </x:c>
      <x:c r="X813" s="450">
        <x:f t="shared" si="126"/>
        <x:v>-818438.6671285365</x:v>
      </x:c>
      <x:c r="Y813" s="457"/>
      <x:c r="Z813" s="458"/>
      <x:c r="AA813" s="458"/>
      <x:c r="AB813" s="458"/>
      <x:c r="AC813" s="458"/>
      <x:c r="AD813" s="458"/>
      <x:c r="AE813" s="458"/>
    </x:row>
    <x:row r="814" spans="1:31" ht="20.100000000000001" customHeight="1">
      <x:c r="A814" s="439" t="s">
        <x:v>767</x:v>
      </x:c>
      <x:c r="B814" s="466" t="str">
        <x:f t="shared" si="121"/>
        <x:v>복리후생비</x:v>
      </x:c>
      <x:c r="C814" s="440" t="str">
        <x:f t="shared" si="122"/>
        <x:v>후생비</x:v>
      </x:c>
      <x:c r="D814" s="441">
        <x:v>52130129</x:v>
      </x:c>
      <x:c r="E814" s="442" t="str">
        <x:f t="shared" si="123"/>
        <x:v>후생비_식당경비</x:v>
      </x:c>
      <x:c r="F814" s="443"/>
      <x:c r="G814" s="444" t="s">
        <x:v>119</x:v>
      </x:c>
      <x:c r="H814" s="445" t="str">
        <x:f t="shared" si="120"/>
        <x:v>KiB 클러스터</x:v>
      </x:c>
      <x:c r="I814" s="446" t="str">
        <x:f t="shared" si="124"/>
        <x:v>[관리비]</x:v>
      </x:c>
      <x:c r="J814" s="445"/>
      <x:c r="K814" s="453">
        <x:v>-577015.16408208176</x:v>
      </x:c>
      <x:c r="L814" s="454">
        <x:v>-461612.13126566535</x:v>
      </x:c>
      <x:c r="M814" s="454">
        <x:v>-605865.92228618579</x:v>
      </x:c>
      <x:c r="N814" s="454">
        <x:v>-634716.68049028993</x:v>
      </x:c>
      <x:c r="O814" s="454">
        <x:v>-519313.64767387352</x:v>
      </x:c>
      <x:c r="P814" s="454">
        <x:v>-605865.92228618579</x:v>
      </x:c>
      <x:c r="Q814" s="454">
        <x:v>-663567.43869439396</x:v>
      </x:c>
      <x:c r="R814" s="454">
        <x:v>-432761.37306156126</x:v>
      </x:c>
      <x:c r="S814" s="454">
        <x:v>-526807.35110351094</x:v>
      </x:c>
      <x:c r="T814" s="454">
        <x:v>-577015.16408208176</x:v>
      </x:c>
      <x:c r="U814" s="454">
        <x:v>-605865.92228618579</x:v>
      </x:c>
      <x:c r="V814" s="455">
        <x:v>-634716.68049028993</x:v>
      </x:c>
      <x:c r="W814" s="456">
        <x:f t="shared" si="125"/>
        <x:v>-6845123.3978023054</x:v>
      </x:c>
      <x:c r="X814" s="450">
        <x:f t="shared" si="126"/>
        <x:v>-570426.94981685875</x:v>
      </x:c>
      <x:c r="Y814" s="457"/>
      <x:c r="Z814" s="458"/>
      <x:c r="AA814" s="458"/>
      <x:c r="AB814" s="458"/>
      <x:c r="AC814" s="458"/>
      <x:c r="AD814" s="458"/>
      <x:c r="AE814" s="458"/>
    </x:row>
    <x:row r="815" spans="1:31" ht="20.100000000000001" customHeight="1">
      <x:c r="A815" s="439" t="s">
        <x:v>767</x:v>
      </x:c>
      <x:c r="B815" s="466" t="str">
        <x:f t="shared" si="121"/>
        <x:v>복리후생비</x:v>
      </x:c>
      <x:c r="C815" s="440" t="str">
        <x:f t="shared" si="122"/>
        <x:v>후생비</x:v>
      </x:c>
      <x:c r="D815" s="441">
        <x:v>52130132</x:v>
      </x:c>
      <x:c r="E815" s="442" t="str">
        <x:f t="shared" si="123"/>
        <x:v>후생비_안전보건장비</x:v>
      </x:c>
      <x:c r="F815" s="443"/>
      <x:c r="G815" s="444" t="s">
        <x:v>119</x:v>
      </x:c>
      <x:c r="H815" s="445" t="str">
        <x:f t="shared" si="120"/>
        <x:v>KiB 클러스터</x:v>
      </x:c>
      <x:c r="I815" s="446" t="str">
        <x:f t="shared" si="124"/>
        <x:v>[관리비]</x:v>
      </x:c>
      <x:c r="J815" s="445"/>
      <x:c r="K815" s="453">
        <x:v>0</x:v>
      </x:c>
      <x:c r="L815" s="454">
        <x:v>0</x:v>
      </x:c>
      <x:c r="M815" s="454">
        <x:v>0</x:v>
      </x:c>
      <x:c r="N815" s="454">
        <x:v>0</x:v>
      </x:c>
      <x:c r="O815" s="454">
        <x:v>0</x:v>
      </x:c>
      <x:c r="P815" s="454">
        <x:v>0</x:v>
      </x:c>
      <x:c r="Q815" s="454">
        <x:v>0</x:v>
      </x:c>
      <x:c r="R815" s="454">
        <x:v>0</x:v>
      </x:c>
      <x:c r="S815" s="454">
        <x:v>0</x:v>
      </x:c>
      <x:c r="T815" s="454">
        <x:v>0</x:v>
      </x:c>
      <x:c r="U815" s="454">
        <x:v>79281.210197613327</x:v>
      </x:c>
      <x:c r="V815" s="455">
        <x:v>0</x:v>
      </x:c>
      <x:c r="W815" s="456">
        <x:f t="shared" si="125"/>
        <x:v>79281.210197613327</x:v>
      </x:c>
      <x:c r="X815" s="450">
        <x:f t="shared" si="126"/>
        <x:v>6606.7675164677776</x:v>
      </x:c>
      <x:c r="Y815" s="457"/>
      <x:c r="Z815" s="458"/>
      <x:c r="AA815" s="458"/>
      <x:c r="AB815" s="458"/>
      <x:c r="AC815" s="458"/>
      <x:c r="AD815" s="458"/>
      <x:c r="AE815" s="458"/>
    </x:row>
    <x:row r="816" spans="1:31" ht="20.100000000000001" customHeight="1">
      <x:c r="A816" s="439" t="s">
        <x:v>767</x:v>
      </x:c>
      <x:c r="B816" s="466" t="str">
        <x:f t="shared" si="121"/>
        <x:v>복리후생비</x:v>
      </x:c>
      <x:c r="C816" s="440" t="str">
        <x:f t="shared" si="122"/>
        <x:v>후생비</x:v>
      </x:c>
      <x:c r="D816" s="441">
        <x:v>52130128</x:v>
      </x:c>
      <x:c r="E816" s="442" t="str">
        <x:f t="shared" si="123"/>
        <x:v>후생비_통근버스</x:v>
      </x:c>
      <x:c r="F816" s="443"/>
      <x:c r="G816" s="444" t="s">
        <x:v>119</x:v>
      </x:c>
      <x:c r="H816" s="445" t="str">
        <x:f t="shared" si="120"/>
        <x:v>KiB 클러스터</x:v>
      </x:c>
      <x:c r="I816" s="446" t="str">
        <x:f t="shared" si="124"/>
        <x:v>[관리비]</x:v>
      </x:c>
      <x:c r="J816" s="445"/>
      <x:c r="K816" s="453">
        <x:v>49365.585875718018</x:v>
      </x:c>
      <x:c r="L816" s="454">
        <x:v>49365.585875718018</x:v>
      </x:c>
      <x:c r="M816" s="454">
        <x:v>49365.585875718018</x:v>
      </x:c>
      <x:c r="N816" s="454">
        <x:v>49365.585875718018</x:v>
      </x:c>
      <x:c r="O816" s="454">
        <x:v>49365.585875718018</x:v>
      </x:c>
      <x:c r="P816" s="454">
        <x:v>49365.585875718018</x:v>
      </x:c>
      <x:c r="Q816" s="454">
        <x:v>49365.585875718018</x:v>
      </x:c>
      <x:c r="R816" s="454">
        <x:v>49365.585875718018</x:v>
      </x:c>
      <x:c r="S816" s="454">
        <x:v>49365.585875718018</x:v>
      </x:c>
      <x:c r="T816" s="454">
        <x:v>49365.585875718018</x:v>
      </x:c>
      <x:c r="U816" s="454">
        <x:v>49365.585875718018</x:v>
      </x:c>
      <x:c r="V816" s="455">
        <x:v>49365.585875718018</x:v>
      </x:c>
      <x:c r="W816" s="456">
        <x:f t="shared" si="125"/>
        <x:v>592387.03050861636</x:v>
      </x:c>
      <x:c r="X816" s="450">
        <x:f t="shared" si="126"/>
        <x:v>49365.585875718032</x:v>
      </x:c>
      <x:c r="Y816" s="457"/>
      <x:c r="Z816" s="458"/>
      <x:c r="AA816" s="458"/>
      <x:c r="AB816" s="458"/>
      <x:c r="AC816" s="458"/>
      <x:c r="AD816" s="458"/>
      <x:c r="AE816" s="458"/>
    </x:row>
    <x:row r="817" spans="1:31" ht="20.100000000000001" customHeight="1">
      <x:c r="A817" s="439" t="s">
        <x:v>767</x:v>
      </x:c>
      <x:c r="B817" s="466" t="str">
        <x:f t="shared" si="121"/>
        <x:v>복리후생비</x:v>
      </x:c>
      <x:c r="C817" s="440" t="str">
        <x:f t="shared" si="122"/>
        <x:v>후생비</x:v>
      </x:c>
      <x:c r="D817" s="441">
        <x:v>52130128</x:v>
      </x:c>
      <x:c r="E817" s="442" t="str">
        <x:f t="shared" si="123"/>
        <x:v>후생비_통근버스</x:v>
      </x:c>
      <x:c r="F817" s="443"/>
      <x:c r="G817" s="444" t="s">
        <x:v>119</x:v>
      </x:c>
      <x:c r="H817" s="445" t="str">
        <x:f t="shared" si="120"/>
        <x:v>KiB 클러스터</x:v>
      </x:c>
      <x:c r="I817" s="446" t="str">
        <x:f t="shared" si="124"/>
        <x:v>[관리비]</x:v>
      </x:c>
      <x:c r="J817" s="445"/>
      <x:c r="K817" s="453">
        <x:v>-16290.643338986947</x:v>
      </x:c>
      <x:c r="L817" s="454">
        <x:v>-16290.643338986947</x:v>
      </x:c>
      <x:c r="M817" s="454">
        <x:v>-16290.643338986947</x:v>
      </x:c>
      <x:c r="N817" s="454">
        <x:v>-16290.643338986947</x:v>
      </x:c>
      <x:c r="O817" s="454">
        <x:v>-16290.643338986947</x:v>
      </x:c>
      <x:c r="P817" s="454">
        <x:v>-16290.643338986947</x:v>
      </x:c>
      <x:c r="Q817" s="454">
        <x:v>-16290.643338986947</x:v>
      </x:c>
      <x:c r="R817" s="454">
        <x:v>-16290.643338986947</x:v>
      </x:c>
      <x:c r="S817" s="454">
        <x:v>-16290.643338986947</x:v>
      </x:c>
      <x:c r="T817" s="454">
        <x:v>-16290.643338986947</x:v>
      </x:c>
      <x:c r="U817" s="454">
        <x:v>-16290.643338986947</x:v>
      </x:c>
      <x:c r="V817" s="455">
        <x:v>-16290.643338986947</x:v>
      </x:c>
      <x:c r="W817" s="456">
        <x:f t="shared" si="125"/>
        <x:v>-195487.72006784333</x:v>
      </x:c>
      <x:c r="X817" s="450">
        <x:f t="shared" si="126"/>
        <x:v>-16290.643338986943</x:v>
      </x:c>
      <x:c r="Y817" s="457"/>
      <x:c r="Z817" s="458"/>
      <x:c r="AA817" s="458"/>
      <x:c r="AB817" s="458"/>
      <x:c r="AC817" s="458"/>
      <x:c r="AD817" s="458"/>
      <x:c r="AE817" s="458"/>
    </x:row>
    <x:row r="818" spans="1:31" ht="20.100000000000001" customHeight="1">
      <x:c r="A818" s="439" t="s">
        <x:v>767</x:v>
      </x:c>
      <x:c r="B818" s="466" t="str">
        <x:f t="shared" si="121"/>
        <x:v>복리후생비</x:v>
      </x:c>
      <x:c r="C818" s="440" t="str">
        <x:f t="shared" si="122"/>
        <x:v>후생비</x:v>
      </x:c>
      <x:c r="D818" s="441">
        <x:v>52130128</x:v>
      </x:c>
      <x:c r="E818" s="442" t="str">
        <x:f t="shared" si="123"/>
        <x:v>후생비_통근버스</x:v>
      </x:c>
      <x:c r="F818" s="443"/>
      <x:c r="G818" s="444" t="s">
        <x:v>119</x:v>
      </x:c>
      <x:c r="H818" s="445" t="str">
        <x:f t="shared" si="120"/>
        <x:v>KiB 클러스터</x:v>
      </x:c>
      <x:c r="I818" s="446" t="str">
        <x:f t="shared" si="124"/>
        <x:v>[관리비]</x:v>
      </x:c>
      <x:c r="J818" s="445"/>
      <x:c r="K818" s="453">
        <x:v>-11354.084751415145</x:v>
      </x:c>
      <x:c r="L818" s="454">
        <x:v>-11354.084751415145</x:v>
      </x:c>
      <x:c r="M818" s="454">
        <x:v>-11354.084751415145</x:v>
      </x:c>
      <x:c r="N818" s="454">
        <x:v>-11354.084751415145</x:v>
      </x:c>
      <x:c r="O818" s="454">
        <x:v>-11354.084751415145</x:v>
      </x:c>
      <x:c r="P818" s="454">
        <x:v>-11354.084751415145</x:v>
      </x:c>
      <x:c r="Q818" s="454">
        <x:v>-11354.084751415145</x:v>
      </x:c>
      <x:c r="R818" s="454">
        <x:v>-11354.084751415145</x:v>
      </x:c>
      <x:c r="S818" s="454">
        <x:v>-11354.084751415145</x:v>
      </x:c>
      <x:c r="T818" s="454">
        <x:v>-11354.084751415145</x:v>
      </x:c>
      <x:c r="U818" s="454">
        <x:v>-11354.084751415145</x:v>
      </x:c>
      <x:c r="V818" s="455">
        <x:v>-11354.084751415145</x:v>
      </x:c>
      <x:c r="W818" s="456">
        <x:f t="shared" si="125"/>
        <x:v>-136249.0170169817</x:v>
      </x:c>
      <x:c r="X818" s="450">
        <x:f t="shared" si="126"/>
        <x:v>-11354.084751415141</x:v>
      </x:c>
      <x:c r="Y818" s="457"/>
      <x:c r="Z818" s="458"/>
      <x:c r="AA818" s="458"/>
      <x:c r="AB818" s="458"/>
      <x:c r="AC818" s="458"/>
      <x:c r="AD818" s="458"/>
      <x:c r="AE818" s="458"/>
    </x:row>
    <x:row r="819" spans="1:31" ht="20.100000000000001" customHeight="1">
      <x:c r="A819" s="439" t="s">
        <x:v>767</x:v>
      </x:c>
      <x:c r="B819" s="466" t="str">
        <x:f t="shared" si="121"/>
        <x:v>복리후생비</x:v>
      </x:c>
      <x:c r="C819" s="440" t="str">
        <x:f t="shared" si="122"/>
        <x:v>후생비</x:v>
      </x:c>
      <x:c r="D819" s="441">
        <x:v>52130128</x:v>
      </x:c>
      <x:c r="E819" s="442" t="str">
        <x:f t="shared" si="123"/>
        <x:v>후생비_통근버스</x:v>
      </x:c>
      <x:c r="F819" s="443"/>
      <x:c r="G819" s="444" t="s">
        <x:v>119</x:v>
      </x:c>
      <x:c r="H819" s="445" t="str">
        <x:f t="shared" si="120"/>
        <x:v>KiB 클러스터</x:v>
      </x:c>
      <x:c r="I819" s="446" t="str">
        <x:f t="shared" si="124"/>
        <x:v>[관리비]</x:v>
      </x:c>
      <x:c r="J819" s="445"/>
      <x:c r="K819" s="453">
        <x:v>189439.73665725879</x:v>
      </x:c>
      <x:c r="L819" s="454">
        <x:v>189439.73665725879</x:v>
      </x:c>
      <x:c r="M819" s="454">
        <x:v>189439.73665725879</x:v>
      </x:c>
      <x:c r="N819" s="454">
        <x:v>189439.73665725879</x:v>
      </x:c>
      <x:c r="O819" s="454">
        <x:v>189439.73665725879</x:v>
      </x:c>
      <x:c r="P819" s="454">
        <x:v>189439.73665725879</x:v>
      </x:c>
      <x:c r="Q819" s="454">
        <x:v>189439.73665725879</x:v>
      </x:c>
      <x:c r="R819" s="454">
        <x:v>189439.73665725879</x:v>
      </x:c>
      <x:c r="S819" s="454">
        <x:v>189439.73665725879</x:v>
      </x:c>
      <x:c r="T819" s="454">
        <x:v>189439.73665725879</x:v>
      </x:c>
      <x:c r="U819" s="454">
        <x:v>189439.73665725879</x:v>
      </x:c>
      <x:c r="V819" s="455">
        <x:v>189439.73665725879</x:v>
      </x:c>
      <x:c r="W819" s="456">
        <x:f t="shared" si="125"/>
        <x:v>2273276.8398871054</x:v>
      </x:c>
      <x:c r="X819" s="450">
        <x:f t="shared" si="126"/>
        <x:v>189439.73665725879</x:v>
      </x:c>
      <x:c r="Y819" s="457"/>
      <x:c r="Z819" s="458"/>
      <x:c r="AA819" s="458"/>
      <x:c r="AB819" s="458"/>
      <x:c r="AC819" s="458"/>
      <x:c r="AD819" s="458"/>
      <x:c r="AE819" s="458"/>
    </x:row>
    <x:row r="820" spans="1:31" ht="20.100000000000001" customHeight="1">
      <x:c r="A820" s="439" t="s">
        <x:v>767</x:v>
      </x:c>
      <x:c r="B820" s="466" t="str">
        <x:f t="shared" si="121"/>
        <x:v>복리후생비</x:v>
      </x:c>
      <x:c r="C820" s="440" t="str">
        <x:f t="shared" si="122"/>
        <x:v>후생비</x:v>
      </x:c>
      <x:c r="D820" s="441">
        <x:v>52139900</x:v>
      </x:c>
      <x:c r="E820" s="442" t="str">
        <x:f t="shared" si="123"/>
        <x:v>후생비_기타</x:v>
      </x:c>
      <x:c r="F820" s="443"/>
      <x:c r="G820" s="444" t="s">
        <x:v>119</x:v>
      </x:c>
      <x:c r="H820" s="445" t="str">
        <x:f t="shared" si="120"/>
        <x:v>KiB 클러스터</x:v>
      </x:c>
      <x:c r="I820" s="446" t="str">
        <x:f t="shared" si="124"/>
        <x:v>[관리비]</x:v>
      </x:c>
      <x:c r="J820" s="445"/>
      <x:c r="K820" s="453">
        <x:v>0</x:v>
      </x:c>
      <x:c r="L820" s="454">
        <x:v>0</x:v>
      </x:c>
      <x:c r="M820" s="454">
        <x:v>162906.59629646575</x:v>
      </x:c>
      <x:c r="N820" s="454">
        <x:v>0</x:v>
      </x:c>
      <x:c r="O820" s="454">
        <x:v>0</x:v>
      </x:c>
      <x:c r="P820" s="454">
        <x:v>0</x:v>
      </x:c>
      <x:c r="Q820" s="454">
        <x:v>0</x:v>
      </x:c>
      <x:c r="R820" s="454">
        <x:v>0</x:v>
      </x:c>
      <x:c r="S820" s="454">
        <x:v>0</x:v>
      </x:c>
      <x:c r="T820" s="454">
        <x:v>0</x:v>
      </x:c>
      <x:c r="U820" s="454">
        <x:v>0</x:v>
      </x:c>
      <x:c r="V820" s="455">
        <x:v>0</x:v>
      </x:c>
      <x:c r="W820" s="456">
        <x:f t="shared" si="125"/>
        <x:v>162906.59629646575</x:v>
      </x:c>
      <x:c r="X820" s="450">
        <x:f t="shared" si="126"/>
        <x:v>13575.549691372145</x:v>
      </x:c>
      <x:c r="Y820" s="457"/>
      <x:c r="Z820" s="458"/>
      <x:c r="AA820" s="458"/>
      <x:c r="AB820" s="458"/>
      <x:c r="AC820" s="458"/>
      <x:c r="AD820" s="458"/>
      <x:c r="AE820" s="458"/>
    </x:row>
    <x:row r="821" spans="1:31" ht="20.100000000000001" customHeight="1">
      <x:c r="A821" s="439" t="s">
        <x:v>767</x:v>
      </x:c>
      <x:c r="B821" s="466" t="str">
        <x:f t="shared" si="121"/>
        <x:v>복리후생비</x:v>
      </x:c>
      <x:c r="C821" s="440" t="str">
        <x:f t="shared" si="122"/>
        <x:v>후생비</x:v>
      </x:c>
      <x:c r="D821" s="441">
        <x:v>52139900</x:v>
      </x:c>
      <x:c r="E821" s="442" t="str">
        <x:f t="shared" si="123"/>
        <x:v>후생비_기타</x:v>
      </x:c>
      <x:c r="F821" s="443"/>
      <x:c r="G821" s="444" t="s">
        <x:v>119</x:v>
      </x:c>
      <x:c r="H821" s="445" t="str">
        <x:f t="shared" si="120"/>
        <x:v>KiB 클러스터</x:v>
      </x:c>
      <x:c r="I821" s="446" t="str">
        <x:f t="shared" si="124"/>
        <x:v>[관리비]</x:v>
      </x:c>
      <x:c r="J821" s="445"/>
      <x:c r="K821" s="453">
        <x:v>997534.39369076409</x:v>
      </x:c>
      <x:c r="L821" s="454">
        <x:v>997534.39369076409</x:v>
      </x:c>
      <x:c r="M821" s="454">
        <x:v>997534.39369076409</x:v>
      </x:c>
      <x:c r="N821" s="454">
        <x:v>997534.39369076409</x:v>
      </x:c>
      <x:c r="O821" s="454">
        <x:v>997534.39369076409</x:v>
      </x:c>
      <x:c r="P821" s="454">
        <x:v>997534.39369076409</x:v>
      </x:c>
      <x:c r="Q821" s="454">
        <x:v>997534.39369076409</x:v>
      </x:c>
      <x:c r="R821" s="454">
        <x:v>997534.39369076409</x:v>
      </x:c>
      <x:c r="S821" s="454">
        <x:v>997534.39369076409</x:v>
      </x:c>
      <x:c r="T821" s="454">
        <x:v>997534.39369076409</x:v>
      </x:c>
      <x:c r="U821" s="454">
        <x:v>997534.39369076409</x:v>
      </x:c>
      <x:c r="V821" s="455">
        <x:v>997534.39369076409</x:v>
      </x:c>
      <x:c r="W821" s="456">
        <x:f t="shared" si="125"/>
        <x:v>11970412.724289171</x:v>
      </x:c>
      <x:c r="X821" s="450">
        <x:f t="shared" si="126"/>
        <x:v>997534.39369076432</x:v>
      </x:c>
      <x:c r="Y821" s="457"/>
      <x:c r="Z821" s="458"/>
      <x:c r="AA821" s="458"/>
      <x:c r="AB821" s="458"/>
      <x:c r="AC821" s="458"/>
      <x:c r="AD821" s="458"/>
      <x:c r="AE821" s="458"/>
    </x:row>
    <x:row r="822" spans="1:31" ht="20.100000000000001" customHeight="1">
      <x:c r="A822" s="439" t="s">
        <x:v>767</x:v>
      </x:c>
      <x:c r="B822" s="466" t="str">
        <x:f t="shared" si="121"/>
        <x:v>복리후생비</x:v>
      </x:c>
      <x:c r="C822" s="440" t="str">
        <x:f t="shared" si="122"/>
        <x:v>후생비</x:v>
      </x:c>
      <x:c r="D822" s="441">
        <x:v>52139900</x:v>
      </x:c>
      <x:c r="E822" s="442" t="str">
        <x:f t="shared" si="123"/>
        <x:v>후생비_기타</x:v>
      </x:c>
      <x:c r="F822" s="443"/>
      <x:c r="G822" s="444" t="s">
        <x:v>119</x:v>
      </x:c>
      <x:c r="H822" s="445" t="str">
        <x:f t="shared" si="120"/>
        <x:v>KiB 클러스터</x:v>
      </x:c>
      <x:c r="I822" s="446" t="str">
        <x:f t="shared" si="124"/>
        <x:v>[관리비]</x:v>
      </x:c>
      <x:c r="J822" s="445"/>
      <x:c r="K822" s="453">
        <x:v>-329186.3499179522</x:v>
      </x:c>
      <x:c r="L822" s="454">
        <x:v>-329186.3499179522</x:v>
      </x:c>
      <x:c r="M822" s="454">
        <x:v>-329186.3499179522</x:v>
      </x:c>
      <x:c r="N822" s="454">
        <x:v>-329186.3499179522</x:v>
      </x:c>
      <x:c r="O822" s="454">
        <x:v>-329186.3499179522</x:v>
      </x:c>
      <x:c r="P822" s="454">
        <x:v>-329186.3499179522</x:v>
      </x:c>
      <x:c r="Q822" s="454">
        <x:v>-329186.3499179522</x:v>
      </x:c>
      <x:c r="R822" s="454">
        <x:v>-329186.3499179522</x:v>
      </x:c>
      <x:c r="S822" s="454">
        <x:v>-329186.3499179522</x:v>
      </x:c>
      <x:c r="T822" s="454">
        <x:v>-329186.3499179522</x:v>
      </x:c>
      <x:c r="U822" s="454">
        <x:v>-329186.3499179522</x:v>
      </x:c>
      <x:c r="V822" s="455">
        <x:v>-329186.3499179522</x:v>
      </x:c>
      <x:c r="W822" s="456">
        <x:f t="shared" si="125"/>
        <x:v>-3950236.1990154255</x:v>
      </x:c>
      <x:c r="X822" s="450">
        <x:f t="shared" si="126"/>
        <x:v>-329186.34991795215</x:v>
      </x:c>
      <x:c r="Y822" s="457"/>
      <x:c r="Z822" s="458"/>
      <x:c r="AA822" s="458"/>
      <x:c r="AB822" s="458"/>
      <x:c r="AC822" s="458"/>
      <x:c r="AD822" s="458"/>
      <x:c r="AE822" s="458"/>
    </x:row>
    <x:row r="823" spans="1:31" ht="20.100000000000001" customHeight="1">
      <x:c r="A823" s="439" t="s">
        <x:v>767</x:v>
      </x:c>
      <x:c r="B823" s="466" t="str">
        <x:f t="shared" si="121"/>
        <x:v>복리후생비</x:v>
      </x:c>
      <x:c r="C823" s="440" t="str">
        <x:f t="shared" si="122"/>
        <x:v>후생비</x:v>
      </x:c>
      <x:c r="D823" s="441">
        <x:v>52139900</x:v>
      </x:c>
      <x:c r="E823" s="442" t="str">
        <x:f t="shared" si="123"/>
        <x:v>후생비_기타</x:v>
      </x:c>
      <x:c r="F823" s="443"/>
      <x:c r="G823" s="444" t="s">
        <x:v>119</x:v>
      </x:c>
      <x:c r="H823" s="445" t="str">
        <x:f t="shared" si="120"/>
        <x:v>KiB 클러스터</x:v>
      </x:c>
      <x:c r="I823" s="446" t="str">
        <x:f t="shared" si="124"/>
        <x:v>[관리비]</x:v>
      </x:c>
      <x:c r="J823" s="445"/>
      <x:c r="K823" s="453">
        <x:v>-229432.91054887575</x:v>
      </x:c>
      <x:c r="L823" s="454">
        <x:v>-229432.91054887575</x:v>
      </x:c>
      <x:c r="M823" s="454">
        <x:v>-229432.91054887575</x:v>
      </x:c>
      <x:c r="N823" s="454">
        <x:v>-229432.91054887575</x:v>
      </x:c>
      <x:c r="O823" s="454">
        <x:v>-229432.91054887575</x:v>
      </x:c>
      <x:c r="P823" s="454">
        <x:v>-229432.91054887575</x:v>
      </x:c>
      <x:c r="Q823" s="454">
        <x:v>-229432.91054887575</x:v>
      </x:c>
      <x:c r="R823" s="454">
        <x:v>-229432.91054887575</x:v>
      </x:c>
      <x:c r="S823" s="454">
        <x:v>-229432.91054887575</x:v>
      </x:c>
      <x:c r="T823" s="454">
        <x:v>-229432.91054887575</x:v>
      </x:c>
      <x:c r="U823" s="454">
        <x:v>-229432.91054887575</x:v>
      </x:c>
      <x:c r="V823" s="455">
        <x:v>-229432.91054887575</x:v>
      </x:c>
      <x:c r="W823" s="456">
        <x:f t="shared" si="125"/>
        <x:v>-2753194.9265865088</x:v>
      </x:c>
      <x:c r="X823" s="450">
        <x:f t="shared" si="126"/>
        <x:v>-229432.91054887572</x:v>
      </x:c>
      <x:c r="Y823" s="457"/>
      <x:c r="Z823" s="458"/>
      <x:c r="AA823" s="458"/>
      <x:c r="AB823" s="458"/>
      <x:c r="AC823" s="458"/>
      <x:c r="AD823" s="458"/>
      <x:c r="AE823" s="458"/>
    </x:row>
    <x:row r="824" spans="1:31" ht="20.100000000000001" customHeight="1">
      <x:c r="A824" s="439" t="s">
        <x:v>767</x:v>
      </x:c>
      <x:c r="B824" s="466" t="str">
        <x:f t="shared" si="121"/>
        <x:v>복리후생비</x:v>
      </x:c>
      <x:c r="C824" s="440" t="str">
        <x:f t="shared" si="122"/>
        <x:v>후생비</x:v>
      </x:c>
      <x:c r="D824" s="441">
        <x:v>52139900</x:v>
      </x:c>
      <x:c r="E824" s="442" t="str">
        <x:f t="shared" si="123"/>
        <x:v>후생비_기타</x:v>
      </x:c>
      <x:c r="F824" s="443"/>
      <x:c r="G824" s="444" t="s">
        <x:v>318</x:v>
      </x:c>
      <x:c r="H824" s="445" t="str">
        <x:f t="shared" ref="H824:H887" si="127">IFERROR(VLOOKUP($G824,$AK:$AL,2,),"")</x:f>
        <x:v>대표이사</x:v>
      </x:c>
      <x:c r="I824" s="446" t="str">
        <x:f t="shared" si="124"/>
        <x:v>[관리비]</x:v>
      </x:c>
      <x:c r="J824" s="445"/>
      <x:c r="K824" s="453">
        <x:v>5430.2198765488583</x:v>
      </x:c>
      <x:c r="L824" s="454">
        <x:v>5430.2198765488583</x:v>
      </x:c>
      <x:c r="M824" s="454">
        <x:v>5430.2198765488583</x:v>
      </x:c>
      <x:c r="N824" s="454">
        <x:v>5430.2198765488583</x:v>
      </x:c>
      <x:c r="O824" s="454">
        <x:v>5430.2198765488583</x:v>
      </x:c>
      <x:c r="P824" s="454">
        <x:v>5430.2198765488583</x:v>
      </x:c>
      <x:c r="Q824" s="454">
        <x:v>5430.2198765488583</x:v>
      </x:c>
      <x:c r="R824" s="454">
        <x:v>5430.2198765488583</x:v>
      </x:c>
      <x:c r="S824" s="454">
        <x:v>5430.2198765488583</x:v>
      </x:c>
      <x:c r="T824" s="454">
        <x:v>5430.2198765488583</x:v>
      </x:c>
      <x:c r="U824" s="454">
        <x:v>5430.2198765488583</x:v>
      </x:c>
      <x:c r="V824" s="455">
        <x:v>5430.2198765488583</x:v>
      </x:c>
      <x:c r="W824" s="456">
        <x:f t="shared" si="125"/>
        <x:v>65162.638518586296</x:v>
      </x:c>
      <x:c r="X824" s="450">
        <x:f t="shared" si="126"/>
        <x:v>5430.2198765488583</x:v>
      </x:c>
      <x:c r="Y824" s="457"/>
      <x:c r="Z824" s="458"/>
      <x:c r="AA824" s="458"/>
      <x:c r="AB824" s="458"/>
      <x:c r="AC824" s="458"/>
      <x:c r="AD824" s="458"/>
      <x:c r="AE824" s="458"/>
    </x:row>
    <x:row r="825" spans="1:31" ht="20.100000000000001" customHeight="1">
      <x:c r="A825" s="439" t="s">
        <x:v>767</x:v>
      </x:c>
      <x:c r="B825" s="466" t="str">
        <x:f t="shared" si="121"/>
        <x:v>복리후생비</x:v>
      </x:c>
      <x:c r="C825" s="440" t="str">
        <x:f t="shared" si="122"/>
        <x:v>후생비</x:v>
      </x:c>
      <x:c r="D825" s="441">
        <x:v>52139900</x:v>
      </x:c>
      <x:c r="E825" s="442" t="str">
        <x:f t="shared" si="123"/>
        <x:v>후생비_기타</x:v>
      </x:c>
      <x:c r="F825" s="443"/>
      <x:c r="G825" s="444" t="s">
        <x:v>89</x:v>
      </x:c>
      <x:c r="H825" s="445" t="str">
        <x:f t="shared" si="127"/>
        <x:v>기획담당</x:v>
      </x:c>
      <x:c r="I825" s="446" t="str">
        <x:f t="shared" si="124"/>
        <x:v>[관리비]</x:v>
      </x:c>
      <x:c r="J825" s="445"/>
      <x:c r="K825" s="453">
        <x:v>5430.2198765488583</x:v>
      </x:c>
      <x:c r="L825" s="454">
        <x:v>5430.2198765488583</x:v>
      </x:c>
      <x:c r="M825" s="454">
        <x:v>5430.2198765488583</x:v>
      </x:c>
      <x:c r="N825" s="454">
        <x:v>5430.2198765488583</x:v>
      </x:c>
      <x:c r="O825" s="454">
        <x:v>5430.2198765488583</x:v>
      </x:c>
      <x:c r="P825" s="454">
        <x:v>5430.2198765488583</x:v>
      </x:c>
      <x:c r="Q825" s="454">
        <x:v>5430.2198765488583</x:v>
      </x:c>
      <x:c r="R825" s="454">
        <x:v>5430.2198765488583</x:v>
      </x:c>
      <x:c r="S825" s="454">
        <x:v>5430.2198765488583</x:v>
      </x:c>
      <x:c r="T825" s="454">
        <x:v>5430.2198765488583</x:v>
      </x:c>
      <x:c r="U825" s="454">
        <x:v>5430.2198765488583</x:v>
      </x:c>
      <x:c r="V825" s="455">
        <x:v>5430.2198765488583</x:v>
      </x:c>
      <x:c r="W825" s="456">
        <x:f t="shared" si="125"/>
        <x:v>65162.638518586296</x:v>
      </x:c>
      <x:c r="X825" s="450">
        <x:f t="shared" si="126"/>
        <x:v>5430.2198765488583</x:v>
      </x:c>
      <x:c r="Y825" s="457"/>
      <x:c r="Z825" s="458"/>
      <x:c r="AA825" s="458"/>
      <x:c r="AB825" s="458"/>
      <x:c r="AC825" s="458"/>
      <x:c r="AD825" s="458"/>
      <x:c r="AE825" s="458"/>
    </x:row>
    <x:row r="826" spans="1:31" ht="20.100000000000001" customHeight="1">
      <x:c r="A826" s="439" t="s">
        <x:v>767</x:v>
      </x:c>
      <x:c r="B826" s="466" t="str">
        <x:f t="shared" si="121"/>
        <x:v>복리후생비</x:v>
      </x:c>
      <x:c r="C826" s="440" t="str">
        <x:f t="shared" si="122"/>
        <x:v>후생비</x:v>
      </x:c>
      <x:c r="D826" s="441">
        <x:v>52139900</x:v>
      </x:c>
      <x:c r="E826" s="442" t="str">
        <x:f t="shared" si="123"/>
        <x:v>후생비_기타</x:v>
      </x:c>
      <x:c r="F826" s="443"/>
      <x:c r="G826" s="444" t="s">
        <x:v>93</x:v>
      </x:c>
      <x:c r="H826" s="445" t="str">
        <x:f t="shared" si="127"/>
        <x:v>인사총무담당</x:v>
      </x:c>
      <x:c r="I826" s="446" t="str">
        <x:f t="shared" si="124"/>
        <x:v>[관리비]</x:v>
      </x:c>
      <x:c r="J826" s="445"/>
      <x:c r="K826" s="453">
        <x:v>5430.2198765488583</x:v>
      </x:c>
      <x:c r="L826" s="454">
        <x:v>5430.2198765488583</x:v>
      </x:c>
      <x:c r="M826" s="454">
        <x:v>5430.2198765488583</x:v>
      </x:c>
      <x:c r="N826" s="454">
        <x:v>5430.2198765488583</x:v>
      </x:c>
      <x:c r="O826" s="454">
        <x:v>5430.2198765488583</x:v>
      </x:c>
      <x:c r="P826" s="454">
        <x:v>5430.2198765488583</x:v>
      </x:c>
      <x:c r="Q826" s="454">
        <x:v>5430.2198765488583</x:v>
      </x:c>
      <x:c r="R826" s="454">
        <x:v>5430.2198765488583</x:v>
      </x:c>
      <x:c r="S826" s="454">
        <x:v>5430.2198765488583</x:v>
      </x:c>
      <x:c r="T826" s="454">
        <x:v>5430.2198765488583</x:v>
      </x:c>
      <x:c r="U826" s="454">
        <x:v>5430.2198765488583</x:v>
      </x:c>
      <x:c r="V826" s="455">
        <x:v>5430.2198765488583</x:v>
      </x:c>
      <x:c r="W826" s="456">
        <x:f t="shared" si="125"/>
        <x:v>65162.638518586296</x:v>
      </x:c>
      <x:c r="X826" s="450">
        <x:f t="shared" si="126"/>
        <x:v>5430.2198765488583</x:v>
      </x:c>
      <x:c r="Y826" s="457"/>
      <x:c r="Z826" s="458"/>
      <x:c r="AA826" s="458"/>
      <x:c r="AB826" s="458"/>
      <x:c r="AC826" s="458"/>
      <x:c r="AD826" s="458"/>
      <x:c r="AE826" s="458"/>
    </x:row>
    <x:row r="827" spans="1:31" ht="20.100000000000001" customHeight="1">
      <x:c r="A827" s="439" t="s">
        <x:v>767</x:v>
      </x:c>
      <x:c r="B827" s="466" t="str">
        <x:f t="shared" si="121"/>
        <x:v>복리후생비</x:v>
      </x:c>
      <x:c r="C827" s="440" t="str">
        <x:f t="shared" si="122"/>
        <x:v>후생비</x:v>
      </x:c>
      <x:c r="D827" s="441">
        <x:v>52139900</x:v>
      </x:c>
      <x:c r="E827" s="442" t="str">
        <x:f t="shared" si="123"/>
        <x:v>후생비_기타</x:v>
      </x:c>
      <x:c r="F827" s="443"/>
      <x:c r="G827" s="444" t="s">
        <x:v>95</x:v>
      </x:c>
      <x:c r="H827" s="445" t="str">
        <x:f t="shared" si="127"/>
        <x:v>재경담당</x:v>
      </x:c>
      <x:c r="I827" s="446" t="str">
        <x:f t="shared" si="124"/>
        <x:v>[관리비]</x:v>
      </x:c>
      <x:c r="J827" s="445"/>
      <x:c r="K827" s="453">
        <x:v>5430.2198765488583</x:v>
      </x:c>
      <x:c r="L827" s="454">
        <x:v>5430.2198765488583</x:v>
      </x:c>
      <x:c r="M827" s="454">
        <x:v>5430.2198765488583</x:v>
      </x:c>
      <x:c r="N827" s="454">
        <x:v>5430.2198765488583</x:v>
      </x:c>
      <x:c r="O827" s="454">
        <x:v>5430.2198765488583</x:v>
      </x:c>
      <x:c r="P827" s="454">
        <x:v>5430.2198765488583</x:v>
      </x:c>
      <x:c r="Q827" s="454">
        <x:v>5430.2198765488583</x:v>
      </x:c>
      <x:c r="R827" s="454">
        <x:v>5430.2198765488583</x:v>
      </x:c>
      <x:c r="S827" s="454">
        <x:v>5430.2198765488583</x:v>
      </x:c>
      <x:c r="T827" s="454">
        <x:v>5430.2198765488583</x:v>
      </x:c>
      <x:c r="U827" s="454">
        <x:v>5430.2198765488583</x:v>
      </x:c>
      <x:c r="V827" s="455">
        <x:v>5430.2198765488583</x:v>
      </x:c>
      <x:c r="W827" s="456">
        <x:f t="shared" si="125"/>
        <x:v>65162.638518586296</x:v>
      </x:c>
      <x:c r="X827" s="450">
        <x:f t="shared" si="126"/>
        <x:v>5430.2198765488583</x:v>
      </x:c>
      <x:c r="Y827" s="457"/>
      <x:c r="Z827" s="458"/>
      <x:c r="AA827" s="458"/>
      <x:c r="AB827" s="458"/>
      <x:c r="AC827" s="458"/>
      <x:c r="AD827" s="458"/>
      <x:c r="AE827" s="458"/>
    </x:row>
    <x:row r="828" spans="1:31" ht="20.100000000000001" customHeight="1">
      <x:c r="A828" s="439" t="s">
        <x:v>767</x:v>
      </x:c>
      <x:c r="B828" s="466" t="str">
        <x:f t="shared" si="121"/>
        <x:v>복리후생비</x:v>
      </x:c>
      <x:c r="C828" s="440" t="str">
        <x:f t="shared" si="122"/>
        <x:v>후생비</x:v>
      </x:c>
      <x:c r="D828" s="441">
        <x:v>52130111</x:v>
      </x:c>
      <x:c r="E828" s="442" t="str">
        <x:f t="shared" si="123"/>
        <x:v>후생비_시상금</x:v>
      </x:c>
      <x:c r="F828" s="443"/>
      <x:c r="G828" s="444" t="s">
        <x:v>87</x:v>
      </x:c>
      <x:c r="H828" s="445" t="str">
        <x:f t="shared" si="127"/>
        <x:v>기획팀</x:v>
      </x:c>
      <x:c r="I828" s="446" t="str">
        <x:f t="shared" si="124"/>
        <x:v>[관리비]</x:v>
      </x:c>
      <x:c r="J828" s="445"/>
      <x:c r="K828" s="453">
        <x:v>0</x:v>
      </x:c>
      <x:c r="L828" s="454">
        <x:v>0</x:v>
      </x:c>
      <x:c r="M828" s="454">
        <x:v>0</x:v>
      </x:c>
      <x:c r="N828" s="454">
        <x:v>0</x:v>
      </x:c>
      <x:c r="O828" s="454">
        <x:v>0</x:v>
      </x:c>
      <x:c r="P828" s="454">
        <x:v>0</x:v>
      </x:c>
      <x:c r="Q828" s="454">
        <x:v>0</x:v>
      </x:c>
      <x:c r="R828" s="454">
        <x:v>641123.90552702744</x:v>
      </x:c>
      <x:c r="S828" s="454">
        <x:v>0</x:v>
      </x:c>
      <x:c r="T828" s="454">
        <x:v>0</x:v>
      </x:c>
      <x:c r="U828" s="454">
        <x:v>0</x:v>
      </x:c>
      <x:c r="V828" s="455">
        <x:v>0</x:v>
      </x:c>
      <x:c r="W828" s="456">
        <x:f t="shared" si="125"/>
        <x:v>641123.90552702744</x:v>
      </x:c>
      <x:c r="X828" s="450">
        <x:f t="shared" si="126"/>
        <x:v>53426.992127252284</x:v>
      </x:c>
      <x:c r="Y828" s="457"/>
      <x:c r="Z828" s="458"/>
      <x:c r="AA828" s="458"/>
      <x:c r="AB828" s="458"/>
      <x:c r="AC828" s="458"/>
      <x:c r="AD828" s="458"/>
      <x:c r="AE828" s="458"/>
    </x:row>
    <x:row r="829" spans="1:31" ht="20.100000000000001" customHeight="1">
      <x:c r="A829" s="439" t="s">
        <x:v>767</x:v>
      </x:c>
      <x:c r="B829" s="466" t="str">
        <x:f t="shared" si="121"/>
        <x:v>복리후생비</x:v>
      </x:c>
      <x:c r="C829" s="440" t="str">
        <x:f t="shared" si="122"/>
        <x:v>후생비</x:v>
      </x:c>
      <x:c r="D829" s="441">
        <x:v>52130111</x:v>
      </x:c>
      <x:c r="E829" s="442" t="str">
        <x:f t="shared" si="123"/>
        <x:v>후생비_시상금</x:v>
      </x:c>
      <x:c r="F829" s="443"/>
      <x:c r="G829" s="444" t="s">
        <x:v>91</x:v>
      </x:c>
      <x:c r="H829" s="445" t="str">
        <x:f t="shared" si="127"/>
        <x:v>인사총무팀</x:v>
      </x:c>
      <x:c r="I829" s="446" t="str">
        <x:f t="shared" si="124"/>
        <x:v>[관리비]</x:v>
      </x:c>
      <x:c r="J829" s="445"/>
      <x:c r="K829" s="453">
        <x:v>0</x:v>
      </x:c>
      <x:c r="L829" s="454">
        <x:v>0</x:v>
      </x:c>
      <x:c r="M829" s="454">
        <x:v>0</x:v>
      </x:c>
      <x:c r="N829" s="454">
        <x:v>0</x:v>
      </x:c>
      <x:c r="O829" s="454">
        <x:v>0</x:v>
      </x:c>
      <x:c r="P829" s="454">
        <x:v>0</x:v>
      </x:c>
      <x:c r="Q829" s="454">
        <x:v>0</x:v>
      </x:c>
      <x:c r="R829" s="454">
        <x:v>1764122.4819758697</x:v>
      </x:c>
      <x:c r="S829" s="454">
        <x:v>0</x:v>
      </x:c>
      <x:c r="T829" s="454">
        <x:v>0</x:v>
      </x:c>
      <x:c r="U829" s="454">
        <x:v>0</x:v>
      </x:c>
      <x:c r="V829" s="455">
        <x:v>0</x:v>
      </x:c>
      <x:c r="W829" s="456">
        <x:f t="shared" si="125"/>
        <x:v>1764122.4819758697</x:v>
      </x:c>
      <x:c r="X829" s="450">
        <x:f t="shared" si="126"/>
        <x:v>147010.20683132249</x:v>
      </x:c>
      <x:c r="Y829" s="457"/>
      <x:c r="Z829" s="458"/>
      <x:c r="AA829" s="458"/>
      <x:c r="AB829" s="458"/>
      <x:c r="AC829" s="458"/>
      <x:c r="AD829" s="458"/>
      <x:c r="AE829" s="458"/>
    </x:row>
    <x:row r="830" spans="1:31" ht="20.100000000000001" customHeight="1">
      <x:c r="A830" s="439" t="s">
        <x:v>767</x:v>
      </x:c>
      <x:c r="B830" s="466" t="str">
        <x:f t="shared" si="121"/>
        <x:v>복리후생비</x:v>
      </x:c>
      <x:c r="C830" s="440" t="str">
        <x:f t="shared" si="122"/>
        <x:v>후생비</x:v>
      </x:c>
      <x:c r="D830" s="441">
        <x:v>52139900</x:v>
      </x:c>
      <x:c r="E830" s="442" t="str">
        <x:f t="shared" si="123"/>
        <x:v>후생비_기타</x:v>
      </x:c>
      <x:c r="F830" s="443"/>
      <x:c r="G830" s="444" t="s">
        <x:v>91</x:v>
      </x:c>
      <x:c r="H830" s="445" t="str">
        <x:f t="shared" si="127"/>
        <x:v>인사총무팀</x:v>
      </x:c>
      <x:c r="I830" s="446" t="str">
        <x:f t="shared" si="124"/>
        <x:v>[관리비]</x:v>
      </x:c>
      <x:c r="J830" s="445"/>
      <x:c r="K830" s="453">
        <x:v>0</x:v>
      </x:c>
      <x:c r="L830" s="454">
        <x:v>0</x:v>
      </x:c>
      <x:c r="M830" s="454">
        <x:v>3258.131925929315</x:v>
      </x:c>
      <x:c r="N830" s="454">
        <x:v>0</x:v>
      </x:c>
      <x:c r="O830" s="454">
        <x:v>0</x:v>
      </x:c>
      <x:c r="P830" s="454">
        <x:v>3258.131925929315</x:v>
      </x:c>
      <x:c r="Q830" s="454">
        <x:v>0</x:v>
      </x:c>
      <x:c r="R830" s="454">
        <x:v>0</x:v>
      </x:c>
      <x:c r="S830" s="454">
        <x:v>3258.131925929315</x:v>
      </x:c>
      <x:c r="T830" s="454">
        <x:v>0</x:v>
      </x:c>
      <x:c r="U830" s="454">
        <x:v>0</x:v>
      </x:c>
      <x:c r="V830" s="455">
        <x:v>3258.131925929315</x:v>
      </x:c>
      <x:c r="W830" s="456">
        <x:f t="shared" si="125"/>
        <x:v>13032.52770371726</x:v>
      </x:c>
      <x:c r="X830" s="450">
        <x:f t="shared" si="126"/>
        <x:v>1086.0439753097717</x:v>
      </x:c>
      <x:c r="Y830" s="457"/>
      <x:c r="Z830" s="458"/>
      <x:c r="AA830" s="458"/>
      <x:c r="AB830" s="458"/>
      <x:c r="AC830" s="458"/>
      <x:c r="AD830" s="458"/>
      <x:c r="AE830" s="458"/>
    </x:row>
    <x:row r="831" spans="1:31" ht="20.100000000000001" customHeight="1">
      <x:c r="A831" s="439" t="s">
        <x:v>767</x:v>
      </x:c>
      <x:c r="B831" s="466" t="str">
        <x:f t="shared" si="121"/>
        <x:v>복리후생비</x:v>
      </x:c>
      <x:c r="C831" s="440" t="str">
        <x:f t="shared" si="122"/>
        <x:v>후생비</x:v>
      </x:c>
      <x:c r="D831" s="441">
        <x:v>52139900</x:v>
      </x:c>
      <x:c r="E831" s="442" t="str">
        <x:f t="shared" si="123"/>
        <x:v>후생비_기타</x:v>
      </x:c>
      <x:c r="F831" s="443"/>
      <x:c r="G831" s="444" t="s">
        <x:v>97</x:v>
      </x:c>
      <x:c r="H831" s="445" t="str">
        <x:f t="shared" si="127"/>
        <x:v>재경팀</x:v>
      </x:c>
      <x:c r="I831" s="446" t="str">
        <x:f t="shared" si="124"/>
        <x:v>[관리비]</x:v>
      </x:c>
      <x:c r="J831" s="445"/>
      <x:c r="K831" s="453">
        <x:v>0</x:v>
      </x:c>
      <x:c r="L831" s="454">
        <x:v>0</x:v>
      </x:c>
      <x:c r="M831" s="454">
        <x:v>814.53298148232875</x:v>
      </x:c>
      <x:c r="N831" s="454">
        <x:v>0</x:v>
      </x:c>
      <x:c r="O831" s="454">
        <x:v>0</x:v>
      </x:c>
      <x:c r="P831" s="454">
        <x:v>814.53298148232875</x:v>
      </x:c>
      <x:c r="Q831" s="454">
        <x:v>0</x:v>
      </x:c>
      <x:c r="R831" s="454">
        <x:v>0</x:v>
      </x:c>
      <x:c r="S831" s="454">
        <x:v>814.53298148232875</x:v>
      </x:c>
      <x:c r="T831" s="454">
        <x:v>0</x:v>
      </x:c>
      <x:c r="U831" s="454">
        <x:v>0</x:v>
      </x:c>
      <x:c r="V831" s="455">
        <x:v>814.53298148232875</x:v>
      </x:c>
      <x:c r="W831" s="456">
        <x:f t="shared" si="125"/>
        <x:v>3258.131925929315</x:v>
      </x:c>
      <x:c r="X831" s="450">
        <x:f t="shared" si="126"/>
        <x:v>271.51099382744292</x:v>
      </x:c>
      <x:c r="Y831" s="457"/>
      <x:c r="Z831" s="458"/>
      <x:c r="AA831" s="458"/>
      <x:c r="AB831" s="458"/>
      <x:c r="AC831" s="458"/>
      <x:c r="AD831" s="458"/>
      <x:c r="AE831" s="458"/>
    </x:row>
    <x:row r="832" spans="1:31" ht="20.100000000000001" customHeight="1">
      <x:c r="A832" s="439" t="s">
        <x:v>767</x:v>
      </x:c>
      <x:c r="B832" s="466" t="str">
        <x:f t="shared" si="121"/>
        <x:v>복리후생비</x:v>
      </x:c>
      <x:c r="C832" s="440" t="str">
        <x:f t="shared" si="122"/>
        <x:v>후생비</x:v>
      </x:c>
      <x:c r="D832" s="441">
        <x:v>52130117</x:v>
      </x:c>
      <x:c r="E832" s="442" t="str">
        <x:f t="shared" si="123"/>
        <x:v>후생비_경조금</x:v>
      </x:c>
      <x:c r="F832" s="443"/>
      <x:c r="G832" s="444" t="s">
        <x:v>91</x:v>
      </x:c>
      <x:c r="H832" s="445" t="str">
        <x:f t="shared" si="127"/>
        <x:v>인사총무팀</x:v>
      </x:c>
      <x:c r="I832" s="446" t="str">
        <x:f t="shared" si="124"/>
        <x:v>[관리비]</x:v>
      </x:c>
      <x:c r="J832" s="445"/>
      <x:c r="K832" s="453">
        <x:v>0</x:v>
      </x:c>
      <x:c r="L832" s="454">
        <x:v>0</x:v>
      </x:c>
      <x:c r="M832" s="454">
        <x:v>0</x:v>
      </x:c>
      <x:c r="N832" s="454">
        <x:v>0</x:v>
      </x:c>
      <x:c r="O832" s="454">
        <x:v>0</x:v>
      </x:c>
      <x:c r="P832" s="454">
        <x:v>5430.2198765488583</x:v>
      </x:c>
      <x:c r="Q832" s="454">
        <x:v>0</x:v>
      </x:c>
      <x:c r="R832" s="454">
        <x:v>0</x:v>
      </x:c>
      <x:c r="S832" s="454">
        <x:v>0</x:v>
      </x:c>
      <x:c r="T832" s="454">
        <x:v>0</x:v>
      </x:c>
      <x:c r="U832" s="454">
        <x:v>0</x:v>
      </x:c>
      <x:c r="V832" s="455">
        <x:v>5430.2198765488583</x:v>
      </x:c>
      <x:c r="W832" s="456">
        <x:f t="shared" si="125"/>
        <x:v>10860.439753097717</x:v>
      </x:c>
      <x:c r="X832" s="450">
        <x:f t="shared" si="126"/>
        <x:v>905.03664609147643</x:v>
      </x:c>
      <x:c r="Y832" s="457"/>
      <x:c r="Z832" s="458"/>
      <x:c r="AA832" s="458"/>
      <x:c r="AB832" s="458"/>
      <x:c r="AC832" s="458"/>
      <x:c r="AD832" s="458"/>
      <x:c r="AE832" s="458"/>
    </x:row>
    <x:row r="833" spans="1:31" ht="20.100000000000001" customHeight="1">
      <x:c r="A833" s="439" t="s">
        <x:v>767</x:v>
      </x:c>
      <x:c r="B833" s="466" t="str">
        <x:f t="shared" si="121"/>
        <x:v>복리후생비</x:v>
      </x:c>
      <x:c r="C833" s="440" t="str">
        <x:f t="shared" si="122"/>
        <x:v>후생비</x:v>
      </x:c>
      <x:c r="D833" s="441">
        <x:v>52130117</x:v>
      </x:c>
      <x:c r="E833" s="442" t="str">
        <x:f t="shared" si="123"/>
        <x:v>후생비_경조금</x:v>
      </x:c>
      <x:c r="F833" s="443"/>
      <x:c r="G833" s="444" t="s">
        <x:v>91</x:v>
      </x:c>
      <x:c r="H833" s="445" t="str">
        <x:f t="shared" si="127"/>
        <x:v>인사총무팀</x:v>
      </x:c>
      <x:c r="I833" s="446" t="str">
        <x:f t="shared" si="124"/>
        <x:v>[관리비]</x:v>
      </x:c>
      <x:c r="J833" s="445"/>
      <x:c r="K833" s="453">
        <x:v>0</x:v>
      </x:c>
      <x:c r="L833" s="454">
        <x:v>0</x:v>
      </x:c>
      <x:c r="M833" s="454">
        <x:v>0</x:v>
      </x:c>
      <x:c r="N833" s="454">
        <x:v>0</x:v>
      </x:c>
      <x:c r="O833" s="454">
        <x:v>0</x:v>
      </x:c>
      <x:c r="P833" s="454">
        <x:v>27151.099382744291</x:v>
      </x:c>
      <x:c r="Q833" s="454">
        <x:v>0</x:v>
      </x:c>
      <x:c r="R833" s="454">
        <x:v>0</x:v>
      </x:c>
      <x:c r="S833" s="454">
        <x:v>0</x:v>
      </x:c>
      <x:c r="T833" s="454">
        <x:v>0</x:v>
      </x:c>
      <x:c r="U833" s="454">
        <x:v>0</x:v>
      </x:c>
      <x:c r="V833" s="455">
        <x:v>27151.099382744291</x:v>
      </x:c>
      <x:c r="W833" s="456">
        <x:f t="shared" si="125"/>
        <x:v>54302.198765488582</x:v>
      </x:c>
      <x:c r="X833" s="450">
        <x:f t="shared" si="126"/>
        <x:v>4525.1832304573818</x:v>
      </x:c>
      <x:c r="Y833" s="457"/>
      <x:c r="Z833" s="458"/>
      <x:c r="AA833" s="458"/>
      <x:c r="AB833" s="458"/>
      <x:c r="AC833" s="458"/>
      <x:c r="AD833" s="458"/>
      <x:c r="AE833" s="458"/>
    </x:row>
    <x:row r="834" spans="1:31" ht="20.100000000000001" customHeight="1">
      <x:c r="A834" s="439" t="s">
        <x:v>767</x:v>
      </x:c>
      <x:c r="B834" s="466" t="str">
        <x:f t="shared" si="121"/>
        <x:v>복리후생비</x:v>
      </x:c>
      <x:c r="C834" s="440" t="str">
        <x:f t="shared" si="122"/>
        <x:v>후생비</x:v>
      </x:c>
      <x:c r="D834" s="441">
        <x:v>52139900</x:v>
      </x:c>
      <x:c r="E834" s="442" t="str">
        <x:f t="shared" si="123"/>
        <x:v>후생비_기타</x:v>
      </x:c>
      <x:c r="F834" s="443"/>
      <x:c r="G834" s="444" t="s">
        <x:v>91</x:v>
      </x:c>
      <x:c r="H834" s="445" t="str">
        <x:f t="shared" si="127"/>
        <x:v>인사총무팀</x:v>
      </x:c>
      <x:c r="I834" s="446" t="str">
        <x:f t="shared" si="124"/>
        <x:v>[관리비]</x:v>
      </x:c>
      <x:c r="J834" s="445"/>
      <x:c r="K834" s="453">
        <x:v>0</x:v>
      </x:c>
      <x:c r="L834" s="454">
        <x:v>0</x:v>
      </x:c>
      <x:c r="M834" s="454">
        <x:v>0</x:v>
      </x:c>
      <x:c r="N834" s="454">
        <x:v>0</x:v>
      </x:c>
      <x:c r="O834" s="454">
        <x:v>30705.449802939347</x:v>
      </x:c>
      <x:c r="P834" s="454">
        <x:v>0</x:v>
      </x:c>
      <x:c r="Q834" s="454">
        <x:v>0</x:v>
      </x:c>
      <x:c r="R834" s="454">
        <x:v>0</x:v>
      </x:c>
      <x:c r="S834" s="454">
        <x:v>0</x:v>
      </x:c>
      <x:c r="T834" s="454">
        <x:v>0</x:v>
      </x:c>
      <x:c r="U834" s="454">
        <x:v>0</x:v>
      </x:c>
      <x:c r="V834" s="455">
        <x:v>30705.449802939347</x:v>
      </x:c>
      <x:c r="W834" s="456">
        <x:f t="shared" si="125"/>
        <x:v>61410.899605878694</x:v>
      </x:c>
      <x:c r="X834" s="450">
        <x:f t="shared" si="126"/>
        <x:v>5117.5749671565582</x:v>
      </x:c>
      <x:c r="Y834" s="457"/>
      <x:c r="Z834" s="458"/>
      <x:c r="AA834" s="458"/>
      <x:c r="AB834" s="458"/>
      <x:c r="AC834" s="458"/>
      <x:c r="AD834" s="458"/>
      <x:c r="AE834" s="458"/>
    </x:row>
    <x:row r="835" spans="1:31" ht="20.100000000000001" customHeight="1">
      <x:c r="A835" s="439" t="s">
        <x:v>767</x:v>
      </x:c>
      <x:c r="B835" s="466" t="str">
        <x:f t="shared" ref="B835:B898" si="128">IFERROR(VLOOKUP($C835,$AH:$AI,2,),"")</x:f>
        <x:v>복리후생비</x:v>
      </x:c>
      <x:c r="C835" s="440" t="str">
        <x:f t="shared" ref="C835:C898" si="129">IFERROR(VLOOKUP($D835,$AO:$AQ,3,),"")</x:f>
        <x:v>후생비</x:v>
      </x:c>
      <x:c r="D835" s="441">
        <x:v>52130134</x:v>
      </x:c>
      <x:c r="E835" s="442" t="str">
        <x:f t="shared" ref="E835:E898" si="130">IFERROR(VLOOKUP($D835,$AO:$AQ,2,),"")</x:f>
        <x:v>후생비_식대(생산성향상)</x:v>
      </x:c>
      <x:c r="F835" s="443"/>
      <x:c r="G835" s="444" t="s">
        <x:v>318</x:v>
      </x:c>
      <x:c r="H835" s="445" t="str">
        <x:f t="shared" si="127"/>
        <x:v>대표이사</x:v>
      </x:c>
      <x:c r="I835" s="446" t="str">
        <x:f t="shared" ref="I835:I898" si="131">IFERROR(VLOOKUP($G835,$AK:$AM,3,),"")</x:f>
        <x:v>[관리비]</x:v>
      </x:c>
      <x:c r="J835" s="445"/>
      <x:c r="K835" s="453">
        <x:v>2172.0879506195433</x:v>
      </x:c>
      <x:c r="L835" s="454">
        <x:v>0</x:v>
      </x:c>
      <x:c r="M835" s="454">
        <x:v>0</x:v>
      </x:c>
      <x:c r="N835" s="454">
        <x:v>0</x:v>
      </x:c>
      <x:c r="O835" s="454">
        <x:v>0</x:v>
      </x:c>
      <x:c r="P835" s="454">
        <x:v>0</x:v>
      </x:c>
      <x:c r="Q835" s="454">
        <x:v>2172.0879506195433</x:v>
      </x:c>
      <x:c r="R835" s="454">
        <x:v>0</x:v>
      </x:c>
      <x:c r="S835" s="454">
        <x:v>0</x:v>
      </x:c>
      <x:c r="T835" s="454">
        <x:v>2172.0879506195433</x:v>
      </x:c>
      <x:c r="U835" s="454">
        <x:v>0</x:v>
      </x:c>
      <x:c r="V835" s="455">
        <x:v>0</x:v>
      </x:c>
      <x:c r="W835" s="456">
        <x:f t="shared" si="125"/>
        <x:v>6516.26385185863</x:v>
      </x:c>
      <x:c r="X835" s="450">
        <x:f t="shared" si="126"/>
        <x:v>543.02198765488583</x:v>
      </x:c>
      <x:c r="Y835" s="457"/>
      <x:c r="Z835" s="458"/>
      <x:c r="AA835" s="458"/>
      <x:c r="AB835" s="458"/>
      <x:c r="AC835" s="458"/>
      <x:c r="AD835" s="458"/>
      <x:c r="AE835" s="458"/>
    </x:row>
    <x:row r="836" spans="1:31" ht="20.100000000000001" customHeight="1">
      <x:c r="A836" s="439" t="s">
        <x:v>767</x:v>
      </x:c>
      <x:c r="B836" s="466" t="str">
        <x:f t="shared" si="128"/>
        <x:v>복리후생비</x:v>
      </x:c>
      <x:c r="C836" s="440" t="str">
        <x:f t="shared" si="129"/>
        <x:v>후생비</x:v>
      </x:c>
      <x:c r="D836" s="441">
        <x:v>52130134</x:v>
      </x:c>
      <x:c r="E836" s="442" t="str">
        <x:f t="shared" si="130"/>
        <x:v>후생비_식대(생산성향상)</x:v>
      </x:c>
      <x:c r="F836" s="443"/>
      <x:c r="G836" s="444" t="s">
        <x:v>91</x:v>
      </x:c>
      <x:c r="H836" s="445" t="str">
        <x:f t="shared" si="127"/>
        <x:v>인사총무팀</x:v>
      </x:c>
      <x:c r="I836" s="446" t="str">
        <x:f t="shared" si="131"/>
        <x:v>[관리비]</x:v>
      </x:c>
      <x:c r="J836" s="445"/>
      <x:c r="K836" s="453">
        <x:v>34753.407209912693</x:v>
      </x:c>
      <x:c r="L836" s="454">
        <x:v>0</x:v>
      </x:c>
      <x:c r="M836" s="454">
        <x:v>0</x:v>
      </x:c>
      <x:c r="N836" s="454">
        <x:v>0</x:v>
      </x:c>
      <x:c r="O836" s="454">
        <x:v>0</x:v>
      </x:c>
      <x:c r="P836" s="454">
        <x:v>0</x:v>
      </x:c>
      <x:c r="Q836" s="454">
        <x:v>34753.407209912693</x:v>
      </x:c>
      <x:c r="R836" s="454">
        <x:v>0</x:v>
      </x:c>
      <x:c r="S836" s="454">
        <x:v>0</x:v>
      </x:c>
      <x:c r="T836" s="454">
        <x:v>34753.407209912693</x:v>
      </x:c>
      <x:c r="U836" s="454">
        <x:v>0</x:v>
      </x:c>
      <x:c r="V836" s="455">
        <x:v>0</x:v>
      </x:c>
      <x:c r="W836" s="456">
        <x:f t="shared" si="125"/>
        <x:v>104260.22162973808</x:v>
      </x:c>
      <x:c r="X836" s="450">
        <x:f t="shared" si="126"/>
        <x:v>8688.3518024781733</x:v>
      </x:c>
      <x:c r="Y836" s="457"/>
      <x:c r="Z836" s="458"/>
      <x:c r="AA836" s="458"/>
      <x:c r="AB836" s="458"/>
      <x:c r="AC836" s="458"/>
      <x:c r="AD836" s="458"/>
      <x:c r="AE836" s="458"/>
    </x:row>
    <x:row r="837" spans="1:31" ht="20.100000000000001" customHeight="1">
      <x:c r="A837" s="439" t="s">
        <x:v>767</x:v>
      </x:c>
      <x:c r="B837" s="466" t="str">
        <x:f t="shared" si="128"/>
        <x:v>복리후생비</x:v>
      </x:c>
      <x:c r="C837" s="440" t="str">
        <x:f t="shared" si="129"/>
        <x:v>후생비</x:v>
      </x:c>
      <x:c r="D837" s="441">
        <x:v>52130134</x:v>
      </x:c>
      <x:c r="E837" s="442" t="str">
        <x:f t="shared" si="130"/>
        <x:v>후생비_식대(생산성향상)</x:v>
      </x:c>
      <x:c r="F837" s="443"/>
      <x:c r="G837" s="444" t="s">
        <x:v>119</x:v>
      </x:c>
      <x:c r="H837" s="445" t="str">
        <x:f t="shared" si="127"/>
        <x:v>KiB 클러스터</x:v>
      </x:c>
      <x:c r="I837" s="446" t="str">
        <x:f t="shared" si="131"/>
        <x:v>[관리비]</x:v>
      </x:c>
      <x:c r="J837" s="445"/>
      <x:c r="K837" s="453">
        <x:v>30409.231308673607</x:v>
      </x:c>
      <x:c r="L837" s="454">
        <x:v>0</x:v>
      </x:c>
      <x:c r="M837" s="454">
        <x:v>0</x:v>
      </x:c>
      <x:c r="N837" s="454">
        <x:v>0</x:v>
      </x:c>
      <x:c r="O837" s="454">
        <x:v>0</x:v>
      </x:c>
      <x:c r="P837" s="454">
        <x:v>0</x:v>
      </x:c>
      <x:c r="Q837" s="454">
        <x:v>30409.231308673607</x:v>
      </x:c>
      <x:c r="R837" s="454">
        <x:v>0</x:v>
      </x:c>
      <x:c r="S837" s="454">
        <x:v>0</x:v>
      </x:c>
      <x:c r="T837" s="454">
        <x:v>30409.231308673607</x:v>
      </x:c>
      <x:c r="U837" s="454">
        <x:v>0</x:v>
      </x:c>
      <x:c r="V837" s="455">
        <x:v>0</x:v>
      </x:c>
      <x:c r="W837" s="456">
        <x:f t="shared" si="125"/>
        <x:v>91227.693926020816</x:v>
      </x:c>
      <x:c r="X837" s="450">
        <x:f t="shared" si="126"/>
        <x:v>7602.3078271684017</x:v>
      </x:c>
      <x:c r="Y837" s="457"/>
      <x:c r="Z837" s="458"/>
      <x:c r="AA837" s="458"/>
      <x:c r="AB837" s="458"/>
      <x:c r="AC837" s="458"/>
      <x:c r="AD837" s="458"/>
      <x:c r="AE837" s="458"/>
    </x:row>
    <x:row r="838" spans="1:31" ht="20.100000000000001" customHeight="1">
      <x:c r="A838" s="439" t="s">
        <x:v>767</x:v>
      </x:c>
      <x:c r="B838" s="466" t="str">
        <x:f t="shared" si="128"/>
        <x:v>복리후생비</x:v>
      </x:c>
      <x:c r="C838" s="440" t="str">
        <x:f t="shared" si="129"/>
        <x:v>후생비</x:v>
      </x:c>
      <x:c r="D838" s="441">
        <x:v>52130134</x:v>
      </x:c>
      <x:c r="E838" s="442" t="str">
        <x:f t="shared" si="130"/>
        <x:v>후생비_식대(생산성향상)</x:v>
      </x:c>
      <x:c r="F838" s="443"/>
      <x:c r="G838" s="444" t="s">
        <x:v>97</x:v>
      </x:c>
      <x:c r="H838" s="445" t="str">
        <x:f t="shared" si="127"/>
        <x:v>재경팀</x:v>
      </x:c>
      <x:c r="I838" s="446" t="str">
        <x:f t="shared" si="131"/>
        <x:v>[관리비]</x:v>
      </x:c>
      <x:c r="J838" s="445"/>
      <x:c r="K838" s="453">
        <x:v>17376.703604956347</x:v>
      </x:c>
      <x:c r="L838" s="454">
        <x:v>0</x:v>
      </x:c>
      <x:c r="M838" s="454">
        <x:v>0</x:v>
      </x:c>
      <x:c r="N838" s="454">
        <x:v>0</x:v>
      </x:c>
      <x:c r="O838" s="454">
        <x:v>0</x:v>
      </x:c>
      <x:c r="P838" s="454">
        <x:v>0</x:v>
      </x:c>
      <x:c r="Q838" s="454">
        <x:v>17376.703604956347</x:v>
      </x:c>
      <x:c r="R838" s="454">
        <x:v>0</x:v>
      </x:c>
      <x:c r="S838" s="454">
        <x:v>0</x:v>
      </x:c>
      <x:c r="T838" s="454">
        <x:v>17376.703604956347</x:v>
      </x:c>
      <x:c r="U838" s="454">
        <x:v>0</x:v>
      </x:c>
      <x:c r="V838" s="455">
        <x:v>0</x:v>
      </x:c>
      <x:c r="W838" s="456">
        <x:f t="shared" si="125"/>
        <x:v>52130.11081486904</x:v>
      </x:c>
      <x:c r="X838" s="450">
        <x:f t="shared" si="126"/>
        <x:v>4344.1759012390867</x:v>
      </x:c>
      <x:c r="Y838" s="457"/>
      <x:c r="Z838" s="458"/>
      <x:c r="AA838" s="458"/>
      <x:c r="AB838" s="458"/>
      <x:c r="AC838" s="458"/>
      <x:c r="AD838" s="458"/>
      <x:c r="AE838" s="458"/>
    </x:row>
    <x:row r="839" spans="1:31" ht="20.100000000000001" customHeight="1">
      <x:c r="A839" s="439" t="s">
        <x:v>767</x:v>
      </x:c>
      <x:c r="B839" s="466" t="str">
        <x:f t="shared" si="128"/>
        <x:v>복리후생비</x:v>
      </x:c>
      <x:c r="C839" s="440" t="str">
        <x:f t="shared" si="129"/>
        <x:v>후생비</x:v>
      </x:c>
      <x:c r="D839" s="441">
        <x:v>52130134</x:v>
      </x:c>
      <x:c r="E839" s="442" t="str">
        <x:f t="shared" si="130"/>
        <x:v>후생비_식대(생산성향상)</x:v>
      </x:c>
      <x:c r="F839" s="443"/>
      <x:c r="G839" s="444" t="s">
        <x:v>87</x:v>
      </x:c>
      <x:c r="H839" s="445" t="str">
        <x:f t="shared" si="127"/>
        <x:v>기획팀</x:v>
      </x:c>
      <x:c r="I839" s="446" t="str">
        <x:f t="shared" si="131"/>
        <x:v>[관리비]</x:v>
      </x:c>
      <x:c r="J839" s="445"/>
      <x:c r="K839" s="453">
        <x:v>17376.703604956347</x:v>
      </x:c>
      <x:c r="L839" s="454">
        <x:v>0</x:v>
      </x:c>
      <x:c r="M839" s="454">
        <x:v>0</x:v>
      </x:c>
      <x:c r="N839" s="454">
        <x:v>0</x:v>
      </x:c>
      <x:c r="O839" s="454">
        <x:v>0</x:v>
      </x:c>
      <x:c r="P839" s="454">
        <x:v>0</x:v>
      </x:c>
      <x:c r="Q839" s="454">
        <x:v>17376.703604956347</x:v>
      </x:c>
      <x:c r="R839" s="454">
        <x:v>0</x:v>
      </x:c>
      <x:c r="S839" s="454">
        <x:v>0</x:v>
      </x:c>
      <x:c r="T839" s="454">
        <x:v>17376.703604956347</x:v>
      </x:c>
      <x:c r="U839" s="454">
        <x:v>0</x:v>
      </x:c>
      <x:c r="V839" s="455">
        <x:v>0</x:v>
      </x:c>
      <x:c r="W839" s="456">
        <x:f t="shared" si="125"/>
        <x:v>52130.11081486904</x:v>
      </x:c>
      <x:c r="X839" s="450">
        <x:f t="shared" si="126"/>
        <x:v>4344.1759012390867</x:v>
      </x:c>
      <x:c r="Y839" s="457"/>
      <x:c r="Z839" s="458"/>
      <x:c r="AA839" s="458"/>
      <x:c r="AB839" s="458"/>
      <x:c r="AC839" s="458"/>
      <x:c r="AD839" s="458"/>
      <x:c r="AE839" s="458"/>
    </x:row>
    <x:row r="840" spans="1:31" ht="20.100000000000001" customHeight="1">
      <x:c r="A840" s="439" t="s">
        <x:v>767</x:v>
      </x:c>
      <x:c r="B840" s="466" t="str">
        <x:f t="shared" si="128"/>
        <x:v>복리후생비</x:v>
      </x:c>
      <x:c r="C840" s="440" t="str">
        <x:f t="shared" si="129"/>
        <x:v>후생비</x:v>
      </x:c>
      <x:c r="D840" s="441">
        <x:v>52130131</x:v>
      </x:c>
      <x:c r="E840" s="442" t="str">
        <x:f t="shared" si="130"/>
        <x:v>후생비_행사지원비</x:v>
      </x:c>
      <x:c r="F840" s="443"/>
      <x:c r="G840" s="444" t="s">
        <x:v>318</x:v>
      </x:c>
      <x:c r="H840" s="445" t="str">
        <x:f t="shared" si="127"/>
        <x:v>대표이사</x:v>
      </x:c>
      <x:c r="I840" s="446" t="str">
        <x:f t="shared" si="131"/>
        <x:v>[관리비]</x:v>
      </x:c>
      <x:c r="J840" s="445"/>
      <x:c r="K840" s="453">
        <x:v>0</x:v>
      </x:c>
      <x:c r="L840" s="454">
        <x:v>0</x:v>
      </x:c>
      <x:c r="M840" s="454">
        <x:v>0</x:v>
      </x:c>
      <x:c r="N840" s="454">
        <x:v>3258.131925929315</x:v>
      </x:c>
      <x:c r="O840" s="454">
        <x:v>0</x:v>
      </x:c>
      <x:c r="P840" s="454">
        <x:v>0</x:v>
      </x:c>
      <x:c r="Q840" s="454">
        <x:v>0</x:v>
      </x:c>
      <x:c r="R840" s="454">
        <x:v>0</x:v>
      </x:c>
      <x:c r="S840" s="454">
        <x:v>0</x:v>
      </x:c>
      <x:c r="T840" s="454">
        <x:v>0</x:v>
      </x:c>
      <x:c r="U840" s="454">
        <x:v>0</x:v>
      </x:c>
      <x:c r="V840" s="455">
        <x:v>3258.131925929315</x:v>
      </x:c>
      <x:c r="W840" s="456">
        <x:f t="shared" si="125"/>
        <x:v>6516.26385185863</x:v>
      </x:c>
      <x:c r="X840" s="450">
        <x:f t="shared" si="126"/>
        <x:v>543.02198765488583</x:v>
      </x:c>
      <x:c r="Y840" s="457"/>
      <x:c r="Z840" s="458"/>
      <x:c r="AA840" s="458"/>
      <x:c r="AB840" s="458"/>
      <x:c r="AC840" s="458"/>
      <x:c r="AD840" s="458"/>
      <x:c r="AE840" s="458"/>
    </x:row>
    <x:row r="841" spans="1:31" ht="20.100000000000001" customHeight="1">
      <x:c r="A841" s="439" t="s">
        <x:v>767</x:v>
      </x:c>
      <x:c r="B841" s="466" t="str">
        <x:f t="shared" si="128"/>
        <x:v>복리후생비</x:v>
      </x:c>
      <x:c r="C841" s="440" t="str">
        <x:f t="shared" si="129"/>
        <x:v>후생비</x:v>
      </x:c>
      <x:c r="D841" s="441">
        <x:v>52130131</x:v>
      </x:c>
      <x:c r="E841" s="442" t="str">
        <x:f t="shared" si="130"/>
        <x:v>후생비_행사지원비</x:v>
      </x:c>
      <x:c r="F841" s="443"/>
      <x:c r="G841" s="444" t="s">
        <x:v>91</x:v>
      </x:c>
      <x:c r="H841" s="445" t="str">
        <x:f t="shared" si="127"/>
        <x:v>인사총무팀</x:v>
      </x:c>
      <x:c r="I841" s="446" t="str">
        <x:f t="shared" si="131"/>
        <x:v>[관리비]</x:v>
      </x:c>
      <x:c r="J841" s="445"/>
      <x:c r="K841" s="453">
        <x:v>0</x:v>
      </x:c>
      <x:c r="L841" s="454">
        <x:v>0</x:v>
      </x:c>
      <x:c r="M841" s="454">
        <x:v>0</x:v>
      </x:c>
      <x:c r="N841" s="454">
        <x:v>52130.11081486904</x:v>
      </x:c>
      <x:c r="O841" s="454">
        <x:v>0</x:v>
      </x:c>
      <x:c r="P841" s="454">
        <x:v>0</x:v>
      </x:c>
      <x:c r="Q841" s="454">
        <x:v>0</x:v>
      </x:c>
      <x:c r="R841" s="454">
        <x:v>0</x:v>
      </x:c>
      <x:c r="S841" s="454">
        <x:v>0</x:v>
      </x:c>
      <x:c r="T841" s="454">
        <x:v>0</x:v>
      </x:c>
      <x:c r="U841" s="454">
        <x:v>0</x:v>
      </x:c>
      <x:c r="V841" s="455">
        <x:v>52130.11081486904</x:v>
      </x:c>
      <x:c r="W841" s="456">
        <x:f t="shared" si="125"/>
        <x:v>104260.22162973808</x:v>
      </x:c>
      <x:c r="X841" s="450">
        <x:f t="shared" si="126"/>
        <x:v>8688.3518024781733</x:v>
      </x:c>
      <x:c r="Y841" s="457"/>
      <x:c r="Z841" s="458"/>
      <x:c r="AA841" s="458"/>
      <x:c r="AB841" s="458"/>
      <x:c r="AC841" s="458"/>
      <x:c r="AD841" s="458"/>
      <x:c r="AE841" s="458"/>
    </x:row>
    <x:row r="842" spans="1:31" ht="20.100000000000001" customHeight="1">
      <x:c r="A842" s="439" t="s">
        <x:v>767</x:v>
      </x:c>
      <x:c r="B842" s="466" t="str">
        <x:f t="shared" si="128"/>
        <x:v>복리후생비</x:v>
      </x:c>
      <x:c r="C842" s="440" t="str">
        <x:f t="shared" si="129"/>
        <x:v>후생비</x:v>
      </x:c>
      <x:c r="D842" s="441">
        <x:v>52130131</x:v>
      </x:c>
      <x:c r="E842" s="442" t="str">
        <x:f t="shared" si="130"/>
        <x:v>후생비_행사지원비</x:v>
      </x:c>
      <x:c r="F842" s="443"/>
      <x:c r="G842" s="444" t="s">
        <x:v>119</x:v>
      </x:c>
      <x:c r="H842" s="445" t="str">
        <x:f t="shared" si="127"/>
        <x:v>KiB 클러스터</x:v>
      </x:c>
      <x:c r="I842" s="446" t="str">
        <x:f t="shared" si="131"/>
        <x:v>[관리비]</x:v>
      </x:c>
      <x:c r="J842" s="445"/>
      <x:c r="K842" s="453">
        <x:v>0</x:v>
      </x:c>
      <x:c r="L842" s="454">
        <x:v>0</x:v>
      </x:c>
      <x:c r="M842" s="454">
        <x:v>0</x:v>
      </x:c>
      <x:c r="N842" s="454">
        <x:v>45613.846963010408</x:v>
      </x:c>
      <x:c r="O842" s="454">
        <x:v>0</x:v>
      </x:c>
      <x:c r="P842" s="454">
        <x:v>0</x:v>
      </x:c>
      <x:c r="Q842" s="454">
        <x:v>0</x:v>
      </x:c>
      <x:c r="R842" s="454">
        <x:v>0</x:v>
      </x:c>
      <x:c r="S842" s="454">
        <x:v>0</x:v>
      </x:c>
      <x:c r="T842" s="454">
        <x:v>0</x:v>
      </x:c>
      <x:c r="U842" s="454">
        <x:v>0</x:v>
      </x:c>
      <x:c r="V842" s="455">
        <x:v>45613.846963010408</x:v>
      </x:c>
      <x:c r="W842" s="456">
        <x:f t="shared" si="125"/>
        <x:v>91227.693926020816</x:v>
      </x:c>
      <x:c r="X842" s="450">
        <x:f t="shared" si="126"/>
        <x:v>7602.3078271684017</x:v>
      </x:c>
      <x:c r="Y842" s="457"/>
      <x:c r="Z842" s="458"/>
      <x:c r="AA842" s="458"/>
      <x:c r="AB842" s="458"/>
      <x:c r="AC842" s="458"/>
      <x:c r="AD842" s="458"/>
      <x:c r="AE842" s="458"/>
    </x:row>
    <x:row r="843" spans="1:31" ht="20.100000000000001" customHeight="1">
      <x:c r="A843" s="439" t="s">
        <x:v>767</x:v>
      </x:c>
      <x:c r="B843" s="466" t="str">
        <x:f t="shared" si="128"/>
        <x:v>복리후생비</x:v>
      </x:c>
      <x:c r="C843" s="440" t="str">
        <x:f t="shared" si="129"/>
        <x:v>후생비</x:v>
      </x:c>
      <x:c r="D843" s="441">
        <x:v>52130131</x:v>
      </x:c>
      <x:c r="E843" s="442" t="str">
        <x:f t="shared" si="130"/>
        <x:v>후생비_행사지원비</x:v>
      </x:c>
      <x:c r="F843" s="443"/>
      <x:c r="G843" s="444" t="s">
        <x:v>97</x:v>
      </x:c>
      <x:c r="H843" s="445" t="str">
        <x:f t="shared" si="127"/>
        <x:v>재경팀</x:v>
      </x:c>
      <x:c r="I843" s="446" t="str">
        <x:f t="shared" si="131"/>
        <x:v>[관리비]</x:v>
      </x:c>
      <x:c r="J843" s="445"/>
      <x:c r="K843" s="453">
        <x:v>0</x:v>
      </x:c>
      <x:c r="L843" s="454">
        <x:v>0</x:v>
      </x:c>
      <x:c r="M843" s="454">
        <x:v>0</x:v>
      </x:c>
      <x:c r="N843" s="454">
        <x:v>26065.05540743452</x:v>
      </x:c>
      <x:c r="O843" s="454">
        <x:v>0</x:v>
      </x:c>
      <x:c r="P843" s="454">
        <x:v>0</x:v>
      </x:c>
      <x:c r="Q843" s="454">
        <x:v>0</x:v>
      </x:c>
      <x:c r="R843" s="454">
        <x:v>0</x:v>
      </x:c>
      <x:c r="S843" s="454">
        <x:v>0</x:v>
      </x:c>
      <x:c r="T843" s="454">
        <x:v>0</x:v>
      </x:c>
      <x:c r="U843" s="454">
        <x:v>0</x:v>
      </x:c>
      <x:c r="V843" s="455">
        <x:v>26065.05540743452</x:v>
      </x:c>
      <x:c r="W843" s="456">
        <x:f t="shared" si="125"/>
        <x:v>52130.11081486904</x:v>
      </x:c>
      <x:c r="X843" s="450">
        <x:f t="shared" si="126"/>
        <x:v>4344.1759012390867</x:v>
      </x:c>
      <x:c r="Y843" s="457"/>
      <x:c r="Z843" s="458"/>
      <x:c r="AA843" s="458"/>
      <x:c r="AB843" s="458"/>
      <x:c r="AC843" s="458"/>
      <x:c r="AD843" s="458"/>
      <x:c r="AE843" s="458"/>
    </x:row>
    <x:row r="844" spans="1:31" ht="20.100000000000001" customHeight="1">
      <x:c r="A844" s="439" t="s">
        <x:v>767</x:v>
      </x:c>
      <x:c r="B844" s="466" t="str">
        <x:f t="shared" si="128"/>
        <x:v>복리후생비</x:v>
      </x:c>
      <x:c r="C844" s="440" t="str">
        <x:f t="shared" si="129"/>
        <x:v>후생비</x:v>
      </x:c>
      <x:c r="D844" s="441">
        <x:v>52130131</x:v>
      </x:c>
      <x:c r="E844" s="442" t="str">
        <x:f t="shared" si="130"/>
        <x:v>후생비_행사지원비</x:v>
      </x:c>
      <x:c r="F844" s="443"/>
      <x:c r="G844" s="444" t="s">
        <x:v>87</x:v>
      </x:c>
      <x:c r="H844" s="445" t="str">
        <x:f t="shared" si="127"/>
        <x:v>기획팀</x:v>
      </x:c>
      <x:c r="I844" s="446" t="str">
        <x:f t="shared" si="131"/>
        <x:v>[관리비]</x:v>
      </x:c>
      <x:c r="J844" s="445"/>
      <x:c r="K844" s="453">
        <x:v>0</x:v>
      </x:c>
      <x:c r="L844" s="454">
        <x:v>0</x:v>
      </x:c>
      <x:c r="M844" s="454">
        <x:v>0</x:v>
      </x:c>
      <x:c r="N844" s="454">
        <x:v>26065.05540743452</x:v>
      </x:c>
      <x:c r="O844" s="454">
        <x:v>0</x:v>
      </x:c>
      <x:c r="P844" s="454">
        <x:v>0</x:v>
      </x:c>
      <x:c r="Q844" s="454">
        <x:v>0</x:v>
      </x:c>
      <x:c r="R844" s="454">
        <x:v>0</x:v>
      </x:c>
      <x:c r="S844" s="454">
        <x:v>0</x:v>
      </x:c>
      <x:c r="T844" s="454">
        <x:v>0</x:v>
      </x:c>
      <x:c r="U844" s="454">
        <x:v>0</x:v>
      </x:c>
      <x:c r="V844" s="455">
        <x:v>26065.05540743452</x:v>
      </x:c>
      <x:c r="W844" s="456">
        <x:f t="shared" si="125"/>
        <x:v>52130.11081486904</x:v>
      </x:c>
      <x:c r="X844" s="450">
        <x:f t="shared" si="126"/>
        <x:v>4344.1759012390867</x:v>
      </x:c>
      <x:c r="Y844" s="457"/>
      <x:c r="Z844" s="458"/>
      <x:c r="AA844" s="458"/>
      <x:c r="AB844" s="458"/>
      <x:c r="AC844" s="458"/>
      <x:c r="AD844" s="458"/>
      <x:c r="AE844" s="458"/>
    </x:row>
    <x:row r="845" spans="1:31" ht="20.100000000000001" customHeight="1">
      <x:c r="A845" s="439" t="s">
        <x:v>767</x:v>
      </x:c>
      <x:c r="B845" s="466" t="str">
        <x:f t="shared" si="128"/>
        <x:v>복리후생비</x:v>
      </x:c>
      <x:c r="C845" s="440" t="str">
        <x:f t="shared" si="129"/>
        <x:v>후생비</x:v>
      </x:c>
      <x:c r="D845" s="441">
        <x:v>52139900</x:v>
      </x:c>
      <x:c r="E845" s="442" t="str">
        <x:f t="shared" si="130"/>
        <x:v>후생비_기타</x:v>
      </x:c>
      <x:c r="F845" s="443"/>
      <x:c r="G845" s="444" t="s">
        <x:v>318</x:v>
      </x:c>
      <x:c r="H845" s="445" t="str">
        <x:f t="shared" si="127"/>
        <x:v>대표이사</x:v>
      </x:c>
      <x:c r="I845" s="446" t="str">
        <x:f t="shared" si="131"/>
        <x:v>[관리비]</x:v>
      </x:c>
      <x:c r="J845" s="445"/>
      <x:c r="K845" s="453">
        <x:v>0</x:v>
      </x:c>
      <x:c r="L845" s="454">
        <x:v>0</x:v>
      </x:c>
      <x:c r="M845" s="454">
        <x:v>0</x:v>
      </x:c>
      <x:c r="N845" s="454">
        <x:v>0</x:v>
      </x:c>
      <x:c r="O845" s="454">
        <x:v>0</x:v>
      </x:c>
      <x:c r="P845" s="454">
        <x:v>0</x:v>
      </x:c>
      <x:c r="Q845" s="454">
        <x:v>0</x:v>
      </x:c>
      <x:c r="R845" s="454">
        <x:v>0</x:v>
      </x:c>
      <x:c r="S845" s="454">
        <x:v>0</x:v>
      </x:c>
      <x:c r="T845" s="454">
        <x:v>0</x:v>
      </x:c>
      <x:c r="U845" s="454">
        <x:v>0</x:v>
      </x:c>
      <x:c r="V845" s="455">
        <x:v>27151.099382744291</x:v>
      </x:c>
      <x:c r="W845" s="456">
        <x:f t="shared" ref="W845:W908" si="132">0+(IFERROR(SUM(K845:V845),""))</x:f>
        <x:v>27151.099382744291</x:v>
      </x:c>
      <x:c r="X845" s="450">
        <x:f t="shared" si="126"/>
        <x:v>2262.5916152286909</x:v>
      </x:c>
      <x:c r="Y845" s="457"/>
      <x:c r="Z845" s="458"/>
      <x:c r="AA845" s="458"/>
      <x:c r="AB845" s="458"/>
      <x:c r="AC845" s="458"/>
      <x:c r="AD845" s="458"/>
      <x:c r="AE845" s="458"/>
    </x:row>
    <x:row r="846" spans="1:31" ht="20.100000000000001" customHeight="1">
      <x:c r="A846" s="439" t="s">
        <x:v>767</x:v>
      </x:c>
      <x:c r="B846" s="466" t="str">
        <x:f t="shared" si="128"/>
        <x:v>복리후생비</x:v>
      </x:c>
      <x:c r="C846" s="440" t="str">
        <x:f t="shared" si="129"/>
        <x:v>후생비</x:v>
      </x:c>
      <x:c r="D846" s="441">
        <x:v>52139900</x:v>
      </x:c>
      <x:c r="E846" s="442" t="str">
        <x:f t="shared" si="130"/>
        <x:v>후생비_기타</x:v>
      </x:c>
      <x:c r="F846" s="443"/>
      <x:c r="G846" s="444" t="s">
        <x:v>89</x:v>
      </x:c>
      <x:c r="H846" s="445" t="str">
        <x:f t="shared" si="127"/>
        <x:v>기획담당</x:v>
      </x:c>
      <x:c r="I846" s="446" t="str">
        <x:f t="shared" si="131"/>
        <x:v>[관리비]</x:v>
      </x:c>
      <x:c r="J846" s="445"/>
      <x:c r="K846" s="453">
        <x:v>0</x:v>
      </x:c>
      <x:c r="L846" s="454">
        <x:v>0</x:v>
      </x:c>
      <x:c r="M846" s="454">
        <x:v>0</x:v>
      </x:c>
      <x:c r="N846" s="454">
        <x:v>0</x:v>
      </x:c>
      <x:c r="O846" s="454">
        <x:v>0</x:v>
      </x:c>
      <x:c r="P846" s="454">
        <x:v>0</x:v>
      </x:c>
      <x:c r="Q846" s="454">
        <x:v>0</x:v>
      </x:c>
      <x:c r="R846" s="454">
        <x:v>0</x:v>
      </x:c>
      <x:c r="S846" s="454">
        <x:v>0</x:v>
      </x:c>
      <x:c r="T846" s="454">
        <x:v>0</x:v>
      </x:c>
      <x:c r="U846" s="454">
        <x:v>0</x:v>
      </x:c>
      <x:c r="V846" s="455">
        <x:v>27151.099382744291</x:v>
      </x:c>
      <x:c r="W846" s="456">
        <x:f t="shared" si="132"/>
        <x:v>27151.099382744291</x:v>
      </x:c>
      <x:c r="X846" s="450">
        <x:f t="shared" si="126"/>
        <x:v>2262.5916152286909</x:v>
      </x:c>
      <x:c r="Y846" s="457"/>
      <x:c r="Z846" s="458"/>
      <x:c r="AA846" s="458"/>
      <x:c r="AB846" s="458"/>
      <x:c r="AC846" s="458"/>
      <x:c r="AD846" s="458"/>
      <x:c r="AE846" s="458"/>
    </x:row>
    <x:row r="847" spans="1:31" ht="20.100000000000001" customHeight="1">
      <x:c r="A847" s="439" t="s">
        <x:v>767</x:v>
      </x:c>
      <x:c r="B847" s="466" t="str">
        <x:f t="shared" si="128"/>
        <x:v>복리후생비</x:v>
      </x:c>
      <x:c r="C847" s="440" t="str">
        <x:f t="shared" si="129"/>
        <x:v>후생비</x:v>
      </x:c>
      <x:c r="D847" s="441">
        <x:v>52139900</x:v>
      </x:c>
      <x:c r="E847" s="442" t="str">
        <x:f t="shared" si="130"/>
        <x:v>후생비_기타</x:v>
      </x:c>
      <x:c r="F847" s="443"/>
      <x:c r="G847" s="444" t="s">
        <x:v>93</x:v>
      </x:c>
      <x:c r="H847" s="445" t="str">
        <x:f t="shared" si="127"/>
        <x:v>인사총무담당</x:v>
      </x:c>
      <x:c r="I847" s="446" t="str">
        <x:f t="shared" si="131"/>
        <x:v>[관리비]</x:v>
      </x:c>
      <x:c r="J847" s="445"/>
      <x:c r="K847" s="453">
        <x:v>0</x:v>
      </x:c>
      <x:c r="L847" s="454">
        <x:v>0</x:v>
      </x:c>
      <x:c r="M847" s="454">
        <x:v>0</x:v>
      </x:c>
      <x:c r="N847" s="454">
        <x:v>0</x:v>
      </x:c>
      <x:c r="O847" s="454">
        <x:v>0</x:v>
      </x:c>
      <x:c r="P847" s="454">
        <x:v>0</x:v>
      </x:c>
      <x:c r="Q847" s="454">
        <x:v>0</x:v>
      </x:c>
      <x:c r="R847" s="454">
        <x:v>0</x:v>
      </x:c>
      <x:c r="S847" s="454">
        <x:v>0</x:v>
      </x:c>
      <x:c r="T847" s="454">
        <x:v>0</x:v>
      </x:c>
      <x:c r="U847" s="454">
        <x:v>0</x:v>
      </x:c>
      <x:c r="V847" s="455">
        <x:v>27151.099382744291</x:v>
      </x:c>
      <x:c r="W847" s="456">
        <x:f t="shared" si="132"/>
        <x:v>27151.099382744291</x:v>
      </x:c>
      <x:c r="X847" s="450">
        <x:f t="shared" si="126"/>
        <x:v>2262.5916152286909</x:v>
      </x:c>
      <x:c r="Y847" s="457"/>
      <x:c r="Z847" s="458"/>
      <x:c r="AA847" s="458"/>
      <x:c r="AB847" s="458"/>
      <x:c r="AC847" s="458"/>
      <x:c r="AD847" s="458"/>
      <x:c r="AE847" s="458"/>
    </x:row>
    <x:row r="848" spans="1:31" ht="20.100000000000001" customHeight="1">
      <x:c r="A848" s="439" t="s">
        <x:v>767</x:v>
      </x:c>
      <x:c r="B848" s="466" t="str">
        <x:f t="shared" si="128"/>
        <x:v>복리후생비</x:v>
      </x:c>
      <x:c r="C848" s="440" t="str">
        <x:f t="shared" si="129"/>
        <x:v>후생비</x:v>
      </x:c>
      <x:c r="D848" s="441">
        <x:v>52139900</x:v>
      </x:c>
      <x:c r="E848" s="442" t="str">
        <x:f t="shared" si="130"/>
        <x:v>후생비_기타</x:v>
      </x:c>
      <x:c r="F848" s="443"/>
      <x:c r="G848" s="444" t="s">
        <x:v>95</x:v>
      </x:c>
      <x:c r="H848" s="445" t="str">
        <x:f t="shared" si="127"/>
        <x:v>재경담당</x:v>
      </x:c>
      <x:c r="I848" s="446" t="str">
        <x:f t="shared" si="131"/>
        <x:v>[관리비]</x:v>
      </x:c>
      <x:c r="J848" s="445"/>
      <x:c r="K848" s="453">
        <x:v>0</x:v>
      </x:c>
      <x:c r="L848" s="454">
        <x:v>0</x:v>
      </x:c>
      <x:c r="M848" s="454">
        <x:v>0</x:v>
      </x:c>
      <x:c r="N848" s="454">
        <x:v>0</x:v>
      </x:c>
      <x:c r="O848" s="454">
        <x:v>0</x:v>
      </x:c>
      <x:c r="P848" s="454">
        <x:v>0</x:v>
      </x:c>
      <x:c r="Q848" s="454">
        <x:v>0</x:v>
      </x:c>
      <x:c r="R848" s="454">
        <x:v>0</x:v>
      </x:c>
      <x:c r="S848" s="454">
        <x:v>0</x:v>
      </x:c>
      <x:c r="T848" s="454">
        <x:v>0</x:v>
      </x:c>
      <x:c r="U848" s="454">
        <x:v>0</x:v>
      </x:c>
      <x:c r="V848" s="455">
        <x:v>27151.099382744291</x:v>
      </x:c>
      <x:c r="W848" s="456">
        <x:f t="shared" si="132"/>
        <x:v>27151.099382744291</x:v>
      </x:c>
      <x:c r="X848" s="450">
        <x:f t="shared" si="126"/>
        <x:v>2262.5916152286909</x:v>
      </x:c>
      <x:c r="Y848" s="457"/>
      <x:c r="Z848" s="458"/>
      <x:c r="AA848" s="458"/>
      <x:c r="AB848" s="458"/>
      <x:c r="AC848" s="458"/>
      <x:c r="AD848" s="458"/>
      <x:c r="AE848" s="458"/>
    </x:row>
    <x:row r="849" spans="1:31" ht="20.100000000000001" customHeight="1">
      <x:c r="A849" s="439" t="s">
        <x:v>767</x:v>
      </x:c>
      <x:c r="B849" s="466" t="str">
        <x:f t="shared" si="128"/>
        <x:v>복리후생비</x:v>
      </x:c>
      <x:c r="C849" s="440" t="str">
        <x:f t="shared" si="129"/>
        <x:v>후생비</x:v>
      </x:c>
      <x:c r="D849" s="441">
        <x:v>52139900</x:v>
      </x:c>
      <x:c r="E849" s="442" t="str">
        <x:f t="shared" si="130"/>
        <x:v>후생비_기타</x:v>
      </x:c>
      <x:c r="F849" s="443"/>
      <x:c r="G849" s="444" t="s">
        <x:v>91</x:v>
      </x:c>
      <x:c r="H849" s="445" t="str">
        <x:f t="shared" si="127"/>
        <x:v>인사총무팀</x:v>
      </x:c>
      <x:c r="I849" s="446" t="str">
        <x:f t="shared" si="131"/>
        <x:v>[관리비]</x:v>
      </x:c>
      <x:c r="J849" s="445"/>
      <x:c r="K849" s="453">
        <x:v>0</x:v>
      </x:c>
      <x:c r="L849" s="454">
        <x:v>0</x:v>
      </x:c>
      <x:c r="M849" s="454">
        <x:v>0</x:v>
      </x:c>
      <x:c r="N849" s="454">
        <x:v>0</x:v>
      </x:c>
      <x:c r="O849" s="454">
        <x:v>0</x:v>
      </x:c>
      <x:c r="P849" s="454">
        <x:v>0</x:v>
      </x:c>
      <x:c r="Q849" s="454">
        <x:v>0</x:v>
      </x:c>
      <x:c r="R849" s="454">
        <x:v>0</x:v>
      </x:c>
      <x:c r="S849" s="454">
        <x:v>0</x:v>
      </x:c>
      <x:c r="T849" s="454">
        <x:v>0</x:v>
      </x:c>
      <x:c r="U849" s="454">
        <x:v>0</x:v>
      </x:c>
      <x:c r="V849" s="455">
        <x:v>1086043.9753097717</x:v>
      </x:c>
      <x:c r="W849" s="456">
        <x:f t="shared" si="132"/>
        <x:v>1086043.9753097717</x:v>
      </x:c>
      <x:c r="X849" s="450">
        <x:f t="shared" si="126"/>
        <x:v>90503.664609147643</x:v>
      </x:c>
      <x:c r="Y849" s="457"/>
      <x:c r="Z849" s="458"/>
      <x:c r="AA849" s="458"/>
      <x:c r="AB849" s="458"/>
      <x:c r="AC849" s="458"/>
      <x:c r="AD849" s="458"/>
      <x:c r="AE849" s="458"/>
    </x:row>
    <x:row r="850" spans="1:31" ht="20.100000000000001" customHeight="1">
      <x:c r="A850" s="439" t="s">
        <x:v>767</x:v>
      </x:c>
      <x:c r="B850" s="466" t="str">
        <x:f t="shared" si="128"/>
        <x:v>복리후생비</x:v>
      </x:c>
      <x:c r="C850" s="440" t="str">
        <x:f t="shared" si="129"/>
        <x:v>후생비</x:v>
      </x:c>
      <x:c r="D850" s="441">
        <x:v>52139900</x:v>
      </x:c>
      <x:c r="E850" s="442" t="str">
        <x:f t="shared" si="130"/>
        <x:v>후생비_기타</x:v>
      </x:c>
      <x:c r="F850" s="443"/>
      <x:c r="G850" s="444" t="s">
        <x:v>97</x:v>
      </x:c>
      <x:c r="H850" s="445" t="str">
        <x:f t="shared" si="127"/>
        <x:v>재경팀</x:v>
      </x:c>
      <x:c r="I850" s="446" t="str">
        <x:f t="shared" si="131"/>
        <x:v>[관리비]</x:v>
      </x:c>
      <x:c r="J850" s="445"/>
      <x:c r="K850" s="453">
        <x:v>0</x:v>
      </x:c>
      <x:c r="L850" s="454">
        <x:v>0</x:v>
      </x:c>
      <x:c r="M850" s="454">
        <x:v>0</x:v>
      </x:c>
      <x:c r="N850" s="454">
        <x:v>0</x:v>
      </x:c>
      <x:c r="O850" s="454">
        <x:v>0</x:v>
      </x:c>
      <x:c r="P850" s="454">
        <x:v>0</x:v>
      </x:c>
      <x:c r="Q850" s="454">
        <x:v>0</x:v>
      </x:c>
      <x:c r="R850" s="454">
        <x:v>0</x:v>
      </x:c>
      <x:c r="S850" s="454">
        <x:v>0</x:v>
      </x:c>
      <x:c r="T850" s="454">
        <x:v>0</x:v>
      </x:c>
      <x:c r="U850" s="454">
        <x:v>0</x:v>
      </x:c>
      <x:c r="V850" s="455">
        <x:v>190057.69567921004</x:v>
      </x:c>
      <x:c r="W850" s="456">
        <x:f t="shared" si="132"/>
        <x:v>190057.69567921004</x:v>
      </x:c>
      <x:c r="X850" s="450">
        <x:f t="shared" si="126"/>
        <x:v>15838.141306600837</x:v>
      </x:c>
      <x:c r="Y850" s="457"/>
      <x:c r="Z850" s="458"/>
      <x:c r="AA850" s="458"/>
      <x:c r="AB850" s="458"/>
      <x:c r="AC850" s="458"/>
      <x:c r="AD850" s="458"/>
      <x:c r="AE850" s="458"/>
    </x:row>
    <x:row r="851" spans="1:31" ht="20.100000000000001" customHeight="1">
      <x:c r="A851" s="439" t="s">
        <x:v>767</x:v>
      </x:c>
      <x:c r="B851" s="466" t="str">
        <x:f t="shared" si="128"/>
        <x:v>복리후생비</x:v>
      </x:c>
      <x:c r="C851" s="440" t="str">
        <x:f t="shared" si="129"/>
        <x:v>후생비</x:v>
      </x:c>
      <x:c r="D851" s="441">
        <x:v>52139900</x:v>
      </x:c>
      <x:c r="E851" s="442" t="str">
        <x:f t="shared" si="130"/>
        <x:v>후생비_기타</x:v>
      </x:c>
      <x:c r="F851" s="443"/>
      <x:c r="G851" s="444" t="s">
        <x:v>87</x:v>
      </x:c>
      <x:c r="H851" s="445" t="str">
        <x:f t="shared" si="127"/>
        <x:v>기획팀</x:v>
      </x:c>
      <x:c r="I851" s="446" t="str">
        <x:f t="shared" si="131"/>
        <x:v>[관리비]</x:v>
      </x:c>
      <x:c r="J851" s="445"/>
      <x:c r="K851" s="453">
        <x:v>0</x:v>
      </x:c>
      <x:c r="L851" s="454">
        <x:v>0</x:v>
      </x:c>
      <x:c r="M851" s="454">
        <x:v>0</x:v>
      </x:c>
      <x:c r="N851" s="454">
        <x:v>0</x:v>
      </x:c>
      <x:c r="O851" s="454">
        <x:v>0</x:v>
      </x:c>
      <x:c r="P851" s="454">
        <x:v>0</x:v>
      </x:c>
      <x:c r="Q851" s="454">
        <x:v>0</x:v>
      </x:c>
      <x:c r="R851" s="454">
        <x:v>0</x:v>
      </x:c>
      <x:c r="S851" s="454">
        <x:v>0</x:v>
      </x:c>
      <x:c r="T851" s="454">
        <x:v>0</x:v>
      </x:c>
      <x:c r="U851" s="454">
        <x:v>0</x:v>
      </x:c>
      <x:c r="V851" s="455">
        <x:v>190057.69567921004</x:v>
      </x:c>
      <x:c r="W851" s="456">
        <x:f t="shared" si="132"/>
        <x:v>190057.69567921004</x:v>
      </x:c>
      <x:c r="X851" s="450">
        <x:f t="shared" si="126"/>
        <x:v>15838.141306600837</x:v>
      </x:c>
      <x:c r="Y851" s="457"/>
      <x:c r="Z851" s="458"/>
      <x:c r="AA851" s="458"/>
      <x:c r="AB851" s="458"/>
      <x:c r="AC851" s="458"/>
      <x:c r="AD851" s="458"/>
      <x:c r="AE851" s="458"/>
    </x:row>
    <x:row r="852" spans="1:31" ht="20.100000000000001" customHeight="1">
      <x:c r="A852" s="439" t="s">
        <x:v>767</x:v>
      </x:c>
      <x:c r="B852" s="466" t="str">
        <x:f t="shared" si="128"/>
        <x:v>복리후생비</x:v>
      </x:c>
      <x:c r="C852" s="440" t="str">
        <x:f t="shared" si="129"/>
        <x:v>후생비</x:v>
      </x:c>
      <x:c r="D852" s="441">
        <x:v>52139900</x:v>
      </x:c>
      <x:c r="E852" s="442" t="str">
        <x:f t="shared" si="130"/>
        <x:v>후생비_기타</x:v>
      </x:c>
      <x:c r="F852" s="443"/>
      <x:c r="G852" s="444" t="s">
        <x:v>318</x:v>
      </x:c>
      <x:c r="H852" s="445" t="str">
        <x:f t="shared" si="127"/>
        <x:v>대표이사</x:v>
      </x:c>
      <x:c r="I852" s="446" t="str">
        <x:f t="shared" si="131"/>
        <x:v>[관리비]</x:v>
      </x:c>
      <x:c r="J852" s="445"/>
      <x:c r="K852" s="453">
        <x:v>0</x:v>
      </x:c>
      <x:c r="L852" s="454">
        <x:v>0</x:v>
      </x:c>
      <x:c r="M852" s="454">
        <x:v>5167.3972345238935</x:v>
      </x:c>
      <x:c r="N852" s="454">
        <x:v>0</x:v>
      </x:c>
      <x:c r="O852" s="454">
        <x:v>0</x:v>
      </x:c>
      <x:c r="P852" s="454">
        <x:v>0</x:v>
      </x:c>
      <x:c r="Q852" s="454">
        <x:v>0</x:v>
      </x:c>
      <x:c r="R852" s="454">
        <x:v>0</x:v>
      </x:c>
      <x:c r="S852" s="454">
        <x:v>0</x:v>
      </x:c>
      <x:c r="T852" s="454">
        <x:v>0</x:v>
      </x:c>
      <x:c r="U852" s="454">
        <x:v>0</x:v>
      </x:c>
      <x:c r="V852" s="455">
        <x:v>0</x:v>
      </x:c>
      <x:c r="W852" s="456">
        <x:f t="shared" si="132"/>
        <x:v>5167.3972345238935</x:v>
      </x:c>
      <x:c r="X852" s="450">
        <x:f t="shared" si="126"/>
        <x:v>430.61643621032448</x:v>
      </x:c>
      <x:c r="Y852" s="457"/>
      <x:c r="Z852" s="458"/>
      <x:c r="AA852" s="458"/>
      <x:c r="AB852" s="458"/>
      <x:c r="AC852" s="458"/>
      <x:c r="AD852" s="458"/>
      <x:c r="AE852" s="458"/>
    </x:row>
    <x:row r="853" spans="1:31" ht="20.100000000000001" customHeight="1">
      <x:c r="A853" s="439" t="s">
        <x:v>767</x:v>
      </x:c>
      <x:c r="B853" s="466" t="str">
        <x:f t="shared" si="128"/>
        <x:v>복리후생비</x:v>
      </x:c>
      <x:c r="C853" s="440" t="str">
        <x:f t="shared" si="129"/>
        <x:v>후생비</x:v>
      </x:c>
      <x:c r="D853" s="441">
        <x:v>52139900</x:v>
      </x:c>
      <x:c r="E853" s="442" t="str">
        <x:f t="shared" si="130"/>
        <x:v>후생비_기타</x:v>
      </x:c>
      <x:c r="F853" s="443"/>
      <x:c r="G853" s="444" t="s">
        <x:v>436</x:v>
      </x:c>
      <x:c r="H853" s="445" t="str">
        <x:f t="shared" si="127"/>
        <x:v>자문위원</x:v>
      </x:c>
      <x:c r="I853" s="446" t="str">
        <x:f t="shared" si="131"/>
        <x:v>[관리비]</x:v>
      </x:c>
      <x:c r="J853" s="445"/>
      <x:c r="K853" s="453">
        <x:v>0</x:v>
      </x:c>
      <x:c r="L853" s="454">
        <x:v>0</x:v>
      </x:c>
      <x:c r="M853" s="454">
        <x:v>5167.3972345238935</x:v>
      </x:c>
      <x:c r="N853" s="454">
        <x:v>0</x:v>
      </x:c>
      <x:c r="O853" s="454">
        <x:v>0</x:v>
      </x:c>
      <x:c r="P853" s="454">
        <x:v>0</x:v>
      </x:c>
      <x:c r="Q853" s="454">
        <x:v>0</x:v>
      </x:c>
      <x:c r="R853" s="454">
        <x:v>0</x:v>
      </x:c>
      <x:c r="S853" s="454">
        <x:v>0</x:v>
      </x:c>
      <x:c r="T853" s="454">
        <x:v>0</x:v>
      </x:c>
      <x:c r="U853" s="454">
        <x:v>0</x:v>
      </x:c>
      <x:c r="V853" s="455">
        <x:v>0</x:v>
      </x:c>
      <x:c r="W853" s="456">
        <x:f t="shared" si="132"/>
        <x:v>5167.3972345238935</x:v>
      </x:c>
      <x:c r="X853" s="450">
        <x:f t="shared" si="126"/>
        <x:v>430.61643621032448</x:v>
      </x:c>
      <x:c r="Y853" s="457"/>
      <x:c r="Z853" s="458"/>
      <x:c r="AA853" s="458"/>
      <x:c r="AB853" s="458"/>
      <x:c r="AC853" s="458"/>
      <x:c r="AD853" s="458"/>
      <x:c r="AE853" s="458"/>
    </x:row>
    <x:row r="854" spans="1:31" ht="20.100000000000001" customHeight="1">
      <x:c r="A854" s="439" t="s">
        <x:v>767</x:v>
      </x:c>
      <x:c r="B854" s="466" t="str">
        <x:f t="shared" si="128"/>
        <x:v>복리후생비</x:v>
      </x:c>
      <x:c r="C854" s="440" t="str">
        <x:f t="shared" si="129"/>
        <x:v>후생비</x:v>
      </x:c>
      <x:c r="D854" s="441">
        <x:v>52139900</x:v>
      </x:c>
      <x:c r="E854" s="442" t="str">
        <x:f t="shared" si="130"/>
        <x:v>후생비_기타</x:v>
      </x:c>
      <x:c r="F854" s="443"/>
      <x:c r="G854" s="444" t="s">
        <x:v>89</x:v>
      </x:c>
      <x:c r="H854" s="445" t="str">
        <x:f t="shared" si="127"/>
        <x:v>기획담당</x:v>
      </x:c>
      <x:c r="I854" s="446" t="str">
        <x:f t="shared" si="131"/>
        <x:v>[관리비]</x:v>
      </x:c>
      <x:c r="J854" s="445"/>
      <x:c r="K854" s="453">
        <x:v>0</x:v>
      </x:c>
      <x:c r="L854" s="454">
        <x:v>0</x:v>
      </x:c>
      <x:c r="M854" s="454">
        <x:v>5167.3972345238935</x:v>
      </x:c>
      <x:c r="N854" s="454">
        <x:v>0</x:v>
      </x:c>
      <x:c r="O854" s="454">
        <x:v>0</x:v>
      </x:c>
      <x:c r="P854" s="454">
        <x:v>0</x:v>
      </x:c>
      <x:c r="Q854" s="454">
        <x:v>0</x:v>
      </x:c>
      <x:c r="R854" s="454">
        <x:v>0</x:v>
      </x:c>
      <x:c r="S854" s="454">
        <x:v>0</x:v>
      </x:c>
      <x:c r="T854" s="454">
        <x:v>0</x:v>
      </x:c>
      <x:c r="U854" s="454">
        <x:v>0</x:v>
      </x:c>
      <x:c r="V854" s="455">
        <x:v>0</x:v>
      </x:c>
      <x:c r="W854" s="456">
        <x:f t="shared" si="132"/>
        <x:v>5167.3972345238935</x:v>
      </x:c>
      <x:c r="X854" s="450">
        <x:f t="shared" si="126"/>
        <x:v>430.61643621032448</x:v>
      </x:c>
      <x:c r="Y854" s="457"/>
      <x:c r="Z854" s="458"/>
      <x:c r="AA854" s="458"/>
      <x:c r="AB854" s="458"/>
      <x:c r="AC854" s="458"/>
      <x:c r="AD854" s="458"/>
      <x:c r="AE854" s="458"/>
    </x:row>
    <x:row r="855" spans="1:31" ht="20.100000000000001" customHeight="1">
      <x:c r="A855" s="439" t="s">
        <x:v>767</x:v>
      </x:c>
      <x:c r="B855" s="466" t="str">
        <x:f t="shared" si="128"/>
        <x:v>복리후생비</x:v>
      </x:c>
      <x:c r="C855" s="440" t="str">
        <x:f t="shared" si="129"/>
        <x:v>후생비</x:v>
      </x:c>
      <x:c r="D855" s="441">
        <x:v>52139900</x:v>
      </x:c>
      <x:c r="E855" s="442" t="str">
        <x:f t="shared" si="130"/>
        <x:v>후생비_기타</x:v>
      </x:c>
      <x:c r="F855" s="443"/>
      <x:c r="G855" s="444" t="s">
        <x:v>93</x:v>
      </x:c>
      <x:c r="H855" s="445" t="str">
        <x:f t="shared" si="127"/>
        <x:v>인사총무담당</x:v>
      </x:c>
      <x:c r="I855" s="446" t="str">
        <x:f t="shared" si="131"/>
        <x:v>[관리비]</x:v>
      </x:c>
      <x:c r="J855" s="445"/>
      <x:c r="K855" s="453">
        <x:v>0</x:v>
      </x:c>
      <x:c r="L855" s="454">
        <x:v>0</x:v>
      </x:c>
      <x:c r="M855" s="454">
        <x:v>5167.3972345238935</x:v>
      </x:c>
      <x:c r="N855" s="454">
        <x:v>0</x:v>
      </x:c>
      <x:c r="O855" s="454">
        <x:v>0</x:v>
      </x:c>
      <x:c r="P855" s="454">
        <x:v>0</x:v>
      </x:c>
      <x:c r="Q855" s="454">
        <x:v>0</x:v>
      </x:c>
      <x:c r="R855" s="454">
        <x:v>0</x:v>
      </x:c>
      <x:c r="S855" s="454">
        <x:v>0</x:v>
      </x:c>
      <x:c r="T855" s="454">
        <x:v>0</x:v>
      </x:c>
      <x:c r="U855" s="454">
        <x:v>0</x:v>
      </x:c>
      <x:c r="V855" s="455">
        <x:v>0</x:v>
      </x:c>
      <x:c r="W855" s="456">
        <x:f t="shared" si="132"/>
        <x:v>5167.3972345238935</x:v>
      </x:c>
      <x:c r="X855" s="450">
        <x:f t="shared" si="126"/>
        <x:v>430.61643621032448</x:v>
      </x:c>
      <x:c r="Y855" s="457"/>
      <x:c r="Z855" s="458"/>
      <x:c r="AA855" s="458"/>
      <x:c r="AB855" s="458"/>
      <x:c r="AC855" s="458"/>
      <x:c r="AD855" s="458"/>
      <x:c r="AE855" s="458"/>
    </x:row>
    <x:row r="856" spans="1:31" ht="20.100000000000001" customHeight="1">
      <x:c r="A856" s="439" t="s">
        <x:v>767</x:v>
      </x:c>
      <x:c r="B856" s="466" t="str">
        <x:f t="shared" si="128"/>
        <x:v>복리후생비</x:v>
      </x:c>
      <x:c r="C856" s="440" t="str">
        <x:f t="shared" si="129"/>
        <x:v>후생비</x:v>
      </x:c>
      <x:c r="D856" s="441">
        <x:v>52139900</x:v>
      </x:c>
      <x:c r="E856" s="442" t="str">
        <x:f t="shared" si="130"/>
        <x:v>후생비_기타</x:v>
      </x:c>
      <x:c r="F856" s="443"/>
      <x:c r="G856" s="444" t="s">
        <x:v>95</x:v>
      </x:c>
      <x:c r="H856" s="445" t="str">
        <x:f t="shared" si="127"/>
        <x:v>재경담당</x:v>
      </x:c>
      <x:c r="I856" s="446" t="str">
        <x:f t="shared" si="131"/>
        <x:v>[관리비]</x:v>
      </x:c>
      <x:c r="J856" s="445"/>
      <x:c r="K856" s="453">
        <x:v>0</x:v>
      </x:c>
      <x:c r="L856" s="454">
        <x:v>0</x:v>
      </x:c>
      <x:c r="M856" s="454">
        <x:v>5167.3972345238935</x:v>
      </x:c>
      <x:c r="N856" s="454">
        <x:v>0</x:v>
      </x:c>
      <x:c r="O856" s="454">
        <x:v>0</x:v>
      </x:c>
      <x:c r="P856" s="454">
        <x:v>0</x:v>
      </x:c>
      <x:c r="Q856" s="454">
        <x:v>0</x:v>
      </x:c>
      <x:c r="R856" s="454">
        <x:v>0</x:v>
      </x:c>
      <x:c r="S856" s="454">
        <x:v>0</x:v>
      </x:c>
      <x:c r="T856" s="454">
        <x:v>0</x:v>
      </x:c>
      <x:c r="U856" s="454">
        <x:v>0</x:v>
      </x:c>
      <x:c r="V856" s="455">
        <x:v>0</x:v>
      </x:c>
      <x:c r="W856" s="456">
        <x:f t="shared" si="132"/>
        <x:v>5167.3972345238935</x:v>
      </x:c>
      <x:c r="X856" s="450">
        <x:f t="shared" si="126"/>
        <x:v>430.61643621032448</x:v>
      </x:c>
      <x:c r="Y856" s="457"/>
      <x:c r="Z856" s="458"/>
      <x:c r="AA856" s="458"/>
      <x:c r="AB856" s="458"/>
      <x:c r="AC856" s="458"/>
      <x:c r="AD856" s="458"/>
      <x:c r="AE856" s="458"/>
    </x:row>
    <x:row r="857" spans="1:31" ht="20.100000000000001" customHeight="1">
      <x:c r="A857" s="439" t="s">
        <x:v>767</x:v>
      </x:c>
      <x:c r="B857" s="466" t="str">
        <x:f t="shared" si="128"/>
        <x:v>복리후생비</x:v>
      </x:c>
      <x:c r="C857" s="440" t="str">
        <x:f t="shared" si="129"/>
        <x:v>후생비</x:v>
      </x:c>
      <x:c r="D857" s="441">
        <x:v>52139900</x:v>
      </x:c>
      <x:c r="E857" s="442" t="str">
        <x:f t="shared" si="130"/>
        <x:v>후생비_기타</x:v>
      </x:c>
      <x:c r="F857" s="443"/>
      <x:c r="G857" s="444" t="s">
        <x:v>91</x:v>
      </x:c>
      <x:c r="H857" s="445" t="str">
        <x:f t="shared" si="127"/>
        <x:v>인사총무팀</x:v>
      </x:c>
      <x:c r="I857" s="446" t="str">
        <x:f t="shared" si="131"/>
        <x:v>[관리비]</x:v>
      </x:c>
      <x:c r="J857" s="445"/>
      <x:c r="K857" s="453">
        <x:v>0</x:v>
      </x:c>
      <x:c r="L857" s="454">
        <x:v>0</x:v>
      </x:c>
      <x:c r="M857" s="454">
        <x:v>72343.561283334508</x:v>
      </x:c>
      <x:c r="N857" s="454">
        <x:v>0</x:v>
      </x:c>
      <x:c r="O857" s="454">
        <x:v>0</x:v>
      </x:c>
      <x:c r="P857" s="454">
        <x:v>0</x:v>
      </x:c>
      <x:c r="Q857" s="454">
        <x:v>0</x:v>
      </x:c>
      <x:c r="R857" s="454">
        <x:v>0</x:v>
      </x:c>
      <x:c r="S857" s="454">
        <x:v>0</x:v>
      </x:c>
      <x:c r="T857" s="454">
        <x:v>0</x:v>
      </x:c>
      <x:c r="U857" s="454">
        <x:v>0</x:v>
      </x:c>
      <x:c r="V857" s="455">
        <x:v>0</x:v>
      </x:c>
      <x:c r="W857" s="456">
        <x:f t="shared" si="132"/>
        <x:v>72343.561283334508</x:v>
      </x:c>
      <x:c r="X857" s="450">
        <x:f t="shared" si="126"/>
        <x:v>6028.6301069445426</x:v>
      </x:c>
      <x:c r="Y857" s="457"/>
      <x:c r="Z857" s="458"/>
      <x:c r="AA857" s="458"/>
      <x:c r="AB857" s="458"/>
      <x:c r="AC857" s="458"/>
      <x:c r="AD857" s="458"/>
      <x:c r="AE857" s="458"/>
    </x:row>
    <x:row r="858" spans="1:31" ht="20.100000000000001" customHeight="1">
      <x:c r="A858" s="439" t="s">
        <x:v>767</x:v>
      </x:c>
      <x:c r="B858" s="466" t="str">
        <x:f t="shared" si="128"/>
        <x:v>복리후생비</x:v>
      </x:c>
      <x:c r="C858" s="440" t="str">
        <x:f t="shared" si="129"/>
        <x:v>후생비</x:v>
      </x:c>
      <x:c r="D858" s="441">
        <x:v>52139900</x:v>
      </x:c>
      <x:c r="E858" s="442" t="str">
        <x:f t="shared" si="130"/>
        <x:v>후생비_기타</x:v>
      </x:c>
      <x:c r="F858" s="443"/>
      <x:c r="G858" s="444" t="s">
        <x:v>97</x:v>
      </x:c>
      <x:c r="H858" s="445" t="str">
        <x:f t="shared" si="127"/>
        <x:v>재경팀</x:v>
      </x:c>
      <x:c r="I858" s="446" t="str">
        <x:f t="shared" si="131"/>
        <x:v>[관리비]</x:v>
      </x:c>
      <x:c r="J858" s="445"/>
      <x:c r="K858" s="453">
        <x:v>0</x:v>
      </x:c>
      <x:c r="L858" s="454">
        <x:v>0</x:v>
      </x:c>
      <x:c r="M858" s="454">
        <x:v>36171.780641667254</x:v>
      </x:c>
      <x:c r="N858" s="454">
        <x:v>0</x:v>
      </x:c>
      <x:c r="O858" s="454">
        <x:v>0</x:v>
      </x:c>
      <x:c r="P858" s="454">
        <x:v>0</x:v>
      </x:c>
      <x:c r="Q858" s="454">
        <x:v>0</x:v>
      </x:c>
      <x:c r="R858" s="454">
        <x:v>0</x:v>
      </x:c>
      <x:c r="S858" s="454">
        <x:v>0</x:v>
      </x:c>
      <x:c r="T858" s="454">
        <x:v>0</x:v>
      </x:c>
      <x:c r="U858" s="454">
        <x:v>0</x:v>
      </x:c>
      <x:c r="V858" s="455">
        <x:v>0</x:v>
      </x:c>
      <x:c r="W858" s="456">
        <x:f t="shared" si="132"/>
        <x:v>36171.780641667254</x:v>
      </x:c>
      <x:c r="X858" s="450">
        <x:f t="shared" si="126"/>
        <x:v>3014.3150534722713</x:v>
      </x:c>
      <x:c r="Y858" s="457"/>
      <x:c r="Z858" s="458"/>
      <x:c r="AA858" s="458"/>
      <x:c r="AB858" s="458"/>
      <x:c r="AC858" s="458"/>
      <x:c r="AD858" s="458"/>
      <x:c r="AE858" s="458"/>
    </x:row>
    <x:row r="859" spans="1:31" ht="20.100000000000001" customHeight="1">
      <x:c r="A859" s="439" t="s">
        <x:v>767</x:v>
      </x:c>
      <x:c r="B859" s="466" t="str">
        <x:f t="shared" si="128"/>
        <x:v>복리후생비</x:v>
      </x:c>
      <x:c r="C859" s="440" t="str">
        <x:f t="shared" si="129"/>
        <x:v>후생비</x:v>
      </x:c>
      <x:c r="D859" s="441">
        <x:v>52139900</x:v>
      </x:c>
      <x:c r="E859" s="442" t="str">
        <x:f t="shared" si="130"/>
        <x:v>후생비_기타</x:v>
      </x:c>
      <x:c r="F859" s="443"/>
      <x:c r="G859" s="444" t="s">
        <x:v>87</x:v>
      </x:c>
      <x:c r="H859" s="445" t="str">
        <x:f t="shared" si="127"/>
        <x:v>기획팀</x:v>
      </x:c>
      <x:c r="I859" s="446" t="str">
        <x:f t="shared" si="131"/>
        <x:v>[관리비]</x:v>
      </x:c>
      <x:c r="J859" s="445"/>
      <x:c r="K859" s="453">
        <x:v>0</x:v>
      </x:c>
      <x:c r="L859" s="454">
        <x:v>0</x:v>
      </x:c>
      <x:c r="M859" s="454">
        <x:v>36171.780641667254</x:v>
      </x:c>
      <x:c r="N859" s="454">
        <x:v>0</x:v>
      </x:c>
      <x:c r="O859" s="454">
        <x:v>0</x:v>
      </x:c>
      <x:c r="P859" s="454">
        <x:v>0</x:v>
      </x:c>
      <x:c r="Q859" s="454">
        <x:v>0</x:v>
      </x:c>
      <x:c r="R859" s="454">
        <x:v>0</x:v>
      </x:c>
      <x:c r="S859" s="454">
        <x:v>0</x:v>
      </x:c>
      <x:c r="T859" s="454">
        <x:v>0</x:v>
      </x:c>
      <x:c r="U859" s="454">
        <x:v>0</x:v>
      </x:c>
      <x:c r="V859" s="455">
        <x:v>0</x:v>
      </x:c>
      <x:c r="W859" s="456">
        <x:f t="shared" si="132"/>
        <x:v>36171.780641667254</x:v>
      </x:c>
      <x:c r="X859" s="450">
        <x:f t="shared" si="126"/>
        <x:v>3014.3150534722713</x:v>
      </x:c>
      <x:c r="Y859" s="457"/>
      <x:c r="Z859" s="458"/>
      <x:c r="AA859" s="458"/>
      <x:c r="AB859" s="458"/>
      <x:c r="AC859" s="458"/>
      <x:c r="AD859" s="458"/>
      <x:c r="AE859" s="458"/>
    </x:row>
    <x:row r="860" spans="1:31" ht="20.100000000000001" customHeight="1">
      <x:c r="A860" s="439" t="s">
        <x:v>767</x:v>
      </x:c>
      <x:c r="B860" s="466" t="str">
        <x:f t="shared" si="128"/>
        <x:v>복리후생비</x:v>
      </x:c>
      <x:c r="C860" s="440" t="str">
        <x:f t="shared" si="129"/>
        <x:v>후생비</x:v>
      </x:c>
      <x:c r="D860" s="441">
        <x:v>52130132</x:v>
      </x:c>
      <x:c r="E860" s="442" t="str">
        <x:f t="shared" si="130"/>
        <x:v>후생비_안전보건장비</x:v>
      </x:c>
      <x:c r="F860" s="443"/>
      <x:c r="G860" s="444" t="s">
        <x:v>87</x:v>
      </x:c>
      <x:c r="H860" s="445" t="str">
        <x:f t="shared" si="127"/>
        <x:v>기획팀</x:v>
      </x:c>
      <x:c r="I860" s="446" t="str">
        <x:f t="shared" si="131"/>
        <x:v>[관리비]</x:v>
      </x:c>
      <x:c r="J860" s="445"/>
      <x:c r="K860" s="453">
        <x:v>0</x:v>
      </x:c>
      <x:c r="L860" s="454">
        <x:v>0</x:v>
      </x:c>
      <x:c r="M860" s="454">
        <x:v>0</x:v>
      </x:c>
      <x:c r="N860" s="454">
        <x:v>0</x:v>
      </x:c>
      <x:c r="O860" s="454">
        <x:v>0</x:v>
      </x:c>
      <x:c r="P860" s="454">
        <x:v>0</x:v>
      </x:c>
      <x:c r="Q860" s="454">
        <x:v>0</x:v>
      </x:c>
      <x:c r="R860" s="454">
        <x:v>0</x:v>
      </x:c>
      <x:c r="S860" s="454">
        <x:v>0</x:v>
      </x:c>
      <x:c r="T860" s="454">
        <x:v>0</x:v>
      </x:c>
      <x:c r="U860" s="454">
        <x:v>0</x:v>
      </x:c>
      <x:c r="V860" s="455">
        <x:v>130325.27703717261</x:v>
      </x:c>
      <x:c r="W860" s="456">
        <x:f t="shared" si="132"/>
        <x:v>130325.27703717261</x:v>
      </x:c>
      <x:c r="X860" s="450">
        <x:f t="shared" si="126"/>
        <x:v>10860.439753097717</x:v>
      </x:c>
      <x:c r="Y860" s="457"/>
      <x:c r="Z860" s="458"/>
      <x:c r="AA860" s="458"/>
      <x:c r="AB860" s="458"/>
      <x:c r="AC860" s="458"/>
      <x:c r="AD860" s="458"/>
      <x:c r="AE860" s="458"/>
    </x:row>
    <x:row r="861" spans="1:31" ht="20.100000000000001" customHeight="1">
      <x:c r="A861" s="439" t="s">
        <x:v>767</x:v>
      </x:c>
      <x:c r="B861" s="466" t="str">
        <x:f t="shared" si="128"/>
        <x:v>복리후생비</x:v>
      </x:c>
      <x:c r="C861" s="440" t="str">
        <x:f t="shared" si="129"/>
        <x:v>후생비</x:v>
      </x:c>
      <x:c r="D861" s="441">
        <x:v>52130132</x:v>
      </x:c>
      <x:c r="E861" s="442" t="str">
        <x:f t="shared" si="130"/>
        <x:v>후생비_안전보건장비</x:v>
      </x:c>
      <x:c r="F861" s="443"/>
      <x:c r="G861" s="444" t="s">
        <x:v>91</x:v>
      </x:c>
      <x:c r="H861" s="445" t="str">
        <x:f t="shared" si="127"/>
        <x:v>인사총무팀</x:v>
      </x:c>
      <x:c r="I861" s="446" t="str">
        <x:f t="shared" si="131"/>
        <x:v>[관리비]</x:v>
      </x:c>
      <x:c r="J861" s="445"/>
      <x:c r="K861" s="453">
        <x:v>0</x:v>
      </x:c>
      <x:c r="L861" s="454">
        <x:v>0</x:v>
      </x:c>
      <x:c r="M861" s="454">
        <x:v>0</x:v>
      </x:c>
      <x:c r="N861" s="454">
        <x:v>0</x:v>
      </x:c>
      <x:c r="O861" s="454">
        <x:v>0</x:v>
      </x:c>
      <x:c r="P861" s="454">
        <x:v>0</x:v>
      </x:c>
      <x:c r="Q861" s="454">
        <x:v>0</x:v>
      </x:c>
      <x:c r="R861" s="454">
        <x:v>0</x:v>
      </x:c>
      <x:c r="S861" s="454">
        <x:v>0</x:v>
      </x:c>
      <x:c r="T861" s="454">
        <x:v>0</x:v>
      </x:c>
      <x:c r="U861" s="454">
        <x:v>0</x:v>
      </x:c>
      <x:c r="V861" s="455">
        <x:v>65162.638518586304</x:v>
      </x:c>
      <x:c r="W861" s="456">
        <x:f t="shared" si="132"/>
        <x:v>65162.638518586304</x:v>
      </x:c>
      <x:c r="X861" s="450">
        <x:f t="shared" si="126"/>
        <x:v>5430.2198765488583</x:v>
      </x:c>
      <x:c r="Y861" s="457"/>
      <x:c r="Z861" s="458"/>
      <x:c r="AA861" s="458"/>
      <x:c r="AB861" s="458"/>
      <x:c r="AC861" s="458"/>
      <x:c r="AD861" s="458"/>
      <x:c r="AE861" s="458"/>
    </x:row>
    <x:row r="862" spans="1:31" ht="20.100000000000001" customHeight="1">
      <x:c r="A862" s="439" t="s">
        <x:v>767</x:v>
      </x:c>
      <x:c r="B862" s="466" t="str">
        <x:f t="shared" si="128"/>
        <x:v>복리후생비</x:v>
      </x:c>
      <x:c r="C862" s="440" t="str">
        <x:f t="shared" si="129"/>
        <x:v>후생비</x:v>
      </x:c>
      <x:c r="D862" s="441">
        <x:v>52130132</x:v>
      </x:c>
      <x:c r="E862" s="442" t="str">
        <x:f t="shared" si="130"/>
        <x:v>후생비_안전보건장비</x:v>
      </x:c>
      <x:c r="F862" s="443"/>
      <x:c r="G862" s="444" t="s">
        <x:v>97</x:v>
      </x:c>
      <x:c r="H862" s="445" t="str">
        <x:f t="shared" si="127"/>
        <x:v>재경팀</x:v>
      </x:c>
      <x:c r="I862" s="446" t="str">
        <x:f t="shared" si="131"/>
        <x:v>[관리비]</x:v>
      </x:c>
      <x:c r="J862" s="445"/>
      <x:c r="K862" s="453">
        <x:v>0</x:v>
      </x:c>
      <x:c r="L862" s="454">
        <x:v>0</x:v>
      </x:c>
      <x:c r="M862" s="454">
        <x:v>0</x:v>
      </x:c>
      <x:c r="N862" s="454">
        <x:v>0</x:v>
      </x:c>
      <x:c r="O862" s="454">
        <x:v>0</x:v>
      </x:c>
      <x:c r="P862" s="454">
        <x:v>0</x:v>
      </x:c>
      <x:c r="Q862" s="454">
        <x:v>0</x:v>
      </x:c>
      <x:c r="R862" s="454">
        <x:v>0</x:v>
      </x:c>
      <x:c r="S862" s="454">
        <x:v>0</x:v>
      </x:c>
      <x:c r="T862" s="454">
        <x:v>0</x:v>
      </x:c>
      <x:c r="U862" s="454">
        <x:v>0</x:v>
      </x:c>
      <x:c r="V862" s="455">
        <x:v>97743.957777879448</x:v>
      </x:c>
      <x:c r="W862" s="456">
        <x:f t="shared" si="132"/>
        <x:v>97743.957777879448</x:v>
      </x:c>
      <x:c r="X862" s="450">
        <x:f t="shared" si="126"/>
        <x:v>8145.3298148232871</x:v>
      </x:c>
      <x:c r="Y862" s="457"/>
      <x:c r="Z862" s="458"/>
      <x:c r="AA862" s="458"/>
      <x:c r="AB862" s="458"/>
      <x:c r="AC862" s="458"/>
      <x:c r="AD862" s="458"/>
      <x:c r="AE862" s="458"/>
    </x:row>
    <x:row r="863" spans="1:31" ht="20.100000000000001" customHeight="1">
      <x:c r="A863" s="439" t="s">
        <x:v>767</x:v>
      </x:c>
      <x:c r="B863" s="466" t="str">
        <x:f t="shared" si="128"/>
        <x:v>복리후생비</x:v>
      </x:c>
      <x:c r="C863" s="440" t="str">
        <x:f t="shared" si="129"/>
        <x:v>후생비</x:v>
      </x:c>
      <x:c r="D863" s="441">
        <x:v>52130133</x:v>
      </x:c>
      <x:c r="E863" s="442" t="str">
        <x:f t="shared" si="130"/>
        <x:v>후생비_선물대</x:v>
      </x:c>
      <x:c r="F863" s="443"/>
      <x:c r="G863" s="444" t="s">
        <x:v>91</x:v>
      </x:c>
      <x:c r="H863" s="445" t="str">
        <x:f t="shared" si="127"/>
        <x:v>인사총무팀</x:v>
      </x:c>
      <x:c r="I863" s="446" t="str">
        <x:f t="shared" si="131"/>
        <x:v>[관리비]</x:v>
      </x:c>
      <x:c r="J863" s="445"/>
      <x:c r="K863" s="453">
        <x:v>0</x:v>
      </x:c>
      <x:c r="L863" s="454">
        <x:v>0</x:v>
      </x:c>
      <x:c r="M863" s="454">
        <x:v>0</x:v>
      </x:c>
      <x:c r="N863" s="454">
        <x:v>188428.6297162454</x:v>
      </x:c>
      <x:c r="O863" s="454">
        <x:v>0</x:v>
      </x:c>
      <x:c r="P863" s="454">
        <x:v>0</x:v>
      </x:c>
      <x:c r="Q863" s="454">
        <x:v>0</x:v>
      </x:c>
      <x:c r="R863" s="454">
        <x:v>0</x:v>
      </x:c>
      <x:c r="S863" s="454">
        <x:v>0</x:v>
      </x:c>
      <x:c r="T863" s="454">
        <x:v>0</x:v>
      </x:c>
      <x:c r="U863" s="454">
        <x:v>188428.6297162454</x:v>
      </x:c>
      <x:c r="V863" s="455">
        <x:v>0</x:v>
      </x:c>
      <x:c r="W863" s="456">
        <x:f t="shared" si="132"/>
        <x:v>376857.2594324908</x:v>
      </x:c>
      <x:c r="X863" s="450">
        <x:f t="shared" ref="X863:X926" si="133">IFERROR($W863/$Y$1,"")</x:f>
        <x:v>31404.771619374234</x:v>
      </x:c>
      <x:c r="Y863" s="457"/>
      <x:c r="Z863" s="458"/>
      <x:c r="AA863" s="458"/>
      <x:c r="AB863" s="458"/>
      <x:c r="AC863" s="458"/>
      <x:c r="AD863" s="458"/>
      <x:c r="AE863" s="458"/>
    </x:row>
    <x:row r="864" spans="1:31" ht="20.100000000000001" customHeight="1">
      <x:c r="A864" s="439" t="s">
        <x:v>98</x:v>
      </x:c>
      <x:c r="B864" s="466" t="str">
        <x:f t="shared" si="128"/>
        <x:v>복리후생비</x:v>
      </x:c>
      <x:c r="C864" s="440" t="str">
        <x:f t="shared" si="129"/>
        <x:v>후생비</x:v>
      </x:c>
      <x:c r="D864" s="441">
        <x:v>52130125</x:v>
      </x:c>
      <x:c r="E864" s="442" t="str">
        <x:f t="shared" si="130"/>
        <x:v>후생비_기타식대</x:v>
      </x:c>
      <x:c r="F864" s="443"/>
      <x:c r="G864" s="444" t="s">
        <x:v>97</x:v>
      </x:c>
      <x:c r="H864" s="445" t="str">
        <x:f t="shared" si="127"/>
        <x:v>재경팀</x:v>
      </x:c>
      <x:c r="I864" s="446" t="str">
        <x:f t="shared" si="131"/>
        <x:v>[관리비]</x:v>
      </x:c>
      <x:c r="J864" s="445"/>
      <x:c r="K864" s="453">
        <x:v>2715.1099382744292</x:v>
      </x:c>
      <x:c r="L864" s="454">
        <x:v>10860.439753097717</x:v>
      </x:c>
      <x:c r="M864" s="454">
        <x:v>10860.439753097717</x:v>
      </x:c>
      <x:c r="N864" s="454">
        <x:v>2715.1099382744292</x:v>
      </x:c>
      <x:c r="O864" s="454">
        <x:v>2715.1099382744292</x:v>
      </x:c>
      <x:c r="P864" s="454">
        <x:v>10860.439753097717</x:v>
      </x:c>
      <x:c r="Q864" s="454">
        <x:v>2715.1099382744292</x:v>
      </x:c>
      <x:c r="R864" s="454">
        <x:v>2715.1099382744292</x:v>
      </x:c>
      <x:c r="S864" s="454">
        <x:v>10860.439753097717</x:v>
      </x:c>
      <x:c r="T864" s="454">
        <x:v>2715.1099382744292</x:v>
      </x:c>
      <x:c r="U864" s="454">
        <x:v>2715.1099382744292</x:v>
      </x:c>
      <x:c r="V864" s="455">
        <x:v>19005.769567921005</x:v>
      </x:c>
      <x:c r="W864" s="456">
        <x:f t="shared" si="132"/>
        <x:v>81453.298148232876</x:v>
      </x:c>
      <x:c r="X864" s="450">
        <x:f t="shared" si="133"/>
        <x:v>6787.7748456860727</x:v>
      </x:c>
      <x:c r="Y864" s="457"/>
      <x:c r="Z864" s="458"/>
      <x:c r="AA864" s="458"/>
      <x:c r="AB864" s="458"/>
      <x:c r="AC864" s="458"/>
      <x:c r="AD864" s="458"/>
      <x:c r="AE864" s="458"/>
    </x:row>
    <x:row r="865" spans="1:31" ht="20.100000000000001" customHeight="1">
      <x:c r="A865" s="439" t="s">
        <x:v>98</x:v>
      </x:c>
      <x:c r="B865" s="466" t="str">
        <x:f t="shared" si="128"/>
        <x:v>여비교통비</x:v>
      </x:c>
      <x:c r="C865" s="440" t="str">
        <x:f t="shared" si="129"/>
        <x:v>여비교통비</x:v>
      </x:c>
      <x:c r="D865" s="441">
        <x:v>52150103</x:v>
      </x:c>
      <x:c r="E865" s="442" t="str">
        <x:f t="shared" si="130"/>
        <x:v>여비교통비_해외출장</x:v>
      </x:c>
      <x:c r="F865" s="443"/>
      <x:c r="G865" s="444" t="s">
        <x:v>95</x:v>
      </x:c>
      <x:c r="H865" s="445" t="str">
        <x:f t="shared" si="127"/>
        <x:v>재경담당</x:v>
      </x:c>
      <x:c r="I865" s="446" t="str">
        <x:f t="shared" si="131"/>
        <x:v>[관리비]</x:v>
      </x:c>
      <x:c r="J865" s="445"/>
      <x:c r="K865" s="453">
        <x:v>0</x:v>
      </x:c>
      <x:c r="L865" s="454">
        <x:v>0</x:v>
      </x:c>
      <x:c r="M865" s="454">
        <x:v>0</x:v>
      </x:c>
      <x:c r="N865" s="454">
        <x:v>0</x:v>
      </x:c>
      <x:c r="O865" s="454">
        <x:v>1086043.9753097717</x:v>
      </x:c>
      <x:c r="P865" s="454">
        <x:v>0</x:v>
      </x:c>
      <x:c r="Q865" s="454">
        <x:v>0</x:v>
      </x:c>
      <x:c r="R865" s="454">
        <x:v>0</x:v>
      </x:c>
      <x:c r="S865" s="454">
        <x:v>0</x:v>
      </x:c>
      <x:c r="T865" s="454">
        <x:v>162906.59629646575</x:v>
      </x:c>
      <x:c r="U865" s="454">
        <x:v>0</x:v>
      </x:c>
      <x:c r="V865" s="455">
        <x:v>0</x:v>
      </x:c>
      <x:c r="W865" s="456">
        <x:f t="shared" si="132"/>
        <x:v>1248950.5716062374</x:v>
      </x:c>
      <x:c r="X865" s="450">
        <x:f t="shared" si="133"/>
        <x:v>104079.21430051979</x:v>
      </x:c>
      <x:c r="Y865" s="457"/>
      <x:c r="Z865" s="458"/>
      <x:c r="AA865" s="458"/>
      <x:c r="AB865" s="458"/>
      <x:c r="AC865" s="458"/>
      <x:c r="AD865" s="458"/>
      <x:c r="AE865" s="458"/>
    </x:row>
    <x:row r="866" spans="1:31" ht="20.100000000000001" customHeight="1">
      <x:c r="A866" s="439" t="s">
        <x:v>98</x:v>
      </x:c>
      <x:c r="B866" s="466" t="str">
        <x:f t="shared" si="128"/>
        <x:v>여비교통비</x:v>
      </x:c>
      <x:c r="C866" s="440" t="str">
        <x:f t="shared" si="129"/>
        <x:v>여비교통비</x:v>
      </x:c>
      <x:c r="D866" s="441">
        <x:v>52150103</x:v>
      </x:c>
      <x:c r="E866" s="442" t="str">
        <x:f t="shared" si="130"/>
        <x:v>여비교통비_해외출장</x:v>
      </x:c>
      <x:c r="F866" s="443"/>
      <x:c r="G866" s="444" t="s">
        <x:v>97</x:v>
      </x:c>
      <x:c r="H866" s="445" t="str">
        <x:f t="shared" si="127"/>
        <x:v>재경팀</x:v>
      </x:c>
      <x:c r="I866" s="446" t="str">
        <x:f t="shared" si="131"/>
        <x:v>[관리비]</x:v>
      </x:c>
      <x:c r="J866" s="445"/>
      <x:c r="K866" s="453">
        <x:v>0</x:v>
      </x:c>
      <x:c r="L866" s="454">
        <x:v>0</x:v>
      </x:c>
      <x:c r="M866" s="454">
        <x:v>0</x:v>
      </x:c>
      <x:c r="N866" s="454">
        <x:v>0</x:v>
      </x:c>
      <x:c r="O866" s="454">
        <x:v>543021.98765488586</x:v>
      </x:c>
      <x:c r="P866" s="454">
        <x:v>0</x:v>
      </x:c>
      <x:c r="Q866" s="454">
        <x:v>0</x:v>
      </x:c>
      <x:c r="R866" s="454">
        <x:v>0</x:v>
      </x:c>
      <x:c r="S866" s="454">
        <x:v>0</x:v>
      </x:c>
      <x:c r="T866" s="454">
        <x:v>81453.298148232876</x:v>
      </x:c>
      <x:c r="U866" s="454">
        <x:v>0</x:v>
      </x:c>
      <x:c r="V866" s="455">
        <x:v>0</x:v>
      </x:c>
      <x:c r="W866" s="456">
        <x:f t="shared" si="132"/>
        <x:v>624475.28580311872</x:v>
      </x:c>
      <x:c r="X866" s="450">
        <x:f t="shared" si="133"/>
        <x:v>52039.607150259893</x:v>
      </x:c>
      <x:c r="Y866" s="457"/>
      <x:c r="Z866" s="458"/>
      <x:c r="AA866" s="458"/>
      <x:c r="AB866" s="458"/>
      <x:c r="AC866" s="458"/>
      <x:c r="AD866" s="458"/>
      <x:c r="AE866" s="458"/>
    </x:row>
    <x:row r="867" spans="1:31" ht="20.100000000000001" customHeight="1">
      <x:c r="A867" s="439" t="s">
        <x:v>98</x:v>
      </x:c>
      <x:c r="B867" s="466" t="str">
        <x:f t="shared" si="128"/>
        <x:v>여비교통비</x:v>
      </x:c>
      <x:c r="C867" s="440" t="str">
        <x:f t="shared" si="129"/>
        <x:v>여비교통비</x:v>
      </x:c>
      <x:c r="D867" s="441">
        <x:v>52150105</x:v>
      </x:c>
      <x:c r="E867" s="442" t="str">
        <x:f t="shared" si="130"/>
        <x:v>여비교통비_시내</x:v>
      </x:c>
      <x:c r="F867" s="443"/>
      <x:c r="G867" s="444" t="s">
        <x:v>95</x:v>
      </x:c>
      <x:c r="H867" s="445" t="str">
        <x:f t="shared" si="127"/>
        <x:v>재경담당</x:v>
      </x:c>
      <x:c r="I867" s="446" t="str">
        <x:f t="shared" si="131"/>
        <x:v>[관리비]</x:v>
      </x:c>
      <x:c r="J867" s="445"/>
      <x:c r="K867" s="453">
        <x:v>13575.549691372145</x:v>
      </x:c>
      <x:c r="L867" s="454">
        <x:v>13575.549691372145</x:v>
      </x:c>
      <x:c r="M867" s="454">
        <x:v>13575.549691372145</x:v>
      </x:c>
      <x:c r="N867" s="454">
        <x:v>13575.549691372145</x:v>
      </x:c>
      <x:c r="O867" s="454">
        <x:v>13575.549691372145</x:v>
      </x:c>
      <x:c r="P867" s="454">
        <x:v>13575.549691372145</x:v>
      </x:c>
      <x:c r="Q867" s="454">
        <x:v>13575.549691372145</x:v>
      </x:c>
      <x:c r="R867" s="454">
        <x:v>13575.549691372145</x:v>
      </x:c>
      <x:c r="S867" s="454">
        <x:v>13575.549691372145</x:v>
      </x:c>
      <x:c r="T867" s="454">
        <x:v>13575.549691372145</x:v>
      </x:c>
      <x:c r="U867" s="454">
        <x:v>13575.549691372145</x:v>
      </x:c>
      <x:c r="V867" s="455">
        <x:v>13575.549691372145</x:v>
      </x:c>
      <x:c r="W867" s="456">
        <x:f t="shared" si="132"/>
        <x:v>162906.59629646575</x:v>
      </x:c>
      <x:c r="X867" s="450">
        <x:f t="shared" si="133"/>
        <x:v>13575.549691372145</x:v>
      </x:c>
      <x:c r="Y867" s="457"/>
      <x:c r="Z867" s="458"/>
      <x:c r="AA867" s="458"/>
      <x:c r="AB867" s="458"/>
      <x:c r="AC867" s="458"/>
      <x:c r="AD867" s="458"/>
      <x:c r="AE867" s="458"/>
    </x:row>
    <x:row r="868" spans="1:31" ht="20.100000000000001" customHeight="1">
      <x:c r="A868" s="439" t="s">
        <x:v>98</x:v>
      </x:c>
      <x:c r="B868" s="466" t="str">
        <x:f t="shared" si="128"/>
        <x:v>여비교통비</x:v>
      </x:c>
      <x:c r="C868" s="440" t="str">
        <x:f t="shared" si="129"/>
        <x:v>여비교통비</x:v>
      </x:c>
      <x:c r="D868" s="441">
        <x:v>52150105</x:v>
      </x:c>
      <x:c r="E868" s="442" t="str">
        <x:f t="shared" si="130"/>
        <x:v>여비교통비_시내</x:v>
      </x:c>
      <x:c r="F868" s="443"/>
      <x:c r="G868" s="444" t="s">
        <x:v>97</x:v>
      </x:c>
      <x:c r="H868" s="445" t="str">
        <x:f t="shared" si="127"/>
        <x:v>재경팀</x:v>
      </x:c>
      <x:c r="I868" s="446" t="str">
        <x:f t="shared" si="131"/>
        <x:v>[관리비]</x:v>
      </x:c>
      <x:c r="J868" s="445"/>
      <x:c r="K868" s="453">
        <x:v>543.02198765488583</x:v>
      </x:c>
      <x:c r="L868" s="454">
        <x:v>543.02198765488583</x:v>
      </x:c>
      <x:c r="M868" s="454">
        <x:v>1629.0659629646575</x:v>
      </x:c>
      <x:c r="N868" s="454">
        <x:v>543.02198765488583</x:v>
      </x:c>
      <x:c r="O868" s="454">
        <x:v>543.02198765488583</x:v>
      </x:c>
      <x:c r="P868" s="454">
        <x:v>1629.0659629646575</x:v>
      </x:c>
      <x:c r="Q868" s="454">
        <x:v>543.02198765488583</x:v>
      </x:c>
      <x:c r="R868" s="454">
        <x:v>543.02198765488583</x:v>
      </x:c>
      <x:c r="S868" s="454">
        <x:v>1629.0659629646575</x:v>
      </x:c>
      <x:c r="T868" s="454">
        <x:v>543.02198765488583</x:v>
      </x:c>
      <x:c r="U868" s="454">
        <x:v>543.02198765488583</x:v>
      </x:c>
      <x:c r="V868" s="455">
        <x:v>1629.0659629646575</x:v>
      </x:c>
      <x:c r="W868" s="456">
        <x:f t="shared" si="132"/>
        <x:v>10860.439753097717</x:v>
      </x:c>
      <x:c r="X868" s="450">
        <x:f t="shared" si="133"/>
        <x:v>905.03664609147643</x:v>
      </x:c>
      <x:c r="Y868" s="457"/>
      <x:c r="Z868" s="458"/>
      <x:c r="AA868" s="458"/>
      <x:c r="AB868" s="458"/>
      <x:c r="AC868" s="458"/>
      <x:c r="AD868" s="458"/>
      <x:c r="AE868" s="458"/>
    </x:row>
    <x:row r="869" spans="1:31" ht="20.100000000000001" customHeight="1">
      <x:c r="A869" s="439" t="s">
        <x:v>98</x:v>
      </x:c>
      <x:c r="B869" s="466" t="str">
        <x:f t="shared" si="128"/>
        <x:v>여비교통비</x:v>
      </x:c>
      <x:c r="C869" s="440" t="str">
        <x:f t="shared" si="129"/>
        <x:v>여비교통비</x:v>
      </x:c>
      <x:c r="D869" s="441">
        <x:v>52150109</x:v>
      </x:c>
      <x:c r="E869" s="442" t="str">
        <x:f t="shared" si="130"/>
        <x:v>여비교통비_교육</x:v>
      </x:c>
      <x:c r="F869" s="443"/>
      <x:c r="G869" s="444" t="s">
        <x:v>97</x:v>
      </x:c>
      <x:c r="H869" s="445" t="str">
        <x:f t="shared" si="127"/>
        <x:v>재경팀</x:v>
      </x:c>
      <x:c r="I869" s="446" t="str">
        <x:f t="shared" si="131"/>
        <x:v>[관리비]</x:v>
      </x:c>
      <x:c r="J869" s="445"/>
      <x:c r="K869" s="453">
        <x:v>0</x:v>
      </x:c>
      <x:c r="L869" s="454">
        <x:v>0</x:v>
      </x:c>
      <x:c r="M869" s="454">
        <x:v>0</x:v>
      </x:c>
      <x:c r="N869" s="454">
        <x:v>2715.1099382744292</x:v>
      </x:c>
      <x:c r="O869" s="454">
        <x:v>0</x:v>
      </x:c>
      <x:c r="P869" s="454">
        <x:v>2715.1099382744292</x:v>
      </x:c>
      <x:c r="Q869" s="454">
        <x:v>0</x:v>
      </x:c>
      <x:c r="R869" s="454">
        <x:v>0</x:v>
      </x:c>
      <x:c r="S869" s="454">
        <x:v>0</x:v>
      </x:c>
      <x:c r="T869" s="454">
        <x:v>0</x:v>
      </x:c>
      <x:c r="U869" s="454">
        <x:v>0</x:v>
      </x:c>
      <x:c r="V869" s="455">
        <x:v>0</x:v>
      </x:c>
      <x:c r="W869" s="456">
        <x:f t="shared" si="132"/>
        <x:v>5430.2198765488583</x:v>
      </x:c>
      <x:c r="X869" s="450">
        <x:f t="shared" si="133"/>
        <x:v>452.51832304573821</x:v>
      </x:c>
      <x:c r="Y869" s="457"/>
      <x:c r="Z869" s="458"/>
      <x:c r="AA869" s="458"/>
      <x:c r="AB869" s="458"/>
      <x:c r="AC869" s="458"/>
      <x:c r="AD869" s="458"/>
      <x:c r="AE869" s="458"/>
    </x:row>
    <x:row r="870" spans="1:31" ht="20.100000000000001" customHeight="1">
      <x:c r="A870" s="439" t="s">
        <x:v>98</x:v>
      </x:c>
      <x:c r="B870" s="466" t="str">
        <x:f t="shared" si="128"/>
        <x:v>기타비용</x:v>
      </x:c>
      <x:c r="C870" s="440" t="str">
        <x:f t="shared" si="129"/>
        <x:v>통신비</x:v>
      </x:c>
      <x:c r="D870" s="441">
        <x:v>52160103</x:v>
      </x:c>
      <x:c r="E870" s="442" t="str">
        <x:f t="shared" si="130"/>
        <x:v>통신비_우편료</x:v>
      </x:c>
      <x:c r="F870" s="443"/>
      <x:c r="G870" s="444" t="s">
        <x:v>97</x:v>
      </x:c>
      <x:c r="H870" s="445" t="str">
        <x:f t="shared" si="127"/>
        <x:v>재경팀</x:v>
      </x:c>
      <x:c r="I870" s="446" t="str">
        <x:f t="shared" si="131"/>
        <x:v>[관리비]</x:v>
      </x:c>
      <x:c r="J870" s="445"/>
      <x:c r="K870" s="453">
        <x:v>1357.5549691372146</x:v>
      </x:c>
      <x:c r="L870" s="454">
        <x:v>1357.5549691372146</x:v>
      </x:c>
      <x:c r="M870" s="454">
        <x:v>1357.5549691372146</x:v>
      </x:c>
      <x:c r="N870" s="454">
        <x:v>1357.5549691372146</x:v>
      </x:c>
      <x:c r="O870" s="454">
        <x:v>1357.5549691372146</x:v>
      </x:c>
      <x:c r="P870" s="454">
        <x:v>1357.5549691372146</x:v>
      </x:c>
      <x:c r="Q870" s="454">
        <x:v>6787.7748456860727</x:v>
      </x:c>
      <x:c r="R870" s="454">
        <x:v>1357.5549691372146</x:v>
      </x:c>
      <x:c r="S870" s="454">
        <x:v>1357.5549691372146</x:v>
      </x:c>
      <x:c r="T870" s="454">
        <x:v>1357.5549691372146</x:v>
      </x:c>
      <x:c r="U870" s="454">
        <x:v>1357.5549691372146</x:v>
      </x:c>
      <x:c r="V870" s="455">
        <x:v>1357.5549691372146</x:v>
      </x:c>
      <x:c r="W870" s="456">
        <x:f t="shared" si="132"/>
        <x:v>21720.879506195433</x:v>
      </x:c>
      <x:c r="X870" s="450">
        <x:f t="shared" si="133"/>
        <x:v>1810.0732921829529</x:v>
      </x:c>
      <x:c r="Y870" s="457"/>
      <x:c r="Z870" s="458"/>
      <x:c r="AA870" s="458"/>
      <x:c r="AB870" s="458"/>
      <x:c r="AC870" s="458"/>
      <x:c r="AD870" s="458"/>
      <x:c r="AE870" s="458"/>
    </x:row>
    <x:row r="871" spans="1:31" ht="20.100000000000001" customHeight="1">
      <x:c r="A871" s="439" t="s">
        <x:v>98</x:v>
      </x:c>
      <x:c r="B871" s="466" t="str">
        <x:f t="shared" si="128"/>
        <x:v>세금,보험</x:v>
      </x:c>
      <x:c r="C871" s="440" t="str">
        <x:f t="shared" si="129"/>
        <x:v>세금과공과</x:v>
      </x:c>
      <x:c r="D871" s="441">
        <x:v>52180113</x:v>
      </x:c>
      <x:c r="E871" s="442" t="str">
        <x:f t="shared" si="130"/>
        <x:v>세금과공과_재산세</x:v>
      </x:c>
      <x:c r="F871" s="443"/>
      <x:c r="G871" s="444" t="s">
        <x:v>119</x:v>
      </x:c>
      <x:c r="H871" s="445" t="str">
        <x:f t="shared" si="127"/>
        <x:v>KiB 클러스터</x:v>
      </x:c>
      <x:c r="I871" s="446" t="str">
        <x:f t="shared" si="131"/>
        <x:v>[관리비]</x:v>
      </x:c>
      <x:c r="J871" s="445"/>
      <x:c r="K871" s="453">
        <x:v>0</x:v>
      </x:c>
      <x:c r="L871" s="454">
        <x:v>0</x:v>
      </x:c>
      <x:c r="M871" s="454">
        <x:v>0</x:v>
      </x:c>
      <x:c r="N871" s="454">
        <x:v>0</x:v>
      </x:c>
      <x:c r="O871" s="454">
        <x:v>0</x:v>
      </x:c>
      <x:c r="P871" s="454">
        <x:v>0</x:v>
      </x:c>
      <x:c r="Q871" s="454">
        <x:v>4778593.4913629955</x:v>
      </x:c>
      <x:c r="R871" s="454">
        <x:v>0</x:v>
      </x:c>
      <x:c r="S871" s="454">
        <x:v>6787774.8456860734</x:v>
      </x:c>
      <x:c r="T871" s="454">
        <x:v>0</x:v>
      </x:c>
      <x:c r="U871" s="454">
        <x:v>0</x:v>
      </x:c>
      <x:c r="V871" s="455">
        <x:v>0</x:v>
      </x:c>
      <x:c r="W871" s="456">
        <x:f t="shared" si="132"/>
        <x:v>11566368.337049069</x:v>
      </x:c>
      <x:c r="X871" s="450">
        <x:f t="shared" si="133"/>
        <x:v>963864.02808742237</x:v>
      </x:c>
      <x:c r="Y871" s="457"/>
      <x:c r="Z871" s="458"/>
      <x:c r="AA871" s="458"/>
      <x:c r="AB871" s="458"/>
      <x:c r="AC871" s="458"/>
      <x:c r="AD871" s="458"/>
      <x:c r="AE871" s="458"/>
    </x:row>
    <x:row r="872" spans="1:31" ht="20.100000000000001" customHeight="1">
      <x:c r="A872" s="439" t="s">
        <x:v>98</x:v>
      </x:c>
      <x:c r="B872" s="466" t="str">
        <x:f t="shared" si="128"/>
        <x:v>세금,보험</x:v>
      </x:c>
      <x:c r="C872" s="440" t="str">
        <x:f t="shared" si="129"/>
        <x:v>세금과공과</x:v>
      </x:c>
      <x:c r="D872" s="441">
        <x:v>52180118</x:v>
      </x:c>
      <x:c r="E872" s="442" t="str">
        <x:f t="shared" si="130"/>
        <x:v>세금과공과_간주임대료</x:v>
      </x:c>
      <x:c r="F872" s="443"/>
      <x:c r="G872" s="444" t="s">
        <x:v>97</x:v>
      </x:c>
      <x:c r="H872" s="445" t="str">
        <x:f t="shared" si="127"/>
        <x:v>재경팀</x:v>
      </x:c>
      <x:c r="I872" s="446" t="str">
        <x:f t="shared" si="131"/>
        <x:v>[관리비]</x:v>
      </x:c>
      <x:c r="J872" s="445"/>
      <x:c r="K872" s="453">
        <x:v>0</x:v>
      </x:c>
      <x:c r="L872" s="454">
        <x:v>0</x:v>
      </x:c>
      <x:c r="M872" s="454">
        <x:v>48871.978888939724</x:v>
      </x:c>
      <x:c r="N872" s="454">
        <x:v>0</x:v>
      </x:c>
      <x:c r="O872" s="454">
        <x:v>0</x:v>
      </x:c>
      <x:c r="P872" s="454">
        <x:v>48871.978888939724</x:v>
      </x:c>
      <x:c r="Q872" s="454">
        <x:v>0</x:v>
      </x:c>
      <x:c r="R872" s="454">
        <x:v>0</x:v>
      </x:c>
      <x:c r="S872" s="454">
        <x:v>48871.978888939724</x:v>
      </x:c>
      <x:c r="T872" s="454">
        <x:v>0</x:v>
      </x:c>
      <x:c r="U872" s="454">
        <x:v>0</x:v>
      </x:c>
      <x:c r="V872" s="455">
        <x:v>48871.978888939724</x:v>
      </x:c>
      <x:c r="W872" s="456">
        <x:f t="shared" si="132"/>
        <x:v>195487.9155557589</x:v>
      </x:c>
      <x:c r="X872" s="450">
        <x:f t="shared" si="133"/>
        <x:v>16290.659629646574</x:v>
      </x:c>
      <x:c r="Y872" s="457"/>
      <x:c r="Z872" s="458"/>
      <x:c r="AA872" s="458"/>
      <x:c r="AB872" s="458"/>
      <x:c r="AC872" s="458"/>
      <x:c r="AD872" s="458"/>
      <x:c r="AE872" s="458"/>
    </x:row>
    <x:row r="873" spans="1:31" ht="20.100000000000001" customHeight="1">
      <x:c r="A873" s="439" t="s">
        <x:v>98</x:v>
      </x:c>
      <x:c r="B873" s="466" t="str">
        <x:f t="shared" si="128"/>
        <x:v>세금,보험</x:v>
      </x:c>
      <x:c r="C873" s="440" t="str">
        <x:f t="shared" si="129"/>
        <x:v>세금과공과</x:v>
      </x:c>
      <x:c r="D873" s="441">
        <x:v>52189900</x:v>
      </x:c>
      <x:c r="E873" s="442" t="str">
        <x:f t="shared" si="130"/>
        <x:v>세금과공과_기타</x:v>
      </x:c>
      <x:c r="F873" s="443"/>
      <x:c r="G873" s="444" t="s">
        <x:v>97</x:v>
      </x:c>
      <x:c r="H873" s="445" t="str">
        <x:f t="shared" si="127"/>
        <x:v>재경팀</x:v>
      </x:c>
      <x:c r="I873" s="446" t="str">
        <x:f t="shared" si="131"/>
        <x:v>[관리비]</x:v>
      </x:c>
      <x:c r="J873" s="445"/>
      <x:c r="K873" s="453">
        <x:v>1900576.9567921006</x:v>
      </x:c>
      <x:c r="L873" s="454">
        <x:v>0</x:v>
      </x:c>
      <x:c r="M873" s="454">
        <x:v>0</x:v>
      </x:c>
      <x:c r="N873" s="454">
        <x:v>0</x:v>
      </x:c>
      <x:c r="O873" s="454">
        <x:v>0</x:v>
      </x:c>
      <x:c r="P873" s="454">
        <x:v>0</x:v>
      </x:c>
      <x:c r="Q873" s="454">
        <x:v>5430219.8765488584</x:v>
      </x:c>
      <x:c r="R873" s="454">
        <x:v>0</x:v>
      </x:c>
      <x:c r="S873" s="454">
        <x:v>0</x:v>
      </x:c>
      <x:c r="T873" s="454">
        <x:v>5430219.8765488584</x:v>
      </x:c>
      <x:c r="U873" s="454">
        <x:v>0</x:v>
      </x:c>
      <x:c r="V873" s="455">
        <x:v>2986620.9321018723</x:v>
      </x:c>
      <x:c r="W873" s="456">
        <x:f t="shared" si="132"/>
        <x:v>15747637.64199169</x:v>
      </x:c>
      <x:c r="X873" s="450">
        <x:f t="shared" si="133"/>
        <x:v>1312303.1368326407</x:v>
      </x:c>
      <x:c r="Y873" s="457"/>
      <x:c r="Z873" s="458"/>
      <x:c r="AA873" s="458"/>
      <x:c r="AB873" s="458"/>
      <x:c r="AC873" s="458"/>
      <x:c r="AD873" s="458"/>
      <x:c r="AE873" s="458"/>
    </x:row>
    <x:row r="874" spans="1:31" ht="20.100000000000001" customHeight="1">
      <x:c r="A874" s="439" t="s">
        <x:v>98</x:v>
      </x:c>
      <x:c r="B874" s="466" t="str">
        <x:f t="shared" si="128"/>
        <x:v>기타비용</x:v>
      </x:c>
      <x:c r="C874" s="440" t="str">
        <x:f t="shared" si="129"/>
        <x:v>접대비</x:v>
      </x:c>
      <x:c r="D874" s="441">
        <x:v>52230101</x:v>
      </x:c>
      <x:c r="E874" s="442" t="str">
        <x:f t="shared" si="130"/>
        <x:v>접대비_경조금</x:v>
      </x:c>
      <x:c r="F874" s="443"/>
      <x:c r="G874" s="444" t="s">
        <x:v>97</x:v>
      </x:c>
      <x:c r="H874" s="445" t="str">
        <x:f t="shared" si="127"/>
        <x:v>재경팀</x:v>
      </x:c>
      <x:c r="I874" s="446" t="str">
        <x:f t="shared" si="131"/>
        <x:v>[관리비]</x:v>
      </x:c>
      <x:c r="J874" s="445"/>
      <x:c r="K874" s="453">
        <x:v>5430.2198765488583</x:v>
      </x:c>
      <x:c r="L874" s="454">
        <x:v>5430.2198765488583</x:v>
      </x:c>
      <x:c r="M874" s="454">
        <x:v>10860.439753097717</x:v>
      </x:c>
      <x:c r="N874" s="454">
        <x:v>5430.2198765488583</x:v>
      </x:c>
      <x:c r="O874" s="454">
        <x:v>5430.2198765488583</x:v>
      </x:c>
      <x:c r="P874" s="454">
        <x:v>10860.439753097717</x:v>
      </x:c>
      <x:c r="Q874" s="454">
        <x:v>5430.2198765488583</x:v>
      </x:c>
      <x:c r="R874" s="454">
        <x:v>5430.2198765488583</x:v>
      </x:c>
      <x:c r="S874" s="454">
        <x:v>10860.439753097717</x:v>
      </x:c>
      <x:c r="T874" s="454">
        <x:v>5430.2198765488583</x:v>
      </x:c>
      <x:c r="U874" s="454">
        <x:v>5430.2198765488583</x:v>
      </x:c>
      <x:c r="V874" s="455">
        <x:v>10860.439753097717</x:v>
      </x:c>
      <x:c r="W874" s="456">
        <x:f t="shared" si="132"/>
        <x:v>86883.518024781733</x:v>
      </x:c>
      <x:c r="X874" s="450">
        <x:f t="shared" si="133"/>
        <x:v>7240.2931687318114</x:v>
      </x:c>
      <x:c r="Y874" s="457"/>
      <x:c r="Z874" s="458"/>
      <x:c r="AA874" s="458"/>
      <x:c r="AB874" s="458"/>
      <x:c r="AC874" s="458"/>
      <x:c r="AD874" s="458"/>
      <x:c r="AE874" s="458"/>
    </x:row>
    <x:row r="875" spans="1:31" ht="20.100000000000001" customHeight="1">
      <x:c r="A875" s="439" t="s">
        <x:v>98</x:v>
      </x:c>
      <x:c r="B875" s="466" t="str">
        <x:f t="shared" si="128"/>
        <x:v>기타비용</x:v>
      </x:c>
      <x:c r="C875" s="440" t="str">
        <x:f t="shared" si="129"/>
        <x:v>접대비</x:v>
      </x:c>
      <x:c r="D875" s="441">
        <x:v>52230103</x:v>
      </x:c>
      <x:c r="E875" s="442" t="str">
        <x:f t="shared" si="130"/>
        <x:v>접대비_법인카드</x:v>
      </x:c>
      <x:c r="F875" s="443"/>
      <x:c r="G875" s="444" t="s">
        <x:v>97</x:v>
      </x:c>
      <x:c r="H875" s="445" t="str">
        <x:f t="shared" si="127"/>
        <x:v>재경팀</x:v>
      </x:c>
      <x:c r="I875" s="446" t="str">
        <x:f t="shared" si="131"/>
        <x:v>[관리비]</x:v>
      </x:c>
      <x:c r="J875" s="445"/>
      <x:c r="K875" s="453">
        <x:v>81453.298148232876</x:v>
      </x:c>
      <x:c r="L875" s="454">
        <x:v>162906.59629646575</x:v>
      </x:c>
      <x:c r="M875" s="454">
        <x:v>81453.298148232876</x:v>
      </x:c>
      <x:c r="N875" s="454">
        <x:v>81453.298148232876</x:v>
      </x:c>
      <x:c r="O875" s="454">
        <x:v>81453.298148232876</x:v>
      </x:c>
      <x:c r="P875" s="454">
        <x:v>81453.298148232876</x:v>
      </x:c>
      <x:c r="Q875" s="454">
        <x:v>81453.298148232876</x:v>
      </x:c>
      <x:c r="R875" s="454">
        <x:v>81453.298148232876</x:v>
      </x:c>
      <x:c r="S875" s="454">
        <x:v>81453.298148232876</x:v>
      </x:c>
      <x:c r="T875" s="454">
        <x:v>81453.298148232876</x:v>
      </x:c>
      <x:c r="U875" s="454">
        <x:v>162906.59629646575</x:v>
      </x:c>
      <x:c r="V875" s="455">
        <x:v>81453.298148232876</x:v>
      </x:c>
      <x:c r="W875" s="456">
        <x:f t="shared" si="132"/>
        <x:v>1140346.1740752603</x:v>
      </x:c>
      <x:c r="X875" s="450">
        <x:f t="shared" si="133"/>
        <x:v>95028.84783960502</x:v>
      </x:c>
      <x:c r="Y875" s="457"/>
      <x:c r="Z875" s="458"/>
      <x:c r="AA875" s="458"/>
      <x:c r="AB875" s="458"/>
      <x:c r="AC875" s="458"/>
      <x:c r="AD875" s="458"/>
      <x:c r="AE875" s="458"/>
    </x:row>
    <x:row r="876" spans="1:31" ht="20.100000000000001" customHeight="1">
      <x:c r="A876" s="439" t="s">
        <x:v>98</x:v>
      </x:c>
      <x:c r="B876" s="466" t="str">
        <x:f t="shared" si="128"/>
        <x:v>운반비</x:v>
      </x:c>
      <x:c r="C876" s="440" t="str">
        <x:f t="shared" si="129"/>
        <x:v>운반비</x:v>
      </x:c>
      <x:c r="D876" s="441">
        <x:v>52259900</x:v>
      </x:c>
      <x:c r="E876" s="442" t="str">
        <x:f t="shared" si="130"/>
        <x:v>운반비_기타</x:v>
      </x:c>
      <x:c r="F876" s="443"/>
      <x:c r="G876" s="444" t="s">
        <x:v>97</x:v>
      </x:c>
      <x:c r="H876" s="445" t="str">
        <x:f t="shared" si="127"/>
        <x:v>재경팀</x:v>
      </x:c>
      <x:c r="I876" s="446" t="str">
        <x:f t="shared" si="131"/>
        <x:v>[관리비]</x:v>
      </x:c>
      <x:c r="J876" s="445"/>
      <x:c r="K876" s="453">
        <x:v>1629.0659629646575</x:v>
      </x:c>
      <x:c r="L876" s="454">
        <x:v>8145.329814823288</x:v>
      </x:c>
      <x:c r="M876" s="454">
        <x:v>8145.329814823288</x:v>
      </x:c>
      <x:c r="N876" s="454">
        <x:v>5430.2198765488583</x:v>
      </x:c>
      <x:c r="O876" s="454">
        <x:v>0</x:v>
      </x:c>
      <x:c r="P876" s="454">
        <x:v>8145.329814823288</x:v>
      </x:c>
      <x:c r="Q876" s="454">
        <x:v>0</x:v>
      </x:c>
      <x:c r="R876" s="454">
        <x:v>0</x:v>
      </x:c>
      <x:c r="S876" s="454">
        <x:v>8145.329814823288</x:v>
      </x:c>
      <x:c r="T876" s="454">
        <x:v>8145.329814823288</x:v>
      </x:c>
      <x:c r="U876" s="454">
        <x:v>5430.2198765488583</x:v>
      </x:c>
      <x:c r="V876" s="455">
        <x:v>8145.329814823288</x:v>
      </x:c>
      <x:c r="W876" s="456">
        <x:f t="shared" si="132"/>
        <x:v>61361.484605002093</x:v>
      </x:c>
      <x:c r="X876" s="450">
        <x:f t="shared" si="133"/>
        <x:v>5113.4570504168414</x:v>
      </x:c>
      <x:c r="Y876" s="457"/>
      <x:c r="Z876" s="458"/>
      <x:c r="AA876" s="458"/>
      <x:c r="AB876" s="458"/>
      <x:c r="AC876" s="458"/>
      <x:c r="AD876" s="458"/>
      <x:c r="AE876" s="458"/>
    </x:row>
    <x:row r="877" spans="1:31" ht="20.100000000000001" customHeight="1">
      <x:c r="A877" s="439" t="s">
        <x:v>98</x:v>
      </x:c>
      <x:c r="B877" s="466" t="str">
        <x:f t="shared" si="128"/>
        <x:v>지급수수료</x:v>
      </x:c>
      <x:c r="C877" s="440" t="str">
        <x:f t="shared" si="129"/>
        <x:v>지급수수료</x:v>
      </x:c>
      <x:c r="D877" s="441">
        <x:v>52310101</x:v>
      </x:c>
      <x:c r="E877" s="442" t="str">
        <x:f t="shared" si="130"/>
        <x:v>지급수수료_금융기관수수료</x:v>
      </x:c>
      <x:c r="F877" s="443"/>
      <x:c r="G877" s="444" t="s">
        <x:v>97</x:v>
      </x:c>
      <x:c r="H877" s="445" t="str">
        <x:f t="shared" si="127"/>
        <x:v>재경팀</x:v>
      </x:c>
      <x:c r="I877" s="446" t="str">
        <x:f t="shared" si="131"/>
        <x:v>[관리비]</x:v>
      </x:c>
      <x:c r="J877" s="445"/>
      <x:c r="K877" s="453">
        <x:v>12489.505716062375</x:v>
      </x:c>
      <x:c r="L877" s="454">
        <x:v>10860.439753097717</x:v>
      </x:c>
      <x:c r="M877" s="454">
        <x:v>10860.439753097717</x:v>
      </x:c>
      <x:c r="N877" s="454">
        <x:v>10860.439753097717</x:v>
      </x:c>
      <x:c r="O877" s="454">
        <x:v>10860.439753097717</x:v>
      </x:c>
      <x:c r="P877" s="454">
        <x:v>10860.439753097717</x:v>
      </x:c>
      <x:c r="Q877" s="454">
        <x:v>10860.439753097717</x:v>
      </x:c>
      <x:c r="R877" s="454">
        <x:v>10860.439753097717</x:v>
      </x:c>
      <x:c r="S877" s="454">
        <x:v>10860.439753097717</x:v>
      </x:c>
      <x:c r="T877" s="454">
        <x:v>10860.439753097717</x:v>
      </x:c>
      <x:c r="U877" s="454">
        <x:v>10860.439753097717</x:v>
      </x:c>
      <x:c r="V877" s="455">
        <x:v>7070146.2792666135</x:v>
      </x:c>
      <x:c r="W877" s="456">
        <x:f t="shared" si="132"/>
        <x:v>7191240.1825136533</x:v>
      </x:c>
      <x:c r="X877" s="450">
        <x:f t="shared" si="133"/>
        <x:v>599270.01520947111</x:v>
      </x:c>
      <x:c r="Y877" s="457"/>
      <x:c r="Z877" s="458"/>
      <x:c r="AA877" s="458"/>
      <x:c r="AB877" s="458"/>
      <x:c r="AC877" s="458"/>
      <x:c r="AD877" s="458"/>
      <x:c r="AE877" s="458"/>
    </x:row>
    <x:row r="878" spans="1:31" ht="20.100000000000001" customHeight="1">
      <x:c r="A878" s="439" t="s">
        <x:v>98</x:v>
      </x:c>
      <x:c r="B878" s="466" t="str">
        <x:f t="shared" si="128"/>
        <x:v>지급수수료</x:v>
      </x:c>
      <x:c r="C878" s="440" t="str">
        <x:f t="shared" si="129"/>
        <x:v>지급수수료</x:v>
      </x:c>
      <x:c r="D878" s="441">
        <x:v>52310102</x:v>
      </x:c>
      <x:c r="E878" s="442" t="str">
        <x:f t="shared" si="130"/>
        <x:v>지급수수료_송금수수료</x:v>
      </x:c>
      <x:c r="F878" s="443"/>
      <x:c r="G878" s="444" t="s">
        <x:v>97</x:v>
      </x:c>
      <x:c r="H878" s="445" t="str">
        <x:f t="shared" si="127"/>
        <x:v>재경팀</x:v>
      </x:c>
      <x:c r="I878" s="446" t="str">
        <x:f t="shared" si="131"/>
        <x:v>[관리비]</x:v>
      </x:c>
      <x:c r="J878" s="445"/>
      <x:c r="K878" s="453">
        <x:v>114034.61740752604</x:v>
      </x:c>
      <x:c r="L878" s="454">
        <x:v>114034.61740752604</x:v>
      </x:c>
      <x:c r="M878" s="454">
        <x:v>114034.61740752604</x:v>
      </x:c>
      <x:c r="N878" s="454">
        <x:v>114034.61740752604</x:v>
      </x:c>
      <x:c r="O878" s="454">
        <x:v>114034.61740752604</x:v>
      </x:c>
      <x:c r="P878" s="454">
        <x:v>114034.61740752604</x:v>
      </x:c>
      <x:c r="Q878" s="454">
        <x:v>114034.61740752604</x:v>
      </x:c>
      <x:c r="R878" s="454">
        <x:v>114034.61740752604</x:v>
      </x:c>
      <x:c r="S878" s="454">
        <x:v>114034.61740752604</x:v>
      </x:c>
      <x:c r="T878" s="454">
        <x:v>114034.61740752604</x:v>
      </x:c>
      <x:c r="U878" s="454">
        <x:v>114034.61740752604</x:v>
      </x:c>
      <x:c r="V878" s="455">
        <x:v>114034.61740752604</x:v>
      </x:c>
      <x:c r="W878" s="456">
        <x:f t="shared" si="132"/>
        <x:v>1368415.4088903125</x:v>
      </x:c>
      <x:c r="X878" s="450">
        <x:f t="shared" si="133"/>
        <x:v>114034.61740752605</x:v>
      </x:c>
      <x:c r="Y878" s="457"/>
      <x:c r="Z878" s="458"/>
      <x:c r="AA878" s="458"/>
      <x:c r="AB878" s="458"/>
      <x:c r="AC878" s="458"/>
      <x:c r="AD878" s="458"/>
      <x:c r="AE878" s="458"/>
    </x:row>
    <x:row r="879" spans="1:31" ht="20.100000000000001" customHeight="1">
      <x:c r="A879" s="439" t="s">
        <x:v>98</x:v>
      </x:c>
      <x:c r="B879" s="466" t="str">
        <x:f t="shared" si="128"/>
        <x:v>지급수수료</x:v>
      </x:c>
      <x:c r="C879" s="440" t="str">
        <x:f t="shared" si="129"/>
        <x:v>지급수수료</x:v>
      </x:c>
      <x:c r="D879" s="441">
        <x:v>52310103</x:v>
      </x:c>
      <x:c r="E879" s="442" t="str">
        <x:f t="shared" si="130"/>
        <x:v>지급수수료_회계감사수수료</x:v>
      </x:c>
      <x:c r="F879" s="443"/>
      <x:c r="G879" s="444" t="s">
        <x:v>97</x:v>
      </x:c>
      <x:c r="H879" s="445" t="str">
        <x:f t="shared" si="127"/>
        <x:v>재경팀</x:v>
      </x:c>
      <x:c r="I879" s="446" t="str">
        <x:f t="shared" si="131"/>
        <x:v>[관리비]</x:v>
      </x:c>
      <x:c r="J879" s="445"/>
      <x:c r="K879" s="453">
        <x:v>1086043.9753097717</x:v>
      </x:c>
      <x:c r="L879" s="454">
        <x:v>0</x:v>
      </x:c>
      <x:c r="M879" s="454">
        <x:v>0</x:v>
      </x:c>
      <x:c r="N879" s="454">
        <x:v>2009181.3543230777</x:v>
      </x:c>
      <x:c r="O879" s="454">
        <x:v>0</x:v>
      </x:c>
      <x:c r="P879" s="454">
        <x:v>0</x:v>
      </x:c>
      <x:c r="Q879" s="454">
        <x:v>1086043.9753097717</x:v>
      </x:c>
      <x:c r="R879" s="454">
        <x:v>0</x:v>
      </x:c>
      <x:c r="S879" s="454">
        <x:v>0</x:v>
      </x:c>
      <x:c r="T879" s="454">
        <x:v>1086043.9753097717</x:v>
      </x:c>
      <x:c r="U879" s="454">
        <x:v>0</x:v>
      </x:c>
      <x:c r="V879" s="455">
        <x:v>0</x:v>
      </x:c>
      <x:c r="W879" s="456">
        <x:f t="shared" si="132"/>
        <x:v>5267313.2802523924</x:v>
      </x:c>
      <x:c r="X879" s="450">
        <x:f t="shared" si="133"/>
        <x:v>438942.77335436601</x:v>
      </x:c>
      <x:c r="Y879" s="457"/>
      <x:c r="Z879" s="458"/>
      <x:c r="AA879" s="458"/>
      <x:c r="AB879" s="458"/>
      <x:c r="AC879" s="458"/>
      <x:c r="AD879" s="458"/>
      <x:c r="AE879" s="458"/>
    </x:row>
    <x:row r="880" spans="1:31" ht="20.100000000000001" customHeight="1">
      <x:c r="A880" s="439" t="s">
        <x:v>98</x:v>
      </x:c>
      <x:c r="B880" s="466" t="str">
        <x:f t="shared" si="128"/>
        <x:v>지급수수료</x:v>
      </x:c>
      <x:c r="C880" s="440" t="str">
        <x:f t="shared" si="129"/>
        <x:v>지급수수료</x:v>
      </x:c>
      <x:c r="D880" s="441">
        <x:v>52310104</x:v>
      </x:c>
      <x:c r="E880" s="442" t="str">
        <x:f t="shared" si="130"/>
        <x:v>지급수수료_세무조정수수료</x:v>
      </x:c>
      <x:c r="F880" s="443"/>
      <x:c r="G880" s="444" t="s">
        <x:v>97</x:v>
      </x:c>
      <x:c r="H880" s="445" t="str">
        <x:f t="shared" si="127"/>
        <x:v>재경팀</x:v>
      </x:c>
      <x:c r="I880" s="446" t="str">
        <x:f t="shared" si="131"/>
        <x:v>[관리비]</x:v>
      </x:c>
      <x:c r="J880" s="445"/>
      <x:c r="K880" s="453">
        <x:v>0</x:v>
      </x:c>
      <x:c r="L880" s="454">
        <x:v>0</x:v>
      </x:c>
      <x:c r="M880" s="454">
        <x:v>0</x:v>
      </x:c>
      <x:c r="N880" s="454">
        <x:v>1791972.5592611234</x:v>
      </x:c>
      <x:c r="O880" s="454">
        <x:v>0</x:v>
      </x:c>
      <x:c r="P880" s="454">
        <x:v>0</x:v>
      </x:c>
      <x:c r="Q880" s="454">
        <x:v>0</x:v>
      </x:c>
      <x:c r="R880" s="454">
        <x:v>0</x:v>
      </x:c>
      <x:c r="S880" s="454">
        <x:v>0</x:v>
      </x:c>
      <x:c r="T880" s="454">
        <x:v>0</x:v>
      </x:c>
      <x:c r="U880" s="454">
        <x:v>0</x:v>
      </x:c>
      <x:c r="V880" s="455">
        <x:v>0</x:v>
      </x:c>
      <x:c r="W880" s="456">
        <x:f t="shared" si="132"/>
        <x:v>1791972.5592611234</x:v>
      </x:c>
      <x:c r="X880" s="450">
        <x:f t="shared" si="133"/>
        <x:v>149331.04660509361</x:v>
      </x:c>
      <x:c r="Y880" s="457"/>
      <x:c r="Z880" s="458"/>
      <x:c r="AA880" s="458"/>
      <x:c r="AB880" s="458"/>
      <x:c r="AC880" s="458"/>
      <x:c r="AD880" s="458"/>
      <x:c r="AE880" s="458"/>
    </x:row>
    <x:row r="881" spans="1:31" ht="20.100000000000001" customHeight="1">
      <x:c r="A881" s="439" t="s">
        <x:v>98</x:v>
      </x:c>
      <x:c r="B881" s="466" t="str">
        <x:f t="shared" si="128"/>
        <x:v>지급수수료</x:v>
      </x:c>
      <x:c r="C881" s="440" t="str">
        <x:f t="shared" si="129"/>
        <x:v>지급수수료</x:v>
      </x:c>
      <x:c r="D881" s="441">
        <x:v>52319900</x:v>
      </x:c>
      <x:c r="E881" s="442" t="str">
        <x:f t="shared" si="130"/>
        <x:v>지급수수료_기타</x:v>
      </x:c>
      <x:c r="F881" s="443"/>
      <x:c r="G881" s="444" t="s">
        <x:v>97</x:v>
      </x:c>
      <x:c r="H881" s="445" t="str">
        <x:f t="shared" si="127"/>
        <x:v>재경팀</x:v>
      </x:c>
      <x:c r="I881" s="446" t="str">
        <x:f t="shared" si="131"/>
        <x:v>[관리비]</x:v>
      </x:c>
      <x:c r="J881" s="445"/>
      <x:c r="K881" s="453">
        <x:v>2416447.8450642419</x:v>
      </x:c>
      <x:c r="L881" s="454">
        <x:v>2416447.8450642419</x:v>
      </x:c>
      <x:c r="M881" s="454">
        <x:v>2416447.8450642419</x:v>
      </x:c>
      <x:c r="N881" s="454">
        <x:v>2416447.8450642419</x:v>
      </x:c>
      <x:c r="O881" s="454">
        <x:v>2416447.8450642419</x:v>
      </x:c>
      <x:c r="P881" s="454">
        <x:v>2416447.8450642419</x:v>
      </x:c>
      <x:c r="Q881" s="454">
        <x:v>2416447.8450642419</x:v>
      </x:c>
      <x:c r="R881" s="454">
        <x:v>2416447.8450642419</x:v>
      </x:c>
      <x:c r="S881" s="454">
        <x:v>2416447.8450642419</x:v>
      </x:c>
      <x:c r="T881" s="454">
        <x:v>2416447.8450642419</x:v>
      </x:c>
      <x:c r="U881" s="454">
        <x:v>2416447.8450642419</x:v>
      </x:c>
      <x:c r="V881" s="455">
        <x:v>2416447.8450642419</x:v>
      </x:c>
      <x:c r="W881" s="456">
        <x:f t="shared" si="132"/>
        <x:v>28997374.140770901</x:v>
      </x:c>
      <x:c r="X881" s="450">
        <x:f t="shared" si="133"/>
        <x:v>2416447.8450642419</x:v>
      </x:c>
      <x:c r="Y881" s="457"/>
      <x:c r="Z881" s="458"/>
      <x:c r="AA881" s="458"/>
      <x:c r="AB881" s="458"/>
      <x:c r="AC881" s="458"/>
      <x:c r="AD881" s="458"/>
      <x:c r="AE881" s="458"/>
    </x:row>
    <x:row r="882" spans="1:31" ht="20.100000000000001" customHeight="1">
      <x:c r="A882" s="439" t="s">
        <x:v>98</x:v>
      </x:c>
      <x:c r="B882" s="466" t="str">
        <x:f t="shared" si="128"/>
        <x:v>기타비용</x:v>
      </x:c>
      <x:c r="C882" s="440" t="str">
        <x:f t="shared" si="129"/>
        <x:v>도서인쇄비</x:v>
      </x:c>
      <x:c r="D882" s="441">
        <x:v>52320101</x:v>
      </x:c>
      <x:c r="E882" s="442" t="str">
        <x:f t="shared" si="130"/>
        <x:v>도서인쇄비_인쇄비</x:v>
      </x:c>
      <x:c r="F882" s="443"/>
      <x:c r="G882" s="444" t="s">
        <x:v>97</x:v>
      </x:c>
      <x:c r="H882" s="445" t="str">
        <x:f t="shared" si="127"/>
        <x:v>재경팀</x:v>
      </x:c>
      <x:c r="I882" s="446" t="str">
        <x:f t="shared" si="131"/>
        <x:v>[관리비]</x:v>
      </x:c>
      <x:c r="J882" s="445"/>
      <x:c r="K882" s="453">
        <x:v>0</x:v>
      </x:c>
      <x:c r="L882" s="454">
        <x:v>0</x:v>
      </x:c>
      <x:c r="M882" s="454">
        <x:v>16290.659629646576</x:v>
      </x:c>
      <x:c r="N882" s="454">
        <x:v>0</x:v>
      </x:c>
      <x:c r="O882" s="454">
        <x:v>0</x:v>
      </x:c>
      <x:c r="P882" s="454">
        <x:v>0</x:v>
      </x:c>
      <x:c r="Q882" s="454">
        <x:v>0</x:v>
      </x:c>
      <x:c r="R882" s="454">
        <x:v>0</x:v>
      </x:c>
      <x:c r="S882" s="454">
        <x:v>0</x:v>
      </x:c>
      <x:c r="T882" s="454">
        <x:v>0</x:v>
      </x:c>
      <x:c r="U882" s="454">
        <x:v>0</x:v>
      </x:c>
      <x:c r="V882" s="455">
        <x:v>0</x:v>
      </x:c>
      <x:c r="W882" s="456">
        <x:f t="shared" si="132"/>
        <x:v>16290.659629646576</x:v>
      </x:c>
      <x:c r="X882" s="450">
        <x:f t="shared" si="133"/>
        <x:v>1357.5549691372146</x:v>
      </x:c>
      <x:c r="Y882" s="457"/>
      <x:c r="Z882" s="458"/>
      <x:c r="AA882" s="458"/>
      <x:c r="AB882" s="458"/>
      <x:c r="AC882" s="458"/>
      <x:c r="AD882" s="458"/>
      <x:c r="AE882" s="458"/>
    </x:row>
    <x:row r="883" spans="1:31" ht="20.100000000000001" customHeight="1">
      <x:c r="A883" s="439" t="s">
        <x:v>98</x:v>
      </x:c>
      <x:c r="B883" s="466" t="str">
        <x:f t="shared" si="128"/>
        <x:v>기타비용</x:v>
      </x:c>
      <x:c r="C883" s="440" t="str">
        <x:f t="shared" si="129"/>
        <x:v>도서인쇄비</x:v>
      </x:c>
      <x:c r="D883" s="441">
        <x:v>52320102</x:v>
      </x:c>
      <x:c r="E883" s="442" t="str">
        <x:f t="shared" si="130"/>
        <x:v>도서인쇄비_도서구입</x:v>
      </x:c>
      <x:c r="F883" s="443"/>
      <x:c r="G883" s="444" t="s">
        <x:v>97</x:v>
      </x:c>
      <x:c r="H883" s="445" t="str">
        <x:f t="shared" si="127"/>
        <x:v>재경팀</x:v>
      </x:c>
      <x:c r="I883" s="446" t="str">
        <x:f t="shared" si="131"/>
        <x:v>[관리비]</x:v>
      </x:c>
      <x:c r="J883" s="445"/>
      <x:c r="K883" s="453">
        <x:v>16290.659629646576</x:v>
      </x:c>
      <x:c r="L883" s="454">
        <x:v>4344.1759012390867</x:v>
      </x:c>
      <x:c r="M883" s="454">
        <x:v>16290.659629646576</x:v>
      </x:c>
      <x:c r="N883" s="454">
        <x:v>4344.1759012390867</x:v>
      </x:c>
      <x:c r="O883" s="454">
        <x:v>4344.1759012390867</x:v>
      </x:c>
      <x:c r="P883" s="454">
        <x:v>4344.1759012390867</x:v>
      </x:c>
      <x:c r="Q883" s="454">
        <x:v>4344.1759012390867</x:v>
      </x:c>
      <x:c r="R883" s="454">
        <x:v>4344.1759012390867</x:v>
      </x:c>
      <x:c r="S883" s="454">
        <x:v>4344.1759012390867</x:v>
      </x:c>
      <x:c r="T883" s="454">
        <x:v>4344.1759012390867</x:v>
      </x:c>
      <x:c r="U883" s="454">
        <x:v>4344.1759012390867</x:v>
      </x:c>
      <x:c r="V883" s="455">
        <x:v>16290.659629646576</x:v>
      </x:c>
      <x:c r="W883" s="456">
        <x:f t="shared" si="132"/>
        <x:v>87969.562000091479</x:v>
      </x:c>
      <x:c r="X883" s="450">
        <x:f t="shared" si="133"/>
        <x:v>7330.7968333409563</x:v>
      </x:c>
      <x:c r="Y883" s="457"/>
      <x:c r="Z883" s="458"/>
      <x:c r="AA883" s="458"/>
      <x:c r="AB883" s="458"/>
      <x:c r="AC883" s="458"/>
      <x:c r="AD883" s="458"/>
      <x:c r="AE883" s="458"/>
    </x:row>
    <x:row r="884" spans="1:31" ht="20.100000000000001" customHeight="1">
      <x:c r="A884" s="439" t="s">
        <x:v>98</x:v>
      </x:c>
      <x:c r="B884" s="466" t="str">
        <x:f t="shared" si="128"/>
        <x:v>유지비용</x:v>
      </x:c>
      <x:c r="C884" s="440" t="str">
        <x:f t="shared" si="129"/>
        <x:v>소모품비</x:v>
      </x:c>
      <x:c r="D884" s="441">
        <x:v>52330102</x:v>
      </x:c>
      <x:c r="E884" s="442" t="str">
        <x:f t="shared" si="130"/>
        <x:v>소모품비_문구</x:v>
      </x:c>
      <x:c r="F884" s="443"/>
      <x:c r="G884" s="444" t="s">
        <x:v>97</x:v>
      </x:c>
      <x:c r="H884" s="445" t="str">
        <x:f t="shared" si="127"/>
        <x:v>재경팀</x:v>
      </x:c>
      <x:c r="I884" s="446" t="str">
        <x:f t="shared" si="131"/>
        <x:v>[관리비]</x:v>
      </x:c>
      <x:c r="J884" s="445"/>
      <x:c r="K884" s="453">
        <x:v>1086.0439753097717</x:v>
      </x:c>
      <x:c r="L884" s="454">
        <x:v>0</x:v>
      </x:c>
      <x:c r="M884" s="454">
        <x:v>0</x:v>
      </x:c>
      <x:c r="N884" s="454">
        <x:v>0</x:v>
      </x:c>
      <x:c r="O884" s="454">
        <x:v>0</x:v>
      </x:c>
      <x:c r="P884" s="454">
        <x:v>0</x:v>
      </x:c>
      <x:c r="Q884" s="454">
        <x:v>1086.0439753097717</x:v>
      </x:c>
      <x:c r="R884" s="454">
        <x:v>0</x:v>
      </x:c>
      <x:c r="S884" s="454">
        <x:v>0</x:v>
      </x:c>
      <x:c r="T884" s="454">
        <x:v>0</x:v>
      </x:c>
      <x:c r="U884" s="454">
        <x:v>0</x:v>
      </x:c>
      <x:c r="V884" s="455">
        <x:v>3258.131925929315</x:v>
      </x:c>
      <x:c r="W884" s="456">
        <x:f t="shared" si="132"/>
        <x:v>5430.2198765488583</x:v>
      </x:c>
      <x:c r="X884" s="450">
        <x:f t="shared" si="133"/>
        <x:v>452.51832304573821</x:v>
      </x:c>
      <x:c r="Y884" s="457"/>
      <x:c r="Z884" s="458"/>
      <x:c r="AA884" s="458"/>
      <x:c r="AB884" s="458"/>
      <x:c r="AC884" s="458"/>
      <x:c r="AD884" s="458"/>
      <x:c r="AE884" s="458"/>
    </x:row>
    <x:row r="885" spans="1:31" ht="20.100000000000001" customHeight="1">
      <x:c r="A885" s="439" t="s">
        <x:v>98</x:v>
      </x:c>
      <x:c r="B885" s="466" t="str">
        <x:f t="shared" si="128"/>
        <x:v>유지비용</x:v>
      </x:c>
      <x:c r="C885" s="440" t="str">
        <x:f t="shared" si="129"/>
        <x:v>소모품비</x:v>
      </x:c>
      <x:c r="D885" s="441">
        <x:v>52339900</x:v>
      </x:c>
      <x:c r="E885" s="442" t="str">
        <x:f t="shared" si="130"/>
        <x:v>소모품비_기타</x:v>
      </x:c>
      <x:c r="F885" s="443"/>
      <x:c r="G885" s="444" t="s">
        <x:v>97</x:v>
      </x:c>
      <x:c r="H885" s="445" t="str">
        <x:f t="shared" si="127"/>
        <x:v>재경팀</x:v>
      </x:c>
      <x:c r="I885" s="446" t="str">
        <x:f t="shared" si="131"/>
        <x:v>[관리비]</x:v>
      </x:c>
      <x:c r="J885" s="445"/>
      <x:c r="K885" s="453">
        <x:v>0</x:v>
      </x:c>
      <x:c r="L885" s="454">
        <x:v>0</x:v>
      </x:c>
      <x:c r="M885" s="454">
        <x:v>0</x:v>
      </x:c>
      <x:c r="N885" s="454">
        <x:v>0</x:v>
      </x:c>
      <x:c r="O885" s="454">
        <x:v>0</x:v>
      </x:c>
      <x:c r="P885" s="454">
        <x:v>0</x:v>
      </x:c>
      <x:c r="Q885" s="454">
        <x:v>5430.2198765488583</x:v>
      </x:c>
      <x:c r="R885" s="454">
        <x:v>0</x:v>
      </x:c>
      <x:c r="S885" s="454">
        <x:v>0</x:v>
      </x:c>
      <x:c r="T885" s="454">
        <x:v>0</x:v>
      </x:c>
      <x:c r="U885" s="454">
        <x:v>0</x:v>
      </x:c>
      <x:c r="V885" s="455">
        <x:v>0</x:v>
      </x:c>
      <x:c r="W885" s="456">
        <x:f t="shared" si="132"/>
        <x:v>5430.2198765488583</x:v>
      </x:c>
      <x:c r="X885" s="450">
        <x:f t="shared" si="133"/>
        <x:v>452.51832304573821</x:v>
      </x:c>
      <x:c r="Y885" s="457"/>
      <x:c r="Z885" s="458"/>
      <x:c r="AA885" s="458"/>
      <x:c r="AB885" s="458"/>
      <x:c r="AC885" s="458"/>
      <x:c r="AD885" s="458"/>
      <x:c r="AE885" s="458"/>
    </x:row>
    <x:row r="886" spans="1:31" ht="20.100000000000001" customHeight="1">
      <x:c r="A886" s="439" t="s">
        <x:v>98</x:v>
      </x:c>
      <x:c r="B886" s="466" t="str">
        <x:f t="shared" si="128"/>
        <x:v>기타비용</x:v>
      </x:c>
      <x:c r="C886" s="440" t="str">
        <x:f t="shared" si="129"/>
        <x:v>차량유지비</x:v>
      </x:c>
      <x:c r="D886" s="441">
        <x:v>52359900</x:v>
      </x:c>
      <x:c r="E886" s="442" t="str">
        <x:f t="shared" si="130"/>
        <x:v>차량유지비_기타</x:v>
      </x:c>
      <x:c r="F886" s="443"/>
      <x:c r="G886" s="444" t="s">
        <x:v>97</x:v>
      </x:c>
      <x:c r="H886" s="445" t="str">
        <x:f t="shared" si="127"/>
        <x:v>재경팀</x:v>
      </x:c>
      <x:c r="I886" s="446" t="str">
        <x:f t="shared" si="131"/>
        <x:v>[관리비]</x:v>
      </x:c>
      <x:c r="J886" s="445"/>
      <x:c r="K886" s="453">
        <x:v>6516.26385185863</x:v>
      </x:c>
      <x:c r="L886" s="454">
        <x:v>6516.26385185863</x:v>
      </x:c>
      <x:c r="M886" s="454">
        <x:v>6516.26385185863</x:v>
      </x:c>
      <x:c r="N886" s="454">
        <x:v>6516.26385185863</x:v>
      </x:c>
      <x:c r="O886" s="454">
        <x:v>6516.26385185863</x:v>
      </x:c>
      <x:c r="P886" s="454">
        <x:v>6516.26385185863</x:v>
      </x:c>
      <x:c r="Q886" s="454">
        <x:v>6516.26385185863</x:v>
      </x:c>
      <x:c r="R886" s="454">
        <x:v>6516.26385185863</x:v>
      </x:c>
      <x:c r="S886" s="454">
        <x:v>6516.26385185863</x:v>
      </x:c>
      <x:c r="T886" s="454">
        <x:v>6516.26385185863</x:v>
      </x:c>
      <x:c r="U886" s="454">
        <x:v>6516.26385185863</x:v>
      </x:c>
      <x:c r="V886" s="455">
        <x:v>6516.26385185863</x:v>
      </x:c>
      <x:c r="W886" s="456">
        <x:f t="shared" si="132"/>
        <x:v>78195.166222303567</x:v>
      </x:c>
      <x:c r="X886" s="450">
        <x:f t="shared" si="133"/>
        <x:v>6516.2638518586309</x:v>
      </x:c>
      <x:c r="Y886" s="457"/>
      <x:c r="Z886" s="458"/>
      <x:c r="AA886" s="458"/>
      <x:c r="AB886" s="458"/>
      <x:c r="AC886" s="458"/>
      <x:c r="AD886" s="458"/>
      <x:c r="AE886" s="458"/>
    </x:row>
    <x:row r="887" spans="1:31" ht="20.100000000000001" customHeight="1">
      <x:c r="A887" s="439" t="s">
        <x:v>98</x:v>
      </x:c>
      <x:c r="B887" s="466" t="str">
        <x:f t="shared" si="128"/>
        <x:v>감가상각비</x:v>
      </x:c>
      <x:c r="C887" s="440" t="str">
        <x:f t="shared" si="129"/>
        <x:v>감가상각비</x:v>
      </x:c>
      <x:c r="D887" s="441">
        <x:v>52200120</x:v>
      </x:c>
      <x:c r="E887" s="442" t="str">
        <x:f t="shared" si="130"/>
        <x:v>감가상각비_건물</x:v>
      </x:c>
      <x:c r="F887" s="443"/>
      <x:c r="G887" s="444" t="s">
        <x:v>119</x:v>
      </x:c>
      <x:c r="H887" s="445" t="str">
        <x:f t="shared" si="127"/>
        <x:v>KiB 클러스터</x:v>
      </x:c>
      <x:c r="I887" s="446" t="str">
        <x:f t="shared" si="131"/>
        <x:v>[관리비]</x:v>
      </x:c>
      <x:c r="J887" s="445"/>
      <x:c r="K887" s="453">
        <x:v>6327614.1578912102</x:v>
      </x:c>
      <x:c r="L887" s="454">
        <x:v>6327614.1578912102</x:v>
      </x:c>
      <x:c r="M887" s="454">
        <x:v>6327614.1578912102</x:v>
      </x:c>
      <x:c r="N887" s="454">
        <x:v>6327614.1578912102</x:v>
      </x:c>
      <x:c r="O887" s="454">
        <x:v>6327614.1578912102</x:v>
      </x:c>
      <x:c r="P887" s="454">
        <x:v>6327614.1035890114</x:v>
      </x:c>
      <x:c r="Q887" s="454">
        <x:v>6327614.1578912102</x:v>
      </x:c>
      <x:c r="R887" s="454">
        <x:v>6327614.1578912102</x:v>
      </x:c>
      <x:c r="S887" s="454">
        <x:v>6327614.1578912102</x:v>
      </x:c>
      <x:c r="T887" s="454">
        <x:v>6327614.1578912102</x:v>
      </x:c>
      <x:c r="U887" s="454">
        <x:v>6327614.1578912102</x:v>
      </x:c>
      <x:c r="V887" s="455">
        <x:v>6327614.1035890114</x:v>
      </x:c>
      <x:c r="W887" s="456">
        <x:f t="shared" si="132"/>
        <x:v>75931369.786090136</x:v>
      </x:c>
      <x:c r="X887" s="450">
        <x:f t="shared" si="133"/>
        <x:v>6327614.1488408446</x:v>
      </x:c>
      <x:c r="Y887" s="457"/>
      <x:c r="Z887" s="458"/>
      <x:c r="AA887" s="458"/>
      <x:c r="AB887" s="458"/>
      <x:c r="AC887" s="458"/>
      <x:c r="AD887" s="458"/>
      <x:c r="AE887" s="458"/>
    </x:row>
    <x:row r="888" spans="1:31" ht="20.100000000000001" customHeight="1">
      <x:c r="A888" s="439" t="s">
        <x:v>98</x:v>
      </x:c>
      <x:c r="B888" s="466" t="str">
        <x:f t="shared" si="128"/>
        <x:v>감가상각비</x:v>
      </x:c>
      <x:c r="C888" s="440" t="str">
        <x:f t="shared" si="129"/>
        <x:v>감가상각비</x:v>
      </x:c>
      <x:c r="D888" s="441">
        <x:v>52200120</x:v>
      </x:c>
      <x:c r="E888" s="442" t="str">
        <x:f t="shared" si="130"/>
        <x:v>감가상각비_건물</x:v>
      </x:c>
      <x:c r="F888" s="443"/>
      <x:c r="G888" s="444" t="s">
        <x:v>119</x:v>
      </x:c>
      <x:c r="H888" s="445" t="str">
        <x:f t="shared" ref="H888:H951" si="134">IFERROR(VLOOKUP($G888,$AK:$AL,2,),"")</x:f>
        <x:v>KiB 클러스터</x:v>
      </x:c>
      <x:c r="I888" s="446" t="str">
        <x:f t="shared" si="131"/>
        <x:v>[관리비]</x:v>
      </x:c>
      <x:c r="J888" s="445"/>
      <x:c r="K888" s="453">
        <x:v>204163.45203932843</x:v>
      </x:c>
      <x:c r="L888" s="454">
        <x:v>204163.45203932843</x:v>
      </x:c>
      <x:c r="M888" s="454">
        <x:v>204163.45203932843</x:v>
      </x:c>
      <x:c r="N888" s="454">
        <x:v>204163.50634152719</x:v>
      </x:c>
      <x:c r="O888" s="454">
        <x:v>204163.45203932843</x:v>
      </x:c>
      <x:c r="P888" s="454">
        <x:v>204163.45203932843</x:v>
      </x:c>
      <x:c r="Q888" s="454">
        <x:v>204163.45203932843</x:v>
      </x:c>
      <x:c r="R888" s="454">
        <x:v>204163.50634152719</x:v>
      </x:c>
      <x:c r="S888" s="454">
        <x:v>204163.45203932843</x:v>
      </x:c>
      <x:c r="T888" s="454">
        <x:v>204163.45203932843</x:v>
      </x:c>
      <x:c r="U888" s="454">
        <x:v>204163.45203932843</x:v>
      </x:c>
      <x:c r="V888" s="455">
        <x:v>204163.50634152719</x:v>
      </x:c>
      <x:c r="W888" s="456">
        <x:f t="shared" si="132"/>
        <x:v>2449961.5873785377</x:v>
      </x:c>
      <x:c r="X888" s="450">
        <x:f t="shared" si="133"/>
        <x:v>204163.46561487814</x:v>
      </x:c>
      <x:c r="Y888" s="457"/>
      <x:c r="Z888" s="458"/>
      <x:c r="AA888" s="458"/>
      <x:c r="AB888" s="458"/>
      <x:c r="AC888" s="458"/>
      <x:c r="AD888" s="458"/>
      <x:c r="AE888" s="458"/>
    </x:row>
    <x:row r="889" spans="1:31" ht="20.100000000000001" customHeight="1">
      <x:c r="A889" s="439" t="s">
        <x:v>98</x:v>
      </x:c>
      <x:c r="B889" s="466" t="str">
        <x:f t="shared" si="128"/>
        <x:v>감가상각비</x:v>
      </x:c>
      <x:c r="C889" s="440" t="str">
        <x:f t="shared" si="129"/>
        <x:v>감가상각비</x:v>
      </x:c>
      <x:c r="D889" s="441">
        <x:v>52200120</x:v>
      </x:c>
      <x:c r="E889" s="442" t="str">
        <x:f t="shared" si="130"/>
        <x:v>감가상각비_건물</x:v>
      </x:c>
      <x:c r="F889" s="443"/>
      <x:c r="G889" s="444" t="s">
        <x:v>119</x:v>
      </x:c>
      <x:c r="H889" s="445" t="str">
        <x:f t="shared" si="134"/>
        <x:v>KiB 클러스터</x:v>
      </x:c>
      <x:c r="I889" s="446" t="str">
        <x:f t="shared" si="131"/>
        <x:v>[관리비]</x:v>
      </x:c>
      <x:c r="J889" s="445"/>
      <x:c r="K889" s="453">
        <x:v>120030.17747542239</x:v>
      </x:c>
      <x:c r="L889" s="454">
        <x:v>120030.17747542239</x:v>
      </x:c>
      <x:c r="M889" s="454">
        <x:v>120030.17747542239</x:v>
      </x:c>
      <x:c r="N889" s="454">
        <x:v>120030.17747542239</x:v>
      </x:c>
      <x:c r="O889" s="454">
        <x:v>120030.17747542239</x:v>
      </x:c>
      <x:c r="P889" s="454">
        <x:v>120030.12317322362</x:v>
      </x:c>
      <x:c r="Q889" s="454">
        <x:v>120030.17747542239</x:v>
      </x:c>
      <x:c r="R889" s="454">
        <x:v>120030.17747542239</x:v>
      </x:c>
      <x:c r="S889" s="454">
        <x:v>120030.17747542239</x:v>
      </x:c>
      <x:c r="T889" s="454">
        <x:v>120030.17747542239</x:v>
      </x:c>
      <x:c r="U889" s="454">
        <x:v>120030.17747542239</x:v>
      </x:c>
      <x:c r="V889" s="455">
        <x:v>120030.12317322362</x:v>
      </x:c>
      <x:c r="W889" s="456">
        <x:f t="shared" si="132"/>
        <x:v>1440362.021100671</x:v>
      </x:c>
      <x:c r="X889" s="450">
        <x:f t="shared" si="133"/>
        <x:v>120030.16842505592</x:v>
      </x:c>
      <x:c r="Y889" s="457"/>
      <x:c r="Z889" s="458"/>
      <x:c r="AA889" s="458"/>
      <x:c r="AB889" s="458"/>
      <x:c r="AC889" s="458"/>
      <x:c r="AD889" s="458"/>
      <x:c r="AE889" s="458"/>
    </x:row>
    <x:row r="890" spans="1:31" ht="20.100000000000001" customHeight="1">
      <x:c r="A890" s="439" t="s">
        <x:v>98</x:v>
      </x:c>
      <x:c r="B890" s="466" t="str">
        <x:f t="shared" si="128"/>
        <x:v>감가상각비</x:v>
      </x:c>
      <x:c r="C890" s="440" t="str">
        <x:f t="shared" si="129"/>
        <x:v>감가상각비</x:v>
      </x:c>
      <x:c r="D890" s="441">
        <x:v>52200120</x:v>
      </x:c>
      <x:c r="E890" s="442" t="str">
        <x:f t="shared" si="130"/>
        <x:v>감가상각비_건물</x:v>
      </x:c>
      <x:c r="F890" s="443"/>
      <x:c r="G890" s="444" t="s">
        <x:v>119</x:v>
      </x:c>
      <x:c r="H890" s="445" t="str">
        <x:f t="shared" si="134"/>
        <x:v>KiB 클러스터</x:v>
      </x:c>
      <x:c r="I890" s="446" t="str">
        <x:f t="shared" si="131"/>
        <x:v>[관리비]</x:v>
      </x:c>
      <x:c r="J890" s="445"/>
      <x:c r="K890" s="453">
        <x:v>30771.26406784312</x:v>
      </x:c>
      <x:c r="L890" s="454">
        <x:v>30771.26406784312</x:v>
      </x:c>
      <x:c r="M890" s="454">
        <x:v>30771.209765644355</x:v>
      </x:c>
      <x:c r="N890" s="454">
        <x:v>30771.26406784312</x:v>
      </x:c>
      <x:c r="O890" s="454">
        <x:v>30771.26406784312</x:v>
      </x:c>
      <x:c r="P890" s="454">
        <x:v>30771.209765644355</x:v>
      </x:c>
      <x:c r="Q890" s="454">
        <x:v>30771.26406784312</x:v>
      </x:c>
      <x:c r="R890" s="454">
        <x:v>30771.26406784312</x:v>
      </x:c>
      <x:c r="S890" s="454">
        <x:v>30771.209765644355</x:v>
      </x:c>
      <x:c r="T890" s="454">
        <x:v>30771.26406784312</x:v>
      </x:c>
      <x:c r="U890" s="454">
        <x:v>30771.26406784312</x:v>
      </x:c>
      <x:c r="V890" s="455">
        <x:v>30771.209765644355</x:v>
      </x:c>
      <x:c r="W890" s="456">
        <x:f t="shared" si="132"/>
        <x:v>369254.95160532236</x:v>
      </x:c>
      <x:c r="X890" s="450">
        <x:f t="shared" si="133"/>
        <x:v>30771.245967110197</x:v>
      </x:c>
      <x:c r="Y890" s="457"/>
      <x:c r="Z890" s="458"/>
      <x:c r="AA890" s="458"/>
      <x:c r="AB890" s="458"/>
      <x:c r="AC890" s="458"/>
      <x:c r="AD890" s="458"/>
      <x:c r="AE890" s="458"/>
    </x:row>
    <x:row r="891" spans="1:31" ht="20.100000000000001" customHeight="1">
      <x:c r="A891" s="439" t="s">
        <x:v>98</x:v>
      </x:c>
      <x:c r="B891" s="466" t="str">
        <x:f t="shared" si="128"/>
        <x:v>감가상각비</x:v>
      </x:c>
      <x:c r="C891" s="440" t="str">
        <x:f t="shared" si="129"/>
        <x:v>감가상각비</x:v>
      </x:c>
      <x:c r="D891" s="441">
        <x:v>52200120</x:v>
      </x:c>
      <x:c r="E891" s="442" t="str">
        <x:f t="shared" si="130"/>
        <x:v>감가상각비_건물</x:v>
      </x:c>
      <x:c r="F891" s="443"/>
      <x:c r="G891" s="444" t="s">
        <x:v>119</x:v>
      </x:c>
      <x:c r="H891" s="445" t="str">
        <x:f t="shared" si="134"/>
        <x:v>KiB 클러스터</x:v>
      </x:c>
      <x:c r="I891" s="446" t="str">
        <x:f t="shared" si="131"/>
        <x:v>[관리비]</x:v>
      </x:c>
      <x:c r="J891" s="445"/>
      <x:c r="K891" s="453">
        <x:v>10769.917987755647</x:v>
      </x:c>
      <x:c r="L891" s="454">
        <x:v>10769.917987755647</x:v>
      </x:c>
      <x:c r="M891" s="454">
        <x:v>10769.972289954412</x:v>
      </x:c>
      <x:c r="N891" s="454">
        <x:v>10769.917987755647</x:v>
      </x:c>
      <x:c r="O891" s="454">
        <x:v>10769.917987755647</x:v>
      </x:c>
      <x:c r="P891" s="454">
        <x:v>10769.972289954412</x:v>
      </x:c>
      <x:c r="Q891" s="454">
        <x:v>10769.917987755647</x:v>
      </x:c>
      <x:c r="R891" s="454">
        <x:v>10769.917987755647</x:v>
      </x:c>
      <x:c r="S891" s="454">
        <x:v>10769.972289954412</x:v>
      </x:c>
      <x:c r="T891" s="454">
        <x:v>10769.917987755647</x:v>
      </x:c>
      <x:c r="U891" s="454">
        <x:v>10769.917987755647</x:v>
      </x:c>
      <x:c r="V891" s="455">
        <x:v>10769.972289954412</x:v>
      </x:c>
      <x:c r="W891" s="456">
        <x:f t="shared" si="132"/>
        <x:v>129239.23306186282</x:v>
      </x:c>
      <x:c r="X891" s="450">
        <x:f t="shared" si="133"/>
        <x:v>10769.936088488568</x:v>
      </x:c>
      <x:c r="Y891" s="457"/>
      <x:c r="Z891" s="458"/>
      <x:c r="AA891" s="458"/>
      <x:c r="AB891" s="458"/>
      <x:c r="AC891" s="458"/>
      <x:c r="AD891" s="458"/>
      <x:c r="AE891" s="458"/>
    </x:row>
    <x:row r="892" spans="1:31" ht="20.100000000000001" customHeight="1">
      <x:c r="A892" s="439" t="s">
        <x:v>98</x:v>
      </x:c>
      <x:c r="B892" s="466" t="str">
        <x:f t="shared" si="128"/>
        <x:v>감가상각비</x:v>
      </x:c>
      <x:c r="C892" s="440" t="str">
        <x:f t="shared" si="129"/>
        <x:v>감가상각비</x:v>
      </x:c>
      <x:c r="D892" s="441">
        <x:v>52200120</x:v>
      </x:c>
      <x:c r="E892" s="442" t="str">
        <x:f t="shared" si="130"/>
        <x:v>감가상각비_건물</x:v>
      </x:c>
      <x:c r="F892" s="443"/>
      <x:c r="G892" s="444" t="s">
        <x:v>119</x:v>
      </x:c>
      <x:c r="H892" s="445" t="str">
        <x:f t="shared" si="134"/>
        <x:v>KiB 클러스터</x:v>
      </x:c>
      <x:c r="I892" s="446" t="str">
        <x:f t="shared" si="131"/>
        <x:v>[관리비]</x:v>
      </x:c>
      <x:c r="J892" s="445"/>
      <x:c r="K892" s="453">
        <x:v>52157.261914251787</x:v>
      </x:c>
      <x:c r="L892" s="454">
        <x:v>52157.261914251787</x:v>
      </x:c>
      <x:c r="M892" s="454">
        <x:v>52157.261914251787</x:v>
      </x:c>
      <x:c r="N892" s="454">
        <x:v>52157.261914251787</x:v>
      </x:c>
      <x:c r="O892" s="454">
        <x:v>52157.261914251787</x:v>
      </x:c>
      <x:c r="P892" s="454">
        <x:v>52157.261914251787</x:v>
      </x:c>
      <x:c r="Q892" s="454">
        <x:v>52157.261914251787</x:v>
      </x:c>
      <x:c r="R892" s="454">
        <x:v>52157.261914251787</x:v>
      </x:c>
      <x:c r="S892" s="454">
        <x:v>52157.261914251787</x:v>
      </x:c>
      <x:c r="T892" s="454">
        <x:v>52157.261914251787</x:v>
      </x:c>
      <x:c r="U892" s="454">
        <x:v>52157.261914251787</x:v>
      </x:c>
      <x:c r="V892" s="455">
        <x:v>52157.261914251787</x:v>
      </x:c>
      <x:c r="W892" s="456">
        <x:f t="shared" si="132"/>
        <x:v>625887.14297102147</x:v>
      </x:c>
      <x:c r="X892" s="450">
        <x:f t="shared" si="133"/>
        <x:v>52157.261914251787</x:v>
      </x:c>
      <x:c r="Y892" s="457"/>
      <x:c r="Z892" s="458"/>
      <x:c r="AA892" s="458"/>
      <x:c r="AB892" s="458"/>
      <x:c r="AC892" s="458"/>
      <x:c r="AD892" s="458"/>
      <x:c r="AE892" s="458"/>
    </x:row>
    <x:row r="893" spans="1:31" ht="20.100000000000001" customHeight="1">
      <x:c r="A893" s="439" t="s">
        <x:v>98</x:v>
      </x:c>
      <x:c r="B893" s="466" t="str">
        <x:f t="shared" si="128"/>
        <x:v>감가상각비</x:v>
      </x:c>
      <x:c r="C893" s="440" t="str">
        <x:f t="shared" si="129"/>
        <x:v>감가상각비</x:v>
      </x:c>
      <x:c r="D893" s="441">
        <x:v>52200130</x:v>
      </x:c>
      <x:c r="E893" s="442" t="str">
        <x:f t="shared" si="130"/>
        <x:v>감가상각비_구축물</x:v>
      </x:c>
      <x:c r="F893" s="443"/>
      <x:c r="G893" s="444" t="s">
        <x:v>119</x:v>
      </x:c>
      <x:c r="H893" s="445" t="str">
        <x:f t="shared" si="134"/>
        <x:v>KiB 클러스터</x:v>
      </x:c>
      <x:c r="I893" s="446" t="str">
        <x:f t="shared" si="131"/>
        <x:v>[관리비]</x:v>
      </x:c>
      <x:c r="J893" s="445"/>
      <x:c r="K893" s="453">
        <x:v>45251.814203840899</x:v>
      </x:c>
      <x:c r="L893" s="454">
        <x:v>45251.814203840899</x:v>
      </x:c>
      <x:c r="M893" s="454">
        <x:v>45251.868506039667</x:v>
      </x:c>
      <x:c r="N893" s="454">
        <x:v>45251.814203840899</x:v>
      </x:c>
      <x:c r="O893" s="454">
        <x:v>45251.814203840899</x:v>
      </x:c>
      <x:c r="P893" s="454">
        <x:v>45251.868506039667</x:v>
      </x:c>
      <x:c r="Q893" s="454">
        <x:v>45251.814203840899</x:v>
      </x:c>
      <x:c r="R893" s="454">
        <x:v>45251.814203840899</x:v>
      </x:c>
      <x:c r="S893" s="454">
        <x:v>45251.868506039667</x:v>
      </x:c>
      <x:c r="T893" s="454">
        <x:v>45251.814203840899</x:v>
      </x:c>
      <x:c r="U893" s="454">
        <x:v>45251.814203840899</x:v>
      </x:c>
      <x:c r="V893" s="455">
        <x:v>45251.868506039667</x:v>
      </x:c>
      <x:c r="W893" s="456">
        <x:f t="shared" si="132"/>
        <x:v>543021.98765488598</x:v>
      </x:c>
      <x:c r="X893" s="450">
        <x:f t="shared" si="133"/>
        <x:v>45251.832304573829</x:v>
      </x:c>
      <x:c r="Y893" s="457"/>
      <x:c r="Z893" s="458"/>
      <x:c r="AA893" s="458"/>
      <x:c r="AB893" s="458"/>
      <x:c r="AC893" s="458"/>
      <x:c r="AD893" s="458"/>
      <x:c r="AE893" s="458"/>
    </x:row>
    <x:row r="894" spans="1:31" ht="20.100000000000001" customHeight="1">
      <x:c r="A894" s="439" t="s">
        <x:v>98</x:v>
      </x:c>
      <x:c r="B894" s="466" t="str">
        <x:f t="shared" si="128"/>
        <x:v>감가상각비</x:v>
      </x:c>
      <x:c r="C894" s="440" t="str">
        <x:f t="shared" si="129"/>
        <x:v>감가상각비</x:v>
      </x:c>
      <x:c r="D894" s="441">
        <x:v>52200130</x:v>
      </x:c>
      <x:c r="E894" s="442" t="str">
        <x:f t="shared" si="130"/>
        <x:v>감가상각비_구축물</x:v>
      </x:c>
      <x:c r="F894" s="443"/>
      <x:c r="G894" s="444" t="s">
        <x:v>119</x:v>
      </x:c>
      <x:c r="H894" s="445" t="str">
        <x:f t="shared" si="134"/>
        <x:v>KiB 클러스터</x:v>
      </x:c>
      <x:c r="I894" s="446" t="str">
        <x:f t="shared" si="131"/>
        <x:v>[관리비]</x:v>
      </x:c>
      <x:c r="J894" s="445"/>
      <x:c r="K894" s="453">
        <x:v>70140.358172822351</x:v>
      </x:c>
      <x:c r="L894" s="454">
        <x:v>70140.358172822351</x:v>
      </x:c>
      <x:c r="M894" s="454">
        <x:v>70140.303870623582</x:v>
      </x:c>
      <x:c r="N894" s="454">
        <x:v>70140.358172822351</x:v>
      </x:c>
      <x:c r="O894" s="454">
        <x:v>70140.358172822351</x:v>
      </x:c>
      <x:c r="P894" s="454">
        <x:v>70140.303870623582</x:v>
      </x:c>
      <x:c r="Q894" s="454">
        <x:v>70140.358172822351</x:v>
      </x:c>
      <x:c r="R894" s="454">
        <x:v>70140.358172822351</x:v>
      </x:c>
      <x:c r="S894" s="454">
        <x:v>70140.303870623582</x:v>
      </x:c>
      <x:c r="T894" s="454">
        <x:v>70140.358172822351</x:v>
      </x:c>
      <x:c r="U894" s="454">
        <x:v>70140.358172822351</x:v>
      </x:c>
      <x:c r="V894" s="455">
        <x:v>70140.303870623582</x:v>
      </x:c>
      <x:c r="W894" s="456">
        <x:f t="shared" si="132"/>
        <x:v>841684.08086507325</x:v>
      </x:c>
      <x:c r="X894" s="450">
        <x:f t="shared" si="133"/>
        <x:v>70140.340072089442</x:v>
      </x:c>
      <x:c r="Y894" s="457"/>
      <x:c r="Z894" s="458"/>
      <x:c r="AA894" s="458"/>
      <x:c r="AB894" s="458"/>
      <x:c r="AC894" s="458"/>
      <x:c r="AD894" s="458"/>
      <x:c r="AE894" s="458"/>
    </x:row>
    <x:row r="895" spans="1:31" ht="20.100000000000001" customHeight="1">
      <x:c r="A895" s="439" t="s">
        <x:v>98</x:v>
      </x:c>
      <x:c r="B895" s="466" t="str">
        <x:f t="shared" si="128"/>
        <x:v>감가상각비</x:v>
      </x:c>
      <x:c r="C895" s="440" t="str">
        <x:f t="shared" si="129"/>
        <x:v>감가상각비</x:v>
      </x:c>
      <x:c r="D895" s="441">
        <x:v>52200130</x:v>
      </x:c>
      <x:c r="E895" s="442" t="str">
        <x:f t="shared" si="130"/>
        <x:v>감가상각비_구축물</x:v>
      </x:c>
      <x:c r="F895" s="443"/>
      <x:c r="G895" s="444" t="s">
        <x:v>119</x:v>
      </x:c>
      <x:c r="H895" s="445" t="str">
        <x:f t="shared" si="134"/>
        <x:v>KiB 클러스터</x:v>
      </x:c>
      <x:c r="I895" s="446" t="str">
        <x:f t="shared" si="131"/>
        <x:v>[관리비]</x:v>
      </x:c>
      <x:c r="J895" s="445"/>
      <x:c r="K895" s="453">
        <x:v>40726.649074116438</x:v>
      </x:c>
      <x:c r="L895" s="454">
        <x:v>40726.649074116438</x:v>
      </x:c>
      <x:c r="M895" s="454">
        <x:v>40726.649074116438</x:v>
      </x:c>
      <x:c r="N895" s="454">
        <x:v>40726.649074116438</x:v>
      </x:c>
      <x:c r="O895" s="454">
        <x:v>40726.649074116438</x:v>
      </x:c>
      <x:c r="P895" s="454">
        <x:v>40726.649074116438</x:v>
      </x:c>
      <x:c r="Q895" s="454">
        <x:v>40726.649074116438</x:v>
      </x:c>
      <x:c r="R895" s="454">
        <x:v>40726.649074116438</x:v>
      </x:c>
      <x:c r="S895" s="454">
        <x:v>40726.649074116438</x:v>
      </x:c>
      <x:c r="T895" s="454">
        <x:v>40726.649074116438</x:v>
      </x:c>
      <x:c r="U895" s="454">
        <x:v>40726.649074116438</x:v>
      </x:c>
      <x:c r="V895" s="455">
        <x:v>40726.649074116438</x:v>
      </x:c>
      <x:c r="W895" s="456">
        <x:f t="shared" si="132"/>
        <x:v>488719.78888939723</x:v>
      </x:c>
      <x:c r="X895" s="450">
        <x:f t="shared" si="133"/>
        <x:v>40726.649074116438</x:v>
      </x:c>
      <x:c r="Y895" s="457"/>
      <x:c r="Z895" s="458"/>
      <x:c r="AA895" s="458"/>
      <x:c r="AB895" s="458"/>
      <x:c r="AC895" s="458"/>
      <x:c r="AD895" s="458"/>
      <x:c r="AE895" s="458"/>
    </x:row>
    <x:row r="896" spans="1:31" ht="20.100000000000001" customHeight="1">
      <x:c r="A896" s="439" t="s">
        <x:v>98</x:v>
      </x:c>
      <x:c r="B896" s="466" t="str">
        <x:f t="shared" si="128"/>
        <x:v>감가상각비</x:v>
      </x:c>
      <x:c r="C896" s="440" t="str">
        <x:f t="shared" si="129"/>
        <x:v>감가상각비</x:v>
      </x:c>
      <x:c r="D896" s="441">
        <x:v>52200130</x:v>
      </x:c>
      <x:c r="E896" s="442" t="str">
        <x:f t="shared" si="130"/>
        <x:v>감가상각비_구축물</x:v>
      </x:c>
      <x:c r="F896" s="443"/>
      <x:c r="G896" s="444" t="s">
        <x:v>119</x:v>
      </x:c>
      <x:c r="H896" s="445" t="str">
        <x:f t="shared" si="134"/>
        <x:v>KiB 클러스터</x:v>
      </x:c>
      <x:c r="I896" s="446" t="str">
        <x:f t="shared" si="131"/>
        <x:v>[관리비]</x:v>
      </x:c>
      <x:c r="J896" s="445"/>
      <x:c r="K896" s="453">
        <x:v>5656.4971388046497</x:v>
      </x:c>
      <x:c r="L896" s="454">
        <x:v>5656.4971388046497</x:v>
      </x:c>
      <x:c r="M896" s="454">
        <x:v>5656.4428366058837</x:v>
      </x:c>
      <x:c r="N896" s="454">
        <x:v>5656.4971388046497</x:v>
      </x:c>
      <x:c r="O896" s="454">
        <x:v>5656.4971388046497</x:v>
      </x:c>
      <x:c r="P896" s="454">
        <x:v>5656.4428366058837</x:v>
      </x:c>
      <x:c r="Q896" s="454">
        <x:v>5656.4971388046497</x:v>
      </x:c>
      <x:c r="R896" s="454">
        <x:v>5656.4971388046497</x:v>
      </x:c>
      <x:c r="S896" s="454">
        <x:v>5656.4428366058837</x:v>
      </x:c>
      <x:c r="T896" s="454">
        <x:v>5656.4971388046497</x:v>
      </x:c>
      <x:c r="U896" s="454">
        <x:v>5656.4971388046497</x:v>
      </x:c>
      <x:c r="V896" s="455">
        <x:v>5656.4428366058837</x:v>
      </x:c>
      <x:c r="W896" s="456">
        <x:f t="shared" si="132"/>
        <x:v>67877.748456860718</x:v>
      </x:c>
      <x:c r="X896" s="450">
        <x:f t="shared" si="133"/>
        <x:v>5656.4790380717268</x:v>
      </x:c>
      <x:c r="Y896" s="457"/>
      <x:c r="Z896" s="458"/>
      <x:c r="AA896" s="458"/>
      <x:c r="AB896" s="458"/>
      <x:c r="AC896" s="458"/>
      <x:c r="AD896" s="458"/>
      <x:c r="AE896" s="458"/>
    </x:row>
    <x:row r="897" spans="1:31" ht="20.100000000000001" customHeight="1">
      <x:c r="A897" s="439" t="s">
        <x:v>98</x:v>
      </x:c>
      <x:c r="B897" s="466" t="str">
        <x:f t="shared" si="128"/>
        <x:v>감가상각비</x:v>
      </x:c>
      <x:c r="C897" s="440" t="str">
        <x:f t="shared" si="129"/>
        <x:v>감가상각비</x:v>
      </x:c>
      <x:c r="D897" s="441">
        <x:v>52200170</x:v>
      </x:c>
      <x:c r="E897" s="442" t="str">
        <x:f t="shared" si="130"/>
        <x:v>감가상각비_비품</x:v>
      </x:c>
      <x:c r="F897" s="443"/>
      <x:c r="G897" s="444" t="s">
        <x:v>119</x:v>
      </x:c>
      <x:c r="H897" s="445" t="str">
        <x:f t="shared" si="134"/>
        <x:v>KiB 클러스터</x:v>
      </x:c>
      <x:c r="I897" s="446" t="str">
        <x:f t="shared" si="131"/>
        <x:v>[관리비]</x:v>
      </x:c>
      <x:c r="J897" s="445"/>
      <x:c r="K897" s="453">
        <x:v>2709.7340205966457</x:v>
      </x:c>
      <x:c r="L897" s="454">
        <x:v>2709.8426249941767</x:v>
      </x:c>
      <x:c r="M897" s="454">
        <x:v>2709.8426249941767</x:v>
      </x:c>
      <x:c r="N897" s="454">
        <x:v>2709.8426249941767</x:v>
      </x:c>
      <x:c r="O897" s="454">
        <x:v>2709.8426249941767</x:v>
      </x:c>
      <x:c r="P897" s="454">
        <x:v>2709.8426249941767</x:v>
      </x:c>
      <x:c r="Q897" s="454">
        <x:v>2709.8426249941767</x:v>
      </x:c>
      <x:c r="R897" s="454">
        <x:v>2709.8426249941767</x:v>
      </x:c>
      <x:c r="S897" s="454">
        <x:v>2709.8426249941767</x:v>
      </x:c>
      <x:c r="T897" s="454">
        <x:v>2709.8426249941767</x:v>
      </x:c>
      <x:c r="U897" s="454">
        <x:v>2709.8426249941767</x:v>
      </x:c>
      <x:c r="V897" s="455">
        <x:v>2709.8426249941767</x:v>
      </x:c>
      <x:c r="W897" s="456">
        <x:f t="shared" si="132"/>
        <x:v>32518.002895532591</x:v>
      </x:c>
      <x:c r="X897" s="450">
        <x:f t="shared" si="133"/>
        <x:v>2709.8335746277157</x:v>
      </x:c>
      <x:c r="Y897" s="457"/>
      <x:c r="Z897" s="458"/>
      <x:c r="AA897" s="458"/>
      <x:c r="AB897" s="458"/>
      <x:c r="AC897" s="458"/>
      <x:c r="AD897" s="458"/>
      <x:c r="AE897" s="458"/>
    </x:row>
    <x:row r="898" spans="1:31" ht="20.100000000000001" customHeight="1">
      <x:c r="A898" s="439" t="s">
        <x:v>98</x:v>
      </x:c>
      <x:c r="B898" s="466" t="str">
        <x:f t="shared" si="128"/>
        <x:v>감가상각비</x:v>
      </x:c>
      <x:c r="C898" s="440" t="str">
        <x:f t="shared" si="129"/>
        <x:v>감가상각비</x:v>
      </x:c>
      <x:c r="D898" s="441">
        <x:v>52200170</x:v>
      </x:c>
      <x:c r="E898" s="442" t="str">
        <x:f t="shared" si="130"/>
        <x:v>감가상각비_비품</x:v>
      </x:c>
      <x:c r="F898" s="443"/>
      <x:c r="G898" s="444" t="s">
        <x:v>119</x:v>
      </x:c>
      <x:c r="H898" s="445" t="str">
        <x:f t="shared" si="134"/>
        <x:v>KiB 클러스터</x:v>
      </x:c>
      <x:c r="I898" s="446" t="str">
        <x:f t="shared" si="131"/>
        <x:v>[관리비]</x:v>
      </x:c>
      <x:c r="J898" s="445"/>
      <x:c r="K898" s="453">
        <x:v>3034.6783780093297</x:v>
      </x:c>
      <x:c r="L898" s="454">
        <x:v>3035.0041912019224</x:v>
      </x:c>
      <x:c r="M898" s="454">
        <x:v>3035.0041912019224</x:v>
      </x:c>
      <x:c r="N898" s="454">
        <x:v>3035.0041912019224</x:v>
      </x:c>
      <x:c r="O898" s="454">
        <x:v>3035.0041912019224</x:v>
      </x:c>
      <x:c r="P898" s="454">
        <x:v>3035.0041912019224</x:v>
      </x:c>
      <x:c r="Q898" s="454">
        <x:v>3035.0041912019224</x:v>
      </x:c>
      <x:c r="R898" s="454">
        <x:v>3035.0041912019224</x:v>
      </x:c>
      <x:c r="S898" s="454">
        <x:v>3035.0041912019224</x:v>
      </x:c>
      <x:c r="T898" s="454">
        <x:v>3035.0041912019224</x:v>
      </x:c>
      <x:c r="U898" s="454">
        <x:v>3035.0041912019224</x:v>
      </x:c>
      <x:c r="V898" s="455">
        <x:v>3035.0041912019224</x:v>
      </x:c>
      <x:c r="W898" s="456">
        <x:f t="shared" si="132"/>
        <x:v>36419.724481230478</x:v>
      </x:c>
      <x:c r="X898" s="450">
        <x:f t="shared" si="133"/>
        <x:v>3034.9770401025398</x:v>
      </x:c>
      <x:c r="Y898" s="457"/>
      <x:c r="Z898" s="458"/>
      <x:c r="AA898" s="458"/>
      <x:c r="AB898" s="458"/>
      <x:c r="AC898" s="458"/>
      <x:c r="AD898" s="458"/>
      <x:c r="AE898" s="458"/>
    </x:row>
    <x:row r="899" spans="1:31" ht="20.100000000000001" customHeight="1">
      <x:c r="A899" s="439" t="s">
        <x:v>98</x:v>
      </x:c>
      <x:c r="B899" s="466" t="str">
        <x:f t="shared" ref="B899:B962" si="135">IFERROR(VLOOKUP($C899,$AH:$AI,2,),"")</x:f>
        <x:v>감가상각비</x:v>
      </x:c>
      <x:c r="C899" s="440" t="str">
        <x:f t="shared" ref="C899:C962" si="136">IFERROR(VLOOKUP($D899,$AO:$AQ,3,),"")</x:f>
        <x:v>감가상각비</x:v>
      </x:c>
      <x:c r="D899" s="441">
        <x:v>52200170</x:v>
      </x:c>
      <x:c r="E899" s="442" t="str">
        <x:f t="shared" ref="E899:E962" si="137">IFERROR(VLOOKUP($D899,$AO:$AQ,2,),"")</x:f>
        <x:v>감가상각비_비품</x:v>
      </x:c>
      <x:c r="F899" s="443"/>
      <x:c r="G899" s="444" t="s">
        <x:v>119</x:v>
      </x:c>
      <x:c r="H899" s="445" t="str">
        <x:f t="shared" si="134"/>
        <x:v>KiB 클러스터</x:v>
      </x:c>
      <x:c r="I899" s="446" t="str">
        <x:f t="shared" ref="I899:I962" si="138">IFERROR(VLOOKUP($G899,$AK:$AM,3,),"")</x:f>
        <x:v>[관리비]</x:v>
      </x:c>
      <x:c r="J899" s="445"/>
      <x:c r="K899" s="453">
        <x:v>227.25470183356973</x:v>
      </x:c>
      <x:c r="L899" s="454">
        <x:v>227.03749303850776</x:v>
      </x:c>
      <x:c r="M899" s="454">
        <x:v>227.03749303850776</x:v>
      </x:c>
      <x:c r="N899" s="454">
        <x:v>227.03749303850776</x:v>
      </x:c>
      <x:c r="O899" s="454">
        <x:v>227.03749303850776</x:v>
      </x:c>
      <x:c r="P899" s="454">
        <x:v>227.03749303850776</x:v>
      </x:c>
      <x:c r="Q899" s="454">
        <x:v>227.03749303850776</x:v>
      </x:c>
      <x:c r="R899" s="454">
        <x:v>227.03749303850776</x:v>
      </x:c>
      <x:c r="S899" s="454">
        <x:v>227.03749303850776</x:v>
      </x:c>
      <x:c r="T899" s="454">
        <x:v>227.03749303850776</x:v>
      </x:c>
      <x:c r="U899" s="454">
        <x:v>227.03749303850776</x:v>
      </x:c>
      <x:c r="V899" s="455">
        <x:v>227.03749303850776</x:v>
      </x:c>
      <x:c r="W899" s="456">
        <x:f t="shared" si="132"/>
        <x:v>2724.6671252571555</x:v>
      </x:c>
      <x:c r="X899" s="450">
        <x:f t="shared" si="133"/>
        <x:v>227.05559377142961</x:v>
      </x:c>
      <x:c r="Y899" s="457"/>
      <x:c r="Z899" s="458"/>
      <x:c r="AA899" s="458"/>
      <x:c r="AB899" s="458"/>
      <x:c r="AC899" s="458"/>
      <x:c r="AD899" s="458"/>
      <x:c r="AE899" s="458"/>
    </x:row>
    <x:row r="900" spans="1:31" ht="20.100000000000001" customHeight="1">
      <x:c r="A900" s="439" t="s">
        <x:v>98</x:v>
      </x:c>
      <x:c r="B900" s="466" t="str">
        <x:f t="shared" si="135"/>
        <x:v>감가상각비</x:v>
      </x:c>
      <x:c r="C900" s="440" t="str">
        <x:f t="shared" si="136"/>
        <x:v>감가상각비</x:v>
      </x:c>
      <x:c r="D900" s="441">
        <x:v>52200170</x:v>
      </x:c>
      <x:c r="E900" s="442" t="str">
        <x:f t="shared" si="137"/>
        <x:v>감가상각비_비품</x:v>
      </x:c>
      <x:c r="F900" s="443"/>
      <x:c r="G900" s="444" t="s">
        <x:v>119</x:v>
      </x:c>
      <x:c r="H900" s="445" t="str">
        <x:f t="shared" si="134"/>
        <x:v>KiB 클러스터</x:v>
      </x:c>
      <x:c r="I900" s="446" t="str">
        <x:f t="shared" si="138"/>
        <x:v>[관리비]</x:v>
      </x:c>
      <x:c r="J900" s="445"/>
      <x:c r="K900" s="453">
        <x:v>8205.4423488566845</x:v>
      </x:c>
      <x:c r="L900" s="454">
        <x:v>8205.4423488566845</x:v>
      </x:c>
      <x:c r="M900" s="454">
        <x:v>8205.4423488566845</x:v>
      </x:c>
      <x:c r="N900" s="454">
        <x:v>8205.4423488566845</x:v>
      </x:c>
      <x:c r="O900" s="454">
        <x:v>8205.4423488566845</x:v>
      </x:c>
      <x:c r="P900" s="454">
        <x:v>8205.4423488566845</x:v>
      </x:c>
      <x:c r="Q900" s="454">
        <x:v>8205.4423488566845</x:v>
      </x:c>
      <x:c r="R900" s="454">
        <x:v>8205.4966510554495</x:v>
      </x:c>
      <x:c r="S900" s="454">
        <x:v>0</x:v>
      </x:c>
      <x:c r="T900" s="454">
        <x:v>0</x:v>
      </x:c>
      <x:c r="U900" s="454">
        <x:v>0</x:v>
      </x:c>
      <x:c r="V900" s="455">
        <x:v>0</x:v>
      </x:c>
      <x:c r="W900" s="456">
        <x:f t="shared" si="132"/>
        <x:v>65643.59309305223</x:v>
      </x:c>
      <x:c r="X900" s="450">
        <x:f t="shared" si="133"/>
        <x:v>5470.2994244210195</x:v>
      </x:c>
      <x:c r="Y900" s="457"/>
      <x:c r="Z900" s="458"/>
      <x:c r="AA900" s="458"/>
      <x:c r="AB900" s="458"/>
      <x:c r="AC900" s="458"/>
      <x:c r="AD900" s="458"/>
      <x:c r="AE900" s="458"/>
    </x:row>
    <x:row r="901" spans="1:31" ht="20.100000000000001" customHeight="1">
      <x:c r="A901" s="439" t="s">
        <x:v>98</x:v>
      </x:c>
      <x:c r="B901" s="466" t="str">
        <x:f t="shared" si="135"/>
        <x:v>감가상각비</x:v>
      </x:c>
      <x:c r="C901" s="440" t="str">
        <x:f t="shared" si="136"/>
        <x:v>감가상각비</x:v>
      </x:c>
      <x:c r="D901" s="441">
        <x:v>52200170</x:v>
      </x:c>
      <x:c r="E901" s="442" t="str">
        <x:f t="shared" si="137"/>
        <x:v>감가상각비_비품</x:v>
      </x:c>
      <x:c r="F901" s="443"/>
      <x:c r="G901" s="444" t="s">
        <x:v>119</x:v>
      </x:c>
      <x:c r="H901" s="445" t="str">
        <x:f t="shared" si="134"/>
        <x:v>KiB 클러스터</x:v>
      </x:c>
      <x:c r="I901" s="446" t="str">
        <x:f t="shared" si="138"/>
        <x:v>[관리비]</x:v>
      </x:c>
      <x:c r="J901" s="445"/>
      <x:c r="K901" s="453">
        <x:v>9307.0710552121509</x:v>
      </x:c>
      <x:c r="L901" s="454">
        <x:v>9307.0710552121509</x:v>
      </x:c>
      <x:c r="M901" s="454">
        <x:v>9307.0710552121509</x:v>
      </x:c>
      <x:c r="N901" s="454">
        <x:v>9307.0710552121509</x:v>
      </x:c>
      <x:c r="O901" s="454">
        <x:v>9307.0710552121509</x:v>
      </x:c>
      <x:c r="P901" s="454">
        <x:v>9307.0710552121509</x:v>
      </x:c>
      <x:c r="Q901" s="454">
        <x:v>9307.0710552121509</x:v>
      </x:c>
      <x:c r="R901" s="454">
        <x:v>9307.179659609681</x:v>
      </x:c>
      <x:c r="S901" s="454">
        <x:v>0</x:v>
      </x:c>
      <x:c r="T901" s="454">
        <x:v>0</x:v>
      </x:c>
      <x:c r="U901" s="454">
        <x:v>0</x:v>
      </x:c>
      <x:c r="V901" s="455">
        <x:v>0</x:v>
      </x:c>
      <x:c r="W901" s="456">
        <x:f t="shared" si="132"/>
        <x:v>74456.677046094745</x:v>
      </x:c>
      <x:c r="X901" s="450">
        <x:f t="shared" si="133"/>
        <x:v>6204.7230871745624</x:v>
      </x:c>
      <x:c r="Y901" s="457"/>
      <x:c r="Z901" s="458"/>
      <x:c r="AA901" s="458"/>
      <x:c r="AB901" s="458"/>
      <x:c r="AC901" s="458"/>
      <x:c r="AD901" s="458"/>
      <x:c r="AE901" s="458"/>
    </x:row>
    <x:row r="902" spans="1:31" ht="20.100000000000001" customHeight="1">
      <x:c r="A902" s="439" t="s">
        <x:v>98</x:v>
      </x:c>
      <x:c r="B902" s="466" t="str">
        <x:f t="shared" si="135"/>
        <x:v>감가상각비</x:v>
      </x:c>
      <x:c r="C902" s="440" t="str">
        <x:f t="shared" si="136"/>
        <x:v>감가상각비</x:v>
      </x:c>
      <x:c r="D902" s="441">
        <x:v>52200170</x:v>
      </x:c>
      <x:c r="E902" s="442" t="str">
        <x:f t="shared" si="137"/>
        <x:v>감가상각비_비품</x:v>
      </x:c>
      <x:c r="F902" s="443"/>
      <x:c r="G902" s="444" t="s">
        <x:v>119</x:v>
      </x:c>
      <x:c r="H902" s="445" t="str">
        <x:f t="shared" si="134"/>
        <x:v>KiB 클러스터</x:v>
      </x:c>
      <x:c r="I902" s="446" t="str">
        <x:f t="shared" si="138"/>
        <x:v>[관리비]</x:v>
      </x:c>
      <x:c r="J902" s="445"/>
      <x:c r="K902" s="453">
        <x:v>3240.0492937404074</x:v>
      </x:c>
      <x:c r="L902" s="454">
        <x:v>3240.3751069330006</x:v>
      </x:c>
      <x:c r="M902" s="454">
        <x:v>3240.3751069330006</x:v>
      </x:c>
      <x:c r="N902" s="454">
        <x:v>3240.3751069330006</x:v>
      </x:c>
      <x:c r="O902" s="454">
        <x:v>3240.3751069330006</x:v>
      </x:c>
      <x:c r="P902" s="454">
        <x:v>3240.3751069330006</x:v>
      </x:c>
      <x:c r="Q902" s="454">
        <x:v>3240.3751069330006</x:v>
      </x:c>
      <x:c r="R902" s="454">
        <x:v>3240.3751069330006</x:v>
      </x:c>
      <x:c r="S902" s="454">
        <x:v>3240.3751069330006</x:v>
      </x:c>
      <x:c r="T902" s="454">
        <x:v>3240.3751069330006</x:v>
      </x:c>
      <x:c r="U902" s="454">
        <x:v>3240.3751069330006</x:v>
      </x:c>
      <x:c r="V902" s="455">
        <x:v>3240.3751069330006</x:v>
      </x:c>
      <x:c r="W902" s="456">
        <x:f t="shared" si="132"/>
        <x:v>38884.175470003414</x:v>
      </x:c>
      <x:c r="X902" s="450">
        <x:f t="shared" si="133"/>
        <x:v>3240.347955833618</x:v>
      </x:c>
      <x:c r="Y902" s="457"/>
      <x:c r="Z902" s="458"/>
      <x:c r="AA902" s="458"/>
      <x:c r="AB902" s="458"/>
      <x:c r="AC902" s="458"/>
      <x:c r="AD902" s="458"/>
      <x:c r="AE902" s="458"/>
    </x:row>
    <x:row r="903" spans="1:31" ht="20.100000000000001" customHeight="1">
      <x:c r="A903" s="439" t="s">
        <x:v>98</x:v>
      </x:c>
      <x:c r="B903" s="466" t="str">
        <x:f t="shared" si="135"/>
        <x:v>감가상각비</x:v>
      </x:c>
      <x:c r="C903" s="440" t="str">
        <x:f t="shared" si="136"/>
        <x:v>감가상각비</x:v>
      </x:c>
      <x:c r="D903" s="441">
        <x:v>52200170</x:v>
      </x:c>
      <x:c r="E903" s="442" t="str">
        <x:f t="shared" si="137"/>
        <x:v>감가상각비_비품</x:v>
      </x:c>
      <x:c r="F903" s="443"/>
      <x:c r="G903" s="444" t="s">
        <x:v>119</x:v>
      </x:c>
      <x:c r="H903" s="445" t="str">
        <x:f t="shared" si="134"/>
        <x:v>KiB 클러스터</x:v>
      </x:c>
      <x:c r="I903" s="446" t="str">
        <x:f t="shared" si="138"/>
        <x:v>[관리비]</x:v>
      </x:c>
      <x:c r="J903" s="445"/>
      <x:c r="K903" s="453">
        <x:v>1700.3104477449785</x:v>
      </x:c>
      <x:c r="L903" s="454">
        <x:v>1700.0389367511511</x:v>
      </x:c>
      <x:c r="M903" s="454">
        <x:v>1700.0389367511511</x:v>
      </x:c>
      <x:c r="N903" s="454">
        <x:v>1700.0389367511511</x:v>
      </x:c>
      <x:c r="O903" s="454">
        <x:v>1700.0389367511511</x:v>
      </x:c>
      <x:c r="P903" s="454">
        <x:v>1700.0389367511511</x:v>
      </x:c>
      <x:c r="Q903" s="454">
        <x:v>1700.0389367511511</x:v>
      </x:c>
      <x:c r="R903" s="454">
        <x:v>1700.0389367511511</x:v>
      </x:c>
      <x:c r="S903" s="454">
        <x:v>1700.0389367511511</x:v>
      </x:c>
      <x:c r="T903" s="454">
        <x:v>1700.0389367511511</x:v>
      </x:c>
      <x:c r="U903" s="454">
        <x:v>1700.0389367511511</x:v>
      </x:c>
      <x:c r="V903" s="455">
        <x:v>1700.0389367511511</x:v>
      </x:c>
      <x:c r="W903" s="456">
        <x:f t="shared" si="132"/>
        <x:v>20400.738752007641</x:v>
      </x:c>
      <x:c r="X903" s="450">
        <x:f t="shared" si="133"/>
        <x:v>1700.0615626673034</x:v>
      </x:c>
      <x:c r="Y903" s="457"/>
      <x:c r="Z903" s="458"/>
      <x:c r="AA903" s="458"/>
      <x:c r="AB903" s="458"/>
      <x:c r="AC903" s="458"/>
      <x:c r="AD903" s="458"/>
      <x:c r="AE903" s="458"/>
    </x:row>
    <x:row r="904" spans="1:31" ht="20.100000000000001" customHeight="1">
      <x:c r="A904" s="439" t="s">
        <x:v>98</x:v>
      </x:c>
      <x:c r="B904" s="466" t="str">
        <x:f t="shared" si="135"/>
        <x:v>감가상각비</x:v>
      </x:c>
      <x:c r="C904" s="440" t="str">
        <x:f t="shared" si="136"/>
        <x:v>감가상각비</x:v>
      </x:c>
      <x:c r="D904" s="441">
        <x:v>52200170</x:v>
      </x:c>
      <x:c r="E904" s="442" t="str">
        <x:f t="shared" si="137"/>
        <x:v>감가상각비_비품</x:v>
      </x:c>
      <x:c r="F904" s="443"/>
      <x:c r="G904" s="444" t="s">
        <x:v>119</x:v>
      </x:c>
      <x:c r="H904" s="445" t="str">
        <x:f t="shared" si="134"/>
        <x:v>KiB 클러스터</x:v>
      </x:c>
      <x:c r="I904" s="446" t="str">
        <x:f t="shared" si="138"/>
        <x:v>[관리비]</x:v>
      </x:c>
      <x:c r="J904" s="445"/>
      <x:c r="K904" s="453">
        <x:v>1343.925117247077</x:v>
      </x:c>
      <x:c r="L904" s="454">
        <x:v>1343.7622106507806</x:v>
      </x:c>
      <x:c r="M904" s="454">
        <x:v>1343.7622106507806</x:v>
      </x:c>
      <x:c r="N904" s="454">
        <x:v>1343.7622106507806</x:v>
      </x:c>
      <x:c r="O904" s="454">
        <x:v>1343.7622106507806</x:v>
      </x:c>
      <x:c r="P904" s="454">
        <x:v>1343.7622106507806</x:v>
      </x:c>
      <x:c r="Q904" s="454">
        <x:v>1343.7622106507806</x:v>
      </x:c>
      <x:c r="R904" s="454">
        <x:v>1343.7622106507806</x:v>
      </x:c>
      <x:c r="S904" s="454">
        <x:v>1343.7622106507806</x:v>
      </x:c>
      <x:c r="T904" s="454">
        <x:v>1343.7622106507806</x:v>
      </x:c>
      <x:c r="U904" s="454">
        <x:v>1343.7622106507806</x:v>
      </x:c>
      <x:c r="V904" s="455">
        <x:v>1343.7622106507806</x:v>
      </x:c>
      <x:c r="W904" s="456">
        <x:f t="shared" si="132"/>
        <x:v>16125.309434405663</x:v>
      </x:c>
      <x:c r="X904" s="450">
        <x:f t="shared" si="133"/>
        <x:v>1343.7757862004719</x:v>
      </x:c>
      <x:c r="Y904" s="457"/>
      <x:c r="Z904" s="458"/>
      <x:c r="AA904" s="458"/>
      <x:c r="AB904" s="458"/>
      <x:c r="AC904" s="458"/>
      <x:c r="AD904" s="458"/>
      <x:c r="AE904" s="458"/>
    </x:row>
    <x:row r="905" spans="1:31" ht="20.100000000000001" customHeight="1">
      <x:c r="A905" s="439" t="s">
        <x:v>98</x:v>
      </x:c>
      <x:c r="B905" s="466" t="str">
        <x:f t="shared" si="135"/>
        <x:v>감가상각비</x:v>
      </x:c>
      <x:c r="C905" s="440" t="str">
        <x:f t="shared" si="136"/>
        <x:v>감가상각비</x:v>
      </x:c>
      <x:c r="D905" s="441">
        <x:v>52200170</x:v>
      </x:c>
      <x:c r="E905" s="442" t="str">
        <x:f t="shared" si="137"/>
        <x:v>감가상각비_비품</x:v>
      </x:c>
      <x:c r="F905" s="443"/>
      <x:c r="G905" s="444" t="s">
        <x:v>119</x:v>
      </x:c>
      <x:c r="H905" s="445" t="str">
        <x:f t="shared" si="134"/>
        <x:v>KiB 클러스터</x:v>
      </x:c>
      <x:c r="I905" s="446" t="str">
        <x:f t="shared" si="138"/>
        <x:v>[관리비]</x:v>
      </x:c>
      <x:c r="J905" s="445"/>
      <x:c r="K905" s="453">
        <x:v>2898.9771832943734</x:v>
      </x:c>
      <x:c r="L905" s="454">
        <x:v>2898.9228810956083</x:v>
      </x:c>
      <x:c r="M905" s="454">
        <x:v>2898.9228810956083</x:v>
      </x:c>
      <x:c r="N905" s="454">
        <x:v>2898.9228810956083</x:v>
      </x:c>
      <x:c r="O905" s="454">
        <x:v>2898.9228810956083</x:v>
      </x:c>
      <x:c r="P905" s="454">
        <x:v>2898.9228810956083</x:v>
      </x:c>
      <x:c r="Q905" s="454">
        <x:v>2898.9228810956083</x:v>
      </x:c>
      <x:c r="R905" s="454">
        <x:v>2898.9228810956083</x:v>
      </x:c>
      <x:c r="S905" s="454">
        <x:v>2898.9228810956083</x:v>
      </x:c>
      <x:c r="T905" s="454">
        <x:v>2898.9228810956083</x:v>
      </x:c>
      <x:c r="U905" s="454">
        <x:v>2898.9228810956083</x:v>
      </x:c>
      <x:c r="V905" s="455">
        <x:v>2898.9228810956083</x:v>
      </x:c>
      <x:c r="W905" s="456">
        <x:f t="shared" si="132"/>
        <x:v>34787.128875346069</x:v>
      </x:c>
      <x:c r="X905" s="450">
        <x:f t="shared" si="133"/>
        <x:v>2898.927406278839</x:v>
      </x:c>
      <x:c r="Y905" s="457"/>
      <x:c r="Z905" s="458"/>
      <x:c r="AA905" s="458"/>
      <x:c r="AB905" s="458"/>
      <x:c r="AC905" s="458"/>
      <x:c r="AD905" s="458"/>
      <x:c r="AE905" s="458"/>
    </x:row>
    <x:row r="906" spans="1:31" ht="20.100000000000001" customHeight="1">
      <x:c r="A906" s="439" t="s">
        <x:v>98</x:v>
      </x:c>
      <x:c r="B906" s="466" t="str">
        <x:f t="shared" si="135"/>
        <x:v>감가상각비</x:v>
      </x:c>
      <x:c r="C906" s="440" t="str">
        <x:f t="shared" si="136"/>
        <x:v>감가상각비</x:v>
      </x:c>
      <x:c r="D906" s="441">
        <x:v>52200170</x:v>
      </x:c>
      <x:c r="E906" s="442" t="str">
        <x:f t="shared" si="137"/>
        <x:v>감가상각비_비품</x:v>
      </x:c>
      <x:c r="F906" s="443"/>
      <x:c r="G906" s="444" t="s">
        <x:v>119</x:v>
      </x:c>
      <x:c r="H906" s="445" t="str">
        <x:f t="shared" si="134"/>
        <x:v>KiB 클러스터</x:v>
      </x:c>
      <x:c r="I906" s="446" t="str">
        <x:f t="shared" si="138"/>
        <x:v>[관리비]</x:v>
      </x:c>
      <x:c r="J906" s="445"/>
      <x:c r="K906" s="453">
        <x:v>3097.2345109871726</x:v>
      </x:c>
      <x:c r="L906" s="454">
        <x:v>3097.2345109871726</x:v>
      </x:c>
      <x:c r="M906" s="454">
        <x:v>3097.2345109871726</x:v>
      </x:c>
      <x:c r="N906" s="454">
        <x:v>3097.2345109871726</x:v>
      </x:c>
      <x:c r="O906" s="454">
        <x:v>3097.2345109871726</x:v>
      </x:c>
      <x:c r="P906" s="454">
        <x:v>3097.2345109871726</x:v>
      </x:c>
      <x:c r="Q906" s="454">
        <x:v>3097.2345109871726</x:v>
      </x:c>
      <x:c r="R906" s="454">
        <x:v>3097.2345109871726</x:v>
      </x:c>
      <x:c r="S906" s="454">
        <x:v>3097.2345109871726</x:v>
      </x:c>
      <x:c r="T906" s="454">
        <x:v>3097.2345109871726</x:v>
      </x:c>
      <x:c r="U906" s="454">
        <x:v>3097.2345109871726</x:v>
      </x:c>
      <x:c r="V906" s="455">
        <x:v>3097.2345109871726</x:v>
      </x:c>
      <x:c r="W906" s="456">
        <x:f t="shared" si="132"/>
        <x:v>37166.814131846069</x:v>
      </x:c>
      <x:c r="X906" s="450">
        <x:f t="shared" si="133"/>
        <x:v>3097.2345109871726</x:v>
      </x:c>
      <x:c r="Y906" s="457"/>
      <x:c r="Z906" s="458"/>
      <x:c r="AA906" s="458"/>
      <x:c r="AB906" s="458"/>
      <x:c r="AC906" s="458"/>
      <x:c r="AD906" s="458"/>
      <x:c r="AE906" s="458"/>
    </x:row>
    <x:row r="907" spans="1:31" ht="20.100000000000001" customHeight="1">
      <x:c r="A907" s="439" t="s">
        <x:v>98</x:v>
      </x:c>
      <x:c r="B907" s="466" t="str">
        <x:f t="shared" si="135"/>
        <x:v>감가상각비</x:v>
      </x:c>
      <x:c r="C907" s="440" t="str">
        <x:f t="shared" si="136"/>
        <x:v>감가상각비</x:v>
      </x:c>
      <x:c r="D907" s="441">
        <x:v>52200170</x:v>
      </x:c>
      <x:c r="E907" s="442" t="str">
        <x:f t="shared" si="137"/>
        <x:v>감가상각비_비품</x:v>
      </x:c>
      <x:c r="F907" s="443"/>
      <x:c r="G907" s="444" t="s">
        <x:v>119</x:v>
      </x:c>
      <x:c r="H907" s="445" t="str">
        <x:f t="shared" si="134"/>
        <x:v>KiB 클러스터</x:v>
      </x:c>
      <x:c r="I907" s="446" t="str">
        <x:f t="shared" si="138"/>
        <x:v>[관리비]</x:v>
      </x:c>
      <x:c r="J907" s="445"/>
      <x:c r="K907" s="453">
        <x:v>1763.9526246981311</x:v>
      </x:c>
      <x:c r="L907" s="454">
        <x:v>1763.6811137043037</x:v>
      </x:c>
      <x:c r="M907" s="454">
        <x:v>1763.6811137043037</x:v>
      </x:c>
      <x:c r="N907" s="454">
        <x:v>1763.6811137043037</x:v>
      </x:c>
      <x:c r="O907" s="454">
        <x:v>1763.6811137043037</x:v>
      </x:c>
      <x:c r="P907" s="454">
        <x:v>1763.6811137043037</x:v>
      </x:c>
      <x:c r="Q907" s="454">
        <x:v>1763.6811137043037</x:v>
      </x:c>
      <x:c r="R907" s="454">
        <x:v>1763.6811137043037</x:v>
      </x:c>
      <x:c r="S907" s="454">
        <x:v>1763.6811137043037</x:v>
      </x:c>
      <x:c r="T907" s="454">
        <x:v>1763.6811137043037</x:v>
      </x:c>
      <x:c r="U907" s="454">
        <x:v>1763.6811137043037</x:v>
      </x:c>
      <x:c r="V907" s="455">
        <x:v>1763.6811137043037</x:v>
      </x:c>
      <x:c r="W907" s="456">
        <x:f t="shared" si="132"/>
        <x:v>21164.444875445475</x:v>
      </x:c>
      <x:c r="X907" s="450">
        <x:f t="shared" si="133"/>
        <x:v>1763.7037396204562</x:v>
      </x:c>
      <x:c r="Y907" s="457"/>
      <x:c r="Z907" s="458"/>
      <x:c r="AA907" s="458"/>
      <x:c r="AB907" s="458"/>
      <x:c r="AC907" s="458"/>
      <x:c r="AD907" s="458"/>
      <x:c r="AE907" s="458"/>
    </x:row>
    <x:row r="908" spans="1:31" ht="20.100000000000001" customHeight="1">
      <x:c r="A908" s="439" t="s">
        <x:v>98</x:v>
      </x:c>
      <x:c r="B908" s="466" t="str">
        <x:f t="shared" si="135"/>
        <x:v>감가상각비</x:v>
      </x:c>
      <x:c r="C908" s="440" t="str">
        <x:f t="shared" si="136"/>
        <x:v>감가상각비</x:v>
      </x:c>
      <x:c r="D908" s="441">
        <x:v>52200170</x:v>
      </x:c>
      <x:c r="E908" s="442" t="str">
        <x:f t="shared" si="137"/>
        <x:v>감가상각비_비품</x:v>
      </x:c>
      <x:c r="F908" s="443"/>
      <x:c r="G908" s="444" t="s">
        <x:v>119</x:v>
      </x:c>
      <x:c r="H908" s="445" t="str">
        <x:f t="shared" si="134"/>
        <x:v>KiB 클러스터</x:v>
      </x:c>
      <x:c r="I908" s="446" t="str">
        <x:f t="shared" si="138"/>
        <x:v>[관리비]</x:v>
      </x:c>
      <x:c r="J908" s="445"/>
      <x:c r="K908" s="453">
        <x:v>1186.0143232370363</x:v>
      </x:c>
      <x:c r="L908" s="454">
        <x:v>1186.1772298333326</x:v>
      </x:c>
      <x:c r="M908" s="454">
        <x:v>1186.1772298333326</x:v>
      </x:c>
      <x:c r="N908" s="454">
        <x:v>1186.1772298333326</x:v>
      </x:c>
      <x:c r="O908" s="454">
        <x:v>1186.1772298333326</x:v>
      </x:c>
      <x:c r="P908" s="454">
        <x:v>1186.1772298333326</x:v>
      </x:c>
      <x:c r="Q908" s="454">
        <x:v>1186.1772298333326</x:v>
      </x:c>
      <x:c r="R908" s="454">
        <x:v>1186.1772298333326</x:v>
      </x:c>
      <x:c r="S908" s="454">
        <x:v>1186.1772298333326</x:v>
      </x:c>
      <x:c r="T908" s="454">
        <x:v>1186.1772298333326</x:v>
      </x:c>
      <x:c r="U908" s="454">
        <x:v>1186.1772298333326</x:v>
      </x:c>
      <x:c r="V908" s="455">
        <x:v>1186.1772298333326</x:v>
      </x:c>
      <x:c r="W908" s="456">
        <x:f t="shared" si="132"/>
        <x:v>14233.963851403694</x:v>
      </x:c>
      <x:c r="X908" s="450">
        <x:f t="shared" si="133"/>
        <x:v>1186.1636542836411</x:v>
      </x:c>
      <x:c r="Y908" s="457"/>
      <x:c r="Z908" s="458"/>
      <x:c r="AA908" s="458"/>
      <x:c r="AB908" s="458"/>
      <x:c r="AC908" s="458"/>
      <x:c r="AD908" s="458"/>
      <x:c r="AE908" s="458"/>
    </x:row>
    <x:row r="909" spans="1:31" ht="20.100000000000001" customHeight="1">
      <x:c r="A909" s="439" t="s">
        <x:v>98</x:v>
      </x:c>
      <x:c r="B909" s="466" t="str">
        <x:f t="shared" si="135"/>
        <x:v>감가상각비</x:v>
      </x:c>
      <x:c r="C909" s="440" t="str">
        <x:f t="shared" si="136"/>
        <x:v>감가상각비</x:v>
      </x:c>
      <x:c r="D909" s="441">
        <x:v>52200170</x:v>
      </x:c>
      <x:c r="E909" s="442" t="str">
        <x:f t="shared" si="137"/>
        <x:v>감가상각비_비품</x:v>
      </x:c>
      <x:c r="F909" s="443"/>
      <x:c r="G909" s="444" t="s">
        <x:v>119</x:v>
      </x:c>
      <x:c r="H909" s="445" t="str">
        <x:f t="shared" si="134"/>
        <x:v>KiB 클러스터</x:v>
      </x:c>
      <x:c r="I909" s="446" t="str">
        <x:f t="shared" si="138"/>
        <x:v>[관리비]</x:v>
      </x:c>
      <x:c r="J909" s="445"/>
      <x:c r="K909" s="453">
        <x:v>39124.679908335762</x:v>
      </x:c>
      <x:c r="L909" s="454">
        <x:v>39125.005721528352</x:v>
      </x:c>
      <x:c r="M909" s="454">
        <x:v>39125.005721528352</x:v>
      </x:c>
      <x:c r="N909" s="454">
        <x:v>39125.005721528352</x:v>
      </x:c>
      <x:c r="O909" s="454">
        <x:v>39125.005721528352</x:v>
      </x:c>
      <x:c r="P909" s="454">
        <x:v>39125.005721528352</x:v>
      </x:c>
      <x:c r="Q909" s="454">
        <x:v>39125.005721528352</x:v>
      </x:c>
      <x:c r="R909" s="454">
        <x:v>39125.005721528352</x:v>
      </x:c>
      <x:c r="S909" s="454">
        <x:v>39125.005721528352</x:v>
      </x:c>
      <x:c r="T909" s="454">
        <x:v>39125.005721528352</x:v>
      </x:c>
      <x:c r="U909" s="454">
        <x:v>39125.005721528352</x:v>
      </x:c>
      <x:c r="V909" s="455">
        <x:v>39125.005721528352</x:v>
      </x:c>
      <x:c r="W909" s="456">
        <x:f t="shared" ref="W909:W971" si="139">0+(IFERROR(SUM(K909:V909),""))</x:f>
        <x:v>469499.74284514773</x:v>
      </x:c>
      <x:c r="X909" s="450">
        <x:f t="shared" si="133"/>
        <x:v>39124.978570428975</x:v>
      </x:c>
      <x:c r="Y909" s="457"/>
      <x:c r="Z909" s="458"/>
      <x:c r="AA909" s="458"/>
      <x:c r="AB909" s="458"/>
      <x:c r="AC909" s="458"/>
      <x:c r="AD909" s="458"/>
      <x:c r="AE909" s="458"/>
    </x:row>
    <x:row r="910" spans="1:31" ht="20.100000000000001" customHeight="1">
      <x:c r="A910" s="439" t="s">
        <x:v>98</x:v>
      </x:c>
      <x:c r="B910" s="466" t="str">
        <x:f t="shared" si="135"/>
        <x:v>감가상각비</x:v>
      </x:c>
      <x:c r="C910" s="440" t="str">
        <x:f t="shared" si="136"/>
        <x:v>감가상각비</x:v>
      </x:c>
      <x:c r="D910" s="441">
        <x:v>52200170</x:v>
      </x:c>
      <x:c r="E910" s="442" t="str">
        <x:f t="shared" si="137"/>
        <x:v>감가상각비_비품</x:v>
      </x:c>
      <x:c r="F910" s="443"/>
      <x:c r="G910" s="444" t="s">
        <x:v>91</x:v>
      </x:c>
      <x:c r="H910" s="445" t="str">
        <x:f t="shared" si="134"/>
        <x:v>인사총무팀</x:v>
      </x:c>
      <x:c r="I910" s="446" t="str">
        <x:f t="shared" si="138"/>
        <x:v>[관리비]</x:v>
      </x:c>
      <x:c r="J910" s="445"/>
      <x:c r="K910" s="453">
        <x:v>16881.521854413855</x:v>
      </x:c>
      <x:c r="L910" s="454">
        <x:v>16881.739063208919</x:v>
      </x:c>
      <x:c r="M910" s="454">
        <x:v>16881.739063208919</x:v>
      </x:c>
      <x:c r="N910" s="454">
        <x:v>16881.739063208919</x:v>
      </x:c>
      <x:c r="O910" s="454">
        <x:v>16881.739063208919</x:v>
      </x:c>
      <x:c r="P910" s="454">
        <x:v>16881.739063208919</x:v>
      </x:c>
      <x:c r="Q910" s="454">
        <x:v>16881.739063208919</x:v>
      </x:c>
      <x:c r="R910" s="454">
        <x:v>16881.739063208919</x:v>
      </x:c>
      <x:c r="S910" s="454">
        <x:v>16881.739063208919</x:v>
      </x:c>
      <x:c r="T910" s="454">
        <x:v>16881.739063208919</x:v>
      </x:c>
      <x:c r="U910" s="454">
        <x:v>16881.739063208919</x:v>
      </x:c>
      <x:c r="V910" s="455">
        <x:v>16881.739063208919</x:v>
      </x:c>
      <x:c r="W910" s="456">
        <x:f t="shared" si="139"/>
        <x:v>202580.651549712</x:v>
      </x:c>
      <x:c r="X910" s="450">
        <x:f t="shared" si="133"/>
        <x:v>16881.720962476</x:v>
      </x:c>
      <x:c r="Y910" s="457"/>
      <x:c r="Z910" s="458"/>
      <x:c r="AA910" s="458"/>
      <x:c r="AB910" s="458"/>
      <x:c r="AC910" s="458"/>
      <x:c r="AD910" s="458"/>
      <x:c r="AE910" s="458"/>
    </x:row>
    <x:row r="911" spans="1:31" ht="20.100000000000001" customHeight="1">
      <x:c r="A911" s="439" t="s">
        <x:v>98</x:v>
      </x:c>
      <x:c r="B911" s="466" t="str">
        <x:f t="shared" si="135"/>
        <x:v>감가상각비</x:v>
      </x:c>
      <x:c r="C911" s="440" t="str">
        <x:f t="shared" si="136"/>
        <x:v>감가상각비</x:v>
      </x:c>
      <x:c r="D911" s="441">
        <x:v>52200170</x:v>
      </x:c>
      <x:c r="E911" s="442" t="str">
        <x:f t="shared" si="137"/>
        <x:v>감가상각비_비품</x:v>
      </x:c>
      <x:c r="F911" s="443"/>
      <x:c r="G911" s="444" t="s">
        <x:v>91</x:v>
      </x:c>
      <x:c r="H911" s="445" t="str">
        <x:f t="shared" si="134"/>
        <x:v>인사총무팀</x:v>
      </x:c>
      <x:c r="I911" s="446" t="str">
        <x:f t="shared" si="138"/>
        <x:v>[관리비]</x:v>
      </x:c>
      <x:c r="J911" s="445"/>
      <x:c r="K911" s="453">
        <x:v>133521.4501543105</x:v>
      </x:c>
      <x:c r="L911" s="454">
        <x:v>133521.77596750308</x:v>
      </x:c>
      <x:c r="M911" s="454">
        <x:v>133521.77596750308</x:v>
      </x:c>
      <x:c r="N911" s="454">
        <x:v>133521.77596750308</x:v>
      </x:c>
      <x:c r="O911" s="454">
        <x:v>133521.77596750308</x:v>
      </x:c>
      <x:c r="P911" s="454">
        <x:v>133521.77596750308</x:v>
      </x:c>
      <x:c r="Q911" s="454">
        <x:v>133521.77596750308</x:v>
      </x:c>
      <x:c r="R911" s="454">
        <x:v>133521.77596750308</x:v>
      </x:c>
      <x:c r="S911" s="454">
        <x:v>133521.77596750308</x:v>
      </x:c>
      <x:c r="T911" s="454">
        <x:v>133521.77596750308</x:v>
      </x:c>
      <x:c r="U911" s="454">
        <x:v>133521.77596750308</x:v>
      </x:c>
      <x:c r="V911" s="455">
        <x:v>133521.77596750308</x:v>
      </x:c>
      <x:c r="W911" s="456">
        <x:f t="shared" si="139"/>
        <x:v>1602260.9857968441</x:v>
      </x:c>
      <x:c r="X911" s="450">
        <x:f t="shared" si="133"/>
        <x:v>133521.74881640368</x:v>
      </x:c>
      <x:c r="Y911" s="457"/>
      <x:c r="Z911" s="458"/>
      <x:c r="AA911" s="458"/>
      <x:c r="AB911" s="458"/>
      <x:c r="AC911" s="458"/>
      <x:c r="AD911" s="458"/>
      <x:c r="AE911" s="458"/>
    </x:row>
    <x:row r="912" spans="1:31" ht="20.100000000000001" customHeight="1">
      <x:c r="A912" s="439" t="s">
        <x:v>88</x:v>
      </x:c>
      <x:c r="B912" s="466" t="str">
        <x:f t="shared" si="135"/>
        <x:v>복리후생비</x:v>
      </x:c>
      <x:c r="C912" s="440" t="str">
        <x:f t="shared" si="136"/>
        <x:v>후생비</x:v>
      </x:c>
      <x:c r="D912" s="441">
        <x:v>52130124</x:v>
      </x:c>
      <x:c r="E912" s="442" t="str">
        <x:f t="shared" si="137"/>
        <x:v>후생비_관리식대</x:v>
      </x:c>
      <x:c r="F912" s="443"/>
      <x:c r="G912" s="444" t="s">
        <x:v>85</x:v>
      </x:c>
      <x:c r="H912" s="445" t="str">
        <x:f t="shared" si="134"/>
        <x:v>부회장</x:v>
      </x:c>
      <x:c r="I912" s="446" t="str">
        <x:f t="shared" si="138"/>
        <x:v>[관리비]</x:v>
      </x:c>
      <x:c r="J912" s="445"/>
      <x:c r="K912" s="453">
        <x:v>0</x:v>
      </x:c>
      <x:c r="L912" s="454">
        <x:v>0</x:v>
      </x:c>
      <x:c r="M912" s="454">
        <x:v>543021.98765488586</x:v>
      </x:c>
      <x:c r="N912" s="454">
        <x:v>0</x:v>
      </x:c>
      <x:c r="O912" s="454">
        <x:v>0</x:v>
      </x:c>
      <x:c r="P912" s="454">
        <x:v>271510.99382744293</x:v>
      </x:c>
      <x:c r="Q912" s="454">
        <x:v>0</x:v>
      </x:c>
      <x:c r="R912" s="454">
        <x:v>0</x:v>
      </x:c>
      <x:c r="S912" s="454">
        <x:v>271510.99382744293</x:v>
      </x:c>
      <x:c r="T912" s="454">
        <x:v>0</x:v>
      </x:c>
      <x:c r="U912" s="454">
        <x:v>0</x:v>
      </x:c>
      <x:c r="V912" s="455">
        <x:v>271510.99382744293</x:v>
      </x:c>
      <x:c r="W912" s="456">
        <x:f t="shared" si="139"/>
        <x:v>1357554.9691372146</x:v>
      </x:c>
      <x:c r="X912" s="450">
        <x:f t="shared" si="133"/>
        <x:v>113129.58076143455</x:v>
      </x:c>
      <x:c r="Y912" s="457"/>
      <x:c r="Z912" s="458"/>
      <x:c r="AA912" s="458"/>
      <x:c r="AB912" s="458"/>
      <x:c r="AC912" s="458"/>
      <x:c r="AD912" s="458"/>
      <x:c r="AE912" s="458"/>
    </x:row>
    <x:row r="913" spans="1:31" ht="20.100000000000001" customHeight="1">
      <x:c r="A913" s="439" t="s">
        <x:v>88</x:v>
      </x:c>
      <x:c r="B913" s="466" t="str">
        <x:f t="shared" si="135"/>
        <x:v>복리후생비</x:v>
      </x:c>
      <x:c r="C913" s="440" t="str">
        <x:f t="shared" si="136"/>
        <x:v>후생비</x:v>
      </x:c>
      <x:c r="D913" s="441">
        <x:v>52130124</x:v>
      </x:c>
      <x:c r="E913" s="442" t="str">
        <x:f t="shared" si="137"/>
        <x:v>후생비_관리식대</x:v>
      </x:c>
      <x:c r="F913" s="443"/>
      <x:c r="G913" s="444" t="s">
        <x:v>318</x:v>
      </x:c>
      <x:c r="H913" s="445" t="str">
        <x:f t="shared" si="134"/>
        <x:v>대표이사</x:v>
      </x:c>
      <x:c r="I913" s="446" t="str">
        <x:f t="shared" si="138"/>
        <x:v>[관리비]</x:v>
      </x:c>
      <x:c r="J913" s="445"/>
      <x:c r="K913" s="453">
        <x:v>0</x:v>
      </x:c>
      <x:c r="L913" s="454">
        <x:v>0</x:v>
      </x:c>
      <x:c r="M913" s="454">
        <x:v>81453.298148232876</x:v>
      </x:c>
      <x:c r="N913" s="454">
        <x:v>0</x:v>
      </x:c>
      <x:c r="O913" s="454">
        <x:v>0</x:v>
      </x:c>
      <x:c r="P913" s="454">
        <x:v>81453.298148232876</x:v>
      </x:c>
      <x:c r="Q913" s="454">
        <x:v>0</x:v>
      </x:c>
      <x:c r="R913" s="454">
        <x:v>0</x:v>
      </x:c>
      <x:c r="S913" s="454">
        <x:v>81453.298148232876</x:v>
      </x:c>
      <x:c r="T913" s="454">
        <x:v>0</x:v>
      </x:c>
      <x:c r="U913" s="454">
        <x:v>0</x:v>
      </x:c>
      <x:c r="V913" s="455">
        <x:v>81453.298148232876</x:v>
      </x:c>
      <x:c r="W913" s="456">
        <x:f t="shared" si="139"/>
        <x:v>325813.1925929315</x:v>
      </x:c>
      <x:c r="X913" s="450">
        <x:f t="shared" si="133"/>
        <x:v>27151.099382744291</x:v>
      </x:c>
      <x:c r="Y913" s="457"/>
      <x:c r="Z913" s="458"/>
      <x:c r="AA913" s="458"/>
      <x:c r="AB913" s="458"/>
      <x:c r="AC913" s="458"/>
      <x:c r="AD913" s="458"/>
      <x:c r="AE913" s="458"/>
    </x:row>
    <x:row r="914" spans="1:31" ht="20.100000000000001" customHeight="1">
      <x:c r="A914" s="439" t="s">
        <x:v>88</x:v>
      </x:c>
      <x:c r="B914" s="466" t="str">
        <x:f t="shared" si="135"/>
        <x:v>복리후생비</x:v>
      </x:c>
      <x:c r="C914" s="440" t="str">
        <x:f t="shared" si="136"/>
        <x:v>후생비</x:v>
      </x:c>
      <x:c r="D914" s="441">
        <x:v>52130124</x:v>
      </x:c>
      <x:c r="E914" s="442" t="str">
        <x:f t="shared" si="137"/>
        <x:v>후생비_관리식대</x:v>
      </x:c>
      <x:c r="F914" s="443"/>
      <x:c r="G914" s="444" t="s">
        <x:v>89</x:v>
      </x:c>
      <x:c r="H914" s="445" t="str">
        <x:f t="shared" si="134"/>
        <x:v>기획담당</x:v>
      </x:c>
      <x:c r="I914" s="446" t="str">
        <x:f t="shared" si="138"/>
        <x:v>[관리비]</x:v>
      </x:c>
      <x:c r="J914" s="445"/>
      <x:c r="K914" s="453">
        <x:v>0</x:v>
      </x:c>
      <x:c r="L914" s="454">
        <x:v>0</x:v>
      </x:c>
      <x:c r="M914" s="454">
        <x:v>81453.298148232876</x:v>
      </x:c>
      <x:c r="N914" s="454">
        <x:v>0</x:v>
      </x:c>
      <x:c r="O914" s="454">
        <x:v>0</x:v>
      </x:c>
      <x:c r="P914" s="454">
        <x:v>81453.298148232876</x:v>
      </x:c>
      <x:c r="Q914" s="454">
        <x:v>0</x:v>
      </x:c>
      <x:c r="R914" s="454">
        <x:v>0</x:v>
      </x:c>
      <x:c r="S914" s="454">
        <x:v>81453.298148232876</x:v>
      </x:c>
      <x:c r="T914" s="454">
        <x:v>0</x:v>
      </x:c>
      <x:c r="U914" s="454">
        <x:v>0</x:v>
      </x:c>
      <x:c r="V914" s="455">
        <x:v>81453.298148232876</x:v>
      </x:c>
      <x:c r="W914" s="456">
        <x:f t="shared" si="139"/>
        <x:v>325813.1925929315</x:v>
      </x:c>
      <x:c r="X914" s="450">
        <x:f t="shared" si="133"/>
        <x:v>27151.099382744291</x:v>
      </x:c>
      <x:c r="Y914" s="457"/>
      <x:c r="Z914" s="458"/>
      <x:c r="AA914" s="458"/>
      <x:c r="AB914" s="458"/>
      <x:c r="AC914" s="458"/>
      <x:c r="AD914" s="458"/>
      <x:c r="AE914" s="458"/>
    </x:row>
    <x:row r="915" spans="1:31" ht="20.100000000000001" customHeight="1">
      <x:c r="A915" s="439" t="s">
        <x:v>88</x:v>
      </x:c>
      <x:c r="B915" s="466" t="str">
        <x:f t="shared" si="135"/>
        <x:v>복리후생비</x:v>
      </x:c>
      <x:c r="C915" s="440" t="str">
        <x:f t="shared" si="136"/>
        <x:v>후생비</x:v>
      </x:c>
      <x:c r="D915" s="441">
        <x:v>52130124</x:v>
      </x:c>
      <x:c r="E915" s="442" t="str">
        <x:f t="shared" si="137"/>
        <x:v>후생비_관리식대</x:v>
      </x:c>
      <x:c r="F915" s="443"/>
      <x:c r="G915" s="444" t="s">
        <x:v>93</x:v>
      </x:c>
      <x:c r="H915" s="445" t="str">
        <x:f t="shared" si="134"/>
        <x:v>인사총무담당</x:v>
      </x:c>
      <x:c r="I915" s="446" t="str">
        <x:f t="shared" si="138"/>
        <x:v>[관리비]</x:v>
      </x:c>
      <x:c r="J915" s="445"/>
      <x:c r="K915" s="453">
        <x:v>0</x:v>
      </x:c>
      <x:c r="L915" s="454">
        <x:v>0</x:v>
      </x:c>
      <x:c r="M915" s="454">
        <x:v>81453.298148232876</x:v>
      </x:c>
      <x:c r="N915" s="454">
        <x:v>0</x:v>
      </x:c>
      <x:c r="O915" s="454">
        <x:v>0</x:v>
      </x:c>
      <x:c r="P915" s="454">
        <x:v>81453.298148232876</x:v>
      </x:c>
      <x:c r="Q915" s="454">
        <x:v>0</x:v>
      </x:c>
      <x:c r="R915" s="454">
        <x:v>0</x:v>
      </x:c>
      <x:c r="S915" s="454">
        <x:v>81453.298148232876</x:v>
      </x:c>
      <x:c r="T915" s="454">
        <x:v>0</x:v>
      </x:c>
      <x:c r="U915" s="454">
        <x:v>0</x:v>
      </x:c>
      <x:c r="V915" s="455">
        <x:v>81453.298148232876</x:v>
      </x:c>
      <x:c r="W915" s="456">
        <x:f t="shared" si="139"/>
        <x:v>325813.1925929315</x:v>
      </x:c>
      <x:c r="X915" s="450">
        <x:f t="shared" si="133"/>
        <x:v>27151.099382744291</x:v>
      </x:c>
      <x:c r="Y915" s="457"/>
      <x:c r="Z915" s="458"/>
      <x:c r="AA915" s="458"/>
      <x:c r="AB915" s="458"/>
      <x:c r="AC915" s="458"/>
      <x:c r="AD915" s="458"/>
      <x:c r="AE915" s="458"/>
    </x:row>
    <x:row r="916" spans="1:31" ht="20.100000000000001" customHeight="1">
      <x:c r="A916" s="439" t="s">
        <x:v>88</x:v>
      </x:c>
      <x:c r="B916" s="466" t="str">
        <x:f t="shared" si="135"/>
        <x:v>복리후생비</x:v>
      </x:c>
      <x:c r="C916" s="440" t="str">
        <x:f t="shared" si="136"/>
        <x:v>후생비</x:v>
      </x:c>
      <x:c r="D916" s="441">
        <x:v>52130124</x:v>
      </x:c>
      <x:c r="E916" s="442" t="str">
        <x:f t="shared" si="137"/>
        <x:v>후생비_관리식대</x:v>
      </x:c>
      <x:c r="F916" s="443"/>
      <x:c r="G916" s="444" t="s">
        <x:v>95</x:v>
      </x:c>
      <x:c r="H916" s="445" t="str">
        <x:f t="shared" si="134"/>
        <x:v>재경담당</x:v>
      </x:c>
      <x:c r="I916" s="446" t="str">
        <x:f t="shared" si="138"/>
        <x:v>[관리비]</x:v>
      </x:c>
      <x:c r="J916" s="445"/>
      <x:c r="K916" s="453">
        <x:v>0</x:v>
      </x:c>
      <x:c r="L916" s="454">
        <x:v>0</x:v>
      </x:c>
      <x:c r="M916" s="454">
        <x:v>81453.298148232876</x:v>
      </x:c>
      <x:c r="N916" s="454">
        <x:v>0</x:v>
      </x:c>
      <x:c r="O916" s="454">
        <x:v>0</x:v>
      </x:c>
      <x:c r="P916" s="454">
        <x:v>81453.298148232876</x:v>
      </x:c>
      <x:c r="Q916" s="454">
        <x:v>0</x:v>
      </x:c>
      <x:c r="R916" s="454">
        <x:v>0</x:v>
      </x:c>
      <x:c r="S916" s="454">
        <x:v>81453.298148232876</x:v>
      </x:c>
      <x:c r="T916" s="454">
        <x:v>0</x:v>
      </x:c>
      <x:c r="U916" s="454">
        <x:v>0</x:v>
      </x:c>
      <x:c r="V916" s="455">
        <x:v>81453.298148232876</x:v>
      </x:c>
      <x:c r="W916" s="456">
        <x:f t="shared" si="139"/>
        <x:v>325813.1925929315</x:v>
      </x:c>
      <x:c r="X916" s="450">
        <x:f t="shared" si="133"/>
        <x:v>27151.099382744291</x:v>
      </x:c>
      <x:c r="Y916" s="457"/>
      <x:c r="Z916" s="458"/>
      <x:c r="AA916" s="458"/>
      <x:c r="AB916" s="458"/>
      <x:c r="AC916" s="458"/>
      <x:c r="AD916" s="458"/>
      <x:c r="AE916" s="458"/>
    </x:row>
    <x:row r="917" spans="1:31" ht="20.100000000000001" customHeight="1">
      <x:c r="A917" s="439" t="s">
        <x:v>88</x:v>
      </x:c>
      <x:c r="B917" s="466" t="str">
        <x:f t="shared" si="135"/>
        <x:v>복리후생비</x:v>
      </x:c>
      <x:c r="C917" s="440" t="str">
        <x:f t="shared" si="136"/>
        <x:v>후생비</x:v>
      </x:c>
      <x:c r="D917" s="441">
        <x:v>52130138</x:v>
      </x:c>
      <x:c r="E917" s="442" t="str">
        <x:f t="shared" si="137"/>
        <x:v>후생비_자기계발비</x:v>
      </x:c>
      <x:c r="F917" s="443"/>
      <x:c r="G917" s="444" t="s">
        <x:v>85</x:v>
      </x:c>
      <x:c r="H917" s="445" t="str">
        <x:f t="shared" si="134"/>
        <x:v>부회장</x:v>
      </x:c>
      <x:c r="I917" s="446" t="str">
        <x:f t="shared" si="138"/>
        <x:v>[관리비]</x:v>
      </x:c>
      <x:c r="J917" s="445"/>
      <x:c r="K917" s="453">
        <x:v>0</x:v>
      </x:c>
      <x:c r="L917" s="454">
        <x:v>0</x:v>
      </x:c>
      <x:c r="M917" s="454">
        <x:v>271510.99382744293</x:v>
      </x:c>
      <x:c r="N917" s="454">
        <x:v>0</x:v>
      </x:c>
      <x:c r="O917" s="454">
        <x:v>0</x:v>
      </x:c>
      <x:c r="P917" s="454">
        <x:v>271510.99382744293</x:v>
      </x:c>
      <x:c r="Q917" s="454">
        <x:v>0</x:v>
      </x:c>
      <x:c r="R917" s="454">
        <x:v>0</x:v>
      </x:c>
      <x:c r="S917" s="454">
        <x:v>271510.99382744293</x:v>
      </x:c>
      <x:c r="T917" s="454">
        <x:v>0</x:v>
      </x:c>
      <x:c r="U917" s="454">
        <x:v>0</x:v>
      </x:c>
      <x:c r="V917" s="455">
        <x:v>271510.99382744293</x:v>
      </x:c>
      <x:c r="W917" s="456">
        <x:f t="shared" si="139"/>
        <x:v>1086043.9753097717</x:v>
      </x:c>
      <x:c r="X917" s="450">
        <x:f t="shared" si="133"/>
        <x:v>90503.664609147643</x:v>
      </x:c>
      <x:c r="Y917" s="457"/>
      <x:c r="Z917" s="458"/>
      <x:c r="AA917" s="458"/>
      <x:c r="AB917" s="458"/>
      <x:c r="AC917" s="458"/>
      <x:c r="AD917" s="458"/>
      <x:c r="AE917" s="458"/>
    </x:row>
    <x:row r="918" spans="1:31" ht="20.100000000000001" customHeight="1">
      <x:c r="A918" s="439" t="s">
        <x:v>88</x:v>
      </x:c>
      <x:c r="B918" s="466" t="str">
        <x:f t="shared" si="135"/>
        <x:v>복리후생비</x:v>
      </x:c>
      <x:c r="C918" s="440" t="str">
        <x:f t="shared" si="136"/>
        <x:v>후생비</x:v>
      </x:c>
      <x:c r="D918" s="441">
        <x:v>52130138</x:v>
      </x:c>
      <x:c r="E918" s="442" t="str">
        <x:f t="shared" si="137"/>
        <x:v>후생비_자기계발비</x:v>
      </x:c>
      <x:c r="F918" s="443"/>
      <x:c r="G918" s="444" t="s">
        <x:v>318</x:v>
      </x:c>
      <x:c r="H918" s="445" t="str">
        <x:f t="shared" si="134"/>
        <x:v>대표이사</x:v>
      </x:c>
      <x:c r="I918" s="446" t="str">
        <x:f t="shared" si="138"/>
        <x:v>[관리비]</x:v>
      </x:c>
      <x:c r="J918" s="445"/>
      <x:c r="K918" s="453">
        <x:v>0</x:v>
      </x:c>
      <x:c r="L918" s="454">
        <x:v>0</x:v>
      </x:c>
      <x:c r="M918" s="454">
        <x:v>40726.649074116438</x:v>
      </x:c>
      <x:c r="N918" s="454">
        <x:v>0</x:v>
      </x:c>
      <x:c r="O918" s="454">
        <x:v>0</x:v>
      </x:c>
      <x:c r="P918" s="454">
        <x:v>40726.649074116438</x:v>
      </x:c>
      <x:c r="Q918" s="454">
        <x:v>0</x:v>
      </x:c>
      <x:c r="R918" s="454">
        <x:v>0</x:v>
      </x:c>
      <x:c r="S918" s="454">
        <x:v>40726.649074116438</x:v>
      </x:c>
      <x:c r="T918" s="454">
        <x:v>0</x:v>
      </x:c>
      <x:c r="U918" s="454">
        <x:v>0</x:v>
      </x:c>
      <x:c r="V918" s="455">
        <x:v>40726.649074116438</x:v>
      </x:c>
      <x:c r="W918" s="456">
        <x:f t="shared" si="139"/>
        <x:v>162906.59629646575</x:v>
      </x:c>
      <x:c r="X918" s="450">
        <x:f t="shared" si="133"/>
        <x:v>13575.549691372145</x:v>
      </x:c>
      <x:c r="Y918" s="457"/>
      <x:c r="Z918" s="458"/>
      <x:c r="AA918" s="458"/>
      <x:c r="AB918" s="458"/>
      <x:c r="AC918" s="458"/>
      <x:c r="AD918" s="458"/>
      <x:c r="AE918" s="458"/>
    </x:row>
    <x:row r="919" spans="1:31" ht="20.100000000000001" customHeight="1">
      <x:c r="A919" s="439" t="s">
        <x:v>88</x:v>
      </x:c>
      <x:c r="B919" s="466" t="str">
        <x:f t="shared" si="135"/>
        <x:v>복리후생비</x:v>
      </x:c>
      <x:c r="C919" s="440" t="str">
        <x:f t="shared" si="136"/>
        <x:v>후생비</x:v>
      </x:c>
      <x:c r="D919" s="441">
        <x:v>52130138</x:v>
      </x:c>
      <x:c r="E919" s="442" t="str">
        <x:f t="shared" si="137"/>
        <x:v>후생비_자기계발비</x:v>
      </x:c>
      <x:c r="F919" s="443"/>
      <x:c r="G919" s="444" t="s">
        <x:v>89</x:v>
      </x:c>
      <x:c r="H919" s="445" t="str">
        <x:f t="shared" si="134"/>
        <x:v>기획담당</x:v>
      </x:c>
      <x:c r="I919" s="446" t="str">
        <x:f t="shared" si="138"/>
        <x:v>[관리비]</x:v>
      </x:c>
      <x:c r="J919" s="445"/>
      <x:c r="K919" s="453">
        <x:v>0</x:v>
      </x:c>
      <x:c r="L919" s="454">
        <x:v>0</x:v>
      </x:c>
      <x:c r="M919" s="454">
        <x:v>27151.099382744291</x:v>
      </x:c>
      <x:c r="N919" s="454">
        <x:v>0</x:v>
      </x:c>
      <x:c r="O919" s="454">
        <x:v>0</x:v>
      </x:c>
      <x:c r="P919" s="454">
        <x:v>27151.099382744291</x:v>
      </x:c>
      <x:c r="Q919" s="454">
        <x:v>0</x:v>
      </x:c>
      <x:c r="R919" s="454">
        <x:v>0</x:v>
      </x:c>
      <x:c r="S919" s="454">
        <x:v>27151.099382744291</x:v>
      </x:c>
      <x:c r="T919" s="454">
        <x:v>0</x:v>
      </x:c>
      <x:c r="U919" s="454">
        <x:v>0</x:v>
      </x:c>
      <x:c r="V919" s="455">
        <x:v>27151.099382744291</x:v>
      </x:c>
      <x:c r="W919" s="456">
        <x:f t="shared" si="139"/>
        <x:v>108604.39753097716</x:v>
      </x:c>
      <x:c r="X919" s="450">
        <x:f t="shared" si="133"/>
        <x:v>9050.3664609147636</x:v>
      </x:c>
      <x:c r="Y919" s="457"/>
      <x:c r="Z919" s="458"/>
      <x:c r="AA919" s="458"/>
      <x:c r="AB919" s="458"/>
      <x:c r="AC919" s="458"/>
      <x:c r="AD919" s="458"/>
      <x:c r="AE919" s="458"/>
    </x:row>
    <x:row r="920" spans="1:31" ht="20.100000000000001" customHeight="1">
      <x:c r="A920" s="439" t="s">
        <x:v>88</x:v>
      </x:c>
      <x:c r="B920" s="466" t="str">
        <x:f t="shared" si="135"/>
        <x:v>복리후생비</x:v>
      </x:c>
      <x:c r="C920" s="440" t="str">
        <x:f t="shared" si="136"/>
        <x:v>후생비</x:v>
      </x:c>
      <x:c r="D920" s="441">
        <x:v>52130138</x:v>
      </x:c>
      <x:c r="E920" s="442" t="str">
        <x:f t="shared" si="137"/>
        <x:v>후생비_자기계발비</x:v>
      </x:c>
      <x:c r="F920" s="443"/>
      <x:c r="G920" s="444" t="s">
        <x:v>93</x:v>
      </x:c>
      <x:c r="H920" s="445" t="str">
        <x:f t="shared" si="134"/>
        <x:v>인사총무담당</x:v>
      </x:c>
      <x:c r="I920" s="446" t="str">
        <x:f t="shared" si="138"/>
        <x:v>[관리비]</x:v>
      </x:c>
      <x:c r="J920" s="445"/>
      <x:c r="K920" s="453">
        <x:v>0</x:v>
      </x:c>
      <x:c r="L920" s="454">
        <x:v>0</x:v>
      </x:c>
      <x:c r="M920" s="454">
        <x:v>27151.099382744291</x:v>
      </x:c>
      <x:c r="N920" s="454">
        <x:v>0</x:v>
      </x:c>
      <x:c r="O920" s="454">
        <x:v>0</x:v>
      </x:c>
      <x:c r="P920" s="454">
        <x:v>27151.099382744291</x:v>
      </x:c>
      <x:c r="Q920" s="454">
        <x:v>0</x:v>
      </x:c>
      <x:c r="R920" s="454">
        <x:v>0</x:v>
      </x:c>
      <x:c r="S920" s="454">
        <x:v>27151.099382744291</x:v>
      </x:c>
      <x:c r="T920" s="454">
        <x:v>0</x:v>
      </x:c>
      <x:c r="U920" s="454">
        <x:v>0</x:v>
      </x:c>
      <x:c r="V920" s="455">
        <x:v>27151.099382744291</x:v>
      </x:c>
      <x:c r="W920" s="456">
        <x:f t="shared" si="139"/>
        <x:v>108604.39753097716</x:v>
      </x:c>
      <x:c r="X920" s="450">
        <x:f t="shared" si="133"/>
        <x:v>9050.3664609147636</x:v>
      </x:c>
      <x:c r="Y920" s="457"/>
      <x:c r="Z920" s="458"/>
      <x:c r="AA920" s="458"/>
      <x:c r="AB920" s="458"/>
      <x:c r="AC920" s="458"/>
      <x:c r="AD920" s="458"/>
      <x:c r="AE920" s="458"/>
    </x:row>
    <x:row r="921" spans="1:31" ht="20.100000000000001" customHeight="1">
      <x:c r="A921" s="439" t="s">
        <x:v>88</x:v>
      </x:c>
      <x:c r="B921" s="466" t="str">
        <x:f t="shared" si="135"/>
        <x:v>복리후생비</x:v>
      </x:c>
      <x:c r="C921" s="440" t="str">
        <x:f t="shared" si="136"/>
        <x:v>후생비</x:v>
      </x:c>
      <x:c r="D921" s="441">
        <x:v>52130138</x:v>
      </x:c>
      <x:c r="E921" s="442" t="str">
        <x:f t="shared" si="137"/>
        <x:v>후생비_자기계발비</x:v>
      </x:c>
      <x:c r="F921" s="443"/>
      <x:c r="G921" s="444" t="s">
        <x:v>95</x:v>
      </x:c>
      <x:c r="H921" s="445" t="str">
        <x:f t="shared" si="134"/>
        <x:v>재경담당</x:v>
      </x:c>
      <x:c r="I921" s="446" t="str">
        <x:f t="shared" si="138"/>
        <x:v>[관리비]</x:v>
      </x:c>
      <x:c r="J921" s="445"/>
      <x:c r="K921" s="453">
        <x:v>0</x:v>
      </x:c>
      <x:c r="L921" s="454">
        <x:v>0</x:v>
      </x:c>
      <x:c r="M921" s="454">
        <x:v>27151.099382744291</x:v>
      </x:c>
      <x:c r="N921" s="454">
        <x:v>0</x:v>
      </x:c>
      <x:c r="O921" s="454">
        <x:v>0</x:v>
      </x:c>
      <x:c r="P921" s="454">
        <x:v>27151.099382744291</x:v>
      </x:c>
      <x:c r="Q921" s="454">
        <x:v>0</x:v>
      </x:c>
      <x:c r="R921" s="454">
        <x:v>0</x:v>
      </x:c>
      <x:c r="S921" s="454">
        <x:v>27151.099382744291</x:v>
      </x:c>
      <x:c r="T921" s="454">
        <x:v>0</x:v>
      </x:c>
      <x:c r="U921" s="454">
        <x:v>0</x:v>
      </x:c>
      <x:c r="V921" s="455">
        <x:v>27151.099382744291</x:v>
      </x:c>
      <x:c r="W921" s="456">
        <x:f t="shared" si="139"/>
        <x:v>108604.39753097716</x:v>
      </x:c>
      <x:c r="X921" s="450">
        <x:f t="shared" si="133"/>
        <x:v>9050.3664609147636</x:v>
      </x:c>
      <x:c r="Y921" s="457"/>
      <x:c r="Z921" s="458"/>
      <x:c r="AA921" s="458"/>
      <x:c r="AB921" s="458"/>
      <x:c r="AC921" s="458"/>
      <x:c r="AD921" s="458"/>
      <x:c r="AE921" s="458"/>
    </x:row>
    <x:row r="922" spans="1:31" ht="20.100000000000001" customHeight="1">
      <x:c r="A922" s="439" t="s">
        <x:v>88</x:v>
      </x:c>
      <x:c r="B922" s="466" t="str">
        <x:f t="shared" si="135"/>
        <x:v>기타비용</x:v>
      </x:c>
      <x:c r="C922" s="440" t="str">
        <x:f t="shared" si="136"/>
        <x:v>접대비</x:v>
      </x:c>
      <x:c r="D922" s="441">
        <x:v>52230103</x:v>
      </x:c>
      <x:c r="E922" s="442" t="str">
        <x:f t="shared" si="137"/>
        <x:v>접대비_법인카드</x:v>
      </x:c>
      <x:c r="F922" s="443"/>
      <x:c r="G922" s="444" t="s">
        <x:v>85</x:v>
      </x:c>
      <x:c r="H922" s="445" t="str">
        <x:f t="shared" si="134"/>
        <x:v>부회장</x:v>
      </x:c>
      <x:c r="I922" s="446" t="str">
        <x:f t="shared" si="138"/>
        <x:v>[관리비]</x:v>
      </x:c>
      <x:c r="J922" s="445"/>
      <x:c r="K922" s="453">
        <x:v>0</x:v>
      </x:c>
      <x:c r="L922" s="454">
        <x:v>0</x:v>
      </x:c>
      <x:c r="M922" s="454">
        <x:v>271510.99382744293</x:v>
      </x:c>
      <x:c r="N922" s="454">
        <x:v>0</x:v>
      </x:c>
      <x:c r="O922" s="454">
        <x:v>0</x:v>
      </x:c>
      <x:c r="P922" s="454">
        <x:v>271510.99382744293</x:v>
      </x:c>
      <x:c r="Q922" s="454">
        <x:v>0</x:v>
      </x:c>
      <x:c r="R922" s="454">
        <x:v>0</x:v>
      </x:c>
      <x:c r="S922" s="454">
        <x:v>271510.99382744293</x:v>
      </x:c>
      <x:c r="T922" s="454">
        <x:v>0</x:v>
      </x:c>
      <x:c r="U922" s="454">
        <x:v>0</x:v>
      </x:c>
      <x:c r="V922" s="455">
        <x:v>271510.99382744293</x:v>
      </x:c>
      <x:c r="W922" s="456">
        <x:f t="shared" si="139"/>
        <x:v>1086043.9753097717</x:v>
      </x:c>
      <x:c r="X922" s="450">
        <x:f t="shared" si="133"/>
        <x:v>90503.664609147643</x:v>
      </x:c>
      <x:c r="Y922" s="457"/>
      <x:c r="Z922" s="458"/>
      <x:c r="AA922" s="458"/>
      <x:c r="AB922" s="458"/>
      <x:c r="AC922" s="458"/>
      <x:c r="AD922" s="458"/>
      <x:c r="AE922" s="458"/>
    </x:row>
    <x:row r="923" spans="1:31" ht="20.100000000000001" customHeight="1">
      <x:c r="A923" s="439" t="s">
        <x:v>88</x:v>
      </x:c>
      <x:c r="B923" s="466" t="str">
        <x:f t="shared" si="135"/>
        <x:v>기타비용</x:v>
      </x:c>
      <x:c r="C923" s="440" t="str">
        <x:f t="shared" si="136"/>
        <x:v>접대비</x:v>
      </x:c>
      <x:c r="D923" s="441">
        <x:v>52230103</x:v>
      </x:c>
      <x:c r="E923" s="442" t="str">
        <x:f t="shared" si="137"/>
        <x:v>접대비_법인카드</x:v>
      </x:c>
      <x:c r="F923" s="443"/>
      <x:c r="G923" s="444" t="s">
        <x:v>318</x:v>
      </x:c>
      <x:c r="H923" s="445" t="str">
        <x:f t="shared" si="134"/>
        <x:v>대표이사</x:v>
      </x:c>
      <x:c r="I923" s="446" t="str">
        <x:f t="shared" si="138"/>
        <x:v>[관리비]</x:v>
      </x:c>
      <x:c r="J923" s="445"/>
      <x:c r="K923" s="453">
        <x:v>0</x:v>
      </x:c>
      <x:c r="L923" s="454">
        <x:v>0</x:v>
      </x:c>
      <x:c r="M923" s="454">
        <x:v>108604.39753097716</x:v>
      </x:c>
      <x:c r="N923" s="454">
        <x:v>0</x:v>
      </x:c>
      <x:c r="O923" s="454">
        <x:v>0</x:v>
      </x:c>
      <x:c r="P923" s="454">
        <x:v>108604.39753097716</x:v>
      </x:c>
      <x:c r="Q923" s="454">
        <x:v>0</x:v>
      </x:c>
      <x:c r="R923" s="454">
        <x:v>0</x:v>
      </x:c>
      <x:c r="S923" s="454">
        <x:v>108604.39753097716</x:v>
      </x:c>
      <x:c r="T923" s="454">
        <x:v>0</x:v>
      </x:c>
      <x:c r="U923" s="454">
        <x:v>0</x:v>
      </x:c>
      <x:c r="V923" s="455">
        <x:v>108604.39753097716</x:v>
      </x:c>
      <x:c r="W923" s="456">
        <x:f t="shared" si="139"/>
        <x:v>434417.59012390865</x:v>
      </x:c>
      <x:c r="X923" s="450">
        <x:f t="shared" si="133"/>
        <x:v>36201.465843659054</x:v>
      </x:c>
      <x:c r="Y923" s="457"/>
      <x:c r="Z923" s="458"/>
      <x:c r="AA923" s="458"/>
      <x:c r="AB923" s="458"/>
      <x:c r="AC923" s="458"/>
      <x:c r="AD923" s="458"/>
      <x:c r="AE923" s="458"/>
    </x:row>
    <x:row r="924" spans="1:31" ht="20.100000000000001" customHeight="1">
      <x:c r="A924" s="439" t="s">
        <x:v>88</x:v>
      </x:c>
      <x:c r="B924" s="466" t="str">
        <x:f t="shared" si="135"/>
        <x:v>복리후생비</x:v>
      </x:c>
      <x:c r="C924" s="440" t="str">
        <x:f t="shared" si="136"/>
        <x:v>후생비</x:v>
      </x:c>
      <x:c r="D924" s="441">
        <x:v>52130109</x:v>
      </x:c>
      <x:c r="E924" s="442" t="str">
        <x:f t="shared" si="137"/>
        <x:v>후생비_부서지원비</x:v>
      </x:c>
      <x:c r="F924" s="443"/>
      <x:c r="G924" s="444" t="s">
        <x:v>87</x:v>
      </x:c>
      <x:c r="H924" s="445" t="str">
        <x:f t="shared" si="134"/>
        <x:v>기획팀</x:v>
      </x:c>
      <x:c r="I924" s="446" t="str">
        <x:f t="shared" si="138"/>
        <x:v>[관리비]</x:v>
      </x:c>
      <x:c r="J924" s="445"/>
      <x:c r="K924" s="453">
        <x:v>15204.615654336803</x:v>
      </x:c>
      <x:c r="L924" s="454">
        <x:v>15204.615654336803</x:v>
      </x:c>
      <x:c r="M924" s="454">
        <x:v>15204.615654336803</x:v>
      </x:c>
      <x:c r="N924" s="454">
        <x:v>15204.615654336803</x:v>
      </x:c>
      <x:c r="O924" s="454">
        <x:v>15204.615654336803</x:v>
      </x:c>
      <x:c r="P924" s="454">
        <x:v>15204.615654336803</x:v>
      </x:c>
      <x:c r="Q924" s="454">
        <x:v>15204.615654336803</x:v>
      </x:c>
      <x:c r="R924" s="454">
        <x:v>15204.615654336803</x:v>
      </x:c>
      <x:c r="S924" s="454">
        <x:v>15204.615654336803</x:v>
      </x:c>
      <x:c r="T924" s="454">
        <x:v>15204.615654336803</x:v>
      </x:c>
      <x:c r="U924" s="454">
        <x:v>15204.615654336803</x:v>
      </x:c>
      <x:c r="V924" s="455">
        <x:v>15204.615654336803</x:v>
      </x:c>
      <x:c r="W924" s="456">
        <x:f t="shared" si="139"/>
        <x:v>182455.38785204166</x:v>
      </x:c>
      <x:c r="X924" s="450">
        <x:f t="shared" si="133"/>
        <x:v>15204.615654336805</x:v>
      </x:c>
      <x:c r="Y924" s="457"/>
      <x:c r="Z924" s="458"/>
      <x:c r="AA924" s="458"/>
      <x:c r="AB924" s="458"/>
      <x:c r="AC924" s="458"/>
      <x:c r="AD924" s="458"/>
      <x:c r="AE924" s="458"/>
    </x:row>
    <x:row r="925" spans="1:31" ht="20.100000000000001" customHeight="1">
      <x:c r="A925" s="439" t="s">
        <x:v>88</x:v>
      </x:c>
      <x:c r="B925" s="466" t="str">
        <x:f t="shared" si="135"/>
        <x:v>복리후생비</x:v>
      </x:c>
      <x:c r="C925" s="440" t="str">
        <x:f t="shared" si="136"/>
        <x:v>후생비</x:v>
      </x:c>
      <x:c r="D925" s="441">
        <x:v>52130109</x:v>
      </x:c>
      <x:c r="E925" s="442" t="str">
        <x:f t="shared" si="137"/>
        <x:v>후생비_부서지원비</x:v>
      </x:c>
      <x:c r="F925" s="443"/>
      <x:c r="G925" s="444" t="s">
        <x:v>91</x:v>
      </x:c>
      <x:c r="H925" s="445" t="str">
        <x:f t="shared" si="134"/>
        <x:v>인사총무팀</x:v>
      </x:c>
      <x:c r="I925" s="446" t="str">
        <x:f t="shared" si="138"/>
        <x:v>[관리비]</x:v>
      </x:c>
      <x:c r="J925" s="445"/>
      <x:c r="K925" s="453">
        <x:v>26065.05540743452</x:v>
      </x:c>
      <x:c r="L925" s="454">
        <x:v>26065.05540743452</x:v>
      </x:c>
      <x:c r="M925" s="454">
        <x:v>26065.05540743452</x:v>
      </x:c>
      <x:c r="N925" s="454">
        <x:v>26065.05540743452</x:v>
      </x:c>
      <x:c r="O925" s="454">
        <x:v>26065.05540743452</x:v>
      </x:c>
      <x:c r="P925" s="454">
        <x:v>26065.05540743452</x:v>
      </x:c>
      <x:c r="Q925" s="454">
        <x:v>26065.05540743452</x:v>
      </x:c>
      <x:c r="R925" s="454">
        <x:v>26065.05540743452</x:v>
      </x:c>
      <x:c r="S925" s="454">
        <x:v>26065.05540743452</x:v>
      </x:c>
      <x:c r="T925" s="454">
        <x:v>26065.05540743452</x:v>
      </x:c>
      <x:c r="U925" s="454">
        <x:v>26065.05540743452</x:v>
      </x:c>
      <x:c r="V925" s="455">
        <x:v>26065.05540743452</x:v>
      </x:c>
      <x:c r="W925" s="456">
        <x:f t="shared" si="139"/>
        <x:v>312780.66488921427</x:v>
      </x:c>
      <x:c r="X925" s="450">
        <x:f t="shared" si="133"/>
        <x:v>26065.055407434524</x:v>
      </x:c>
      <x:c r="Y925" s="457"/>
      <x:c r="Z925" s="458"/>
      <x:c r="AA925" s="458"/>
      <x:c r="AB925" s="458"/>
      <x:c r="AC925" s="458"/>
      <x:c r="AD925" s="458"/>
      <x:c r="AE925" s="458"/>
    </x:row>
    <x:row r="926" spans="1:31" ht="20.100000000000001" customHeight="1">
      <x:c r="A926" s="439" t="s">
        <x:v>88</x:v>
      </x:c>
      <x:c r="B926" s="466" t="str">
        <x:f t="shared" si="135"/>
        <x:v>복리후생비</x:v>
      </x:c>
      <x:c r="C926" s="440" t="str">
        <x:f t="shared" si="136"/>
        <x:v>후생비</x:v>
      </x:c>
      <x:c r="D926" s="441">
        <x:v>52130109</x:v>
      </x:c>
      <x:c r="E926" s="442" t="str">
        <x:f t="shared" si="137"/>
        <x:v>후생비_부서지원비</x:v>
      </x:c>
      <x:c r="F926" s="443"/>
      <x:c r="G926" s="444" t="s">
        <x:v>97</x:v>
      </x:c>
      <x:c r="H926" s="445" t="str">
        <x:f t="shared" si="134"/>
        <x:v>재경팀</x:v>
      </x:c>
      <x:c r="I926" s="446" t="str">
        <x:f t="shared" si="138"/>
        <x:v>[관리비]</x:v>
      </x:c>
      <x:c r="J926" s="445"/>
      <x:c r="K926" s="453">
        <x:v>15204.615654336803</x:v>
      </x:c>
      <x:c r="L926" s="454">
        <x:v>15204.615654336803</x:v>
      </x:c>
      <x:c r="M926" s="454">
        <x:v>15204.615654336803</x:v>
      </x:c>
      <x:c r="N926" s="454">
        <x:v>15204.615654336803</x:v>
      </x:c>
      <x:c r="O926" s="454">
        <x:v>15204.615654336803</x:v>
      </x:c>
      <x:c r="P926" s="454">
        <x:v>15204.615654336803</x:v>
      </x:c>
      <x:c r="Q926" s="454">
        <x:v>15204.615654336803</x:v>
      </x:c>
      <x:c r="R926" s="454">
        <x:v>15204.615654336803</x:v>
      </x:c>
      <x:c r="S926" s="454">
        <x:v>15204.615654336803</x:v>
      </x:c>
      <x:c r="T926" s="454">
        <x:v>15204.615654336803</x:v>
      </x:c>
      <x:c r="U926" s="454">
        <x:v>15204.615654336803</x:v>
      </x:c>
      <x:c r="V926" s="455">
        <x:v>15204.615654336803</x:v>
      </x:c>
      <x:c r="W926" s="456">
        <x:f t="shared" si="139"/>
        <x:v>182455.38785204166</x:v>
      </x:c>
      <x:c r="X926" s="450">
        <x:f t="shared" si="133"/>
        <x:v>15204.615654336805</x:v>
      </x:c>
      <x:c r="Y926" s="457"/>
      <x:c r="Z926" s="458"/>
      <x:c r="AA926" s="458"/>
      <x:c r="AB926" s="458"/>
      <x:c r="AC926" s="458"/>
      <x:c r="AD926" s="458"/>
      <x:c r="AE926" s="458"/>
    </x:row>
    <x:row r="927" spans="1:31" ht="20.100000000000001" customHeight="1">
      <x:c r="A927" s="439" t="s">
        <x:v>88</x:v>
      </x:c>
      <x:c r="B927" s="466" t="str">
        <x:f t="shared" si="135"/>
        <x:v>복리후생비</x:v>
      </x:c>
      <x:c r="C927" s="440" t="str">
        <x:f t="shared" si="136"/>
        <x:v>후생비</x:v>
      </x:c>
      <x:c r="D927" s="441">
        <x:v>52130123</x:v>
      </x:c>
      <x:c r="E927" s="442" t="str">
        <x:f t="shared" si="137"/>
        <x:v>후생비_외근식대</x:v>
      </x:c>
      <x:c r="F927" s="443"/>
      <x:c r="G927" s="444" t="s">
        <x:v>87</x:v>
      </x:c>
      <x:c r="H927" s="445" t="str">
        <x:f t="shared" si="134"/>
        <x:v>기획팀</x:v>
      </x:c>
      <x:c r="I927" s="446" t="str">
        <x:f t="shared" si="138"/>
        <x:v>[관리비]</x:v>
      </x:c>
      <x:c r="J927" s="445"/>
      <x:c r="K927" s="453">
        <x:v>1086.0439753097717</x:v>
      </x:c>
      <x:c r="L927" s="454">
        <x:v>1086.0439753097717</x:v>
      </x:c>
      <x:c r="M927" s="454">
        <x:v>1086.0439753097717</x:v>
      </x:c>
      <x:c r="N927" s="454">
        <x:v>1086.0439753097717</x:v>
      </x:c>
      <x:c r="O927" s="454">
        <x:v>1086.0439753097717</x:v>
      </x:c>
      <x:c r="P927" s="454">
        <x:v>1086.0439753097717</x:v>
      </x:c>
      <x:c r="Q927" s="454">
        <x:v>1086.0439753097717</x:v>
      </x:c>
      <x:c r="R927" s="454">
        <x:v>1086.0439753097717</x:v>
      </x:c>
      <x:c r="S927" s="454">
        <x:v>1086.0439753097717</x:v>
      </x:c>
      <x:c r="T927" s="454">
        <x:v>1086.0439753097717</x:v>
      </x:c>
      <x:c r="U927" s="454">
        <x:v>1086.0439753097717</x:v>
      </x:c>
      <x:c r="V927" s="455">
        <x:v>1086.0439753097717</x:v>
      </x:c>
      <x:c r="W927" s="456">
        <x:f t="shared" si="139"/>
        <x:v>13032.527703717256</x:v>
      </x:c>
      <x:c r="X927" s="450">
        <x:f t="shared" ref="X927:X971" si="140">IFERROR($W927/$Y$1,"")</x:f>
        <x:v>1086.0439753097714</x:v>
      </x:c>
      <x:c r="Y927" s="457"/>
      <x:c r="Z927" s="458"/>
      <x:c r="AA927" s="458"/>
      <x:c r="AB927" s="458"/>
      <x:c r="AC927" s="458"/>
      <x:c r="AD927" s="458"/>
      <x:c r="AE927" s="458"/>
    </x:row>
    <x:row r="928" spans="1:31" ht="20.100000000000001" customHeight="1">
      <x:c r="A928" s="439" t="s">
        <x:v>88</x:v>
      </x:c>
      <x:c r="B928" s="466" t="str">
        <x:f t="shared" si="135"/>
        <x:v>복리후생비</x:v>
      </x:c>
      <x:c r="C928" s="440" t="str">
        <x:f t="shared" si="136"/>
        <x:v>후생비</x:v>
      </x:c>
      <x:c r="D928" s="441">
        <x:v>52130125</x:v>
      </x:c>
      <x:c r="E928" s="442" t="str">
        <x:f t="shared" si="137"/>
        <x:v>후생비_기타식대</x:v>
      </x:c>
      <x:c r="F928" s="443"/>
      <x:c r="G928" s="444" t="s">
        <x:v>87</x:v>
      </x:c>
      <x:c r="H928" s="445" t="str">
        <x:f t="shared" si="134"/>
        <x:v>기획팀</x:v>
      </x:c>
      <x:c r="I928" s="446" t="str">
        <x:f t="shared" si="138"/>
        <x:v>[관리비]</x:v>
      </x:c>
      <x:c r="J928" s="445"/>
      <x:c r="K928" s="453">
        <x:v>543.02198765488583</x:v>
      </x:c>
      <x:c r="L928" s="454">
        <x:v>543.02198765488583</x:v>
      </x:c>
      <x:c r="M928" s="454">
        <x:v>543.02198765488583</x:v>
      </x:c>
      <x:c r="N928" s="454">
        <x:v>543.02198765488583</x:v>
      </x:c>
      <x:c r="O928" s="454">
        <x:v>543.02198765488583</x:v>
      </x:c>
      <x:c r="P928" s="454">
        <x:v>543.02198765488583</x:v>
      </x:c>
      <x:c r="Q928" s="454">
        <x:v>543.02198765488583</x:v>
      </x:c>
      <x:c r="R928" s="454">
        <x:v>543.02198765488583</x:v>
      </x:c>
      <x:c r="S928" s="454">
        <x:v>543.02198765488583</x:v>
      </x:c>
      <x:c r="T928" s="454">
        <x:v>543.02198765488583</x:v>
      </x:c>
      <x:c r="U928" s="454">
        <x:v>543.02198765488583</x:v>
      </x:c>
      <x:c r="V928" s="455">
        <x:v>543.02198765488583</x:v>
      </x:c>
      <x:c r="W928" s="456">
        <x:f t="shared" si="139"/>
        <x:v>6516.2638518586282</x:v>
      </x:c>
      <x:c r="X928" s="450">
        <x:f t="shared" si="140"/>
        <x:v>543.02198765488572</x:v>
      </x:c>
      <x:c r="Y928" s="457"/>
      <x:c r="Z928" s="458"/>
      <x:c r="AA928" s="458"/>
      <x:c r="AB928" s="458"/>
      <x:c r="AC928" s="458"/>
      <x:c r="AD928" s="458"/>
      <x:c r="AE928" s="458"/>
    </x:row>
    <x:row r="929" spans="1:31" ht="20.100000000000001" customHeight="1">
      <x:c r="A929" s="439" t="s">
        <x:v>88</x:v>
      </x:c>
      <x:c r="B929" s="466" t="str">
        <x:f t="shared" si="135"/>
        <x:v>여비교통비</x:v>
      </x:c>
      <x:c r="C929" s="440" t="str">
        <x:f t="shared" si="136"/>
        <x:v>여비교통비</x:v>
      </x:c>
      <x:c r="D929" s="441">
        <x:v>52150103</x:v>
      </x:c>
      <x:c r="E929" s="442" t="str">
        <x:f t="shared" si="137"/>
        <x:v>여비교통비_해외출장</x:v>
      </x:c>
      <x:c r="F929" s="443"/>
      <x:c r="G929" s="444" t="s">
        <x:v>87</x:v>
      </x:c>
      <x:c r="H929" s="445" t="str">
        <x:f t="shared" si="134"/>
        <x:v>기획팀</x:v>
      </x:c>
      <x:c r="I929" s="446" t="str">
        <x:f t="shared" si="138"/>
        <x:v>[관리비]</x:v>
      </x:c>
      <x:c r="J929" s="445"/>
      <x:c r="K929" s="453">
        <x:v>0</x:v>
      </x:c>
      <x:c r="L929" s="454">
        <x:v>0</x:v>
      </x:c>
      <x:c r="M929" s="454">
        <x:v>271510.99382744293</x:v>
      </x:c>
      <x:c r="N929" s="454">
        <x:v>0</x:v>
      </x:c>
      <x:c r="O929" s="454">
        <x:v>0</x:v>
      </x:c>
      <x:c r="P929" s="454">
        <x:v>271510.99382744293</x:v>
      </x:c>
      <x:c r="Q929" s="454">
        <x:v>0</x:v>
      </x:c>
      <x:c r="R929" s="454">
        <x:v>0</x:v>
      </x:c>
      <x:c r="S929" s="454">
        <x:v>271510.99382744293</x:v>
      </x:c>
      <x:c r="T929" s="454">
        <x:v>0</x:v>
      </x:c>
      <x:c r="U929" s="454">
        <x:v>0</x:v>
      </x:c>
      <x:c r="V929" s="455">
        <x:v>271510.99382744293</x:v>
      </x:c>
      <x:c r="W929" s="456">
        <x:f t="shared" si="139"/>
        <x:v>1086043.9753097717</x:v>
      </x:c>
      <x:c r="X929" s="450">
        <x:f t="shared" si="140"/>
        <x:v>90503.664609147643</x:v>
      </x:c>
      <x:c r="Y929" s="457"/>
      <x:c r="Z929" s="458"/>
      <x:c r="AA929" s="458"/>
      <x:c r="AB929" s="458"/>
      <x:c r="AC929" s="458"/>
      <x:c r="AD929" s="458"/>
      <x:c r="AE929" s="458"/>
    </x:row>
    <x:row r="930" spans="1:31" ht="20.100000000000001" customHeight="1">
      <x:c r="A930" s="439" t="s">
        <x:v>88</x:v>
      </x:c>
      <x:c r="B930" s="466" t="str">
        <x:f t="shared" si="135"/>
        <x:v>여비교통비</x:v>
      </x:c>
      <x:c r="C930" s="440" t="str">
        <x:f t="shared" si="136"/>
        <x:v>여비교통비</x:v>
      </x:c>
      <x:c r="D930" s="441">
        <x:v>52150105</x:v>
      </x:c>
      <x:c r="E930" s="442" t="str">
        <x:f t="shared" si="137"/>
        <x:v>여비교통비_시내</x:v>
      </x:c>
      <x:c r="F930" s="443"/>
      <x:c r="G930" s="444" t="s">
        <x:v>87</x:v>
      </x:c>
      <x:c r="H930" s="445" t="str">
        <x:f t="shared" si="134"/>
        <x:v>기획팀</x:v>
      </x:c>
      <x:c r="I930" s="446" t="str">
        <x:f t="shared" si="138"/>
        <x:v>[관리비]</x:v>
      </x:c>
      <x:c r="J930" s="445"/>
      <x:c r="K930" s="453">
        <x:v>543.02198765488583</x:v>
      </x:c>
      <x:c r="L930" s="454">
        <x:v>543.02198765488583</x:v>
      </x:c>
      <x:c r="M930" s="454">
        <x:v>543.02198765488583</x:v>
      </x:c>
      <x:c r="N930" s="454">
        <x:v>543.02198765488583</x:v>
      </x:c>
      <x:c r="O930" s="454">
        <x:v>543.02198765488583</x:v>
      </x:c>
      <x:c r="P930" s="454">
        <x:v>543.02198765488583</x:v>
      </x:c>
      <x:c r="Q930" s="454">
        <x:v>543.02198765488583</x:v>
      </x:c>
      <x:c r="R930" s="454">
        <x:v>543.02198765488583</x:v>
      </x:c>
      <x:c r="S930" s="454">
        <x:v>543.02198765488583</x:v>
      </x:c>
      <x:c r="T930" s="454">
        <x:v>543.02198765488583</x:v>
      </x:c>
      <x:c r="U930" s="454">
        <x:v>543.02198765488583</x:v>
      </x:c>
      <x:c r="V930" s="455">
        <x:v>543.02198765488583</x:v>
      </x:c>
      <x:c r="W930" s="456">
        <x:f t="shared" si="139"/>
        <x:v>6516.2638518586282</x:v>
      </x:c>
      <x:c r="X930" s="450">
        <x:f t="shared" si="140"/>
        <x:v>543.02198765488572</x:v>
      </x:c>
      <x:c r="Y930" s="457"/>
      <x:c r="Z930" s="458"/>
      <x:c r="AA930" s="458"/>
      <x:c r="AB930" s="458"/>
      <x:c r="AC930" s="458"/>
      <x:c r="AD930" s="458"/>
      <x:c r="AE930" s="458"/>
    </x:row>
    <x:row r="931" spans="1:31" ht="20.100000000000001" customHeight="1">
      <x:c r="A931" s="439" t="s">
        <x:v>88</x:v>
      </x:c>
      <x:c r="B931" s="466" t="str">
        <x:f t="shared" si="135"/>
        <x:v>기타비용</x:v>
      </x:c>
      <x:c r="C931" s="440" t="str">
        <x:f t="shared" si="136"/>
        <x:v>접대비</x:v>
      </x:c>
      <x:c r="D931" s="441">
        <x:v>52230103</x:v>
      </x:c>
      <x:c r="E931" s="442" t="str">
        <x:f t="shared" si="137"/>
        <x:v>접대비_법인카드</x:v>
      </x:c>
      <x:c r="F931" s="443"/>
      <x:c r="G931" s="444" t="s">
        <x:v>87</x:v>
      </x:c>
      <x:c r="H931" s="445" t="str">
        <x:f t="shared" si="134"/>
        <x:v>기획팀</x:v>
      </x:c>
      <x:c r="I931" s="446" t="str">
        <x:f t="shared" si="138"/>
        <x:v>[관리비]</x:v>
      </x:c>
      <x:c r="J931" s="445"/>
      <x:c r="K931" s="453">
        <x:v>4344.1759012390867</x:v>
      </x:c>
      <x:c r="L931" s="454">
        <x:v>4344.1759012390867</x:v>
      </x:c>
      <x:c r="M931" s="454">
        <x:v>4887.197888893973</x:v>
      </x:c>
      <x:c r="N931" s="454">
        <x:v>4344.1759012390867</x:v>
      </x:c>
      <x:c r="O931" s="454">
        <x:v>4344.1759012390867</x:v>
      </x:c>
      <x:c r="P931" s="454">
        <x:v>4887.197888893973</x:v>
      </x:c>
      <x:c r="Q931" s="454">
        <x:v>4344.1759012390867</x:v>
      </x:c>
      <x:c r="R931" s="454">
        <x:v>4344.1759012390867</x:v>
      </x:c>
      <x:c r="S931" s="454">
        <x:v>4887.197888893973</x:v>
      </x:c>
      <x:c r="T931" s="454">
        <x:v>4344.1759012390867</x:v>
      </x:c>
      <x:c r="U931" s="454">
        <x:v>4344.1759012390867</x:v>
      </x:c>
      <x:c r="V931" s="455">
        <x:v>4887.197888893973</x:v>
      </x:c>
      <x:c r="W931" s="456">
        <x:f t="shared" si="139"/>
        <x:v>54302.198765488582</x:v>
      </x:c>
      <x:c r="X931" s="450">
        <x:f t="shared" si="140"/>
        <x:v>4525.1832304573818</x:v>
      </x:c>
      <x:c r="Y931" s="457"/>
      <x:c r="Z931" s="458"/>
      <x:c r="AA931" s="458"/>
      <x:c r="AB931" s="458"/>
      <x:c r="AC931" s="458"/>
      <x:c r="AD931" s="458"/>
      <x:c r="AE931" s="458"/>
    </x:row>
    <x:row r="932" spans="1:31" ht="20.100000000000001" customHeight="1">
      <x:c r="A932" s="439" t="s">
        <x:v>88</x:v>
      </x:c>
      <x:c r="B932" s="466" t="str">
        <x:f t="shared" si="135"/>
        <x:v>운반비</x:v>
      </x:c>
      <x:c r="C932" s="440" t="str">
        <x:f t="shared" si="136"/>
        <x:v>운반비</x:v>
      </x:c>
      <x:c r="D932" s="441">
        <x:v>52259900</x:v>
      </x:c>
      <x:c r="E932" s="442" t="str">
        <x:f t="shared" si="137"/>
        <x:v>운반비_기타</x:v>
      </x:c>
      <x:c r="F932" s="443"/>
      <x:c r="G932" s="444" t="s">
        <x:v>87</x:v>
      </x:c>
      <x:c r="H932" s="445" t="str">
        <x:f t="shared" si="134"/>
        <x:v>기획팀</x:v>
      </x:c>
      <x:c r="I932" s="446" t="str">
        <x:f t="shared" si="138"/>
        <x:v>[관리비]</x:v>
      </x:c>
      <x:c r="J932" s="445"/>
      <x:c r="K932" s="453">
        <x:v>1629.0659629646575</x:v>
      </x:c>
      <x:c r="L932" s="454">
        <x:v>1629.0659629646575</x:v>
      </x:c>
      <x:c r="M932" s="454">
        <x:v>1629.0659629646575</x:v>
      </x:c>
      <x:c r="N932" s="454">
        <x:v>1629.0659629646575</x:v>
      </x:c>
      <x:c r="O932" s="454">
        <x:v>1629.0659629646575</x:v>
      </x:c>
      <x:c r="P932" s="454">
        <x:v>1629.0659629646575</x:v>
      </x:c>
      <x:c r="Q932" s="454">
        <x:v>1629.0659629646575</x:v>
      </x:c>
      <x:c r="R932" s="454">
        <x:v>1629.0659629646575</x:v>
      </x:c>
      <x:c r="S932" s="454">
        <x:v>1629.0659629646575</x:v>
      </x:c>
      <x:c r="T932" s="454">
        <x:v>1629.0659629646575</x:v>
      </x:c>
      <x:c r="U932" s="454">
        <x:v>1629.0659629646575</x:v>
      </x:c>
      <x:c r="V932" s="455">
        <x:v>1629.0659629646575</x:v>
      </x:c>
      <x:c r="W932" s="456">
        <x:f t="shared" si="139"/>
        <x:v>19548.791555575892</x:v>
      </x:c>
      <x:c r="X932" s="450">
        <x:f t="shared" si="140"/>
        <x:v>1629.0659629646577</x:v>
      </x:c>
      <x:c r="Y932" s="457"/>
      <x:c r="Z932" s="458"/>
      <x:c r="AA932" s="458"/>
      <x:c r="AB932" s="458"/>
      <x:c r="AC932" s="458"/>
      <x:c r="AD932" s="458"/>
      <x:c r="AE932" s="458"/>
    </x:row>
    <x:row r="933" spans="1:31" ht="20.100000000000001" customHeight="1">
      <x:c r="A933" s="439" t="s">
        <x:v>88</x:v>
      </x:c>
      <x:c r="B933" s="466" t="str">
        <x:f t="shared" si="135"/>
        <x:v>지급수수료</x:v>
      </x:c>
      <x:c r="C933" s="440" t="str">
        <x:f t="shared" si="136"/>
        <x:v>지급수수료</x:v>
      </x:c>
      <x:c r="D933" s="441">
        <x:v>52319900</x:v>
      </x:c>
      <x:c r="E933" s="442" t="str">
        <x:f t="shared" si="137"/>
        <x:v>지급수수료_기타</x:v>
      </x:c>
      <x:c r="F933" s="443"/>
      <x:c r="G933" s="444" t="s">
        <x:v>87</x:v>
      </x:c>
      <x:c r="H933" s="445" t="str">
        <x:f t="shared" si="134"/>
        <x:v>기획팀</x:v>
      </x:c>
      <x:c r="I933" s="446" t="str">
        <x:f t="shared" si="138"/>
        <x:v>[관리비]</x:v>
      </x:c>
      <x:c r="J933" s="445"/>
      <x:c r="K933" s="453">
        <x:v>0</x:v>
      </x:c>
      <x:c r="L933" s="454">
        <x:v>0</x:v>
      </x:c>
      <x:c r="M933" s="454">
        <x:v>0</x:v>
      </x:c>
      <x:c r="N933" s="454">
        <x:v>38011.539135842009</x:v>
      </x:c>
      <x:c r="O933" s="454">
        <x:v>0</x:v>
      </x:c>
      <x:c r="P933" s="454">
        <x:v>0</x:v>
      </x:c>
      <x:c r="Q933" s="454">
        <x:v>0</x:v>
      </x:c>
      <x:c r="R933" s="454">
        <x:v>0</x:v>
      </x:c>
      <x:c r="S933" s="454">
        <x:v>0</x:v>
      </x:c>
      <x:c r="T933" s="454">
        <x:v>0</x:v>
      </x:c>
      <x:c r="U933" s="454">
        <x:v>0</x:v>
      </x:c>
      <x:c r="V933" s="455">
        <x:v>0</x:v>
      </x:c>
      <x:c r="W933" s="456">
        <x:f t="shared" si="139"/>
        <x:v>38011.539135842009</x:v>
      </x:c>
      <x:c r="X933" s="450">
        <x:f t="shared" si="140"/>
        <x:v>3167.6282613201674</x:v>
      </x:c>
      <x:c r="Y933" s="457"/>
      <x:c r="Z933" s="458"/>
      <x:c r="AA933" s="458"/>
      <x:c r="AB933" s="458"/>
      <x:c r="AC933" s="458"/>
      <x:c r="AD933" s="458"/>
      <x:c r="AE933" s="458"/>
    </x:row>
    <x:row r="934" spans="1:31" ht="20.100000000000001" customHeight="1">
      <x:c r="A934" s="439" t="s">
        <x:v>88</x:v>
      </x:c>
      <x:c r="B934" s="466" t="str">
        <x:f t="shared" si="135"/>
        <x:v>복리후생비</x:v>
      </x:c>
      <x:c r="C934" s="440" t="str">
        <x:f t="shared" si="136"/>
        <x:v>후생비</x:v>
      </x:c>
      <x:c r="D934" s="441">
        <x:v>52130139</x:v>
      </x:c>
      <x:c r="E934" s="442" t="str">
        <x:f t="shared" si="137"/>
        <x:v>후생비_교류활동비</x:v>
      </x:c>
      <x:c r="F934" s="443"/>
      <x:c r="G934" s="444" t="s">
        <x:v>89</x:v>
      </x:c>
      <x:c r="H934" s="445" t="str">
        <x:f t="shared" si="134"/>
        <x:v>기획담당</x:v>
      </x:c>
      <x:c r="I934" s="446" t="str">
        <x:f t="shared" si="138"/>
        <x:v>[관리비]</x:v>
      </x:c>
      <x:c r="J934" s="445"/>
      <x:c r="K934" s="453">
        <x:v>0</x:v>
      </x:c>
      <x:c r="L934" s="454">
        <x:v>10860.439753097717</x:v>
      </x:c>
      <x:c r="M934" s="454">
        <x:v>0</x:v>
      </x:c>
      <x:c r="N934" s="454">
        <x:v>10860.439753097717</x:v>
      </x:c>
      <x:c r="O934" s="454">
        <x:v>0</x:v>
      </x:c>
      <x:c r="P934" s="454">
        <x:v>0</x:v>
      </x:c>
      <x:c r="Q934" s="454">
        <x:v>10860.439753097717</x:v>
      </x:c>
      <x:c r="R934" s="454">
        <x:v>0</x:v>
      </x:c>
      <x:c r="S934" s="454">
        <x:v>10860.439753097717</x:v>
      </x:c>
      <x:c r="T934" s="454">
        <x:v>0</x:v>
      </x:c>
      <x:c r="U934" s="454">
        <x:v>0</x:v>
      </x:c>
      <x:c r="V934" s="455">
        <x:v>10860.439753097717</x:v>
      </x:c>
      <x:c r="W934" s="456">
        <x:f t="shared" si="139"/>
        <x:v>54302.198765488582</x:v>
      </x:c>
      <x:c r="X934" s="450">
        <x:f t="shared" si="140"/>
        <x:v>4525.1832304573818</x:v>
      </x:c>
      <x:c r="Y934" s="457"/>
      <x:c r="Z934" s="458"/>
      <x:c r="AA934" s="458"/>
      <x:c r="AB934" s="458"/>
      <x:c r="AC934" s="458"/>
      <x:c r="AD934" s="458"/>
      <x:c r="AE934" s="458"/>
    </x:row>
    <x:row r="935" spans="1:31" ht="20.100000000000001" customHeight="1">
      <x:c r="A935" s="439" t="s">
        <x:v>88</x:v>
      </x:c>
      <x:c r="B935" s="466" t="str">
        <x:f t="shared" si="135"/>
        <x:v>복리후생비</x:v>
      </x:c>
      <x:c r="C935" s="440" t="str">
        <x:f t="shared" si="136"/>
        <x:v>후생비</x:v>
      </x:c>
      <x:c r="D935" s="441">
        <x:v>52130139</x:v>
      </x:c>
      <x:c r="E935" s="442" t="str">
        <x:f t="shared" si="137"/>
        <x:v>후생비_교류활동비</x:v>
      </x:c>
      <x:c r="F935" s="443"/>
      <x:c r="G935" s="444" t="s">
        <x:v>95</x:v>
      </x:c>
      <x:c r="H935" s="445" t="str">
        <x:f t="shared" si="134"/>
        <x:v>재경담당</x:v>
      </x:c>
      <x:c r="I935" s="446" t="str">
        <x:f t="shared" si="138"/>
        <x:v>[관리비]</x:v>
      </x:c>
      <x:c r="J935" s="445"/>
      <x:c r="K935" s="453">
        <x:v>0</x:v>
      </x:c>
      <x:c r="L935" s="454">
        <x:v>10860.439753097717</x:v>
      </x:c>
      <x:c r="M935" s="454">
        <x:v>0</x:v>
      </x:c>
      <x:c r="N935" s="454">
        <x:v>10860.439753097717</x:v>
      </x:c>
      <x:c r="O935" s="454">
        <x:v>0</x:v>
      </x:c>
      <x:c r="P935" s="454">
        <x:v>0</x:v>
      </x:c>
      <x:c r="Q935" s="454">
        <x:v>10860.439753097717</x:v>
      </x:c>
      <x:c r="R935" s="454">
        <x:v>0</x:v>
      </x:c>
      <x:c r="S935" s="454">
        <x:v>10860.439753097717</x:v>
      </x:c>
      <x:c r="T935" s="454">
        <x:v>0</x:v>
      </x:c>
      <x:c r="U935" s="454">
        <x:v>0</x:v>
      </x:c>
      <x:c r="V935" s="455">
        <x:v>10860.439753097717</x:v>
      </x:c>
      <x:c r="W935" s="456">
        <x:f t="shared" si="139"/>
        <x:v>54302.198765488582</x:v>
      </x:c>
      <x:c r="X935" s="450">
        <x:f t="shared" si="140"/>
        <x:v>4525.1832304573818</x:v>
      </x:c>
      <x:c r="Y935" s="457"/>
      <x:c r="Z935" s="458"/>
      <x:c r="AA935" s="458"/>
      <x:c r="AB935" s="458"/>
      <x:c r="AC935" s="458"/>
      <x:c r="AD935" s="458"/>
      <x:c r="AE935" s="458"/>
    </x:row>
    <x:row r="936" spans="1:31" ht="20.100000000000001" customHeight="1">
      <x:c r="A936" s="439" t="s">
        <x:v>88</x:v>
      </x:c>
      <x:c r="B936" s="466" t="str">
        <x:f t="shared" si="135"/>
        <x:v>복리후생비</x:v>
      </x:c>
      <x:c r="C936" s="440" t="str">
        <x:f t="shared" si="136"/>
        <x:v>후생비</x:v>
      </x:c>
      <x:c r="D936" s="441">
        <x:v>52130139</x:v>
      </x:c>
      <x:c r="E936" s="442" t="str">
        <x:f t="shared" si="137"/>
        <x:v>후생비_교류활동비</x:v>
      </x:c>
      <x:c r="F936" s="443"/>
      <x:c r="G936" s="444" t="s">
        <x:v>93</x:v>
      </x:c>
      <x:c r="H936" s="445" t="str">
        <x:f t="shared" si="134"/>
        <x:v>인사총무담당</x:v>
      </x:c>
      <x:c r="I936" s="446" t="str">
        <x:f t="shared" si="138"/>
        <x:v>[관리비]</x:v>
      </x:c>
      <x:c r="J936" s="445"/>
      <x:c r="K936" s="453">
        <x:v>10860.439753097717</x:v>
      </x:c>
      <x:c r="L936" s="454">
        <x:v>0</x:v>
      </x:c>
      <x:c r="M936" s="454">
        <x:v>10860.439753097717</x:v>
      </x:c>
      <x:c r="N936" s="454">
        <x:v>0</x:v>
      </x:c>
      <x:c r="O936" s="454">
        <x:v>0</x:v>
      </x:c>
      <x:c r="P936" s="454">
        <x:v>10860.439753097717</x:v>
      </x:c>
      <x:c r="Q936" s="454">
        <x:v>0</x:v>
      </x:c>
      <x:c r="R936" s="454">
        <x:v>10860.439753097717</x:v>
      </x:c>
      <x:c r="S936" s="454">
        <x:v>0</x:v>
      </x:c>
      <x:c r="T936" s="454">
        <x:v>0</x:v>
      </x:c>
      <x:c r="U936" s="454">
        <x:v>10860.439753097717</x:v>
      </x:c>
      <x:c r="V936" s="455">
        <x:v>0</x:v>
      </x:c>
      <x:c r="W936" s="456">
        <x:f t="shared" si="139"/>
        <x:v>54302.198765488582</x:v>
      </x:c>
      <x:c r="X936" s="450">
        <x:f t="shared" si="140"/>
        <x:v>4525.1832304573818</x:v>
      </x:c>
      <x:c r="Y936" s="457"/>
      <x:c r="Z936" s="458"/>
      <x:c r="AA936" s="458"/>
      <x:c r="AB936" s="458"/>
      <x:c r="AC936" s="458"/>
      <x:c r="AD936" s="458"/>
      <x:c r="AE936" s="458"/>
    </x:row>
    <x:row r="937" spans="1:31" ht="20.100000000000001" customHeight="1">
      <x:c r="A937" s="439"/>
      <x:c r="B937" s="466" t="str">
        <x:f t="shared" si="135"/>
        <x:v/>
      </x:c>
      <x:c r="C937" s="440" t="str">
        <x:f t="shared" si="136"/>
        <x:v/>
      </x:c>
      <x:c r="D937" s="441"/>
      <x:c r="E937" s="442" t="str">
        <x:f t="shared" si="137"/>
        <x:v/>
      </x:c>
      <x:c r="F937" s="443"/>
      <x:c r="G937" s="444"/>
      <x:c r="H937" s="445" t="str">
        <x:f t="shared" si="134"/>
        <x:v/>
      </x:c>
      <x:c r="I937" s="446" t="str">
        <x:f t="shared" si="138"/>
        <x:v/>
      </x:c>
      <x:c r="J937" s="445"/>
      <x:c r="K937" s="453"/>
      <x:c r="L937" s="454"/>
      <x:c r="M937" s="454"/>
      <x:c r="N937" s="454"/>
      <x:c r="O937" s="454"/>
      <x:c r="P937" s="454"/>
      <x:c r="Q937" s="454"/>
      <x:c r="R937" s="454"/>
      <x:c r="S937" s="454"/>
      <x:c r="T937" s="454"/>
      <x:c r="U937" s="454"/>
      <x:c r="V937" s="455"/>
      <x:c r="W937" s="456">
        <x:f t="shared" si="139"/>
        <x:v>0</x:v>
      </x:c>
      <x:c r="X937" s="450">
        <x:f t="shared" si="140"/>
        <x:v>0</x:v>
      </x:c>
      <x:c r="Y937" s="457"/>
      <x:c r="Z937" s="458"/>
      <x:c r="AA937" s="458"/>
      <x:c r="AB937" s="458"/>
      <x:c r="AC937" s="458"/>
      <x:c r="AD937" s="458"/>
      <x:c r="AE937" s="458"/>
    </x:row>
    <x:row r="938" spans="1:31" ht="20.100000000000001" customHeight="1">
      <x:c r="A938" s="439"/>
      <x:c r="B938" s="466" t="str">
        <x:f t="shared" si="135"/>
        <x:v/>
      </x:c>
      <x:c r="C938" s="440" t="str">
        <x:f t="shared" si="136"/>
        <x:v/>
      </x:c>
      <x:c r="D938" s="441"/>
      <x:c r="E938" s="442" t="str">
        <x:f t="shared" si="137"/>
        <x:v/>
      </x:c>
      <x:c r="F938" s="443"/>
      <x:c r="G938" s="444"/>
      <x:c r="H938" s="445" t="str">
        <x:f t="shared" si="134"/>
        <x:v/>
      </x:c>
      <x:c r="I938" s="446" t="str">
        <x:f t="shared" si="138"/>
        <x:v/>
      </x:c>
      <x:c r="J938" s="445"/>
      <x:c r="K938" s="453"/>
      <x:c r="L938" s="454"/>
      <x:c r="M938" s="454"/>
      <x:c r="N938" s="454"/>
      <x:c r="O938" s="454"/>
      <x:c r="P938" s="454"/>
      <x:c r="Q938" s="454"/>
      <x:c r="R938" s="454"/>
      <x:c r="S938" s="454"/>
      <x:c r="T938" s="454"/>
      <x:c r="U938" s="454"/>
      <x:c r="V938" s="455"/>
      <x:c r="W938" s="456">
        <x:f t="shared" si="139"/>
        <x:v>0</x:v>
      </x:c>
      <x:c r="X938" s="450">
        <x:f t="shared" si="140"/>
        <x:v>0</x:v>
      </x:c>
      <x:c r="Y938" s="457"/>
      <x:c r="Z938" s="458"/>
      <x:c r="AA938" s="458"/>
      <x:c r="AB938" s="458"/>
      <x:c r="AC938" s="458"/>
      <x:c r="AD938" s="458"/>
      <x:c r="AE938" s="458"/>
    </x:row>
    <x:row r="939" spans="1:31" ht="20.100000000000001" customHeight="1">
      <x:c r="A939" s="439"/>
      <x:c r="B939" s="466" t="str">
        <x:f t="shared" si="135"/>
        <x:v/>
      </x:c>
      <x:c r="C939" s="440" t="str">
        <x:f t="shared" si="136"/>
        <x:v/>
      </x:c>
      <x:c r="D939" s="441"/>
      <x:c r="E939" s="442" t="str">
        <x:f t="shared" si="137"/>
        <x:v/>
      </x:c>
      <x:c r="F939" s="443"/>
      <x:c r="G939" s="444"/>
      <x:c r="H939" s="445" t="str">
        <x:f t="shared" si="134"/>
        <x:v/>
      </x:c>
      <x:c r="I939" s="446" t="str">
        <x:f t="shared" si="138"/>
        <x:v/>
      </x:c>
      <x:c r="J939" s="445"/>
      <x:c r="K939" s="453"/>
      <x:c r="L939" s="454"/>
      <x:c r="M939" s="454"/>
      <x:c r="N939" s="454"/>
      <x:c r="O939" s="454"/>
      <x:c r="P939" s="454"/>
      <x:c r="Q939" s="454"/>
      <x:c r="R939" s="454"/>
      <x:c r="S939" s="454"/>
      <x:c r="T939" s="454"/>
      <x:c r="U939" s="454"/>
      <x:c r="V939" s="455"/>
      <x:c r="W939" s="456">
        <x:f t="shared" si="139"/>
        <x:v>0</x:v>
      </x:c>
      <x:c r="X939" s="450">
        <x:f t="shared" si="140"/>
        <x:v>0</x:v>
      </x:c>
      <x:c r="Y939" s="457"/>
      <x:c r="Z939" s="458"/>
      <x:c r="AA939" s="458"/>
      <x:c r="AB939" s="458"/>
      <x:c r="AC939" s="458"/>
      <x:c r="AD939" s="458"/>
      <x:c r="AE939" s="458"/>
    </x:row>
    <x:row r="940" spans="1:31" ht="20.100000000000001" customHeight="1">
      <x:c r="A940" s="439"/>
      <x:c r="B940" s="466" t="str">
        <x:f t="shared" si="135"/>
        <x:v/>
      </x:c>
      <x:c r="C940" s="440" t="str">
        <x:f t="shared" si="136"/>
        <x:v/>
      </x:c>
      <x:c r="D940" s="441"/>
      <x:c r="E940" s="442" t="str">
        <x:f t="shared" si="137"/>
        <x:v/>
      </x:c>
      <x:c r="F940" s="443"/>
      <x:c r="G940" s="444"/>
      <x:c r="H940" s="445" t="str">
        <x:f t="shared" si="134"/>
        <x:v/>
      </x:c>
      <x:c r="I940" s="446" t="str">
        <x:f t="shared" si="138"/>
        <x:v/>
      </x:c>
      <x:c r="J940" s="445"/>
      <x:c r="K940" s="453"/>
      <x:c r="L940" s="454"/>
      <x:c r="M940" s="454"/>
      <x:c r="N940" s="454"/>
      <x:c r="O940" s="454"/>
      <x:c r="P940" s="454"/>
      <x:c r="Q940" s="454"/>
      <x:c r="R940" s="454"/>
      <x:c r="S940" s="454"/>
      <x:c r="T940" s="454"/>
      <x:c r="U940" s="454"/>
      <x:c r="V940" s="455"/>
      <x:c r="W940" s="456">
        <x:f t="shared" si="139"/>
        <x:v>0</x:v>
      </x:c>
      <x:c r="X940" s="450">
        <x:f t="shared" si="140"/>
        <x:v>0</x:v>
      </x:c>
      <x:c r="Y940" s="457"/>
      <x:c r="Z940" s="458"/>
      <x:c r="AA940" s="458"/>
      <x:c r="AB940" s="458"/>
      <x:c r="AC940" s="458"/>
      <x:c r="AD940" s="458"/>
      <x:c r="AE940" s="458"/>
    </x:row>
    <x:row r="941" spans="1:31" ht="20.100000000000001" customHeight="1">
      <x:c r="A941" s="439"/>
      <x:c r="B941" s="466" t="str">
        <x:f t="shared" si="135"/>
        <x:v/>
      </x:c>
      <x:c r="C941" s="440" t="str">
        <x:f t="shared" si="136"/>
        <x:v/>
      </x:c>
      <x:c r="D941" s="441"/>
      <x:c r="E941" s="442" t="str">
        <x:f t="shared" si="137"/>
        <x:v/>
      </x:c>
      <x:c r="F941" s="443"/>
      <x:c r="G941" s="444"/>
      <x:c r="H941" s="445" t="str">
        <x:f t="shared" si="134"/>
        <x:v/>
      </x:c>
      <x:c r="I941" s="446" t="str">
        <x:f t="shared" si="138"/>
        <x:v/>
      </x:c>
      <x:c r="J941" s="445"/>
      <x:c r="K941" s="453"/>
      <x:c r="L941" s="454"/>
      <x:c r="M941" s="454"/>
      <x:c r="N941" s="454"/>
      <x:c r="O941" s="454"/>
      <x:c r="P941" s="454"/>
      <x:c r="Q941" s="454"/>
      <x:c r="R941" s="454"/>
      <x:c r="S941" s="454"/>
      <x:c r="T941" s="454"/>
      <x:c r="U941" s="454"/>
      <x:c r="V941" s="455"/>
      <x:c r="W941" s="456">
        <x:f t="shared" si="139"/>
        <x:v>0</x:v>
      </x:c>
      <x:c r="X941" s="450">
        <x:f t="shared" si="140"/>
        <x:v>0</x:v>
      </x:c>
      <x:c r="Y941" s="457"/>
      <x:c r="Z941" s="458"/>
      <x:c r="AA941" s="458"/>
      <x:c r="AB941" s="458"/>
      <x:c r="AC941" s="458"/>
      <x:c r="AD941" s="458"/>
      <x:c r="AE941" s="458"/>
    </x:row>
    <x:row r="942" spans="1:31" ht="20.100000000000001" customHeight="1">
      <x:c r="A942" s="439"/>
      <x:c r="B942" s="466" t="str">
        <x:f t="shared" si="135"/>
        <x:v/>
      </x:c>
      <x:c r="C942" s="440" t="str">
        <x:f t="shared" si="136"/>
        <x:v/>
      </x:c>
      <x:c r="D942" s="441"/>
      <x:c r="E942" s="442" t="str">
        <x:f t="shared" si="137"/>
        <x:v/>
      </x:c>
      <x:c r="F942" s="443"/>
      <x:c r="G942" s="444"/>
      <x:c r="H942" s="445" t="str">
        <x:f t="shared" si="134"/>
        <x:v/>
      </x:c>
      <x:c r="I942" s="446" t="str">
        <x:f t="shared" si="138"/>
        <x:v/>
      </x:c>
      <x:c r="J942" s="445"/>
      <x:c r="K942" s="453"/>
      <x:c r="L942" s="454"/>
      <x:c r="M942" s="454"/>
      <x:c r="N942" s="454"/>
      <x:c r="O942" s="454"/>
      <x:c r="P942" s="454"/>
      <x:c r="Q942" s="454"/>
      <x:c r="R942" s="454"/>
      <x:c r="S942" s="454"/>
      <x:c r="T942" s="454"/>
      <x:c r="U942" s="454"/>
      <x:c r="V942" s="455"/>
      <x:c r="W942" s="456">
        <x:f t="shared" si="139"/>
        <x:v>0</x:v>
      </x:c>
      <x:c r="X942" s="450">
        <x:f t="shared" si="140"/>
        <x:v>0</x:v>
      </x:c>
      <x:c r="Y942" s="457"/>
      <x:c r="Z942" s="458"/>
      <x:c r="AA942" s="458"/>
      <x:c r="AB942" s="458"/>
      <x:c r="AC942" s="458"/>
      <x:c r="AD942" s="458"/>
      <x:c r="AE942" s="458"/>
    </x:row>
    <x:row r="943" spans="1:31" ht="20.100000000000001" customHeight="1">
      <x:c r="A943" s="439"/>
      <x:c r="B943" s="466" t="str">
        <x:f t="shared" si="135"/>
        <x:v/>
      </x:c>
      <x:c r="C943" s="440" t="str">
        <x:f t="shared" si="136"/>
        <x:v/>
      </x:c>
      <x:c r="D943" s="441"/>
      <x:c r="E943" s="442" t="str">
        <x:f t="shared" si="137"/>
        <x:v/>
      </x:c>
      <x:c r="F943" s="443"/>
      <x:c r="G943" s="444"/>
      <x:c r="H943" s="445" t="str">
        <x:f t="shared" si="134"/>
        <x:v/>
      </x:c>
      <x:c r="I943" s="446" t="str">
        <x:f t="shared" si="138"/>
        <x:v/>
      </x:c>
      <x:c r="J943" s="445"/>
      <x:c r="K943" s="453"/>
      <x:c r="L943" s="454"/>
      <x:c r="M943" s="454"/>
      <x:c r="N943" s="454"/>
      <x:c r="O943" s="454"/>
      <x:c r="P943" s="454"/>
      <x:c r="Q943" s="454"/>
      <x:c r="R943" s="454"/>
      <x:c r="S943" s="454"/>
      <x:c r="T943" s="454"/>
      <x:c r="U943" s="454"/>
      <x:c r="V943" s="455"/>
      <x:c r="W943" s="456">
        <x:f t="shared" si="139"/>
        <x:v>0</x:v>
      </x:c>
      <x:c r="X943" s="450">
        <x:f t="shared" si="140"/>
        <x:v>0</x:v>
      </x:c>
      <x:c r="Y943" s="457"/>
      <x:c r="Z943" s="458"/>
      <x:c r="AA943" s="458"/>
      <x:c r="AB943" s="458"/>
      <x:c r="AC943" s="458"/>
      <x:c r="AD943" s="458"/>
      <x:c r="AE943" s="458"/>
    </x:row>
    <x:row r="944" spans="1:31" ht="20.100000000000001" customHeight="1">
      <x:c r="A944" s="439"/>
      <x:c r="B944" s="466" t="str">
        <x:f t="shared" si="135"/>
        <x:v/>
      </x:c>
      <x:c r="C944" s="440" t="str">
        <x:f t="shared" si="136"/>
        <x:v/>
      </x:c>
      <x:c r="D944" s="441"/>
      <x:c r="E944" s="442" t="str">
        <x:f t="shared" si="137"/>
        <x:v/>
      </x:c>
      <x:c r="F944" s="443"/>
      <x:c r="G944" s="444"/>
      <x:c r="H944" s="445" t="str">
        <x:f t="shared" si="134"/>
        <x:v/>
      </x:c>
      <x:c r="I944" s="446" t="str">
        <x:f t="shared" si="138"/>
        <x:v/>
      </x:c>
      <x:c r="J944" s="445"/>
      <x:c r="K944" s="453"/>
      <x:c r="L944" s="454"/>
      <x:c r="M944" s="454"/>
      <x:c r="N944" s="454"/>
      <x:c r="O944" s="454"/>
      <x:c r="P944" s="454"/>
      <x:c r="Q944" s="454"/>
      <x:c r="R944" s="454"/>
      <x:c r="S944" s="454"/>
      <x:c r="T944" s="454"/>
      <x:c r="U944" s="454"/>
      <x:c r="V944" s="455"/>
      <x:c r="W944" s="456">
        <x:f t="shared" si="139"/>
        <x:v>0</x:v>
      </x:c>
      <x:c r="X944" s="450">
        <x:f t="shared" si="140"/>
        <x:v>0</x:v>
      </x:c>
      <x:c r="Y944" s="457"/>
      <x:c r="Z944" s="458"/>
      <x:c r="AA944" s="458"/>
      <x:c r="AB944" s="458"/>
      <x:c r="AC944" s="458"/>
      <x:c r="AD944" s="458"/>
      <x:c r="AE944" s="458"/>
    </x:row>
    <x:row r="945" spans="1:31" ht="20.100000000000001" customHeight="1">
      <x:c r="A945" s="439"/>
      <x:c r="B945" s="466" t="str">
        <x:f t="shared" si="135"/>
        <x:v/>
      </x:c>
      <x:c r="C945" s="440" t="str">
        <x:f t="shared" si="136"/>
        <x:v/>
      </x:c>
      <x:c r="D945" s="441"/>
      <x:c r="E945" s="442" t="str">
        <x:f t="shared" si="137"/>
        <x:v/>
      </x:c>
      <x:c r="F945" s="443"/>
      <x:c r="G945" s="444"/>
      <x:c r="H945" s="445" t="str">
        <x:f t="shared" si="134"/>
        <x:v/>
      </x:c>
      <x:c r="I945" s="446" t="str">
        <x:f t="shared" si="138"/>
        <x:v/>
      </x:c>
      <x:c r="J945" s="445"/>
      <x:c r="K945" s="453"/>
      <x:c r="L945" s="454"/>
      <x:c r="M945" s="454"/>
      <x:c r="N945" s="454"/>
      <x:c r="O945" s="454"/>
      <x:c r="P945" s="454"/>
      <x:c r="Q945" s="454"/>
      <x:c r="R945" s="454"/>
      <x:c r="S945" s="454"/>
      <x:c r="T945" s="454"/>
      <x:c r="U945" s="454"/>
      <x:c r="V945" s="455"/>
      <x:c r="W945" s="456">
        <x:f t="shared" si="139"/>
        <x:v>0</x:v>
      </x:c>
      <x:c r="X945" s="450">
        <x:f t="shared" si="140"/>
        <x:v>0</x:v>
      </x:c>
      <x:c r="Y945" s="457"/>
      <x:c r="Z945" s="458"/>
      <x:c r="AA945" s="458"/>
      <x:c r="AB945" s="458"/>
      <x:c r="AC945" s="458"/>
      <x:c r="AD945" s="458"/>
      <x:c r="AE945" s="458"/>
    </x:row>
    <x:row r="946" spans="1:31" ht="20.100000000000001" customHeight="1">
      <x:c r="A946" s="439"/>
      <x:c r="B946" s="466" t="str">
        <x:f t="shared" si="135"/>
        <x:v/>
      </x:c>
      <x:c r="C946" s="440" t="str">
        <x:f t="shared" si="136"/>
        <x:v/>
      </x:c>
      <x:c r="D946" s="441"/>
      <x:c r="E946" s="442" t="str">
        <x:f t="shared" si="137"/>
        <x:v/>
      </x:c>
      <x:c r="F946" s="443"/>
      <x:c r="G946" s="444"/>
      <x:c r="H946" s="445" t="str">
        <x:f t="shared" si="134"/>
        <x:v/>
      </x:c>
      <x:c r="I946" s="446" t="str">
        <x:f t="shared" si="138"/>
        <x:v/>
      </x:c>
      <x:c r="J946" s="445"/>
      <x:c r="K946" s="453"/>
      <x:c r="L946" s="454"/>
      <x:c r="M946" s="454"/>
      <x:c r="N946" s="454"/>
      <x:c r="O946" s="454"/>
      <x:c r="P946" s="454"/>
      <x:c r="Q946" s="454"/>
      <x:c r="R946" s="454"/>
      <x:c r="S946" s="454"/>
      <x:c r="T946" s="454"/>
      <x:c r="U946" s="454"/>
      <x:c r="V946" s="455"/>
      <x:c r="W946" s="456">
        <x:f t="shared" si="139"/>
        <x:v>0</x:v>
      </x:c>
      <x:c r="X946" s="450">
        <x:f t="shared" si="140"/>
        <x:v>0</x:v>
      </x:c>
      <x:c r="Y946" s="457"/>
      <x:c r="Z946" s="458"/>
      <x:c r="AA946" s="458"/>
      <x:c r="AB946" s="458"/>
      <x:c r="AC946" s="458"/>
      <x:c r="AD946" s="458"/>
      <x:c r="AE946" s="458"/>
    </x:row>
    <x:row r="947" spans="1:31" ht="20.100000000000001" customHeight="1">
      <x:c r="A947" s="439"/>
      <x:c r="B947" s="466" t="str">
        <x:f t="shared" si="135"/>
        <x:v/>
      </x:c>
      <x:c r="C947" s="440" t="str">
        <x:f t="shared" si="136"/>
        <x:v/>
      </x:c>
      <x:c r="D947" s="441"/>
      <x:c r="E947" s="442" t="str">
        <x:f t="shared" si="137"/>
        <x:v/>
      </x:c>
      <x:c r="F947" s="443"/>
      <x:c r="G947" s="444"/>
      <x:c r="H947" s="445" t="str">
        <x:f t="shared" si="134"/>
        <x:v/>
      </x:c>
      <x:c r="I947" s="446" t="str">
        <x:f t="shared" si="138"/>
        <x:v/>
      </x:c>
      <x:c r="J947" s="445"/>
      <x:c r="K947" s="453"/>
      <x:c r="L947" s="454"/>
      <x:c r="M947" s="454"/>
      <x:c r="N947" s="454"/>
      <x:c r="O947" s="454"/>
      <x:c r="P947" s="454"/>
      <x:c r="Q947" s="454"/>
      <x:c r="R947" s="454"/>
      <x:c r="S947" s="454"/>
      <x:c r="T947" s="454"/>
      <x:c r="U947" s="454"/>
      <x:c r="V947" s="455"/>
      <x:c r="W947" s="456">
        <x:f t="shared" si="139"/>
        <x:v>0</x:v>
      </x:c>
      <x:c r="X947" s="450">
        <x:f t="shared" si="140"/>
        <x:v>0</x:v>
      </x:c>
      <x:c r="Y947" s="457"/>
      <x:c r="Z947" s="458"/>
      <x:c r="AA947" s="458"/>
      <x:c r="AB947" s="458"/>
      <x:c r="AC947" s="458"/>
      <x:c r="AD947" s="458"/>
      <x:c r="AE947" s="458"/>
    </x:row>
    <x:row r="948" spans="1:31" ht="20.100000000000001" customHeight="1">
      <x:c r="A948" s="439"/>
      <x:c r="B948" s="466" t="str">
        <x:f t="shared" si="135"/>
        <x:v/>
      </x:c>
      <x:c r="C948" s="440" t="str">
        <x:f t="shared" si="136"/>
        <x:v/>
      </x:c>
      <x:c r="D948" s="441"/>
      <x:c r="E948" s="442" t="str">
        <x:f t="shared" si="137"/>
        <x:v/>
      </x:c>
      <x:c r="F948" s="443"/>
      <x:c r="G948" s="444"/>
      <x:c r="H948" s="445" t="str">
        <x:f t="shared" si="134"/>
        <x:v/>
      </x:c>
      <x:c r="I948" s="446" t="str">
        <x:f t="shared" si="138"/>
        <x:v/>
      </x:c>
      <x:c r="J948" s="445"/>
      <x:c r="K948" s="453"/>
      <x:c r="L948" s="454"/>
      <x:c r="M948" s="454"/>
      <x:c r="N948" s="454"/>
      <x:c r="O948" s="454"/>
      <x:c r="P948" s="454"/>
      <x:c r="Q948" s="454"/>
      <x:c r="R948" s="454"/>
      <x:c r="S948" s="454"/>
      <x:c r="T948" s="454"/>
      <x:c r="U948" s="454"/>
      <x:c r="V948" s="455"/>
      <x:c r="W948" s="456">
        <x:f t="shared" si="139"/>
        <x:v>0</x:v>
      </x:c>
      <x:c r="X948" s="450">
        <x:f t="shared" si="140"/>
        <x:v>0</x:v>
      </x:c>
      <x:c r="Y948" s="457"/>
      <x:c r="Z948" s="458"/>
      <x:c r="AA948" s="458"/>
      <x:c r="AB948" s="458"/>
      <x:c r="AC948" s="458"/>
      <x:c r="AD948" s="458"/>
      <x:c r="AE948" s="458"/>
    </x:row>
    <x:row r="949" spans="1:31" ht="20.100000000000001" customHeight="1">
      <x:c r="A949" s="439"/>
      <x:c r="B949" s="466" t="str">
        <x:f t="shared" si="135"/>
        <x:v/>
      </x:c>
      <x:c r="C949" s="440" t="str">
        <x:f t="shared" si="136"/>
        <x:v/>
      </x:c>
      <x:c r="D949" s="441"/>
      <x:c r="E949" s="442" t="str">
        <x:f t="shared" si="137"/>
        <x:v/>
      </x:c>
      <x:c r="F949" s="443"/>
      <x:c r="G949" s="444"/>
      <x:c r="H949" s="445" t="str">
        <x:f t="shared" si="134"/>
        <x:v/>
      </x:c>
      <x:c r="I949" s="446" t="str">
        <x:f t="shared" si="138"/>
        <x:v/>
      </x:c>
      <x:c r="J949" s="445"/>
      <x:c r="K949" s="453"/>
      <x:c r="L949" s="454"/>
      <x:c r="M949" s="454"/>
      <x:c r="N949" s="454"/>
      <x:c r="O949" s="454"/>
      <x:c r="P949" s="454"/>
      <x:c r="Q949" s="454"/>
      <x:c r="R949" s="454"/>
      <x:c r="S949" s="454"/>
      <x:c r="T949" s="454"/>
      <x:c r="U949" s="454"/>
      <x:c r="V949" s="455"/>
      <x:c r="W949" s="456">
        <x:f t="shared" si="139"/>
        <x:v>0</x:v>
      </x:c>
      <x:c r="X949" s="450">
        <x:f t="shared" si="140"/>
        <x:v>0</x:v>
      </x:c>
      <x:c r="Y949" s="457"/>
      <x:c r="Z949" s="458"/>
      <x:c r="AA949" s="458"/>
      <x:c r="AB949" s="458"/>
      <x:c r="AC949" s="458"/>
      <x:c r="AD949" s="458"/>
      <x:c r="AE949" s="458"/>
    </x:row>
    <x:row r="950" spans="1:31" ht="20.100000000000001" customHeight="1">
      <x:c r="A950" s="439"/>
      <x:c r="B950" s="466" t="str">
        <x:f t="shared" si="135"/>
        <x:v/>
      </x:c>
      <x:c r="C950" s="440" t="str">
        <x:f t="shared" si="136"/>
        <x:v/>
      </x:c>
      <x:c r="D950" s="441"/>
      <x:c r="E950" s="442" t="str">
        <x:f t="shared" si="137"/>
        <x:v/>
      </x:c>
      <x:c r="F950" s="443"/>
      <x:c r="G950" s="444"/>
      <x:c r="H950" s="445" t="str">
        <x:f t="shared" si="134"/>
        <x:v/>
      </x:c>
      <x:c r="I950" s="446" t="str">
        <x:f t="shared" si="138"/>
        <x:v/>
      </x:c>
      <x:c r="J950" s="445"/>
      <x:c r="K950" s="453"/>
      <x:c r="L950" s="454"/>
      <x:c r="M950" s="454"/>
      <x:c r="N950" s="454"/>
      <x:c r="O950" s="454"/>
      <x:c r="P950" s="454"/>
      <x:c r="Q950" s="454"/>
      <x:c r="R950" s="454"/>
      <x:c r="S950" s="454"/>
      <x:c r="T950" s="454"/>
      <x:c r="U950" s="454"/>
      <x:c r="V950" s="455"/>
      <x:c r="W950" s="456">
        <x:f t="shared" si="139"/>
        <x:v>0</x:v>
      </x:c>
      <x:c r="X950" s="450">
        <x:f t="shared" si="140"/>
        <x:v>0</x:v>
      </x:c>
      <x:c r="Y950" s="457"/>
      <x:c r="Z950" s="458"/>
      <x:c r="AA950" s="458"/>
      <x:c r="AB950" s="458"/>
      <x:c r="AC950" s="458"/>
      <x:c r="AD950" s="458"/>
      <x:c r="AE950" s="458"/>
    </x:row>
    <x:row r="951" spans="1:31" ht="20.100000000000001" customHeight="1">
      <x:c r="A951" s="439"/>
      <x:c r="B951" s="466" t="str">
        <x:f t="shared" si="135"/>
        <x:v/>
      </x:c>
      <x:c r="C951" s="440" t="str">
        <x:f t="shared" si="136"/>
        <x:v/>
      </x:c>
      <x:c r="D951" s="441"/>
      <x:c r="E951" s="442" t="str">
        <x:f t="shared" si="137"/>
        <x:v/>
      </x:c>
      <x:c r="F951" s="443"/>
      <x:c r="G951" s="444"/>
      <x:c r="H951" s="445" t="str">
        <x:f t="shared" si="134"/>
        <x:v/>
      </x:c>
      <x:c r="I951" s="446" t="str">
        <x:f t="shared" si="138"/>
        <x:v/>
      </x:c>
      <x:c r="J951" s="445"/>
      <x:c r="K951" s="453"/>
      <x:c r="L951" s="454"/>
      <x:c r="M951" s="454"/>
      <x:c r="N951" s="454"/>
      <x:c r="O951" s="454"/>
      <x:c r="P951" s="454"/>
      <x:c r="Q951" s="454"/>
      <x:c r="R951" s="454"/>
      <x:c r="S951" s="454"/>
      <x:c r="T951" s="454"/>
      <x:c r="U951" s="454"/>
      <x:c r="V951" s="455"/>
      <x:c r="W951" s="456">
        <x:f t="shared" si="139"/>
        <x:v>0</x:v>
      </x:c>
      <x:c r="X951" s="450">
        <x:f t="shared" si="140"/>
        <x:v>0</x:v>
      </x:c>
      <x:c r="Y951" s="457"/>
      <x:c r="Z951" s="458"/>
      <x:c r="AA951" s="458"/>
      <x:c r="AB951" s="458"/>
      <x:c r="AC951" s="458"/>
      <x:c r="AD951" s="458"/>
      <x:c r="AE951" s="458"/>
    </x:row>
    <x:row r="952" spans="1:31" ht="20.100000000000001" customHeight="1">
      <x:c r="A952" s="439"/>
      <x:c r="B952" s="466" t="str">
        <x:f t="shared" si="135"/>
        <x:v/>
      </x:c>
      <x:c r="C952" s="440" t="str">
        <x:f t="shared" si="136"/>
        <x:v/>
      </x:c>
      <x:c r="D952" s="441"/>
      <x:c r="E952" s="442" t="str">
        <x:f t="shared" si="137"/>
        <x:v/>
      </x:c>
      <x:c r="F952" s="443"/>
      <x:c r="G952" s="444"/>
      <x:c r="H952" s="445" t="str">
        <x:f t="shared" ref="H952:H1015" si="141">IFERROR(VLOOKUP($G952,$AK:$AL,2,),"")</x:f>
        <x:v/>
      </x:c>
      <x:c r="I952" s="446" t="str">
        <x:f t="shared" si="138"/>
        <x:v/>
      </x:c>
      <x:c r="J952" s="445"/>
      <x:c r="K952" s="453"/>
      <x:c r="L952" s="454"/>
      <x:c r="M952" s="454"/>
      <x:c r="N952" s="454"/>
      <x:c r="O952" s="454"/>
      <x:c r="P952" s="454"/>
      <x:c r="Q952" s="454"/>
      <x:c r="R952" s="454"/>
      <x:c r="S952" s="454"/>
      <x:c r="T952" s="454"/>
      <x:c r="U952" s="454"/>
      <x:c r="V952" s="455"/>
      <x:c r="W952" s="456">
        <x:f t="shared" si="139"/>
        <x:v>0</x:v>
      </x:c>
      <x:c r="X952" s="450">
        <x:f t="shared" si="140"/>
        <x:v>0</x:v>
      </x:c>
      <x:c r="Y952" s="457"/>
      <x:c r="Z952" s="458"/>
      <x:c r="AA952" s="458"/>
      <x:c r="AB952" s="458"/>
      <x:c r="AC952" s="458"/>
      <x:c r="AD952" s="458"/>
      <x:c r="AE952" s="458"/>
    </x:row>
    <x:row r="953" spans="1:31" ht="20.100000000000001" customHeight="1">
      <x:c r="A953" s="439"/>
      <x:c r="B953" s="466" t="str">
        <x:f t="shared" si="135"/>
        <x:v/>
      </x:c>
      <x:c r="C953" s="440" t="str">
        <x:f t="shared" si="136"/>
        <x:v/>
      </x:c>
      <x:c r="D953" s="441"/>
      <x:c r="E953" s="442" t="str">
        <x:f t="shared" si="137"/>
        <x:v/>
      </x:c>
      <x:c r="F953" s="443"/>
      <x:c r="G953" s="444"/>
      <x:c r="H953" s="445" t="str">
        <x:f t="shared" si="141"/>
        <x:v/>
      </x:c>
      <x:c r="I953" s="446" t="str">
        <x:f t="shared" si="138"/>
        <x:v/>
      </x:c>
      <x:c r="J953" s="445"/>
      <x:c r="K953" s="453"/>
      <x:c r="L953" s="454"/>
      <x:c r="M953" s="454"/>
      <x:c r="N953" s="454"/>
      <x:c r="O953" s="454"/>
      <x:c r="P953" s="454"/>
      <x:c r="Q953" s="454"/>
      <x:c r="R953" s="454"/>
      <x:c r="S953" s="454"/>
      <x:c r="T953" s="454"/>
      <x:c r="U953" s="454"/>
      <x:c r="V953" s="455"/>
      <x:c r="W953" s="456">
        <x:f t="shared" si="139"/>
        <x:v>0</x:v>
      </x:c>
      <x:c r="X953" s="450">
        <x:f t="shared" si="140"/>
        <x:v>0</x:v>
      </x:c>
      <x:c r="Y953" s="457"/>
      <x:c r="Z953" s="458"/>
      <x:c r="AA953" s="458"/>
      <x:c r="AB953" s="458"/>
      <x:c r="AC953" s="458"/>
      <x:c r="AD953" s="458"/>
      <x:c r="AE953" s="458"/>
    </x:row>
    <x:row r="954" spans="1:31" ht="20.100000000000001" customHeight="1">
      <x:c r="A954" s="439"/>
      <x:c r="B954" s="466" t="str">
        <x:f t="shared" si="135"/>
        <x:v/>
      </x:c>
      <x:c r="C954" s="440" t="str">
        <x:f t="shared" si="136"/>
        <x:v/>
      </x:c>
      <x:c r="D954" s="441"/>
      <x:c r="E954" s="442" t="str">
        <x:f t="shared" si="137"/>
        <x:v/>
      </x:c>
      <x:c r="F954" s="443"/>
      <x:c r="G954" s="444"/>
      <x:c r="H954" s="445" t="str">
        <x:f t="shared" si="141"/>
        <x:v/>
      </x:c>
      <x:c r="I954" s="446" t="str">
        <x:f t="shared" si="138"/>
        <x:v/>
      </x:c>
      <x:c r="J954" s="445"/>
      <x:c r="K954" s="453"/>
      <x:c r="L954" s="454"/>
      <x:c r="M954" s="454"/>
      <x:c r="N954" s="454"/>
      <x:c r="O954" s="454"/>
      <x:c r="P954" s="454"/>
      <x:c r="Q954" s="454"/>
      <x:c r="R954" s="454"/>
      <x:c r="S954" s="454"/>
      <x:c r="T954" s="454"/>
      <x:c r="U954" s="454"/>
      <x:c r="V954" s="455"/>
      <x:c r="W954" s="456">
        <x:f t="shared" si="139"/>
        <x:v>0</x:v>
      </x:c>
      <x:c r="X954" s="450">
        <x:f t="shared" si="140"/>
        <x:v>0</x:v>
      </x:c>
      <x:c r="Y954" s="457"/>
      <x:c r="Z954" s="458"/>
      <x:c r="AA954" s="458"/>
      <x:c r="AB954" s="458"/>
      <x:c r="AC954" s="458"/>
      <x:c r="AD954" s="458"/>
      <x:c r="AE954" s="458"/>
    </x:row>
    <x:row r="955" spans="1:31" ht="20.100000000000001" customHeight="1">
      <x:c r="A955" s="439"/>
      <x:c r="B955" s="466" t="str">
        <x:f t="shared" si="135"/>
        <x:v/>
      </x:c>
      <x:c r="C955" s="440" t="str">
        <x:f t="shared" si="136"/>
        <x:v/>
      </x:c>
      <x:c r="D955" s="441"/>
      <x:c r="E955" s="442" t="str">
        <x:f t="shared" si="137"/>
        <x:v/>
      </x:c>
      <x:c r="F955" s="443"/>
      <x:c r="G955" s="444"/>
      <x:c r="H955" s="445" t="str">
        <x:f t="shared" si="141"/>
        <x:v/>
      </x:c>
      <x:c r="I955" s="446" t="str">
        <x:f t="shared" si="138"/>
        <x:v/>
      </x:c>
      <x:c r="J955" s="445"/>
      <x:c r="K955" s="453"/>
      <x:c r="L955" s="454"/>
      <x:c r="M955" s="454"/>
      <x:c r="N955" s="454"/>
      <x:c r="O955" s="454"/>
      <x:c r="P955" s="454"/>
      <x:c r="Q955" s="454"/>
      <x:c r="R955" s="454"/>
      <x:c r="S955" s="454"/>
      <x:c r="T955" s="454"/>
      <x:c r="U955" s="454"/>
      <x:c r="V955" s="455"/>
      <x:c r="W955" s="456">
        <x:f t="shared" si="139"/>
        <x:v>0</x:v>
      </x:c>
      <x:c r="X955" s="450">
        <x:f t="shared" si="140"/>
        <x:v>0</x:v>
      </x:c>
      <x:c r="Y955" s="457"/>
      <x:c r="Z955" s="458"/>
      <x:c r="AA955" s="458"/>
      <x:c r="AB955" s="458"/>
      <x:c r="AC955" s="458"/>
      <x:c r="AD955" s="458"/>
      <x:c r="AE955" s="458"/>
    </x:row>
    <x:row r="956" spans="1:31" ht="20.100000000000001" customHeight="1">
      <x:c r="A956" s="439"/>
      <x:c r="B956" s="466" t="str">
        <x:f t="shared" si="135"/>
        <x:v/>
      </x:c>
      <x:c r="C956" s="440" t="str">
        <x:f t="shared" si="136"/>
        <x:v/>
      </x:c>
      <x:c r="D956" s="441"/>
      <x:c r="E956" s="442" t="str">
        <x:f t="shared" si="137"/>
        <x:v/>
      </x:c>
      <x:c r="F956" s="443"/>
      <x:c r="G956" s="444"/>
      <x:c r="H956" s="445" t="str">
        <x:f t="shared" si="141"/>
        <x:v/>
      </x:c>
      <x:c r="I956" s="446" t="str">
        <x:f t="shared" si="138"/>
        <x:v/>
      </x:c>
      <x:c r="J956" s="445"/>
      <x:c r="K956" s="453"/>
      <x:c r="L956" s="454"/>
      <x:c r="M956" s="454"/>
      <x:c r="N956" s="454"/>
      <x:c r="O956" s="454"/>
      <x:c r="P956" s="454"/>
      <x:c r="Q956" s="454"/>
      <x:c r="R956" s="454"/>
      <x:c r="S956" s="454"/>
      <x:c r="T956" s="454"/>
      <x:c r="U956" s="454"/>
      <x:c r="V956" s="455"/>
      <x:c r="W956" s="456">
        <x:f t="shared" si="139"/>
        <x:v>0</x:v>
      </x:c>
      <x:c r="X956" s="450">
        <x:f t="shared" si="140"/>
        <x:v>0</x:v>
      </x:c>
      <x:c r="Y956" s="457"/>
      <x:c r="Z956" s="458"/>
      <x:c r="AA956" s="458"/>
      <x:c r="AB956" s="458"/>
      <x:c r="AC956" s="458"/>
      <x:c r="AD956" s="458"/>
      <x:c r="AE956" s="458"/>
    </x:row>
    <x:row r="957" spans="1:31" ht="20.100000000000001" customHeight="1">
      <x:c r="A957" s="439"/>
      <x:c r="B957" s="466" t="str">
        <x:f t="shared" si="135"/>
        <x:v/>
      </x:c>
      <x:c r="C957" s="440" t="str">
        <x:f t="shared" si="136"/>
        <x:v/>
      </x:c>
      <x:c r="D957" s="441"/>
      <x:c r="E957" s="442" t="str">
        <x:f t="shared" si="137"/>
        <x:v/>
      </x:c>
      <x:c r="F957" s="443"/>
      <x:c r="G957" s="444"/>
      <x:c r="H957" s="445" t="str">
        <x:f t="shared" si="141"/>
        <x:v/>
      </x:c>
      <x:c r="I957" s="446" t="str">
        <x:f t="shared" si="138"/>
        <x:v/>
      </x:c>
      <x:c r="J957" s="445"/>
      <x:c r="K957" s="453"/>
      <x:c r="L957" s="454"/>
      <x:c r="M957" s="454"/>
      <x:c r="N957" s="454"/>
      <x:c r="O957" s="454"/>
      <x:c r="P957" s="454"/>
      <x:c r="Q957" s="454"/>
      <x:c r="R957" s="454"/>
      <x:c r="S957" s="454"/>
      <x:c r="T957" s="454"/>
      <x:c r="U957" s="454"/>
      <x:c r="V957" s="455"/>
      <x:c r="W957" s="456">
        <x:f t="shared" si="139"/>
        <x:v>0</x:v>
      </x:c>
      <x:c r="X957" s="450">
        <x:f t="shared" si="140"/>
        <x:v>0</x:v>
      </x:c>
      <x:c r="Y957" s="457"/>
      <x:c r="Z957" s="458"/>
      <x:c r="AA957" s="458"/>
      <x:c r="AB957" s="458"/>
      <x:c r="AC957" s="458"/>
      <x:c r="AD957" s="458"/>
      <x:c r="AE957" s="458"/>
    </x:row>
    <x:row r="958" spans="1:31" ht="20.100000000000001" customHeight="1">
      <x:c r="A958" s="439"/>
      <x:c r="B958" s="466" t="str">
        <x:f t="shared" si="135"/>
        <x:v/>
      </x:c>
      <x:c r="C958" s="440" t="str">
        <x:f t="shared" si="136"/>
        <x:v/>
      </x:c>
      <x:c r="D958" s="441"/>
      <x:c r="E958" s="442" t="str">
        <x:f t="shared" si="137"/>
        <x:v/>
      </x:c>
      <x:c r="F958" s="443"/>
      <x:c r="G958" s="444"/>
      <x:c r="H958" s="445" t="str">
        <x:f t="shared" si="141"/>
        <x:v/>
      </x:c>
      <x:c r="I958" s="446" t="str">
        <x:f t="shared" si="138"/>
        <x:v/>
      </x:c>
      <x:c r="J958" s="445"/>
      <x:c r="K958" s="453"/>
      <x:c r="L958" s="454"/>
      <x:c r="M958" s="454"/>
      <x:c r="N958" s="454"/>
      <x:c r="O958" s="454"/>
      <x:c r="P958" s="454"/>
      <x:c r="Q958" s="454"/>
      <x:c r="R958" s="454"/>
      <x:c r="S958" s="454"/>
      <x:c r="T958" s="454"/>
      <x:c r="U958" s="454"/>
      <x:c r="V958" s="455"/>
      <x:c r="W958" s="456">
        <x:f t="shared" si="139"/>
        <x:v>0</x:v>
      </x:c>
      <x:c r="X958" s="450">
        <x:f t="shared" si="140"/>
        <x:v>0</x:v>
      </x:c>
      <x:c r="Y958" s="457"/>
      <x:c r="Z958" s="458"/>
      <x:c r="AA958" s="458"/>
      <x:c r="AB958" s="458"/>
      <x:c r="AC958" s="458"/>
      <x:c r="AD958" s="458"/>
      <x:c r="AE958" s="458"/>
    </x:row>
    <x:row r="959" spans="1:31" ht="20.100000000000001" customHeight="1">
      <x:c r="A959" s="439"/>
      <x:c r="B959" s="466" t="str">
        <x:f t="shared" si="135"/>
        <x:v/>
      </x:c>
      <x:c r="C959" s="440" t="str">
        <x:f t="shared" si="136"/>
        <x:v/>
      </x:c>
      <x:c r="D959" s="441"/>
      <x:c r="E959" s="442" t="str">
        <x:f t="shared" si="137"/>
        <x:v/>
      </x:c>
      <x:c r="F959" s="443"/>
      <x:c r="G959" s="444"/>
      <x:c r="H959" s="445" t="str">
        <x:f t="shared" si="141"/>
        <x:v/>
      </x:c>
      <x:c r="I959" s="446" t="str">
        <x:f t="shared" si="138"/>
        <x:v/>
      </x:c>
      <x:c r="J959" s="445"/>
      <x:c r="K959" s="453"/>
      <x:c r="L959" s="454"/>
      <x:c r="M959" s="454"/>
      <x:c r="N959" s="454"/>
      <x:c r="O959" s="454"/>
      <x:c r="P959" s="454"/>
      <x:c r="Q959" s="454"/>
      <x:c r="R959" s="454"/>
      <x:c r="S959" s="454"/>
      <x:c r="T959" s="454"/>
      <x:c r="U959" s="454"/>
      <x:c r="V959" s="455"/>
      <x:c r="W959" s="456">
        <x:f t="shared" si="139"/>
        <x:v>0</x:v>
      </x:c>
      <x:c r="X959" s="450">
        <x:f t="shared" si="140"/>
        <x:v>0</x:v>
      </x:c>
      <x:c r="Y959" s="457"/>
      <x:c r="Z959" s="458"/>
      <x:c r="AA959" s="458"/>
      <x:c r="AB959" s="458"/>
      <x:c r="AC959" s="458"/>
      <x:c r="AD959" s="458"/>
      <x:c r="AE959" s="458"/>
    </x:row>
    <x:row r="960" spans="1:31" ht="20.100000000000001" customHeight="1">
      <x:c r="A960" s="439"/>
      <x:c r="B960" s="466" t="str">
        <x:f t="shared" si="135"/>
        <x:v/>
      </x:c>
      <x:c r="C960" s="440" t="str">
        <x:f t="shared" si="136"/>
        <x:v/>
      </x:c>
      <x:c r="D960" s="441"/>
      <x:c r="E960" s="442" t="str">
        <x:f t="shared" si="137"/>
        <x:v/>
      </x:c>
      <x:c r="F960" s="443"/>
      <x:c r="G960" s="444"/>
      <x:c r="H960" s="445" t="str">
        <x:f t="shared" si="141"/>
        <x:v/>
      </x:c>
      <x:c r="I960" s="446" t="str">
        <x:f t="shared" si="138"/>
        <x:v/>
      </x:c>
      <x:c r="J960" s="445"/>
      <x:c r="K960" s="453"/>
      <x:c r="L960" s="454"/>
      <x:c r="M960" s="454"/>
      <x:c r="N960" s="454"/>
      <x:c r="O960" s="454"/>
      <x:c r="P960" s="454"/>
      <x:c r="Q960" s="454"/>
      <x:c r="R960" s="454"/>
      <x:c r="S960" s="454"/>
      <x:c r="T960" s="454"/>
      <x:c r="U960" s="454"/>
      <x:c r="V960" s="455"/>
      <x:c r="W960" s="456">
        <x:f t="shared" si="139"/>
        <x:v>0</x:v>
      </x:c>
      <x:c r="X960" s="450">
        <x:f t="shared" si="140"/>
        <x:v>0</x:v>
      </x:c>
      <x:c r="Y960" s="457"/>
      <x:c r="Z960" s="458"/>
      <x:c r="AA960" s="458"/>
      <x:c r="AB960" s="458"/>
      <x:c r="AC960" s="458"/>
      <x:c r="AD960" s="458"/>
      <x:c r="AE960" s="458"/>
    </x:row>
    <x:row r="961" spans="1:31" ht="20.100000000000001" customHeight="1">
      <x:c r="A961" s="439"/>
      <x:c r="B961" s="466" t="str">
        <x:f t="shared" si="135"/>
        <x:v/>
      </x:c>
      <x:c r="C961" s="440" t="str">
        <x:f t="shared" si="136"/>
        <x:v/>
      </x:c>
      <x:c r="D961" s="441"/>
      <x:c r="E961" s="442" t="str">
        <x:f t="shared" si="137"/>
        <x:v/>
      </x:c>
      <x:c r="F961" s="443"/>
      <x:c r="G961" s="444"/>
      <x:c r="H961" s="445" t="str">
        <x:f t="shared" si="141"/>
        <x:v/>
      </x:c>
      <x:c r="I961" s="446" t="str">
        <x:f t="shared" si="138"/>
        <x:v/>
      </x:c>
      <x:c r="J961" s="445"/>
      <x:c r="K961" s="453"/>
      <x:c r="L961" s="454"/>
      <x:c r="M961" s="454"/>
      <x:c r="N961" s="454"/>
      <x:c r="O961" s="454"/>
      <x:c r="P961" s="454"/>
      <x:c r="Q961" s="454"/>
      <x:c r="R961" s="454"/>
      <x:c r="S961" s="454"/>
      <x:c r="T961" s="454"/>
      <x:c r="U961" s="454"/>
      <x:c r="V961" s="455"/>
      <x:c r="W961" s="456">
        <x:f t="shared" si="139"/>
        <x:v>0</x:v>
      </x:c>
      <x:c r="X961" s="450">
        <x:f t="shared" si="140"/>
        <x:v>0</x:v>
      </x:c>
      <x:c r="Y961" s="457"/>
      <x:c r="Z961" s="458"/>
      <x:c r="AA961" s="458"/>
      <x:c r="AB961" s="458"/>
      <x:c r="AC961" s="458"/>
      <x:c r="AD961" s="458"/>
      <x:c r="AE961" s="458"/>
    </x:row>
    <x:row r="962" spans="1:31" ht="20.100000000000001" customHeight="1">
      <x:c r="A962" s="439"/>
      <x:c r="B962" s="466" t="str">
        <x:f t="shared" si="135"/>
        <x:v/>
      </x:c>
      <x:c r="C962" s="440" t="str">
        <x:f t="shared" si="136"/>
        <x:v/>
      </x:c>
      <x:c r="D962" s="441"/>
      <x:c r="E962" s="442" t="str">
        <x:f t="shared" si="137"/>
        <x:v/>
      </x:c>
      <x:c r="F962" s="443"/>
      <x:c r="G962" s="444"/>
      <x:c r="H962" s="445" t="str">
        <x:f t="shared" si="141"/>
        <x:v/>
      </x:c>
      <x:c r="I962" s="446" t="str">
        <x:f t="shared" si="138"/>
        <x:v/>
      </x:c>
      <x:c r="J962" s="445"/>
      <x:c r="K962" s="453"/>
      <x:c r="L962" s="454"/>
      <x:c r="M962" s="454"/>
      <x:c r="N962" s="454"/>
      <x:c r="O962" s="454"/>
      <x:c r="P962" s="454"/>
      <x:c r="Q962" s="454"/>
      <x:c r="R962" s="454"/>
      <x:c r="S962" s="454"/>
      <x:c r="T962" s="454"/>
      <x:c r="U962" s="454"/>
      <x:c r="V962" s="455"/>
      <x:c r="W962" s="456">
        <x:f t="shared" si="139"/>
        <x:v>0</x:v>
      </x:c>
      <x:c r="X962" s="450">
        <x:f t="shared" si="140"/>
        <x:v>0</x:v>
      </x:c>
      <x:c r="Y962" s="457"/>
      <x:c r="Z962" s="458"/>
      <x:c r="AA962" s="458"/>
      <x:c r="AB962" s="458"/>
      <x:c r="AC962" s="458"/>
      <x:c r="AD962" s="458"/>
      <x:c r="AE962" s="458"/>
    </x:row>
    <x:row r="963" spans="1:31" ht="20.100000000000001" customHeight="1">
      <x:c r="A963" s="439"/>
      <x:c r="B963" s="466" t="str">
        <x:f t="shared" ref="B963:B1026" si="142">IFERROR(VLOOKUP($C963,$AH:$AI,2,),"")</x:f>
        <x:v/>
      </x:c>
      <x:c r="C963" s="440" t="str">
        <x:f t="shared" ref="C963:C1026" si="143">IFERROR(VLOOKUP($D963,$AO:$AQ,3,),"")</x:f>
        <x:v/>
      </x:c>
      <x:c r="D963" s="441"/>
      <x:c r="E963" s="442" t="str">
        <x:f t="shared" ref="E963:E1026" si="144">IFERROR(VLOOKUP($D963,$AO:$AQ,2,),"")</x:f>
        <x:v/>
      </x:c>
      <x:c r="F963" s="443"/>
      <x:c r="G963" s="444"/>
      <x:c r="H963" s="445" t="str">
        <x:f t="shared" si="141"/>
        <x:v/>
      </x:c>
      <x:c r="I963" s="446" t="str">
        <x:f t="shared" ref="I963:I1026" si="145">IFERROR(VLOOKUP($G963,$AK:$AM,3,),"")</x:f>
        <x:v/>
      </x:c>
      <x:c r="J963" s="445"/>
      <x:c r="K963" s="453"/>
      <x:c r="L963" s="454"/>
      <x:c r="M963" s="454"/>
      <x:c r="N963" s="454"/>
      <x:c r="O963" s="454"/>
      <x:c r="P963" s="454"/>
      <x:c r="Q963" s="454"/>
      <x:c r="R963" s="454"/>
      <x:c r="S963" s="454"/>
      <x:c r="T963" s="454"/>
      <x:c r="U963" s="454"/>
      <x:c r="V963" s="455"/>
      <x:c r="W963" s="456">
        <x:f t="shared" si="139"/>
        <x:v>0</x:v>
      </x:c>
      <x:c r="X963" s="450">
        <x:f t="shared" si="140"/>
        <x:v>0</x:v>
      </x:c>
      <x:c r="Y963" s="457"/>
      <x:c r="Z963" s="458"/>
      <x:c r="AA963" s="458"/>
      <x:c r="AB963" s="458"/>
      <x:c r="AC963" s="458"/>
      <x:c r="AD963" s="458"/>
      <x:c r="AE963" s="458"/>
    </x:row>
    <x:row r="964" spans="1:31" ht="20.100000000000001" customHeight="1">
      <x:c r="A964" s="439"/>
      <x:c r="B964" s="466" t="str">
        <x:f t="shared" si="142"/>
        <x:v/>
      </x:c>
      <x:c r="C964" s="440" t="str">
        <x:f t="shared" si="143"/>
        <x:v/>
      </x:c>
      <x:c r="D964" s="441"/>
      <x:c r="E964" s="442" t="str">
        <x:f t="shared" si="144"/>
        <x:v/>
      </x:c>
      <x:c r="F964" s="443"/>
      <x:c r="G964" s="444"/>
      <x:c r="H964" s="445" t="str">
        <x:f t="shared" si="141"/>
        <x:v/>
      </x:c>
      <x:c r="I964" s="446" t="str">
        <x:f t="shared" si="145"/>
        <x:v/>
      </x:c>
      <x:c r="J964" s="445"/>
      <x:c r="K964" s="453"/>
      <x:c r="L964" s="454"/>
      <x:c r="M964" s="454"/>
      <x:c r="N964" s="454"/>
      <x:c r="O964" s="454"/>
      <x:c r="P964" s="454"/>
      <x:c r="Q964" s="454"/>
      <x:c r="R964" s="454"/>
      <x:c r="S964" s="454"/>
      <x:c r="T964" s="454"/>
      <x:c r="U964" s="454"/>
      <x:c r="V964" s="455"/>
      <x:c r="W964" s="456">
        <x:f t="shared" si="139"/>
        <x:v>0</x:v>
      </x:c>
      <x:c r="X964" s="450">
        <x:f t="shared" si="140"/>
        <x:v>0</x:v>
      </x:c>
      <x:c r="Y964" s="457"/>
      <x:c r="Z964" s="458"/>
      <x:c r="AA964" s="458"/>
      <x:c r="AB964" s="458"/>
      <x:c r="AC964" s="458"/>
      <x:c r="AD964" s="458"/>
      <x:c r="AE964" s="458"/>
    </x:row>
    <x:row r="965" spans="1:31" ht="20.100000000000001" customHeight="1">
      <x:c r="A965" s="439"/>
      <x:c r="B965" s="466" t="str">
        <x:f t="shared" si="142"/>
        <x:v/>
      </x:c>
      <x:c r="C965" s="440" t="str">
        <x:f t="shared" si="143"/>
        <x:v/>
      </x:c>
      <x:c r="D965" s="441"/>
      <x:c r="E965" s="442" t="str">
        <x:f t="shared" si="144"/>
        <x:v/>
      </x:c>
      <x:c r="F965" s="443"/>
      <x:c r="G965" s="444"/>
      <x:c r="H965" s="445" t="str">
        <x:f t="shared" si="141"/>
        <x:v/>
      </x:c>
      <x:c r="I965" s="446" t="str">
        <x:f t="shared" si="145"/>
        <x:v/>
      </x:c>
      <x:c r="J965" s="445"/>
      <x:c r="K965" s="453"/>
      <x:c r="L965" s="454"/>
      <x:c r="M965" s="454"/>
      <x:c r="N965" s="454"/>
      <x:c r="O965" s="454"/>
      <x:c r="P965" s="454"/>
      <x:c r="Q965" s="454"/>
      <x:c r="R965" s="454"/>
      <x:c r="S965" s="454"/>
      <x:c r="T965" s="454"/>
      <x:c r="U965" s="454"/>
      <x:c r="V965" s="455"/>
      <x:c r="W965" s="456">
        <x:f t="shared" si="139"/>
        <x:v>0</x:v>
      </x:c>
      <x:c r="X965" s="450">
        <x:f t="shared" si="140"/>
        <x:v>0</x:v>
      </x:c>
      <x:c r="Y965" s="457"/>
      <x:c r="Z965" s="458"/>
      <x:c r="AA965" s="458"/>
      <x:c r="AB965" s="458"/>
      <x:c r="AC965" s="458"/>
      <x:c r="AD965" s="458"/>
      <x:c r="AE965" s="458"/>
    </x:row>
    <x:row r="966" spans="1:31" ht="20.100000000000001" customHeight="1">
      <x:c r="A966" s="439"/>
      <x:c r="B966" s="466" t="str">
        <x:f t="shared" si="142"/>
        <x:v/>
      </x:c>
      <x:c r="C966" s="440" t="str">
        <x:f t="shared" si="143"/>
        <x:v/>
      </x:c>
      <x:c r="D966" s="441"/>
      <x:c r="E966" s="442" t="str">
        <x:f t="shared" si="144"/>
        <x:v/>
      </x:c>
      <x:c r="F966" s="443"/>
      <x:c r="G966" s="444"/>
      <x:c r="H966" s="445" t="str">
        <x:f t="shared" si="141"/>
        <x:v/>
      </x:c>
      <x:c r="I966" s="446" t="str">
        <x:f t="shared" si="145"/>
        <x:v/>
      </x:c>
      <x:c r="J966" s="445"/>
      <x:c r="K966" s="453"/>
      <x:c r="L966" s="454"/>
      <x:c r="M966" s="454"/>
      <x:c r="N966" s="454"/>
      <x:c r="O966" s="454"/>
      <x:c r="P966" s="454"/>
      <x:c r="Q966" s="454"/>
      <x:c r="R966" s="454"/>
      <x:c r="S966" s="454"/>
      <x:c r="T966" s="454"/>
      <x:c r="U966" s="454"/>
      <x:c r="V966" s="455"/>
      <x:c r="W966" s="456">
        <x:f t="shared" si="139"/>
        <x:v>0</x:v>
      </x:c>
      <x:c r="X966" s="450">
        <x:f t="shared" si="140"/>
        <x:v>0</x:v>
      </x:c>
      <x:c r="Y966" s="457"/>
      <x:c r="Z966" s="458"/>
      <x:c r="AA966" s="458"/>
      <x:c r="AB966" s="458"/>
      <x:c r="AC966" s="458"/>
      <x:c r="AD966" s="458"/>
      <x:c r="AE966" s="458"/>
    </x:row>
    <x:row r="967" spans="1:31" ht="20.100000000000001" customHeight="1">
      <x:c r="A967" s="439"/>
      <x:c r="B967" s="466" t="str">
        <x:f t="shared" si="142"/>
        <x:v/>
      </x:c>
      <x:c r="C967" s="440" t="str">
        <x:f t="shared" si="143"/>
        <x:v/>
      </x:c>
      <x:c r="D967" s="441"/>
      <x:c r="E967" s="442" t="str">
        <x:f t="shared" si="144"/>
        <x:v/>
      </x:c>
      <x:c r="F967" s="443"/>
      <x:c r="G967" s="444"/>
      <x:c r="H967" s="445" t="str">
        <x:f t="shared" si="141"/>
        <x:v/>
      </x:c>
      <x:c r="I967" s="446" t="str">
        <x:f t="shared" si="145"/>
        <x:v/>
      </x:c>
      <x:c r="J967" s="445"/>
      <x:c r="K967" s="453"/>
      <x:c r="L967" s="454"/>
      <x:c r="M967" s="454"/>
      <x:c r="N967" s="454"/>
      <x:c r="O967" s="454"/>
      <x:c r="P967" s="454"/>
      <x:c r="Q967" s="454"/>
      <x:c r="R967" s="454"/>
      <x:c r="S967" s="454"/>
      <x:c r="T967" s="454"/>
      <x:c r="U967" s="454"/>
      <x:c r="V967" s="455"/>
      <x:c r="W967" s="456">
        <x:f t="shared" si="139"/>
        <x:v>0</x:v>
      </x:c>
      <x:c r="X967" s="450">
        <x:f t="shared" si="140"/>
        <x:v>0</x:v>
      </x:c>
      <x:c r="Y967" s="457"/>
      <x:c r="Z967" s="458"/>
      <x:c r="AA967" s="458"/>
      <x:c r="AB967" s="458"/>
      <x:c r="AC967" s="458"/>
      <x:c r="AD967" s="458"/>
      <x:c r="AE967" s="458"/>
    </x:row>
    <x:row r="968" spans="1:31" ht="20.100000000000001" customHeight="1">
      <x:c r="A968" s="439"/>
      <x:c r="B968" s="466" t="str">
        <x:f t="shared" si="142"/>
        <x:v/>
      </x:c>
      <x:c r="C968" s="440" t="str">
        <x:f t="shared" si="143"/>
        <x:v/>
      </x:c>
      <x:c r="D968" s="441"/>
      <x:c r="E968" s="442" t="str">
        <x:f t="shared" si="144"/>
        <x:v/>
      </x:c>
      <x:c r="F968" s="443"/>
      <x:c r="G968" s="444"/>
      <x:c r="H968" s="445" t="str">
        <x:f t="shared" si="141"/>
        <x:v/>
      </x:c>
      <x:c r="I968" s="446" t="str">
        <x:f t="shared" si="145"/>
        <x:v/>
      </x:c>
      <x:c r="J968" s="445"/>
      <x:c r="K968" s="453"/>
      <x:c r="L968" s="454"/>
      <x:c r="M968" s="454"/>
      <x:c r="N968" s="454"/>
      <x:c r="O968" s="454"/>
      <x:c r="P968" s="454"/>
      <x:c r="Q968" s="454"/>
      <x:c r="R968" s="454"/>
      <x:c r="S968" s="454"/>
      <x:c r="T968" s="454"/>
      <x:c r="U968" s="454"/>
      <x:c r="V968" s="455"/>
      <x:c r="W968" s="456">
        <x:f t="shared" si="139"/>
        <x:v>0</x:v>
      </x:c>
      <x:c r="X968" s="450">
        <x:f t="shared" si="140"/>
        <x:v>0</x:v>
      </x:c>
      <x:c r="Y968" s="457"/>
      <x:c r="Z968" s="458"/>
      <x:c r="AA968" s="458"/>
      <x:c r="AB968" s="458"/>
      <x:c r="AC968" s="458"/>
      <x:c r="AD968" s="458"/>
      <x:c r="AE968" s="458"/>
    </x:row>
    <x:row r="969" spans="1:31" ht="20.100000000000001" customHeight="1">
      <x:c r="A969" s="439"/>
      <x:c r="B969" s="466" t="str">
        <x:f t="shared" si="142"/>
        <x:v/>
      </x:c>
      <x:c r="C969" s="440" t="str">
        <x:f t="shared" si="143"/>
        <x:v/>
      </x:c>
      <x:c r="D969" s="441"/>
      <x:c r="E969" s="442" t="str">
        <x:f t="shared" si="144"/>
        <x:v/>
      </x:c>
      <x:c r="F969" s="443"/>
      <x:c r="G969" s="444"/>
      <x:c r="H969" s="445" t="str">
        <x:f t="shared" si="141"/>
        <x:v/>
      </x:c>
      <x:c r="I969" s="446" t="str">
        <x:f t="shared" si="145"/>
        <x:v/>
      </x:c>
      <x:c r="J969" s="445"/>
      <x:c r="K969" s="453"/>
      <x:c r="L969" s="454"/>
      <x:c r="M969" s="454"/>
      <x:c r="N969" s="454"/>
      <x:c r="O969" s="454"/>
      <x:c r="P969" s="454"/>
      <x:c r="Q969" s="454"/>
      <x:c r="R969" s="454"/>
      <x:c r="S969" s="454"/>
      <x:c r="T969" s="454"/>
      <x:c r="U969" s="454"/>
      <x:c r="V969" s="455"/>
      <x:c r="W969" s="456">
        <x:f t="shared" si="139"/>
        <x:v>0</x:v>
      </x:c>
      <x:c r="X969" s="450">
        <x:f t="shared" si="140"/>
        <x:v>0</x:v>
      </x:c>
      <x:c r="Y969" s="457"/>
      <x:c r="Z969" s="458"/>
      <x:c r="AA969" s="458"/>
      <x:c r="AB969" s="458"/>
      <x:c r="AC969" s="458"/>
      <x:c r="AD969" s="458"/>
      <x:c r="AE969" s="458"/>
    </x:row>
    <x:row r="970" spans="1:31" ht="20.100000000000001" customHeight="1">
      <x:c r="A970" s="439"/>
      <x:c r="B970" s="466" t="str">
        <x:f t="shared" si="142"/>
        <x:v/>
      </x:c>
      <x:c r="C970" s="440" t="str">
        <x:f t="shared" si="143"/>
        <x:v/>
      </x:c>
      <x:c r="D970" s="441"/>
      <x:c r="E970" s="442" t="str">
        <x:f t="shared" si="144"/>
        <x:v/>
      </x:c>
      <x:c r="F970" s="443"/>
      <x:c r="G970" s="444"/>
      <x:c r="H970" s="445" t="str">
        <x:f t="shared" si="141"/>
        <x:v/>
      </x:c>
      <x:c r="I970" s="446" t="str">
        <x:f t="shared" si="145"/>
        <x:v/>
      </x:c>
      <x:c r="J970" s="445"/>
      <x:c r="K970" s="453"/>
      <x:c r="L970" s="454"/>
      <x:c r="M970" s="454"/>
      <x:c r="N970" s="454"/>
      <x:c r="O970" s="454"/>
      <x:c r="P970" s="454"/>
      <x:c r="Q970" s="454"/>
      <x:c r="R970" s="454"/>
      <x:c r="S970" s="454"/>
      <x:c r="T970" s="454"/>
      <x:c r="U970" s="454"/>
      <x:c r="V970" s="455"/>
      <x:c r="W970" s="456">
        <x:f t="shared" si="139"/>
        <x:v>0</x:v>
      </x:c>
      <x:c r="X970" s="450">
        <x:f t="shared" si="140"/>
        <x:v>0</x:v>
      </x:c>
      <x:c r="Y970" s="457"/>
      <x:c r="Z970" s="458"/>
      <x:c r="AA970" s="458"/>
      <x:c r="AB970" s="458"/>
      <x:c r="AC970" s="458"/>
      <x:c r="AD970" s="458"/>
      <x:c r="AE970" s="458"/>
    </x:row>
    <x:row r="971" spans="1:31" ht="20.100000000000001" customHeight="1">
      <x:c r="A971" s="439"/>
      <x:c r="B971" s="466" t="str">
        <x:f t="shared" si="142"/>
        <x:v/>
      </x:c>
      <x:c r="C971" s="440" t="str">
        <x:f t="shared" si="143"/>
        <x:v/>
      </x:c>
      <x:c r="D971" s="441"/>
      <x:c r="E971" s="442" t="str">
        <x:f t="shared" si="144"/>
        <x:v/>
      </x:c>
      <x:c r="F971" s="443"/>
      <x:c r="G971" s="444"/>
      <x:c r="H971" s="445" t="str">
        <x:f t="shared" si="141"/>
        <x:v/>
      </x:c>
      <x:c r="I971" s="446" t="str">
        <x:f t="shared" si="145"/>
        <x:v/>
      </x:c>
      <x:c r="J971" s="445"/>
      <x:c r="K971" s="453"/>
      <x:c r="L971" s="454"/>
      <x:c r="M971" s="454"/>
      <x:c r="N971" s="454"/>
      <x:c r="O971" s="454"/>
      <x:c r="P971" s="454"/>
      <x:c r="Q971" s="454"/>
      <x:c r="R971" s="454"/>
      <x:c r="S971" s="454"/>
      <x:c r="T971" s="454"/>
      <x:c r="U971" s="454"/>
      <x:c r="V971" s="455"/>
      <x:c r="W971" s="456">
        <x:f t="shared" si="139"/>
        <x:v>0</x:v>
      </x:c>
      <x:c r="X971" s="450">
        <x:f t="shared" si="140"/>
        <x:v>0</x:v>
      </x:c>
      <x:c r="Y971" s="457"/>
      <x:c r="Z971" s="458"/>
      <x:c r="AA971" s="458"/>
      <x:c r="AB971" s="458"/>
      <x:c r="AC971" s="458"/>
      <x:c r="AD971" s="458"/>
      <x:c r="AE971" s="458"/>
    </x:row>
    <x:row r="972" spans="1:31" ht="20.100000000000001" customHeight="1">
      <x:c r="A972" s="439"/>
      <x:c r="B972" s="466" t="str">
        <x:f t="shared" si="142"/>
        <x:v/>
      </x:c>
      <x:c r="C972" s="440" t="str">
        <x:f t="shared" si="143"/>
        <x:v/>
      </x:c>
      <x:c r="D972" s="441"/>
      <x:c r="E972" s="442" t="str">
        <x:f t="shared" si="144"/>
        <x:v/>
      </x:c>
      <x:c r="F972" s="443"/>
      <x:c r="G972" s="444"/>
      <x:c r="H972" s="445" t="str">
        <x:f t="shared" si="141"/>
        <x:v/>
      </x:c>
      <x:c r="I972" s="446" t="str">
        <x:f t="shared" si="145"/>
        <x:v/>
      </x:c>
      <x:c r="J972" s="445"/>
      <x:c r="K972" s="453"/>
      <x:c r="L972" s="454"/>
      <x:c r="M972" s="454"/>
      <x:c r="N972" s="454"/>
      <x:c r="O972" s="454"/>
      <x:c r="P972" s="454"/>
      <x:c r="Q972" s="454"/>
      <x:c r="R972" s="454"/>
      <x:c r="S972" s="454"/>
      <x:c r="T972" s="454"/>
      <x:c r="U972" s="454"/>
      <x:c r="V972" s="455"/>
      <x:c r="W972" s="456"/>
      <x:c r="X972" s="450"/>
      <x:c r="Y972" s="457"/>
      <x:c r="Z972" s="458"/>
      <x:c r="AA972" s="458"/>
      <x:c r="AB972" s="458"/>
      <x:c r="AC972" s="458"/>
      <x:c r="AD972" s="458"/>
      <x:c r="AE972" s="458"/>
    </x:row>
    <x:row r="973" spans="1:31" ht="20.100000000000001" customHeight="1">
      <x:c r="A973" s="439"/>
      <x:c r="B973" s="466" t="str">
        <x:f t="shared" si="142"/>
        <x:v/>
      </x:c>
      <x:c r="C973" s="440" t="str">
        <x:f t="shared" si="143"/>
        <x:v/>
      </x:c>
      <x:c r="D973" s="441"/>
      <x:c r="E973" s="442" t="str">
        <x:f t="shared" si="144"/>
        <x:v/>
      </x:c>
      <x:c r="F973" s="443"/>
      <x:c r="G973" s="444"/>
      <x:c r="H973" s="445" t="str">
        <x:f t="shared" si="141"/>
        <x:v/>
      </x:c>
      <x:c r="I973" s="446" t="str">
        <x:f t="shared" si="145"/>
        <x:v/>
      </x:c>
      <x:c r="J973" s="445"/>
      <x:c r="K973" s="453"/>
      <x:c r="L973" s="454"/>
      <x:c r="M973" s="454"/>
      <x:c r="N973" s="454"/>
      <x:c r="O973" s="454"/>
      <x:c r="P973" s="454"/>
      <x:c r="Q973" s="454"/>
      <x:c r="R973" s="454"/>
      <x:c r="S973" s="454"/>
      <x:c r="T973" s="454"/>
      <x:c r="U973" s="454"/>
      <x:c r="V973" s="455"/>
      <x:c r="W973" s="456"/>
      <x:c r="X973" s="450"/>
      <x:c r="Y973" s="457"/>
      <x:c r="Z973" s="458"/>
      <x:c r="AA973" s="458"/>
      <x:c r="AB973" s="458"/>
      <x:c r="AC973" s="458"/>
      <x:c r="AD973" s="458"/>
      <x:c r="AE973" s="458"/>
    </x:row>
    <x:row r="974" spans="1:31" ht="20.100000000000001" customHeight="1">
      <x:c r="A974" s="439"/>
      <x:c r="B974" s="466" t="str">
        <x:f t="shared" si="142"/>
        <x:v/>
      </x:c>
      <x:c r="C974" s="440" t="str">
        <x:f t="shared" si="143"/>
        <x:v/>
      </x:c>
      <x:c r="D974" s="441"/>
      <x:c r="E974" s="442" t="str">
        <x:f t="shared" si="144"/>
        <x:v/>
      </x:c>
      <x:c r="F974" s="443"/>
      <x:c r="G974" s="444"/>
      <x:c r="H974" s="445" t="str">
        <x:f t="shared" si="141"/>
        <x:v/>
      </x:c>
      <x:c r="I974" s="446" t="str">
        <x:f t="shared" si="145"/>
        <x:v/>
      </x:c>
      <x:c r="J974" s="445"/>
      <x:c r="K974" s="453"/>
      <x:c r="L974" s="454"/>
      <x:c r="M974" s="454"/>
      <x:c r="N974" s="454"/>
      <x:c r="O974" s="454"/>
      <x:c r="P974" s="454"/>
      <x:c r="Q974" s="454"/>
      <x:c r="R974" s="454"/>
      <x:c r="S974" s="454"/>
      <x:c r="T974" s="454"/>
      <x:c r="U974" s="454"/>
      <x:c r="V974" s="455"/>
      <x:c r="W974" s="456"/>
      <x:c r="X974" s="450"/>
      <x:c r="Y974" s="457"/>
      <x:c r="Z974" s="458"/>
      <x:c r="AA974" s="458"/>
      <x:c r="AB974" s="458"/>
      <x:c r="AC974" s="458"/>
      <x:c r="AD974" s="458"/>
      <x:c r="AE974" s="458"/>
    </x:row>
    <x:row r="975" spans="1:31" ht="20.100000000000001" customHeight="1">
      <x:c r="A975" s="439"/>
      <x:c r="B975" s="466" t="str">
        <x:f t="shared" si="142"/>
        <x:v/>
      </x:c>
      <x:c r="C975" s="440" t="str">
        <x:f t="shared" si="143"/>
        <x:v/>
      </x:c>
      <x:c r="D975" s="441"/>
      <x:c r="E975" s="442" t="str">
        <x:f t="shared" si="144"/>
        <x:v/>
      </x:c>
      <x:c r="F975" s="443"/>
      <x:c r="G975" s="444"/>
      <x:c r="H975" s="445" t="str">
        <x:f t="shared" si="141"/>
        <x:v/>
      </x:c>
      <x:c r="I975" s="446" t="str">
        <x:f t="shared" si="145"/>
        <x:v/>
      </x:c>
      <x:c r="J975" s="445"/>
      <x:c r="K975" s="453"/>
      <x:c r="L975" s="454"/>
      <x:c r="M975" s="454"/>
      <x:c r="N975" s="454"/>
      <x:c r="O975" s="454"/>
      <x:c r="P975" s="454"/>
      <x:c r="Q975" s="454"/>
      <x:c r="R975" s="454"/>
      <x:c r="S975" s="454"/>
      <x:c r="T975" s="454"/>
      <x:c r="U975" s="454"/>
      <x:c r="V975" s="455"/>
      <x:c r="W975" s="456"/>
      <x:c r="X975" s="450"/>
      <x:c r="Y975" s="457"/>
      <x:c r="Z975" s="458"/>
      <x:c r="AA975" s="458"/>
      <x:c r="AB975" s="458"/>
      <x:c r="AC975" s="458"/>
      <x:c r="AD975" s="458"/>
      <x:c r="AE975" s="458"/>
    </x:row>
    <x:row r="976" spans="1:31" ht="20.100000000000001" customHeight="1">
      <x:c r="A976" s="439"/>
      <x:c r="B976" s="466" t="str">
        <x:f t="shared" si="142"/>
        <x:v/>
      </x:c>
      <x:c r="C976" s="440" t="str">
        <x:f t="shared" si="143"/>
        <x:v/>
      </x:c>
      <x:c r="D976" s="441"/>
      <x:c r="E976" s="442" t="str">
        <x:f t="shared" si="144"/>
        <x:v/>
      </x:c>
      <x:c r="F976" s="443"/>
      <x:c r="G976" s="444"/>
      <x:c r="H976" s="445" t="str">
        <x:f t="shared" si="141"/>
        <x:v/>
      </x:c>
      <x:c r="I976" s="446" t="str">
        <x:f t="shared" si="145"/>
        <x:v/>
      </x:c>
      <x:c r="J976" s="445"/>
      <x:c r="K976" s="453"/>
      <x:c r="L976" s="454"/>
      <x:c r="M976" s="454"/>
      <x:c r="N976" s="454"/>
      <x:c r="O976" s="454"/>
      <x:c r="P976" s="454"/>
      <x:c r="Q976" s="454"/>
      <x:c r="R976" s="454"/>
      <x:c r="S976" s="454"/>
      <x:c r="T976" s="454"/>
      <x:c r="U976" s="454"/>
      <x:c r="V976" s="455"/>
      <x:c r="W976" s="456"/>
      <x:c r="X976" s="450"/>
      <x:c r="Y976" s="457"/>
      <x:c r="Z976" s="458"/>
      <x:c r="AA976" s="458"/>
      <x:c r="AB976" s="458"/>
      <x:c r="AC976" s="458"/>
      <x:c r="AD976" s="458"/>
      <x:c r="AE976" s="458"/>
    </x:row>
    <x:row r="977" spans="1:31" ht="20.100000000000001" customHeight="1">
      <x:c r="A977" s="439"/>
      <x:c r="B977" s="466" t="str">
        <x:f t="shared" si="142"/>
        <x:v/>
      </x:c>
      <x:c r="C977" s="440" t="str">
        <x:f t="shared" si="143"/>
        <x:v/>
      </x:c>
      <x:c r="D977" s="441"/>
      <x:c r="E977" s="442" t="str">
        <x:f t="shared" si="144"/>
        <x:v/>
      </x:c>
      <x:c r="F977" s="443"/>
      <x:c r="G977" s="444"/>
      <x:c r="H977" s="445" t="str">
        <x:f t="shared" si="141"/>
        <x:v/>
      </x:c>
      <x:c r="I977" s="446" t="str">
        <x:f t="shared" si="145"/>
        <x:v/>
      </x:c>
      <x:c r="J977" s="445"/>
      <x:c r="K977" s="453"/>
      <x:c r="L977" s="454"/>
      <x:c r="M977" s="454"/>
      <x:c r="N977" s="454"/>
      <x:c r="O977" s="454"/>
      <x:c r="P977" s="454"/>
      <x:c r="Q977" s="454"/>
      <x:c r="R977" s="454"/>
      <x:c r="S977" s="454"/>
      <x:c r="T977" s="454"/>
      <x:c r="U977" s="454"/>
      <x:c r="V977" s="455"/>
      <x:c r="W977" s="456"/>
      <x:c r="X977" s="450"/>
      <x:c r="Y977" s="457"/>
      <x:c r="Z977" s="458"/>
      <x:c r="AA977" s="458"/>
      <x:c r="AB977" s="458"/>
      <x:c r="AC977" s="458"/>
      <x:c r="AD977" s="458"/>
      <x:c r="AE977" s="458"/>
    </x:row>
    <x:row r="978" spans="1:31" ht="20.100000000000001" customHeight="1">
      <x:c r="A978" s="439"/>
      <x:c r="B978" s="466" t="str">
        <x:f t="shared" si="142"/>
        <x:v/>
      </x:c>
      <x:c r="C978" s="440" t="str">
        <x:f t="shared" si="143"/>
        <x:v/>
      </x:c>
      <x:c r="D978" s="441"/>
      <x:c r="E978" s="442" t="str">
        <x:f t="shared" si="144"/>
        <x:v/>
      </x:c>
      <x:c r="F978" s="443"/>
      <x:c r="G978" s="444"/>
      <x:c r="H978" s="445" t="str">
        <x:f t="shared" si="141"/>
        <x:v/>
      </x:c>
      <x:c r="I978" s="446" t="str">
        <x:f t="shared" si="145"/>
        <x:v/>
      </x:c>
      <x:c r="J978" s="445"/>
      <x:c r="K978" s="453"/>
      <x:c r="L978" s="454"/>
      <x:c r="M978" s="454"/>
      <x:c r="N978" s="454"/>
      <x:c r="O978" s="454"/>
      <x:c r="P978" s="454"/>
      <x:c r="Q978" s="454"/>
      <x:c r="R978" s="454"/>
      <x:c r="S978" s="454"/>
      <x:c r="T978" s="454"/>
      <x:c r="U978" s="454"/>
      <x:c r="V978" s="455"/>
      <x:c r="W978" s="456"/>
      <x:c r="X978" s="450"/>
      <x:c r="Y978" s="457"/>
      <x:c r="Z978" s="458"/>
      <x:c r="AA978" s="458"/>
      <x:c r="AB978" s="458"/>
      <x:c r="AC978" s="458"/>
      <x:c r="AD978" s="458"/>
      <x:c r="AE978" s="458"/>
    </x:row>
    <x:row r="979" spans="1:31" ht="20.100000000000001" customHeight="1">
      <x:c r="A979" s="439"/>
      <x:c r="B979" s="466" t="str">
        <x:f t="shared" si="142"/>
        <x:v/>
      </x:c>
      <x:c r="C979" s="440" t="str">
        <x:f t="shared" si="143"/>
        <x:v/>
      </x:c>
      <x:c r="D979" s="441"/>
      <x:c r="E979" s="442" t="str">
        <x:f t="shared" si="144"/>
        <x:v/>
      </x:c>
      <x:c r="F979" s="443"/>
      <x:c r="G979" s="444"/>
      <x:c r="H979" s="445" t="str">
        <x:f t="shared" si="141"/>
        <x:v/>
      </x:c>
      <x:c r="I979" s="446" t="str">
        <x:f t="shared" si="145"/>
        <x:v/>
      </x:c>
      <x:c r="J979" s="445"/>
      <x:c r="K979" s="453"/>
      <x:c r="L979" s="454"/>
      <x:c r="M979" s="454"/>
      <x:c r="N979" s="454"/>
      <x:c r="O979" s="454"/>
      <x:c r="P979" s="454"/>
      <x:c r="Q979" s="454"/>
      <x:c r="R979" s="454"/>
      <x:c r="S979" s="454"/>
      <x:c r="T979" s="454"/>
      <x:c r="U979" s="454"/>
      <x:c r="V979" s="455"/>
      <x:c r="W979" s="456"/>
      <x:c r="X979" s="450"/>
      <x:c r="Y979" s="457"/>
      <x:c r="Z979" s="458"/>
      <x:c r="AA979" s="458"/>
      <x:c r="AB979" s="458"/>
      <x:c r="AC979" s="458"/>
      <x:c r="AD979" s="458"/>
      <x:c r="AE979" s="458"/>
    </x:row>
    <x:row r="980" spans="1:31" ht="20.100000000000001" customHeight="1">
      <x:c r="A980" s="439"/>
      <x:c r="B980" s="466" t="str">
        <x:f t="shared" si="142"/>
        <x:v/>
      </x:c>
      <x:c r="C980" s="440" t="str">
        <x:f t="shared" si="143"/>
        <x:v/>
      </x:c>
      <x:c r="D980" s="441"/>
      <x:c r="E980" s="442" t="str">
        <x:f t="shared" si="144"/>
        <x:v/>
      </x:c>
      <x:c r="F980" s="443"/>
      <x:c r="G980" s="444"/>
      <x:c r="H980" s="445" t="str">
        <x:f t="shared" si="141"/>
        <x:v/>
      </x:c>
      <x:c r="I980" s="446" t="str">
        <x:f t="shared" si="145"/>
        <x:v/>
      </x:c>
      <x:c r="J980" s="445"/>
      <x:c r="K980" s="453"/>
      <x:c r="L980" s="454"/>
      <x:c r="M980" s="454"/>
      <x:c r="N980" s="454"/>
      <x:c r="O980" s="454"/>
      <x:c r="P980" s="454"/>
      <x:c r="Q980" s="454"/>
      <x:c r="R980" s="454"/>
      <x:c r="S980" s="454"/>
      <x:c r="T980" s="454"/>
      <x:c r="U980" s="454"/>
      <x:c r="V980" s="455"/>
      <x:c r="W980" s="456"/>
      <x:c r="X980" s="450"/>
      <x:c r="Y980" s="457"/>
      <x:c r="Z980" s="458"/>
      <x:c r="AA980" s="458"/>
      <x:c r="AB980" s="458"/>
      <x:c r="AC980" s="458"/>
      <x:c r="AD980" s="458"/>
      <x:c r="AE980" s="458"/>
    </x:row>
    <x:row r="981" spans="1:31" ht="20.100000000000001" customHeight="1">
      <x:c r="A981" s="439"/>
      <x:c r="B981" s="466" t="str">
        <x:f t="shared" si="142"/>
        <x:v/>
      </x:c>
      <x:c r="C981" s="440" t="str">
        <x:f t="shared" si="143"/>
        <x:v/>
      </x:c>
      <x:c r="D981" s="441"/>
      <x:c r="E981" s="442" t="str">
        <x:f t="shared" si="144"/>
        <x:v/>
      </x:c>
      <x:c r="F981" s="443"/>
      <x:c r="G981" s="444"/>
      <x:c r="H981" s="445" t="str">
        <x:f t="shared" si="141"/>
        <x:v/>
      </x:c>
      <x:c r="I981" s="446" t="str">
        <x:f t="shared" si="145"/>
        <x:v/>
      </x:c>
      <x:c r="J981" s="445"/>
      <x:c r="K981" s="453"/>
      <x:c r="L981" s="454"/>
      <x:c r="M981" s="454"/>
      <x:c r="N981" s="454"/>
      <x:c r="O981" s="454"/>
      <x:c r="P981" s="454"/>
      <x:c r="Q981" s="454"/>
      <x:c r="R981" s="454"/>
      <x:c r="S981" s="454"/>
      <x:c r="T981" s="454"/>
      <x:c r="U981" s="454"/>
      <x:c r="V981" s="455"/>
      <x:c r="W981" s="456"/>
      <x:c r="X981" s="450"/>
      <x:c r="Y981" s="457"/>
      <x:c r="Z981" s="458"/>
      <x:c r="AA981" s="458"/>
      <x:c r="AB981" s="458"/>
      <x:c r="AC981" s="458"/>
      <x:c r="AD981" s="458"/>
      <x:c r="AE981" s="458"/>
    </x:row>
    <x:row r="982" spans="1:31" ht="20.100000000000001" customHeight="1">
      <x:c r="A982" s="439"/>
      <x:c r="B982" s="466" t="str">
        <x:f t="shared" si="142"/>
        <x:v/>
      </x:c>
      <x:c r="C982" s="440" t="str">
        <x:f t="shared" si="143"/>
        <x:v/>
      </x:c>
      <x:c r="D982" s="441"/>
      <x:c r="E982" s="442" t="str">
        <x:f t="shared" si="144"/>
        <x:v/>
      </x:c>
      <x:c r="F982" s="443"/>
      <x:c r="G982" s="444"/>
      <x:c r="H982" s="445" t="str">
        <x:f t="shared" si="141"/>
        <x:v/>
      </x:c>
      <x:c r="I982" s="446" t="str">
        <x:f t="shared" si="145"/>
        <x:v/>
      </x:c>
      <x:c r="J982" s="445"/>
      <x:c r="K982" s="453"/>
      <x:c r="L982" s="454"/>
      <x:c r="M982" s="454"/>
      <x:c r="N982" s="454"/>
      <x:c r="O982" s="454"/>
      <x:c r="P982" s="454"/>
      <x:c r="Q982" s="454"/>
      <x:c r="R982" s="454"/>
      <x:c r="S982" s="454"/>
      <x:c r="T982" s="454"/>
      <x:c r="U982" s="454"/>
      <x:c r="V982" s="455"/>
      <x:c r="W982" s="456"/>
      <x:c r="X982" s="450"/>
      <x:c r="Y982" s="457"/>
      <x:c r="Z982" s="458"/>
      <x:c r="AA982" s="458"/>
      <x:c r="AB982" s="458"/>
      <x:c r="AC982" s="458"/>
      <x:c r="AD982" s="458"/>
      <x:c r="AE982" s="458"/>
    </x:row>
    <x:row r="983" spans="1:31" ht="20.100000000000001" customHeight="1">
      <x:c r="A983" s="439"/>
      <x:c r="B983" s="466" t="str">
        <x:f t="shared" si="142"/>
        <x:v/>
      </x:c>
      <x:c r="C983" s="440" t="str">
        <x:f t="shared" si="143"/>
        <x:v/>
      </x:c>
      <x:c r="D983" s="441"/>
      <x:c r="E983" s="442" t="str">
        <x:f t="shared" si="144"/>
        <x:v/>
      </x:c>
      <x:c r="F983" s="443"/>
      <x:c r="G983" s="444"/>
      <x:c r="H983" s="445" t="str">
        <x:f t="shared" si="141"/>
        <x:v/>
      </x:c>
      <x:c r="I983" s="446" t="str">
        <x:f t="shared" si="145"/>
        <x:v/>
      </x:c>
      <x:c r="J983" s="445"/>
      <x:c r="K983" s="453"/>
      <x:c r="L983" s="454"/>
      <x:c r="M983" s="454"/>
      <x:c r="N983" s="454"/>
      <x:c r="O983" s="454"/>
      <x:c r="P983" s="454"/>
      <x:c r="Q983" s="454"/>
      <x:c r="R983" s="454"/>
      <x:c r="S983" s="454"/>
      <x:c r="T983" s="454"/>
      <x:c r="U983" s="454"/>
      <x:c r="V983" s="455"/>
      <x:c r="W983" s="456"/>
      <x:c r="X983" s="450"/>
      <x:c r="Y983" s="457"/>
      <x:c r="Z983" s="458"/>
      <x:c r="AA983" s="458"/>
      <x:c r="AB983" s="458"/>
      <x:c r="AC983" s="458"/>
      <x:c r="AD983" s="458"/>
      <x:c r="AE983" s="458"/>
    </x:row>
    <x:row r="984" spans="1:31" ht="20.100000000000001" customHeight="1">
      <x:c r="A984" s="439"/>
      <x:c r="B984" s="466" t="str">
        <x:f t="shared" si="142"/>
        <x:v/>
      </x:c>
      <x:c r="C984" s="440" t="str">
        <x:f t="shared" si="143"/>
        <x:v/>
      </x:c>
      <x:c r="D984" s="441"/>
      <x:c r="E984" s="442" t="str">
        <x:f t="shared" si="144"/>
        <x:v/>
      </x:c>
      <x:c r="F984" s="443"/>
      <x:c r="G984" s="444"/>
      <x:c r="H984" s="445" t="str">
        <x:f t="shared" si="141"/>
        <x:v/>
      </x:c>
      <x:c r="I984" s="446" t="str">
        <x:f t="shared" si="145"/>
        <x:v/>
      </x:c>
      <x:c r="J984" s="445"/>
      <x:c r="K984" s="453"/>
      <x:c r="L984" s="454"/>
      <x:c r="M984" s="454"/>
      <x:c r="N984" s="454"/>
      <x:c r="O984" s="454"/>
      <x:c r="P984" s="454"/>
      <x:c r="Q984" s="454"/>
      <x:c r="R984" s="454"/>
      <x:c r="S984" s="454"/>
      <x:c r="T984" s="454"/>
      <x:c r="U984" s="454"/>
      <x:c r="V984" s="455"/>
      <x:c r="W984" s="456"/>
      <x:c r="X984" s="450"/>
      <x:c r="Y984" s="457"/>
      <x:c r="Z984" s="458"/>
      <x:c r="AA984" s="458"/>
      <x:c r="AB984" s="458"/>
      <x:c r="AC984" s="458"/>
      <x:c r="AD984" s="458"/>
      <x:c r="AE984" s="458"/>
    </x:row>
    <x:row r="985" spans="1:31" ht="20.100000000000001" customHeight="1">
      <x:c r="A985" s="439"/>
      <x:c r="B985" s="466" t="str">
        <x:f t="shared" si="142"/>
        <x:v/>
      </x:c>
      <x:c r="C985" s="440" t="str">
        <x:f t="shared" si="143"/>
        <x:v/>
      </x:c>
      <x:c r="D985" s="441"/>
      <x:c r="E985" s="442" t="str">
        <x:f t="shared" si="144"/>
        <x:v/>
      </x:c>
      <x:c r="F985" s="443"/>
      <x:c r="G985" s="444"/>
      <x:c r="H985" s="445" t="str">
        <x:f t="shared" si="141"/>
        <x:v/>
      </x:c>
      <x:c r="I985" s="446" t="str">
        <x:f t="shared" si="145"/>
        <x:v/>
      </x:c>
      <x:c r="J985" s="445"/>
      <x:c r="K985" s="453"/>
      <x:c r="L985" s="454"/>
      <x:c r="M985" s="454"/>
      <x:c r="N985" s="454"/>
      <x:c r="O985" s="454"/>
      <x:c r="P985" s="454"/>
      <x:c r="Q985" s="454"/>
      <x:c r="R985" s="454"/>
      <x:c r="S985" s="454"/>
      <x:c r="T985" s="454"/>
      <x:c r="U985" s="454"/>
      <x:c r="V985" s="455"/>
      <x:c r="W985" s="456"/>
      <x:c r="X985" s="450"/>
      <x:c r="Y985" s="457"/>
      <x:c r="Z985" s="458"/>
      <x:c r="AA985" s="458"/>
      <x:c r="AB985" s="458"/>
      <x:c r="AC985" s="458"/>
      <x:c r="AD985" s="458"/>
      <x:c r="AE985" s="458"/>
    </x:row>
    <x:row r="986" spans="1:31" ht="20.100000000000001" customHeight="1">
      <x:c r="A986" s="439"/>
      <x:c r="B986" s="466" t="str">
        <x:f t="shared" si="142"/>
        <x:v/>
      </x:c>
      <x:c r="C986" s="440" t="str">
        <x:f t="shared" si="143"/>
        <x:v/>
      </x:c>
      <x:c r="D986" s="441"/>
      <x:c r="E986" s="442" t="str">
        <x:f t="shared" si="144"/>
        <x:v/>
      </x:c>
      <x:c r="F986" s="443"/>
      <x:c r="G986" s="444"/>
      <x:c r="H986" s="445" t="str">
        <x:f t="shared" si="141"/>
        <x:v/>
      </x:c>
      <x:c r="I986" s="446" t="str">
        <x:f t="shared" si="145"/>
        <x:v/>
      </x:c>
      <x:c r="J986" s="445"/>
      <x:c r="K986" s="453"/>
      <x:c r="L986" s="454"/>
      <x:c r="M986" s="454"/>
      <x:c r="N986" s="454"/>
      <x:c r="O986" s="454"/>
      <x:c r="P986" s="454"/>
      <x:c r="Q986" s="454"/>
      <x:c r="R986" s="454"/>
      <x:c r="S986" s="454"/>
      <x:c r="T986" s="454"/>
      <x:c r="U986" s="454"/>
      <x:c r="V986" s="455"/>
      <x:c r="W986" s="456"/>
      <x:c r="X986" s="450"/>
      <x:c r="Y986" s="457"/>
      <x:c r="Z986" s="458"/>
      <x:c r="AA986" s="458"/>
      <x:c r="AB986" s="458"/>
      <x:c r="AC986" s="458"/>
      <x:c r="AD986" s="458"/>
      <x:c r="AE986" s="458"/>
    </x:row>
    <x:row r="987" spans="1:31" ht="20.100000000000001" customHeight="1">
      <x:c r="A987" s="439"/>
      <x:c r="B987" s="466" t="str">
        <x:f t="shared" si="142"/>
        <x:v/>
      </x:c>
      <x:c r="C987" s="440" t="str">
        <x:f t="shared" si="143"/>
        <x:v/>
      </x:c>
      <x:c r="D987" s="441"/>
      <x:c r="E987" s="442" t="str">
        <x:f t="shared" si="144"/>
        <x:v/>
      </x:c>
      <x:c r="F987" s="443"/>
      <x:c r="G987" s="444"/>
      <x:c r="H987" s="445" t="str">
        <x:f t="shared" si="141"/>
        <x:v/>
      </x:c>
      <x:c r="I987" s="446" t="str">
        <x:f t="shared" si="145"/>
        <x:v/>
      </x:c>
      <x:c r="J987" s="445"/>
      <x:c r="K987" s="453"/>
      <x:c r="L987" s="454"/>
      <x:c r="M987" s="454"/>
      <x:c r="N987" s="454"/>
      <x:c r="O987" s="454"/>
      <x:c r="P987" s="454"/>
      <x:c r="Q987" s="454"/>
      <x:c r="R987" s="454"/>
      <x:c r="S987" s="454"/>
      <x:c r="T987" s="454"/>
      <x:c r="U987" s="454"/>
      <x:c r="V987" s="455"/>
      <x:c r="W987" s="456"/>
      <x:c r="X987" s="450"/>
      <x:c r="Y987" s="457"/>
      <x:c r="Z987" s="458"/>
      <x:c r="AA987" s="458"/>
      <x:c r="AB987" s="458"/>
      <x:c r="AC987" s="458"/>
      <x:c r="AD987" s="458"/>
      <x:c r="AE987" s="458"/>
    </x:row>
    <x:row r="988" spans="1:31" ht="20.100000000000001" customHeight="1">
      <x:c r="A988" s="439"/>
      <x:c r="B988" s="466" t="str">
        <x:f t="shared" si="142"/>
        <x:v/>
      </x:c>
      <x:c r="C988" s="440" t="str">
        <x:f t="shared" si="143"/>
        <x:v/>
      </x:c>
      <x:c r="D988" s="441"/>
      <x:c r="E988" s="442" t="str">
        <x:f t="shared" si="144"/>
        <x:v/>
      </x:c>
      <x:c r="F988" s="443"/>
      <x:c r="G988" s="444"/>
      <x:c r="H988" s="445" t="str">
        <x:f t="shared" si="141"/>
        <x:v/>
      </x:c>
      <x:c r="I988" s="446" t="str">
        <x:f t="shared" si="145"/>
        <x:v/>
      </x:c>
      <x:c r="J988" s="445"/>
      <x:c r="K988" s="453"/>
      <x:c r="L988" s="454"/>
      <x:c r="M988" s="454"/>
      <x:c r="N988" s="454"/>
      <x:c r="O988" s="454"/>
      <x:c r="P988" s="454"/>
      <x:c r="Q988" s="454"/>
      <x:c r="R988" s="454"/>
      <x:c r="S988" s="454"/>
      <x:c r="T988" s="454"/>
      <x:c r="U988" s="454"/>
      <x:c r="V988" s="455"/>
      <x:c r="W988" s="456"/>
      <x:c r="X988" s="450"/>
      <x:c r="Y988" s="457"/>
      <x:c r="Z988" s="458"/>
      <x:c r="AA988" s="458"/>
      <x:c r="AB988" s="458"/>
      <x:c r="AC988" s="458"/>
      <x:c r="AD988" s="458"/>
      <x:c r="AE988" s="458"/>
    </x:row>
    <x:row r="989" spans="1:31" ht="20.100000000000001" customHeight="1">
      <x:c r="A989" s="439"/>
      <x:c r="B989" s="466" t="str">
        <x:f t="shared" si="142"/>
        <x:v/>
      </x:c>
      <x:c r="C989" s="440" t="str">
        <x:f t="shared" si="143"/>
        <x:v/>
      </x:c>
      <x:c r="D989" s="441"/>
      <x:c r="E989" s="442" t="str">
        <x:f t="shared" si="144"/>
        <x:v/>
      </x:c>
      <x:c r="F989" s="443"/>
      <x:c r="G989" s="444"/>
      <x:c r="H989" s="445" t="str">
        <x:f t="shared" si="141"/>
        <x:v/>
      </x:c>
      <x:c r="I989" s="446" t="str">
        <x:f t="shared" si="145"/>
        <x:v/>
      </x:c>
      <x:c r="J989" s="445"/>
      <x:c r="K989" s="453"/>
      <x:c r="L989" s="454"/>
      <x:c r="M989" s="454"/>
      <x:c r="N989" s="454"/>
      <x:c r="O989" s="454"/>
      <x:c r="P989" s="454"/>
      <x:c r="Q989" s="454"/>
      <x:c r="R989" s="454"/>
      <x:c r="S989" s="454"/>
      <x:c r="T989" s="454"/>
      <x:c r="U989" s="454"/>
      <x:c r="V989" s="455"/>
      <x:c r="W989" s="456"/>
      <x:c r="X989" s="450"/>
      <x:c r="Y989" s="457"/>
      <x:c r="Z989" s="458"/>
      <x:c r="AA989" s="458"/>
      <x:c r="AB989" s="458"/>
      <x:c r="AC989" s="458"/>
      <x:c r="AD989" s="458"/>
      <x:c r="AE989" s="458"/>
    </x:row>
    <x:row r="990" spans="1:31" ht="20.100000000000001" customHeight="1">
      <x:c r="A990" s="439"/>
      <x:c r="B990" s="466" t="str">
        <x:f t="shared" si="142"/>
        <x:v/>
      </x:c>
      <x:c r="C990" s="440" t="str">
        <x:f t="shared" si="143"/>
        <x:v/>
      </x:c>
      <x:c r="D990" s="441"/>
      <x:c r="E990" s="442" t="str">
        <x:f t="shared" si="144"/>
        <x:v/>
      </x:c>
      <x:c r="F990" s="443"/>
      <x:c r="G990" s="444"/>
      <x:c r="H990" s="445" t="str">
        <x:f t="shared" si="141"/>
        <x:v/>
      </x:c>
      <x:c r="I990" s="446" t="str">
        <x:f t="shared" si="145"/>
        <x:v/>
      </x:c>
      <x:c r="J990" s="445"/>
      <x:c r="K990" s="453"/>
      <x:c r="L990" s="454"/>
      <x:c r="M990" s="454"/>
      <x:c r="N990" s="454"/>
      <x:c r="O990" s="454"/>
      <x:c r="P990" s="454"/>
      <x:c r="Q990" s="454"/>
      <x:c r="R990" s="454"/>
      <x:c r="S990" s="454"/>
      <x:c r="T990" s="454"/>
      <x:c r="U990" s="454"/>
      <x:c r="V990" s="455"/>
      <x:c r="W990" s="456"/>
      <x:c r="X990" s="450"/>
      <x:c r="Y990" s="457"/>
      <x:c r="Z990" s="458"/>
      <x:c r="AA990" s="458"/>
      <x:c r="AB990" s="458"/>
      <x:c r="AC990" s="458"/>
      <x:c r="AD990" s="458"/>
      <x:c r="AE990" s="458"/>
    </x:row>
    <x:row r="991" spans="1:31" ht="20.100000000000001" customHeight="1">
      <x:c r="A991" s="439"/>
      <x:c r="B991" s="466" t="str">
        <x:f t="shared" si="142"/>
        <x:v/>
      </x:c>
      <x:c r="C991" s="440" t="str">
        <x:f t="shared" si="143"/>
        <x:v/>
      </x:c>
      <x:c r="D991" s="441"/>
      <x:c r="E991" s="442" t="str">
        <x:f t="shared" si="144"/>
        <x:v/>
      </x:c>
      <x:c r="F991" s="443"/>
      <x:c r="G991" s="444"/>
      <x:c r="H991" s="445" t="str">
        <x:f t="shared" si="141"/>
        <x:v/>
      </x:c>
      <x:c r="I991" s="446" t="str">
        <x:f t="shared" si="145"/>
        <x:v/>
      </x:c>
      <x:c r="J991" s="445"/>
      <x:c r="K991" s="453"/>
      <x:c r="L991" s="454"/>
      <x:c r="M991" s="454"/>
      <x:c r="N991" s="454"/>
      <x:c r="O991" s="454"/>
      <x:c r="P991" s="454"/>
      <x:c r="Q991" s="454"/>
      <x:c r="R991" s="454"/>
      <x:c r="S991" s="454"/>
      <x:c r="T991" s="454"/>
      <x:c r="U991" s="454"/>
      <x:c r="V991" s="455"/>
      <x:c r="W991" s="456"/>
      <x:c r="X991" s="450"/>
      <x:c r="Y991" s="457"/>
      <x:c r="Z991" s="458"/>
      <x:c r="AA991" s="458"/>
      <x:c r="AB991" s="458"/>
      <x:c r="AC991" s="458"/>
      <x:c r="AD991" s="458"/>
      <x:c r="AE991" s="458"/>
    </x:row>
    <x:row r="992" spans="1:31" ht="20.100000000000001" customHeight="1">
      <x:c r="A992" s="439"/>
      <x:c r="B992" s="466" t="str">
        <x:f t="shared" si="142"/>
        <x:v/>
      </x:c>
      <x:c r="C992" s="440" t="str">
        <x:f t="shared" si="143"/>
        <x:v/>
      </x:c>
      <x:c r="D992" s="441"/>
      <x:c r="E992" s="442" t="str">
        <x:f t="shared" si="144"/>
        <x:v/>
      </x:c>
      <x:c r="F992" s="443"/>
      <x:c r="G992" s="444"/>
      <x:c r="H992" s="445" t="str">
        <x:f t="shared" si="141"/>
        <x:v/>
      </x:c>
      <x:c r="I992" s="446" t="str">
        <x:f t="shared" si="145"/>
        <x:v/>
      </x:c>
      <x:c r="J992" s="445"/>
      <x:c r="K992" s="453"/>
      <x:c r="L992" s="454"/>
      <x:c r="M992" s="454"/>
      <x:c r="N992" s="454"/>
      <x:c r="O992" s="454"/>
      <x:c r="P992" s="454"/>
      <x:c r="Q992" s="454"/>
      <x:c r="R992" s="454"/>
      <x:c r="S992" s="454"/>
      <x:c r="T992" s="454"/>
      <x:c r="U992" s="454"/>
      <x:c r="V992" s="455"/>
      <x:c r="W992" s="456"/>
      <x:c r="X992" s="450"/>
      <x:c r="Y992" s="457"/>
      <x:c r="Z992" s="458"/>
      <x:c r="AA992" s="458"/>
      <x:c r="AB992" s="458"/>
      <x:c r="AC992" s="458"/>
      <x:c r="AD992" s="458"/>
      <x:c r="AE992" s="458"/>
    </x:row>
    <x:row r="993" spans="1:31" ht="20.100000000000001" customHeight="1">
      <x:c r="A993" s="439"/>
      <x:c r="B993" s="466" t="str">
        <x:f t="shared" si="142"/>
        <x:v/>
      </x:c>
      <x:c r="C993" s="440" t="str">
        <x:f t="shared" si="143"/>
        <x:v/>
      </x:c>
      <x:c r="D993" s="441"/>
      <x:c r="E993" s="442" t="str">
        <x:f t="shared" si="144"/>
        <x:v/>
      </x:c>
      <x:c r="F993" s="443"/>
      <x:c r="G993" s="444"/>
      <x:c r="H993" s="445" t="str">
        <x:f t="shared" si="141"/>
        <x:v/>
      </x:c>
      <x:c r="I993" s="446" t="str">
        <x:f t="shared" si="145"/>
        <x:v/>
      </x:c>
      <x:c r="J993" s="445"/>
      <x:c r="K993" s="453"/>
      <x:c r="L993" s="454"/>
      <x:c r="M993" s="454"/>
      <x:c r="N993" s="454"/>
      <x:c r="O993" s="454"/>
      <x:c r="P993" s="454"/>
      <x:c r="Q993" s="454"/>
      <x:c r="R993" s="454"/>
      <x:c r="S993" s="454"/>
      <x:c r="T993" s="454"/>
      <x:c r="U993" s="454"/>
      <x:c r="V993" s="455"/>
      <x:c r="W993" s="456"/>
      <x:c r="X993" s="450"/>
      <x:c r="Y993" s="457"/>
      <x:c r="Z993" s="458"/>
      <x:c r="AA993" s="458"/>
      <x:c r="AB993" s="458"/>
      <x:c r="AC993" s="458"/>
      <x:c r="AD993" s="458"/>
      <x:c r="AE993" s="458"/>
    </x:row>
    <x:row r="994" spans="1:31" ht="20.100000000000001" customHeight="1">
      <x:c r="A994" s="439"/>
      <x:c r="B994" s="466" t="str">
        <x:f t="shared" si="142"/>
        <x:v/>
      </x:c>
      <x:c r="C994" s="440" t="str">
        <x:f t="shared" si="143"/>
        <x:v/>
      </x:c>
      <x:c r="D994" s="441"/>
      <x:c r="E994" s="442" t="str">
        <x:f t="shared" si="144"/>
        <x:v/>
      </x:c>
      <x:c r="F994" s="443"/>
      <x:c r="G994" s="444"/>
      <x:c r="H994" s="445" t="str">
        <x:f t="shared" si="141"/>
        <x:v/>
      </x:c>
      <x:c r="I994" s="446" t="str">
        <x:f t="shared" si="145"/>
        <x:v/>
      </x:c>
      <x:c r="J994" s="445"/>
      <x:c r="K994" s="453"/>
      <x:c r="L994" s="454"/>
      <x:c r="M994" s="454"/>
      <x:c r="N994" s="454"/>
      <x:c r="O994" s="454"/>
      <x:c r="P994" s="454"/>
      <x:c r="Q994" s="454"/>
      <x:c r="R994" s="454"/>
      <x:c r="S994" s="454"/>
      <x:c r="T994" s="454"/>
      <x:c r="U994" s="454"/>
      <x:c r="V994" s="455"/>
      <x:c r="W994" s="456"/>
      <x:c r="X994" s="450"/>
      <x:c r="Y994" s="457"/>
      <x:c r="Z994" s="458"/>
      <x:c r="AA994" s="458"/>
      <x:c r="AB994" s="458"/>
      <x:c r="AC994" s="458"/>
      <x:c r="AD994" s="458"/>
      <x:c r="AE994" s="458"/>
    </x:row>
    <x:row r="995" spans="1:31" ht="20.100000000000001" customHeight="1">
      <x:c r="A995" s="439"/>
      <x:c r="B995" s="466" t="str">
        <x:f t="shared" si="142"/>
        <x:v/>
      </x:c>
      <x:c r="C995" s="440" t="str">
        <x:f t="shared" si="143"/>
        <x:v/>
      </x:c>
      <x:c r="D995" s="441"/>
      <x:c r="E995" s="442" t="str">
        <x:f t="shared" si="144"/>
        <x:v/>
      </x:c>
      <x:c r="F995" s="443"/>
      <x:c r="G995" s="444"/>
      <x:c r="H995" s="445" t="str">
        <x:f t="shared" si="141"/>
        <x:v/>
      </x:c>
      <x:c r="I995" s="446" t="str">
        <x:f t="shared" si="145"/>
        <x:v/>
      </x:c>
      <x:c r="J995" s="445"/>
      <x:c r="K995" s="453"/>
      <x:c r="L995" s="454"/>
      <x:c r="M995" s="454"/>
      <x:c r="N995" s="454"/>
      <x:c r="O995" s="454"/>
      <x:c r="P995" s="454"/>
      <x:c r="Q995" s="454"/>
      <x:c r="R995" s="454"/>
      <x:c r="S995" s="454"/>
      <x:c r="T995" s="454"/>
      <x:c r="U995" s="454"/>
      <x:c r="V995" s="455"/>
      <x:c r="W995" s="456"/>
      <x:c r="X995" s="450"/>
      <x:c r="Y995" s="457"/>
      <x:c r="Z995" s="458"/>
      <x:c r="AA995" s="458"/>
      <x:c r="AB995" s="458"/>
      <x:c r="AC995" s="458"/>
      <x:c r="AD995" s="458"/>
      <x:c r="AE995" s="458"/>
    </x:row>
    <x:row r="996" spans="1:31" ht="20.100000000000001" customHeight="1">
      <x:c r="A996" s="439"/>
      <x:c r="B996" s="466" t="str">
        <x:f t="shared" si="142"/>
        <x:v/>
      </x:c>
      <x:c r="C996" s="440" t="str">
        <x:f t="shared" si="143"/>
        <x:v/>
      </x:c>
      <x:c r="D996" s="441"/>
      <x:c r="E996" s="442" t="str">
        <x:f t="shared" si="144"/>
        <x:v/>
      </x:c>
      <x:c r="F996" s="443"/>
      <x:c r="G996" s="444"/>
      <x:c r="H996" s="445" t="str">
        <x:f t="shared" si="141"/>
        <x:v/>
      </x:c>
      <x:c r="I996" s="446" t="str">
        <x:f t="shared" si="145"/>
        <x:v/>
      </x:c>
      <x:c r="J996" s="445"/>
      <x:c r="K996" s="453"/>
      <x:c r="L996" s="454"/>
      <x:c r="M996" s="454"/>
      <x:c r="N996" s="454"/>
      <x:c r="O996" s="454"/>
      <x:c r="P996" s="454"/>
      <x:c r="Q996" s="454"/>
      <x:c r="R996" s="454"/>
      <x:c r="S996" s="454"/>
      <x:c r="T996" s="454"/>
      <x:c r="U996" s="454"/>
      <x:c r="V996" s="455"/>
      <x:c r="W996" s="456"/>
      <x:c r="X996" s="450"/>
      <x:c r="Y996" s="457"/>
      <x:c r="Z996" s="458"/>
      <x:c r="AA996" s="458"/>
      <x:c r="AB996" s="458"/>
      <x:c r="AC996" s="458"/>
      <x:c r="AD996" s="458"/>
      <x:c r="AE996" s="458"/>
    </x:row>
    <x:row r="997" spans="1:31" ht="20.100000000000001" customHeight="1">
      <x:c r="A997" s="439"/>
      <x:c r="B997" s="466" t="str">
        <x:f t="shared" si="142"/>
        <x:v/>
      </x:c>
      <x:c r="C997" s="440" t="str">
        <x:f t="shared" si="143"/>
        <x:v/>
      </x:c>
      <x:c r="D997" s="441"/>
      <x:c r="E997" s="442" t="str">
        <x:f t="shared" si="144"/>
        <x:v/>
      </x:c>
      <x:c r="F997" s="443"/>
      <x:c r="G997" s="444"/>
      <x:c r="H997" s="445" t="str">
        <x:f t="shared" si="141"/>
        <x:v/>
      </x:c>
      <x:c r="I997" s="446" t="str">
        <x:f t="shared" si="145"/>
        <x:v/>
      </x:c>
      <x:c r="J997" s="445"/>
      <x:c r="K997" s="453"/>
      <x:c r="L997" s="454"/>
      <x:c r="M997" s="454"/>
      <x:c r="N997" s="454"/>
      <x:c r="O997" s="454"/>
      <x:c r="P997" s="454"/>
      <x:c r="Q997" s="454"/>
      <x:c r="R997" s="454"/>
      <x:c r="S997" s="454"/>
      <x:c r="T997" s="454"/>
      <x:c r="U997" s="454"/>
      <x:c r="V997" s="455"/>
      <x:c r="W997" s="456"/>
      <x:c r="X997" s="450"/>
      <x:c r="Y997" s="457"/>
      <x:c r="Z997" s="458"/>
      <x:c r="AA997" s="458"/>
      <x:c r="AB997" s="458"/>
      <x:c r="AC997" s="458"/>
      <x:c r="AD997" s="458"/>
      <x:c r="AE997" s="458"/>
    </x:row>
    <x:row r="998" spans="1:31" ht="20.100000000000001" customHeight="1">
      <x:c r="A998" s="439"/>
      <x:c r="B998" s="466" t="str">
        <x:f t="shared" si="142"/>
        <x:v/>
      </x:c>
      <x:c r="C998" s="440" t="str">
        <x:f t="shared" si="143"/>
        <x:v/>
      </x:c>
      <x:c r="D998" s="441"/>
      <x:c r="E998" s="442" t="str">
        <x:f t="shared" si="144"/>
        <x:v/>
      </x:c>
      <x:c r="F998" s="443"/>
      <x:c r="G998" s="444"/>
      <x:c r="H998" s="445" t="str">
        <x:f t="shared" si="141"/>
        <x:v/>
      </x:c>
      <x:c r="I998" s="446" t="str">
        <x:f t="shared" si="145"/>
        <x:v/>
      </x:c>
      <x:c r="J998" s="445"/>
      <x:c r="K998" s="453"/>
      <x:c r="L998" s="454"/>
      <x:c r="M998" s="454"/>
      <x:c r="N998" s="454"/>
      <x:c r="O998" s="454"/>
      <x:c r="P998" s="454"/>
      <x:c r="Q998" s="454"/>
      <x:c r="R998" s="454"/>
      <x:c r="S998" s="454"/>
      <x:c r="T998" s="454"/>
      <x:c r="U998" s="454"/>
      <x:c r="V998" s="455"/>
      <x:c r="W998" s="456"/>
      <x:c r="X998" s="450"/>
      <x:c r="Y998" s="457"/>
      <x:c r="Z998" s="458"/>
      <x:c r="AA998" s="458"/>
      <x:c r="AB998" s="458"/>
      <x:c r="AC998" s="458"/>
      <x:c r="AD998" s="458"/>
      <x:c r="AE998" s="458"/>
    </x:row>
    <x:row r="999" spans="1:31" ht="20.100000000000001" customHeight="1">
      <x:c r="A999" s="439"/>
      <x:c r="B999" s="466" t="str">
        <x:f t="shared" si="142"/>
        <x:v/>
      </x:c>
      <x:c r="C999" s="440" t="str">
        <x:f t="shared" si="143"/>
        <x:v/>
      </x:c>
      <x:c r="D999" s="441"/>
      <x:c r="E999" s="442" t="str">
        <x:f t="shared" si="144"/>
        <x:v/>
      </x:c>
      <x:c r="F999" s="443"/>
      <x:c r="G999" s="444"/>
      <x:c r="H999" s="445" t="str">
        <x:f t="shared" si="141"/>
        <x:v/>
      </x:c>
      <x:c r="I999" s="446" t="str">
        <x:f t="shared" si="145"/>
        <x:v/>
      </x:c>
      <x:c r="J999" s="445"/>
      <x:c r="K999" s="453"/>
      <x:c r="L999" s="454"/>
      <x:c r="M999" s="454"/>
      <x:c r="N999" s="454"/>
      <x:c r="O999" s="454"/>
      <x:c r="P999" s="454"/>
      <x:c r="Q999" s="454"/>
      <x:c r="R999" s="454"/>
      <x:c r="S999" s="454"/>
      <x:c r="T999" s="454"/>
      <x:c r="U999" s="454"/>
      <x:c r="V999" s="455"/>
      <x:c r="W999" s="456"/>
      <x:c r="X999" s="450"/>
      <x:c r="Y999" s="457"/>
      <x:c r="Z999" s="458"/>
      <x:c r="AA999" s="458"/>
      <x:c r="AB999" s="458"/>
      <x:c r="AC999" s="458"/>
      <x:c r="AD999" s="458"/>
      <x:c r="AE999" s="458"/>
    </x:row>
    <x:row r="1000" spans="1:31" ht="20.100000000000001" customHeight="1">
      <x:c r="A1000" s="439"/>
      <x:c r="B1000" s="466" t="str">
        <x:f t="shared" si="142"/>
        <x:v/>
      </x:c>
      <x:c r="C1000" s="440" t="str">
        <x:f t="shared" si="143"/>
        <x:v/>
      </x:c>
      <x:c r="D1000" s="441"/>
      <x:c r="E1000" s="442" t="str">
        <x:f t="shared" si="144"/>
        <x:v/>
      </x:c>
      <x:c r="F1000" s="443"/>
      <x:c r="G1000" s="444"/>
      <x:c r="H1000" s="445" t="str">
        <x:f t="shared" si="141"/>
        <x:v/>
      </x:c>
      <x:c r="I1000" s="446" t="str">
        <x:f t="shared" si="145"/>
        <x:v/>
      </x:c>
      <x:c r="J1000" s="445"/>
      <x:c r="K1000" s="453"/>
      <x:c r="L1000" s="454"/>
      <x:c r="M1000" s="454"/>
      <x:c r="N1000" s="454"/>
      <x:c r="O1000" s="454"/>
      <x:c r="P1000" s="454"/>
      <x:c r="Q1000" s="454"/>
      <x:c r="R1000" s="454"/>
      <x:c r="S1000" s="454"/>
      <x:c r="T1000" s="454"/>
      <x:c r="U1000" s="454"/>
      <x:c r="V1000" s="455"/>
      <x:c r="W1000" s="456"/>
      <x:c r="X1000" s="450"/>
      <x:c r="Y1000" s="457"/>
      <x:c r="Z1000" s="458"/>
      <x:c r="AA1000" s="458"/>
      <x:c r="AB1000" s="458"/>
      <x:c r="AC1000" s="458"/>
      <x:c r="AD1000" s="458"/>
      <x:c r="AE1000" s="458"/>
    </x:row>
    <x:row r="1001" spans="1:31" ht="20.100000000000001" customHeight="1">
      <x:c r="A1001" s="439"/>
      <x:c r="B1001" s="466" t="str">
        <x:f t="shared" si="142"/>
        <x:v/>
      </x:c>
      <x:c r="C1001" s="440" t="str">
        <x:f t="shared" si="143"/>
        <x:v/>
      </x:c>
      <x:c r="D1001" s="441"/>
      <x:c r="E1001" s="442" t="str">
        <x:f t="shared" si="144"/>
        <x:v/>
      </x:c>
      <x:c r="F1001" s="443"/>
      <x:c r="G1001" s="444"/>
      <x:c r="H1001" s="445" t="str">
        <x:f t="shared" si="141"/>
        <x:v/>
      </x:c>
      <x:c r="I1001" s="446" t="str">
        <x:f t="shared" si="145"/>
        <x:v/>
      </x:c>
      <x:c r="J1001" s="445"/>
      <x:c r="K1001" s="453"/>
      <x:c r="L1001" s="454"/>
      <x:c r="M1001" s="454"/>
      <x:c r="N1001" s="454"/>
      <x:c r="O1001" s="454"/>
      <x:c r="P1001" s="454"/>
      <x:c r="Q1001" s="454"/>
      <x:c r="R1001" s="454"/>
      <x:c r="S1001" s="454"/>
      <x:c r="T1001" s="454"/>
      <x:c r="U1001" s="454"/>
      <x:c r="V1001" s="455"/>
      <x:c r="W1001" s="456"/>
      <x:c r="X1001" s="450"/>
      <x:c r="Y1001" s="457"/>
      <x:c r="Z1001" s="458"/>
      <x:c r="AA1001" s="458"/>
      <x:c r="AB1001" s="458"/>
      <x:c r="AC1001" s="458"/>
      <x:c r="AD1001" s="458"/>
      <x:c r="AE1001" s="458"/>
    </x:row>
    <x:row r="1002" spans="1:31" ht="20.100000000000001" customHeight="1">
      <x:c r="A1002" s="439"/>
      <x:c r="B1002" s="466" t="str">
        <x:f t="shared" si="142"/>
        <x:v/>
      </x:c>
      <x:c r="C1002" s="440" t="str">
        <x:f t="shared" si="143"/>
        <x:v/>
      </x:c>
      <x:c r="D1002" s="441"/>
      <x:c r="E1002" s="442" t="str">
        <x:f t="shared" si="144"/>
        <x:v/>
      </x:c>
      <x:c r="F1002" s="443"/>
      <x:c r="G1002" s="444"/>
      <x:c r="H1002" s="445" t="str">
        <x:f t="shared" si="141"/>
        <x:v/>
      </x:c>
      <x:c r="I1002" s="446" t="str">
        <x:f t="shared" si="145"/>
        <x:v/>
      </x:c>
      <x:c r="J1002" s="445"/>
      <x:c r="K1002" s="453"/>
      <x:c r="L1002" s="454"/>
      <x:c r="M1002" s="454"/>
      <x:c r="N1002" s="454"/>
      <x:c r="O1002" s="454"/>
      <x:c r="P1002" s="454"/>
      <x:c r="Q1002" s="454"/>
      <x:c r="R1002" s="454"/>
      <x:c r="S1002" s="454"/>
      <x:c r="T1002" s="454"/>
      <x:c r="U1002" s="454"/>
      <x:c r="V1002" s="455"/>
      <x:c r="W1002" s="456"/>
      <x:c r="X1002" s="450"/>
      <x:c r="Y1002" s="457"/>
      <x:c r="Z1002" s="458"/>
      <x:c r="AA1002" s="458"/>
      <x:c r="AB1002" s="458"/>
      <x:c r="AC1002" s="458"/>
      <x:c r="AD1002" s="458"/>
      <x:c r="AE1002" s="458"/>
    </x:row>
    <x:row r="1003" spans="1:31" ht="20.100000000000001" customHeight="1">
      <x:c r="A1003" s="439"/>
      <x:c r="B1003" s="466" t="str">
        <x:f t="shared" si="142"/>
        <x:v/>
      </x:c>
      <x:c r="C1003" s="440" t="str">
        <x:f t="shared" si="143"/>
        <x:v/>
      </x:c>
      <x:c r="D1003" s="441"/>
      <x:c r="E1003" s="442" t="str">
        <x:f t="shared" si="144"/>
        <x:v/>
      </x:c>
      <x:c r="F1003" s="443"/>
      <x:c r="G1003" s="444"/>
      <x:c r="H1003" s="445" t="str">
        <x:f t="shared" si="141"/>
        <x:v/>
      </x:c>
      <x:c r="I1003" s="446" t="str">
        <x:f t="shared" si="145"/>
        <x:v/>
      </x:c>
      <x:c r="J1003" s="445"/>
      <x:c r="K1003" s="453"/>
      <x:c r="L1003" s="454"/>
      <x:c r="M1003" s="454"/>
      <x:c r="N1003" s="454"/>
      <x:c r="O1003" s="454"/>
      <x:c r="P1003" s="454"/>
      <x:c r="Q1003" s="454"/>
      <x:c r="R1003" s="454"/>
      <x:c r="S1003" s="454"/>
      <x:c r="T1003" s="454"/>
      <x:c r="U1003" s="454"/>
      <x:c r="V1003" s="455"/>
      <x:c r="W1003" s="456"/>
      <x:c r="X1003" s="450"/>
      <x:c r="Y1003" s="457"/>
      <x:c r="Z1003" s="458"/>
      <x:c r="AA1003" s="458"/>
      <x:c r="AB1003" s="458"/>
      <x:c r="AC1003" s="458"/>
      <x:c r="AD1003" s="458"/>
      <x:c r="AE1003" s="458"/>
    </x:row>
    <x:row r="1004" spans="1:31" ht="20.100000000000001" customHeight="1">
      <x:c r="A1004" s="439"/>
      <x:c r="B1004" s="466" t="str">
        <x:f t="shared" si="142"/>
        <x:v/>
      </x:c>
      <x:c r="C1004" s="440" t="str">
        <x:f t="shared" si="143"/>
        <x:v/>
      </x:c>
      <x:c r="D1004" s="441"/>
      <x:c r="E1004" s="442" t="str">
        <x:f t="shared" si="144"/>
        <x:v/>
      </x:c>
      <x:c r="F1004" s="443"/>
      <x:c r="G1004" s="444"/>
      <x:c r="H1004" s="445" t="str">
        <x:f t="shared" si="141"/>
        <x:v/>
      </x:c>
      <x:c r="I1004" s="446" t="str">
        <x:f t="shared" si="145"/>
        <x:v/>
      </x:c>
      <x:c r="J1004" s="445"/>
      <x:c r="K1004" s="453"/>
      <x:c r="L1004" s="454"/>
      <x:c r="M1004" s="454"/>
      <x:c r="N1004" s="454"/>
      <x:c r="O1004" s="454"/>
      <x:c r="P1004" s="454"/>
      <x:c r="Q1004" s="454"/>
      <x:c r="R1004" s="454"/>
      <x:c r="S1004" s="454"/>
      <x:c r="T1004" s="454"/>
      <x:c r="U1004" s="454"/>
      <x:c r="V1004" s="455"/>
      <x:c r="W1004" s="456"/>
      <x:c r="X1004" s="450"/>
      <x:c r="Y1004" s="457"/>
      <x:c r="Z1004" s="458"/>
      <x:c r="AA1004" s="458"/>
      <x:c r="AB1004" s="458"/>
      <x:c r="AC1004" s="458"/>
      <x:c r="AD1004" s="458"/>
      <x:c r="AE1004" s="458"/>
    </x:row>
    <x:row r="1005" spans="1:31" ht="20.100000000000001" customHeight="1">
      <x:c r="A1005" s="439"/>
      <x:c r="B1005" s="466" t="str">
        <x:f t="shared" si="142"/>
        <x:v/>
      </x:c>
      <x:c r="C1005" s="440" t="str">
        <x:f t="shared" si="143"/>
        <x:v/>
      </x:c>
      <x:c r="D1005" s="441"/>
      <x:c r="E1005" s="442" t="str">
        <x:f t="shared" si="144"/>
        <x:v/>
      </x:c>
      <x:c r="F1005" s="443"/>
      <x:c r="G1005" s="444"/>
      <x:c r="H1005" s="445" t="str">
        <x:f t="shared" si="141"/>
        <x:v/>
      </x:c>
      <x:c r="I1005" s="446" t="str">
        <x:f t="shared" si="145"/>
        <x:v/>
      </x:c>
      <x:c r="J1005" s="445"/>
      <x:c r="K1005" s="453"/>
      <x:c r="L1005" s="454"/>
      <x:c r="M1005" s="454"/>
      <x:c r="N1005" s="454"/>
      <x:c r="O1005" s="454"/>
      <x:c r="P1005" s="454"/>
      <x:c r="Q1005" s="454"/>
      <x:c r="R1005" s="454"/>
      <x:c r="S1005" s="454"/>
      <x:c r="T1005" s="454"/>
      <x:c r="U1005" s="454"/>
      <x:c r="V1005" s="455"/>
      <x:c r="W1005" s="456"/>
      <x:c r="X1005" s="450"/>
      <x:c r="Y1005" s="457"/>
      <x:c r="Z1005" s="458"/>
      <x:c r="AA1005" s="458"/>
      <x:c r="AB1005" s="458"/>
      <x:c r="AC1005" s="458"/>
      <x:c r="AD1005" s="458"/>
      <x:c r="AE1005" s="458"/>
    </x:row>
    <x:row r="1006" spans="1:31" ht="20.100000000000001" customHeight="1">
      <x:c r="A1006" s="439"/>
      <x:c r="B1006" s="466" t="str">
        <x:f t="shared" si="142"/>
        <x:v/>
      </x:c>
      <x:c r="C1006" s="440" t="str">
        <x:f t="shared" si="143"/>
        <x:v/>
      </x:c>
      <x:c r="D1006" s="441"/>
      <x:c r="E1006" s="442" t="str">
        <x:f t="shared" si="144"/>
        <x:v/>
      </x:c>
      <x:c r="F1006" s="443"/>
      <x:c r="G1006" s="444"/>
      <x:c r="H1006" s="445" t="str">
        <x:f t="shared" si="141"/>
        <x:v/>
      </x:c>
      <x:c r="I1006" s="446" t="str">
        <x:f t="shared" si="145"/>
        <x:v/>
      </x:c>
      <x:c r="J1006" s="445"/>
      <x:c r="K1006" s="453"/>
      <x:c r="L1006" s="454"/>
      <x:c r="M1006" s="454"/>
      <x:c r="N1006" s="454"/>
      <x:c r="O1006" s="454"/>
      <x:c r="P1006" s="454"/>
      <x:c r="Q1006" s="454"/>
      <x:c r="R1006" s="454"/>
      <x:c r="S1006" s="454"/>
      <x:c r="T1006" s="454"/>
      <x:c r="U1006" s="454"/>
      <x:c r="V1006" s="455"/>
      <x:c r="W1006" s="456"/>
      <x:c r="X1006" s="450"/>
      <x:c r="Y1006" s="457"/>
      <x:c r="Z1006" s="458"/>
      <x:c r="AA1006" s="458"/>
      <x:c r="AB1006" s="458"/>
      <x:c r="AC1006" s="458"/>
      <x:c r="AD1006" s="458"/>
      <x:c r="AE1006" s="458"/>
    </x:row>
    <x:row r="1007" spans="1:31" ht="20.100000000000001" customHeight="1">
      <x:c r="A1007" s="439"/>
      <x:c r="B1007" s="466" t="str">
        <x:f t="shared" si="142"/>
        <x:v/>
      </x:c>
      <x:c r="C1007" s="440" t="str">
        <x:f t="shared" si="143"/>
        <x:v/>
      </x:c>
      <x:c r="D1007" s="441"/>
      <x:c r="E1007" s="442" t="str">
        <x:f t="shared" si="144"/>
        <x:v/>
      </x:c>
      <x:c r="F1007" s="443"/>
      <x:c r="G1007" s="444"/>
      <x:c r="H1007" s="445" t="str">
        <x:f t="shared" si="141"/>
        <x:v/>
      </x:c>
      <x:c r="I1007" s="446" t="str">
        <x:f t="shared" si="145"/>
        <x:v/>
      </x:c>
      <x:c r="J1007" s="445"/>
      <x:c r="K1007" s="453"/>
      <x:c r="L1007" s="454"/>
      <x:c r="M1007" s="454"/>
      <x:c r="N1007" s="454"/>
      <x:c r="O1007" s="454"/>
      <x:c r="P1007" s="454"/>
      <x:c r="Q1007" s="454"/>
      <x:c r="R1007" s="454"/>
      <x:c r="S1007" s="454"/>
      <x:c r="T1007" s="454"/>
      <x:c r="U1007" s="454"/>
      <x:c r="V1007" s="455"/>
      <x:c r="W1007" s="456"/>
      <x:c r="X1007" s="450"/>
      <x:c r="Y1007" s="457"/>
      <x:c r="Z1007" s="458"/>
      <x:c r="AA1007" s="458"/>
      <x:c r="AB1007" s="458"/>
      <x:c r="AC1007" s="458"/>
      <x:c r="AD1007" s="458"/>
      <x:c r="AE1007" s="458"/>
    </x:row>
    <x:row r="1008" spans="1:31" ht="20.100000000000001" customHeight="1">
      <x:c r="A1008" s="439"/>
      <x:c r="B1008" s="466" t="str">
        <x:f t="shared" si="142"/>
        <x:v/>
      </x:c>
      <x:c r="C1008" s="440" t="str">
        <x:f t="shared" si="143"/>
        <x:v/>
      </x:c>
      <x:c r="D1008" s="441"/>
      <x:c r="E1008" s="442" t="str">
        <x:f t="shared" si="144"/>
        <x:v/>
      </x:c>
      <x:c r="F1008" s="443"/>
      <x:c r="G1008" s="444"/>
      <x:c r="H1008" s="445" t="str">
        <x:f t="shared" si="141"/>
        <x:v/>
      </x:c>
      <x:c r="I1008" s="446" t="str">
        <x:f t="shared" si="145"/>
        <x:v/>
      </x:c>
      <x:c r="J1008" s="445"/>
      <x:c r="K1008" s="453"/>
      <x:c r="L1008" s="454"/>
      <x:c r="M1008" s="454"/>
      <x:c r="N1008" s="454"/>
      <x:c r="O1008" s="454"/>
      <x:c r="P1008" s="454"/>
      <x:c r="Q1008" s="454"/>
      <x:c r="R1008" s="454"/>
      <x:c r="S1008" s="454"/>
      <x:c r="T1008" s="454"/>
      <x:c r="U1008" s="454"/>
      <x:c r="V1008" s="455"/>
      <x:c r="W1008" s="456"/>
      <x:c r="X1008" s="450"/>
      <x:c r="Y1008" s="457"/>
      <x:c r="Z1008" s="458"/>
      <x:c r="AA1008" s="458"/>
      <x:c r="AB1008" s="458"/>
      <x:c r="AC1008" s="458"/>
      <x:c r="AD1008" s="458"/>
      <x:c r="AE1008" s="458"/>
    </x:row>
    <x:row r="1009" spans="1:31" ht="20.100000000000001" customHeight="1">
      <x:c r="A1009" s="439"/>
      <x:c r="B1009" s="466" t="str">
        <x:f t="shared" si="142"/>
        <x:v/>
      </x:c>
      <x:c r="C1009" s="440" t="str">
        <x:f t="shared" si="143"/>
        <x:v/>
      </x:c>
      <x:c r="D1009" s="441"/>
      <x:c r="E1009" s="442" t="str">
        <x:f t="shared" si="144"/>
        <x:v/>
      </x:c>
      <x:c r="F1009" s="443"/>
      <x:c r="G1009" s="444"/>
      <x:c r="H1009" s="445" t="str">
        <x:f t="shared" si="141"/>
        <x:v/>
      </x:c>
      <x:c r="I1009" s="446" t="str">
        <x:f t="shared" si="145"/>
        <x:v/>
      </x:c>
      <x:c r="J1009" s="445"/>
      <x:c r="K1009" s="453"/>
      <x:c r="L1009" s="454"/>
      <x:c r="M1009" s="454"/>
      <x:c r="N1009" s="454"/>
      <x:c r="O1009" s="454"/>
      <x:c r="P1009" s="454"/>
      <x:c r="Q1009" s="454"/>
      <x:c r="R1009" s="454"/>
      <x:c r="S1009" s="454"/>
      <x:c r="T1009" s="454"/>
      <x:c r="U1009" s="454"/>
      <x:c r="V1009" s="455"/>
      <x:c r="W1009" s="456"/>
      <x:c r="X1009" s="450"/>
      <x:c r="Y1009" s="457"/>
      <x:c r="Z1009" s="458"/>
      <x:c r="AA1009" s="458"/>
      <x:c r="AB1009" s="458"/>
      <x:c r="AC1009" s="458"/>
      <x:c r="AD1009" s="458"/>
      <x:c r="AE1009" s="458"/>
    </x:row>
    <x:row r="1010" spans="1:31" ht="20.100000000000001" customHeight="1">
      <x:c r="A1010" s="439"/>
      <x:c r="B1010" s="466" t="str">
        <x:f t="shared" si="142"/>
        <x:v/>
      </x:c>
      <x:c r="C1010" s="440" t="str">
        <x:f t="shared" si="143"/>
        <x:v/>
      </x:c>
      <x:c r="D1010" s="441"/>
      <x:c r="E1010" s="442" t="str">
        <x:f t="shared" si="144"/>
        <x:v/>
      </x:c>
      <x:c r="F1010" s="443"/>
      <x:c r="G1010" s="444"/>
      <x:c r="H1010" s="445" t="str">
        <x:f t="shared" si="141"/>
        <x:v/>
      </x:c>
      <x:c r="I1010" s="446" t="str">
        <x:f t="shared" si="145"/>
        <x:v/>
      </x:c>
      <x:c r="J1010" s="445"/>
      <x:c r="K1010" s="453"/>
      <x:c r="L1010" s="454"/>
      <x:c r="M1010" s="454"/>
      <x:c r="N1010" s="454"/>
      <x:c r="O1010" s="454"/>
      <x:c r="P1010" s="454"/>
      <x:c r="Q1010" s="454"/>
      <x:c r="R1010" s="454"/>
      <x:c r="S1010" s="454"/>
      <x:c r="T1010" s="454"/>
      <x:c r="U1010" s="454"/>
      <x:c r="V1010" s="455"/>
      <x:c r="W1010" s="456"/>
      <x:c r="X1010" s="450"/>
      <x:c r="Y1010" s="457"/>
      <x:c r="Z1010" s="458"/>
      <x:c r="AA1010" s="458"/>
      <x:c r="AB1010" s="458"/>
      <x:c r="AC1010" s="458"/>
      <x:c r="AD1010" s="458"/>
      <x:c r="AE1010" s="458"/>
    </x:row>
    <x:row r="1011" spans="1:31" ht="20.100000000000001" customHeight="1">
      <x:c r="A1011" s="439"/>
      <x:c r="B1011" s="466" t="str">
        <x:f t="shared" si="142"/>
        <x:v/>
      </x:c>
      <x:c r="C1011" s="440" t="str">
        <x:f t="shared" si="143"/>
        <x:v/>
      </x:c>
      <x:c r="D1011" s="441"/>
      <x:c r="E1011" s="442" t="str">
        <x:f t="shared" si="144"/>
        <x:v/>
      </x:c>
      <x:c r="F1011" s="443"/>
      <x:c r="G1011" s="444"/>
      <x:c r="H1011" s="445" t="str">
        <x:f t="shared" si="141"/>
        <x:v/>
      </x:c>
      <x:c r="I1011" s="446" t="str">
        <x:f t="shared" si="145"/>
        <x:v/>
      </x:c>
      <x:c r="J1011" s="445"/>
      <x:c r="K1011" s="453"/>
      <x:c r="L1011" s="454"/>
      <x:c r="M1011" s="454"/>
      <x:c r="N1011" s="454"/>
      <x:c r="O1011" s="454"/>
      <x:c r="P1011" s="454"/>
      <x:c r="Q1011" s="454"/>
      <x:c r="R1011" s="454"/>
      <x:c r="S1011" s="454"/>
      <x:c r="T1011" s="454"/>
      <x:c r="U1011" s="454"/>
      <x:c r="V1011" s="455"/>
      <x:c r="W1011" s="456"/>
      <x:c r="X1011" s="450"/>
      <x:c r="Y1011" s="457"/>
      <x:c r="Z1011" s="458"/>
      <x:c r="AA1011" s="458"/>
      <x:c r="AB1011" s="458"/>
      <x:c r="AC1011" s="458"/>
      <x:c r="AD1011" s="458"/>
      <x:c r="AE1011" s="458"/>
    </x:row>
    <x:row r="1012" spans="1:31" ht="20.100000000000001" customHeight="1">
      <x:c r="A1012" s="439"/>
      <x:c r="B1012" s="466" t="str">
        <x:f t="shared" si="142"/>
        <x:v/>
      </x:c>
      <x:c r="C1012" s="440" t="str">
        <x:f t="shared" si="143"/>
        <x:v/>
      </x:c>
      <x:c r="D1012" s="441"/>
      <x:c r="E1012" s="442" t="str">
        <x:f t="shared" si="144"/>
        <x:v/>
      </x:c>
      <x:c r="F1012" s="443"/>
      <x:c r="G1012" s="444"/>
      <x:c r="H1012" s="445" t="str">
        <x:f t="shared" si="141"/>
        <x:v/>
      </x:c>
      <x:c r="I1012" s="446" t="str">
        <x:f t="shared" si="145"/>
        <x:v/>
      </x:c>
      <x:c r="J1012" s="445"/>
      <x:c r="K1012" s="453"/>
      <x:c r="L1012" s="454"/>
      <x:c r="M1012" s="454"/>
      <x:c r="N1012" s="454"/>
      <x:c r="O1012" s="454"/>
      <x:c r="P1012" s="454"/>
      <x:c r="Q1012" s="454"/>
      <x:c r="R1012" s="454"/>
      <x:c r="S1012" s="454"/>
      <x:c r="T1012" s="454"/>
      <x:c r="U1012" s="454"/>
      <x:c r="V1012" s="455"/>
      <x:c r="W1012" s="456"/>
      <x:c r="X1012" s="450"/>
      <x:c r="Y1012" s="457"/>
      <x:c r="Z1012" s="458"/>
      <x:c r="AA1012" s="458"/>
      <x:c r="AB1012" s="458"/>
      <x:c r="AC1012" s="458"/>
      <x:c r="AD1012" s="458"/>
      <x:c r="AE1012" s="458"/>
    </x:row>
    <x:row r="1013" spans="1:31" ht="20.100000000000001" customHeight="1">
      <x:c r="A1013" s="439"/>
      <x:c r="B1013" s="466" t="str">
        <x:f t="shared" si="142"/>
        <x:v/>
      </x:c>
      <x:c r="C1013" s="440" t="str">
        <x:f t="shared" si="143"/>
        <x:v/>
      </x:c>
      <x:c r="D1013" s="441"/>
      <x:c r="E1013" s="442" t="str">
        <x:f t="shared" si="144"/>
        <x:v/>
      </x:c>
      <x:c r="F1013" s="443"/>
      <x:c r="G1013" s="444"/>
      <x:c r="H1013" s="445" t="str">
        <x:f t="shared" si="141"/>
        <x:v/>
      </x:c>
      <x:c r="I1013" s="446" t="str">
        <x:f t="shared" si="145"/>
        <x:v/>
      </x:c>
      <x:c r="J1013" s="445"/>
      <x:c r="K1013" s="453"/>
      <x:c r="L1013" s="454"/>
      <x:c r="M1013" s="454"/>
      <x:c r="N1013" s="454"/>
      <x:c r="O1013" s="454"/>
      <x:c r="P1013" s="454"/>
      <x:c r="Q1013" s="454"/>
      <x:c r="R1013" s="454"/>
      <x:c r="S1013" s="454"/>
      <x:c r="T1013" s="454"/>
      <x:c r="U1013" s="454"/>
      <x:c r="V1013" s="455"/>
      <x:c r="W1013" s="456"/>
      <x:c r="X1013" s="450"/>
      <x:c r="Y1013" s="457"/>
      <x:c r="Z1013" s="458"/>
      <x:c r="AA1013" s="458"/>
      <x:c r="AB1013" s="458"/>
      <x:c r="AC1013" s="458"/>
      <x:c r="AD1013" s="458"/>
      <x:c r="AE1013" s="458"/>
    </x:row>
    <x:row r="1014" spans="1:31" ht="20.100000000000001" customHeight="1">
      <x:c r="A1014" s="439"/>
      <x:c r="B1014" s="466" t="str">
        <x:f t="shared" si="142"/>
        <x:v/>
      </x:c>
      <x:c r="C1014" s="440" t="str">
        <x:f t="shared" si="143"/>
        <x:v/>
      </x:c>
      <x:c r="D1014" s="441"/>
      <x:c r="E1014" s="442" t="str">
        <x:f t="shared" si="144"/>
        <x:v/>
      </x:c>
      <x:c r="F1014" s="443"/>
      <x:c r="G1014" s="444"/>
      <x:c r="H1014" s="445" t="str">
        <x:f t="shared" si="141"/>
        <x:v/>
      </x:c>
      <x:c r="I1014" s="446" t="str">
        <x:f t="shared" si="145"/>
        <x:v/>
      </x:c>
      <x:c r="J1014" s="445"/>
      <x:c r="K1014" s="453"/>
      <x:c r="L1014" s="454"/>
      <x:c r="M1014" s="454"/>
      <x:c r="N1014" s="454"/>
      <x:c r="O1014" s="454"/>
      <x:c r="P1014" s="454"/>
      <x:c r="Q1014" s="454"/>
      <x:c r="R1014" s="454"/>
      <x:c r="S1014" s="454"/>
      <x:c r="T1014" s="454"/>
      <x:c r="U1014" s="454"/>
      <x:c r="V1014" s="455"/>
      <x:c r="W1014" s="456"/>
      <x:c r="X1014" s="450"/>
      <x:c r="Y1014" s="457"/>
      <x:c r="Z1014" s="458"/>
      <x:c r="AA1014" s="458"/>
      <x:c r="AB1014" s="458"/>
      <x:c r="AC1014" s="458"/>
      <x:c r="AD1014" s="458"/>
      <x:c r="AE1014" s="458"/>
    </x:row>
    <x:row r="1015" spans="1:31" ht="20.100000000000001" customHeight="1">
      <x:c r="A1015" s="439"/>
      <x:c r="B1015" s="466" t="str">
        <x:f t="shared" si="142"/>
        <x:v/>
      </x:c>
      <x:c r="C1015" s="440" t="str">
        <x:f t="shared" si="143"/>
        <x:v/>
      </x:c>
      <x:c r="D1015" s="441"/>
      <x:c r="E1015" s="442" t="str">
        <x:f t="shared" si="144"/>
        <x:v/>
      </x:c>
      <x:c r="F1015" s="443"/>
      <x:c r="G1015" s="444"/>
      <x:c r="H1015" s="445" t="str">
        <x:f t="shared" si="141"/>
        <x:v/>
      </x:c>
      <x:c r="I1015" s="446" t="str">
        <x:f t="shared" si="145"/>
        <x:v/>
      </x:c>
      <x:c r="J1015" s="445"/>
      <x:c r="K1015" s="453"/>
      <x:c r="L1015" s="454"/>
      <x:c r="M1015" s="454"/>
      <x:c r="N1015" s="454"/>
      <x:c r="O1015" s="454"/>
      <x:c r="P1015" s="454"/>
      <x:c r="Q1015" s="454"/>
      <x:c r="R1015" s="454"/>
      <x:c r="S1015" s="454"/>
      <x:c r="T1015" s="454"/>
      <x:c r="U1015" s="454"/>
      <x:c r="V1015" s="455"/>
      <x:c r="W1015" s="456"/>
      <x:c r="X1015" s="450"/>
      <x:c r="Y1015" s="457"/>
      <x:c r="Z1015" s="458"/>
      <x:c r="AA1015" s="458"/>
      <x:c r="AB1015" s="458"/>
      <x:c r="AC1015" s="458"/>
      <x:c r="AD1015" s="458"/>
      <x:c r="AE1015" s="458"/>
    </x:row>
    <x:row r="1016" spans="1:31" ht="20.100000000000001" customHeight="1">
      <x:c r="A1016" s="439"/>
      <x:c r="B1016" s="466" t="str">
        <x:f t="shared" si="142"/>
        <x:v/>
      </x:c>
      <x:c r="C1016" s="440" t="str">
        <x:f t="shared" si="143"/>
        <x:v/>
      </x:c>
      <x:c r="D1016" s="441"/>
      <x:c r="E1016" s="442" t="str">
        <x:f t="shared" si="144"/>
        <x:v/>
      </x:c>
      <x:c r="F1016" s="443"/>
      <x:c r="G1016" s="444"/>
      <x:c r="H1016" s="445" t="str">
        <x:f t="shared" ref="H1016:H1079" si="146">IFERROR(VLOOKUP($G1016,$AK:$AL,2,),"")</x:f>
        <x:v/>
      </x:c>
      <x:c r="I1016" s="446" t="str">
        <x:f t="shared" si="145"/>
        <x:v/>
      </x:c>
      <x:c r="J1016" s="445"/>
      <x:c r="K1016" s="453"/>
      <x:c r="L1016" s="454"/>
      <x:c r="M1016" s="454"/>
      <x:c r="N1016" s="454"/>
      <x:c r="O1016" s="454"/>
      <x:c r="P1016" s="454"/>
      <x:c r="Q1016" s="454"/>
      <x:c r="R1016" s="454"/>
      <x:c r="S1016" s="454"/>
      <x:c r="T1016" s="454"/>
      <x:c r="U1016" s="454"/>
      <x:c r="V1016" s="455"/>
      <x:c r="W1016" s="456"/>
      <x:c r="X1016" s="450"/>
      <x:c r="Y1016" s="457"/>
      <x:c r="Z1016" s="458"/>
      <x:c r="AA1016" s="458"/>
      <x:c r="AB1016" s="458"/>
      <x:c r="AC1016" s="458"/>
      <x:c r="AD1016" s="458"/>
      <x:c r="AE1016" s="458"/>
    </x:row>
    <x:row r="1017" spans="1:31" ht="20.100000000000001" customHeight="1">
      <x:c r="A1017" s="439"/>
      <x:c r="B1017" s="466" t="str">
        <x:f t="shared" si="142"/>
        <x:v/>
      </x:c>
      <x:c r="C1017" s="440" t="str">
        <x:f t="shared" si="143"/>
        <x:v/>
      </x:c>
      <x:c r="D1017" s="441"/>
      <x:c r="E1017" s="442" t="str">
        <x:f t="shared" si="144"/>
        <x:v/>
      </x:c>
      <x:c r="F1017" s="443"/>
      <x:c r="G1017" s="444"/>
      <x:c r="H1017" s="445" t="str">
        <x:f t="shared" si="146"/>
        <x:v/>
      </x:c>
      <x:c r="I1017" s="446" t="str">
        <x:f t="shared" si="145"/>
        <x:v/>
      </x:c>
      <x:c r="J1017" s="445"/>
      <x:c r="K1017" s="453"/>
      <x:c r="L1017" s="454"/>
      <x:c r="M1017" s="454"/>
      <x:c r="N1017" s="454"/>
      <x:c r="O1017" s="454"/>
      <x:c r="P1017" s="454"/>
      <x:c r="Q1017" s="454"/>
      <x:c r="R1017" s="454"/>
      <x:c r="S1017" s="454"/>
      <x:c r="T1017" s="454"/>
      <x:c r="U1017" s="454"/>
      <x:c r="V1017" s="455"/>
      <x:c r="W1017" s="456"/>
      <x:c r="X1017" s="450"/>
      <x:c r="Y1017" s="457"/>
      <x:c r="Z1017" s="458"/>
      <x:c r="AA1017" s="458"/>
      <x:c r="AB1017" s="458"/>
      <x:c r="AC1017" s="458"/>
      <x:c r="AD1017" s="458"/>
      <x:c r="AE1017" s="458"/>
    </x:row>
    <x:row r="1018" spans="1:31" ht="20.100000000000001" customHeight="1">
      <x:c r="A1018" s="439"/>
      <x:c r="B1018" s="466" t="str">
        <x:f t="shared" si="142"/>
        <x:v/>
      </x:c>
      <x:c r="C1018" s="440" t="str">
        <x:f t="shared" si="143"/>
        <x:v/>
      </x:c>
      <x:c r="D1018" s="441"/>
      <x:c r="E1018" s="442" t="str">
        <x:f t="shared" si="144"/>
        <x:v/>
      </x:c>
      <x:c r="F1018" s="443"/>
      <x:c r="G1018" s="444"/>
      <x:c r="H1018" s="445" t="str">
        <x:f t="shared" si="146"/>
        <x:v/>
      </x:c>
      <x:c r="I1018" s="446" t="str">
        <x:f t="shared" si="145"/>
        <x:v/>
      </x:c>
      <x:c r="J1018" s="445"/>
      <x:c r="K1018" s="453"/>
      <x:c r="L1018" s="454"/>
      <x:c r="M1018" s="454"/>
      <x:c r="N1018" s="454"/>
      <x:c r="O1018" s="454"/>
      <x:c r="P1018" s="454"/>
      <x:c r="Q1018" s="454"/>
      <x:c r="R1018" s="454"/>
      <x:c r="S1018" s="454"/>
      <x:c r="T1018" s="454"/>
      <x:c r="U1018" s="454"/>
      <x:c r="V1018" s="455"/>
      <x:c r="W1018" s="456"/>
      <x:c r="X1018" s="450"/>
      <x:c r="Y1018" s="457"/>
      <x:c r="Z1018" s="458"/>
      <x:c r="AA1018" s="458"/>
      <x:c r="AB1018" s="458"/>
      <x:c r="AC1018" s="458"/>
      <x:c r="AD1018" s="458"/>
      <x:c r="AE1018" s="458"/>
    </x:row>
    <x:row r="1019" spans="1:31" ht="20.100000000000001" customHeight="1">
      <x:c r="A1019" s="439"/>
      <x:c r="B1019" s="466" t="str">
        <x:f t="shared" si="142"/>
        <x:v/>
      </x:c>
      <x:c r="C1019" s="440" t="str">
        <x:f t="shared" si="143"/>
        <x:v/>
      </x:c>
      <x:c r="D1019" s="441"/>
      <x:c r="E1019" s="442" t="str">
        <x:f t="shared" si="144"/>
        <x:v/>
      </x:c>
      <x:c r="F1019" s="443"/>
      <x:c r="G1019" s="444"/>
      <x:c r="H1019" s="445" t="str">
        <x:f t="shared" si="146"/>
        <x:v/>
      </x:c>
      <x:c r="I1019" s="446" t="str">
        <x:f t="shared" si="145"/>
        <x:v/>
      </x:c>
      <x:c r="J1019" s="445"/>
      <x:c r="K1019" s="453"/>
      <x:c r="L1019" s="454"/>
      <x:c r="M1019" s="454"/>
      <x:c r="N1019" s="454"/>
      <x:c r="O1019" s="454"/>
      <x:c r="P1019" s="454"/>
      <x:c r="Q1019" s="454"/>
      <x:c r="R1019" s="454"/>
      <x:c r="S1019" s="454"/>
      <x:c r="T1019" s="454"/>
      <x:c r="U1019" s="454"/>
      <x:c r="V1019" s="455"/>
      <x:c r="W1019" s="456"/>
      <x:c r="X1019" s="450"/>
      <x:c r="Y1019" s="457"/>
      <x:c r="Z1019" s="458"/>
      <x:c r="AA1019" s="458"/>
      <x:c r="AB1019" s="458"/>
      <x:c r="AC1019" s="458"/>
      <x:c r="AD1019" s="458"/>
      <x:c r="AE1019" s="458"/>
    </x:row>
    <x:row r="1020" spans="1:31" ht="20.100000000000001" customHeight="1">
      <x:c r="A1020" s="439"/>
      <x:c r="B1020" s="466" t="str">
        <x:f t="shared" si="142"/>
        <x:v/>
      </x:c>
      <x:c r="C1020" s="440" t="str">
        <x:f t="shared" si="143"/>
        <x:v/>
      </x:c>
      <x:c r="D1020" s="441"/>
      <x:c r="E1020" s="442" t="str">
        <x:f t="shared" si="144"/>
        <x:v/>
      </x:c>
      <x:c r="F1020" s="443"/>
      <x:c r="G1020" s="444"/>
      <x:c r="H1020" s="445" t="str">
        <x:f t="shared" si="146"/>
        <x:v/>
      </x:c>
      <x:c r="I1020" s="446" t="str">
        <x:f t="shared" si="145"/>
        <x:v/>
      </x:c>
      <x:c r="J1020" s="445"/>
      <x:c r="K1020" s="453"/>
      <x:c r="L1020" s="454"/>
      <x:c r="M1020" s="454"/>
      <x:c r="N1020" s="454"/>
      <x:c r="O1020" s="454"/>
      <x:c r="P1020" s="454"/>
      <x:c r="Q1020" s="454"/>
      <x:c r="R1020" s="454"/>
      <x:c r="S1020" s="454"/>
      <x:c r="T1020" s="454"/>
      <x:c r="U1020" s="454"/>
      <x:c r="V1020" s="455"/>
      <x:c r="W1020" s="456"/>
      <x:c r="X1020" s="450"/>
      <x:c r="Y1020" s="457"/>
      <x:c r="Z1020" s="458"/>
      <x:c r="AA1020" s="458"/>
      <x:c r="AB1020" s="458"/>
      <x:c r="AC1020" s="458"/>
      <x:c r="AD1020" s="458"/>
      <x:c r="AE1020" s="458"/>
    </x:row>
    <x:row r="1021" spans="1:31" ht="20.100000000000001" customHeight="1">
      <x:c r="A1021" s="439"/>
      <x:c r="B1021" s="466" t="str">
        <x:f t="shared" si="142"/>
        <x:v/>
      </x:c>
      <x:c r="C1021" s="440" t="str">
        <x:f t="shared" si="143"/>
        <x:v/>
      </x:c>
      <x:c r="D1021" s="441"/>
      <x:c r="E1021" s="442" t="str">
        <x:f t="shared" si="144"/>
        <x:v/>
      </x:c>
      <x:c r="F1021" s="443"/>
      <x:c r="G1021" s="444"/>
      <x:c r="H1021" s="445" t="str">
        <x:f t="shared" si="146"/>
        <x:v/>
      </x:c>
      <x:c r="I1021" s="446" t="str">
        <x:f t="shared" si="145"/>
        <x:v/>
      </x:c>
      <x:c r="J1021" s="445"/>
      <x:c r="K1021" s="453"/>
      <x:c r="L1021" s="454"/>
      <x:c r="M1021" s="454"/>
      <x:c r="N1021" s="454"/>
      <x:c r="O1021" s="454"/>
      <x:c r="P1021" s="454"/>
      <x:c r="Q1021" s="454"/>
      <x:c r="R1021" s="454"/>
      <x:c r="S1021" s="454"/>
      <x:c r="T1021" s="454"/>
      <x:c r="U1021" s="454"/>
      <x:c r="V1021" s="455"/>
      <x:c r="W1021" s="456"/>
      <x:c r="X1021" s="450"/>
      <x:c r="Y1021" s="457"/>
      <x:c r="Z1021" s="458"/>
      <x:c r="AA1021" s="458"/>
      <x:c r="AB1021" s="458"/>
      <x:c r="AC1021" s="458"/>
      <x:c r="AD1021" s="458"/>
      <x:c r="AE1021" s="458"/>
    </x:row>
    <x:row r="1022" spans="1:31" ht="20.100000000000001" customHeight="1">
      <x:c r="A1022" s="439"/>
      <x:c r="B1022" s="466" t="str">
        <x:f t="shared" si="142"/>
        <x:v/>
      </x:c>
      <x:c r="C1022" s="440" t="str">
        <x:f t="shared" si="143"/>
        <x:v/>
      </x:c>
      <x:c r="D1022" s="441"/>
      <x:c r="E1022" s="442" t="str">
        <x:f t="shared" si="144"/>
        <x:v/>
      </x:c>
      <x:c r="F1022" s="443"/>
      <x:c r="G1022" s="444"/>
      <x:c r="H1022" s="445" t="str">
        <x:f t="shared" si="146"/>
        <x:v/>
      </x:c>
      <x:c r="I1022" s="446" t="str">
        <x:f t="shared" si="145"/>
        <x:v/>
      </x:c>
      <x:c r="J1022" s="445"/>
      <x:c r="K1022" s="453"/>
      <x:c r="L1022" s="454"/>
      <x:c r="M1022" s="454"/>
      <x:c r="N1022" s="454"/>
      <x:c r="O1022" s="454"/>
      <x:c r="P1022" s="454"/>
      <x:c r="Q1022" s="454"/>
      <x:c r="R1022" s="454"/>
      <x:c r="S1022" s="454"/>
      <x:c r="T1022" s="454"/>
      <x:c r="U1022" s="454"/>
      <x:c r="V1022" s="455"/>
      <x:c r="W1022" s="456"/>
      <x:c r="X1022" s="450"/>
      <x:c r="Y1022" s="457"/>
      <x:c r="Z1022" s="458"/>
      <x:c r="AA1022" s="458"/>
      <x:c r="AB1022" s="458"/>
      <x:c r="AC1022" s="458"/>
      <x:c r="AD1022" s="458"/>
      <x:c r="AE1022" s="458"/>
    </x:row>
    <x:row r="1023" spans="1:31" ht="20.100000000000001" customHeight="1">
      <x:c r="A1023" s="439"/>
      <x:c r="B1023" s="466" t="str">
        <x:f t="shared" si="142"/>
        <x:v/>
      </x:c>
      <x:c r="C1023" s="440" t="str">
        <x:f t="shared" si="143"/>
        <x:v/>
      </x:c>
      <x:c r="D1023" s="441"/>
      <x:c r="E1023" s="442" t="str">
        <x:f t="shared" si="144"/>
        <x:v/>
      </x:c>
      <x:c r="F1023" s="443"/>
      <x:c r="G1023" s="444"/>
      <x:c r="H1023" s="445" t="str">
        <x:f t="shared" si="146"/>
        <x:v/>
      </x:c>
      <x:c r="I1023" s="446" t="str">
        <x:f t="shared" si="145"/>
        <x:v/>
      </x:c>
      <x:c r="J1023" s="445"/>
      <x:c r="K1023" s="453"/>
      <x:c r="L1023" s="454"/>
      <x:c r="M1023" s="454"/>
      <x:c r="N1023" s="454"/>
      <x:c r="O1023" s="454"/>
      <x:c r="P1023" s="454"/>
      <x:c r="Q1023" s="454"/>
      <x:c r="R1023" s="454"/>
      <x:c r="S1023" s="454"/>
      <x:c r="T1023" s="454"/>
      <x:c r="U1023" s="454"/>
      <x:c r="V1023" s="455"/>
      <x:c r="W1023" s="456"/>
      <x:c r="X1023" s="450"/>
      <x:c r="Y1023" s="457"/>
      <x:c r="Z1023" s="458"/>
      <x:c r="AA1023" s="458"/>
      <x:c r="AB1023" s="458"/>
      <x:c r="AC1023" s="458"/>
      <x:c r="AD1023" s="458"/>
      <x:c r="AE1023" s="458"/>
    </x:row>
    <x:row r="1024" spans="1:31" ht="20.100000000000001" customHeight="1">
      <x:c r="A1024" s="439"/>
      <x:c r="B1024" s="466" t="str">
        <x:f t="shared" si="142"/>
        <x:v/>
      </x:c>
      <x:c r="C1024" s="440" t="str">
        <x:f t="shared" si="143"/>
        <x:v/>
      </x:c>
      <x:c r="D1024" s="441"/>
      <x:c r="E1024" s="442" t="str">
        <x:f t="shared" si="144"/>
        <x:v/>
      </x:c>
      <x:c r="F1024" s="443"/>
      <x:c r="G1024" s="444"/>
      <x:c r="H1024" s="445" t="str">
        <x:f t="shared" si="146"/>
        <x:v/>
      </x:c>
      <x:c r="I1024" s="446" t="str">
        <x:f t="shared" si="145"/>
        <x:v/>
      </x:c>
      <x:c r="J1024" s="445"/>
      <x:c r="K1024" s="453"/>
      <x:c r="L1024" s="454"/>
      <x:c r="M1024" s="454"/>
      <x:c r="N1024" s="454"/>
      <x:c r="O1024" s="454"/>
      <x:c r="P1024" s="454"/>
      <x:c r="Q1024" s="454"/>
      <x:c r="R1024" s="454"/>
      <x:c r="S1024" s="454"/>
      <x:c r="T1024" s="454"/>
      <x:c r="U1024" s="454"/>
      <x:c r="V1024" s="455"/>
      <x:c r="W1024" s="456"/>
      <x:c r="X1024" s="450"/>
      <x:c r="Y1024" s="457"/>
      <x:c r="Z1024" s="458"/>
      <x:c r="AA1024" s="458"/>
      <x:c r="AB1024" s="458"/>
      <x:c r="AC1024" s="458"/>
      <x:c r="AD1024" s="458"/>
      <x:c r="AE1024" s="458"/>
    </x:row>
    <x:row r="1025" spans="1:31" ht="20.100000000000001" customHeight="1">
      <x:c r="A1025" s="439"/>
      <x:c r="B1025" s="466" t="str">
        <x:f t="shared" si="142"/>
        <x:v/>
      </x:c>
      <x:c r="C1025" s="440" t="str">
        <x:f t="shared" si="143"/>
        <x:v/>
      </x:c>
      <x:c r="D1025" s="441"/>
      <x:c r="E1025" s="442" t="str">
        <x:f t="shared" si="144"/>
        <x:v/>
      </x:c>
      <x:c r="F1025" s="443"/>
      <x:c r="G1025" s="444"/>
      <x:c r="H1025" s="445" t="str">
        <x:f t="shared" si="146"/>
        <x:v/>
      </x:c>
      <x:c r="I1025" s="446" t="str">
        <x:f t="shared" si="145"/>
        <x:v/>
      </x:c>
      <x:c r="J1025" s="445"/>
      <x:c r="K1025" s="453"/>
      <x:c r="L1025" s="454"/>
      <x:c r="M1025" s="454"/>
      <x:c r="N1025" s="454"/>
      <x:c r="O1025" s="454"/>
      <x:c r="P1025" s="454"/>
      <x:c r="Q1025" s="454"/>
      <x:c r="R1025" s="454"/>
      <x:c r="S1025" s="454"/>
      <x:c r="T1025" s="454"/>
      <x:c r="U1025" s="454"/>
      <x:c r="V1025" s="455"/>
      <x:c r="W1025" s="456"/>
      <x:c r="X1025" s="450"/>
      <x:c r="Y1025" s="457"/>
      <x:c r="Z1025" s="458"/>
      <x:c r="AA1025" s="458"/>
      <x:c r="AB1025" s="458"/>
      <x:c r="AC1025" s="458"/>
      <x:c r="AD1025" s="458"/>
      <x:c r="AE1025" s="458"/>
    </x:row>
    <x:row r="1026" spans="1:31" ht="20.100000000000001" customHeight="1">
      <x:c r="A1026" s="439"/>
      <x:c r="B1026" s="466" t="str">
        <x:f t="shared" si="142"/>
        <x:v/>
      </x:c>
      <x:c r="C1026" s="440" t="str">
        <x:f t="shared" si="143"/>
        <x:v/>
      </x:c>
      <x:c r="D1026" s="441"/>
      <x:c r="E1026" s="442" t="str">
        <x:f t="shared" si="144"/>
        <x:v/>
      </x:c>
      <x:c r="F1026" s="443"/>
      <x:c r="G1026" s="444"/>
      <x:c r="H1026" s="445" t="str">
        <x:f t="shared" si="146"/>
        <x:v/>
      </x:c>
      <x:c r="I1026" s="446" t="str">
        <x:f t="shared" si="145"/>
        <x:v/>
      </x:c>
      <x:c r="J1026" s="445"/>
      <x:c r="K1026" s="453"/>
      <x:c r="L1026" s="454"/>
      <x:c r="M1026" s="454"/>
      <x:c r="N1026" s="454"/>
      <x:c r="O1026" s="454"/>
      <x:c r="P1026" s="454"/>
      <x:c r="Q1026" s="454"/>
      <x:c r="R1026" s="454"/>
      <x:c r="S1026" s="454"/>
      <x:c r="T1026" s="454"/>
      <x:c r="U1026" s="454"/>
      <x:c r="V1026" s="455"/>
      <x:c r="W1026" s="456"/>
      <x:c r="X1026" s="450"/>
      <x:c r="Y1026" s="457"/>
      <x:c r="Z1026" s="458"/>
      <x:c r="AA1026" s="458"/>
      <x:c r="AB1026" s="458"/>
      <x:c r="AC1026" s="458"/>
      <x:c r="AD1026" s="458"/>
      <x:c r="AE1026" s="458"/>
    </x:row>
    <x:row r="1027" spans="1:31" ht="20.100000000000001" customHeight="1">
      <x:c r="A1027" s="439"/>
      <x:c r="B1027" s="466" t="str">
        <x:f t="shared" ref="B1027:B1090" si="147">IFERROR(VLOOKUP($C1027,$AH:$AI,2,),"")</x:f>
        <x:v/>
      </x:c>
      <x:c r="C1027" s="440" t="str">
        <x:f t="shared" ref="C1027:C1090" si="148">IFERROR(VLOOKUP($D1027,$AO:$AQ,3,),"")</x:f>
        <x:v/>
      </x:c>
      <x:c r="D1027" s="441"/>
      <x:c r="E1027" s="442" t="str">
        <x:f t="shared" ref="E1027:E1090" si="149">IFERROR(VLOOKUP($D1027,$AO:$AQ,2,),"")</x:f>
        <x:v/>
      </x:c>
      <x:c r="F1027" s="443"/>
      <x:c r="G1027" s="444"/>
      <x:c r="H1027" s="445" t="str">
        <x:f t="shared" si="146"/>
        <x:v/>
      </x:c>
      <x:c r="I1027" s="446" t="str">
        <x:f t="shared" ref="I1027:I1090" si="150">IFERROR(VLOOKUP($G1027,$AK:$AM,3,),"")</x:f>
        <x:v/>
      </x:c>
      <x:c r="J1027" s="445"/>
      <x:c r="K1027" s="453"/>
      <x:c r="L1027" s="454"/>
      <x:c r="M1027" s="454"/>
      <x:c r="N1027" s="454"/>
      <x:c r="O1027" s="454"/>
      <x:c r="P1027" s="454"/>
      <x:c r="Q1027" s="454"/>
      <x:c r="R1027" s="454"/>
      <x:c r="S1027" s="454"/>
      <x:c r="T1027" s="454"/>
      <x:c r="U1027" s="454"/>
      <x:c r="V1027" s="455"/>
      <x:c r="W1027" s="456"/>
      <x:c r="X1027" s="450"/>
      <x:c r="Y1027" s="457"/>
      <x:c r="Z1027" s="458"/>
      <x:c r="AA1027" s="458"/>
      <x:c r="AB1027" s="458"/>
      <x:c r="AC1027" s="458"/>
      <x:c r="AD1027" s="458"/>
      <x:c r="AE1027" s="458"/>
    </x:row>
    <x:row r="1028" spans="1:31" ht="20.100000000000001" customHeight="1">
      <x:c r="A1028" s="439"/>
      <x:c r="B1028" s="466" t="str">
        <x:f t="shared" si="147"/>
        <x:v/>
      </x:c>
      <x:c r="C1028" s="440" t="str">
        <x:f t="shared" si="148"/>
        <x:v/>
      </x:c>
      <x:c r="D1028" s="441"/>
      <x:c r="E1028" s="442" t="str">
        <x:f t="shared" si="149"/>
        <x:v/>
      </x:c>
      <x:c r="F1028" s="443"/>
      <x:c r="G1028" s="444"/>
      <x:c r="H1028" s="445" t="str">
        <x:f t="shared" si="146"/>
        <x:v/>
      </x:c>
      <x:c r="I1028" s="446" t="str">
        <x:f t="shared" si="150"/>
        <x:v/>
      </x:c>
      <x:c r="J1028" s="445"/>
      <x:c r="K1028" s="453"/>
      <x:c r="L1028" s="454"/>
      <x:c r="M1028" s="454"/>
      <x:c r="N1028" s="454"/>
      <x:c r="O1028" s="454"/>
      <x:c r="P1028" s="454"/>
      <x:c r="Q1028" s="454"/>
      <x:c r="R1028" s="454"/>
      <x:c r="S1028" s="454"/>
      <x:c r="T1028" s="454"/>
      <x:c r="U1028" s="454"/>
      <x:c r="V1028" s="455"/>
      <x:c r="W1028" s="456"/>
      <x:c r="X1028" s="450"/>
      <x:c r="Y1028" s="457"/>
      <x:c r="Z1028" s="458"/>
      <x:c r="AA1028" s="458"/>
      <x:c r="AB1028" s="458"/>
      <x:c r="AC1028" s="458"/>
      <x:c r="AD1028" s="458"/>
      <x:c r="AE1028" s="458"/>
    </x:row>
    <x:row r="1029" spans="1:31" ht="20.100000000000001" customHeight="1">
      <x:c r="A1029" s="439"/>
      <x:c r="B1029" s="466" t="str">
        <x:f t="shared" si="147"/>
        <x:v/>
      </x:c>
      <x:c r="C1029" s="440" t="str">
        <x:f t="shared" si="148"/>
        <x:v/>
      </x:c>
      <x:c r="D1029" s="441"/>
      <x:c r="E1029" s="442" t="str">
        <x:f t="shared" si="149"/>
        <x:v/>
      </x:c>
      <x:c r="F1029" s="443"/>
      <x:c r="G1029" s="444"/>
      <x:c r="H1029" s="445" t="str">
        <x:f t="shared" si="146"/>
        <x:v/>
      </x:c>
      <x:c r="I1029" s="446" t="str">
        <x:f t="shared" si="150"/>
        <x:v/>
      </x:c>
      <x:c r="J1029" s="445"/>
      <x:c r="K1029" s="453"/>
      <x:c r="L1029" s="454"/>
      <x:c r="M1029" s="454"/>
      <x:c r="N1029" s="454"/>
      <x:c r="O1029" s="454"/>
      <x:c r="P1029" s="454"/>
      <x:c r="Q1029" s="454"/>
      <x:c r="R1029" s="454"/>
      <x:c r="S1029" s="454"/>
      <x:c r="T1029" s="454"/>
      <x:c r="U1029" s="454"/>
      <x:c r="V1029" s="455"/>
      <x:c r="W1029" s="456"/>
      <x:c r="X1029" s="450"/>
      <x:c r="Y1029" s="457"/>
      <x:c r="Z1029" s="458"/>
      <x:c r="AA1029" s="458"/>
      <x:c r="AB1029" s="458"/>
      <x:c r="AC1029" s="458"/>
      <x:c r="AD1029" s="458"/>
      <x:c r="AE1029" s="458"/>
    </x:row>
    <x:row r="1030" spans="1:31" ht="20.100000000000001" customHeight="1">
      <x:c r="A1030" s="439"/>
      <x:c r="B1030" s="466" t="str">
        <x:f t="shared" si="147"/>
        <x:v/>
      </x:c>
      <x:c r="C1030" s="440" t="str">
        <x:f t="shared" si="148"/>
        <x:v/>
      </x:c>
      <x:c r="D1030" s="441"/>
      <x:c r="E1030" s="442" t="str">
        <x:f t="shared" si="149"/>
        <x:v/>
      </x:c>
      <x:c r="F1030" s="443"/>
      <x:c r="G1030" s="444"/>
      <x:c r="H1030" s="445" t="str">
        <x:f t="shared" si="146"/>
        <x:v/>
      </x:c>
      <x:c r="I1030" s="446" t="str">
        <x:f t="shared" si="150"/>
        <x:v/>
      </x:c>
      <x:c r="J1030" s="445"/>
      <x:c r="K1030" s="453"/>
      <x:c r="L1030" s="454"/>
      <x:c r="M1030" s="454"/>
      <x:c r="N1030" s="454"/>
      <x:c r="O1030" s="454"/>
      <x:c r="P1030" s="454"/>
      <x:c r="Q1030" s="454"/>
      <x:c r="R1030" s="454"/>
      <x:c r="S1030" s="454"/>
      <x:c r="T1030" s="454"/>
      <x:c r="U1030" s="454"/>
      <x:c r="V1030" s="455"/>
      <x:c r="W1030" s="456"/>
      <x:c r="X1030" s="450"/>
      <x:c r="Y1030" s="457"/>
      <x:c r="Z1030" s="458"/>
      <x:c r="AA1030" s="458"/>
      <x:c r="AB1030" s="458"/>
      <x:c r="AC1030" s="458"/>
      <x:c r="AD1030" s="458"/>
      <x:c r="AE1030" s="458"/>
    </x:row>
    <x:row r="1031" spans="1:31" ht="20.100000000000001" customHeight="1">
      <x:c r="A1031" s="439"/>
      <x:c r="B1031" s="466" t="str">
        <x:f t="shared" si="147"/>
        <x:v/>
      </x:c>
      <x:c r="C1031" s="440" t="str">
        <x:f t="shared" si="148"/>
        <x:v/>
      </x:c>
      <x:c r="D1031" s="441"/>
      <x:c r="E1031" s="442" t="str">
        <x:f t="shared" si="149"/>
        <x:v/>
      </x:c>
      <x:c r="F1031" s="443"/>
      <x:c r="G1031" s="444"/>
      <x:c r="H1031" s="445" t="str">
        <x:f t="shared" si="146"/>
        <x:v/>
      </x:c>
      <x:c r="I1031" s="446" t="str">
        <x:f t="shared" si="150"/>
        <x:v/>
      </x:c>
      <x:c r="J1031" s="445"/>
      <x:c r="K1031" s="453"/>
      <x:c r="L1031" s="454"/>
      <x:c r="M1031" s="454"/>
      <x:c r="N1031" s="454"/>
      <x:c r="O1031" s="454"/>
      <x:c r="P1031" s="454"/>
      <x:c r="Q1031" s="454"/>
      <x:c r="R1031" s="454"/>
      <x:c r="S1031" s="454"/>
      <x:c r="T1031" s="454"/>
      <x:c r="U1031" s="454"/>
      <x:c r="V1031" s="455"/>
      <x:c r="W1031" s="456"/>
      <x:c r="X1031" s="450"/>
      <x:c r="Y1031" s="457"/>
      <x:c r="Z1031" s="458"/>
      <x:c r="AA1031" s="458"/>
      <x:c r="AB1031" s="458"/>
      <x:c r="AC1031" s="458"/>
      <x:c r="AD1031" s="458"/>
      <x:c r="AE1031" s="458"/>
    </x:row>
    <x:row r="1032" spans="1:31" ht="20.100000000000001" customHeight="1">
      <x:c r="A1032" s="439"/>
      <x:c r="B1032" s="466" t="str">
        <x:f t="shared" si="147"/>
        <x:v/>
      </x:c>
      <x:c r="C1032" s="440" t="str">
        <x:f t="shared" si="148"/>
        <x:v/>
      </x:c>
      <x:c r="D1032" s="441"/>
      <x:c r="E1032" s="442" t="str">
        <x:f t="shared" si="149"/>
        <x:v/>
      </x:c>
      <x:c r="F1032" s="443"/>
      <x:c r="G1032" s="444"/>
      <x:c r="H1032" s="445" t="str">
        <x:f t="shared" si="146"/>
        <x:v/>
      </x:c>
      <x:c r="I1032" s="446" t="str">
        <x:f t="shared" si="150"/>
        <x:v/>
      </x:c>
      <x:c r="J1032" s="445"/>
      <x:c r="K1032" s="453"/>
      <x:c r="L1032" s="454"/>
      <x:c r="M1032" s="454"/>
      <x:c r="N1032" s="454"/>
      <x:c r="O1032" s="454"/>
      <x:c r="P1032" s="454"/>
      <x:c r="Q1032" s="454"/>
      <x:c r="R1032" s="454"/>
      <x:c r="S1032" s="454"/>
      <x:c r="T1032" s="454"/>
      <x:c r="U1032" s="454"/>
      <x:c r="V1032" s="455"/>
      <x:c r="W1032" s="456"/>
      <x:c r="X1032" s="450"/>
      <x:c r="Y1032" s="457"/>
      <x:c r="Z1032" s="458"/>
      <x:c r="AA1032" s="458"/>
      <x:c r="AB1032" s="458"/>
      <x:c r="AC1032" s="458"/>
      <x:c r="AD1032" s="458"/>
      <x:c r="AE1032" s="458"/>
    </x:row>
    <x:row r="1033" spans="1:31" ht="20.100000000000001" customHeight="1">
      <x:c r="A1033" s="439"/>
      <x:c r="B1033" s="466" t="str">
        <x:f t="shared" si="147"/>
        <x:v/>
      </x:c>
      <x:c r="C1033" s="440" t="str">
        <x:f t="shared" si="148"/>
        <x:v/>
      </x:c>
      <x:c r="D1033" s="441"/>
      <x:c r="E1033" s="442" t="str">
        <x:f t="shared" si="149"/>
        <x:v/>
      </x:c>
      <x:c r="F1033" s="443"/>
      <x:c r="G1033" s="444"/>
      <x:c r="H1033" s="445" t="str">
        <x:f t="shared" si="146"/>
        <x:v/>
      </x:c>
      <x:c r="I1033" s="446" t="str">
        <x:f t="shared" si="150"/>
        <x:v/>
      </x:c>
      <x:c r="J1033" s="445"/>
      <x:c r="K1033" s="453"/>
      <x:c r="L1033" s="454"/>
      <x:c r="M1033" s="454"/>
      <x:c r="N1033" s="454"/>
      <x:c r="O1033" s="454"/>
      <x:c r="P1033" s="454"/>
      <x:c r="Q1033" s="454"/>
      <x:c r="R1033" s="454"/>
      <x:c r="S1033" s="454"/>
      <x:c r="T1033" s="454"/>
      <x:c r="U1033" s="454"/>
      <x:c r="V1033" s="455"/>
      <x:c r="W1033" s="456"/>
      <x:c r="X1033" s="450"/>
      <x:c r="Y1033" s="457"/>
      <x:c r="Z1033" s="458"/>
      <x:c r="AA1033" s="458"/>
      <x:c r="AB1033" s="458"/>
      <x:c r="AC1033" s="458"/>
      <x:c r="AD1033" s="458"/>
      <x:c r="AE1033" s="458"/>
    </x:row>
    <x:row r="1034" spans="1:31" ht="20.100000000000001" customHeight="1">
      <x:c r="A1034" s="439"/>
      <x:c r="B1034" s="466" t="str">
        <x:f t="shared" si="147"/>
        <x:v/>
      </x:c>
      <x:c r="C1034" s="440" t="str">
        <x:f t="shared" si="148"/>
        <x:v/>
      </x:c>
      <x:c r="D1034" s="441"/>
      <x:c r="E1034" s="442" t="str">
        <x:f t="shared" si="149"/>
        <x:v/>
      </x:c>
      <x:c r="F1034" s="443"/>
      <x:c r="G1034" s="444"/>
      <x:c r="H1034" s="445" t="str">
        <x:f t="shared" si="146"/>
        <x:v/>
      </x:c>
      <x:c r="I1034" s="446" t="str">
        <x:f t="shared" si="150"/>
        <x:v/>
      </x:c>
      <x:c r="J1034" s="445"/>
      <x:c r="K1034" s="453"/>
      <x:c r="L1034" s="454"/>
      <x:c r="M1034" s="454"/>
      <x:c r="N1034" s="454"/>
      <x:c r="O1034" s="454"/>
      <x:c r="P1034" s="454"/>
      <x:c r="Q1034" s="454"/>
      <x:c r="R1034" s="454"/>
      <x:c r="S1034" s="454"/>
      <x:c r="T1034" s="454"/>
      <x:c r="U1034" s="454"/>
      <x:c r="V1034" s="455"/>
      <x:c r="W1034" s="456"/>
      <x:c r="X1034" s="450"/>
      <x:c r="Y1034" s="457"/>
      <x:c r="Z1034" s="458"/>
      <x:c r="AA1034" s="458"/>
      <x:c r="AB1034" s="458"/>
      <x:c r="AC1034" s="458"/>
      <x:c r="AD1034" s="458"/>
      <x:c r="AE1034" s="458"/>
    </x:row>
    <x:row r="1035" spans="1:31" ht="20.100000000000001" customHeight="1">
      <x:c r="A1035" s="439"/>
      <x:c r="B1035" s="466" t="str">
        <x:f t="shared" si="147"/>
        <x:v/>
      </x:c>
      <x:c r="C1035" s="440" t="str">
        <x:f t="shared" si="148"/>
        <x:v/>
      </x:c>
      <x:c r="D1035" s="441"/>
      <x:c r="E1035" s="442" t="str">
        <x:f t="shared" si="149"/>
        <x:v/>
      </x:c>
      <x:c r="F1035" s="443"/>
      <x:c r="G1035" s="444"/>
      <x:c r="H1035" s="445" t="str">
        <x:f t="shared" si="146"/>
        <x:v/>
      </x:c>
      <x:c r="I1035" s="446" t="str">
        <x:f t="shared" si="150"/>
        <x:v/>
      </x:c>
      <x:c r="J1035" s="445"/>
      <x:c r="K1035" s="453"/>
      <x:c r="L1035" s="454"/>
      <x:c r="M1035" s="454"/>
      <x:c r="N1035" s="454"/>
      <x:c r="O1035" s="454"/>
      <x:c r="P1035" s="454"/>
      <x:c r="Q1035" s="454"/>
      <x:c r="R1035" s="454"/>
      <x:c r="S1035" s="454"/>
      <x:c r="T1035" s="454"/>
      <x:c r="U1035" s="454"/>
      <x:c r="V1035" s="455"/>
      <x:c r="W1035" s="456"/>
      <x:c r="X1035" s="450"/>
      <x:c r="Y1035" s="457"/>
      <x:c r="Z1035" s="458"/>
      <x:c r="AA1035" s="458"/>
      <x:c r="AB1035" s="458"/>
      <x:c r="AC1035" s="458"/>
      <x:c r="AD1035" s="458"/>
      <x:c r="AE1035" s="458"/>
    </x:row>
    <x:row r="1036" spans="1:31" ht="20.100000000000001" customHeight="1">
      <x:c r="A1036" s="439"/>
      <x:c r="B1036" s="466" t="str">
        <x:f t="shared" si="147"/>
        <x:v/>
      </x:c>
      <x:c r="C1036" s="440" t="str">
        <x:f t="shared" si="148"/>
        <x:v/>
      </x:c>
      <x:c r="D1036" s="441"/>
      <x:c r="E1036" s="442" t="str">
        <x:f t="shared" si="149"/>
        <x:v/>
      </x:c>
      <x:c r="F1036" s="443"/>
      <x:c r="G1036" s="444"/>
      <x:c r="H1036" s="445" t="str">
        <x:f t="shared" si="146"/>
        <x:v/>
      </x:c>
      <x:c r="I1036" s="446" t="str">
        <x:f t="shared" si="150"/>
        <x:v/>
      </x:c>
      <x:c r="J1036" s="445"/>
      <x:c r="K1036" s="453"/>
      <x:c r="L1036" s="454"/>
      <x:c r="M1036" s="454"/>
      <x:c r="N1036" s="454"/>
      <x:c r="O1036" s="454"/>
      <x:c r="P1036" s="454"/>
      <x:c r="Q1036" s="454"/>
      <x:c r="R1036" s="454"/>
      <x:c r="S1036" s="454"/>
      <x:c r="T1036" s="454"/>
      <x:c r="U1036" s="454"/>
      <x:c r="V1036" s="455"/>
      <x:c r="W1036" s="456"/>
      <x:c r="X1036" s="450"/>
      <x:c r="Y1036" s="457"/>
      <x:c r="Z1036" s="458"/>
      <x:c r="AA1036" s="458"/>
      <x:c r="AB1036" s="458"/>
      <x:c r="AC1036" s="458"/>
      <x:c r="AD1036" s="458"/>
      <x:c r="AE1036" s="458"/>
    </x:row>
    <x:row r="1037" spans="1:31" ht="20.100000000000001" customHeight="1">
      <x:c r="A1037" s="439"/>
      <x:c r="B1037" s="466" t="str">
        <x:f t="shared" si="147"/>
        <x:v/>
      </x:c>
      <x:c r="C1037" s="440" t="str">
        <x:f t="shared" si="148"/>
        <x:v/>
      </x:c>
      <x:c r="D1037" s="441"/>
      <x:c r="E1037" s="442" t="str">
        <x:f t="shared" si="149"/>
        <x:v/>
      </x:c>
      <x:c r="F1037" s="443"/>
      <x:c r="G1037" s="444"/>
      <x:c r="H1037" s="445" t="str">
        <x:f t="shared" si="146"/>
        <x:v/>
      </x:c>
      <x:c r="I1037" s="446" t="str">
        <x:f t="shared" si="150"/>
        <x:v/>
      </x:c>
      <x:c r="J1037" s="445"/>
      <x:c r="K1037" s="453"/>
      <x:c r="L1037" s="454"/>
      <x:c r="M1037" s="454"/>
      <x:c r="N1037" s="454"/>
      <x:c r="O1037" s="454"/>
      <x:c r="P1037" s="454"/>
      <x:c r="Q1037" s="454"/>
      <x:c r="R1037" s="454"/>
      <x:c r="S1037" s="454"/>
      <x:c r="T1037" s="454"/>
      <x:c r="U1037" s="454"/>
      <x:c r="V1037" s="455"/>
      <x:c r="W1037" s="456"/>
      <x:c r="X1037" s="450"/>
      <x:c r="Y1037" s="457"/>
      <x:c r="Z1037" s="458"/>
      <x:c r="AA1037" s="458"/>
      <x:c r="AB1037" s="458"/>
      <x:c r="AC1037" s="458"/>
      <x:c r="AD1037" s="458"/>
      <x:c r="AE1037" s="458"/>
    </x:row>
    <x:row r="1038" spans="1:31" ht="20.100000000000001" customHeight="1">
      <x:c r="A1038" s="439"/>
      <x:c r="B1038" s="466" t="str">
        <x:f t="shared" si="147"/>
        <x:v/>
      </x:c>
      <x:c r="C1038" s="440" t="str">
        <x:f t="shared" si="148"/>
        <x:v/>
      </x:c>
      <x:c r="D1038" s="441"/>
      <x:c r="E1038" s="442" t="str">
        <x:f t="shared" si="149"/>
        <x:v/>
      </x:c>
      <x:c r="F1038" s="443"/>
      <x:c r="G1038" s="444"/>
      <x:c r="H1038" s="445" t="str">
        <x:f t="shared" si="146"/>
        <x:v/>
      </x:c>
      <x:c r="I1038" s="446" t="str">
        <x:f t="shared" si="150"/>
        <x:v/>
      </x:c>
      <x:c r="J1038" s="445"/>
      <x:c r="K1038" s="453"/>
      <x:c r="L1038" s="454"/>
      <x:c r="M1038" s="454"/>
      <x:c r="N1038" s="454"/>
      <x:c r="O1038" s="454"/>
      <x:c r="P1038" s="454"/>
      <x:c r="Q1038" s="454"/>
      <x:c r="R1038" s="454"/>
      <x:c r="S1038" s="454"/>
      <x:c r="T1038" s="454"/>
      <x:c r="U1038" s="454"/>
      <x:c r="V1038" s="455"/>
      <x:c r="W1038" s="456"/>
      <x:c r="X1038" s="450"/>
      <x:c r="Y1038" s="457"/>
      <x:c r="Z1038" s="458"/>
      <x:c r="AA1038" s="458"/>
      <x:c r="AB1038" s="458"/>
      <x:c r="AC1038" s="458"/>
      <x:c r="AD1038" s="458"/>
      <x:c r="AE1038" s="458"/>
    </x:row>
    <x:row r="1039" spans="1:31" ht="20.100000000000001" customHeight="1">
      <x:c r="A1039" s="439"/>
      <x:c r="B1039" s="466" t="str">
        <x:f t="shared" si="147"/>
        <x:v/>
      </x:c>
      <x:c r="C1039" s="440" t="str">
        <x:f t="shared" si="148"/>
        <x:v/>
      </x:c>
      <x:c r="D1039" s="441"/>
      <x:c r="E1039" s="442" t="str">
        <x:f t="shared" si="149"/>
        <x:v/>
      </x:c>
      <x:c r="F1039" s="443"/>
      <x:c r="G1039" s="444"/>
      <x:c r="H1039" s="445" t="str">
        <x:f t="shared" si="146"/>
        <x:v/>
      </x:c>
      <x:c r="I1039" s="446" t="str">
        <x:f t="shared" si="150"/>
        <x:v/>
      </x:c>
      <x:c r="J1039" s="445"/>
      <x:c r="K1039" s="453"/>
      <x:c r="L1039" s="454"/>
      <x:c r="M1039" s="454"/>
      <x:c r="N1039" s="454"/>
      <x:c r="O1039" s="454"/>
      <x:c r="P1039" s="454"/>
      <x:c r="Q1039" s="454"/>
      <x:c r="R1039" s="454"/>
      <x:c r="S1039" s="454"/>
      <x:c r="T1039" s="454"/>
      <x:c r="U1039" s="454"/>
      <x:c r="V1039" s="455"/>
      <x:c r="W1039" s="456"/>
      <x:c r="X1039" s="450"/>
      <x:c r="Y1039" s="457"/>
      <x:c r="Z1039" s="458"/>
      <x:c r="AA1039" s="458"/>
      <x:c r="AB1039" s="458"/>
      <x:c r="AC1039" s="458"/>
      <x:c r="AD1039" s="458"/>
      <x:c r="AE1039" s="458"/>
    </x:row>
    <x:row r="1040" spans="1:31" ht="20.100000000000001" customHeight="1">
      <x:c r="A1040" s="439"/>
      <x:c r="B1040" s="466" t="str">
        <x:f t="shared" si="147"/>
        <x:v/>
      </x:c>
      <x:c r="C1040" s="440" t="str">
        <x:f t="shared" si="148"/>
        <x:v/>
      </x:c>
      <x:c r="D1040" s="441"/>
      <x:c r="E1040" s="442" t="str">
        <x:f t="shared" si="149"/>
        <x:v/>
      </x:c>
      <x:c r="F1040" s="443"/>
      <x:c r="G1040" s="444"/>
      <x:c r="H1040" s="445" t="str">
        <x:f t="shared" si="146"/>
        <x:v/>
      </x:c>
      <x:c r="I1040" s="446" t="str">
        <x:f t="shared" si="150"/>
        <x:v/>
      </x:c>
      <x:c r="J1040" s="445"/>
      <x:c r="K1040" s="453"/>
      <x:c r="L1040" s="454"/>
      <x:c r="M1040" s="454"/>
      <x:c r="N1040" s="454"/>
      <x:c r="O1040" s="454"/>
      <x:c r="P1040" s="454"/>
      <x:c r="Q1040" s="454"/>
      <x:c r="R1040" s="454"/>
      <x:c r="S1040" s="454"/>
      <x:c r="T1040" s="454"/>
      <x:c r="U1040" s="454"/>
      <x:c r="V1040" s="455"/>
      <x:c r="W1040" s="456"/>
      <x:c r="X1040" s="450"/>
      <x:c r="Y1040" s="457"/>
      <x:c r="Z1040" s="458"/>
      <x:c r="AA1040" s="458"/>
      <x:c r="AB1040" s="458"/>
      <x:c r="AC1040" s="458"/>
      <x:c r="AD1040" s="458"/>
      <x:c r="AE1040" s="458"/>
    </x:row>
    <x:row r="1041" spans="1:31" ht="20.100000000000001" customHeight="1">
      <x:c r="A1041" s="439"/>
      <x:c r="B1041" s="466" t="str">
        <x:f t="shared" si="147"/>
        <x:v/>
      </x:c>
      <x:c r="C1041" s="440" t="str">
        <x:f t="shared" si="148"/>
        <x:v/>
      </x:c>
      <x:c r="D1041" s="441"/>
      <x:c r="E1041" s="442" t="str">
        <x:f t="shared" si="149"/>
        <x:v/>
      </x:c>
      <x:c r="F1041" s="443"/>
      <x:c r="G1041" s="444"/>
      <x:c r="H1041" s="445" t="str">
        <x:f t="shared" si="146"/>
        <x:v/>
      </x:c>
      <x:c r="I1041" s="446" t="str">
        <x:f t="shared" si="150"/>
        <x:v/>
      </x:c>
      <x:c r="J1041" s="445"/>
      <x:c r="K1041" s="453"/>
      <x:c r="L1041" s="454"/>
      <x:c r="M1041" s="454"/>
      <x:c r="N1041" s="454"/>
      <x:c r="O1041" s="454"/>
      <x:c r="P1041" s="454"/>
      <x:c r="Q1041" s="454"/>
      <x:c r="R1041" s="454"/>
      <x:c r="S1041" s="454"/>
      <x:c r="T1041" s="454"/>
      <x:c r="U1041" s="454"/>
      <x:c r="V1041" s="455"/>
      <x:c r="W1041" s="456"/>
      <x:c r="X1041" s="450"/>
      <x:c r="Y1041" s="457"/>
      <x:c r="Z1041" s="458"/>
      <x:c r="AA1041" s="458"/>
      <x:c r="AB1041" s="458"/>
      <x:c r="AC1041" s="458"/>
      <x:c r="AD1041" s="458"/>
      <x:c r="AE1041" s="458"/>
    </x:row>
    <x:row r="1042" spans="1:31" ht="20.100000000000001" customHeight="1">
      <x:c r="A1042" s="439"/>
      <x:c r="B1042" s="466" t="str">
        <x:f t="shared" si="147"/>
        <x:v/>
      </x:c>
      <x:c r="C1042" s="440" t="str">
        <x:f t="shared" si="148"/>
        <x:v/>
      </x:c>
      <x:c r="D1042" s="441"/>
      <x:c r="E1042" s="442" t="str">
        <x:f t="shared" si="149"/>
        <x:v/>
      </x:c>
      <x:c r="F1042" s="443"/>
      <x:c r="G1042" s="444"/>
      <x:c r="H1042" s="445" t="str">
        <x:f t="shared" si="146"/>
        <x:v/>
      </x:c>
      <x:c r="I1042" s="446" t="str">
        <x:f t="shared" si="150"/>
        <x:v/>
      </x:c>
      <x:c r="J1042" s="445"/>
      <x:c r="K1042" s="453"/>
      <x:c r="L1042" s="454"/>
      <x:c r="M1042" s="454"/>
      <x:c r="N1042" s="454"/>
      <x:c r="O1042" s="454"/>
      <x:c r="P1042" s="454"/>
      <x:c r="Q1042" s="454"/>
      <x:c r="R1042" s="454"/>
      <x:c r="S1042" s="454"/>
      <x:c r="T1042" s="454"/>
      <x:c r="U1042" s="454"/>
      <x:c r="V1042" s="455"/>
      <x:c r="W1042" s="456"/>
      <x:c r="X1042" s="450"/>
      <x:c r="Y1042" s="457"/>
      <x:c r="Z1042" s="458"/>
      <x:c r="AA1042" s="458"/>
      <x:c r="AB1042" s="458"/>
      <x:c r="AC1042" s="458"/>
      <x:c r="AD1042" s="458"/>
      <x:c r="AE1042" s="458"/>
    </x:row>
    <x:row r="1043" spans="1:31" ht="20.100000000000001" customHeight="1">
      <x:c r="A1043" s="439"/>
      <x:c r="B1043" s="466" t="str">
        <x:f t="shared" si="147"/>
        <x:v/>
      </x:c>
      <x:c r="C1043" s="440" t="str">
        <x:f t="shared" si="148"/>
        <x:v/>
      </x:c>
      <x:c r="D1043" s="441"/>
      <x:c r="E1043" s="442" t="str">
        <x:f t="shared" si="149"/>
        <x:v/>
      </x:c>
      <x:c r="F1043" s="443"/>
      <x:c r="G1043" s="444"/>
      <x:c r="H1043" s="445" t="str">
        <x:f t="shared" si="146"/>
        <x:v/>
      </x:c>
      <x:c r="I1043" s="446" t="str">
        <x:f t="shared" si="150"/>
        <x:v/>
      </x:c>
      <x:c r="J1043" s="445"/>
      <x:c r="K1043" s="453"/>
      <x:c r="L1043" s="454"/>
      <x:c r="M1043" s="454"/>
      <x:c r="N1043" s="454"/>
      <x:c r="O1043" s="454"/>
      <x:c r="P1043" s="454"/>
      <x:c r="Q1043" s="454"/>
      <x:c r="R1043" s="454"/>
      <x:c r="S1043" s="454"/>
      <x:c r="T1043" s="454"/>
      <x:c r="U1043" s="454"/>
      <x:c r="V1043" s="455"/>
      <x:c r="W1043" s="456"/>
      <x:c r="X1043" s="450"/>
      <x:c r="Y1043" s="457"/>
      <x:c r="Z1043" s="458"/>
      <x:c r="AA1043" s="458"/>
      <x:c r="AB1043" s="458"/>
      <x:c r="AC1043" s="458"/>
      <x:c r="AD1043" s="458"/>
      <x:c r="AE1043" s="458"/>
    </x:row>
    <x:row r="1044" spans="1:31" ht="20.100000000000001" customHeight="1">
      <x:c r="A1044" s="439"/>
      <x:c r="B1044" s="466" t="str">
        <x:f t="shared" si="147"/>
        <x:v/>
      </x:c>
      <x:c r="C1044" s="440" t="str">
        <x:f t="shared" si="148"/>
        <x:v/>
      </x:c>
      <x:c r="D1044" s="441"/>
      <x:c r="E1044" s="442" t="str">
        <x:f t="shared" si="149"/>
        <x:v/>
      </x:c>
      <x:c r="F1044" s="443"/>
      <x:c r="G1044" s="444"/>
      <x:c r="H1044" s="445" t="str">
        <x:f t="shared" si="146"/>
        <x:v/>
      </x:c>
      <x:c r="I1044" s="446" t="str">
        <x:f t="shared" si="150"/>
        <x:v/>
      </x:c>
      <x:c r="J1044" s="445"/>
      <x:c r="K1044" s="453"/>
      <x:c r="L1044" s="454"/>
      <x:c r="M1044" s="454"/>
      <x:c r="N1044" s="454"/>
      <x:c r="O1044" s="454"/>
      <x:c r="P1044" s="454"/>
      <x:c r="Q1044" s="454"/>
      <x:c r="R1044" s="454"/>
      <x:c r="S1044" s="454"/>
      <x:c r="T1044" s="454"/>
      <x:c r="U1044" s="454"/>
      <x:c r="V1044" s="455"/>
      <x:c r="W1044" s="456"/>
      <x:c r="X1044" s="450"/>
      <x:c r="Y1044" s="457"/>
      <x:c r="Z1044" s="458"/>
      <x:c r="AA1044" s="458"/>
      <x:c r="AB1044" s="458"/>
      <x:c r="AC1044" s="458"/>
      <x:c r="AD1044" s="458"/>
      <x:c r="AE1044" s="458"/>
    </x:row>
    <x:row r="1045" spans="1:31" ht="20.100000000000001" customHeight="1">
      <x:c r="A1045" s="439"/>
      <x:c r="B1045" s="466" t="str">
        <x:f t="shared" si="147"/>
        <x:v/>
      </x:c>
      <x:c r="C1045" s="440" t="str">
        <x:f t="shared" si="148"/>
        <x:v/>
      </x:c>
      <x:c r="D1045" s="441"/>
      <x:c r="E1045" s="442" t="str">
        <x:f t="shared" si="149"/>
        <x:v/>
      </x:c>
      <x:c r="F1045" s="443"/>
      <x:c r="G1045" s="444"/>
      <x:c r="H1045" s="445" t="str">
        <x:f t="shared" si="146"/>
        <x:v/>
      </x:c>
      <x:c r="I1045" s="446" t="str">
        <x:f t="shared" si="150"/>
        <x:v/>
      </x:c>
      <x:c r="J1045" s="445"/>
      <x:c r="K1045" s="453"/>
      <x:c r="L1045" s="454"/>
      <x:c r="M1045" s="454"/>
      <x:c r="N1045" s="454"/>
      <x:c r="O1045" s="454"/>
      <x:c r="P1045" s="454"/>
      <x:c r="Q1045" s="454"/>
      <x:c r="R1045" s="454"/>
      <x:c r="S1045" s="454"/>
      <x:c r="T1045" s="454"/>
      <x:c r="U1045" s="454"/>
      <x:c r="V1045" s="455"/>
      <x:c r="W1045" s="456"/>
      <x:c r="X1045" s="450"/>
      <x:c r="Y1045" s="457"/>
      <x:c r="Z1045" s="458"/>
      <x:c r="AA1045" s="458"/>
      <x:c r="AB1045" s="458"/>
      <x:c r="AC1045" s="458"/>
      <x:c r="AD1045" s="458"/>
      <x:c r="AE1045" s="458"/>
    </x:row>
    <x:row r="1046" spans="1:31" ht="20.100000000000001" customHeight="1">
      <x:c r="A1046" s="439"/>
      <x:c r="B1046" s="466" t="str">
        <x:f t="shared" si="147"/>
        <x:v/>
      </x:c>
      <x:c r="C1046" s="440" t="str">
        <x:f t="shared" si="148"/>
        <x:v/>
      </x:c>
      <x:c r="D1046" s="441"/>
      <x:c r="E1046" s="442" t="str">
        <x:f t="shared" si="149"/>
        <x:v/>
      </x:c>
      <x:c r="F1046" s="443"/>
      <x:c r="G1046" s="444"/>
      <x:c r="H1046" s="445" t="str">
        <x:f t="shared" si="146"/>
        <x:v/>
      </x:c>
      <x:c r="I1046" s="446" t="str">
        <x:f t="shared" si="150"/>
        <x:v/>
      </x:c>
      <x:c r="J1046" s="445"/>
      <x:c r="K1046" s="453"/>
      <x:c r="L1046" s="454"/>
      <x:c r="M1046" s="454"/>
      <x:c r="N1046" s="454"/>
      <x:c r="O1046" s="454"/>
      <x:c r="P1046" s="454"/>
      <x:c r="Q1046" s="454"/>
      <x:c r="R1046" s="454"/>
      <x:c r="S1046" s="454"/>
      <x:c r="T1046" s="454"/>
      <x:c r="U1046" s="454"/>
      <x:c r="V1046" s="455"/>
      <x:c r="W1046" s="456"/>
      <x:c r="X1046" s="450"/>
      <x:c r="Y1046" s="457"/>
      <x:c r="Z1046" s="458"/>
      <x:c r="AA1046" s="458"/>
      <x:c r="AB1046" s="458"/>
      <x:c r="AC1046" s="458"/>
      <x:c r="AD1046" s="458"/>
      <x:c r="AE1046" s="458"/>
    </x:row>
    <x:row r="1047" spans="1:31" ht="20.100000000000001" customHeight="1">
      <x:c r="A1047" s="439"/>
      <x:c r="B1047" s="466" t="str">
        <x:f t="shared" si="147"/>
        <x:v/>
      </x:c>
      <x:c r="C1047" s="440" t="str">
        <x:f t="shared" si="148"/>
        <x:v/>
      </x:c>
      <x:c r="D1047" s="441"/>
      <x:c r="E1047" s="442" t="str">
        <x:f t="shared" si="149"/>
        <x:v/>
      </x:c>
      <x:c r="F1047" s="443"/>
      <x:c r="G1047" s="444"/>
      <x:c r="H1047" s="445" t="str">
        <x:f t="shared" si="146"/>
        <x:v/>
      </x:c>
      <x:c r="I1047" s="446" t="str">
        <x:f t="shared" si="150"/>
        <x:v/>
      </x:c>
      <x:c r="J1047" s="445"/>
      <x:c r="K1047" s="453"/>
      <x:c r="L1047" s="454"/>
      <x:c r="M1047" s="454"/>
      <x:c r="N1047" s="454"/>
      <x:c r="O1047" s="454"/>
      <x:c r="P1047" s="454"/>
      <x:c r="Q1047" s="454"/>
      <x:c r="R1047" s="454"/>
      <x:c r="S1047" s="454"/>
      <x:c r="T1047" s="454"/>
      <x:c r="U1047" s="454"/>
      <x:c r="V1047" s="455"/>
      <x:c r="W1047" s="456"/>
      <x:c r="X1047" s="450"/>
      <x:c r="Y1047" s="457"/>
      <x:c r="Z1047" s="458"/>
      <x:c r="AA1047" s="458"/>
      <x:c r="AB1047" s="458"/>
      <x:c r="AC1047" s="458"/>
      <x:c r="AD1047" s="458"/>
      <x:c r="AE1047" s="458"/>
    </x:row>
    <x:row r="1048" spans="1:31" ht="20.100000000000001" customHeight="1">
      <x:c r="A1048" s="439"/>
      <x:c r="B1048" s="466" t="str">
        <x:f t="shared" si="147"/>
        <x:v/>
      </x:c>
      <x:c r="C1048" s="440" t="str">
        <x:f t="shared" si="148"/>
        <x:v/>
      </x:c>
      <x:c r="D1048" s="441"/>
      <x:c r="E1048" s="442" t="str">
        <x:f t="shared" si="149"/>
        <x:v/>
      </x:c>
      <x:c r="F1048" s="443"/>
      <x:c r="G1048" s="444"/>
      <x:c r="H1048" s="445" t="str">
        <x:f t="shared" si="146"/>
        <x:v/>
      </x:c>
      <x:c r="I1048" s="446" t="str">
        <x:f t="shared" si="150"/>
        <x:v/>
      </x:c>
      <x:c r="J1048" s="445"/>
      <x:c r="K1048" s="453"/>
      <x:c r="L1048" s="454"/>
      <x:c r="M1048" s="454"/>
      <x:c r="N1048" s="454"/>
      <x:c r="O1048" s="454"/>
      <x:c r="P1048" s="454"/>
      <x:c r="Q1048" s="454"/>
      <x:c r="R1048" s="454"/>
      <x:c r="S1048" s="454"/>
      <x:c r="T1048" s="454"/>
      <x:c r="U1048" s="454"/>
      <x:c r="V1048" s="455"/>
      <x:c r="W1048" s="456"/>
      <x:c r="X1048" s="450"/>
      <x:c r="Y1048" s="457"/>
      <x:c r="Z1048" s="458"/>
      <x:c r="AA1048" s="458"/>
      <x:c r="AB1048" s="458"/>
      <x:c r="AC1048" s="458"/>
      <x:c r="AD1048" s="458"/>
      <x:c r="AE1048" s="458"/>
    </x:row>
    <x:row r="1049" spans="1:31" ht="20.100000000000001" customHeight="1">
      <x:c r="A1049" s="439"/>
      <x:c r="B1049" s="466" t="str">
        <x:f t="shared" si="147"/>
        <x:v/>
      </x:c>
      <x:c r="C1049" s="440" t="str">
        <x:f t="shared" si="148"/>
        <x:v/>
      </x:c>
      <x:c r="D1049" s="441"/>
      <x:c r="E1049" s="442" t="str">
        <x:f t="shared" si="149"/>
        <x:v/>
      </x:c>
      <x:c r="F1049" s="443"/>
      <x:c r="G1049" s="444"/>
      <x:c r="H1049" s="445" t="str">
        <x:f t="shared" si="146"/>
        <x:v/>
      </x:c>
      <x:c r="I1049" s="446" t="str">
        <x:f t="shared" si="150"/>
        <x:v/>
      </x:c>
      <x:c r="J1049" s="445"/>
      <x:c r="K1049" s="453"/>
      <x:c r="L1049" s="454"/>
      <x:c r="M1049" s="454"/>
      <x:c r="N1049" s="454"/>
      <x:c r="O1049" s="454"/>
      <x:c r="P1049" s="454"/>
      <x:c r="Q1049" s="454"/>
      <x:c r="R1049" s="454"/>
      <x:c r="S1049" s="454"/>
      <x:c r="T1049" s="454"/>
      <x:c r="U1049" s="454"/>
      <x:c r="V1049" s="455"/>
      <x:c r="W1049" s="456"/>
      <x:c r="X1049" s="450"/>
      <x:c r="Y1049" s="457"/>
      <x:c r="Z1049" s="458"/>
      <x:c r="AA1049" s="458"/>
      <x:c r="AB1049" s="458"/>
      <x:c r="AC1049" s="458"/>
      <x:c r="AD1049" s="458"/>
      <x:c r="AE1049" s="458"/>
    </x:row>
    <x:row r="1050" spans="1:31" ht="20.100000000000001" customHeight="1">
      <x:c r="A1050" s="439"/>
      <x:c r="B1050" s="466" t="str">
        <x:f t="shared" si="147"/>
        <x:v/>
      </x:c>
      <x:c r="C1050" s="440" t="str">
        <x:f t="shared" si="148"/>
        <x:v/>
      </x:c>
      <x:c r="D1050" s="441"/>
      <x:c r="E1050" s="442" t="str">
        <x:f t="shared" si="149"/>
        <x:v/>
      </x:c>
      <x:c r="F1050" s="443"/>
      <x:c r="G1050" s="444"/>
      <x:c r="H1050" s="445" t="str">
        <x:f t="shared" si="146"/>
        <x:v/>
      </x:c>
      <x:c r="I1050" s="446" t="str">
        <x:f t="shared" si="150"/>
        <x:v/>
      </x:c>
      <x:c r="J1050" s="445"/>
      <x:c r="K1050" s="453"/>
      <x:c r="L1050" s="454"/>
      <x:c r="M1050" s="454"/>
      <x:c r="N1050" s="454"/>
      <x:c r="O1050" s="454"/>
      <x:c r="P1050" s="454"/>
      <x:c r="Q1050" s="454"/>
      <x:c r="R1050" s="454"/>
      <x:c r="S1050" s="454"/>
      <x:c r="T1050" s="454"/>
      <x:c r="U1050" s="454"/>
      <x:c r="V1050" s="455"/>
      <x:c r="W1050" s="456"/>
      <x:c r="X1050" s="450"/>
      <x:c r="Y1050" s="457"/>
      <x:c r="Z1050" s="458"/>
      <x:c r="AA1050" s="458"/>
      <x:c r="AB1050" s="458"/>
      <x:c r="AC1050" s="458"/>
      <x:c r="AD1050" s="458"/>
      <x:c r="AE1050" s="458"/>
    </x:row>
    <x:row r="1051" spans="1:31" ht="20.100000000000001" customHeight="1">
      <x:c r="A1051" s="439"/>
      <x:c r="B1051" s="466" t="str">
        <x:f t="shared" si="147"/>
        <x:v/>
      </x:c>
      <x:c r="C1051" s="440" t="str">
        <x:f t="shared" si="148"/>
        <x:v/>
      </x:c>
      <x:c r="D1051" s="441"/>
      <x:c r="E1051" s="442" t="str">
        <x:f t="shared" si="149"/>
        <x:v/>
      </x:c>
      <x:c r="F1051" s="443"/>
      <x:c r="G1051" s="444"/>
      <x:c r="H1051" s="445" t="str">
        <x:f t="shared" si="146"/>
        <x:v/>
      </x:c>
      <x:c r="I1051" s="446" t="str">
        <x:f t="shared" si="150"/>
        <x:v/>
      </x:c>
      <x:c r="J1051" s="445"/>
      <x:c r="K1051" s="453"/>
      <x:c r="L1051" s="454"/>
      <x:c r="M1051" s="454"/>
      <x:c r="N1051" s="454"/>
      <x:c r="O1051" s="454"/>
      <x:c r="P1051" s="454"/>
      <x:c r="Q1051" s="454"/>
      <x:c r="R1051" s="454"/>
      <x:c r="S1051" s="454"/>
      <x:c r="T1051" s="454"/>
      <x:c r="U1051" s="454"/>
      <x:c r="V1051" s="455"/>
      <x:c r="W1051" s="456"/>
      <x:c r="X1051" s="450"/>
      <x:c r="Y1051" s="457"/>
      <x:c r="Z1051" s="458"/>
      <x:c r="AA1051" s="458"/>
      <x:c r="AB1051" s="458"/>
      <x:c r="AC1051" s="458"/>
      <x:c r="AD1051" s="458"/>
      <x:c r="AE1051" s="458"/>
    </x:row>
    <x:row r="1052" spans="1:31" ht="20.100000000000001" customHeight="1">
      <x:c r="A1052" s="439"/>
      <x:c r="B1052" s="466" t="str">
        <x:f t="shared" si="147"/>
        <x:v/>
      </x:c>
      <x:c r="C1052" s="440" t="str">
        <x:f t="shared" si="148"/>
        <x:v/>
      </x:c>
      <x:c r="D1052" s="441"/>
      <x:c r="E1052" s="442" t="str">
        <x:f t="shared" si="149"/>
        <x:v/>
      </x:c>
      <x:c r="F1052" s="443"/>
      <x:c r="G1052" s="444"/>
      <x:c r="H1052" s="445" t="str">
        <x:f t="shared" si="146"/>
        <x:v/>
      </x:c>
      <x:c r="I1052" s="446" t="str">
        <x:f t="shared" si="150"/>
        <x:v/>
      </x:c>
      <x:c r="J1052" s="445"/>
      <x:c r="K1052" s="453"/>
      <x:c r="L1052" s="454"/>
      <x:c r="M1052" s="454"/>
      <x:c r="N1052" s="454"/>
      <x:c r="O1052" s="454"/>
      <x:c r="P1052" s="454"/>
      <x:c r="Q1052" s="454"/>
      <x:c r="R1052" s="454"/>
      <x:c r="S1052" s="454"/>
      <x:c r="T1052" s="454"/>
      <x:c r="U1052" s="454"/>
      <x:c r="V1052" s="455"/>
      <x:c r="W1052" s="456"/>
      <x:c r="X1052" s="450"/>
      <x:c r="Y1052" s="457"/>
      <x:c r="Z1052" s="458"/>
      <x:c r="AA1052" s="458"/>
      <x:c r="AB1052" s="458"/>
      <x:c r="AC1052" s="458"/>
      <x:c r="AD1052" s="458"/>
      <x:c r="AE1052" s="458"/>
    </x:row>
    <x:row r="1053" spans="1:31" ht="20.100000000000001" customHeight="1">
      <x:c r="A1053" s="439"/>
      <x:c r="B1053" s="466" t="str">
        <x:f t="shared" si="147"/>
        <x:v/>
      </x:c>
      <x:c r="C1053" s="440" t="str">
        <x:f t="shared" si="148"/>
        <x:v/>
      </x:c>
      <x:c r="D1053" s="441"/>
      <x:c r="E1053" s="442" t="str">
        <x:f t="shared" si="149"/>
        <x:v/>
      </x:c>
      <x:c r="F1053" s="443"/>
      <x:c r="G1053" s="444"/>
      <x:c r="H1053" s="445" t="str">
        <x:f t="shared" si="146"/>
        <x:v/>
      </x:c>
      <x:c r="I1053" s="446" t="str">
        <x:f t="shared" si="150"/>
        <x:v/>
      </x:c>
      <x:c r="J1053" s="445"/>
      <x:c r="K1053" s="453"/>
      <x:c r="L1053" s="454"/>
      <x:c r="M1053" s="454"/>
      <x:c r="N1053" s="454"/>
      <x:c r="O1053" s="454"/>
      <x:c r="P1053" s="454"/>
      <x:c r="Q1053" s="454"/>
      <x:c r="R1053" s="454"/>
      <x:c r="S1053" s="454"/>
      <x:c r="T1053" s="454"/>
      <x:c r="U1053" s="454"/>
      <x:c r="V1053" s="455"/>
      <x:c r="W1053" s="456"/>
      <x:c r="X1053" s="450"/>
      <x:c r="Y1053" s="457"/>
      <x:c r="Z1053" s="458"/>
      <x:c r="AA1053" s="458"/>
      <x:c r="AB1053" s="458"/>
      <x:c r="AC1053" s="458"/>
      <x:c r="AD1053" s="458"/>
      <x:c r="AE1053" s="458"/>
    </x:row>
    <x:row r="1054" spans="1:31" ht="20.100000000000001" customHeight="1">
      <x:c r="A1054" s="439"/>
      <x:c r="B1054" s="466" t="str">
        <x:f t="shared" si="147"/>
        <x:v/>
      </x:c>
      <x:c r="C1054" s="440" t="str">
        <x:f t="shared" si="148"/>
        <x:v/>
      </x:c>
      <x:c r="D1054" s="441"/>
      <x:c r="E1054" s="442" t="str">
        <x:f t="shared" si="149"/>
        <x:v/>
      </x:c>
      <x:c r="F1054" s="443"/>
      <x:c r="G1054" s="444"/>
      <x:c r="H1054" s="445" t="str">
        <x:f t="shared" si="146"/>
        <x:v/>
      </x:c>
      <x:c r="I1054" s="446" t="str">
        <x:f t="shared" si="150"/>
        <x:v/>
      </x:c>
      <x:c r="J1054" s="445"/>
      <x:c r="K1054" s="453"/>
      <x:c r="L1054" s="454"/>
      <x:c r="M1054" s="454"/>
      <x:c r="N1054" s="454"/>
      <x:c r="O1054" s="454"/>
      <x:c r="P1054" s="454"/>
      <x:c r="Q1054" s="454"/>
      <x:c r="R1054" s="454"/>
      <x:c r="S1054" s="454"/>
      <x:c r="T1054" s="454"/>
      <x:c r="U1054" s="454"/>
      <x:c r="V1054" s="455"/>
      <x:c r="W1054" s="456"/>
      <x:c r="X1054" s="450"/>
      <x:c r="Y1054" s="457"/>
      <x:c r="Z1054" s="458"/>
      <x:c r="AA1054" s="458"/>
      <x:c r="AB1054" s="458"/>
      <x:c r="AC1054" s="458"/>
      <x:c r="AD1054" s="458"/>
      <x:c r="AE1054" s="458"/>
    </x:row>
    <x:row r="1055" spans="1:31" ht="20.100000000000001" customHeight="1">
      <x:c r="A1055" s="439"/>
      <x:c r="B1055" s="466" t="str">
        <x:f t="shared" si="147"/>
        <x:v/>
      </x:c>
      <x:c r="C1055" s="440" t="str">
        <x:f t="shared" si="148"/>
        <x:v/>
      </x:c>
      <x:c r="D1055" s="441"/>
      <x:c r="E1055" s="442" t="str">
        <x:f t="shared" si="149"/>
        <x:v/>
      </x:c>
      <x:c r="F1055" s="443"/>
      <x:c r="G1055" s="444"/>
      <x:c r="H1055" s="445" t="str">
        <x:f t="shared" si="146"/>
        <x:v/>
      </x:c>
      <x:c r="I1055" s="446" t="str">
        <x:f t="shared" si="150"/>
        <x:v/>
      </x:c>
      <x:c r="J1055" s="445"/>
      <x:c r="K1055" s="453"/>
      <x:c r="L1055" s="454"/>
      <x:c r="M1055" s="454"/>
      <x:c r="N1055" s="454"/>
      <x:c r="O1055" s="454"/>
      <x:c r="P1055" s="454"/>
      <x:c r="Q1055" s="454"/>
      <x:c r="R1055" s="454"/>
      <x:c r="S1055" s="454"/>
      <x:c r="T1055" s="454"/>
      <x:c r="U1055" s="454"/>
      <x:c r="V1055" s="455"/>
      <x:c r="W1055" s="456"/>
      <x:c r="X1055" s="450"/>
      <x:c r="Y1055" s="457"/>
      <x:c r="Z1055" s="458"/>
      <x:c r="AA1055" s="458"/>
      <x:c r="AB1055" s="458"/>
      <x:c r="AC1055" s="458"/>
      <x:c r="AD1055" s="458"/>
      <x:c r="AE1055" s="458"/>
    </x:row>
    <x:row r="1056" spans="1:31" ht="20.100000000000001" customHeight="1">
      <x:c r="A1056" s="439"/>
      <x:c r="B1056" s="466" t="str">
        <x:f t="shared" si="147"/>
        <x:v/>
      </x:c>
      <x:c r="C1056" s="440" t="str">
        <x:f t="shared" si="148"/>
        <x:v/>
      </x:c>
      <x:c r="D1056" s="441"/>
      <x:c r="E1056" s="442" t="str">
        <x:f t="shared" si="149"/>
        <x:v/>
      </x:c>
      <x:c r="F1056" s="443"/>
      <x:c r="G1056" s="444"/>
      <x:c r="H1056" s="445" t="str">
        <x:f t="shared" si="146"/>
        <x:v/>
      </x:c>
      <x:c r="I1056" s="446" t="str">
        <x:f t="shared" si="150"/>
        <x:v/>
      </x:c>
      <x:c r="J1056" s="445"/>
      <x:c r="K1056" s="453"/>
      <x:c r="L1056" s="454"/>
      <x:c r="M1056" s="454"/>
      <x:c r="N1056" s="454"/>
      <x:c r="O1056" s="454"/>
      <x:c r="P1056" s="454"/>
      <x:c r="Q1056" s="454"/>
      <x:c r="R1056" s="454"/>
      <x:c r="S1056" s="454"/>
      <x:c r="T1056" s="454"/>
      <x:c r="U1056" s="454"/>
      <x:c r="V1056" s="455"/>
      <x:c r="W1056" s="456"/>
      <x:c r="X1056" s="450"/>
      <x:c r="Y1056" s="457"/>
      <x:c r="Z1056" s="458"/>
      <x:c r="AA1056" s="458"/>
      <x:c r="AB1056" s="458"/>
      <x:c r="AC1056" s="458"/>
      <x:c r="AD1056" s="458"/>
      <x:c r="AE1056" s="458"/>
    </x:row>
    <x:row r="1057" spans="1:31" ht="20.100000000000001" customHeight="1">
      <x:c r="A1057" s="439"/>
      <x:c r="B1057" s="466" t="str">
        <x:f t="shared" si="147"/>
        <x:v/>
      </x:c>
      <x:c r="C1057" s="440" t="str">
        <x:f t="shared" si="148"/>
        <x:v/>
      </x:c>
      <x:c r="D1057" s="441"/>
      <x:c r="E1057" s="442" t="str">
        <x:f t="shared" si="149"/>
        <x:v/>
      </x:c>
      <x:c r="F1057" s="443"/>
      <x:c r="G1057" s="444"/>
      <x:c r="H1057" s="445" t="str">
        <x:f t="shared" si="146"/>
        <x:v/>
      </x:c>
      <x:c r="I1057" s="446" t="str">
        <x:f t="shared" si="150"/>
        <x:v/>
      </x:c>
      <x:c r="J1057" s="445"/>
      <x:c r="K1057" s="453"/>
      <x:c r="L1057" s="454"/>
      <x:c r="M1057" s="454"/>
      <x:c r="N1057" s="454"/>
      <x:c r="O1057" s="454"/>
      <x:c r="P1057" s="454"/>
      <x:c r="Q1057" s="454"/>
      <x:c r="R1057" s="454"/>
      <x:c r="S1057" s="454"/>
      <x:c r="T1057" s="454"/>
      <x:c r="U1057" s="454"/>
      <x:c r="V1057" s="455"/>
      <x:c r="W1057" s="456"/>
      <x:c r="X1057" s="450"/>
      <x:c r="Y1057" s="457"/>
      <x:c r="Z1057" s="458"/>
      <x:c r="AA1057" s="458"/>
      <x:c r="AB1057" s="458"/>
      <x:c r="AC1057" s="458"/>
      <x:c r="AD1057" s="458"/>
      <x:c r="AE1057" s="458"/>
    </x:row>
    <x:row r="1058" spans="1:31" ht="20.100000000000001" customHeight="1">
      <x:c r="A1058" s="439"/>
      <x:c r="B1058" s="466" t="str">
        <x:f t="shared" si="147"/>
        <x:v/>
      </x:c>
      <x:c r="C1058" s="440" t="str">
        <x:f t="shared" si="148"/>
        <x:v/>
      </x:c>
      <x:c r="D1058" s="441"/>
      <x:c r="E1058" s="442" t="str">
        <x:f t="shared" si="149"/>
        <x:v/>
      </x:c>
      <x:c r="F1058" s="443"/>
      <x:c r="G1058" s="444"/>
      <x:c r="H1058" s="445" t="str">
        <x:f t="shared" si="146"/>
        <x:v/>
      </x:c>
      <x:c r="I1058" s="446" t="str">
        <x:f t="shared" si="150"/>
        <x:v/>
      </x:c>
      <x:c r="J1058" s="445"/>
      <x:c r="K1058" s="453"/>
      <x:c r="L1058" s="454"/>
      <x:c r="M1058" s="454"/>
      <x:c r="N1058" s="454"/>
      <x:c r="O1058" s="454"/>
      <x:c r="P1058" s="454"/>
      <x:c r="Q1058" s="454"/>
      <x:c r="R1058" s="454"/>
      <x:c r="S1058" s="454"/>
      <x:c r="T1058" s="454"/>
      <x:c r="U1058" s="454"/>
      <x:c r="V1058" s="455"/>
      <x:c r="W1058" s="456"/>
      <x:c r="X1058" s="450"/>
      <x:c r="Y1058" s="457"/>
      <x:c r="Z1058" s="458"/>
      <x:c r="AA1058" s="458"/>
      <x:c r="AB1058" s="458"/>
      <x:c r="AC1058" s="458"/>
      <x:c r="AD1058" s="458"/>
      <x:c r="AE1058" s="458"/>
    </x:row>
    <x:row r="1059" spans="1:31" ht="20.100000000000001" customHeight="1">
      <x:c r="A1059" s="439"/>
      <x:c r="B1059" s="466" t="str">
        <x:f t="shared" si="147"/>
        <x:v/>
      </x:c>
      <x:c r="C1059" s="440" t="str">
        <x:f t="shared" si="148"/>
        <x:v/>
      </x:c>
      <x:c r="D1059" s="441"/>
      <x:c r="E1059" s="442" t="str">
        <x:f t="shared" si="149"/>
        <x:v/>
      </x:c>
      <x:c r="F1059" s="443"/>
      <x:c r="G1059" s="444"/>
      <x:c r="H1059" s="445" t="str">
        <x:f t="shared" si="146"/>
        <x:v/>
      </x:c>
      <x:c r="I1059" s="446" t="str">
        <x:f t="shared" si="150"/>
        <x:v/>
      </x:c>
      <x:c r="J1059" s="445"/>
      <x:c r="K1059" s="453"/>
      <x:c r="L1059" s="454"/>
      <x:c r="M1059" s="454"/>
      <x:c r="N1059" s="454"/>
      <x:c r="O1059" s="454"/>
      <x:c r="P1059" s="454"/>
      <x:c r="Q1059" s="454"/>
      <x:c r="R1059" s="454"/>
      <x:c r="S1059" s="454"/>
      <x:c r="T1059" s="454"/>
      <x:c r="U1059" s="454"/>
      <x:c r="V1059" s="455"/>
      <x:c r="W1059" s="456"/>
      <x:c r="X1059" s="450"/>
      <x:c r="Y1059" s="457"/>
      <x:c r="Z1059" s="458"/>
      <x:c r="AA1059" s="458"/>
      <x:c r="AB1059" s="458"/>
      <x:c r="AC1059" s="458"/>
      <x:c r="AD1059" s="458"/>
      <x:c r="AE1059" s="458"/>
    </x:row>
    <x:row r="1060" spans="1:31" ht="20.100000000000001" customHeight="1">
      <x:c r="A1060" s="439"/>
      <x:c r="B1060" s="466" t="str">
        <x:f t="shared" si="147"/>
        <x:v/>
      </x:c>
      <x:c r="C1060" s="440" t="str">
        <x:f t="shared" si="148"/>
        <x:v/>
      </x:c>
      <x:c r="D1060" s="441"/>
      <x:c r="E1060" s="442" t="str">
        <x:f t="shared" si="149"/>
        <x:v/>
      </x:c>
      <x:c r="F1060" s="443"/>
      <x:c r="G1060" s="444"/>
      <x:c r="H1060" s="445" t="str">
        <x:f t="shared" si="146"/>
        <x:v/>
      </x:c>
      <x:c r="I1060" s="446" t="str">
        <x:f t="shared" si="150"/>
        <x:v/>
      </x:c>
      <x:c r="J1060" s="445"/>
      <x:c r="K1060" s="453"/>
      <x:c r="L1060" s="454"/>
      <x:c r="M1060" s="454"/>
      <x:c r="N1060" s="454"/>
      <x:c r="O1060" s="454"/>
      <x:c r="P1060" s="454"/>
      <x:c r="Q1060" s="454"/>
      <x:c r="R1060" s="454"/>
      <x:c r="S1060" s="454"/>
      <x:c r="T1060" s="454"/>
      <x:c r="U1060" s="454"/>
      <x:c r="V1060" s="455"/>
      <x:c r="W1060" s="456"/>
      <x:c r="X1060" s="450"/>
      <x:c r="Y1060" s="457"/>
      <x:c r="Z1060" s="458"/>
      <x:c r="AA1060" s="458"/>
      <x:c r="AB1060" s="458"/>
      <x:c r="AC1060" s="458"/>
      <x:c r="AD1060" s="458"/>
      <x:c r="AE1060" s="458"/>
    </x:row>
    <x:row r="1061" spans="1:31" ht="20.100000000000001" customHeight="1">
      <x:c r="A1061" s="439"/>
      <x:c r="B1061" s="466" t="str">
        <x:f t="shared" si="147"/>
        <x:v/>
      </x:c>
      <x:c r="C1061" s="440" t="str">
        <x:f t="shared" si="148"/>
        <x:v/>
      </x:c>
      <x:c r="D1061" s="441"/>
      <x:c r="E1061" s="442" t="str">
        <x:f t="shared" si="149"/>
        <x:v/>
      </x:c>
      <x:c r="F1061" s="443"/>
      <x:c r="G1061" s="444"/>
      <x:c r="H1061" s="445" t="str">
        <x:f t="shared" si="146"/>
        <x:v/>
      </x:c>
      <x:c r="I1061" s="446" t="str">
        <x:f t="shared" si="150"/>
        <x:v/>
      </x:c>
      <x:c r="J1061" s="445"/>
      <x:c r="K1061" s="453"/>
      <x:c r="L1061" s="454"/>
      <x:c r="M1061" s="454"/>
      <x:c r="N1061" s="454"/>
      <x:c r="O1061" s="454"/>
      <x:c r="P1061" s="454"/>
      <x:c r="Q1061" s="454"/>
      <x:c r="R1061" s="454"/>
      <x:c r="S1061" s="454"/>
      <x:c r="T1061" s="454"/>
      <x:c r="U1061" s="454"/>
      <x:c r="V1061" s="455"/>
      <x:c r="W1061" s="456"/>
      <x:c r="X1061" s="450"/>
      <x:c r="Y1061" s="457"/>
      <x:c r="Z1061" s="458"/>
      <x:c r="AA1061" s="458"/>
      <x:c r="AB1061" s="458"/>
      <x:c r="AC1061" s="458"/>
      <x:c r="AD1061" s="458"/>
      <x:c r="AE1061" s="458"/>
    </x:row>
    <x:row r="1062" spans="1:31" ht="20.100000000000001" customHeight="1">
      <x:c r="A1062" s="439"/>
      <x:c r="B1062" s="466" t="str">
        <x:f t="shared" si="147"/>
        <x:v/>
      </x:c>
      <x:c r="C1062" s="440" t="str">
        <x:f t="shared" si="148"/>
        <x:v/>
      </x:c>
      <x:c r="D1062" s="441"/>
      <x:c r="E1062" s="442" t="str">
        <x:f t="shared" si="149"/>
        <x:v/>
      </x:c>
      <x:c r="F1062" s="443"/>
      <x:c r="G1062" s="444"/>
      <x:c r="H1062" s="445" t="str">
        <x:f t="shared" si="146"/>
        <x:v/>
      </x:c>
      <x:c r="I1062" s="446" t="str">
        <x:f t="shared" si="150"/>
        <x:v/>
      </x:c>
      <x:c r="J1062" s="445"/>
      <x:c r="K1062" s="453"/>
      <x:c r="L1062" s="454"/>
      <x:c r="M1062" s="454"/>
      <x:c r="N1062" s="454"/>
      <x:c r="O1062" s="454"/>
      <x:c r="P1062" s="454"/>
      <x:c r="Q1062" s="454"/>
      <x:c r="R1062" s="454"/>
      <x:c r="S1062" s="454"/>
      <x:c r="T1062" s="454"/>
      <x:c r="U1062" s="454"/>
      <x:c r="V1062" s="455"/>
      <x:c r="W1062" s="456"/>
      <x:c r="X1062" s="450"/>
      <x:c r="Y1062" s="457"/>
      <x:c r="Z1062" s="458"/>
      <x:c r="AA1062" s="458"/>
      <x:c r="AB1062" s="458"/>
      <x:c r="AC1062" s="458"/>
      <x:c r="AD1062" s="458"/>
      <x:c r="AE1062" s="458"/>
    </x:row>
    <x:row r="1063" spans="1:31" ht="20.100000000000001" customHeight="1">
      <x:c r="A1063" s="439"/>
      <x:c r="B1063" s="466" t="str">
        <x:f t="shared" si="147"/>
        <x:v/>
      </x:c>
      <x:c r="C1063" s="440" t="str">
        <x:f t="shared" si="148"/>
        <x:v/>
      </x:c>
      <x:c r="D1063" s="441"/>
      <x:c r="E1063" s="442" t="str">
        <x:f t="shared" si="149"/>
        <x:v/>
      </x:c>
      <x:c r="F1063" s="443"/>
      <x:c r="G1063" s="444"/>
      <x:c r="H1063" s="445" t="str">
        <x:f t="shared" si="146"/>
        <x:v/>
      </x:c>
      <x:c r="I1063" s="446" t="str">
        <x:f t="shared" si="150"/>
        <x:v/>
      </x:c>
      <x:c r="J1063" s="445"/>
      <x:c r="K1063" s="453"/>
      <x:c r="L1063" s="454"/>
      <x:c r="M1063" s="454"/>
      <x:c r="N1063" s="454"/>
      <x:c r="O1063" s="454"/>
      <x:c r="P1063" s="454"/>
      <x:c r="Q1063" s="454"/>
      <x:c r="R1063" s="454"/>
      <x:c r="S1063" s="454"/>
      <x:c r="T1063" s="454"/>
      <x:c r="U1063" s="454"/>
      <x:c r="V1063" s="455"/>
      <x:c r="W1063" s="456"/>
      <x:c r="X1063" s="450"/>
      <x:c r="Y1063" s="457"/>
      <x:c r="Z1063" s="458"/>
      <x:c r="AA1063" s="458"/>
      <x:c r="AB1063" s="458"/>
      <x:c r="AC1063" s="458"/>
      <x:c r="AD1063" s="458"/>
      <x:c r="AE1063" s="458"/>
    </x:row>
    <x:row r="1064" spans="1:31" ht="20.100000000000001" customHeight="1">
      <x:c r="A1064" s="439"/>
      <x:c r="B1064" s="466" t="str">
        <x:f t="shared" si="147"/>
        <x:v/>
      </x:c>
      <x:c r="C1064" s="440" t="str">
        <x:f t="shared" si="148"/>
        <x:v/>
      </x:c>
      <x:c r="D1064" s="441"/>
      <x:c r="E1064" s="442" t="str">
        <x:f t="shared" si="149"/>
        <x:v/>
      </x:c>
      <x:c r="F1064" s="443"/>
      <x:c r="G1064" s="444"/>
      <x:c r="H1064" s="445" t="str">
        <x:f t="shared" si="146"/>
        <x:v/>
      </x:c>
      <x:c r="I1064" s="446" t="str">
        <x:f t="shared" si="150"/>
        <x:v/>
      </x:c>
      <x:c r="J1064" s="445"/>
      <x:c r="K1064" s="453"/>
      <x:c r="L1064" s="454"/>
      <x:c r="M1064" s="454"/>
      <x:c r="N1064" s="454"/>
      <x:c r="O1064" s="454"/>
      <x:c r="P1064" s="454"/>
      <x:c r="Q1064" s="454"/>
      <x:c r="R1064" s="454"/>
      <x:c r="S1064" s="454"/>
      <x:c r="T1064" s="454"/>
      <x:c r="U1064" s="454"/>
      <x:c r="V1064" s="455"/>
      <x:c r="W1064" s="456"/>
      <x:c r="X1064" s="450"/>
      <x:c r="Y1064" s="457"/>
      <x:c r="Z1064" s="458"/>
      <x:c r="AA1064" s="458"/>
      <x:c r="AB1064" s="458"/>
      <x:c r="AC1064" s="458"/>
      <x:c r="AD1064" s="458"/>
      <x:c r="AE1064" s="458"/>
    </x:row>
    <x:row r="1065" spans="1:31" ht="20.100000000000001" customHeight="1">
      <x:c r="A1065" s="439"/>
      <x:c r="B1065" s="466" t="str">
        <x:f t="shared" si="147"/>
        <x:v/>
      </x:c>
      <x:c r="C1065" s="440" t="str">
        <x:f t="shared" si="148"/>
        <x:v/>
      </x:c>
      <x:c r="D1065" s="441"/>
      <x:c r="E1065" s="442" t="str">
        <x:f t="shared" si="149"/>
        <x:v/>
      </x:c>
      <x:c r="F1065" s="443"/>
      <x:c r="G1065" s="444"/>
      <x:c r="H1065" s="445" t="str">
        <x:f t="shared" si="146"/>
        <x:v/>
      </x:c>
      <x:c r="I1065" s="446" t="str">
        <x:f t="shared" si="150"/>
        <x:v/>
      </x:c>
      <x:c r="J1065" s="445"/>
      <x:c r="K1065" s="453"/>
      <x:c r="L1065" s="454"/>
      <x:c r="M1065" s="454"/>
      <x:c r="N1065" s="454"/>
      <x:c r="O1065" s="454"/>
      <x:c r="P1065" s="454"/>
      <x:c r="Q1065" s="454"/>
      <x:c r="R1065" s="454"/>
      <x:c r="S1065" s="454"/>
      <x:c r="T1065" s="454"/>
      <x:c r="U1065" s="454"/>
      <x:c r="V1065" s="455"/>
      <x:c r="W1065" s="456"/>
      <x:c r="X1065" s="450"/>
      <x:c r="Y1065" s="457"/>
      <x:c r="Z1065" s="458"/>
      <x:c r="AA1065" s="458"/>
      <x:c r="AB1065" s="458"/>
      <x:c r="AC1065" s="458"/>
      <x:c r="AD1065" s="458"/>
      <x:c r="AE1065" s="458"/>
    </x:row>
    <x:row r="1066" spans="1:31" ht="20.100000000000001" customHeight="1">
      <x:c r="A1066" s="439"/>
      <x:c r="B1066" s="466" t="str">
        <x:f t="shared" si="147"/>
        <x:v/>
      </x:c>
      <x:c r="C1066" s="440" t="str">
        <x:f t="shared" si="148"/>
        <x:v/>
      </x:c>
      <x:c r="D1066" s="441"/>
      <x:c r="E1066" s="442" t="str">
        <x:f t="shared" si="149"/>
        <x:v/>
      </x:c>
      <x:c r="F1066" s="443"/>
      <x:c r="G1066" s="444"/>
      <x:c r="H1066" s="445" t="str">
        <x:f t="shared" si="146"/>
        <x:v/>
      </x:c>
      <x:c r="I1066" s="446" t="str">
        <x:f t="shared" si="150"/>
        <x:v/>
      </x:c>
      <x:c r="J1066" s="445"/>
      <x:c r="K1066" s="453"/>
      <x:c r="L1066" s="454"/>
      <x:c r="M1066" s="454"/>
      <x:c r="N1066" s="454"/>
      <x:c r="O1066" s="454"/>
      <x:c r="P1066" s="454"/>
      <x:c r="Q1066" s="454"/>
      <x:c r="R1066" s="454"/>
      <x:c r="S1066" s="454"/>
      <x:c r="T1066" s="454"/>
      <x:c r="U1066" s="454"/>
      <x:c r="V1066" s="455"/>
      <x:c r="W1066" s="456"/>
      <x:c r="X1066" s="450"/>
      <x:c r="Y1066" s="457"/>
      <x:c r="Z1066" s="458"/>
      <x:c r="AA1066" s="458"/>
      <x:c r="AB1066" s="458"/>
      <x:c r="AC1066" s="458"/>
      <x:c r="AD1066" s="458"/>
      <x:c r="AE1066" s="458"/>
    </x:row>
    <x:row r="1067" spans="1:31" ht="20.100000000000001" customHeight="1">
      <x:c r="A1067" s="439"/>
      <x:c r="B1067" s="466" t="str">
        <x:f t="shared" si="147"/>
        <x:v/>
      </x:c>
      <x:c r="C1067" s="440" t="str">
        <x:f t="shared" si="148"/>
        <x:v/>
      </x:c>
      <x:c r="D1067" s="441"/>
      <x:c r="E1067" s="442" t="str">
        <x:f t="shared" si="149"/>
        <x:v/>
      </x:c>
      <x:c r="F1067" s="443"/>
      <x:c r="G1067" s="444"/>
      <x:c r="H1067" s="445" t="str">
        <x:f t="shared" si="146"/>
        <x:v/>
      </x:c>
      <x:c r="I1067" s="446" t="str">
        <x:f t="shared" si="150"/>
        <x:v/>
      </x:c>
      <x:c r="J1067" s="445"/>
      <x:c r="K1067" s="453"/>
      <x:c r="L1067" s="454"/>
      <x:c r="M1067" s="454"/>
      <x:c r="N1067" s="454"/>
      <x:c r="O1067" s="454"/>
      <x:c r="P1067" s="454"/>
      <x:c r="Q1067" s="454"/>
      <x:c r="R1067" s="454"/>
      <x:c r="S1067" s="454"/>
      <x:c r="T1067" s="454"/>
      <x:c r="U1067" s="454"/>
      <x:c r="V1067" s="455"/>
      <x:c r="W1067" s="456"/>
      <x:c r="X1067" s="450"/>
      <x:c r="Y1067" s="457"/>
      <x:c r="Z1067" s="458"/>
      <x:c r="AA1067" s="458"/>
      <x:c r="AB1067" s="458"/>
      <x:c r="AC1067" s="458"/>
      <x:c r="AD1067" s="458"/>
      <x:c r="AE1067" s="458"/>
    </x:row>
    <x:row r="1068" spans="1:31" ht="20.100000000000001" customHeight="1">
      <x:c r="A1068" s="439"/>
      <x:c r="B1068" s="466" t="str">
        <x:f t="shared" si="147"/>
        <x:v/>
      </x:c>
      <x:c r="C1068" s="440" t="str">
        <x:f t="shared" si="148"/>
        <x:v/>
      </x:c>
      <x:c r="D1068" s="441"/>
      <x:c r="E1068" s="442" t="str">
        <x:f t="shared" si="149"/>
        <x:v/>
      </x:c>
      <x:c r="F1068" s="443"/>
      <x:c r="G1068" s="444"/>
      <x:c r="H1068" s="445" t="str">
        <x:f t="shared" si="146"/>
        <x:v/>
      </x:c>
      <x:c r="I1068" s="446" t="str">
        <x:f t="shared" si="150"/>
        <x:v/>
      </x:c>
      <x:c r="J1068" s="445"/>
      <x:c r="K1068" s="453"/>
      <x:c r="L1068" s="454"/>
      <x:c r="M1068" s="454"/>
      <x:c r="N1068" s="454"/>
      <x:c r="O1068" s="454"/>
      <x:c r="P1068" s="454"/>
      <x:c r="Q1068" s="454"/>
      <x:c r="R1068" s="454"/>
      <x:c r="S1068" s="454"/>
      <x:c r="T1068" s="454"/>
      <x:c r="U1068" s="454"/>
      <x:c r="V1068" s="455"/>
      <x:c r="W1068" s="456"/>
      <x:c r="X1068" s="450"/>
      <x:c r="Y1068" s="457"/>
      <x:c r="Z1068" s="458"/>
      <x:c r="AA1068" s="458"/>
      <x:c r="AB1068" s="458"/>
      <x:c r="AC1068" s="458"/>
      <x:c r="AD1068" s="458"/>
      <x:c r="AE1068" s="458"/>
    </x:row>
    <x:row r="1069" spans="1:31" ht="20.100000000000001" customHeight="1">
      <x:c r="A1069" s="439"/>
      <x:c r="B1069" s="466" t="str">
        <x:f t="shared" si="147"/>
        <x:v/>
      </x:c>
      <x:c r="C1069" s="440" t="str">
        <x:f t="shared" si="148"/>
        <x:v/>
      </x:c>
      <x:c r="D1069" s="441"/>
      <x:c r="E1069" s="442" t="str">
        <x:f t="shared" si="149"/>
        <x:v/>
      </x:c>
      <x:c r="F1069" s="443"/>
      <x:c r="G1069" s="444"/>
      <x:c r="H1069" s="445" t="str">
        <x:f t="shared" si="146"/>
        <x:v/>
      </x:c>
      <x:c r="I1069" s="446" t="str">
        <x:f t="shared" si="150"/>
        <x:v/>
      </x:c>
      <x:c r="J1069" s="445"/>
      <x:c r="K1069" s="453"/>
      <x:c r="L1069" s="454"/>
      <x:c r="M1069" s="454"/>
      <x:c r="N1069" s="454"/>
      <x:c r="O1069" s="454"/>
      <x:c r="P1069" s="454"/>
      <x:c r="Q1069" s="454"/>
      <x:c r="R1069" s="454"/>
      <x:c r="S1069" s="454"/>
      <x:c r="T1069" s="454"/>
      <x:c r="U1069" s="454"/>
      <x:c r="V1069" s="455"/>
      <x:c r="W1069" s="456"/>
      <x:c r="X1069" s="450"/>
      <x:c r="Y1069" s="457"/>
      <x:c r="Z1069" s="458"/>
      <x:c r="AA1069" s="458"/>
      <x:c r="AB1069" s="458"/>
      <x:c r="AC1069" s="458"/>
      <x:c r="AD1069" s="458"/>
      <x:c r="AE1069" s="458"/>
    </x:row>
    <x:row r="1070" spans="1:31" ht="20.100000000000001" customHeight="1">
      <x:c r="A1070" s="439"/>
      <x:c r="B1070" s="466" t="str">
        <x:f t="shared" si="147"/>
        <x:v/>
      </x:c>
      <x:c r="C1070" s="440" t="str">
        <x:f t="shared" si="148"/>
        <x:v/>
      </x:c>
      <x:c r="D1070" s="441"/>
      <x:c r="E1070" s="442" t="str">
        <x:f t="shared" si="149"/>
        <x:v/>
      </x:c>
      <x:c r="F1070" s="443"/>
      <x:c r="G1070" s="444"/>
      <x:c r="H1070" s="445" t="str">
        <x:f t="shared" si="146"/>
        <x:v/>
      </x:c>
      <x:c r="I1070" s="446" t="str">
        <x:f t="shared" si="150"/>
        <x:v/>
      </x:c>
      <x:c r="J1070" s="445"/>
      <x:c r="K1070" s="453"/>
      <x:c r="L1070" s="454"/>
      <x:c r="M1070" s="454"/>
      <x:c r="N1070" s="454"/>
      <x:c r="O1070" s="454"/>
      <x:c r="P1070" s="454"/>
      <x:c r="Q1070" s="454"/>
      <x:c r="R1070" s="454"/>
      <x:c r="S1070" s="454"/>
      <x:c r="T1070" s="454"/>
      <x:c r="U1070" s="454"/>
      <x:c r="V1070" s="455"/>
      <x:c r="W1070" s="456"/>
      <x:c r="X1070" s="450"/>
      <x:c r="Y1070" s="457"/>
      <x:c r="Z1070" s="458"/>
      <x:c r="AA1070" s="458"/>
      <x:c r="AB1070" s="458"/>
      <x:c r="AC1070" s="458"/>
      <x:c r="AD1070" s="458"/>
      <x:c r="AE1070" s="458"/>
    </x:row>
    <x:row r="1071" spans="1:31" ht="20.100000000000001" customHeight="1">
      <x:c r="A1071" s="439"/>
      <x:c r="B1071" s="466" t="str">
        <x:f t="shared" si="147"/>
        <x:v/>
      </x:c>
      <x:c r="C1071" s="440" t="str">
        <x:f t="shared" si="148"/>
        <x:v/>
      </x:c>
      <x:c r="D1071" s="441"/>
      <x:c r="E1071" s="442" t="str">
        <x:f t="shared" si="149"/>
        <x:v/>
      </x:c>
      <x:c r="F1071" s="443"/>
      <x:c r="G1071" s="444"/>
      <x:c r="H1071" s="445" t="str">
        <x:f t="shared" si="146"/>
        <x:v/>
      </x:c>
      <x:c r="I1071" s="446" t="str">
        <x:f t="shared" si="150"/>
        <x:v/>
      </x:c>
      <x:c r="J1071" s="445"/>
      <x:c r="K1071" s="453"/>
      <x:c r="L1071" s="454"/>
      <x:c r="M1071" s="454"/>
      <x:c r="N1071" s="454"/>
      <x:c r="O1071" s="454"/>
      <x:c r="P1071" s="454"/>
      <x:c r="Q1071" s="454"/>
      <x:c r="R1071" s="454"/>
      <x:c r="S1071" s="454"/>
      <x:c r="T1071" s="454"/>
      <x:c r="U1071" s="454"/>
      <x:c r="V1071" s="455"/>
      <x:c r="W1071" s="456"/>
      <x:c r="X1071" s="450"/>
      <x:c r="Y1071" s="457"/>
      <x:c r="Z1071" s="458"/>
      <x:c r="AA1071" s="458"/>
      <x:c r="AB1071" s="458"/>
      <x:c r="AC1071" s="458"/>
      <x:c r="AD1071" s="458"/>
      <x:c r="AE1071" s="458"/>
    </x:row>
    <x:row r="1072" spans="1:31" ht="20.100000000000001" customHeight="1">
      <x:c r="A1072" s="439"/>
      <x:c r="B1072" s="466" t="str">
        <x:f t="shared" si="147"/>
        <x:v/>
      </x:c>
      <x:c r="C1072" s="440" t="str">
        <x:f t="shared" si="148"/>
        <x:v/>
      </x:c>
      <x:c r="D1072" s="441"/>
      <x:c r="E1072" s="442" t="str">
        <x:f t="shared" si="149"/>
        <x:v/>
      </x:c>
      <x:c r="F1072" s="443"/>
      <x:c r="G1072" s="444"/>
      <x:c r="H1072" s="445" t="str">
        <x:f t="shared" si="146"/>
        <x:v/>
      </x:c>
      <x:c r="I1072" s="446" t="str">
        <x:f t="shared" si="150"/>
        <x:v/>
      </x:c>
      <x:c r="J1072" s="445"/>
      <x:c r="K1072" s="453"/>
      <x:c r="L1072" s="454"/>
      <x:c r="M1072" s="454"/>
      <x:c r="N1072" s="454"/>
      <x:c r="O1072" s="454"/>
      <x:c r="P1072" s="454"/>
      <x:c r="Q1072" s="454"/>
      <x:c r="R1072" s="454"/>
      <x:c r="S1072" s="454"/>
      <x:c r="T1072" s="454"/>
      <x:c r="U1072" s="454"/>
      <x:c r="V1072" s="455"/>
      <x:c r="W1072" s="456"/>
      <x:c r="X1072" s="450"/>
      <x:c r="Y1072" s="457"/>
      <x:c r="Z1072" s="458"/>
      <x:c r="AA1072" s="458"/>
      <x:c r="AB1072" s="458"/>
      <x:c r="AC1072" s="458"/>
      <x:c r="AD1072" s="458"/>
      <x:c r="AE1072" s="458"/>
    </x:row>
    <x:row r="1073" spans="1:31" ht="20.100000000000001" customHeight="1">
      <x:c r="A1073" s="439"/>
      <x:c r="B1073" s="466" t="str">
        <x:f t="shared" si="147"/>
        <x:v/>
      </x:c>
      <x:c r="C1073" s="440" t="str">
        <x:f t="shared" si="148"/>
        <x:v/>
      </x:c>
      <x:c r="D1073" s="441"/>
      <x:c r="E1073" s="442" t="str">
        <x:f t="shared" si="149"/>
        <x:v/>
      </x:c>
      <x:c r="F1073" s="443"/>
      <x:c r="G1073" s="444"/>
      <x:c r="H1073" s="445" t="str">
        <x:f t="shared" si="146"/>
        <x:v/>
      </x:c>
      <x:c r="I1073" s="446" t="str">
        <x:f t="shared" si="150"/>
        <x:v/>
      </x:c>
      <x:c r="J1073" s="445"/>
      <x:c r="K1073" s="453"/>
      <x:c r="L1073" s="454"/>
      <x:c r="M1073" s="454"/>
      <x:c r="N1073" s="454"/>
      <x:c r="O1073" s="454"/>
      <x:c r="P1073" s="454"/>
      <x:c r="Q1073" s="454"/>
      <x:c r="R1073" s="454"/>
      <x:c r="S1073" s="454"/>
      <x:c r="T1073" s="454"/>
      <x:c r="U1073" s="454"/>
      <x:c r="V1073" s="455"/>
      <x:c r="W1073" s="456"/>
      <x:c r="X1073" s="450"/>
      <x:c r="Y1073" s="457"/>
      <x:c r="Z1073" s="458"/>
      <x:c r="AA1073" s="458"/>
      <x:c r="AB1073" s="458"/>
      <x:c r="AC1073" s="458"/>
      <x:c r="AD1073" s="458"/>
      <x:c r="AE1073" s="458"/>
    </x:row>
    <x:row r="1074" spans="1:31" ht="20.100000000000001" customHeight="1">
      <x:c r="A1074" s="439"/>
      <x:c r="B1074" s="466" t="str">
        <x:f t="shared" si="147"/>
        <x:v/>
      </x:c>
      <x:c r="C1074" s="440" t="str">
        <x:f t="shared" si="148"/>
        <x:v/>
      </x:c>
      <x:c r="D1074" s="441"/>
      <x:c r="E1074" s="442" t="str">
        <x:f t="shared" si="149"/>
        <x:v/>
      </x:c>
      <x:c r="F1074" s="443"/>
      <x:c r="G1074" s="444"/>
      <x:c r="H1074" s="445" t="str">
        <x:f t="shared" si="146"/>
        <x:v/>
      </x:c>
      <x:c r="I1074" s="446" t="str">
        <x:f t="shared" si="150"/>
        <x:v/>
      </x:c>
      <x:c r="J1074" s="445"/>
      <x:c r="K1074" s="453"/>
      <x:c r="L1074" s="454"/>
      <x:c r="M1074" s="454"/>
      <x:c r="N1074" s="454"/>
      <x:c r="O1074" s="454"/>
      <x:c r="P1074" s="454"/>
      <x:c r="Q1074" s="454"/>
      <x:c r="R1074" s="454"/>
      <x:c r="S1074" s="454"/>
      <x:c r="T1074" s="454"/>
      <x:c r="U1074" s="454"/>
      <x:c r="V1074" s="455"/>
      <x:c r="W1074" s="456"/>
      <x:c r="X1074" s="450"/>
      <x:c r="Y1074" s="457"/>
      <x:c r="Z1074" s="458"/>
      <x:c r="AA1074" s="458"/>
      <x:c r="AB1074" s="458"/>
      <x:c r="AC1074" s="458"/>
      <x:c r="AD1074" s="458"/>
      <x:c r="AE1074" s="458"/>
    </x:row>
    <x:row r="1075" spans="1:31" ht="20.100000000000001" customHeight="1">
      <x:c r="A1075" s="439"/>
      <x:c r="B1075" s="466" t="str">
        <x:f t="shared" si="147"/>
        <x:v/>
      </x:c>
      <x:c r="C1075" s="440" t="str">
        <x:f t="shared" si="148"/>
        <x:v/>
      </x:c>
      <x:c r="D1075" s="441"/>
      <x:c r="E1075" s="442" t="str">
        <x:f t="shared" si="149"/>
        <x:v/>
      </x:c>
      <x:c r="F1075" s="443"/>
      <x:c r="G1075" s="444"/>
      <x:c r="H1075" s="445" t="str">
        <x:f t="shared" si="146"/>
        <x:v/>
      </x:c>
      <x:c r="I1075" s="446" t="str">
        <x:f t="shared" si="150"/>
        <x:v/>
      </x:c>
      <x:c r="J1075" s="445"/>
      <x:c r="K1075" s="453"/>
      <x:c r="L1075" s="454"/>
      <x:c r="M1075" s="454"/>
      <x:c r="N1075" s="454"/>
      <x:c r="O1075" s="454"/>
      <x:c r="P1075" s="454"/>
      <x:c r="Q1075" s="454"/>
      <x:c r="R1075" s="454"/>
      <x:c r="S1075" s="454"/>
      <x:c r="T1075" s="454"/>
      <x:c r="U1075" s="454"/>
      <x:c r="V1075" s="455"/>
      <x:c r="W1075" s="456"/>
      <x:c r="X1075" s="450"/>
      <x:c r="Y1075" s="457"/>
      <x:c r="Z1075" s="458"/>
      <x:c r="AA1075" s="458"/>
      <x:c r="AB1075" s="458"/>
      <x:c r="AC1075" s="458"/>
      <x:c r="AD1075" s="458"/>
      <x:c r="AE1075" s="458"/>
    </x:row>
    <x:row r="1076" spans="1:31" ht="20.100000000000001" customHeight="1">
      <x:c r="A1076" s="439"/>
      <x:c r="B1076" s="466" t="str">
        <x:f t="shared" si="147"/>
        <x:v/>
      </x:c>
      <x:c r="C1076" s="440" t="str">
        <x:f t="shared" si="148"/>
        <x:v/>
      </x:c>
      <x:c r="D1076" s="441"/>
      <x:c r="E1076" s="442" t="str">
        <x:f t="shared" si="149"/>
        <x:v/>
      </x:c>
      <x:c r="F1076" s="443"/>
      <x:c r="G1076" s="444"/>
      <x:c r="H1076" s="445" t="str">
        <x:f t="shared" si="146"/>
        <x:v/>
      </x:c>
      <x:c r="I1076" s="446" t="str">
        <x:f t="shared" si="150"/>
        <x:v/>
      </x:c>
      <x:c r="J1076" s="445"/>
      <x:c r="K1076" s="453"/>
      <x:c r="L1076" s="454"/>
      <x:c r="M1076" s="454"/>
      <x:c r="N1076" s="454"/>
      <x:c r="O1076" s="454"/>
      <x:c r="P1076" s="454"/>
      <x:c r="Q1076" s="454"/>
      <x:c r="R1076" s="454"/>
      <x:c r="S1076" s="454"/>
      <x:c r="T1076" s="454"/>
      <x:c r="U1076" s="454"/>
      <x:c r="V1076" s="455"/>
      <x:c r="W1076" s="456"/>
      <x:c r="X1076" s="450"/>
      <x:c r="Y1076" s="457"/>
      <x:c r="Z1076" s="458"/>
      <x:c r="AA1076" s="458"/>
      <x:c r="AB1076" s="458"/>
      <x:c r="AC1076" s="458"/>
      <x:c r="AD1076" s="458"/>
      <x:c r="AE1076" s="458"/>
    </x:row>
    <x:row r="1077" spans="1:31" ht="20.100000000000001" customHeight="1">
      <x:c r="A1077" s="439"/>
      <x:c r="B1077" s="466" t="str">
        <x:f t="shared" si="147"/>
        <x:v/>
      </x:c>
      <x:c r="C1077" s="440" t="str">
        <x:f t="shared" si="148"/>
        <x:v/>
      </x:c>
      <x:c r="D1077" s="441"/>
      <x:c r="E1077" s="442" t="str">
        <x:f t="shared" si="149"/>
        <x:v/>
      </x:c>
      <x:c r="F1077" s="443"/>
      <x:c r="G1077" s="444"/>
      <x:c r="H1077" s="445" t="str">
        <x:f t="shared" si="146"/>
        <x:v/>
      </x:c>
      <x:c r="I1077" s="446" t="str">
        <x:f t="shared" si="150"/>
        <x:v/>
      </x:c>
      <x:c r="J1077" s="445"/>
      <x:c r="K1077" s="453"/>
      <x:c r="L1077" s="454"/>
      <x:c r="M1077" s="454"/>
      <x:c r="N1077" s="454"/>
      <x:c r="O1077" s="454"/>
      <x:c r="P1077" s="454"/>
      <x:c r="Q1077" s="454"/>
      <x:c r="R1077" s="454"/>
      <x:c r="S1077" s="454"/>
      <x:c r="T1077" s="454"/>
      <x:c r="U1077" s="454"/>
      <x:c r="V1077" s="455"/>
      <x:c r="W1077" s="456"/>
      <x:c r="X1077" s="450"/>
      <x:c r="Y1077" s="457"/>
      <x:c r="Z1077" s="458"/>
      <x:c r="AA1077" s="458"/>
      <x:c r="AB1077" s="458"/>
      <x:c r="AC1077" s="458"/>
      <x:c r="AD1077" s="458"/>
      <x:c r="AE1077" s="458"/>
    </x:row>
    <x:row r="1078" spans="1:31" ht="20.100000000000001" customHeight="1">
      <x:c r="A1078" s="439"/>
      <x:c r="B1078" s="466" t="str">
        <x:f t="shared" si="147"/>
        <x:v/>
      </x:c>
      <x:c r="C1078" s="440" t="str">
        <x:f t="shared" si="148"/>
        <x:v/>
      </x:c>
      <x:c r="D1078" s="441"/>
      <x:c r="E1078" s="442" t="str">
        <x:f t="shared" si="149"/>
        <x:v/>
      </x:c>
      <x:c r="F1078" s="443"/>
      <x:c r="G1078" s="444"/>
      <x:c r="H1078" s="445" t="str">
        <x:f t="shared" si="146"/>
        <x:v/>
      </x:c>
      <x:c r="I1078" s="446" t="str">
        <x:f t="shared" si="150"/>
        <x:v/>
      </x:c>
      <x:c r="J1078" s="445"/>
      <x:c r="K1078" s="453"/>
      <x:c r="L1078" s="454"/>
      <x:c r="M1078" s="454"/>
      <x:c r="N1078" s="454"/>
      <x:c r="O1078" s="454"/>
      <x:c r="P1078" s="454"/>
      <x:c r="Q1078" s="454"/>
      <x:c r="R1078" s="454"/>
      <x:c r="S1078" s="454"/>
      <x:c r="T1078" s="454"/>
      <x:c r="U1078" s="454"/>
      <x:c r="V1078" s="455"/>
      <x:c r="W1078" s="456"/>
      <x:c r="X1078" s="450"/>
      <x:c r="Y1078" s="457"/>
      <x:c r="Z1078" s="458"/>
      <x:c r="AA1078" s="458"/>
      <x:c r="AB1078" s="458"/>
      <x:c r="AC1078" s="458"/>
      <x:c r="AD1078" s="458"/>
      <x:c r="AE1078" s="458"/>
    </x:row>
    <x:row r="1079" spans="1:31" ht="20.100000000000001" customHeight="1">
      <x:c r="A1079" s="439"/>
      <x:c r="B1079" s="466" t="str">
        <x:f t="shared" si="147"/>
        <x:v/>
      </x:c>
      <x:c r="C1079" s="440" t="str">
        <x:f t="shared" si="148"/>
        <x:v/>
      </x:c>
      <x:c r="D1079" s="441"/>
      <x:c r="E1079" s="442" t="str">
        <x:f t="shared" si="149"/>
        <x:v/>
      </x:c>
      <x:c r="F1079" s="443"/>
      <x:c r="G1079" s="444"/>
      <x:c r="H1079" s="445" t="str">
        <x:f t="shared" si="146"/>
        <x:v/>
      </x:c>
      <x:c r="I1079" s="446" t="str">
        <x:f t="shared" si="150"/>
        <x:v/>
      </x:c>
      <x:c r="J1079" s="445"/>
      <x:c r="K1079" s="453"/>
      <x:c r="L1079" s="454"/>
      <x:c r="M1079" s="454"/>
      <x:c r="N1079" s="454"/>
      <x:c r="O1079" s="454"/>
      <x:c r="P1079" s="454"/>
      <x:c r="Q1079" s="454"/>
      <x:c r="R1079" s="454"/>
      <x:c r="S1079" s="454"/>
      <x:c r="T1079" s="454"/>
      <x:c r="U1079" s="454"/>
      <x:c r="V1079" s="455"/>
      <x:c r="W1079" s="456"/>
      <x:c r="X1079" s="450"/>
      <x:c r="Y1079" s="457"/>
      <x:c r="Z1079" s="458"/>
      <x:c r="AA1079" s="458"/>
      <x:c r="AB1079" s="458"/>
      <x:c r="AC1079" s="458"/>
      <x:c r="AD1079" s="458"/>
      <x:c r="AE1079" s="458"/>
    </x:row>
    <x:row r="1080" spans="1:31" ht="20.100000000000001" customHeight="1">
      <x:c r="A1080" s="439"/>
      <x:c r="B1080" s="466" t="str">
        <x:f t="shared" si="147"/>
        <x:v/>
      </x:c>
      <x:c r="C1080" s="440" t="str">
        <x:f t="shared" si="148"/>
        <x:v/>
      </x:c>
      <x:c r="D1080" s="441"/>
      <x:c r="E1080" s="442" t="str">
        <x:f t="shared" si="149"/>
        <x:v/>
      </x:c>
      <x:c r="F1080" s="443"/>
      <x:c r="G1080" s="444"/>
      <x:c r="H1080" s="445" t="str">
        <x:f t="shared" ref="H1080:H1143" si="151">IFERROR(VLOOKUP($G1080,$AK:$AL,2,),"")</x:f>
        <x:v/>
      </x:c>
      <x:c r="I1080" s="446" t="str">
        <x:f t="shared" si="150"/>
        <x:v/>
      </x:c>
      <x:c r="J1080" s="445"/>
      <x:c r="K1080" s="453"/>
      <x:c r="L1080" s="454"/>
      <x:c r="M1080" s="454"/>
      <x:c r="N1080" s="454"/>
      <x:c r="O1080" s="454"/>
      <x:c r="P1080" s="454"/>
      <x:c r="Q1080" s="454"/>
      <x:c r="R1080" s="454"/>
      <x:c r="S1080" s="454"/>
      <x:c r="T1080" s="454"/>
      <x:c r="U1080" s="454"/>
      <x:c r="V1080" s="455"/>
      <x:c r="W1080" s="456"/>
      <x:c r="X1080" s="450"/>
      <x:c r="Y1080" s="457"/>
      <x:c r="Z1080" s="458"/>
      <x:c r="AA1080" s="458"/>
      <x:c r="AB1080" s="458"/>
      <x:c r="AC1080" s="458"/>
      <x:c r="AD1080" s="458"/>
      <x:c r="AE1080" s="458"/>
    </x:row>
    <x:row r="1081" spans="1:31" ht="20.100000000000001" customHeight="1">
      <x:c r="A1081" s="439"/>
      <x:c r="B1081" s="466" t="str">
        <x:f t="shared" si="147"/>
        <x:v/>
      </x:c>
      <x:c r="C1081" s="440" t="str">
        <x:f t="shared" si="148"/>
        <x:v/>
      </x:c>
      <x:c r="D1081" s="441"/>
      <x:c r="E1081" s="442" t="str">
        <x:f t="shared" si="149"/>
        <x:v/>
      </x:c>
      <x:c r="F1081" s="443"/>
      <x:c r="G1081" s="444"/>
      <x:c r="H1081" s="445" t="str">
        <x:f t="shared" si="151"/>
        <x:v/>
      </x:c>
      <x:c r="I1081" s="446" t="str">
        <x:f t="shared" si="150"/>
        <x:v/>
      </x:c>
      <x:c r="J1081" s="445"/>
      <x:c r="K1081" s="453"/>
      <x:c r="L1081" s="454"/>
      <x:c r="M1081" s="454"/>
      <x:c r="N1081" s="454"/>
      <x:c r="O1081" s="454"/>
      <x:c r="P1081" s="454"/>
      <x:c r="Q1081" s="454"/>
      <x:c r="R1081" s="454"/>
      <x:c r="S1081" s="454"/>
      <x:c r="T1081" s="454"/>
      <x:c r="U1081" s="454"/>
      <x:c r="V1081" s="455"/>
      <x:c r="W1081" s="456"/>
      <x:c r="X1081" s="450"/>
      <x:c r="Y1081" s="457"/>
      <x:c r="Z1081" s="458"/>
      <x:c r="AA1081" s="458"/>
      <x:c r="AB1081" s="458"/>
      <x:c r="AC1081" s="458"/>
      <x:c r="AD1081" s="458"/>
      <x:c r="AE1081" s="458"/>
    </x:row>
    <x:row r="1082" spans="1:31" ht="20.100000000000001" customHeight="1">
      <x:c r="A1082" s="439"/>
      <x:c r="B1082" s="466" t="str">
        <x:f t="shared" si="147"/>
        <x:v/>
      </x:c>
      <x:c r="C1082" s="440" t="str">
        <x:f t="shared" si="148"/>
        <x:v/>
      </x:c>
      <x:c r="D1082" s="441"/>
      <x:c r="E1082" s="442" t="str">
        <x:f t="shared" si="149"/>
        <x:v/>
      </x:c>
      <x:c r="F1082" s="443"/>
      <x:c r="G1082" s="444"/>
      <x:c r="H1082" s="445" t="str">
        <x:f t="shared" si="151"/>
        <x:v/>
      </x:c>
      <x:c r="I1082" s="446" t="str">
        <x:f t="shared" si="150"/>
        <x:v/>
      </x:c>
      <x:c r="J1082" s="445"/>
      <x:c r="K1082" s="453"/>
      <x:c r="L1082" s="454"/>
      <x:c r="M1082" s="454"/>
      <x:c r="N1082" s="454"/>
      <x:c r="O1082" s="454"/>
      <x:c r="P1082" s="454"/>
      <x:c r="Q1082" s="454"/>
      <x:c r="R1082" s="454"/>
      <x:c r="S1082" s="454"/>
      <x:c r="T1082" s="454"/>
      <x:c r="U1082" s="454"/>
      <x:c r="V1082" s="455"/>
      <x:c r="W1082" s="456"/>
      <x:c r="X1082" s="450"/>
      <x:c r="Y1082" s="457"/>
      <x:c r="Z1082" s="458"/>
      <x:c r="AA1082" s="458"/>
      <x:c r="AB1082" s="458"/>
      <x:c r="AC1082" s="458"/>
      <x:c r="AD1082" s="458"/>
      <x:c r="AE1082" s="458"/>
    </x:row>
    <x:row r="1083" spans="1:31" ht="20.100000000000001" customHeight="1">
      <x:c r="A1083" s="439"/>
      <x:c r="B1083" s="466" t="str">
        <x:f t="shared" si="147"/>
        <x:v/>
      </x:c>
      <x:c r="C1083" s="440" t="str">
        <x:f t="shared" si="148"/>
        <x:v/>
      </x:c>
      <x:c r="D1083" s="441"/>
      <x:c r="E1083" s="442" t="str">
        <x:f t="shared" si="149"/>
        <x:v/>
      </x:c>
      <x:c r="F1083" s="443"/>
      <x:c r="G1083" s="444"/>
      <x:c r="H1083" s="445" t="str">
        <x:f t="shared" si="151"/>
        <x:v/>
      </x:c>
      <x:c r="I1083" s="446" t="str">
        <x:f t="shared" si="150"/>
        <x:v/>
      </x:c>
      <x:c r="J1083" s="445"/>
      <x:c r="K1083" s="453"/>
      <x:c r="L1083" s="454"/>
      <x:c r="M1083" s="454"/>
      <x:c r="N1083" s="454"/>
      <x:c r="O1083" s="454"/>
      <x:c r="P1083" s="454"/>
      <x:c r="Q1083" s="454"/>
      <x:c r="R1083" s="454"/>
      <x:c r="S1083" s="454"/>
      <x:c r="T1083" s="454"/>
      <x:c r="U1083" s="454"/>
      <x:c r="V1083" s="455"/>
      <x:c r="W1083" s="456"/>
      <x:c r="X1083" s="450"/>
      <x:c r="Y1083" s="457"/>
      <x:c r="Z1083" s="458"/>
      <x:c r="AA1083" s="458"/>
      <x:c r="AB1083" s="458"/>
      <x:c r="AC1083" s="458"/>
      <x:c r="AD1083" s="458"/>
      <x:c r="AE1083" s="458"/>
    </x:row>
    <x:row r="1084" spans="1:31" ht="20.100000000000001" customHeight="1">
      <x:c r="A1084" s="439"/>
      <x:c r="B1084" s="466" t="str">
        <x:f t="shared" si="147"/>
        <x:v/>
      </x:c>
      <x:c r="C1084" s="440" t="str">
        <x:f t="shared" si="148"/>
        <x:v/>
      </x:c>
      <x:c r="D1084" s="441"/>
      <x:c r="E1084" s="442" t="str">
        <x:f t="shared" si="149"/>
        <x:v/>
      </x:c>
      <x:c r="F1084" s="443"/>
      <x:c r="G1084" s="444"/>
      <x:c r="H1084" s="445" t="str">
        <x:f t="shared" si="151"/>
        <x:v/>
      </x:c>
      <x:c r="I1084" s="446" t="str">
        <x:f t="shared" si="150"/>
        <x:v/>
      </x:c>
      <x:c r="J1084" s="445"/>
      <x:c r="K1084" s="453"/>
      <x:c r="L1084" s="454"/>
      <x:c r="M1084" s="454"/>
      <x:c r="N1084" s="454"/>
      <x:c r="O1084" s="454"/>
      <x:c r="P1084" s="454"/>
      <x:c r="Q1084" s="454"/>
      <x:c r="R1084" s="454"/>
      <x:c r="S1084" s="454"/>
      <x:c r="T1084" s="454"/>
      <x:c r="U1084" s="454"/>
      <x:c r="V1084" s="455"/>
      <x:c r="W1084" s="456"/>
      <x:c r="X1084" s="450"/>
      <x:c r="Y1084" s="457"/>
      <x:c r="Z1084" s="458"/>
      <x:c r="AA1084" s="458"/>
      <x:c r="AB1084" s="458"/>
      <x:c r="AC1084" s="458"/>
      <x:c r="AD1084" s="458"/>
      <x:c r="AE1084" s="458"/>
    </x:row>
    <x:row r="1085" spans="1:31" ht="20.100000000000001" customHeight="1">
      <x:c r="A1085" s="439"/>
      <x:c r="B1085" s="466" t="str">
        <x:f t="shared" si="147"/>
        <x:v/>
      </x:c>
      <x:c r="C1085" s="440" t="str">
        <x:f t="shared" si="148"/>
        <x:v/>
      </x:c>
      <x:c r="D1085" s="441"/>
      <x:c r="E1085" s="442" t="str">
        <x:f t="shared" si="149"/>
        <x:v/>
      </x:c>
      <x:c r="F1085" s="443"/>
      <x:c r="G1085" s="444"/>
      <x:c r="H1085" s="445" t="str">
        <x:f t="shared" si="151"/>
        <x:v/>
      </x:c>
      <x:c r="I1085" s="446" t="str">
        <x:f t="shared" si="150"/>
        <x:v/>
      </x:c>
      <x:c r="J1085" s="445"/>
      <x:c r="K1085" s="453"/>
      <x:c r="L1085" s="454"/>
      <x:c r="M1085" s="454"/>
      <x:c r="N1085" s="454"/>
      <x:c r="O1085" s="454"/>
      <x:c r="P1085" s="454"/>
      <x:c r="Q1085" s="454"/>
      <x:c r="R1085" s="454"/>
      <x:c r="S1085" s="454"/>
      <x:c r="T1085" s="454"/>
      <x:c r="U1085" s="454"/>
      <x:c r="V1085" s="455"/>
      <x:c r="W1085" s="456"/>
      <x:c r="X1085" s="450"/>
      <x:c r="Y1085" s="457"/>
      <x:c r="Z1085" s="458"/>
      <x:c r="AA1085" s="458"/>
      <x:c r="AB1085" s="458"/>
      <x:c r="AC1085" s="458"/>
      <x:c r="AD1085" s="458"/>
      <x:c r="AE1085" s="458"/>
    </x:row>
    <x:row r="1086" spans="1:31" ht="20.100000000000001" customHeight="1">
      <x:c r="A1086" s="439"/>
      <x:c r="B1086" s="466" t="str">
        <x:f t="shared" si="147"/>
        <x:v/>
      </x:c>
      <x:c r="C1086" s="440" t="str">
        <x:f t="shared" si="148"/>
        <x:v/>
      </x:c>
      <x:c r="D1086" s="441"/>
      <x:c r="E1086" s="442" t="str">
        <x:f t="shared" si="149"/>
        <x:v/>
      </x:c>
      <x:c r="F1086" s="443"/>
      <x:c r="G1086" s="444"/>
      <x:c r="H1086" s="445" t="str">
        <x:f t="shared" si="151"/>
        <x:v/>
      </x:c>
      <x:c r="I1086" s="446" t="str">
        <x:f t="shared" si="150"/>
        <x:v/>
      </x:c>
      <x:c r="J1086" s="445"/>
      <x:c r="K1086" s="453"/>
      <x:c r="L1086" s="454"/>
      <x:c r="M1086" s="454"/>
      <x:c r="N1086" s="454"/>
      <x:c r="O1086" s="454"/>
      <x:c r="P1086" s="454"/>
      <x:c r="Q1086" s="454"/>
      <x:c r="R1086" s="454"/>
      <x:c r="S1086" s="454"/>
      <x:c r="T1086" s="454"/>
      <x:c r="U1086" s="454"/>
      <x:c r="V1086" s="455"/>
      <x:c r="W1086" s="456"/>
      <x:c r="X1086" s="450"/>
      <x:c r="Y1086" s="457"/>
      <x:c r="Z1086" s="458"/>
      <x:c r="AA1086" s="458"/>
      <x:c r="AB1086" s="458"/>
      <x:c r="AC1086" s="458"/>
      <x:c r="AD1086" s="458"/>
      <x:c r="AE1086" s="458"/>
    </x:row>
    <x:row r="1087" spans="1:31" ht="20.100000000000001" customHeight="1">
      <x:c r="A1087" s="439"/>
      <x:c r="B1087" s="466" t="str">
        <x:f t="shared" si="147"/>
        <x:v/>
      </x:c>
      <x:c r="C1087" s="440" t="str">
        <x:f t="shared" si="148"/>
        <x:v/>
      </x:c>
      <x:c r="D1087" s="441"/>
      <x:c r="E1087" s="442" t="str">
        <x:f t="shared" si="149"/>
        <x:v/>
      </x:c>
      <x:c r="F1087" s="443"/>
      <x:c r="G1087" s="444"/>
      <x:c r="H1087" s="445" t="str">
        <x:f t="shared" si="151"/>
        <x:v/>
      </x:c>
      <x:c r="I1087" s="446" t="str">
        <x:f t="shared" si="150"/>
        <x:v/>
      </x:c>
      <x:c r="J1087" s="445"/>
      <x:c r="K1087" s="453"/>
      <x:c r="L1087" s="454"/>
      <x:c r="M1087" s="454"/>
      <x:c r="N1087" s="454"/>
      <x:c r="O1087" s="454"/>
      <x:c r="P1087" s="454"/>
      <x:c r="Q1087" s="454"/>
      <x:c r="R1087" s="454"/>
      <x:c r="S1087" s="454"/>
      <x:c r="T1087" s="454"/>
      <x:c r="U1087" s="454"/>
      <x:c r="V1087" s="455"/>
      <x:c r="W1087" s="456"/>
      <x:c r="X1087" s="450"/>
      <x:c r="Y1087" s="457"/>
      <x:c r="Z1087" s="458"/>
      <x:c r="AA1087" s="458"/>
      <x:c r="AB1087" s="458"/>
      <x:c r="AC1087" s="458"/>
      <x:c r="AD1087" s="458"/>
      <x:c r="AE1087" s="458"/>
    </x:row>
    <x:row r="1088" spans="1:31" ht="20.100000000000001" customHeight="1">
      <x:c r="A1088" s="439"/>
      <x:c r="B1088" s="466" t="str">
        <x:f t="shared" si="147"/>
        <x:v/>
      </x:c>
      <x:c r="C1088" s="440" t="str">
        <x:f t="shared" si="148"/>
        <x:v/>
      </x:c>
      <x:c r="D1088" s="441"/>
      <x:c r="E1088" s="442" t="str">
        <x:f t="shared" si="149"/>
        <x:v/>
      </x:c>
      <x:c r="F1088" s="443"/>
      <x:c r="G1088" s="444"/>
      <x:c r="H1088" s="445" t="str">
        <x:f t="shared" si="151"/>
        <x:v/>
      </x:c>
      <x:c r="I1088" s="446" t="str">
        <x:f t="shared" si="150"/>
        <x:v/>
      </x:c>
      <x:c r="J1088" s="445"/>
      <x:c r="K1088" s="453"/>
      <x:c r="L1088" s="454"/>
      <x:c r="M1088" s="454"/>
      <x:c r="N1088" s="454"/>
      <x:c r="O1088" s="454"/>
      <x:c r="P1088" s="454"/>
      <x:c r="Q1088" s="454"/>
      <x:c r="R1088" s="454"/>
      <x:c r="S1088" s="454"/>
      <x:c r="T1088" s="454"/>
      <x:c r="U1088" s="454"/>
      <x:c r="V1088" s="455"/>
      <x:c r="W1088" s="456"/>
      <x:c r="X1088" s="450"/>
      <x:c r="Y1088" s="457"/>
      <x:c r="Z1088" s="458"/>
      <x:c r="AA1088" s="458"/>
      <x:c r="AB1088" s="458"/>
      <x:c r="AC1088" s="458"/>
      <x:c r="AD1088" s="458"/>
      <x:c r="AE1088" s="458"/>
    </x:row>
    <x:row r="1089" spans="1:31" ht="20.100000000000001" customHeight="1">
      <x:c r="A1089" s="439"/>
      <x:c r="B1089" s="466" t="str">
        <x:f t="shared" si="147"/>
        <x:v/>
      </x:c>
      <x:c r="C1089" s="440" t="str">
        <x:f t="shared" si="148"/>
        <x:v/>
      </x:c>
      <x:c r="D1089" s="441"/>
      <x:c r="E1089" s="442" t="str">
        <x:f t="shared" si="149"/>
        <x:v/>
      </x:c>
      <x:c r="F1089" s="443"/>
      <x:c r="G1089" s="444"/>
      <x:c r="H1089" s="445" t="str">
        <x:f t="shared" si="151"/>
        <x:v/>
      </x:c>
      <x:c r="I1089" s="446" t="str">
        <x:f t="shared" si="150"/>
        <x:v/>
      </x:c>
      <x:c r="J1089" s="445"/>
      <x:c r="K1089" s="453"/>
      <x:c r="L1089" s="454"/>
      <x:c r="M1089" s="454"/>
      <x:c r="N1089" s="454"/>
      <x:c r="O1089" s="454"/>
      <x:c r="P1089" s="454"/>
      <x:c r="Q1089" s="454"/>
      <x:c r="R1089" s="454"/>
      <x:c r="S1089" s="454"/>
      <x:c r="T1089" s="454"/>
      <x:c r="U1089" s="454"/>
      <x:c r="V1089" s="455"/>
      <x:c r="W1089" s="456"/>
      <x:c r="X1089" s="450"/>
      <x:c r="Y1089" s="457"/>
      <x:c r="Z1089" s="458"/>
      <x:c r="AA1089" s="458"/>
      <x:c r="AB1089" s="458"/>
      <x:c r="AC1089" s="458"/>
      <x:c r="AD1089" s="458"/>
      <x:c r="AE1089" s="458"/>
    </x:row>
    <x:row r="1090" spans="1:31" ht="20.100000000000001" customHeight="1">
      <x:c r="A1090" s="439"/>
      <x:c r="B1090" s="466" t="str">
        <x:f t="shared" si="147"/>
        <x:v/>
      </x:c>
      <x:c r="C1090" s="440" t="str">
        <x:f t="shared" si="148"/>
        <x:v/>
      </x:c>
      <x:c r="D1090" s="441"/>
      <x:c r="E1090" s="442" t="str">
        <x:f t="shared" si="149"/>
        <x:v/>
      </x:c>
      <x:c r="F1090" s="443"/>
      <x:c r="G1090" s="444"/>
      <x:c r="H1090" s="445" t="str">
        <x:f t="shared" si="151"/>
        <x:v/>
      </x:c>
      <x:c r="I1090" s="446" t="str">
        <x:f t="shared" si="150"/>
        <x:v/>
      </x:c>
      <x:c r="J1090" s="445"/>
      <x:c r="K1090" s="453"/>
      <x:c r="L1090" s="454"/>
      <x:c r="M1090" s="454"/>
      <x:c r="N1090" s="454"/>
      <x:c r="O1090" s="454"/>
      <x:c r="P1090" s="454"/>
      <x:c r="Q1090" s="454"/>
      <x:c r="R1090" s="454"/>
      <x:c r="S1090" s="454"/>
      <x:c r="T1090" s="454"/>
      <x:c r="U1090" s="454"/>
      <x:c r="V1090" s="455"/>
      <x:c r="W1090" s="456"/>
      <x:c r="X1090" s="450"/>
      <x:c r="Y1090" s="457"/>
      <x:c r="Z1090" s="458"/>
      <x:c r="AA1090" s="458"/>
      <x:c r="AB1090" s="458"/>
      <x:c r="AC1090" s="458"/>
      <x:c r="AD1090" s="458"/>
      <x:c r="AE1090" s="458"/>
    </x:row>
    <x:row r="1091" spans="1:31" ht="20.100000000000001" customHeight="1">
      <x:c r="A1091" s="439"/>
      <x:c r="B1091" s="466" t="str">
        <x:f t="shared" ref="B1091:B1154" si="152">IFERROR(VLOOKUP($C1091,$AH:$AI,2,),"")</x:f>
        <x:v/>
      </x:c>
      <x:c r="C1091" s="440" t="str">
        <x:f t="shared" ref="C1091:C1154" si="153">IFERROR(VLOOKUP($D1091,$AO:$AQ,3,),"")</x:f>
        <x:v/>
      </x:c>
      <x:c r="D1091" s="441"/>
      <x:c r="E1091" s="442" t="str">
        <x:f t="shared" ref="E1091:E1154" si="154">IFERROR(VLOOKUP($D1091,$AO:$AQ,2,),"")</x:f>
        <x:v/>
      </x:c>
      <x:c r="F1091" s="443"/>
      <x:c r="G1091" s="444"/>
      <x:c r="H1091" s="445" t="str">
        <x:f t="shared" si="151"/>
        <x:v/>
      </x:c>
      <x:c r="I1091" s="446" t="str">
        <x:f t="shared" ref="I1091:I1154" si="155">IFERROR(VLOOKUP($G1091,$AK:$AM,3,),"")</x:f>
        <x:v/>
      </x:c>
      <x:c r="J1091" s="445"/>
      <x:c r="K1091" s="453"/>
      <x:c r="L1091" s="454"/>
      <x:c r="M1091" s="454"/>
      <x:c r="N1091" s="454"/>
      <x:c r="O1091" s="454"/>
      <x:c r="P1091" s="454"/>
      <x:c r="Q1091" s="454"/>
      <x:c r="R1091" s="454"/>
      <x:c r="S1091" s="454"/>
      <x:c r="T1091" s="454"/>
      <x:c r="U1091" s="454"/>
      <x:c r="V1091" s="455"/>
      <x:c r="W1091" s="456"/>
      <x:c r="X1091" s="450"/>
      <x:c r="Y1091" s="457"/>
      <x:c r="Z1091" s="458"/>
      <x:c r="AA1091" s="458"/>
      <x:c r="AB1091" s="458"/>
      <x:c r="AC1091" s="458"/>
      <x:c r="AD1091" s="458"/>
      <x:c r="AE1091" s="458"/>
    </x:row>
    <x:row r="1092" spans="1:31" ht="20.100000000000001" customHeight="1">
      <x:c r="A1092" s="439"/>
      <x:c r="B1092" s="466" t="str">
        <x:f t="shared" si="152"/>
        <x:v/>
      </x:c>
      <x:c r="C1092" s="440" t="str">
        <x:f t="shared" si="153"/>
        <x:v/>
      </x:c>
      <x:c r="D1092" s="441"/>
      <x:c r="E1092" s="442" t="str">
        <x:f t="shared" si="154"/>
        <x:v/>
      </x:c>
      <x:c r="F1092" s="443"/>
      <x:c r="G1092" s="444"/>
      <x:c r="H1092" s="445" t="str">
        <x:f t="shared" si="151"/>
        <x:v/>
      </x:c>
      <x:c r="I1092" s="446" t="str">
        <x:f t="shared" si="155"/>
        <x:v/>
      </x:c>
      <x:c r="J1092" s="445"/>
      <x:c r="K1092" s="453"/>
      <x:c r="L1092" s="454"/>
      <x:c r="M1092" s="454"/>
      <x:c r="N1092" s="454"/>
      <x:c r="O1092" s="454"/>
      <x:c r="P1092" s="454"/>
      <x:c r="Q1092" s="454"/>
      <x:c r="R1092" s="454"/>
      <x:c r="S1092" s="454"/>
      <x:c r="T1092" s="454"/>
      <x:c r="U1092" s="454"/>
      <x:c r="V1092" s="455"/>
      <x:c r="W1092" s="456"/>
      <x:c r="X1092" s="450"/>
      <x:c r="Y1092" s="457"/>
      <x:c r="Z1092" s="458"/>
      <x:c r="AA1092" s="458"/>
      <x:c r="AB1092" s="458"/>
      <x:c r="AC1092" s="458"/>
      <x:c r="AD1092" s="458"/>
      <x:c r="AE1092" s="458"/>
    </x:row>
    <x:row r="1093" spans="1:31" ht="20.100000000000001" customHeight="1">
      <x:c r="A1093" s="439"/>
      <x:c r="B1093" s="466" t="str">
        <x:f t="shared" si="152"/>
        <x:v/>
      </x:c>
      <x:c r="C1093" s="440" t="str">
        <x:f t="shared" si="153"/>
        <x:v/>
      </x:c>
      <x:c r="D1093" s="441"/>
      <x:c r="E1093" s="442" t="str">
        <x:f t="shared" si="154"/>
        <x:v/>
      </x:c>
      <x:c r="F1093" s="443"/>
      <x:c r="G1093" s="444"/>
      <x:c r="H1093" s="445" t="str">
        <x:f t="shared" si="151"/>
        <x:v/>
      </x:c>
      <x:c r="I1093" s="446" t="str">
        <x:f t="shared" si="155"/>
        <x:v/>
      </x:c>
      <x:c r="J1093" s="445"/>
      <x:c r="K1093" s="453"/>
      <x:c r="L1093" s="454"/>
      <x:c r="M1093" s="454"/>
      <x:c r="N1093" s="454"/>
      <x:c r="O1093" s="454"/>
      <x:c r="P1093" s="454"/>
      <x:c r="Q1093" s="454"/>
      <x:c r="R1093" s="454"/>
      <x:c r="S1093" s="454"/>
      <x:c r="T1093" s="454"/>
      <x:c r="U1093" s="454"/>
      <x:c r="V1093" s="455"/>
      <x:c r="W1093" s="456"/>
      <x:c r="X1093" s="450"/>
      <x:c r="Y1093" s="457"/>
      <x:c r="Z1093" s="458"/>
      <x:c r="AA1093" s="458"/>
      <x:c r="AB1093" s="458"/>
      <x:c r="AC1093" s="458"/>
      <x:c r="AD1093" s="458"/>
      <x:c r="AE1093" s="458"/>
    </x:row>
    <x:row r="1094" spans="1:31" ht="20.100000000000001" customHeight="1">
      <x:c r="A1094" s="439"/>
      <x:c r="B1094" s="466" t="str">
        <x:f t="shared" si="152"/>
        <x:v/>
      </x:c>
      <x:c r="C1094" s="440" t="str">
        <x:f t="shared" si="153"/>
        <x:v/>
      </x:c>
      <x:c r="D1094" s="441"/>
      <x:c r="E1094" s="442" t="str">
        <x:f t="shared" si="154"/>
        <x:v/>
      </x:c>
      <x:c r="F1094" s="443"/>
      <x:c r="G1094" s="444"/>
      <x:c r="H1094" s="445" t="str">
        <x:f t="shared" si="151"/>
        <x:v/>
      </x:c>
      <x:c r="I1094" s="446" t="str">
        <x:f t="shared" si="155"/>
        <x:v/>
      </x:c>
      <x:c r="J1094" s="445"/>
      <x:c r="K1094" s="453"/>
      <x:c r="L1094" s="454"/>
      <x:c r="M1094" s="454"/>
      <x:c r="N1094" s="454"/>
      <x:c r="O1094" s="454"/>
      <x:c r="P1094" s="454"/>
      <x:c r="Q1094" s="454"/>
      <x:c r="R1094" s="454"/>
      <x:c r="S1094" s="454"/>
      <x:c r="T1094" s="454"/>
      <x:c r="U1094" s="454"/>
      <x:c r="V1094" s="455"/>
      <x:c r="W1094" s="456"/>
      <x:c r="X1094" s="450"/>
      <x:c r="Y1094" s="457"/>
      <x:c r="Z1094" s="458"/>
      <x:c r="AA1094" s="458"/>
      <x:c r="AB1094" s="458"/>
      <x:c r="AC1094" s="458"/>
      <x:c r="AD1094" s="458"/>
      <x:c r="AE1094" s="458"/>
    </x:row>
    <x:row r="1095" spans="1:31" ht="20.100000000000001" customHeight="1">
      <x:c r="A1095" s="439"/>
      <x:c r="B1095" s="466" t="str">
        <x:f t="shared" si="152"/>
        <x:v/>
      </x:c>
      <x:c r="C1095" s="440" t="str">
        <x:f t="shared" si="153"/>
        <x:v/>
      </x:c>
      <x:c r="D1095" s="441"/>
      <x:c r="E1095" s="442" t="str">
        <x:f t="shared" si="154"/>
        <x:v/>
      </x:c>
      <x:c r="F1095" s="443"/>
      <x:c r="G1095" s="444"/>
      <x:c r="H1095" s="445" t="str">
        <x:f t="shared" si="151"/>
        <x:v/>
      </x:c>
      <x:c r="I1095" s="446" t="str">
        <x:f t="shared" si="155"/>
        <x:v/>
      </x:c>
      <x:c r="J1095" s="445"/>
      <x:c r="K1095" s="453"/>
      <x:c r="L1095" s="454"/>
      <x:c r="M1095" s="454"/>
      <x:c r="N1095" s="454"/>
      <x:c r="O1095" s="454"/>
      <x:c r="P1095" s="454"/>
      <x:c r="Q1095" s="454"/>
      <x:c r="R1095" s="454"/>
      <x:c r="S1095" s="454"/>
      <x:c r="T1095" s="454"/>
      <x:c r="U1095" s="454"/>
      <x:c r="V1095" s="455"/>
      <x:c r="W1095" s="456"/>
      <x:c r="X1095" s="450"/>
      <x:c r="Y1095" s="457"/>
      <x:c r="Z1095" s="458"/>
      <x:c r="AA1095" s="458"/>
      <x:c r="AB1095" s="458"/>
      <x:c r="AC1095" s="458"/>
      <x:c r="AD1095" s="458"/>
      <x:c r="AE1095" s="458"/>
    </x:row>
    <x:row r="1096" spans="1:31" ht="20.100000000000001" customHeight="1">
      <x:c r="A1096" s="439"/>
      <x:c r="B1096" s="466" t="str">
        <x:f t="shared" si="152"/>
        <x:v/>
      </x:c>
      <x:c r="C1096" s="440" t="str">
        <x:f t="shared" si="153"/>
        <x:v/>
      </x:c>
      <x:c r="D1096" s="441"/>
      <x:c r="E1096" s="442" t="str">
        <x:f t="shared" si="154"/>
        <x:v/>
      </x:c>
      <x:c r="F1096" s="443"/>
      <x:c r="G1096" s="444"/>
      <x:c r="H1096" s="445" t="str">
        <x:f t="shared" si="151"/>
        <x:v/>
      </x:c>
      <x:c r="I1096" s="446" t="str">
        <x:f t="shared" si="155"/>
        <x:v/>
      </x:c>
      <x:c r="J1096" s="445"/>
      <x:c r="K1096" s="453"/>
      <x:c r="L1096" s="454"/>
      <x:c r="M1096" s="454"/>
      <x:c r="N1096" s="454"/>
      <x:c r="O1096" s="454"/>
      <x:c r="P1096" s="454"/>
      <x:c r="Q1096" s="454"/>
      <x:c r="R1096" s="454"/>
      <x:c r="S1096" s="454"/>
      <x:c r="T1096" s="454"/>
      <x:c r="U1096" s="454"/>
      <x:c r="V1096" s="455"/>
      <x:c r="W1096" s="456"/>
      <x:c r="X1096" s="450"/>
      <x:c r="Y1096" s="457"/>
      <x:c r="Z1096" s="458"/>
      <x:c r="AA1096" s="458"/>
      <x:c r="AB1096" s="458"/>
      <x:c r="AC1096" s="458"/>
      <x:c r="AD1096" s="458"/>
      <x:c r="AE1096" s="458"/>
    </x:row>
    <x:row r="1097" spans="1:31" ht="20.100000000000001" customHeight="1">
      <x:c r="A1097" s="439"/>
      <x:c r="B1097" s="466" t="str">
        <x:f t="shared" si="152"/>
        <x:v/>
      </x:c>
      <x:c r="C1097" s="440" t="str">
        <x:f t="shared" si="153"/>
        <x:v/>
      </x:c>
      <x:c r="D1097" s="441"/>
      <x:c r="E1097" s="442" t="str">
        <x:f t="shared" si="154"/>
        <x:v/>
      </x:c>
      <x:c r="F1097" s="443"/>
      <x:c r="G1097" s="444"/>
      <x:c r="H1097" s="445" t="str">
        <x:f t="shared" si="151"/>
        <x:v/>
      </x:c>
      <x:c r="I1097" s="446" t="str">
        <x:f t="shared" si="155"/>
        <x:v/>
      </x:c>
      <x:c r="J1097" s="445"/>
      <x:c r="K1097" s="453"/>
      <x:c r="L1097" s="454"/>
      <x:c r="M1097" s="454"/>
      <x:c r="N1097" s="454"/>
      <x:c r="O1097" s="454"/>
      <x:c r="P1097" s="454"/>
      <x:c r="Q1097" s="454"/>
      <x:c r="R1097" s="454"/>
      <x:c r="S1097" s="454"/>
      <x:c r="T1097" s="454"/>
      <x:c r="U1097" s="454"/>
      <x:c r="V1097" s="455"/>
      <x:c r="W1097" s="456"/>
      <x:c r="X1097" s="450"/>
      <x:c r="Y1097" s="457"/>
      <x:c r="Z1097" s="458"/>
      <x:c r="AA1097" s="458"/>
      <x:c r="AB1097" s="458"/>
      <x:c r="AC1097" s="458"/>
      <x:c r="AD1097" s="458"/>
      <x:c r="AE1097" s="458"/>
    </x:row>
    <x:row r="1098" spans="1:31" ht="20.100000000000001" customHeight="1">
      <x:c r="A1098" s="439"/>
      <x:c r="B1098" s="466" t="str">
        <x:f t="shared" si="152"/>
        <x:v/>
      </x:c>
      <x:c r="C1098" s="440" t="str">
        <x:f t="shared" si="153"/>
        <x:v/>
      </x:c>
      <x:c r="D1098" s="441"/>
      <x:c r="E1098" s="442" t="str">
        <x:f t="shared" si="154"/>
        <x:v/>
      </x:c>
      <x:c r="F1098" s="443"/>
      <x:c r="G1098" s="444"/>
      <x:c r="H1098" s="445" t="str">
        <x:f t="shared" si="151"/>
        <x:v/>
      </x:c>
      <x:c r="I1098" s="446" t="str">
        <x:f t="shared" si="155"/>
        <x:v/>
      </x:c>
      <x:c r="J1098" s="445"/>
      <x:c r="K1098" s="453"/>
      <x:c r="L1098" s="454"/>
      <x:c r="M1098" s="454"/>
      <x:c r="N1098" s="454"/>
      <x:c r="O1098" s="454"/>
      <x:c r="P1098" s="454"/>
      <x:c r="Q1098" s="454"/>
      <x:c r="R1098" s="454"/>
      <x:c r="S1098" s="454"/>
      <x:c r="T1098" s="454"/>
      <x:c r="U1098" s="454"/>
      <x:c r="V1098" s="455"/>
      <x:c r="W1098" s="456"/>
      <x:c r="X1098" s="450"/>
      <x:c r="Y1098" s="457"/>
      <x:c r="Z1098" s="458"/>
      <x:c r="AA1098" s="458"/>
      <x:c r="AB1098" s="458"/>
      <x:c r="AC1098" s="458"/>
      <x:c r="AD1098" s="458"/>
      <x:c r="AE1098" s="458"/>
    </x:row>
    <x:row r="1099" spans="1:31" ht="20.100000000000001" customHeight="1">
      <x:c r="A1099" s="439"/>
      <x:c r="B1099" s="466" t="str">
        <x:f t="shared" si="152"/>
        <x:v/>
      </x:c>
      <x:c r="C1099" s="440" t="str">
        <x:f t="shared" si="153"/>
        <x:v/>
      </x:c>
      <x:c r="D1099" s="441"/>
      <x:c r="E1099" s="442" t="str">
        <x:f t="shared" si="154"/>
        <x:v/>
      </x:c>
      <x:c r="F1099" s="443"/>
      <x:c r="G1099" s="444"/>
      <x:c r="H1099" s="445" t="str">
        <x:f t="shared" si="151"/>
        <x:v/>
      </x:c>
      <x:c r="I1099" s="446" t="str">
        <x:f t="shared" si="155"/>
        <x:v/>
      </x:c>
      <x:c r="J1099" s="445"/>
      <x:c r="K1099" s="453"/>
      <x:c r="L1099" s="454"/>
      <x:c r="M1099" s="454"/>
      <x:c r="N1099" s="454"/>
      <x:c r="O1099" s="454"/>
      <x:c r="P1099" s="454"/>
      <x:c r="Q1099" s="454"/>
      <x:c r="R1099" s="454"/>
      <x:c r="S1099" s="454"/>
      <x:c r="T1099" s="454"/>
      <x:c r="U1099" s="454"/>
      <x:c r="V1099" s="455"/>
      <x:c r="W1099" s="456"/>
      <x:c r="X1099" s="450"/>
      <x:c r="Y1099" s="457"/>
      <x:c r="Z1099" s="458"/>
      <x:c r="AA1099" s="458"/>
      <x:c r="AB1099" s="458"/>
      <x:c r="AC1099" s="458"/>
      <x:c r="AD1099" s="458"/>
      <x:c r="AE1099" s="458"/>
    </x:row>
    <x:row r="1100" spans="1:31" ht="20.100000000000001" customHeight="1">
      <x:c r="A1100" s="439"/>
      <x:c r="B1100" s="466" t="str">
        <x:f t="shared" si="152"/>
        <x:v/>
      </x:c>
      <x:c r="C1100" s="440" t="str">
        <x:f t="shared" si="153"/>
        <x:v/>
      </x:c>
      <x:c r="D1100" s="441"/>
      <x:c r="E1100" s="442" t="str">
        <x:f t="shared" si="154"/>
        <x:v/>
      </x:c>
      <x:c r="F1100" s="443"/>
      <x:c r="G1100" s="444"/>
      <x:c r="H1100" s="445" t="str">
        <x:f t="shared" si="151"/>
        <x:v/>
      </x:c>
      <x:c r="I1100" s="446" t="str">
        <x:f t="shared" si="155"/>
        <x:v/>
      </x:c>
      <x:c r="J1100" s="445"/>
      <x:c r="K1100" s="453"/>
      <x:c r="L1100" s="454"/>
      <x:c r="M1100" s="454"/>
      <x:c r="N1100" s="454"/>
      <x:c r="O1100" s="454"/>
      <x:c r="P1100" s="454"/>
      <x:c r="Q1100" s="454"/>
      <x:c r="R1100" s="454"/>
      <x:c r="S1100" s="454"/>
      <x:c r="T1100" s="454"/>
      <x:c r="U1100" s="454"/>
      <x:c r="V1100" s="455"/>
      <x:c r="W1100" s="456"/>
      <x:c r="X1100" s="450"/>
      <x:c r="Y1100" s="457"/>
      <x:c r="Z1100" s="458"/>
      <x:c r="AA1100" s="458"/>
      <x:c r="AB1100" s="458"/>
      <x:c r="AC1100" s="458"/>
      <x:c r="AD1100" s="458"/>
      <x:c r="AE1100" s="458"/>
    </x:row>
    <x:row r="1101" spans="1:31" ht="20.100000000000001" customHeight="1">
      <x:c r="A1101" s="439"/>
      <x:c r="B1101" s="466" t="str">
        <x:f t="shared" si="152"/>
        <x:v/>
      </x:c>
      <x:c r="C1101" s="440" t="str">
        <x:f t="shared" si="153"/>
        <x:v/>
      </x:c>
      <x:c r="D1101" s="441"/>
      <x:c r="E1101" s="442" t="str">
        <x:f t="shared" si="154"/>
        <x:v/>
      </x:c>
      <x:c r="F1101" s="443"/>
      <x:c r="G1101" s="444"/>
      <x:c r="H1101" s="445" t="str">
        <x:f t="shared" si="151"/>
        <x:v/>
      </x:c>
      <x:c r="I1101" s="446" t="str">
        <x:f t="shared" si="155"/>
        <x:v/>
      </x:c>
      <x:c r="J1101" s="445"/>
      <x:c r="K1101" s="453"/>
      <x:c r="L1101" s="454"/>
      <x:c r="M1101" s="454"/>
      <x:c r="N1101" s="454"/>
      <x:c r="O1101" s="454"/>
      <x:c r="P1101" s="454"/>
      <x:c r="Q1101" s="454"/>
      <x:c r="R1101" s="454"/>
      <x:c r="S1101" s="454"/>
      <x:c r="T1101" s="454"/>
      <x:c r="U1101" s="454"/>
      <x:c r="V1101" s="455"/>
      <x:c r="W1101" s="456"/>
      <x:c r="X1101" s="450"/>
      <x:c r="Y1101" s="457"/>
      <x:c r="Z1101" s="458"/>
      <x:c r="AA1101" s="458"/>
      <x:c r="AB1101" s="458"/>
      <x:c r="AC1101" s="458"/>
      <x:c r="AD1101" s="458"/>
      <x:c r="AE1101" s="458"/>
    </x:row>
    <x:row r="1102" spans="1:31" ht="20.100000000000001" customHeight="1">
      <x:c r="A1102" s="439"/>
      <x:c r="B1102" s="466" t="str">
        <x:f t="shared" si="152"/>
        <x:v/>
      </x:c>
      <x:c r="C1102" s="440" t="str">
        <x:f t="shared" si="153"/>
        <x:v/>
      </x:c>
      <x:c r="D1102" s="441"/>
      <x:c r="E1102" s="442" t="str">
        <x:f t="shared" si="154"/>
        <x:v/>
      </x:c>
      <x:c r="F1102" s="443"/>
      <x:c r="G1102" s="444"/>
      <x:c r="H1102" s="445" t="str">
        <x:f t="shared" si="151"/>
        <x:v/>
      </x:c>
      <x:c r="I1102" s="446" t="str">
        <x:f t="shared" si="155"/>
        <x:v/>
      </x:c>
      <x:c r="J1102" s="445"/>
      <x:c r="K1102" s="453"/>
      <x:c r="L1102" s="454"/>
      <x:c r="M1102" s="454"/>
      <x:c r="N1102" s="454"/>
      <x:c r="O1102" s="454"/>
      <x:c r="P1102" s="454"/>
      <x:c r="Q1102" s="454"/>
      <x:c r="R1102" s="454"/>
      <x:c r="S1102" s="454"/>
      <x:c r="T1102" s="454"/>
      <x:c r="U1102" s="454"/>
      <x:c r="V1102" s="455"/>
      <x:c r="W1102" s="456"/>
      <x:c r="X1102" s="450"/>
      <x:c r="Y1102" s="457"/>
      <x:c r="Z1102" s="458"/>
      <x:c r="AA1102" s="458"/>
      <x:c r="AB1102" s="458"/>
      <x:c r="AC1102" s="458"/>
      <x:c r="AD1102" s="458"/>
      <x:c r="AE1102" s="458"/>
    </x:row>
    <x:row r="1103" spans="1:31" ht="20.100000000000001" customHeight="1">
      <x:c r="A1103" s="439"/>
      <x:c r="B1103" s="466" t="str">
        <x:f t="shared" si="152"/>
        <x:v/>
      </x:c>
      <x:c r="C1103" s="440" t="str">
        <x:f t="shared" si="153"/>
        <x:v/>
      </x:c>
      <x:c r="D1103" s="441"/>
      <x:c r="E1103" s="442" t="str">
        <x:f t="shared" si="154"/>
        <x:v/>
      </x:c>
      <x:c r="F1103" s="443"/>
      <x:c r="G1103" s="444"/>
      <x:c r="H1103" s="445" t="str">
        <x:f t="shared" si="151"/>
        <x:v/>
      </x:c>
      <x:c r="I1103" s="446" t="str">
        <x:f t="shared" si="155"/>
        <x:v/>
      </x:c>
      <x:c r="J1103" s="445"/>
      <x:c r="K1103" s="453"/>
      <x:c r="L1103" s="454"/>
      <x:c r="M1103" s="454"/>
      <x:c r="N1103" s="454"/>
      <x:c r="O1103" s="454"/>
      <x:c r="P1103" s="454"/>
      <x:c r="Q1103" s="454"/>
      <x:c r="R1103" s="454"/>
      <x:c r="S1103" s="454"/>
      <x:c r="T1103" s="454"/>
      <x:c r="U1103" s="454"/>
      <x:c r="V1103" s="455"/>
      <x:c r="W1103" s="456"/>
      <x:c r="X1103" s="450"/>
      <x:c r="Y1103" s="457"/>
      <x:c r="Z1103" s="458"/>
      <x:c r="AA1103" s="458"/>
      <x:c r="AB1103" s="458"/>
      <x:c r="AC1103" s="458"/>
      <x:c r="AD1103" s="458"/>
      <x:c r="AE1103" s="458"/>
    </x:row>
    <x:row r="1104" spans="1:31" ht="20.100000000000001" customHeight="1">
      <x:c r="A1104" s="439"/>
      <x:c r="B1104" s="466" t="str">
        <x:f t="shared" si="152"/>
        <x:v/>
      </x:c>
      <x:c r="C1104" s="440" t="str">
        <x:f t="shared" si="153"/>
        <x:v/>
      </x:c>
      <x:c r="D1104" s="441"/>
      <x:c r="E1104" s="442" t="str">
        <x:f t="shared" si="154"/>
        <x:v/>
      </x:c>
      <x:c r="F1104" s="443"/>
      <x:c r="G1104" s="444"/>
      <x:c r="H1104" s="445" t="str">
        <x:f t="shared" si="151"/>
        <x:v/>
      </x:c>
      <x:c r="I1104" s="446" t="str">
        <x:f t="shared" si="155"/>
        <x:v/>
      </x:c>
      <x:c r="J1104" s="445"/>
      <x:c r="K1104" s="453"/>
      <x:c r="L1104" s="454"/>
      <x:c r="M1104" s="454"/>
      <x:c r="N1104" s="454"/>
      <x:c r="O1104" s="454"/>
      <x:c r="P1104" s="454"/>
      <x:c r="Q1104" s="454"/>
      <x:c r="R1104" s="454"/>
      <x:c r="S1104" s="454"/>
      <x:c r="T1104" s="454"/>
      <x:c r="U1104" s="454"/>
      <x:c r="V1104" s="455"/>
      <x:c r="W1104" s="456"/>
      <x:c r="X1104" s="450"/>
      <x:c r="Y1104" s="457"/>
      <x:c r="Z1104" s="458"/>
      <x:c r="AA1104" s="458"/>
      <x:c r="AB1104" s="458"/>
      <x:c r="AC1104" s="458"/>
      <x:c r="AD1104" s="458"/>
      <x:c r="AE1104" s="458"/>
    </x:row>
    <x:row r="1105" spans="1:31" ht="20.100000000000001" customHeight="1">
      <x:c r="A1105" s="439"/>
      <x:c r="B1105" s="466" t="str">
        <x:f t="shared" si="152"/>
        <x:v/>
      </x:c>
      <x:c r="C1105" s="440" t="str">
        <x:f t="shared" si="153"/>
        <x:v/>
      </x:c>
      <x:c r="D1105" s="441"/>
      <x:c r="E1105" s="442" t="str">
        <x:f t="shared" si="154"/>
        <x:v/>
      </x:c>
      <x:c r="F1105" s="443"/>
      <x:c r="G1105" s="444"/>
      <x:c r="H1105" s="445" t="str">
        <x:f t="shared" si="151"/>
        <x:v/>
      </x:c>
      <x:c r="I1105" s="446" t="str">
        <x:f t="shared" si="155"/>
        <x:v/>
      </x:c>
      <x:c r="J1105" s="445"/>
      <x:c r="K1105" s="453"/>
      <x:c r="L1105" s="454"/>
      <x:c r="M1105" s="454"/>
      <x:c r="N1105" s="454"/>
      <x:c r="O1105" s="454"/>
      <x:c r="P1105" s="454"/>
      <x:c r="Q1105" s="454"/>
      <x:c r="R1105" s="454"/>
      <x:c r="S1105" s="454"/>
      <x:c r="T1105" s="454"/>
      <x:c r="U1105" s="454"/>
      <x:c r="V1105" s="455"/>
      <x:c r="W1105" s="456"/>
      <x:c r="X1105" s="450"/>
      <x:c r="Y1105" s="457"/>
      <x:c r="Z1105" s="458"/>
      <x:c r="AA1105" s="458"/>
      <x:c r="AB1105" s="458"/>
      <x:c r="AC1105" s="458"/>
      <x:c r="AD1105" s="458"/>
      <x:c r="AE1105" s="458"/>
    </x:row>
    <x:row r="1106" spans="1:31" ht="20.100000000000001" customHeight="1">
      <x:c r="A1106" s="439"/>
      <x:c r="B1106" s="466" t="str">
        <x:f t="shared" si="152"/>
        <x:v/>
      </x:c>
      <x:c r="C1106" s="440" t="str">
        <x:f t="shared" si="153"/>
        <x:v/>
      </x:c>
      <x:c r="D1106" s="441"/>
      <x:c r="E1106" s="442" t="str">
        <x:f t="shared" si="154"/>
        <x:v/>
      </x:c>
      <x:c r="F1106" s="443"/>
      <x:c r="G1106" s="444"/>
      <x:c r="H1106" s="445" t="str">
        <x:f t="shared" si="151"/>
        <x:v/>
      </x:c>
      <x:c r="I1106" s="446" t="str">
        <x:f t="shared" si="155"/>
        <x:v/>
      </x:c>
      <x:c r="J1106" s="445"/>
      <x:c r="K1106" s="453"/>
      <x:c r="L1106" s="454"/>
      <x:c r="M1106" s="454"/>
      <x:c r="N1106" s="454"/>
      <x:c r="O1106" s="454"/>
      <x:c r="P1106" s="454"/>
      <x:c r="Q1106" s="454"/>
      <x:c r="R1106" s="454"/>
      <x:c r="S1106" s="454"/>
      <x:c r="T1106" s="454"/>
      <x:c r="U1106" s="454"/>
      <x:c r="V1106" s="455"/>
      <x:c r="W1106" s="456"/>
      <x:c r="X1106" s="450"/>
      <x:c r="Y1106" s="457"/>
      <x:c r="Z1106" s="458"/>
      <x:c r="AA1106" s="458"/>
      <x:c r="AB1106" s="458"/>
      <x:c r="AC1106" s="458"/>
      <x:c r="AD1106" s="458"/>
      <x:c r="AE1106" s="458"/>
    </x:row>
    <x:row r="1107" spans="1:31" ht="20.100000000000001" customHeight="1">
      <x:c r="A1107" s="439"/>
      <x:c r="B1107" s="466" t="str">
        <x:f t="shared" si="152"/>
        <x:v/>
      </x:c>
      <x:c r="C1107" s="440" t="str">
        <x:f t="shared" si="153"/>
        <x:v/>
      </x:c>
      <x:c r="D1107" s="441"/>
      <x:c r="E1107" s="442" t="str">
        <x:f t="shared" si="154"/>
        <x:v/>
      </x:c>
      <x:c r="F1107" s="443"/>
      <x:c r="G1107" s="444"/>
      <x:c r="H1107" s="445" t="str">
        <x:f t="shared" si="151"/>
        <x:v/>
      </x:c>
      <x:c r="I1107" s="446" t="str">
        <x:f t="shared" si="155"/>
        <x:v/>
      </x:c>
      <x:c r="J1107" s="445"/>
      <x:c r="K1107" s="453"/>
      <x:c r="L1107" s="454"/>
      <x:c r="M1107" s="454"/>
      <x:c r="N1107" s="454"/>
      <x:c r="O1107" s="454"/>
      <x:c r="P1107" s="454"/>
      <x:c r="Q1107" s="454"/>
      <x:c r="R1107" s="454"/>
      <x:c r="S1107" s="454"/>
      <x:c r="T1107" s="454"/>
      <x:c r="U1107" s="454"/>
      <x:c r="V1107" s="455"/>
      <x:c r="W1107" s="456"/>
      <x:c r="X1107" s="450"/>
      <x:c r="Y1107" s="457"/>
      <x:c r="Z1107" s="458"/>
      <x:c r="AA1107" s="458"/>
      <x:c r="AB1107" s="458"/>
      <x:c r="AC1107" s="458"/>
      <x:c r="AD1107" s="458"/>
      <x:c r="AE1107" s="458"/>
    </x:row>
    <x:row r="1108" spans="1:31" ht="20.100000000000001" customHeight="1">
      <x:c r="A1108" s="439"/>
      <x:c r="B1108" s="466" t="str">
        <x:f t="shared" si="152"/>
        <x:v/>
      </x:c>
      <x:c r="C1108" s="440" t="str">
        <x:f t="shared" si="153"/>
        <x:v/>
      </x:c>
      <x:c r="D1108" s="441"/>
      <x:c r="E1108" s="442" t="str">
        <x:f t="shared" si="154"/>
        <x:v/>
      </x:c>
      <x:c r="F1108" s="443"/>
      <x:c r="G1108" s="444"/>
      <x:c r="H1108" s="445" t="str">
        <x:f t="shared" si="151"/>
        <x:v/>
      </x:c>
      <x:c r="I1108" s="446" t="str">
        <x:f t="shared" si="155"/>
        <x:v/>
      </x:c>
      <x:c r="J1108" s="445"/>
      <x:c r="K1108" s="453"/>
      <x:c r="L1108" s="454"/>
      <x:c r="M1108" s="454"/>
      <x:c r="N1108" s="454"/>
      <x:c r="O1108" s="454"/>
      <x:c r="P1108" s="454"/>
      <x:c r="Q1108" s="454"/>
      <x:c r="R1108" s="454"/>
      <x:c r="S1108" s="454"/>
      <x:c r="T1108" s="454"/>
      <x:c r="U1108" s="454"/>
      <x:c r="V1108" s="455"/>
      <x:c r="W1108" s="456"/>
      <x:c r="X1108" s="450"/>
      <x:c r="Y1108" s="457"/>
      <x:c r="Z1108" s="458"/>
      <x:c r="AA1108" s="458"/>
      <x:c r="AB1108" s="458"/>
      <x:c r="AC1108" s="458"/>
      <x:c r="AD1108" s="458"/>
      <x:c r="AE1108" s="458"/>
    </x:row>
    <x:row r="1109" spans="1:31" ht="20.100000000000001" customHeight="1">
      <x:c r="A1109" s="439"/>
      <x:c r="B1109" s="466" t="str">
        <x:f t="shared" si="152"/>
        <x:v/>
      </x:c>
      <x:c r="C1109" s="440" t="str">
        <x:f t="shared" si="153"/>
        <x:v/>
      </x:c>
      <x:c r="D1109" s="441"/>
      <x:c r="E1109" s="442" t="str">
        <x:f t="shared" si="154"/>
        <x:v/>
      </x:c>
      <x:c r="F1109" s="443"/>
      <x:c r="G1109" s="444"/>
      <x:c r="H1109" s="445" t="str">
        <x:f t="shared" si="151"/>
        <x:v/>
      </x:c>
      <x:c r="I1109" s="446" t="str">
        <x:f t="shared" si="155"/>
        <x:v/>
      </x:c>
      <x:c r="J1109" s="445"/>
      <x:c r="K1109" s="453"/>
      <x:c r="L1109" s="454"/>
      <x:c r="M1109" s="454"/>
      <x:c r="N1109" s="454"/>
      <x:c r="O1109" s="454"/>
      <x:c r="P1109" s="454"/>
      <x:c r="Q1109" s="454"/>
      <x:c r="R1109" s="454"/>
      <x:c r="S1109" s="454"/>
      <x:c r="T1109" s="454"/>
      <x:c r="U1109" s="454"/>
      <x:c r="V1109" s="455"/>
      <x:c r="W1109" s="456"/>
      <x:c r="X1109" s="450"/>
      <x:c r="Y1109" s="457"/>
      <x:c r="Z1109" s="458"/>
      <x:c r="AA1109" s="458"/>
      <x:c r="AB1109" s="458"/>
      <x:c r="AC1109" s="458"/>
      <x:c r="AD1109" s="458"/>
      <x:c r="AE1109" s="458"/>
    </x:row>
    <x:row r="1110" spans="1:31" ht="20.100000000000001" customHeight="1">
      <x:c r="A1110" s="439"/>
      <x:c r="B1110" s="466" t="str">
        <x:f t="shared" si="152"/>
        <x:v/>
      </x:c>
      <x:c r="C1110" s="440" t="str">
        <x:f t="shared" si="153"/>
        <x:v/>
      </x:c>
      <x:c r="D1110" s="441"/>
      <x:c r="E1110" s="442" t="str">
        <x:f t="shared" si="154"/>
        <x:v/>
      </x:c>
      <x:c r="F1110" s="443"/>
      <x:c r="G1110" s="444"/>
      <x:c r="H1110" s="445" t="str">
        <x:f t="shared" si="151"/>
        <x:v/>
      </x:c>
      <x:c r="I1110" s="446" t="str">
        <x:f t="shared" si="155"/>
        <x:v/>
      </x:c>
      <x:c r="J1110" s="445"/>
      <x:c r="K1110" s="453"/>
      <x:c r="L1110" s="454"/>
      <x:c r="M1110" s="454"/>
      <x:c r="N1110" s="454"/>
      <x:c r="O1110" s="454"/>
      <x:c r="P1110" s="454"/>
      <x:c r="Q1110" s="454"/>
      <x:c r="R1110" s="454"/>
      <x:c r="S1110" s="454"/>
      <x:c r="T1110" s="454"/>
      <x:c r="U1110" s="454"/>
      <x:c r="V1110" s="455"/>
      <x:c r="W1110" s="456"/>
      <x:c r="X1110" s="450"/>
      <x:c r="Y1110" s="457"/>
      <x:c r="Z1110" s="458"/>
      <x:c r="AA1110" s="458"/>
      <x:c r="AB1110" s="458"/>
      <x:c r="AC1110" s="458"/>
      <x:c r="AD1110" s="458"/>
      <x:c r="AE1110" s="458"/>
    </x:row>
    <x:row r="1111" spans="1:31" ht="20.100000000000001" customHeight="1">
      <x:c r="A1111" s="439"/>
      <x:c r="B1111" s="466" t="str">
        <x:f t="shared" si="152"/>
        <x:v/>
      </x:c>
      <x:c r="C1111" s="440" t="str">
        <x:f t="shared" si="153"/>
        <x:v/>
      </x:c>
      <x:c r="D1111" s="441"/>
      <x:c r="E1111" s="442" t="str">
        <x:f t="shared" si="154"/>
        <x:v/>
      </x:c>
      <x:c r="F1111" s="443"/>
      <x:c r="G1111" s="444"/>
      <x:c r="H1111" s="445" t="str">
        <x:f t="shared" si="151"/>
        <x:v/>
      </x:c>
      <x:c r="I1111" s="446" t="str">
        <x:f t="shared" si="155"/>
        <x:v/>
      </x:c>
      <x:c r="J1111" s="445"/>
      <x:c r="K1111" s="453"/>
      <x:c r="L1111" s="454"/>
      <x:c r="M1111" s="454"/>
      <x:c r="N1111" s="454"/>
      <x:c r="O1111" s="454"/>
      <x:c r="P1111" s="454"/>
      <x:c r="Q1111" s="454"/>
      <x:c r="R1111" s="454"/>
      <x:c r="S1111" s="454"/>
      <x:c r="T1111" s="454"/>
      <x:c r="U1111" s="454"/>
      <x:c r="V1111" s="455"/>
      <x:c r="W1111" s="456"/>
      <x:c r="X1111" s="450"/>
      <x:c r="Y1111" s="457"/>
      <x:c r="Z1111" s="458"/>
      <x:c r="AA1111" s="458"/>
      <x:c r="AB1111" s="458"/>
      <x:c r="AC1111" s="458"/>
      <x:c r="AD1111" s="458"/>
      <x:c r="AE1111" s="458"/>
    </x:row>
    <x:row r="1112" spans="1:31" ht="20.100000000000001" customHeight="1">
      <x:c r="A1112" s="439"/>
      <x:c r="B1112" s="466" t="str">
        <x:f t="shared" si="152"/>
        <x:v/>
      </x:c>
      <x:c r="C1112" s="440" t="str">
        <x:f t="shared" si="153"/>
        <x:v/>
      </x:c>
      <x:c r="D1112" s="441"/>
      <x:c r="E1112" s="442" t="str">
        <x:f t="shared" si="154"/>
        <x:v/>
      </x:c>
      <x:c r="F1112" s="443"/>
      <x:c r="G1112" s="444"/>
      <x:c r="H1112" s="445" t="str">
        <x:f t="shared" si="151"/>
        <x:v/>
      </x:c>
      <x:c r="I1112" s="446" t="str">
        <x:f t="shared" si="155"/>
        <x:v/>
      </x:c>
      <x:c r="J1112" s="445"/>
      <x:c r="K1112" s="453"/>
      <x:c r="L1112" s="454"/>
      <x:c r="M1112" s="454"/>
      <x:c r="N1112" s="454"/>
      <x:c r="O1112" s="454"/>
      <x:c r="P1112" s="454"/>
      <x:c r="Q1112" s="454"/>
      <x:c r="R1112" s="454"/>
      <x:c r="S1112" s="454"/>
      <x:c r="T1112" s="454"/>
      <x:c r="U1112" s="454"/>
      <x:c r="V1112" s="455"/>
      <x:c r="W1112" s="456"/>
      <x:c r="X1112" s="450"/>
      <x:c r="Y1112" s="457"/>
      <x:c r="Z1112" s="458"/>
      <x:c r="AA1112" s="458"/>
      <x:c r="AB1112" s="458"/>
      <x:c r="AC1112" s="458"/>
      <x:c r="AD1112" s="458"/>
      <x:c r="AE1112" s="458"/>
    </x:row>
    <x:row r="1113" spans="1:31" ht="20.100000000000001" customHeight="1">
      <x:c r="A1113" s="439"/>
      <x:c r="B1113" s="466" t="str">
        <x:f t="shared" si="152"/>
        <x:v/>
      </x:c>
      <x:c r="C1113" s="440" t="str">
        <x:f t="shared" si="153"/>
        <x:v/>
      </x:c>
      <x:c r="D1113" s="441"/>
      <x:c r="E1113" s="442" t="str">
        <x:f t="shared" si="154"/>
        <x:v/>
      </x:c>
      <x:c r="F1113" s="443"/>
      <x:c r="G1113" s="444"/>
      <x:c r="H1113" s="445" t="str">
        <x:f t="shared" si="151"/>
        <x:v/>
      </x:c>
      <x:c r="I1113" s="446" t="str">
        <x:f t="shared" si="155"/>
        <x:v/>
      </x:c>
      <x:c r="J1113" s="445"/>
      <x:c r="K1113" s="453"/>
      <x:c r="L1113" s="454"/>
      <x:c r="M1113" s="454"/>
      <x:c r="N1113" s="454"/>
      <x:c r="O1113" s="454"/>
      <x:c r="P1113" s="454"/>
      <x:c r="Q1113" s="454"/>
      <x:c r="R1113" s="454"/>
      <x:c r="S1113" s="454"/>
      <x:c r="T1113" s="454"/>
      <x:c r="U1113" s="454"/>
      <x:c r="V1113" s="455"/>
      <x:c r="W1113" s="456"/>
      <x:c r="X1113" s="450"/>
      <x:c r="Y1113" s="457"/>
      <x:c r="Z1113" s="458"/>
      <x:c r="AA1113" s="458"/>
      <x:c r="AB1113" s="458"/>
      <x:c r="AC1113" s="458"/>
      <x:c r="AD1113" s="458"/>
      <x:c r="AE1113" s="458"/>
    </x:row>
    <x:row r="1114" spans="1:31" ht="20.100000000000001" customHeight="1">
      <x:c r="A1114" s="439"/>
      <x:c r="B1114" s="466" t="str">
        <x:f t="shared" si="152"/>
        <x:v/>
      </x:c>
      <x:c r="C1114" s="440" t="str">
        <x:f t="shared" si="153"/>
        <x:v/>
      </x:c>
      <x:c r="D1114" s="441"/>
      <x:c r="E1114" s="442" t="str">
        <x:f t="shared" si="154"/>
        <x:v/>
      </x:c>
      <x:c r="F1114" s="443"/>
      <x:c r="G1114" s="444"/>
      <x:c r="H1114" s="445" t="str">
        <x:f t="shared" si="151"/>
        <x:v/>
      </x:c>
      <x:c r="I1114" s="446" t="str">
        <x:f t="shared" si="155"/>
        <x:v/>
      </x:c>
      <x:c r="J1114" s="445"/>
      <x:c r="K1114" s="453"/>
      <x:c r="L1114" s="454"/>
      <x:c r="M1114" s="454"/>
      <x:c r="N1114" s="454"/>
      <x:c r="O1114" s="454"/>
      <x:c r="P1114" s="454"/>
      <x:c r="Q1114" s="454"/>
      <x:c r="R1114" s="454"/>
      <x:c r="S1114" s="454"/>
      <x:c r="T1114" s="454"/>
      <x:c r="U1114" s="454"/>
      <x:c r="V1114" s="455"/>
      <x:c r="W1114" s="456"/>
      <x:c r="X1114" s="450"/>
      <x:c r="Y1114" s="457"/>
      <x:c r="Z1114" s="458"/>
      <x:c r="AA1114" s="458"/>
      <x:c r="AB1114" s="458"/>
      <x:c r="AC1114" s="458"/>
      <x:c r="AD1114" s="458"/>
      <x:c r="AE1114" s="458"/>
    </x:row>
    <x:row r="1115" spans="1:31" ht="20.100000000000001" customHeight="1">
      <x:c r="A1115" s="439"/>
      <x:c r="B1115" s="466" t="str">
        <x:f t="shared" si="152"/>
        <x:v/>
      </x:c>
      <x:c r="C1115" s="440" t="str">
        <x:f t="shared" si="153"/>
        <x:v/>
      </x:c>
      <x:c r="D1115" s="441"/>
      <x:c r="E1115" s="442" t="str">
        <x:f t="shared" si="154"/>
        <x:v/>
      </x:c>
      <x:c r="F1115" s="443"/>
      <x:c r="G1115" s="444"/>
      <x:c r="H1115" s="445" t="str">
        <x:f t="shared" si="151"/>
        <x:v/>
      </x:c>
      <x:c r="I1115" s="446" t="str">
        <x:f t="shared" si="155"/>
        <x:v/>
      </x:c>
      <x:c r="J1115" s="445"/>
      <x:c r="K1115" s="453"/>
      <x:c r="L1115" s="454"/>
      <x:c r="M1115" s="454"/>
      <x:c r="N1115" s="454"/>
      <x:c r="O1115" s="454"/>
      <x:c r="P1115" s="454"/>
      <x:c r="Q1115" s="454"/>
      <x:c r="R1115" s="454"/>
      <x:c r="S1115" s="454"/>
      <x:c r="T1115" s="454"/>
      <x:c r="U1115" s="454"/>
      <x:c r="V1115" s="455"/>
      <x:c r="W1115" s="456"/>
      <x:c r="X1115" s="450"/>
      <x:c r="Y1115" s="457"/>
      <x:c r="Z1115" s="458"/>
      <x:c r="AA1115" s="458"/>
      <x:c r="AB1115" s="458"/>
      <x:c r="AC1115" s="458"/>
      <x:c r="AD1115" s="458"/>
      <x:c r="AE1115" s="458"/>
    </x:row>
    <x:row r="1116" spans="1:31" ht="20.100000000000001" customHeight="1">
      <x:c r="A1116" s="439"/>
      <x:c r="B1116" s="466" t="str">
        <x:f t="shared" si="152"/>
        <x:v/>
      </x:c>
      <x:c r="C1116" s="440" t="str">
        <x:f t="shared" si="153"/>
        <x:v/>
      </x:c>
      <x:c r="D1116" s="441"/>
      <x:c r="E1116" s="442" t="str">
        <x:f t="shared" si="154"/>
        <x:v/>
      </x:c>
      <x:c r="F1116" s="443"/>
      <x:c r="G1116" s="444"/>
      <x:c r="H1116" s="445" t="str">
        <x:f t="shared" si="151"/>
        <x:v/>
      </x:c>
      <x:c r="I1116" s="446" t="str">
        <x:f t="shared" si="155"/>
        <x:v/>
      </x:c>
      <x:c r="J1116" s="445"/>
      <x:c r="K1116" s="453"/>
      <x:c r="L1116" s="454"/>
      <x:c r="M1116" s="454"/>
      <x:c r="N1116" s="454"/>
      <x:c r="O1116" s="454"/>
      <x:c r="P1116" s="454"/>
      <x:c r="Q1116" s="454"/>
      <x:c r="R1116" s="454"/>
      <x:c r="S1116" s="454"/>
      <x:c r="T1116" s="454"/>
      <x:c r="U1116" s="454"/>
      <x:c r="V1116" s="455"/>
      <x:c r="W1116" s="456"/>
      <x:c r="X1116" s="450"/>
      <x:c r="Y1116" s="457"/>
      <x:c r="Z1116" s="458"/>
      <x:c r="AA1116" s="458"/>
      <x:c r="AB1116" s="458"/>
      <x:c r="AC1116" s="458"/>
      <x:c r="AD1116" s="458"/>
      <x:c r="AE1116" s="458"/>
    </x:row>
    <x:row r="1117" spans="1:31" ht="20.100000000000001" customHeight="1">
      <x:c r="A1117" s="439"/>
      <x:c r="B1117" s="466" t="str">
        <x:f t="shared" si="152"/>
        <x:v/>
      </x:c>
      <x:c r="C1117" s="440" t="str">
        <x:f t="shared" si="153"/>
        <x:v/>
      </x:c>
      <x:c r="D1117" s="441"/>
      <x:c r="E1117" s="442" t="str">
        <x:f t="shared" si="154"/>
        <x:v/>
      </x:c>
      <x:c r="F1117" s="443"/>
      <x:c r="G1117" s="444"/>
      <x:c r="H1117" s="445" t="str">
        <x:f t="shared" si="151"/>
        <x:v/>
      </x:c>
      <x:c r="I1117" s="446" t="str">
        <x:f t="shared" si="155"/>
        <x:v/>
      </x:c>
      <x:c r="J1117" s="445"/>
      <x:c r="K1117" s="453"/>
      <x:c r="L1117" s="454"/>
      <x:c r="M1117" s="454"/>
      <x:c r="N1117" s="454"/>
      <x:c r="O1117" s="454"/>
      <x:c r="P1117" s="454"/>
      <x:c r="Q1117" s="454"/>
      <x:c r="R1117" s="454"/>
      <x:c r="S1117" s="454"/>
      <x:c r="T1117" s="454"/>
      <x:c r="U1117" s="454"/>
      <x:c r="V1117" s="455"/>
      <x:c r="W1117" s="456"/>
      <x:c r="X1117" s="450"/>
      <x:c r="Y1117" s="457"/>
      <x:c r="Z1117" s="458"/>
      <x:c r="AA1117" s="458"/>
      <x:c r="AB1117" s="458"/>
      <x:c r="AC1117" s="458"/>
      <x:c r="AD1117" s="458"/>
      <x:c r="AE1117" s="458"/>
    </x:row>
    <x:row r="1118" spans="1:31" ht="20.100000000000001" customHeight="1">
      <x:c r="A1118" s="439"/>
      <x:c r="B1118" s="466" t="str">
        <x:f t="shared" si="152"/>
        <x:v/>
      </x:c>
      <x:c r="C1118" s="440" t="str">
        <x:f t="shared" si="153"/>
        <x:v/>
      </x:c>
      <x:c r="D1118" s="441"/>
      <x:c r="E1118" s="442" t="str">
        <x:f t="shared" si="154"/>
        <x:v/>
      </x:c>
      <x:c r="F1118" s="443"/>
      <x:c r="G1118" s="444"/>
      <x:c r="H1118" s="445" t="str">
        <x:f t="shared" si="151"/>
        <x:v/>
      </x:c>
      <x:c r="I1118" s="446" t="str">
        <x:f t="shared" si="155"/>
        <x:v/>
      </x:c>
      <x:c r="J1118" s="445"/>
      <x:c r="K1118" s="453"/>
      <x:c r="L1118" s="454"/>
      <x:c r="M1118" s="454"/>
      <x:c r="N1118" s="454"/>
      <x:c r="O1118" s="454"/>
      <x:c r="P1118" s="454"/>
      <x:c r="Q1118" s="454"/>
      <x:c r="R1118" s="454"/>
      <x:c r="S1118" s="454"/>
      <x:c r="T1118" s="454"/>
      <x:c r="U1118" s="454"/>
      <x:c r="V1118" s="455"/>
      <x:c r="W1118" s="456"/>
      <x:c r="X1118" s="450"/>
      <x:c r="Y1118" s="457"/>
      <x:c r="Z1118" s="458"/>
      <x:c r="AA1118" s="458"/>
      <x:c r="AB1118" s="458"/>
      <x:c r="AC1118" s="458"/>
      <x:c r="AD1118" s="458"/>
      <x:c r="AE1118" s="458"/>
    </x:row>
    <x:row r="1119" spans="1:31" ht="20.100000000000001" customHeight="1">
      <x:c r="A1119" s="439"/>
      <x:c r="B1119" s="466" t="str">
        <x:f t="shared" si="152"/>
        <x:v/>
      </x:c>
      <x:c r="C1119" s="440" t="str">
        <x:f t="shared" si="153"/>
        <x:v/>
      </x:c>
      <x:c r="D1119" s="441"/>
      <x:c r="E1119" s="442" t="str">
        <x:f t="shared" si="154"/>
        <x:v/>
      </x:c>
      <x:c r="F1119" s="443"/>
      <x:c r="G1119" s="444"/>
      <x:c r="H1119" s="445" t="str">
        <x:f t="shared" si="151"/>
        <x:v/>
      </x:c>
      <x:c r="I1119" s="446" t="str">
        <x:f t="shared" si="155"/>
        <x:v/>
      </x:c>
      <x:c r="J1119" s="445"/>
      <x:c r="K1119" s="453"/>
      <x:c r="L1119" s="454"/>
      <x:c r="M1119" s="454"/>
      <x:c r="N1119" s="454"/>
      <x:c r="O1119" s="454"/>
      <x:c r="P1119" s="454"/>
      <x:c r="Q1119" s="454"/>
      <x:c r="R1119" s="454"/>
      <x:c r="S1119" s="454"/>
      <x:c r="T1119" s="454"/>
      <x:c r="U1119" s="454"/>
      <x:c r="V1119" s="455"/>
      <x:c r="W1119" s="456"/>
      <x:c r="X1119" s="450"/>
      <x:c r="Y1119" s="457"/>
      <x:c r="Z1119" s="458"/>
      <x:c r="AA1119" s="458"/>
      <x:c r="AB1119" s="458"/>
      <x:c r="AC1119" s="458"/>
      <x:c r="AD1119" s="458"/>
      <x:c r="AE1119" s="458"/>
    </x:row>
    <x:row r="1120" spans="1:31" ht="20.100000000000001" customHeight="1">
      <x:c r="A1120" s="439"/>
      <x:c r="B1120" s="466" t="str">
        <x:f t="shared" si="152"/>
        <x:v/>
      </x:c>
      <x:c r="C1120" s="440" t="str">
        <x:f t="shared" si="153"/>
        <x:v/>
      </x:c>
      <x:c r="D1120" s="441"/>
      <x:c r="E1120" s="442" t="str">
        <x:f t="shared" si="154"/>
        <x:v/>
      </x:c>
      <x:c r="F1120" s="443"/>
      <x:c r="G1120" s="444"/>
      <x:c r="H1120" s="445" t="str">
        <x:f t="shared" si="151"/>
        <x:v/>
      </x:c>
      <x:c r="I1120" s="446" t="str">
        <x:f t="shared" si="155"/>
        <x:v/>
      </x:c>
      <x:c r="J1120" s="445"/>
      <x:c r="K1120" s="453"/>
      <x:c r="L1120" s="454"/>
      <x:c r="M1120" s="454"/>
      <x:c r="N1120" s="454"/>
      <x:c r="O1120" s="454"/>
      <x:c r="P1120" s="454"/>
      <x:c r="Q1120" s="454"/>
      <x:c r="R1120" s="454"/>
      <x:c r="S1120" s="454"/>
      <x:c r="T1120" s="454"/>
      <x:c r="U1120" s="454"/>
      <x:c r="V1120" s="455"/>
      <x:c r="W1120" s="456"/>
      <x:c r="X1120" s="450"/>
      <x:c r="Y1120" s="457"/>
      <x:c r="Z1120" s="458"/>
      <x:c r="AA1120" s="458"/>
      <x:c r="AB1120" s="458"/>
      <x:c r="AC1120" s="458"/>
      <x:c r="AD1120" s="458"/>
      <x:c r="AE1120" s="458"/>
    </x:row>
    <x:row r="1121" spans="1:31" ht="20.100000000000001" customHeight="1">
      <x:c r="A1121" s="439"/>
      <x:c r="B1121" s="466" t="str">
        <x:f t="shared" si="152"/>
        <x:v/>
      </x:c>
      <x:c r="C1121" s="440" t="str">
        <x:f t="shared" si="153"/>
        <x:v/>
      </x:c>
      <x:c r="D1121" s="441"/>
      <x:c r="E1121" s="442" t="str">
        <x:f t="shared" si="154"/>
        <x:v/>
      </x:c>
      <x:c r="F1121" s="443"/>
      <x:c r="G1121" s="444"/>
      <x:c r="H1121" s="445" t="str">
        <x:f t="shared" si="151"/>
        <x:v/>
      </x:c>
      <x:c r="I1121" s="446" t="str">
        <x:f t="shared" si="155"/>
        <x:v/>
      </x:c>
      <x:c r="J1121" s="445"/>
      <x:c r="K1121" s="453"/>
      <x:c r="L1121" s="454"/>
      <x:c r="M1121" s="454"/>
      <x:c r="N1121" s="454"/>
      <x:c r="O1121" s="454"/>
      <x:c r="P1121" s="454"/>
      <x:c r="Q1121" s="454"/>
      <x:c r="R1121" s="454"/>
      <x:c r="S1121" s="454"/>
      <x:c r="T1121" s="454"/>
      <x:c r="U1121" s="454"/>
      <x:c r="V1121" s="455"/>
      <x:c r="W1121" s="456"/>
      <x:c r="X1121" s="450"/>
      <x:c r="Y1121" s="457"/>
      <x:c r="Z1121" s="458"/>
      <x:c r="AA1121" s="458"/>
      <x:c r="AB1121" s="458"/>
      <x:c r="AC1121" s="458"/>
      <x:c r="AD1121" s="458"/>
      <x:c r="AE1121" s="458"/>
    </x:row>
    <x:row r="1122" spans="1:31" ht="20.100000000000001" customHeight="1">
      <x:c r="A1122" s="439"/>
      <x:c r="B1122" s="466" t="str">
        <x:f t="shared" si="152"/>
        <x:v/>
      </x:c>
      <x:c r="C1122" s="440" t="str">
        <x:f t="shared" si="153"/>
        <x:v/>
      </x:c>
      <x:c r="D1122" s="441"/>
      <x:c r="E1122" s="442" t="str">
        <x:f t="shared" si="154"/>
        <x:v/>
      </x:c>
      <x:c r="F1122" s="443"/>
      <x:c r="G1122" s="444"/>
      <x:c r="H1122" s="445" t="str">
        <x:f t="shared" si="151"/>
        <x:v/>
      </x:c>
      <x:c r="I1122" s="446" t="str">
        <x:f t="shared" si="155"/>
        <x:v/>
      </x:c>
      <x:c r="J1122" s="445"/>
      <x:c r="K1122" s="453"/>
      <x:c r="L1122" s="454"/>
      <x:c r="M1122" s="454"/>
      <x:c r="N1122" s="454"/>
      <x:c r="O1122" s="454"/>
      <x:c r="P1122" s="454"/>
      <x:c r="Q1122" s="454"/>
      <x:c r="R1122" s="454"/>
      <x:c r="S1122" s="454"/>
      <x:c r="T1122" s="454"/>
      <x:c r="U1122" s="454"/>
      <x:c r="V1122" s="455"/>
      <x:c r="W1122" s="456"/>
      <x:c r="X1122" s="450"/>
      <x:c r="Y1122" s="457"/>
      <x:c r="Z1122" s="458"/>
      <x:c r="AA1122" s="458"/>
      <x:c r="AB1122" s="458"/>
      <x:c r="AC1122" s="458"/>
      <x:c r="AD1122" s="458"/>
      <x:c r="AE1122" s="458"/>
    </x:row>
    <x:row r="1123" spans="1:31" ht="20.100000000000001" customHeight="1">
      <x:c r="A1123" s="439"/>
      <x:c r="B1123" s="466" t="str">
        <x:f t="shared" si="152"/>
        <x:v/>
      </x:c>
      <x:c r="C1123" s="440" t="str">
        <x:f t="shared" si="153"/>
        <x:v/>
      </x:c>
      <x:c r="D1123" s="441"/>
      <x:c r="E1123" s="442" t="str">
        <x:f t="shared" si="154"/>
        <x:v/>
      </x:c>
      <x:c r="F1123" s="443"/>
      <x:c r="G1123" s="444"/>
      <x:c r="H1123" s="445" t="str">
        <x:f t="shared" si="151"/>
        <x:v/>
      </x:c>
      <x:c r="I1123" s="446" t="str">
        <x:f t="shared" si="155"/>
        <x:v/>
      </x:c>
      <x:c r="J1123" s="445"/>
      <x:c r="K1123" s="453"/>
      <x:c r="L1123" s="454"/>
      <x:c r="M1123" s="454"/>
      <x:c r="N1123" s="454"/>
      <x:c r="O1123" s="454"/>
      <x:c r="P1123" s="454"/>
      <x:c r="Q1123" s="454"/>
      <x:c r="R1123" s="454"/>
      <x:c r="S1123" s="454"/>
      <x:c r="T1123" s="454"/>
      <x:c r="U1123" s="454"/>
      <x:c r="V1123" s="455"/>
      <x:c r="W1123" s="456"/>
      <x:c r="X1123" s="450"/>
      <x:c r="Y1123" s="457"/>
      <x:c r="Z1123" s="458"/>
      <x:c r="AA1123" s="458"/>
      <x:c r="AB1123" s="458"/>
      <x:c r="AC1123" s="458"/>
      <x:c r="AD1123" s="458"/>
      <x:c r="AE1123" s="458"/>
    </x:row>
    <x:row r="1124" spans="1:31" ht="20.100000000000001" customHeight="1">
      <x:c r="A1124" s="439"/>
      <x:c r="B1124" s="466" t="str">
        <x:f t="shared" si="152"/>
        <x:v/>
      </x:c>
      <x:c r="C1124" s="440" t="str">
        <x:f t="shared" si="153"/>
        <x:v/>
      </x:c>
      <x:c r="D1124" s="441"/>
      <x:c r="E1124" s="442" t="str">
        <x:f t="shared" si="154"/>
        <x:v/>
      </x:c>
      <x:c r="F1124" s="443"/>
      <x:c r="G1124" s="444"/>
      <x:c r="H1124" s="445" t="str">
        <x:f t="shared" si="151"/>
        <x:v/>
      </x:c>
      <x:c r="I1124" s="446" t="str">
        <x:f t="shared" si="155"/>
        <x:v/>
      </x:c>
      <x:c r="J1124" s="445"/>
      <x:c r="K1124" s="453"/>
      <x:c r="L1124" s="454"/>
      <x:c r="M1124" s="454"/>
      <x:c r="N1124" s="454"/>
      <x:c r="O1124" s="454"/>
      <x:c r="P1124" s="454"/>
      <x:c r="Q1124" s="454"/>
      <x:c r="R1124" s="454"/>
      <x:c r="S1124" s="454"/>
      <x:c r="T1124" s="454"/>
      <x:c r="U1124" s="454"/>
      <x:c r="V1124" s="455"/>
      <x:c r="W1124" s="456"/>
      <x:c r="X1124" s="450"/>
      <x:c r="Y1124" s="457"/>
      <x:c r="Z1124" s="458"/>
      <x:c r="AA1124" s="458"/>
      <x:c r="AB1124" s="458"/>
      <x:c r="AC1124" s="458"/>
      <x:c r="AD1124" s="458"/>
      <x:c r="AE1124" s="458"/>
    </x:row>
    <x:row r="1125" spans="1:31" ht="20.100000000000001" customHeight="1">
      <x:c r="A1125" s="439"/>
      <x:c r="B1125" s="466" t="str">
        <x:f t="shared" si="152"/>
        <x:v/>
      </x:c>
      <x:c r="C1125" s="440" t="str">
        <x:f t="shared" si="153"/>
        <x:v/>
      </x:c>
      <x:c r="D1125" s="441"/>
      <x:c r="E1125" s="442" t="str">
        <x:f t="shared" si="154"/>
        <x:v/>
      </x:c>
      <x:c r="F1125" s="443"/>
      <x:c r="G1125" s="444"/>
      <x:c r="H1125" s="445" t="str">
        <x:f t="shared" si="151"/>
        <x:v/>
      </x:c>
      <x:c r="I1125" s="446" t="str">
        <x:f t="shared" si="155"/>
        <x:v/>
      </x:c>
      <x:c r="J1125" s="445"/>
      <x:c r="K1125" s="453"/>
      <x:c r="L1125" s="454"/>
      <x:c r="M1125" s="454"/>
      <x:c r="N1125" s="454"/>
      <x:c r="O1125" s="454"/>
      <x:c r="P1125" s="454"/>
      <x:c r="Q1125" s="454"/>
      <x:c r="R1125" s="454"/>
      <x:c r="S1125" s="454"/>
      <x:c r="T1125" s="454"/>
      <x:c r="U1125" s="454"/>
      <x:c r="V1125" s="455"/>
      <x:c r="W1125" s="456"/>
      <x:c r="X1125" s="450"/>
      <x:c r="Y1125" s="457"/>
      <x:c r="Z1125" s="458"/>
      <x:c r="AA1125" s="458"/>
      <x:c r="AB1125" s="458"/>
      <x:c r="AC1125" s="458"/>
      <x:c r="AD1125" s="458"/>
      <x:c r="AE1125" s="458"/>
    </x:row>
    <x:row r="1126" spans="1:31" ht="20.100000000000001" customHeight="1">
      <x:c r="A1126" s="439"/>
      <x:c r="B1126" s="466" t="str">
        <x:f t="shared" si="152"/>
        <x:v/>
      </x:c>
      <x:c r="C1126" s="440" t="str">
        <x:f t="shared" si="153"/>
        <x:v/>
      </x:c>
      <x:c r="D1126" s="441"/>
      <x:c r="E1126" s="442" t="str">
        <x:f t="shared" si="154"/>
        <x:v/>
      </x:c>
      <x:c r="F1126" s="443"/>
      <x:c r="G1126" s="444"/>
      <x:c r="H1126" s="445" t="str">
        <x:f t="shared" si="151"/>
        <x:v/>
      </x:c>
      <x:c r="I1126" s="446" t="str">
        <x:f t="shared" si="155"/>
        <x:v/>
      </x:c>
      <x:c r="J1126" s="445"/>
      <x:c r="K1126" s="453"/>
      <x:c r="L1126" s="454"/>
      <x:c r="M1126" s="454"/>
      <x:c r="N1126" s="454"/>
      <x:c r="O1126" s="454"/>
      <x:c r="P1126" s="454"/>
      <x:c r="Q1126" s="454"/>
      <x:c r="R1126" s="454"/>
      <x:c r="S1126" s="454"/>
      <x:c r="T1126" s="454"/>
      <x:c r="U1126" s="454"/>
      <x:c r="V1126" s="455"/>
      <x:c r="W1126" s="456"/>
      <x:c r="X1126" s="450"/>
      <x:c r="Y1126" s="457"/>
      <x:c r="Z1126" s="458"/>
      <x:c r="AA1126" s="458"/>
      <x:c r="AB1126" s="458"/>
      <x:c r="AC1126" s="458"/>
      <x:c r="AD1126" s="458"/>
      <x:c r="AE1126" s="458"/>
    </x:row>
    <x:row r="1127" spans="1:31" ht="20.100000000000001" customHeight="1">
      <x:c r="A1127" s="439"/>
      <x:c r="B1127" s="466" t="str">
        <x:f t="shared" si="152"/>
        <x:v/>
      </x:c>
      <x:c r="C1127" s="440" t="str">
        <x:f t="shared" si="153"/>
        <x:v/>
      </x:c>
      <x:c r="D1127" s="441"/>
      <x:c r="E1127" s="442" t="str">
        <x:f t="shared" si="154"/>
        <x:v/>
      </x:c>
      <x:c r="F1127" s="443"/>
      <x:c r="G1127" s="444"/>
      <x:c r="H1127" s="445" t="str">
        <x:f t="shared" si="151"/>
        <x:v/>
      </x:c>
      <x:c r="I1127" s="446" t="str">
        <x:f t="shared" si="155"/>
        <x:v/>
      </x:c>
      <x:c r="J1127" s="445"/>
      <x:c r="K1127" s="453"/>
      <x:c r="L1127" s="454"/>
      <x:c r="M1127" s="454"/>
      <x:c r="N1127" s="454"/>
      <x:c r="O1127" s="454"/>
      <x:c r="P1127" s="454"/>
      <x:c r="Q1127" s="454"/>
      <x:c r="R1127" s="454"/>
      <x:c r="S1127" s="454"/>
      <x:c r="T1127" s="454"/>
      <x:c r="U1127" s="454"/>
      <x:c r="V1127" s="455"/>
      <x:c r="W1127" s="456"/>
      <x:c r="X1127" s="450"/>
      <x:c r="Y1127" s="457"/>
      <x:c r="Z1127" s="458"/>
      <x:c r="AA1127" s="458"/>
      <x:c r="AB1127" s="458"/>
      <x:c r="AC1127" s="458"/>
      <x:c r="AD1127" s="458"/>
      <x:c r="AE1127" s="458"/>
    </x:row>
    <x:row r="1128" spans="1:31" ht="20.100000000000001" customHeight="1">
      <x:c r="A1128" s="439"/>
      <x:c r="B1128" s="466" t="str">
        <x:f t="shared" si="152"/>
        <x:v/>
      </x:c>
      <x:c r="C1128" s="440" t="str">
        <x:f t="shared" si="153"/>
        <x:v/>
      </x:c>
      <x:c r="D1128" s="441"/>
      <x:c r="E1128" s="442" t="str">
        <x:f t="shared" si="154"/>
        <x:v/>
      </x:c>
      <x:c r="F1128" s="443"/>
      <x:c r="G1128" s="444"/>
      <x:c r="H1128" s="445" t="str">
        <x:f t="shared" si="151"/>
        <x:v/>
      </x:c>
      <x:c r="I1128" s="446" t="str">
        <x:f t="shared" si="155"/>
        <x:v/>
      </x:c>
      <x:c r="J1128" s="445"/>
      <x:c r="K1128" s="453"/>
      <x:c r="L1128" s="454"/>
      <x:c r="M1128" s="454"/>
      <x:c r="N1128" s="454"/>
      <x:c r="O1128" s="454"/>
      <x:c r="P1128" s="454"/>
      <x:c r="Q1128" s="454"/>
      <x:c r="R1128" s="454"/>
      <x:c r="S1128" s="454"/>
      <x:c r="T1128" s="454"/>
      <x:c r="U1128" s="454"/>
      <x:c r="V1128" s="455"/>
      <x:c r="W1128" s="456"/>
      <x:c r="X1128" s="450"/>
      <x:c r="Y1128" s="457"/>
      <x:c r="Z1128" s="458"/>
      <x:c r="AA1128" s="458"/>
      <x:c r="AB1128" s="458"/>
      <x:c r="AC1128" s="458"/>
      <x:c r="AD1128" s="458"/>
      <x:c r="AE1128" s="458"/>
    </x:row>
    <x:row r="1129" spans="1:31" ht="20.100000000000001" customHeight="1">
      <x:c r="A1129" s="439"/>
      <x:c r="B1129" s="466" t="str">
        <x:f t="shared" si="152"/>
        <x:v/>
      </x:c>
      <x:c r="C1129" s="440" t="str">
        <x:f t="shared" si="153"/>
        <x:v/>
      </x:c>
      <x:c r="D1129" s="441"/>
      <x:c r="E1129" s="442" t="str">
        <x:f t="shared" si="154"/>
        <x:v/>
      </x:c>
      <x:c r="F1129" s="443"/>
      <x:c r="G1129" s="444"/>
      <x:c r="H1129" s="445" t="str">
        <x:f t="shared" si="151"/>
        <x:v/>
      </x:c>
      <x:c r="I1129" s="446" t="str">
        <x:f t="shared" si="155"/>
        <x:v/>
      </x:c>
      <x:c r="J1129" s="445"/>
      <x:c r="K1129" s="453"/>
      <x:c r="L1129" s="454"/>
      <x:c r="M1129" s="454"/>
      <x:c r="N1129" s="454"/>
      <x:c r="O1129" s="454"/>
      <x:c r="P1129" s="454"/>
      <x:c r="Q1129" s="454"/>
      <x:c r="R1129" s="454"/>
      <x:c r="S1129" s="454"/>
      <x:c r="T1129" s="454"/>
      <x:c r="U1129" s="454"/>
      <x:c r="V1129" s="455"/>
      <x:c r="W1129" s="456"/>
      <x:c r="X1129" s="450"/>
      <x:c r="Y1129" s="457"/>
      <x:c r="Z1129" s="458"/>
      <x:c r="AA1129" s="458"/>
      <x:c r="AB1129" s="458"/>
      <x:c r="AC1129" s="458"/>
      <x:c r="AD1129" s="458"/>
      <x:c r="AE1129" s="458"/>
    </x:row>
    <x:row r="1130" spans="1:31" ht="20.100000000000001" customHeight="1">
      <x:c r="A1130" s="439"/>
      <x:c r="B1130" s="466" t="str">
        <x:f t="shared" si="152"/>
        <x:v/>
      </x:c>
      <x:c r="C1130" s="440" t="str">
        <x:f t="shared" si="153"/>
        <x:v/>
      </x:c>
      <x:c r="D1130" s="441"/>
      <x:c r="E1130" s="442" t="str">
        <x:f t="shared" si="154"/>
        <x:v/>
      </x:c>
      <x:c r="F1130" s="443"/>
      <x:c r="G1130" s="444"/>
      <x:c r="H1130" s="445" t="str">
        <x:f t="shared" si="151"/>
        <x:v/>
      </x:c>
      <x:c r="I1130" s="446" t="str">
        <x:f t="shared" si="155"/>
        <x:v/>
      </x:c>
      <x:c r="J1130" s="445"/>
      <x:c r="K1130" s="453"/>
      <x:c r="L1130" s="454"/>
      <x:c r="M1130" s="454"/>
      <x:c r="N1130" s="454"/>
      <x:c r="O1130" s="454"/>
      <x:c r="P1130" s="454"/>
      <x:c r="Q1130" s="454"/>
      <x:c r="R1130" s="454"/>
      <x:c r="S1130" s="454"/>
      <x:c r="T1130" s="454"/>
      <x:c r="U1130" s="454"/>
      <x:c r="V1130" s="455"/>
      <x:c r="W1130" s="456"/>
      <x:c r="X1130" s="450"/>
      <x:c r="Y1130" s="457"/>
      <x:c r="Z1130" s="458"/>
      <x:c r="AA1130" s="458"/>
      <x:c r="AB1130" s="458"/>
      <x:c r="AC1130" s="458"/>
      <x:c r="AD1130" s="458"/>
      <x:c r="AE1130" s="458"/>
    </x:row>
    <x:row r="1131" spans="1:31" ht="20.100000000000001" customHeight="1">
      <x:c r="A1131" s="439"/>
      <x:c r="B1131" s="466" t="str">
        <x:f t="shared" si="152"/>
        <x:v/>
      </x:c>
      <x:c r="C1131" s="440" t="str">
        <x:f t="shared" si="153"/>
        <x:v/>
      </x:c>
      <x:c r="D1131" s="441"/>
      <x:c r="E1131" s="442" t="str">
        <x:f t="shared" si="154"/>
        <x:v/>
      </x:c>
      <x:c r="F1131" s="443"/>
      <x:c r="G1131" s="444"/>
      <x:c r="H1131" s="445" t="str">
        <x:f t="shared" si="151"/>
        <x:v/>
      </x:c>
      <x:c r="I1131" s="446" t="str">
        <x:f t="shared" si="155"/>
        <x:v/>
      </x:c>
      <x:c r="J1131" s="445"/>
      <x:c r="K1131" s="453"/>
      <x:c r="L1131" s="454"/>
      <x:c r="M1131" s="454"/>
      <x:c r="N1131" s="454"/>
      <x:c r="O1131" s="454"/>
      <x:c r="P1131" s="454"/>
      <x:c r="Q1131" s="454"/>
      <x:c r="R1131" s="454"/>
      <x:c r="S1131" s="454"/>
      <x:c r="T1131" s="454"/>
      <x:c r="U1131" s="454"/>
      <x:c r="V1131" s="455"/>
      <x:c r="W1131" s="456"/>
      <x:c r="X1131" s="450"/>
      <x:c r="Y1131" s="457"/>
      <x:c r="Z1131" s="458"/>
      <x:c r="AA1131" s="458"/>
      <x:c r="AB1131" s="458"/>
      <x:c r="AC1131" s="458"/>
      <x:c r="AD1131" s="458"/>
      <x:c r="AE1131" s="458"/>
    </x:row>
    <x:row r="1132" spans="1:31" ht="20.100000000000001" customHeight="1">
      <x:c r="A1132" s="439"/>
      <x:c r="B1132" s="466" t="str">
        <x:f t="shared" si="152"/>
        <x:v/>
      </x:c>
      <x:c r="C1132" s="440" t="str">
        <x:f t="shared" si="153"/>
        <x:v/>
      </x:c>
      <x:c r="D1132" s="441"/>
      <x:c r="E1132" s="442" t="str">
        <x:f t="shared" si="154"/>
        <x:v/>
      </x:c>
      <x:c r="F1132" s="443"/>
      <x:c r="G1132" s="444"/>
      <x:c r="H1132" s="445" t="str">
        <x:f t="shared" si="151"/>
        <x:v/>
      </x:c>
      <x:c r="I1132" s="446" t="str">
        <x:f t="shared" si="155"/>
        <x:v/>
      </x:c>
      <x:c r="J1132" s="445"/>
      <x:c r="K1132" s="453"/>
      <x:c r="L1132" s="454"/>
      <x:c r="M1132" s="454"/>
      <x:c r="N1132" s="454"/>
      <x:c r="O1132" s="454"/>
      <x:c r="P1132" s="454"/>
      <x:c r="Q1132" s="454"/>
      <x:c r="R1132" s="454"/>
      <x:c r="S1132" s="454"/>
      <x:c r="T1132" s="454"/>
      <x:c r="U1132" s="454"/>
      <x:c r="V1132" s="455"/>
      <x:c r="W1132" s="456"/>
      <x:c r="X1132" s="450"/>
      <x:c r="Y1132" s="457"/>
      <x:c r="Z1132" s="458"/>
      <x:c r="AA1132" s="458"/>
      <x:c r="AB1132" s="458"/>
      <x:c r="AC1132" s="458"/>
      <x:c r="AD1132" s="458"/>
      <x:c r="AE1132" s="458"/>
    </x:row>
    <x:row r="1133" spans="1:31" ht="20.100000000000001" customHeight="1">
      <x:c r="A1133" s="439"/>
      <x:c r="B1133" s="466" t="str">
        <x:f t="shared" si="152"/>
        <x:v/>
      </x:c>
      <x:c r="C1133" s="440" t="str">
        <x:f t="shared" si="153"/>
        <x:v/>
      </x:c>
      <x:c r="D1133" s="441"/>
      <x:c r="E1133" s="442" t="str">
        <x:f t="shared" si="154"/>
        <x:v/>
      </x:c>
      <x:c r="F1133" s="443"/>
      <x:c r="G1133" s="444"/>
      <x:c r="H1133" s="445" t="str">
        <x:f t="shared" si="151"/>
        <x:v/>
      </x:c>
      <x:c r="I1133" s="446" t="str">
        <x:f t="shared" si="155"/>
        <x:v/>
      </x:c>
      <x:c r="J1133" s="445"/>
      <x:c r="K1133" s="453"/>
      <x:c r="L1133" s="454"/>
      <x:c r="M1133" s="454"/>
      <x:c r="N1133" s="454"/>
      <x:c r="O1133" s="454"/>
      <x:c r="P1133" s="454"/>
      <x:c r="Q1133" s="454"/>
      <x:c r="R1133" s="454"/>
      <x:c r="S1133" s="454"/>
      <x:c r="T1133" s="454"/>
      <x:c r="U1133" s="454"/>
      <x:c r="V1133" s="455"/>
      <x:c r="W1133" s="456"/>
      <x:c r="X1133" s="450"/>
      <x:c r="Y1133" s="457"/>
      <x:c r="Z1133" s="458"/>
      <x:c r="AA1133" s="458"/>
      <x:c r="AB1133" s="458"/>
      <x:c r="AC1133" s="458"/>
      <x:c r="AD1133" s="458"/>
      <x:c r="AE1133" s="458"/>
    </x:row>
    <x:row r="1134" spans="1:31" ht="20.100000000000001" customHeight="1">
      <x:c r="A1134" s="439"/>
      <x:c r="B1134" s="466" t="str">
        <x:f t="shared" si="152"/>
        <x:v/>
      </x:c>
      <x:c r="C1134" s="440" t="str">
        <x:f t="shared" si="153"/>
        <x:v/>
      </x:c>
      <x:c r="D1134" s="441"/>
      <x:c r="E1134" s="442" t="str">
        <x:f t="shared" si="154"/>
        <x:v/>
      </x:c>
      <x:c r="F1134" s="443"/>
      <x:c r="G1134" s="444"/>
      <x:c r="H1134" s="445" t="str">
        <x:f t="shared" si="151"/>
        <x:v/>
      </x:c>
      <x:c r="I1134" s="446" t="str">
        <x:f t="shared" si="155"/>
        <x:v/>
      </x:c>
      <x:c r="J1134" s="445"/>
      <x:c r="K1134" s="453"/>
      <x:c r="L1134" s="454"/>
      <x:c r="M1134" s="454"/>
      <x:c r="N1134" s="454"/>
      <x:c r="O1134" s="454"/>
      <x:c r="P1134" s="454"/>
      <x:c r="Q1134" s="454"/>
      <x:c r="R1134" s="454"/>
      <x:c r="S1134" s="454"/>
      <x:c r="T1134" s="454"/>
      <x:c r="U1134" s="454"/>
      <x:c r="V1134" s="455"/>
      <x:c r="W1134" s="456"/>
      <x:c r="X1134" s="450"/>
      <x:c r="Y1134" s="457"/>
      <x:c r="Z1134" s="458"/>
      <x:c r="AA1134" s="458"/>
      <x:c r="AB1134" s="458"/>
      <x:c r="AC1134" s="458"/>
      <x:c r="AD1134" s="458"/>
      <x:c r="AE1134" s="458"/>
    </x:row>
    <x:row r="1135" spans="1:31" ht="20.100000000000001" customHeight="1">
      <x:c r="A1135" s="439"/>
      <x:c r="B1135" s="466" t="str">
        <x:f t="shared" si="152"/>
        <x:v/>
      </x:c>
      <x:c r="C1135" s="440" t="str">
        <x:f t="shared" si="153"/>
        <x:v/>
      </x:c>
      <x:c r="D1135" s="441"/>
      <x:c r="E1135" s="442" t="str">
        <x:f t="shared" si="154"/>
        <x:v/>
      </x:c>
      <x:c r="F1135" s="443"/>
      <x:c r="G1135" s="444"/>
      <x:c r="H1135" s="445" t="str">
        <x:f t="shared" si="151"/>
        <x:v/>
      </x:c>
      <x:c r="I1135" s="446" t="str">
        <x:f t="shared" si="155"/>
        <x:v/>
      </x:c>
      <x:c r="J1135" s="445"/>
      <x:c r="K1135" s="453"/>
      <x:c r="L1135" s="454"/>
      <x:c r="M1135" s="454"/>
      <x:c r="N1135" s="454"/>
      <x:c r="O1135" s="454"/>
      <x:c r="P1135" s="454"/>
      <x:c r="Q1135" s="454"/>
      <x:c r="R1135" s="454"/>
      <x:c r="S1135" s="454"/>
      <x:c r="T1135" s="454"/>
      <x:c r="U1135" s="454"/>
      <x:c r="V1135" s="455"/>
      <x:c r="W1135" s="456"/>
      <x:c r="X1135" s="450"/>
      <x:c r="Y1135" s="457"/>
      <x:c r="Z1135" s="458"/>
      <x:c r="AA1135" s="458"/>
      <x:c r="AB1135" s="458"/>
      <x:c r="AC1135" s="458"/>
      <x:c r="AD1135" s="458"/>
      <x:c r="AE1135" s="458"/>
    </x:row>
    <x:row r="1136" spans="1:31" ht="20.100000000000001" customHeight="1">
      <x:c r="A1136" s="439"/>
      <x:c r="B1136" s="466" t="str">
        <x:f t="shared" si="152"/>
        <x:v/>
      </x:c>
      <x:c r="C1136" s="440" t="str">
        <x:f t="shared" si="153"/>
        <x:v/>
      </x:c>
      <x:c r="D1136" s="441"/>
      <x:c r="E1136" s="442" t="str">
        <x:f t="shared" si="154"/>
        <x:v/>
      </x:c>
      <x:c r="F1136" s="443"/>
      <x:c r="G1136" s="444"/>
      <x:c r="H1136" s="445" t="str">
        <x:f t="shared" si="151"/>
        <x:v/>
      </x:c>
      <x:c r="I1136" s="446" t="str">
        <x:f t="shared" si="155"/>
        <x:v/>
      </x:c>
      <x:c r="J1136" s="445"/>
      <x:c r="K1136" s="453"/>
      <x:c r="L1136" s="454"/>
      <x:c r="M1136" s="454"/>
      <x:c r="N1136" s="454"/>
      <x:c r="O1136" s="454"/>
      <x:c r="P1136" s="454"/>
      <x:c r="Q1136" s="454"/>
      <x:c r="R1136" s="454"/>
      <x:c r="S1136" s="454"/>
      <x:c r="T1136" s="454"/>
      <x:c r="U1136" s="454"/>
      <x:c r="V1136" s="455"/>
      <x:c r="W1136" s="456"/>
      <x:c r="X1136" s="450"/>
      <x:c r="Y1136" s="457"/>
      <x:c r="Z1136" s="458"/>
      <x:c r="AA1136" s="458"/>
      <x:c r="AB1136" s="458"/>
      <x:c r="AC1136" s="458"/>
      <x:c r="AD1136" s="458"/>
      <x:c r="AE1136" s="458"/>
    </x:row>
    <x:row r="1137" spans="1:31" ht="20.100000000000001" customHeight="1">
      <x:c r="A1137" s="439"/>
      <x:c r="B1137" s="466" t="str">
        <x:f t="shared" si="152"/>
        <x:v/>
      </x:c>
      <x:c r="C1137" s="440" t="str">
        <x:f t="shared" si="153"/>
        <x:v/>
      </x:c>
      <x:c r="D1137" s="441"/>
      <x:c r="E1137" s="442" t="str">
        <x:f t="shared" si="154"/>
        <x:v/>
      </x:c>
      <x:c r="F1137" s="443"/>
      <x:c r="G1137" s="444"/>
      <x:c r="H1137" s="445" t="str">
        <x:f t="shared" si="151"/>
        <x:v/>
      </x:c>
      <x:c r="I1137" s="446" t="str">
        <x:f t="shared" si="155"/>
        <x:v/>
      </x:c>
      <x:c r="J1137" s="445"/>
      <x:c r="K1137" s="453"/>
      <x:c r="L1137" s="454"/>
      <x:c r="M1137" s="454"/>
      <x:c r="N1137" s="454"/>
      <x:c r="O1137" s="454"/>
      <x:c r="P1137" s="454"/>
      <x:c r="Q1137" s="454"/>
      <x:c r="R1137" s="454"/>
      <x:c r="S1137" s="454"/>
      <x:c r="T1137" s="454"/>
      <x:c r="U1137" s="454"/>
      <x:c r="V1137" s="455"/>
      <x:c r="W1137" s="456"/>
      <x:c r="X1137" s="450"/>
      <x:c r="Y1137" s="457"/>
      <x:c r="Z1137" s="458"/>
      <x:c r="AA1137" s="458"/>
      <x:c r="AB1137" s="458"/>
      <x:c r="AC1137" s="458"/>
      <x:c r="AD1137" s="458"/>
      <x:c r="AE1137" s="458"/>
    </x:row>
    <x:row r="1138" spans="1:31" ht="20.100000000000001" customHeight="1">
      <x:c r="A1138" s="439"/>
      <x:c r="B1138" s="466" t="str">
        <x:f t="shared" si="152"/>
        <x:v/>
      </x:c>
      <x:c r="C1138" s="440" t="str">
        <x:f t="shared" si="153"/>
        <x:v/>
      </x:c>
      <x:c r="D1138" s="441"/>
      <x:c r="E1138" s="442" t="str">
        <x:f t="shared" si="154"/>
        <x:v/>
      </x:c>
      <x:c r="F1138" s="443"/>
      <x:c r="G1138" s="444"/>
      <x:c r="H1138" s="445" t="str">
        <x:f t="shared" si="151"/>
        <x:v/>
      </x:c>
      <x:c r="I1138" s="446" t="str">
        <x:f t="shared" si="155"/>
        <x:v/>
      </x:c>
      <x:c r="J1138" s="445"/>
      <x:c r="K1138" s="453"/>
      <x:c r="L1138" s="454"/>
      <x:c r="M1138" s="454"/>
      <x:c r="N1138" s="454"/>
      <x:c r="O1138" s="454"/>
      <x:c r="P1138" s="454"/>
      <x:c r="Q1138" s="454"/>
      <x:c r="R1138" s="454"/>
      <x:c r="S1138" s="454"/>
      <x:c r="T1138" s="454"/>
      <x:c r="U1138" s="454"/>
      <x:c r="V1138" s="455"/>
      <x:c r="W1138" s="456"/>
      <x:c r="X1138" s="450"/>
      <x:c r="Y1138" s="457"/>
      <x:c r="Z1138" s="458"/>
      <x:c r="AA1138" s="458"/>
      <x:c r="AB1138" s="458"/>
      <x:c r="AC1138" s="458"/>
      <x:c r="AD1138" s="458"/>
      <x:c r="AE1138" s="458"/>
    </x:row>
    <x:row r="1139" spans="1:31" ht="20.100000000000001" customHeight="1">
      <x:c r="A1139" s="439"/>
      <x:c r="B1139" s="466" t="str">
        <x:f t="shared" si="152"/>
        <x:v/>
      </x:c>
      <x:c r="C1139" s="440" t="str">
        <x:f t="shared" si="153"/>
        <x:v/>
      </x:c>
      <x:c r="D1139" s="441"/>
      <x:c r="E1139" s="442" t="str">
        <x:f t="shared" si="154"/>
        <x:v/>
      </x:c>
      <x:c r="F1139" s="443"/>
      <x:c r="G1139" s="444"/>
      <x:c r="H1139" s="445" t="str">
        <x:f t="shared" si="151"/>
        <x:v/>
      </x:c>
      <x:c r="I1139" s="446" t="str">
        <x:f t="shared" si="155"/>
        <x:v/>
      </x:c>
      <x:c r="J1139" s="445"/>
      <x:c r="K1139" s="453"/>
      <x:c r="L1139" s="454"/>
      <x:c r="M1139" s="454"/>
      <x:c r="N1139" s="454"/>
      <x:c r="O1139" s="454"/>
      <x:c r="P1139" s="454"/>
      <x:c r="Q1139" s="454"/>
      <x:c r="R1139" s="454"/>
      <x:c r="S1139" s="454"/>
      <x:c r="T1139" s="454"/>
      <x:c r="U1139" s="454"/>
      <x:c r="V1139" s="455"/>
      <x:c r="W1139" s="456"/>
      <x:c r="X1139" s="450"/>
      <x:c r="Y1139" s="457"/>
      <x:c r="Z1139" s="458"/>
      <x:c r="AA1139" s="458"/>
      <x:c r="AB1139" s="458"/>
      <x:c r="AC1139" s="458"/>
      <x:c r="AD1139" s="458"/>
      <x:c r="AE1139" s="458"/>
    </x:row>
    <x:row r="1140" spans="1:31" ht="20.100000000000001" customHeight="1">
      <x:c r="A1140" s="439"/>
      <x:c r="B1140" s="466" t="str">
        <x:f t="shared" si="152"/>
        <x:v/>
      </x:c>
      <x:c r="C1140" s="440" t="str">
        <x:f t="shared" si="153"/>
        <x:v/>
      </x:c>
      <x:c r="D1140" s="441"/>
      <x:c r="E1140" s="442" t="str">
        <x:f t="shared" si="154"/>
        <x:v/>
      </x:c>
      <x:c r="F1140" s="443"/>
      <x:c r="G1140" s="444"/>
      <x:c r="H1140" s="445" t="str">
        <x:f t="shared" si="151"/>
        <x:v/>
      </x:c>
      <x:c r="I1140" s="446" t="str">
        <x:f t="shared" si="155"/>
        <x:v/>
      </x:c>
      <x:c r="J1140" s="445"/>
      <x:c r="K1140" s="453"/>
      <x:c r="L1140" s="454"/>
      <x:c r="M1140" s="454"/>
      <x:c r="N1140" s="454"/>
      <x:c r="O1140" s="454"/>
      <x:c r="P1140" s="454"/>
      <x:c r="Q1140" s="454"/>
      <x:c r="R1140" s="454"/>
      <x:c r="S1140" s="454"/>
      <x:c r="T1140" s="454"/>
      <x:c r="U1140" s="454"/>
      <x:c r="V1140" s="455"/>
      <x:c r="W1140" s="456"/>
      <x:c r="X1140" s="450"/>
      <x:c r="Y1140" s="457"/>
      <x:c r="Z1140" s="458"/>
      <x:c r="AA1140" s="458"/>
      <x:c r="AB1140" s="458"/>
      <x:c r="AC1140" s="458"/>
      <x:c r="AD1140" s="458"/>
      <x:c r="AE1140" s="458"/>
    </x:row>
    <x:row r="1141" spans="1:31" ht="20.100000000000001" customHeight="1">
      <x:c r="A1141" s="439"/>
      <x:c r="B1141" s="466" t="str">
        <x:f t="shared" si="152"/>
        <x:v/>
      </x:c>
      <x:c r="C1141" s="440" t="str">
        <x:f t="shared" si="153"/>
        <x:v/>
      </x:c>
      <x:c r="D1141" s="441"/>
      <x:c r="E1141" s="442" t="str">
        <x:f t="shared" si="154"/>
        <x:v/>
      </x:c>
      <x:c r="F1141" s="443"/>
      <x:c r="G1141" s="444"/>
      <x:c r="H1141" s="445" t="str">
        <x:f t="shared" si="151"/>
        <x:v/>
      </x:c>
      <x:c r="I1141" s="446" t="str">
        <x:f t="shared" si="155"/>
        <x:v/>
      </x:c>
      <x:c r="J1141" s="445"/>
      <x:c r="K1141" s="453"/>
      <x:c r="L1141" s="454"/>
      <x:c r="M1141" s="454"/>
      <x:c r="N1141" s="454"/>
      <x:c r="O1141" s="454"/>
      <x:c r="P1141" s="454"/>
      <x:c r="Q1141" s="454"/>
      <x:c r="R1141" s="454"/>
      <x:c r="S1141" s="454"/>
      <x:c r="T1141" s="454"/>
      <x:c r="U1141" s="454"/>
      <x:c r="V1141" s="455"/>
      <x:c r="W1141" s="456"/>
      <x:c r="X1141" s="450"/>
      <x:c r="Y1141" s="457"/>
      <x:c r="Z1141" s="458"/>
      <x:c r="AA1141" s="458"/>
      <x:c r="AB1141" s="458"/>
      <x:c r="AC1141" s="458"/>
      <x:c r="AD1141" s="458"/>
      <x:c r="AE1141" s="458"/>
    </x:row>
    <x:row r="1142" spans="1:31" ht="20.100000000000001" customHeight="1">
      <x:c r="A1142" s="439"/>
      <x:c r="B1142" s="466" t="str">
        <x:f t="shared" si="152"/>
        <x:v/>
      </x:c>
      <x:c r="C1142" s="440" t="str">
        <x:f t="shared" si="153"/>
        <x:v/>
      </x:c>
      <x:c r="D1142" s="441"/>
      <x:c r="E1142" s="442" t="str">
        <x:f t="shared" si="154"/>
        <x:v/>
      </x:c>
      <x:c r="F1142" s="443"/>
      <x:c r="G1142" s="444"/>
      <x:c r="H1142" s="445" t="str">
        <x:f t="shared" si="151"/>
        <x:v/>
      </x:c>
      <x:c r="I1142" s="446" t="str">
        <x:f t="shared" si="155"/>
        <x:v/>
      </x:c>
      <x:c r="J1142" s="445"/>
      <x:c r="K1142" s="453"/>
      <x:c r="L1142" s="454"/>
      <x:c r="M1142" s="454"/>
      <x:c r="N1142" s="454"/>
      <x:c r="O1142" s="454"/>
      <x:c r="P1142" s="454"/>
      <x:c r="Q1142" s="454"/>
      <x:c r="R1142" s="454"/>
      <x:c r="S1142" s="454"/>
      <x:c r="T1142" s="454"/>
      <x:c r="U1142" s="454"/>
      <x:c r="V1142" s="455"/>
      <x:c r="W1142" s="456"/>
      <x:c r="X1142" s="450"/>
      <x:c r="Y1142" s="457"/>
      <x:c r="Z1142" s="458"/>
      <x:c r="AA1142" s="458"/>
      <x:c r="AB1142" s="458"/>
      <x:c r="AC1142" s="458"/>
      <x:c r="AD1142" s="458"/>
      <x:c r="AE1142" s="458"/>
    </x:row>
    <x:row r="1143" spans="1:31" ht="20.100000000000001" customHeight="1">
      <x:c r="A1143" s="439"/>
      <x:c r="B1143" s="466" t="str">
        <x:f t="shared" si="152"/>
        <x:v/>
      </x:c>
      <x:c r="C1143" s="440" t="str">
        <x:f t="shared" si="153"/>
        <x:v/>
      </x:c>
      <x:c r="D1143" s="441"/>
      <x:c r="E1143" s="442" t="str">
        <x:f t="shared" si="154"/>
        <x:v/>
      </x:c>
      <x:c r="F1143" s="443"/>
      <x:c r="G1143" s="444"/>
      <x:c r="H1143" s="445" t="str">
        <x:f t="shared" si="151"/>
        <x:v/>
      </x:c>
      <x:c r="I1143" s="446" t="str">
        <x:f t="shared" si="155"/>
        <x:v/>
      </x:c>
      <x:c r="J1143" s="445"/>
      <x:c r="K1143" s="453"/>
      <x:c r="L1143" s="454"/>
      <x:c r="M1143" s="454"/>
      <x:c r="N1143" s="454"/>
      <x:c r="O1143" s="454"/>
      <x:c r="P1143" s="454"/>
      <x:c r="Q1143" s="454"/>
      <x:c r="R1143" s="454"/>
      <x:c r="S1143" s="454"/>
      <x:c r="T1143" s="454"/>
      <x:c r="U1143" s="454"/>
      <x:c r="V1143" s="455"/>
      <x:c r="W1143" s="456"/>
      <x:c r="X1143" s="450"/>
      <x:c r="Y1143" s="457"/>
      <x:c r="Z1143" s="458"/>
      <x:c r="AA1143" s="458"/>
      <x:c r="AB1143" s="458"/>
      <x:c r="AC1143" s="458"/>
      <x:c r="AD1143" s="458"/>
      <x:c r="AE1143" s="458"/>
    </x:row>
    <x:row r="1144" spans="1:31" ht="20.100000000000001" customHeight="1">
      <x:c r="A1144" s="439"/>
      <x:c r="B1144" s="466" t="str">
        <x:f t="shared" si="152"/>
        <x:v/>
      </x:c>
      <x:c r="C1144" s="440" t="str">
        <x:f t="shared" si="153"/>
        <x:v/>
      </x:c>
      <x:c r="D1144" s="441"/>
      <x:c r="E1144" s="442" t="str">
        <x:f t="shared" si="154"/>
        <x:v/>
      </x:c>
      <x:c r="F1144" s="443"/>
      <x:c r="G1144" s="444"/>
      <x:c r="H1144" s="445" t="str">
        <x:f t="shared" ref="H1144:H1207" si="156">IFERROR(VLOOKUP($G1144,$AK:$AL,2,),"")</x:f>
        <x:v/>
      </x:c>
      <x:c r="I1144" s="446" t="str">
        <x:f t="shared" si="155"/>
        <x:v/>
      </x:c>
      <x:c r="J1144" s="445"/>
      <x:c r="K1144" s="453"/>
      <x:c r="L1144" s="454"/>
      <x:c r="M1144" s="454"/>
      <x:c r="N1144" s="454"/>
      <x:c r="O1144" s="454"/>
      <x:c r="P1144" s="454"/>
      <x:c r="Q1144" s="454"/>
      <x:c r="R1144" s="454"/>
      <x:c r="S1144" s="454"/>
      <x:c r="T1144" s="454"/>
      <x:c r="U1144" s="454"/>
      <x:c r="V1144" s="455"/>
      <x:c r="W1144" s="456"/>
      <x:c r="X1144" s="450"/>
      <x:c r="Y1144" s="457"/>
      <x:c r="Z1144" s="458"/>
      <x:c r="AA1144" s="458"/>
      <x:c r="AB1144" s="458"/>
      <x:c r="AC1144" s="458"/>
      <x:c r="AD1144" s="458"/>
      <x:c r="AE1144" s="458"/>
    </x:row>
    <x:row r="1145" spans="1:31" ht="20.100000000000001" customHeight="1">
      <x:c r="A1145" s="439"/>
      <x:c r="B1145" s="466" t="str">
        <x:f t="shared" si="152"/>
        <x:v/>
      </x:c>
      <x:c r="C1145" s="440" t="str">
        <x:f t="shared" si="153"/>
        <x:v/>
      </x:c>
      <x:c r="D1145" s="441"/>
      <x:c r="E1145" s="442" t="str">
        <x:f t="shared" si="154"/>
        <x:v/>
      </x:c>
      <x:c r="F1145" s="443"/>
      <x:c r="G1145" s="444"/>
      <x:c r="H1145" s="445" t="str">
        <x:f t="shared" si="156"/>
        <x:v/>
      </x:c>
      <x:c r="I1145" s="446" t="str">
        <x:f t="shared" si="155"/>
        <x:v/>
      </x:c>
      <x:c r="J1145" s="445"/>
      <x:c r="K1145" s="453"/>
      <x:c r="L1145" s="454"/>
      <x:c r="M1145" s="454"/>
      <x:c r="N1145" s="454"/>
      <x:c r="O1145" s="454"/>
      <x:c r="P1145" s="454"/>
      <x:c r="Q1145" s="454"/>
      <x:c r="R1145" s="454"/>
      <x:c r="S1145" s="454"/>
      <x:c r="T1145" s="454"/>
      <x:c r="U1145" s="454"/>
      <x:c r="V1145" s="455"/>
      <x:c r="W1145" s="456"/>
      <x:c r="X1145" s="450"/>
      <x:c r="Y1145" s="457"/>
      <x:c r="Z1145" s="458"/>
      <x:c r="AA1145" s="458"/>
      <x:c r="AB1145" s="458"/>
      <x:c r="AC1145" s="458"/>
      <x:c r="AD1145" s="458"/>
      <x:c r="AE1145" s="458"/>
    </x:row>
    <x:row r="1146" spans="1:31" ht="20.100000000000001" customHeight="1">
      <x:c r="A1146" s="439"/>
      <x:c r="B1146" s="466" t="str">
        <x:f t="shared" si="152"/>
        <x:v/>
      </x:c>
      <x:c r="C1146" s="440" t="str">
        <x:f t="shared" si="153"/>
        <x:v/>
      </x:c>
      <x:c r="D1146" s="441"/>
      <x:c r="E1146" s="442" t="str">
        <x:f t="shared" si="154"/>
        <x:v/>
      </x:c>
      <x:c r="F1146" s="443"/>
      <x:c r="G1146" s="444"/>
      <x:c r="H1146" s="445" t="str">
        <x:f t="shared" si="156"/>
        <x:v/>
      </x:c>
      <x:c r="I1146" s="446" t="str">
        <x:f t="shared" si="155"/>
        <x:v/>
      </x:c>
      <x:c r="J1146" s="445"/>
      <x:c r="K1146" s="453"/>
      <x:c r="L1146" s="454"/>
      <x:c r="M1146" s="454"/>
      <x:c r="N1146" s="454"/>
      <x:c r="O1146" s="454"/>
      <x:c r="P1146" s="454"/>
      <x:c r="Q1146" s="454"/>
      <x:c r="R1146" s="454"/>
      <x:c r="S1146" s="454"/>
      <x:c r="T1146" s="454"/>
      <x:c r="U1146" s="454"/>
      <x:c r="V1146" s="455"/>
      <x:c r="W1146" s="456"/>
      <x:c r="X1146" s="450"/>
      <x:c r="Y1146" s="457"/>
      <x:c r="Z1146" s="458"/>
      <x:c r="AA1146" s="458"/>
      <x:c r="AB1146" s="458"/>
      <x:c r="AC1146" s="458"/>
      <x:c r="AD1146" s="458"/>
      <x:c r="AE1146" s="458"/>
    </x:row>
    <x:row r="1147" spans="1:31" ht="20.100000000000001" customHeight="1">
      <x:c r="A1147" s="439"/>
      <x:c r="B1147" s="466" t="str">
        <x:f t="shared" si="152"/>
        <x:v/>
      </x:c>
      <x:c r="C1147" s="440" t="str">
        <x:f t="shared" si="153"/>
        <x:v/>
      </x:c>
      <x:c r="D1147" s="441"/>
      <x:c r="E1147" s="442" t="str">
        <x:f t="shared" si="154"/>
        <x:v/>
      </x:c>
      <x:c r="F1147" s="443"/>
      <x:c r="G1147" s="444"/>
      <x:c r="H1147" s="445" t="str">
        <x:f t="shared" si="156"/>
        <x:v/>
      </x:c>
      <x:c r="I1147" s="446" t="str">
        <x:f t="shared" si="155"/>
        <x:v/>
      </x:c>
      <x:c r="J1147" s="445"/>
      <x:c r="K1147" s="453"/>
      <x:c r="L1147" s="454"/>
      <x:c r="M1147" s="454"/>
      <x:c r="N1147" s="454"/>
      <x:c r="O1147" s="454"/>
      <x:c r="P1147" s="454"/>
      <x:c r="Q1147" s="454"/>
      <x:c r="R1147" s="454"/>
      <x:c r="S1147" s="454"/>
      <x:c r="T1147" s="454"/>
      <x:c r="U1147" s="454"/>
      <x:c r="V1147" s="455"/>
      <x:c r="W1147" s="456"/>
      <x:c r="X1147" s="450"/>
      <x:c r="Y1147" s="457"/>
      <x:c r="Z1147" s="458"/>
      <x:c r="AA1147" s="458"/>
      <x:c r="AB1147" s="458"/>
      <x:c r="AC1147" s="458"/>
      <x:c r="AD1147" s="458"/>
      <x:c r="AE1147" s="458"/>
    </x:row>
    <x:row r="1148" spans="1:31" ht="20.100000000000001" customHeight="1">
      <x:c r="A1148" s="439"/>
      <x:c r="B1148" s="466" t="str">
        <x:f t="shared" si="152"/>
        <x:v/>
      </x:c>
      <x:c r="C1148" s="440" t="str">
        <x:f t="shared" si="153"/>
        <x:v/>
      </x:c>
      <x:c r="D1148" s="441"/>
      <x:c r="E1148" s="442" t="str">
        <x:f t="shared" si="154"/>
        <x:v/>
      </x:c>
      <x:c r="F1148" s="443"/>
      <x:c r="G1148" s="444"/>
      <x:c r="H1148" s="445" t="str">
        <x:f t="shared" si="156"/>
        <x:v/>
      </x:c>
      <x:c r="I1148" s="446" t="str">
        <x:f t="shared" si="155"/>
        <x:v/>
      </x:c>
      <x:c r="J1148" s="445"/>
      <x:c r="K1148" s="453"/>
      <x:c r="L1148" s="454"/>
      <x:c r="M1148" s="454"/>
      <x:c r="N1148" s="454"/>
      <x:c r="O1148" s="454"/>
      <x:c r="P1148" s="454"/>
      <x:c r="Q1148" s="454"/>
      <x:c r="R1148" s="454"/>
      <x:c r="S1148" s="454"/>
      <x:c r="T1148" s="454"/>
      <x:c r="U1148" s="454"/>
      <x:c r="V1148" s="455"/>
      <x:c r="W1148" s="456"/>
      <x:c r="X1148" s="450"/>
      <x:c r="Y1148" s="457"/>
      <x:c r="Z1148" s="458"/>
      <x:c r="AA1148" s="458"/>
      <x:c r="AB1148" s="458"/>
      <x:c r="AC1148" s="458"/>
      <x:c r="AD1148" s="458"/>
      <x:c r="AE1148" s="458"/>
    </x:row>
    <x:row r="1149" spans="1:31" ht="20.100000000000001" customHeight="1">
      <x:c r="A1149" s="439"/>
      <x:c r="B1149" s="466" t="str">
        <x:f t="shared" si="152"/>
        <x:v/>
      </x:c>
      <x:c r="C1149" s="440" t="str">
        <x:f t="shared" si="153"/>
        <x:v/>
      </x:c>
      <x:c r="D1149" s="441"/>
      <x:c r="E1149" s="442" t="str">
        <x:f t="shared" si="154"/>
        <x:v/>
      </x:c>
      <x:c r="F1149" s="443"/>
      <x:c r="G1149" s="444"/>
      <x:c r="H1149" s="445" t="str">
        <x:f t="shared" si="156"/>
        <x:v/>
      </x:c>
      <x:c r="I1149" s="446" t="str">
        <x:f t="shared" si="155"/>
        <x:v/>
      </x:c>
      <x:c r="J1149" s="445"/>
      <x:c r="K1149" s="453"/>
      <x:c r="L1149" s="454"/>
      <x:c r="M1149" s="454"/>
      <x:c r="N1149" s="454"/>
      <x:c r="O1149" s="454"/>
      <x:c r="P1149" s="454"/>
      <x:c r="Q1149" s="454"/>
      <x:c r="R1149" s="454"/>
      <x:c r="S1149" s="454"/>
      <x:c r="T1149" s="454"/>
      <x:c r="U1149" s="454"/>
      <x:c r="V1149" s="455"/>
      <x:c r="W1149" s="456"/>
      <x:c r="X1149" s="450"/>
      <x:c r="Y1149" s="457"/>
      <x:c r="Z1149" s="458"/>
      <x:c r="AA1149" s="458"/>
      <x:c r="AB1149" s="458"/>
      <x:c r="AC1149" s="458"/>
      <x:c r="AD1149" s="458"/>
      <x:c r="AE1149" s="458"/>
    </x:row>
    <x:row r="1150" spans="1:31" ht="20.100000000000001" customHeight="1">
      <x:c r="A1150" s="439"/>
      <x:c r="B1150" s="466" t="str">
        <x:f t="shared" si="152"/>
        <x:v/>
      </x:c>
      <x:c r="C1150" s="440" t="str">
        <x:f t="shared" si="153"/>
        <x:v/>
      </x:c>
      <x:c r="D1150" s="441"/>
      <x:c r="E1150" s="442" t="str">
        <x:f t="shared" si="154"/>
        <x:v/>
      </x:c>
      <x:c r="F1150" s="443"/>
      <x:c r="G1150" s="444"/>
      <x:c r="H1150" s="445" t="str">
        <x:f t="shared" si="156"/>
        <x:v/>
      </x:c>
      <x:c r="I1150" s="446" t="str">
        <x:f t="shared" si="155"/>
        <x:v/>
      </x:c>
      <x:c r="J1150" s="445"/>
      <x:c r="K1150" s="453"/>
      <x:c r="L1150" s="454"/>
      <x:c r="M1150" s="454"/>
      <x:c r="N1150" s="454"/>
      <x:c r="O1150" s="454"/>
      <x:c r="P1150" s="454"/>
      <x:c r="Q1150" s="454"/>
      <x:c r="R1150" s="454"/>
      <x:c r="S1150" s="454"/>
      <x:c r="T1150" s="454"/>
      <x:c r="U1150" s="454"/>
      <x:c r="V1150" s="455"/>
      <x:c r="W1150" s="456"/>
      <x:c r="X1150" s="450"/>
      <x:c r="Y1150" s="457"/>
      <x:c r="Z1150" s="458"/>
      <x:c r="AA1150" s="458"/>
      <x:c r="AB1150" s="458"/>
      <x:c r="AC1150" s="458"/>
      <x:c r="AD1150" s="458"/>
      <x:c r="AE1150" s="458"/>
    </x:row>
    <x:row r="1151" spans="1:31" ht="20.100000000000001" customHeight="1">
      <x:c r="A1151" s="439"/>
      <x:c r="B1151" s="466" t="str">
        <x:f t="shared" si="152"/>
        <x:v/>
      </x:c>
      <x:c r="C1151" s="440" t="str">
        <x:f t="shared" si="153"/>
        <x:v/>
      </x:c>
      <x:c r="D1151" s="441"/>
      <x:c r="E1151" s="442" t="str">
        <x:f t="shared" si="154"/>
        <x:v/>
      </x:c>
      <x:c r="F1151" s="443"/>
      <x:c r="G1151" s="444"/>
      <x:c r="H1151" s="445" t="str">
        <x:f t="shared" si="156"/>
        <x:v/>
      </x:c>
      <x:c r="I1151" s="446" t="str">
        <x:f t="shared" si="155"/>
        <x:v/>
      </x:c>
      <x:c r="J1151" s="445"/>
      <x:c r="K1151" s="453"/>
      <x:c r="L1151" s="454"/>
      <x:c r="M1151" s="454"/>
      <x:c r="N1151" s="454"/>
      <x:c r="O1151" s="454"/>
      <x:c r="P1151" s="454"/>
      <x:c r="Q1151" s="454"/>
      <x:c r="R1151" s="454"/>
      <x:c r="S1151" s="454"/>
      <x:c r="T1151" s="454"/>
      <x:c r="U1151" s="454"/>
      <x:c r="V1151" s="455"/>
      <x:c r="W1151" s="456"/>
      <x:c r="X1151" s="450"/>
      <x:c r="Y1151" s="457"/>
      <x:c r="Z1151" s="458"/>
      <x:c r="AA1151" s="458"/>
      <x:c r="AB1151" s="458"/>
      <x:c r="AC1151" s="458"/>
      <x:c r="AD1151" s="458"/>
      <x:c r="AE1151" s="458"/>
    </x:row>
    <x:row r="1152" spans="1:31" ht="20.100000000000001" customHeight="1">
      <x:c r="A1152" s="439"/>
      <x:c r="B1152" s="466" t="str">
        <x:f t="shared" si="152"/>
        <x:v/>
      </x:c>
      <x:c r="C1152" s="440" t="str">
        <x:f t="shared" si="153"/>
        <x:v/>
      </x:c>
      <x:c r="D1152" s="441"/>
      <x:c r="E1152" s="442" t="str">
        <x:f t="shared" si="154"/>
        <x:v/>
      </x:c>
      <x:c r="F1152" s="443"/>
      <x:c r="G1152" s="444"/>
      <x:c r="H1152" s="445" t="str">
        <x:f t="shared" si="156"/>
        <x:v/>
      </x:c>
      <x:c r="I1152" s="446" t="str">
        <x:f t="shared" si="155"/>
        <x:v/>
      </x:c>
      <x:c r="J1152" s="445"/>
      <x:c r="K1152" s="453"/>
      <x:c r="L1152" s="454"/>
      <x:c r="M1152" s="454"/>
      <x:c r="N1152" s="454"/>
      <x:c r="O1152" s="454"/>
      <x:c r="P1152" s="454"/>
      <x:c r="Q1152" s="454"/>
      <x:c r="R1152" s="454"/>
      <x:c r="S1152" s="454"/>
      <x:c r="T1152" s="454"/>
      <x:c r="U1152" s="454"/>
      <x:c r="V1152" s="455"/>
      <x:c r="W1152" s="456"/>
      <x:c r="X1152" s="450"/>
      <x:c r="Y1152" s="457"/>
      <x:c r="Z1152" s="458"/>
      <x:c r="AA1152" s="458"/>
      <x:c r="AB1152" s="458"/>
      <x:c r="AC1152" s="458"/>
      <x:c r="AD1152" s="458"/>
      <x:c r="AE1152" s="458"/>
    </x:row>
    <x:row r="1153" spans="1:31" ht="20.100000000000001" customHeight="1">
      <x:c r="A1153" s="439"/>
      <x:c r="B1153" s="466" t="str">
        <x:f t="shared" si="152"/>
        <x:v/>
      </x:c>
      <x:c r="C1153" s="440" t="str">
        <x:f t="shared" si="153"/>
        <x:v/>
      </x:c>
      <x:c r="D1153" s="441"/>
      <x:c r="E1153" s="442" t="str">
        <x:f t="shared" si="154"/>
        <x:v/>
      </x:c>
      <x:c r="F1153" s="443"/>
      <x:c r="G1153" s="444"/>
      <x:c r="H1153" s="445" t="str">
        <x:f t="shared" si="156"/>
        <x:v/>
      </x:c>
      <x:c r="I1153" s="446" t="str">
        <x:f t="shared" si="155"/>
        <x:v/>
      </x:c>
      <x:c r="J1153" s="445"/>
      <x:c r="K1153" s="453"/>
      <x:c r="L1153" s="454"/>
      <x:c r="M1153" s="454"/>
      <x:c r="N1153" s="454"/>
      <x:c r="O1153" s="454"/>
      <x:c r="P1153" s="454"/>
      <x:c r="Q1153" s="454"/>
      <x:c r="R1153" s="454"/>
      <x:c r="S1153" s="454"/>
      <x:c r="T1153" s="454"/>
      <x:c r="U1153" s="454"/>
      <x:c r="V1153" s="455"/>
      <x:c r="W1153" s="456"/>
      <x:c r="X1153" s="450"/>
      <x:c r="Y1153" s="457"/>
      <x:c r="Z1153" s="458"/>
      <x:c r="AA1153" s="458"/>
      <x:c r="AB1153" s="458"/>
      <x:c r="AC1153" s="458"/>
      <x:c r="AD1153" s="458"/>
      <x:c r="AE1153" s="458"/>
    </x:row>
    <x:row r="1154" spans="1:31" ht="20.100000000000001" customHeight="1">
      <x:c r="A1154" s="439"/>
      <x:c r="B1154" s="466" t="str">
        <x:f t="shared" si="152"/>
        <x:v/>
      </x:c>
      <x:c r="C1154" s="440" t="str">
        <x:f t="shared" si="153"/>
        <x:v/>
      </x:c>
      <x:c r="D1154" s="441"/>
      <x:c r="E1154" s="442" t="str">
        <x:f t="shared" si="154"/>
        <x:v/>
      </x:c>
      <x:c r="F1154" s="443"/>
      <x:c r="G1154" s="444"/>
      <x:c r="H1154" s="445" t="str">
        <x:f t="shared" si="156"/>
        <x:v/>
      </x:c>
      <x:c r="I1154" s="446" t="str">
        <x:f t="shared" si="155"/>
        <x:v/>
      </x:c>
      <x:c r="J1154" s="445"/>
      <x:c r="K1154" s="453"/>
      <x:c r="L1154" s="454"/>
      <x:c r="M1154" s="454"/>
      <x:c r="N1154" s="454"/>
      <x:c r="O1154" s="454"/>
      <x:c r="P1154" s="454"/>
      <x:c r="Q1154" s="454"/>
      <x:c r="R1154" s="454"/>
      <x:c r="S1154" s="454"/>
      <x:c r="T1154" s="454"/>
      <x:c r="U1154" s="454"/>
      <x:c r="V1154" s="455"/>
      <x:c r="W1154" s="456"/>
      <x:c r="X1154" s="450"/>
      <x:c r="Y1154" s="457"/>
      <x:c r="Z1154" s="458"/>
      <x:c r="AA1154" s="458"/>
      <x:c r="AB1154" s="458"/>
      <x:c r="AC1154" s="458"/>
      <x:c r="AD1154" s="458"/>
      <x:c r="AE1154" s="458"/>
    </x:row>
    <x:row r="1155" spans="1:31" ht="20.100000000000001" customHeight="1">
      <x:c r="A1155" s="439"/>
      <x:c r="B1155" s="466" t="str">
        <x:f t="shared" ref="B1155:B1218" si="157">IFERROR(VLOOKUP($C1155,$AH:$AI,2,),"")</x:f>
        <x:v/>
      </x:c>
      <x:c r="C1155" s="440" t="str">
        <x:f t="shared" ref="C1155:C1218" si="158">IFERROR(VLOOKUP($D1155,$AO:$AQ,3,),"")</x:f>
        <x:v/>
      </x:c>
      <x:c r="D1155" s="441"/>
      <x:c r="E1155" s="442" t="str">
        <x:f t="shared" ref="E1155:E1218" si="159">IFERROR(VLOOKUP($D1155,$AO:$AQ,2,),"")</x:f>
        <x:v/>
      </x:c>
      <x:c r="F1155" s="443"/>
      <x:c r="G1155" s="444"/>
      <x:c r="H1155" s="445" t="str">
        <x:f t="shared" si="156"/>
        <x:v/>
      </x:c>
      <x:c r="I1155" s="446" t="str">
        <x:f t="shared" ref="I1155:I1218" si="160">IFERROR(VLOOKUP($G1155,$AK:$AM,3,),"")</x:f>
        <x:v/>
      </x:c>
      <x:c r="J1155" s="445"/>
      <x:c r="K1155" s="453"/>
      <x:c r="L1155" s="454"/>
      <x:c r="M1155" s="454"/>
      <x:c r="N1155" s="454"/>
      <x:c r="O1155" s="454"/>
      <x:c r="P1155" s="454"/>
      <x:c r="Q1155" s="454"/>
      <x:c r="R1155" s="454"/>
      <x:c r="S1155" s="454"/>
      <x:c r="T1155" s="454"/>
      <x:c r="U1155" s="454"/>
      <x:c r="V1155" s="455"/>
      <x:c r="W1155" s="456"/>
      <x:c r="X1155" s="450"/>
      <x:c r="Y1155" s="457"/>
      <x:c r="Z1155" s="458"/>
      <x:c r="AA1155" s="458"/>
      <x:c r="AB1155" s="458"/>
      <x:c r="AC1155" s="458"/>
      <x:c r="AD1155" s="458"/>
      <x:c r="AE1155" s="458"/>
    </x:row>
    <x:row r="1156" spans="1:31" ht="20.100000000000001" customHeight="1">
      <x:c r="A1156" s="439"/>
      <x:c r="B1156" s="466" t="str">
        <x:f t="shared" si="157"/>
        <x:v/>
      </x:c>
      <x:c r="C1156" s="440" t="str">
        <x:f t="shared" si="158"/>
        <x:v/>
      </x:c>
      <x:c r="D1156" s="441"/>
      <x:c r="E1156" s="442" t="str">
        <x:f t="shared" si="159"/>
        <x:v/>
      </x:c>
      <x:c r="F1156" s="443"/>
      <x:c r="G1156" s="444"/>
      <x:c r="H1156" s="445" t="str">
        <x:f t="shared" si="156"/>
        <x:v/>
      </x:c>
      <x:c r="I1156" s="446" t="str">
        <x:f t="shared" si="160"/>
        <x:v/>
      </x:c>
      <x:c r="J1156" s="445"/>
      <x:c r="K1156" s="453"/>
      <x:c r="L1156" s="454"/>
      <x:c r="M1156" s="454"/>
      <x:c r="N1156" s="454"/>
      <x:c r="O1156" s="454"/>
      <x:c r="P1156" s="454"/>
      <x:c r="Q1156" s="454"/>
      <x:c r="R1156" s="454"/>
      <x:c r="S1156" s="454"/>
      <x:c r="T1156" s="454"/>
      <x:c r="U1156" s="454"/>
      <x:c r="V1156" s="455"/>
      <x:c r="W1156" s="456"/>
      <x:c r="X1156" s="450"/>
      <x:c r="Y1156" s="457"/>
      <x:c r="Z1156" s="458"/>
      <x:c r="AA1156" s="458"/>
      <x:c r="AB1156" s="458"/>
      <x:c r="AC1156" s="458"/>
      <x:c r="AD1156" s="458"/>
      <x:c r="AE1156" s="458"/>
    </x:row>
    <x:row r="1157" spans="1:31" ht="20.100000000000001" customHeight="1">
      <x:c r="A1157" s="439"/>
      <x:c r="B1157" s="466" t="str">
        <x:f t="shared" si="157"/>
        <x:v/>
      </x:c>
      <x:c r="C1157" s="440" t="str">
        <x:f t="shared" si="158"/>
        <x:v/>
      </x:c>
      <x:c r="D1157" s="441"/>
      <x:c r="E1157" s="442" t="str">
        <x:f t="shared" si="159"/>
        <x:v/>
      </x:c>
      <x:c r="F1157" s="443"/>
      <x:c r="G1157" s="444"/>
      <x:c r="H1157" s="445" t="str">
        <x:f t="shared" si="156"/>
        <x:v/>
      </x:c>
      <x:c r="I1157" s="446" t="str">
        <x:f t="shared" si="160"/>
        <x:v/>
      </x:c>
      <x:c r="J1157" s="445"/>
      <x:c r="K1157" s="453"/>
      <x:c r="L1157" s="454"/>
      <x:c r="M1157" s="454"/>
      <x:c r="N1157" s="454"/>
      <x:c r="O1157" s="454"/>
      <x:c r="P1157" s="454"/>
      <x:c r="Q1157" s="454"/>
      <x:c r="R1157" s="454"/>
      <x:c r="S1157" s="454"/>
      <x:c r="T1157" s="454"/>
      <x:c r="U1157" s="454"/>
      <x:c r="V1157" s="455"/>
      <x:c r="W1157" s="456"/>
      <x:c r="X1157" s="450"/>
      <x:c r="Y1157" s="457"/>
      <x:c r="Z1157" s="458"/>
      <x:c r="AA1157" s="458"/>
      <x:c r="AB1157" s="458"/>
      <x:c r="AC1157" s="458"/>
      <x:c r="AD1157" s="458"/>
      <x:c r="AE1157" s="458"/>
    </x:row>
    <x:row r="1158" spans="1:31" ht="20.100000000000001" customHeight="1">
      <x:c r="A1158" s="439"/>
      <x:c r="B1158" s="466" t="str">
        <x:f t="shared" si="157"/>
        <x:v/>
      </x:c>
      <x:c r="C1158" s="440" t="str">
        <x:f t="shared" si="158"/>
        <x:v/>
      </x:c>
      <x:c r="D1158" s="441"/>
      <x:c r="E1158" s="442" t="str">
        <x:f t="shared" si="159"/>
        <x:v/>
      </x:c>
      <x:c r="F1158" s="443"/>
      <x:c r="G1158" s="444"/>
      <x:c r="H1158" s="445" t="str">
        <x:f t="shared" si="156"/>
        <x:v/>
      </x:c>
      <x:c r="I1158" s="446" t="str">
        <x:f t="shared" si="160"/>
        <x:v/>
      </x:c>
      <x:c r="J1158" s="445"/>
      <x:c r="K1158" s="453"/>
      <x:c r="L1158" s="454"/>
      <x:c r="M1158" s="454"/>
      <x:c r="N1158" s="454"/>
      <x:c r="O1158" s="454"/>
      <x:c r="P1158" s="454"/>
      <x:c r="Q1158" s="454"/>
      <x:c r="R1158" s="454"/>
      <x:c r="S1158" s="454"/>
      <x:c r="T1158" s="454"/>
      <x:c r="U1158" s="454"/>
      <x:c r="V1158" s="455"/>
      <x:c r="W1158" s="456"/>
      <x:c r="X1158" s="450"/>
      <x:c r="Y1158" s="457"/>
      <x:c r="Z1158" s="458"/>
      <x:c r="AA1158" s="458"/>
      <x:c r="AB1158" s="458"/>
      <x:c r="AC1158" s="458"/>
      <x:c r="AD1158" s="458"/>
      <x:c r="AE1158" s="458"/>
    </x:row>
    <x:row r="1159" spans="1:31" ht="20.100000000000001" customHeight="1">
      <x:c r="A1159" s="439"/>
      <x:c r="B1159" s="466" t="str">
        <x:f t="shared" si="157"/>
        <x:v/>
      </x:c>
      <x:c r="C1159" s="440" t="str">
        <x:f t="shared" si="158"/>
        <x:v/>
      </x:c>
      <x:c r="D1159" s="441"/>
      <x:c r="E1159" s="442" t="str">
        <x:f t="shared" si="159"/>
        <x:v/>
      </x:c>
      <x:c r="F1159" s="443"/>
      <x:c r="G1159" s="444"/>
      <x:c r="H1159" s="445" t="str">
        <x:f t="shared" si="156"/>
        <x:v/>
      </x:c>
      <x:c r="I1159" s="446" t="str">
        <x:f t="shared" si="160"/>
        <x:v/>
      </x:c>
      <x:c r="J1159" s="445"/>
      <x:c r="K1159" s="453"/>
      <x:c r="L1159" s="454"/>
      <x:c r="M1159" s="454"/>
      <x:c r="N1159" s="454"/>
      <x:c r="O1159" s="454"/>
      <x:c r="P1159" s="454"/>
      <x:c r="Q1159" s="454"/>
      <x:c r="R1159" s="454"/>
      <x:c r="S1159" s="454"/>
      <x:c r="T1159" s="454"/>
      <x:c r="U1159" s="454"/>
      <x:c r="V1159" s="455"/>
      <x:c r="W1159" s="456"/>
      <x:c r="X1159" s="450"/>
      <x:c r="Y1159" s="457"/>
      <x:c r="Z1159" s="458"/>
      <x:c r="AA1159" s="458"/>
      <x:c r="AB1159" s="458"/>
      <x:c r="AC1159" s="458"/>
      <x:c r="AD1159" s="458"/>
      <x:c r="AE1159" s="458"/>
    </x:row>
    <x:row r="1160" spans="1:31" ht="20.100000000000001" customHeight="1">
      <x:c r="A1160" s="439"/>
      <x:c r="B1160" s="466" t="str">
        <x:f t="shared" si="157"/>
        <x:v/>
      </x:c>
      <x:c r="C1160" s="440" t="str">
        <x:f t="shared" si="158"/>
        <x:v/>
      </x:c>
      <x:c r="D1160" s="441"/>
      <x:c r="E1160" s="442" t="str">
        <x:f t="shared" si="159"/>
        <x:v/>
      </x:c>
      <x:c r="F1160" s="443"/>
      <x:c r="G1160" s="444"/>
      <x:c r="H1160" s="445" t="str">
        <x:f t="shared" si="156"/>
        <x:v/>
      </x:c>
      <x:c r="I1160" s="446" t="str">
        <x:f t="shared" si="160"/>
        <x:v/>
      </x:c>
      <x:c r="J1160" s="445"/>
      <x:c r="K1160" s="453"/>
      <x:c r="L1160" s="454"/>
      <x:c r="M1160" s="454"/>
      <x:c r="N1160" s="454"/>
      <x:c r="O1160" s="454"/>
      <x:c r="P1160" s="454"/>
      <x:c r="Q1160" s="454"/>
      <x:c r="R1160" s="454"/>
      <x:c r="S1160" s="454"/>
      <x:c r="T1160" s="454"/>
      <x:c r="U1160" s="454"/>
      <x:c r="V1160" s="455"/>
      <x:c r="W1160" s="456"/>
      <x:c r="X1160" s="450"/>
      <x:c r="Y1160" s="457"/>
      <x:c r="Z1160" s="458"/>
      <x:c r="AA1160" s="458"/>
      <x:c r="AB1160" s="458"/>
      <x:c r="AC1160" s="458"/>
      <x:c r="AD1160" s="458"/>
      <x:c r="AE1160" s="458"/>
    </x:row>
    <x:row r="1161" spans="1:31" ht="20.100000000000001" customHeight="1">
      <x:c r="A1161" s="439"/>
      <x:c r="B1161" s="466" t="str">
        <x:f t="shared" si="157"/>
        <x:v/>
      </x:c>
      <x:c r="C1161" s="440" t="str">
        <x:f t="shared" si="158"/>
        <x:v/>
      </x:c>
      <x:c r="D1161" s="441"/>
      <x:c r="E1161" s="442" t="str">
        <x:f t="shared" si="159"/>
        <x:v/>
      </x:c>
      <x:c r="F1161" s="443"/>
      <x:c r="G1161" s="444"/>
      <x:c r="H1161" s="445" t="str">
        <x:f t="shared" si="156"/>
        <x:v/>
      </x:c>
      <x:c r="I1161" s="446" t="str">
        <x:f t="shared" si="160"/>
        <x:v/>
      </x:c>
      <x:c r="J1161" s="445"/>
      <x:c r="K1161" s="453"/>
      <x:c r="L1161" s="454"/>
      <x:c r="M1161" s="454"/>
      <x:c r="N1161" s="454"/>
      <x:c r="O1161" s="454"/>
      <x:c r="P1161" s="454"/>
      <x:c r="Q1161" s="454"/>
      <x:c r="R1161" s="454"/>
      <x:c r="S1161" s="454"/>
      <x:c r="T1161" s="454"/>
      <x:c r="U1161" s="454"/>
      <x:c r="V1161" s="455"/>
      <x:c r="W1161" s="456"/>
      <x:c r="X1161" s="450"/>
      <x:c r="Y1161" s="457"/>
      <x:c r="Z1161" s="458"/>
      <x:c r="AA1161" s="458"/>
      <x:c r="AB1161" s="458"/>
      <x:c r="AC1161" s="458"/>
      <x:c r="AD1161" s="458"/>
      <x:c r="AE1161" s="458"/>
    </x:row>
    <x:row r="1162" spans="1:31" ht="20.100000000000001" customHeight="1">
      <x:c r="A1162" s="439"/>
      <x:c r="B1162" s="466" t="str">
        <x:f t="shared" si="157"/>
        <x:v/>
      </x:c>
      <x:c r="C1162" s="440" t="str">
        <x:f t="shared" si="158"/>
        <x:v/>
      </x:c>
      <x:c r="D1162" s="441"/>
      <x:c r="E1162" s="442" t="str">
        <x:f t="shared" si="159"/>
        <x:v/>
      </x:c>
      <x:c r="F1162" s="443"/>
      <x:c r="G1162" s="444"/>
      <x:c r="H1162" s="445" t="str">
        <x:f t="shared" si="156"/>
        <x:v/>
      </x:c>
      <x:c r="I1162" s="446" t="str">
        <x:f t="shared" si="160"/>
        <x:v/>
      </x:c>
      <x:c r="J1162" s="445"/>
      <x:c r="K1162" s="453"/>
      <x:c r="L1162" s="454"/>
      <x:c r="M1162" s="454"/>
      <x:c r="N1162" s="454"/>
      <x:c r="O1162" s="454"/>
      <x:c r="P1162" s="454"/>
      <x:c r="Q1162" s="454"/>
      <x:c r="R1162" s="454"/>
      <x:c r="S1162" s="454"/>
      <x:c r="T1162" s="454"/>
      <x:c r="U1162" s="454"/>
      <x:c r="V1162" s="455"/>
      <x:c r="W1162" s="456"/>
      <x:c r="X1162" s="450"/>
      <x:c r="Y1162" s="457"/>
      <x:c r="Z1162" s="458"/>
      <x:c r="AA1162" s="458"/>
      <x:c r="AB1162" s="458"/>
      <x:c r="AC1162" s="458"/>
      <x:c r="AD1162" s="458"/>
      <x:c r="AE1162" s="458"/>
    </x:row>
    <x:row r="1163" spans="1:31" ht="20.100000000000001" customHeight="1">
      <x:c r="A1163" s="439"/>
      <x:c r="B1163" s="466" t="str">
        <x:f t="shared" si="157"/>
        <x:v/>
      </x:c>
      <x:c r="C1163" s="440" t="str">
        <x:f t="shared" si="158"/>
        <x:v/>
      </x:c>
      <x:c r="D1163" s="441"/>
      <x:c r="E1163" s="442" t="str">
        <x:f t="shared" si="159"/>
        <x:v/>
      </x:c>
      <x:c r="F1163" s="443"/>
      <x:c r="G1163" s="444"/>
      <x:c r="H1163" s="445" t="str">
        <x:f t="shared" si="156"/>
        <x:v/>
      </x:c>
      <x:c r="I1163" s="446" t="str">
        <x:f t="shared" si="160"/>
        <x:v/>
      </x:c>
      <x:c r="J1163" s="445"/>
      <x:c r="K1163" s="453"/>
      <x:c r="L1163" s="454"/>
      <x:c r="M1163" s="454"/>
      <x:c r="N1163" s="454"/>
      <x:c r="O1163" s="454"/>
      <x:c r="P1163" s="454"/>
      <x:c r="Q1163" s="454"/>
      <x:c r="R1163" s="454"/>
      <x:c r="S1163" s="454"/>
      <x:c r="T1163" s="454"/>
      <x:c r="U1163" s="454"/>
      <x:c r="V1163" s="455"/>
      <x:c r="W1163" s="456"/>
      <x:c r="X1163" s="450"/>
      <x:c r="Y1163" s="457"/>
      <x:c r="Z1163" s="458"/>
      <x:c r="AA1163" s="458"/>
      <x:c r="AB1163" s="458"/>
      <x:c r="AC1163" s="458"/>
      <x:c r="AD1163" s="458"/>
      <x:c r="AE1163" s="458"/>
    </x:row>
    <x:row r="1164" spans="1:31" ht="20.100000000000001" customHeight="1">
      <x:c r="A1164" s="439"/>
      <x:c r="B1164" s="466" t="str">
        <x:f t="shared" si="157"/>
        <x:v/>
      </x:c>
      <x:c r="C1164" s="440" t="str">
        <x:f t="shared" si="158"/>
        <x:v/>
      </x:c>
      <x:c r="D1164" s="441"/>
      <x:c r="E1164" s="442" t="str">
        <x:f t="shared" si="159"/>
        <x:v/>
      </x:c>
      <x:c r="F1164" s="443"/>
      <x:c r="G1164" s="444"/>
      <x:c r="H1164" s="445" t="str">
        <x:f t="shared" si="156"/>
        <x:v/>
      </x:c>
      <x:c r="I1164" s="446" t="str">
        <x:f t="shared" si="160"/>
        <x:v/>
      </x:c>
      <x:c r="J1164" s="445"/>
      <x:c r="K1164" s="453"/>
      <x:c r="L1164" s="454"/>
      <x:c r="M1164" s="454"/>
      <x:c r="N1164" s="454"/>
      <x:c r="O1164" s="454"/>
      <x:c r="P1164" s="454"/>
      <x:c r="Q1164" s="454"/>
      <x:c r="R1164" s="454"/>
      <x:c r="S1164" s="454"/>
      <x:c r="T1164" s="454"/>
      <x:c r="U1164" s="454"/>
      <x:c r="V1164" s="455"/>
      <x:c r="W1164" s="456"/>
      <x:c r="X1164" s="450"/>
      <x:c r="Y1164" s="457"/>
      <x:c r="Z1164" s="458"/>
      <x:c r="AA1164" s="458"/>
      <x:c r="AB1164" s="458"/>
      <x:c r="AC1164" s="458"/>
      <x:c r="AD1164" s="458"/>
      <x:c r="AE1164" s="458"/>
    </x:row>
    <x:row r="1165" spans="1:31" ht="20.100000000000001" customHeight="1">
      <x:c r="A1165" s="439"/>
      <x:c r="B1165" s="466" t="str">
        <x:f t="shared" si="157"/>
        <x:v/>
      </x:c>
      <x:c r="C1165" s="440" t="str">
        <x:f t="shared" si="158"/>
        <x:v/>
      </x:c>
      <x:c r="D1165" s="441"/>
      <x:c r="E1165" s="442" t="str">
        <x:f t="shared" si="159"/>
        <x:v/>
      </x:c>
      <x:c r="F1165" s="443"/>
      <x:c r="G1165" s="444"/>
      <x:c r="H1165" s="445" t="str">
        <x:f t="shared" si="156"/>
        <x:v/>
      </x:c>
      <x:c r="I1165" s="446" t="str">
        <x:f t="shared" si="160"/>
        <x:v/>
      </x:c>
      <x:c r="J1165" s="445"/>
      <x:c r="K1165" s="453"/>
      <x:c r="L1165" s="454"/>
      <x:c r="M1165" s="454"/>
      <x:c r="N1165" s="454"/>
      <x:c r="O1165" s="454"/>
      <x:c r="P1165" s="454"/>
      <x:c r="Q1165" s="454"/>
      <x:c r="R1165" s="454"/>
      <x:c r="S1165" s="454"/>
      <x:c r="T1165" s="454"/>
      <x:c r="U1165" s="454"/>
      <x:c r="V1165" s="455"/>
      <x:c r="W1165" s="456"/>
      <x:c r="X1165" s="450"/>
      <x:c r="Y1165" s="457"/>
      <x:c r="Z1165" s="458"/>
      <x:c r="AA1165" s="458"/>
      <x:c r="AB1165" s="458"/>
      <x:c r="AC1165" s="458"/>
      <x:c r="AD1165" s="458"/>
      <x:c r="AE1165" s="458"/>
    </x:row>
    <x:row r="1166" spans="1:31" ht="20.100000000000001" customHeight="1">
      <x:c r="A1166" s="439"/>
      <x:c r="B1166" s="466" t="str">
        <x:f t="shared" si="157"/>
        <x:v/>
      </x:c>
      <x:c r="C1166" s="440" t="str">
        <x:f t="shared" si="158"/>
        <x:v/>
      </x:c>
      <x:c r="D1166" s="441"/>
      <x:c r="E1166" s="442" t="str">
        <x:f t="shared" si="159"/>
        <x:v/>
      </x:c>
      <x:c r="F1166" s="443"/>
      <x:c r="G1166" s="444"/>
      <x:c r="H1166" s="445" t="str">
        <x:f t="shared" si="156"/>
        <x:v/>
      </x:c>
      <x:c r="I1166" s="446" t="str">
        <x:f t="shared" si="160"/>
        <x:v/>
      </x:c>
      <x:c r="J1166" s="445"/>
      <x:c r="K1166" s="453"/>
      <x:c r="L1166" s="454"/>
      <x:c r="M1166" s="454"/>
      <x:c r="N1166" s="454"/>
      <x:c r="O1166" s="454"/>
      <x:c r="P1166" s="454"/>
      <x:c r="Q1166" s="454"/>
      <x:c r="R1166" s="454"/>
      <x:c r="S1166" s="454"/>
      <x:c r="T1166" s="454"/>
      <x:c r="U1166" s="454"/>
      <x:c r="V1166" s="455"/>
      <x:c r="W1166" s="456"/>
      <x:c r="X1166" s="450"/>
      <x:c r="Y1166" s="457"/>
      <x:c r="Z1166" s="458"/>
      <x:c r="AA1166" s="458"/>
      <x:c r="AB1166" s="458"/>
      <x:c r="AC1166" s="458"/>
      <x:c r="AD1166" s="458"/>
      <x:c r="AE1166" s="458"/>
    </x:row>
    <x:row r="1167" spans="1:31" ht="20.100000000000001" customHeight="1">
      <x:c r="A1167" s="439"/>
      <x:c r="B1167" s="466" t="str">
        <x:f t="shared" si="157"/>
        <x:v/>
      </x:c>
      <x:c r="C1167" s="440" t="str">
        <x:f t="shared" si="158"/>
        <x:v/>
      </x:c>
      <x:c r="D1167" s="441"/>
      <x:c r="E1167" s="442" t="str">
        <x:f t="shared" si="159"/>
        <x:v/>
      </x:c>
      <x:c r="F1167" s="443"/>
      <x:c r="G1167" s="444"/>
      <x:c r="H1167" s="445" t="str">
        <x:f t="shared" si="156"/>
        <x:v/>
      </x:c>
      <x:c r="I1167" s="446" t="str">
        <x:f t="shared" si="160"/>
        <x:v/>
      </x:c>
      <x:c r="J1167" s="445"/>
      <x:c r="K1167" s="453"/>
      <x:c r="L1167" s="454"/>
      <x:c r="M1167" s="454"/>
      <x:c r="N1167" s="454"/>
      <x:c r="O1167" s="454"/>
      <x:c r="P1167" s="454"/>
      <x:c r="Q1167" s="454"/>
      <x:c r="R1167" s="454"/>
      <x:c r="S1167" s="454"/>
      <x:c r="T1167" s="454"/>
      <x:c r="U1167" s="454"/>
      <x:c r="V1167" s="455"/>
      <x:c r="W1167" s="456"/>
      <x:c r="X1167" s="450"/>
      <x:c r="Y1167" s="457"/>
      <x:c r="Z1167" s="458"/>
      <x:c r="AA1167" s="458"/>
      <x:c r="AB1167" s="458"/>
      <x:c r="AC1167" s="458"/>
      <x:c r="AD1167" s="458"/>
      <x:c r="AE1167" s="458"/>
    </x:row>
    <x:row r="1168" spans="1:31" ht="20.100000000000001" customHeight="1">
      <x:c r="A1168" s="439"/>
      <x:c r="B1168" s="466" t="str">
        <x:f t="shared" si="157"/>
        <x:v/>
      </x:c>
      <x:c r="C1168" s="440" t="str">
        <x:f t="shared" si="158"/>
        <x:v/>
      </x:c>
      <x:c r="D1168" s="441"/>
      <x:c r="E1168" s="442" t="str">
        <x:f t="shared" si="159"/>
        <x:v/>
      </x:c>
      <x:c r="F1168" s="443"/>
      <x:c r="G1168" s="444"/>
      <x:c r="H1168" s="445" t="str">
        <x:f t="shared" si="156"/>
        <x:v/>
      </x:c>
      <x:c r="I1168" s="446" t="str">
        <x:f t="shared" si="160"/>
        <x:v/>
      </x:c>
      <x:c r="J1168" s="445"/>
      <x:c r="K1168" s="453"/>
      <x:c r="L1168" s="454"/>
      <x:c r="M1168" s="454"/>
      <x:c r="N1168" s="454"/>
      <x:c r="O1168" s="454"/>
      <x:c r="P1168" s="454"/>
      <x:c r="Q1168" s="454"/>
      <x:c r="R1168" s="454"/>
      <x:c r="S1168" s="454"/>
      <x:c r="T1168" s="454"/>
      <x:c r="U1168" s="454"/>
      <x:c r="V1168" s="455"/>
      <x:c r="W1168" s="456"/>
      <x:c r="X1168" s="450"/>
      <x:c r="Y1168" s="457"/>
      <x:c r="Z1168" s="458"/>
      <x:c r="AA1168" s="458"/>
      <x:c r="AB1168" s="458"/>
      <x:c r="AC1168" s="458"/>
      <x:c r="AD1168" s="458"/>
      <x:c r="AE1168" s="458"/>
    </x:row>
    <x:row r="1169" spans="1:31" ht="20.100000000000001" customHeight="1">
      <x:c r="A1169" s="439"/>
      <x:c r="B1169" s="466" t="str">
        <x:f t="shared" si="157"/>
        <x:v/>
      </x:c>
      <x:c r="C1169" s="440" t="str">
        <x:f t="shared" si="158"/>
        <x:v/>
      </x:c>
      <x:c r="D1169" s="441"/>
      <x:c r="E1169" s="442" t="str">
        <x:f t="shared" si="159"/>
        <x:v/>
      </x:c>
      <x:c r="F1169" s="443"/>
      <x:c r="G1169" s="444"/>
      <x:c r="H1169" s="445" t="str">
        <x:f t="shared" si="156"/>
        <x:v/>
      </x:c>
      <x:c r="I1169" s="446" t="str">
        <x:f t="shared" si="160"/>
        <x:v/>
      </x:c>
      <x:c r="J1169" s="445"/>
      <x:c r="K1169" s="453"/>
      <x:c r="L1169" s="454"/>
      <x:c r="M1169" s="454"/>
      <x:c r="N1169" s="454"/>
      <x:c r="O1169" s="454"/>
      <x:c r="P1169" s="454"/>
      <x:c r="Q1169" s="454"/>
      <x:c r="R1169" s="454"/>
      <x:c r="S1169" s="454"/>
      <x:c r="T1169" s="454"/>
      <x:c r="U1169" s="454"/>
      <x:c r="V1169" s="455"/>
      <x:c r="W1169" s="456"/>
      <x:c r="X1169" s="450"/>
      <x:c r="Y1169" s="457"/>
      <x:c r="Z1169" s="458"/>
      <x:c r="AA1169" s="458"/>
      <x:c r="AB1169" s="458"/>
      <x:c r="AC1169" s="458"/>
      <x:c r="AD1169" s="458"/>
      <x:c r="AE1169" s="458"/>
    </x:row>
    <x:row r="1170" spans="1:31" ht="20.100000000000001" customHeight="1">
      <x:c r="A1170" s="439"/>
      <x:c r="B1170" s="466" t="str">
        <x:f t="shared" si="157"/>
        <x:v/>
      </x:c>
      <x:c r="C1170" s="440" t="str">
        <x:f t="shared" si="158"/>
        <x:v/>
      </x:c>
      <x:c r="D1170" s="441"/>
      <x:c r="E1170" s="442" t="str">
        <x:f t="shared" si="159"/>
        <x:v/>
      </x:c>
      <x:c r="F1170" s="443"/>
      <x:c r="G1170" s="444"/>
      <x:c r="H1170" s="445" t="str">
        <x:f t="shared" si="156"/>
        <x:v/>
      </x:c>
      <x:c r="I1170" s="446" t="str">
        <x:f t="shared" si="160"/>
        <x:v/>
      </x:c>
      <x:c r="J1170" s="445"/>
      <x:c r="K1170" s="453"/>
      <x:c r="L1170" s="454"/>
      <x:c r="M1170" s="454"/>
      <x:c r="N1170" s="454"/>
      <x:c r="O1170" s="454"/>
      <x:c r="P1170" s="454"/>
      <x:c r="Q1170" s="454"/>
      <x:c r="R1170" s="454"/>
      <x:c r="S1170" s="454"/>
      <x:c r="T1170" s="454"/>
      <x:c r="U1170" s="454"/>
      <x:c r="V1170" s="455"/>
      <x:c r="W1170" s="456"/>
      <x:c r="X1170" s="450"/>
      <x:c r="Y1170" s="457"/>
      <x:c r="Z1170" s="458"/>
      <x:c r="AA1170" s="458"/>
      <x:c r="AB1170" s="458"/>
      <x:c r="AC1170" s="458"/>
      <x:c r="AD1170" s="458"/>
      <x:c r="AE1170" s="458"/>
    </x:row>
    <x:row r="1171" spans="1:31" ht="20.100000000000001" customHeight="1">
      <x:c r="A1171" s="439"/>
      <x:c r="B1171" s="466" t="str">
        <x:f t="shared" si="157"/>
        <x:v/>
      </x:c>
      <x:c r="C1171" s="440" t="str">
        <x:f t="shared" si="158"/>
        <x:v/>
      </x:c>
      <x:c r="D1171" s="441"/>
      <x:c r="E1171" s="442" t="str">
        <x:f t="shared" si="159"/>
        <x:v/>
      </x:c>
      <x:c r="F1171" s="443"/>
      <x:c r="G1171" s="444"/>
      <x:c r="H1171" s="445" t="str">
        <x:f t="shared" si="156"/>
        <x:v/>
      </x:c>
      <x:c r="I1171" s="446" t="str">
        <x:f t="shared" si="160"/>
        <x:v/>
      </x:c>
      <x:c r="J1171" s="445"/>
      <x:c r="K1171" s="453"/>
      <x:c r="L1171" s="454"/>
      <x:c r="M1171" s="454"/>
      <x:c r="N1171" s="454"/>
      <x:c r="O1171" s="454"/>
      <x:c r="P1171" s="454"/>
      <x:c r="Q1171" s="454"/>
      <x:c r="R1171" s="454"/>
      <x:c r="S1171" s="454"/>
      <x:c r="T1171" s="454"/>
      <x:c r="U1171" s="454"/>
      <x:c r="V1171" s="455"/>
      <x:c r="W1171" s="456"/>
      <x:c r="X1171" s="450"/>
      <x:c r="Y1171" s="457"/>
      <x:c r="Z1171" s="458"/>
      <x:c r="AA1171" s="458"/>
      <x:c r="AB1171" s="458"/>
      <x:c r="AC1171" s="458"/>
      <x:c r="AD1171" s="458"/>
      <x:c r="AE1171" s="458"/>
    </x:row>
    <x:row r="1172" spans="1:31" ht="20.100000000000001" customHeight="1">
      <x:c r="A1172" s="439"/>
      <x:c r="B1172" s="466" t="str">
        <x:f t="shared" si="157"/>
        <x:v/>
      </x:c>
      <x:c r="C1172" s="440" t="str">
        <x:f t="shared" si="158"/>
        <x:v/>
      </x:c>
      <x:c r="D1172" s="441"/>
      <x:c r="E1172" s="442" t="str">
        <x:f t="shared" si="159"/>
        <x:v/>
      </x:c>
      <x:c r="F1172" s="443"/>
      <x:c r="G1172" s="444"/>
      <x:c r="H1172" s="445" t="str">
        <x:f t="shared" si="156"/>
        <x:v/>
      </x:c>
      <x:c r="I1172" s="446" t="str">
        <x:f t="shared" si="160"/>
        <x:v/>
      </x:c>
      <x:c r="J1172" s="445"/>
      <x:c r="K1172" s="453"/>
      <x:c r="L1172" s="454"/>
      <x:c r="M1172" s="454"/>
      <x:c r="N1172" s="454"/>
      <x:c r="O1172" s="454"/>
      <x:c r="P1172" s="454"/>
      <x:c r="Q1172" s="454"/>
      <x:c r="R1172" s="454"/>
      <x:c r="S1172" s="454"/>
      <x:c r="T1172" s="454"/>
      <x:c r="U1172" s="454"/>
      <x:c r="V1172" s="455"/>
      <x:c r="W1172" s="456"/>
      <x:c r="X1172" s="450"/>
      <x:c r="Y1172" s="457"/>
      <x:c r="Z1172" s="458"/>
      <x:c r="AA1172" s="458"/>
      <x:c r="AB1172" s="458"/>
      <x:c r="AC1172" s="458"/>
      <x:c r="AD1172" s="458"/>
      <x:c r="AE1172" s="458"/>
    </x:row>
    <x:row r="1173" spans="1:31" ht="20.100000000000001" customHeight="1">
      <x:c r="A1173" s="439"/>
      <x:c r="B1173" s="466" t="str">
        <x:f t="shared" si="157"/>
        <x:v/>
      </x:c>
      <x:c r="C1173" s="440" t="str">
        <x:f t="shared" si="158"/>
        <x:v/>
      </x:c>
      <x:c r="D1173" s="441"/>
      <x:c r="E1173" s="442" t="str">
        <x:f t="shared" si="159"/>
        <x:v/>
      </x:c>
      <x:c r="F1173" s="443"/>
      <x:c r="G1173" s="444"/>
      <x:c r="H1173" s="445" t="str">
        <x:f t="shared" si="156"/>
        <x:v/>
      </x:c>
      <x:c r="I1173" s="446" t="str">
        <x:f t="shared" si="160"/>
        <x:v/>
      </x:c>
      <x:c r="J1173" s="445"/>
      <x:c r="K1173" s="453"/>
      <x:c r="L1173" s="454"/>
      <x:c r="M1173" s="454"/>
      <x:c r="N1173" s="454"/>
      <x:c r="O1173" s="454"/>
      <x:c r="P1173" s="454"/>
      <x:c r="Q1173" s="454"/>
      <x:c r="R1173" s="454"/>
      <x:c r="S1173" s="454"/>
      <x:c r="T1173" s="454"/>
      <x:c r="U1173" s="454"/>
      <x:c r="V1173" s="455"/>
      <x:c r="W1173" s="456"/>
      <x:c r="X1173" s="450"/>
      <x:c r="Y1173" s="457"/>
      <x:c r="Z1173" s="458"/>
      <x:c r="AA1173" s="458"/>
      <x:c r="AB1173" s="458"/>
      <x:c r="AC1173" s="458"/>
      <x:c r="AD1173" s="458"/>
      <x:c r="AE1173" s="458"/>
    </x:row>
    <x:row r="1174" spans="1:31" ht="20.100000000000001" customHeight="1">
      <x:c r="A1174" s="439"/>
      <x:c r="B1174" s="466" t="str">
        <x:f t="shared" si="157"/>
        <x:v/>
      </x:c>
      <x:c r="C1174" s="440" t="str">
        <x:f t="shared" si="158"/>
        <x:v/>
      </x:c>
      <x:c r="D1174" s="441"/>
      <x:c r="E1174" s="442" t="str">
        <x:f t="shared" si="159"/>
        <x:v/>
      </x:c>
      <x:c r="F1174" s="443"/>
      <x:c r="G1174" s="444"/>
      <x:c r="H1174" s="445" t="str">
        <x:f t="shared" si="156"/>
        <x:v/>
      </x:c>
      <x:c r="I1174" s="446" t="str">
        <x:f t="shared" si="160"/>
        <x:v/>
      </x:c>
      <x:c r="J1174" s="445"/>
      <x:c r="K1174" s="453"/>
      <x:c r="L1174" s="454"/>
      <x:c r="M1174" s="454"/>
      <x:c r="N1174" s="454"/>
      <x:c r="O1174" s="454"/>
      <x:c r="P1174" s="454"/>
      <x:c r="Q1174" s="454"/>
      <x:c r="R1174" s="454"/>
      <x:c r="S1174" s="454"/>
      <x:c r="T1174" s="454"/>
      <x:c r="U1174" s="454"/>
      <x:c r="V1174" s="455"/>
      <x:c r="W1174" s="456"/>
      <x:c r="X1174" s="450"/>
      <x:c r="Y1174" s="457"/>
      <x:c r="Z1174" s="458"/>
      <x:c r="AA1174" s="458"/>
      <x:c r="AB1174" s="458"/>
      <x:c r="AC1174" s="458"/>
      <x:c r="AD1174" s="458"/>
      <x:c r="AE1174" s="458"/>
    </x:row>
    <x:row r="1175" spans="1:31" ht="20.100000000000001" customHeight="1">
      <x:c r="A1175" s="439"/>
      <x:c r="B1175" s="466" t="str">
        <x:f t="shared" si="157"/>
        <x:v/>
      </x:c>
      <x:c r="C1175" s="440" t="str">
        <x:f t="shared" si="158"/>
        <x:v/>
      </x:c>
      <x:c r="D1175" s="441"/>
      <x:c r="E1175" s="442" t="str">
        <x:f t="shared" si="159"/>
        <x:v/>
      </x:c>
      <x:c r="F1175" s="443"/>
      <x:c r="G1175" s="444"/>
      <x:c r="H1175" s="445" t="str">
        <x:f t="shared" si="156"/>
        <x:v/>
      </x:c>
      <x:c r="I1175" s="446" t="str">
        <x:f t="shared" si="160"/>
        <x:v/>
      </x:c>
      <x:c r="J1175" s="445"/>
      <x:c r="K1175" s="453"/>
      <x:c r="L1175" s="454"/>
      <x:c r="M1175" s="454"/>
      <x:c r="N1175" s="454"/>
      <x:c r="O1175" s="454"/>
      <x:c r="P1175" s="454"/>
      <x:c r="Q1175" s="454"/>
      <x:c r="R1175" s="454"/>
      <x:c r="S1175" s="454"/>
      <x:c r="T1175" s="454"/>
      <x:c r="U1175" s="454"/>
      <x:c r="V1175" s="455"/>
      <x:c r="W1175" s="456"/>
      <x:c r="X1175" s="450"/>
      <x:c r="Y1175" s="457"/>
      <x:c r="Z1175" s="458"/>
      <x:c r="AA1175" s="458"/>
      <x:c r="AB1175" s="458"/>
      <x:c r="AC1175" s="458"/>
      <x:c r="AD1175" s="458"/>
      <x:c r="AE1175" s="458"/>
    </x:row>
    <x:row r="1176" spans="1:31" ht="20.100000000000001" customHeight="1">
      <x:c r="A1176" s="439"/>
      <x:c r="B1176" s="466" t="str">
        <x:f t="shared" si="157"/>
        <x:v/>
      </x:c>
      <x:c r="C1176" s="440" t="str">
        <x:f t="shared" si="158"/>
        <x:v/>
      </x:c>
      <x:c r="D1176" s="441"/>
      <x:c r="E1176" s="442" t="str">
        <x:f t="shared" si="159"/>
        <x:v/>
      </x:c>
      <x:c r="F1176" s="443"/>
      <x:c r="G1176" s="444"/>
      <x:c r="H1176" s="445" t="str">
        <x:f t="shared" si="156"/>
        <x:v/>
      </x:c>
      <x:c r="I1176" s="446" t="str">
        <x:f t="shared" si="160"/>
        <x:v/>
      </x:c>
      <x:c r="J1176" s="445"/>
      <x:c r="K1176" s="453"/>
      <x:c r="L1176" s="454"/>
      <x:c r="M1176" s="454"/>
      <x:c r="N1176" s="454"/>
      <x:c r="O1176" s="454"/>
      <x:c r="P1176" s="454"/>
      <x:c r="Q1176" s="454"/>
      <x:c r="R1176" s="454"/>
      <x:c r="S1176" s="454"/>
      <x:c r="T1176" s="454"/>
      <x:c r="U1176" s="454"/>
      <x:c r="V1176" s="455"/>
      <x:c r="W1176" s="456"/>
      <x:c r="X1176" s="450"/>
      <x:c r="Y1176" s="457"/>
      <x:c r="Z1176" s="458"/>
      <x:c r="AA1176" s="458"/>
      <x:c r="AB1176" s="458"/>
      <x:c r="AC1176" s="458"/>
      <x:c r="AD1176" s="458"/>
      <x:c r="AE1176" s="458"/>
    </x:row>
    <x:row r="1177" spans="1:31" ht="20.100000000000001" customHeight="1">
      <x:c r="A1177" s="439"/>
      <x:c r="B1177" s="466" t="str">
        <x:f t="shared" si="157"/>
        <x:v/>
      </x:c>
      <x:c r="C1177" s="440" t="str">
        <x:f t="shared" si="158"/>
        <x:v/>
      </x:c>
      <x:c r="D1177" s="441"/>
      <x:c r="E1177" s="442" t="str">
        <x:f t="shared" si="159"/>
        <x:v/>
      </x:c>
      <x:c r="F1177" s="443"/>
      <x:c r="G1177" s="444"/>
      <x:c r="H1177" s="445" t="str">
        <x:f t="shared" si="156"/>
        <x:v/>
      </x:c>
      <x:c r="I1177" s="446" t="str">
        <x:f t="shared" si="160"/>
        <x:v/>
      </x:c>
      <x:c r="J1177" s="445"/>
      <x:c r="K1177" s="453"/>
      <x:c r="L1177" s="454"/>
      <x:c r="M1177" s="454"/>
      <x:c r="N1177" s="454"/>
      <x:c r="O1177" s="454"/>
      <x:c r="P1177" s="454"/>
      <x:c r="Q1177" s="454"/>
      <x:c r="R1177" s="454"/>
      <x:c r="S1177" s="454"/>
      <x:c r="T1177" s="454"/>
      <x:c r="U1177" s="454"/>
      <x:c r="V1177" s="455"/>
      <x:c r="W1177" s="456"/>
      <x:c r="X1177" s="450"/>
      <x:c r="Y1177" s="457"/>
      <x:c r="Z1177" s="458"/>
      <x:c r="AA1177" s="458"/>
      <x:c r="AB1177" s="458"/>
      <x:c r="AC1177" s="458"/>
      <x:c r="AD1177" s="458"/>
      <x:c r="AE1177" s="458"/>
    </x:row>
    <x:row r="1178" spans="1:31" ht="20.100000000000001" customHeight="1">
      <x:c r="A1178" s="439"/>
      <x:c r="B1178" s="466" t="str">
        <x:f t="shared" si="157"/>
        <x:v/>
      </x:c>
      <x:c r="C1178" s="440" t="str">
        <x:f t="shared" si="158"/>
        <x:v/>
      </x:c>
      <x:c r="D1178" s="441"/>
      <x:c r="E1178" s="442" t="str">
        <x:f t="shared" si="159"/>
        <x:v/>
      </x:c>
      <x:c r="F1178" s="443"/>
      <x:c r="G1178" s="444"/>
      <x:c r="H1178" s="445" t="str">
        <x:f t="shared" si="156"/>
        <x:v/>
      </x:c>
      <x:c r="I1178" s="446" t="str">
        <x:f t="shared" si="160"/>
        <x:v/>
      </x:c>
      <x:c r="J1178" s="445"/>
      <x:c r="K1178" s="453"/>
      <x:c r="L1178" s="454"/>
      <x:c r="M1178" s="454"/>
      <x:c r="N1178" s="454"/>
      <x:c r="O1178" s="454"/>
      <x:c r="P1178" s="454"/>
      <x:c r="Q1178" s="454"/>
      <x:c r="R1178" s="454"/>
      <x:c r="S1178" s="454"/>
      <x:c r="T1178" s="454"/>
      <x:c r="U1178" s="454"/>
      <x:c r="V1178" s="455"/>
      <x:c r="W1178" s="456"/>
      <x:c r="X1178" s="450"/>
      <x:c r="Y1178" s="457"/>
      <x:c r="Z1178" s="458"/>
      <x:c r="AA1178" s="458"/>
      <x:c r="AB1178" s="458"/>
      <x:c r="AC1178" s="458"/>
      <x:c r="AD1178" s="458"/>
      <x:c r="AE1178" s="458"/>
    </x:row>
    <x:row r="1179" spans="1:31" ht="20.100000000000001" customHeight="1">
      <x:c r="A1179" s="439"/>
      <x:c r="B1179" s="466" t="str">
        <x:f t="shared" si="157"/>
        <x:v/>
      </x:c>
      <x:c r="C1179" s="440" t="str">
        <x:f t="shared" si="158"/>
        <x:v/>
      </x:c>
      <x:c r="D1179" s="441"/>
      <x:c r="E1179" s="442" t="str">
        <x:f t="shared" si="159"/>
        <x:v/>
      </x:c>
      <x:c r="F1179" s="443"/>
      <x:c r="G1179" s="444"/>
      <x:c r="H1179" s="445" t="str">
        <x:f t="shared" si="156"/>
        <x:v/>
      </x:c>
      <x:c r="I1179" s="446" t="str">
        <x:f t="shared" si="160"/>
        <x:v/>
      </x:c>
      <x:c r="J1179" s="445"/>
      <x:c r="K1179" s="453"/>
      <x:c r="L1179" s="454"/>
      <x:c r="M1179" s="454"/>
      <x:c r="N1179" s="454"/>
      <x:c r="O1179" s="454"/>
      <x:c r="P1179" s="454"/>
      <x:c r="Q1179" s="454"/>
      <x:c r="R1179" s="454"/>
      <x:c r="S1179" s="454"/>
      <x:c r="T1179" s="454"/>
      <x:c r="U1179" s="454"/>
      <x:c r="V1179" s="455"/>
      <x:c r="W1179" s="456"/>
      <x:c r="X1179" s="450"/>
      <x:c r="Y1179" s="457"/>
      <x:c r="Z1179" s="458"/>
      <x:c r="AA1179" s="458"/>
      <x:c r="AB1179" s="458"/>
      <x:c r="AC1179" s="458"/>
      <x:c r="AD1179" s="458"/>
      <x:c r="AE1179" s="458"/>
    </x:row>
    <x:row r="1180" spans="1:31" ht="20.100000000000001" customHeight="1">
      <x:c r="A1180" s="439"/>
      <x:c r="B1180" s="466" t="str">
        <x:f t="shared" si="157"/>
        <x:v/>
      </x:c>
      <x:c r="C1180" s="440" t="str">
        <x:f t="shared" si="158"/>
        <x:v/>
      </x:c>
      <x:c r="D1180" s="441"/>
      <x:c r="E1180" s="442" t="str">
        <x:f t="shared" si="159"/>
        <x:v/>
      </x:c>
      <x:c r="F1180" s="443"/>
      <x:c r="G1180" s="444"/>
      <x:c r="H1180" s="445" t="str">
        <x:f t="shared" si="156"/>
        <x:v/>
      </x:c>
      <x:c r="I1180" s="446" t="str">
        <x:f t="shared" si="160"/>
        <x:v/>
      </x:c>
      <x:c r="J1180" s="445"/>
      <x:c r="K1180" s="453"/>
      <x:c r="L1180" s="454"/>
      <x:c r="M1180" s="454"/>
      <x:c r="N1180" s="454"/>
      <x:c r="O1180" s="454"/>
      <x:c r="P1180" s="454"/>
      <x:c r="Q1180" s="454"/>
      <x:c r="R1180" s="454"/>
      <x:c r="S1180" s="454"/>
      <x:c r="T1180" s="454"/>
      <x:c r="U1180" s="454"/>
      <x:c r="V1180" s="455"/>
      <x:c r="W1180" s="456"/>
      <x:c r="X1180" s="450"/>
      <x:c r="Y1180" s="457"/>
      <x:c r="Z1180" s="458"/>
      <x:c r="AA1180" s="458"/>
      <x:c r="AB1180" s="458"/>
      <x:c r="AC1180" s="458"/>
      <x:c r="AD1180" s="458"/>
      <x:c r="AE1180" s="458"/>
    </x:row>
    <x:row r="1181" spans="1:31" ht="20.100000000000001" customHeight="1">
      <x:c r="A1181" s="439"/>
      <x:c r="B1181" s="466" t="str">
        <x:f t="shared" si="157"/>
        <x:v/>
      </x:c>
      <x:c r="C1181" s="440" t="str">
        <x:f t="shared" si="158"/>
        <x:v/>
      </x:c>
      <x:c r="D1181" s="441"/>
      <x:c r="E1181" s="442" t="str">
        <x:f t="shared" si="159"/>
        <x:v/>
      </x:c>
      <x:c r="F1181" s="443"/>
      <x:c r="G1181" s="444"/>
      <x:c r="H1181" s="445" t="str">
        <x:f t="shared" si="156"/>
        <x:v/>
      </x:c>
      <x:c r="I1181" s="446" t="str">
        <x:f t="shared" si="160"/>
        <x:v/>
      </x:c>
      <x:c r="J1181" s="445"/>
      <x:c r="K1181" s="453"/>
      <x:c r="L1181" s="454"/>
      <x:c r="M1181" s="454"/>
      <x:c r="N1181" s="454"/>
      <x:c r="O1181" s="454"/>
      <x:c r="P1181" s="454"/>
      <x:c r="Q1181" s="454"/>
      <x:c r="R1181" s="454"/>
      <x:c r="S1181" s="454"/>
      <x:c r="T1181" s="454"/>
      <x:c r="U1181" s="454"/>
      <x:c r="V1181" s="455"/>
      <x:c r="W1181" s="456"/>
      <x:c r="X1181" s="450"/>
      <x:c r="Y1181" s="457"/>
      <x:c r="Z1181" s="458"/>
      <x:c r="AA1181" s="458"/>
      <x:c r="AB1181" s="458"/>
      <x:c r="AC1181" s="458"/>
      <x:c r="AD1181" s="458"/>
      <x:c r="AE1181" s="458"/>
    </x:row>
    <x:row r="1182" spans="1:31" ht="20.100000000000001" customHeight="1">
      <x:c r="A1182" s="439"/>
      <x:c r="B1182" s="466" t="str">
        <x:f t="shared" si="157"/>
        <x:v/>
      </x:c>
      <x:c r="C1182" s="440" t="str">
        <x:f t="shared" si="158"/>
        <x:v/>
      </x:c>
      <x:c r="D1182" s="441"/>
      <x:c r="E1182" s="442" t="str">
        <x:f t="shared" si="159"/>
        <x:v/>
      </x:c>
      <x:c r="F1182" s="443"/>
      <x:c r="G1182" s="444"/>
      <x:c r="H1182" s="445" t="str">
        <x:f t="shared" si="156"/>
        <x:v/>
      </x:c>
      <x:c r="I1182" s="446" t="str">
        <x:f t="shared" si="160"/>
        <x:v/>
      </x:c>
      <x:c r="J1182" s="445"/>
      <x:c r="K1182" s="453"/>
      <x:c r="L1182" s="454"/>
      <x:c r="M1182" s="454"/>
      <x:c r="N1182" s="454"/>
      <x:c r="O1182" s="454"/>
      <x:c r="P1182" s="454"/>
      <x:c r="Q1182" s="454"/>
      <x:c r="R1182" s="454"/>
      <x:c r="S1182" s="454"/>
      <x:c r="T1182" s="454"/>
      <x:c r="U1182" s="454"/>
      <x:c r="V1182" s="455"/>
      <x:c r="W1182" s="456"/>
      <x:c r="X1182" s="450"/>
      <x:c r="Y1182" s="457"/>
      <x:c r="Z1182" s="458"/>
      <x:c r="AA1182" s="458"/>
      <x:c r="AB1182" s="458"/>
      <x:c r="AC1182" s="458"/>
      <x:c r="AD1182" s="458"/>
      <x:c r="AE1182" s="458"/>
    </x:row>
    <x:row r="1183" spans="1:31" ht="20.100000000000001" customHeight="1">
      <x:c r="A1183" s="439"/>
      <x:c r="B1183" s="466" t="str">
        <x:f t="shared" si="157"/>
        <x:v/>
      </x:c>
      <x:c r="C1183" s="440" t="str">
        <x:f t="shared" si="158"/>
        <x:v/>
      </x:c>
      <x:c r="D1183" s="441"/>
      <x:c r="E1183" s="442" t="str">
        <x:f t="shared" si="159"/>
        <x:v/>
      </x:c>
      <x:c r="F1183" s="443"/>
      <x:c r="G1183" s="444"/>
      <x:c r="H1183" s="445" t="str">
        <x:f t="shared" si="156"/>
        <x:v/>
      </x:c>
      <x:c r="I1183" s="446" t="str">
        <x:f t="shared" si="160"/>
        <x:v/>
      </x:c>
      <x:c r="J1183" s="445"/>
      <x:c r="K1183" s="453"/>
      <x:c r="L1183" s="454"/>
      <x:c r="M1183" s="454"/>
      <x:c r="N1183" s="454"/>
      <x:c r="O1183" s="454"/>
      <x:c r="P1183" s="454"/>
      <x:c r="Q1183" s="454"/>
      <x:c r="R1183" s="454"/>
      <x:c r="S1183" s="454"/>
      <x:c r="T1183" s="454"/>
      <x:c r="U1183" s="454"/>
      <x:c r="V1183" s="455"/>
      <x:c r="W1183" s="456"/>
      <x:c r="X1183" s="450"/>
      <x:c r="Y1183" s="457"/>
      <x:c r="Z1183" s="458"/>
      <x:c r="AA1183" s="458"/>
      <x:c r="AB1183" s="458"/>
      <x:c r="AC1183" s="458"/>
      <x:c r="AD1183" s="458"/>
      <x:c r="AE1183" s="458"/>
    </x:row>
    <x:row r="1184" spans="1:31" ht="20.100000000000001" customHeight="1">
      <x:c r="A1184" s="439"/>
      <x:c r="B1184" s="466" t="str">
        <x:f t="shared" si="157"/>
        <x:v/>
      </x:c>
      <x:c r="C1184" s="440" t="str">
        <x:f t="shared" si="158"/>
        <x:v/>
      </x:c>
      <x:c r="D1184" s="441"/>
      <x:c r="E1184" s="442" t="str">
        <x:f t="shared" si="159"/>
        <x:v/>
      </x:c>
      <x:c r="F1184" s="443"/>
      <x:c r="G1184" s="444"/>
      <x:c r="H1184" s="445" t="str">
        <x:f t="shared" si="156"/>
        <x:v/>
      </x:c>
      <x:c r="I1184" s="446" t="str">
        <x:f t="shared" si="160"/>
        <x:v/>
      </x:c>
      <x:c r="J1184" s="445"/>
      <x:c r="K1184" s="453"/>
      <x:c r="L1184" s="454"/>
      <x:c r="M1184" s="454"/>
      <x:c r="N1184" s="454"/>
      <x:c r="O1184" s="454"/>
      <x:c r="P1184" s="454"/>
      <x:c r="Q1184" s="454"/>
      <x:c r="R1184" s="454"/>
      <x:c r="S1184" s="454"/>
      <x:c r="T1184" s="454"/>
      <x:c r="U1184" s="454"/>
      <x:c r="V1184" s="455"/>
      <x:c r="W1184" s="456"/>
      <x:c r="X1184" s="450"/>
      <x:c r="Y1184" s="457"/>
      <x:c r="Z1184" s="458"/>
      <x:c r="AA1184" s="458"/>
      <x:c r="AB1184" s="458"/>
      <x:c r="AC1184" s="458"/>
      <x:c r="AD1184" s="458"/>
      <x:c r="AE1184" s="458"/>
    </x:row>
    <x:row r="1185" spans="1:31" ht="20.100000000000001" customHeight="1">
      <x:c r="A1185" s="439"/>
      <x:c r="B1185" s="466" t="str">
        <x:f t="shared" si="157"/>
        <x:v/>
      </x:c>
      <x:c r="C1185" s="440" t="str">
        <x:f t="shared" si="158"/>
        <x:v/>
      </x:c>
      <x:c r="D1185" s="441"/>
      <x:c r="E1185" s="442" t="str">
        <x:f t="shared" si="159"/>
        <x:v/>
      </x:c>
      <x:c r="F1185" s="443"/>
      <x:c r="G1185" s="444"/>
      <x:c r="H1185" s="445" t="str">
        <x:f t="shared" si="156"/>
        <x:v/>
      </x:c>
      <x:c r="I1185" s="446" t="str">
        <x:f t="shared" si="160"/>
        <x:v/>
      </x:c>
      <x:c r="J1185" s="445"/>
      <x:c r="K1185" s="453"/>
      <x:c r="L1185" s="454"/>
      <x:c r="M1185" s="454"/>
      <x:c r="N1185" s="454"/>
      <x:c r="O1185" s="454"/>
      <x:c r="P1185" s="454"/>
      <x:c r="Q1185" s="454"/>
      <x:c r="R1185" s="454"/>
      <x:c r="S1185" s="454"/>
      <x:c r="T1185" s="454"/>
      <x:c r="U1185" s="454"/>
      <x:c r="V1185" s="455"/>
      <x:c r="W1185" s="456"/>
      <x:c r="X1185" s="450"/>
      <x:c r="Y1185" s="457"/>
      <x:c r="Z1185" s="458"/>
      <x:c r="AA1185" s="458"/>
      <x:c r="AB1185" s="458"/>
      <x:c r="AC1185" s="458"/>
      <x:c r="AD1185" s="458"/>
      <x:c r="AE1185" s="458"/>
    </x:row>
    <x:row r="1186" spans="1:31" ht="20.100000000000001" customHeight="1">
      <x:c r="A1186" s="439"/>
      <x:c r="B1186" s="466" t="str">
        <x:f t="shared" si="157"/>
        <x:v/>
      </x:c>
      <x:c r="C1186" s="440" t="str">
        <x:f t="shared" si="158"/>
        <x:v/>
      </x:c>
      <x:c r="D1186" s="441"/>
      <x:c r="E1186" s="442" t="str">
        <x:f t="shared" si="159"/>
        <x:v/>
      </x:c>
      <x:c r="F1186" s="443"/>
      <x:c r="G1186" s="444"/>
      <x:c r="H1186" s="445" t="str">
        <x:f t="shared" si="156"/>
        <x:v/>
      </x:c>
      <x:c r="I1186" s="446" t="str">
        <x:f t="shared" si="160"/>
        <x:v/>
      </x:c>
      <x:c r="J1186" s="445"/>
      <x:c r="K1186" s="453"/>
      <x:c r="L1186" s="454"/>
      <x:c r="M1186" s="454"/>
      <x:c r="N1186" s="454"/>
      <x:c r="O1186" s="454"/>
      <x:c r="P1186" s="454"/>
      <x:c r="Q1186" s="454"/>
      <x:c r="R1186" s="454"/>
      <x:c r="S1186" s="454"/>
      <x:c r="T1186" s="454"/>
      <x:c r="U1186" s="454"/>
      <x:c r="V1186" s="455"/>
      <x:c r="W1186" s="456"/>
      <x:c r="X1186" s="450"/>
      <x:c r="Y1186" s="457"/>
      <x:c r="Z1186" s="458"/>
      <x:c r="AA1186" s="458"/>
      <x:c r="AB1186" s="458"/>
      <x:c r="AC1186" s="458"/>
      <x:c r="AD1186" s="458"/>
      <x:c r="AE1186" s="458"/>
    </x:row>
    <x:row r="1187" spans="1:31" ht="20.100000000000001" customHeight="1">
      <x:c r="A1187" s="439"/>
      <x:c r="B1187" s="466" t="str">
        <x:f t="shared" si="157"/>
        <x:v/>
      </x:c>
      <x:c r="C1187" s="440" t="str">
        <x:f t="shared" si="158"/>
        <x:v/>
      </x:c>
      <x:c r="D1187" s="441"/>
      <x:c r="E1187" s="442" t="str">
        <x:f t="shared" si="159"/>
        <x:v/>
      </x:c>
      <x:c r="F1187" s="443"/>
      <x:c r="G1187" s="444"/>
      <x:c r="H1187" s="445" t="str">
        <x:f t="shared" si="156"/>
        <x:v/>
      </x:c>
      <x:c r="I1187" s="446" t="str">
        <x:f t="shared" si="160"/>
        <x:v/>
      </x:c>
      <x:c r="J1187" s="445"/>
      <x:c r="K1187" s="453"/>
      <x:c r="L1187" s="454"/>
      <x:c r="M1187" s="454"/>
      <x:c r="N1187" s="454"/>
      <x:c r="O1187" s="454"/>
      <x:c r="P1187" s="454"/>
      <x:c r="Q1187" s="454"/>
      <x:c r="R1187" s="454"/>
      <x:c r="S1187" s="454"/>
      <x:c r="T1187" s="454"/>
      <x:c r="U1187" s="454"/>
      <x:c r="V1187" s="455"/>
      <x:c r="W1187" s="456"/>
      <x:c r="X1187" s="450"/>
      <x:c r="Y1187" s="457"/>
      <x:c r="Z1187" s="458"/>
      <x:c r="AA1187" s="458"/>
      <x:c r="AB1187" s="458"/>
      <x:c r="AC1187" s="458"/>
      <x:c r="AD1187" s="458"/>
      <x:c r="AE1187" s="458"/>
    </x:row>
    <x:row r="1188" spans="1:31" ht="20.100000000000001" customHeight="1">
      <x:c r="A1188" s="439"/>
      <x:c r="B1188" s="466" t="str">
        <x:f t="shared" si="157"/>
        <x:v/>
      </x:c>
      <x:c r="C1188" s="440" t="str">
        <x:f t="shared" si="158"/>
        <x:v/>
      </x:c>
      <x:c r="D1188" s="441"/>
      <x:c r="E1188" s="442" t="str">
        <x:f t="shared" si="159"/>
        <x:v/>
      </x:c>
      <x:c r="F1188" s="443"/>
      <x:c r="G1188" s="444"/>
      <x:c r="H1188" s="445" t="str">
        <x:f t="shared" si="156"/>
        <x:v/>
      </x:c>
      <x:c r="I1188" s="446" t="str">
        <x:f t="shared" si="160"/>
        <x:v/>
      </x:c>
      <x:c r="J1188" s="445"/>
      <x:c r="K1188" s="453"/>
      <x:c r="L1188" s="454"/>
      <x:c r="M1188" s="454"/>
      <x:c r="N1188" s="454"/>
      <x:c r="O1188" s="454"/>
      <x:c r="P1188" s="454"/>
      <x:c r="Q1188" s="454"/>
      <x:c r="R1188" s="454"/>
      <x:c r="S1188" s="454"/>
      <x:c r="T1188" s="454"/>
      <x:c r="U1188" s="454"/>
      <x:c r="V1188" s="455"/>
      <x:c r="W1188" s="456"/>
      <x:c r="X1188" s="450"/>
      <x:c r="Y1188" s="457"/>
      <x:c r="Z1188" s="458"/>
      <x:c r="AA1188" s="458"/>
      <x:c r="AB1188" s="458"/>
      <x:c r="AC1188" s="458"/>
      <x:c r="AD1188" s="458"/>
      <x:c r="AE1188" s="458"/>
    </x:row>
    <x:row r="1189" spans="1:31" ht="20.100000000000001" customHeight="1">
      <x:c r="A1189" s="439"/>
      <x:c r="B1189" s="466" t="str">
        <x:f t="shared" si="157"/>
        <x:v/>
      </x:c>
      <x:c r="C1189" s="440" t="str">
        <x:f t="shared" si="158"/>
        <x:v/>
      </x:c>
      <x:c r="D1189" s="441"/>
      <x:c r="E1189" s="442" t="str">
        <x:f t="shared" si="159"/>
        <x:v/>
      </x:c>
      <x:c r="F1189" s="443"/>
      <x:c r="G1189" s="444"/>
      <x:c r="H1189" s="445" t="str">
        <x:f t="shared" si="156"/>
        <x:v/>
      </x:c>
      <x:c r="I1189" s="446" t="str">
        <x:f t="shared" si="160"/>
        <x:v/>
      </x:c>
      <x:c r="J1189" s="445"/>
      <x:c r="K1189" s="453"/>
      <x:c r="L1189" s="454"/>
      <x:c r="M1189" s="454"/>
      <x:c r="N1189" s="454"/>
      <x:c r="O1189" s="454"/>
      <x:c r="P1189" s="454"/>
      <x:c r="Q1189" s="454"/>
      <x:c r="R1189" s="454"/>
      <x:c r="S1189" s="454"/>
      <x:c r="T1189" s="454"/>
      <x:c r="U1189" s="454"/>
      <x:c r="V1189" s="455"/>
      <x:c r="W1189" s="456"/>
      <x:c r="X1189" s="450"/>
      <x:c r="Y1189" s="457"/>
      <x:c r="Z1189" s="458"/>
      <x:c r="AA1189" s="458"/>
      <x:c r="AB1189" s="458"/>
      <x:c r="AC1189" s="458"/>
      <x:c r="AD1189" s="458"/>
      <x:c r="AE1189" s="458"/>
    </x:row>
    <x:row r="1190" spans="1:31" ht="20.100000000000001" customHeight="1">
      <x:c r="A1190" s="439"/>
      <x:c r="B1190" s="466" t="str">
        <x:f t="shared" si="157"/>
        <x:v/>
      </x:c>
      <x:c r="C1190" s="440" t="str">
        <x:f t="shared" si="158"/>
        <x:v/>
      </x:c>
      <x:c r="D1190" s="441"/>
      <x:c r="E1190" s="442" t="str">
        <x:f t="shared" si="159"/>
        <x:v/>
      </x:c>
      <x:c r="F1190" s="443"/>
      <x:c r="G1190" s="444"/>
      <x:c r="H1190" s="445" t="str">
        <x:f t="shared" si="156"/>
        <x:v/>
      </x:c>
      <x:c r="I1190" s="446" t="str">
        <x:f t="shared" si="160"/>
        <x:v/>
      </x:c>
      <x:c r="J1190" s="445"/>
      <x:c r="K1190" s="453"/>
      <x:c r="L1190" s="454"/>
      <x:c r="M1190" s="454"/>
      <x:c r="N1190" s="454"/>
      <x:c r="O1190" s="454"/>
      <x:c r="P1190" s="454"/>
      <x:c r="Q1190" s="454"/>
      <x:c r="R1190" s="454"/>
      <x:c r="S1190" s="454"/>
      <x:c r="T1190" s="454"/>
      <x:c r="U1190" s="454"/>
      <x:c r="V1190" s="455"/>
      <x:c r="W1190" s="456"/>
      <x:c r="X1190" s="450"/>
      <x:c r="Y1190" s="457"/>
      <x:c r="Z1190" s="458"/>
      <x:c r="AA1190" s="458"/>
      <x:c r="AB1190" s="458"/>
      <x:c r="AC1190" s="458"/>
      <x:c r="AD1190" s="458"/>
      <x:c r="AE1190" s="458"/>
    </x:row>
    <x:row r="1191" spans="1:31" ht="20.100000000000001" customHeight="1">
      <x:c r="A1191" s="439"/>
      <x:c r="B1191" s="466" t="str">
        <x:f t="shared" si="157"/>
        <x:v/>
      </x:c>
      <x:c r="C1191" s="440" t="str">
        <x:f t="shared" si="158"/>
        <x:v/>
      </x:c>
      <x:c r="D1191" s="441"/>
      <x:c r="E1191" s="442" t="str">
        <x:f t="shared" si="159"/>
        <x:v/>
      </x:c>
      <x:c r="F1191" s="443"/>
      <x:c r="G1191" s="444"/>
      <x:c r="H1191" s="445" t="str">
        <x:f t="shared" si="156"/>
        <x:v/>
      </x:c>
      <x:c r="I1191" s="446" t="str">
        <x:f t="shared" si="160"/>
        <x:v/>
      </x:c>
      <x:c r="J1191" s="445"/>
      <x:c r="K1191" s="453"/>
      <x:c r="L1191" s="454"/>
      <x:c r="M1191" s="454"/>
      <x:c r="N1191" s="454"/>
      <x:c r="O1191" s="454"/>
      <x:c r="P1191" s="454"/>
      <x:c r="Q1191" s="454"/>
      <x:c r="R1191" s="454"/>
      <x:c r="S1191" s="454"/>
      <x:c r="T1191" s="454"/>
      <x:c r="U1191" s="454"/>
      <x:c r="V1191" s="455"/>
      <x:c r="W1191" s="456"/>
      <x:c r="X1191" s="450"/>
      <x:c r="Y1191" s="457"/>
      <x:c r="Z1191" s="458"/>
      <x:c r="AA1191" s="458"/>
      <x:c r="AB1191" s="458"/>
      <x:c r="AC1191" s="458"/>
      <x:c r="AD1191" s="458"/>
      <x:c r="AE1191" s="458"/>
    </x:row>
    <x:row r="1192" spans="1:31" ht="20.100000000000001" customHeight="1">
      <x:c r="A1192" s="439"/>
      <x:c r="B1192" s="466" t="str">
        <x:f t="shared" si="157"/>
        <x:v/>
      </x:c>
      <x:c r="C1192" s="440" t="str">
        <x:f t="shared" si="158"/>
        <x:v/>
      </x:c>
      <x:c r="D1192" s="441"/>
      <x:c r="E1192" s="442" t="str">
        <x:f t="shared" si="159"/>
        <x:v/>
      </x:c>
      <x:c r="F1192" s="443"/>
      <x:c r="G1192" s="444"/>
      <x:c r="H1192" s="445" t="str">
        <x:f t="shared" si="156"/>
        <x:v/>
      </x:c>
      <x:c r="I1192" s="446" t="str">
        <x:f t="shared" si="160"/>
        <x:v/>
      </x:c>
      <x:c r="J1192" s="445"/>
      <x:c r="K1192" s="453"/>
      <x:c r="L1192" s="454"/>
      <x:c r="M1192" s="454"/>
      <x:c r="N1192" s="454"/>
      <x:c r="O1192" s="454"/>
      <x:c r="P1192" s="454"/>
      <x:c r="Q1192" s="454"/>
      <x:c r="R1192" s="454"/>
      <x:c r="S1192" s="454"/>
      <x:c r="T1192" s="454"/>
      <x:c r="U1192" s="454"/>
      <x:c r="V1192" s="455"/>
      <x:c r="W1192" s="456"/>
      <x:c r="X1192" s="450"/>
      <x:c r="Y1192" s="457"/>
      <x:c r="Z1192" s="458"/>
      <x:c r="AA1192" s="458"/>
      <x:c r="AB1192" s="458"/>
      <x:c r="AC1192" s="458"/>
      <x:c r="AD1192" s="458"/>
      <x:c r="AE1192" s="458"/>
    </x:row>
    <x:row r="1193" spans="1:31" ht="20.100000000000001" customHeight="1">
      <x:c r="A1193" s="439"/>
      <x:c r="B1193" s="466" t="str">
        <x:f t="shared" si="157"/>
        <x:v/>
      </x:c>
      <x:c r="C1193" s="440" t="str">
        <x:f t="shared" si="158"/>
        <x:v/>
      </x:c>
      <x:c r="D1193" s="441"/>
      <x:c r="E1193" s="442" t="str">
        <x:f t="shared" si="159"/>
        <x:v/>
      </x:c>
      <x:c r="F1193" s="443"/>
      <x:c r="G1193" s="444"/>
      <x:c r="H1193" s="445" t="str">
        <x:f t="shared" si="156"/>
        <x:v/>
      </x:c>
      <x:c r="I1193" s="446" t="str">
        <x:f t="shared" si="160"/>
        <x:v/>
      </x:c>
      <x:c r="J1193" s="445"/>
      <x:c r="K1193" s="453"/>
      <x:c r="L1193" s="454"/>
      <x:c r="M1193" s="454"/>
      <x:c r="N1193" s="454"/>
      <x:c r="O1193" s="454"/>
      <x:c r="P1193" s="454"/>
      <x:c r="Q1193" s="454"/>
      <x:c r="R1193" s="454"/>
      <x:c r="S1193" s="454"/>
      <x:c r="T1193" s="454"/>
      <x:c r="U1193" s="454"/>
      <x:c r="V1193" s="455"/>
      <x:c r="W1193" s="456"/>
      <x:c r="X1193" s="450"/>
      <x:c r="Y1193" s="457"/>
      <x:c r="Z1193" s="458"/>
      <x:c r="AA1193" s="458"/>
      <x:c r="AB1193" s="458"/>
      <x:c r="AC1193" s="458"/>
      <x:c r="AD1193" s="458"/>
      <x:c r="AE1193" s="458"/>
    </x:row>
    <x:row r="1194" spans="1:31" ht="20.100000000000001" customHeight="1">
      <x:c r="A1194" s="439"/>
      <x:c r="B1194" s="466" t="str">
        <x:f t="shared" si="157"/>
        <x:v/>
      </x:c>
      <x:c r="C1194" s="440" t="str">
        <x:f t="shared" si="158"/>
        <x:v/>
      </x:c>
      <x:c r="D1194" s="441"/>
      <x:c r="E1194" s="442" t="str">
        <x:f t="shared" si="159"/>
        <x:v/>
      </x:c>
      <x:c r="F1194" s="443"/>
      <x:c r="G1194" s="444"/>
      <x:c r="H1194" s="445" t="str">
        <x:f t="shared" si="156"/>
        <x:v/>
      </x:c>
      <x:c r="I1194" s="446" t="str">
        <x:f t="shared" si="160"/>
        <x:v/>
      </x:c>
      <x:c r="J1194" s="445"/>
      <x:c r="K1194" s="453"/>
      <x:c r="L1194" s="454"/>
      <x:c r="M1194" s="454"/>
      <x:c r="N1194" s="454"/>
      <x:c r="O1194" s="454"/>
      <x:c r="P1194" s="454"/>
      <x:c r="Q1194" s="454"/>
      <x:c r="R1194" s="454"/>
      <x:c r="S1194" s="454"/>
      <x:c r="T1194" s="454"/>
      <x:c r="U1194" s="454"/>
      <x:c r="V1194" s="455"/>
      <x:c r="W1194" s="456"/>
      <x:c r="X1194" s="450"/>
      <x:c r="Y1194" s="457"/>
      <x:c r="Z1194" s="458"/>
      <x:c r="AA1194" s="458"/>
      <x:c r="AB1194" s="458"/>
      <x:c r="AC1194" s="458"/>
      <x:c r="AD1194" s="458"/>
      <x:c r="AE1194" s="458"/>
    </x:row>
    <x:row r="1195" spans="1:31" ht="20.100000000000001" customHeight="1">
      <x:c r="A1195" s="439"/>
      <x:c r="B1195" s="466" t="str">
        <x:f t="shared" si="157"/>
        <x:v/>
      </x:c>
      <x:c r="C1195" s="440" t="str">
        <x:f t="shared" si="158"/>
        <x:v/>
      </x:c>
      <x:c r="D1195" s="441"/>
      <x:c r="E1195" s="442" t="str">
        <x:f t="shared" si="159"/>
        <x:v/>
      </x:c>
      <x:c r="F1195" s="443"/>
      <x:c r="G1195" s="444"/>
      <x:c r="H1195" s="445" t="str">
        <x:f t="shared" si="156"/>
        <x:v/>
      </x:c>
      <x:c r="I1195" s="446" t="str">
        <x:f t="shared" si="160"/>
        <x:v/>
      </x:c>
      <x:c r="J1195" s="445"/>
      <x:c r="K1195" s="453"/>
      <x:c r="L1195" s="454"/>
      <x:c r="M1195" s="454"/>
      <x:c r="N1195" s="454"/>
      <x:c r="O1195" s="454"/>
      <x:c r="P1195" s="454"/>
      <x:c r="Q1195" s="454"/>
      <x:c r="R1195" s="454"/>
      <x:c r="S1195" s="454"/>
      <x:c r="T1195" s="454"/>
      <x:c r="U1195" s="454"/>
      <x:c r="V1195" s="455"/>
      <x:c r="W1195" s="456"/>
      <x:c r="X1195" s="450"/>
      <x:c r="Y1195" s="457"/>
      <x:c r="Z1195" s="458"/>
      <x:c r="AA1195" s="458"/>
      <x:c r="AB1195" s="458"/>
      <x:c r="AC1195" s="458"/>
      <x:c r="AD1195" s="458"/>
      <x:c r="AE1195" s="458"/>
    </x:row>
    <x:row r="1196" spans="1:31" ht="20.100000000000001" customHeight="1">
      <x:c r="A1196" s="439"/>
      <x:c r="B1196" s="466" t="str">
        <x:f t="shared" si="157"/>
        <x:v/>
      </x:c>
      <x:c r="C1196" s="440" t="str">
        <x:f t="shared" si="158"/>
        <x:v/>
      </x:c>
      <x:c r="D1196" s="441"/>
      <x:c r="E1196" s="442" t="str">
        <x:f t="shared" si="159"/>
        <x:v/>
      </x:c>
      <x:c r="F1196" s="443"/>
      <x:c r="G1196" s="444"/>
      <x:c r="H1196" s="445" t="str">
        <x:f t="shared" si="156"/>
        <x:v/>
      </x:c>
      <x:c r="I1196" s="446" t="str">
        <x:f t="shared" si="160"/>
        <x:v/>
      </x:c>
      <x:c r="J1196" s="445"/>
      <x:c r="K1196" s="453"/>
      <x:c r="L1196" s="454"/>
      <x:c r="M1196" s="454"/>
      <x:c r="N1196" s="454"/>
      <x:c r="O1196" s="454"/>
      <x:c r="P1196" s="454"/>
      <x:c r="Q1196" s="454"/>
      <x:c r="R1196" s="454"/>
      <x:c r="S1196" s="454"/>
      <x:c r="T1196" s="454"/>
      <x:c r="U1196" s="454"/>
      <x:c r="V1196" s="455"/>
      <x:c r="W1196" s="456"/>
      <x:c r="X1196" s="450"/>
      <x:c r="Y1196" s="457"/>
      <x:c r="Z1196" s="458"/>
      <x:c r="AA1196" s="458"/>
      <x:c r="AB1196" s="458"/>
      <x:c r="AC1196" s="458"/>
      <x:c r="AD1196" s="458"/>
      <x:c r="AE1196" s="458"/>
    </x:row>
    <x:row r="1197" spans="1:31" ht="20.100000000000001" customHeight="1">
      <x:c r="A1197" s="439"/>
      <x:c r="B1197" s="466" t="str">
        <x:f t="shared" si="157"/>
        <x:v/>
      </x:c>
      <x:c r="C1197" s="440" t="str">
        <x:f t="shared" si="158"/>
        <x:v/>
      </x:c>
      <x:c r="D1197" s="441"/>
      <x:c r="E1197" s="442" t="str">
        <x:f t="shared" si="159"/>
        <x:v/>
      </x:c>
      <x:c r="F1197" s="443"/>
      <x:c r="G1197" s="444"/>
      <x:c r="H1197" s="445" t="str">
        <x:f t="shared" si="156"/>
        <x:v/>
      </x:c>
      <x:c r="I1197" s="446" t="str">
        <x:f t="shared" si="160"/>
        <x:v/>
      </x:c>
      <x:c r="J1197" s="445"/>
      <x:c r="K1197" s="453"/>
      <x:c r="L1197" s="454"/>
      <x:c r="M1197" s="454"/>
      <x:c r="N1197" s="454"/>
      <x:c r="O1197" s="454"/>
      <x:c r="P1197" s="454"/>
      <x:c r="Q1197" s="454"/>
      <x:c r="R1197" s="454"/>
      <x:c r="S1197" s="454"/>
      <x:c r="T1197" s="454"/>
      <x:c r="U1197" s="454"/>
      <x:c r="V1197" s="455"/>
      <x:c r="W1197" s="456"/>
      <x:c r="X1197" s="450"/>
      <x:c r="Y1197" s="457"/>
      <x:c r="Z1197" s="458"/>
      <x:c r="AA1197" s="458"/>
      <x:c r="AB1197" s="458"/>
      <x:c r="AC1197" s="458"/>
      <x:c r="AD1197" s="458"/>
      <x:c r="AE1197" s="458"/>
    </x:row>
    <x:row r="1198" spans="1:31" ht="20.100000000000001" customHeight="1">
      <x:c r="A1198" s="439"/>
      <x:c r="B1198" s="466" t="str">
        <x:f t="shared" si="157"/>
        <x:v/>
      </x:c>
      <x:c r="C1198" s="440" t="str">
        <x:f t="shared" si="158"/>
        <x:v/>
      </x:c>
      <x:c r="D1198" s="441"/>
      <x:c r="E1198" s="442" t="str">
        <x:f t="shared" si="159"/>
        <x:v/>
      </x:c>
      <x:c r="F1198" s="443"/>
      <x:c r="G1198" s="444"/>
      <x:c r="H1198" s="445" t="str">
        <x:f t="shared" si="156"/>
        <x:v/>
      </x:c>
      <x:c r="I1198" s="446" t="str">
        <x:f t="shared" si="160"/>
        <x:v/>
      </x:c>
      <x:c r="J1198" s="445"/>
      <x:c r="K1198" s="453"/>
      <x:c r="L1198" s="454"/>
      <x:c r="M1198" s="454"/>
      <x:c r="N1198" s="454"/>
      <x:c r="O1198" s="454"/>
      <x:c r="P1198" s="454"/>
      <x:c r="Q1198" s="454"/>
      <x:c r="R1198" s="454"/>
      <x:c r="S1198" s="454"/>
      <x:c r="T1198" s="454"/>
      <x:c r="U1198" s="454"/>
      <x:c r="V1198" s="455"/>
      <x:c r="W1198" s="456"/>
      <x:c r="X1198" s="450"/>
      <x:c r="Y1198" s="457"/>
      <x:c r="Z1198" s="458"/>
      <x:c r="AA1198" s="458"/>
      <x:c r="AB1198" s="458"/>
      <x:c r="AC1198" s="458"/>
      <x:c r="AD1198" s="458"/>
      <x:c r="AE1198" s="458"/>
    </x:row>
    <x:row r="1199" spans="1:31" ht="20.100000000000001" customHeight="1">
      <x:c r="A1199" s="439"/>
      <x:c r="B1199" s="466" t="str">
        <x:f t="shared" si="157"/>
        <x:v/>
      </x:c>
      <x:c r="C1199" s="440" t="str">
        <x:f t="shared" si="158"/>
        <x:v/>
      </x:c>
      <x:c r="D1199" s="441"/>
      <x:c r="E1199" s="442" t="str">
        <x:f t="shared" si="159"/>
        <x:v/>
      </x:c>
      <x:c r="F1199" s="443"/>
      <x:c r="G1199" s="444"/>
      <x:c r="H1199" s="445" t="str">
        <x:f t="shared" si="156"/>
        <x:v/>
      </x:c>
      <x:c r="I1199" s="446" t="str">
        <x:f t="shared" si="160"/>
        <x:v/>
      </x:c>
      <x:c r="J1199" s="445"/>
      <x:c r="K1199" s="453"/>
      <x:c r="L1199" s="454"/>
      <x:c r="M1199" s="454"/>
      <x:c r="N1199" s="454"/>
      <x:c r="O1199" s="454"/>
      <x:c r="P1199" s="454"/>
      <x:c r="Q1199" s="454"/>
      <x:c r="R1199" s="454"/>
      <x:c r="S1199" s="454"/>
      <x:c r="T1199" s="454"/>
      <x:c r="U1199" s="454"/>
      <x:c r="V1199" s="455"/>
      <x:c r="W1199" s="456"/>
      <x:c r="X1199" s="450"/>
      <x:c r="Y1199" s="457"/>
      <x:c r="Z1199" s="458"/>
      <x:c r="AA1199" s="458"/>
      <x:c r="AB1199" s="458"/>
      <x:c r="AC1199" s="458"/>
      <x:c r="AD1199" s="458"/>
      <x:c r="AE1199" s="458"/>
    </x:row>
    <x:row r="1200" spans="1:31" ht="20.100000000000001" customHeight="1">
      <x:c r="A1200" s="439"/>
      <x:c r="B1200" s="466" t="str">
        <x:f t="shared" si="157"/>
        <x:v/>
      </x:c>
      <x:c r="C1200" s="440" t="str">
        <x:f t="shared" si="158"/>
        <x:v/>
      </x:c>
      <x:c r="D1200" s="441"/>
      <x:c r="E1200" s="442" t="str">
        <x:f t="shared" si="159"/>
        <x:v/>
      </x:c>
      <x:c r="F1200" s="443"/>
      <x:c r="G1200" s="444"/>
      <x:c r="H1200" s="445" t="str">
        <x:f t="shared" si="156"/>
        <x:v/>
      </x:c>
      <x:c r="I1200" s="446" t="str">
        <x:f t="shared" si="160"/>
        <x:v/>
      </x:c>
      <x:c r="J1200" s="445"/>
      <x:c r="K1200" s="453"/>
      <x:c r="L1200" s="454"/>
      <x:c r="M1200" s="454"/>
      <x:c r="N1200" s="454"/>
      <x:c r="O1200" s="454"/>
      <x:c r="P1200" s="454"/>
      <x:c r="Q1200" s="454"/>
      <x:c r="R1200" s="454"/>
      <x:c r="S1200" s="454"/>
      <x:c r="T1200" s="454"/>
      <x:c r="U1200" s="454"/>
      <x:c r="V1200" s="455"/>
      <x:c r="W1200" s="456"/>
      <x:c r="X1200" s="450"/>
      <x:c r="Y1200" s="457"/>
      <x:c r="Z1200" s="458"/>
      <x:c r="AA1200" s="458"/>
      <x:c r="AB1200" s="458"/>
      <x:c r="AC1200" s="458"/>
      <x:c r="AD1200" s="458"/>
      <x:c r="AE1200" s="458"/>
    </x:row>
    <x:row r="1201" spans="1:31" ht="20.100000000000001" customHeight="1">
      <x:c r="A1201" s="439"/>
      <x:c r="B1201" s="466" t="str">
        <x:f t="shared" si="157"/>
        <x:v/>
      </x:c>
      <x:c r="C1201" s="440" t="str">
        <x:f t="shared" si="158"/>
        <x:v/>
      </x:c>
      <x:c r="D1201" s="441"/>
      <x:c r="E1201" s="442" t="str">
        <x:f t="shared" si="159"/>
        <x:v/>
      </x:c>
      <x:c r="F1201" s="443"/>
      <x:c r="G1201" s="444"/>
      <x:c r="H1201" s="445" t="str">
        <x:f t="shared" si="156"/>
        <x:v/>
      </x:c>
      <x:c r="I1201" s="446" t="str">
        <x:f t="shared" si="160"/>
        <x:v/>
      </x:c>
      <x:c r="J1201" s="445"/>
      <x:c r="K1201" s="453"/>
      <x:c r="L1201" s="454"/>
      <x:c r="M1201" s="454"/>
      <x:c r="N1201" s="454"/>
      <x:c r="O1201" s="454"/>
      <x:c r="P1201" s="454"/>
      <x:c r="Q1201" s="454"/>
      <x:c r="R1201" s="454"/>
      <x:c r="S1201" s="454"/>
      <x:c r="T1201" s="454"/>
      <x:c r="U1201" s="454"/>
      <x:c r="V1201" s="455"/>
      <x:c r="W1201" s="456"/>
      <x:c r="X1201" s="450"/>
      <x:c r="Y1201" s="457"/>
      <x:c r="Z1201" s="458"/>
      <x:c r="AA1201" s="458"/>
      <x:c r="AB1201" s="458"/>
      <x:c r="AC1201" s="458"/>
      <x:c r="AD1201" s="458"/>
      <x:c r="AE1201" s="458"/>
    </x:row>
    <x:row r="1202" spans="1:31" ht="20.100000000000001" customHeight="1">
      <x:c r="A1202" s="439"/>
      <x:c r="B1202" s="466" t="str">
        <x:f t="shared" si="157"/>
        <x:v/>
      </x:c>
      <x:c r="C1202" s="440" t="str">
        <x:f t="shared" si="158"/>
        <x:v/>
      </x:c>
      <x:c r="D1202" s="441"/>
      <x:c r="E1202" s="442" t="str">
        <x:f t="shared" si="159"/>
        <x:v/>
      </x:c>
      <x:c r="F1202" s="443"/>
      <x:c r="G1202" s="444"/>
      <x:c r="H1202" s="445" t="str">
        <x:f t="shared" si="156"/>
        <x:v/>
      </x:c>
      <x:c r="I1202" s="446" t="str">
        <x:f t="shared" si="160"/>
        <x:v/>
      </x:c>
      <x:c r="J1202" s="445"/>
      <x:c r="K1202" s="453"/>
      <x:c r="L1202" s="454"/>
      <x:c r="M1202" s="454"/>
      <x:c r="N1202" s="454"/>
      <x:c r="O1202" s="454"/>
      <x:c r="P1202" s="454"/>
      <x:c r="Q1202" s="454"/>
      <x:c r="R1202" s="454"/>
      <x:c r="S1202" s="454"/>
      <x:c r="T1202" s="454"/>
      <x:c r="U1202" s="454"/>
      <x:c r="V1202" s="455"/>
      <x:c r="W1202" s="456"/>
      <x:c r="X1202" s="450"/>
      <x:c r="Y1202" s="457"/>
      <x:c r="Z1202" s="458"/>
      <x:c r="AA1202" s="458"/>
      <x:c r="AB1202" s="458"/>
      <x:c r="AC1202" s="458"/>
      <x:c r="AD1202" s="458"/>
      <x:c r="AE1202" s="458"/>
    </x:row>
    <x:row r="1203" spans="1:31" ht="20.100000000000001" customHeight="1">
      <x:c r="A1203" s="439"/>
      <x:c r="B1203" s="466" t="str">
        <x:f t="shared" si="157"/>
        <x:v/>
      </x:c>
      <x:c r="C1203" s="440" t="str">
        <x:f t="shared" si="158"/>
        <x:v/>
      </x:c>
      <x:c r="D1203" s="441"/>
      <x:c r="E1203" s="442" t="str">
        <x:f t="shared" si="159"/>
        <x:v/>
      </x:c>
      <x:c r="F1203" s="443"/>
      <x:c r="G1203" s="444"/>
      <x:c r="H1203" s="445" t="str">
        <x:f t="shared" si="156"/>
        <x:v/>
      </x:c>
      <x:c r="I1203" s="446" t="str">
        <x:f t="shared" si="160"/>
        <x:v/>
      </x:c>
      <x:c r="J1203" s="445"/>
      <x:c r="K1203" s="453"/>
      <x:c r="L1203" s="454"/>
      <x:c r="M1203" s="454"/>
      <x:c r="N1203" s="454"/>
      <x:c r="O1203" s="454"/>
      <x:c r="P1203" s="454"/>
      <x:c r="Q1203" s="454"/>
      <x:c r="R1203" s="454"/>
      <x:c r="S1203" s="454"/>
      <x:c r="T1203" s="454"/>
      <x:c r="U1203" s="454"/>
      <x:c r="V1203" s="455"/>
      <x:c r="W1203" s="456"/>
      <x:c r="X1203" s="450"/>
      <x:c r="Y1203" s="457"/>
      <x:c r="Z1203" s="458"/>
      <x:c r="AA1203" s="458"/>
      <x:c r="AB1203" s="458"/>
      <x:c r="AC1203" s="458"/>
      <x:c r="AD1203" s="458"/>
      <x:c r="AE1203" s="458"/>
    </x:row>
    <x:row r="1204" spans="1:31" ht="20.100000000000001" customHeight="1">
      <x:c r="A1204" s="439"/>
      <x:c r="B1204" s="466" t="str">
        <x:f t="shared" si="157"/>
        <x:v/>
      </x:c>
      <x:c r="C1204" s="440" t="str">
        <x:f t="shared" si="158"/>
        <x:v/>
      </x:c>
      <x:c r="D1204" s="441"/>
      <x:c r="E1204" s="442" t="str">
        <x:f t="shared" si="159"/>
        <x:v/>
      </x:c>
      <x:c r="F1204" s="443"/>
      <x:c r="G1204" s="444"/>
      <x:c r="H1204" s="445" t="str">
        <x:f t="shared" si="156"/>
        <x:v/>
      </x:c>
      <x:c r="I1204" s="446" t="str">
        <x:f t="shared" si="160"/>
        <x:v/>
      </x:c>
      <x:c r="J1204" s="445"/>
      <x:c r="K1204" s="453"/>
      <x:c r="L1204" s="454"/>
      <x:c r="M1204" s="454"/>
      <x:c r="N1204" s="454"/>
      <x:c r="O1204" s="454"/>
      <x:c r="P1204" s="454"/>
      <x:c r="Q1204" s="454"/>
      <x:c r="R1204" s="454"/>
      <x:c r="S1204" s="454"/>
      <x:c r="T1204" s="454"/>
      <x:c r="U1204" s="454"/>
      <x:c r="V1204" s="455"/>
      <x:c r="W1204" s="456"/>
      <x:c r="X1204" s="450"/>
      <x:c r="Y1204" s="457"/>
      <x:c r="Z1204" s="458"/>
      <x:c r="AA1204" s="458"/>
      <x:c r="AB1204" s="458"/>
      <x:c r="AC1204" s="458"/>
      <x:c r="AD1204" s="458"/>
      <x:c r="AE1204" s="458"/>
    </x:row>
    <x:row r="1205" spans="1:31" ht="20.100000000000001" customHeight="1">
      <x:c r="A1205" s="439"/>
      <x:c r="B1205" s="466" t="str">
        <x:f t="shared" si="157"/>
        <x:v/>
      </x:c>
      <x:c r="C1205" s="440" t="str">
        <x:f t="shared" si="158"/>
        <x:v/>
      </x:c>
      <x:c r="D1205" s="441"/>
      <x:c r="E1205" s="442" t="str">
        <x:f t="shared" si="159"/>
        <x:v/>
      </x:c>
      <x:c r="F1205" s="443"/>
      <x:c r="G1205" s="444"/>
      <x:c r="H1205" s="445" t="str">
        <x:f t="shared" si="156"/>
        <x:v/>
      </x:c>
      <x:c r="I1205" s="446" t="str">
        <x:f t="shared" si="160"/>
        <x:v/>
      </x:c>
      <x:c r="J1205" s="445"/>
      <x:c r="K1205" s="453"/>
      <x:c r="L1205" s="454"/>
      <x:c r="M1205" s="454"/>
      <x:c r="N1205" s="454"/>
      <x:c r="O1205" s="454"/>
      <x:c r="P1205" s="454"/>
      <x:c r="Q1205" s="454"/>
      <x:c r="R1205" s="454"/>
      <x:c r="S1205" s="454"/>
      <x:c r="T1205" s="454"/>
      <x:c r="U1205" s="454"/>
      <x:c r="V1205" s="455"/>
      <x:c r="W1205" s="456"/>
      <x:c r="X1205" s="450"/>
      <x:c r="Y1205" s="457"/>
      <x:c r="Z1205" s="458"/>
      <x:c r="AA1205" s="458"/>
      <x:c r="AB1205" s="458"/>
      <x:c r="AC1205" s="458"/>
      <x:c r="AD1205" s="458"/>
      <x:c r="AE1205" s="458"/>
    </x:row>
    <x:row r="1206" spans="1:31" ht="20.100000000000001" customHeight="1">
      <x:c r="A1206" s="439"/>
      <x:c r="B1206" s="466" t="str">
        <x:f t="shared" si="157"/>
        <x:v/>
      </x:c>
      <x:c r="C1206" s="440" t="str">
        <x:f t="shared" si="158"/>
        <x:v/>
      </x:c>
      <x:c r="D1206" s="441"/>
      <x:c r="E1206" s="442" t="str">
        <x:f t="shared" si="159"/>
        <x:v/>
      </x:c>
      <x:c r="F1206" s="443"/>
      <x:c r="G1206" s="444"/>
      <x:c r="H1206" s="445" t="str">
        <x:f t="shared" si="156"/>
        <x:v/>
      </x:c>
      <x:c r="I1206" s="446" t="str">
        <x:f t="shared" si="160"/>
        <x:v/>
      </x:c>
      <x:c r="J1206" s="445"/>
      <x:c r="K1206" s="453"/>
      <x:c r="L1206" s="454"/>
      <x:c r="M1206" s="454"/>
      <x:c r="N1206" s="454"/>
      <x:c r="O1206" s="454"/>
      <x:c r="P1206" s="454"/>
      <x:c r="Q1206" s="454"/>
      <x:c r="R1206" s="454"/>
      <x:c r="S1206" s="454"/>
      <x:c r="T1206" s="454"/>
      <x:c r="U1206" s="454"/>
      <x:c r="V1206" s="455"/>
      <x:c r="W1206" s="456"/>
      <x:c r="X1206" s="450"/>
      <x:c r="Y1206" s="457"/>
      <x:c r="Z1206" s="458"/>
      <x:c r="AA1206" s="458"/>
      <x:c r="AB1206" s="458"/>
      <x:c r="AC1206" s="458"/>
      <x:c r="AD1206" s="458"/>
      <x:c r="AE1206" s="458"/>
    </x:row>
    <x:row r="1207" spans="1:31" ht="20.100000000000001" customHeight="1">
      <x:c r="A1207" s="439"/>
      <x:c r="B1207" s="466" t="str">
        <x:f t="shared" si="157"/>
        <x:v/>
      </x:c>
      <x:c r="C1207" s="440" t="str">
        <x:f t="shared" si="158"/>
        <x:v/>
      </x:c>
      <x:c r="D1207" s="441"/>
      <x:c r="E1207" s="442" t="str">
        <x:f t="shared" si="159"/>
        <x:v/>
      </x:c>
      <x:c r="F1207" s="443"/>
      <x:c r="G1207" s="444"/>
      <x:c r="H1207" s="445" t="str">
        <x:f t="shared" si="156"/>
        <x:v/>
      </x:c>
      <x:c r="I1207" s="446" t="str">
        <x:f t="shared" si="160"/>
        <x:v/>
      </x:c>
      <x:c r="J1207" s="445"/>
      <x:c r="K1207" s="453"/>
      <x:c r="L1207" s="454"/>
      <x:c r="M1207" s="454"/>
      <x:c r="N1207" s="454"/>
      <x:c r="O1207" s="454"/>
      <x:c r="P1207" s="454"/>
      <x:c r="Q1207" s="454"/>
      <x:c r="R1207" s="454"/>
      <x:c r="S1207" s="454"/>
      <x:c r="T1207" s="454"/>
      <x:c r="U1207" s="454"/>
      <x:c r="V1207" s="455"/>
      <x:c r="W1207" s="456"/>
      <x:c r="X1207" s="450"/>
      <x:c r="Y1207" s="457"/>
      <x:c r="Z1207" s="458"/>
      <x:c r="AA1207" s="458"/>
      <x:c r="AB1207" s="458"/>
      <x:c r="AC1207" s="458"/>
      <x:c r="AD1207" s="458"/>
      <x:c r="AE1207" s="458"/>
    </x:row>
    <x:row r="1208" spans="1:31" ht="20.100000000000001" customHeight="1">
      <x:c r="A1208" s="439"/>
      <x:c r="B1208" s="466" t="str">
        <x:f t="shared" si="157"/>
        <x:v/>
      </x:c>
      <x:c r="C1208" s="440" t="str">
        <x:f t="shared" si="158"/>
        <x:v/>
      </x:c>
      <x:c r="D1208" s="441"/>
      <x:c r="E1208" s="442" t="str">
        <x:f t="shared" si="159"/>
        <x:v/>
      </x:c>
      <x:c r="F1208" s="443"/>
      <x:c r="G1208" s="444"/>
      <x:c r="H1208" s="445" t="str">
        <x:f t="shared" ref="H1208:H1271" si="161">IFERROR(VLOOKUP($G1208,$AK:$AL,2,),"")</x:f>
        <x:v/>
      </x:c>
      <x:c r="I1208" s="446" t="str">
        <x:f t="shared" si="160"/>
        <x:v/>
      </x:c>
      <x:c r="J1208" s="445"/>
      <x:c r="K1208" s="453"/>
      <x:c r="L1208" s="454"/>
      <x:c r="M1208" s="454"/>
      <x:c r="N1208" s="454"/>
      <x:c r="O1208" s="454"/>
      <x:c r="P1208" s="454"/>
      <x:c r="Q1208" s="454"/>
      <x:c r="R1208" s="454"/>
      <x:c r="S1208" s="454"/>
      <x:c r="T1208" s="454"/>
      <x:c r="U1208" s="454"/>
      <x:c r="V1208" s="455"/>
      <x:c r="W1208" s="456"/>
      <x:c r="X1208" s="450"/>
      <x:c r="Y1208" s="457"/>
      <x:c r="Z1208" s="458"/>
      <x:c r="AA1208" s="458"/>
      <x:c r="AB1208" s="458"/>
      <x:c r="AC1208" s="458"/>
      <x:c r="AD1208" s="458"/>
      <x:c r="AE1208" s="458"/>
    </x:row>
    <x:row r="1209" spans="1:31" ht="20.100000000000001" customHeight="1">
      <x:c r="A1209" s="439"/>
      <x:c r="B1209" s="466" t="str">
        <x:f t="shared" si="157"/>
        <x:v/>
      </x:c>
      <x:c r="C1209" s="440" t="str">
        <x:f t="shared" si="158"/>
        <x:v/>
      </x:c>
      <x:c r="D1209" s="441"/>
      <x:c r="E1209" s="442" t="str">
        <x:f t="shared" si="159"/>
        <x:v/>
      </x:c>
      <x:c r="F1209" s="443"/>
      <x:c r="G1209" s="444"/>
      <x:c r="H1209" s="445" t="str">
        <x:f t="shared" si="161"/>
        <x:v/>
      </x:c>
      <x:c r="I1209" s="446" t="str">
        <x:f t="shared" si="160"/>
        <x:v/>
      </x:c>
      <x:c r="J1209" s="445"/>
      <x:c r="K1209" s="453"/>
      <x:c r="L1209" s="454"/>
      <x:c r="M1209" s="454"/>
      <x:c r="N1209" s="454"/>
      <x:c r="O1209" s="454"/>
      <x:c r="P1209" s="454"/>
      <x:c r="Q1209" s="454"/>
      <x:c r="R1209" s="454"/>
      <x:c r="S1209" s="454"/>
      <x:c r="T1209" s="454"/>
      <x:c r="U1209" s="454"/>
      <x:c r="V1209" s="455"/>
      <x:c r="W1209" s="456"/>
      <x:c r="X1209" s="450"/>
      <x:c r="Y1209" s="457"/>
      <x:c r="Z1209" s="458"/>
      <x:c r="AA1209" s="458"/>
      <x:c r="AB1209" s="458"/>
      <x:c r="AC1209" s="458"/>
      <x:c r="AD1209" s="458"/>
      <x:c r="AE1209" s="458"/>
    </x:row>
    <x:row r="1210" spans="1:31" ht="20.100000000000001" customHeight="1">
      <x:c r="A1210" s="439"/>
      <x:c r="B1210" s="466" t="str">
        <x:f t="shared" si="157"/>
        <x:v/>
      </x:c>
      <x:c r="C1210" s="440" t="str">
        <x:f t="shared" si="158"/>
        <x:v/>
      </x:c>
      <x:c r="D1210" s="441"/>
      <x:c r="E1210" s="442" t="str">
        <x:f t="shared" si="159"/>
        <x:v/>
      </x:c>
      <x:c r="F1210" s="443"/>
      <x:c r="G1210" s="444"/>
      <x:c r="H1210" s="445" t="str">
        <x:f t="shared" si="161"/>
        <x:v/>
      </x:c>
      <x:c r="I1210" s="446" t="str">
        <x:f t="shared" si="160"/>
        <x:v/>
      </x:c>
      <x:c r="J1210" s="445"/>
      <x:c r="K1210" s="453"/>
      <x:c r="L1210" s="454"/>
      <x:c r="M1210" s="454"/>
      <x:c r="N1210" s="454"/>
      <x:c r="O1210" s="454"/>
      <x:c r="P1210" s="454"/>
      <x:c r="Q1210" s="454"/>
      <x:c r="R1210" s="454"/>
      <x:c r="S1210" s="454"/>
      <x:c r="T1210" s="454"/>
      <x:c r="U1210" s="454"/>
      <x:c r="V1210" s="455"/>
      <x:c r="W1210" s="456"/>
      <x:c r="X1210" s="450"/>
      <x:c r="Y1210" s="457"/>
      <x:c r="Z1210" s="458"/>
      <x:c r="AA1210" s="458"/>
      <x:c r="AB1210" s="458"/>
      <x:c r="AC1210" s="458"/>
      <x:c r="AD1210" s="458"/>
      <x:c r="AE1210" s="458"/>
    </x:row>
    <x:row r="1211" spans="1:31" ht="20.100000000000001" customHeight="1">
      <x:c r="A1211" s="439"/>
      <x:c r="B1211" s="466" t="str">
        <x:f t="shared" si="157"/>
        <x:v/>
      </x:c>
      <x:c r="C1211" s="440" t="str">
        <x:f t="shared" si="158"/>
        <x:v/>
      </x:c>
      <x:c r="D1211" s="441"/>
      <x:c r="E1211" s="442" t="str">
        <x:f t="shared" si="159"/>
        <x:v/>
      </x:c>
      <x:c r="F1211" s="443"/>
      <x:c r="G1211" s="444"/>
      <x:c r="H1211" s="445" t="str">
        <x:f t="shared" si="161"/>
        <x:v/>
      </x:c>
      <x:c r="I1211" s="446" t="str">
        <x:f t="shared" si="160"/>
        <x:v/>
      </x:c>
      <x:c r="J1211" s="445"/>
      <x:c r="K1211" s="453"/>
      <x:c r="L1211" s="454"/>
      <x:c r="M1211" s="454"/>
      <x:c r="N1211" s="454"/>
      <x:c r="O1211" s="454"/>
      <x:c r="P1211" s="454"/>
      <x:c r="Q1211" s="454"/>
      <x:c r="R1211" s="454"/>
      <x:c r="S1211" s="454"/>
      <x:c r="T1211" s="454"/>
      <x:c r="U1211" s="454"/>
      <x:c r="V1211" s="455"/>
      <x:c r="W1211" s="456"/>
      <x:c r="X1211" s="450"/>
      <x:c r="Y1211" s="457"/>
      <x:c r="Z1211" s="458"/>
      <x:c r="AA1211" s="458"/>
      <x:c r="AB1211" s="458"/>
      <x:c r="AC1211" s="458"/>
      <x:c r="AD1211" s="458"/>
      <x:c r="AE1211" s="458"/>
    </x:row>
    <x:row r="1212" spans="1:31" ht="20.100000000000001" customHeight="1">
      <x:c r="A1212" s="439"/>
      <x:c r="B1212" s="466" t="str">
        <x:f t="shared" si="157"/>
        <x:v/>
      </x:c>
      <x:c r="C1212" s="440" t="str">
        <x:f t="shared" si="158"/>
        <x:v/>
      </x:c>
      <x:c r="D1212" s="441"/>
      <x:c r="E1212" s="442" t="str">
        <x:f t="shared" si="159"/>
        <x:v/>
      </x:c>
      <x:c r="F1212" s="443"/>
      <x:c r="G1212" s="444"/>
      <x:c r="H1212" s="445" t="str">
        <x:f t="shared" si="161"/>
        <x:v/>
      </x:c>
      <x:c r="I1212" s="446" t="str">
        <x:f t="shared" si="160"/>
        <x:v/>
      </x:c>
      <x:c r="J1212" s="445"/>
      <x:c r="K1212" s="453"/>
      <x:c r="L1212" s="454"/>
      <x:c r="M1212" s="454"/>
      <x:c r="N1212" s="454"/>
      <x:c r="O1212" s="454"/>
      <x:c r="P1212" s="454"/>
      <x:c r="Q1212" s="454"/>
      <x:c r="R1212" s="454"/>
      <x:c r="S1212" s="454"/>
      <x:c r="T1212" s="454"/>
      <x:c r="U1212" s="454"/>
      <x:c r="V1212" s="455"/>
      <x:c r="W1212" s="456"/>
      <x:c r="X1212" s="450"/>
      <x:c r="Y1212" s="457"/>
      <x:c r="Z1212" s="458"/>
      <x:c r="AA1212" s="458"/>
      <x:c r="AB1212" s="458"/>
      <x:c r="AC1212" s="458"/>
      <x:c r="AD1212" s="458"/>
      <x:c r="AE1212" s="458"/>
    </x:row>
    <x:row r="1213" spans="1:31" ht="20.100000000000001" customHeight="1">
      <x:c r="A1213" s="439"/>
      <x:c r="B1213" s="466" t="str">
        <x:f t="shared" si="157"/>
        <x:v/>
      </x:c>
      <x:c r="C1213" s="440" t="str">
        <x:f t="shared" si="158"/>
        <x:v/>
      </x:c>
      <x:c r="D1213" s="441"/>
      <x:c r="E1213" s="442" t="str">
        <x:f t="shared" si="159"/>
        <x:v/>
      </x:c>
      <x:c r="F1213" s="443"/>
      <x:c r="G1213" s="444"/>
      <x:c r="H1213" s="445" t="str">
        <x:f t="shared" si="161"/>
        <x:v/>
      </x:c>
      <x:c r="I1213" s="446" t="str">
        <x:f t="shared" si="160"/>
        <x:v/>
      </x:c>
      <x:c r="J1213" s="445"/>
      <x:c r="K1213" s="453"/>
      <x:c r="L1213" s="454"/>
      <x:c r="M1213" s="454"/>
      <x:c r="N1213" s="454"/>
      <x:c r="O1213" s="454"/>
      <x:c r="P1213" s="454"/>
      <x:c r="Q1213" s="454"/>
      <x:c r="R1213" s="454"/>
      <x:c r="S1213" s="454"/>
      <x:c r="T1213" s="454"/>
      <x:c r="U1213" s="454"/>
      <x:c r="V1213" s="455"/>
      <x:c r="W1213" s="456"/>
      <x:c r="X1213" s="450"/>
      <x:c r="Y1213" s="457"/>
      <x:c r="Z1213" s="458"/>
      <x:c r="AA1213" s="458"/>
      <x:c r="AB1213" s="458"/>
      <x:c r="AC1213" s="458"/>
      <x:c r="AD1213" s="458"/>
      <x:c r="AE1213" s="458"/>
    </x:row>
    <x:row r="1214" spans="1:31" ht="20.100000000000001" customHeight="1">
      <x:c r="A1214" s="439"/>
      <x:c r="B1214" s="466" t="str">
        <x:f t="shared" si="157"/>
        <x:v/>
      </x:c>
      <x:c r="C1214" s="440" t="str">
        <x:f t="shared" si="158"/>
        <x:v/>
      </x:c>
      <x:c r="D1214" s="441"/>
      <x:c r="E1214" s="442" t="str">
        <x:f t="shared" si="159"/>
        <x:v/>
      </x:c>
      <x:c r="F1214" s="443"/>
      <x:c r="G1214" s="444"/>
      <x:c r="H1214" s="445" t="str">
        <x:f t="shared" si="161"/>
        <x:v/>
      </x:c>
      <x:c r="I1214" s="446" t="str">
        <x:f t="shared" si="160"/>
        <x:v/>
      </x:c>
      <x:c r="J1214" s="445"/>
      <x:c r="K1214" s="453"/>
      <x:c r="L1214" s="454"/>
      <x:c r="M1214" s="454"/>
      <x:c r="N1214" s="454"/>
      <x:c r="O1214" s="454"/>
      <x:c r="P1214" s="454"/>
      <x:c r="Q1214" s="454"/>
      <x:c r="R1214" s="454"/>
      <x:c r="S1214" s="454"/>
      <x:c r="T1214" s="454"/>
      <x:c r="U1214" s="454"/>
      <x:c r="V1214" s="455"/>
      <x:c r="W1214" s="456"/>
      <x:c r="X1214" s="450"/>
      <x:c r="Y1214" s="457"/>
      <x:c r="Z1214" s="458"/>
      <x:c r="AA1214" s="458"/>
      <x:c r="AB1214" s="458"/>
      <x:c r="AC1214" s="458"/>
      <x:c r="AD1214" s="458"/>
      <x:c r="AE1214" s="458"/>
    </x:row>
    <x:row r="1215" spans="1:31" ht="20.100000000000001" customHeight="1">
      <x:c r="A1215" s="439"/>
      <x:c r="B1215" s="466" t="str">
        <x:f t="shared" si="157"/>
        <x:v/>
      </x:c>
      <x:c r="C1215" s="440" t="str">
        <x:f t="shared" si="158"/>
        <x:v/>
      </x:c>
      <x:c r="D1215" s="441"/>
      <x:c r="E1215" s="442" t="str">
        <x:f t="shared" si="159"/>
        <x:v/>
      </x:c>
      <x:c r="F1215" s="443"/>
      <x:c r="G1215" s="444"/>
      <x:c r="H1215" s="445" t="str">
        <x:f t="shared" si="161"/>
        <x:v/>
      </x:c>
      <x:c r="I1215" s="446" t="str">
        <x:f t="shared" si="160"/>
        <x:v/>
      </x:c>
      <x:c r="J1215" s="445"/>
      <x:c r="K1215" s="453"/>
      <x:c r="L1215" s="454"/>
      <x:c r="M1215" s="454"/>
      <x:c r="N1215" s="454"/>
      <x:c r="O1215" s="454"/>
      <x:c r="P1215" s="454"/>
      <x:c r="Q1215" s="454"/>
      <x:c r="R1215" s="454"/>
      <x:c r="S1215" s="454"/>
      <x:c r="T1215" s="454"/>
      <x:c r="U1215" s="454"/>
      <x:c r="V1215" s="455"/>
      <x:c r="W1215" s="456"/>
      <x:c r="X1215" s="450"/>
      <x:c r="Y1215" s="457"/>
      <x:c r="Z1215" s="458"/>
      <x:c r="AA1215" s="458"/>
      <x:c r="AB1215" s="458"/>
      <x:c r="AC1215" s="458"/>
      <x:c r="AD1215" s="458"/>
      <x:c r="AE1215" s="458"/>
    </x:row>
    <x:row r="1216" spans="1:31" ht="20.100000000000001" customHeight="1">
      <x:c r="A1216" s="439"/>
      <x:c r="B1216" s="466" t="str">
        <x:f t="shared" si="157"/>
        <x:v/>
      </x:c>
      <x:c r="C1216" s="440" t="str">
        <x:f t="shared" si="158"/>
        <x:v/>
      </x:c>
      <x:c r="D1216" s="441"/>
      <x:c r="E1216" s="442" t="str">
        <x:f t="shared" si="159"/>
        <x:v/>
      </x:c>
      <x:c r="F1216" s="443"/>
      <x:c r="G1216" s="444"/>
      <x:c r="H1216" s="445" t="str">
        <x:f t="shared" si="161"/>
        <x:v/>
      </x:c>
      <x:c r="I1216" s="446" t="str">
        <x:f t="shared" si="160"/>
        <x:v/>
      </x:c>
      <x:c r="J1216" s="445"/>
      <x:c r="K1216" s="453"/>
      <x:c r="L1216" s="454"/>
      <x:c r="M1216" s="454"/>
      <x:c r="N1216" s="454"/>
      <x:c r="O1216" s="454"/>
      <x:c r="P1216" s="454"/>
      <x:c r="Q1216" s="454"/>
      <x:c r="R1216" s="454"/>
      <x:c r="S1216" s="454"/>
      <x:c r="T1216" s="454"/>
      <x:c r="U1216" s="454"/>
      <x:c r="V1216" s="455"/>
      <x:c r="W1216" s="456"/>
      <x:c r="X1216" s="450"/>
      <x:c r="Y1216" s="457"/>
      <x:c r="Z1216" s="458"/>
      <x:c r="AA1216" s="458"/>
      <x:c r="AB1216" s="458"/>
      <x:c r="AC1216" s="458"/>
      <x:c r="AD1216" s="458"/>
      <x:c r="AE1216" s="458"/>
    </x:row>
    <x:row r="1217" spans="1:31" ht="20.100000000000001" customHeight="1">
      <x:c r="A1217" s="439"/>
      <x:c r="B1217" s="466" t="str">
        <x:f t="shared" si="157"/>
        <x:v/>
      </x:c>
      <x:c r="C1217" s="440" t="str">
        <x:f t="shared" si="158"/>
        <x:v/>
      </x:c>
      <x:c r="D1217" s="441"/>
      <x:c r="E1217" s="442" t="str">
        <x:f t="shared" si="159"/>
        <x:v/>
      </x:c>
      <x:c r="F1217" s="443"/>
      <x:c r="G1217" s="444"/>
      <x:c r="H1217" s="445" t="str">
        <x:f t="shared" si="161"/>
        <x:v/>
      </x:c>
      <x:c r="I1217" s="446" t="str">
        <x:f t="shared" si="160"/>
        <x:v/>
      </x:c>
      <x:c r="J1217" s="445"/>
      <x:c r="K1217" s="453"/>
      <x:c r="L1217" s="454"/>
      <x:c r="M1217" s="454"/>
      <x:c r="N1217" s="454"/>
      <x:c r="O1217" s="454"/>
      <x:c r="P1217" s="454"/>
      <x:c r="Q1217" s="454"/>
      <x:c r="R1217" s="454"/>
      <x:c r="S1217" s="454"/>
      <x:c r="T1217" s="454"/>
      <x:c r="U1217" s="454"/>
      <x:c r="V1217" s="455"/>
      <x:c r="W1217" s="456"/>
      <x:c r="X1217" s="450"/>
      <x:c r="Y1217" s="457"/>
      <x:c r="Z1217" s="458"/>
      <x:c r="AA1217" s="458"/>
      <x:c r="AB1217" s="458"/>
      <x:c r="AC1217" s="458"/>
      <x:c r="AD1217" s="458"/>
      <x:c r="AE1217" s="458"/>
    </x:row>
    <x:row r="1218" spans="1:31" ht="20.100000000000001" customHeight="1">
      <x:c r="A1218" s="439"/>
      <x:c r="B1218" s="466" t="str">
        <x:f t="shared" si="157"/>
        <x:v/>
      </x:c>
      <x:c r="C1218" s="440" t="str">
        <x:f t="shared" si="158"/>
        <x:v/>
      </x:c>
      <x:c r="D1218" s="441"/>
      <x:c r="E1218" s="442" t="str">
        <x:f t="shared" si="159"/>
        <x:v/>
      </x:c>
      <x:c r="F1218" s="443"/>
      <x:c r="G1218" s="444"/>
      <x:c r="H1218" s="445" t="str">
        <x:f t="shared" si="161"/>
        <x:v/>
      </x:c>
      <x:c r="I1218" s="446" t="str">
        <x:f t="shared" si="160"/>
        <x:v/>
      </x:c>
      <x:c r="J1218" s="445"/>
      <x:c r="K1218" s="453"/>
      <x:c r="L1218" s="454"/>
      <x:c r="M1218" s="454"/>
      <x:c r="N1218" s="454"/>
      <x:c r="O1218" s="454"/>
      <x:c r="P1218" s="454"/>
      <x:c r="Q1218" s="454"/>
      <x:c r="R1218" s="454"/>
      <x:c r="S1218" s="454"/>
      <x:c r="T1218" s="454"/>
      <x:c r="U1218" s="454"/>
      <x:c r="V1218" s="455"/>
      <x:c r="W1218" s="456"/>
      <x:c r="X1218" s="450"/>
      <x:c r="Y1218" s="457"/>
      <x:c r="Z1218" s="458"/>
      <x:c r="AA1218" s="458"/>
      <x:c r="AB1218" s="458"/>
      <x:c r="AC1218" s="458"/>
      <x:c r="AD1218" s="458"/>
      <x:c r="AE1218" s="458"/>
    </x:row>
    <x:row r="1219" spans="1:31" ht="20.100000000000001" customHeight="1">
      <x:c r="A1219" s="439"/>
      <x:c r="B1219" s="466" t="str">
        <x:f t="shared" ref="B1219:B1282" si="162">IFERROR(VLOOKUP($C1219,$AH:$AI,2,),"")</x:f>
        <x:v/>
      </x:c>
      <x:c r="C1219" s="440" t="str">
        <x:f t="shared" ref="C1219:C1282" si="163">IFERROR(VLOOKUP($D1219,$AO:$AQ,3,),"")</x:f>
        <x:v/>
      </x:c>
      <x:c r="D1219" s="441"/>
      <x:c r="E1219" s="442" t="str">
        <x:f t="shared" ref="E1219:E1282" si="164">IFERROR(VLOOKUP($D1219,$AO:$AQ,2,),"")</x:f>
        <x:v/>
      </x:c>
      <x:c r="F1219" s="443"/>
      <x:c r="G1219" s="444"/>
      <x:c r="H1219" s="445" t="str">
        <x:f t="shared" si="161"/>
        <x:v/>
      </x:c>
      <x:c r="I1219" s="446" t="str">
        <x:f t="shared" ref="I1219:I1282" si="165">IFERROR(VLOOKUP($G1219,$AK:$AM,3,),"")</x:f>
        <x:v/>
      </x:c>
      <x:c r="J1219" s="445"/>
      <x:c r="K1219" s="453"/>
      <x:c r="L1219" s="454"/>
      <x:c r="M1219" s="454"/>
      <x:c r="N1219" s="454"/>
      <x:c r="O1219" s="454"/>
      <x:c r="P1219" s="454"/>
      <x:c r="Q1219" s="454"/>
      <x:c r="R1219" s="454"/>
      <x:c r="S1219" s="454"/>
      <x:c r="T1219" s="454"/>
      <x:c r="U1219" s="454"/>
      <x:c r="V1219" s="455"/>
      <x:c r="W1219" s="456"/>
      <x:c r="X1219" s="450"/>
      <x:c r="Y1219" s="457"/>
      <x:c r="Z1219" s="458"/>
      <x:c r="AA1219" s="458"/>
      <x:c r="AB1219" s="458"/>
      <x:c r="AC1219" s="458"/>
      <x:c r="AD1219" s="458"/>
      <x:c r="AE1219" s="458"/>
    </x:row>
    <x:row r="1220" spans="1:31" ht="20.100000000000001" customHeight="1">
      <x:c r="A1220" s="439"/>
      <x:c r="B1220" s="466" t="str">
        <x:f t="shared" si="162"/>
        <x:v/>
      </x:c>
      <x:c r="C1220" s="440" t="str">
        <x:f t="shared" si="163"/>
        <x:v/>
      </x:c>
      <x:c r="D1220" s="441"/>
      <x:c r="E1220" s="442" t="str">
        <x:f t="shared" si="164"/>
        <x:v/>
      </x:c>
      <x:c r="F1220" s="443"/>
      <x:c r="G1220" s="444"/>
      <x:c r="H1220" s="445" t="str">
        <x:f t="shared" si="161"/>
        <x:v/>
      </x:c>
      <x:c r="I1220" s="446" t="str">
        <x:f t="shared" si="165"/>
        <x:v/>
      </x:c>
      <x:c r="J1220" s="445"/>
      <x:c r="K1220" s="453"/>
      <x:c r="L1220" s="454"/>
      <x:c r="M1220" s="454"/>
      <x:c r="N1220" s="454"/>
      <x:c r="O1220" s="454"/>
      <x:c r="P1220" s="454"/>
      <x:c r="Q1220" s="454"/>
      <x:c r="R1220" s="454"/>
      <x:c r="S1220" s="454"/>
      <x:c r="T1220" s="454"/>
      <x:c r="U1220" s="454"/>
      <x:c r="V1220" s="455"/>
      <x:c r="W1220" s="456"/>
      <x:c r="X1220" s="450"/>
      <x:c r="Y1220" s="457"/>
      <x:c r="Z1220" s="458"/>
      <x:c r="AA1220" s="458"/>
      <x:c r="AB1220" s="458"/>
      <x:c r="AC1220" s="458"/>
      <x:c r="AD1220" s="458"/>
      <x:c r="AE1220" s="458"/>
    </x:row>
    <x:row r="1221" spans="1:31" ht="20.100000000000001" customHeight="1">
      <x:c r="A1221" s="439"/>
      <x:c r="B1221" s="466" t="str">
        <x:f t="shared" si="162"/>
        <x:v/>
      </x:c>
      <x:c r="C1221" s="440" t="str">
        <x:f t="shared" si="163"/>
        <x:v/>
      </x:c>
      <x:c r="D1221" s="441"/>
      <x:c r="E1221" s="442" t="str">
        <x:f t="shared" si="164"/>
        <x:v/>
      </x:c>
      <x:c r="F1221" s="443"/>
      <x:c r="G1221" s="444"/>
      <x:c r="H1221" s="445" t="str">
        <x:f t="shared" si="161"/>
        <x:v/>
      </x:c>
      <x:c r="I1221" s="446" t="str">
        <x:f t="shared" si="165"/>
        <x:v/>
      </x:c>
      <x:c r="J1221" s="445"/>
      <x:c r="K1221" s="453"/>
      <x:c r="L1221" s="454"/>
      <x:c r="M1221" s="454"/>
      <x:c r="N1221" s="454"/>
      <x:c r="O1221" s="454"/>
      <x:c r="P1221" s="454"/>
      <x:c r="Q1221" s="454"/>
      <x:c r="R1221" s="454"/>
      <x:c r="S1221" s="454"/>
      <x:c r="T1221" s="454"/>
      <x:c r="U1221" s="454"/>
      <x:c r="V1221" s="455"/>
      <x:c r="W1221" s="456"/>
      <x:c r="X1221" s="450"/>
      <x:c r="Y1221" s="457"/>
      <x:c r="Z1221" s="458"/>
      <x:c r="AA1221" s="458"/>
      <x:c r="AB1221" s="458"/>
      <x:c r="AC1221" s="458"/>
      <x:c r="AD1221" s="458"/>
      <x:c r="AE1221" s="458"/>
    </x:row>
    <x:row r="1222" spans="1:31" ht="20.100000000000001" customHeight="1">
      <x:c r="A1222" s="439"/>
      <x:c r="B1222" s="466" t="str">
        <x:f t="shared" si="162"/>
        <x:v/>
      </x:c>
      <x:c r="C1222" s="440" t="str">
        <x:f t="shared" si="163"/>
        <x:v/>
      </x:c>
      <x:c r="D1222" s="441"/>
      <x:c r="E1222" s="442" t="str">
        <x:f t="shared" si="164"/>
        <x:v/>
      </x:c>
      <x:c r="F1222" s="443"/>
      <x:c r="G1222" s="444"/>
      <x:c r="H1222" s="445" t="str">
        <x:f t="shared" si="161"/>
        <x:v/>
      </x:c>
      <x:c r="I1222" s="446" t="str">
        <x:f t="shared" si="165"/>
        <x:v/>
      </x:c>
      <x:c r="J1222" s="445"/>
      <x:c r="K1222" s="453"/>
      <x:c r="L1222" s="454"/>
      <x:c r="M1222" s="454"/>
      <x:c r="N1222" s="454"/>
      <x:c r="O1222" s="454"/>
      <x:c r="P1222" s="454"/>
      <x:c r="Q1222" s="454"/>
      <x:c r="R1222" s="454"/>
      <x:c r="S1222" s="454"/>
      <x:c r="T1222" s="454"/>
      <x:c r="U1222" s="454"/>
      <x:c r="V1222" s="455"/>
      <x:c r="W1222" s="456"/>
      <x:c r="X1222" s="450"/>
      <x:c r="Y1222" s="457"/>
      <x:c r="Z1222" s="458"/>
      <x:c r="AA1222" s="458"/>
      <x:c r="AB1222" s="458"/>
      <x:c r="AC1222" s="458"/>
      <x:c r="AD1222" s="458"/>
      <x:c r="AE1222" s="458"/>
    </x:row>
    <x:row r="1223" spans="1:31" ht="20.100000000000001" customHeight="1">
      <x:c r="A1223" s="439"/>
      <x:c r="B1223" s="466" t="str">
        <x:f t="shared" si="162"/>
        <x:v/>
      </x:c>
      <x:c r="C1223" s="440" t="str">
        <x:f t="shared" si="163"/>
        <x:v/>
      </x:c>
      <x:c r="D1223" s="441"/>
      <x:c r="E1223" s="442" t="str">
        <x:f t="shared" si="164"/>
        <x:v/>
      </x:c>
      <x:c r="F1223" s="443"/>
      <x:c r="G1223" s="444"/>
      <x:c r="H1223" s="445" t="str">
        <x:f t="shared" si="161"/>
        <x:v/>
      </x:c>
      <x:c r="I1223" s="446" t="str">
        <x:f t="shared" si="165"/>
        <x:v/>
      </x:c>
      <x:c r="J1223" s="445"/>
      <x:c r="K1223" s="453"/>
      <x:c r="L1223" s="454"/>
      <x:c r="M1223" s="454"/>
      <x:c r="N1223" s="454"/>
      <x:c r="O1223" s="454"/>
      <x:c r="P1223" s="454"/>
      <x:c r="Q1223" s="454"/>
      <x:c r="R1223" s="454"/>
      <x:c r="S1223" s="454"/>
      <x:c r="T1223" s="454"/>
      <x:c r="U1223" s="454"/>
      <x:c r="V1223" s="455"/>
      <x:c r="W1223" s="456"/>
      <x:c r="X1223" s="450"/>
      <x:c r="Y1223" s="457"/>
      <x:c r="Z1223" s="458"/>
      <x:c r="AA1223" s="458"/>
      <x:c r="AB1223" s="458"/>
      <x:c r="AC1223" s="458"/>
      <x:c r="AD1223" s="458"/>
      <x:c r="AE1223" s="458"/>
    </x:row>
    <x:row r="1224" spans="1:31" ht="20.100000000000001" customHeight="1">
      <x:c r="A1224" s="439"/>
      <x:c r="B1224" s="466" t="str">
        <x:f t="shared" si="162"/>
        <x:v/>
      </x:c>
      <x:c r="C1224" s="440" t="str">
        <x:f t="shared" si="163"/>
        <x:v/>
      </x:c>
      <x:c r="D1224" s="441"/>
      <x:c r="E1224" s="442" t="str">
        <x:f t="shared" si="164"/>
        <x:v/>
      </x:c>
      <x:c r="F1224" s="443"/>
      <x:c r="G1224" s="444"/>
      <x:c r="H1224" s="445" t="str">
        <x:f t="shared" si="161"/>
        <x:v/>
      </x:c>
      <x:c r="I1224" s="446" t="str">
        <x:f t="shared" si="165"/>
        <x:v/>
      </x:c>
      <x:c r="J1224" s="445"/>
      <x:c r="K1224" s="453"/>
      <x:c r="L1224" s="454"/>
      <x:c r="M1224" s="454"/>
      <x:c r="N1224" s="454"/>
      <x:c r="O1224" s="454"/>
      <x:c r="P1224" s="454"/>
      <x:c r="Q1224" s="454"/>
      <x:c r="R1224" s="454"/>
      <x:c r="S1224" s="454"/>
      <x:c r="T1224" s="454"/>
      <x:c r="U1224" s="454"/>
      <x:c r="V1224" s="455"/>
      <x:c r="W1224" s="456"/>
      <x:c r="X1224" s="450"/>
      <x:c r="Y1224" s="457"/>
      <x:c r="Z1224" s="458"/>
      <x:c r="AA1224" s="458"/>
      <x:c r="AB1224" s="458"/>
      <x:c r="AC1224" s="458"/>
      <x:c r="AD1224" s="458"/>
      <x:c r="AE1224" s="458"/>
    </x:row>
    <x:row r="1225" spans="1:31" ht="20.100000000000001" customHeight="1">
      <x:c r="A1225" s="439"/>
      <x:c r="B1225" s="466" t="str">
        <x:f t="shared" si="162"/>
        <x:v/>
      </x:c>
      <x:c r="C1225" s="440" t="str">
        <x:f t="shared" si="163"/>
        <x:v/>
      </x:c>
      <x:c r="D1225" s="441"/>
      <x:c r="E1225" s="442" t="str">
        <x:f t="shared" si="164"/>
        <x:v/>
      </x:c>
      <x:c r="F1225" s="443"/>
      <x:c r="G1225" s="444"/>
      <x:c r="H1225" s="445" t="str">
        <x:f t="shared" si="161"/>
        <x:v/>
      </x:c>
      <x:c r="I1225" s="446" t="str">
        <x:f t="shared" si="165"/>
        <x:v/>
      </x:c>
      <x:c r="J1225" s="445"/>
      <x:c r="K1225" s="453"/>
      <x:c r="L1225" s="454"/>
      <x:c r="M1225" s="454"/>
      <x:c r="N1225" s="454"/>
      <x:c r="O1225" s="454"/>
      <x:c r="P1225" s="454"/>
      <x:c r="Q1225" s="454"/>
      <x:c r="R1225" s="454"/>
      <x:c r="S1225" s="454"/>
      <x:c r="T1225" s="454"/>
      <x:c r="U1225" s="454"/>
      <x:c r="V1225" s="455"/>
      <x:c r="W1225" s="456"/>
      <x:c r="X1225" s="450"/>
      <x:c r="Y1225" s="457"/>
      <x:c r="Z1225" s="458"/>
      <x:c r="AA1225" s="458"/>
      <x:c r="AB1225" s="458"/>
      <x:c r="AC1225" s="458"/>
      <x:c r="AD1225" s="458"/>
      <x:c r="AE1225" s="458"/>
    </x:row>
    <x:row r="1226" spans="1:31" ht="20.100000000000001" customHeight="1">
      <x:c r="A1226" s="439"/>
      <x:c r="B1226" s="466" t="str">
        <x:f t="shared" si="162"/>
        <x:v/>
      </x:c>
      <x:c r="C1226" s="440" t="str">
        <x:f t="shared" si="163"/>
        <x:v/>
      </x:c>
      <x:c r="D1226" s="441"/>
      <x:c r="E1226" s="442" t="str">
        <x:f t="shared" si="164"/>
        <x:v/>
      </x:c>
      <x:c r="F1226" s="443"/>
      <x:c r="G1226" s="444"/>
      <x:c r="H1226" s="445" t="str">
        <x:f t="shared" si="161"/>
        <x:v/>
      </x:c>
      <x:c r="I1226" s="446" t="str">
        <x:f t="shared" si="165"/>
        <x:v/>
      </x:c>
      <x:c r="J1226" s="445"/>
      <x:c r="K1226" s="453"/>
      <x:c r="L1226" s="454"/>
      <x:c r="M1226" s="454"/>
      <x:c r="N1226" s="454"/>
      <x:c r="O1226" s="454"/>
      <x:c r="P1226" s="454"/>
      <x:c r="Q1226" s="454"/>
      <x:c r="R1226" s="454"/>
      <x:c r="S1226" s="454"/>
      <x:c r="T1226" s="454"/>
      <x:c r="U1226" s="454"/>
      <x:c r="V1226" s="455"/>
      <x:c r="W1226" s="456"/>
      <x:c r="X1226" s="450"/>
      <x:c r="Y1226" s="457"/>
      <x:c r="Z1226" s="458"/>
      <x:c r="AA1226" s="458"/>
      <x:c r="AB1226" s="458"/>
      <x:c r="AC1226" s="458"/>
      <x:c r="AD1226" s="458"/>
      <x:c r="AE1226" s="458"/>
    </x:row>
    <x:row r="1227" spans="1:31" ht="20.100000000000001" customHeight="1">
      <x:c r="A1227" s="439"/>
      <x:c r="B1227" s="466" t="str">
        <x:f t="shared" si="162"/>
        <x:v/>
      </x:c>
      <x:c r="C1227" s="440" t="str">
        <x:f t="shared" si="163"/>
        <x:v/>
      </x:c>
      <x:c r="D1227" s="441"/>
      <x:c r="E1227" s="442" t="str">
        <x:f t="shared" si="164"/>
        <x:v/>
      </x:c>
      <x:c r="F1227" s="443"/>
      <x:c r="G1227" s="444"/>
      <x:c r="H1227" s="445" t="str">
        <x:f t="shared" si="161"/>
        <x:v/>
      </x:c>
      <x:c r="I1227" s="446" t="str">
        <x:f t="shared" si="165"/>
        <x:v/>
      </x:c>
      <x:c r="J1227" s="445"/>
      <x:c r="K1227" s="453"/>
      <x:c r="L1227" s="454"/>
      <x:c r="M1227" s="454"/>
      <x:c r="N1227" s="454"/>
      <x:c r="O1227" s="454"/>
      <x:c r="P1227" s="454"/>
      <x:c r="Q1227" s="454"/>
      <x:c r="R1227" s="454"/>
      <x:c r="S1227" s="454"/>
      <x:c r="T1227" s="454"/>
      <x:c r="U1227" s="454"/>
      <x:c r="V1227" s="455"/>
      <x:c r="W1227" s="456"/>
      <x:c r="X1227" s="450"/>
      <x:c r="Y1227" s="457"/>
      <x:c r="Z1227" s="458"/>
      <x:c r="AA1227" s="458"/>
      <x:c r="AB1227" s="458"/>
      <x:c r="AC1227" s="458"/>
      <x:c r="AD1227" s="458"/>
      <x:c r="AE1227" s="458"/>
    </x:row>
    <x:row r="1228" spans="1:31" ht="20.100000000000001" customHeight="1">
      <x:c r="A1228" s="439"/>
      <x:c r="B1228" s="466" t="str">
        <x:f t="shared" si="162"/>
        <x:v/>
      </x:c>
      <x:c r="C1228" s="440" t="str">
        <x:f t="shared" si="163"/>
        <x:v/>
      </x:c>
      <x:c r="D1228" s="441"/>
      <x:c r="E1228" s="442" t="str">
        <x:f t="shared" si="164"/>
        <x:v/>
      </x:c>
      <x:c r="F1228" s="443"/>
      <x:c r="G1228" s="444"/>
      <x:c r="H1228" s="445" t="str">
        <x:f t="shared" si="161"/>
        <x:v/>
      </x:c>
      <x:c r="I1228" s="446" t="str">
        <x:f t="shared" si="165"/>
        <x:v/>
      </x:c>
      <x:c r="J1228" s="445"/>
      <x:c r="K1228" s="453"/>
      <x:c r="L1228" s="454"/>
      <x:c r="M1228" s="454"/>
      <x:c r="N1228" s="454"/>
      <x:c r="O1228" s="454"/>
      <x:c r="P1228" s="454"/>
      <x:c r="Q1228" s="454"/>
      <x:c r="R1228" s="454"/>
      <x:c r="S1228" s="454"/>
      <x:c r="T1228" s="454"/>
      <x:c r="U1228" s="454"/>
      <x:c r="V1228" s="455"/>
      <x:c r="W1228" s="456"/>
      <x:c r="X1228" s="450"/>
      <x:c r="Y1228" s="457"/>
      <x:c r="Z1228" s="458"/>
      <x:c r="AA1228" s="458"/>
      <x:c r="AB1228" s="458"/>
      <x:c r="AC1228" s="458"/>
      <x:c r="AD1228" s="458"/>
      <x:c r="AE1228" s="458"/>
    </x:row>
    <x:row r="1229" spans="1:31" ht="20.100000000000001" customHeight="1">
      <x:c r="A1229" s="439"/>
      <x:c r="B1229" s="466" t="str">
        <x:f t="shared" si="162"/>
        <x:v/>
      </x:c>
      <x:c r="C1229" s="440" t="str">
        <x:f t="shared" si="163"/>
        <x:v/>
      </x:c>
      <x:c r="D1229" s="441"/>
      <x:c r="E1229" s="442" t="str">
        <x:f t="shared" si="164"/>
        <x:v/>
      </x:c>
      <x:c r="F1229" s="443"/>
      <x:c r="G1229" s="444"/>
      <x:c r="H1229" s="445" t="str">
        <x:f t="shared" si="161"/>
        <x:v/>
      </x:c>
      <x:c r="I1229" s="446" t="str">
        <x:f t="shared" si="165"/>
        <x:v/>
      </x:c>
      <x:c r="J1229" s="445"/>
      <x:c r="K1229" s="453"/>
      <x:c r="L1229" s="454"/>
      <x:c r="M1229" s="454"/>
      <x:c r="N1229" s="454"/>
      <x:c r="O1229" s="454"/>
      <x:c r="P1229" s="454"/>
      <x:c r="Q1229" s="454"/>
      <x:c r="R1229" s="454"/>
      <x:c r="S1229" s="454"/>
      <x:c r="T1229" s="454"/>
      <x:c r="U1229" s="454"/>
      <x:c r="V1229" s="455"/>
      <x:c r="W1229" s="456"/>
      <x:c r="X1229" s="450"/>
      <x:c r="Y1229" s="457"/>
      <x:c r="Z1229" s="458"/>
      <x:c r="AA1229" s="458"/>
      <x:c r="AB1229" s="458"/>
      <x:c r="AC1229" s="458"/>
      <x:c r="AD1229" s="458"/>
      <x:c r="AE1229" s="458"/>
    </x:row>
    <x:row r="1230" spans="1:31" ht="20.100000000000001" customHeight="1">
      <x:c r="A1230" s="439"/>
      <x:c r="B1230" s="466" t="str">
        <x:f t="shared" si="162"/>
        <x:v/>
      </x:c>
      <x:c r="C1230" s="440" t="str">
        <x:f t="shared" si="163"/>
        <x:v/>
      </x:c>
      <x:c r="D1230" s="441"/>
      <x:c r="E1230" s="442" t="str">
        <x:f t="shared" si="164"/>
        <x:v/>
      </x:c>
      <x:c r="F1230" s="443"/>
      <x:c r="G1230" s="444"/>
      <x:c r="H1230" s="445" t="str">
        <x:f t="shared" si="161"/>
        <x:v/>
      </x:c>
      <x:c r="I1230" s="446" t="str">
        <x:f t="shared" si="165"/>
        <x:v/>
      </x:c>
      <x:c r="J1230" s="445"/>
      <x:c r="K1230" s="453"/>
      <x:c r="L1230" s="454"/>
      <x:c r="M1230" s="454"/>
      <x:c r="N1230" s="454"/>
      <x:c r="O1230" s="454"/>
      <x:c r="P1230" s="454"/>
      <x:c r="Q1230" s="454"/>
      <x:c r="R1230" s="454"/>
      <x:c r="S1230" s="454"/>
      <x:c r="T1230" s="454"/>
      <x:c r="U1230" s="454"/>
      <x:c r="V1230" s="455"/>
      <x:c r="W1230" s="456"/>
      <x:c r="X1230" s="450"/>
      <x:c r="Y1230" s="457"/>
      <x:c r="Z1230" s="458"/>
      <x:c r="AA1230" s="458"/>
      <x:c r="AB1230" s="458"/>
      <x:c r="AC1230" s="458"/>
      <x:c r="AD1230" s="458"/>
      <x:c r="AE1230" s="458"/>
    </x:row>
    <x:row r="1231" spans="1:31" ht="20.100000000000001" customHeight="1">
      <x:c r="A1231" s="439"/>
      <x:c r="B1231" s="466" t="str">
        <x:f t="shared" si="162"/>
        <x:v/>
      </x:c>
      <x:c r="C1231" s="440" t="str">
        <x:f t="shared" si="163"/>
        <x:v/>
      </x:c>
      <x:c r="D1231" s="441"/>
      <x:c r="E1231" s="442" t="str">
        <x:f t="shared" si="164"/>
        <x:v/>
      </x:c>
      <x:c r="F1231" s="443"/>
      <x:c r="G1231" s="444"/>
      <x:c r="H1231" s="445" t="str">
        <x:f t="shared" si="161"/>
        <x:v/>
      </x:c>
      <x:c r="I1231" s="446" t="str">
        <x:f t="shared" si="165"/>
        <x:v/>
      </x:c>
      <x:c r="J1231" s="445"/>
      <x:c r="K1231" s="453"/>
      <x:c r="L1231" s="454"/>
      <x:c r="M1231" s="454"/>
      <x:c r="N1231" s="454"/>
      <x:c r="O1231" s="454"/>
      <x:c r="P1231" s="454"/>
      <x:c r="Q1231" s="454"/>
      <x:c r="R1231" s="454"/>
      <x:c r="S1231" s="454"/>
      <x:c r="T1231" s="454"/>
      <x:c r="U1231" s="454"/>
      <x:c r="V1231" s="455"/>
      <x:c r="W1231" s="456"/>
      <x:c r="X1231" s="450"/>
      <x:c r="Y1231" s="457"/>
      <x:c r="Z1231" s="458"/>
      <x:c r="AA1231" s="458"/>
      <x:c r="AB1231" s="458"/>
      <x:c r="AC1231" s="458"/>
      <x:c r="AD1231" s="458"/>
      <x:c r="AE1231" s="458"/>
    </x:row>
    <x:row r="1232" spans="1:31" ht="20.100000000000001" customHeight="1">
      <x:c r="A1232" s="439"/>
      <x:c r="B1232" s="466" t="str">
        <x:f t="shared" si="162"/>
        <x:v/>
      </x:c>
      <x:c r="C1232" s="440" t="str">
        <x:f t="shared" si="163"/>
        <x:v/>
      </x:c>
      <x:c r="D1232" s="441"/>
      <x:c r="E1232" s="442" t="str">
        <x:f t="shared" si="164"/>
        <x:v/>
      </x:c>
      <x:c r="F1232" s="443"/>
      <x:c r="G1232" s="444"/>
      <x:c r="H1232" s="445" t="str">
        <x:f t="shared" si="161"/>
        <x:v/>
      </x:c>
      <x:c r="I1232" s="446" t="str">
        <x:f t="shared" si="165"/>
        <x:v/>
      </x:c>
      <x:c r="J1232" s="445"/>
      <x:c r="K1232" s="453"/>
      <x:c r="L1232" s="454"/>
      <x:c r="M1232" s="454"/>
      <x:c r="N1232" s="454"/>
      <x:c r="O1232" s="454"/>
      <x:c r="P1232" s="454"/>
      <x:c r="Q1232" s="454"/>
      <x:c r="R1232" s="454"/>
      <x:c r="S1232" s="454"/>
      <x:c r="T1232" s="454"/>
      <x:c r="U1232" s="454"/>
      <x:c r="V1232" s="455"/>
      <x:c r="W1232" s="456"/>
      <x:c r="X1232" s="450"/>
      <x:c r="Y1232" s="457"/>
      <x:c r="Z1232" s="458"/>
      <x:c r="AA1232" s="458"/>
      <x:c r="AB1232" s="458"/>
      <x:c r="AC1232" s="458"/>
      <x:c r="AD1232" s="458"/>
      <x:c r="AE1232" s="458"/>
    </x:row>
    <x:row r="1233" spans="1:31" ht="20.100000000000001" customHeight="1">
      <x:c r="A1233" s="439"/>
      <x:c r="B1233" s="466" t="str">
        <x:f t="shared" si="162"/>
        <x:v/>
      </x:c>
      <x:c r="C1233" s="440" t="str">
        <x:f t="shared" si="163"/>
        <x:v/>
      </x:c>
      <x:c r="D1233" s="441"/>
      <x:c r="E1233" s="442" t="str">
        <x:f t="shared" si="164"/>
        <x:v/>
      </x:c>
      <x:c r="F1233" s="443"/>
      <x:c r="G1233" s="444"/>
      <x:c r="H1233" s="445" t="str">
        <x:f t="shared" si="161"/>
        <x:v/>
      </x:c>
      <x:c r="I1233" s="446" t="str">
        <x:f t="shared" si="165"/>
        <x:v/>
      </x:c>
      <x:c r="J1233" s="445"/>
      <x:c r="K1233" s="453"/>
      <x:c r="L1233" s="454"/>
      <x:c r="M1233" s="454"/>
      <x:c r="N1233" s="454"/>
      <x:c r="O1233" s="454"/>
      <x:c r="P1233" s="454"/>
      <x:c r="Q1233" s="454"/>
      <x:c r="R1233" s="454"/>
      <x:c r="S1233" s="454"/>
      <x:c r="T1233" s="454"/>
      <x:c r="U1233" s="454"/>
      <x:c r="V1233" s="455"/>
      <x:c r="W1233" s="456"/>
      <x:c r="X1233" s="450"/>
      <x:c r="Y1233" s="457"/>
      <x:c r="Z1233" s="458"/>
      <x:c r="AA1233" s="458"/>
      <x:c r="AB1233" s="458"/>
      <x:c r="AC1233" s="458"/>
      <x:c r="AD1233" s="458"/>
      <x:c r="AE1233" s="458"/>
    </x:row>
    <x:row r="1234" spans="1:31" ht="20.100000000000001" customHeight="1">
      <x:c r="A1234" s="439"/>
      <x:c r="B1234" s="466" t="str">
        <x:f t="shared" si="162"/>
        <x:v/>
      </x:c>
      <x:c r="C1234" s="440" t="str">
        <x:f t="shared" si="163"/>
        <x:v/>
      </x:c>
      <x:c r="D1234" s="441"/>
      <x:c r="E1234" s="442" t="str">
        <x:f t="shared" si="164"/>
        <x:v/>
      </x:c>
      <x:c r="F1234" s="443"/>
      <x:c r="G1234" s="444"/>
      <x:c r="H1234" s="445" t="str">
        <x:f t="shared" si="161"/>
        <x:v/>
      </x:c>
      <x:c r="I1234" s="446" t="str">
        <x:f t="shared" si="165"/>
        <x:v/>
      </x:c>
      <x:c r="J1234" s="445"/>
      <x:c r="K1234" s="453"/>
      <x:c r="L1234" s="454"/>
      <x:c r="M1234" s="454"/>
      <x:c r="N1234" s="454"/>
      <x:c r="O1234" s="454"/>
      <x:c r="P1234" s="454"/>
      <x:c r="Q1234" s="454"/>
      <x:c r="R1234" s="454"/>
      <x:c r="S1234" s="454"/>
      <x:c r="T1234" s="454"/>
      <x:c r="U1234" s="454"/>
      <x:c r="V1234" s="455"/>
      <x:c r="W1234" s="456"/>
      <x:c r="X1234" s="450"/>
      <x:c r="Y1234" s="457"/>
      <x:c r="Z1234" s="458"/>
      <x:c r="AA1234" s="458"/>
      <x:c r="AB1234" s="458"/>
      <x:c r="AC1234" s="458"/>
      <x:c r="AD1234" s="458"/>
      <x:c r="AE1234" s="458"/>
    </x:row>
    <x:row r="1235" spans="1:31" ht="20.100000000000001" customHeight="1">
      <x:c r="A1235" s="439"/>
      <x:c r="B1235" s="466" t="str">
        <x:f t="shared" si="162"/>
        <x:v/>
      </x:c>
      <x:c r="C1235" s="440" t="str">
        <x:f t="shared" si="163"/>
        <x:v/>
      </x:c>
      <x:c r="D1235" s="441"/>
      <x:c r="E1235" s="442" t="str">
        <x:f t="shared" si="164"/>
        <x:v/>
      </x:c>
      <x:c r="F1235" s="443"/>
      <x:c r="G1235" s="444"/>
      <x:c r="H1235" s="445" t="str">
        <x:f t="shared" si="161"/>
        <x:v/>
      </x:c>
      <x:c r="I1235" s="446" t="str">
        <x:f t="shared" si="165"/>
        <x:v/>
      </x:c>
      <x:c r="J1235" s="445"/>
      <x:c r="K1235" s="453"/>
      <x:c r="L1235" s="454"/>
      <x:c r="M1235" s="454"/>
      <x:c r="N1235" s="454"/>
      <x:c r="O1235" s="454"/>
      <x:c r="P1235" s="454"/>
      <x:c r="Q1235" s="454"/>
      <x:c r="R1235" s="454"/>
      <x:c r="S1235" s="454"/>
      <x:c r="T1235" s="454"/>
      <x:c r="U1235" s="454"/>
      <x:c r="V1235" s="455"/>
      <x:c r="W1235" s="456"/>
      <x:c r="X1235" s="450"/>
      <x:c r="Y1235" s="457"/>
      <x:c r="Z1235" s="458"/>
      <x:c r="AA1235" s="458"/>
      <x:c r="AB1235" s="458"/>
      <x:c r="AC1235" s="458"/>
      <x:c r="AD1235" s="458"/>
      <x:c r="AE1235" s="458"/>
    </x:row>
    <x:row r="1236" spans="1:31" ht="20.100000000000001" customHeight="1">
      <x:c r="A1236" s="439"/>
      <x:c r="B1236" s="466" t="str">
        <x:f t="shared" si="162"/>
        <x:v/>
      </x:c>
      <x:c r="C1236" s="440" t="str">
        <x:f t="shared" si="163"/>
        <x:v/>
      </x:c>
      <x:c r="D1236" s="441"/>
      <x:c r="E1236" s="442" t="str">
        <x:f t="shared" si="164"/>
        <x:v/>
      </x:c>
      <x:c r="F1236" s="443"/>
      <x:c r="G1236" s="444"/>
      <x:c r="H1236" s="445" t="str">
        <x:f t="shared" si="161"/>
        <x:v/>
      </x:c>
      <x:c r="I1236" s="446" t="str">
        <x:f t="shared" si="165"/>
        <x:v/>
      </x:c>
      <x:c r="J1236" s="445"/>
      <x:c r="K1236" s="453"/>
      <x:c r="L1236" s="454"/>
      <x:c r="M1236" s="454"/>
      <x:c r="N1236" s="454"/>
      <x:c r="O1236" s="454"/>
      <x:c r="P1236" s="454"/>
      <x:c r="Q1236" s="454"/>
      <x:c r="R1236" s="454"/>
      <x:c r="S1236" s="454"/>
      <x:c r="T1236" s="454"/>
      <x:c r="U1236" s="454"/>
      <x:c r="V1236" s="455"/>
      <x:c r="W1236" s="456"/>
      <x:c r="X1236" s="450"/>
      <x:c r="Y1236" s="457"/>
      <x:c r="Z1236" s="458"/>
      <x:c r="AA1236" s="458"/>
      <x:c r="AB1236" s="458"/>
      <x:c r="AC1236" s="458"/>
      <x:c r="AD1236" s="458"/>
      <x:c r="AE1236" s="458"/>
    </x:row>
    <x:row r="1237" spans="1:31" ht="20.100000000000001" customHeight="1">
      <x:c r="A1237" s="439"/>
      <x:c r="B1237" s="466" t="str">
        <x:f t="shared" si="162"/>
        <x:v/>
      </x:c>
      <x:c r="C1237" s="440" t="str">
        <x:f t="shared" si="163"/>
        <x:v/>
      </x:c>
      <x:c r="D1237" s="441"/>
      <x:c r="E1237" s="442" t="str">
        <x:f t="shared" si="164"/>
        <x:v/>
      </x:c>
      <x:c r="F1237" s="443"/>
      <x:c r="G1237" s="444"/>
      <x:c r="H1237" s="445" t="str">
        <x:f t="shared" si="161"/>
        <x:v/>
      </x:c>
      <x:c r="I1237" s="446" t="str">
        <x:f t="shared" si="165"/>
        <x:v/>
      </x:c>
      <x:c r="J1237" s="445"/>
      <x:c r="K1237" s="453"/>
      <x:c r="L1237" s="454"/>
      <x:c r="M1237" s="454"/>
      <x:c r="N1237" s="454"/>
      <x:c r="O1237" s="454"/>
      <x:c r="P1237" s="454"/>
      <x:c r="Q1237" s="454"/>
      <x:c r="R1237" s="454"/>
      <x:c r="S1237" s="454"/>
      <x:c r="T1237" s="454"/>
      <x:c r="U1237" s="454"/>
      <x:c r="V1237" s="455"/>
      <x:c r="W1237" s="456"/>
      <x:c r="X1237" s="450"/>
      <x:c r="Y1237" s="457"/>
      <x:c r="Z1237" s="458"/>
      <x:c r="AA1237" s="458"/>
      <x:c r="AB1237" s="458"/>
      <x:c r="AC1237" s="458"/>
      <x:c r="AD1237" s="458"/>
      <x:c r="AE1237" s="458"/>
    </x:row>
    <x:row r="1238" spans="1:31" ht="20.100000000000001" customHeight="1">
      <x:c r="A1238" s="439"/>
      <x:c r="B1238" s="466" t="str">
        <x:f t="shared" si="162"/>
        <x:v/>
      </x:c>
      <x:c r="C1238" s="440" t="str">
        <x:f t="shared" si="163"/>
        <x:v/>
      </x:c>
      <x:c r="D1238" s="441"/>
      <x:c r="E1238" s="442" t="str">
        <x:f t="shared" si="164"/>
        <x:v/>
      </x:c>
      <x:c r="F1238" s="443"/>
      <x:c r="G1238" s="444"/>
      <x:c r="H1238" s="445" t="str">
        <x:f t="shared" si="161"/>
        <x:v/>
      </x:c>
      <x:c r="I1238" s="446" t="str">
        <x:f t="shared" si="165"/>
        <x:v/>
      </x:c>
      <x:c r="J1238" s="445"/>
      <x:c r="K1238" s="453"/>
      <x:c r="L1238" s="454"/>
      <x:c r="M1238" s="454"/>
      <x:c r="N1238" s="454"/>
      <x:c r="O1238" s="454"/>
      <x:c r="P1238" s="454"/>
      <x:c r="Q1238" s="454"/>
      <x:c r="R1238" s="454"/>
      <x:c r="S1238" s="454"/>
      <x:c r="T1238" s="454"/>
      <x:c r="U1238" s="454"/>
      <x:c r="V1238" s="455"/>
      <x:c r="W1238" s="456"/>
      <x:c r="X1238" s="450"/>
      <x:c r="Y1238" s="457"/>
      <x:c r="Z1238" s="458"/>
      <x:c r="AA1238" s="458"/>
      <x:c r="AB1238" s="458"/>
      <x:c r="AC1238" s="458"/>
      <x:c r="AD1238" s="458"/>
      <x:c r="AE1238" s="458"/>
    </x:row>
    <x:row r="1239" spans="1:31" ht="20.100000000000001" customHeight="1">
      <x:c r="A1239" s="439"/>
      <x:c r="B1239" s="466" t="str">
        <x:f t="shared" si="162"/>
        <x:v/>
      </x:c>
      <x:c r="C1239" s="440" t="str">
        <x:f t="shared" si="163"/>
        <x:v/>
      </x:c>
      <x:c r="D1239" s="441"/>
      <x:c r="E1239" s="442" t="str">
        <x:f t="shared" si="164"/>
        <x:v/>
      </x:c>
      <x:c r="F1239" s="443"/>
      <x:c r="G1239" s="444"/>
      <x:c r="H1239" s="445" t="str">
        <x:f t="shared" si="161"/>
        <x:v/>
      </x:c>
      <x:c r="I1239" s="446" t="str">
        <x:f t="shared" si="165"/>
        <x:v/>
      </x:c>
      <x:c r="J1239" s="445"/>
      <x:c r="K1239" s="453"/>
      <x:c r="L1239" s="454"/>
      <x:c r="M1239" s="454"/>
      <x:c r="N1239" s="454"/>
      <x:c r="O1239" s="454"/>
      <x:c r="P1239" s="454"/>
      <x:c r="Q1239" s="454"/>
      <x:c r="R1239" s="454"/>
      <x:c r="S1239" s="454"/>
      <x:c r="T1239" s="454"/>
      <x:c r="U1239" s="454"/>
      <x:c r="V1239" s="455"/>
      <x:c r="W1239" s="456"/>
      <x:c r="X1239" s="450"/>
      <x:c r="Y1239" s="457"/>
      <x:c r="Z1239" s="458"/>
      <x:c r="AA1239" s="458"/>
      <x:c r="AB1239" s="458"/>
      <x:c r="AC1239" s="458"/>
      <x:c r="AD1239" s="458"/>
      <x:c r="AE1239" s="458"/>
    </x:row>
    <x:row r="1240" spans="1:31" ht="20.100000000000001" customHeight="1">
      <x:c r="A1240" s="439"/>
      <x:c r="B1240" s="466" t="str">
        <x:f t="shared" si="162"/>
        <x:v/>
      </x:c>
      <x:c r="C1240" s="440" t="str">
        <x:f t="shared" si="163"/>
        <x:v/>
      </x:c>
      <x:c r="D1240" s="441"/>
      <x:c r="E1240" s="442" t="str">
        <x:f t="shared" si="164"/>
        <x:v/>
      </x:c>
      <x:c r="F1240" s="443"/>
      <x:c r="G1240" s="444"/>
      <x:c r="H1240" s="445" t="str">
        <x:f t="shared" si="161"/>
        <x:v/>
      </x:c>
      <x:c r="I1240" s="446" t="str">
        <x:f t="shared" si="165"/>
        <x:v/>
      </x:c>
      <x:c r="J1240" s="445"/>
      <x:c r="K1240" s="453"/>
      <x:c r="L1240" s="454"/>
      <x:c r="M1240" s="454"/>
      <x:c r="N1240" s="454"/>
      <x:c r="O1240" s="454"/>
      <x:c r="P1240" s="454"/>
      <x:c r="Q1240" s="454"/>
      <x:c r="R1240" s="454"/>
      <x:c r="S1240" s="454"/>
      <x:c r="T1240" s="454"/>
      <x:c r="U1240" s="454"/>
      <x:c r="V1240" s="455"/>
      <x:c r="W1240" s="456"/>
      <x:c r="X1240" s="450"/>
      <x:c r="Y1240" s="457"/>
      <x:c r="Z1240" s="458"/>
      <x:c r="AA1240" s="458"/>
      <x:c r="AB1240" s="458"/>
      <x:c r="AC1240" s="458"/>
      <x:c r="AD1240" s="458"/>
      <x:c r="AE1240" s="458"/>
    </x:row>
    <x:row r="1241" spans="1:31" ht="20.100000000000001" customHeight="1">
      <x:c r="A1241" s="439"/>
      <x:c r="B1241" s="466" t="str">
        <x:f t="shared" si="162"/>
        <x:v/>
      </x:c>
      <x:c r="C1241" s="440" t="str">
        <x:f t="shared" si="163"/>
        <x:v/>
      </x:c>
      <x:c r="D1241" s="441"/>
      <x:c r="E1241" s="442" t="str">
        <x:f t="shared" si="164"/>
        <x:v/>
      </x:c>
      <x:c r="F1241" s="443"/>
      <x:c r="G1241" s="444"/>
      <x:c r="H1241" s="445" t="str">
        <x:f t="shared" si="161"/>
        <x:v/>
      </x:c>
      <x:c r="I1241" s="446" t="str">
        <x:f t="shared" si="165"/>
        <x:v/>
      </x:c>
      <x:c r="J1241" s="445"/>
      <x:c r="K1241" s="453"/>
      <x:c r="L1241" s="454"/>
      <x:c r="M1241" s="454"/>
      <x:c r="N1241" s="454"/>
      <x:c r="O1241" s="454"/>
      <x:c r="P1241" s="454"/>
      <x:c r="Q1241" s="454"/>
      <x:c r="R1241" s="454"/>
      <x:c r="S1241" s="454"/>
      <x:c r="T1241" s="454"/>
      <x:c r="U1241" s="454"/>
      <x:c r="V1241" s="455"/>
      <x:c r="W1241" s="456"/>
      <x:c r="X1241" s="450"/>
      <x:c r="Y1241" s="457"/>
      <x:c r="Z1241" s="458"/>
      <x:c r="AA1241" s="458"/>
      <x:c r="AB1241" s="458"/>
      <x:c r="AC1241" s="458"/>
      <x:c r="AD1241" s="458"/>
      <x:c r="AE1241" s="458"/>
    </x:row>
    <x:row r="1242" spans="1:31" ht="20.100000000000001" customHeight="1">
      <x:c r="A1242" s="439"/>
      <x:c r="B1242" s="466" t="str">
        <x:f t="shared" si="162"/>
        <x:v/>
      </x:c>
      <x:c r="C1242" s="440" t="str">
        <x:f t="shared" si="163"/>
        <x:v/>
      </x:c>
      <x:c r="D1242" s="441"/>
      <x:c r="E1242" s="442" t="str">
        <x:f t="shared" si="164"/>
        <x:v/>
      </x:c>
      <x:c r="F1242" s="443"/>
      <x:c r="G1242" s="444"/>
      <x:c r="H1242" s="445" t="str">
        <x:f t="shared" si="161"/>
        <x:v/>
      </x:c>
      <x:c r="I1242" s="446" t="str">
        <x:f t="shared" si="165"/>
        <x:v/>
      </x:c>
      <x:c r="J1242" s="445"/>
      <x:c r="K1242" s="453"/>
      <x:c r="L1242" s="454"/>
      <x:c r="M1242" s="454"/>
      <x:c r="N1242" s="454"/>
      <x:c r="O1242" s="454"/>
      <x:c r="P1242" s="454"/>
      <x:c r="Q1242" s="454"/>
      <x:c r="R1242" s="454"/>
      <x:c r="S1242" s="454"/>
      <x:c r="T1242" s="454"/>
      <x:c r="U1242" s="454"/>
      <x:c r="V1242" s="455"/>
      <x:c r="W1242" s="456"/>
      <x:c r="X1242" s="450"/>
      <x:c r="Y1242" s="457"/>
      <x:c r="Z1242" s="458"/>
      <x:c r="AA1242" s="458"/>
      <x:c r="AB1242" s="458"/>
      <x:c r="AC1242" s="458"/>
      <x:c r="AD1242" s="458"/>
      <x:c r="AE1242" s="458"/>
    </x:row>
    <x:row r="1243" spans="1:31" ht="20.100000000000001" customHeight="1">
      <x:c r="A1243" s="439"/>
      <x:c r="B1243" s="466" t="str">
        <x:f t="shared" si="162"/>
        <x:v/>
      </x:c>
      <x:c r="C1243" s="440" t="str">
        <x:f t="shared" si="163"/>
        <x:v/>
      </x:c>
      <x:c r="D1243" s="441"/>
      <x:c r="E1243" s="442" t="str">
        <x:f t="shared" si="164"/>
        <x:v/>
      </x:c>
      <x:c r="F1243" s="443"/>
      <x:c r="G1243" s="444"/>
      <x:c r="H1243" s="445" t="str">
        <x:f t="shared" si="161"/>
        <x:v/>
      </x:c>
      <x:c r="I1243" s="446" t="str">
        <x:f t="shared" si="165"/>
        <x:v/>
      </x:c>
      <x:c r="J1243" s="445"/>
      <x:c r="K1243" s="453"/>
      <x:c r="L1243" s="454"/>
      <x:c r="M1243" s="454"/>
      <x:c r="N1243" s="454"/>
      <x:c r="O1243" s="454"/>
      <x:c r="P1243" s="454"/>
      <x:c r="Q1243" s="454"/>
      <x:c r="R1243" s="454"/>
      <x:c r="S1243" s="454"/>
      <x:c r="T1243" s="454"/>
      <x:c r="U1243" s="454"/>
      <x:c r="V1243" s="455"/>
      <x:c r="W1243" s="456"/>
      <x:c r="X1243" s="450"/>
      <x:c r="Y1243" s="457"/>
      <x:c r="Z1243" s="458"/>
      <x:c r="AA1243" s="458"/>
      <x:c r="AB1243" s="458"/>
      <x:c r="AC1243" s="458"/>
      <x:c r="AD1243" s="458"/>
      <x:c r="AE1243" s="458"/>
    </x:row>
    <x:row r="1244" spans="1:31" ht="20.100000000000001" customHeight="1">
      <x:c r="A1244" s="439"/>
      <x:c r="B1244" s="466" t="str">
        <x:f t="shared" si="162"/>
        <x:v/>
      </x:c>
      <x:c r="C1244" s="440" t="str">
        <x:f t="shared" si="163"/>
        <x:v/>
      </x:c>
      <x:c r="D1244" s="441"/>
      <x:c r="E1244" s="442" t="str">
        <x:f t="shared" si="164"/>
        <x:v/>
      </x:c>
      <x:c r="F1244" s="443"/>
      <x:c r="G1244" s="444"/>
      <x:c r="H1244" s="445" t="str">
        <x:f t="shared" si="161"/>
        <x:v/>
      </x:c>
      <x:c r="I1244" s="446" t="str">
        <x:f t="shared" si="165"/>
        <x:v/>
      </x:c>
      <x:c r="J1244" s="445"/>
      <x:c r="K1244" s="453"/>
      <x:c r="L1244" s="454"/>
      <x:c r="M1244" s="454"/>
      <x:c r="N1244" s="454"/>
      <x:c r="O1244" s="454"/>
      <x:c r="P1244" s="454"/>
      <x:c r="Q1244" s="454"/>
      <x:c r="R1244" s="454"/>
      <x:c r="S1244" s="454"/>
      <x:c r="T1244" s="454"/>
      <x:c r="U1244" s="454"/>
      <x:c r="V1244" s="455"/>
      <x:c r="W1244" s="456"/>
      <x:c r="X1244" s="450"/>
      <x:c r="Y1244" s="457"/>
      <x:c r="Z1244" s="458"/>
      <x:c r="AA1244" s="458"/>
      <x:c r="AB1244" s="458"/>
      <x:c r="AC1244" s="458"/>
      <x:c r="AD1244" s="458"/>
      <x:c r="AE1244" s="458"/>
    </x:row>
    <x:row r="1245" spans="1:31" ht="20.100000000000001" customHeight="1">
      <x:c r="A1245" s="439"/>
      <x:c r="B1245" s="466" t="str">
        <x:f t="shared" si="162"/>
        <x:v/>
      </x:c>
      <x:c r="C1245" s="440" t="str">
        <x:f t="shared" si="163"/>
        <x:v/>
      </x:c>
      <x:c r="D1245" s="441"/>
      <x:c r="E1245" s="442" t="str">
        <x:f t="shared" si="164"/>
        <x:v/>
      </x:c>
      <x:c r="F1245" s="443"/>
      <x:c r="G1245" s="444"/>
      <x:c r="H1245" s="445" t="str">
        <x:f t="shared" si="161"/>
        <x:v/>
      </x:c>
      <x:c r="I1245" s="446" t="str">
        <x:f t="shared" si="165"/>
        <x:v/>
      </x:c>
      <x:c r="J1245" s="445"/>
      <x:c r="K1245" s="453"/>
      <x:c r="L1245" s="454"/>
      <x:c r="M1245" s="454"/>
      <x:c r="N1245" s="454"/>
      <x:c r="O1245" s="454"/>
      <x:c r="P1245" s="454"/>
      <x:c r="Q1245" s="454"/>
      <x:c r="R1245" s="454"/>
      <x:c r="S1245" s="454"/>
      <x:c r="T1245" s="454"/>
      <x:c r="U1245" s="454"/>
      <x:c r="V1245" s="455"/>
      <x:c r="W1245" s="456"/>
      <x:c r="X1245" s="450"/>
      <x:c r="Y1245" s="457"/>
      <x:c r="Z1245" s="458"/>
      <x:c r="AA1245" s="458"/>
      <x:c r="AB1245" s="458"/>
      <x:c r="AC1245" s="458"/>
      <x:c r="AD1245" s="458"/>
      <x:c r="AE1245" s="458"/>
    </x:row>
    <x:row r="1246" spans="1:31" ht="20.100000000000001" customHeight="1">
      <x:c r="A1246" s="439"/>
      <x:c r="B1246" s="466" t="str">
        <x:f t="shared" si="162"/>
        <x:v/>
      </x:c>
      <x:c r="C1246" s="440" t="str">
        <x:f t="shared" si="163"/>
        <x:v/>
      </x:c>
      <x:c r="D1246" s="441"/>
      <x:c r="E1246" s="442" t="str">
        <x:f t="shared" si="164"/>
        <x:v/>
      </x:c>
      <x:c r="F1246" s="443"/>
      <x:c r="G1246" s="444"/>
      <x:c r="H1246" s="445" t="str">
        <x:f t="shared" si="161"/>
        <x:v/>
      </x:c>
      <x:c r="I1246" s="446" t="str">
        <x:f t="shared" si="165"/>
        <x:v/>
      </x:c>
      <x:c r="J1246" s="445"/>
      <x:c r="K1246" s="453"/>
      <x:c r="L1246" s="454"/>
      <x:c r="M1246" s="454"/>
      <x:c r="N1246" s="454"/>
      <x:c r="O1246" s="454"/>
      <x:c r="P1246" s="454"/>
      <x:c r="Q1246" s="454"/>
      <x:c r="R1246" s="454"/>
      <x:c r="S1246" s="454"/>
      <x:c r="T1246" s="454"/>
      <x:c r="U1246" s="454"/>
      <x:c r="V1246" s="455"/>
      <x:c r="W1246" s="456"/>
      <x:c r="X1246" s="450"/>
      <x:c r="Y1246" s="457"/>
      <x:c r="Z1246" s="458"/>
      <x:c r="AA1246" s="458"/>
      <x:c r="AB1246" s="458"/>
      <x:c r="AC1246" s="458"/>
      <x:c r="AD1246" s="458"/>
      <x:c r="AE1246" s="458"/>
    </x:row>
    <x:row r="1247" spans="1:31" ht="20.100000000000001" customHeight="1">
      <x:c r="A1247" s="439"/>
      <x:c r="B1247" s="466" t="str">
        <x:f t="shared" si="162"/>
        <x:v/>
      </x:c>
      <x:c r="C1247" s="440" t="str">
        <x:f t="shared" si="163"/>
        <x:v/>
      </x:c>
      <x:c r="D1247" s="441"/>
      <x:c r="E1247" s="442" t="str">
        <x:f t="shared" si="164"/>
        <x:v/>
      </x:c>
      <x:c r="F1247" s="443"/>
      <x:c r="G1247" s="444"/>
      <x:c r="H1247" s="445" t="str">
        <x:f t="shared" si="161"/>
        <x:v/>
      </x:c>
      <x:c r="I1247" s="446" t="str">
        <x:f t="shared" si="165"/>
        <x:v/>
      </x:c>
      <x:c r="J1247" s="445"/>
      <x:c r="K1247" s="453"/>
      <x:c r="L1247" s="454"/>
      <x:c r="M1247" s="454"/>
      <x:c r="N1247" s="454"/>
      <x:c r="O1247" s="454"/>
      <x:c r="P1247" s="454"/>
      <x:c r="Q1247" s="454"/>
      <x:c r="R1247" s="454"/>
      <x:c r="S1247" s="454"/>
      <x:c r="T1247" s="454"/>
      <x:c r="U1247" s="454"/>
      <x:c r="V1247" s="455"/>
      <x:c r="W1247" s="456"/>
      <x:c r="X1247" s="450"/>
      <x:c r="Y1247" s="457"/>
      <x:c r="Z1247" s="458"/>
      <x:c r="AA1247" s="458"/>
      <x:c r="AB1247" s="458"/>
      <x:c r="AC1247" s="458"/>
      <x:c r="AD1247" s="458"/>
      <x:c r="AE1247" s="458"/>
    </x:row>
    <x:row r="1248" spans="1:31" ht="20.100000000000001" customHeight="1">
      <x:c r="A1248" s="439"/>
      <x:c r="B1248" s="466" t="str">
        <x:f t="shared" si="162"/>
        <x:v/>
      </x:c>
      <x:c r="C1248" s="440" t="str">
        <x:f t="shared" si="163"/>
        <x:v/>
      </x:c>
      <x:c r="D1248" s="441"/>
      <x:c r="E1248" s="442" t="str">
        <x:f t="shared" si="164"/>
        <x:v/>
      </x:c>
      <x:c r="F1248" s="443"/>
      <x:c r="G1248" s="444"/>
      <x:c r="H1248" s="445" t="str">
        <x:f t="shared" si="161"/>
        <x:v/>
      </x:c>
      <x:c r="I1248" s="446" t="str">
        <x:f t="shared" si="165"/>
        <x:v/>
      </x:c>
      <x:c r="J1248" s="445"/>
      <x:c r="K1248" s="453"/>
      <x:c r="L1248" s="454"/>
      <x:c r="M1248" s="454"/>
      <x:c r="N1248" s="454"/>
      <x:c r="O1248" s="454"/>
      <x:c r="P1248" s="454"/>
      <x:c r="Q1248" s="454"/>
      <x:c r="R1248" s="454"/>
      <x:c r="S1248" s="454"/>
      <x:c r="T1248" s="454"/>
      <x:c r="U1248" s="454"/>
      <x:c r="V1248" s="455"/>
      <x:c r="W1248" s="456"/>
      <x:c r="X1248" s="450"/>
      <x:c r="Y1248" s="457"/>
      <x:c r="Z1248" s="458"/>
      <x:c r="AA1248" s="458"/>
      <x:c r="AB1248" s="458"/>
      <x:c r="AC1248" s="458"/>
      <x:c r="AD1248" s="458"/>
      <x:c r="AE1248" s="458"/>
    </x:row>
    <x:row r="1249" spans="1:31" ht="20.100000000000001" customHeight="1">
      <x:c r="A1249" s="439"/>
      <x:c r="B1249" s="466" t="str">
        <x:f t="shared" si="162"/>
        <x:v/>
      </x:c>
      <x:c r="C1249" s="440" t="str">
        <x:f t="shared" si="163"/>
        <x:v/>
      </x:c>
      <x:c r="D1249" s="441"/>
      <x:c r="E1249" s="442" t="str">
        <x:f t="shared" si="164"/>
        <x:v/>
      </x:c>
      <x:c r="F1249" s="443"/>
      <x:c r="G1249" s="444"/>
      <x:c r="H1249" s="445" t="str">
        <x:f t="shared" si="161"/>
        <x:v/>
      </x:c>
      <x:c r="I1249" s="446" t="str">
        <x:f t="shared" si="165"/>
        <x:v/>
      </x:c>
      <x:c r="J1249" s="445"/>
      <x:c r="K1249" s="453"/>
      <x:c r="L1249" s="454"/>
      <x:c r="M1249" s="454"/>
      <x:c r="N1249" s="454"/>
      <x:c r="O1249" s="454"/>
      <x:c r="P1249" s="454"/>
      <x:c r="Q1249" s="454"/>
      <x:c r="R1249" s="454"/>
      <x:c r="S1249" s="454"/>
      <x:c r="T1249" s="454"/>
      <x:c r="U1249" s="454"/>
      <x:c r="V1249" s="455"/>
      <x:c r="W1249" s="456"/>
      <x:c r="X1249" s="450"/>
      <x:c r="Y1249" s="457"/>
      <x:c r="Z1249" s="458"/>
      <x:c r="AA1249" s="458"/>
      <x:c r="AB1249" s="458"/>
      <x:c r="AC1249" s="458"/>
      <x:c r="AD1249" s="458"/>
      <x:c r="AE1249" s="458"/>
    </x:row>
    <x:row r="1250" spans="1:31" ht="20.100000000000001" customHeight="1">
      <x:c r="A1250" s="439"/>
      <x:c r="B1250" s="466" t="str">
        <x:f t="shared" si="162"/>
        <x:v/>
      </x:c>
      <x:c r="C1250" s="440" t="str">
        <x:f t="shared" si="163"/>
        <x:v/>
      </x:c>
      <x:c r="D1250" s="441"/>
      <x:c r="E1250" s="442" t="str">
        <x:f t="shared" si="164"/>
        <x:v/>
      </x:c>
      <x:c r="F1250" s="443"/>
      <x:c r="G1250" s="444"/>
      <x:c r="H1250" s="445" t="str">
        <x:f t="shared" si="161"/>
        <x:v/>
      </x:c>
      <x:c r="I1250" s="446" t="str">
        <x:f t="shared" si="165"/>
        <x:v/>
      </x:c>
      <x:c r="J1250" s="445"/>
      <x:c r="K1250" s="453"/>
      <x:c r="L1250" s="454"/>
      <x:c r="M1250" s="454"/>
      <x:c r="N1250" s="454"/>
      <x:c r="O1250" s="454"/>
      <x:c r="P1250" s="454"/>
      <x:c r="Q1250" s="454"/>
      <x:c r="R1250" s="454"/>
      <x:c r="S1250" s="454"/>
      <x:c r="T1250" s="454"/>
      <x:c r="U1250" s="454"/>
      <x:c r="V1250" s="455"/>
      <x:c r="W1250" s="456"/>
      <x:c r="X1250" s="450"/>
      <x:c r="Y1250" s="457"/>
      <x:c r="Z1250" s="458"/>
      <x:c r="AA1250" s="458"/>
      <x:c r="AB1250" s="458"/>
      <x:c r="AC1250" s="458"/>
      <x:c r="AD1250" s="458"/>
      <x:c r="AE1250" s="458"/>
    </x:row>
    <x:row r="1251" spans="1:31" ht="20.100000000000001" customHeight="1">
      <x:c r="A1251" s="439"/>
      <x:c r="B1251" s="466" t="str">
        <x:f t="shared" si="162"/>
        <x:v/>
      </x:c>
      <x:c r="C1251" s="440" t="str">
        <x:f t="shared" si="163"/>
        <x:v/>
      </x:c>
      <x:c r="D1251" s="441"/>
      <x:c r="E1251" s="442" t="str">
        <x:f t="shared" si="164"/>
        <x:v/>
      </x:c>
      <x:c r="F1251" s="443"/>
      <x:c r="G1251" s="444"/>
      <x:c r="H1251" s="445" t="str">
        <x:f t="shared" si="161"/>
        <x:v/>
      </x:c>
      <x:c r="I1251" s="446" t="str">
        <x:f t="shared" si="165"/>
        <x:v/>
      </x:c>
      <x:c r="J1251" s="445"/>
      <x:c r="K1251" s="453"/>
      <x:c r="L1251" s="454"/>
      <x:c r="M1251" s="454"/>
      <x:c r="N1251" s="454"/>
      <x:c r="O1251" s="454"/>
      <x:c r="P1251" s="454"/>
      <x:c r="Q1251" s="454"/>
      <x:c r="R1251" s="454"/>
      <x:c r="S1251" s="454"/>
      <x:c r="T1251" s="454"/>
      <x:c r="U1251" s="454"/>
      <x:c r="V1251" s="455"/>
      <x:c r="W1251" s="456"/>
      <x:c r="X1251" s="450"/>
      <x:c r="Y1251" s="457"/>
      <x:c r="Z1251" s="458"/>
      <x:c r="AA1251" s="458"/>
      <x:c r="AB1251" s="458"/>
      <x:c r="AC1251" s="458"/>
      <x:c r="AD1251" s="458"/>
      <x:c r="AE1251" s="458"/>
    </x:row>
    <x:row r="1252" spans="1:31" ht="20.100000000000001" customHeight="1">
      <x:c r="A1252" s="439"/>
      <x:c r="B1252" s="466" t="str">
        <x:f t="shared" si="162"/>
        <x:v/>
      </x:c>
      <x:c r="C1252" s="440" t="str">
        <x:f t="shared" si="163"/>
        <x:v/>
      </x:c>
      <x:c r="D1252" s="441"/>
      <x:c r="E1252" s="442" t="str">
        <x:f t="shared" si="164"/>
        <x:v/>
      </x:c>
      <x:c r="F1252" s="443"/>
      <x:c r="G1252" s="444"/>
      <x:c r="H1252" s="445" t="str">
        <x:f t="shared" si="161"/>
        <x:v/>
      </x:c>
      <x:c r="I1252" s="446" t="str">
        <x:f t="shared" si="165"/>
        <x:v/>
      </x:c>
      <x:c r="J1252" s="445"/>
      <x:c r="K1252" s="453"/>
      <x:c r="L1252" s="454"/>
      <x:c r="M1252" s="454"/>
      <x:c r="N1252" s="454"/>
      <x:c r="O1252" s="454"/>
      <x:c r="P1252" s="454"/>
      <x:c r="Q1252" s="454"/>
      <x:c r="R1252" s="454"/>
      <x:c r="S1252" s="454"/>
      <x:c r="T1252" s="454"/>
      <x:c r="U1252" s="454"/>
      <x:c r="V1252" s="455"/>
      <x:c r="W1252" s="456"/>
      <x:c r="X1252" s="450"/>
      <x:c r="Y1252" s="457"/>
      <x:c r="Z1252" s="458"/>
      <x:c r="AA1252" s="458"/>
      <x:c r="AB1252" s="458"/>
      <x:c r="AC1252" s="458"/>
      <x:c r="AD1252" s="458"/>
      <x:c r="AE1252" s="458"/>
    </x:row>
    <x:row r="1253" spans="1:31" ht="20.100000000000001" customHeight="1">
      <x:c r="A1253" s="439"/>
      <x:c r="B1253" s="466" t="str">
        <x:f t="shared" si="162"/>
        <x:v/>
      </x:c>
      <x:c r="C1253" s="440" t="str">
        <x:f t="shared" si="163"/>
        <x:v/>
      </x:c>
      <x:c r="D1253" s="441"/>
      <x:c r="E1253" s="442" t="str">
        <x:f t="shared" si="164"/>
        <x:v/>
      </x:c>
      <x:c r="F1253" s="443"/>
      <x:c r="G1253" s="444"/>
      <x:c r="H1253" s="445" t="str">
        <x:f t="shared" si="161"/>
        <x:v/>
      </x:c>
      <x:c r="I1253" s="446" t="str">
        <x:f t="shared" si="165"/>
        <x:v/>
      </x:c>
      <x:c r="J1253" s="445"/>
      <x:c r="K1253" s="453"/>
      <x:c r="L1253" s="454"/>
      <x:c r="M1253" s="454"/>
      <x:c r="N1253" s="454"/>
      <x:c r="O1253" s="454"/>
      <x:c r="P1253" s="454"/>
      <x:c r="Q1253" s="454"/>
      <x:c r="R1253" s="454"/>
      <x:c r="S1253" s="454"/>
      <x:c r="T1253" s="454"/>
      <x:c r="U1253" s="454"/>
      <x:c r="V1253" s="455"/>
      <x:c r="W1253" s="456"/>
      <x:c r="X1253" s="450"/>
      <x:c r="Y1253" s="457"/>
      <x:c r="Z1253" s="458"/>
      <x:c r="AA1253" s="458"/>
      <x:c r="AB1253" s="458"/>
      <x:c r="AC1253" s="458"/>
      <x:c r="AD1253" s="458"/>
      <x:c r="AE1253" s="458"/>
    </x:row>
    <x:row r="1254" spans="1:31" ht="20.100000000000001" customHeight="1">
      <x:c r="A1254" s="439"/>
      <x:c r="B1254" s="466" t="str">
        <x:f t="shared" si="162"/>
        <x:v/>
      </x:c>
      <x:c r="C1254" s="440" t="str">
        <x:f t="shared" si="163"/>
        <x:v/>
      </x:c>
      <x:c r="D1254" s="441"/>
      <x:c r="E1254" s="442" t="str">
        <x:f t="shared" si="164"/>
        <x:v/>
      </x:c>
      <x:c r="F1254" s="443"/>
      <x:c r="G1254" s="444"/>
      <x:c r="H1254" s="445" t="str">
        <x:f t="shared" si="161"/>
        <x:v/>
      </x:c>
      <x:c r="I1254" s="446" t="str">
        <x:f t="shared" si="165"/>
        <x:v/>
      </x:c>
      <x:c r="J1254" s="445"/>
      <x:c r="K1254" s="453"/>
      <x:c r="L1254" s="454"/>
      <x:c r="M1254" s="454"/>
      <x:c r="N1254" s="454"/>
      <x:c r="O1254" s="454"/>
      <x:c r="P1254" s="454"/>
      <x:c r="Q1254" s="454"/>
      <x:c r="R1254" s="454"/>
      <x:c r="S1254" s="454"/>
      <x:c r="T1254" s="454"/>
      <x:c r="U1254" s="454"/>
      <x:c r="V1254" s="455"/>
      <x:c r="W1254" s="456"/>
      <x:c r="X1254" s="450"/>
      <x:c r="Y1254" s="457"/>
      <x:c r="Z1254" s="458"/>
      <x:c r="AA1254" s="458"/>
      <x:c r="AB1254" s="458"/>
      <x:c r="AC1254" s="458"/>
      <x:c r="AD1254" s="458"/>
      <x:c r="AE1254" s="458"/>
    </x:row>
    <x:row r="1255" spans="1:31" ht="20.100000000000001" customHeight="1">
      <x:c r="A1255" s="439"/>
      <x:c r="B1255" s="466" t="str">
        <x:f t="shared" si="162"/>
        <x:v/>
      </x:c>
      <x:c r="C1255" s="440" t="str">
        <x:f t="shared" si="163"/>
        <x:v/>
      </x:c>
      <x:c r="D1255" s="441"/>
      <x:c r="E1255" s="442" t="str">
        <x:f t="shared" si="164"/>
        <x:v/>
      </x:c>
      <x:c r="F1255" s="443"/>
      <x:c r="G1255" s="444"/>
      <x:c r="H1255" s="445" t="str">
        <x:f t="shared" si="161"/>
        <x:v/>
      </x:c>
      <x:c r="I1255" s="446" t="str">
        <x:f t="shared" si="165"/>
        <x:v/>
      </x:c>
      <x:c r="J1255" s="445"/>
      <x:c r="K1255" s="453"/>
      <x:c r="L1255" s="454"/>
      <x:c r="M1255" s="454"/>
      <x:c r="N1255" s="454"/>
      <x:c r="O1255" s="454"/>
      <x:c r="P1255" s="454"/>
      <x:c r="Q1255" s="454"/>
      <x:c r="R1255" s="454"/>
      <x:c r="S1255" s="454"/>
      <x:c r="T1255" s="454"/>
      <x:c r="U1255" s="454"/>
      <x:c r="V1255" s="455"/>
      <x:c r="W1255" s="456"/>
      <x:c r="X1255" s="450"/>
      <x:c r="Y1255" s="457"/>
      <x:c r="Z1255" s="458"/>
      <x:c r="AA1255" s="458"/>
      <x:c r="AB1255" s="458"/>
      <x:c r="AC1255" s="458"/>
      <x:c r="AD1255" s="458"/>
      <x:c r="AE1255" s="458"/>
    </x:row>
    <x:row r="1256" spans="1:31" ht="20.100000000000001" customHeight="1">
      <x:c r="A1256" s="439"/>
      <x:c r="B1256" s="466" t="str">
        <x:f t="shared" si="162"/>
        <x:v/>
      </x:c>
      <x:c r="C1256" s="440" t="str">
        <x:f t="shared" si="163"/>
        <x:v/>
      </x:c>
      <x:c r="D1256" s="441"/>
      <x:c r="E1256" s="442" t="str">
        <x:f t="shared" si="164"/>
        <x:v/>
      </x:c>
      <x:c r="F1256" s="443"/>
      <x:c r="G1256" s="444"/>
      <x:c r="H1256" s="445" t="str">
        <x:f t="shared" si="161"/>
        <x:v/>
      </x:c>
      <x:c r="I1256" s="446" t="str">
        <x:f t="shared" si="165"/>
        <x:v/>
      </x:c>
      <x:c r="J1256" s="445"/>
      <x:c r="K1256" s="453"/>
      <x:c r="L1256" s="454"/>
      <x:c r="M1256" s="454"/>
      <x:c r="N1256" s="454"/>
      <x:c r="O1256" s="454"/>
      <x:c r="P1256" s="454"/>
      <x:c r="Q1256" s="454"/>
      <x:c r="R1256" s="454"/>
      <x:c r="S1256" s="454"/>
      <x:c r="T1256" s="454"/>
      <x:c r="U1256" s="454"/>
      <x:c r="V1256" s="455"/>
      <x:c r="W1256" s="456"/>
      <x:c r="X1256" s="450"/>
      <x:c r="Y1256" s="457"/>
      <x:c r="Z1256" s="458"/>
      <x:c r="AA1256" s="458"/>
      <x:c r="AB1256" s="458"/>
      <x:c r="AC1256" s="458"/>
      <x:c r="AD1256" s="458"/>
      <x:c r="AE1256" s="458"/>
    </x:row>
    <x:row r="1257" spans="1:31" ht="20.100000000000001" customHeight="1">
      <x:c r="A1257" s="439"/>
      <x:c r="B1257" s="466" t="str">
        <x:f t="shared" si="162"/>
        <x:v/>
      </x:c>
      <x:c r="C1257" s="440" t="str">
        <x:f t="shared" si="163"/>
        <x:v/>
      </x:c>
      <x:c r="D1257" s="441"/>
      <x:c r="E1257" s="442" t="str">
        <x:f t="shared" si="164"/>
        <x:v/>
      </x:c>
      <x:c r="F1257" s="443"/>
      <x:c r="G1257" s="444"/>
      <x:c r="H1257" s="445" t="str">
        <x:f t="shared" si="161"/>
        <x:v/>
      </x:c>
      <x:c r="I1257" s="446" t="str">
        <x:f t="shared" si="165"/>
        <x:v/>
      </x:c>
      <x:c r="J1257" s="445"/>
      <x:c r="K1257" s="453"/>
      <x:c r="L1257" s="454"/>
      <x:c r="M1257" s="454"/>
      <x:c r="N1257" s="454"/>
      <x:c r="O1257" s="454"/>
      <x:c r="P1257" s="454"/>
      <x:c r="Q1257" s="454"/>
      <x:c r="R1257" s="454"/>
      <x:c r="S1257" s="454"/>
      <x:c r="T1257" s="454"/>
      <x:c r="U1257" s="454"/>
      <x:c r="V1257" s="455"/>
      <x:c r="W1257" s="456"/>
      <x:c r="X1257" s="450"/>
      <x:c r="Y1257" s="457"/>
      <x:c r="Z1257" s="458"/>
      <x:c r="AA1257" s="458"/>
      <x:c r="AB1257" s="458"/>
      <x:c r="AC1257" s="458"/>
      <x:c r="AD1257" s="458"/>
      <x:c r="AE1257" s="458"/>
    </x:row>
    <x:row r="1258" spans="1:31" ht="20.100000000000001" customHeight="1">
      <x:c r="A1258" s="439"/>
      <x:c r="B1258" s="466" t="str">
        <x:f t="shared" si="162"/>
        <x:v/>
      </x:c>
      <x:c r="C1258" s="440" t="str">
        <x:f t="shared" si="163"/>
        <x:v/>
      </x:c>
      <x:c r="D1258" s="441"/>
      <x:c r="E1258" s="442" t="str">
        <x:f t="shared" si="164"/>
        <x:v/>
      </x:c>
      <x:c r="F1258" s="443"/>
      <x:c r="G1258" s="444"/>
      <x:c r="H1258" s="445" t="str">
        <x:f t="shared" si="161"/>
        <x:v/>
      </x:c>
      <x:c r="I1258" s="446" t="str">
        <x:f t="shared" si="165"/>
        <x:v/>
      </x:c>
      <x:c r="J1258" s="445"/>
      <x:c r="K1258" s="453"/>
      <x:c r="L1258" s="454"/>
      <x:c r="M1258" s="454"/>
      <x:c r="N1258" s="454"/>
      <x:c r="O1258" s="454"/>
      <x:c r="P1258" s="454"/>
      <x:c r="Q1258" s="454"/>
      <x:c r="R1258" s="454"/>
      <x:c r="S1258" s="454"/>
      <x:c r="T1258" s="454"/>
      <x:c r="U1258" s="454"/>
      <x:c r="V1258" s="455"/>
      <x:c r="W1258" s="456"/>
      <x:c r="X1258" s="450"/>
      <x:c r="Y1258" s="457"/>
      <x:c r="Z1258" s="458"/>
      <x:c r="AA1258" s="458"/>
      <x:c r="AB1258" s="458"/>
      <x:c r="AC1258" s="458"/>
      <x:c r="AD1258" s="458"/>
      <x:c r="AE1258" s="458"/>
    </x:row>
    <x:row r="1259" spans="1:31" ht="20.100000000000001" customHeight="1">
      <x:c r="A1259" s="439"/>
      <x:c r="B1259" s="466" t="str">
        <x:f t="shared" si="162"/>
        <x:v/>
      </x:c>
      <x:c r="C1259" s="440" t="str">
        <x:f t="shared" si="163"/>
        <x:v/>
      </x:c>
      <x:c r="D1259" s="441"/>
      <x:c r="E1259" s="442" t="str">
        <x:f t="shared" si="164"/>
        <x:v/>
      </x:c>
      <x:c r="F1259" s="443"/>
      <x:c r="G1259" s="444"/>
      <x:c r="H1259" s="445" t="str">
        <x:f t="shared" si="161"/>
        <x:v/>
      </x:c>
      <x:c r="I1259" s="446" t="str">
        <x:f t="shared" si="165"/>
        <x:v/>
      </x:c>
      <x:c r="J1259" s="445"/>
      <x:c r="K1259" s="453"/>
      <x:c r="L1259" s="454"/>
      <x:c r="M1259" s="454"/>
      <x:c r="N1259" s="454"/>
      <x:c r="O1259" s="454"/>
      <x:c r="P1259" s="454"/>
      <x:c r="Q1259" s="454"/>
      <x:c r="R1259" s="454"/>
      <x:c r="S1259" s="454"/>
      <x:c r="T1259" s="454"/>
      <x:c r="U1259" s="454"/>
      <x:c r="V1259" s="455"/>
      <x:c r="W1259" s="456"/>
      <x:c r="X1259" s="450"/>
      <x:c r="Y1259" s="457"/>
      <x:c r="Z1259" s="458"/>
      <x:c r="AA1259" s="458"/>
      <x:c r="AB1259" s="458"/>
      <x:c r="AC1259" s="458"/>
      <x:c r="AD1259" s="458"/>
      <x:c r="AE1259" s="458"/>
    </x:row>
    <x:row r="1260" spans="1:31" ht="20.100000000000001" customHeight="1">
      <x:c r="A1260" s="439"/>
      <x:c r="B1260" s="466" t="str">
        <x:f t="shared" si="162"/>
        <x:v/>
      </x:c>
      <x:c r="C1260" s="440" t="str">
        <x:f t="shared" si="163"/>
        <x:v/>
      </x:c>
      <x:c r="D1260" s="441"/>
      <x:c r="E1260" s="442" t="str">
        <x:f t="shared" si="164"/>
        <x:v/>
      </x:c>
      <x:c r="F1260" s="443"/>
      <x:c r="G1260" s="444"/>
      <x:c r="H1260" s="445" t="str">
        <x:f t="shared" si="161"/>
        <x:v/>
      </x:c>
      <x:c r="I1260" s="446" t="str">
        <x:f t="shared" si="165"/>
        <x:v/>
      </x:c>
      <x:c r="J1260" s="445"/>
      <x:c r="K1260" s="453"/>
      <x:c r="L1260" s="454"/>
      <x:c r="M1260" s="454"/>
      <x:c r="N1260" s="454"/>
      <x:c r="O1260" s="454"/>
      <x:c r="P1260" s="454"/>
      <x:c r="Q1260" s="454"/>
      <x:c r="R1260" s="454"/>
      <x:c r="S1260" s="454"/>
      <x:c r="T1260" s="454"/>
      <x:c r="U1260" s="454"/>
      <x:c r="V1260" s="455"/>
      <x:c r="W1260" s="456"/>
      <x:c r="X1260" s="450"/>
      <x:c r="Y1260" s="457"/>
      <x:c r="Z1260" s="458"/>
      <x:c r="AA1260" s="458"/>
      <x:c r="AB1260" s="458"/>
      <x:c r="AC1260" s="458"/>
      <x:c r="AD1260" s="458"/>
      <x:c r="AE1260" s="458"/>
    </x:row>
    <x:row r="1261" spans="1:31" ht="20.100000000000001" customHeight="1">
      <x:c r="A1261" s="439"/>
      <x:c r="B1261" s="466" t="str">
        <x:f t="shared" si="162"/>
        <x:v/>
      </x:c>
      <x:c r="C1261" s="440" t="str">
        <x:f t="shared" si="163"/>
        <x:v/>
      </x:c>
      <x:c r="D1261" s="441"/>
      <x:c r="E1261" s="442" t="str">
        <x:f t="shared" si="164"/>
        <x:v/>
      </x:c>
      <x:c r="F1261" s="443"/>
      <x:c r="G1261" s="444"/>
      <x:c r="H1261" s="445" t="str">
        <x:f t="shared" si="161"/>
        <x:v/>
      </x:c>
      <x:c r="I1261" s="446" t="str">
        <x:f t="shared" si="165"/>
        <x:v/>
      </x:c>
      <x:c r="J1261" s="445"/>
      <x:c r="K1261" s="453"/>
      <x:c r="L1261" s="454"/>
      <x:c r="M1261" s="454"/>
      <x:c r="N1261" s="454"/>
      <x:c r="O1261" s="454"/>
      <x:c r="P1261" s="454"/>
      <x:c r="Q1261" s="454"/>
      <x:c r="R1261" s="454"/>
      <x:c r="S1261" s="454"/>
      <x:c r="T1261" s="454"/>
      <x:c r="U1261" s="454"/>
      <x:c r="V1261" s="455"/>
      <x:c r="W1261" s="456"/>
      <x:c r="X1261" s="450"/>
      <x:c r="Y1261" s="457"/>
      <x:c r="Z1261" s="458"/>
      <x:c r="AA1261" s="458"/>
      <x:c r="AB1261" s="458"/>
      <x:c r="AC1261" s="458"/>
      <x:c r="AD1261" s="458"/>
      <x:c r="AE1261" s="458"/>
    </x:row>
    <x:row r="1262" spans="1:31" ht="20.100000000000001" customHeight="1">
      <x:c r="A1262" s="439"/>
      <x:c r="B1262" s="466" t="str">
        <x:f t="shared" si="162"/>
        <x:v/>
      </x:c>
      <x:c r="C1262" s="440" t="str">
        <x:f t="shared" si="163"/>
        <x:v/>
      </x:c>
      <x:c r="D1262" s="441"/>
      <x:c r="E1262" s="442" t="str">
        <x:f t="shared" si="164"/>
        <x:v/>
      </x:c>
      <x:c r="F1262" s="443"/>
      <x:c r="G1262" s="444"/>
      <x:c r="H1262" s="445" t="str">
        <x:f t="shared" si="161"/>
        <x:v/>
      </x:c>
      <x:c r="I1262" s="446" t="str">
        <x:f t="shared" si="165"/>
        <x:v/>
      </x:c>
      <x:c r="J1262" s="445"/>
      <x:c r="K1262" s="453"/>
      <x:c r="L1262" s="454"/>
      <x:c r="M1262" s="454"/>
      <x:c r="N1262" s="454"/>
      <x:c r="O1262" s="454"/>
      <x:c r="P1262" s="454"/>
      <x:c r="Q1262" s="454"/>
      <x:c r="R1262" s="454"/>
      <x:c r="S1262" s="454"/>
      <x:c r="T1262" s="454"/>
      <x:c r="U1262" s="454"/>
      <x:c r="V1262" s="455"/>
      <x:c r="W1262" s="456"/>
      <x:c r="X1262" s="450"/>
      <x:c r="Y1262" s="457"/>
      <x:c r="Z1262" s="458"/>
      <x:c r="AA1262" s="458"/>
      <x:c r="AB1262" s="458"/>
      <x:c r="AC1262" s="458"/>
      <x:c r="AD1262" s="458"/>
      <x:c r="AE1262" s="458"/>
    </x:row>
    <x:row r="1263" spans="1:31" ht="20.100000000000001" customHeight="1">
      <x:c r="A1263" s="439"/>
      <x:c r="B1263" s="466" t="str">
        <x:f t="shared" si="162"/>
        <x:v/>
      </x:c>
      <x:c r="C1263" s="440" t="str">
        <x:f t="shared" si="163"/>
        <x:v/>
      </x:c>
      <x:c r="D1263" s="441"/>
      <x:c r="E1263" s="442" t="str">
        <x:f t="shared" si="164"/>
        <x:v/>
      </x:c>
      <x:c r="F1263" s="443"/>
      <x:c r="G1263" s="444"/>
      <x:c r="H1263" s="445" t="str">
        <x:f t="shared" si="161"/>
        <x:v/>
      </x:c>
      <x:c r="I1263" s="446" t="str">
        <x:f t="shared" si="165"/>
        <x:v/>
      </x:c>
      <x:c r="J1263" s="445"/>
      <x:c r="K1263" s="453"/>
      <x:c r="L1263" s="454"/>
      <x:c r="M1263" s="454"/>
      <x:c r="N1263" s="454"/>
      <x:c r="O1263" s="454"/>
      <x:c r="P1263" s="454"/>
      <x:c r="Q1263" s="454"/>
      <x:c r="R1263" s="454"/>
      <x:c r="S1263" s="454"/>
      <x:c r="T1263" s="454"/>
      <x:c r="U1263" s="454"/>
      <x:c r="V1263" s="455"/>
      <x:c r="W1263" s="456"/>
      <x:c r="X1263" s="450"/>
      <x:c r="Y1263" s="457"/>
      <x:c r="Z1263" s="458"/>
      <x:c r="AA1263" s="458"/>
      <x:c r="AB1263" s="458"/>
      <x:c r="AC1263" s="458"/>
      <x:c r="AD1263" s="458"/>
      <x:c r="AE1263" s="458"/>
    </x:row>
    <x:row r="1264" spans="1:31" ht="20.100000000000001" customHeight="1">
      <x:c r="A1264" s="439"/>
      <x:c r="B1264" s="466" t="str">
        <x:f t="shared" si="162"/>
        <x:v/>
      </x:c>
      <x:c r="C1264" s="440" t="str">
        <x:f t="shared" si="163"/>
        <x:v/>
      </x:c>
      <x:c r="D1264" s="441"/>
      <x:c r="E1264" s="442" t="str">
        <x:f t="shared" si="164"/>
        <x:v/>
      </x:c>
      <x:c r="F1264" s="443"/>
      <x:c r="G1264" s="444"/>
      <x:c r="H1264" s="445" t="str">
        <x:f t="shared" si="161"/>
        <x:v/>
      </x:c>
      <x:c r="I1264" s="446" t="str">
        <x:f t="shared" si="165"/>
        <x:v/>
      </x:c>
      <x:c r="J1264" s="445"/>
      <x:c r="K1264" s="453"/>
      <x:c r="L1264" s="454"/>
      <x:c r="M1264" s="454"/>
      <x:c r="N1264" s="454"/>
      <x:c r="O1264" s="454"/>
      <x:c r="P1264" s="454"/>
      <x:c r="Q1264" s="454"/>
      <x:c r="R1264" s="454"/>
      <x:c r="S1264" s="454"/>
      <x:c r="T1264" s="454"/>
      <x:c r="U1264" s="454"/>
      <x:c r="V1264" s="455"/>
      <x:c r="W1264" s="456"/>
      <x:c r="X1264" s="450"/>
      <x:c r="Y1264" s="457"/>
      <x:c r="Z1264" s="458"/>
      <x:c r="AA1264" s="458"/>
      <x:c r="AB1264" s="458"/>
      <x:c r="AC1264" s="458"/>
      <x:c r="AD1264" s="458"/>
      <x:c r="AE1264" s="458"/>
    </x:row>
    <x:row r="1265" spans="1:31" ht="20.100000000000001" customHeight="1">
      <x:c r="A1265" s="439"/>
      <x:c r="B1265" s="466" t="str">
        <x:f t="shared" si="162"/>
        <x:v/>
      </x:c>
      <x:c r="C1265" s="440" t="str">
        <x:f t="shared" si="163"/>
        <x:v/>
      </x:c>
      <x:c r="D1265" s="441"/>
      <x:c r="E1265" s="442" t="str">
        <x:f t="shared" si="164"/>
        <x:v/>
      </x:c>
      <x:c r="F1265" s="443"/>
      <x:c r="G1265" s="444"/>
      <x:c r="H1265" s="445" t="str">
        <x:f t="shared" si="161"/>
        <x:v/>
      </x:c>
      <x:c r="I1265" s="446" t="str">
        <x:f t="shared" si="165"/>
        <x:v/>
      </x:c>
      <x:c r="J1265" s="445"/>
      <x:c r="K1265" s="453"/>
      <x:c r="L1265" s="454"/>
      <x:c r="M1265" s="454"/>
      <x:c r="N1265" s="454"/>
      <x:c r="O1265" s="454"/>
      <x:c r="P1265" s="454"/>
      <x:c r="Q1265" s="454"/>
      <x:c r="R1265" s="454"/>
      <x:c r="S1265" s="454"/>
      <x:c r="T1265" s="454"/>
      <x:c r="U1265" s="454"/>
      <x:c r="V1265" s="455"/>
      <x:c r="W1265" s="456"/>
      <x:c r="X1265" s="450"/>
      <x:c r="Y1265" s="457"/>
      <x:c r="Z1265" s="458"/>
      <x:c r="AA1265" s="458"/>
      <x:c r="AB1265" s="458"/>
      <x:c r="AC1265" s="458"/>
      <x:c r="AD1265" s="458"/>
      <x:c r="AE1265" s="458"/>
    </x:row>
    <x:row r="1266" spans="1:31" ht="20.100000000000001" customHeight="1">
      <x:c r="A1266" s="439"/>
      <x:c r="B1266" s="466" t="str">
        <x:f t="shared" si="162"/>
        <x:v/>
      </x:c>
      <x:c r="C1266" s="440" t="str">
        <x:f t="shared" si="163"/>
        <x:v/>
      </x:c>
      <x:c r="D1266" s="441"/>
      <x:c r="E1266" s="442" t="str">
        <x:f t="shared" si="164"/>
        <x:v/>
      </x:c>
      <x:c r="F1266" s="443"/>
      <x:c r="G1266" s="444"/>
      <x:c r="H1266" s="445" t="str">
        <x:f t="shared" si="161"/>
        <x:v/>
      </x:c>
      <x:c r="I1266" s="446" t="str">
        <x:f t="shared" si="165"/>
        <x:v/>
      </x:c>
      <x:c r="J1266" s="445"/>
      <x:c r="K1266" s="453"/>
      <x:c r="L1266" s="454"/>
      <x:c r="M1266" s="454"/>
      <x:c r="N1266" s="454"/>
      <x:c r="O1266" s="454"/>
      <x:c r="P1266" s="454"/>
      <x:c r="Q1266" s="454"/>
      <x:c r="R1266" s="454"/>
      <x:c r="S1266" s="454"/>
      <x:c r="T1266" s="454"/>
      <x:c r="U1266" s="454"/>
      <x:c r="V1266" s="455"/>
      <x:c r="W1266" s="456"/>
      <x:c r="X1266" s="450"/>
      <x:c r="Y1266" s="457"/>
      <x:c r="Z1266" s="458"/>
      <x:c r="AA1266" s="458"/>
      <x:c r="AB1266" s="458"/>
      <x:c r="AC1266" s="458"/>
      <x:c r="AD1266" s="458"/>
      <x:c r="AE1266" s="458"/>
    </x:row>
    <x:row r="1267" spans="1:31" ht="20.100000000000001" customHeight="1">
      <x:c r="A1267" s="439"/>
      <x:c r="B1267" s="466" t="str">
        <x:f t="shared" si="162"/>
        <x:v/>
      </x:c>
      <x:c r="C1267" s="440" t="str">
        <x:f t="shared" si="163"/>
        <x:v/>
      </x:c>
      <x:c r="D1267" s="441"/>
      <x:c r="E1267" s="442" t="str">
        <x:f t="shared" si="164"/>
        <x:v/>
      </x:c>
      <x:c r="F1267" s="443"/>
      <x:c r="G1267" s="444"/>
      <x:c r="H1267" s="445" t="str">
        <x:f t="shared" si="161"/>
        <x:v/>
      </x:c>
      <x:c r="I1267" s="446" t="str">
        <x:f t="shared" si="165"/>
        <x:v/>
      </x:c>
      <x:c r="J1267" s="445"/>
      <x:c r="K1267" s="453"/>
      <x:c r="L1267" s="454"/>
      <x:c r="M1267" s="454"/>
      <x:c r="N1267" s="454"/>
      <x:c r="O1267" s="454"/>
      <x:c r="P1267" s="454"/>
      <x:c r="Q1267" s="454"/>
      <x:c r="R1267" s="454"/>
      <x:c r="S1267" s="454"/>
      <x:c r="T1267" s="454"/>
      <x:c r="U1267" s="454"/>
      <x:c r="V1267" s="455"/>
      <x:c r="W1267" s="456"/>
      <x:c r="X1267" s="450"/>
      <x:c r="Y1267" s="457"/>
      <x:c r="Z1267" s="458"/>
      <x:c r="AA1267" s="458"/>
      <x:c r="AB1267" s="458"/>
      <x:c r="AC1267" s="458"/>
      <x:c r="AD1267" s="458"/>
      <x:c r="AE1267" s="458"/>
    </x:row>
    <x:row r="1268" spans="1:31" ht="20.100000000000001" customHeight="1">
      <x:c r="A1268" s="439"/>
      <x:c r="B1268" s="466" t="str">
        <x:f t="shared" si="162"/>
        <x:v/>
      </x:c>
      <x:c r="C1268" s="440" t="str">
        <x:f t="shared" si="163"/>
        <x:v/>
      </x:c>
      <x:c r="D1268" s="441"/>
      <x:c r="E1268" s="442" t="str">
        <x:f t="shared" si="164"/>
        <x:v/>
      </x:c>
      <x:c r="F1268" s="443"/>
      <x:c r="G1268" s="444"/>
      <x:c r="H1268" s="445" t="str">
        <x:f t="shared" si="161"/>
        <x:v/>
      </x:c>
      <x:c r="I1268" s="446" t="str">
        <x:f t="shared" si="165"/>
        <x:v/>
      </x:c>
      <x:c r="J1268" s="445"/>
      <x:c r="K1268" s="453"/>
      <x:c r="L1268" s="454"/>
      <x:c r="M1268" s="454"/>
      <x:c r="N1268" s="454"/>
      <x:c r="O1268" s="454"/>
      <x:c r="P1268" s="454"/>
      <x:c r="Q1268" s="454"/>
      <x:c r="R1268" s="454"/>
      <x:c r="S1268" s="454"/>
      <x:c r="T1268" s="454"/>
      <x:c r="U1268" s="454"/>
      <x:c r="V1268" s="455"/>
      <x:c r="W1268" s="456"/>
      <x:c r="X1268" s="450"/>
      <x:c r="Y1268" s="457"/>
      <x:c r="Z1268" s="458"/>
      <x:c r="AA1268" s="458"/>
      <x:c r="AB1268" s="458"/>
      <x:c r="AC1268" s="458"/>
      <x:c r="AD1268" s="458"/>
      <x:c r="AE1268" s="458"/>
    </x:row>
    <x:row r="1269" spans="1:31" ht="20.100000000000001" customHeight="1">
      <x:c r="A1269" s="439"/>
      <x:c r="B1269" s="466" t="str">
        <x:f t="shared" si="162"/>
        <x:v/>
      </x:c>
      <x:c r="C1269" s="440" t="str">
        <x:f t="shared" si="163"/>
        <x:v/>
      </x:c>
      <x:c r="D1269" s="441"/>
      <x:c r="E1269" s="442" t="str">
        <x:f t="shared" si="164"/>
        <x:v/>
      </x:c>
      <x:c r="F1269" s="443"/>
      <x:c r="G1269" s="444"/>
      <x:c r="H1269" s="445" t="str">
        <x:f t="shared" si="161"/>
        <x:v/>
      </x:c>
      <x:c r="I1269" s="446" t="str">
        <x:f t="shared" si="165"/>
        <x:v/>
      </x:c>
      <x:c r="J1269" s="445"/>
      <x:c r="K1269" s="453"/>
      <x:c r="L1269" s="454"/>
      <x:c r="M1269" s="454"/>
      <x:c r="N1269" s="454"/>
      <x:c r="O1269" s="454"/>
      <x:c r="P1269" s="454"/>
      <x:c r="Q1269" s="454"/>
      <x:c r="R1269" s="454"/>
      <x:c r="S1269" s="454"/>
      <x:c r="T1269" s="454"/>
      <x:c r="U1269" s="454"/>
      <x:c r="V1269" s="455"/>
      <x:c r="W1269" s="456"/>
      <x:c r="X1269" s="450"/>
      <x:c r="Y1269" s="457"/>
      <x:c r="Z1269" s="458"/>
      <x:c r="AA1269" s="458"/>
      <x:c r="AB1269" s="458"/>
      <x:c r="AC1269" s="458"/>
      <x:c r="AD1269" s="458"/>
      <x:c r="AE1269" s="458"/>
    </x:row>
    <x:row r="1270" spans="1:31" ht="20.100000000000001" customHeight="1">
      <x:c r="A1270" s="439"/>
      <x:c r="B1270" s="466" t="str">
        <x:f t="shared" si="162"/>
        <x:v/>
      </x:c>
      <x:c r="C1270" s="440" t="str">
        <x:f t="shared" si="163"/>
        <x:v/>
      </x:c>
      <x:c r="D1270" s="441"/>
      <x:c r="E1270" s="442" t="str">
        <x:f t="shared" si="164"/>
        <x:v/>
      </x:c>
      <x:c r="F1270" s="443"/>
      <x:c r="G1270" s="444"/>
      <x:c r="H1270" s="445" t="str">
        <x:f t="shared" si="161"/>
        <x:v/>
      </x:c>
      <x:c r="I1270" s="446" t="str">
        <x:f t="shared" si="165"/>
        <x:v/>
      </x:c>
      <x:c r="J1270" s="445"/>
      <x:c r="K1270" s="453"/>
      <x:c r="L1270" s="454"/>
      <x:c r="M1270" s="454"/>
      <x:c r="N1270" s="454"/>
      <x:c r="O1270" s="454"/>
      <x:c r="P1270" s="454"/>
      <x:c r="Q1270" s="454"/>
      <x:c r="R1270" s="454"/>
      <x:c r="S1270" s="454"/>
      <x:c r="T1270" s="454"/>
      <x:c r="U1270" s="454"/>
      <x:c r="V1270" s="455"/>
      <x:c r="W1270" s="456"/>
      <x:c r="X1270" s="450"/>
      <x:c r="Y1270" s="457"/>
      <x:c r="Z1270" s="458"/>
      <x:c r="AA1270" s="458"/>
      <x:c r="AB1270" s="458"/>
      <x:c r="AC1270" s="458"/>
      <x:c r="AD1270" s="458"/>
      <x:c r="AE1270" s="458"/>
    </x:row>
    <x:row r="1271" spans="1:31" ht="20.100000000000001" customHeight="1">
      <x:c r="A1271" s="439"/>
      <x:c r="B1271" s="466" t="str">
        <x:f t="shared" si="162"/>
        <x:v/>
      </x:c>
      <x:c r="C1271" s="440" t="str">
        <x:f t="shared" si="163"/>
        <x:v/>
      </x:c>
      <x:c r="D1271" s="441"/>
      <x:c r="E1271" s="442" t="str">
        <x:f t="shared" si="164"/>
        <x:v/>
      </x:c>
      <x:c r="F1271" s="443"/>
      <x:c r="G1271" s="444"/>
      <x:c r="H1271" s="445" t="str">
        <x:f t="shared" si="161"/>
        <x:v/>
      </x:c>
      <x:c r="I1271" s="446" t="str">
        <x:f t="shared" si="165"/>
        <x:v/>
      </x:c>
      <x:c r="J1271" s="445"/>
      <x:c r="K1271" s="453"/>
      <x:c r="L1271" s="454"/>
      <x:c r="M1271" s="454"/>
      <x:c r="N1271" s="454"/>
      <x:c r="O1271" s="454"/>
      <x:c r="P1271" s="454"/>
      <x:c r="Q1271" s="454"/>
      <x:c r="R1271" s="454"/>
      <x:c r="S1271" s="454"/>
      <x:c r="T1271" s="454"/>
      <x:c r="U1271" s="454"/>
      <x:c r="V1271" s="455"/>
      <x:c r="W1271" s="456"/>
      <x:c r="X1271" s="450"/>
      <x:c r="Y1271" s="457"/>
      <x:c r="Z1271" s="458"/>
      <x:c r="AA1271" s="458"/>
      <x:c r="AB1271" s="458"/>
      <x:c r="AC1271" s="458"/>
      <x:c r="AD1271" s="458"/>
      <x:c r="AE1271" s="458"/>
    </x:row>
    <x:row r="1272" spans="1:31" ht="20.100000000000001" customHeight="1">
      <x:c r="A1272" s="439"/>
      <x:c r="B1272" s="466" t="str">
        <x:f t="shared" si="162"/>
        <x:v/>
      </x:c>
      <x:c r="C1272" s="440" t="str">
        <x:f t="shared" si="163"/>
        <x:v/>
      </x:c>
      <x:c r="D1272" s="441"/>
      <x:c r="E1272" s="442" t="str">
        <x:f t="shared" si="164"/>
        <x:v/>
      </x:c>
      <x:c r="F1272" s="443"/>
      <x:c r="G1272" s="444"/>
      <x:c r="H1272" s="445" t="str">
        <x:f t="shared" ref="H1272:H1335" si="166">IFERROR(VLOOKUP($G1272,$AK:$AL,2,),"")</x:f>
        <x:v/>
      </x:c>
      <x:c r="I1272" s="446" t="str">
        <x:f t="shared" si="165"/>
        <x:v/>
      </x:c>
      <x:c r="J1272" s="445"/>
      <x:c r="K1272" s="453"/>
      <x:c r="L1272" s="454"/>
      <x:c r="M1272" s="454"/>
      <x:c r="N1272" s="454"/>
      <x:c r="O1272" s="454"/>
      <x:c r="P1272" s="454"/>
      <x:c r="Q1272" s="454"/>
      <x:c r="R1272" s="454"/>
      <x:c r="S1272" s="454"/>
      <x:c r="T1272" s="454"/>
      <x:c r="U1272" s="454"/>
      <x:c r="V1272" s="455"/>
      <x:c r="W1272" s="456"/>
      <x:c r="X1272" s="450"/>
      <x:c r="Y1272" s="457"/>
      <x:c r="Z1272" s="458"/>
      <x:c r="AA1272" s="458"/>
      <x:c r="AB1272" s="458"/>
      <x:c r="AC1272" s="458"/>
      <x:c r="AD1272" s="458"/>
      <x:c r="AE1272" s="458"/>
    </x:row>
    <x:row r="1273" spans="1:31" ht="20.100000000000001" customHeight="1">
      <x:c r="A1273" s="439"/>
      <x:c r="B1273" s="466" t="str">
        <x:f t="shared" si="162"/>
        <x:v/>
      </x:c>
      <x:c r="C1273" s="440" t="str">
        <x:f t="shared" si="163"/>
        <x:v/>
      </x:c>
      <x:c r="D1273" s="441"/>
      <x:c r="E1273" s="442" t="str">
        <x:f t="shared" si="164"/>
        <x:v/>
      </x:c>
      <x:c r="F1273" s="443"/>
      <x:c r="G1273" s="444"/>
      <x:c r="H1273" s="445" t="str">
        <x:f t="shared" si="166"/>
        <x:v/>
      </x:c>
      <x:c r="I1273" s="446" t="str">
        <x:f t="shared" si="165"/>
        <x:v/>
      </x:c>
      <x:c r="J1273" s="445"/>
      <x:c r="K1273" s="453"/>
      <x:c r="L1273" s="454"/>
      <x:c r="M1273" s="454"/>
      <x:c r="N1273" s="454"/>
      <x:c r="O1273" s="454"/>
      <x:c r="P1273" s="454"/>
      <x:c r="Q1273" s="454"/>
      <x:c r="R1273" s="454"/>
      <x:c r="S1273" s="454"/>
      <x:c r="T1273" s="454"/>
      <x:c r="U1273" s="454"/>
      <x:c r="V1273" s="455"/>
      <x:c r="W1273" s="456"/>
      <x:c r="X1273" s="450"/>
      <x:c r="Y1273" s="457"/>
      <x:c r="Z1273" s="458"/>
      <x:c r="AA1273" s="458"/>
      <x:c r="AB1273" s="458"/>
      <x:c r="AC1273" s="458"/>
      <x:c r="AD1273" s="458"/>
      <x:c r="AE1273" s="458"/>
    </x:row>
    <x:row r="1274" spans="1:31" ht="20.100000000000001" customHeight="1">
      <x:c r="A1274" s="439"/>
      <x:c r="B1274" s="466" t="str">
        <x:f t="shared" si="162"/>
        <x:v/>
      </x:c>
      <x:c r="C1274" s="440" t="str">
        <x:f t="shared" si="163"/>
        <x:v/>
      </x:c>
      <x:c r="D1274" s="441"/>
      <x:c r="E1274" s="442" t="str">
        <x:f t="shared" si="164"/>
        <x:v/>
      </x:c>
      <x:c r="F1274" s="443"/>
      <x:c r="G1274" s="444"/>
      <x:c r="H1274" s="445" t="str">
        <x:f t="shared" si="166"/>
        <x:v/>
      </x:c>
      <x:c r="I1274" s="446" t="str">
        <x:f t="shared" si="165"/>
        <x:v/>
      </x:c>
      <x:c r="J1274" s="445"/>
      <x:c r="K1274" s="453"/>
      <x:c r="L1274" s="454"/>
      <x:c r="M1274" s="454"/>
      <x:c r="N1274" s="454"/>
      <x:c r="O1274" s="454"/>
      <x:c r="P1274" s="454"/>
      <x:c r="Q1274" s="454"/>
      <x:c r="R1274" s="454"/>
      <x:c r="S1274" s="454"/>
      <x:c r="T1274" s="454"/>
      <x:c r="U1274" s="454"/>
      <x:c r="V1274" s="455"/>
      <x:c r="W1274" s="456"/>
      <x:c r="X1274" s="450"/>
      <x:c r="Y1274" s="457"/>
      <x:c r="Z1274" s="458"/>
      <x:c r="AA1274" s="458"/>
      <x:c r="AB1274" s="458"/>
      <x:c r="AC1274" s="458"/>
      <x:c r="AD1274" s="458"/>
      <x:c r="AE1274" s="458"/>
    </x:row>
    <x:row r="1275" spans="1:31" ht="20.100000000000001" customHeight="1">
      <x:c r="A1275" s="439"/>
      <x:c r="B1275" s="466" t="str">
        <x:f t="shared" si="162"/>
        <x:v/>
      </x:c>
      <x:c r="C1275" s="440" t="str">
        <x:f t="shared" si="163"/>
        <x:v/>
      </x:c>
      <x:c r="D1275" s="441"/>
      <x:c r="E1275" s="442" t="str">
        <x:f t="shared" si="164"/>
        <x:v/>
      </x:c>
      <x:c r="F1275" s="443"/>
      <x:c r="G1275" s="444"/>
      <x:c r="H1275" s="445" t="str">
        <x:f t="shared" si="166"/>
        <x:v/>
      </x:c>
      <x:c r="I1275" s="446" t="str">
        <x:f t="shared" si="165"/>
        <x:v/>
      </x:c>
      <x:c r="J1275" s="445"/>
      <x:c r="K1275" s="453"/>
      <x:c r="L1275" s="454"/>
      <x:c r="M1275" s="454"/>
      <x:c r="N1275" s="454"/>
      <x:c r="O1275" s="454"/>
      <x:c r="P1275" s="454"/>
      <x:c r="Q1275" s="454"/>
      <x:c r="R1275" s="454"/>
      <x:c r="S1275" s="454"/>
      <x:c r="T1275" s="454"/>
      <x:c r="U1275" s="454"/>
      <x:c r="V1275" s="455"/>
      <x:c r="W1275" s="456"/>
      <x:c r="X1275" s="450"/>
      <x:c r="Y1275" s="457"/>
      <x:c r="Z1275" s="458"/>
      <x:c r="AA1275" s="458"/>
      <x:c r="AB1275" s="458"/>
      <x:c r="AC1275" s="458"/>
      <x:c r="AD1275" s="458"/>
      <x:c r="AE1275" s="458"/>
    </x:row>
    <x:row r="1276" spans="1:31" ht="20.100000000000001" customHeight="1">
      <x:c r="A1276" s="439"/>
      <x:c r="B1276" s="466" t="str">
        <x:f t="shared" si="162"/>
        <x:v/>
      </x:c>
      <x:c r="C1276" s="440" t="str">
        <x:f t="shared" si="163"/>
        <x:v/>
      </x:c>
      <x:c r="D1276" s="441"/>
      <x:c r="E1276" s="442" t="str">
        <x:f t="shared" si="164"/>
        <x:v/>
      </x:c>
      <x:c r="F1276" s="443"/>
      <x:c r="G1276" s="444"/>
      <x:c r="H1276" s="445" t="str">
        <x:f t="shared" si="166"/>
        <x:v/>
      </x:c>
      <x:c r="I1276" s="446" t="str">
        <x:f t="shared" si="165"/>
        <x:v/>
      </x:c>
      <x:c r="J1276" s="445"/>
      <x:c r="K1276" s="453"/>
      <x:c r="L1276" s="454"/>
      <x:c r="M1276" s="454"/>
      <x:c r="N1276" s="454"/>
      <x:c r="O1276" s="454"/>
      <x:c r="P1276" s="454"/>
      <x:c r="Q1276" s="454"/>
      <x:c r="R1276" s="454"/>
      <x:c r="S1276" s="454"/>
      <x:c r="T1276" s="454"/>
      <x:c r="U1276" s="454"/>
      <x:c r="V1276" s="455"/>
      <x:c r="W1276" s="456"/>
      <x:c r="X1276" s="450"/>
      <x:c r="Y1276" s="457"/>
      <x:c r="Z1276" s="458"/>
      <x:c r="AA1276" s="458"/>
      <x:c r="AB1276" s="458"/>
      <x:c r="AC1276" s="458"/>
      <x:c r="AD1276" s="458"/>
      <x:c r="AE1276" s="458"/>
    </x:row>
    <x:row r="1277" spans="1:31" ht="20.100000000000001" customHeight="1">
      <x:c r="A1277" s="439"/>
      <x:c r="B1277" s="466" t="str">
        <x:f t="shared" si="162"/>
        <x:v/>
      </x:c>
      <x:c r="C1277" s="440" t="str">
        <x:f t="shared" si="163"/>
        <x:v/>
      </x:c>
      <x:c r="D1277" s="441"/>
      <x:c r="E1277" s="442" t="str">
        <x:f t="shared" si="164"/>
        <x:v/>
      </x:c>
      <x:c r="F1277" s="443"/>
      <x:c r="G1277" s="444"/>
      <x:c r="H1277" s="445" t="str">
        <x:f t="shared" si="166"/>
        <x:v/>
      </x:c>
      <x:c r="I1277" s="446" t="str">
        <x:f t="shared" si="165"/>
        <x:v/>
      </x:c>
      <x:c r="J1277" s="445"/>
      <x:c r="K1277" s="453"/>
      <x:c r="L1277" s="454"/>
      <x:c r="M1277" s="454"/>
      <x:c r="N1277" s="454"/>
      <x:c r="O1277" s="454"/>
      <x:c r="P1277" s="454"/>
      <x:c r="Q1277" s="454"/>
      <x:c r="R1277" s="454"/>
      <x:c r="S1277" s="454"/>
      <x:c r="T1277" s="454"/>
      <x:c r="U1277" s="454"/>
      <x:c r="V1277" s="455"/>
      <x:c r="W1277" s="456"/>
      <x:c r="X1277" s="450"/>
      <x:c r="Y1277" s="457"/>
      <x:c r="Z1277" s="458"/>
      <x:c r="AA1277" s="458"/>
      <x:c r="AB1277" s="458"/>
      <x:c r="AC1277" s="458"/>
      <x:c r="AD1277" s="458"/>
      <x:c r="AE1277" s="458"/>
    </x:row>
    <x:row r="1278" spans="1:31" ht="20.100000000000001" customHeight="1">
      <x:c r="A1278" s="439"/>
      <x:c r="B1278" s="466" t="str">
        <x:f t="shared" si="162"/>
        <x:v/>
      </x:c>
      <x:c r="C1278" s="440" t="str">
        <x:f t="shared" si="163"/>
        <x:v/>
      </x:c>
      <x:c r="D1278" s="441"/>
      <x:c r="E1278" s="442" t="str">
        <x:f t="shared" si="164"/>
        <x:v/>
      </x:c>
      <x:c r="F1278" s="443"/>
      <x:c r="G1278" s="444"/>
      <x:c r="H1278" s="445" t="str">
        <x:f t="shared" si="166"/>
        <x:v/>
      </x:c>
      <x:c r="I1278" s="446" t="str">
        <x:f t="shared" si="165"/>
        <x:v/>
      </x:c>
      <x:c r="J1278" s="445"/>
      <x:c r="K1278" s="453"/>
      <x:c r="L1278" s="454"/>
      <x:c r="M1278" s="454"/>
      <x:c r="N1278" s="454"/>
      <x:c r="O1278" s="454"/>
      <x:c r="P1278" s="454"/>
      <x:c r="Q1278" s="454"/>
      <x:c r="R1278" s="454"/>
      <x:c r="S1278" s="454"/>
      <x:c r="T1278" s="454"/>
      <x:c r="U1278" s="454"/>
      <x:c r="V1278" s="455"/>
      <x:c r="W1278" s="456"/>
      <x:c r="X1278" s="450"/>
      <x:c r="Y1278" s="457"/>
      <x:c r="Z1278" s="458"/>
      <x:c r="AA1278" s="458"/>
      <x:c r="AB1278" s="458"/>
      <x:c r="AC1278" s="458"/>
      <x:c r="AD1278" s="458"/>
      <x:c r="AE1278" s="458"/>
    </x:row>
    <x:row r="1279" spans="1:31" ht="20.100000000000001" customHeight="1">
      <x:c r="A1279" s="439"/>
      <x:c r="B1279" s="466" t="str">
        <x:f t="shared" si="162"/>
        <x:v/>
      </x:c>
      <x:c r="C1279" s="440" t="str">
        <x:f t="shared" si="163"/>
        <x:v/>
      </x:c>
      <x:c r="D1279" s="441"/>
      <x:c r="E1279" s="442" t="str">
        <x:f t="shared" si="164"/>
        <x:v/>
      </x:c>
      <x:c r="F1279" s="443"/>
      <x:c r="G1279" s="444"/>
      <x:c r="H1279" s="445" t="str">
        <x:f t="shared" si="166"/>
        <x:v/>
      </x:c>
      <x:c r="I1279" s="446" t="str">
        <x:f t="shared" si="165"/>
        <x:v/>
      </x:c>
      <x:c r="J1279" s="445"/>
      <x:c r="K1279" s="453"/>
      <x:c r="L1279" s="454"/>
      <x:c r="M1279" s="454"/>
      <x:c r="N1279" s="454"/>
      <x:c r="O1279" s="454"/>
      <x:c r="P1279" s="454"/>
      <x:c r="Q1279" s="454"/>
      <x:c r="R1279" s="454"/>
      <x:c r="S1279" s="454"/>
      <x:c r="T1279" s="454"/>
      <x:c r="U1279" s="454"/>
      <x:c r="V1279" s="455"/>
      <x:c r="W1279" s="456"/>
      <x:c r="X1279" s="450"/>
      <x:c r="Y1279" s="457"/>
      <x:c r="Z1279" s="458"/>
      <x:c r="AA1279" s="458"/>
      <x:c r="AB1279" s="458"/>
      <x:c r="AC1279" s="458"/>
      <x:c r="AD1279" s="458"/>
      <x:c r="AE1279" s="458"/>
    </x:row>
    <x:row r="1280" spans="1:31" ht="20.100000000000001" customHeight="1">
      <x:c r="A1280" s="439"/>
      <x:c r="B1280" s="466" t="str">
        <x:f t="shared" si="162"/>
        <x:v/>
      </x:c>
      <x:c r="C1280" s="440" t="str">
        <x:f t="shared" si="163"/>
        <x:v/>
      </x:c>
      <x:c r="D1280" s="441"/>
      <x:c r="E1280" s="442" t="str">
        <x:f t="shared" si="164"/>
        <x:v/>
      </x:c>
      <x:c r="F1280" s="443"/>
      <x:c r="G1280" s="444"/>
      <x:c r="H1280" s="445" t="str">
        <x:f t="shared" si="166"/>
        <x:v/>
      </x:c>
      <x:c r="I1280" s="446" t="str">
        <x:f t="shared" si="165"/>
        <x:v/>
      </x:c>
      <x:c r="J1280" s="445"/>
      <x:c r="K1280" s="453"/>
      <x:c r="L1280" s="454"/>
      <x:c r="M1280" s="454"/>
      <x:c r="N1280" s="454"/>
      <x:c r="O1280" s="454"/>
      <x:c r="P1280" s="454"/>
      <x:c r="Q1280" s="454"/>
      <x:c r="R1280" s="454"/>
      <x:c r="S1280" s="454"/>
      <x:c r="T1280" s="454"/>
      <x:c r="U1280" s="454"/>
      <x:c r="V1280" s="455"/>
      <x:c r="W1280" s="456"/>
      <x:c r="X1280" s="450"/>
      <x:c r="Y1280" s="457"/>
      <x:c r="Z1280" s="458"/>
      <x:c r="AA1280" s="458"/>
      <x:c r="AB1280" s="458"/>
      <x:c r="AC1280" s="458"/>
      <x:c r="AD1280" s="458"/>
      <x:c r="AE1280" s="458"/>
    </x:row>
    <x:row r="1281" spans="1:31" ht="20.100000000000001" customHeight="1">
      <x:c r="A1281" s="439"/>
      <x:c r="B1281" s="466" t="str">
        <x:f t="shared" si="162"/>
        <x:v/>
      </x:c>
      <x:c r="C1281" s="440" t="str">
        <x:f t="shared" si="163"/>
        <x:v/>
      </x:c>
      <x:c r="D1281" s="441"/>
      <x:c r="E1281" s="442" t="str">
        <x:f t="shared" si="164"/>
        <x:v/>
      </x:c>
      <x:c r="F1281" s="443"/>
      <x:c r="G1281" s="444"/>
      <x:c r="H1281" s="445" t="str">
        <x:f t="shared" si="166"/>
        <x:v/>
      </x:c>
      <x:c r="I1281" s="446" t="str">
        <x:f t="shared" si="165"/>
        <x:v/>
      </x:c>
      <x:c r="J1281" s="445"/>
      <x:c r="K1281" s="453"/>
      <x:c r="L1281" s="454"/>
      <x:c r="M1281" s="454"/>
      <x:c r="N1281" s="454"/>
      <x:c r="O1281" s="454"/>
      <x:c r="P1281" s="454"/>
      <x:c r="Q1281" s="454"/>
      <x:c r="R1281" s="454"/>
      <x:c r="S1281" s="454"/>
      <x:c r="T1281" s="454"/>
      <x:c r="U1281" s="454"/>
      <x:c r="V1281" s="455"/>
      <x:c r="W1281" s="456"/>
      <x:c r="X1281" s="450"/>
      <x:c r="Y1281" s="457"/>
      <x:c r="Z1281" s="458"/>
      <x:c r="AA1281" s="458"/>
      <x:c r="AB1281" s="458"/>
      <x:c r="AC1281" s="458"/>
      <x:c r="AD1281" s="458"/>
      <x:c r="AE1281" s="458"/>
    </x:row>
    <x:row r="1282" spans="1:31" ht="20.100000000000001" customHeight="1">
      <x:c r="A1282" s="439"/>
      <x:c r="B1282" s="466" t="str">
        <x:f t="shared" si="162"/>
        <x:v/>
      </x:c>
      <x:c r="C1282" s="440" t="str">
        <x:f t="shared" si="163"/>
        <x:v/>
      </x:c>
      <x:c r="D1282" s="441"/>
      <x:c r="E1282" s="442" t="str">
        <x:f t="shared" si="164"/>
        <x:v/>
      </x:c>
      <x:c r="F1282" s="443"/>
      <x:c r="G1282" s="444"/>
      <x:c r="H1282" s="445" t="str">
        <x:f t="shared" si="166"/>
        <x:v/>
      </x:c>
      <x:c r="I1282" s="446" t="str">
        <x:f t="shared" si="165"/>
        <x:v/>
      </x:c>
      <x:c r="J1282" s="445"/>
      <x:c r="K1282" s="453"/>
      <x:c r="L1282" s="454"/>
      <x:c r="M1282" s="454"/>
      <x:c r="N1282" s="454"/>
      <x:c r="O1282" s="454"/>
      <x:c r="P1282" s="454"/>
      <x:c r="Q1282" s="454"/>
      <x:c r="R1282" s="454"/>
      <x:c r="S1282" s="454"/>
      <x:c r="T1282" s="454"/>
      <x:c r="U1282" s="454"/>
      <x:c r="V1282" s="455"/>
      <x:c r="W1282" s="456"/>
      <x:c r="X1282" s="450"/>
      <x:c r="Y1282" s="457"/>
      <x:c r="Z1282" s="458"/>
      <x:c r="AA1282" s="458"/>
      <x:c r="AB1282" s="458"/>
      <x:c r="AC1282" s="458"/>
      <x:c r="AD1282" s="458"/>
      <x:c r="AE1282" s="458"/>
    </x:row>
    <x:row r="1283" spans="1:31" ht="20.100000000000001" customHeight="1">
      <x:c r="A1283" s="439"/>
      <x:c r="B1283" s="466" t="str">
        <x:f t="shared" ref="B1283:B1346" si="167">IFERROR(VLOOKUP($C1283,$AH:$AI,2,),"")</x:f>
        <x:v/>
      </x:c>
      <x:c r="C1283" s="440" t="str">
        <x:f t="shared" ref="C1283:C1346" si="168">IFERROR(VLOOKUP($D1283,$AO:$AQ,3,),"")</x:f>
        <x:v/>
      </x:c>
      <x:c r="D1283" s="441"/>
      <x:c r="E1283" s="442" t="str">
        <x:f t="shared" ref="E1283:E1346" si="169">IFERROR(VLOOKUP($D1283,$AO:$AQ,2,),"")</x:f>
        <x:v/>
      </x:c>
      <x:c r="F1283" s="443"/>
      <x:c r="G1283" s="444"/>
      <x:c r="H1283" s="445" t="str">
        <x:f t="shared" si="166"/>
        <x:v/>
      </x:c>
      <x:c r="I1283" s="446" t="str">
        <x:f t="shared" ref="I1283:I1346" si="170">IFERROR(VLOOKUP($G1283,$AK:$AM,3,),"")</x:f>
        <x:v/>
      </x:c>
      <x:c r="J1283" s="445"/>
      <x:c r="K1283" s="453"/>
      <x:c r="L1283" s="454"/>
      <x:c r="M1283" s="454"/>
      <x:c r="N1283" s="454"/>
      <x:c r="O1283" s="454"/>
      <x:c r="P1283" s="454"/>
      <x:c r="Q1283" s="454"/>
      <x:c r="R1283" s="454"/>
      <x:c r="S1283" s="454"/>
      <x:c r="T1283" s="454"/>
      <x:c r="U1283" s="454"/>
      <x:c r="V1283" s="455"/>
      <x:c r="W1283" s="456"/>
      <x:c r="X1283" s="450"/>
      <x:c r="Y1283" s="457"/>
      <x:c r="Z1283" s="458"/>
      <x:c r="AA1283" s="458"/>
      <x:c r="AB1283" s="458"/>
      <x:c r="AC1283" s="458"/>
      <x:c r="AD1283" s="458"/>
      <x:c r="AE1283" s="458"/>
    </x:row>
    <x:row r="1284" spans="1:31" ht="20.100000000000001" customHeight="1">
      <x:c r="A1284" s="439"/>
      <x:c r="B1284" s="466" t="str">
        <x:f t="shared" si="167"/>
        <x:v/>
      </x:c>
      <x:c r="C1284" s="440" t="str">
        <x:f t="shared" si="168"/>
        <x:v/>
      </x:c>
      <x:c r="D1284" s="441"/>
      <x:c r="E1284" s="442" t="str">
        <x:f t="shared" si="169"/>
        <x:v/>
      </x:c>
      <x:c r="F1284" s="443"/>
      <x:c r="G1284" s="444"/>
      <x:c r="H1284" s="445" t="str">
        <x:f t="shared" si="166"/>
        <x:v/>
      </x:c>
      <x:c r="I1284" s="446" t="str">
        <x:f t="shared" si="170"/>
        <x:v/>
      </x:c>
      <x:c r="J1284" s="445"/>
      <x:c r="K1284" s="453"/>
      <x:c r="L1284" s="454"/>
      <x:c r="M1284" s="454"/>
      <x:c r="N1284" s="454"/>
      <x:c r="O1284" s="454"/>
      <x:c r="P1284" s="454"/>
      <x:c r="Q1284" s="454"/>
      <x:c r="R1284" s="454"/>
      <x:c r="S1284" s="454"/>
      <x:c r="T1284" s="454"/>
      <x:c r="U1284" s="454"/>
      <x:c r="V1284" s="455"/>
      <x:c r="W1284" s="456"/>
      <x:c r="X1284" s="450"/>
      <x:c r="Y1284" s="457"/>
      <x:c r="Z1284" s="458"/>
      <x:c r="AA1284" s="458"/>
      <x:c r="AB1284" s="458"/>
      <x:c r="AC1284" s="458"/>
      <x:c r="AD1284" s="458"/>
      <x:c r="AE1284" s="458"/>
    </x:row>
    <x:row r="1285" spans="1:31" ht="20.100000000000001" customHeight="1">
      <x:c r="A1285" s="439"/>
      <x:c r="B1285" s="466" t="str">
        <x:f t="shared" si="167"/>
        <x:v/>
      </x:c>
      <x:c r="C1285" s="440" t="str">
        <x:f t="shared" si="168"/>
        <x:v/>
      </x:c>
      <x:c r="D1285" s="441"/>
      <x:c r="E1285" s="442" t="str">
        <x:f t="shared" si="169"/>
        <x:v/>
      </x:c>
      <x:c r="F1285" s="443"/>
      <x:c r="G1285" s="444"/>
      <x:c r="H1285" s="445" t="str">
        <x:f t="shared" si="166"/>
        <x:v/>
      </x:c>
      <x:c r="I1285" s="446" t="str">
        <x:f t="shared" si="170"/>
        <x:v/>
      </x:c>
      <x:c r="J1285" s="445"/>
      <x:c r="K1285" s="453"/>
      <x:c r="L1285" s="454"/>
      <x:c r="M1285" s="454"/>
      <x:c r="N1285" s="454"/>
      <x:c r="O1285" s="454"/>
      <x:c r="P1285" s="454"/>
      <x:c r="Q1285" s="454"/>
      <x:c r="R1285" s="454"/>
      <x:c r="S1285" s="454"/>
      <x:c r="T1285" s="454"/>
      <x:c r="U1285" s="454"/>
      <x:c r="V1285" s="455"/>
      <x:c r="W1285" s="456"/>
      <x:c r="X1285" s="450"/>
      <x:c r="Y1285" s="457"/>
      <x:c r="Z1285" s="458"/>
      <x:c r="AA1285" s="458"/>
      <x:c r="AB1285" s="458"/>
      <x:c r="AC1285" s="458"/>
      <x:c r="AD1285" s="458"/>
      <x:c r="AE1285" s="458"/>
    </x:row>
    <x:row r="1286" spans="1:31" ht="20.100000000000001" customHeight="1">
      <x:c r="A1286" s="439"/>
      <x:c r="B1286" s="466" t="str">
        <x:f t="shared" si="167"/>
        <x:v/>
      </x:c>
      <x:c r="C1286" s="440" t="str">
        <x:f t="shared" si="168"/>
        <x:v/>
      </x:c>
      <x:c r="D1286" s="441"/>
      <x:c r="E1286" s="442" t="str">
        <x:f t="shared" si="169"/>
        <x:v/>
      </x:c>
      <x:c r="F1286" s="443"/>
      <x:c r="G1286" s="444"/>
      <x:c r="H1286" s="445" t="str">
        <x:f t="shared" si="166"/>
        <x:v/>
      </x:c>
      <x:c r="I1286" s="446" t="str">
        <x:f t="shared" si="170"/>
        <x:v/>
      </x:c>
      <x:c r="J1286" s="445"/>
      <x:c r="K1286" s="453"/>
      <x:c r="L1286" s="454"/>
      <x:c r="M1286" s="454"/>
      <x:c r="N1286" s="454"/>
      <x:c r="O1286" s="454"/>
      <x:c r="P1286" s="454"/>
      <x:c r="Q1286" s="454"/>
      <x:c r="R1286" s="454"/>
      <x:c r="S1286" s="454"/>
      <x:c r="T1286" s="454"/>
      <x:c r="U1286" s="454"/>
      <x:c r="V1286" s="455"/>
      <x:c r="W1286" s="456"/>
      <x:c r="X1286" s="450"/>
      <x:c r="Y1286" s="457"/>
      <x:c r="Z1286" s="458"/>
      <x:c r="AA1286" s="458"/>
      <x:c r="AB1286" s="458"/>
      <x:c r="AC1286" s="458"/>
      <x:c r="AD1286" s="458"/>
      <x:c r="AE1286" s="458"/>
    </x:row>
    <x:row r="1287" spans="1:31" ht="20.100000000000001" customHeight="1">
      <x:c r="A1287" s="439"/>
      <x:c r="B1287" s="466" t="str">
        <x:f t="shared" si="167"/>
        <x:v/>
      </x:c>
      <x:c r="C1287" s="440" t="str">
        <x:f t="shared" si="168"/>
        <x:v/>
      </x:c>
      <x:c r="D1287" s="441"/>
      <x:c r="E1287" s="442" t="str">
        <x:f t="shared" si="169"/>
        <x:v/>
      </x:c>
      <x:c r="F1287" s="443"/>
      <x:c r="G1287" s="444"/>
      <x:c r="H1287" s="445" t="str">
        <x:f t="shared" si="166"/>
        <x:v/>
      </x:c>
      <x:c r="I1287" s="446" t="str">
        <x:f t="shared" si="170"/>
        <x:v/>
      </x:c>
      <x:c r="J1287" s="445"/>
      <x:c r="K1287" s="453"/>
      <x:c r="L1287" s="454"/>
      <x:c r="M1287" s="454"/>
      <x:c r="N1287" s="454"/>
      <x:c r="O1287" s="454"/>
      <x:c r="P1287" s="454"/>
      <x:c r="Q1287" s="454"/>
      <x:c r="R1287" s="454"/>
      <x:c r="S1287" s="454"/>
      <x:c r="T1287" s="454"/>
      <x:c r="U1287" s="454"/>
      <x:c r="V1287" s="455"/>
      <x:c r="W1287" s="456"/>
      <x:c r="X1287" s="450"/>
      <x:c r="Y1287" s="457"/>
      <x:c r="Z1287" s="458"/>
      <x:c r="AA1287" s="458"/>
      <x:c r="AB1287" s="458"/>
      <x:c r="AC1287" s="458"/>
      <x:c r="AD1287" s="458"/>
      <x:c r="AE1287" s="458"/>
    </x:row>
    <x:row r="1288" spans="1:31" ht="20.100000000000001" customHeight="1">
      <x:c r="A1288" s="439"/>
      <x:c r="B1288" s="466" t="str">
        <x:f t="shared" si="167"/>
        <x:v/>
      </x:c>
      <x:c r="C1288" s="440" t="str">
        <x:f t="shared" si="168"/>
        <x:v/>
      </x:c>
      <x:c r="D1288" s="441"/>
      <x:c r="E1288" s="442" t="str">
        <x:f t="shared" si="169"/>
        <x:v/>
      </x:c>
      <x:c r="F1288" s="443"/>
      <x:c r="G1288" s="444"/>
      <x:c r="H1288" s="445" t="str">
        <x:f t="shared" si="166"/>
        <x:v/>
      </x:c>
      <x:c r="I1288" s="446" t="str">
        <x:f t="shared" si="170"/>
        <x:v/>
      </x:c>
      <x:c r="J1288" s="445"/>
      <x:c r="K1288" s="453"/>
      <x:c r="L1288" s="454"/>
      <x:c r="M1288" s="454"/>
      <x:c r="N1288" s="454"/>
      <x:c r="O1288" s="454"/>
      <x:c r="P1288" s="454"/>
      <x:c r="Q1288" s="454"/>
      <x:c r="R1288" s="454"/>
      <x:c r="S1288" s="454"/>
      <x:c r="T1288" s="454"/>
      <x:c r="U1288" s="454"/>
      <x:c r="V1288" s="455"/>
      <x:c r="W1288" s="456"/>
      <x:c r="X1288" s="450"/>
      <x:c r="Y1288" s="457"/>
      <x:c r="Z1288" s="458"/>
      <x:c r="AA1288" s="458"/>
      <x:c r="AB1288" s="458"/>
      <x:c r="AC1288" s="458"/>
      <x:c r="AD1288" s="458"/>
      <x:c r="AE1288" s="458"/>
    </x:row>
    <x:row r="1289" spans="1:31" ht="20.100000000000001" customHeight="1">
      <x:c r="A1289" s="439"/>
      <x:c r="B1289" s="466" t="str">
        <x:f t="shared" si="167"/>
        <x:v/>
      </x:c>
      <x:c r="C1289" s="440" t="str">
        <x:f t="shared" si="168"/>
        <x:v/>
      </x:c>
      <x:c r="D1289" s="441"/>
      <x:c r="E1289" s="442" t="str">
        <x:f t="shared" si="169"/>
        <x:v/>
      </x:c>
      <x:c r="F1289" s="443"/>
      <x:c r="G1289" s="444"/>
      <x:c r="H1289" s="445" t="str">
        <x:f t="shared" si="166"/>
        <x:v/>
      </x:c>
      <x:c r="I1289" s="446" t="str">
        <x:f t="shared" si="170"/>
        <x:v/>
      </x:c>
      <x:c r="J1289" s="445"/>
      <x:c r="K1289" s="453"/>
      <x:c r="L1289" s="454"/>
      <x:c r="M1289" s="454"/>
      <x:c r="N1289" s="454"/>
      <x:c r="O1289" s="454"/>
      <x:c r="P1289" s="454"/>
      <x:c r="Q1289" s="454"/>
      <x:c r="R1289" s="454"/>
      <x:c r="S1289" s="454"/>
      <x:c r="T1289" s="454"/>
      <x:c r="U1289" s="454"/>
      <x:c r="V1289" s="455"/>
      <x:c r="W1289" s="456"/>
      <x:c r="X1289" s="450"/>
      <x:c r="Y1289" s="457"/>
      <x:c r="Z1289" s="458"/>
      <x:c r="AA1289" s="458"/>
      <x:c r="AB1289" s="458"/>
      <x:c r="AC1289" s="458"/>
      <x:c r="AD1289" s="458"/>
      <x:c r="AE1289" s="458"/>
    </x:row>
    <x:row r="1290" spans="1:31" ht="20.100000000000001" customHeight="1">
      <x:c r="A1290" s="439"/>
      <x:c r="B1290" s="466" t="str">
        <x:f t="shared" si="167"/>
        <x:v/>
      </x:c>
      <x:c r="C1290" s="440" t="str">
        <x:f t="shared" si="168"/>
        <x:v/>
      </x:c>
      <x:c r="D1290" s="441"/>
      <x:c r="E1290" s="442" t="str">
        <x:f t="shared" si="169"/>
        <x:v/>
      </x:c>
      <x:c r="F1290" s="443"/>
      <x:c r="G1290" s="444"/>
      <x:c r="H1290" s="445" t="str">
        <x:f t="shared" si="166"/>
        <x:v/>
      </x:c>
      <x:c r="I1290" s="446" t="str">
        <x:f t="shared" si="170"/>
        <x:v/>
      </x:c>
      <x:c r="J1290" s="445"/>
      <x:c r="K1290" s="453"/>
      <x:c r="L1290" s="454"/>
      <x:c r="M1290" s="454"/>
      <x:c r="N1290" s="454"/>
      <x:c r="O1290" s="454"/>
      <x:c r="P1290" s="454"/>
      <x:c r="Q1290" s="454"/>
      <x:c r="R1290" s="454"/>
      <x:c r="S1290" s="454"/>
      <x:c r="T1290" s="454"/>
      <x:c r="U1290" s="454"/>
      <x:c r="V1290" s="455"/>
      <x:c r="W1290" s="456"/>
      <x:c r="X1290" s="450"/>
      <x:c r="Y1290" s="457"/>
      <x:c r="Z1290" s="458"/>
      <x:c r="AA1290" s="458"/>
      <x:c r="AB1290" s="458"/>
      <x:c r="AC1290" s="458"/>
      <x:c r="AD1290" s="458"/>
      <x:c r="AE1290" s="458"/>
    </x:row>
    <x:row r="1291" spans="1:31" ht="20.100000000000001" customHeight="1">
      <x:c r="A1291" s="439"/>
      <x:c r="B1291" s="466" t="str">
        <x:f t="shared" si="167"/>
        <x:v/>
      </x:c>
      <x:c r="C1291" s="440" t="str">
        <x:f t="shared" si="168"/>
        <x:v/>
      </x:c>
      <x:c r="D1291" s="441"/>
      <x:c r="E1291" s="442" t="str">
        <x:f t="shared" si="169"/>
        <x:v/>
      </x:c>
      <x:c r="F1291" s="443"/>
      <x:c r="G1291" s="444"/>
      <x:c r="H1291" s="445" t="str">
        <x:f t="shared" si="166"/>
        <x:v/>
      </x:c>
      <x:c r="I1291" s="446" t="str">
        <x:f t="shared" si="170"/>
        <x:v/>
      </x:c>
      <x:c r="J1291" s="445"/>
      <x:c r="K1291" s="453"/>
      <x:c r="L1291" s="454"/>
      <x:c r="M1291" s="454"/>
      <x:c r="N1291" s="454"/>
      <x:c r="O1291" s="454"/>
      <x:c r="P1291" s="454"/>
      <x:c r="Q1291" s="454"/>
      <x:c r="R1291" s="454"/>
      <x:c r="S1291" s="454"/>
      <x:c r="T1291" s="454"/>
      <x:c r="U1291" s="454"/>
      <x:c r="V1291" s="455"/>
      <x:c r="W1291" s="456"/>
      <x:c r="X1291" s="450"/>
      <x:c r="Y1291" s="457"/>
      <x:c r="Z1291" s="458"/>
      <x:c r="AA1291" s="458"/>
      <x:c r="AB1291" s="458"/>
      <x:c r="AC1291" s="458"/>
      <x:c r="AD1291" s="458"/>
      <x:c r="AE1291" s="458"/>
    </x:row>
    <x:row r="1292" spans="1:31" ht="20.100000000000001" customHeight="1">
      <x:c r="A1292" s="439"/>
      <x:c r="B1292" s="466" t="str">
        <x:f t="shared" si="167"/>
        <x:v/>
      </x:c>
      <x:c r="C1292" s="440" t="str">
        <x:f t="shared" si="168"/>
        <x:v/>
      </x:c>
      <x:c r="D1292" s="441"/>
      <x:c r="E1292" s="442" t="str">
        <x:f t="shared" si="169"/>
        <x:v/>
      </x:c>
      <x:c r="F1292" s="443"/>
      <x:c r="G1292" s="444"/>
      <x:c r="H1292" s="445" t="str">
        <x:f t="shared" si="166"/>
        <x:v/>
      </x:c>
      <x:c r="I1292" s="446" t="str">
        <x:f t="shared" si="170"/>
        <x:v/>
      </x:c>
      <x:c r="J1292" s="445"/>
      <x:c r="K1292" s="453"/>
      <x:c r="L1292" s="454"/>
      <x:c r="M1292" s="454"/>
      <x:c r="N1292" s="454"/>
      <x:c r="O1292" s="454"/>
      <x:c r="P1292" s="454"/>
      <x:c r="Q1292" s="454"/>
      <x:c r="R1292" s="454"/>
      <x:c r="S1292" s="454"/>
      <x:c r="T1292" s="454"/>
      <x:c r="U1292" s="454"/>
      <x:c r="V1292" s="455"/>
      <x:c r="W1292" s="456"/>
      <x:c r="X1292" s="450"/>
      <x:c r="Y1292" s="457"/>
      <x:c r="Z1292" s="458"/>
      <x:c r="AA1292" s="458"/>
      <x:c r="AB1292" s="458"/>
      <x:c r="AC1292" s="458"/>
      <x:c r="AD1292" s="458"/>
      <x:c r="AE1292" s="458"/>
    </x:row>
    <x:row r="1293" spans="1:31" ht="20.100000000000001" customHeight="1">
      <x:c r="A1293" s="439"/>
      <x:c r="B1293" s="466" t="str">
        <x:f t="shared" si="167"/>
        <x:v/>
      </x:c>
      <x:c r="C1293" s="440" t="str">
        <x:f t="shared" si="168"/>
        <x:v/>
      </x:c>
      <x:c r="D1293" s="441"/>
      <x:c r="E1293" s="442" t="str">
        <x:f t="shared" si="169"/>
        <x:v/>
      </x:c>
      <x:c r="F1293" s="443"/>
      <x:c r="G1293" s="444"/>
      <x:c r="H1293" s="445" t="str">
        <x:f t="shared" si="166"/>
        <x:v/>
      </x:c>
      <x:c r="I1293" s="446" t="str">
        <x:f t="shared" si="170"/>
        <x:v/>
      </x:c>
      <x:c r="J1293" s="445"/>
      <x:c r="K1293" s="453"/>
      <x:c r="L1293" s="454"/>
      <x:c r="M1293" s="454"/>
      <x:c r="N1293" s="454"/>
      <x:c r="O1293" s="454"/>
      <x:c r="P1293" s="454"/>
      <x:c r="Q1293" s="454"/>
      <x:c r="R1293" s="454"/>
      <x:c r="S1293" s="454"/>
      <x:c r="T1293" s="454"/>
      <x:c r="U1293" s="454"/>
      <x:c r="V1293" s="455"/>
      <x:c r="W1293" s="456"/>
      <x:c r="X1293" s="450"/>
      <x:c r="Y1293" s="457"/>
      <x:c r="Z1293" s="458"/>
      <x:c r="AA1293" s="458"/>
      <x:c r="AB1293" s="458"/>
      <x:c r="AC1293" s="458"/>
      <x:c r="AD1293" s="458"/>
      <x:c r="AE1293" s="458"/>
    </x:row>
    <x:row r="1294" spans="1:31" ht="20.100000000000001" customHeight="1">
      <x:c r="A1294" s="439"/>
      <x:c r="B1294" s="466" t="str">
        <x:f t="shared" si="167"/>
        <x:v/>
      </x:c>
      <x:c r="C1294" s="440" t="str">
        <x:f t="shared" si="168"/>
        <x:v/>
      </x:c>
      <x:c r="D1294" s="441"/>
      <x:c r="E1294" s="442" t="str">
        <x:f t="shared" si="169"/>
        <x:v/>
      </x:c>
      <x:c r="F1294" s="443"/>
      <x:c r="G1294" s="444"/>
      <x:c r="H1294" s="445" t="str">
        <x:f t="shared" si="166"/>
        <x:v/>
      </x:c>
      <x:c r="I1294" s="446" t="str">
        <x:f t="shared" si="170"/>
        <x:v/>
      </x:c>
      <x:c r="J1294" s="445"/>
      <x:c r="K1294" s="453"/>
      <x:c r="L1294" s="454"/>
      <x:c r="M1294" s="454"/>
      <x:c r="N1294" s="454"/>
      <x:c r="O1294" s="454"/>
      <x:c r="P1294" s="454"/>
      <x:c r="Q1294" s="454"/>
      <x:c r="R1294" s="454"/>
      <x:c r="S1294" s="454"/>
      <x:c r="T1294" s="454"/>
      <x:c r="U1294" s="454"/>
      <x:c r="V1294" s="455"/>
      <x:c r="W1294" s="456"/>
      <x:c r="X1294" s="450"/>
      <x:c r="Y1294" s="457"/>
      <x:c r="Z1294" s="458"/>
      <x:c r="AA1294" s="458"/>
      <x:c r="AB1294" s="458"/>
      <x:c r="AC1294" s="458"/>
      <x:c r="AD1294" s="458"/>
      <x:c r="AE1294" s="458"/>
    </x:row>
    <x:row r="1295" spans="1:31" ht="20.100000000000001" customHeight="1">
      <x:c r="A1295" s="439"/>
      <x:c r="B1295" s="466" t="str">
        <x:f t="shared" si="167"/>
        <x:v/>
      </x:c>
      <x:c r="C1295" s="440" t="str">
        <x:f t="shared" si="168"/>
        <x:v/>
      </x:c>
      <x:c r="D1295" s="441"/>
      <x:c r="E1295" s="442" t="str">
        <x:f t="shared" si="169"/>
        <x:v/>
      </x:c>
      <x:c r="F1295" s="443"/>
      <x:c r="G1295" s="444"/>
      <x:c r="H1295" s="445" t="str">
        <x:f t="shared" si="166"/>
        <x:v/>
      </x:c>
      <x:c r="I1295" s="446" t="str">
        <x:f t="shared" si="170"/>
        <x:v/>
      </x:c>
      <x:c r="J1295" s="445"/>
      <x:c r="K1295" s="453"/>
      <x:c r="L1295" s="454"/>
      <x:c r="M1295" s="454"/>
      <x:c r="N1295" s="454"/>
      <x:c r="O1295" s="454"/>
      <x:c r="P1295" s="454"/>
      <x:c r="Q1295" s="454"/>
      <x:c r="R1295" s="454"/>
      <x:c r="S1295" s="454"/>
      <x:c r="T1295" s="454"/>
      <x:c r="U1295" s="454"/>
      <x:c r="V1295" s="455"/>
      <x:c r="W1295" s="456"/>
      <x:c r="X1295" s="450"/>
      <x:c r="Y1295" s="457"/>
      <x:c r="Z1295" s="458"/>
      <x:c r="AA1295" s="458"/>
      <x:c r="AB1295" s="458"/>
      <x:c r="AC1295" s="458"/>
      <x:c r="AD1295" s="458"/>
      <x:c r="AE1295" s="458"/>
    </x:row>
    <x:row r="1296" spans="1:31" ht="20.100000000000001" customHeight="1">
      <x:c r="A1296" s="439"/>
      <x:c r="B1296" s="466" t="str">
        <x:f t="shared" si="167"/>
        <x:v/>
      </x:c>
      <x:c r="C1296" s="440" t="str">
        <x:f t="shared" si="168"/>
        <x:v/>
      </x:c>
      <x:c r="D1296" s="441"/>
      <x:c r="E1296" s="442" t="str">
        <x:f t="shared" si="169"/>
        <x:v/>
      </x:c>
      <x:c r="F1296" s="443"/>
      <x:c r="G1296" s="444"/>
      <x:c r="H1296" s="445" t="str">
        <x:f t="shared" si="166"/>
        <x:v/>
      </x:c>
      <x:c r="I1296" s="446" t="str">
        <x:f t="shared" si="170"/>
        <x:v/>
      </x:c>
      <x:c r="J1296" s="445"/>
      <x:c r="K1296" s="453"/>
      <x:c r="L1296" s="454"/>
      <x:c r="M1296" s="454"/>
      <x:c r="N1296" s="454"/>
      <x:c r="O1296" s="454"/>
      <x:c r="P1296" s="454"/>
      <x:c r="Q1296" s="454"/>
      <x:c r="R1296" s="454"/>
      <x:c r="S1296" s="454"/>
      <x:c r="T1296" s="454"/>
      <x:c r="U1296" s="454"/>
      <x:c r="V1296" s="455"/>
      <x:c r="W1296" s="456"/>
      <x:c r="X1296" s="450"/>
      <x:c r="Y1296" s="457"/>
      <x:c r="Z1296" s="458"/>
      <x:c r="AA1296" s="458"/>
      <x:c r="AB1296" s="458"/>
      <x:c r="AC1296" s="458"/>
      <x:c r="AD1296" s="458"/>
      <x:c r="AE1296" s="458"/>
    </x:row>
    <x:row r="1297" spans="1:31" ht="20.100000000000001" customHeight="1">
      <x:c r="A1297" s="439"/>
      <x:c r="B1297" s="466" t="str">
        <x:f t="shared" si="167"/>
        <x:v/>
      </x:c>
      <x:c r="C1297" s="440" t="str">
        <x:f t="shared" si="168"/>
        <x:v/>
      </x:c>
      <x:c r="D1297" s="441"/>
      <x:c r="E1297" s="442" t="str">
        <x:f t="shared" si="169"/>
        <x:v/>
      </x:c>
      <x:c r="F1297" s="443"/>
      <x:c r="G1297" s="444"/>
      <x:c r="H1297" s="445" t="str">
        <x:f t="shared" si="166"/>
        <x:v/>
      </x:c>
      <x:c r="I1297" s="446" t="str">
        <x:f t="shared" si="170"/>
        <x:v/>
      </x:c>
      <x:c r="J1297" s="445"/>
      <x:c r="K1297" s="453"/>
      <x:c r="L1297" s="454"/>
      <x:c r="M1297" s="454"/>
      <x:c r="N1297" s="454"/>
      <x:c r="O1297" s="454"/>
      <x:c r="P1297" s="454"/>
      <x:c r="Q1297" s="454"/>
      <x:c r="R1297" s="454"/>
      <x:c r="S1297" s="454"/>
      <x:c r="T1297" s="454"/>
      <x:c r="U1297" s="454"/>
      <x:c r="V1297" s="455"/>
      <x:c r="W1297" s="456"/>
      <x:c r="X1297" s="450"/>
      <x:c r="Y1297" s="457"/>
      <x:c r="Z1297" s="458"/>
      <x:c r="AA1297" s="458"/>
      <x:c r="AB1297" s="458"/>
      <x:c r="AC1297" s="458"/>
      <x:c r="AD1297" s="458"/>
      <x:c r="AE1297" s="458"/>
    </x:row>
    <x:row r="1298" spans="1:31" ht="20.100000000000001" customHeight="1">
      <x:c r="A1298" s="439"/>
      <x:c r="B1298" s="466" t="str">
        <x:f t="shared" si="167"/>
        <x:v/>
      </x:c>
      <x:c r="C1298" s="440" t="str">
        <x:f t="shared" si="168"/>
        <x:v/>
      </x:c>
      <x:c r="D1298" s="441"/>
      <x:c r="E1298" s="442" t="str">
        <x:f t="shared" si="169"/>
        <x:v/>
      </x:c>
      <x:c r="F1298" s="443"/>
      <x:c r="G1298" s="444"/>
      <x:c r="H1298" s="445" t="str">
        <x:f t="shared" si="166"/>
        <x:v/>
      </x:c>
      <x:c r="I1298" s="446" t="str">
        <x:f t="shared" si="170"/>
        <x:v/>
      </x:c>
      <x:c r="J1298" s="445"/>
      <x:c r="K1298" s="453"/>
      <x:c r="L1298" s="454"/>
      <x:c r="M1298" s="454"/>
      <x:c r="N1298" s="454"/>
      <x:c r="O1298" s="454"/>
      <x:c r="P1298" s="454"/>
      <x:c r="Q1298" s="454"/>
      <x:c r="R1298" s="454"/>
      <x:c r="S1298" s="454"/>
      <x:c r="T1298" s="454"/>
      <x:c r="U1298" s="454"/>
      <x:c r="V1298" s="455"/>
      <x:c r="W1298" s="456"/>
      <x:c r="X1298" s="450"/>
      <x:c r="Y1298" s="457"/>
      <x:c r="Z1298" s="458"/>
      <x:c r="AA1298" s="458"/>
      <x:c r="AB1298" s="458"/>
      <x:c r="AC1298" s="458"/>
      <x:c r="AD1298" s="458"/>
      <x:c r="AE1298" s="458"/>
    </x:row>
    <x:row r="1299" spans="1:31" ht="20.100000000000001" customHeight="1">
      <x:c r="A1299" s="439"/>
      <x:c r="B1299" s="466" t="str">
        <x:f t="shared" si="167"/>
        <x:v/>
      </x:c>
      <x:c r="C1299" s="440" t="str">
        <x:f t="shared" si="168"/>
        <x:v/>
      </x:c>
      <x:c r="D1299" s="441"/>
      <x:c r="E1299" s="442" t="str">
        <x:f t="shared" si="169"/>
        <x:v/>
      </x:c>
      <x:c r="F1299" s="443"/>
      <x:c r="G1299" s="444"/>
      <x:c r="H1299" s="445" t="str">
        <x:f t="shared" si="166"/>
        <x:v/>
      </x:c>
      <x:c r="I1299" s="446" t="str">
        <x:f t="shared" si="170"/>
        <x:v/>
      </x:c>
      <x:c r="J1299" s="445"/>
      <x:c r="K1299" s="453"/>
      <x:c r="L1299" s="454"/>
      <x:c r="M1299" s="454"/>
      <x:c r="N1299" s="454"/>
      <x:c r="O1299" s="454"/>
      <x:c r="P1299" s="454"/>
      <x:c r="Q1299" s="454"/>
      <x:c r="R1299" s="454"/>
      <x:c r="S1299" s="454"/>
      <x:c r="T1299" s="454"/>
      <x:c r="U1299" s="454"/>
      <x:c r="V1299" s="455"/>
      <x:c r="W1299" s="456"/>
      <x:c r="X1299" s="450"/>
      <x:c r="Y1299" s="457"/>
      <x:c r="Z1299" s="458"/>
      <x:c r="AA1299" s="458"/>
      <x:c r="AB1299" s="458"/>
      <x:c r="AC1299" s="458"/>
      <x:c r="AD1299" s="458"/>
      <x:c r="AE1299" s="458"/>
    </x:row>
    <x:row r="1300" spans="1:31" ht="20.100000000000001" customHeight="1">
      <x:c r="A1300" s="439"/>
      <x:c r="B1300" s="466" t="str">
        <x:f t="shared" si="167"/>
        <x:v/>
      </x:c>
      <x:c r="C1300" s="440" t="str">
        <x:f t="shared" si="168"/>
        <x:v/>
      </x:c>
      <x:c r="D1300" s="441"/>
      <x:c r="E1300" s="442" t="str">
        <x:f t="shared" si="169"/>
        <x:v/>
      </x:c>
      <x:c r="F1300" s="443"/>
      <x:c r="G1300" s="444"/>
      <x:c r="H1300" s="445" t="str">
        <x:f t="shared" si="166"/>
        <x:v/>
      </x:c>
      <x:c r="I1300" s="446" t="str">
        <x:f t="shared" si="170"/>
        <x:v/>
      </x:c>
      <x:c r="J1300" s="445"/>
      <x:c r="K1300" s="453"/>
      <x:c r="L1300" s="454"/>
      <x:c r="M1300" s="454"/>
      <x:c r="N1300" s="454"/>
      <x:c r="O1300" s="454"/>
      <x:c r="P1300" s="454"/>
      <x:c r="Q1300" s="454"/>
      <x:c r="R1300" s="454"/>
      <x:c r="S1300" s="454"/>
      <x:c r="T1300" s="454"/>
      <x:c r="U1300" s="454"/>
      <x:c r="V1300" s="455"/>
      <x:c r="W1300" s="456"/>
      <x:c r="X1300" s="450"/>
      <x:c r="Y1300" s="457"/>
      <x:c r="Z1300" s="458"/>
      <x:c r="AA1300" s="458"/>
      <x:c r="AB1300" s="458"/>
      <x:c r="AC1300" s="458"/>
      <x:c r="AD1300" s="458"/>
      <x:c r="AE1300" s="458"/>
    </x:row>
    <x:row r="1301" spans="1:31" ht="20.100000000000001" customHeight="1">
      <x:c r="A1301" s="439"/>
      <x:c r="B1301" s="466" t="str">
        <x:f t="shared" si="167"/>
        <x:v/>
      </x:c>
      <x:c r="C1301" s="440" t="str">
        <x:f t="shared" si="168"/>
        <x:v/>
      </x:c>
      <x:c r="D1301" s="441"/>
      <x:c r="E1301" s="442" t="str">
        <x:f t="shared" si="169"/>
        <x:v/>
      </x:c>
      <x:c r="F1301" s="443"/>
      <x:c r="G1301" s="444"/>
      <x:c r="H1301" s="445" t="str">
        <x:f t="shared" si="166"/>
        <x:v/>
      </x:c>
      <x:c r="I1301" s="446" t="str">
        <x:f t="shared" si="170"/>
        <x:v/>
      </x:c>
      <x:c r="J1301" s="445"/>
      <x:c r="K1301" s="453"/>
      <x:c r="L1301" s="454"/>
      <x:c r="M1301" s="454"/>
      <x:c r="N1301" s="454"/>
      <x:c r="O1301" s="454"/>
      <x:c r="P1301" s="454"/>
      <x:c r="Q1301" s="454"/>
      <x:c r="R1301" s="454"/>
      <x:c r="S1301" s="454"/>
      <x:c r="T1301" s="454"/>
      <x:c r="U1301" s="454"/>
      <x:c r="V1301" s="455"/>
      <x:c r="W1301" s="456"/>
      <x:c r="X1301" s="450"/>
      <x:c r="Y1301" s="457"/>
      <x:c r="Z1301" s="458"/>
      <x:c r="AA1301" s="458"/>
      <x:c r="AB1301" s="458"/>
      <x:c r="AC1301" s="458"/>
      <x:c r="AD1301" s="458"/>
      <x:c r="AE1301" s="458"/>
    </x:row>
    <x:row r="1302" spans="1:31" ht="20.100000000000001" customHeight="1">
      <x:c r="A1302" s="439"/>
      <x:c r="B1302" s="466" t="str">
        <x:f t="shared" si="167"/>
        <x:v/>
      </x:c>
      <x:c r="C1302" s="440" t="str">
        <x:f t="shared" si="168"/>
        <x:v/>
      </x:c>
      <x:c r="D1302" s="441"/>
      <x:c r="E1302" s="442" t="str">
        <x:f t="shared" si="169"/>
        <x:v/>
      </x:c>
      <x:c r="F1302" s="443"/>
      <x:c r="G1302" s="444"/>
      <x:c r="H1302" s="445" t="str">
        <x:f t="shared" si="166"/>
        <x:v/>
      </x:c>
      <x:c r="I1302" s="446" t="str">
        <x:f t="shared" si="170"/>
        <x:v/>
      </x:c>
      <x:c r="J1302" s="445"/>
      <x:c r="K1302" s="453"/>
      <x:c r="L1302" s="454"/>
      <x:c r="M1302" s="454"/>
      <x:c r="N1302" s="454"/>
      <x:c r="O1302" s="454"/>
      <x:c r="P1302" s="454"/>
      <x:c r="Q1302" s="454"/>
      <x:c r="R1302" s="454"/>
      <x:c r="S1302" s="454"/>
      <x:c r="T1302" s="454"/>
      <x:c r="U1302" s="454"/>
      <x:c r="V1302" s="455"/>
      <x:c r="W1302" s="456"/>
      <x:c r="X1302" s="450"/>
      <x:c r="Y1302" s="457"/>
      <x:c r="Z1302" s="458"/>
      <x:c r="AA1302" s="458"/>
      <x:c r="AB1302" s="458"/>
      <x:c r="AC1302" s="458"/>
      <x:c r="AD1302" s="458"/>
      <x:c r="AE1302" s="458"/>
    </x:row>
    <x:row r="1303" spans="1:31" ht="20.100000000000001" customHeight="1">
      <x:c r="A1303" s="439"/>
      <x:c r="B1303" s="466" t="str">
        <x:f t="shared" si="167"/>
        <x:v/>
      </x:c>
      <x:c r="C1303" s="440" t="str">
        <x:f t="shared" si="168"/>
        <x:v/>
      </x:c>
      <x:c r="D1303" s="441"/>
      <x:c r="E1303" s="442" t="str">
        <x:f t="shared" si="169"/>
        <x:v/>
      </x:c>
      <x:c r="F1303" s="443"/>
      <x:c r="G1303" s="444"/>
      <x:c r="H1303" s="445" t="str">
        <x:f t="shared" si="166"/>
        <x:v/>
      </x:c>
      <x:c r="I1303" s="446" t="str">
        <x:f t="shared" si="170"/>
        <x:v/>
      </x:c>
      <x:c r="J1303" s="445"/>
      <x:c r="K1303" s="453"/>
      <x:c r="L1303" s="454"/>
      <x:c r="M1303" s="454"/>
      <x:c r="N1303" s="454"/>
      <x:c r="O1303" s="454"/>
      <x:c r="P1303" s="454"/>
      <x:c r="Q1303" s="454"/>
      <x:c r="R1303" s="454"/>
      <x:c r="S1303" s="454"/>
      <x:c r="T1303" s="454"/>
      <x:c r="U1303" s="454"/>
      <x:c r="V1303" s="455"/>
      <x:c r="W1303" s="456"/>
      <x:c r="X1303" s="450"/>
      <x:c r="Y1303" s="457"/>
      <x:c r="Z1303" s="458"/>
      <x:c r="AA1303" s="458"/>
      <x:c r="AB1303" s="458"/>
      <x:c r="AC1303" s="458"/>
      <x:c r="AD1303" s="458"/>
      <x:c r="AE1303" s="458"/>
    </x:row>
    <x:row r="1304" spans="1:31" ht="20.100000000000001" customHeight="1">
      <x:c r="A1304" s="439"/>
      <x:c r="B1304" s="466" t="str">
        <x:f t="shared" si="167"/>
        <x:v/>
      </x:c>
      <x:c r="C1304" s="440" t="str">
        <x:f t="shared" si="168"/>
        <x:v/>
      </x:c>
      <x:c r="D1304" s="441"/>
      <x:c r="E1304" s="442" t="str">
        <x:f t="shared" si="169"/>
        <x:v/>
      </x:c>
      <x:c r="F1304" s="443"/>
      <x:c r="G1304" s="444"/>
      <x:c r="H1304" s="445" t="str">
        <x:f t="shared" si="166"/>
        <x:v/>
      </x:c>
      <x:c r="I1304" s="446" t="str">
        <x:f t="shared" si="170"/>
        <x:v/>
      </x:c>
      <x:c r="J1304" s="445"/>
      <x:c r="K1304" s="453"/>
      <x:c r="L1304" s="454"/>
      <x:c r="M1304" s="454"/>
      <x:c r="N1304" s="454"/>
      <x:c r="O1304" s="454"/>
      <x:c r="P1304" s="454"/>
      <x:c r="Q1304" s="454"/>
      <x:c r="R1304" s="454"/>
      <x:c r="S1304" s="454"/>
      <x:c r="T1304" s="454"/>
      <x:c r="U1304" s="454"/>
      <x:c r="V1304" s="455"/>
      <x:c r="W1304" s="456"/>
      <x:c r="X1304" s="450"/>
      <x:c r="Y1304" s="457"/>
      <x:c r="Z1304" s="458"/>
      <x:c r="AA1304" s="458"/>
      <x:c r="AB1304" s="458"/>
      <x:c r="AC1304" s="458"/>
      <x:c r="AD1304" s="458"/>
      <x:c r="AE1304" s="458"/>
    </x:row>
    <x:row r="1305" spans="1:31" ht="20.100000000000001" customHeight="1">
      <x:c r="A1305" s="439"/>
      <x:c r="B1305" s="466" t="str">
        <x:f t="shared" si="167"/>
        <x:v/>
      </x:c>
      <x:c r="C1305" s="440" t="str">
        <x:f t="shared" si="168"/>
        <x:v/>
      </x:c>
      <x:c r="D1305" s="441"/>
      <x:c r="E1305" s="442" t="str">
        <x:f t="shared" si="169"/>
        <x:v/>
      </x:c>
      <x:c r="F1305" s="443"/>
      <x:c r="G1305" s="444"/>
      <x:c r="H1305" s="445" t="str">
        <x:f t="shared" si="166"/>
        <x:v/>
      </x:c>
      <x:c r="I1305" s="446" t="str">
        <x:f t="shared" si="170"/>
        <x:v/>
      </x:c>
      <x:c r="J1305" s="445"/>
      <x:c r="K1305" s="453"/>
      <x:c r="L1305" s="454"/>
      <x:c r="M1305" s="454"/>
      <x:c r="N1305" s="454"/>
      <x:c r="O1305" s="454"/>
      <x:c r="P1305" s="454"/>
      <x:c r="Q1305" s="454"/>
      <x:c r="R1305" s="454"/>
      <x:c r="S1305" s="454"/>
      <x:c r="T1305" s="454"/>
      <x:c r="U1305" s="454"/>
      <x:c r="V1305" s="455"/>
      <x:c r="W1305" s="456"/>
      <x:c r="X1305" s="450"/>
      <x:c r="Y1305" s="457"/>
      <x:c r="Z1305" s="458"/>
      <x:c r="AA1305" s="458"/>
      <x:c r="AB1305" s="458"/>
      <x:c r="AC1305" s="458"/>
      <x:c r="AD1305" s="458"/>
      <x:c r="AE1305" s="458"/>
    </x:row>
    <x:row r="1306" spans="1:31" ht="20.100000000000001" customHeight="1">
      <x:c r="A1306" s="439"/>
      <x:c r="B1306" s="466" t="str">
        <x:f t="shared" si="167"/>
        <x:v/>
      </x:c>
      <x:c r="C1306" s="440" t="str">
        <x:f t="shared" si="168"/>
        <x:v/>
      </x:c>
      <x:c r="D1306" s="441"/>
      <x:c r="E1306" s="442" t="str">
        <x:f t="shared" si="169"/>
        <x:v/>
      </x:c>
      <x:c r="F1306" s="443"/>
      <x:c r="G1306" s="444"/>
      <x:c r="H1306" s="445" t="str">
        <x:f t="shared" si="166"/>
        <x:v/>
      </x:c>
      <x:c r="I1306" s="446" t="str">
        <x:f t="shared" si="170"/>
        <x:v/>
      </x:c>
      <x:c r="J1306" s="445"/>
      <x:c r="K1306" s="453"/>
      <x:c r="L1306" s="454"/>
      <x:c r="M1306" s="454"/>
      <x:c r="N1306" s="454"/>
      <x:c r="O1306" s="454"/>
      <x:c r="P1306" s="454"/>
      <x:c r="Q1306" s="454"/>
      <x:c r="R1306" s="454"/>
      <x:c r="S1306" s="454"/>
      <x:c r="T1306" s="454"/>
      <x:c r="U1306" s="454"/>
      <x:c r="V1306" s="455"/>
      <x:c r="W1306" s="456"/>
      <x:c r="X1306" s="450"/>
      <x:c r="Y1306" s="457"/>
      <x:c r="Z1306" s="458"/>
      <x:c r="AA1306" s="458"/>
      <x:c r="AB1306" s="458"/>
      <x:c r="AC1306" s="458"/>
      <x:c r="AD1306" s="458"/>
      <x:c r="AE1306" s="458"/>
    </x:row>
    <x:row r="1307" spans="1:31" ht="20.100000000000001" customHeight="1">
      <x:c r="A1307" s="439"/>
      <x:c r="B1307" s="466" t="str">
        <x:f t="shared" si="167"/>
        <x:v/>
      </x:c>
      <x:c r="C1307" s="440" t="str">
        <x:f t="shared" si="168"/>
        <x:v/>
      </x:c>
      <x:c r="D1307" s="441"/>
      <x:c r="E1307" s="442" t="str">
        <x:f t="shared" si="169"/>
        <x:v/>
      </x:c>
      <x:c r="F1307" s="443"/>
      <x:c r="G1307" s="444"/>
      <x:c r="H1307" s="445" t="str">
        <x:f t="shared" si="166"/>
        <x:v/>
      </x:c>
      <x:c r="I1307" s="446" t="str">
        <x:f t="shared" si="170"/>
        <x:v/>
      </x:c>
      <x:c r="J1307" s="445"/>
      <x:c r="K1307" s="453"/>
      <x:c r="L1307" s="454"/>
      <x:c r="M1307" s="454"/>
      <x:c r="N1307" s="454"/>
      <x:c r="O1307" s="454"/>
      <x:c r="P1307" s="454"/>
      <x:c r="Q1307" s="454"/>
      <x:c r="R1307" s="454"/>
      <x:c r="S1307" s="454"/>
      <x:c r="T1307" s="454"/>
      <x:c r="U1307" s="454"/>
      <x:c r="V1307" s="455"/>
      <x:c r="W1307" s="456"/>
      <x:c r="X1307" s="450"/>
      <x:c r="Y1307" s="457"/>
      <x:c r="Z1307" s="458"/>
      <x:c r="AA1307" s="458"/>
      <x:c r="AB1307" s="458"/>
      <x:c r="AC1307" s="458"/>
      <x:c r="AD1307" s="458"/>
      <x:c r="AE1307" s="458"/>
    </x:row>
    <x:row r="1308" spans="1:31" ht="20.100000000000001" customHeight="1">
      <x:c r="A1308" s="439"/>
      <x:c r="B1308" s="466" t="str">
        <x:f t="shared" si="167"/>
        <x:v/>
      </x:c>
      <x:c r="C1308" s="440" t="str">
        <x:f t="shared" si="168"/>
        <x:v/>
      </x:c>
      <x:c r="D1308" s="441"/>
      <x:c r="E1308" s="442" t="str">
        <x:f t="shared" si="169"/>
        <x:v/>
      </x:c>
      <x:c r="F1308" s="443"/>
      <x:c r="G1308" s="444"/>
      <x:c r="H1308" s="445" t="str">
        <x:f t="shared" si="166"/>
        <x:v/>
      </x:c>
      <x:c r="I1308" s="446" t="str">
        <x:f t="shared" si="170"/>
        <x:v/>
      </x:c>
      <x:c r="J1308" s="445"/>
      <x:c r="K1308" s="453"/>
      <x:c r="L1308" s="454"/>
      <x:c r="M1308" s="454"/>
      <x:c r="N1308" s="454"/>
      <x:c r="O1308" s="454"/>
      <x:c r="P1308" s="454"/>
      <x:c r="Q1308" s="454"/>
      <x:c r="R1308" s="454"/>
      <x:c r="S1308" s="454"/>
      <x:c r="T1308" s="454"/>
      <x:c r="U1308" s="454"/>
      <x:c r="V1308" s="455"/>
      <x:c r="W1308" s="456"/>
      <x:c r="X1308" s="450"/>
      <x:c r="Y1308" s="457"/>
      <x:c r="Z1308" s="458"/>
      <x:c r="AA1308" s="458"/>
      <x:c r="AB1308" s="458"/>
      <x:c r="AC1308" s="458"/>
      <x:c r="AD1308" s="458"/>
      <x:c r="AE1308" s="458"/>
    </x:row>
    <x:row r="1309" spans="1:31" ht="20.100000000000001" customHeight="1">
      <x:c r="A1309" s="439"/>
      <x:c r="B1309" s="466" t="str">
        <x:f t="shared" si="167"/>
        <x:v/>
      </x:c>
      <x:c r="C1309" s="440" t="str">
        <x:f t="shared" si="168"/>
        <x:v/>
      </x:c>
      <x:c r="D1309" s="441"/>
      <x:c r="E1309" s="442" t="str">
        <x:f t="shared" si="169"/>
        <x:v/>
      </x:c>
      <x:c r="F1309" s="443"/>
      <x:c r="G1309" s="444"/>
      <x:c r="H1309" s="445" t="str">
        <x:f t="shared" si="166"/>
        <x:v/>
      </x:c>
      <x:c r="I1309" s="446" t="str">
        <x:f t="shared" si="170"/>
        <x:v/>
      </x:c>
      <x:c r="J1309" s="445"/>
      <x:c r="K1309" s="453"/>
      <x:c r="L1309" s="454"/>
      <x:c r="M1309" s="454"/>
      <x:c r="N1309" s="454"/>
      <x:c r="O1309" s="454"/>
      <x:c r="P1309" s="454"/>
      <x:c r="Q1309" s="454"/>
      <x:c r="R1309" s="454"/>
      <x:c r="S1309" s="454"/>
      <x:c r="T1309" s="454"/>
      <x:c r="U1309" s="454"/>
      <x:c r="V1309" s="455"/>
      <x:c r="W1309" s="456"/>
      <x:c r="X1309" s="450"/>
      <x:c r="Y1309" s="457"/>
      <x:c r="Z1309" s="458"/>
      <x:c r="AA1309" s="458"/>
      <x:c r="AB1309" s="458"/>
      <x:c r="AC1309" s="458"/>
      <x:c r="AD1309" s="458"/>
      <x:c r="AE1309" s="458"/>
    </x:row>
    <x:row r="1310" spans="1:31" ht="20.100000000000001" customHeight="1">
      <x:c r="A1310" s="439"/>
      <x:c r="B1310" s="466" t="str">
        <x:f t="shared" si="167"/>
        <x:v/>
      </x:c>
      <x:c r="C1310" s="440" t="str">
        <x:f t="shared" si="168"/>
        <x:v/>
      </x:c>
      <x:c r="D1310" s="441"/>
      <x:c r="E1310" s="442" t="str">
        <x:f t="shared" si="169"/>
        <x:v/>
      </x:c>
      <x:c r="F1310" s="443"/>
      <x:c r="G1310" s="444"/>
      <x:c r="H1310" s="445" t="str">
        <x:f t="shared" si="166"/>
        <x:v/>
      </x:c>
      <x:c r="I1310" s="446" t="str">
        <x:f t="shared" si="170"/>
        <x:v/>
      </x:c>
      <x:c r="J1310" s="445"/>
      <x:c r="K1310" s="453"/>
      <x:c r="L1310" s="454"/>
      <x:c r="M1310" s="454"/>
      <x:c r="N1310" s="454"/>
      <x:c r="O1310" s="454"/>
      <x:c r="P1310" s="454"/>
      <x:c r="Q1310" s="454"/>
      <x:c r="R1310" s="454"/>
      <x:c r="S1310" s="454"/>
      <x:c r="T1310" s="454"/>
      <x:c r="U1310" s="454"/>
      <x:c r="V1310" s="455"/>
      <x:c r="W1310" s="456"/>
      <x:c r="X1310" s="450"/>
      <x:c r="Y1310" s="457"/>
      <x:c r="Z1310" s="458"/>
      <x:c r="AA1310" s="458"/>
      <x:c r="AB1310" s="458"/>
      <x:c r="AC1310" s="458"/>
      <x:c r="AD1310" s="458"/>
      <x:c r="AE1310" s="458"/>
    </x:row>
    <x:row r="1311" spans="1:31" ht="20.100000000000001" customHeight="1">
      <x:c r="A1311" s="439"/>
      <x:c r="B1311" s="466" t="str">
        <x:f t="shared" si="167"/>
        <x:v/>
      </x:c>
      <x:c r="C1311" s="440" t="str">
        <x:f t="shared" si="168"/>
        <x:v/>
      </x:c>
      <x:c r="D1311" s="441"/>
      <x:c r="E1311" s="442" t="str">
        <x:f t="shared" si="169"/>
        <x:v/>
      </x:c>
      <x:c r="F1311" s="443"/>
      <x:c r="G1311" s="444"/>
      <x:c r="H1311" s="445" t="str">
        <x:f t="shared" si="166"/>
        <x:v/>
      </x:c>
      <x:c r="I1311" s="446" t="str">
        <x:f t="shared" si="170"/>
        <x:v/>
      </x:c>
      <x:c r="J1311" s="445"/>
      <x:c r="K1311" s="453"/>
      <x:c r="L1311" s="454"/>
      <x:c r="M1311" s="454"/>
      <x:c r="N1311" s="454"/>
      <x:c r="O1311" s="454"/>
      <x:c r="P1311" s="454"/>
      <x:c r="Q1311" s="454"/>
      <x:c r="R1311" s="454"/>
      <x:c r="S1311" s="454"/>
      <x:c r="T1311" s="454"/>
      <x:c r="U1311" s="454"/>
      <x:c r="V1311" s="455"/>
      <x:c r="W1311" s="456"/>
      <x:c r="X1311" s="450"/>
      <x:c r="Y1311" s="457"/>
      <x:c r="Z1311" s="458"/>
      <x:c r="AA1311" s="458"/>
      <x:c r="AB1311" s="458"/>
      <x:c r="AC1311" s="458"/>
      <x:c r="AD1311" s="458"/>
      <x:c r="AE1311" s="458"/>
    </x:row>
    <x:row r="1312" spans="1:31" ht="20.100000000000001" customHeight="1">
      <x:c r="A1312" s="439"/>
      <x:c r="B1312" s="466" t="str">
        <x:f t="shared" si="167"/>
        <x:v/>
      </x:c>
      <x:c r="C1312" s="440" t="str">
        <x:f t="shared" si="168"/>
        <x:v/>
      </x:c>
      <x:c r="D1312" s="441"/>
      <x:c r="E1312" s="442" t="str">
        <x:f t="shared" si="169"/>
        <x:v/>
      </x:c>
      <x:c r="F1312" s="443"/>
      <x:c r="G1312" s="444"/>
      <x:c r="H1312" s="445" t="str">
        <x:f t="shared" si="166"/>
        <x:v/>
      </x:c>
      <x:c r="I1312" s="446" t="str">
        <x:f t="shared" si="170"/>
        <x:v/>
      </x:c>
      <x:c r="J1312" s="445"/>
      <x:c r="K1312" s="453"/>
      <x:c r="L1312" s="454"/>
      <x:c r="M1312" s="454"/>
      <x:c r="N1312" s="454"/>
      <x:c r="O1312" s="454"/>
      <x:c r="P1312" s="454"/>
      <x:c r="Q1312" s="454"/>
      <x:c r="R1312" s="454"/>
      <x:c r="S1312" s="454"/>
      <x:c r="T1312" s="454"/>
      <x:c r="U1312" s="454"/>
      <x:c r="V1312" s="455"/>
      <x:c r="W1312" s="456"/>
      <x:c r="X1312" s="450"/>
      <x:c r="Y1312" s="457"/>
      <x:c r="Z1312" s="458"/>
      <x:c r="AA1312" s="458"/>
      <x:c r="AB1312" s="458"/>
      <x:c r="AC1312" s="458"/>
      <x:c r="AD1312" s="458"/>
      <x:c r="AE1312" s="458"/>
    </x:row>
    <x:row r="1313" spans="1:31" ht="20.100000000000001" customHeight="1">
      <x:c r="A1313" s="439"/>
      <x:c r="B1313" s="466" t="str">
        <x:f t="shared" si="167"/>
        <x:v/>
      </x:c>
      <x:c r="C1313" s="440" t="str">
        <x:f t="shared" si="168"/>
        <x:v/>
      </x:c>
      <x:c r="D1313" s="441"/>
      <x:c r="E1313" s="442" t="str">
        <x:f t="shared" si="169"/>
        <x:v/>
      </x:c>
      <x:c r="F1313" s="443"/>
      <x:c r="G1313" s="444"/>
      <x:c r="H1313" s="445" t="str">
        <x:f t="shared" si="166"/>
        <x:v/>
      </x:c>
      <x:c r="I1313" s="446" t="str">
        <x:f t="shared" si="170"/>
        <x:v/>
      </x:c>
      <x:c r="J1313" s="445"/>
      <x:c r="K1313" s="453"/>
      <x:c r="L1313" s="454"/>
      <x:c r="M1313" s="454"/>
      <x:c r="N1313" s="454"/>
      <x:c r="O1313" s="454"/>
      <x:c r="P1313" s="454"/>
      <x:c r="Q1313" s="454"/>
      <x:c r="R1313" s="454"/>
      <x:c r="S1313" s="454"/>
      <x:c r="T1313" s="454"/>
      <x:c r="U1313" s="454"/>
      <x:c r="V1313" s="455"/>
      <x:c r="W1313" s="456"/>
      <x:c r="X1313" s="450"/>
      <x:c r="Y1313" s="457"/>
      <x:c r="Z1313" s="458"/>
      <x:c r="AA1313" s="458"/>
      <x:c r="AB1313" s="458"/>
      <x:c r="AC1313" s="458"/>
      <x:c r="AD1313" s="458"/>
      <x:c r="AE1313" s="458"/>
    </x:row>
    <x:row r="1314" spans="1:31" ht="20.100000000000001" customHeight="1">
      <x:c r="A1314" s="439"/>
      <x:c r="B1314" s="466" t="str">
        <x:f t="shared" si="167"/>
        <x:v/>
      </x:c>
      <x:c r="C1314" s="440" t="str">
        <x:f t="shared" si="168"/>
        <x:v/>
      </x:c>
      <x:c r="D1314" s="441"/>
      <x:c r="E1314" s="442" t="str">
        <x:f t="shared" si="169"/>
        <x:v/>
      </x:c>
      <x:c r="F1314" s="443"/>
      <x:c r="G1314" s="444"/>
      <x:c r="H1314" s="445" t="str">
        <x:f t="shared" si="166"/>
        <x:v/>
      </x:c>
      <x:c r="I1314" s="446" t="str">
        <x:f t="shared" si="170"/>
        <x:v/>
      </x:c>
      <x:c r="J1314" s="445"/>
      <x:c r="K1314" s="453"/>
      <x:c r="L1314" s="454"/>
      <x:c r="M1314" s="454"/>
      <x:c r="N1314" s="454"/>
      <x:c r="O1314" s="454"/>
      <x:c r="P1314" s="454"/>
      <x:c r="Q1314" s="454"/>
      <x:c r="R1314" s="454"/>
      <x:c r="S1314" s="454"/>
      <x:c r="T1314" s="454"/>
      <x:c r="U1314" s="454"/>
      <x:c r="V1314" s="455"/>
      <x:c r="W1314" s="456"/>
      <x:c r="X1314" s="450"/>
      <x:c r="Y1314" s="457"/>
      <x:c r="Z1314" s="458"/>
      <x:c r="AA1314" s="458"/>
      <x:c r="AB1314" s="458"/>
      <x:c r="AC1314" s="458"/>
      <x:c r="AD1314" s="458"/>
      <x:c r="AE1314" s="458"/>
    </x:row>
    <x:row r="1315" spans="1:31" ht="20.100000000000001" customHeight="1">
      <x:c r="A1315" s="439"/>
      <x:c r="B1315" s="466" t="str">
        <x:f t="shared" si="167"/>
        <x:v/>
      </x:c>
      <x:c r="C1315" s="440" t="str">
        <x:f t="shared" si="168"/>
        <x:v/>
      </x:c>
      <x:c r="D1315" s="441"/>
      <x:c r="E1315" s="442" t="str">
        <x:f t="shared" si="169"/>
        <x:v/>
      </x:c>
      <x:c r="F1315" s="443"/>
      <x:c r="G1315" s="444"/>
      <x:c r="H1315" s="445" t="str">
        <x:f t="shared" si="166"/>
        <x:v/>
      </x:c>
      <x:c r="I1315" s="446" t="str">
        <x:f t="shared" si="170"/>
        <x:v/>
      </x:c>
      <x:c r="J1315" s="445"/>
      <x:c r="K1315" s="453"/>
      <x:c r="L1315" s="454"/>
      <x:c r="M1315" s="454"/>
      <x:c r="N1315" s="454"/>
      <x:c r="O1315" s="454"/>
      <x:c r="P1315" s="454"/>
      <x:c r="Q1315" s="454"/>
      <x:c r="R1315" s="454"/>
      <x:c r="S1315" s="454"/>
      <x:c r="T1315" s="454"/>
      <x:c r="U1315" s="454"/>
      <x:c r="V1315" s="455"/>
      <x:c r="W1315" s="456"/>
      <x:c r="X1315" s="450"/>
      <x:c r="Y1315" s="457"/>
      <x:c r="Z1315" s="458"/>
      <x:c r="AA1315" s="458"/>
      <x:c r="AB1315" s="458"/>
      <x:c r="AC1315" s="458"/>
      <x:c r="AD1315" s="458"/>
      <x:c r="AE1315" s="458"/>
    </x:row>
    <x:row r="1316" spans="1:31" ht="20.100000000000001" customHeight="1">
      <x:c r="A1316" s="439"/>
      <x:c r="B1316" s="466" t="str">
        <x:f t="shared" si="167"/>
        <x:v/>
      </x:c>
      <x:c r="C1316" s="440" t="str">
        <x:f t="shared" si="168"/>
        <x:v/>
      </x:c>
      <x:c r="D1316" s="441"/>
      <x:c r="E1316" s="442" t="str">
        <x:f t="shared" si="169"/>
        <x:v/>
      </x:c>
      <x:c r="F1316" s="443"/>
      <x:c r="G1316" s="444"/>
      <x:c r="H1316" s="445" t="str">
        <x:f t="shared" si="166"/>
        <x:v/>
      </x:c>
      <x:c r="I1316" s="446" t="str">
        <x:f t="shared" si="170"/>
        <x:v/>
      </x:c>
      <x:c r="J1316" s="445"/>
      <x:c r="K1316" s="453"/>
      <x:c r="L1316" s="454"/>
      <x:c r="M1316" s="454"/>
      <x:c r="N1316" s="454"/>
      <x:c r="O1316" s="454"/>
      <x:c r="P1316" s="454"/>
      <x:c r="Q1316" s="454"/>
      <x:c r="R1316" s="454"/>
      <x:c r="S1316" s="454"/>
      <x:c r="T1316" s="454"/>
      <x:c r="U1316" s="454"/>
      <x:c r="V1316" s="455"/>
      <x:c r="W1316" s="456"/>
      <x:c r="X1316" s="450"/>
      <x:c r="Y1316" s="457"/>
      <x:c r="Z1316" s="458"/>
      <x:c r="AA1316" s="458"/>
      <x:c r="AB1316" s="458"/>
      <x:c r="AC1316" s="458"/>
      <x:c r="AD1316" s="458"/>
      <x:c r="AE1316" s="458"/>
    </x:row>
    <x:row r="1317" spans="1:31" ht="20.100000000000001" customHeight="1">
      <x:c r="A1317" s="439"/>
      <x:c r="B1317" s="466" t="str">
        <x:f t="shared" si="167"/>
        <x:v/>
      </x:c>
      <x:c r="C1317" s="440" t="str">
        <x:f t="shared" si="168"/>
        <x:v/>
      </x:c>
      <x:c r="D1317" s="441"/>
      <x:c r="E1317" s="442" t="str">
        <x:f t="shared" si="169"/>
        <x:v/>
      </x:c>
      <x:c r="F1317" s="443"/>
      <x:c r="G1317" s="444"/>
      <x:c r="H1317" s="445" t="str">
        <x:f t="shared" si="166"/>
        <x:v/>
      </x:c>
      <x:c r="I1317" s="446" t="str">
        <x:f t="shared" si="170"/>
        <x:v/>
      </x:c>
      <x:c r="J1317" s="445"/>
      <x:c r="K1317" s="453"/>
      <x:c r="L1317" s="454"/>
      <x:c r="M1317" s="454"/>
      <x:c r="N1317" s="454"/>
      <x:c r="O1317" s="454"/>
      <x:c r="P1317" s="454"/>
      <x:c r="Q1317" s="454"/>
      <x:c r="R1317" s="454"/>
      <x:c r="S1317" s="454"/>
      <x:c r="T1317" s="454"/>
      <x:c r="U1317" s="454"/>
      <x:c r="V1317" s="455"/>
      <x:c r="W1317" s="456"/>
      <x:c r="X1317" s="450"/>
      <x:c r="Y1317" s="457"/>
      <x:c r="Z1317" s="458"/>
      <x:c r="AA1317" s="458"/>
      <x:c r="AB1317" s="458"/>
      <x:c r="AC1317" s="458"/>
      <x:c r="AD1317" s="458"/>
      <x:c r="AE1317" s="458"/>
    </x:row>
    <x:row r="1318" spans="1:31" ht="20.100000000000001" customHeight="1">
      <x:c r="A1318" s="439"/>
      <x:c r="B1318" s="466" t="str">
        <x:f t="shared" si="167"/>
        <x:v/>
      </x:c>
      <x:c r="C1318" s="440" t="str">
        <x:f t="shared" si="168"/>
        <x:v/>
      </x:c>
      <x:c r="D1318" s="441"/>
      <x:c r="E1318" s="442" t="str">
        <x:f t="shared" si="169"/>
        <x:v/>
      </x:c>
      <x:c r="F1318" s="443"/>
      <x:c r="G1318" s="444"/>
      <x:c r="H1318" s="445" t="str">
        <x:f t="shared" si="166"/>
        <x:v/>
      </x:c>
      <x:c r="I1318" s="446" t="str">
        <x:f t="shared" si="170"/>
        <x:v/>
      </x:c>
      <x:c r="J1318" s="445"/>
      <x:c r="K1318" s="453"/>
      <x:c r="L1318" s="454"/>
      <x:c r="M1318" s="454"/>
      <x:c r="N1318" s="454"/>
      <x:c r="O1318" s="454"/>
      <x:c r="P1318" s="454"/>
      <x:c r="Q1318" s="454"/>
      <x:c r="R1318" s="454"/>
      <x:c r="S1318" s="454"/>
      <x:c r="T1318" s="454"/>
      <x:c r="U1318" s="454"/>
      <x:c r="V1318" s="455"/>
      <x:c r="W1318" s="456"/>
      <x:c r="X1318" s="450"/>
      <x:c r="Y1318" s="457"/>
      <x:c r="Z1318" s="458"/>
      <x:c r="AA1318" s="458"/>
      <x:c r="AB1318" s="458"/>
      <x:c r="AC1318" s="458"/>
      <x:c r="AD1318" s="458"/>
      <x:c r="AE1318" s="458"/>
    </x:row>
    <x:row r="1319" spans="1:31" ht="20.100000000000001" customHeight="1">
      <x:c r="A1319" s="439"/>
      <x:c r="B1319" s="466" t="str">
        <x:f t="shared" si="167"/>
        <x:v/>
      </x:c>
      <x:c r="C1319" s="440" t="str">
        <x:f t="shared" si="168"/>
        <x:v/>
      </x:c>
      <x:c r="D1319" s="441"/>
      <x:c r="E1319" s="442" t="str">
        <x:f t="shared" si="169"/>
        <x:v/>
      </x:c>
      <x:c r="F1319" s="443"/>
      <x:c r="G1319" s="444"/>
      <x:c r="H1319" s="445" t="str">
        <x:f t="shared" si="166"/>
        <x:v/>
      </x:c>
      <x:c r="I1319" s="446" t="str">
        <x:f t="shared" si="170"/>
        <x:v/>
      </x:c>
      <x:c r="J1319" s="445"/>
      <x:c r="K1319" s="453"/>
      <x:c r="L1319" s="454"/>
      <x:c r="M1319" s="454"/>
      <x:c r="N1319" s="454"/>
      <x:c r="O1319" s="454"/>
      <x:c r="P1319" s="454"/>
      <x:c r="Q1319" s="454"/>
      <x:c r="R1319" s="454"/>
      <x:c r="S1319" s="454"/>
      <x:c r="T1319" s="454"/>
      <x:c r="U1319" s="454"/>
      <x:c r="V1319" s="455"/>
      <x:c r="W1319" s="456"/>
      <x:c r="X1319" s="450"/>
      <x:c r="Y1319" s="457"/>
      <x:c r="Z1319" s="458"/>
      <x:c r="AA1319" s="458"/>
      <x:c r="AB1319" s="458"/>
      <x:c r="AC1319" s="458"/>
      <x:c r="AD1319" s="458"/>
      <x:c r="AE1319" s="458"/>
    </x:row>
    <x:row r="1320" spans="1:31" ht="20.100000000000001" customHeight="1">
      <x:c r="A1320" s="439"/>
      <x:c r="B1320" s="466" t="str">
        <x:f t="shared" si="167"/>
        <x:v/>
      </x:c>
      <x:c r="C1320" s="440" t="str">
        <x:f t="shared" si="168"/>
        <x:v/>
      </x:c>
      <x:c r="D1320" s="441"/>
      <x:c r="E1320" s="442" t="str">
        <x:f t="shared" si="169"/>
        <x:v/>
      </x:c>
      <x:c r="F1320" s="443"/>
      <x:c r="G1320" s="444"/>
      <x:c r="H1320" s="445" t="str">
        <x:f t="shared" si="166"/>
        <x:v/>
      </x:c>
      <x:c r="I1320" s="446" t="str">
        <x:f t="shared" si="170"/>
        <x:v/>
      </x:c>
      <x:c r="J1320" s="445"/>
      <x:c r="K1320" s="453"/>
      <x:c r="L1320" s="454"/>
      <x:c r="M1320" s="454"/>
      <x:c r="N1320" s="454"/>
      <x:c r="O1320" s="454"/>
      <x:c r="P1320" s="454"/>
      <x:c r="Q1320" s="454"/>
      <x:c r="R1320" s="454"/>
      <x:c r="S1320" s="454"/>
      <x:c r="T1320" s="454"/>
      <x:c r="U1320" s="454"/>
      <x:c r="V1320" s="455"/>
      <x:c r="W1320" s="456"/>
      <x:c r="X1320" s="450"/>
      <x:c r="Y1320" s="457"/>
      <x:c r="Z1320" s="458"/>
      <x:c r="AA1320" s="458"/>
      <x:c r="AB1320" s="458"/>
      <x:c r="AC1320" s="458"/>
      <x:c r="AD1320" s="458"/>
      <x:c r="AE1320" s="458"/>
    </x:row>
    <x:row r="1321" spans="1:31" ht="20.100000000000001" customHeight="1">
      <x:c r="A1321" s="439"/>
      <x:c r="B1321" s="466" t="str">
        <x:f t="shared" si="167"/>
        <x:v/>
      </x:c>
      <x:c r="C1321" s="440" t="str">
        <x:f t="shared" si="168"/>
        <x:v/>
      </x:c>
      <x:c r="D1321" s="441"/>
      <x:c r="E1321" s="442" t="str">
        <x:f t="shared" si="169"/>
        <x:v/>
      </x:c>
      <x:c r="F1321" s="443"/>
      <x:c r="G1321" s="444"/>
      <x:c r="H1321" s="445" t="str">
        <x:f t="shared" si="166"/>
        <x:v/>
      </x:c>
      <x:c r="I1321" s="446" t="str">
        <x:f t="shared" si="170"/>
        <x:v/>
      </x:c>
      <x:c r="J1321" s="445"/>
      <x:c r="K1321" s="453"/>
      <x:c r="L1321" s="454"/>
      <x:c r="M1321" s="454"/>
      <x:c r="N1321" s="454"/>
      <x:c r="O1321" s="454"/>
      <x:c r="P1321" s="454"/>
      <x:c r="Q1321" s="454"/>
      <x:c r="R1321" s="454"/>
      <x:c r="S1321" s="454"/>
      <x:c r="T1321" s="454"/>
      <x:c r="U1321" s="454"/>
      <x:c r="V1321" s="455"/>
      <x:c r="W1321" s="456"/>
      <x:c r="X1321" s="450"/>
      <x:c r="Y1321" s="457"/>
      <x:c r="Z1321" s="458"/>
      <x:c r="AA1321" s="458"/>
      <x:c r="AB1321" s="458"/>
      <x:c r="AC1321" s="458"/>
      <x:c r="AD1321" s="458"/>
      <x:c r="AE1321" s="458"/>
    </x:row>
    <x:row r="1322" spans="1:31" ht="20.100000000000001" customHeight="1">
      <x:c r="A1322" s="439"/>
      <x:c r="B1322" s="466" t="str">
        <x:f t="shared" si="167"/>
        <x:v/>
      </x:c>
      <x:c r="C1322" s="440" t="str">
        <x:f t="shared" si="168"/>
        <x:v/>
      </x:c>
      <x:c r="D1322" s="441"/>
      <x:c r="E1322" s="442" t="str">
        <x:f t="shared" si="169"/>
        <x:v/>
      </x:c>
      <x:c r="F1322" s="443"/>
      <x:c r="G1322" s="444"/>
      <x:c r="H1322" s="445" t="str">
        <x:f t="shared" si="166"/>
        <x:v/>
      </x:c>
      <x:c r="I1322" s="446" t="str">
        <x:f t="shared" si="170"/>
        <x:v/>
      </x:c>
      <x:c r="J1322" s="445"/>
      <x:c r="K1322" s="453"/>
      <x:c r="L1322" s="454"/>
      <x:c r="M1322" s="454"/>
      <x:c r="N1322" s="454"/>
      <x:c r="O1322" s="454"/>
      <x:c r="P1322" s="454"/>
      <x:c r="Q1322" s="454"/>
      <x:c r="R1322" s="454"/>
      <x:c r="S1322" s="454"/>
      <x:c r="T1322" s="454"/>
      <x:c r="U1322" s="454"/>
      <x:c r="V1322" s="455"/>
      <x:c r="W1322" s="456"/>
      <x:c r="X1322" s="450"/>
      <x:c r="Y1322" s="457"/>
      <x:c r="Z1322" s="458"/>
      <x:c r="AA1322" s="458"/>
      <x:c r="AB1322" s="458"/>
      <x:c r="AC1322" s="458"/>
      <x:c r="AD1322" s="458"/>
      <x:c r="AE1322" s="458"/>
    </x:row>
    <x:row r="1323" spans="1:31" ht="20.100000000000001" customHeight="1">
      <x:c r="A1323" s="439"/>
      <x:c r="B1323" s="466" t="str">
        <x:f t="shared" si="167"/>
        <x:v/>
      </x:c>
      <x:c r="C1323" s="440" t="str">
        <x:f t="shared" si="168"/>
        <x:v/>
      </x:c>
      <x:c r="D1323" s="441"/>
      <x:c r="E1323" s="442" t="str">
        <x:f t="shared" si="169"/>
        <x:v/>
      </x:c>
      <x:c r="F1323" s="443"/>
      <x:c r="G1323" s="444"/>
      <x:c r="H1323" s="445" t="str">
        <x:f t="shared" si="166"/>
        <x:v/>
      </x:c>
      <x:c r="I1323" s="446" t="str">
        <x:f t="shared" si="170"/>
        <x:v/>
      </x:c>
      <x:c r="J1323" s="445"/>
      <x:c r="K1323" s="453"/>
      <x:c r="L1323" s="454"/>
      <x:c r="M1323" s="454"/>
      <x:c r="N1323" s="454"/>
      <x:c r="O1323" s="454"/>
      <x:c r="P1323" s="454"/>
      <x:c r="Q1323" s="454"/>
      <x:c r="R1323" s="454"/>
      <x:c r="S1323" s="454"/>
      <x:c r="T1323" s="454"/>
      <x:c r="U1323" s="454"/>
      <x:c r="V1323" s="455"/>
      <x:c r="W1323" s="456"/>
      <x:c r="X1323" s="450"/>
      <x:c r="Y1323" s="457"/>
      <x:c r="Z1323" s="458"/>
      <x:c r="AA1323" s="458"/>
      <x:c r="AB1323" s="458"/>
      <x:c r="AC1323" s="458"/>
      <x:c r="AD1323" s="458"/>
      <x:c r="AE1323" s="458"/>
    </x:row>
    <x:row r="1324" spans="1:31" ht="20.100000000000001" customHeight="1">
      <x:c r="A1324" s="439"/>
      <x:c r="B1324" s="466" t="str">
        <x:f t="shared" si="167"/>
        <x:v/>
      </x:c>
      <x:c r="C1324" s="440" t="str">
        <x:f t="shared" si="168"/>
        <x:v/>
      </x:c>
      <x:c r="D1324" s="441"/>
      <x:c r="E1324" s="442" t="str">
        <x:f t="shared" si="169"/>
        <x:v/>
      </x:c>
      <x:c r="F1324" s="443"/>
      <x:c r="G1324" s="444"/>
      <x:c r="H1324" s="445" t="str">
        <x:f t="shared" si="166"/>
        <x:v/>
      </x:c>
      <x:c r="I1324" s="446" t="str">
        <x:f t="shared" si="170"/>
        <x:v/>
      </x:c>
      <x:c r="J1324" s="445"/>
      <x:c r="K1324" s="453"/>
      <x:c r="L1324" s="454"/>
      <x:c r="M1324" s="454"/>
      <x:c r="N1324" s="454"/>
      <x:c r="O1324" s="454"/>
      <x:c r="P1324" s="454"/>
      <x:c r="Q1324" s="454"/>
      <x:c r="R1324" s="454"/>
      <x:c r="S1324" s="454"/>
      <x:c r="T1324" s="454"/>
      <x:c r="U1324" s="454"/>
      <x:c r="V1324" s="455"/>
      <x:c r="W1324" s="456"/>
      <x:c r="X1324" s="450"/>
      <x:c r="Y1324" s="457"/>
      <x:c r="Z1324" s="458"/>
      <x:c r="AA1324" s="458"/>
      <x:c r="AB1324" s="458"/>
      <x:c r="AC1324" s="458"/>
      <x:c r="AD1324" s="458"/>
      <x:c r="AE1324" s="458"/>
    </x:row>
    <x:row r="1325" spans="1:31" ht="20.100000000000001" customHeight="1">
      <x:c r="A1325" s="439"/>
      <x:c r="B1325" s="466" t="str">
        <x:f t="shared" si="167"/>
        <x:v/>
      </x:c>
      <x:c r="C1325" s="440" t="str">
        <x:f t="shared" si="168"/>
        <x:v/>
      </x:c>
      <x:c r="D1325" s="441"/>
      <x:c r="E1325" s="442" t="str">
        <x:f t="shared" si="169"/>
        <x:v/>
      </x:c>
      <x:c r="F1325" s="443"/>
      <x:c r="G1325" s="444"/>
      <x:c r="H1325" s="445" t="str">
        <x:f t="shared" si="166"/>
        <x:v/>
      </x:c>
      <x:c r="I1325" s="446" t="str">
        <x:f t="shared" si="170"/>
        <x:v/>
      </x:c>
      <x:c r="J1325" s="445"/>
      <x:c r="K1325" s="453"/>
      <x:c r="L1325" s="454"/>
      <x:c r="M1325" s="454"/>
      <x:c r="N1325" s="454"/>
      <x:c r="O1325" s="454"/>
      <x:c r="P1325" s="454"/>
      <x:c r="Q1325" s="454"/>
      <x:c r="R1325" s="454"/>
      <x:c r="S1325" s="454"/>
      <x:c r="T1325" s="454"/>
      <x:c r="U1325" s="454"/>
      <x:c r="V1325" s="455"/>
      <x:c r="W1325" s="456"/>
      <x:c r="X1325" s="450"/>
      <x:c r="Y1325" s="457"/>
      <x:c r="Z1325" s="458"/>
      <x:c r="AA1325" s="458"/>
      <x:c r="AB1325" s="458"/>
      <x:c r="AC1325" s="458"/>
      <x:c r="AD1325" s="458"/>
      <x:c r="AE1325" s="458"/>
    </x:row>
    <x:row r="1326" spans="1:31" ht="20.100000000000001" customHeight="1">
      <x:c r="A1326" s="439"/>
      <x:c r="B1326" s="466" t="str">
        <x:f t="shared" si="167"/>
        <x:v/>
      </x:c>
      <x:c r="C1326" s="440" t="str">
        <x:f t="shared" si="168"/>
        <x:v/>
      </x:c>
      <x:c r="D1326" s="441"/>
      <x:c r="E1326" s="442" t="str">
        <x:f t="shared" si="169"/>
        <x:v/>
      </x:c>
      <x:c r="F1326" s="443"/>
      <x:c r="G1326" s="444"/>
      <x:c r="H1326" s="445" t="str">
        <x:f t="shared" si="166"/>
        <x:v/>
      </x:c>
      <x:c r="I1326" s="446" t="str">
        <x:f t="shared" si="170"/>
        <x:v/>
      </x:c>
      <x:c r="J1326" s="445"/>
      <x:c r="K1326" s="453"/>
      <x:c r="L1326" s="454"/>
      <x:c r="M1326" s="454"/>
      <x:c r="N1326" s="454"/>
      <x:c r="O1326" s="454"/>
      <x:c r="P1326" s="454"/>
      <x:c r="Q1326" s="454"/>
      <x:c r="R1326" s="454"/>
      <x:c r="S1326" s="454"/>
      <x:c r="T1326" s="454"/>
      <x:c r="U1326" s="454"/>
      <x:c r="V1326" s="455"/>
      <x:c r="W1326" s="456"/>
      <x:c r="X1326" s="450"/>
      <x:c r="Y1326" s="457"/>
      <x:c r="Z1326" s="458"/>
      <x:c r="AA1326" s="458"/>
      <x:c r="AB1326" s="458"/>
      <x:c r="AC1326" s="458"/>
      <x:c r="AD1326" s="458"/>
      <x:c r="AE1326" s="458"/>
    </x:row>
    <x:row r="1327" spans="1:31" ht="20.100000000000001" customHeight="1">
      <x:c r="A1327" s="439"/>
      <x:c r="B1327" s="466" t="str">
        <x:f t="shared" si="167"/>
        <x:v/>
      </x:c>
      <x:c r="C1327" s="440" t="str">
        <x:f t="shared" si="168"/>
        <x:v/>
      </x:c>
      <x:c r="D1327" s="441"/>
      <x:c r="E1327" s="442" t="str">
        <x:f t="shared" si="169"/>
        <x:v/>
      </x:c>
      <x:c r="F1327" s="443"/>
      <x:c r="G1327" s="444"/>
      <x:c r="H1327" s="445" t="str">
        <x:f t="shared" si="166"/>
        <x:v/>
      </x:c>
      <x:c r="I1327" s="446" t="str">
        <x:f t="shared" si="170"/>
        <x:v/>
      </x:c>
      <x:c r="J1327" s="445"/>
      <x:c r="K1327" s="453"/>
      <x:c r="L1327" s="454"/>
      <x:c r="M1327" s="454"/>
      <x:c r="N1327" s="454"/>
      <x:c r="O1327" s="454"/>
      <x:c r="P1327" s="454"/>
      <x:c r="Q1327" s="454"/>
      <x:c r="R1327" s="454"/>
      <x:c r="S1327" s="454"/>
      <x:c r="T1327" s="454"/>
      <x:c r="U1327" s="454"/>
      <x:c r="V1327" s="455"/>
      <x:c r="W1327" s="456"/>
      <x:c r="X1327" s="450"/>
      <x:c r="Y1327" s="457"/>
      <x:c r="Z1327" s="458"/>
      <x:c r="AA1327" s="458"/>
      <x:c r="AB1327" s="458"/>
      <x:c r="AC1327" s="458"/>
      <x:c r="AD1327" s="458"/>
      <x:c r="AE1327" s="458"/>
    </x:row>
    <x:row r="1328" spans="1:31" ht="20.100000000000001" customHeight="1">
      <x:c r="A1328" s="439"/>
      <x:c r="B1328" s="466" t="str">
        <x:f t="shared" si="167"/>
        <x:v/>
      </x:c>
      <x:c r="C1328" s="440" t="str">
        <x:f t="shared" si="168"/>
        <x:v/>
      </x:c>
      <x:c r="D1328" s="441"/>
      <x:c r="E1328" s="442" t="str">
        <x:f t="shared" si="169"/>
        <x:v/>
      </x:c>
      <x:c r="F1328" s="443"/>
      <x:c r="G1328" s="444"/>
      <x:c r="H1328" s="445" t="str">
        <x:f t="shared" si="166"/>
        <x:v/>
      </x:c>
      <x:c r="I1328" s="446" t="str">
        <x:f t="shared" si="170"/>
        <x:v/>
      </x:c>
      <x:c r="J1328" s="445"/>
      <x:c r="K1328" s="453"/>
      <x:c r="L1328" s="454"/>
      <x:c r="M1328" s="454"/>
      <x:c r="N1328" s="454"/>
      <x:c r="O1328" s="454"/>
      <x:c r="P1328" s="454"/>
      <x:c r="Q1328" s="454"/>
      <x:c r="R1328" s="454"/>
      <x:c r="S1328" s="454"/>
      <x:c r="T1328" s="454"/>
      <x:c r="U1328" s="454"/>
      <x:c r="V1328" s="455"/>
      <x:c r="W1328" s="456"/>
      <x:c r="X1328" s="450"/>
      <x:c r="Y1328" s="457"/>
      <x:c r="Z1328" s="458"/>
      <x:c r="AA1328" s="458"/>
      <x:c r="AB1328" s="458"/>
      <x:c r="AC1328" s="458"/>
      <x:c r="AD1328" s="458"/>
      <x:c r="AE1328" s="458"/>
    </x:row>
    <x:row r="1329" spans="1:31" ht="20.100000000000001" customHeight="1">
      <x:c r="A1329" s="439"/>
      <x:c r="B1329" s="466" t="str">
        <x:f t="shared" si="167"/>
        <x:v/>
      </x:c>
      <x:c r="C1329" s="440" t="str">
        <x:f t="shared" si="168"/>
        <x:v/>
      </x:c>
      <x:c r="D1329" s="441"/>
      <x:c r="E1329" s="442" t="str">
        <x:f t="shared" si="169"/>
        <x:v/>
      </x:c>
      <x:c r="F1329" s="443"/>
      <x:c r="G1329" s="444"/>
      <x:c r="H1329" s="445" t="str">
        <x:f t="shared" si="166"/>
        <x:v/>
      </x:c>
      <x:c r="I1329" s="446" t="str">
        <x:f t="shared" si="170"/>
        <x:v/>
      </x:c>
      <x:c r="J1329" s="445"/>
      <x:c r="K1329" s="453"/>
      <x:c r="L1329" s="454"/>
      <x:c r="M1329" s="454"/>
      <x:c r="N1329" s="454"/>
      <x:c r="O1329" s="454"/>
      <x:c r="P1329" s="454"/>
      <x:c r="Q1329" s="454"/>
      <x:c r="R1329" s="454"/>
      <x:c r="S1329" s="454"/>
      <x:c r="T1329" s="454"/>
      <x:c r="U1329" s="454"/>
      <x:c r="V1329" s="455"/>
      <x:c r="W1329" s="456"/>
      <x:c r="X1329" s="450"/>
      <x:c r="Y1329" s="457"/>
      <x:c r="Z1329" s="458"/>
      <x:c r="AA1329" s="458"/>
      <x:c r="AB1329" s="458"/>
      <x:c r="AC1329" s="458"/>
      <x:c r="AD1329" s="458"/>
      <x:c r="AE1329" s="458"/>
    </x:row>
    <x:row r="1330" spans="1:31" ht="20.100000000000001" customHeight="1">
      <x:c r="A1330" s="439"/>
      <x:c r="B1330" s="466" t="str">
        <x:f t="shared" si="167"/>
        <x:v/>
      </x:c>
      <x:c r="C1330" s="440" t="str">
        <x:f t="shared" si="168"/>
        <x:v/>
      </x:c>
      <x:c r="D1330" s="441"/>
      <x:c r="E1330" s="442" t="str">
        <x:f t="shared" si="169"/>
        <x:v/>
      </x:c>
      <x:c r="F1330" s="443"/>
      <x:c r="G1330" s="444"/>
      <x:c r="H1330" s="445" t="str">
        <x:f t="shared" si="166"/>
        <x:v/>
      </x:c>
      <x:c r="I1330" s="446" t="str">
        <x:f t="shared" si="170"/>
        <x:v/>
      </x:c>
      <x:c r="J1330" s="445"/>
      <x:c r="K1330" s="453"/>
      <x:c r="L1330" s="454"/>
      <x:c r="M1330" s="454"/>
      <x:c r="N1330" s="454"/>
      <x:c r="O1330" s="454"/>
      <x:c r="P1330" s="454"/>
      <x:c r="Q1330" s="454"/>
      <x:c r="R1330" s="454"/>
      <x:c r="S1330" s="454"/>
      <x:c r="T1330" s="454"/>
      <x:c r="U1330" s="454"/>
      <x:c r="V1330" s="455"/>
      <x:c r="W1330" s="456"/>
      <x:c r="X1330" s="450"/>
      <x:c r="Y1330" s="457"/>
      <x:c r="Z1330" s="458"/>
      <x:c r="AA1330" s="458"/>
      <x:c r="AB1330" s="458"/>
      <x:c r="AC1330" s="458"/>
      <x:c r="AD1330" s="458"/>
      <x:c r="AE1330" s="458"/>
    </x:row>
    <x:row r="1331" spans="1:31" ht="20.100000000000001" customHeight="1">
      <x:c r="A1331" s="439"/>
      <x:c r="B1331" s="466" t="str">
        <x:f t="shared" si="167"/>
        <x:v/>
      </x:c>
      <x:c r="C1331" s="440" t="str">
        <x:f t="shared" si="168"/>
        <x:v/>
      </x:c>
      <x:c r="D1331" s="441"/>
      <x:c r="E1331" s="442" t="str">
        <x:f t="shared" si="169"/>
        <x:v/>
      </x:c>
      <x:c r="F1331" s="443"/>
      <x:c r="G1331" s="444"/>
      <x:c r="H1331" s="445" t="str">
        <x:f t="shared" si="166"/>
        <x:v/>
      </x:c>
      <x:c r="I1331" s="446" t="str">
        <x:f t="shared" si="170"/>
        <x:v/>
      </x:c>
      <x:c r="J1331" s="445"/>
      <x:c r="K1331" s="453"/>
      <x:c r="L1331" s="454"/>
      <x:c r="M1331" s="454"/>
      <x:c r="N1331" s="454"/>
      <x:c r="O1331" s="454"/>
      <x:c r="P1331" s="454"/>
      <x:c r="Q1331" s="454"/>
      <x:c r="R1331" s="454"/>
      <x:c r="S1331" s="454"/>
      <x:c r="T1331" s="454"/>
      <x:c r="U1331" s="454"/>
      <x:c r="V1331" s="455"/>
      <x:c r="W1331" s="456"/>
      <x:c r="X1331" s="450"/>
      <x:c r="Y1331" s="457"/>
      <x:c r="Z1331" s="458"/>
      <x:c r="AA1331" s="458"/>
      <x:c r="AB1331" s="458"/>
      <x:c r="AC1331" s="458"/>
      <x:c r="AD1331" s="458"/>
      <x:c r="AE1331" s="458"/>
    </x:row>
    <x:row r="1332" spans="1:31" ht="20.100000000000001" customHeight="1">
      <x:c r="A1332" s="439"/>
      <x:c r="B1332" s="466" t="str">
        <x:f t="shared" si="167"/>
        <x:v/>
      </x:c>
      <x:c r="C1332" s="440" t="str">
        <x:f t="shared" si="168"/>
        <x:v/>
      </x:c>
      <x:c r="D1332" s="441"/>
      <x:c r="E1332" s="442" t="str">
        <x:f t="shared" si="169"/>
        <x:v/>
      </x:c>
      <x:c r="F1332" s="443"/>
      <x:c r="G1332" s="444"/>
      <x:c r="H1332" s="445" t="str">
        <x:f t="shared" si="166"/>
        <x:v/>
      </x:c>
      <x:c r="I1332" s="446" t="str">
        <x:f t="shared" si="170"/>
        <x:v/>
      </x:c>
      <x:c r="J1332" s="445"/>
      <x:c r="K1332" s="453"/>
      <x:c r="L1332" s="454"/>
      <x:c r="M1332" s="454"/>
      <x:c r="N1332" s="454"/>
      <x:c r="O1332" s="454"/>
      <x:c r="P1332" s="454"/>
      <x:c r="Q1332" s="454"/>
      <x:c r="R1332" s="454"/>
      <x:c r="S1332" s="454"/>
      <x:c r="T1332" s="454"/>
      <x:c r="U1332" s="454"/>
      <x:c r="V1332" s="455"/>
      <x:c r="W1332" s="456"/>
      <x:c r="X1332" s="450"/>
      <x:c r="Y1332" s="457"/>
      <x:c r="Z1332" s="458"/>
      <x:c r="AA1332" s="458"/>
      <x:c r="AB1332" s="458"/>
      <x:c r="AC1332" s="458"/>
      <x:c r="AD1332" s="458"/>
      <x:c r="AE1332" s="458"/>
    </x:row>
    <x:row r="1333" spans="1:31" ht="20.100000000000001" customHeight="1">
      <x:c r="A1333" s="439"/>
      <x:c r="B1333" s="466" t="str">
        <x:f t="shared" si="167"/>
        <x:v/>
      </x:c>
      <x:c r="C1333" s="440" t="str">
        <x:f t="shared" si="168"/>
        <x:v/>
      </x:c>
      <x:c r="D1333" s="441"/>
      <x:c r="E1333" s="442" t="str">
        <x:f t="shared" si="169"/>
        <x:v/>
      </x:c>
      <x:c r="F1333" s="443"/>
      <x:c r="G1333" s="444"/>
      <x:c r="H1333" s="445" t="str">
        <x:f t="shared" si="166"/>
        <x:v/>
      </x:c>
      <x:c r="I1333" s="446" t="str">
        <x:f t="shared" si="170"/>
        <x:v/>
      </x:c>
      <x:c r="J1333" s="445"/>
      <x:c r="K1333" s="453"/>
      <x:c r="L1333" s="454"/>
      <x:c r="M1333" s="454"/>
      <x:c r="N1333" s="454"/>
      <x:c r="O1333" s="454"/>
      <x:c r="P1333" s="454"/>
      <x:c r="Q1333" s="454"/>
      <x:c r="R1333" s="454"/>
      <x:c r="S1333" s="454"/>
      <x:c r="T1333" s="454"/>
      <x:c r="U1333" s="454"/>
      <x:c r="V1333" s="455"/>
      <x:c r="W1333" s="456"/>
      <x:c r="X1333" s="450"/>
      <x:c r="Y1333" s="457"/>
      <x:c r="Z1333" s="458"/>
      <x:c r="AA1333" s="458"/>
      <x:c r="AB1333" s="458"/>
      <x:c r="AC1333" s="458"/>
      <x:c r="AD1333" s="458"/>
      <x:c r="AE1333" s="458"/>
    </x:row>
    <x:row r="1334" spans="1:31" ht="20.100000000000001" customHeight="1">
      <x:c r="A1334" s="439"/>
      <x:c r="B1334" s="466" t="str">
        <x:f t="shared" si="167"/>
        <x:v/>
      </x:c>
      <x:c r="C1334" s="440" t="str">
        <x:f t="shared" si="168"/>
        <x:v/>
      </x:c>
      <x:c r="D1334" s="441"/>
      <x:c r="E1334" s="442" t="str">
        <x:f t="shared" si="169"/>
        <x:v/>
      </x:c>
      <x:c r="F1334" s="443"/>
      <x:c r="G1334" s="444"/>
      <x:c r="H1334" s="445" t="str">
        <x:f t="shared" si="166"/>
        <x:v/>
      </x:c>
      <x:c r="I1334" s="446" t="str">
        <x:f t="shared" si="170"/>
        <x:v/>
      </x:c>
      <x:c r="J1334" s="445"/>
      <x:c r="K1334" s="453"/>
      <x:c r="L1334" s="454"/>
      <x:c r="M1334" s="454"/>
      <x:c r="N1334" s="454"/>
      <x:c r="O1334" s="454"/>
      <x:c r="P1334" s="454"/>
      <x:c r="Q1334" s="454"/>
      <x:c r="R1334" s="454"/>
      <x:c r="S1334" s="454"/>
      <x:c r="T1334" s="454"/>
      <x:c r="U1334" s="454"/>
      <x:c r="V1334" s="455"/>
      <x:c r="W1334" s="456"/>
      <x:c r="X1334" s="450"/>
      <x:c r="Y1334" s="457"/>
      <x:c r="Z1334" s="458"/>
      <x:c r="AA1334" s="458"/>
      <x:c r="AB1334" s="458"/>
      <x:c r="AC1334" s="458"/>
      <x:c r="AD1334" s="458"/>
      <x:c r="AE1334" s="458"/>
    </x:row>
    <x:row r="1335" spans="1:31" ht="20.100000000000001" customHeight="1">
      <x:c r="A1335" s="439"/>
      <x:c r="B1335" s="466" t="str">
        <x:f t="shared" si="167"/>
        <x:v/>
      </x:c>
      <x:c r="C1335" s="440" t="str">
        <x:f t="shared" si="168"/>
        <x:v/>
      </x:c>
      <x:c r="D1335" s="441"/>
      <x:c r="E1335" s="442" t="str">
        <x:f t="shared" si="169"/>
        <x:v/>
      </x:c>
      <x:c r="F1335" s="443"/>
      <x:c r="G1335" s="444"/>
      <x:c r="H1335" s="445" t="str">
        <x:f t="shared" si="166"/>
        <x:v/>
      </x:c>
      <x:c r="I1335" s="446" t="str">
        <x:f t="shared" si="170"/>
        <x:v/>
      </x:c>
      <x:c r="J1335" s="445"/>
      <x:c r="K1335" s="453"/>
      <x:c r="L1335" s="454"/>
      <x:c r="M1335" s="454"/>
      <x:c r="N1335" s="454"/>
      <x:c r="O1335" s="454"/>
      <x:c r="P1335" s="454"/>
      <x:c r="Q1335" s="454"/>
      <x:c r="R1335" s="454"/>
      <x:c r="S1335" s="454"/>
      <x:c r="T1335" s="454"/>
      <x:c r="U1335" s="454"/>
      <x:c r="V1335" s="455"/>
      <x:c r="W1335" s="456"/>
      <x:c r="X1335" s="450"/>
      <x:c r="Y1335" s="457"/>
      <x:c r="Z1335" s="458"/>
      <x:c r="AA1335" s="458"/>
      <x:c r="AB1335" s="458"/>
      <x:c r="AC1335" s="458"/>
      <x:c r="AD1335" s="458"/>
      <x:c r="AE1335" s="458"/>
    </x:row>
    <x:row r="1336" spans="1:31" ht="20.100000000000001" customHeight="1">
      <x:c r="A1336" s="439"/>
      <x:c r="B1336" s="466" t="str">
        <x:f t="shared" si="167"/>
        <x:v/>
      </x:c>
      <x:c r="C1336" s="440" t="str">
        <x:f t="shared" si="168"/>
        <x:v/>
      </x:c>
      <x:c r="D1336" s="441"/>
      <x:c r="E1336" s="442" t="str">
        <x:f t="shared" si="169"/>
        <x:v/>
      </x:c>
      <x:c r="F1336" s="443"/>
      <x:c r="G1336" s="444"/>
      <x:c r="H1336" s="445" t="str">
        <x:f t="shared" ref="H1336:H1399" si="171">IFERROR(VLOOKUP($G1336,$AK:$AL,2,),"")</x:f>
        <x:v/>
      </x:c>
      <x:c r="I1336" s="446" t="str">
        <x:f t="shared" si="170"/>
        <x:v/>
      </x:c>
      <x:c r="J1336" s="445"/>
      <x:c r="K1336" s="453"/>
      <x:c r="L1336" s="454"/>
      <x:c r="M1336" s="454"/>
      <x:c r="N1336" s="454"/>
      <x:c r="O1336" s="454"/>
      <x:c r="P1336" s="454"/>
      <x:c r="Q1336" s="454"/>
      <x:c r="R1336" s="454"/>
      <x:c r="S1336" s="454"/>
      <x:c r="T1336" s="454"/>
      <x:c r="U1336" s="454"/>
      <x:c r="V1336" s="455"/>
      <x:c r="W1336" s="456"/>
      <x:c r="X1336" s="450"/>
      <x:c r="Y1336" s="457"/>
      <x:c r="Z1336" s="458"/>
      <x:c r="AA1336" s="458"/>
      <x:c r="AB1336" s="458"/>
      <x:c r="AC1336" s="458"/>
      <x:c r="AD1336" s="458"/>
      <x:c r="AE1336" s="458"/>
    </x:row>
    <x:row r="1337" spans="1:31" ht="20.100000000000001" customHeight="1">
      <x:c r="A1337" s="439"/>
      <x:c r="B1337" s="466" t="str">
        <x:f t="shared" si="167"/>
        <x:v/>
      </x:c>
      <x:c r="C1337" s="440" t="str">
        <x:f t="shared" si="168"/>
        <x:v/>
      </x:c>
      <x:c r="D1337" s="441"/>
      <x:c r="E1337" s="442" t="str">
        <x:f t="shared" si="169"/>
        <x:v/>
      </x:c>
      <x:c r="F1337" s="443"/>
      <x:c r="G1337" s="444"/>
      <x:c r="H1337" s="445" t="str">
        <x:f t="shared" si="171"/>
        <x:v/>
      </x:c>
      <x:c r="I1337" s="446" t="str">
        <x:f t="shared" si="170"/>
        <x:v/>
      </x:c>
      <x:c r="J1337" s="445"/>
      <x:c r="K1337" s="453"/>
      <x:c r="L1337" s="454"/>
      <x:c r="M1337" s="454"/>
      <x:c r="N1337" s="454"/>
      <x:c r="O1337" s="454"/>
      <x:c r="P1337" s="454"/>
      <x:c r="Q1337" s="454"/>
      <x:c r="R1337" s="454"/>
      <x:c r="S1337" s="454"/>
      <x:c r="T1337" s="454"/>
      <x:c r="U1337" s="454"/>
      <x:c r="V1337" s="455"/>
      <x:c r="W1337" s="456"/>
      <x:c r="X1337" s="450"/>
      <x:c r="Y1337" s="457"/>
      <x:c r="Z1337" s="458"/>
      <x:c r="AA1337" s="458"/>
      <x:c r="AB1337" s="458"/>
      <x:c r="AC1337" s="458"/>
      <x:c r="AD1337" s="458"/>
      <x:c r="AE1337" s="458"/>
    </x:row>
    <x:row r="1338" spans="1:31" ht="20.100000000000001" customHeight="1">
      <x:c r="A1338" s="439"/>
      <x:c r="B1338" s="466" t="str">
        <x:f t="shared" si="167"/>
        <x:v/>
      </x:c>
      <x:c r="C1338" s="440" t="str">
        <x:f t="shared" si="168"/>
        <x:v/>
      </x:c>
      <x:c r="D1338" s="441"/>
      <x:c r="E1338" s="442" t="str">
        <x:f t="shared" si="169"/>
        <x:v/>
      </x:c>
      <x:c r="F1338" s="443"/>
      <x:c r="G1338" s="444"/>
      <x:c r="H1338" s="445" t="str">
        <x:f t="shared" si="171"/>
        <x:v/>
      </x:c>
      <x:c r="I1338" s="446" t="str">
        <x:f t="shared" si="170"/>
        <x:v/>
      </x:c>
      <x:c r="J1338" s="445"/>
      <x:c r="K1338" s="453"/>
      <x:c r="L1338" s="454"/>
      <x:c r="M1338" s="454"/>
      <x:c r="N1338" s="454"/>
      <x:c r="O1338" s="454"/>
      <x:c r="P1338" s="454"/>
      <x:c r="Q1338" s="454"/>
      <x:c r="R1338" s="454"/>
      <x:c r="S1338" s="454"/>
      <x:c r="T1338" s="454"/>
      <x:c r="U1338" s="454"/>
      <x:c r="V1338" s="455"/>
      <x:c r="W1338" s="456"/>
      <x:c r="X1338" s="450"/>
      <x:c r="Y1338" s="457"/>
      <x:c r="Z1338" s="458"/>
      <x:c r="AA1338" s="458"/>
      <x:c r="AB1338" s="458"/>
      <x:c r="AC1338" s="458"/>
      <x:c r="AD1338" s="458"/>
      <x:c r="AE1338" s="458"/>
    </x:row>
    <x:row r="1339" spans="1:31" ht="20.100000000000001" customHeight="1">
      <x:c r="A1339" s="439"/>
      <x:c r="B1339" s="466" t="str">
        <x:f t="shared" si="167"/>
        <x:v/>
      </x:c>
      <x:c r="C1339" s="440" t="str">
        <x:f t="shared" si="168"/>
        <x:v/>
      </x:c>
      <x:c r="D1339" s="441"/>
      <x:c r="E1339" s="442" t="str">
        <x:f t="shared" si="169"/>
        <x:v/>
      </x:c>
      <x:c r="F1339" s="443"/>
      <x:c r="G1339" s="444"/>
      <x:c r="H1339" s="445" t="str">
        <x:f t="shared" si="171"/>
        <x:v/>
      </x:c>
      <x:c r="I1339" s="446" t="str">
        <x:f t="shared" si="170"/>
        <x:v/>
      </x:c>
      <x:c r="J1339" s="445"/>
      <x:c r="K1339" s="453"/>
      <x:c r="L1339" s="454"/>
      <x:c r="M1339" s="454"/>
      <x:c r="N1339" s="454"/>
      <x:c r="O1339" s="454"/>
      <x:c r="P1339" s="454"/>
      <x:c r="Q1339" s="454"/>
      <x:c r="R1339" s="454"/>
      <x:c r="S1339" s="454"/>
      <x:c r="T1339" s="454"/>
      <x:c r="U1339" s="454"/>
      <x:c r="V1339" s="455"/>
      <x:c r="W1339" s="456"/>
      <x:c r="X1339" s="450"/>
      <x:c r="Y1339" s="457"/>
      <x:c r="Z1339" s="458"/>
      <x:c r="AA1339" s="458"/>
      <x:c r="AB1339" s="458"/>
      <x:c r="AC1339" s="458"/>
      <x:c r="AD1339" s="458"/>
      <x:c r="AE1339" s="458"/>
    </x:row>
    <x:row r="1340" spans="1:31" ht="20.100000000000001" customHeight="1">
      <x:c r="A1340" s="439"/>
      <x:c r="B1340" s="466" t="str">
        <x:f t="shared" si="167"/>
        <x:v/>
      </x:c>
      <x:c r="C1340" s="440" t="str">
        <x:f t="shared" si="168"/>
        <x:v/>
      </x:c>
      <x:c r="D1340" s="441"/>
      <x:c r="E1340" s="442" t="str">
        <x:f t="shared" si="169"/>
        <x:v/>
      </x:c>
      <x:c r="F1340" s="443"/>
      <x:c r="G1340" s="444"/>
      <x:c r="H1340" s="445" t="str">
        <x:f t="shared" si="171"/>
        <x:v/>
      </x:c>
      <x:c r="I1340" s="446" t="str">
        <x:f t="shared" si="170"/>
        <x:v/>
      </x:c>
      <x:c r="J1340" s="445"/>
      <x:c r="K1340" s="453"/>
      <x:c r="L1340" s="454"/>
      <x:c r="M1340" s="454"/>
      <x:c r="N1340" s="454"/>
      <x:c r="O1340" s="454"/>
      <x:c r="P1340" s="454"/>
      <x:c r="Q1340" s="454"/>
      <x:c r="R1340" s="454"/>
      <x:c r="S1340" s="454"/>
      <x:c r="T1340" s="454"/>
      <x:c r="U1340" s="454"/>
      <x:c r="V1340" s="455"/>
      <x:c r="W1340" s="456"/>
      <x:c r="X1340" s="450"/>
      <x:c r="Y1340" s="457"/>
      <x:c r="Z1340" s="458"/>
      <x:c r="AA1340" s="458"/>
      <x:c r="AB1340" s="458"/>
      <x:c r="AC1340" s="458"/>
      <x:c r="AD1340" s="458"/>
      <x:c r="AE1340" s="458"/>
    </x:row>
    <x:row r="1341" spans="1:31" ht="20.100000000000001" customHeight="1">
      <x:c r="A1341" s="439"/>
      <x:c r="B1341" s="466" t="str">
        <x:f t="shared" si="167"/>
        <x:v/>
      </x:c>
      <x:c r="C1341" s="440" t="str">
        <x:f t="shared" si="168"/>
        <x:v/>
      </x:c>
      <x:c r="D1341" s="441"/>
      <x:c r="E1341" s="442" t="str">
        <x:f t="shared" si="169"/>
        <x:v/>
      </x:c>
      <x:c r="F1341" s="443"/>
      <x:c r="G1341" s="444"/>
      <x:c r="H1341" s="445" t="str">
        <x:f t="shared" si="171"/>
        <x:v/>
      </x:c>
      <x:c r="I1341" s="446" t="str">
        <x:f t="shared" si="170"/>
        <x:v/>
      </x:c>
      <x:c r="J1341" s="445"/>
      <x:c r="K1341" s="453"/>
      <x:c r="L1341" s="454"/>
      <x:c r="M1341" s="454"/>
      <x:c r="N1341" s="454"/>
      <x:c r="O1341" s="454"/>
      <x:c r="P1341" s="454"/>
      <x:c r="Q1341" s="454"/>
      <x:c r="R1341" s="454"/>
      <x:c r="S1341" s="454"/>
      <x:c r="T1341" s="454"/>
      <x:c r="U1341" s="454"/>
      <x:c r="V1341" s="455"/>
      <x:c r="W1341" s="456"/>
      <x:c r="X1341" s="450"/>
      <x:c r="Y1341" s="457"/>
      <x:c r="Z1341" s="458"/>
      <x:c r="AA1341" s="458"/>
      <x:c r="AB1341" s="458"/>
      <x:c r="AC1341" s="458"/>
      <x:c r="AD1341" s="458"/>
      <x:c r="AE1341" s="458"/>
    </x:row>
    <x:row r="1342" spans="1:31" ht="20.100000000000001" customHeight="1">
      <x:c r="A1342" s="439"/>
      <x:c r="B1342" s="466" t="str">
        <x:f t="shared" si="167"/>
        <x:v/>
      </x:c>
      <x:c r="C1342" s="440" t="str">
        <x:f t="shared" si="168"/>
        <x:v/>
      </x:c>
      <x:c r="D1342" s="441"/>
      <x:c r="E1342" s="442" t="str">
        <x:f t="shared" si="169"/>
        <x:v/>
      </x:c>
      <x:c r="F1342" s="443"/>
      <x:c r="G1342" s="444"/>
      <x:c r="H1342" s="445" t="str">
        <x:f t="shared" si="171"/>
        <x:v/>
      </x:c>
      <x:c r="I1342" s="446" t="str">
        <x:f t="shared" si="170"/>
        <x:v/>
      </x:c>
      <x:c r="J1342" s="445"/>
      <x:c r="K1342" s="453"/>
      <x:c r="L1342" s="454"/>
      <x:c r="M1342" s="454"/>
      <x:c r="N1342" s="454"/>
      <x:c r="O1342" s="454"/>
      <x:c r="P1342" s="454"/>
      <x:c r="Q1342" s="454"/>
      <x:c r="R1342" s="454"/>
      <x:c r="S1342" s="454"/>
      <x:c r="T1342" s="454"/>
      <x:c r="U1342" s="454"/>
      <x:c r="V1342" s="455"/>
      <x:c r="W1342" s="456"/>
      <x:c r="X1342" s="450"/>
      <x:c r="Y1342" s="457"/>
      <x:c r="Z1342" s="458"/>
      <x:c r="AA1342" s="458"/>
      <x:c r="AB1342" s="458"/>
      <x:c r="AC1342" s="458"/>
      <x:c r="AD1342" s="458"/>
      <x:c r="AE1342" s="458"/>
    </x:row>
    <x:row r="1343" spans="1:31" ht="20.100000000000001" customHeight="1">
      <x:c r="A1343" s="439"/>
      <x:c r="B1343" s="466" t="str">
        <x:f t="shared" si="167"/>
        <x:v/>
      </x:c>
      <x:c r="C1343" s="440" t="str">
        <x:f t="shared" si="168"/>
        <x:v/>
      </x:c>
      <x:c r="D1343" s="441"/>
      <x:c r="E1343" s="442" t="str">
        <x:f t="shared" si="169"/>
        <x:v/>
      </x:c>
      <x:c r="F1343" s="443"/>
      <x:c r="G1343" s="444"/>
      <x:c r="H1343" s="445" t="str">
        <x:f t="shared" si="171"/>
        <x:v/>
      </x:c>
      <x:c r="I1343" s="446" t="str">
        <x:f t="shared" si="170"/>
        <x:v/>
      </x:c>
      <x:c r="J1343" s="445"/>
      <x:c r="K1343" s="453"/>
      <x:c r="L1343" s="454"/>
      <x:c r="M1343" s="454"/>
      <x:c r="N1343" s="454"/>
      <x:c r="O1343" s="454"/>
      <x:c r="P1343" s="454"/>
      <x:c r="Q1343" s="454"/>
      <x:c r="R1343" s="454"/>
      <x:c r="S1343" s="454"/>
      <x:c r="T1343" s="454"/>
      <x:c r="U1343" s="454"/>
      <x:c r="V1343" s="455"/>
      <x:c r="W1343" s="456"/>
      <x:c r="X1343" s="450"/>
      <x:c r="Y1343" s="457"/>
      <x:c r="Z1343" s="458"/>
      <x:c r="AA1343" s="458"/>
      <x:c r="AB1343" s="458"/>
      <x:c r="AC1343" s="458"/>
      <x:c r="AD1343" s="458"/>
      <x:c r="AE1343" s="458"/>
    </x:row>
    <x:row r="1344" spans="1:31" ht="20.100000000000001" customHeight="1">
      <x:c r="A1344" s="439"/>
      <x:c r="B1344" s="466" t="str">
        <x:f t="shared" si="167"/>
        <x:v/>
      </x:c>
      <x:c r="C1344" s="440" t="str">
        <x:f t="shared" si="168"/>
        <x:v/>
      </x:c>
      <x:c r="D1344" s="441"/>
      <x:c r="E1344" s="442" t="str">
        <x:f t="shared" si="169"/>
        <x:v/>
      </x:c>
      <x:c r="F1344" s="443"/>
      <x:c r="G1344" s="444"/>
      <x:c r="H1344" s="445" t="str">
        <x:f t="shared" si="171"/>
        <x:v/>
      </x:c>
      <x:c r="I1344" s="446" t="str">
        <x:f t="shared" si="170"/>
        <x:v/>
      </x:c>
      <x:c r="J1344" s="445"/>
      <x:c r="K1344" s="453"/>
      <x:c r="L1344" s="454"/>
      <x:c r="M1344" s="454"/>
      <x:c r="N1344" s="454"/>
      <x:c r="O1344" s="454"/>
      <x:c r="P1344" s="454"/>
      <x:c r="Q1344" s="454"/>
      <x:c r="R1344" s="454"/>
      <x:c r="S1344" s="454"/>
      <x:c r="T1344" s="454"/>
      <x:c r="U1344" s="454"/>
      <x:c r="V1344" s="455"/>
      <x:c r="W1344" s="456"/>
      <x:c r="X1344" s="450"/>
      <x:c r="Y1344" s="457"/>
      <x:c r="Z1344" s="458"/>
      <x:c r="AA1344" s="458"/>
      <x:c r="AB1344" s="458"/>
      <x:c r="AC1344" s="458"/>
      <x:c r="AD1344" s="458"/>
      <x:c r="AE1344" s="458"/>
    </x:row>
    <x:row r="1345" spans="1:31" ht="20.100000000000001" customHeight="1">
      <x:c r="A1345" s="439"/>
      <x:c r="B1345" s="466" t="str">
        <x:f t="shared" si="167"/>
        <x:v/>
      </x:c>
      <x:c r="C1345" s="440" t="str">
        <x:f t="shared" si="168"/>
        <x:v/>
      </x:c>
      <x:c r="D1345" s="441"/>
      <x:c r="E1345" s="442" t="str">
        <x:f t="shared" si="169"/>
        <x:v/>
      </x:c>
      <x:c r="F1345" s="443"/>
      <x:c r="G1345" s="444"/>
      <x:c r="H1345" s="445" t="str">
        <x:f t="shared" si="171"/>
        <x:v/>
      </x:c>
      <x:c r="I1345" s="446" t="str">
        <x:f t="shared" si="170"/>
        <x:v/>
      </x:c>
      <x:c r="J1345" s="445"/>
      <x:c r="K1345" s="453"/>
      <x:c r="L1345" s="454"/>
      <x:c r="M1345" s="454"/>
      <x:c r="N1345" s="454"/>
      <x:c r="O1345" s="454"/>
      <x:c r="P1345" s="454"/>
      <x:c r="Q1345" s="454"/>
      <x:c r="R1345" s="454"/>
      <x:c r="S1345" s="454"/>
      <x:c r="T1345" s="454"/>
      <x:c r="U1345" s="454"/>
      <x:c r="V1345" s="455"/>
      <x:c r="W1345" s="456"/>
      <x:c r="X1345" s="450"/>
      <x:c r="Y1345" s="457"/>
      <x:c r="Z1345" s="458"/>
      <x:c r="AA1345" s="458"/>
      <x:c r="AB1345" s="458"/>
      <x:c r="AC1345" s="458"/>
      <x:c r="AD1345" s="458"/>
      <x:c r="AE1345" s="458"/>
    </x:row>
    <x:row r="1346" spans="1:31" ht="20.100000000000001" customHeight="1">
      <x:c r="A1346" s="439"/>
      <x:c r="B1346" s="466" t="str">
        <x:f t="shared" si="167"/>
        <x:v/>
      </x:c>
      <x:c r="C1346" s="440" t="str">
        <x:f t="shared" si="168"/>
        <x:v/>
      </x:c>
      <x:c r="D1346" s="441"/>
      <x:c r="E1346" s="442" t="str">
        <x:f t="shared" si="169"/>
        <x:v/>
      </x:c>
      <x:c r="F1346" s="443"/>
      <x:c r="G1346" s="444"/>
      <x:c r="H1346" s="445" t="str">
        <x:f t="shared" si="171"/>
        <x:v/>
      </x:c>
      <x:c r="I1346" s="446" t="str">
        <x:f t="shared" si="170"/>
        <x:v/>
      </x:c>
      <x:c r="J1346" s="445"/>
      <x:c r="K1346" s="453"/>
      <x:c r="L1346" s="454"/>
      <x:c r="M1346" s="454"/>
      <x:c r="N1346" s="454"/>
      <x:c r="O1346" s="454"/>
      <x:c r="P1346" s="454"/>
      <x:c r="Q1346" s="454"/>
      <x:c r="R1346" s="454"/>
      <x:c r="S1346" s="454"/>
      <x:c r="T1346" s="454"/>
      <x:c r="U1346" s="454"/>
      <x:c r="V1346" s="455"/>
      <x:c r="W1346" s="456"/>
      <x:c r="X1346" s="450"/>
      <x:c r="Y1346" s="457"/>
      <x:c r="Z1346" s="458"/>
      <x:c r="AA1346" s="458"/>
      <x:c r="AB1346" s="458"/>
      <x:c r="AC1346" s="458"/>
      <x:c r="AD1346" s="458"/>
      <x:c r="AE1346" s="458"/>
    </x:row>
    <x:row r="1347" spans="1:31" ht="20.100000000000001" customHeight="1">
      <x:c r="A1347" s="439"/>
      <x:c r="B1347" s="466" t="str">
        <x:f t="shared" ref="B1347:B1410" si="172">IFERROR(VLOOKUP($C1347,$AH:$AI,2,),"")</x:f>
        <x:v/>
      </x:c>
      <x:c r="C1347" s="440" t="str">
        <x:f t="shared" ref="C1347:C1410" si="173">IFERROR(VLOOKUP($D1347,$AO:$AQ,3,),"")</x:f>
        <x:v/>
      </x:c>
      <x:c r="D1347" s="441"/>
      <x:c r="E1347" s="442" t="str">
        <x:f t="shared" ref="E1347:E1410" si="174">IFERROR(VLOOKUP($D1347,$AO:$AQ,2,),"")</x:f>
        <x:v/>
      </x:c>
      <x:c r="F1347" s="443"/>
      <x:c r="G1347" s="444"/>
      <x:c r="H1347" s="445" t="str">
        <x:f t="shared" si="171"/>
        <x:v/>
      </x:c>
      <x:c r="I1347" s="446" t="str">
        <x:f t="shared" ref="I1347:I1410" si="175">IFERROR(VLOOKUP($G1347,$AK:$AM,3,),"")</x:f>
        <x:v/>
      </x:c>
      <x:c r="J1347" s="445"/>
      <x:c r="K1347" s="453"/>
      <x:c r="L1347" s="454"/>
      <x:c r="M1347" s="454"/>
      <x:c r="N1347" s="454"/>
      <x:c r="O1347" s="454"/>
      <x:c r="P1347" s="454"/>
      <x:c r="Q1347" s="454"/>
      <x:c r="R1347" s="454"/>
      <x:c r="S1347" s="454"/>
      <x:c r="T1347" s="454"/>
      <x:c r="U1347" s="454"/>
      <x:c r="V1347" s="455"/>
      <x:c r="W1347" s="456"/>
      <x:c r="X1347" s="450"/>
      <x:c r="Y1347" s="457"/>
      <x:c r="Z1347" s="458"/>
      <x:c r="AA1347" s="458"/>
      <x:c r="AB1347" s="458"/>
      <x:c r="AC1347" s="458"/>
      <x:c r="AD1347" s="458"/>
      <x:c r="AE1347" s="458"/>
    </x:row>
    <x:row r="1348" spans="1:31" ht="20.100000000000001" customHeight="1">
      <x:c r="A1348" s="439"/>
      <x:c r="B1348" s="466" t="str">
        <x:f t="shared" si="172"/>
        <x:v/>
      </x:c>
      <x:c r="C1348" s="440" t="str">
        <x:f t="shared" si="173"/>
        <x:v/>
      </x:c>
      <x:c r="D1348" s="441"/>
      <x:c r="E1348" s="442" t="str">
        <x:f t="shared" si="174"/>
        <x:v/>
      </x:c>
      <x:c r="F1348" s="443"/>
      <x:c r="G1348" s="444"/>
      <x:c r="H1348" s="445" t="str">
        <x:f t="shared" si="171"/>
        <x:v/>
      </x:c>
      <x:c r="I1348" s="446" t="str">
        <x:f t="shared" si="175"/>
        <x:v/>
      </x:c>
      <x:c r="J1348" s="445"/>
      <x:c r="K1348" s="453"/>
      <x:c r="L1348" s="454"/>
      <x:c r="M1348" s="454"/>
      <x:c r="N1348" s="454"/>
      <x:c r="O1348" s="454"/>
      <x:c r="P1348" s="454"/>
      <x:c r="Q1348" s="454"/>
      <x:c r="R1348" s="454"/>
      <x:c r="S1348" s="454"/>
      <x:c r="T1348" s="454"/>
      <x:c r="U1348" s="454"/>
      <x:c r="V1348" s="455"/>
      <x:c r="W1348" s="456"/>
      <x:c r="X1348" s="450"/>
      <x:c r="Y1348" s="457"/>
      <x:c r="Z1348" s="458"/>
      <x:c r="AA1348" s="458"/>
      <x:c r="AB1348" s="458"/>
      <x:c r="AC1348" s="458"/>
      <x:c r="AD1348" s="458"/>
      <x:c r="AE1348" s="458"/>
    </x:row>
    <x:row r="1349" spans="1:31" ht="20.100000000000001" customHeight="1">
      <x:c r="A1349" s="439"/>
      <x:c r="B1349" s="466" t="str">
        <x:f t="shared" si="172"/>
        <x:v/>
      </x:c>
      <x:c r="C1349" s="440" t="str">
        <x:f t="shared" si="173"/>
        <x:v/>
      </x:c>
      <x:c r="D1349" s="441"/>
      <x:c r="E1349" s="442" t="str">
        <x:f t="shared" si="174"/>
        <x:v/>
      </x:c>
      <x:c r="F1349" s="443"/>
      <x:c r="G1349" s="444"/>
      <x:c r="H1349" s="445" t="str">
        <x:f t="shared" si="171"/>
        <x:v/>
      </x:c>
      <x:c r="I1349" s="446" t="str">
        <x:f t="shared" si="175"/>
        <x:v/>
      </x:c>
      <x:c r="J1349" s="445"/>
      <x:c r="K1349" s="453"/>
      <x:c r="L1349" s="454"/>
      <x:c r="M1349" s="454"/>
      <x:c r="N1349" s="454"/>
      <x:c r="O1349" s="454"/>
      <x:c r="P1349" s="454"/>
      <x:c r="Q1349" s="454"/>
      <x:c r="R1349" s="454"/>
      <x:c r="S1349" s="454"/>
      <x:c r="T1349" s="454"/>
      <x:c r="U1349" s="454"/>
      <x:c r="V1349" s="455"/>
      <x:c r="W1349" s="456"/>
      <x:c r="X1349" s="450"/>
      <x:c r="Y1349" s="457"/>
      <x:c r="Z1349" s="458"/>
      <x:c r="AA1349" s="458"/>
      <x:c r="AB1349" s="458"/>
      <x:c r="AC1349" s="458"/>
      <x:c r="AD1349" s="458"/>
      <x:c r="AE1349" s="458"/>
    </x:row>
    <x:row r="1350" spans="1:31" ht="20.100000000000001" customHeight="1">
      <x:c r="A1350" s="439"/>
      <x:c r="B1350" s="466" t="str">
        <x:f t="shared" si="172"/>
        <x:v/>
      </x:c>
      <x:c r="C1350" s="440" t="str">
        <x:f t="shared" si="173"/>
        <x:v/>
      </x:c>
      <x:c r="D1350" s="441"/>
      <x:c r="E1350" s="442" t="str">
        <x:f t="shared" si="174"/>
        <x:v/>
      </x:c>
      <x:c r="F1350" s="443"/>
      <x:c r="G1350" s="444"/>
      <x:c r="H1350" s="445" t="str">
        <x:f t="shared" si="171"/>
        <x:v/>
      </x:c>
      <x:c r="I1350" s="446" t="str">
        <x:f t="shared" si="175"/>
        <x:v/>
      </x:c>
      <x:c r="J1350" s="445"/>
      <x:c r="K1350" s="453"/>
      <x:c r="L1350" s="454"/>
      <x:c r="M1350" s="454"/>
      <x:c r="N1350" s="454"/>
      <x:c r="O1350" s="454"/>
      <x:c r="P1350" s="454"/>
      <x:c r="Q1350" s="454"/>
      <x:c r="R1350" s="454"/>
      <x:c r="S1350" s="454"/>
      <x:c r="T1350" s="454"/>
      <x:c r="U1350" s="454"/>
      <x:c r="V1350" s="455"/>
      <x:c r="W1350" s="456"/>
      <x:c r="X1350" s="450"/>
      <x:c r="Y1350" s="457"/>
      <x:c r="Z1350" s="458"/>
      <x:c r="AA1350" s="458"/>
      <x:c r="AB1350" s="458"/>
      <x:c r="AC1350" s="458"/>
      <x:c r="AD1350" s="458"/>
      <x:c r="AE1350" s="458"/>
    </x:row>
    <x:row r="1351" spans="1:31" ht="20.100000000000001" customHeight="1">
      <x:c r="A1351" s="439"/>
      <x:c r="B1351" s="466" t="str">
        <x:f t="shared" si="172"/>
        <x:v/>
      </x:c>
      <x:c r="C1351" s="440" t="str">
        <x:f t="shared" si="173"/>
        <x:v/>
      </x:c>
      <x:c r="D1351" s="441"/>
      <x:c r="E1351" s="442" t="str">
        <x:f t="shared" si="174"/>
        <x:v/>
      </x:c>
      <x:c r="F1351" s="443"/>
      <x:c r="G1351" s="444"/>
      <x:c r="H1351" s="445" t="str">
        <x:f t="shared" si="171"/>
        <x:v/>
      </x:c>
      <x:c r="I1351" s="446" t="str">
        <x:f t="shared" si="175"/>
        <x:v/>
      </x:c>
      <x:c r="J1351" s="445"/>
      <x:c r="K1351" s="453"/>
      <x:c r="L1351" s="454"/>
      <x:c r="M1351" s="454"/>
      <x:c r="N1351" s="454"/>
      <x:c r="O1351" s="454"/>
      <x:c r="P1351" s="454"/>
      <x:c r="Q1351" s="454"/>
      <x:c r="R1351" s="454"/>
      <x:c r="S1351" s="454"/>
      <x:c r="T1351" s="454"/>
      <x:c r="U1351" s="454"/>
      <x:c r="V1351" s="455"/>
      <x:c r="W1351" s="456"/>
      <x:c r="X1351" s="450"/>
      <x:c r="Y1351" s="457"/>
      <x:c r="Z1351" s="458"/>
      <x:c r="AA1351" s="458"/>
      <x:c r="AB1351" s="458"/>
      <x:c r="AC1351" s="458"/>
      <x:c r="AD1351" s="458"/>
      <x:c r="AE1351" s="458"/>
    </x:row>
    <x:row r="1352" spans="1:31" ht="20.100000000000001" customHeight="1">
      <x:c r="A1352" s="439"/>
      <x:c r="B1352" s="466" t="str">
        <x:f t="shared" si="172"/>
        <x:v/>
      </x:c>
      <x:c r="C1352" s="440" t="str">
        <x:f t="shared" si="173"/>
        <x:v/>
      </x:c>
      <x:c r="D1352" s="441"/>
      <x:c r="E1352" s="442" t="str">
        <x:f t="shared" si="174"/>
        <x:v/>
      </x:c>
      <x:c r="F1352" s="443"/>
      <x:c r="G1352" s="444"/>
      <x:c r="H1352" s="445" t="str">
        <x:f t="shared" si="171"/>
        <x:v/>
      </x:c>
      <x:c r="I1352" s="446" t="str">
        <x:f t="shared" si="175"/>
        <x:v/>
      </x:c>
      <x:c r="J1352" s="445"/>
      <x:c r="K1352" s="453"/>
      <x:c r="L1352" s="454"/>
      <x:c r="M1352" s="454"/>
      <x:c r="N1352" s="454"/>
      <x:c r="O1352" s="454"/>
      <x:c r="P1352" s="454"/>
      <x:c r="Q1352" s="454"/>
      <x:c r="R1352" s="454"/>
      <x:c r="S1352" s="454"/>
      <x:c r="T1352" s="454"/>
      <x:c r="U1352" s="454"/>
      <x:c r="V1352" s="455"/>
      <x:c r="W1352" s="456"/>
      <x:c r="X1352" s="450"/>
      <x:c r="Y1352" s="457"/>
      <x:c r="Z1352" s="458"/>
      <x:c r="AA1352" s="458"/>
      <x:c r="AB1352" s="458"/>
      <x:c r="AC1352" s="458"/>
      <x:c r="AD1352" s="458"/>
      <x:c r="AE1352" s="458"/>
    </x:row>
    <x:row r="1353" spans="1:31" ht="20.100000000000001" customHeight="1">
      <x:c r="A1353" s="439"/>
      <x:c r="B1353" s="466" t="str">
        <x:f t="shared" si="172"/>
        <x:v/>
      </x:c>
      <x:c r="C1353" s="440" t="str">
        <x:f t="shared" si="173"/>
        <x:v/>
      </x:c>
      <x:c r="D1353" s="441"/>
      <x:c r="E1353" s="442" t="str">
        <x:f t="shared" si="174"/>
        <x:v/>
      </x:c>
      <x:c r="F1353" s="443"/>
      <x:c r="G1353" s="444"/>
      <x:c r="H1353" s="445" t="str">
        <x:f t="shared" si="171"/>
        <x:v/>
      </x:c>
      <x:c r="I1353" s="446" t="str">
        <x:f t="shared" si="175"/>
        <x:v/>
      </x:c>
      <x:c r="J1353" s="445"/>
      <x:c r="K1353" s="453"/>
      <x:c r="L1353" s="454"/>
      <x:c r="M1353" s="454"/>
      <x:c r="N1353" s="454"/>
      <x:c r="O1353" s="454"/>
      <x:c r="P1353" s="454"/>
      <x:c r="Q1353" s="454"/>
      <x:c r="R1353" s="454"/>
      <x:c r="S1353" s="454"/>
      <x:c r="T1353" s="454"/>
      <x:c r="U1353" s="454"/>
      <x:c r="V1353" s="455"/>
      <x:c r="W1353" s="456"/>
      <x:c r="X1353" s="450"/>
      <x:c r="Y1353" s="457"/>
      <x:c r="Z1353" s="458"/>
      <x:c r="AA1353" s="458"/>
      <x:c r="AB1353" s="458"/>
      <x:c r="AC1353" s="458"/>
      <x:c r="AD1353" s="458"/>
      <x:c r="AE1353" s="458"/>
    </x:row>
    <x:row r="1354" spans="1:31" ht="20.100000000000001" customHeight="1">
      <x:c r="A1354" s="439"/>
      <x:c r="B1354" s="466" t="str">
        <x:f t="shared" si="172"/>
        <x:v/>
      </x:c>
      <x:c r="C1354" s="440" t="str">
        <x:f t="shared" si="173"/>
        <x:v/>
      </x:c>
      <x:c r="D1354" s="441"/>
      <x:c r="E1354" s="442" t="str">
        <x:f t="shared" si="174"/>
        <x:v/>
      </x:c>
      <x:c r="F1354" s="443"/>
      <x:c r="G1354" s="444"/>
      <x:c r="H1354" s="445" t="str">
        <x:f t="shared" si="171"/>
        <x:v/>
      </x:c>
      <x:c r="I1354" s="446" t="str">
        <x:f t="shared" si="175"/>
        <x:v/>
      </x:c>
      <x:c r="J1354" s="445"/>
      <x:c r="K1354" s="453"/>
      <x:c r="L1354" s="454"/>
      <x:c r="M1354" s="454"/>
      <x:c r="N1354" s="454"/>
      <x:c r="O1354" s="454"/>
      <x:c r="P1354" s="454"/>
      <x:c r="Q1354" s="454"/>
      <x:c r="R1354" s="454"/>
      <x:c r="S1354" s="454"/>
      <x:c r="T1354" s="454"/>
      <x:c r="U1354" s="454"/>
      <x:c r="V1354" s="455"/>
      <x:c r="W1354" s="456"/>
      <x:c r="X1354" s="450"/>
      <x:c r="Y1354" s="457"/>
      <x:c r="Z1354" s="458"/>
      <x:c r="AA1354" s="458"/>
      <x:c r="AB1354" s="458"/>
      <x:c r="AC1354" s="458"/>
      <x:c r="AD1354" s="458"/>
      <x:c r="AE1354" s="458"/>
    </x:row>
    <x:row r="1355" spans="1:31" ht="20.100000000000001" customHeight="1">
      <x:c r="A1355" s="439"/>
      <x:c r="B1355" s="466" t="str">
        <x:f t="shared" si="172"/>
        <x:v/>
      </x:c>
      <x:c r="C1355" s="440" t="str">
        <x:f t="shared" si="173"/>
        <x:v/>
      </x:c>
      <x:c r="D1355" s="441"/>
      <x:c r="E1355" s="442" t="str">
        <x:f t="shared" si="174"/>
        <x:v/>
      </x:c>
      <x:c r="F1355" s="443"/>
      <x:c r="G1355" s="444"/>
      <x:c r="H1355" s="445" t="str">
        <x:f t="shared" si="171"/>
        <x:v/>
      </x:c>
      <x:c r="I1355" s="446" t="str">
        <x:f t="shared" si="175"/>
        <x:v/>
      </x:c>
      <x:c r="J1355" s="445"/>
      <x:c r="K1355" s="453"/>
      <x:c r="L1355" s="454"/>
      <x:c r="M1355" s="454"/>
      <x:c r="N1355" s="454"/>
      <x:c r="O1355" s="454"/>
      <x:c r="P1355" s="454"/>
      <x:c r="Q1355" s="454"/>
      <x:c r="R1355" s="454"/>
      <x:c r="S1355" s="454"/>
      <x:c r="T1355" s="454"/>
      <x:c r="U1355" s="454"/>
      <x:c r="V1355" s="455"/>
      <x:c r="W1355" s="456"/>
      <x:c r="X1355" s="450"/>
      <x:c r="Y1355" s="457"/>
      <x:c r="Z1355" s="458"/>
      <x:c r="AA1355" s="458"/>
      <x:c r="AB1355" s="458"/>
      <x:c r="AC1355" s="458"/>
      <x:c r="AD1355" s="458"/>
      <x:c r="AE1355" s="458"/>
    </x:row>
    <x:row r="1356" spans="1:31" ht="20.100000000000001" customHeight="1">
      <x:c r="A1356" s="439"/>
      <x:c r="B1356" s="466" t="str">
        <x:f t="shared" si="172"/>
        <x:v/>
      </x:c>
      <x:c r="C1356" s="440" t="str">
        <x:f t="shared" si="173"/>
        <x:v/>
      </x:c>
      <x:c r="D1356" s="441"/>
      <x:c r="E1356" s="442" t="str">
        <x:f t="shared" si="174"/>
        <x:v/>
      </x:c>
      <x:c r="F1356" s="443"/>
      <x:c r="G1356" s="444"/>
      <x:c r="H1356" s="445" t="str">
        <x:f t="shared" si="171"/>
        <x:v/>
      </x:c>
      <x:c r="I1356" s="446" t="str">
        <x:f t="shared" si="175"/>
        <x:v/>
      </x:c>
      <x:c r="J1356" s="445"/>
      <x:c r="K1356" s="453"/>
      <x:c r="L1356" s="454"/>
      <x:c r="M1356" s="454"/>
      <x:c r="N1356" s="454"/>
      <x:c r="O1356" s="454"/>
      <x:c r="P1356" s="454"/>
      <x:c r="Q1356" s="454"/>
      <x:c r="R1356" s="454"/>
      <x:c r="S1356" s="454"/>
      <x:c r="T1356" s="454"/>
      <x:c r="U1356" s="454"/>
      <x:c r="V1356" s="455"/>
      <x:c r="W1356" s="456"/>
      <x:c r="X1356" s="450"/>
      <x:c r="Y1356" s="457"/>
      <x:c r="Z1356" s="458"/>
      <x:c r="AA1356" s="458"/>
      <x:c r="AB1356" s="458"/>
      <x:c r="AC1356" s="458"/>
      <x:c r="AD1356" s="458"/>
      <x:c r="AE1356" s="458"/>
    </x:row>
    <x:row r="1357" spans="1:31" ht="20.100000000000001" customHeight="1">
      <x:c r="A1357" s="439"/>
      <x:c r="B1357" s="466" t="str">
        <x:f t="shared" si="172"/>
        <x:v/>
      </x:c>
      <x:c r="C1357" s="440" t="str">
        <x:f t="shared" si="173"/>
        <x:v/>
      </x:c>
      <x:c r="D1357" s="441"/>
      <x:c r="E1357" s="442" t="str">
        <x:f t="shared" si="174"/>
        <x:v/>
      </x:c>
      <x:c r="F1357" s="443"/>
      <x:c r="G1357" s="444"/>
      <x:c r="H1357" s="445" t="str">
        <x:f t="shared" si="171"/>
        <x:v/>
      </x:c>
      <x:c r="I1357" s="446" t="str">
        <x:f t="shared" si="175"/>
        <x:v/>
      </x:c>
      <x:c r="J1357" s="445"/>
      <x:c r="K1357" s="453"/>
      <x:c r="L1357" s="454"/>
      <x:c r="M1357" s="454"/>
      <x:c r="N1357" s="454"/>
      <x:c r="O1357" s="454"/>
      <x:c r="P1357" s="454"/>
      <x:c r="Q1357" s="454"/>
      <x:c r="R1357" s="454"/>
      <x:c r="S1357" s="454"/>
      <x:c r="T1357" s="454"/>
      <x:c r="U1357" s="454"/>
      <x:c r="V1357" s="455"/>
      <x:c r="W1357" s="456"/>
      <x:c r="X1357" s="450"/>
      <x:c r="Y1357" s="457"/>
      <x:c r="Z1357" s="458"/>
      <x:c r="AA1357" s="458"/>
      <x:c r="AB1357" s="458"/>
      <x:c r="AC1357" s="458"/>
      <x:c r="AD1357" s="458"/>
      <x:c r="AE1357" s="458"/>
    </x:row>
    <x:row r="1358" spans="1:31" ht="20.100000000000001" customHeight="1">
      <x:c r="A1358" s="439"/>
      <x:c r="B1358" s="466" t="str">
        <x:f t="shared" si="172"/>
        <x:v/>
      </x:c>
      <x:c r="C1358" s="440" t="str">
        <x:f t="shared" si="173"/>
        <x:v/>
      </x:c>
      <x:c r="D1358" s="441"/>
      <x:c r="E1358" s="442" t="str">
        <x:f t="shared" si="174"/>
        <x:v/>
      </x:c>
      <x:c r="F1358" s="443"/>
      <x:c r="G1358" s="444"/>
      <x:c r="H1358" s="445" t="str">
        <x:f t="shared" si="171"/>
        <x:v/>
      </x:c>
      <x:c r="I1358" s="446" t="str">
        <x:f t="shared" si="175"/>
        <x:v/>
      </x:c>
      <x:c r="J1358" s="445"/>
      <x:c r="K1358" s="453"/>
      <x:c r="L1358" s="454"/>
      <x:c r="M1358" s="454"/>
      <x:c r="N1358" s="454"/>
      <x:c r="O1358" s="454"/>
      <x:c r="P1358" s="454"/>
      <x:c r="Q1358" s="454"/>
      <x:c r="R1358" s="454"/>
      <x:c r="S1358" s="454"/>
      <x:c r="T1358" s="454"/>
      <x:c r="U1358" s="454"/>
      <x:c r="V1358" s="455"/>
      <x:c r="W1358" s="456"/>
      <x:c r="X1358" s="450"/>
      <x:c r="Y1358" s="457"/>
      <x:c r="Z1358" s="458"/>
      <x:c r="AA1358" s="458"/>
      <x:c r="AB1358" s="458"/>
      <x:c r="AC1358" s="458"/>
      <x:c r="AD1358" s="458"/>
      <x:c r="AE1358" s="458"/>
    </x:row>
    <x:row r="1359" spans="1:31" ht="20.100000000000001" customHeight="1">
      <x:c r="A1359" s="439"/>
      <x:c r="B1359" s="466" t="str">
        <x:f t="shared" si="172"/>
        <x:v/>
      </x:c>
      <x:c r="C1359" s="440" t="str">
        <x:f t="shared" si="173"/>
        <x:v/>
      </x:c>
      <x:c r="D1359" s="441"/>
      <x:c r="E1359" s="442" t="str">
        <x:f t="shared" si="174"/>
        <x:v/>
      </x:c>
      <x:c r="F1359" s="443"/>
      <x:c r="G1359" s="444"/>
      <x:c r="H1359" s="445" t="str">
        <x:f t="shared" si="171"/>
        <x:v/>
      </x:c>
      <x:c r="I1359" s="446" t="str">
        <x:f t="shared" si="175"/>
        <x:v/>
      </x:c>
      <x:c r="J1359" s="445"/>
      <x:c r="K1359" s="453"/>
      <x:c r="L1359" s="454"/>
      <x:c r="M1359" s="454"/>
      <x:c r="N1359" s="454"/>
      <x:c r="O1359" s="454"/>
      <x:c r="P1359" s="454"/>
      <x:c r="Q1359" s="454"/>
      <x:c r="R1359" s="454"/>
      <x:c r="S1359" s="454"/>
      <x:c r="T1359" s="454"/>
      <x:c r="U1359" s="454"/>
      <x:c r="V1359" s="455"/>
      <x:c r="W1359" s="456"/>
      <x:c r="X1359" s="450"/>
      <x:c r="Y1359" s="457"/>
      <x:c r="Z1359" s="458"/>
      <x:c r="AA1359" s="458"/>
      <x:c r="AB1359" s="458"/>
      <x:c r="AC1359" s="458"/>
      <x:c r="AD1359" s="458"/>
      <x:c r="AE1359" s="458"/>
    </x:row>
    <x:row r="1360" spans="1:31" ht="20.100000000000001" customHeight="1">
      <x:c r="A1360" s="439"/>
      <x:c r="B1360" s="466" t="str">
        <x:f t="shared" si="172"/>
        <x:v/>
      </x:c>
      <x:c r="C1360" s="440" t="str">
        <x:f t="shared" si="173"/>
        <x:v/>
      </x:c>
      <x:c r="D1360" s="441"/>
      <x:c r="E1360" s="442" t="str">
        <x:f t="shared" si="174"/>
        <x:v/>
      </x:c>
      <x:c r="F1360" s="443"/>
      <x:c r="G1360" s="444"/>
      <x:c r="H1360" s="445" t="str">
        <x:f t="shared" si="171"/>
        <x:v/>
      </x:c>
      <x:c r="I1360" s="446" t="str">
        <x:f t="shared" si="175"/>
        <x:v/>
      </x:c>
      <x:c r="J1360" s="445"/>
      <x:c r="K1360" s="453"/>
      <x:c r="L1360" s="454"/>
      <x:c r="M1360" s="454"/>
      <x:c r="N1360" s="454"/>
      <x:c r="O1360" s="454"/>
      <x:c r="P1360" s="454"/>
      <x:c r="Q1360" s="454"/>
      <x:c r="R1360" s="454"/>
      <x:c r="S1360" s="454"/>
      <x:c r="T1360" s="454"/>
      <x:c r="U1360" s="454"/>
      <x:c r="V1360" s="455"/>
      <x:c r="W1360" s="456"/>
      <x:c r="X1360" s="450"/>
      <x:c r="Y1360" s="457"/>
      <x:c r="Z1360" s="458"/>
      <x:c r="AA1360" s="458"/>
      <x:c r="AB1360" s="458"/>
      <x:c r="AC1360" s="458"/>
      <x:c r="AD1360" s="458"/>
      <x:c r="AE1360" s="458"/>
    </x:row>
    <x:row r="1361" spans="1:31" ht="20.100000000000001" customHeight="1">
      <x:c r="A1361" s="439"/>
      <x:c r="B1361" s="466" t="str">
        <x:f t="shared" si="172"/>
        <x:v/>
      </x:c>
      <x:c r="C1361" s="440" t="str">
        <x:f t="shared" si="173"/>
        <x:v/>
      </x:c>
      <x:c r="D1361" s="441"/>
      <x:c r="E1361" s="442" t="str">
        <x:f t="shared" si="174"/>
        <x:v/>
      </x:c>
      <x:c r="F1361" s="443"/>
      <x:c r="G1361" s="444"/>
      <x:c r="H1361" s="445" t="str">
        <x:f t="shared" si="171"/>
        <x:v/>
      </x:c>
      <x:c r="I1361" s="446" t="str">
        <x:f t="shared" si="175"/>
        <x:v/>
      </x:c>
      <x:c r="J1361" s="445"/>
      <x:c r="K1361" s="453"/>
      <x:c r="L1361" s="454"/>
      <x:c r="M1361" s="454"/>
      <x:c r="N1361" s="454"/>
      <x:c r="O1361" s="454"/>
      <x:c r="P1361" s="454"/>
      <x:c r="Q1361" s="454"/>
      <x:c r="R1361" s="454"/>
      <x:c r="S1361" s="454"/>
      <x:c r="T1361" s="454"/>
      <x:c r="U1361" s="454"/>
      <x:c r="V1361" s="455"/>
      <x:c r="W1361" s="456"/>
      <x:c r="X1361" s="450"/>
      <x:c r="Y1361" s="457"/>
      <x:c r="Z1361" s="458"/>
      <x:c r="AA1361" s="458"/>
      <x:c r="AB1361" s="458"/>
      <x:c r="AC1361" s="458"/>
      <x:c r="AD1361" s="458"/>
      <x:c r="AE1361" s="458"/>
    </x:row>
    <x:row r="1362" spans="1:31" ht="20.100000000000001" customHeight="1">
      <x:c r="A1362" s="439"/>
      <x:c r="B1362" s="466" t="str">
        <x:f t="shared" si="172"/>
        <x:v/>
      </x:c>
      <x:c r="C1362" s="440" t="str">
        <x:f t="shared" si="173"/>
        <x:v/>
      </x:c>
      <x:c r="D1362" s="441"/>
      <x:c r="E1362" s="442" t="str">
        <x:f t="shared" si="174"/>
        <x:v/>
      </x:c>
      <x:c r="F1362" s="443"/>
      <x:c r="G1362" s="444"/>
      <x:c r="H1362" s="445" t="str">
        <x:f t="shared" si="171"/>
        <x:v/>
      </x:c>
      <x:c r="I1362" s="446" t="str">
        <x:f t="shared" si="175"/>
        <x:v/>
      </x:c>
      <x:c r="J1362" s="445"/>
      <x:c r="K1362" s="453"/>
      <x:c r="L1362" s="454"/>
      <x:c r="M1362" s="454"/>
      <x:c r="N1362" s="454"/>
      <x:c r="O1362" s="454"/>
      <x:c r="P1362" s="454"/>
      <x:c r="Q1362" s="454"/>
      <x:c r="R1362" s="454"/>
      <x:c r="S1362" s="454"/>
      <x:c r="T1362" s="454"/>
      <x:c r="U1362" s="454"/>
      <x:c r="V1362" s="455"/>
      <x:c r="W1362" s="456"/>
      <x:c r="X1362" s="450"/>
      <x:c r="Y1362" s="457"/>
      <x:c r="Z1362" s="458"/>
      <x:c r="AA1362" s="458"/>
      <x:c r="AB1362" s="458"/>
      <x:c r="AC1362" s="458"/>
      <x:c r="AD1362" s="458"/>
      <x:c r="AE1362" s="458"/>
    </x:row>
    <x:row r="1363" spans="1:31" ht="20.100000000000001" customHeight="1">
      <x:c r="A1363" s="439"/>
      <x:c r="B1363" s="466" t="str">
        <x:f t="shared" si="172"/>
        <x:v/>
      </x:c>
      <x:c r="C1363" s="440" t="str">
        <x:f t="shared" si="173"/>
        <x:v/>
      </x:c>
      <x:c r="D1363" s="441"/>
      <x:c r="E1363" s="442" t="str">
        <x:f t="shared" si="174"/>
        <x:v/>
      </x:c>
      <x:c r="F1363" s="443"/>
      <x:c r="G1363" s="444"/>
      <x:c r="H1363" s="445" t="str">
        <x:f t="shared" si="171"/>
        <x:v/>
      </x:c>
      <x:c r="I1363" s="446" t="str">
        <x:f t="shared" si="175"/>
        <x:v/>
      </x:c>
      <x:c r="J1363" s="445"/>
      <x:c r="K1363" s="453"/>
      <x:c r="L1363" s="454"/>
      <x:c r="M1363" s="454"/>
      <x:c r="N1363" s="454"/>
      <x:c r="O1363" s="454"/>
      <x:c r="P1363" s="454"/>
      <x:c r="Q1363" s="454"/>
      <x:c r="R1363" s="454"/>
      <x:c r="S1363" s="454"/>
      <x:c r="T1363" s="454"/>
      <x:c r="U1363" s="454"/>
      <x:c r="V1363" s="455"/>
      <x:c r="W1363" s="456"/>
      <x:c r="X1363" s="450"/>
      <x:c r="Y1363" s="457"/>
      <x:c r="Z1363" s="458"/>
      <x:c r="AA1363" s="458"/>
      <x:c r="AB1363" s="458"/>
      <x:c r="AC1363" s="458"/>
      <x:c r="AD1363" s="458"/>
      <x:c r="AE1363" s="458"/>
    </x:row>
    <x:row r="1364" spans="1:31" ht="20.100000000000001" customHeight="1">
      <x:c r="A1364" s="439"/>
      <x:c r="B1364" s="466" t="str">
        <x:f t="shared" si="172"/>
        <x:v/>
      </x:c>
      <x:c r="C1364" s="440" t="str">
        <x:f t="shared" si="173"/>
        <x:v/>
      </x:c>
      <x:c r="D1364" s="441"/>
      <x:c r="E1364" s="442" t="str">
        <x:f t="shared" si="174"/>
        <x:v/>
      </x:c>
      <x:c r="F1364" s="443"/>
      <x:c r="G1364" s="444"/>
      <x:c r="H1364" s="445" t="str">
        <x:f t="shared" si="171"/>
        <x:v/>
      </x:c>
      <x:c r="I1364" s="446" t="str">
        <x:f t="shared" si="175"/>
        <x:v/>
      </x:c>
      <x:c r="J1364" s="445"/>
      <x:c r="K1364" s="453"/>
      <x:c r="L1364" s="454"/>
      <x:c r="M1364" s="454"/>
      <x:c r="N1364" s="454"/>
      <x:c r="O1364" s="454"/>
      <x:c r="P1364" s="454"/>
      <x:c r="Q1364" s="454"/>
      <x:c r="R1364" s="454"/>
      <x:c r="S1364" s="454"/>
      <x:c r="T1364" s="454"/>
      <x:c r="U1364" s="454"/>
      <x:c r="V1364" s="455"/>
      <x:c r="W1364" s="456"/>
      <x:c r="X1364" s="450"/>
      <x:c r="Y1364" s="457"/>
      <x:c r="Z1364" s="458"/>
      <x:c r="AA1364" s="458"/>
      <x:c r="AB1364" s="458"/>
      <x:c r="AC1364" s="458"/>
      <x:c r="AD1364" s="458"/>
      <x:c r="AE1364" s="458"/>
    </x:row>
    <x:row r="1365" spans="1:31" ht="20.100000000000001" customHeight="1">
      <x:c r="A1365" s="439"/>
      <x:c r="B1365" s="466" t="str">
        <x:f t="shared" si="172"/>
        <x:v/>
      </x:c>
      <x:c r="C1365" s="440" t="str">
        <x:f t="shared" si="173"/>
        <x:v/>
      </x:c>
      <x:c r="D1365" s="441"/>
      <x:c r="E1365" s="442" t="str">
        <x:f t="shared" si="174"/>
        <x:v/>
      </x:c>
      <x:c r="F1365" s="443"/>
      <x:c r="G1365" s="444"/>
      <x:c r="H1365" s="445" t="str">
        <x:f t="shared" si="171"/>
        <x:v/>
      </x:c>
      <x:c r="I1365" s="446" t="str">
        <x:f t="shared" si="175"/>
        <x:v/>
      </x:c>
      <x:c r="J1365" s="445"/>
      <x:c r="K1365" s="453"/>
      <x:c r="L1365" s="454"/>
      <x:c r="M1365" s="454"/>
      <x:c r="N1365" s="454"/>
      <x:c r="O1365" s="454"/>
      <x:c r="P1365" s="454"/>
      <x:c r="Q1365" s="454"/>
      <x:c r="R1365" s="454"/>
      <x:c r="S1365" s="454"/>
      <x:c r="T1365" s="454"/>
      <x:c r="U1365" s="454"/>
      <x:c r="V1365" s="455"/>
      <x:c r="W1365" s="456"/>
      <x:c r="X1365" s="450"/>
      <x:c r="Y1365" s="457"/>
      <x:c r="Z1365" s="458"/>
      <x:c r="AA1365" s="458"/>
      <x:c r="AB1365" s="458"/>
      <x:c r="AC1365" s="458"/>
      <x:c r="AD1365" s="458"/>
      <x:c r="AE1365" s="458"/>
    </x:row>
    <x:row r="1366" spans="1:31" ht="20.100000000000001" customHeight="1">
      <x:c r="A1366" s="439"/>
      <x:c r="B1366" s="466" t="str">
        <x:f t="shared" si="172"/>
        <x:v/>
      </x:c>
      <x:c r="C1366" s="440" t="str">
        <x:f t="shared" si="173"/>
        <x:v/>
      </x:c>
      <x:c r="D1366" s="441"/>
      <x:c r="E1366" s="442" t="str">
        <x:f t="shared" si="174"/>
        <x:v/>
      </x:c>
      <x:c r="F1366" s="443"/>
      <x:c r="G1366" s="444"/>
      <x:c r="H1366" s="445" t="str">
        <x:f t="shared" si="171"/>
        <x:v/>
      </x:c>
      <x:c r="I1366" s="446" t="str">
        <x:f t="shared" si="175"/>
        <x:v/>
      </x:c>
      <x:c r="J1366" s="445"/>
      <x:c r="K1366" s="453"/>
      <x:c r="L1366" s="454"/>
      <x:c r="M1366" s="454"/>
      <x:c r="N1366" s="454"/>
      <x:c r="O1366" s="454"/>
      <x:c r="P1366" s="454"/>
      <x:c r="Q1366" s="454"/>
      <x:c r="R1366" s="454"/>
      <x:c r="S1366" s="454"/>
      <x:c r="T1366" s="454"/>
      <x:c r="U1366" s="454"/>
      <x:c r="V1366" s="455"/>
      <x:c r="W1366" s="456"/>
      <x:c r="X1366" s="450"/>
      <x:c r="Y1366" s="457"/>
      <x:c r="Z1366" s="458"/>
      <x:c r="AA1366" s="458"/>
      <x:c r="AB1366" s="458"/>
      <x:c r="AC1366" s="458"/>
      <x:c r="AD1366" s="458"/>
      <x:c r="AE1366" s="458"/>
    </x:row>
    <x:row r="1367" spans="1:31" ht="20.100000000000001" customHeight="1">
      <x:c r="A1367" s="439"/>
      <x:c r="B1367" s="466" t="str">
        <x:f t="shared" si="172"/>
        <x:v/>
      </x:c>
      <x:c r="C1367" s="440" t="str">
        <x:f t="shared" si="173"/>
        <x:v/>
      </x:c>
      <x:c r="D1367" s="441"/>
      <x:c r="E1367" s="442" t="str">
        <x:f t="shared" si="174"/>
        <x:v/>
      </x:c>
      <x:c r="F1367" s="443"/>
      <x:c r="G1367" s="444"/>
      <x:c r="H1367" s="445" t="str">
        <x:f t="shared" si="171"/>
        <x:v/>
      </x:c>
      <x:c r="I1367" s="446" t="str">
        <x:f t="shared" si="175"/>
        <x:v/>
      </x:c>
      <x:c r="J1367" s="445"/>
      <x:c r="K1367" s="453"/>
      <x:c r="L1367" s="454"/>
      <x:c r="M1367" s="454"/>
      <x:c r="N1367" s="454"/>
      <x:c r="O1367" s="454"/>
      <x:c r="P1367" s="454"/>
      <x:c r="Q1367" s="454"/>
      <x:c r="R1367" s="454"/>
      <x:c r="S1367" s="454"/>
      <x:c r="T1367" s="454"/>
      <x:c r="U1367" s="454"/>
      <x:c r="V1367" s="455"/>
      <x:c r="W1367" s="456"/>
      <x:c r="X1367" s="450"/>
      <x:c r="Y1367" s="457"/>
      <x:c r="Z1367" s="458"/>
      <x:c r="AA1367" s="458"/>
      <x:c r="AB1367" s="458"/>
      <x:c r="AC1367" s="458"/>
      <x:c r="AD1367" s="458"/>
      <x:c r="AE1367" s="458"/>
    </x:row>
    <x:row r="1368" spans="1:31" ht="20.100000000000001" customHeight="1">
      <x:c r="A1368" s="439"/>
      <x:c r="B1368" s="466" t="str">
        <x:f t="shared" si="172"/>
        <x:v/>
      </x:c>
      <x:c r="C1368" s="440" t="str">
        <x:f t="shared" si="173"/>
        <x:v/>
      </x:c>
      <x:c r="D1368" s="441"/>
      <x:c r="E1368" s="442" t="str">
        <x:f t="shared" si="174"/>
        <x:v/>
      </x:c>
      <x:c r="F1368" s="443"/>
      <x:c r="G1368" s="444"/>
      <x:c r="H1368" s="445" t="str">
        <x:f t="shared" si="171"/>
        <x:v/>
      </x:c>
      <x:c r="I1368" s="446" t="str">
        <x:f t="shared" si="175"/>
        <x:v/>
      </x:c>
      <x:c r="J1368" s="445"/>
      <x:c r="K1368" s="453"/>
      <x:c r="L1368" s="454"/>
      <x:c r="M1368" s="454"/>
      <x:c r="N1368" s="454"/>
      <x:c r="O1368" s="454"/>
      <x:c r="P1368" s="454"/>
      <x:c r="Q1368" s="454"/>
      <x:c r="R1368" s="454"/>
      <x:c r="S1368" s="454"/>
      <x:c r="T1368" s="454"/>
      <x:c r="U1368" s="454"/>
      <x:c r="V1368" s="455"/>
      <x:c r="W1368" s="456"/>
      <x:c r="X1368" s="450"/>
      <x:c r="Y1368" s="457"/>
      <x:c r="Z1368" s="458"/>
      <x:c r="AA1368" s="458"/>
      <x:c r="AB1368" s="458"/>
      <x:c r="AC1368" s="458"/>
      <x:c r="AD1368" s="458"/>
      <x:c r="AE1368" s="458"/>
    </x:row>
    <x:row r="1369" spans="1:31" ht="20.100000000000001" customHeight="1">
      <x:c r="A1369" s="439"/>
      <x:c r="B1369" s="466" t="str">
        <x:f t="shared" si="172"/>
        <x:v/>
      </x:c>
      <x:c r="C1369" s="440" t="str">
        <x:f t="shared" si="173"/>
        <x:v/>
      </x:c>
      <x:c r="D1369" s="441"/>
      <x:c r="E1369" s="442" t="str">
        <x:f t="shared" si="174"/>
        <x:v/>
      </x:c>
      <x:c r="F1369" s="443"/>
      <x:c r="G1369" s="444"/>
      <x:c r="H1369" s="445" t="str">
        <x:f t="shared" si="171"/>
        <x:v/>
      </x:c>
      <x:c r="I1369" s="446" t="str">
        <x:f t="shared" si="175"/>
        <x:v/>
      </x:c>
      <x:c r="J1369" s="445"/>
      <x:c r="K1369" s="453"/>
      <x:c r="L1369" s="454"/>
      <x:c r="M1369" s="454"/>
      <x:c r="N1369" s="454"/>
      <x:c r="O1369" s="454"/>
      <x:c r="P1369" s="454"/>
      <x:c r="Q1369" s="454"/>
      <x:c r="R1369" s="454"/>
      <x:c r="S1369" s="454"/>
      <x:c r="T1369" s="454"/>
      <x:c r="U1369" s="454"/>
      <x:c r="V1369" s="455"/>
      <x:c r="W1369" s="456"/>
      <x:c r="X1369" s="450"/>
      <x:c r="Y1369" s="457"/>
      <x:c r="Z1369" s="458"/>
      <x:c r="AA1369" s="458"/>
      <x:c r="AB1369" s="458"/>
      <x:c r="AC1369" s="458"/>
      <x:c r="AD1369" s="458"/>
      <x:c r="AE1369" s="458"/>
    </x:row>
    <x:row r="1370" spans="1:31" ht="20.100000000000001" customHeight="1">
      <x:c r="A1370" s="439"/>
      <x:c r="B1370" s="466" t="str">
        <x:f t="shared" si="172"/>
        <x:v/>
      </x:c>
      <x:c r="C1370" s="440" t="str">
        <x:f t="shared" si="173"/>
        <x:v/>
      </x:c>
      <x:c r="D1370" s="441"/>
      <x:c r="E1370" s="442" t="str">
        <x:f t="shared" si="174"/>
        <x:v/>
      </x:c>
      <x:c r="F1370" s="443"/>
      <x:c r="G1370" s="444"/>
      <x:c r="H1370" s="445" t="str">
        <x:f t="shared" si="171"/>
        <x:v/>
      </x:c>
      <x:c r="I1370" s="446" t="str">
        <x:f t="shared" si="175"/>
        <x:v/>
      </x:c>
      <x:c r="J1370" s="445"/>
      <x:c r="K1370" s="453"/>
      <x:c r="L1370" s="454"/>
      <x:c r="M1370" s="454"/>
      <x:c r="N1370" s="454"/>
      <x:c r="O1370" s="454"/>
      <x:c r="P1370" s="454"/>
      <x:c r="Q1370" s="454"/>
      <x:c r="R1370" s="454"/>
      <x:c r="S1370" s="454"/>
      <x:c r="T1370" s="454"/>
      <x:c r="U1370" s="454"/>
      <x:c r="V1370" s="455"/>
      <x:c r="W1370" s="456"/>
      <x:c r="X1370" s="450"/>
      <x:c r="Y1370" s="457"/>
      <x:c r="Z1370" s="458"/>
      <x:c r="AA1370" s="458"/>
      <x:c r="AB1370" s="458"/>
      <x:c r="AC1370" s="458"/>
      <x:c r="AD1370" s="458"/>
      <x:c r="AE1370" s="458"/>
    </x:row>
    <x:row r="1371" spans="1:31" ht="20.100000000000001" customHeight="1">
      <x:c r="A1371" s="439"/>
      <x:c r="B1371" s="466" t="str">
        <x:f t="shared" si="172"/>
        <x:v/>
      </x:c>
      <x:c r="C1371" s="440" t="str">
        <x:f t="shared" si="173"/>
        <x:v/>
      </x:c>
      <x:c r="D1371" s="441"/>
      <x:c r="E1371" s="442" t="str">
        <x:f t="shared" si="174"/>
        <x:v/>
      </x:c>
      <x:c r="F1371" s="443"/>
      <x:c r="G1371" s="444"/>
      <x:c r="H1371" s="445" t="str">
        <x:f t="shared" si="171"/>
        <x:v/>
      </x:c>
      <x:c r="I1371" s="446" t="str">
        <x:f t="shared" si="175"/>
        <x:v/>
      </x:c>
      <x:c r="J1371" s="445"/>
      <x:c r="K1371" s="453"/>
      <x:c r="L1371" s="454"/>
      <x:c r="M1371" s="454"/>
      <x:c r="N1371" s="454"/>
      <x:c r="O1371" s="454"/>
      <x:c r="P1371" s="454"/>
      <x:c r="Q1371" s="454"/>
      <x:c r="R1371" s="454"/>
      <x:c r="S1371" s="454"/>
      <x:c r="T1371" s="454"/>
      <x:c r="U1371" s="454"/>
      <x:c r="V1371" s="455"/>
      <x:c r="W1371" s="456"/>
      <x:c r="X1371" s="450"/>
      <x:c r="Y1371" s="457"/>
      <x:c r="Z1371" s="458"/>
      <x:c r="AA1371" s="458"/>
      <x:c r="AB1371" s="458"/>
      <x:c r="AC1371" s="458"/>
      <x:c r="AD1371" s="458"/>
      <x:c r="AE1371" s="458"/>
    </x:row>
    <x:row r="1372" spans="1:31" ht="20.100000000000001" customHeight="1">
      <x:c r="A1372" s="439"/>
      <x:c r="B1372" s="466" t="str">
        <x:f t="shared" si="172"/>
        <x:v/>
      </x:c>
      <x:c r="C1372" s="440" t="str">
        <x:f t="shared" si="173"/>
        <x:v/>
      </x:c>
      <x:c r="D1372" s="441"/>
      <x:c r="E1372" s="442" t="str">
        <x:f t="shared" si="174"/>
        <x:v/>
      </x:c>
      <x:c r="F1372" s="443"/>
      <x:c r="G1372" s="444"/>
      <x:c r="H1372" s="445" t="str">
        <x:f t="shared" si="171"/>
        <x:v/>
      </x:c>
      <x:c r="I1372" s="446" t="str">
        <x:f t="shared" si="175"/>
        <x:v/>
      </x:c>
      <x:c r="J1372" s="445"/>
      <x:c r="K1372" s="453"/>
      <x:c r="L1372" s="454"/>
      <x:c r="M1372" s="454"/>
      <x:c r="N1372" s="454"/>
      <x:c r="O1372" s="454"/>
      <x:c r="P1372" s="454"/>
      <x:c r="Q1372" s="454"/>
      <x:c r="R1372" s="454"/>
      <x:c r="S1372" s="454"/>
      <x:c r="T1372" s="454"/>
      <x:c r="U1372" s="454"/>
      <x:c r="V1372" s="455"/>
      <x:c r="W1372" s="456"/>
      <x:c r="X1372" s="450"/>
      <x:c r="Y1372" s="457"/>
      <x:c r="Z1372" s="458"/>
      <x:c r="AA1372" s="458"/>
      <x:c r="AB1372" s="458"/>
      <x:c r="AC1372" s="458"/>
      <x:c r="AD1372" s="458"/>
      <x:c r="AE1372" s="458"/>
    </x:row>
    <x:row r="1373" spans="1:31" ht="20.100000000000001" customHeight="1">
      <x:c r="A1373" s="439"/>
      <x:c r="B1373" s="466" t="str">
        <x:f t="shared" si="172"/>
        <x:v/>
      </x:c>
      <x:c r="C1373" s="440" t="str">
        <x:f t="shared" si="173"/>
        <x:v/>
      </x:c>
      <x:c r="D1373" s="441"/>
      <x:c r="E1373" s="442" t="str">
        <x:f t="shared" si="174"/>
        <x:v/>
      </x:c>
      <x:c r="F1373" s="443"/>
      <x:c r="G1373" s="444"/>
      <x:c r="H1373" s="445" t="str">
        <x:f t="shared" si="171"/>
        <x:v/>
      </x:c>
      <x:c r="I1373" s="446" t="str">
        <x:f t="shared" si="175"/>
        <x:v/>
      </x:c>
      <x:c r="J1373" s="445"/>
      <x:c r="K1373" s="453"/>
      <x:c r="L1373" s="454"/>
      <x:c r="M1373" s="454"/>
      <x:c r="N1373" s="454"/>
      <x:c r="O1373" s="454"/>
      <x:c r="P1373" s="454"/>
      <x:c r="Q1373" s="454"/>
      <x:c r="R1373" s="454"/>
      <x:c r="S1373" s="454"/>
      <x:c r="T1373" s="454"/>
      <x:c r="U1373" s="454"/>
      <x:c r="V1373" s="455"/>
      <x:c r="W1373" s="456"/>
      <x:c r="X1373" s="450"/>
      <x:c r="Y1373" s="457"/>
      <x:c r="Z1373" s="458"/>
      <x:c r="AA1373" s="458"/>
      <x:c r="AB1373" s="458"/>
      <x:c r="AC1373" s="458"/>
      <x:c r="AD1373" s="458"/>
      <x:c r="AE1373" s="458"/>
    </x:row>
    <x:row r="1374" spans="1:31" ht="20.100000000000001" customHeight="1">
      <x:c r="A1374" s="439"/>
      <x:c r="B1374" s="466" t="str">
        <x:f t="shared" si="172"/>
        <x:v/>
      </x:c>
      <x:c r="C1374" s="440" t="str">
        <x:f t="shared" si="173"/>
        <x:v/>
      </x:c>
      <x:c r="D1374" s="441"/>
      <x:c r="E1374" s="442" t="str">
        <x:f t="shared" si="174"/>
        <x:v/>
      </x:c>
      <x:c r="F1374" s="443"/>
      <x:c r="G1374" s="444"/>
      <x:c r="H1374" s="445" t="str">
        <x:f t="shared" si="171"/>
        <x:v/>
      </x:c>
      <x:c r="I1374" s="446" t="str">
        <x:f t="shared" si="175"/>
        <x:v/>
      </x:c>
      <x:c r="J1374" s="445"/>
      <x:c r="K1374" s="453"/>
      <x:c r="L1374" s="454"/>
      <x:c r="M1374" s="454"/>
      <x:c r="N1374" s="454"/>
      <x:c r="O1374" s="454"/>
      <x:c r="P1374" s="454"/>
      <x:c r="Q1374" s="454"/>
      <x:c r="R1374" s="454"/>
      <x:c r="S1374" s="454"/>
      <x:c r="T1374" s="454"/>
      <x:c r="U1374" s="454"/>
      <x:c r="V1374" s="455"/>
      <x:c r="W1374" s="456"/>
      <x:c r="X1374" s="450"/>
      <x:c r="Y1374" s="457"/>
      <x:c r="Z1374" s="458"/>
      <x:c r="AA1374" s="458"/>
      <x:c r="AB1374" s="458"/>
      <x:c r="AC1374" s="458"/>
      <x:c r="AD1374" s="458"/>
      <x:c r="AE1374" s="458"/>
    </x:row>
    <x:row r="1375" spans="1:31" ht="20.100000000000001" customHeight="1">
      <x:c r="A1375" s="439"/>
      <x:c r="B1375" s="466" t="str">
        <x:f t="shared" si="172"/>
        <x:v/>
      </x:c>
      <x:c r="C1375" s="440" t="str">
        <x:f t="shared" si="173"/>
        <x:v/>
      </x:c>
      <x:c r="D1375" s="441"/>
      <x:c r="E1375" s="442" t="str">
        <x:f t="shared" si="174"/>
        <x:v/>
      </x:c>
      <x:c r="F1375" s="443"/>
      <x:c r="G1375" s="444"/>
      <x:c r="H1375" s="445" t="str">
        <x:f t="shared" si="171"/>
        <x:v/>
      </x:c>
      <x:c r="I1375" s="446" t="str">
        <x:f t="shared" si="175"/>
        <x:v/>
      </x:c>
      <x:c r="J1375" s="445"/>
      <x:c r="K1375" s="453"/>
      <x:c r="L1375" s="454"/>
      <x:c r="M1375" s="454"/>
      <x:c r="N1375" s="454"/>
      <x:c r="O1375" s="454"/>
      <x:c r="P1375" s="454"/>
      <x:c r="Q1375" s="454"/>
      <x:c r="R1375" s="454"/>
      <x:c r="S1375" s="454"/>
      <x:c r="T1375" s="454"/>
      <x:c r="U1375" s="454"/>
      <x:c r="V1375" s="455"/>
      <x:c r="W1375" s="456"/>
      <x:c r="X1375" s="450"/>
      <x:c r="Y1375" s="457"/>
      <x:c r="Z1375" s="458"/>
      <x:c r="AA1375" s="458"/>
      <x:c r="AB1375" s="458"/>
      <x:c r="AC1375" s="458"/>
      <x:c r="AD1375" s="458"/>
      <x:c r="AE1375" s="458"/>
    </x:row>
    <x:row r="1376" spans="1:31" ht="20.100000000000001" customHeight="1">
      <x:c r="A1376" s="439"/>
      <x:c r="B1376" s="466" t="str">
        <x:f t="shared" si="172"/>
        <x:v/>
      </x:c>
      <x:c r="C1376" s="440" t="str">
        <x:f t="shared" si="173"/>
        <x:v/>
      </x:c>
      <x:c r="D1376" s="441"/>
      <x:c r="E1376" s="442" t="str">
        <x:f t="shared" si="174"/>
        <x:v/>
      </x:c>
      <x:c r="F1376" s="443"/>
      <x:c r="G1376" s="444"/>
      <x:c r="H1376" s="445" t="str">
        <x:f t="shared" si="171"/>
        <x:v/>
      </x:c>
      <x:c r="I1376" s="446" t="str">
        <x:f t="shared" si="175"/>
        <x:v/>
      </x:c>
      <x:c r="J1376" s="445"/>
      <x:c r="K1376" s="453"/>
      <x:c r="L1376" s="454"/>
      <x:c r="M1376" s="454"/>
      <x:c r="N1376" s="454"/>
      <x:c r="O1376" s="454"/>
      <x:c r="P1376" s="454"/>
      <x:c r="Q1376" s="454"/>
      <x:c r="R1376" s="454"/>
      <x:c r="S1376" s="454"/>
      <x:c r="T1376" s="454"/>
      <x:c r="U1376" s="454"/>
      <x:c r="V1376" s="455"/>
      <x:c r="W1376" s="456"/>
      <x:c r="X1376" s="450"/>
      <x:c r="Y1376" s="457"/>
      <x:c r="Z1376" s="458"/>
      <x:c r="AA1376" s="458"/>
      <x:c r="AB1376" s="458"/>
      <x:c r="AC1376" s="458"/>
      <x:c r="AD1376" s="458"/>
      <x:c r="AE1376" s="458"/>
    </x:row>
    <x:row r="1377" spans="1:31" ht="20.100000000000001" customHeight="1">
      <x:c r="A1377" s="439"/>
      <x:c r="B1377" s="466" t="str">
        <x:f t="shared" si="172"/>
        <x:v/>
      </x:c>
      <x:c r="C1377" s="440" t="str">
        <x:f t="shared" si="173"/>
        <x:v/>
      </x:c>
      <x:c r="D1377" s="441"/>
      <x:c r="E1377" s="442" t="str">
        <x:f t="shared" si="174"/>
        <x:v/>
      </x:c>
      <x:c r="F1377" s="443"/>
      <x:c r="G1377" s="444"/>
      <x:c r="H1377" s="445" t="str">
        <x:f t="shared" si="171"/>
        <x:v/>
      </x:c>
      <x:c r="I1377" s="446" t="str">
        <x:f t="shared" si="175"/>
        <x:v/>
      </x:c>
      <x:c r="J1377" s="445"/>
      <x:c r="K1377" s="453"/>
      <x:c r="L1377" s="454"/>
      <x:c r="M1377" s="454"/>
      <x:c r="N1377" s="454"/>
      <x:c r="O1377" s="454"/>
      <x:c r="P1377" s="454"/>
      <x:c r="Q1377" s="454"/>
      <x:c r="R1377" s="454"/>
      <x:c r="S1377" s="454"/>
      <x:c r="T1377" s="454"/>
      <x:c r="U1377" s="454"/>
      <x:c r="V1377" s="455"/>
      <x:c r="W1377" s="456"/>
      <x:c r="X1377" s="450"/>
      <x:c r="Y1377" s="457"/>
      <x:c r="Z1377" s="458"/>
      <x:c r="AA1377" s="458"/>
      <x:c r="AB1377" s="458"/>
      <x:c r="AC1377" s="458"/>
      <x:c r="AD1377" s="458"/>
      <x:c r="AE1377" s="458"/>
    </x:row>
    <x:row r="1378" spans="1:31" ht="20.100000000000001" customHeight="1">
      <x:c r="A1378" s="439"/>
      <x:c r="B1378" s="466" t="str">
        <x:f t="shared" si="172"/>
        <x:v/>
      </x:c>
      <x:c r="C1378" s="440" t="str">
        <x:f t="shared" si="173"/>
        <x:v/>
      </x:c>
      <x:c r="D1378" s="441"/>
      <x:c r="E1378" s="442" t="str">
        <x:f t="shared" si="174"/>
        <x:v/>
      </x:c>
      <x:c r="F1378" s="443"/>
      <x:c r="G1378" s="444"/>
      <x:c r="H1378" s="445" t="str">
        <x:f t="shared" si="171"/>
        <x:v/>
      </x:c>
      <x:c r="I1378" s="446" t="str">
        <x:f t="shared" si="175"/>
        <x:v/>
      </x:c>
      <x:c r="J1378" s="445"/>
      <x:c r="K1378" s="453"/>
      <x:c r="L1378" s="454"/>
      <x:c r="M1378" s="454"/>
      <x:c r="N1378" s="454"/>
      <x:c r="O1378" s="454"/>
      <x:c r="P1378" s="454"/>
      <x:c r="Q1378" s="454"/>
      <x:c r="R1378" s="454"/>
      <x:c r="S1378" s="454"/>
      <x:c r="T1378" s="454"/>
      <x:c r="U1378" s="454"/>
      <x:c r="V1378" s="455"/>
      <x:c r="W1378" s="456"/>
      <x:c r="X1378" s="450"/>
      <x:c r="Y1378" s="457"/>
      <x:c r="Z1378" s="458"/>
      <x:c r="AA1378" s="458"/>
      <x:c r="AB1378" s="458"/>
      <x:c r="AC1378" s="458"/>
      <x:c r="AD1378" s="458"/>
      <x:c r="AE1378" s="458"/>
    </x:row>
    <x:row r="1379" spans="1:31" ht="20.100000000000001" customHeight="1">
      <x:c r="A1379" s="439"/>
      <x:c r="B1379" s="466" t="str">
        <x:f t="shared" si="172"/>
        <x:v/>
      </x:c>
      <x:c r="C1379" s="440" t="str">
        <x:f t="shared" si="173"/>
        <x:v/>
      </x:c>
      <x:c r="D1379" s="441"/>
      <x:c r="E1379" s="442" t="str">
        <x:f t="shared" si="174"/>
        <x:v/>
      </x:c>
      <x:c r="F1379" s="443"/>
      <x:c r="G1379" s="444"/>
      <x:c r="H1379" s="445" t="str">
        <x:f t="shared" si="171"/>
        <x:v/>
      </x:c>
      <x:c r="I1379" s="446" t="str">
        <x:f t="shared" si="175"/>
        <x:v/>
      </x:c>
      <x:c r="J1379" s="445"/>
      <x:c r="K1379" s="453"/>
      <x:c r="L1379" s="454"/>
      <x:c r="M1379" s="454"/>
      <x:c r="N1379" s="454"/>
      <x:c r="O1379" s="454"/>
      <x:c r="P1379" s="454"/>
      <x:c r="Q1379" s="454"/>
      <x:c r="R1379" s="454"/>
      <x:c r="S1379" s="454"/>
      <x:c r="T1379" s="454"/>
      <x:c r="U1379" s="454"/>
      <x:c r="V1379" s="455"/>
      <x:c r="W1379" s="456"/>
      <x:c r="X1379" s="450"/>
      <x:c r="Y1379" s="457"/>
      <x:c r="Z1379" s="458"/>
      <x:c r="AA1379" s="458"/>
      <x:c r="AB1379" s="458"/>
      <x:c r="AC1379" s="458"/>
      <x:c r="AD1379" s="458"/>
      <x:c r="AE1379" s="458"/>
    </x:row>
    <x:row r="1380" spans="1:31" ht="20.100000000000001" customHeight="1">
      <x:c r="A1380" s="439"/>
      <x:c r="B1380" s="466" t="str">
        <x:f t="shared" si="172"/>
        <x:v/>
      </x:c>
      <x:c r="C1380" s="440" t="str">
        <x:f t="shared" si="173"/>
        <x:v/>
      </x:c>
      <x:c r="D1380" s="441"/>
      <x:c r="E1380" s="442" t="str">
        <x:f t="shared" si="174"/>
        <x:v/>
      </x:c>
      <x:c r="F1380" s="443"/>
      <x:c r="G1380" s="444"/>
      <x:c r="H1380" s="445" t="str">
        <x:f t="shared" si="171"/>
        <x:v/>
      </x:c>
      <x:c r="I1380" s="446" t="str">
        <x:f t="shared" si="175"/>
        <x:v/>
      </x:c>
      <x:c r="J1380" s="445"/>
      <x:c r="K1380" s="453"/>
      <x:c r="L1380" s="454"/>
      <x:c r="M1380" s="454"/>
      <x:c r="N1380" s="454"/>
      <x:c r="O1380" s="454"/>
      <x:c r="P1380" s="454"/>
      <x:c r="Q1380" s="454"/>
      <x:c r="R1380" s="454"/>
      <x:c r="S1380" s="454"/>
      <x:c r="T1380" s="454"/>
      <x:c r="U1380" s="454"/>
      <x:c r="V1380" s="455"/>
      <x:c r="W1380" s="456"/>
      <x:c r="X1380" s="450"/>
      <x:c r="Y1380" s="457"/>
      <x:c r="Z1380" s="458"/>
      <x:c r="AA1380" s="458"/>
      <x:c r="AB1380" s="458"/>
      <x:c r="AC1380" s="458"/>
      <x:c r="AD1380" s="458"/>
      <x:c r="AE1380" s="458"/>
    </x:row>
    <x:row r="1381" spans="1:31" ht="20.100000000000001" customHeight="1">
      <x:c r="A1381" s="439"/>
      <x:c r="B1381" s="466" t="str">
        <x:f t="shared" si="172"/>
        <x:v/>
      </x:c>
      <x:c r="C1381" s="440" t="str">
        <x:f t="shared" si="173"/>
        <x:v/>
      </x:c>
      <x:c r="D1381" s="441"/>
      <x:c r="E1381" s="442" t="str">
        <x:f t="shared" si="174"/>
        <x:v/>
      </x:c>
      <x:c r="F1381" s="443"/>
      <x:c r="G1381" s="444"/>
      <x:c r="H1381" s="445" t="str">
        <x:f t="shared" si="171"/>
        <x:v/>
      </x:c>
      <x:c r="I1381" s="446" t="str">
        <x:f t="shared" si="175"/>
        <x:v/>
      </x:c>
      <x:c r="J1381" s="445"/>
      <x:c r="K1381" s="453"/>
      <x:c r="L1381" s="454"/>
      <x:c r="M1381" s="454"/>
      <x:c r="N1381" s="454"/>
      <x:c r="O1381" s="454"/>
      <x:c r="P1381" s="454"/>
      <x:c r="Q1381" s="454"/>
      <x:c r="R1381" s="454"/>
      <x:c r="S1381" s="454"/>
      <x:c r="T1381" s="454"/>
      <x:c r="U1381" s="454"/>
      <x:c r="V1381" s="455"/>
      <x:c r="W1381" s="456"/>
      <x:c r="X1381" s="450"/>
      <x:c r="Y1381" s="457"/>
      <x:c r="Z1381" s="458"/>
      <x:c r="AA1381" s="458"/>
      <x:c r="AB1381" s="458"/>
      <x:c r="AC1381" s="458"/>
      <x:c r="AD1381" s="458"/>
      <x:c r="AE1381" s="458"/>
    </x:row>
    <x:row r="1382" spans="1:31" ht="20.100000000000001" customHeight="1">
      <x:c r="A1382" s="439"/>
      <x:c r="B1382" s="466" t="str">
        <x:f t="shared" si="172"/>
        <x:v/>
      </x:c>
      <x:c r="C1382" s="440" t="str">
        <x:f t="shared" si="173"/>
        <x:v/>
      </x:c>
      <x:c r="D1382" s="441"/>
      <x:c r="E1382" s="442" t="str">
        <x:f t="shared" si="174"/>
        <x:v/>
      </x:c>
      <x:c r="F1382" s="443"/>
      <x:c r="G1382" s="444"/>
      <x:c r="H1382" s="445" t="str">
        <x:f t="shared" si="171"/>
        <x:v/>
      </x:c>
      <x:c r="I1382" s="446" t="str">
        <x:f t="shared" si="175"/>
        <x:v/>
      </x:c>
      <x:c r="J1382" s="445"/>
      <x:c r="K1382" s="453"/>
      <x:c r="L1382" s="454"/>
      <x:c r="M1382" s="454"/>
      <x:c r="N1382" s="454"/>
      <x:c r="O1382" s="454"/>
      <x:c r="P1382" s="454"/>
      <x:c r="Q1382" s="454"/>
      <x:c r="R1382" s="454"/>
      <x:c r="S1382" s="454"/>
      <x:c r="T1382" s="454"/>
      <x:c r="U1382" s="454"/>
      <x:c r="V1382" s="455"/>
      <x:c r="W1382" s="456"/>
      <x:c r="X1382" s="450"/>
      <x:c r="Y1382" s="457"/>
      <x:c r="Z1382" s="458"/>
      <x:c r="AA1382" s="458"/>
      <x:c r="AB1382" s="458"/>
      <x:c r="AC1382" s="458"/>
      <x:c r="AD1382" s="458"/>
      <x:c r="AE1382" s="458"/>
    </x:row>
    <x:row r="1383" spans="1:31" ht="20.100000000000001" customHeight="1">
      <x:c r="A1383" s="439"/>
      <x:c r="B1383" s="466" t="str">
        <x:f t="shared" si="172"/>
        <x:v/>
      </x:c>
      <x:c r="C1383" s="440" t="str">
        <x:f t="shared" si="173"/>
        <x:v/>
      </x:c>
      <x:c r="D1383" s="441"/>
      <x:c r="E1383" s="442" t="str">
        <x:f t="shared" si="174"/>
        <x:v/>
      </x:c>
      <x:c r="F1383" s="443"/>
      <x:c r="G1383" s="444"/>
      <x:c r="H1383" s="445" t="str">
        <x:f t="shared" si="171"/>
        <x:v/>
      </x:c>
      <x:c r="I1383" s="446" t="str">
        <x:f t="shared" si="175"/>
        <x:v/>
      </x:c>
      <x:c r="J1383" s="445"/>
      <x:c r="K1383" s="453"/>
      <x:c r="L1383" s="454"/>
      <x:c r="M1383" s="454"/>
      <x:c r="N1383" s="454"/>
      <x:c r="O1383" s="454"/>
      <x:c r="P1383" s="454"/>
      <x:c r="Q1383" s="454"/>
      <x:c r="R1383" s="454"/>
      <x:c r="S1383" s="454"/>
      <x:c r="T1383" s="454"/>
      <x:c r="U1383" s="454"/>
      <x:c r="V1383" s="455"/>
      <x:c r="W1383" s="456"/>
      <x:c r="X1383" s="450"/>
      <x:c r="Y1383" s="457"/>
      <x:c r="Z1383" s="458"/>
      <x:c r="AA1383" s="458"/>
      <x:c r="AB1383" s="458"/>
      <x:c r="AC1383" s="458"/>
      <x:c r="AD1383" s="458"/>
      <x:c r="AE1383" s="458"/>
    </x:row>
    <x:row r="1384" spans="1:31" ht="20.100000000000001" customHeight="1">
      <x:c r="A1384" s="439"/>
      <x:c r="B1384" s="466" t="str">
        <x:f t="shared" si="172"/>
        <x:v/>
      </x:c>
      <x:c r="C1384" s="440" t="str">
        <x:f t="shared" si="173"/>
        <x:v/>
      </x:c>
      <x:c r="D1384" s="441"/>
      <x:c r="E1384" s="442" t="str">
        <x:f t="shared" si="174"/>
        <x:v/>
      </x:c>
      <x:c r="F1384" s="443"/>
      <x:c r="G1384" s="444"/>
      <x:c r="H1384" s="445" t="str">
        <x:f t="shared" si="171"/>
        <x:v/>
      </x:c>
      <x:c r="I1384" s="446" t="str">
        <x:f t="shared" si="175"/>
        <x:v/>
      </x:c>
      <x:c r="J1384" s="445"/>
      <x:c r="K1384" s="453"/>
      <x:c r="L1384" s="454"/>
      <x:c r="M1384" s="454"/>
      <x:c r="N1384" s="454"/>
      <x:c r="O1384" s="454"/>
      <x:c r="P1384" s="454"/>
      <x:c r="Q1384" s="454"/>
      <x:c r="R1384" s="454"/>
      <x:c r="S1384" s="454"/>
      <x:c r="T1384" s="454"/>
      <x:c r="U1384" s="454"/>
      <x:c r="V1384" s="455"/>
      <x:c r="W1384" s="456"/>
      <x:c r="X1384" s="450"/>
      <x:c r="Y1384" s="457"/>
      <x:c r="Z1384" s="458"/>
      <x:c r="AA1384" s="458"/>
      <x:c r="AB1384" s="458"/>
      <x:c r="AC1384" s="458"/>
      <x:c r="AD1384" s="458"/>
      <x:c r="AE1384" s="458"/>
    </x:row>
    <x:row r="1385" spans="1:31" ht="20.100000000000001" customHeight="1">
      <x:c r="A1385" s="439"/>
      <x:c r="B1385" s="466" t="str">
        <x:f t="shared" si="172"/>
        <x:v/>
      </x:c>
      <x:c r="C1385" s="440" t="str">
        <x:f t="shared" si="173"/>
        <x:v/>
      </x:c>
      <x:c r="D1385" s="441"/>
      <x:c r="E1385" s="442" t="str">
        <x:f t="shared" si="174"/>
        <x:v/>
      </x:c>
      <x:c r="F1385" s="443"/>
      <x:c r="G1385" s="444"/>
      <x:c r="H1385" s="445" t="str">
        <x:f t="shared" si="171"/>
        <x:v/>
      </x:c>
      <x:c r="I1385" s="446" t="str">
        <x:f t="shared" si="175"/>
        <x:v/>
      </x:c>
      <x:c r="J1385" s="445"/>
      <x:c r="K1385" s="453"/>
      <x:c r="L1385" s="454"/>
      <x:c r="M1385" s="454"/>
      <x:c r="N1385" s="454"/>
      <x:c r="O1385" s="454"/>
      <x:c r="P1385" s="454"/>
      <x:c r="Q1385" s="454"/>
      <x:c r="R1385" s="454"/>
      <x:c r="S1385" s="454"/>
      <x:c r="T1385" s="454"/>
      <x:c r="U1385" s="454"/>
      <x:c r="V1385" s="455"/>
      <x:c r="W1385" s="456"/>
      <x:c r="X1385" s="450"/>
      <x:c r="Y1385" s="457"/>
      <x:c r="Z1385" s="458"/>
      <x:c r="AA1385" s="458"/>
      <x:c r="AB1385" s="458"/>
      <x:c r="AC1385" s="458"/>
      <x:c r="AD1385" s="458"/>
      <x:c r="AE1385" s="458"/>
    </x:row>
    <x:row r="1386" spans="1:31" ht="20.100000000000001" customHeight="1">
      <x:c r="A1386" s="439"/>
      <x:c r="B1386" s="466" t="str">
        <x:f t="shared" si="172"/>
        <x:v/>
      </x:c>
      <x:c r="C1386" s="440" t="str">
        <x:f t="shared" si="173"/>
        <x:v/>
      </x:c>
      <x:c r="D1386" s="441"/>
      <x:c r="E1386" s="442" t="str">
        <x:f t="shared" si="174"/>
        <x:v/>
      </x:c>
      <x:c r="F1386" s="443"/>
      <x:c r="G1386" s="444"/>
      <x:c r="H1386" s="445" t="str">
        <x:f t="shared" si="171"/>
        <x:v/>
      </x:c>
      <x:c r="I1386" s="446" t="str">
        <x:f t="shared" si="175"/>
        <x:v/>
      </x:c>
      <x:c r="J1386" s="445"/>
      <x:c r="K1386" s="453"/>
      <x:c r="L1386" s="454"/>
      <x:c r="M1386" s="454"/>
      <x:c r="N1386" s="454"/>
      <x:c r="O1386" s="454"/>
      <x:c r="P1386" s="454"/>
      <x:c r="Q1386" s="454"/>
      <x:c r="R1386" s="454"/>
      <x:c r="S1386" s="454"/>
      <x:c r="T1386" s="454"/>
      <x:c r="U1386" s="454"/>
      <x:c r="V1386" s="455"/>
      <x:c r="W1386" s="456"/>
      <x:c r="X1386" s="450"/>
      <x:c r="Y1386" s="457"/>
      <x:c r="Z1386" s="458"/>
      <x:c r="AA1386" s="458"/>
      <x:c r="AB1386" s="458"/>
      <x:c r="AC1386" s="458"/>
      <x:c r="AD1386" s="458"/>
      <x:c r="AE1386" s="458"/>
    </x:row>
    <x:row r="1387" spans="1:31" ht="20.100000000000001" customHeight="1">
      <x:c r="A1387" s="439"/>
      <x:c r="B1387" s="466" t="str">
        <x:f t="shared" si="172"/>
        <x:v/>
      </x:c>
      <x:c r="C1387" s="440" t="str">
        <x:f t="shared" si="173"/>
        <x:v/>
      </x:c>
      <x:c r="D1387" s="441"/>
      <x:c r="E1387" s="442" t="str">
        <x:f t="shared" si="174"/>
        <x:v/>
      </x:c>
      <x:c r="F1387" s="443"/>
      <x:c r="G1387" s="444"/>
      <x:c r="H1387" s="445" t="str">
        <x:f t="shared" si="171"/>
        <x:v/>
      </x:c>
      <x:c r="I1387" s="446" t="str">
        <x:f t="shared" si="175"/>
        <x:v/>
      </x:c>
      <x:c r="J1387" s="445"/>
      <x:c r="K1387" s="453"/>
      <x:c r="L1387" s="454"/>
      <x:c r="M1387" s="454"/>
      <x:c r="N1387" s="454"/>
      <x:c r="O1387" s="454"/>
      <x:c r="P1387" s="454"/>
      <x:c r="Q1387" s="454"/>
      <x:c r="R1387" s="454"/>
      <x:c r="S1387" s="454"/>
      <x:c r="T1387" s="454"/>
      <x:c r="U1387" s="454"/>
      <x:c r="V1387" s="455"/>
      <x:c r="W1387" s="456"/>
      <x:c r="X1387" s="450"/>
      <x:c r="Y1387" s="457"/>
      <x:c r="Z1387" s="458"/>
      <x:c r="AA1387" s="458"/>
      <x:c r="AB1387" s="458"/>
      <x:c r="AC1387" s="458"/>
      <x:c r="AD1387" s="458"/>
      <x:c r="AE1387" s="458"/>
    </x:row>
    <x:row r="1388" spans="1:31" ht="20.100000000000001" customHeight="1">
      <x:c r="A1388" s="439"/>
      <x:c r="B1388" s="466" t="str">
        <x:f t="shared" si="172"/>
        <x:v/>
      </x:c>
      <x:c r="C1388" s="440" t="str">
        <x:f t="shared" si="173"/>
        <x:v/>
      </x:c>
      <x:c r="D1388" s="441"/>
      <x:c r="E1388" s="442" t="str">
        <x:f t="shared" si="174"/>
        <x:v/>
      </x:c>
      <x:c r="F1388" s="443"/>
      <x:c r="G1388" s="444"/>
      <x:c r="H1388" s="445" t="str">
        <x:f t="shared" si="171"/>
        <x:v/>
      </x:c>
      <x:c r="I1388" s="446" t="str">
        <x:f t="shared" si="175"/>
        <x:v/>
      </x:c>
      <x:c r="J1388" s="445"/>
      <x:c r="K1388" s="453"/>
      <x:c r="L1388" s="454"/>
      <x:c r="M1388" s="454"/>
      <x:c r="N1388" s="454"/>
      <x:c r="O1388" s="454"/>
      <x:c r="P1388" s="454"/>
      <x:c r="Q1388" s="454"/>
      <x:c r="R1388" s="454"/>
      <x:c r="S1388" s="454"/>
      <x:c r="T1388" s="454"/>
      <x:c r="U1388" s="454"/>
      <x:c r="V1388" s="455"/>
      <x:c r="W1388" s="456"/>
      <x:c r="X1388" s="450"/>
      <x:c r="Y1388" s="457"/>
      <x:c r="Z1388" s="458"/>
      <x:c r="AA1388" s="458"/>
      <x:c r="AB1388" s="458"/>
      <x:c r="AC1388" s="458"/>
      <x:c r="AD1388" s="458"/>
      <x:c r="AE1388" s="458"/>
    </x:row>
    <x:row r="1389" spans="1:31" ht="20.100000000000001" customHeight="1">
      <x:c r="A1389" s="439"/>
      <x:c r="B1389" s="466" t="str">
        <x:f t="shared" si="172"/>
        <x:v/>
      </x:c>
      <x:c r="C1389" s="440" t="str">
        <x:f t="shared" si="173"/>
        <x:v/>
      </x:c>
      <x:c r="D1389" s="441"/>
      <x:c r="E1389" s="442" t="str">
        <x:f t="shared" si="174"/>
        <x:v/>
      </x:c>
      <x:c r="F1389" s="443"/>
      <x:c r="G1389" s="444"/>
      <x:c r="H1389" s="445" t="str">
        <x:f t="shared" si="171"/>
        <x:v/>
      </x:c>
      <x:c r="I1389" s="446" t="str">
        <x:f t="shared" si="175"/>
        <x:v/>
      </x:c>
      <x:c r="J1389" s="445"/>
      <x:c r="K1389" s="453"/>
      <x:c r="L1389" s="454"/>
      <x:c r="M1389" s="454"/>
      <x:c r="N1389" s="454"/>
      <x:c r="O1389" s="454"/>
      <x:c r="P1389" s="454"/>
      <x:c r="Q1389" s="454"/>
      <x:c r="R1389" s="454"/>
      <x:c r="S1389" s="454"/>
      <x:c r="T1389" s="454"/>
      <x:c r="U1389" s="454"/>
      <x:c r="V1389" s="455"/>
      <x:c r="W1389" s="456"/>
      <x:c r="X1389" s="450"/>
      <x:c r="Y1389" s="457"/>
      <x:c r="Z1389" s="458"/>
      <x:c r="AA1389" s="458"/>
      <x:c r="AB1389" s="458"/>
      <x:c r="AC1389" s="458"/>
      <x:c r="AD1389" s="458"/>
      <x:c r="AE1389" s="458"/>
    </x:row>
    <x:row r="1390" spans="1:31" ht="20.100000000000001" customHeight="1">
      <x:c r="A1390" s="439"/>
      <x:c r="B1390" s="466" t="str">
        <x:f t="shared" si="172"/>
        <x:v/>
      </x:c>
      <x:c r="C1390" s="440" t="str">
        <x:f t="shared" si="173"/>
        <x:v/>
      </x:c>
      <x:c r="D1390" s="441"/>
      <x:c r="E1390" s="442" t="str">
        <x:f t="shared" si="174"/>
        <x:v/>
      </x:c>
      <x:c r="F1390" s="443"/>
      <x:c r="G1390" s="444"/>
      <x:c r="H1390" s="445" t="str">
        <x:f t="shared" si="171"/>
        <x:v/>
      </x:c>
      <x:c r="I1390" s="446" t="str">
        <x:f t="shared" si="175"/>
        <x:v/>
      </x:c>
      <x:c r="J1390" s="445"/>
      <x:c r="K1390" s="453"/>
      <x:c r="L1390" s="454"/>
      <x:c r="M1390" s="454"/>
      <x:c r="N1390" s="454"/>
      <x:c r="O1390" s="454"/>
      <x:c r="P1390" s="454"/>
      <x:c r="Q1390" s="454"/>
      <x:c r="R1390" s="454"/>
      <x:c r="S1390" s="454"/>
      <x:c r="T1390" s="454"/>
      <x:c r="U1390" s="454"/>
      <x:c r="V1390" s="455"/>
      <x:c r="W1390" s="456"/>
      <x:c r="X1390" s="450"/>
      <x:c r="Y1390" s="457"/>
      <x:c r="Z1390" s="458"/>
      <x:c r="AA1390" s="458"/>
      <x:c r="AB1390" s="458"/>
      <x:c r="AC1390" s="458"/>
      <x:c r="AD1390" s="458"/>
      <x:c r="AE1390" s="458"/>
    </x:row>
    <x:row r="1391" spans="1:31" ht="20.100000000000001" customHeight="1">
      <x:c r="A1391" s="439"/>
      <x:c r="B1391" s="466" t="str">
        <x:f t="shared" si="172"/>
        <x:v/>
      </x:c>
      <x:c r="C1391" s="440" t="str">
        <x:f t="shared" si="173"/>
        <x:v/>
      </x:c>
      <x:c r="D1391" s="441"/>
      <x:c r="E1391" s="442" t="str">
        <x:f t="shared" si="174"/>
        <x:v/>
      </x:c>
      <x:c r="F1391" s="443"/>
      <x:c r="G1391" s="444"/>
      <x:c r="H1391" s="445" t="str">
        <x:f t="shared" si="171"/>
        <x:v/>
      </x:c>
      <x:c r="I1391" s="446" t="str">
        <x:f t="shared" si="175"/>
        <x:v/>
      </x:c>
      <x:c r="J1391" s="445"/>
      <x:c r="K1391" s="453"/>
      <x:c r="L1391" s="454"/>
      <x:c r="M1391" s="454"/>
      <x:c r="N1391" s="454"/>
      <x:c r="O1391" s="454"/>
      <x:c r="P1391" s="454"/>
      <x:c r="Q1391" s="454"/>
      <x:c r="R1391" s="454"/>
      <x:c r="S1391" s="454"/>
      <x:c r="T1391" s="454"/>
      <x:c r="U1391" s="454"/>
      <x:c r="V1391" s="455"/>
      <x:c r="W1391" s="456"/>
      <x:c r="X1391" s="450"/>
      <x:c r="Y1391" s="457"/>
      <x:c r="Z1391" s="458"/>
      <x:c r="AA1391" s="458"/>
      <x:c r="AB1391" s="458"/>
      <x:c r="AC1391" s="458"/>
      <x:c r="AD1391" s="458"/>
      <x:c r="AE1391" s="458"/>
    </x:row>
    <x:row r="1392" spans="1:31" ht="20.100000000000001" customHeight="1">
      <x:c r="A1392" s="439"/>
      <x:c r="B1392" s="466" t="str">
        <x:f t="shared" si="172"/>
        <x:v/>
      </x:c>
      <x:c r="C1392" s="440" t="str">
        <x:f t="shared" si="173"/>
        <x:v/>
      </x:c>
      <x:c r="D1392" s="441"/>
      <x:c r="E1392" s="442" t="str">
        <x:f t="shared" si="174"/>
        <x:v/>
      </x:c>
      <x:c r="F1392" s="443"/>
      <x:c r="G1392" s="444"/>
      <x:c r="H1392" s="445" t="str">
        <x:f t="shared" si="171"/>
        <x:v/>
      </x:c>
      <x:c r="I1392" s="446" t="str">
        <x:f t="shared" si="175"/>
        <x:v/>
      </x:c>
      <x:c r="J1392" s="445"/>
      <x:c r="K1392" s="453"/>
      <x:c r="L1392" s="454"/>
      <x:c r="M1392" s="454"/>
      <x:c r="N1392" s="454"/>
      <x:c r="O1392" s="454"/>
      <x:c r="P1392" s="454"/>
      <x:c r="Q1392" s="454"/>
      <x:c r="R1392" s="454"/>
      <x:c r="S1392" s="454"/>
      <x:c r="T1392" s="454"/>
      <x:c r="U1392" s="454"/>
      <x:c r="V1392" s="455"/>
      <x:c r="W1392" s="456"/>
      <x:c r="X1392" s="450"/>
      <x:c r="Y1392" s="457"/>
      <x:c r="Z1392" s="458"/>
      <x:c r="AA1392" s="458"/>
      <x:c r="AB1392" s="458"/>
      <x:c r="AC1392" s="458"/>
      <x:c r="AD1392" s="458"/>
      <x:c r="AE1392" s="458"/>
    </x:row>
    <x:row r="1393" spans="1:31" ht="20.100000000000001" customHeight="1">
      <x:c r="A1393" s="439"/>
      <x:c r="B1393" s="466" t="str">
        <x:f t="shared" si="172"/>
        <x:v/>
      </x:c>
      <x:c r="C1393" s="440" t="str">
        <x:f t="shared" si="173"/>
        <x:v/>
      </x:c>
      <x:c r="D1393" s="441"/>
      <x:c r="E1393" s="442" t="str">
        <x:f t="shared" si="174"/>
        <x:v/>
      </x:c>
      <x:c r="F1393" s="443"/>
      <x:c r="G1393" s="444"/>
      <x:c r="H1393" s="445" t="str">
        <x:f t="shared" si="171"/>
        <x:v/>
      </x:c>
      <x:c r="I1393" s="446" t="str">
        <x:f t="shared" si="175"/>
        <x:v/>
      </x:c>
      <x:c r="J1393" s="445"/>
      <x:c r="K1393" s="453"/>
      <x:c r="L1393" s="454"/>
      <x:c r="M1393" s="454"/>
      <x:c r="N1393" s="454"/>
      <x:c r="O1393" s="454"/>
      <x:c r="P1393" s="454"/>
      <x:c r="Q1393" s="454"/>
      <x:c r="R1393" s="454"/>
      <x:c r="S1393" s="454"/>
      <x:c r="T1393" s="454"/>
      <x:c r="U1393" s="454"/>
      <x:c r="V1393" s="455"/>
      <x:c r="W1393" s="456"/>
      <x:c r="X1393" s="450"/>
      <x:c r="Y1393" s="457"/>
      <x:c r="Z1393" s="458"/>
      <x:c r="AA1393" s="458"/>
      <x:c r="AB1393" s="458"/>
      <x:c r="AC1393" s="458"/>
      <x:c r="AD1393" s="458"/>
      <x:c r="AE1393" s="458"/>
    </x:row>
    <x:row r="1394" spans="1:31" ht="20.100000000000001" customHeight="1">
      <x:c r="A1394" s="439"/>
      <x:c r="B1394" s="466" t="str">
        <x:f t="shared" si="172"/>
        <x:v/>
      </x:c>
      <x:c r="C1394" s="440" t="str">
        <x:f t="shared" si="173"/>
        <x:v/>
      </x:c>
      <x:c r="D1394" s="441"/>
      <x:c r="E1394" s="442" t="str">
        <x:f t="shared" si="174"/>
        <x:v/>
      </x:c>
      <x:c r="F1394" s="443"/>
      <x:c r="G1394" s="444"/>
      <x:c r="H1394" s="445" t="str">
        <x:f t="shared" si="171"/>
        <x:v/>
      </x:c>
      <x:c r="I1394" s="446" t="str">
        <x:f t="shared" si="175"/>
        <x:v/>
      </x:c>
      <x:c r="J1394" s="445"/>
      <x:c r="K1394" s="453"/>
      <x:c r="L1394" s="454"/>
      <x:c r="M1394" s="454"/>
      <x:c r="N1394" s="454"/>
      <x:c r="O1394" s="454"/>
      <x:c r="P1394" s="454"/>
      <x:c r="Q1394" s="454"/>
      <x:c r="R1394" s="454"/>
      <x:c r="S1394" s="454"/>
      <x:c r="T1394" s="454"/>
      <x:c r="U1394" s="454"/>
      <x:c r="V1394" s="455"/>
      <x:c r="W1394" s="456"/>
      <x:c r="X1394" s="450"/>
      <x:c r="Y1394" s="457"/>
      <x:c r="Z1394" s="458"/>
      <x:c r="AA1394" s="458"/>
      <x:c r="AB1394" s="458"/>
      <x:c r="AC1394" s="458"/>
      <x:c r="AD1394" s="458"/>
      <x:c r="AE1394" s="458"/>
    </x:row>
    <x:row r="1395" spans="1:31" ht="20.100000000000001" customHeight="1">
      <x:c r="A1395" s="439"/>
      <x:c r="B1395" s="466" t="str">
        <x:f t="shared" si="172"/>
        <x:v/>
      </x:c>
      <x:c r="C1395" s="440" t="str">
        <x:f t="shared" si="173"/>
        <x:v/>
      </x:c>
      <x:c r="D1395" s="441"/>
      <x:c r="E1395" s="442" t="str">
        <x:f t="shared" si="174"/>
        <x:v/>
      </x:c>
      <x:c r="F1395" s="443"/>
      <x:c r="G1395" s="444"/>
      <x:c r="H1395" s="445" t="str">
        <x:f t="shared" si="171"/>
        <x:v/>
      </x:c>
      <x:c r="I1395" s="446" t="str">
        <x:f t="shared" si="175"/>
        <x:v/>
      </x:c>
      <x:c r="J1395" s="445"/>
      <x:c r="K1395" s="453"/>
      <x:c r="L1395" s="454"/>
      <x:c r="M1395" s="454"/>
      <x:c r="N1395" s="454"/>
      <x:c r="O1395" s="454"/>
      <x:c r="P1395" s="454"/>
      <x:c r="Q1395" s="454"/>
      <x:c r="R1395" s="454"/>
      <x:c r="S1395" s="454"/>
      <x:c r="T1395" s="454"/>
      <x:c r="U1395" s="454"/>
      <x:c r="V1395" s="455"/>
      <x:c r="W1395" s="456"/>
      <x:c r="X1395" s="450"/>
      <x:c r="Y1395" s="457"/>
      <x:c r="Z1395" s="458"/>
      <x:c r="AA1395" s="458"/>
      <x:c r="AB1395" s="458"/>
      <x:c r="AC1395" s="458"/>
      <x:c r="AD1395" s="458"/>
      <x:c r="AE1395" s="458"/>
    </x:row>
    <x:row r="1396" spans="1:31" ht="20.100000000000001" customHeight="1">
      <x:c r="A1396" s="439"/>
      <x:c r="B1396" s="466" t="str">
        <x:f t="shared" si="172"/>
        <x:v/>
      </x:c>
      <x:c r="C1396" s="440" t="str">
        <x:f t="shared" si="173"/>
        <x:v/>
      </x:c>
      <x:c r="D1396" s="441"/>
      <x:c r="E1396" s="442" t="str">
        <x:f t="shared" si="174"/>
        <x:v/>
      </x:c>
      <x:c r="F1396" s="443"/>
      <x:c r="G1396" s="444"/>
      <x:c r="H1396" s="445" t="str">
        <x:f t="shared" si="171"/>
        <x:v/>
      </x:c>
      <x:c r="I1396" s="446" t="str">
        <x:f t="shared" si="175"/>
        <x:v/>
      </x:c>
      <x:c r="J1396" s="445"/>
      <x:c r="K1396" s="453"/>
      <x:c r="L1396" s="454"/>
      <x:c r="M1396" s="454"/>
      <x:c r="N1396" s="454"/>
      <x:c r="O1396" s="454"/>
      <x:c r="P1396" s="454"/>
      <x:c r="Q1396" s="454"/>
      <x:c r="R1396" s="454"/>
      <x:c r="S1396" s="454"/>
      <x:c r="T1396" s="454"/>
      <x:c r="U1396" s="454"/>
      <x:c r="V1396" s="455"/>
      <x:c r="W1396" s="456"/>
      <x:c r="X1396" s="450"/>
      <x:c r="Y1396" s="457"/>
      <x:c r="Z1396" s="458"/>
      <x:c r="AA1396" s="458"/>
      <x:c r="AB1396" s="458"/>
      <x:c r="AC1396" s="458"/>
      <x:c r="AD1396" s="458"/>
      <x:c r="AE1396" s="458"/>
    </x:row>
    <x:row r="1397" spans="1:31" ht="20.100000000000001" customHeight="1">
      <x:c r="A1397" s="439"/>
      <x:c r="B1397" s="466" t="str">
        <x:f t="shared" si="172"/>
        <x:v/>
      </x:c>
      <x:c r="C1397" s="440" t="str">
        <x:f t="shared" si="173"/>
        <x:v/>
      </x:c>
      <x:c r="D1397" s="441"/>
      <x:c r="E1397" s="442" t="str">
        <x:f t="shared" si="174"/>
        <x:v/>
      </x:c>
      <x:c r="F1397" s="443"/>
      <x:c r="G1397" s="444"/>
      <x:c r="H1397" s="445" t="str">
        <x:f t="shared" si="171"/>
        <x:v/>
      </x:c>
      <x:c r="I1397" s="446" t="str">
        <x:f t="shared" si="175"/>
        <x:v/>
      </x:c>
      <x:c r="J1397" s="445"/>
      <x:c r="K1397" s="453"/>
      <x:c r="L1397" s="454"/>
      <x:c r="M1397" s="454"/>
      <x:c r="N1397" s="454"/>
      <x:c r="O1397" s="454"/>
      <x:c r="P1397" s="454"/>
      <x:c r="Q1397" s="454"/>
      <x:c r="R1397" s="454"/>
      <x:c r="S1397" s="454"/>
      <x:c r="T1397" s="454"/>
      <x:c r="U1397" s="454"/>
      <x:c r="V1397" s="455"/>
      <x:c r="W1397" s="456"/>
      <x:c r="X1397" s="450"/>
      <x:c r="Y1397" s="457"/>
      <x:c r="Z1397" s="458"/>
      <x:c r="AA1397" s="458"/>
      <x:c r="AB1397" s="458"/>
      <x:c r="AC1397" s="458"/>
      <x:c r="AD1397" s="458"/>
      <x:c r="AE1397" s="458"/>
    </x:row>
    <x:row r="1398" spans="1:31" ht="20.100000000000001" customHeight="1">
      <x:c r="A1398" s="439"/>
      <x:c r="B1398" s="466" t="str">
        <x:f t="shared" si="172"/>
        <x:v/>
      </x:c>
      <x:c r="C1398" s="440" t="str">
        <x:f t="shared" si="173"/>
        <x:v/>
      </x:c>
      <x:c r="D1398" s="441"/>
      <x:c r="E1398" s="442" t="str">
        <x:f t="shared" si="174"/>
        <x:v/>
      </x:c>
      <x:c r="F1398" s="443"/>
      <x:c r="G1398" s="444"/>
      <x:c r="H1398" s="445" t="str">
        <x:f t="shared" si="171"/>
        <x:v/>
      </x:c>
      <x:c r="I1398" s="446" t="str">
        <x:f t="shared" si="175"/>
        <x:v/>
      </x:c>
      <x:c r="J1398" s="445"/>
      <x:c r="K1398" s="453"/>
      <x:c r="L1398" s="454"/>
      <x:c r="M1398" s="454"/>
      <x:c r="N1398" s="454"/>
      <x:c r="O1398" s="454"/>
      <x:c r="P1398" s="454"/>
      <x:c r="Q1398" s="454"/>
      <x:c r="R1398" s="454"/>
      <x:c r="S1398" s="454"/>
      <x:c r="T1398" s="454"/>
      <x:c r="U1398" s="454"/>
      <x:c r="V1398" s="455"/>
      <x:c r="W1398" s="456"/>
      <x:c r="X1398" s="450"/>
      <x:c r="Y1398" s="457"/>
      <x:c r="Z1398" s="458"/>
      <x:c r="AA1398" s="458"/>
      <x:c r="AB1398" s="458"/>
      <x:c r="AC1398" s="458"/>
      <x:c r="AD1398" s="458"/>
      <x:c r="AE1398" s="458"/>
    </x:row>
    <x:row r="1399" spans="1:31" ht="20.100000000000001" customHeight="1">
      <x:c r="A1399" s="439"/>
      <x:c r="B1399" s="466" t="str">
        <x:f t="shared" si="172"/>
        <x:v/>
      </x:c>
      <x:c r="C1399" s="440" t="str">
        <x:f t="shared" si="173"/>
        <x:v/>
      </x:c>
      <x:c r="D1399" s="441"/>
      <x:c r="E1399" s="442" t="str">
        <x:f t="shared" si="174"/>
        <x:v/>
      </x:c>
      <x:c r="F1399" s="443"/>
      <x:c r="G1399" s="444"/>
      <x:c r="H1399" s="445" t="str">
        <x:f t="shared" si="171"/>
        <x:v/>
      </x:c>
      <x:c r="I1399" s="446" t="str">
        <x:f t="shared" si="175"/>
        <x:v/>
      </x:c>
      <x:c r="J1399" s="445"/>
      <x:c r="K1399" s="453"/>
      <x:c r="L1399" s="454"/>
      <x:c r="M1399" s="454"/>
      <x:c r="N1399" s="454"/>
      <x:c r="O1399" s="454"/>
      <x:c r="P1399" s="454"/>
      <x:c r="Q1399" s="454"/>
      <x:c r="R1399" s="454"/>
      <x:c r="S1399" s="454"/>
      <x:c r="T1399" s="454"/>
      <x:c r="U1399" s="454"/>
      <x:c r="V1399" s="455"/>
      <x:c r="W1399" s="456"/>
      <x:c r="X1399" s="450"/>
      <x:c r="Y1399" s="457"/>
      <x:c r="Z1399" s="458"/>
      <x:c r="AA1399" s="458"/>
      <x:c r="AB1399" s="458"/>
      <x:c r="AC1399" s="458"/>
      <x:c r="AD1399" s="458"/>
      <x:c r="AE1399" s="458"/>
    </x:row>
    <x:row r="1400" spans="1:31" ht="20.100000000000001" customHeight="1">
      <x:c r="A1400" s="439"/>
      <x:c r="B1400" s="466" t="str">
        <x:f t="shared" si="172"/>
        <x:v/>
      </x:c>
      <x:c r="C1400" s="440" t="str">
        <x:f t="shared" si="173"/>
        <x:v/>
      </x:c>
      <x:c r="D1400" s="441"/>
      <x:c r="E1400" s="442" t="str">
        <x:f t="shared" si="174"/>
        <x:v/>
      </x:c>
      <x:c r="F1400" s="443"/>
      <x:c r="G1400" s="444"/>
      <x:c r="H1400" s="445" t="str">
        <x:f t="shared" ref="H1400:H1463" si="176">IFERROR(VLOOKUP($G1400,$AK:$AL,2,),"")</x:f>
        <x:v/>
      </x:c>
      <x:c r="I1400" s="446" t="str">
        <x:f t="shared" si="175"/>
        <x:v/>
      </x:c>
      <x:c r="J1400" s="445"/>
      <x:c r="K1400" s="453"/>
      <x:c r="L1400" s="454"/>
      <x:c r="M1400" s="454"/>
      <x:c r="N1400" s="454"/>
      <x:c r="O1400" s="454"/>
      <x:c r="P1400" s="454"/>
      <x:c r="Q1400" s="454"/>
      <x:c r="R1400" s="454"/>
      <x:c r="S1400" s="454"/>
      <x:c r="T1400" s="454"/>
      <x:c r="U1400" s="454"/>
      <x:c r="V1400" s="455"/>
      <x:c r="W1400" s="456"/>
      <x:c r="X1400" s="450"/>
      <x:c r="Y1400" s="457"/>
      <x:c r="Z1400" s="458"/>
      <x:c r="AA1400" s="458"/>
      <x:c r="AB1400" s="458"/>
      <x:c r="AC1400" s="458"/>
      <x:c r="AD1400" s="458"/>
      <x:c r="AE1400" s="458"/>
    </x:row>
    <x:row r="1401" spans="1:31" ht="20.100000000000001" customHeight="1">
      <x:c r="A1401" s="439"/>
      <x:c r="B1401" s="466" t="str">
        <x:f t="shared" si="172"/>
        <x:v/>
      </x:c>
      <x:c r="C1401" s="440" t="str">
        <x:f t="shared" si="173"/>
        <x:v/>
      </x:c>
      <x:c r="D1401" s="441"/>
      <x:c r="E1401" s="442" t="str">
        <x:f t="shared" si="174"/>
        <x:v/>
      </x:c>
      <x:c r="F1401" s="443"/>
      <x:c r="G1401" s="444"/>
      <x:c r="H1401" s="445" t="str">
        <x:f t="shared" si="176"/>
        <x:v/>
      </x:c>
      <x:c r="I1401" s="446" t="str">
        <x:f t="shared" si="175"/>
        <x:v/>
      </x:c>
      <x:c r="J1401" s="445"/>
      <x:c r="K1401" s="453"/>
      <x:c r="L1401" s="454"/>
      <x:c r="M1401" s="454"/>
      <x:c r="N1401" s="454"/>
      <x:c r="O1401" s="454"/>
      <x:c r="P1401" s="454"/>
      <x:c r="Q1401" s="454"/>
      <x:c r="R1401" s="454"/>
      <x:c r="S1401" s="454"/>
      <x:c r="T1401" s="454"/>
      <x:c r="U1401" s="454"/>
      <x:c r="V1401" s="455"/>
      <x:c r="W1401" s="456"/>
      <x:c r="X1401" s="450"/>
      <x:c r="Y1401" s="457"/>
      <x:c r="Z1401" s="458"/>
      <x:c r="AA1401" s="458"/>
      <x:c r="AB1401" s="458"/>
      <x:c r="AC1401" s="458"/>
      <x:c r="AD1401" s="458"/>
      <x:c r="AE1401" s="458"/>
    </x:row>
    <x:row r="1402" spans="1:31" ht="20.100000000000001" customHeight="1">
      <x:c r="A1402" s="439"/>
      <x:c r="B1402" s="466" t="str">
        <x:f t="shared" si="172"/>
        <x:v/>
      </x:c>
      <x:c r="C1402" s="440" t="str">
        <x:f t="shared" si="173"/>
        <x:v/>
      </x:c>
      <x:c r="D1402" s="441"/>
      <x:c r="E1402" s="442" t="str">
        <x:f t="shared" si="174"/>
        <x:v/>
      </x:c>
      <x:c r="F1402" s="443"/>
      <x:c r="G1402" s="444"/>
      <x:c r="H1402" s="445" t="str">
        <x:f t="shared" si="176"/>
        <x:v/>
      </x:c>
      <x:c r="I1402" s="446" t="str">
        <x:f t="shared" si="175"/>
        <x:v/>
      </x:c>
      <x:c r="J1402" s="445"/>
      <x:c r="K1402" s="453"/>
      <x:c r="L1402" s="454"/>
      <x:c r="M1402" s="454"/>
      <x:c r="N1402" s="454"/>
      <x:c r="O1402" s="454"/>
      <x:c r="P1402" s="454"/>
      <x:c r="Q1402" s="454"/>
      <x:c r="R1402" s="454"/>
      <x:c r="S1402" s="454"/>
      <x:c r="T1402" s="454"/>
      <x:c r="U1402" s="454"/>
      <x:c r="V1402" s="455"/>
      <x:c r="W1402" s="456"/>
      <x:c r="X1402" s="450"/>
      <x:c r="Y1402" s="457"/>
      <x:c r="Z1402" s="458"/>
      <x:c r="AA1402" s="458"/>
      <x:c r="AB1402" s="458"/>
      <x:c r="AC1402" s="458"/>
      <x:c r="AD1402" s="458"/>
      <x:c r="AE1402" s="458"/>
    </x:row>
    <x:row r="1403" spans="1:31" ht="20.100000000000001" customHeight="1">
      <x:c r="A1403" s="439"/>
      <x:c r="B1403" s="466" t="str">
        <x:f t="shared" si="172"/>
        <x:v/>
      </x:c>
      <x:c r="C1403" s="440" t="str">
        <x:f t="shared" si="173"/>
        <x:v/>
      </x:c>
      <x:c r="D1403" s="441"/>
      <x:c r="E1403" s="442" t="str">
        <x:f t="shared" si="174"/>
        <x:v/>
      </x:c>
      <x:c r="F1403" s="443"/>
      <x:c r="G1403" s="444"/>
      <x:c r="H1403" s="445" t="str">
        <x:f t="shared" si="176"/>
        <x:v/>
      </x:c>
      <x:c r="I1403" s="446" t="str">
        <x:f t="shared" si="175"/>
        <x:v/>
      </x:c>
      <x:c r="J1403" s="445"/>
      <x:c r="K1403" s="453"/>
      <x:c r="L1403" s="454"/>
      <x:c r="M1403" s="454"/>
      <x:c r="N1403" s="454"/>
      <x:c r="O1403" s="454"/>
      <x:c r="P1403" s="454"/>
      <x:c r="Q1403" s="454"/>
      <x:c r="R1403" s="454"/>
      <x:c r="S1403" s="454"/>
      <x:c r="T1403" s="454"/>
      <x:c r="U1403" s="454"/>
      <x:c r="V1403" s="455"/>
      <x:c r="W1403" s="456"/>
      <x:c r="X1403" s="450"/>
      <x:c r="Y1403" s="457"/>
      <x:c r="Z1403" s="458"/>
      <x:c r="AA1403" s="458"/>
      <x:c r="AB1403" s="458"/>
      <x:c r="AC1403" s="458"/>
      <x:c r="AD1403" s="458"/>
      <x:c r="AE1403" s="458"/>
    </x:row>
    <x:row r="1404" spans="1:31" ht="20.100000000000001" customHeight="1">
      <x:c r="A1404" s="439"/>
      <x:c r="B1404" s="466" t="str">
        <x:f t="shared" si="172"/>
        <x:v/>
      </x:c>
      <x:c r="C1404" s="440" t="str">
        <x:f t="shared" si="173"/>
        <x:v/>
      </x:c>
      <x:c r="D1404" s="441"/>
      <x:c r="E1404" s="442" t="str">
        <x:f t="shared" si="174"/>
        <x:v/>
      </x:c>
      <x:c r="F1404" s="443"/>
      <x:c r="G1404" s="444"/>
      <x:c r="H1404" s="445" t="str">
        <x:f t="shared" si="176"/>
        <x:v/>
      </x:c>
      <x:c r="I1404" s="446" t="str">
        <x:f t="shared" si="175"/>
        <x:v/>
      </x:c>
      <x:c r="J1404" s="445"/>
      <x:c r="K1404" s="453"/>
      <x:c r="L1404" s="454"/>
      <x:c r="M1404" s="454"/>
      <x:c r="N1404" s="454"/>
      <x:c r="O1404" s="454"/>
      <x:c r="P1404" s="454"/>
      <x:c r="Q1404" s="454"/>
      <x:c r="R1404" s="454"/>
      <x:c r="S1404" s="454"/>
      <x:c r="T1404" s="454"/>
      <x:c r="U1404" s="454"/>
      <x:c r="V1404" s="455"/>
      <x:c r="W1404" s="456"/>
      <x:c r="X1404" s="450"/>
      <x:c r="Y1404" s="457"/>
      <x:c r="Z1404" s="458"/>
      <x:c r="AA1404" s="458"/>
      <x:c r="AB1404" s="458"/>
      <x:c r="AC1404" s="458"/>
      <x:c r="AD1404" s="458"/>
      <x:c r="AE1404" s="458"/>
    </x:row>
    <x:row r="1405" spans="1:31" ht="20.100000000000001" customHeight="1">
      <x:c r="A1405" s="439"/>
      <x:c r="B1405" s="466" t="str">
        <x:f t="shared" si="172"/>
        <x:v/>
      </x:c>
      <x:c r="C1405" s="440" t="str">
        <x:f t="shared" si="173"/>
        <x:v/>
      </x:c>
      <x:c r="D1405" s="441"/>
      <x:c r="E1405" s="442" t="str">
        <x:f t="shared" si="174"/>
        <x:v/>
      </x:c>
      <x:c r="F1405" s="443"/>
      <x:c r="G1405" s="444"/>
      <x:c r="H1405" s="445" t="str">
        <x:f t="shared" si="176"/>
        <x:v/>
      </x:c>
      <x:c r="I1405" s="446" t="str">
        <x:f t="shared" si="175"/>
        <x:v/>
      </x:c>
      <x:c r="J1405" s="445"/>
      <x:c r="K1405" s="453"/>
      <x:c r="L1405" s="454"/>
      <x:c r="M1405" s="454"/>
      <x:c r="N1405" s="454"/>
      <x:c r="O1405" s="454"/>
      <x:c r="P1405" s="454"/>
      <x:c r="Q1405" s="454"/>
      <x:c r="R1405" s="454"/>
      <x:c r="S1405" s="454"/>
      <x:c r="T1405" s="454"/>
      <x:c r="U1405" s="454"/>
      <x:c r="V1405" s="455"/>
      <x:c r="W1405" s="456"/>
      <x:c r="X1405" s="450"/>
      <x:c r="Y1405" s="457"/>
      <x:c r="Z1405" s="458"/>
      <x:c r="AA1405" s="458"/>
      <x:c r="AB1405" s="458"/>
      <x:c r="AC1405" s="458"/>
      <x:c r="AD1405" s="458"/>
      <x:c r="AE1405" s="458"/>
    </x:row>
    <x:row r="1406" spans="1:31" ht="20.100000000000001" customHeight="1">
      <x:c r="A1406" s="439"/>
      <x:c r="B1406" s="466" t="str">
        <x:f t="shared" si="172"/>
        <x:v/>
      </x:c>
      <x:c r="C1406" s="440" t="str">
        <x:f t="shared" si="173"/>
        <x:v/>
      </x:c>
      <x:c r="D1406" s="441"/>
      <x:c r="E1406" s="442" t="str">
        <x:f t="shared" si="174"/>
        <x:v/>
      </x:c>
      <x:c r="F1406" s="443"/>
      <x:c r="G1406" s="444"/>
      <x:c r="H1406" s="445" t="str">
        <x:f t="shared" si="176"/>
        <x:v/>
      </x:c>
      <x:c r="I1406" s="446" t="str">
        <x:f t="shared" si="175"/>
        <x:v/>
      </x:c>
      <x:c r="J1406" s="445"/>
      <x:c r="K1406" s="453"/>
      <x:c r="L1406" s="454"/>
      <x:c r="M1406" s="454"/>
      <x:c r="N1406" s="454"/>
      <x:c r="O1406" s="454"/>
      <x:c r="P1406" s="454"/>
      <x:c r="Q1406" s="454"/>
      <x:c r="R1406" s="454"/>
      <x:c r="S1406" s="454"/>
      <x:c r="T1406" s="454"/>
      <x:c r="U1406" s="454"/>
      <x:c r="V1406" s="455"/>
      <x:c r="W1406" s="456"/>
      <x:c r="X1406" s="450"/>
      <x:c r="Y1406" s="457"/>
      <x:c r="Z1406" s="458"/>
      <x:c r="AA1406" s="458"/>
      <x:c r="AB1406" s="458"/>
      <x:c r="AC1406" s="458"/>
      <x:c r="AD1406" s="458"/>
      <x:c r="AE1406" s="458"/>
    </x:row>
    <x:row r="1407" spans="1:31" ht="20.100000000000001" customHeight="1">
      <x:c r="A1407" s="439"/>
      <x:c r="B1407" s="466" t="str">
        <x:f t="shared" si="172"/>
        <x:v/>
      </x:c>
      <x:c r="C1407" s="440" t="str">
        <x:f t="shared" si="173"/>
        <x:v/>
      </x:c>
      <x:c r="D1407" s="441"/>
      <x:c r="E1407" s="442" t="str">
        <x:f t="shared" si="174"/>
        <x:v/>
      </x:c>
      <x:c r="F1407" s="443"/>
      <x:c r="G1407" s="444"/>
      <x:c r="H1407" s="445" t="str">
        <x:f t="shared" si="176"/>
        <x:v/>
      </x:c>
      <x:c r="I1407" s="446" t="str">
        <x:f t="shared" si="175"/>
        <x:v/>
      </x:c>
      <x:c r="J1407" s="445"/>
      <x:c r="K1407" s="453"/>
      <x:c r="L1407" s="454"/>
      <x:c r="M1407" s="454"/>
      <x:c r="N1407" s="454"/>
      <x:c r="O1407" s="454"/>
      <x:c r="P1407" s="454"/>
      <x:c r="Q1407" s="454"/>
      <x:c r="R1407" s="454"/>
      <x:c r="S1407" s="454"/>
      <x:c r="T1407" s="454"/>
      <x:c r="U1407" s="454"/>
      <x:c r="V1407" s="455"/>
      <x:c r="W1407" s="456"/>
      <x:c r="X1407" s="450"/>
      <x:c r="Y1407" s="457"/>
      <x:c r="Z1407" s="458"/>
      <x:c r="AA1407" s="458"/>
      <x:c r="AB1407" s="458"/>
      <x:c r="AC1407" s="458"/>
      <x:c r="AD1407" s="458"/>
      <x:c r="AE1407" s="458"/>
    </x:row>
    <x:row r="1408" spans="1:31" ht="20.100000000000001" customHeight="1">
      <x:c r="A1408" s="439"/>
      <x:c r="B1408" s="466" t="str">
        <x:f t="shared" si="172"/>
        <x:v/>
      </x:c>
      <x:c r="C1408" s="440" t="str">
        <x:f t="shared" si="173"/>
        <x:v/>
      </x:c>
      <x:c r="D1408" s="441"/>
      <x:c r="E1408" s="442" t="str">
        <x:f t="shared" si="174"/>
        <x:v/>
      </x:c>
      <x:c r="F1408" s="443"/>
      <x:c r="G1408" s="444"/>
      <x:c r="H1408" s="445" t="str">
        <x:f t="shared" si="176"/>
        <x:v/>
      </x:c>
      <x:c r="I1408" s="446" t="str">
        <x:f t="shared" si="175"/>
        <x:v/>
      </x:c>
      <x:c r="J1408" s="445"/>
      <x:c r="K1408" s="453"/>
      <x:c r="L1408" s="454"/>
      <x:c r="M1408" s="454"/>
      <x:c r="N1408" s="454"/>
      <x:c r="O1408" s="454"/>
      <x:c r="P1408" s="454"/>
      <x:c r="Q1408" s="454"/>
      <x:c r="R1408" s="454"/>
      <x:c r="S1408" s="454"/>
      <x:c r="T1408" s="454"/>
      <x:c r="U1408" s="454"/>
      <x:c r="V1408" s="455"/>
      <x:c r="W1408" s="456"/>
      <x:c r="X1408" s="450"/>
      <x:c r="Y1408" s="457"/>
      <x:c r="Z1408" s="458"/>
      <x:c r="AA1408" s="458"/>
      <x:c r="AB1408" s="458"/>
      <x:c r="AC1408" s="458"/>
      <x:c r="AD1408" s="458"/>
      <x:c r="AE1408" s="458"/>
    </x:row>
    <x:row r="1409" spans="1:31" ht="20.100000000000001" customHeight="1">
      <x:c r="A1409" s="439"/>
      <x:c r="B1409" s="466" t="str">
        <x:f t="shared" si="172"/>
        <x:v/>
      </x:c>
      <x:c r="C1409" s="440" t="str">
        <x:f t="shared" si="173"/>
        <x:v/>
      </x:c>
      <x:c r="D1409" s="441"/>
      <x:c r="E1409" s="442" t="str">
        <x:f t="shared" si="174"/>
        <x:v/>
      </x:c>
      <x:c r="F1409" s="443"/>
      <x:c r="G1409" s="444"/>
      <x:c r="H1409" s="445" t="str">
        <x:f t="shared" si="176"/>
        <x:v/>
      </x:c>
      <x:c r="I1409" s="446" t="str">
        <x:f t="shared" si="175"/>
        <x:v/>
      </x:c>
      <x:c r="J1409" s="445"/>
      <x:c r="K1409" s="453"/>
      <x:c r="L1409" s="454"/>
      <x:c r="M1409" s="454"/>
      <x:c r="N1409" s="454"/>
      <x:c r="O1409" s="454"/>
      <x:c r="P1409" s="454"/>
      <x:c r="Q1409" s="454"/>
      <x:c r="R1409" s="454"/>
      <x:c r="S1409" s="454"/>
      <x:c r="T1409" s="454"/>
      <x:c r="U1409" s="454"/>
      <x:c r="V1409" s="455"/>
      <x:c r="W1409" s="456"/>
      <x:c r="X1409" s="450"/>
      <x:c r="Y1409" s="457"/>
      <x:c r="Z1409" s="458"/>
      <x:c r="AA1409" s="458"/>
      <x:c r="AB1409" s="458"/>
      <x:c r="AC1409" s="458"/>
      <x:c r="AD1409" s="458"/>
      <x:c r="AE1409" s="458"/>
    </x:row>
    <x:row r="1410" spans="1:31" ht="20.100000000000001" customHeight="1">
      <x:c r="A1410" s="439"/>
      <x:c r="B1410" s="466" t="str">
        <x:f t="shared" si="172"/>
        <x:v/>
      </x:c>
      <x:c r="C1410" s="440" t="str">
        <x:f t="shared" si="173"/>
        <x:v/>
      </x:c>
      <x:c r="D1410" s="441"/>
      <x:c r="E1410" s="442" t="str">
        <x:f t="shared" si="174"/>
        <x:v/>
      </x:c>
      <x:c r="F1410" s="443"/>
      <x:c r="G1410" s="444"/>
      <x:c r="H1410" s="445" t="str">
        <x:f t="shared" si="176"/>
        <x:v/>
      </x:c>
      <x:c r="I1410" s="446" t="str">
        <x:f t="shared" si="175"/>
        <x:v/>
      </x:c>
      <x:c r="J1410" s="445"/>
      <x:c r="K1410" s="453"/>
      <x:c r="L1410" s="454"/>
      <x:c r="M1410" s="454"/>
      <x:c r="N1410" s="454"/>
      <x:c r="O1410" s="454"/>
      <x:c r="P1410" s="454"/>
      <x:c r="Q1410" s="454"/>
      <x:c r="R1410" s="454"/>
      <x:c r="S1410" s="454"/>
      <x:c r="T1410" s="454"/>
      <x:c r="U1410" s="454"/>
      <x:c r="V1410" s="455"/>
      <x:c r="W1410" s="456"/>
      <x:c r="X1410" s="450"/>
      <x:c r="Y1410" s="457"/>
      <x:c r="Z1410" s="458"/>
      <x:c r="AA1410" s="458"/>
      <x:c r="AB1410" s="458"/>
      <x:c r="AC1410" s="458"/>
      <x:c r="AD1410" s="458"/>
      <x:c r="AE1410" s="458"/>
    </x:row>
    <x:row r="1411" spans="1:31" ht="20.100000000000001" customHeight="1">
      <x:c r="A1411" s="439"/>
      <x:c r="B1411" s="466" t="str">
        <x:f t="shared" ref="B1411:B1474" si="177">IFERROR(VLOOKUP($C1411,$AH:$AI,2,),"")</x:f>
        <x:v/>
      </x:c>
      <x:c r="C1411" s="440" t="str">
        <x:f t="shared" ref="C1411:C1474" si="178">IFERROR(VLOOKUP($D1411,$AO:$AQ,3,),"")</x:f>
        <x:v/>
      </x:c>
      <x:c r="D1411" s="441"/>
      <x:c r="E1411" s="442" t="str">
        <x:f t="shared" ref="E1411:E1474" si="179">IFERROR(VLOOKUP($D1411,$AO:$AQ,2,),"")</x:f>
        <x:v/>
      </x:c>
      <x:c r="F1411" s="443"/>
      <x:c r="G1411" s="444"/>
      <x:c r="H1411" s="445" t="str">
        <x:f t="shared" si="176"/>
        <x:v/>
      </x:c>
      <x:c r="I1411" s="446" t="str">
        <x:f t="shared" ref="I1411:I1474" si="180">IFERROR(VLOOKUP($G1411,$AK:$AM,3,),"")</x:f>
        <x:v/>
      </x:c>
      <x:c r="J1411" s="445"/>
      <x:c r="K1411" s="453"/>
      <x:c r="L1411" s="454"/>
      <x:c r="M1411" s="454"/>
      <x:c r="N1411" s="454"/>
      <x:c r="O1411" s="454"/>
      <x:c r="P1411" s="454"/>
      <x:c r="Q1411" s="454"/>
      <x:c r="R1411" s="454"/>
      <x:c r="S1411" s="454"/>
      <x:c r="T1411" s="454"/>
      <x:c r="U1411" s="454"/>
      <x:c r="V1411" s="455"/>
      <x:c r="W1411" s="456"/>
      <x:c r="X1411" s="450"/>
      <x:c r="Y1411" s="457"/>
      <x:c r="Z1411" s="458"/>
      <x:c r="AA1411" s="458"/>
      <x:c r="AB1411" s="458"/>
      <x:c r="AC1411" s="458"/>
      <x:c r="AD1411" s="458"/>
      <x:c r="AE1411" s="458"/>
    </x:row>
    <x:row r="1412" spans="1:31" ht="20.100000000000001" customHeight="1">
      <x:c r="A1412" s="439"/>
      <x:c r="B1412" s="466" t="str">
        <x:f t="shared" si="177"/>
        <x:v/>
      </x:c>
      <x:c r="C1412" s="440" t="str">
        <x:f t="shared" si="178"/>
        <x:v/>
      </x:c>
      <x:c r="D1412" s="441"/>
      <x:c r="E1412" s="442" t="str">
        <x:f t="shared" si="179"/>
        <x:v/>
      </x:c>
      <x:c r="F1412" s="443"/>
      <x:c r="G1412" s="444"/>
      <x:c r="H1412" s="445" t="str">
        <x:f t="shared" si="176"/>
        <x:v/>
      </x:c>
      <x:c r="I1412" s="446" t="str">
        <x:f t="shared" si="180"/>
        <x:v/>
      </x:c>
      <x:c r="J1412" s="445"/>
      <x:c r="K1412" s="453"/>
      <x:c r="L1412" s="454"/>
      <x:c r="M1412" s="454"/>
      <x:c r="N1412" s="454"/>
      <x:c r="O1412" s="454"/>
      <x:c r="P1412" s="454"/>
      <x:c r="Q1412" s="454"/>
      <x:c r="R1412" s="454"/>
      <x:c r="S1412" s="454"/>
      <x:c r="T1412" s="454"/>
      <x:c r="U1412" s="454"/>
      <x:c r="V1412" s="455"/>
      <x:c r="W1412" s="456"/>
      <x:c r="X1412" s="450"/>
      <x:c r="Y1412" s="457"/>
      <x:c r="Z1412" s="458"/>
      <x:c r="AA1412" s="458"/>
      <x:c r="AB1412" s="458"/>
      <x:c r="AC1412" s="458"/>
      <x:c r="AD1412" s="458"/>
      <x:c r="AE1412" s="458"/>
    </x:row>
    <x:row r="1413" spans="1:31" ht="20.100000000000001" customHeight="1">
      <x:c r="A1413" s="439"/>
      <x:c r="B1413" s="466" t="str">
        <x:f t="shared" si="177"/>
        <x:v/>
      </x:c>
      <x:c r="C1413" s="440" t="str">
        <x:f t="shared" si="178"/>
        <x:v/>
      </x:c>
      <x:c r="D1413" s="441"/>
      <x:c r="E1413" s="442" t="str">
        <x:f t="shared" si="179"/>
        <x:v/>
      </x:c>
      <x:c r="F1413" s="443"/>
      <x:c r="G1413" s="444"/>
      <x:c r="H1413" s="445" t="str">
        <x:f t="shared" si="176"/>
        <x:v/>
      </x:c>
      <x:c r="I1413" s="446" t="str">
        <x:f t="shared" si="180"/>
        <x:v/>
      </x:c>
      <x:c r="J1413" s="445"/>
      <x:c r="K1413" s="453"/>
      <x:c r="L1413" s="454"/>
      <x:c r="M1413" s="454"/>
      <x:c r="N1413" s="454"/>
      <x:c r="O1413" s="454"/>
      <x:c r="P1413" s="454"/>
      <x:c r="Q1413" s="454"/>
      <x:c r="R1413" s="454"/>
      <x:c r="S1413" s="454"/>
      <x:c r="T1413" s="454"/>
      <x:c r="U1413" s="454"/>
      <x:c r="V1413" s="455"/>
      <x:c r="W1413" s="456"/>
      <x:c r="X1413" s="450"/>
      <x:c r="Y1413" s="457"/>
      <x:c r="Z1413" s="458"/>
      <x:c r="AA1413" s="458"/>
      <x:c r="AB1413" s="458"/>
      <x:c r="AC1413" s="458"/>
      <x:c r="AD1413" s="458"/>
      <x:c r="AE1413" s="458"/>
    </x:row>
    <x:row r="1414" spans="1:31" ht="20.100000000000001" customHeight="1">
      <x:c r="A1414" s="439"/>
      <x:c r="B1414" s="466" t="str">
        <x:f t="shared" si="177"/>
        <x:v/>
      </x:c>
      <x:c r="C1414" s="440" t="str">
        <x:f t="shared" si="178"/>
        <x:v/>
      </x:c>
      <x:c r="D1414" s="441"/>
      <x:c r="E1414" s="442" t="str">
        <x:f t="shared" si="179"/>
        <x:v/>
      </x:c>
      <x:c r="F1414" s="443"/>
      <x:c r="G1414" s="444"/>
      <x:c r="H1414" s="445" t="str">
        <x:f t="shared" si="176"/>
        <x:v/>
      </x:c>
      <x:c r="I1414" s="446" t="str">
        <x:f t="shared" si="180"/>
        <x:v/>
      </x:c>
      <x:c r="J1414" s="445"/>
      <x:c r="K1414" s="453"/>
      <x:c r="L1414" s="454"/>
      <x:c r="M1414" s="454"/>
      <x:c r="N1414" s="454"/>
      <x:c r="O1414" s="454"/>
      <x:c r="P1414" s="454"/>
      <x:c r="Q1414" s="454"/>
      <x:c r="R1414" s="454"/>
      <x:c r="S1414" s="454"/>
      <x:c r="T1414" s="454"/>
      <x:c r="U1414" s="454"/>
      <x:c r="V1414" s="455"/>
      <x:c r="W1414" s="456"/>
      <x:c r="X1414" s="450"/>
      <x:c r="Y1414" s="457"/>
      <x:c r="Z1414" s="458"/>
      <x:c r="AA1414" s="458"/>
      <x:c r="AB1414" s="458"/>
      <x:c r="AC1414" s="458"/>
      <x:c r="AD1414" s="458"/>
      <x:c r="AE1414" s="458"/>
    </x:row>
    <x:row r="1415" spans="1:31" ht="20.100000000000001" customHeight="1">
      <x:c r="A1415" s="439"/>
      <x:c r="B1415" s="466" t="str">
        <x:f t="shared" si="177"/>
        <x:v/>
      </x:c>
      <x:c r="C1415" s="440" t="str">
        <x:f t="shared" si="178"/>
        <x:v/>
      </x:c>
      <x:c r="D1415" s="441"/>
      <x:c r="E1415" s="442" t="str">
        <x:f t="shared" si="179"/>
        <x:v/>
      </x:c>
      <x:c r="F1415" s="443"/>
      <x:c r="G1415" s="444"/>
      <x:c r="H1415" s="445" t="str">
        <x:f t="shared" si="176"/>
        <x:v/>
      </x:c>
      <x:c r="I1415" s="446" t="str">
        <x:f t="shared" si="180"/>
        <x:v/>
      </x:c>
      <x:c r="J1415" s="445"/>
      <x:c r="K1415" s="453"/>
      <x:c r="L1415" s="454"/>
      <x:c r="M1415" s="454"/>
      <x:c r="N1415" s="454"/>
      <x:c r="O1415" s="454"/>
      <x:c r="P1415" s="454"/>
      <x:c r="Q1415" s="454"/>
      <x:c r="R1415" s="454"/>
      <x:c r="S1415" s="454"/>
      <x:c r="T1415" s="454"/>
      <x:c r="U1415" s="454"/>
      <x:c r="V1415" s="455"/>
      <x:c r="W1415" s="456"/>
      <x:c r="X1415" s="450"/>
      <x:c r="Y1415" s="457"/>
      <x:c r="Z1415" s="458"/>
      <x:c r="AA1415" s="458"/>
      <x:c r="AB1415" s="458"/>
      <x:c r="AC1415" s="458"/>
      <x:c r="AD1415" s="458"/>
      <x:c r="AE1415" s="458"/>
    </x:row>
    <x:row r="1416" spans="1:31" ht="20.100000000000001" customHeight="1">
      <x:c r="A1416" s="439"/>
      <x:c r="B1416" s="466" t="str">
        <x:f t="shared" si="177"/>
        <x:v/>
      </x:c>
      <x:c r="C1416" s="440" t="str">
        <x:f t="shared" si="178"/>
        <x:v/>
      </x:c>
      <x:c r="D1416" s="441"/>
      <x:c r="E1416" s="442" t="str">
        <x:f t="shared" si="179"/>
        <x:v/>
      </x:c>
      <x:c r="F1416" s="443"/>
      <x:c r="G1416" s="444"/>
      <x:c r="H1416" s="445" t="str">
        <x:f t="shared" si="176"/>
        <x:v/>
      </x:c>
      <x:c r="I1416" s="446" t="str">
        <x:f t="shared" si="180"/>
        <x:v/>
      </x:c>
      <x:c r="J1416" s="445"/>
      <x:c r="K1416" s="453"/>
      <x:c r="L1416" s="454"/>
      <x:c r="M1416" s="454"/>
      <x:c r="N1416" s="454"/>
      <x:c r="O1416" s="454"/>
      <x:c r="P1416" s="454"/>
      <x:c r="Q1416" s="454"/>
      <x:c r="R1416" s="454"/>
      <x:c r="S1416" s="454"/>
      <x:c r="T1416" s="454"/>
      <x:c r="U1416" s="454"/>
      <x:c r="V1416" s="455"/>
      <x:c r="W1416" s="456"/>
      <x:c r="X1416" s="450"/>
      <x:c r="Y1416" s="457"/>
      <x:c r="Z1416" s="458"/>
      <x:c r="AA1416" s="458"/>
      <x:c r="AB1416" s="458"/>
      <x:c r="AC1416" s="458"/>
      <x:c r="AD1416" s="458"/>
      <x:c r="AE1416" s="458"/>
    </x:row>
    <x:row r="1417" spans="1:31" ht="20.100000000000001" customHeight="1">
      <x:c r="A1417" s="439"/>
      <x:c r="B1417" s="466" t="str">
        <x:f t="shared" si="177"/>
        <x:v/>
      </x:c>
      <x:c r="C1417" s="440" t="str">
        <x:f t="shared" si="178"/>
        <x:v/>
      </x:c>
      <x:c r="D1417" s="441"/>
      <x:c r="E1417" s="442" t="str">
        <x:f t="shared" si="179"/>
        <x:v/>
      </x:c>
      <x:c r="F1417" s="443"/>
      <x:c r="G1417" s="444"/>
      <x:c r="H1417" s="445" t="str">
        <x:f t="shared" si="176"/>
        <x:v/>
      </x:c>
      <x:c r="I1417" s="446" t="str">
        <x:f t="shared" si="180"/>
        <x:v/>
      </x:c>
      <x:c r="J1417" s="445"/>
      <x:c r="K1417" s="453"/>
      <x:c r="L1417" s="454"/>
      <x:c r="M1417" s="454"/>
      <x:c r="N1417" s="454"/>
      <x:c r="O1417" s="454"/>
      <x:c r="P1417" s="454"/>
      <x:c r="Q1417" s="454"/>
      <x:c r="R1417" s="454"/>
      <x:c r="S1417" s="454"/>
      <x:c r="T1417" s="454"/>
      <x:c r="U1417" s="454"/>
      <x:c r="V1417" s="455"/>
      <x:c r="W1417" s="456"/>
      <x:c r="X1417" s="450"/>
      <x:c r="Y1417" s="457"/>
      <x:c r="Z1417" s="458"/>
      <x:c r="AA1417" s="458"/>
      <x:c r="AB1417" s="458"/>
      <x:c r="AC1417" s="458"/>
      <x:c r="AD1417" s="458"/>
      <x:c r="AE1417" s="458"/>
    </x:row>
    <x:row r="1418" spans="1:31" ht="20.100000000000001" customHeight="1">
      <x:c r="A1418" s="439"/>
      <x:c r="B1418" s="466" t="str">
        <x:f t="shared" si="177"/>
        <x:v/>
      </x:c>
      <x:c r="C1418" s="440" t="str">
        <x:f t="shared" si="178"/>
        <x:v/>
      </x:c>
      <x:c r="D1418" s="441"/>
      <x:c r="E1418" s="442" t="str">
        <x:f t="shared" si="179"/>
        <x:v/>
      </x:c>
      <x:c r="F1418" s="443"/>
      <x:c r="G1418" s="444"/>
      <x:c r="H1418" s="445" t="str">
        <x:f t="shared" si="176"/>
        <x:v/>
      </x:c>
      <x:c r="I1418" s="446" t="str">
        <x:f t="shared" si="180"/>
        <x:v/>
      </x:c>
      <x:c r="J1418" s="445"/>
      <x:c r="K1418" s="453"/>
      <x:c r="L1418" s="454"/>
      <x:c r="M1418" s="454"/>
      <x:c r="N1418" s="454"/>
      <x:c r="O1418" s="454"/>
      <x:c r="P1418" s="454"/>
      <x:c r="Q1418" s="454"/>
      <x:c r="R1418" s="454"/>
      <x:c r="S1418" s="454"/>
      <x:c r="T1418" s="454"/>
      <x:c r="U1418" s="454"/>
      <x:c r="V1418" s="455"/>
      <x:c r="W1418" s="456"/>
      <x:c r="X1418" s="450"/>
      <x:c r="Y1418" s="457"/>
      <x:c r="Z1418" s="458"/>
      <x:c r="AA1418" s="458"/>
      <x:c r="AB1418" s="458"/>
      <x:c r="AC1418" s="458"/>
      <x:c r="AD1418" s="458"/>
      <x:c r="AE1418" s="458"/>
    </x:row>
    <x:row r="1419" spans="1:31" ht="20.100000000000001" customHeight="1">
      <x:c r="A1419" s="439"/>
      <x:c r="B1419" s="466" t="str">
        <x:f t="shared" si="177"/>
        <x:v/>
      </x:c>
      <x:c r="C1419" s="440" t="str">
        <x:f t="shared" si="178"/>
        <x:v/>
      </x:c>
      <x:c r="D1419" s="441"/>
      <x:c r="E1419" s="442" t="str">
        <x:f t="shared" si="179"/>
        <x:v/>
      </x:c>
      <x:c r="F1419" s="443"/>
      <x:c r="G1419" s="444"/>
      <x:c r="H1419" s="445" t="str">
        <x:f t="shared" si="176"/>
        <x:v/>
      </x:c>
      <x:c r="I1419" s="446" t="str">
        <x:f t="shared" si="180"/>
        <x:v/>
      </x:c>
      <x:c r="J1419" s="445"/>
      <x:c r="K1419" s="453"/>
      <x:c r="L1419" s="454"/>
      <x:c r="M1419" s="454"/>
      <x:c r="N1419" s="454"/>
      <x:c r="O1419" s="454"/>
      <x:c r="P1419" s="454"/>
      <x:c r="Q1419" s="454"/>
      <x:c r="R1419" s="454"/>
      <x:c r="S1419" s="454"/>
      <x:c r="T1419" s="454"/>
      <x:c r="U1419" s="454"/>
      <x:c r="V1419" s="455"/>
      <x:c r="W1419" s="456"/>
      <x:c r="X1419" s="450"/>
      <x:c r="Y1419" s="457"/>
      <x:c r="Z1419" s="458"/>
      <x:c r="AA1419" s="458"/>
      <x:c r="AB1419" s="458"/>
      <x:c r="AC1419" s="458"/>
      <x:c r="AD1419" s="458"/>
      <x:c r="AE1419" s="458"/>
    </x:row>
    <x:row r="1420" spans="1:31" ht="20.100000000000001" customHeight="1">
      <x:c r="A1420" s="439"/>
      <x:c r="B1420" s="466" t="str">
        <x:f t="shared" si="177"/>
        <x:v/>
      </x:c>
      <x:c r="C1420" s="440" t="str">
        <x:f t="shared" si="178"/>
        <x:v/>
      </x:c>
      <x:c r="D1420" s="441"/>
      <x:c r="E1420" s="442" t="str">
        <x:f t="shared" si="179"/>
        <x:v/>
      </x:c>
      <x:c r="F1420" s="443"/>
      <x:c r="G1420" s="444"/>
      <x:c r="H1420" s="445" t="str">
        <x:f t="shared" si="176"/>
        <x:v/>
      </x:c>
      <x:c r="I1420" s="446" t="str">
        <x:f t="shared" si="180"/>
        <x:v/>
      </x:c>
      <x:c r="J1420" s="445"/>
      <x:c r="K1420" s="453"/>
      <x:c r="L1420" s="454"/>
      <x:c r="M1420" s="454"/>
      <x:c r="N1420" s="454"/>
      <x:c r="O1420" s="454"/>
      <x:c r="P1420" s="454"/>
      <x:c r="Q1420" s="454"/>
      <x:c r="R1420" s="454"/>
      <x:c r="S1420" s="454"/>
      <x:c r="T1420" s="454"/>
      <x:c r="U1420" s="454"/>
      <x:c r="V1420" s="455"/>
      <x:c r="W1420" s="456"/>
      <x:c r="X1420" s="450"/>
      <x:c r="Y1420" s="457"/>
      <x:c r="Z1420" s="458"/>
      <x:c r="AA1420" s="458"/>
      <x:c r="AB1420" s="458"/>
      <x:c r="AC1420" s="458"/>
      <x:c r="AD1420" s="458"/>
      <x:c r="AE1420" s="458"/>
    </x:row>
    <x:row r="1421" spans="1:31" ht="20.100000000000001" customHeight="1">
      <x:c r="A1421" s="439"/>
      <x:c r="B1421" s="466" t="str">
        <x:f t="shared" si="177"/>
        <x:v/>
      </x:c>
      <x:c r="C1421" s="440" t="str">
        <x:f t="shared" si="178"/>
        <x:v/>
      </x:c>
      <x:c r="D1421" s="441"/>
      <x:c r="E1421" s="442" t="str">
        <x:f t="shared" si="179"/>
        <x:v/>
      </x:c>
      <x:c r="F1421" s="443"/>
      <x:c r="G1421" s="444"/>
      <x:c r="H1421" s="445" t="str">
        <x:f t="shared" si="176"/>
        <x:v/>
      </x:c>
      <x:c r="I1421" s="446" t="str">
        <x:f t="shared" si="180"/>
        <x:v/>
      </x:c>
      <x:c r="J1421" s="445"/>
      <x:c r="K1421" s="453"/>
      <x:c r="L1421" s="454"/>
      <x:c r="M1421" s="454"/>
      <x:c r="N1421" s="454"/>
      <x:c r="O1421" s="454"/>
      <x:c r="P1421" s="454"/>
      <x:c r="Q1421" s="454"/>
      <x:c r="R1421" s="454"/>
      <x:c r="S1421" s="454"/>
      <x:c r="T1421" s="454"/>
      <x:c r="U1421" s="454"/>
      <x:c r="V1421" s="455"/>
      <x:c r="W1421" s="456"/>
      <x:c r="X1421" s="450"/>
      <x:c r="Y1421" s="457"/>
      <x:c r="Z1421" s="458"/>
      <x:c r="AA1421" s="458"/>
      <x:c r="AB1421" s="458"/>
      <x:c r="AC1421" s="458"/>
      <x:c r="AD1421" s="458"/>
      <x:c r="AE1421" s="458"/>
    </x:row>
    <x:row r="1422" spans="1:31" ht="20.100000000000001" customHeight="1">
      <x:c r="A1422" s="439"/>
      <x:c r="B1422" s="466" t="str">
        <x:f t="shared" si="177"/>
        <x:v/>
      </x:c>
      <x:c r="C1422" s="440" t="str">
        <x:f t="shared" si="178"/>
        <x:v/>
      </x:c>
      <x:c r="D1422" s="441"/>
      <x:c r="E1422" s="442" t="str">
        <x:f t="shared" si="179"/>
        <x:v/>
      </x:c>
      <x:c r="F1422" s="443"/>
      <x:c r="G1422" s="444"/>
      <x:c r="H1422" s="445" t="str">
        <x:f t="shared" si="176"/>
        <x:v/>
      </x:c>
      <x:c r="I1422" s="446" t="str">
        <x:f t="shared" si="180"/>
        <x:v/>
      </x:c>
      <x:c r="J1422" s="445"/>
      <x:c r="K1422" s="453"/>
      <x:c r="L1422" s="454"/>
      <x:c r="M1422" s="454"/>
      <x:c r="N1422" s="454"/>
      <x:c r="O1422" s="454"/>
      <x:c r="P1422" s="454"/>
      <x:c r="Q1422" s="454"/>
      <x:c r="R1422" s="454"/>
      <x:c r="S1422" s="454"/>
      <x:c r="T1422" s="454"/>
      <x:c r="U1422" s="454"/>
      <x:c r="V1422" s="455"/>
      <x:c r="W1422" s="456"/>
      <x:c r="X1422" s="450"/>
      <x:c r="Y1422" s="457"/>
      <x:c r="Z1422" s="458"/>
      <x:c r="AA1422" s="458"/>
      <x:c r="AB1422" s="458"/>
      <x:c r="AC1422" s="458"/>
      <x:c r="AD1422" s="458"/>
      <x:c r="AE1422" s="458"/>
    </x:row>
    <x:row r="1423" spans="1:31" ht="20.100000000000001" customHeight="1">
      <x:c r="A1423" s="439"/>
      <x:c r="B1423" s="466" t="str">
        <x:f t="shared" si="177"/>
        <x:v/>
      </x:c>
      <x:c r="C1423" s="440" t="str">
        <x:f t="shared" si="178"/>
        <x:v/>
      </x:c>
      <x:c r="D1423" s="441"/>
      <x:c r="E1423" s="442" t="str">
        <x:f t="shared" si="179"/>
        <x:v/>
      </x:c>
      <x:c r="F1423" s="443"/>
      <x:c r="G1423" s="444"/>
      <x:c r="H1423" s="445" t="str">
        <x:f t="shared" si="176"/>
        <x:v/>
      </x:c>
      <x:c r="I1423" s="446" t="str">
        <x:f t="shared" si="180"/>
        <x:v/>
      </x:c>
      <x:c r="J1423" s="445"/>
      <x:c r="K1423" s="453"/>
      <x:c r="L1423" s="454"/>
      <x:c r="M1423" s="454"/>
      <x:c r="N1423" s="454"/>
      <x:c r="O1423" s="454"/>
      <x:c r="P1423" s="454"/>
      <x:c r="Q1423" s="454"/>
      <x:c r="R1423" s="454"/>
      <x:c r="S1423" s="454"/>
      <x:c r="T1423" s="454"/>
      <x:c r="U1423" s="454"/>
      <x:c r="V1423" s="455"/>
      <x:c r="W1423" s="456"/>
      <x:c r="X1423" s="450"/>
      <x:c r="Y1423" s="457"/>
      <x:c r="Z1423" s="458"/>
      <x:c r="AA1423" s="458"/>
      <x:c r="AB1423" s="458"/>
      <x:c r="AC1423" s="458"/>
      <x:c r="AD1423" s="458"/>
      <x:c r="AE1423" s="458"/>
    </x:row>
    <x:row r="1424" spans="1:31" ht="20.100000000000001" customHeight="1">
      <x:c r="A1424" s="439"/>
      <x:c r="B1424" s="466" t="str">
        <x:f t="shared" si="177"/>
        <x:v/>
      </x:c>
      <x:c r="C1424" s="440" t="str">
        <x:f t="shared" si="178"/>
        <x:v/>
      </x:c>
      <x:c r="D1424" s="441"/>
      <x:c r="E1424" s="442" t="str">
        <x:f t="shared" si="179"/>
        <x:v/>
      </x:c>
      <x:c r="F1424" s="443"/>
      <x:c r="G1424" s="444"/>
      <x:c r="H1424" s="445" t="str">
        <x:f t="shared" si="176"/>
        <x:v/>
      </x:c>
      <x:c r="I1424" s="446" t="str">
        <x:f t="shared" si="180"/>
        <x:v/>
      </x:c>
      <x:c r="J1424" s="445"/>
      <x:c r="K1424" s="453"/>
      <x:c r="L1424" s="454"/>
      <x:c r="M1424" s="454"/>
      <x:c r="N1424" s="454"/>
      <x:c r="O1424" s="454"/>
      <x:c r="P1424" s="454"/>
      <x:c r="Q1424" s="454"/>
      <x:c r="R1424" s="454"/>
      <x:c r="S1424" s="454"/>
      <x:c r="T1424" s="454"/>
      <x:c r="U1424" s="454"/>
      <x:c r="V1424" s="455"/>
      <x:c r="W1424" s="456"/>
      <x:c r="X1424" s="450"/>
      <x:c r="Y1424" s="457"/>
      <x:c r="Z1424" s="458"/>
      <x:c r="AA1424" s="458"/>
      <x:c r="AB1424" s="458"/>
      <x:c r="AC1424" s="458"/>
      <x:c r="AD1424" s="458"/>
      <x:c r="AE1424" s="458"/>
    </x:row>
    <x:row r="1425" spans="1:31" ht="20.100000000000001" customHeight="1">
      <x:c r="A1425" s="439"/>
      <x:c r="B1425" s="466" t="str">
        <x:f t="shared" si="177"/>
        <x:v/>
      </x:c>
      <x:c r="C1425" s="440" t="str">
        <x:f t="shared" si="178"/>
        <x:v/>
      </x:c>
      <x:c r="D1425" s="441"/>
      <x:c r="E1425" s="442" t="str">
        <x:f t="shared" si="179"/>
        <x:v/>
      </x:c>
      <x:c r="F1425" s="443"/>
      <x:c r="G1425" s="444"/>
      <x:c r="H1425" s="445" t="str">
        <x:f t="shared" si="176"/>
        <x:v/>
      </x:c>
      <x:c r="I1425" s="446" t="str">
        <x:f t="shared" si="180"/>
        <x:v/>
      </x:c>
      <x:c r="J1425" s="445"/>
      <x:c r="K1425" s="453"/>
      <x:c r="L1425" s="454"/>
      <x:c r="M1425" s="454"/>
      <x:c r="N1425" s="454"/>
      <x:c r="O1425" s="454"/>
      <x:c r="P1425" s="454"/>
      <x:c r="Q1425" s="454"/>
      <x:c r="R1425" s="454"/>
      <x:c r="S1425" s="454"/>
      <x:c r="T1425" s="454"/>
      <x:c r="U1425" s="454"/>
      <x:c r="V1425" s="455"/>
      <x:c r="W1425" s="456"/>
      <x:c r="X1425" s="450"/>
      <x:c r="Y1425" s="457"/>
      <x:c r="Z1425" s="458"/>
      <x:c r="AA1425" s="458"/>
      <x:c r="AB1425" s="458"/>
      <x:c r="AC1425" s="458"/>
      <x:c r="AD1425" s="458"/>
      <x:c r="AE1425" s="458"/>
    </x:row>
    <x:row r="1426" spans="1:31" ht="20.100000000000001" customHeight="1">
      <x:c r="A1426" s="439"/>
      <x:c r="B1426" s="466" t="str">
        <x:f t="shared" si="177"/>
        <x:v/>
      </x:c>
      <x:c r="C1426" s="440" t="str">
        <x:f t="shared" si="178"/>
        <x:v/>
      </x:c>
      <x:c r="D1426" s="441"/>
      <x:c r="E1426" s="442" t="str">
        <x:f t="shared" si="179"/>
        <x:v/>
      </x:c>
      <x:c r="F1426" s="443"/>
      <x:c r="G1426" s="444"/>
      <x:c r="H1426" s="445" t="str">
        <x:f t="shared" si="176"/>
        <x:v/>
      </x:c>
      <x:c r="I1426" s="446" t="str">
        <x:f t="shared" si="180"/>
        <x:v/>
      </x:c>
      <x:c r="J1426" s="445"/>
      <x:c r="K1426" s="453"/>
      <x:c r="L1426" s="454"/>
      <x:c r="M1426" s="454"/>
      <x:c r="N1426" s="454"/>
      <x:c r="O1426" s="454"/>
      <x:c r="P1426" s="454"/>
      <x:c r="Q1426" s="454"/>
      <x:c r="R1426" s="454"/>
      <x:c r="S1426" s="454"/>
      <x:c r="T1426" s="454"/>
      <x:c r="U1426" s="454"/>
      <x:c r="V1426" s="455"/>
      <x:c r="W1426" s="456"/>
      <x:c r="X1426" s="450"/>
      <x:c r="Y1426" s="457"/>
      <x:c r="Z1426" s="458"/>
      <x:c r="AA1426" s="458"/>
      <x:c r="AB1426" s="458"/>
      <x:c r="AC1426" s="458"/>
      <x:c r="AD1426" s="458"/>
      <x:c r="AE1426" s="458"/>
    </x:row>
    <x:row r="1427" spans="1:31" ht="20.100000000000001" customHeight="1">
      <x:c r="A1427" s="439"/>
      <x:c r="B1427" s="466" t="str">
        <x:f t="shared" si="177"/>
        <x:v/>
      </x:c>
      <x:c r="C1427" s="440" t="str">
        <x:f t="shared" si="178"/>
        <x:v/>
      </x:c>
      <x:c r="D1427" s="441"/>
      <x:c r="E1427" s="442" t="str">
        <x:f t="shared" si="179"/>
        <x:v/>
      </x:c>
      <x:c r="F1427" s="443"/>
      <x:c r="G1427" s="444"/>
      <x:c r="H1427" s="445" t="str">
        <x:f t="shared" si="176"/>
        <x:v/>
      </x:c>
      <x:c r="I1427" s="446" t="str">
        <x:f t="shared" si="180"/>
        <x:v/>
      </x:c>
      <x:c r="J1427" s="445"/>
      <x:c r="K1427" s="453"/>
      <x:c r="L1427" s="454"/>
      <x:c r="M1427" s="454"/>
      <x:c r="N1427" s="454"/>
      <x:c r="O1427" s="454"/>
      <x:c r="P1427" s="454"/>
      <x:c r="Q1427" s="454"/>
      <x:c r="R1427" s="454"/>
      <x:c r="S1427" s="454"/>
      <x:c r="T1427" s="454"/>
      <x:c r="U1427" s="454"/>
      <x:c r="V1427" s="455"/>
      <x:c r="W1427" s="456"/>
      <x:c r="X1427" s="450"/>
      <x:c r="Y1427" s="457"/>
      <x:c r="Z1427" s="458"/>
      <x:c r="AA1427" s="458"/>
      <x:c r="AB1427" s="458"/>
      <x:c r="AC1427" s="458"/>
      <x:c r="AD1427" s="458"/>
      <x:c r="AE1427" s="458"/>
    </x:row>
    <x:row r="1428" spans="1:31" ht="20.100000000000001" customHeight="1">
      <x:c r="A1428" s="439"/>
      <x:c r="B1428" s="466" t="str">
        <x:f t="shared" si="177"/>
        <x:v/>
      </x:c>
      <x:c r="C1428" s="440" t="str">
        <x:f t="shared" si="178"/>
        <x:v/>
      </x:c>
      <x:c r="D1428" s="441"/>
      <x:c r="E1428" s="442" t="str">
        <x:f t="shared" si="179"/>
        <x:v/>
      </x:c>
      <x:c r="F1428" s="443"/>
      <x:c r="G1428" s="444"/>
      <x:c r="H1428" s="445" t="str">
        <x:f t="shared" si="176"/>
        <x:v/>
      </x:c>
      <x:c r="I1428" s="446" t="str">
        <x:f t="shared" si="180"/>
        <x:v/>
      </x:c>
      <x:c r="J1428" s="445"/>
      <x:c r="K1428" s="453"/>
      <x:c r="L1428" s="454"/>
      <x:c r="M1428" s="454"/>
      <x:c r="N1428" s="454"/>
      <x:c r="O1428" s="454"/>
      <x:c r="P1428" s="454"/>
      <x:c r="Q1428" s="454"/>
      <x:c r="R1428" s="454"/>
      <x:c r="S1428" s="454"/>
      <x:c r="T1428" s="454"/>
      <x:c r="U1428" s="454"/>
      <x:c r="V1428" s="455"/>
      <x:c r="W1428" s="456"/>
      <x:c r="X1428" s="450"/>
      <x:c r="Y1428" s="457"/>
      <x:c r="Z1428" s="458"/>
      <x:c r="AA1428" s="458"/>
      <x:c r="AB1428" s="458"/>
      <x:c r="AC1428" s="458"/>
      <x:c r="AD1428" s="458"/>
      <x:c r="AE1428" s="458"/>
    </x:row>
    <x:row r="1429" spans="1:31" ht="20.100000000000001" customHeight="1">
      <x:c r="A1429" s="439"/>
      <x:c r="B1429" s="466" t="str">
        <x:f t="shared" si="177"/>
        <x:v/>
      </x:c>
      <x:c r="C1429" s="440" t="str">
        <x:f t="shared" si="178"/>
        <x:v/>
      </x:c>
      <x:c r="D1429" s="441"/>
      <x:c r="E1429" s="442" t="str">
        <x:f t="shared" si="179"/>
        <x:v/>
      </x:c>
      <x:c r="F1429" s="443"/>
      <x:c r="G1429" s="444"/>
      <x:c r="H1429" s="445" t="str">
        <x:f t="shared" si="176"/>
        <x:v/>
      </x:c>
      <x:c r="I1429" s="446" t="str">
        <x:f t="shared" si="180"/>
        <x:v/>
      </x:c>
      <x:c r="J1429" s="445"/>
      <x:c r="K1429" s="453"/>
      <x:c r="L1429" s="454"/>
      <x:c r="M1429" s="454"/>
      <x:c r="N1429" s="454"/>
      <x:c r="O1429" s="454"/>
      <x:c r="P1429" s="454"/>
      <x:c r="Q1429" s="454"/>
      <x:c r="R1429" s="454"/>
      <x:c r="S1429" s="454"/>
      <x:c r="T1429" s="454"/>
      <x:c r="U1429" s="454"/>
      <x:c r="V1429" s="455"/>
      <x:c r="W1429" s="456"/>
      <x:c r="X1429" s="450"/>
      <x:c r="Y1429" s="457"/>
      <x:c r="Z1429" s="458"/>
      <x:c r="AA1429" s="458"/>
      <x:c r="AB1429" s="458"/>
      <x:c r="AC1429" s="458"/>
      <x:c r="AD1429" s="458"/>
      <x:c r="AE1429" s="458"/>
    </x:row>
    <x:row r="1430" spans="1:31" ht="20.100000000000001" customHeight="1">
      <x:c r="A1430" s="439"/>
      <x:c r="B1430" s="466" t="str">
        <x:f t="shared" si="177"/>
        <x:v/>
      </x:c>
      <x:c r="C1430" s="440" t="str">
        <x:f t="shared" si="178"/>
        <x:v/>
      </x:c>
      <x:c r="D1430" s="441"/>
      <x:c r="E1430" s="442" t="str">
        <x:f t="shared" si="179"/>
        <x:v/>
      </x:c>
      <x:c r="F1430" s="443"/>
      <x:c r="G1430" s="444"/>
      <x:c r="H1430" s="445" t="str">
        <x:f t="shared" si="176"/>
        <x:v/>
      </x:c>
      <x:c r="I1430" s="446" t="str">
        <x:f t="shared" si="180"/>
        <x:v/>
      </x:c>
      <x:c r="J1430" s="445"/>
      <x:c r="K1430" s="453"/>
      <x:c r="L1430" s="454"/>
      <x:c r="M1430" s="454"/>
      <x:c r="N1430" s="454"/>
      <x:c r="O1430" s="454"/>
      <x:c r="P1430" s="454"/>
      <x:c r="Q1430" s="454"/>
      <x:c r="R1430" s="454"/>
      <x:c r="S1430" s="454"/>
      <x:c r="T1430" s="454"/>
      <x:c r="U1430" s="454"/>
      <x:c r="V1430" s="455"/>
      <x:c r="W1430" s="456"/>
      <x:c r="X1430" s="450"/>
      <x:c r="Y1430" s="457"/>
      <x:c r="Z1430" s="458"/>
      <x:c r="AA1430" s="458"/>
      <x:c r="AB1430" s="458"/>
      <x:c r="AC1430" s="458"/>
      <x:c r="AD1430" s="458"/>
      <x:c r="AE1430" s="458"/>
    </x:row>
    <x:row r="1431" spans="1:31" ht="20.100000000000001" customHeight="1">
      <x:c r="A1431" s="439"/>
      <x:c r="B1431" s="466" t="str">
        <x:f t="shared" si="177"/>
        <x:v/>
      </x:c>
      <x:c r="C1431" s="440" t="str">
        <x:f t="shared" si="178"/>
        <x:v/>
      </x:c>
      <x:c r="D1431" s="441"/>
      <x:c r="E1431" s="442" t="str">
        <x:f t="shared" si="179"/>
        <x:v/>
      </x:c>
      <x:c r="F1431" s="443"/>
      <x:c r="G1431" s="444"/>
      <x:c r="H1431" s="445" t="str">
        <x:f t="shared" si="176"/>
        <x:v/>
      </x:c>
      <x:c r="I1431" s="446" t="str">
        <x:f t="shared" si="180"/>
        <x:v/>
      </x:c>
      <x:c r="J1431" s="445"/>
      <x:c r="K1431" s="453"/>
      <x:c r="L1431" s="454"/>
      <x:c r="M1431" s="454"/>
      <x:c r="N1431" s="454"/>
      <x:c r="O1431" s="454"/>
      <x:c r="P1431" s="454"/>
      <x:c r="Q1431" s="454"/>
      <x:c r="R1431" s="454"/>
      <x:c r="S1431" s="454"/>
      <x:c r="T1431" s="454"/>
      <x:c r="U1431" s="454"/>
      <x:c r="V1431" s="455"/>
      <x:c r="W1431" s="456"/>
      <x:c r="X1431" s="450"/>
      <x:c r="Y1431" s="457"/>
      <x:c r="Z1431" s="458"/>
      <x:c r="AA1431" s="458"/>
      <x:c r="AB1431" s="458"/>
      <x:c r="AC1431" s="458"/>
      <x:c r="AD1431" s="458"/>
      <x:c r="AE1431" s="458"/>
    </x:row>
    <x:row r="1432" spans="1:31" ht="20.100000000000001" customHeight="1">
      <x:c r="A1432" s="439"/>
      <x:c r="B1432" s="466" t="str">
        <x:f t="shared" si="177"/>
        <x:v/>
      </x:c>
      <x:c r="C1432" s="440" t="str">
        <x:f t="shared" si="178"/>
        <x:v/>
      </x:c>
      <x:c r="D1432" s="441"/>
      <x:c r="E1432" s="442" t="str">
        <x:f t="shared" si="179"/>
        <x:v/>
      </x:c>
      <x:c r="F1432" s="443"/>
      <x:c r="G1432" s="444"/>
      <x:c r="H1432" s="445" t="str">
        <x:f t="shared" si="176"/>
        <x:v/>
      </x:c>
      <x:c r="I1432" s="446" t="str">
        <x:f t="shared" si="180"/>
        <x:v/>
      </x:c>
      <x:c r="J1432" s="445"/>
      <x:c r="K1432" s="453"/>
      <x:c r="L1432" s="454"/>
      <x:c r="M1432" s="454"/>
      <x:c r="N1432" s="454"/>
      <x:c r="O1432" s="454"/>
      <x:c r="P1432" s="454"/>
      <x:c r="Q1432" s="454"/>
      <x:c r="R1432" s="454"/>
      <x:c r="S1432" s="454"/>
      <x:c r="T1432" s="454"/>
      <x:c r="U1432" s="454"/>
      <x:c r="V1432" s="455"/>
      <x:c r="W1432" s="456"/>
      <x:c r="X1432" s="450"/>
      <x:c r="Y1432" s="457"/>
      <x:c r="Z1432" s="458"/>
      <x:c r="AA1432" s="458"/>
      <x:c r="AB1432" s="458"/>
      <x:c r="AC1432" s="458"/>
      <x:c r="AD1432" s="458"/>
      <x:c r="AE1432" s="458"/>
    </x:row>
    <x:row r="1433" spans="1:31" ht="20.100000000000001" customHeight="1">
      <x:c r="A1433" s="439"/>
      <x:c r="B1433" s="466" t="str">
        <x:f t="shared" si="177"/>
        <x:v/>
      </x:c>
      <x:c r="C1433" s="440" t="str">
        <x:f t="shared" si="178"/>
        <x:v/>
      </x:c>
      <x:c r="D1433" s="441"/>
      <x:c r="E1433" s="442" t="str">
        <x:f t="shared" si="179"/>
        <x:v/>
      </x:c>
      <x:c r="F1433" s="443"/>
      <x:c r="G1433" s="444"/>
      <x:c r="H1433" s="445" t="str">
        <x:f t="shared" si="176"/>
        <x:v/>
      </x:c>
      <x:c r="I1433" s="446" t="str">
        <x:f t="shared" si="180"/>
        <x:v/>
      </x:c>
      <x:c r="J1433" s="445"/>
      <x:c r="K1433" s="453"/>
      <x:c r="L1433" s="454"/>
      <x:c r="M1433" s="454"/>
      <x:c r="N1433" s="454"/>
      <x:c r="O1433" s="454"/>
      <x:c r="P1433" s="454"/>
      <x:c r="Q1433" s="454"/>
      <x:c r="R1433" s="454"/>
      <x:c r="S1433" s="454"/>
      <x:c r="T1433" s="454"/>
      <x:c r="U1433" s="454"/>
      <x:c r="V1433" s="455"/>
      <x:c r="W1433" s="456"/>
      <x:c r="X1433" s="450"/>
      <x:c r="Y1433" s="457"/>
      <x:c r="Z1433" s="458"/>
      <x:c r="AA1433" s="458"/>
      <x:c r="AB1433" s="458"/>
      <x:c r="AC1433" s="458"/>
      <x:c r="AD1433" s="458"/>
      <x:c r="AE1433" s="458"/>
    </x:row>
    <x:row r="1434" spans="1:31" ht="20.100000000000001" customHeight="1">
      <x:c r="A1434" s="439"/>
      <x:c r="B1434" s="466" t="str">
        <x:f t="shared" si="177"/>
        <x:v/>
      </x:c>
      <x:c r="C1434" s="440" t="str">
        <x:f t="shared" si="178"/>
        <x:v/>
      </x:c>
      <x:c r="D1434" s="441"/>
      <x:c r="E1434" s="442" t="str">
        <x:f t="shared" si="179"/>
        <x:v/>
      </x:c>
      <x:c r="F1434" s="443"/>
      <x:c r="G1434" s="444"/>
      <x:c r="H1434" s="445" t="str">
        <x:f t="shared" si="176"/>
        <x:v/>
      </x:c>
      <x:c r="I1434" s="446" t="str">
        <x:f t="shared" si="180"/>
        <x:v/>
      </x:c>
      <x:c r="J1434" s="445"/>
      <x:c r="K1434" s="453"/>
      <x:c r="L1434" s="454"/>
      <x:c r="M1434" s="454"/>
      <x:c r="N1434" s="454"/>
      <x:c r="O1434" s="454"/>
      <x:c r="P1434" s="454"/>
      <x:c r="Q1434" s="454"/>
      <x:c r="R1434" s="454"/>
      <x:c r="S1434" s="454"/>
      <x:c r="T1434" s="454"/>
      <x:c r="U1434" s="454"/>
      <x:c r="V1434" s="455"/>
      <x:c r="W1434" s="456"/>
      <x:c r="X1434" s="450"/>
      <x:c r="Y1434" s="457"/>
      <x:c r="Z1434" s="458"/>
      <x:c r="AA1434" s="458"/>
      <x:c r="AB1434" s="458"/>
      <x:c r="AC1434" s="458"/>
      <x:c r="AD1434" s="458"/>
      <x:c r="AE1434" s="458"/>
    </x:row>
    <x:row r="1435" spans="1:31" ht="20.100000000000001" customHeight="1">
      <x:c r="A1435" s="439"/>
      <x:c r="B1435" s="466" t="str">
        <x:f t="shared" si="177"/>
        <x:v/>
      </x:c>
      <x:c r="C1435" s="440" t="str">
        <x:f t="shared" si="178"/>
        <x:v/>
      </x:c>
      <x:c r="D1435" s="441"/>
      <x:c r="E1435" s="442" t="str">
        <x:f t="shared" si="179"/>
        <x:v/>
      </x:c>
      <x:c r="F1435" s="443"/>
      <x:c r="G1435" s="444"/>
      <x:c r="H1435" s="445" t="str">
        <x:f t="shared" si="176"/>
        <x:v/>
      </x:c>
      <x:c r="I1435" s="446" t="str">
        <x:f t="shared" si="180"/>
        <x:v/>
      </x:c>
      <x:c r="J1435" s="445"/>
      <x:c r="K1435" s="453"/>
      <x:c r="L1435" s="454"/>
      <x:c r="M1435" s="454"/>
      <x:c r="N1435" s="454"/>
      <x:c r="O1435" s="454"/>
      <x:c r="P1435" s="454"/>
      <x:c r="Q1435" s="454"/>
      <x:c r="R1435" s="454"/>
      <x:c r="S1435" s="454"/>
      <x:c r="T1435" s="454"/>
      <x:c r="U1435" s="454"/>
      <x:c r="V1435" s="455"/>
      <x:c r="W1435" s="456"/>
      <x:c r="X1435" s="450"/>
      <x:c r="Y1435" s="457"/>
      <x:c r="Z1435" s="458"/>
      <x:c r="AA1435" s="458"/>
      <x:c r="AB1435" s="458"/>
      <x:c r="AC1435" s="458"/>
      <x:c r="AD1435" s="458"/>
      <x:c r="AE1435" s="458"/>
    </x:row>
    <x:row r="1436" spans="1:31" ht="20.100000000000001" customHeight="1">
      <x:c r="A1436" s="439"/>
      <x:c r="B1436" s="466" t="str">
        <x:f t="shared" si="177"/>
        <x:v/>
      </x:c>
      <x:c r="C1436" s="440" t="str">
        <x:f t="shared" si="178"/>
        <x:v/>
      </x:c>
      <x:c r="D1436" s="441"/>
      <x:c r="E1436" s="442" t="str">
        <x:f t="shared" si="179"/>
        <x:v/>
      </x:c>
      <x:c r="F1436" s="443"/>
      <x:c r="G1436" s="444"/>
      <x:c r="H1436" s="445" t="str">
        <x:f t="shared" si="176"/>
        <x:v/>
      </x:c>
      <x:c r="I1436" s="446" t="str">
        <x:f t="shared" si="180"/>
        <x:v/>
      </x:c>
      <x:c r="J1436" s="445"/>
      <x:c r="K1436" s="453"/>
      <x:c r="L1436" s="454"/>
      <x:c r="M1436" s="454"/>
      <x:c r="N1436" s="454"/>
      <x:c r="O1436" s="454"/>
      <x:c r="P1436" s="454"/>
      <x:c r="Q1436" s="454"/>
      <x:c r="R1436" s="454"/>
      <x:c r="S1436" s="454"/>
      <x:c r="T1436" s="454"/>
      <x:c r="U1436" s="454"/>
      <x:c r="V1436" s="455"/>
      <x:c r="W1436" s="456"/>
      <x:c r="X1436" s="450"/>
      <x:c r="Y1436" s="457"/>
      <x:c r="Z1436" s="458"/>
      <x:c r="AA1436" s="458"/>
      <x:c r="AB1436" s="458"/>
      <x:c r="AC1436" s="458"/>
      <x:c r="AD1436" s="458"/>
      <x:c r="AE1436" s="458"/>
    </x:row>
    <x:row r="1437" spans="1:31" ht="20.100000000000001" customHeight="1">
      <x:c r="A1437" s="439"/>
      <x:c r="B1437" s="466" t="str">
        <x:f t="shared" si="177"/>
        <x:v/>
      </x:c>
      <x:c r="C1437" s="440" t="str">
        <x:f t="shared" si="178"/>
        <x:v/>
      </x:c>
      <x:c r="D1437" s="441"/>
      <x:c r="E1437" s="442" t="str">
        <x:f t="shared" si="179"/>
        <x:v/>
      </x:c>
      <x:c r="F1437" s="443"/>
      <x:c r="G1437" s="444"/>
      <x:c r="H1437" s="445" t="str">
        <x:f t="shared" si="176"/>
        <x:v/>
      </x:c>
      <x:c r="I1437" s="446" t="str">
        <x:f t="shared" si="180"/>
        <x:v/>
      </x:c>
      <x:c r="J1437" s="445"/>
      <x:c r="K1437" s="453"/>
      <x:c r="L1437" s="454"/>
      <x:c r="M1437" s="454"/>
      <x:c r="N1437" s="454"/>
      <x:c r="O1437" s="454"/>
      <x:c r="P1437" s="454"/>
      <x:c r="Q1437" s="454"/>
      <x:c r="R1437" s="454"/>
      <x:c r="S1437" s="454"/>
      <x:c r="T1437" s="454"/>
      <x:c r="U1437" s="454"/>
      <x:c r="V1437" s="455"/>
      <x:c r="W1437" s="456"/>
      <x:c r="X1437" s="450"/>
      <x:c r="Y1437" s="457"/>
      <x:c r="Z1437" s="458"/>
      <x:c r="AA1437" s="458"/>
      <x:c r="AB1437" s="458"/>
      <x:c r="AC1437" s="458"/>
      <x:c r="AD1437" s="458"/>
      <x:c r="AE1437" s="458"/>
    </x:row>
    <x:row r="1438" spans="1:31" ht="20.100000000000001" customHeight="1">
      <x:c r="A1438" s="439"/>
      <x:c r="B1438" s="466" t="str">
        <x:f t="shared" si="177"/>
        <x:v/>
      </x:c>
      <x:c r="C1438" s="440" t="str">
        <x:f t="shared" si="178"/>
        <x:v/>
      </x:c>
      <x:c r="D1438" s="441"/>
      <x:c r="E1438" s="442" t="str">
        <x:f t="shared" si="179"/>
        <x:v/>
      </x:c>
      <x:c r="F1438" s="443"/>
      <x:c r="G1438" s="444"/>
      <x:c r="H1438" s="445" t="str">
        <x:f t="shared" si="176"/>
        <x:v/>
      </x:c>
      <x:c r="I1438" s="446" t="str">
        <x:f t="shared" si="180"/>
        <x:v/>
      </x:c>
      <x:c r="J1438" s="445"/>
      <x:c r="K1438" s="453"/>
      <x:c r="L1438" s="454"/>
      <x:c r="M1438" s="454"/>
      <x:c r="N1438" s="454"/>
      <x:c r="O1438" s="454"/>
      <x:c r="P1438" s="454"/>
      <x:c r="Q1438" s="454"/>
      <x:c r="R1438" s="454"/>
      <x:c r="S1438" s="454"/>
      <x:c r="T1438" s="454"/>
      <x:c r="U1438" s="454"/>
      <x:c r="V1438" s="455"/>
      <x:c r="W1438" s="456"/>
      <x:c r="X1438" s="450"/>
      <x:c r="Y1438" s="457"/>
      <x:c r="Z1438" s="458"/>
      <x:c r="AA1438" s="458"/>
      <x:c r="AB1438" s="458"/>
      <x:c r="AC1438" s="458"/>
      <x:c r="AD1438" s="458"/>
      <x:c r="AE1438" s="458"/>
    </x:row>
    <x:row r="1439" spans="1:31" ht="20.100000000000001" customHeight="1">
      <x:c r="A1439" s="439"/>
      <x:c r="B1439" s="466" t="str">
        <x:f t="shared" si="177"/>
        <x:v/>
      </x:c>
      <x:c r="C1439" s="440" t="str">
        <x:f t="shared" si="178"/>
        <x:v/>
      </x:c>
      <x:c r="D1439" s="441"/>
      <x:c r="E1439" s="442" t="str">
        <x:f t="shared" si="179"/>
        <x:v/>
      </x:c>
      <x:c r="F1439" s="443"/>
      <x:c r="G1439" s="444"/>
      <x:c r="H1439" s="445" t="str">
        <x:f t="shared" si="176"/>
        <x:v/>
      </x:c>
      <x:c r="I1439" s="446" t="str">
        <x:f t="shared" si="180"/>
        <x:v/>
      </x:c>
      <x:c r="J1439" s="445"/>
      <x:c r="K1439" s="453"/>
      <x:c r="L1439" s="454"/>
      <x:c r="M1439" s="454"/>
      <x:c r="N1439" s="454"/>
      <x:c r="O1439" s="454"/>
      <x:c r="P1439" s="454"/>
      <x:c r="Q1439" s="454"/>
      <x:c r="R1439" s="454"/>
      <x:c r="S1439" s="454"/>
      <x:c r="T1439" s="454"/>
      <x:c r="U1439" s="454"/>
      <x:c r="V1439" s="455"/>
      <x:c r="W1439" s="456"/>
      <x:c r="X1439" s="450"/>
      <x:c r="Y1439" s="457"/>
      <x:c r="Z1439" s="458"/>
      <x:c r="AA1439" s="458"/>
      <x:c r="AB1439" s="458"/>
      <x:c r="AC1439" s="458"/>
      <x:c r="AD1439" s="458"/>
      <x:c r="AE1439" s="458"/>
    </x:row>
    <x:row r="1440" spans="1:31" ht="20.100000000000001" customHeight="1">
      <x:c r="A1440" s="439"/>
      <x:c r="B1440" s="466" t="str">
        <x:f t="shared" si="177"/>
        <x:v/>
      </x:c>
      <x:c r="C1440" s="440" t="str">
        <x:f t="shared" si="178"/>
        <x:v/>
      </x:c>
      <x:c r="D1440" s="441"/>
      <x:c r="E1440" s="442" t="str">
        <x:f t="shared" si="179"/>
        <x:v/>
      </x:c>
      <x:c r="F1440" s="443"/>
      <x:c r="G1440" s="444"/>
      <x:c r="H1440" s="445" t="str">
        <x:f t="shared" si="176"/>
        <x:v/>
      </x:c>
      <x:c r="I1440" s="446" t="str">
        <x:f t="shared" si="180"/>
        <x:v/>
      </x:c>
      <x:c r="J1440" s="445"/>
      <x:c r="K1440" s="453"/>
      <x:c r="L1440" s="454"/>
      <x:c r="M1440" s="454"/>
      <x:c r="N1440" s="454"/>
      <x:c r="O1440" s="454"/>
      <x:c r="P1440" s="454"/>
      <x:c r="Q1440" s="454"/>
      <x:c r="R1440" s="454"/>
      <x:c r="S1440" s="454"/>
      <x:c r="T1440" s="454"/>
      <x:c r="U1440" s="454"/>
      <x:c r="V1440" s="455"/>
      <x:c r="W1440" s="456"/>
      <x:c r="X1440" s="450"/>
      <x:c r="Y1440" s="457"/>
      <x:c r="Z1440" s="458"/>
      <x:c r="AA1440" s="458"/>
      <x:c r="AB1440" s="458"/>
      <x:c r="AC1440" s="458"/>
      <x:c r="AD1440" s="458"/>
      <x:c r="AE1440" s="458"/>
    </x:row>
    <x:row r="1441" spans="1:31" ht="20.100000000000001" customHeight="1">
      <x:c r="A1441" s="439"/>
      <x:c r="B1441" s="466" t="str">
        <x:f t="shared" si="177"/>
        <x:v/>
      </x:c>
      <x:c r="C1441" s="440" t="str">
        <x:f t="shared" si="178"/>
        <x:v/>
      </x:c>
      <x:c r="D1441" s="441"/>
      <x:c r="E1441" s="442" t="str">
        <x:f t="shared" si="179"/>
        <x:v/>
      </x:c>
      <x:c r="F1441" s="443"/>
      <x:c r="G1441" s="444"/>
      <x:c r="H1441" s="445" t="str">
        <x:f t="shared" si="176"/>
        <x:v/>
      </x:c>
      <x:c r="I1441" s="446" t="str">
        <x:f t="shared" si="180"/>
        <x:v/>
      </x:c>
      <x:c r="J1441" s="445"/>
      <x:c r="K1441" s="453"/>
      <x:c r="L1441" s="454"/>
      <x:c r="M1441" s="454"/>
      <x:c r="N1441" s="454"/>
      <x:c r="O1441" s="454"/>
      <x:c r="P1441" s="454"/>
      <x:c r="Q1441" s="454"/>
      <x:c r="R1441" s="454"/>
      <x:c r="S1441" s="454"/>
      <x:c r="T1441" s="454"/>
      <x:c r="U1441" s="454"/>
      <x:c r="V1441" s="455"/>
      <x:c r="W1441" s="456"/>
      <x:c r="X1441" s="450"/>
      <x:c r="Y1441" s="457"/>
      <x:c r="Z1441" s="458"/>
      <x:c r="AA1441" s="458"/>
      <x:c r="AB1441" s="458"/>
      <x:c r="AC1441" s="458"/>
      <x:c r="AD1441" s="458"/>
      <x:c r="AE1441" s="458"/>
    </x:row>
    <x:row r="1442" spans="1:31" ht="20.100000000000001" customHeight="1">
      <x:c r="A1442" s="439"/>
      <x:c r="B1442" s="466" t="str">
        <x:f t="shared" si="177"/>
        <x:v/>
      </x:c>
      <x:c r="C1442" s="440" t="str">
        <x:f t="shared" si="178"/>
        <x:v/>
      </x:c>
      <x:c r="D1442" s="441"/>
      <x:c r="E1442" s="442" t="str">
        <x:f t="shared" si="179"/>
        <x:v/>
      </x:c>
      <x:c r="F1442" s="443"/>
      <x:c r="G1442" s="444"/>
      <x:c r="H1442" s="445" t="str">
        <x:f t="shared" si="176"/>
        <x:v/>
      </x:c>
      <x:c r="I1442" s="446" t="str">
        <x:f t="shared" si="180"/>
        <x:v/>
      </x:c>
      <x:c r="J1442" s="445"/>
      <x:c r="K1442" s="453"/>
      <x:c r="L1442" s="454"/>
      <x:c r="M1442" s="454"/>
      <x:c r="N1442" s="454"/>
      <x:c r="O1442" s="454"/>
      <x:c r="P1442" s="454"/>
      <x:c r="Q1442" s="454"/>
      <x:c r="R1442" s="454"/>
      <x:c r="S1442" s="454"/>
      <x:c r="T1442" s="454"/>
      <x:c r="U1442" s="454"/>
      <x:c r="V1442" s="455"/>
      <x:c r="W1442" s="456"/>
      <x:c r="X1442" s="450"/>
      <x:c r="Y1442" s="457"/>
      <x:c r="Z1442" s="458"/>
      <x:c r="AA1442" s="458"/>
      <x:c r="AB1442" s="458"/>
      <x:c r="AC1442" s="458"/>
      <x:c r="AD1442" s="458"/>
      <x:c r="AE1442" s="458"/>
    </x:row>
    <x:row r="1443" spans="1:31" ht="20.100000000000001" customHeight="1">
      <x:c r="A1443" s="439"/>
      <x:c r="B1443" s="466" t="str">
        <x:f t="shared" si="177"/>
        <x:v/>
      </x:c>
      <x:c r="C1443" s="440" t="str">
        <x:f t="shared" si="178"/>
        <x:v/>
      </x:c>
      <x:c r="D1443" s="441"/>
      <x:c r="E1443" s="442" t="str">
        <x:f t="shared" si="179"/>
        <x:v/>
      </x:c>
      <x:c r="F1443" s="443"/>
      <x:c r="G1443" s="444"/>
      <x:c r="H1443" s="445" t="str">
        <x:f t="shared" si="176"/>
        <x:v/>
      </x:c>
      <x:c r="I1443" s="446" t="str">
        <x:f t="shared" si="180"/>
        <x:v/>
      </x:c>
      <x:c r="J1443" s="445"/>
      <x:c r="K1443" s="453"/>
      <x:c r="L1443" s="454"/>
      <x:c r="M1443" s="454"/>
      <x:c r="N1443" s="454"/>
      <x:c r="O1443" s="454"/>
      <x:c r="P1443" s="454"/>
      <x:c r="Q1443" s="454"/>
      <x:c r="R1443" s="454"/>
      <x:c r="S1443" s="454"/>
      <x:c r="T1443" s="454"/>
      <x:c r="U1443" s="454"/>
      <x:c r="V1443" s="455"/>
      <x:c r="W1443" s="456"/>
      <x:c r="X1443" s="450"/>
      <x:c r="Y1443" s="457"/>
      <x:c r="Z1443" s="458"/>
      <x:c r="AA1443" s="458"/>
      <x:c r="AB1443" s="458"/>
      <x:c r="AC1443" s="458"/>
      <x:c r="AD1443" s="458"/>
      <x:c r="AE1443" s="458"/>
    </x:row>
    <x:row r="1444" spans="1:31" ht="20.100000000000001" customHeight="1">
      <x:c r="A1444" s="439"/>
      <x:c r="B1444" s="466" t="str">
        <x:f t="shared" si="177"/>
        <x:v/>
      </x:c>
      <x:c r="C1444" s="440" t="str">
        <x:f t="shared" si="178"/>
        <x:v/>
      </x:c>
      <x:c r="D1444" s="441"/>
      <x:c r="E1444" s="442" t="str">
        <x:f t="shared" si="179"/>
        <x:v/>
      </x:c>
      <x:c r="F1444" s="443"/>
      <x:c r="G1444" s="444"/>
      <x:c r="H1444" s="445" t="str">
        <x:f t="shared" si="176"/>
        <x:v/>
      </x:c>
      <x:c r="I1444" s="446" t="str">
        <x:f t="shared" si="180"/>
        <x:v/>
      </x:c>
      <x:c r="J1444" s="445"/>
      <x:c r="K1444" s="453"/>
      <x:c r="L1444" s="454"/>
      <x:c r="M1444" s="454"/>
      <x:c r="N1444" s="454"/>
      <x:c r="O1444" s="454"/>
      <x:c r="P1444" s="454"/>
      <x:c r="Q1444" s="454"/>
      <x:c r="R1444" s="454"/>
      <x:c r="S1444" s="454"/>
      <x:c r="T1444" s="454"/>
      <x:c r="U1444" s="454"/>
      <x:c r="V1444" s="455"/>
      <x:c r="W1444" s="456"/>
      <x:c r="X1444" s="450"/>
      <x:c r="Y1444" s="457"/>
      <x:c r="Z1444" s="458"/>
      <x:c r="AA1444" s="458"/>
      <x:c r="AB1444" s="458"/>
      <x:c r="AC1444" s="458"/>
      <x:c r="AD1444" s="458"/>
      <x:c r="AE1444" s="458"/>
    </x:row>
    <x:row r="1445" spans="1:31" ht="20.100000000000001" customHeight="1">
      <x:c r="A1445" s="439"/>
      <x:c r="B1445" s="466" t="str">
        <x:f t="shared" si="177"/>
        <x:v/>
      </x:c>
      <x:c r="C1445" s="440" t="str">
        <x:f t="shared" si="178"/>
        <x:v/>
      </x:c>
      <x:c r="D1445" s="441"/>
      <x:c r="E1445" s="442" t="str">
        <x:f t="shared" si="179"/>
        <x:v/>
      </x:c>
      <x:c r="F1445" s="443"/>
      <x:c r="G1445" s="444"/>
      <x:c r="H1445" s="445" t="str">
        <x:f t="shared" si="176"/>
        <x:v/>
      </x:c>
      <x:c r="I1445" s="446" t="str">
        <x:f t="shared" si="180"/>
        <x:v/>
      </x:c>
      <x:c r="J1445" s="445"/>
      <x:c r="K1445" s="453"/>
      <x:c r="L1445" s="454"/>
      <x:c r="M1445" s="454"/>
      <x:c r="N1445" s="454"/>
      <x:c r="O1445" s="454"/>
      <x:c r="P1445" s="454"/>
      <x:c r="Q1445" s="454"/>
      <x:c r="R1445" s="454"/>
      <x:c r="S1445" s="454"/>
      <x:c r="T1445" s="454"/>
      <x:c r="U1445" s="454"/>
      <x:c r="V1445" s="455"/>
      <x:c r="W1445" s="456"/>
      <x:c r="X1445" s="450"/>
      <x:c r="Y1445" s="457"/>
      <x:c r="Z1445" s="458"/>
      <x:c r="AA1445" s="458"/>
      <x:c r="AB1445" s="458"/>
      <x:c r="AC1445" s="458"/>
      <x:c r="AD1445" s="458"/>
      <x:c r="AE1445" s="458"/>
    </x:row>
    <x:row r="1446" spans="1:31" ht="20.100000000000001" customHeight="1">
      <x:c r="A1446" s="439"/>
      <x:c r="B1446" s="466" t="str">
        <x:f t="shared" si="177"/>
        <x:v/>
      </x:c>
      <x:c r="C1446" s="440" t="str">
        <x:f t="shared" si="178"/>
        <x:v/>
      </x:c>
      <x:c r="D1446" s="441"/>
      <x:c r="E1446" s="442" t="str">
        <x:f t="shared" si="179"/>
        <x:v/>
      </x:c>
      <x:c r="F1446" s="443"/>
      <x:c r="G1446" s="444"/>
      <x:c r="H1446" s="445" t="str">
        <x:f t="shared" si="176"/>
        <x:v/>
      </x:c>
      <x:c r="I1446" s="446" t="str">
        <x:f t="shared" si="180"/>
        <x:v/>
      </x:c>
      <x:c r="J1446" s="445"/>
      <x:c r="K1446" s="453"/>
      <x:c r="L1446" s="454"/>
      <x:c r="M1446" s="454"/>
      <x:c r="N1446" s="454"/>
      <x:c r="O1446" s="454"/>
      <x:c r="P1446" s="454"/>
      <x:c r="Q1446" s="454"/>
      <x:c r="R1446" s="454"/>
      <x:c r="S1446" s="454"/>
      <x:c r="T1446" s="454"/>
      <x:c r="U1446" s="454"/>
      <x:c r="V1446" s="455"/>
      <x:c r="W1446" s="456"/>
      <x:c r="X1446" s="450"/>
      <x:c r="Y1446" s="457"/>
      <x:c r="Z1446" s="458"/>
      <x:c r="AA1446" s="458"/>
      <x:c r="AB1446" s="458"/>
      <x:c r="AC1446" s="458"/>
      <x:c r="AD1446" s="458"/>
      <x:c r="AE1446" s="458"/>
    </x:row>
    <x:row r="1447" spans="1:31" ht="20.100000000000001" customHeight="1">
      <x:c r="A1447" s="439"/>
      <x:c r="B1447" s="466" t="str">
        <x:f t="shared" si="177"/>
        <x:v/>
      </x:c>
      <x:c r="C1447" s="440" t="str">
        <x:f t="shared" si="178"/>
        <x:v/>
      </x:c>
      <x:c r="D1447" s="441"/>
      <x:c r="E1447" s="442" t="str">
        <x:f t="shared" si="179"/>
        <x:v/>
      </x:c>
      <x:c r="F1447" s="443"/>
      <x:c r="G1447" s="444"/>
      <x:c r="H1447" s="445" t="str">
        <x:f t="shared" si="176"/>
        <x:v/>
      </x:c>
      <x:c r="I1447" s="446" t="str">
        <x:f t="shared" si="180"/>
        <x:v/>
      </x:c>
      <x:c r="J1447" s="445"/>
      <x:c r="K1447" s="453"/>
      <x:c r="L1447" s="454"/>
      <x:c r="M1447" s="454"/>
      <x:c r="N1447" s="454"/>
      <x:c r="O1447" s="454"/>
      <x:c r="P1447" s="454"/>
      <x:c r="Q1447" s="454"/>
      <x:c r="R1447" s="454"/>
      <x:c r="S1447" s="454"/>
      <x:c r="T1447" s="454"/>
      <x:c r="U1447" s="454"/>
      <x:c r="V1447" s="455"/>
      <x:c r="W1447" s="456"/>
      <x:c r="X1447" s="450"/>
      <x:c r="Y1447" s="457"/>
      <x:c r="Z1447" s="458"/>
      <x:c r="AA1447" s="458"/>
      <x:c r="AB1447" s="458"/>
      <x:c r="AC1447" s="458"/>
      <x:c r="AD1447" s="458"/>
      <x:c r="AE1447" s="458"/>
    </x:row>
    <x:row r="1448" spans="1:31" ht="20.100000000000001" customHeight="1">
      <x:c r="A1448" s="439"/>
      <x:c r="B1448" s="466" t="str">
        <x:f t="shared" si="177"/>
        <x:v/>
      </x:c>
      <x:c r="C1448" s="440" t="str">
        <x:f t="shared" si="178"/>
        <x:v/>
      </x:c>
      <x:c r="D1448" s="441"/>
      <x:c r="E1448" s="442" t="str">
        <x:f t="shared" si="179"/>
        <x:v/>
      </x:c>
      <x:c r="F1448" s="443"/>
      <x:c r="G1448" s="444"/>
      <x:c r="H1448" s="445" t="str">
        <x:f t="shared" si="176"/>
        <x:v/>
      </x:c>
      <x:c r="I1448" s="446" t="str">
        <x:f t="shared" si="180"/>
        <x:v/>
      </x:c>
      <x:c r="J1448" s="445"/>
      <x:c r="K1448" s="453"/>
      <x:c r="L1448" s="454"/>
      <x:c r="M1448" s="454"/>
      <x:c r="N1448" s="454"/>
      <x:c r="O1448" s="454"/>
      <x:c r="P1448" s="454"/>
      <x:c r="Q1448" s="454"/>
      <x:c r="R1448" s="454"/>
      <x:c r="S1448" s="454"/>
      <x:c r="T1448" s="454"/>
      <x:c r="U1448" s="454"/>
      <x:c r="V1448" s="455"/>
      <x:c r="W1448" s="456"/>
      <x:c r="X1448" s="450"/>
      <x:c r="Y1448" s="457"/>
      <x:c r="Z1448" s="458"/>
      <x:c r="AA1448" s="458"/>
      <x:c r="AB1448" s="458"/>
      <x:c r="AC1448" s="458"/>
      <x:c r="AD1448" s="458"/>
      <x:c r="AE1448" s="458"/>
    </x:row>
    <x:row r="1449" spans="1:31" ht="20.100000000000001" customHeight="1">
      <x:c r="A1449" s="439"/>
      <x:c r="B1449" s="466" t="str">
        <x:f t="shared" si="177"/>
        <x:v/>
      </x:c>
      <x:c r="C1449" s="440" t="str">
        <x:f t="shared" si="178"/>
        <x:v/>
      </x:c>
      <x:c r="D1449" s="441"/>
      <x:c r="E1449" s="442" t="str">
        <x:f t="shared" si="179"/>
        <x:v/>
      </x:c>
      <x:c r="F1449" s="443"/>
      <x:c r="G1449" s="444"/>
      <x:c r="H1449" s="445" t="str">
        <x:f t="shared" si="176"/>
        <x:v/>
      </x:c>
      <x:c r="I1449" s="446" t="str">
        <x:f t="shared" si="180"/>
        <x:v/>
      </x:c>
      <x:c r="J1449" s="445"/>
      <x:c r="K1449" s="453"/>
      <x:c r="L1449" s="454"/>
      <x:c r="M1449" s="454"/>
      <x:c r="N1449" s="454"/>
      <x:c r="O1449" s="454"/>
      <x:c r="P1449" s="454"/>
      <x:c r="Q1449" s="454"/>
      <x:c r="R1449" s="454"/>
      <x:c r="S1449" s="454"/>
      <x:c r="T1449" s="454"/>
      <x:c r="U1449" s="454"/>
      <x:c r="V1449" s="455"/>
      <x:c r="W1449" s="456"/>
      <x:c r="X1449" s="450"/>
      <x:c r="Y1449" s="457"/>
      <x:c r="Z1449" s="458"/>
      <x:c r="AA1449" s="458"/>
      <x:c r="AB1449" s="458"/>
      <x:c r="AC1449" s="458"/>
      <x:c r="AD1449" s="458"/>
      <x:c r="AE1449" s="458"/>
    </x:row>
    <x:row r="1450" spans="1:31" ht="20.100000000000001" customHeight="1">
      <x:c r="A1450" s="439"/>
      <x:c r="B1450" s="466" t="str">
        <x:f t="shared" si="177"/>
        <x:v/>
      </x:c>
      <x:c r="C1450" s="440" t="str">
        <x:f t="shared" si="178"/>
        <x:v/>
      </x:c>
      <x:c r="D1450" s="441"/>
      <x:c r="E1450" s="442" t="str">
        <x:f t="shared" si="179"/>
        <x:v/>
      </x:c>
      <x:c r="F1450" s="443"/>
      <x:c r="G1450" s="444"/>
      <x:c r="H1450" s="445" t="str">
        <x:f t="shared" si="176"/>
        <x:v/>
      </x:c>
      <x:c r="I1450" s="446" t="str">
        <x:f t="shared" si="180"/>
        <x:v/>
      </x:c>
      <x:c r="J1450" s="445"/>
      <x:c r="K1450" s="453"/>
      <x:c r="L1450" s="454"/>
      <x:c r="M1450" s="454"/>
      <x:c r="N1450" s="454"/>
      <x:c r="O1450" s="454"/>
      <x:c r="P1450" s="454"/>
      <x:c r="Q1450" s="454"/>
      <x:c r="R1450" s="454"/>
      <x:c r="S1450" s="454"/>
      <x:c r="T1450" s="454"/>
      <x:c r="U1450" s="454"/>
      <x:c r="V1450" s="455"/>
      <x:c r="W1450" s="456"/>
      <x:c r="X1450" s="450"/>
      <x:c r="Y1450" s="457"/>
      <x:c r="Z1450" s="458"/>
      <x:c r="AA1450" s="458"/>
      <x:c r="AB1450" s="458"/>
      <x:c r="AC1450" s="458"/>
      <x:c r="AD1450" s="458"/>
      <x:c r="AE1450" s="458"/>
    </x:row>
    <x:row r="1451" spans="1:31" ht="20.100000000000001" customHeight="1">
      <x:c r="A1451" s="439"/>
      <x:c r="B1451" s="466" t="str">
        <x:f t="shared" si="177"/>
        <x:v/>
      </x:c>
      <x:c r="C1451" s="440" t="str">
        <x:f t="shared" si="178"/>
        <x:v/>
      </x:c>
      <x:c r="D1451" s="441"/>
      <x:c r="E1451" s="442" t="str">
        <x:f t="shared" si="179"/>
        <x:v/>
      </x:c>
      <x:c r="F1451" s="443"/>
      <x:c r="G1451" s="444"/>
      <x:c r="H1451" s="445" t="str">
        <x:f t="shared" si="176"/>
        <x:v/>
      </x:c>
      <x:c r="I1451" s="446" t="str">
        <x:f t="shared" si="180"/>
        <x:v/>
      </x:c>
      <x:c r="J1451" s="445"/>
      <x:c r="K1451" s="453"/>
      <x:c r="L1451" s="454"/>
      <x:c r="M1451" s="454"/>
      <x:c r="N1451" s="454"/>
      <x:c r="O1451" s="454"/>
      <x:c r="P1451" s="454"/>
      <x:c r="Q1451" s="454"/>
      <x:c r="R1451" s="454"/>
      <x:c r="S1451" s="454"/>
      <x:c r="T1451" s="454"/>
      <x:c r="U1451" s="454"/>
      <x:c r="V1451" s="455"/>
      <x:c r="W1451" s="456"/>
      <x:c r="X1451" s="450"/>
      <x:c r="Y1451" s="457"/>
      <x:c r="Z1451" s="458"/>
      <x:c r="AA1451" s="458"/>
      <x:c r="AB1451" s="458"/>
      <x:c r="AC1451" s="458"/>
      <x:c r="AD1451" s="458"/>
      <x:c r="AE1451" s="458"/>
    </x:row>
    <x:row r="1452" spans="1:31" ht="20.100000000000001" customHeight="1">
      <x:c r="A1452" s="439"/>
      <x:c r="B1452" s="466" t="str">
        <x:f t="shared" si="177"/>
        <x:v/>
      </x:c>
      <x:c r="C1452" s="440" t="str">
        <x:f t="shared" si="178"/>
        <x:v/>
      </x:c>
      <x:c r="D1452" s="441"/>
      <x:c r="E1452" s="442" t="str">
        <x:f t="shared" si="179"/>
        <x:v/>
      </x:c>
      <x:c r="F1452" s="443"/>
      <x:c r="G1452" s="444"/>
      <x:c r="H1452" s="445" t="str">
        <x:f t="shared" si="176"/>
        <x:v/>
      </x:c>
      <x:c r="I1452" s="446" t="str">
        <x:f t="shared" si="180"/>
        <x:v/>
      </x:c>
      <x:c r="J1452" s="445"/>
      <x:c r="K1452" s="453"/>
      <x:c r="L1452" s="454"/>
      <x:c r="M1452" s="454"/>
      <x:c r="N1452" s="454"/>
      <x:c r="O1452" s="454"/>
      <x:c r="P1452" s="454"/>
      <x:c r="Q1452" s="454"/>
      <x:c r="R1452" s="454"/>
      <x:c r="S1452" s="454"/>
      <x:c r="T1452" s="454"/>
      <x:c r="U1452" s="454"/>
      <x:c r="V1452" s="455"/>
      <x:c r="W1452" s="456"/>
      <x:c r="X1452" s="450"/>
      <x:c r="Y1452" s="457"/>
      <x:c r="Z1452" s="458"/>
      <x:c r="AA1452" s="458"/>
      <x:c r="AB1452" s="458"/>
      <x:c r="AC1452" s="458"/>
      <x:c r="AD1452" s="458"/>
      <x:c r="AE1452" s="458"/>
    </x:row>
    <x:row r="1453" spans="1:31" ht="20.100000000000001" customHeight="1">
      <x:c r="A1453" s="439"/>
      <x:c r="B1453" s="466" t="str">
        <x:f t="shared" si="177"/>
        <x:v/>
      </x:c>
      <x:c r="C1453" s="440" t="str">
        <x:f t="shared" si="178"/>
        <x:v/>
      </x:c>
      <x:c r="D1453" s="441"/>
      <x:c r="E1453" s="442" t="str">
        <x:f t="shared" si="179"/>
        <x:v/>
      </x:c>
      <x:c r="F1453" s="443"/>
      <x:c r="G1453" s="444"/>
      <x:c r="H1453" s="445" t="str">
        <x:f t="shared" si="176"/>
        <x:v/>
      </x:c>
      <x:c r="I1453" s="446" t="str">
        <x:f t="shared" si="180"/>
        <x:v/>
      </x:c>
      <x:c r="J1453" s="445"/>
      <x:c r="K1453" s="453"/>
      <x:c r="L1453" s="454"/>
      <x:c r="M1453" s="454"/>
      <x:c r="N1453" s="454"/>
      <x:c r="O1453" s="454"/>
      <x:c r="P1453" s="454"/>
      <x:c r="Q1453" s="454"/>
      <x:c r="R1453" s="454"/>
      <x:c r="S1453" s="454"/>
      <x:c r="T1453" s="454"/>
      <x:c r="U1453" s="454"/>
      <x:c r="V1453" s="455"/>
      <x:c r="W1453" s="456"/>
      <x:c r="X1453" s="450"/>
      <x:c r="Y1453" s="457"/>
      <x:c r="Z1453" s="458"/>
      <x:c r="AA1453" s="458"/>
      <x:c r="AB1453" s="458"/>
      <x:c r="AC1453" s="458"/>
      <x:c r="AD1453" s="458"/>
      <x:c r="AE1453" s="458"/>
    </x:row>
    <x:row r="1454" spans="1:31" ht="20.100000000000001" customHeight="1">
      <x:c r="A1454" s="439"/>
      <x:c r="B1454" s="466" t="str">
        <x:f t="shared" si="177"/>
        <x:v/>
      </x:c>
      <x:c r="C1454" s="440" t="str">
        <x:f t="shared" si="178"/>
        <x:v/>
      </x:c>
      <x:c r="D1454" s="441"/>
      <x:c r="E1454" s="442" t="str">
        <x:f t="shared" si="179"/>
        <x:v/>
      </x:c>
      <x:c r="F1454" s="443"/>
      <x:c r="G1454" s="444"/>
      <x:c r="H1454" s="445" t="str">
        <x:f t="shared" si="176"/>
        <x:v/>
      </x:c>
      <x:c r="I1454" s="446" t="str">
        <x:f t="shared" si="180"/>
        <x:v/>
      </x:c>
      <x:c r="J1454" s="445"/>
      <x:c r="K1454" s="453"/>
      <x:c r="L1454" s="454"/>
      <x:c r="M1454" s="454"/>
      <x:c r="N1454" s="454"/>
      <x:c r="O1454" s="454"/>
      <x:c r="P1454" s="454"/>
      <x:c r="Q1454" s="454"/>
      <x:c r="R1454" s="454"/>
      <x:c r="S1454" s="454"/>
      <x:c r="T1454" s="454"/>
      <x:c r="U1454" s="454"/>
      <x:c r="V1454" s="455"/>
      <x:c r="W1454" s="456"/>
      <x:c r="X1454" s="450"/>
      <x:c r="Y1454" s="457"/>
      <x:c r="Z1454" s="458"/>
      <x:c r="AA1454" s="458"/>
      <x:c r="AB1454" s="458"/>
      <x:c r="AC1454" s="458"/>
      <x:c r="AD1454" s="458"/>
      <x:c r="AE1454" s="458"/>
    </x:row>
    <x:row r="1455" spans="1:31" ht="20.100000000000001" customHeight="1">
      <x:c r="A1455" s="439"/>
      <x:c r="B1455" s="466" t="str">
        <x:f t="shared" si="177"/>
        <x:v/>
      </x:c>
      <x:c r="C1455" s="440" t="str">
        <x:f t="shared" si="178"/>
        <x:v/>
      </x:c>
      <x:c r="D1455" s="441"/>
      <x:c r="E1455" s="442" t="str">
        <x:f t="shared" si="179"/>
        <x:v/>
      </x:c>
      <x:c r="F1455" s="443"/>
      <x:c r="G1455" s="444"/>
      <x:c r="H1455" s="445" t="str">
        <x:f t="shared" si="176"/>
        <x:v/>
      </x:c>
      <x:c r="I1455" s="446" t="str">
        <x:f t="shared" si="180"/>
        <x:v/>
      </x:c>
      <x:c r="J1455" s="445"/>
      <x:c r="K1455" s="453"/>
      <x:c r="L1455" s="454"/>
      <x:c r="M1455" s="454"/>
      <x:c r="N1455" s="454"/>
      <x:c r="O1455" s="454"/>
      <x:c r="P1455" s="454"/>
      <x:c r="Q1455" s="454"/>
      <x:c r="R1455" s="454"/>
      <x:c r="S1455" s="454"/>
      <x:c r="T1455" s="454"/>
      <x:c r="U1455" s="454"/>
      <x:c r="V1455" s="455"/>
      <x:c r="W1455" s="456"/>
      <x:c r="X1455" s="450"/>
      <x:c r="Y1455" s="457"/>
      <x:c r="Z1455" s="458"/>
      <x:c r="AA1455" s="458"/>
      <x:c r="AB1455" s="458"/>
      <x:c r="AC1455" s="458"/>
      <x:c r="AD1455" s="458"/>
      <x:c r="AE1455" s="458"/>
    </x:row>
    <x:row r="1456" spans="1:31" ht="20.100000000000001" customHeight="1">
      <x:c r="A1456" s="439"/>
      <x:c r="B1456" s="466" t="str">
        <x:f t="shared" si="177"/>
        <x:v/>
      </x:c>
      <x:c r="C1456" s="440" t="str">
        <x:f t="shared" si="178"/>
        <x:v/>
      </x:c>
      <x:c r="D1456" s="441"/>
      <x:c r="E1456" s="442" t="str">
        <x:f t="shared" si="179"/>
        <x:v/>
      </x:c>
      <x:c r="F1456" s="443"/>
      <x:c r="G1456" s="444"/>
      <x:c r="H1456" s="445" t="str">
        <x:f t="shared" si="176"/>
        <x:v/>
      </x:c>
      <x:c r="I1456" s="446" t="str">
        <x:f t="shared" si="180"/>
        <x:v/>
      </x:c>
      <x:c r="J1456" s="445"/>
      <x:c r="K1456" s="453"/>
      <x:c r="L1456" s="454"/>
      <x:c r="M1456" s="454"/>
      <x:c r="N1456" s="454"/>
      <x:c r="O1456" s="454"/>
      <x:c r="P1456" s="454"/>
      <x:c r="Q1456" s="454"/>
      <x:c r="R1456" s="454"/>
      <x:c r="S1456" s="454"/>
      <x:c r="T1456" s="454"/>
      <x:c r="U1456" s="454"/>
      <x:c r="V1456" s="455"/>
      <x:c r="W1456" s="456"/>
      <x:c r="X1456" s="450"/>
      <x:c r="Y1456" s="457"/>
      <x:c r="Z1456" s="458"/>
      <x:c r="AA1456" s="458"/>
      <x:c r="AB1456" s="458"/>
      <x:c r="AC1456" s="458"/>
      <x:c r="AD1456" s="458"/>
      <x:c r="AE1456" s="458"/>
    </x:row>
    <x:row r="1457" spans="1:31" ht="20.100000000000001" customHeight="1">
      <x:c r="A1457" s="439"/>
      <x:c r="B1457" s="466" t="str">
        <x:f t="shared" si="177"/>
        <x:v/>
      </x:c>
      <x:c r="C1457" s="440" t="str">
        <x:f t="shared" si="178"/>
        <x:v/>
      </x:c>
      <x:c r="D1457" s="441"/>
      <x:c r="E1457" s="442" t="str">
        <x:f t="shared" si="179"/>
        <x:v/>
      </x:c>
      <x:c r="F1457" s="443"/>
      <x:c r="G1457" s="444"/>
      <x:c r="H1457" s="445" t="str">
        <x:f t="shared" si="176"/>
        <x:v/>
      </x:c>
      <x:c r="I1457" s="446" t="str">
        <x:f t="shared" si="180"/>
        <x:v/>
      </x:c>
      <x:c r="J1457" s="445"/>
      <x:c r="K1457" s="453"/>
      <x:c r="L1457" s="454"/>
      <x:c r="M1457" s="454"/>
      <x:c r="N1457" s="454"/>
      <x:c r="O1457" s="454"/>
      <x:c r="P1457" s="454"/>
      <x:c r="Q1457" s="454"/>
      <x:c r="R1457" s="454"/>
      <x:c r="S1457" s="454"/>
      <x:c r="T1457" s="454"/>
      <x:c r="U1457" s="454"/>
      <x:c r="V1457" s="455"/>
      <x:c r="W1457" s="456"/>
      <x:c r="X1457" s="450"/>
      <x:c r="Y1457" s="457"/>
      <x:c r="Z1457" s="458"/>
      <x:c r="AA1457" s="458"/>
      <x:c r="AB1457" s="458"/>
      <x:c r="AC1457" s="458"/>
      <x:c r="AD1457" s="458"/>
      <x:c r="AE1457" s="458"/>
    </x:row>
    <x:row r="1458" spans="1:31" ht="20.100000000000001" customHeight="1">
      <x:c r="A1458" s="439"/>
      <x:c r="B1458" s="466" t="str">
        <x:f t="shared" si="177"/>
        <x:v/>
      </x:c>
      <x:c r="C1458" s="440" t="str">
        <x:f t="shared" si="178"/>
        <x:v/>
      </x:c>
      <x:c r="D1458" s="441"/>
      <x:c r="E1458" s="442" t="str">
        <x:f t="shared" si="179"/>
        <x:v/>
      </x:c>
      <x:c r="F1458" s="443"/>
      <x:c r="G1458" s="444"/>
      <x:c r="H1458" s="445" t="str">
        <x:f t="shared" si="176"/>
        <x:v/>
      </x:c>
      <x:c r="I1458" s="446" t="str">
        <x:f t="shared" si="180"/>
        <x:v/>
      </x:c>
      <x:c r="J1458" s="445"/>
      <x:c r="K1458" s="453"/>
      <x:c r="L1458" s="454"/>
      <x:c r="M1458" s="454"/>
      <x:c r="N1458" s="454"/>
      <x:c r="O1458" s="454"/>
      <x:c r="P1458" s="454"/>
      <x:c r="Q1458" s="454"/>
      <x:c r="R1458" s="454"/>
      <x:c r="S1458" s="454"/>
      <x:c r="T1458" s="454"/>
      <x:c r="U1458" s="454"/>
      <x:c r="V1458" s="455"/>
      <x:c r="W1458" s="456"/>
      <x:c r="X1458" s="450"/>
      <x:c r="Y1458" s="457"/>
      <x:c r="Z1458" s="458"/>
      <x:c r="AA1458" s="458"/>
      <x:c r="AB1458" s="458"/>
      <x:c r="AC1458" s="458"/>
      <x:c r="AD1458" s="458"/>
      <x:c r="AE1458" s="458"/>
    </x:row>
    <x:row r="1459" spans="1:31" ht="20.100000000000001" customHeight="1">
      <x:c r="A1459" s="439"/>
      <x:c r="B1459" s="466" t="str">
        <x:f t="shared" si="177"/>
        <x:v/>
      </x:c>
      <x:c r="C1459" s="440" t="str">
        <x:f t="shared" si="178"/>
        <x:v/>
      </x:c>
      <x:c r="D1459" s="441"/>
      <x:c r="E1459" s="442" t="str">
        <x:f t="shared" si="179"/>
        <x:v/>
      </x:c>
      <x:c r="F1459" s="443"/>
      <x:c r="G1459" s="444"/>
      <x:c r="H1459" s="445" t="str">
        <x:f t="shared" si="176"/>
        <x:v/>
      </x:c>
      <x:c r="I1459" s="446" t="str">
        <x:f t="shared" si="180"/>
        <x:v/>
      </x:c>
      <x:c r="J1459" s="445"/>
      <x:c r="K1459" s="453"/>
      <x:c r="L1459" s="454"/>
      <x:c r="M1459" s="454"/>
      <x:c r="N1459" s="454"/>
      <x:c r="O1459" s="454"/>
      <x:c r="P1459" s="454"/>
      <x:c r="Q1459" s="454"/>
      <x:c r="R1459" s="454"/>
      <x:c r="S1459" s="454"/>
      <x:c r="T1459" s="454"/>
      <x:c r="U1459" s="454"/>
      <x:c r="V1459" s="455"/>
      <x:c r="W1459" s="456"/>
      <x:c r="X1459" s="450"/>
      <x:c r="Y1459" s="457"/>
      <x:c r="Z1459" s="458"/>
      <x:c r="AA1459" s="458"/>
      <x:c r="AB1459" s="458"/>
      <x:c r="AC1459" s="458"/>
      <x:c r="AD1459" s="458"/>
      <x:c r="AE1459" s="458"/>
    </x:row>
    <x:row r="1460" spans="1:31" ht="20.100000000000001" customHeight="1">
      <x:c r="A1460" s="439"/>
      <x:c r="B1460" s="466" t="str">
        <x:f t="shared" si="177"/>
        <x:v/>
      </x:c>
      <x:c r="C1460" s="440" t="str">
        <x:f t="shared" si="178"/>
        <x:v/>
      </x:c>
      <x:c r="D1460" s="441"/>
      <x:c r="E1460" s="442" t="str">
        <x:f t="shared" si="179"/>
        <x:v/>
      </x:c>
      <x:c r="F1460" s="443"/>
      <x:c r="G1460" s="444"/>
      <x:c r="H1460" s="445" t="str">
        <x:f t="shared" si="176"/>
        <x:v/>
      </x:c>
      <x:c r="I1460" s="446" t="str">
        <x:f t="shared" si="180"/>
        <x:v/>
      </x:c>
      <x:c r="J1460" s="445"/>
      <x:c r="K1460" s="453"/>
      <x:c r="L1460" s="454"/>
      <x:c r="M1460" s="454"/>
      <x:c r="N1460" s="454"/>
      <x:c r="O1460" s="454"/>
      <x:c r="P1460" s="454"/>
      <x:c r="Q1460" s="454"/>
      <x:c r="R1460" s="454"/>
      <x:c r="S1460" s="454"/>
      <x:c r="T1460" s="454"/>
      <x:c r="U1460" s="454"/>
      <x:c r="V1460" s="455"/>
      <x:c r="W1460" s="456"/>
      <x:c r="X1460" s="450"/>
      <x:c r="Y1460" s="457"/>
      <x:c r="Z1460" s="458"/>
      <x:c r="AA1460" s="458"/>
      <x:c r="AB1460" s="458"/>
      <x:c r="AC1460" s="458"/>
      <x:c r="AD1460" s="458"/>
      <x:c r="AE1460" s="458"/>
    </x:row>
    <x:row r="1461" spans="1:31" ht="20.100000000000001" customHeight="1">
      <x:c r="A1461" s="439"/>
      <x:c r="B1461" s="466" t="str">
        <x:f t="shared" si="177"/>
        <x:v/>
      </x:c>
      <x:c r="C1461" s="440" t="str">
        <x:f t="shared" si="178"/>
        <x:v/>
      </x:c>
      <x:c r="D1461" s="441"/>
      <x:c r="E1461" s="442" t="str">
        <x:f t="shared" si="179"/>
        <x:v/>
      </x:c>
      <x:c r="F1461" s="443"/>
      <x:c r="G1461" s="444"/>
      <x:c r="H1461" s="445" t="str">
        <x:f t="shared" si="176"/>
        <x:v/>
      </x:c>
      <x:c r="I1461" s="446" t="str">
        <x:f t="shared" si="180"/>
        <x:v/>
      </x:c>
      <x:c r="J1461" s="445"/>
      <x:c r="K1461" s="453"/>
      <x:c r="L1461" s="454"/>
      <x:c r="M1461" s="454"/>
      <x:c r="N1461" s="454"/>
      <x:c r="O1461" s="454"/>
      <x:c r="P1461" s="454"/>
      <x:c r="Q1461" s="454"/>
      <x:c r="R1461" s="454"/>
      <x:c r="S1461" s="454"/>
      <x:c r="T1461" s="454"/>
      <x:c r="U1461" s="454"/>
      <x:c r="V1461" s="455"/>
      <x:c r="W1461" s="456"/>
      <x:c r="X1461" s="450"/>
      <x:c r="Y1461" s="457"/>
      <x:c r="Z1461" s="458"/>
      <x:c r="AA1461" s="458"/>
      <x:c r="AB1461" s="458"/>
      <x:c r="AC1461" s="458"/>
      <x:c r="AD1461" s="458"/>
      <x:c r="AE1461" s="458"/>
    </x:row>
    <x:row r="1462" spans="1:31" ht="20.100000000000001" customHeight="1">
      <x:c r="A1462" s="439"/>
      <x:c r="B1462" s="466" t="str">
        <x:f t="shared" si="177"/>
        <x:v/>
      </x:c>
      <x:c r="C1462" s="440" t="str">
        <x:f t="shared" si="178"/>
        <x:v/>
      </x:c>
      <x:c r="D1462" s="441"/>
      <x:c r="E1462" s="442" t="str">
        <x:f t="shared" si="179"/>
        <x:v/>
      </x:c>
      <x:c r="F1462" s="443"/>
      <x:c r="G1462" s="444"/>
      <x:c r="H1462" s="445" t="str">
        <x:f t="shared" si="176"/>
        <x:v/>
      </x:c>
      <x:c r="I1462" s="446" t="str">
        <x:f t="shared" si="180"/>
        <x:v/>
      </x:c>
      <x:c r="J1462" s="445"/>
      <x:c r="K1462" s="453"/>
      <x:c r="L1462" s="454"/>
      <x:c r="M1462" s="454"/>
      <x:c r="N1462" s="454"/>
      <x:c r="O1462" s="454"/>
      <x:c r="P1462" s="454"/>
      <x:c r="Q1462" s="454"/>
      <x:c r="R1462" s="454"/>
      <x:c r="S1462" s="454"/>
      <x:c r="T1462" s="454"/>
      <x:c r="U1462" s="454"/>
      <x:c r="V1462" s="455"/>
      <x:c r="W1462" s="456"/>
      <x:c r="X1462" s="450"/>
      <x:c r="Y1462" s="457"/>
      <x:c r="Z1462" s="458"/>
      <x:c r="AA1462" s="458"/>
      <x:c r="AB1462" s="458"/>
      <x:c r="AC1462" s="458"/>
      <x:c r="AD1462" s="458"/>
      <x:c r="AE1462" s="458"/>
    </x:row>
    <x:row r="1463" spans="1:31" ht="20.100000000000001" customHeight="1">
      <x:c r="A1463" s="439"/>
      <x:c r="B1463" s="466" t="str">
        <x:f t="shared" si="177"/>
        <x:v/>
      </x:c>
      <x:c r="C1463" s="440" t="str">
        <x:f t="shared" si="178"/>
        <x:v/>
      </x:c>
      <x:c r="D1463" s="441"/>
      <x:c r="E1463" s="442" t="str">
        <x:f t="shared" si="179"/>
        <x:v/>
      </x:c>
      <x:c r="F1463" s="443"/>
      <x:c r="G1463" s="444"/>
      <x:c r="H1463" s="445" t="str">
        <x:f t="shared" si="176"/>
        <x:v/>
      </x:c>
      <x:c r="I1463" s="446" t="str">
        <x:f t="shared" si="180"/>
        <x:v/>
      </x:c>
      <x:c r="J1463" s="445"/>
      <x:c r="K1463" s="453"/>
      <x:c r="L1463" s="454"/>
      <x:c r="M1463" s="454"/>
      <x:c r="N1463" s="454"/>
      <x:c r="O1463" s="454"/>
      <x:c r="P1463" s="454"/>
      <x:c r="Q1463" s="454"/>
      <x:c r="R1463" s="454"/>
      <x:c r="S1463" s="454"/>
      <x:c r="T1463" s="454"/>
      <x:c r="U1463" s="454"/>
      <x:c r="V1463" s="455"/>
      <x:c r="W1463" s="456"/>
      <x:c r="X1463" s="450"/>
      <x:c r="Y1463" s="457"/>
      <x:c r="Z1463" s="458"/>
      <x:c r="AA1463" s="458"/>
      <x:c r="AB1463" s="458"/>
      <x:c r="AC1463" s="458"/>
      <x:c r="AD1463" s="458"/>
      <x:c r="AE1463" s="458"/>
    </x:row>
    <x:row r="1464" spans="1:31" ht="20.100000000000001" customHeight="1">
      <x:c r="A1464" s="439"/>
      <x:c r="B1464" s="466" t="str">
        <x:f t="shared" si="177"/>
        <x:v/>
      </x:c>
      <x:c r="C1464" s="440" t="str">
        <x:f t="shared" si="178"/>
        <x:v/>
      </x:c>
      <x:c r="D1464" s="441"/>
      <x:c r="E1464" s="442" t="str">
        <x:f t="shared" si="179"/>
        <x:v/>
      </x:c>
      <x:c r="F1464" s="443"/>
      <x:c r="G1464" s="444"/>
      <x:c r="H1464" s="445" t="str">
        <x:f t="shared" ref="H1464:H1503" si="181">IFERROR(VLOOKUP($G1464,$AK:$AL,2,),"")</x:f>
        <x:v/>
      </x:c>
      <x:c r="I1464" s="446" t="str">
        <x:f t="shared" si="180"/>
        <x:v/>
      </x:c>
      <x:c r="J1464" s="445"/>
      <x:c r="K1464" s="453"/>
      <x:c r="L1464" s="454"/>
      <x:c r="M1464" s="454"/>
      <x:c r="N1464" s="454"/>
      <x:c r="O1464" s="454"/>
      <x:c r="P1464" s="454"/>
      <x:c r="Q1464" s="454"/>
      <x:c r="R1464" s="454"/>
      <x:c r="S1464" s="454"/>
      <x:c r="T1464" s="454"/>
      <x:c r="U1464" s="454"/>
      <x:c r="V1464" s="455"/>
      <x:c r="W1464" s="456"/>
      <x:c r="X1464" s="450"/>
      <x:c r="Y1464" s="457"/>
      <x:c r="Z1464" s="458"/>
      <x:c r="AA1464" s="458"/>
      <x:c r="AB1464" s="458"/>
      <x:c r="AC1464" s="458"/>
      <x:c r="AD1464" s="458"/>
      <x:c r="AE1464" s="458"/>
    </x:row>
    <x:row r="1465" spans="1:31" ht="20.100000000000001" customHeight="1">
      <x:c r="A1465" s="439"/>
      <x:c r="B1465" s="466" t="str">
        <x:f t="shared" si="177"/>
        <x:v/>
      </x:c>
      <x:c r="C1465" s="440" t="str">
        <x:f t="shared" si="178"/>
        <x:v/>
      </x:c>
      <x:c r="D1465" s="441"/>
      <x:c r="E1465" s="442" t="str">
        <x:f t="shared" si="179"/>
        <x:v/>
      </x:c>
      <x:c r="F1465" s="443"/>
      <x:c r="G1465" s="444"/>
      <x:c r="H1465" s="445" t="str">
        <x:f t="shared" si="181"/>
        <x:v/>
      </x:c>
      <x:c r="I1465" s="446" t="str">
        <x:f t="shared" si="180"/>
        <x:v/>
      </x:c>
      <x:c r="J1465" s="445"/>
      <x:c r="K1465" s="453"/>
      <x:c r="L1465" s="454"/>
      <x:c r="M1465" s="454"/>
      <x:c r="N1465" s="454"/>
      <x:c r="O1465" s="454"/>
      <x:c r="P1465" s="454"/>
      <x:c r="Q1465" s="454"/>
      <x:c r="R1465" s="454"/>
      <x:c r="S1465" s="454"/>
      <x:c r="T1465" s="454"/>
      <x:c r="U1465" s="454"/>
      <x:c r="V1465" s="455"/>
      <x:c r="W1465" s="456"/>
      <x:c r="X1465" s="450"/>
      <x:c r="Y1465" s="457"/>
      <x:c r="Z1465" s="458"/>
      <x:c r="AA1465" s="458"/>
      <x:c r="AB1465" s="458"/>
      <x:c r="AC1465" s="458"/>
      <x:c r="AD1465" s="458"/>
      <x:c r="AE1465" s="458"/>
    </x:row>
    <x:row r="1466" spans="1:31" ht="20.100000000000001" customHeight="1">
      <x:c r="A1466" s="439"/>
      <x:c r="B1466" s="466" t="str">
        <x:f t="shared" si="177"/>
        <x:v/>
      </x:c>
      <x:c r="C1466" s="440" t="str">
        <x:f t="shared" si="178"/>
        <x:v/>
      </x:c>
      <x:c r="D1466" s="441"/>
      <x:c r="E1466" s="442" t="str">
        <x:f t="shared" si="179"/>
        <x:v/>
      </x:c>
      <x:c r="F1466" s="443"/>
      <x:c r="G1466" s="444"/>
      <x:c r="H1466" s="445" t="str">
        <x:f t="shared" si="181"/>
        <x:v/>
      </x:c>
      <x:c r="I1466" s="446" t="str">
        <x:f t="shared" si="180"/>
        <x:v/>
      </x:c>
      <x:c r="J1466" s="445"/>
      <x:c r="K1466" s="453"/>
      <x:c r="L1466" s="454"/>
      <x:c r="M1466" s="454"/>
      <x:c r="N1466" s="454"/>
      <x:c r="O1466" s="454"/>
      <x:c r="P1466" s="454"/>
      <x:c r="Q1466" s="454"/>
      <x:c r="R1466" s="454"/>
      <x:c r="S1466" s="454"/>
      <x:c r="T1466" s="454"/>
      <x:c r="U1466" s="454"/>
      <x:c r="V1466" s="455"/>
      <x:c r="W1466" s="456"/>
      <x:c r="X1466" s="450"/>
      <x:c r="Y1466" s="457"/>
      <x:c r="Z1466" s="458"/>
      <x:c r="AA1466" s="458"/>
      <x:c r="AB1466" s="458"/>
      <x:c r="AC1466" s="458"/>
      <x:c r="AD1466" s="458"/>
      <x:c r="AE1466" s="458"/>
    </x:row>
    <x:row r="1467" spans="1:31" ht="20.100000000000001" customHeight="1">
      <x:c r="A1467" s="439"/>
      <x:c r="B1467" s="466" t="str">
        <x:f t="shared" si="177"/>
        <x:v/>
      </x:c>
      <x:c r="C1467" s="440" t="str">
        <x:f t="shared" si="178"/>
        <x:v/>
      </x:c>
      <x:c r="D1467" s="441"/>
      <x:c r="E1467" s="442" t="str">
        <x:f t="shared" si="179"/>
        <x:v/>
      </x:c>
      <x:c r="F1467" s="443"/>
      <x:c r="G1467" s="444"/>
      <x:c r="H1467" s="445" t="str">
        <x:f t="shared" si="181"/>
        <x:v/>
      </x:c>
      <x:c r="I1467" s="446" t="str">
        <x:f t="shared" si="180"/>
        <x:v/>
      </x:c>
      <x:c r="J1467" s="445"/>
      <x:c r="K1467" s="453"/>
      <x:c r="L1467" s="454"/>
      <x:c r="M1467" s="454"/>
      <x:c r="N1467" s="454"/>
      <x:c r="O1467" s="454"/>
      <x:c r="P1467" s="454"/>
      <x:c r="Q1467" s="454"/>
      <x:c r="R1467" s="454"/>
      <x:c r="S1467" s="454"/>
      <x:c r="T1467" s="454"/>
      <x:c r="U1467" s="454"/>
      <x:c r="V1467" s="455"/>
      <x:c r="W1467" s="456"/>
      <x:c r="X1467" s="450"/>
      <x:c r="Y1467" s="457"/>
      <x:c r="Z1467" s="458"/>
      <x:c r="AA1467" s="458"/>
      <x:c r="AB1467" s="458"/>
      <x:c r="AC1467" s="458"/>
      <x:c r="AD1467" s="458"/>
      <x:c r="AE1467" s="458"/>
    </x:row>
    <x:row r="1468" spans="1:31" ht="20.100000000000001" customHeight="1">
      <x:c r="A1468" s="439"/>
      <x:c r="B1468" s="466" t="str">
        <x:f t="shared" si="177"/>
        <x:v/>
      </x:c>
      <x:c r="C1468" s="440" t="str">
        <x:f t="shared" si="178"/>
        <x:v/>
      </x:c>
      <x:c r="D1468" s="441"/>
      <x:c r="E1468" s="442" t="str">
        <x:f t="shared" si="179"/>
        <x:v/>
      </x:c>
      <x:c r="F1468" s="443"/>
      <x:c r="G1468" s="444"/>
      <x:c r="H1468" s="445" t="str">
        <x:f t="shared" si="181"/>
        <x:v/>
      </x:c>
      <x:c r="I1468" s="446" t="str">
        <x:f t="shared" si="180"/>
        <x:v/>
      </x:c>
      <x:c r="J1468" s="445"/>
      <x:c r="K1468" s="453"/>
      <x:c r="L1468" s="454"/>
      <x:c r="M1468" s="454"/>
      <x:c r="N1468" s="454"/>
      <x:c r="O1468" s="454"/>
      <x:c r="P1468" s="454"/>
      <x:c r="Q1468" s="454"/>
      <x:c r="R1468" s="454"/>
      <x:c r="S1468" s="454"/>
      <x:c r="T1468" s="454"/>
      <x:c r="U1468" s="454"/>
      <x:c r="V1468" s="455"/>
      <x:c r="W1468" s="456"/>
      <x:c r="X1468" s="450"/>
      <x:c r="Y1468" s="457"/>
      <x:c r="Z1468" s="458"/>
      <x:c r="AA1468" s="458"/>
      <x:c r="AB1468" s="458"/>
      <x:c r="AC1468" s="458"/>
      <x:c r="AD1468" s="458"/>
      <x:c r="AE1468" s="458"/>
    </x:row>
    <x:row r="1469" spans="1:31" ht="20.100000000000001" customHeight="1">
      <x:c r="A1469" s="439"/>
      <x:c r="B1469" s="466" t="str">
        <x:f t="shared" si="177"/>
        <x:v/>
      </x:c>
      <x:c r="C1469" s="440" t="str">
        <x:f t="shared" si="178"/>
        <x:v/>
      </x:c>
      <x:c r="D1469" s="441"/>
      <x:c r="E1469" s="442" t="str">
        <x:f t="shared" si="179"/>
        <x:v/>
      </x:c>
      <x:c r="F1469" s="443"/>
      <x:c r="G1469" s="444"/>
      <x:c r="H1469" s="445" t="str">
        <x:f t="shared" si="181"/>
        <x:v/>
      </x:c>
      <x:c r="I1469" s="446" t="str">
        <x:f t="shared" si="180"/>
        <x:v/>
      </x:c>
      <x:c r="J1469" s="445"/>
      <x:c r="K1469" s="453"/>
      <x:c r="L1469" s="454"/>
      <x:c r="M1469" s="454"/>
      <x:c r="N1469" s="454"/>
      <x:c r="O1469" s="454"/>
      <x:c r="P1469" s="454"/>
      <x:c r="Q1469" s="454"/>
      <x:c r="R1469" s="454"/>
      <x:c r="S1469" s="454"/>
      <x:c r="T1469" s="454"/>
      <x:c r="U1469" s="454"/>
      <x:c r="V1469" s="455"/>
      <x:c r="W1469" s="456"/>
      <x:c r="X1469" s="450"/>
      <x:c r="Y1469" s="457"/>
      <x:c r="Z1469" s="458"/>
      <x:c r="AA1469" s="458"/>
      <x:c r="AB1469" s="458"/>
      <x:c r="AC1469" s="458"/>
      <x:c r="AD1469" s="458"/>
      <x:c r="AE1469" s="458"/>
    </x:row>
    <x:row r="1470" spans="1:31" ht="20.100000000000001" customHeight="1">
      <x:c r="A1470" s="439"/>
      <x:c r="B1470" s="466" t="str">
        <x:f t="shared" si="177"/>
        <x:v/>
      </x:c>
      <x:c r="C1470" s="440" t="str">
        <x:f t="shared" si="178"/>
        <x:v/>
      </x:c>
      <x:c r="D1470" s="441"/>
      <x:c r="E1470" s="442" t="str">
        <x:f t="shared" si="179"/>
        <x:v/>
      </x:c>
      <x:c r="F1470" s="443"/>
      <x:c r="G1470" s="444"/>
      <x:c r="H1470" s="445" t="str">
        <x:f t="shared" si="181"/>
        <x:v/>
      </x:c>
      <x:c r="I1470" s="446" t="str">
        <x:f t="shared" si="180"/>
        <x:v/>
      </x:c>
      <x:c r="J1470" s="445"/>
      <x:c r="K1470" s="453"/>
      <x:c r="L1470" s="454"/>
      <x:c r="M1470" s="454"/>
      <x:c r="N1470" s="454"/>
      <x:c r="O1470" s="454"/>
      <x:c r="P1470" s="454"/>
      <x:c r="Q1470" s="454"/>
      <x:c r="R1470" s="454"/>
      <x:c r="S1470" s="454"/>
      <x:c r="T1470" s="454"/>
      <x:c r="U1470" s="454"/>
      <x:c r="V1470" s="455"/>
      <x:c r="W1470" s="456"/>
      <x:c r="X1470" s="450"/>
      <x:c r="Y1470" s="457"/>
      <x:c r="Z1470" s="458"/>
      <x:c r="AA1470" s="458"/>
      <x:c r="AB1470" s="458"/>
      <x:c r="AC1470" s="458"/>
      <x:c r="AD1470" s="458"/>
      <x:c r="AE1470" s="458"/>
    </x:row>
    <x:row r="1471" spans="1:31" ht="20.100000000000001" customHeight="1">
      <x:c r="A1471" s="439"/>
      <x:c r="B1471" s="466" t="str">
        <x:f t="shared" si="177"/>
        <x:v/>
      </x:c>
      <x:c r="C1471" s="440" t="str">
        <x:f t="shared" si="178"/>
        <x:v/>
      </x:c>
      <x:c r="D1471" s="441"/>
      <x:c r="E1471" s="442" t="str">
        <x:f t="shared" si="179"/>
        <x:v/>
      </x:c>
      <x:c r="F1471" s="443"/>
      <x:c r="G1471" s="444"/>
      <x:c r="H1471" s="445" t="str">
        <x:f t="shared" si="181"/>
        <x:v/>
      </x:c>
      <x:c r="I1471" s="446" t="str">
        <x:f t="shared" si="180"/>
        <x:v/>
      </x:c>
      <x:c r="J1471" s="445"/>
      <x:c r="K1471" s="453"/>
      <x:c r="L1471" s="454"/>
      <x:c r="M1471" s="454"/>
      <x:c r="N1471" s="454"/>
      <x:c r="O1471" s="454"/>
      <x:c r="P1471" s="454"/>
      <x:c r="Q1471" s="454"/>
      <x:c r="R1471" s="454"/>
      <x:c r="S1471" s="454"/>
      <x:c r="T1471" s="454"/>
      <x:c r="U1471" s="454"/>
      <x:c r="V1471" s="455"/>
      <x:c r="W1471" s="456"/>
      <x:c r="X1471" s="450"/>
      <x:c r="Y1471" s="457"/>
      <x:c r="Z1471" s="458"/>
      <x:c r="AA1471" s="458"/>
      <x:c r="AB1471" s="458"/>
      <x:c r="AC1471" s="458"/>
      <x:c r="AD1471" s="458"/>
      <x:c r="AE1471" s="458"/>
    </x:row>
    <x:row r="1472" spans="1:31" ht="20.100000000000001" customHeight="1">
      <x:c r="A1472" s="439"/>
      <x:c r="B1472" s="466" t="str">
        <x:f t="shared" si="177"/>
        <x:v/>
      </x:c>
      <x:c r="C1472" s="440" t="str">
        <x:f t="shared" si="178"/>
        <x:v/>
      </x:c>
      <x:c r="D1472" s="441"/>
      <x:c r="E1472" s="442" t="str">
        <x:f t="shared" si="179"/>
        <x:v/>
      </x:c>
      <x:c r="F1472" s="443"/>
      <x:c r="G1472" s="444"/>
      <x:c r="H1472" s="445" t="str">
        <x:f t="shared" si="181"/>
        <x:v/>
      </x:c>
      <x:c r="I1472" s="446" t="str">
        <x:f t="shared" si="180"/>
        <x:v/>
      </x:c>
      <x:c r="J1472" s="445"/>
      <x:c r="K1472" s="453"/>
      <x:c r="L1472" s="454"/>
      <x:c r="M1472" s="454"/>
      <x:c r="N1472" s="454"/>
      <x:c r="O1472" s="454"/>
      <x:c r="P1472" s="454"/>
      <x:c r="Q1472" s="454"/>
      <x:c r="R1472" s="454"/>
      <x:c r="S1472" s="454"/>
      <x:c r="T1472" s="454"/>
      <x:c r="U1472" s="454"/>
      <x:c r="V1472" s="455"/>
      <x:c r="W1472" s="456"/>
      <x:c r="X1472" s="450"/>
      <x:c r="Y1472" s="457"/>
      <x:c r="Z1472" s="458"/>
      <x:c r="AA1472" s="458"/>
      <x:c r="AB1472" s="458"/>
      <x:c r="AC1472" s="458"/>
      <x:c r="AD1472" s="458"/>
      <x:c r="AE1472" s="458"/>
    </x:row>
    <x:row r="1473" spans="1:31" ht="20.100000000000001" customHeight="1">
      <x:c r="A1473" s="439"/>
      <x:c r="B1473" s="466" t="str">
        <x:f t="shared" si="177"/>
        <x:v/>
      </x:c>
      <x:c r="C1473" s="440" t="str">
        <x:f t="shared" si="178"/>
        <x:v/>
      </x:c>
      <x:c r="D1473" s="441"/>
      <x:c r="E1473" s="442" t="str">
        <x:f t="shared" si="179"/>
        <x:v/>
      </x:c>
      <x:c r="F1473" s="443"/>
      <x:c r="G1473" s="444"/>
      <x:c r="H1473" s="445" t="str">
        <x:f t="shared" si="181"/>
        <x:v/>
      </x:c>
      <x:c r="I1473" s="446" t="str">
        <x:f t="shared" si="180"/>
        <x:v/>
      </x:c>
      <x:c r="J1473" s="445"/>
      <x:c r="K1473" s="453"/>
      <x:c r="L1473" s="454"/>
      <x:c r="M1473" s="454"/>
      <x:c r="N1473" s="454"/>
      <x:c r="O1473" s="454"/>
      <x:c r="P1473" s="454"/>
      <x:c r="Q1473" s="454"/>
      <x:c r="R1473" s="454"/>
      <x:c r="S1473" s="454"/>
      <x:c r="T1473" s="454"/>
      <x:c r="U1473" s="454"/>
      <x:c r="V1473" s="455"/>
      <x:c r="W1473" s="456"/>
      <x:c r="X1473" s="450"/>
      <x:c r="Y1473" s="457"/>
      <x:c r="Z1473" s="458"/>
      <x:c r="AA1473" s="458"/>
      <x:c r="AB1473" s="458"/>
      <x:c r="AC1473" s="458"/>
      <x:c r="AD1473" s="458"/>
      <x:c r="AE1473" s="458"/>
    </x:row>
    <x:row r="1474" spans="1:31" ht="20.100000000000001" customHeight="1">
      <x:c r="A1474" s="439"/>
      <x:c r="B1474" s="466" t="str">
        <x:f t="shared" si="177"/>
        <x:v/>
      </x:c>
      <x:c r="C1474" s="440" t="str">
        <x:f t="shared" si="178"/>
        <x:v/>
      </x:c>
      <x:c r="D1474" s="441"/>
      <x:c r="E1474" s="442" t="str">
        <x:f t="shared" si="179"/>
        <x:v/>
      </x:c>
      <x:c r="F1474" s="443"/>
      <x:c r="G1474" s="444"/>
      <x:c r="H1474" s="445" t="str">
        <x:f t="shared" si="181"/>
        <x:v/>
      </x:c>
      <x:c r="I1474" s="446" t="str">
        <x:f t="shared" si="180"/>
        <x:v/>
      </x:c>
      <x:c r="J1474" s="445"/>
      <x:c r="K1474" s="453"/>
      <x:c r="L1474" s="454"/>
      <x:c r="M1474" s="454"/>
      <x:c r="N1474" s="454"/>
      <x:c r="O1474" s="454"/>
      <x:c r="P1474" s="454"/>
      <x:c r="Q1474" s="454"/>
      <x:c r="R1474" s="454"/>
      <x:c r="S1474" s="454"/>
      <x:c r="T1474" s="454"/>
      <x:c r="U1474" s="454"/>
      <x:c r="V1474" s="455"/>
      <x:c r="W1474" s="456"/>
      <x:c r="X1474" s="450"/>
      <x:c r="Y1474" s="457"/>
      <x:c r="Z1474" s="458"/>
      <x:c r="AA1474" s="458"/>
      <x:c r="AB1474" s="458"/>
      <x:c r="AC1474" s="458"/>
      <x:c r="AD1474" s="458"/>
      <x:c r="AE1474" s="458"/>
    </x:row>
    <x:row r="1475" spans="1:31" ht="20.100000000000001" customHeight="1">
      <x:c r="A1475" s="439"/>
      <x:c r="B1475" s="466" t="str">
        <x:f t="shared" ref="B1475:B1503" si="182">IFERROR(VLOOKUP($C1475,$AH:$AI,2,),"")</x:f>
        <x:v/>
      </x:c>
      <x:c r="C1475" s="440" t="str">
        <x:f t="shared" ref="C1475:C1503" si="183">IFERROR(VLOOKUP($D1475,$AO:$AQ,3,),"")</x:f>
        <x:v/>
      </x:c>
      <x:c r="D1475" s="441"/>
      <x:c r="E1475" s="442" t="str">
        <x:f t="shared" ref="E1475:E1503" si="184">IFERROR(VLOOKUP($D1475,$AO:$AQ,2,),"")</x:f>
        <x:v/>
      </x:c>
      <x:c r="F1475" s="443"/>
      <x:c r="G1475" s="444"/>
      <x:c r="H1475" s="445" t="str">
        <x:f t="shared" si="181"/>
        <x:v/>
      </x:c>
      <x:c r="I1475" s="446" t="str">
        <x:f t="shared" ref="I1475:I1503" si="185">IFERROR(VLOOKUP($G1475,$AK:$AM,3,),"")</x:f>
        <x:v/>
      </x:c>
      <x:c r="J1475" s="445"/>
      <x:c r="K1475" s="453"/>
      <x:c r="L1475" s="454"/>
      <x:c r="M1475" s="454"/>
      <x:c r="N1475" s="454"/>
      <x:c r="O1475" s="454"/>
      <x:c r="P1475" s="454"/>
      <x:c r="Q1475" s="454"/>
      <x:c r="R1475" s="454"/>
      <x:c r="S1475" s="454"/>
      <x:c r="T1475" s="454"/>
      <x:c r="U1475" s="454"/>
      <x:c r="V1475" s="455"/>
      <x:c r="W1475" s="456"/>
      <x:c r="X1475" s="450"/>
      <x:c r="Y1475" s="457"/>
      <x:c r="Z1475" s="458"/>
      <x:c r="AA1475" s="458"/>
      <x:c r="AB1475" s="458"/>
      <x:c r="AC1475" s="458"/>
      <x:c r="AD1475" s="458"/>
      <x:c r="AE1475" s="458"/>
    </x:row>
    <x:row r="1476" spans="1:31" ht="20.100000000000001" customHeight="1">
      <x:c r="A1476" s="439"/>
      <x:c r="B1476" s="466" t="str">
        <x:f t="shared" si="182"/>
        <x:v/>
      </x:c>
      <x:c r="C1476" s="440" t="str">
        <x:f t="shared" si="183"/>
        <x:v/>
      </x:c>
      <x:c r="D1476" s="441"/>
      <x:c r="E1476" s="442" t="str">
        <x:f t="shared" si="184"/>
        <x:v/>
      </x:c>
      <x:c r="F1476" s="443"/>
      <x:c r="G1476" s="444"/>
      <x:c r="H1476" s="445" t="str">
        <x:f t="shared" si="181"/>
        <x:v/>
      </x:c>
      <x:c r="I1476" s="446" t="str">
        <x:f t="shared" si="185"/>
        <x:v/>
      </x:c>
      <x:c r="J1476" s="445"/>
      <x:c r="K1476" s="453"/>
      <x:c r="L1476" s="454"/>
      <x:c r="M1476" s="454"/>
      <x:c r="N1476" s="454"/>
      <x:c r="O1476" s="454"/>
      <x:c r="P1476" s="454"/>
      <x:c r="Q1476" s="454"/>
      <x:c r="R1476" s="454"/>
      <x:c r="S1476" s="454"/>
      <x:c r="T1476" s="454"/>
      <x:c r="U1476" s="454"/>
      <x:c r="V1476" s="455"/>
      <x:c r="W1476" s="456"/>
      <x:c r="X1476" s="450"/>
      <x:c r="Y1476" s="457"/>
      <x:c r="Z1476" s="458"/>
      <x:c r="AA1476" s="458"/>
      <x:c r="AB1476" s="458"/>
      <x:c r="AC1476" s="458"/>
      <x:c r="AD1476" s="458"/>
      <x:c r="AE1476" s="458"/>
    </x:row>
    <x:row r="1477" spans="1:31" ht="20.100000000000001" customHeight="1">
      <x:c r="A1477" s="439"/>
      <x:c r="B1477" s="466" t="str">
        <x:f t="shared" si="182"/>
        <x:v/>
      </x:c>
      <x:c r="C1477" s="440" t="str">
        <x:f t="shared" si="183"/>
        <x:v/>
      </x:c>
      <x:c r="D1477" s="441"/>
      <x:c r="E1477" s="442" t="str">
        <x:f t="shared" si="184"/>
        <x:v/>
      </x:c>
      <x:c r="F1477" s="443"/>
      <x:c r="G1477" s="444"/>
      <x:c r="H1477" s="445" t="str">
        <x:f t="shared" si="181"/>
        <x:v/>
      </x:c>
      <x:c r="I1477" s="446" t="str">
        <x:f t="shared" si="185"/>
        <x:v/>
      </x:c>
      <x:c r="J1477" s="445"/>
      <x:c r="K1477" s="453"/>
      <x:c r="L1477" s="454"/>
      <x:c r="M1477" s="454"/>
      <x:c r="N1477" s="454"/>
      <x:c r="O1477" s="454"/>
      <x:c r="P1477" s="454"/>
      <x:c r="Q1477" s="454"/>
      <x:c r="R1477" s="454"/>
      <x:c r="S1477" s="454"/>
      <x:c r="T1477" s="454"/>
      <x:c r="U1477" s="454"/>
      <x:c r="V1477" s="455"/>
      <x:c r="W1477" s="456"/>
      <x:c r="X1477" s="450"/>
      <x:c r="Y1477" s="457"/>
      <x:c r="Z1477" s="458"/>
      <x:c r="AA1477" s="458"/>
      <x:c r="AB1477" s="458"/>
      <x:c r="AC1477" s="458"/>
      <x:c r="AD1477" s="458"/>
      <x:c r="AE1477" s="458"/>
    </x:row>
    <x:row r="1478" spans="1:31" ht="20.100000000000001" customHeight="1">
      <x:c r="A1478" s="439"/>
      <x:c r="B1478" s="466" t="str">
        <x:f t="shared" si="182"/>
        <x:v/>
      </x:c>
      <x:c r="C1478" s="440" t="str">
        <x:f t="shared" si="183"/>
        <x:v/>
      </x:c>
      <x:c r="D1478" s="441"/>
      <x:c r="E1478" s="442" t="str">
        <x:f t="shared" si="184"/>
        <x:v/>
      </x:c>
      <x:c r="F1478" s="443"/>
      <x:c r="G1478" s="444"/>
      <x:c r="H1478" s="445" t="str">
        <x:f t="shared" si="181"/>
        <x:v/>
      </x:c>
      <x:c r="I1478" s="446" t="str">
        <x:f t="shared" si="185"/>
        <x:v/>
      </x:c>
      <x:c r="J1478" s="445"/>
      <x:c r="K1478" s="453"/>
      <x:c r="L1478" s="454"/>
      <x:c r="M1478" s="454"/>
      <x:c r="N1478" s="454"/>
      <x:c r="O1478" s="454"/>
      <x:c r="P1478" s="454"/>
      <x:c r="Q1478" s="454"/>
      <x:c r="R1478" s="454"/>
      <x:c r="S1478" s="454"/>
      <x:c r="T1478" s="454"/>
      <x:c r="U1478" s="454"/>
      <x:c r="V1478" s="455"/>
      <x:c r="W1478" s="456"/>
      <x:c r="X1478" s="450"/>
      <x:c r="Y1478" s="457"/>
      <x:c r="Z1478" s="458"/>
      <x:c r="AA1478" s="458"/>
      <x:c r="AB1478" s="458"/>
      <x:c r="AC1478" s="458"/>
      <x:c r="AD1478" s="458"/>
      <x:c r="AE1478" s="458"/>
    </x:row>
    <x:row r="1479" spans="1:31" ht="20.100000000000001" customHeight="1">
      <x:c r="A1479" s="439"/>
      <x:c r="B1479" s="466" t="str">
        <x:f t="shared" si="182"/>
        <x:v/>
      </x:c>
      <x:c r="C1479" s="440" t="str">
        <x:f t="shared" si="183"/>
        <x:v/>
      </x:c>
      <x:c r="D1479" s="441"/>
      <x:c r="E1479" s="442" t="str">
        <x:f t="shared" si="184"/>
        <x:v/>
      </x:c>
      <x:c r="F1479" s="443"/>
      <x:c r="G1479" s="444"/>
      <x:c r="H1479" s="445" t="str">
        <x:f t="shared" si="181"/>
        <x:v/>
      </x:c>
      <x:c r="I1479" s="446" t="str">
        <x:f t="shared" si="185"/>
        <x:v/>
      </x:c>
      <x:c r="J1479" s="445"/>
      <x:c r="K1479" s="453"/>
      <x:c r="L1479" s="454"/>
      <x:c r="M1479" s="454"/>
      <x:c r="N1479" s="454"/>
      <x:c r="O1479" s="454"/>
      <x:c r="P1479" s="454"/>
      <x:c r="Q1479" s="454"/>
      <x:c r="R1479" s="454"/>
      <x:c r="S1479" s="454"/>
      <x:c r="T1479" s="454"/>
      <x:c r="U1479" s="454"/>
      <x:c r="V1479" s="455"/>
      <x:c r="W1479" s="456"/>
      <x:c r="X1479" s="450"/>
      <x:c r="Y1479" s="457"/>
      <x:c r="Z1479" s="458"/>
      <x:c r="AA1479" s="458"/>
      <x:c r="AB1479" s="458"/>
      <x:c r="AC1479" s="458"/>
      <x:c r="AD1479" s="458"/>
      <x:c r="AE1479" s="458"/>
    </x:row>
    <x:row r="1480" spans="1:31" ht="20.100000000000001" customHeight="1">
      <x:c r="A1480" s="439"/>
      <x:c r="B1480" s="466" t="str">
        <x:f t="shared" si="182"/>
        <x:v/>
      </x:c>
      <x:c r="C1480" s="440" t="str">
        <x:f t="shared" si="183"/>
        <x:v/>
      </x:c>
      <x:c r="D1480" s="441"/>
      <x:c r="E1480" s="442" t="str">
        <x:f t="shared" si="184"/>
        <x:v/>
      </x:c>
      <x:c r="F1480" s="443"/>
      <x:c r="G1480" s="444"/>
      <x:c r="H1480" s="445" t="str">
        <x:f t="shared" si="181"/>
        <x:v/>
      </x:c>
      <x:c r="I1480" s="446" t="str">
        <x:f t="shared" si="185"/>
        <x:v/>
      </x:c>
      <x:c r="J1480" s="445"/>
      <x:c r="K1480" s="453"/>
      <x:c r="L1480" s="454"/>
      <x:c r="M1480" s="454"/>
      <x:c r="N1480" s="454"/>
      <x:c r="O1480" s="454"/>
      <x:c r="P1480" s="454"/>
      <x:c r="Q1480" s="454"/>
      <x:c r="R1480" s="454"/>
      <x:c r="S1480" s="454"/>
      <x:c r="T1480" s="454"/>
      <x:c r="U1480" s="454"/>
      <x:c r="V1480" s="455"/>
      <x:c r="W1480" s="456"/>
      <x:c r="X1480" s="450"/>
      <x:c r="Y1480" s="457"/>
      <x:c r="Z1480" s="458"/>
      <x:c r="AA1480" s="458"/>
      <x:c r="AB1480" s="458"/>
      <x:c r="AC1480" s="458"/>
      <x:c r="AD1480" s="458"/>
      <x:c r="AE1480" s="458"/>
    </x:row>
    <x:row r="1481" spans="1:31" ht="20.100000000000001" customHeight="1">
      <x:c r="A1481" s="439"/>
      <x:c r="B1481" s="466" t="str">
        <x:f t="shared" si="182"/>
        <x:v/>
      </x:c>
      <x:c r="C1481" s="440" t="str">
        <x:f t="shared" si="183"/>
        <x:v/>
      </x:c>
      <x:c r="D1481" s="441"/>
      <x:c r="E1481" s="442" t="str">
        <x:f t="shared" si="184"/>
        <x:v/>
      </x:c>
      <x:c r="F1481" s="443"/>
      <x:c r="G1481" s="444"/>
      <x:c r="H1481" s="445" t="str">
        <x:f t="shared" si="181"/>
        <x:v/>
      </x:c>
      <x:c r="I1481" s="446" t="str">
        <x:f t="shared" si="185"/>
        <x:v/>
      </x:c>
      <x:c r="J1481" s="445"/>
      <x:c r="K1481" s="453"/>
      <x:c r="L1481" s="454"/>
      <x:c r="M1481" s="454"/>
      <x:c r="N1481" s="454"/>
      <x:c r="O1481" s="454"/>
      <x:c r="P1481" s="454"/>
      <x:c r="Q1481" s="454"/>
      <x:c r="R1481" s="454"/>
      <x:c r="S1481" s="454"/>
      <x:c r="T1481" s="454"/>
      <x:c r="U1481" s="454"/>
      <x:c r="V1481" s="455"/>
      <x:c r="W1481" s="456"/>
      <x:c r="X1481" s="450"/>
      <x:c r="Y1481" s="457"/>
      <x:c r="Z1481" s="458"/>
      <x:c r="AA1481" s="458"/>
      <x:c r="AB1481" s="458"/>
      <x:c r="AC1481" s="458"/>
      <x:c r="AD1481" s="458"/>
      <x:c r="AE1481" s="458"/>
    </x:row>
    <x:row r="1482" spans="1:31" ht="20.100000000000001" customHeight="1">
      <x:c r="A1482" s="439"/>
      <x:c r="B1482" s="466" t="str">
        <x:f t="shared" si="182"/>
        <x:v/>
      </x:c>
      <x:c r="C1482" s="440" t="str">
        <x:f t="shared" si="183"/>
        <x:v/>
      </x:c>
      <x:c r="D1482" s="441"/>
      <x:c r="E1482" s="442" t="str">
        <x:f t="shared" si="184"/>
        <x:v/>
      </x:c>
      <x:c r="F1482" s="443"/>
      <x:c r="G1482" s="444"/>
      <x:c r="H1482" s="445" t="str">
        <x:f t="shared" si="181"/>
        <x:v/>
      </x:c>
      <x:c r="I1482" s="446" t="str">
        <x:f t="shared" si="185"/>
        <x:v/>
      </x:c>
      <x:c r="J1482" s="445"/>
      <x:c r="K1482" s="453"/>
      <x:c r="L1482" s="454"/>
      <x:c r="M1482" s="454"/>
      <x:c r="N1482" s="454"/>
      <x:c r="O1482" s="454"/>
      <x:c r="P1482" s="454"/>
      <x:c r="Q1482" s="454"/>
      <x:c r="R1482" s="454"/>
      <x:c r="S1482" s="454"/>
      <x:c r="T1482" s="454"/>
      <x:c r="U1482" s="454"/>
      <x:c r="V1482" s="455"/>
      <x:c r="W1482" s="456"/>
      <x:c r="X1482" s="450"/>
      <x:c r="Y1482" s="457"/>
      <x:c r="Z1482" s="458"/>
      <x:c r="AA1482" s="458"/>
      <x:c r="AB1482" s="458"/>
      <x:c r="AC1482" s="458"/>
      <x:c r="AD1482" s="458"/>
      <x:c r="AE1482" s="458"/>
    </x:row>
    <x:row r="1483" spans="1:31" ht="20.100000000000001" customHeight="1">
      <x:c r="A1483" s="439"/>
      <x:c r="B1483" s="466" t="str">
        <x:f t="shared" si="182"/>
        <x:v/>
      </x:c>
      <x:c r="C1483" s="440" t="str">
        <x:f t="shared" si="183"/>
        <x:v/>
      </x:c>
      <x:c r="D1483" s="441"/>
      <x:c r="E1483" s="442" t="str">
        <x:f t="shared" si="184"/>
        <x:v/>
      </x:c>
      <x:c r="F1483" s="443"/>
      <x:c r="G1483" s="444"/>
      <x:c r="H1483" s="445" t="str">
        <x:f t="shared" si="181"/>
        <x:v/>
      </x:c>
      <x:c r="I1483" s="446" t="str">
        <x:f t="shared" si="185"/>
        <x:v/>
      </x:c>
      <x:c r="J1483" s="445"/>
      <x:c r="K1483" s="453"/>
      <x:c r="L1483" s="454"/>
      <x:c r="M1483" s="454"/>
      <x:c r="N1483" s="454"/>
      <x:c r="O1483" s="454"/>
      <x:c r="P1483" s="454"/>
      <x:c r="Q1483" s="454"/>
      <x:c r="R1483" s="454"/>
      <x:c r="S1483" s="454"/>
      <x:c r="T1483" s="454"/>
      <x:c r="U1483" s="454"/>
      <x:c r="V1483" s="455"/>
      <x:c r="W1483" s="456"/>
      <x:c r="X1483" s="450"/>
      <x:c r="Y1483" s="457"/>
      <x:c r="Z1483" s="458"/>
      <x:c r="AA1483" s="458"/>
      <x:c r="AB1483" s="458"/>
      <x:c r="AC1483" s="458"/>
      <x:c r="AD1483" s="458"/>
      <x:c r="AE1483" s="458"/>
    </x:row>
    <x:row r="1484" spans="1:31" ht="20.100000000000001" customHeight="1">
      <x:c r="A1484" s="439"/>
      <x:c r="B1484" s="466" t="str">
        <x:f t="shared" si="182"/>
        <x:v/>
      </x:c>
      <x:c r="C1484" s="440" t="str">
        <x:f t="shared" si="183"/>
        <x:v/>
      </x:c>
      <x:c r="D1484" s="441"/>
      <x:c r="E1484" s="442" t="str">
        <x:f t="shared" si="184"/>
        <x:v/>
      </x:c>
      <x:c r="F1484" s="443"/>
      <x:c r="G1484" s="444"/>
      <x:c r="H1484" s="445" t="str">
        <x:f t="shared" si="181"/>
        <x:v/>
      </x:c>
      <x:c r="I1484" s="446" t="str">
        <x:f t="shared" si="185"/>
        <x:v/>
      </x:c>
      <x:c r="J1484" s="445"/>
      <x:c r="K1484" s="453"/>
      <x:c r="L1484" s="454"/>
      <x:c r="M1484" s="454"/>
      <x:c r="N1484" s="454"/>
      <x:c r="O1484" s="454"/>
      <x:c r="P1484" s="454"/>
      <x:c r="Q1484" s="454"/>
      <x:c r="R1484" s="454"/>
      <x:c r="S1484" s="454"/>
      <x:c r="T1484" s="454"/>
      <x:c r="U1484" s="454"/>
      <x:c r="V1484" s="455"/>
      <x:c r="W1484" s="456"/>
      <x:c r="X1484" s="450"/>
      <x:c r="Y1484" s="457"/>
      <x:c r="Z1484" s="458"/>
      <x:c r="AA1484" s="458"/>
      <x:c r="AB1484" s="458"/>
      <x:c r="AC1484" s="458"/>
      <x:c r="AD1484" s="458"/>
      <x:c r="AE1484" s="458"/>
    </x:row>
    <x:row r="1485" spans="1:31" ht="20.100000000000001" customHeight="1">
      <x:c r="A1485" s="439"/>
      <x:c r="B1485" s="466" t="str">
        <x:f t="shared" si="182"/>
        <x:v/>
      </x:c>
      <x:c r="C1485" s="440" t="str">
        <x:f t="shared" si="183"/>
        <x:v/>
      </x:c>
      <x:c r="D1485" s="441"/>
      <x:c r="E1485" s="442" t="str">
        <x:f t="shared" si="184"/>
        <x:v/>
      </x:c>
      <x:c r="F1485" s="443"/>
      <x:c r="G1485" s="444"/>
      <x:c r="H1485" s="445" t="str">
        <x:f t="shared" si="181"/>
        <x:v/>
      </x:c>
      <x:c r="I1485" s="446" t="str">
        <x:f t="shared" si="185"/>
        <x:v/>
      </x:c>
      <x:c r="J1485" s="445"/>
      <x:c r="K1485" s="453"/>
      <x:c r="L1485" s="454"/>
      <x:c r="M1485" s="454"/>
      <x:c r="N1485" s="454"/>
      <x:c r="O1485" s="454"/>
      <x:c r="P1485" s="454"/>
      <x:c r="Q1485" s="454"/>
      <x:c r="R1485" s="454"/>
      <x:c r="S1485" s="454"/>
      <x:c r="T1485" s="454"/>
      <x:c r="U1485" s="454"/>
      <x:c r="V1485" s="455"/>
      <x:c r="W1485" s="456"/>
      <x:c r="X1485" s="450"/>
      <x:c r="Y1485" s="457"/>
      <x:c r="Z1485" s="458"/>
      <x:c r="AA1485" s="458"/>
      <x:c r="AB1485" s="458"/>
      <x:c r="AC1485" s="458"/>
      <x:c r="AD1485" s="458"/>
      <x:c r="AE1485" s="458"/>
    </x:row>
    <x:row r="1486" spans="1:31" ht="20.100000000000001" customHeight="1">
      <x:c r="A1486" s="439"/>
      <x:c r="B1486" s="466" t="str">
        <x:f t="shared" si="182"/>
        <x:v/>
      </x:c>
      <x:c r="C1486" s="440" t="str">
        <x:f t="shared" si="183"/>
        <x:v/>
      </x:c>
      <x:c r="D1486" s="441"/>
      <x:c r="E1486" s="442" t="str">
        <x:f t="shared" si="184"/>
        <x:v/>
      </x:c>
      <x:c r="F1486" s="443"/>
      <x:c r="G1486" s="444"/>
      <x:c r="H1486" s="445" t="str">
        <x:f t="shared" si="181"/>
        <x:v/>
      </x:c>
      <x:c r="I1486" s="446" t="str">
        <x:f t="shared" si="185"/>
        <x:v/>
      </x:c>
      <x:c r="J1486" s="445"/>
      <x:c r="K1486" s="453"/>
      <x:c r="L1486" s="454"/>
      <x:c r="M1486" s="454"/>
      <x:c r="N1486" s="454"/>
      <x:c r="O1486" s="454"/>
      <x:c r="P1486" s="454"/>
      <x:c r="Q1486" s="454"/>
      <x:c r="R1486" s="454"/>
      <x:c r="S1486" s="454"/>
      <x:c r="T1486" s="454"/>
      <x:c r="U1486" s="454"/>
      <x:c r="V1486" s="455"/>
      <x:c r="W1486" s="456"/>
      <x:c r="X1486" s="450"/>
      <x:c r="Y1486" s="457"/>
      <x:c r="Z1486" s="458"/>
      <x:c r="AA1486" s="458"/>
      <x:c r="AB1486" s="458"/>
      <x:c r="AC1486" s="458"/>
      <x:c r="AD1486" s="458"/>
      <x:c r="AE1486" s="458"/>
    </x:row>
    <x:row r="1487" spans="1:31" ht="20.100000000000001" customHeight="1">
      <x:c r="A1487" s="439"/>
      <x:c r="B1487" s="466" t="str">
        <x:f t="shared" si="182"/>
        <x:v/>
      </x:c>
      <x:c r="C1487" s="440" t="str">
        <x:f t="shared" si="183"/>
        <x:v/>
      </x:c>
      <x:c r="D1487" s="441"/>
      <x:c r="E1487" s="442" t="str">
        <x:f t="shared" si="184"/>
        <x:v/>
      </x:c>
      <x:c r="F1487" s="443"/>
      <x:c r="G1487" s="444"/>
      <x:c r="H1487" s="445" t="str">
        <x:f t="shared" si="181"/>
        <x:v/>
      </x:c>
      <x:c r="I1487" s="446" t="str">
        <x:f t="shared" si="185"/>
        <x:v/>
      </x:c>
      <x:c r="J1487" s="445"/>
      <x:c r="K1487" s="453"/>
      <x:c r="L1487" s="454"/>
      <x:c r="M1487" s="454"/>
      <x:c r="N1487" s="454"/>
      <x:c r="O1487" s="454"/>
      <x:c r="P1487" s="454"/>
      <x:c r="Q1487" s="454"/>
      <x:c r="R1487" s="454"/>
      <x:c r="S1487" s="454"/>
      <x:c r="T1487" s="454"/>
      <x:c r="U1487" s="454"/>
      <x:c r="V1487" s="455"/>
      <x:c r="W1487" s="456"/>
      <x:c r="X1487" s="450"/>
      <x:c r="Y1487" s="457"/>
      <x:c r="Z1487" s="458"/>
      <x:c r="AA1487" s="458"/>
      <x:c r="AB1487" s="458"/>
      <x:c r="AC1487" s="458"/>
      <x:c r="AD1487" s="458"/>
      <x:c r="AE1487" s="458"/>
    </x:row>
    <x:row r="1488" spans="1:31" ht="20.100000000000001" customHeight="1">
      <x:c r="A1488" s="439"/>
      <x:c r="B1488" s="466" t="str">
        <x:f t="shared" si="182"/>
        <x:v/>
      </x:c>
      <x:c r="C1488" s="440" t="str">
        <x:f t="shared" si="183"/>
        <x:v/>
      </x:c>
      <x:c r="D1488" s="441"/>
      <x:c r="E1488" s="442" t="str">
        <x:f t="shared" si="184"/>
        <x:v/>
      </x:c>
      <x:c r="F1488" s="443"/>
      <x:c r="G1488" s="444"/>
      <x:c r="H1488" s="445" t="str">
        <x:f t="shared" si="181"/>
        <x:v/>
      </x:c>
      <x:c r="I1488" s="446" t="str">
        <x:f t="shared" si="185"/>
        <x:v/>
      </x:c>
      <x:c r="J1488" s="445"/>
      <x:c r="K1488" s="453"/>
      <x:c r="L1488" s="454"/>
      <x:c r="M1488" s="454"/>
      <x:c r="N1488" s="454"/>
      <x:c r="O1488" s="454"/>
      <x:c r="P1488" s="454"/>
      <x:c r="Q1488" s="454"/>
      <x:c r="R1488" s="454"/>
      <x:c r="S1488" s="454"/>
      <x:c r="T1488" s="454"/>
      <x:c r="U1488" s="454"/>
      <x:c r="V1488" s="455"/>
      <x:c r="W1488" s="456"/>
      <x:c r="X1488" s="450"/>
      <x:c r="Y1488" s="457"/>
      <x:c r="Z1488" s="458"/>
      <x:c r="AA1488" s="458"/>
      <x:c r="AB1488" s="458"/>
      <x:c r="AC1488" s="458"/>
      <x:c r="AD1488" s="458"/>
      <x:c r="AE1488" s="458"/>
    </x:row>
    <x:row r="1489" spans="1:31" ht="20.100000000000001" customHeight="1">
      <x:c r="A1489" s="439"/>
      <x:c r="B1489" s="466" t="str">
        <x:f t="shared" si="182"/>
        <x:v/>
      </x:c>
      <x:c r="C1489" s="440" t="str">
        <x:f t="shared" si="183"/>
        <x:v/>
      </x:c>
      <x:c r="D1489" s="441"/>
      <x:c r="E1489" s="442" t="str">
        <x:f t="shared" si="184"/>
        <x:v/>
      </x:c>
      <x:c r="F1489" s="443"/>
      <x:c r="G1489" s="444"/>
      <x:c r="H1489" s="445" t="str">
        <x:f t="shared" si="181"/>
        <x:v/>
      </x:c>
      <x:c r="I1489" s="446" t="str">
        <x:f t="shared" si="185"/>
        <x:v/>
      </x:c>
      <x:c r="J1489" s="445"/>
      <x:c r="K1489" s="453"/>
      <x:c r="L1489" s="454"/>
      <x:c r="M1489" s="454"/>
      <x:c r="N1489" s="454"/>
      <x:c r="O1489" s="454"/>
      <x:c r="P1489" s="454"/>
      <x:c r="Q1489" s="454"/>
      <x:c r="R1489" s="454"/>
      <x:c r="S1489" s="454"/>
      <x:c r="T1489" s="454"/>
      <x:c r="U1489" s="454"/>
      <x:c r="V1489" s="455"/>
      <x:c r="W1489" s="456"/>
      <x:c r="X1489" s="450"/>
      <x:c r="Y1489" s="457"/>
      <x:c r="Z1489" s="458"/>
      <x:c r="AA1489" s="458"/>
      <x:c r="AB1489" s="458"/>
      <x:c r="AC1489" s="458"/>
      <x:c r="AD1489" s="458"/>
      <x:c r="AE1489" s="458"/>
    </x:row>
    <x:row r="1490" spans="1:31" ht="20.100000000000001" customHeight="1">
      <x:c r="A1490" s="439"/>
      <x:c r="B1490" s="466" t="str">
        <x:f t="shared" si="182"/>
        <x:v/>
      </x:c>
      <x:c r="C1490" s="440" t="str">
        <x:f t="shared" si="183"/>
        <x:v/>
      </x:c>
      <x:c r="D1490" s="441"/>
      <x:c r="E1490" s="442" t="str">
        <x:f t="shared" si="184"/>
        <x:v/>
      </x:c>
      <x:c r="F1490" s="443"/>
      <x:c r="G1490" s="444"/>
      <x:c r="H1490" s="445" t="str">
        <x:f t="shared" si="181"/>
        <x:v/>
      </x:c>
      <x:c r="I1490" s="446" t="str">
        <x:f t="shared" si="185"/>
        <x:v/>
      </x:c>
      <x:c r="J1490" s="445"/>
      <x:c r="K1490" s="453"/>
      <x:c r="L1490" s="454"/>
      <x:c r="M1490" s="454"/>
      <x:c r="N1490" s="454"/>
      <x:c r="O1490" s="454"/>
      <x:c r="P1490" s="454"/>
      <x:c r="Q1490" s="454"/>
      <x:c r="R1490" s="454"/>
      <x:c r="S1490" s="454"/>
      <x:c r="T1490" s="454"/>
      <x:c r="U1490" s="454"/>
      <x:c r="V1490" s="455"/>
      <x:c r="W1490" s="456"/>
      <x:c r="X1490" s="450"/>
      <x:c r="Y1490" s="457"/>
      <x:c r="Z1490" s="458"/>
      <x:c r="AA1490" s="458"/>
      <x:c r="AB1490" s="458"/>
      <x:c r="AC1490" s="458"/>
      <x:c r="AD1490" s="458"/>
      <x:c r="AE1490" s="458"/>
    </x:row>
    <x:row r="1491" spans="1:31" ht="20.100000000000001" customHeight="1">
      <x:c r="A1491" s="439"/>
      <x:c r="B1491" s="466" t="str">
        <x:f t="shared" si="182"/>
        <x:v/>
      </x:c>
      <x:c r="C1491" s="440" t="str">
        <x:f t="shared" si="183"/>
        <x:v/>
      </x:c>
      <x:c r="D1491" s="441"/>
      <x:c r="E1491" s="442" t="str">
        <x:f t="shared" si="184"/>
        <x:v/>
      </x:c>
      <x:c r="F1491" s="443"/>
      <x:c r="G1491" s="444"/>
      <x:c r="H1491" s="445" t="str">
        <x:f t="shared" si="181"/>
        <x:v/>
      </x:c>
      <x:c r="I1491" s="446" t="str">
        <x:f t="shared" si="185"/>
        <x:v/>
      </x:c>
      <x:c r="J1491" s="445"/>
      <x:c r="K1491" s="453"/>
      <x:c r="L1491" s="454"/>
      <x:c r="M1491" s="454"/>
      <x:c r="N1491" s="454"/>
      <x:c r="O1491" s="454"/>
      <x:c r="P1491" s="454"/>
      <x:c r="Q1491" s="454"/>
      <x:c r="R1491" s="454"/>
      <x:c r="S1491" s="454"/>
      <x:c r="T1491" s="454"/>
      <x:c r="U1491" s="454"/>
      <x:c r="V1491" s="455"/>
      <x:c r="W1491" s="456"/>
      <x:c r="X1491" s="450"/>
      <x:c r="Y1491" s="457"/>
      <x:c r="Z1491" s="458"/>
      <x:c r="AA1491" s="458"/>
      <x:c r="AB1491" s="458"/>
      <x:c r="AC1491" s="458"/>
      <x:c r="AD1491" s="458"/>
      <x:c r="AE1491" s="458"/>
    </x:row>
    <x:row r="1492" spans="1:31" ht="20.100000000000001" customHeight="1">
      <x:c r="A1492" s="439"/>
      <x:c r="B1492" s="466" t="str">
        <x:f t="shared" si="182"/>
        <x:v/>
      </x:c>
      <x:c r="C1492" s="440" t="str">
        <x:f t="shared" si="183"/>
        <x:v/>
      </x:c>
      <x:c r="D1492" s="441"/>
      <x:c r="E1492" s="442" t="str">
        <x:f t="shared" si="184"/>
        <x:v/>
      </x:c>
      <x:c r="F1492" s="443"/>
      <x:c r="G1492" s="444"/>
      <x:c r="H1492" s="445" t="str">
        <x:f t="shared" si="181"/>
        <x:v/>
      </x:c>
      <x:c r="I1492" s="446" t="str">
        <x:f t="shared" si="185"/>
        <x:v/>
      </x:c>
      <x:c r="J1492" s="445"/>
      <x:c r="K1492" s="453"/>
      <x:c r="L1492" s="454"/>
      <x:c r="M1492" s="454"/>
      <x:c r="N1492" s="454"/>
      <x:c r="O1492" s="454"/>
      <x:c r="P1492" s="454"/>
      <x:c r="Q1492" s="454"/>
      <x:c r="R1492" s="454"/>
      <x:c r="S1492" s="454"/>
      <x:c r="T1492" s="454"/>
      <x:c r="U1492" s="454"/>
      <x:c r="V1492" s="455"/>
      <x:c r="W1492" s="456"/>
      <x:c r="X1492" s="450"/>
      <x:c r="Y1492" s="457"/>
      <x:c r="Z1492" s="458"/>
      <x:c r="AA1492" s="458"/>
      <x:c r="AB1492" s="458"/>
      <x:c r="AC1492" s="458"/>
      <x:c r="AD1492" s="458"/>
      <x:c r="AE1492" s="458"/>
    </x:row>
    <x:row r="1493" spans="1:31" ht="20.100000000000001" customHeight="1">
      <x:c r="A1493" s="439"/>
      <x:c r="B1493" s="466" t="str">
        <x:f t="shared" si="182"/>
        <x:v/>
      </x:c>
      <x:c r="C1493" s="440" t="str">
        <x:f t="shared" si="183"/>
        <x:v/>
      </x:c>
      <x:c r="D1493" s="441"/>
      <x:c r="E1493" s="442" t="str">
        <x:f t="shared" si="184"/>
        <x:v/>
      </x:c>
      <x:c r="F1493" s="443"/>
      <x:c r="G1493" s="444"/>
      <x:c r="H1493" s="445" t="str">
        <x:f t="shared" si="181"/>
        <x:v/>
      </x:c>
      <x:c r="I1493" s="446" t="str">
        <x:f t="shared" si="185"/>
        <x:v/>
      </x:c>
      <x:c r="J1493" s="445"/>
      <x:c r="K1493" s="453"/>
      <x:c r="L1493" s="454"/>
      <x:c r="M1493" s="454"/>
      <x:c r="N1493" s="454"/>
      <x:c r="O1493" s="454"/>
      <x:c r="P1493" s="454"/>
      <x:c r="Q1493" s="454"/>
      <x:c r="R1493" s="454"/>
      <x:c r="S1493" s="454"/>
      <x:c r="T1493" s="454"/>
      <x:c r="U1493" s="454"/>
      <x:c r="V1493" s="455"/>
      <x:c r="W1493" s="456"/>
      <x:c r="X1493" s="450"/>
      <x:c r="Y1493" s="457"/>
      <x:c r="Z1493" s="458"/>
      <x:c r="AA1493" s="458"/>
      <x:c r="AB1493" s="458"/>
      <x:c r="AC1493" s="458"/>
      <x:c r="AD1493" s="458"/>
      <x:c r="AE1493" s="458"/>
    </x:row>
    <x:row r="1494" spans="1:31" ht="20.100000000000001" customHeight="1">
      <x:c r="A1494" s="439"/>
      <x:c r="B1494" s="466" t="str">
        <x:f t="shared" si="182"/>
        <x:v/>
      </x:c>
      <x:c r="C1494" s="440" t="str">
        <x:f t="shared" si="183"/>
        <x:v/>
      </x:c>
      <x:c r="D1494" s="441"/>
      <x:c r="E1494" s="442" t="str">
        <x:f t="shared" si="184"/>
        <x:v/>
      </x:c>
      <x:c r="F1494" s="443"/>
      <x:c r="G1494" s="444"/>
      <x:c r="H1494" s="445" t="str">
        <x:f t="shared" si="181"/>
        <x:v/>
      </x:c>
      <x:c r="I1494" s="446" t="str">
        <x:f t="shared" si="185"/>
        <x:v/>
      </x:c>
      <x:c r="J1494" s="445"/>
      <x:c r="K1494" s="453"/>
      <x:c r="L1494" s="454"/>
      <x:c r="M1494" s="454"/>
      <x:c r="N1494" s="454"/>
      <x:c r="O1494" s="454"/>
      <x:c r="P1494" s="454"/>
      <x:c r="Q1494" s="454"/>
      <x:c r="R1494" s="454"/>
      <x:c r="S1494" s="454"/>
      <x:c r="T1494" s="454"/>
      <x:c r="U1494" s="454"/>
      <x:c r="V1494" s="455"/>
      <x:c r="W1494" s="456"/>
      <x:c r="X1494" s="450"/>
      <x:c r="Y1494" s="457"/>
      <x:c r="Z1494" s="458"/>
      <x:c r="AA1494" s="458"/>
      <x:c r="AB1494" s="458"/>
      <x:c r="AC1494" s="458"/>
      <x:c r="AD1494" s="458"/>
      <x:c r="AE1494" s="458"/>
    </x:row>
    <x:row r="1495" spans="1:31" ht="20.100000000000001" customHeight="1">
      <x:c r="A1495" s="439"/>
      <x:c r="B1495" s="466" t="str">
        <x:f t="shared" si="182"/>
        <x:v/>
      </x:c>
      <x:c r="C1495" s="440" t="str">
        <x:f t="shared" si="183"/>
        <x:v/>
      </x:c>
      <x:c r="D1495" s="441"/>
      <x:c r="E1495" s="442" t="str">
        <x:f t="shared" si="184"/>
        <x:v/>
      </x:c>
      <x:c r="F1495" s="443"/>
      <x:c r="G1495" s="444"/>
      <x:c r="H1495" s="445" t="str">
        <x:f t="shared" si="181"/>
        <x:v/>
      </x:c>
      <x:c r="I1495" s="446" t="str">
        <x:f t="shared" si="185"/>
        <x:v/>
      </x:c>
      <x:c r="J1495" s="445"/>
      <x:c r="K1495" s="453"/>
      <x:c r="L1495" s="454"/>
      <x:c r="M1495" s="454"/>
      <x:c r="N1495" s="454"/>
      <x:c r="O1495" s="454"/>
      <x:c r="P1495" s="454"/>
      <x:c r="Q1495" s="454"/>
      <x:c r="R1495" s="454"/>
      <x:c r="S1495" s="454"/>
      <x:c r="T1495" s="454"/>
      <x:c r="U1495" s="454"/>
      <x:c r="V1495" s="455"/>
      <x:c r="W1495" s="456"/>
      <x:c r="X1495" s="450"/>
      <x:c r="Y1495" s="457"/>
      <x:c r="Z1495" s="458"/>
      <x:c r="AA1495" s="458"/>
      <x:c r="AB1495" s="458"/>
      <x:c r="AC1495" s="458"/>
      <x:c r="AD1495" s="458"/>
      <x:c r="AE1495" s="458"/>
    </x:row>
    <x:row r="1496" spans="1:31" ht="20.100000000000001" customHeight="1">
      <x:c r="A1496" s="439"/>
      <x:c r="B1496" s="466" t="str">
        <x:f t="shared" si="182"/>
        <x:v/>
      </x:c>
      <x:c r="C1496" s="440" t="str">
        <x:f t="shared" si="183"/>
        <x:v/>
      </x:c>
      <x:c r="D1496" s="441"/>
      <x:c r="E1496" s="442" t="str">
        <x:f t="shared" si="184"/>
        <x:v/>
      </x:c>
      <x:c r="F1496" s="443"/>
      <x:c r="G1496" s="444"/>
      <x:c r="H1496" s="445" t="str">
        <x:f t="shared" si="181"/>
        <x:v/>
      </x:c>
      <x:c r="I1496" s="446" t="str">
        <x:f t="shared" si="185"/>
        <x:v/>
      </x:c>
      <x:c r="J1496" s="445"/>
      <x:c r="K1496" s="453"/>
      <x:c r="L1496" s="454"/>
      <x:c r="M1496" s="454"/>
      <x:c r="N1496" s="454"/>
      <x:c r="O1496" s="454"/>
      <x:c r="P1496" s="454"/>
      <x:c r="Q1496" s="454"/>
      <x:c r="R1496" s="454"/>
      <x:c r="S1496" s="454"/>
      <x:c r="T1496" s="454"/>
      <x:c r="U1496" s="454"/>
      <x:c r="V1496" s="455"/>
      <x:c r="W1496" s="456"/>
      <x:c r="X1496" s="450"/>
      <x:c r="Y1496" s="457"/>
      <x:c r="Z1496" s="458"/>
      <x:c r="AA1496" s="458"/>
      <x:c r="AB1496" s="458"/>
      <x:c r="AC1496" s="458"/>
      <x:c r="AD1496" s="458"/>
      <x:c r="AE1496" s="458"/>
    </x:row>
    <x:row r="1497" spans="1:31" ht="20.100000000000001" customHeight="1">
      <x:c r="A1497" s="439"/>
      <x:c r="B1497" s="466" t="str">
        <x:f t="shared" si="182"/>
        <x:v/>
      </x:c>
      <x:c r="C1497" s="440" t="str">
        <x:f t="shared" si="183"/>
        <x:v/>
      </x:c>
      <x:c r="D1497" s="441"/>
      <x:c r="E1497" s="442" t="str">
        <x:f t="shared" si="184"/>
        <x:v/>
      </x:c>
      <x:c r="F1497" s="443"/>
      <x:c r="G1497" s="444"/>
      <x:c r="H1497" s="445" t="str">
        <x:f t="shared" si="181"/>
        <x:v/>
      </x:c>
      <x:c r="I1497" s="446" t="str">
        <x:f t="shared" si="185"/>
        <x:v/>
      </x:c>
      <x:c r="J1497" s="445"/>
      <x:c r="K1497" s="453"/>
      <x:c r="L1497" s="454"/>
      <x:c r="M1497" s="454"/>
      <x:c r="N1497" s="454"/>
      <x:c r="O1497" s="454"/>
      <x:c r="P1497" s="454"/>
      <x:c r="Q1497" s="454"/>
      <x:c r="R1497" s="454"/>
      <x:c r="S1497" s="454"/>
      <x:c r="T1497" s="454"/>
      <x:c r="U1497" s="454"/>
      <x:c r="V1497" s="455"/>
      <x:c r="W1497" s="456"/>
      <x:c r="X1497" s="450"/>
      <x:c r="Y1497" s="457"/>
      <x:c r="Z1497" s="458"/>
      <x:c r="AA1497" s="458"/>
      <x:c r="AB1497" s="458"/>
      <x:c r="AC1497" s="458"/>
      <x:c r="AD1497" s="458"/>
      <x:c r="AE1497" s="458"/>
    </x:row>
    <x:row r="1498" spans="1:31" ht="20.100000000000001" customHeight="1">
      <x:c r="A1498" s="439"/>
      <x:c r="B1498" s="466" t="str">
        <x:f t="shared" si="182"/>
        <x:v/>
      </x:c>
      <x:c r="C1498" s="440" t="str">
        <x:f t="shared" si="183"/>
        <x:v/>
      </x:c>
      <x:c r="D1498" s="441"/>
      <x:c r="E1498" s="442" t="str">
        <x:f t="shared" si="184"/>
        <x:v/>
      </x:c>
      <x:c r="F1498" s="443"/>
      <x:c r="G1498" s="444"/>
      <x:c r="H1498" s="445" t="str">
        <x:f t="shared" si="181"/>
        <x:v/>
      </x:c>
      <x:c r="I1498" s="446" t="str">
        <x:f t="shared" si="185"/>
        <x:v/>
      </x:c>
      <x:c r="J1498" s="445"/>
      <x:c r="K1498" s="459"/>
      <x:c r="L1498" s="460"/>
      <x:c r="M1498" s="460"/>
      <x:c r="N1498" s="460"/>
      <x:c r="O1498" s="460"/>
      <x:c r="P1498" s="460"/>
      <x:c r="Q1498" s="460"/>
      <x:c r="R1498" s="460"/>
      <x:c r="S1498" s="460"/>
      <x:c r="T1498" s="460"/>
      <x:c r="U1498" s="460"/>
      <x:c r="V1498" s="461"/>
      <x:c r="W1498" s="462"/>
      <x:c r="X1498" s="462"/>
      <x:c r="Y1498" s="463"/>
      <x:c r="Z1498" s="464"/>
      <x:c r="AA1498" s="464"/>
      <x:c r="AB1498" s="464"/>
      <x:c r="AC1498" s="464"/>
      <x:c r="AD1498" s="464"/>
      <x:c r="AE1498" s="464"/>
    </x:row>
    <x:row r="1499" spans="1:31" ht="20.100000000000001" customHeight="1">
      <x:c r="A1499" s="439"/>
      <x:c r="B1499" s="466" t="str">
        <x:f t="shared" si="182"/>
        <x:v/>
      </x:c>
      <x:c r="C1499" s="440" t="str">
        <x:f t="shared" si="183"/>
        <x:v/>
      </x:c>
      <x:c r="D1499" s="441"/>
      <x:c r="E1499" s="442" t="str">
        <x:f t="shared" si="184"/>
        <x:v/>
      </x:c>
      <x:c r="F1499" s="443"/>
      <x:c r="G1499" s="444"/>
      <x:c r="H1499" s="445" t="str">
        <x:f t="shared" si="181"/>
        <x:v/>
      </x:c>
      <x:c r="I1499" s="446" t="str">
        <x:f t="shared" si="185"/>
        <x:v/>
      </x:c>
      <x:c r="J1499" s="445"/>
      <x:c r="K1499" s="459"/>
      <x:c r="L1499" s="460"/>
      <x:c r="M1499" s="460"/>
      <x:c r="N1499" s="460"/>
      <x:c r="O1499" s="460"/>
      <x:c r="P1499" s="460"/>
      <x:c r="Q1499" s="460"/>
      <x:c r="R1499" s="460"/>
      <x:c r="S1499" s="460"/>
      <x:c r="T1499" s="460"/>
      <x:c r="U1499" s="460"/>
      <x:c r="V1499" s="461"/>
      <x:c r="W1499" s="462"/>
      <x:c r="X1499" s="462"/>
      <x:c r="Y1499" s="463"/>
      <x:c r="Z1499" s="464"/>
      <x:c r="AA1499" s="464"/>
      <x:c r="AB1499" s="464"/>
      <x:c r="AC1499" s="464"/>
      <x:c r="AD1499" s="464"/>
      <x:c r="AE1499" s="464"/>
    </x:row>
    <x:row r="1500" spans="1:31" ht="20.100000000000001" customHeight="1">
      <x:c r="A1500" s="439"/>
      <x:c r="B1500" s="466" t="str">
        <x:f t="shared" si="182"/>
        <x:v/>
      </x:c>
      <x:c r="C1500" s="440" t="str">
        <x:f t="shared" si="183"/>
        <x:v/>
      </x:c>
      <x:c r="D1500" s="441"/>
      <x:c r="E1500" s="442" t="str">
        <x:f t="shared" si="184"/>
        <x:v/>
      </x:c>
      <x:c r="F1500" s="443"/>
      <x:c r="G1500" s="444"/>
      <x:c r="H1500" s="445" t="str">
        <x:f t="shared" si="181"/>
        <x:v/>
      </x:c>
      <x:c r="I1500" s="446" t="str">
        <x:f t="shared" si="185"/>
        <x:v/>
      </x:c>
      <x:c r="J1500" s="445"/>
      <x:c r="K1500" s="459"/>
      <x:c r="L1500" s="460"/>
      <x:c r="M1500" s="460"/>
      <x:c r="N1500" s="460"/>
      <x:c r="O1500" s="460"/>
      <x:c r="P1500" s="460"/>
      <x:c r="Q1500" s="460"/>
      <x:c r="R1500" s="460"/>
      <x:c r="S1500" s="460"/>
      <x:c r="T1500" s="460"/>
      <x:c r="U1500" s="460"/>
      <x:c r="V1500" s="461"/>
      <x:c r="W1500" s="462"/>
      <x:c r="X1500" s="462"/>
      <x:c r="Y1500" s="463"/>
      <x:c r="Z1500" s="464"/>
      <x:c r="AA1500" s="464"/>
      <x:c r="AB1500" s="464"/>
      <x:c r="AC1500" s="464"/>
      <x:c r="AD1500" s="464"/>
      <x:c r="AE1500" s="464"/>
    </x:row>
    <x:row r="1501" spans="1:31" ht="20.100000000000001" customHeight="1">
      <x:c r="A1501" s="439"/>
      <x:c r="B1501" s="466" t="str">
        <x:f t="shared" si="182"/>
        <x:v/>
      </x:c>
      <x:c r="C1501" s="440" t="str">
        <x:f t="shared" si="183"/>
        <x:v/>
      </x:c>
      <x:c r="D1501" s="441"/>
      <x:c r="E1501" s="442" t="str">
        <x:f t="shared" si="184"/>
        <x:v/>
      </x:c>
      <x:c r="F1501" s="443"/>
      <x:c r="G1501" s="444"/>
      <x:c r="H1501" s="445" t="str">
        <x:f t="shared" si="181"/>
        <x:v/>
      </x:c>
      <x:c r="I1501" s="446" t="str">
        <x:f t="shared" si="185"/>
        <x:v/>
      </x:c>
      <x:c r="J1501" s="445"/>
      <x:c r="K1501" s="459"/>
      <x:c r="L1501" s="460"/>
      <x:c r="M1501" s="460"/>
      <x:c r="N1501" s="460"/>
      <x:c r="O1501" s="460"/>
      <x:c r="P1501" s="460"/>
      <x:c r="Q1501" s="460"/>
      <x:c r="R1501" s="460"/>
      <x:c r="S1501" s="460"/>
      <x:c r="T1501" s="460"/>
      <x:c r="U1501" s="460"/>
      <x:c r="V1501" s="461"/>
      <x:c r="W1501" s="462"/>
      <x:c r="X1501" s="462"/>
      <x:c r="Y1501" s="463"/>
      <x:c r="Z1501" s="464"/>
      <x:c r="AA1501" s="464"/>
      <x:c r="AB1501" s="464"/>
      <x:c r="AC1501" s="464"/>
      <x:c r="AD1501" s="464"/>
      <x:c r="AE1501" s="464"/>
    </x:row>
    <x:row r="1502" spans="1:31" ht="20.100000000000001" customHeight="1">
      <x:c r="A1502" s="439"/>
      <x:c r="B1502" s="466" t="str">
        <x:f t="shared" si="182"/>
        <x:v/>
      </x:c>
      <x:c r="C1502" s="440" t="str">
        <x:f t="shared" si="183"/>
        <x:v/>
      </x:c>
      <x:c r="D1502" s="441"/>
      <x:c r="E1502" s="442" t="str">
        <x:f t="shared" si="184"/>
        <x:v/>
      </x:c>
      <x:c r="F1502" s="443"/>
      <x:c r="G1502" s="444"/>
      <x:c r="H1502" s="445" t="str">
        <x:f t="shared" si="181"/>
        <x:v/>
      </x:c>
      <x:c r="I1502" s="446" t="str">
        <x:f t="shared" si="185"/>
        <x:v/>
      </x:c>
      <x:c r="J1502" s="445"/>
      <x:c r="K1502" s="459"/>
      <x:c r="L1502" s="460"/>
      <x:c r="M1502" s="460"/>
      <x:c r="N1502" s="460"/>
      <x:c r="O1502" s="460"/>
      <x:c r="P1502" s="460"/>
      <x:c r="Q1502" s="460"/>
      <x:c r="R1502" s="460"/>
      <x:c r="S1502" s="460"/>
      <x:c r="T1502" s="460"/>
      <x:c r="U1502" s="460"/>
      <x:c r="V1502" s="461"/>
      <x:c r="W1502" s="462"/>
      <x:c r="X1502" s="462"/>
      <x:c r="Y1502" s="463"/>
      <x:c r="Z1502" s="464"/>
      <x:c r="AA1502" s="464"/>
      <x:c r="AB1502" s="464"/>
      <x:c r="AC1502" s="464"/>
      <x:c r="AD1502" s="464"/>
      <x:c r="AE1502" s="464"/>
    </x:row>
    <x:row r="1503" spans="1:31" ht="20.100000000000001" customHeight="1">
      <x:c r="A1503" s="439"/>
      <x:c r="B1503" s="466" t="str">
        <x:f t="shared" si="182"/>
        <x:v/>
      </x:c>
      <x:c r="C1503" s="440" t="str">
        <x:f t="shared" si="183"/>
        <x:v/>
      </x:c>
      <x:c r="D1503" s="441"/>
      <x:c r="E1503" s="442" t="str">
        <x:f t="shared" si="184"/>
        <x:v/>
      </x:c>
      <x:c r="F1503" s="443"/>
      <x:c r="G1503" s="444"/>
      <x:c r="H1503" s="445" t="str">
        <x:f t="shared" si="181"/>
        <x:v/>
      </x:c>
      <x:c r="I1503" s="446" t="str">
        <x:f t="shared" si="185"/>
        <x:v/>
      </x:c>
      <x:c r="J1503" s="445"/>
      <x:c r="K1503" s="459"/>
      <x:c r="L1503" s="460"/>
      <x:c r="M1503" s="460"/>
      <x:c r="N1503" s="460"/>
      <x:c r="O1503" s="460"/>
      <x:c r="P1503" s="460"/>
      <x:c r="Q1503" s="460"/>
      <x:c r="R1503" s="460"/>
      <x:c r="S1503" s="460"/>
      <x:c r="T1503" s="460"/>
      <x:c r="U1503" s="460"/>
      <x:c r="V1503" s="461"/>
      <x:c r="W1503" s="462"/>
      <x:c r="X1503" s="462"/>
      <x:c r="Y1503" s="463"/>
      <x:c r="Z1503" s="464"/>
      <x:c r="AA1503" s="464"/>
      <x:c r="AB1503" s="464"/>
      <x:c r="AC1503" s="464"/>
      <x:c r="AD1503" s="464"/>
      <x:c r="AE1503" s="464"/>
    </x:row>
  </x:sheetData>
  <x:mergeCells count="1">
    <x:mergeCell ref="Y2:AE2"/>
  </x:mergeCells>
  <x:phoneticPr fontId="7" type="noConversion"/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C0118D-F244-4853-B73C-19285FBF4F9C}" mc:Ignorable="x14ac xr xr2 xr3">
  <x:dimension ref="B3:M327"/>
  <x:sheetViews>
    <x:sheetView workbookViewId="0">
      <x:selection activeCell="I22" sqref="I22"/>
    </x:sheetView>
  </x:sheetViews>
  <x:sheetFormatPr defaultRowHeight="12.75"/>
  <x:cols>
    <x:col min="2" max="13" width="13.140625" bestFit="1" customWidth="1"/>
  </x:cols>
  <x:sheetData>
    <x:row r="3" spans="2:13">
      <x:c r="B3">
        <x:v>76000000</x:v>
      </x:c>
      <x:c r="C3">
        <x:v>76000000</x:v>
      </x:c>
      <x:c r="D3">
        <x:v>76000000</x:v>
      </x:c>
      <x:c r="E3">
        <x:v>76000000</x:v>
      </x:c>
      <x:c r="F3">
        <x:v>76000000</x:v>
      </x:c>
      <x:c r="G3">
        <x:v>76000000</x:v>
      </x:c>
      <x:c r="H3">
        <x:v>76000000</x:v>
      </x:c>
      <x:c r="I3">
        <x:v>76000000</x:v>
      </x:c>
      <x:c r="J3">
        <x:v>76000000</x:v>
      </x:c>
      <x:c r="K3">
        <x:v>76000000</x:v>
      </x:c>
      <x:c r="L3">
        <x:v>76000000</x:v>
      </x:c>
      <x:c r="M3">
        <x:v>76000000</x:v>
      </x:c>
    </x:row>
    <x:row r="4" spans="2:13">
      <x:c r="B4">
        <x:v>18317000</x:v>
      </x:c>
      <x:c r="C4">
        <x:v>18317000</x:v>
      </x:c>
      <x:c r="D4">
        <x:v>18317000</x:v>
      </x:c>
      <x:c r="E4">
        <x:v>18317000</x:v>
      </x:c>
      <x:c r="F4">
        <x:v>18317000</x:v>
      </x:c>
      <x:c r="G4">
        <x:v>18317000</x:v>
      </x:c>
      <x:c r="H4">
        <x:v>18317000</x:v>
      </x:c>
      <x:c r="I4">
        <x:v>18317000</x:v>
      </x:c>
      <x:c r="J4">
        <x:v>18317000</x:v>
      </x:c>
      <x:c r="K4">
        <x:v>18317000</x:v>
      </x:c>
      <x:c r="L4">
        <x:v>18317000</x:v>
      </x:c>
      <x:c r="M4">
        <x:v>18317000</x:v>
      </x:c>
    </x:row>
    <x:row r="5" spans="2:13">
      <x:c r="B5">
        <x:v>5000000</x:v>
      </x:c>
      <x:c r="C5">
        <x:v>5000000</x:v>
      </x:c>
      <x:c r="D5">
        <x:v>5000000</x:v>
      </x:c>
      <x:c r="E5">
        <x:v>5000000</x:v>
      </x:c>
      <x:c r="F5">
        <x:v>5000000</x:v>
      </x:c>
      <x:c r="G5">
        <x:v>5000000</x:v>
      </x:c>
      <x:c r="H5">
        <x:v>5000000</x:v>
      </x:c>
      <x:c r="I5">
        <x:v>5000000</x:v>
      </x:c>
      <x:c r="J5">
        <x:v>5000000</x:v>
      </x:c>
      <x:c r="K5">
        <x:v>5000000</x:v>
      </x:c>
      <x:c r="L5">
        <x:v>5000000</x:v>
      </x:c>
      <x:c r="M5">
        <x:v>5000000</x:v>
      </x:c>
    </x:row>
    <x:row r="6" spans="2:13">
      <x:c r="B6">
        <x:v>30870300</x:v>
      </x:c>
      <x:c r="C6">
        <x:v>30870300</x:v>
      </x:c>
      <x:c r="D6">
        <x:v>30870300</x:v>
      </x:c>
      <x:c r="E6">
        <x:v>32105112</x:v>
      </x:c>
      <x:c r="F6">
        <x:v>32105112</x:v>
      </x:c>
      <x:c r="G6">
        <x:v>32105112</x:v>
      </x:c>
      <x:c r="H6">
        <x:v>32105112</x:v>
      </x:c>
      <x:c r="I6">
        <x:v>32105112</x:v>
      </x:c>
      <x:c r="J6">
        <x:v>32105112</x:v>
      </x:c>
      <x:c r="K6">
        <x:v>32105112</x:v>
      </x:c>
      <x:c r="L6">
        <x:v>32105112</x:v>
      </x:c>
      <x:c r="M6">
        <x:v>32105112</x:v>
      </x:c>
    </x:row>
    <x:row r="7" spans="2:13">
      <x:c r="B7">
        <x:v>12510000</x:v>
      </x:c>
      <x:c r="C7">
        <x:v>12510000</x:v>
      </x:c>
      <x:c r="D7">
        <x:v>12510000</x:v>
      </x:c>
      <x:c r="E7">
        <x:v>12510000</x:v>
      </x:c>
      <x:c r="F7">
        <x:v>12510000</x:v>
      </x:c>
      <x:c r="G7">
        <x:v>12510000</x:v>
      </x:c>
      <x:c r="H7">
        <x:v>12510000</x:v>
      </x:c>
      <x:c r="I7">
        <x:v>12510000</x:v>
      </x:c>
      <x:c r="J7">
        <x:v>12510000</x:v>
      </x:c>
      <x:c r="K7">
        <x:v>12510000</x:v>
      </x:c>
      <x:c r="L7">
        <x:v>12510000</x:v>
      </x:c>
      <x:c r="M7">
        <x:v>12510000</x:v>
      </x:c>
    </x:row>
    <x:row r="8" spans="2:13">
      <x:c r="B8">
        <x:v>78333240</x:v>
      </x:c>
      <x:c r="C8">
        <x:v>78333240</x:v>
      </x:c>
      <x:c r="D8">
        <x:v>75159640</x:v>
      </x:c>
      <x:c r="E8">
        <x:v>73685777.599999994</x:v>
      </x:c>
      <x:c r="F8">
        <x:v>73685777.599999994</x:v>
      </x:c>
      <x:c r="G8">
        <x:v>73685777.599999994</x:v>
      </x:c>
      <x:c r="H8">
        <x:v>73685777.599999994</x:v>
      </x:c>
      <x:c r="I8">
        <x:v>73685777.599999994</x:v>
      </x:c>
      <x:c r="J8">
        <x:v>73685777.599999994</x:v>
      </x:c>
      <x:c r="K8">
        <x:v>73685777.599999994</x:v>
      </x:c>
      <x:c r="L8">
        <x:v>73685777.599999994</x:v>
      </x:c>
      <x:c r="M8">
        <x:v>73685777.599999994</x:v>
      </x:c>
    </x:row>
    <x:row r="9" spans="2:13">
      <x:c r="B9">
        <x:v>12483000</x:v>
      </x:c>
      <x:c r="C9">
        <x:v>12483000</x:v>
      </x:c>
      <x:c r="D9">
        <x:v>12483000</x:v>
      </x:c>
      <x:c r="E9">
        <x:v>12483000</x:v>
      </x:c>
      <x:c r="F9">
        <x:v>12483000</x:v>
      </x:c>
      <x:c r="G9">
        <x:v>12483000</x:v>
      </x:c>
      <x:c r="H9">
        <x:v>12483000</x:v>
      </x:c>
      <x:c r="I9">
        <x:v>12483000</x:v>
      </x:c>
      <x:c r="J9">
        <x:v>12483000</x:v>
      </x:c>
      <x:c r="K9">
        <x:v>12483000</x:v>
      </x:c>
      <x:c r="L9">
        <x:v>12483000</x:v>
      </x:c>
      <x:c r="M9">
        <x:v>12483000</x:v>
      </x:c>
    </x:row>
    <x:row r="10" spans="2:13">
      <x:c r="B10">
        <x:v>12483000</x:v>
      </x:c>
      <x:c r="C10">
        <x:v>12483000</x:v>
      </x:c>
      <x:c r="D10">
        <x:v>12483000</x:v>
      </x:c>
      <x:c r="E10">
        <x:v>12483000</x:v>
      </x:c>
      <x:c r="F10">
        <x:v>12483000</x:v>
      </x:c>
      <x:c r="G10">
        <x:v>12483000</x:v>
      </x:c>
      <x:c r="H10">
        <x:v>12483000</x:v>
      </x:c>
      <x:c r="I10">
        <x:v>12483000</x:v>
      </x:c>
      <x:c r="J10">
        <x:v>12483000</x:v>
      </x:c>
      <x:c r="K10">
        <x:v>12483000</x:v>
      </x:c>
      <x:c r="L10">
        <x:v>12483000</x:v>
      </x:c>
      <x:c r="M10">
        <x:v>12483000</x:v>
      </x:c>
    </x:row>
    <x:row r="11" spans="2:13">
      <x:c r="B11">
        <x:v>23785100</x:v>
      </x:c>
      <x:c r="C11">
        <x:v>23785100</x:v>
      </x:c>
      <x:c r="D11">
        <x:v>23785100</x:v>
      </x:c>
      <x:c r="E11">
        <x:v>24736504</x:v>
      </x:c>
      <x:c r="F11">
        <x:v>24736504</x:v>
      </x:c>
      <x:c r="G11">
        <x:v>24736504</x:v>
      </x:c>
      <x:c r="H11">
        <x:v>24736504</x:v>
      </x:c>
      <x:c r="I11">
        <x:v>24736504</x:v>
      </x:c>
      <x:c r="J11">
        <x:v>24736504</x:v>
      </x:c>
      <x:c r="K11">
        <x:v>24736504</x:v>
      </x:c>
      <x:c r="L11">
        <x:v>24736504</x:v>
      </x:c>
      <x:c r="M11">
        <x:v>24736504</x:v>
      </x:c>
    </x:row>
    <x:row r="12" spans="2:13">
      <x:c r="B12">
        <x:v>2000000</x:v>
      </x:c>
      <x:c r="C12">
        <x:v>2000000</x:v>
      </x:c>
      <x:c r="D12">
        <x:v>2000000</x:v>
      </x:c>
      <x:c r="E12">
        <x:v>2000000</x:v>
      </x:c>
      <x:c r="F12">
        <x:v>2000000</x:v>
      </x:c>
      <x:c r="G12">
        <x:v>2000000</x:v>
      </x:c>
      <x:c r="H12">
        <x:v>2000000</x:v>
      </x:c>
      <x:c r="I12">
        <x:v>2000000</x:v>
      </x:c>
      <x:c r="J12">
        <x:v>2000000</x:v>
      </x:c>
      <x:c r="K12">
        <x:v>2000000</x:v>
      </x:c>
      <x:c r="L12">
        <x:v>2000000</x:v>
      </x:c>
      <x:c r="M12">
        <x:v>2000000</x:v>
      </x:c>
    </x:row>
    <x:row r="13" spans="2:13">
      <x:c r="B13">
        <x:v>3100000</x:v>
      </x:c>
      <x:c r="C13">
        <x:v>3100000</x:v>
      </x:c>
      <x:c r="D13">
        <x:v>3100000</x:v>
      </x:c>
      <x:c r="E13">
        <x:v>3100000</x:v>
      </x:c>
      <x:c r="F13">
        <x:v>3100000</x:v>
      </x:c>
      <x:c r="G13">
        <x:v>3100000</x:v>
      </x:c>
      <x:c r="H13">
        <x:v>3100000</x:v>
      </x:c>
      <x:c r="I13">
        <x:v>3100000</x:v>
      </x:c>
      <x:c r="J13">
        <x:v>3100000</x:v>
      </x:c>
      <x:c r="K13">
        <x:v>3100000</x:v>
      </x:c>
      <x:c r="L13">
        <x:v>3100000</x:v>
      </x:c>
      <x:c r="M13">
        <x:v>3100000</x:v>
      </x:c>
    </x:row>
    <x:row r="14" spans="2:13">
      <x:c r="B14">
        <x:v>6380000</x:v>
      </x:c>
      <x:c r="C14">
        <x:v>6380000</x:v>
      </x:c>
      <x:c r="D14">
        <x:v>5980000</x:v>
      </x:c>
      <x:c r="E14">
        <x:v>5550000</x:v>
      </x:c>
      <x:c r="F14">
        <x:v>454550000</x:v>
      </x:c>
      <x:c r="G14">
        <x:v>5550000</x:v>
      </x:c>
      <x:c r="H14">
        <x:v>5550000</x:v>
      </x:c>
      <x:c r="I14">
        <x:v>5550000</x:v>
      </x:c>
      <x:c r="J14">
        <x:v>5550000</x:v>
      </x:c>
      <x:c r="K14">
        <x:v>5550000</x:v>
      </x:c>
      <x:c r="L14">
        <x:v>5550000</x:v>
      </x:c>
      <x:c r="M14">
        <x:v>5550000</x:v>
      </x:c>
    </x:row>
    <x:row r="15" spans="2:13">
      <x:c r="B15">
        <x:v>2270000</x:v>
      </x:c>
      <x:c r="C15">
        <x:v>2270000</x:v>
      </x:c>
      <x:c r="D15">
        <x:v>2270000</x:v>
      </x:c>
      <x:c r="E15">
        <x:v>2270000</x:v>
      </x:c>
      <x:c r="F15">
        <x:v>2270000</x:v>
      </x:c>
      <x:c r="G15">
        <x:v>2270000</x:v>
      </x:c>
      <x:c r="H15">
        <x:v>2270000</x:v>
      </x:c>
      <x:c r="I15">
        <x:v>2270000</x:v>
      </x:c>
      <x:c r="J15">
        <x:v>2270000</x:v>
      </x:c>
      <x:c r="K15">
        <x:v>2270000</x:v>
      </x:c>
      <x:c r="L15">
        <x:v>2270000</x:v>
      </x:c>
      <x:c r="M15">
        <x:v>2270000</x:v>
      </x:c>
    </x:row>
    <x:row r="16" spans="2:13">
      <x:c r="B16">
        <x:v>12185208</x:v>
      </x:c>
      <x:c r="C16">
        <x:v>12185208</x:v>
      </x:c>
      <x:c r="D16">
        <x:v>12185208</x:v>
      </x:c>
      <x:c r="E16">
        <x:v>12610656</x:v>
      </x:c>
      <x:c r="F16">
        <x:v>12610656</x:v>
      </x:c>
      <x:c r="G16">
        <x:v>13140656</x:v>
      </x:c>
      <x:c r="H16">
        <x:v>12610656</x:v>
      </x:c>
      <x:c r="I16">
        <x:v>12610656</x:v>
      </x:c>
      <x:c r="J16">
        <x:v>12610656</x:v>
      </x:c>
      <x:c r="K16">
        <x:v>12610656</x:v>
      </x:c>
      <x:c r="L16">
        <x:v>12610656</x:v>
      </x:c>
      <x:c r="M16">
        <x:v>13140656</x:v>
      </x:c>
    </x:row>
    <x:row r="17" spans="2:13">
      <x:c r="B17">
        <x:v>24855000</x:v>
      </x:c>
      <x:c r="C17">
        <x:v>24855000</x:v>
      </x:c>
      <x:c r="D17">
        <x:v>23394228</x:v>
      </x:c>
      <x:c r="E17">
        <x:v>22428322</x:v>
      </x:c>
      <x:c r="F17">
        <x:v>22428322</x:v>
      </x:c>
      <x:c r="G17">
        <x:v>25568322</x:v>
      </x:c>
      <x:c r="H17">
        <x:v>22428322</x:v>
      </x:c>
      <x:c r="I17">
        <x:v>22428322</x:v>
      </x:c>
      <x:c r="J17">
        <x:v>22428322</x:v>
      </x:c>
      <x:c r="K17">
        <x:v>22428322</x:v>
      </x:c>
      <x:c r="L17">
        <x:v>22428322</x:v>
      </x:c>
      <x:c r="M17">
        <x:v>25568322</x:v>
      </x:c>
    </x:row>
    <x:row r="18" spans="2:13">
      <x:c r="B18">
        <x:v>8860806</x:v>
      </x:c>
      <x:c r="C18">
        <x:v>8860806</x:v>
      </x:c>
      <x:c r="D18">
        <x:v>8860806</x:v>
      </x:c>
      <x:c r="E18">
        <x:v>9167430</x:v>
      </x:c>
      <x:c r="F18">
        <x:v>9167430</x:v>
      </x:c>
      <x:c r="G18">
        <x:v>9257430</x:v>
      </x:c>
      <x:c r="H18">
        <x:v>9167430</x:v>
      </x:c>
      <x:c r="I18">
        <x:v>9167430</x:v>
      </x:c>
      <x:c r="J18">
        <x:v>9167430</x:v>
      </x:c>
      <x:c r="K18">
        <x:v>9167430</x:v>
      </x:c>
      <x:c r="L18">
        <x:v>9167430</x:v>
      </x:c>
      <x:c r="M18">
        <x:v>9257430</x:v>
      </x:c>
    </x:row>
    <x:row r="19" spans="2:13">
      <x:c r="B19">
        <x:v>0</x:v>
      </x:c>
      <x:c r="C19">
        <x:v>700000</x:v>
      </x:c>
      <x:c r="D19">
        <x:v>0</x:v>
      </x:c>
      <x:c r="E19">
        <x:v>0</x:v>
      </x:c>
      <x:c r="F19">
        <x:v>0</x:v>
      </x:c>
      <x:c r="G19">
        <x:v>0</x:v>
      </x:c>
      <x:c r="H19">
        <x:v>700000</x:v>
      </x:c>
      <x:c r="I19">
        <x:v>0</x:v>
      </x:c>
      <x:c r="J19">
        <x:v>0</x:v>
      </x:c>
      <x:c r="K19">
        <x:v>500000</x:v>
      </x:c>
      <x:c r="L19">
        <x:v>500000</x:v>
      </x:c>
      <x:c r="M19">
        <x:v>0</x:v>
      </x:c>
    </x:row>
    <x:row r="20" spans="2:13">
      <x:c r="B20">
        <x:v>0</x:v>
      </x:c>
      <x:c r="C20">
        <x:v>700000</x:v>
      </x:c>
      <x:c r="D20">
        <x:v>0</x:v>
      </x:c>
      <x:c r="E20">
        <x:v>0</x:v>
      </x:c>
      <x:c r="F20">
        <x:v>0</x:v>
      </x:c>
      <x:c r="G20">
        <x:v>0</x:v>
      </x:c>
      <x:c r="H20">
        <x:v>700000</x:v>
      </x:c>
      <x:c r="I20">
        <x:v>0</x:v>
      </x:c>
      <x:c r="J20">
        <x:v>0</x:v>
      </x:c>
      <x:c r="K20">
        <x:v>500000</x:v>
      </x:c>
      <x:c r="L20">
        <x:v>500000</x:v>
      </x:c>
      <x:c r="M20">
        <x:v>0</x:v>
      </x:c>
    </x:row>
    <x:row r="21" spans="2:13">
      <x:c r="B21">
        <x:v>0</x:v>
      </x:c>
      <x:c r="C21">
        <x:v>4900000</x:v>
      </x:c>
      <x:c r="D21">
        <x:v>0</x:v>
      </x:c>
      <x:c r="E21">
        <x:v>0</x:v>
      </x:c>
      <x:c r="F21">
        <x:v>0</x:v>
      </x:c>
      <x:c r="G21">
        <x:v>0</x:v>
      </x:c>
      <x:c r="H21">
        <x:v>4900000</x:v>
      </x:c>
      <x:c r="I21">
        <x:v>0</x:v>
      </x:c>
      <x:c r="J21">
        <x:v>0</x:v>
      </x:c>
      <x:c r="K21">
        <x:v>3500000</x:v>
      </x:c>
      <x:c r="L21">
        <x:v>3500000</x:v>
      </x:c>
      <x:c r="M21">
        <x:v>0</x:v>
      </x:c>
    </x:row>
    <x:row r="22" spans="2:13">
      <x:c r="B22">
        <x:v>0</x:v>
      </x:c>
      <x:c r="C22">
        <x:v>700000</x:v>
      </x:c>
      <x:c r="D22">
        <x:v>0</x:v>
      </x:c>
      <x:c r="E22">
        <x:v>0</x:v>
      </x:c>
      <x:c r="F22">
        <x:v>0</x:v>
      </x:c>
      <x:c r="G22">
        <x:v>0</x:v>
      </x:c>
      <x:c r="H22">
        <x:v>700000</x:v>
      </x:c>
      <x:c r="I22">
        <x:v>0</x:v>
      </x:c>
      <x:c r="J22">
        <x:v>0</x:v>
      </x:c>
      <x:c r="K22">
        <x:v>500000</x:v>
      </x:c>
      <x:c r="L22">
        <x:v>500000</x:v>
      </x:c>
      <x:c r="M22">
        <x:v>0</x:v>
      </x:c>
    </x:row>
    <x:row r="23" spans="2:13">
      <x:c r="B23">
        <x:v>0</x:v>
      </x:c>
      <x:c r="C23">
        <x:v>29400000</x:v>
      </x:c>
      <x:c r="D23">
        <x:v>0</x:v>
      </x:c>
      <x:c r="E23">
        <x:v>0</x:v>
      </x:c>
      <x:c r="F23">
        <x:v>0</x:v>
      </x:c>
      <x:c r="G23">
        <x:v>0</x:v>
      </x:c>
      <x:c r="H23">
        <x:v>29400000</x:v>
      </x:c>
      <x:c r="I23">
        <x:v>0</x:v>
      </x:c>
      <x:c r="J23">
        <x:v>0</x:v>
      </x:c>
      <x:c r="K23">
        <x:v>21000000</x:v>
      </x:c>
      <x:c r="L23">
        <x:v>21000000</x:v>
      </x:c>
      <x:c r="M23">
        <x:v>0</x:v>
      </x:c>
    </x:row>
    <x:row r="24" spans="2:13">
      <x:c r="B24">
        <x:v>0</x:v>
      </x:c>
      <x:c r="C24">
        <x:v>700000</x:v>
      </x:c>
      <x:c r="D24">
        <x:v>0</x:v>
      </x:c>
      <x:c r="E24">
        <x:v>0</x:v>
      </x:c>
      <x:c r="F24">
        <x:v>0</x:v>
      </x:c>
      <x:c r="G24">
        <x:v>0</x:v>
      </x:c>
      <x:c r="H24">
        <x:v>700000</x:v>
      </x:c>
      <x:c r="I24">
        <x:v>0</x:v>
      </x:c>
      <x:c r="J24">
        <x:v>0</x:v>
      </x:c>
      <x:c r="K24">
        <x:v>500000</x:v>
      </x:c>
      <x:c r="L24">
        <x:v>500000</x:v>
      </x:c>
      <x:c r="M24">
        <x:v>0</x:v>
      </x:c>
    </x:row>
    <x:row r="25" spans="2:13">
      <x:c r="B25">
        <x:v>0</x:v>
      </x:c>
      <x:c r="C25">
        <x:v>700000</x:v>
      </x:c>
      <x:c r="D25">
        <x:v>0</x:v>
      </x:c>
      <x:c r="E25">
        <x:v>0</x:v>
      </x:c>
      <x:c r="F25">
        <x:v>0</x:v>
      </x:c>
      <x:c r="G25">
        <x:v>0</x:v>
      </x:c>
      <x:c r="H25">
        <x:v>700000</x:v>
      </x:c>
      <x:c r="I25">
        <x:v>0</x:v>
      </x:c>
      <x:c r="J25">
        <x:v>0</x:v>
      </x:c>
      <x:c r="K25">
        <x:v>500000</x:v>
      </x:c>
      <x:c r="L25">
        <x:v>500000</x:v>
      </x:c>
      <x:c r="M25">
        <x:v>0</x:v>
      </x:c>
    </x:row>
    <x:row r="26" spans="2:13">
      <x:c r="B26">
        <x:v>0</x:v>
      </x:c>
      <x:c r="C26">
        <x:v>4900000</x:v>
      </x:c>
      <x:c r="D26">
        <x:v>0</x:v>
      </x:c>
      <x:c r="E26">
        <x:v>0</x:v>
      </x:c>
      <x:c r="F26">
        <x:v>0</x:v>
      </x:c>
      <x:c r="G26">
        <x:v>0</x:v>
      </x:c>
      <x:c r="H26">
        <x:v>4900000</x:v>
      </x:c>
      <x:c r="I26">
        <x:v>0</x:v>
      </x:c>
      <x:c r="J26">
        <x:v>0</x:v>
      </x:c>
      <x:c r="K26">
        <x:v>3500000</x:v>
      </x:c>
      <x:c r="L26">
        <x:v>3500000</x:v>
      </x:c>
      <x:c r="M26">
        <x:v>0</x:v>
      </x:c>
    </x:row>
    <x:row r="27" spans="2:13">
      <x:c r="B27">
        <x:v>0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  <x:c r="L27">
        <x:v>0</x:v>
      </x:c>
      <x:c r="M27">
        <x:v>1500000</x:v>
      </x:c>
    </x:row>
    <x:row r="28" spans="2:13">
      <x:c r="B28">
        <x:v>0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  <x:c r="L28">
        <x:v>0</x:v>
      </x:c>
      <x:c r="M28">
        <x:v>1500000</x:v>
      </x:c>
    </x:row>
    <x:row r="29" spans="2:13">
      <x:c r="B29">
        <x:v>0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  <x:c r="L29">
        <x:v>0</x:v>
      </x:c>
      <x:c r="M29">
        <x:v>10500000</x:v>
      </x:c>
    </x:row>
    <x:row r="30" spans="2:13">
      <x:c r="B30">
        <x:v>0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  <x:c r="L30">
        <x:v>0</x:v>
      </x:c>
      <x:c r="M30">
        <x:v>1500000</x:v>
      </x:c>
    </x:row>
    <x:row r="31" spans="2:13">
      <x:c r="B31">
        <x:v>0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  <x:c r="L31">
        <x:v>0</x:v>
      </x:c>
      <x:c r="M31">
        <x:v>63000000</x:v>
      </x:c>
    </x:row>
    <x:row r="32" spans="2:13">
      <x:c r="B32">
        <x:v>0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  <x:c r="L32">
        <x:v>0</x:v>
      </x:c>
      <x:c r="M32">
        <x:v>1500000</x:v>
      </x:c>
    </x:row>
    <x:row r="33" spans="2:13">
      <x:c r="B33">
        <x:v>0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  <x:c r="L33">
        <x:v>0</x:v>
      </x:c>
      <x:c r="M33">
        <x:v>1500000</x:v>
      </x:c>
    </x:row>
    <x:row r="34" spans="2:13">
      <x:c r="B34">
        <x:v>0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  <x:c r="L34">
        <x:v>0</x:v>
      </x:c>
      <x:c r="M34">
        <x:v>10500000</x:v>
      </x:c>
    </x:row>
    <x:row r="35" spans="2:13">
      <x:c r="B35">
        <x:v>46714578.869565248</x:v>
      </x:c>
      <x:c r="C35">
        <x:v>96936369</x:v>
      </x:c>
      <x:c r="D35">
        <x:v>48727313</x:v>
      </x:c>
      <x:c r="E35">
        <x:v>45471923</x:v>
      </x:c>
      <x:c r="F35">
        <x:v>-59102329</x:v>
      </x:c>
      <x:c r="G35">
        <x:v>44322740</x:v>
      </x:c>
      <x:c r="H35">
        <x:v>-7148826</x:v>
      </x:c>
      <x:c r="I35">
        <x:v>18586956</x:v>
      </x:c>
      <x:c r="J35">
        <x:v>18586957</x:v>
      </x:c>
      <x:c r="K35">
        <x:v>18586957</x:v>
      </x:c>
      <x:c r="L35">
        <x:v>45344001</x:v>
      </x:c>
      <x:c r="M35">
        <x:v>-8170088</x:v>
      </x:c>
    </x:row>
    <x:row r="36" spans="2:13">
      <x:c r="B36">
        <x:v>6473156.2608695626</x:v>
      </x:c>
      <x:c r="C36">
        <x:v>12773656</x:v>
      </x:c>
      <x:c r="D36">
        <x:v>6773666</x:v>
      </x:c>
      <x:c r="E36">
        <x:v>6380079</x:v>
      </x:c>
      <x:c r="F36">
        <x:v>-6778264</x:v>
      </x:c>
      <x:c r="G36">
        <x:v>6235483</x:v>
      </x:c>
      <x:c r="H36">
        <x:v>-262548</x:v>
      </x:c>
      <x:c r="I36">
        <x:v>2986468</x:v>
      </x:c>
      <x:c r="J36">
        <x:v>2986467</x:v>
      </x:c>
      <x:c r="K36">
        <x:v>2986468</x:v>
      </x:c>
      <x:c r="L36">
        <x:v>6399574</x:v>
      </x:c>
      <x:c r="M36">
        <x:v>-426639</x:v>
      </x:c>
    </x:row>
    <x:row r="37" spans="2:13">
      <x:c r="B37">
        <x:v>9365716.3507109769</x:v>
      </x:c>
      <x:c r="C37">
        <x:v>16811335</x:v>
      </x:c>
      <x:c r="D37">
        <x:v>8756211</x:v>
      </x:c>
      <x:c r="E37">
        <x:v>14238909</x:v>
      </x:c>
      <x:c r="F37">
        <x:v>-5949601</x:v>
      </x:c>
      <x:c r="G37">
        <x:v>14165402</x:v>
      </x:c>
      <x:c r="H37">
        <x:v>-901870</x:v>
      </x:c>
      <x:c r="I37">
        <x:v>4071450</x:v>
      </x:c>
      <x:c r="J37">
        <x:v>4004047</x:v>
      </x:c>
      <x:c r="K37">
        <x:v>4180517</x:v>
      </x:c>
      <x:c r="L37">
        <x:v>9329796</x:v>
      </x:c>
      <x:c r="M37">
        <x:v>-1145230</x:v>
      </x:c>
    </x:row>
    <x:row r="38" spans="2:13">
      <x:c r="B38">
        <x:v>4502071.1739130318</x:v>
      </x:c>
      <x:c r="C38">
        <x:v>8939370</x:v>
      </x:c>
      <x:c r="D38">
        <x:v>4709211</x:v>
      </x:c>
      <x:c r="E38">
        <x:v>4427700</x:v>
      </x:c>
      <x:c r="F38">
        <x:v>-4835626</x:v>
      </x:c>
      <x:c r="G38">
        <x:v>4325902</x:v>
      </x:c>
      <x:c r="H38">
        <x:v>-246554</x:v>
      </x:c>
      <x:c r="I38">
        <x:v>2039674</x:v>
      </x:c>
      <x:c r="J38">
        <x:v>2039674</x:v>
      </x:c>
      <x:c r="K38">
        <x:v>2039674</x:v>
      </x:c>
      <x:c r="L38">
        <x:v>4437972</x:v>
      </x:c>
      <x:c r="M38">
        <x:v>-358624</x:v>
      </x:c>
    </x:row>
    <x:row r="39" spans="2:13">
      <x:c r="B39">
        <x:v>58081580.377754509</x:v>
      </x:c>
      <x:c r="C39">
        <x:v>121557138</x:v>
      </x:c>
      <x:c r="D39">
        <x:v>55688942</x:v>
      </x:c>
      <x:c r="E39">
        <x:v>97962217</x:v>
      </x:c>
      <x:c r="F39">
        <x:v>-50937077</x:v>
      </x:c>
      <x:c r="G39">
        <x:v>97050143</x:v>
      </x:c>
      <x:c r="H39">
        <x:v>-7394507</x:v>
      </x:c>
      <x:c r="I39">
        <x:v>29508407</x:v>
      </x:c>
      <x:c r="J39">
        <x:v>33400733</x:v>
      </x:c>
      <x:c r="K39">
        <x:v>34603208</x:v>
      </x:c>
      <x:c r="L39">
        <x:v>74879386</x:v>
      </x:c>
      <x:c r="M39">
        <x:v>9330407</x:v>
      </x:c>
    </x:row>
    <x:row r="40" spans="2:13">
      <x:c r="B40">
        <x:v>3159349.8260869533</x:v>
      </x:c>
      <x:c r="C40">
        <x:v>5310057</x:v>
      </x:c>
      <x:c r="D40">
        <x:v>3336441</x:v>
      </x:c>
      <x:c r="E40">
        <x:v>3225949</x:v>
      </x:c>
      <x:c r="F40">
        <x:v>-1326357</x:v>
      </x:c>
      <x:c r="G40">
        <x:v>3175921</x:v>
      </x:c>
      <x:c r="H40">
        <x:v>894623</x:v>
      </x:c>
      <x:c r="I40">
        <x:v>2035272</x:v>
      </x:c>
      <x:c r="J40">
        <x:v>2035271</x:v>
      </x:c>
      <x:c r="K40">
        <x:v>2035272</x:v>
      </x:c>
      <x:c r="L40">
        <x:v>3287749</x:v>
      </x:c>
      <x:c r="M40">
        <x:v>782795</x:v>
      </x:c>
    </x:row>
    <x:row r="41" spans="2:13">
      <x:c r="B41">
        <x:v>3159349.8260869533</x:v>
      </x:c>
      <x:c r="C41">
        <x:v>5310057</x:v>
      </x:c>
      <x:c r="D41">
        <x:v>3336441</x:v>
      </x:c>
      <x:c r="E41">
        <x:v>3225949</x:v>
      </x:c>
      <x:c r="F41">
        <x:v>-1326357</x:v>
      </x:c>
      <x:c r="G41">
        <x:v>3175921</x:v>
      </x:c>
      <x:c r="H41">
        <x:v>894623</x:v>
      </x:c>
      <x:c r="I41">
        <x:v>2035272</x:v>
      </x:c>
      <x:c r="J41">
        <x:v>2035271</x:v>
      </x:c>
      <x:c r="K41">
        <x:v>2035272</x:v>
      </x:c>
      <x:c r="L41">
        <x:v>3287749</x:v>
      </x:c>
      <x:c r="M41">
        <x:v>782795</x:v>
      </x:c>
    </x:row>
    <x:row r="42" spans="2:13">
      <x:c r="B42">
        <x:v>3887936.0508486964</x:v>
      </x:c>
      <x:c r="C42">
        <x:v>9007935</x:v>
      </x:c>
      <x:c r="D42">
        <x:v>4829053</x:v>
      </x:c>
      <x:c r="E42">
        <x:v>9491964</x:v>
      </x:c>
      <x:c r="F42">
        <x:v>-3280823</x:v>
      </x:c>
      <x:c r="G42">
        <x:v>9487547</x:v>
      </x:c>
      <x:c r="H42">
        <x:v>-51701</x:v>
      </x:c>
      <x:c r="I42">
        <x:v>3122009</x:v>
      </x:c>
      <x:c r="J42">
        <x:v>3019367</x:v>
      </x:c>
      <x:c r="K42">
        <x:v>3224651</x:v>
      </x:c>
      <x:c r="L42">
        <x:v>6467257</x:v>
      </x:c>
      <x:c r="M42">
        <x:v>-223241</x:v>
      </x:c>
    </x:row>
    <x:row r="43" spans="2:13">
      <x:c r="B43">
        <x:v>0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  <x:c r="L43">
        <x:v>0</x:v>
      </x:c>
      <x:c r="M43">
        <x:v>0</x:v>
      </x:c>
    </x:row>
    <x:row r="44" spans="2:13">
      <x:c r="B44">
        <x:v>0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  <x:c r="L44">
        <x:v>0</x:v>
      </x:c>
      <x:c r="M44">
        <x:v>0</x:v>
      </x:c>
    </x:row>
    <x:row r="45" spans="2:13">
      <x:c r="B45">
        <x:v>0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  <x:c r="L45">
        <x:v>0</x:v>
      </x:c>
      <x:c r="M45">
        <x:v>0</x:v>
      </x:c>
    </x:row>
    <x:row r="46" spans="2:13">
      <x:c r="B46">
        <x:v>1281437.4166666667</x:v>
      </x:c>
      <x:c r="C46">
        <x:v>1281437.4166666667</x:v>
      </x:c>
      <x:c r="D46">
        <x:v>1281437.4166666667</x:v>
      </x:c>
      <x:c r="E46">
        <x:v>1281437.4166666667</x:v>
      </x:c>
      <x:c r="F46">
        <x:v>1281437.4166666667</x:v>
      </x:c>
      <x:c r="G46">
        <x:v>1281437.4166666667</x:v>
      </x:c>
      <x:c r="H46">
        <x:v>1281437.4166666667</x:v>
      </x:c>
      <x:c r="I46">
        <x:v>1281437.4166666667</x:v>
      </x:c>
      <x:c r="J46">
        <x:v>1281437.4166666667</x:v>
      </x:c>
      <x:c r="K46">
        <x:v>1281437.4166666667</x:v>
      </x:c>
      <x:c r="L46">
        <x:v>1281437.4166666667</x:v>
      </x:c>
      <x:c r="M46">
        <x:v>1281437.4166666667</x:v>
      </x:c>
    </x:row>
    <x:row r="47" spans="2:13">
      <x:c r="B47">
        <x:v>0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  <x:c r="L47">
        <x:v>0</x:v>
      </x:c>
      <x:c r="M47">
        <x:v>0</x:v>
      </x:c>
    </x:row>
    <x:row r="48" spans="2:13">
      <x:c r="B48">
        <x:v>1883351.6666666667</x:v>
      </x:c>
      <x:c r="C48">
        <x:v>1883351.6666666667</x:v>
      </x:c>
      <x:c r="D48">
        <x:v>1883351.6666666667</x:v>
      </x:c>
      <x:c r="E48">
        <x:v>1883351.6666666667</x:v>
      </x:c>
      <x:c r="F48">
        <x:v>1883351.6666666667</x:v>
      </x:c>
      <x:c r="G48">
        <x:v>1883351.6666666667</x:v>
      </x:c>
      <x:c r="H48">
        <x:v>1883351.6666666667</x:v>
      </x:c>
      <x:c r="I48">
        <x:v>1883351.6666666667</x:v>
      </x:c>
      <x:c r="J48">
        <x:v>1883351.6666666667</x:v>
      </x:c>
      <x:c r="K48">
        <x:v>1883351.6666666667</x:v>
      </x:c>
      <x:c r="L48">
        <x:v>1883351.6666666667</x:v>
      </x:c>
      <x:c r="M48">
        <x:v>1883351.6666666667</x:v>
      </x:c>
    </x:row>
    <x:row r="49" spans="2:13">
      <x:c r="B49">
        <x:v>0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  <x:c r="L49">
        <x:v>0</x:v>
      </x:c>
      <x:c r="M49">
        <x:v>0</x:v>
      </x:c>
    </x:row>
    <x:row r="50" spans="2:13">
      <x:c r="B50">
        <x:v>0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  <x:c r="L50">
        <x:v>0</x:v>
      </x:c>
      <x:c r="M50">
        <x:v>0</x:v>
      </x:c>
    </x:row>
    <x:row r="51" spans="2:13">
      <x:c r="B51">
        <x:v>694439.91666666663</x:v>
      </x:c>
      <x:c r="C51">
        <x:v>694439.91666666663</x:v>
      </x:c>
      <x:c r="D51">
        <x:v>694439.91666666663</x:v>
      </x:c>
      <x:c r="E51">
        <x:v>694439.91666666663</x:v>
      </x:c>
      <x:c r="F51">
        <x:v>694439.91666666663</x:v>
      </x:c>
      <x:c r="G51">
        <x:v>694439.91666666663</x:v>
      </x:c>
      <x:c r="H51">
        <x:v>694439.91666666663</x:v>
      </x:c>
      <x:c r="I51">
        <x:v>694439.91666666663</x:v>
      </x:c>
      <x:c r="J51">
        <x:v>694439.91666666663</x:v>
      </x:c>
      <x:c r="K51">
        <x:v>694439.91666666663</x:v>
      </x:c>
      <x:c r="L51">
        <x:v>694439.91666666663</x:v>
      </x:c>
      <x:c r="M51">
        <x:v>694439.91666666663</x:v>
      </x:c>
    </x:row>
    <x:row r="52" spans="2:13">
      <x:c r="B52">
        <x:v>0</x:v>
      </x:c>
      <x:c r="C52">
        <x:v>24129000</x:v>
      </x:c>
      <x:c r="D52">
        <x:v>0</x:v>
      </x:c>
      <x:c r="E52">
        <x:v>0</x:v>
      </x:c>
      <x:c r="F52">
        <x:v>900000</x:v>
      </x:c>
      <x:c r="G52">
        <x:v>0</x:v>
      </x:c>
      <x:c r="H52">
        <x:v>0</x:v>
      </x:c>
      <x:c r="I52">
        <x:v>23610000</x:v>
      </x:c>
      <x:c r="J52">
        <x:v>0</x:v>
      </x:c>
      <x:c r="K52">
        <x:v>0</x:v>
      </x:c>
      <x:c r="L52">
        <x:v>0</x:v>
      </x:c>
      <x:c r="M52">
        <x:v>0</x:v>
      </x:c>
    </x:row>
    <x:row r="53" spans="2:13">
      <x:c r="B53">
        <x:v>0</x:v>
      </x:c>
      <x:c r="C53">
        <x:v>2975000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2975000</x:v>
      </x:c>
      <x:c r="J53">
        <x:v>0</x:v>
      </x:c>
      <x:c r="K53">
        <x:v>0</x:v>
      </x:c>
      <x:c r="L53">
        <x:v>0</x:v>
      </x:c>
      <x:c r="M53">
        <x:v>0</x:v>
      </x:c>
    </x:row>
    <x:row r="54" spans="2:13">
      <x:c r="B54">
        <x:v>0</x:v>
      </x:c>
      <x:c r="C54">
        <x:v>0</x:v>
      </x:c>
      <x:c r="D54">
        <x:v>0</x:v>
      </x:c>
      <x:c r="E54">
        <x:v>0</x:v>
      </x:c>
      <x:c r="F54">
        <x:v>200000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  <x:c r="L54">
        <x:v>0</x:v>
      </x:c>
      <x:c r="M54">
        <x:v>0</x:v>
      </x:c>
    </x:row>
    <x:row r="55" spans="2:13">
      <x:c r="B55">
        <x:v>0</x:v>
      </x:c>
      <x:c r="C55">
        <x:v>0</x:v>
      </x:c>
      <x:c r="D55">
        <x:v>0</x:v>
      </x:c>
      <x:c r="E55">
        <x:v>0</x:v>
      </x:c>
      <x:c r="F55">
        <x:v>10000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  <x:c r="L55">
        <x:v>0</x:v>
      </x:c>
      <x:c r="M55">
        <x:v>0</x:v>
      </x:c>
    </x:row>
    <x:row r="56" spans="2:13">
      <x:c r="B56">
        <x:v>0</x:v>
      </x:c>
      <x:c r="C56">
        <x:v>0</x:v>
      </x:c>
      <x:c r="D56">
        <x:v>0</x:v>
      </x:c>
      <x:c r="E56">
        <x:v>0</x:v>
      </x:c>
      <x:c r="F56">
        <x:v>10000</x:v>
      </x:c>
      <x:c r="G56">
        <x:v>0</x:v>
      </x:c>
      <x:c r="H56">
        <x:v>10000</x:v>
      </x:c>
      <x:c r="I56">
        <x:v>0</x:v>
      </x:c>
      <x:c r="J56">
        <x:v>0</x:v>
      </x:c>
      <x:c r="K56">
        <x:v>15000</x:v>
      </x:c>
      <x:c r="L56">
        <x:v>0</x:v>
      </x:c>
      <x:c r="M56">
        <x:v>10000</x:v>
      </x:c>
    </x:row>
    <x:row r="57" spans="2:13">
      <x:c r="B57">
        <x:v>8276116.666666667</x:v>
      </x:c>
      <x:c r="C57">
        <x:v>8276116.666666667</x:v>
      </x:c>
      <x:c r="D57">
        <x:v>8276116.666666667</x:v>
      </x:c>
      <x:c r="E57">
        <x:v>8276116.666666667</x:v>
      </x:c>
      <x:c r="F57">
        <x:v>8276116.666666667</x:v>
      </x:c>
      <x:c r="G57">
        <x:v>8276116.666666667</x:v>
      </x:c>
      <x:c r="H57">
        <x:v>8276116.666666667</x:v>
      </x:c>
      <x:c r="I57">
        <x:v>8276116.666666667</x:v>
      </x:c>
      <x:c r="J57">
        <x:v>8276116.666666667</x:v>
      </x:c>
      <x:c r="K57">
        <x:v>8276116.666666667</x:v>
      </x:c>
      <x:c r="L57">
        <x:v>8276116.666666667</x:v>
      </x:c>
      <x:c r="M57">
        <x:v>8276116.666666667</x:v>
      </x:c>
    </x:row>
    <x:row r="58" spans="2:13">
      <x:c r="B58">
        <x:v>58119600</x:v>
      </x:c>
      <x:c r="C58">
        <x:v>0</x:v>
      </x:c>
      <x:c r="D58">
        <x:v>0</x:v>
      </x:c>
      <x:c r="E58">
        <x:v>58119600</x:v>
      </x:c>
      <x:c r="F58">
        <x:v>0</x:v>
      </x:c>
      <x:c r="G58">
        <x:v>0</x:v>
      </x:c>
      <x:c r="H58">
        <x:v>58119600</x:v>
      </x:c>
      <x:c r="I58">
        <x:v>0</x:v>
      </x:c>
      <x:c r="J58">
        <x:v>0</x:v>
      </x:c>
      <x:c r="K58">
        <x:v>58119600</x:v>
      </x:c>
      <x:c r="L58">
        <x:v>0</x:v>
      </x:c>
      <x:c r="M58">
        <x:v>0</x:v>
      </x:c>
    </x:row>
    <x:row r="59" spans="2:13">
      <x:c r="B59">
        <x:v>3091210</x:v>
      </x:c>
      <x:c r="C59">
        <x:v>3119670</x:v>
      </x:c>
      <x:c r="D59">
        <x:v>3091210</x:v>
      </x:c>
      <x:c r="E59">
        <x:v>3091210</x:v>
      </x:c>
      <x:c r="F59">
        <x:v>3091210</x:v>
      </x:c>
      <x:c r="G59">
        <x:v>3091210</x:v>
      </x:c>
      <x:c r="H59">
        <x:v>3119670</x:v>
      </x:c>
      <x:c r="I59">
        <x:v>3091210</x:v>
      </x:c>
      <x:c r="J59">
        <x:v>3091210</x:v>
      </x:c>
      <x:c r="K59">
        <x:v>3111540</x:v>
      </x:c>
      <x:c r="L59">
        <x:v>3111540</x:v>
      </x:c>
      <x:c r="M59">
        <x:v>3091210</x:v>
      </x:c>
    </x:row>
    <x:row r="60" spans="2:13">
      <x:c r="B60">
        <x:v>826360</x:v>
      </x:c>
      <x:c r="C60">
        <x:v>854840</x:v>
      </x:c>
      <x:c r="D60">
        <x:v>826360</x:v>
      </x:c>
      <x:c r="E60">
        <x:v>826360</x:v>
      </x:c>
      <x:c r="F60">
        <x:v>826360</x:v>
      </x:c>
      <x:c r="G60">
        <x:v>826360</x:v>
      </x:c>
      <x:c r="H60">
        <x:v>854840</x:v>
      </x:c>
      <x:c r="I60">
        <x:v>826360</x:v>
      </x:c>
      <x:c r="J60">
        <x:v>826360</x:v>
      </x:c>
      <x:c r="K60">
        <x:v>846700</x:v>
      </x:c>
      <x:c r="L60">
        <x:v>846700</x:v>
      </x:c>
      <x:c r="M60">
        <x:v>826360</x:v>
      </x:c>
    </x:row>
    <x:row r="61" spans="2:13">
      <x:c r="B61">
        <x:v>507720</x:v>
      </x:c>
      <x:c r="C61">
        <x:v>536190</x:v>
      </x:c>
      <x:c r="D61">
        <x:v>507720</x:v>
      </x:c>
      <x:c r="E61">
        <x:v>507720</x:v>
      </x:c>
      <x:c r="F61">
        <x:v>507720</x:v>
      </x:c>
      <x:c r="G61">
        <x:v>507720</x:v>
      </x:c>
      <x:c r="H61">
        <x:v>536190</x:v>
      </x:c>
      <x:c r="I61">
        <x:v>507720</x:v>
      </x:c>
      <x:c r="J61">
        <x:v>507720</x:v>
      </x:c>
      <x:c r="K61">
        <x:v>528050</x:v>
      </x:c>
      <x:c r="L61">
        <x:v>528050</x:v>
      </x:c>
      <x:c r="M61">
        <x:v>507720</x:v>
      </x:c>
    </x:row>
    <x:row r="62" spans="2:13">
      <x:c r="B62">
        <x:v>4456230</x:v>
      </x:c>
      <x:c r="C62">
        <x:v>5651970</x:v>
      </x:c>
      <x:c r="D62">
        <x:v>4251460</x:v>
      </x:c>
      <x:c r="E62">
        <x:v>4134710</x:v>
      </x:c>
      <x:c r="F62">
        <x:v>22397190</x:v>
      </x:c>
      <x:c r="G62">
        <x:v>4262460</x:v>
      </x:c>
      <x:c r="H62">
        <x:v>5330520</x:v>
      </x:c>
      <x:c r="I62">
        <x:v>4134710</x:v>
      </x:c>
      <x:c r="J62">
        <x:v>4134710</x:v>
      </x:c>
      <x:c r="K62">
        <x:v>4988970</x:v>
      </x:c>
      <x:c r="L62">
        <x:v>4988970</x:v>
      </x:c>
      <x:c r="M62">
        <x:v>5181690</x:v>
      </x:c>
    </x:row>
    <x:row r="63" spans="2:13">
      <x:c r="B63">
        <x:v>507720</x:v>
      </x:c>
      <x:c r="C63">
        <x:v>536190</x:v>
      </x:c>
      <x:c r="D63">
        <x:v>507720</x:v>
      </x:c>
      <x:c r="E63">
        <x:v>507720</x:v>
      </x:c>
      <x:c r="F63">
        <x:v>507720</x:v>
      </x:c>
      <x:c r="G63">
        <x:v>507720</x:v>
      </x:c>
      <x:c r="H63">
        <x:v>536190</x:v>
      </x:c>
      <x:c r="I63">
        <x:v>507720</x:v>
      </x:c>
      <x:c r="J63">
        <x:v>507720</x:v>
      </x:c>
      <x:c r="K63">
        <x:v>528050</x:v>
      </x:c>
      <x:c r="L63">
        <x:v>528050</x:v>
      </x:c>
      <x:c r="M63">
        <x:v>507720</x:v>
      </x:c>
    </x:row>
    <x:row r="64" spans="2:13">
      <x:c r="B64">
        <x:v>1420080</x:v>
      </x:c>
      <x:c r="C64">
        <x:v>1619400</x:v>
      </x:c>
      <x:c r="D64">
        <x:v>1420080</x:v>
      </x:c>
      <x:c r="E64">
        <x:v>1471260</x:v>
      </x:c>
      <x:c r="F64">
        <x:v>1471260</x:v>
      </x:c>
      <x:c r="G64">
        <x:v>1474930</x:v>
      </x:c>
      <x:c r="H64">
        <x:v>1670550</x:v>
      </x:c>
      <x:c r="I64">
        <x:v>1471260</x:v>
      </x:c>
      <x:c r="J64">
        <x:v>1471260</x:v>
      </x:c>
      <x:c r="K64">
        <x:v>1613610</x:v>
      </x:c>
      <x:c r="L64">
        <x:v>1613610</x:v>
      </x:c>
      <x:c r="M64">
        <x:v>1813880</x:v>
      </x:c>
    </x:row>
    <x:row r="65" spans="2:13">
      <x:c r="B65">
        <x:v>508820</x:v>
      </x:c>
      <x:c r="C65">
        <x:v>537290</x:v>
      </x:c>
      <x:c r="D65">
        <x:v>508820</x:v>
      </x:c>
      <x:c r="E65">
        <x:v>508820</x:v>
      </x:c>
      <x:c r="F65">
        <x:v>508820</x:v>
      </x:c>
      <x:c r="G65">
        <x:v>508820</x:v>
      </x:c>
      <x:c r="H65">
        <x:v>537290</x:v>
      </x:c>
      <x:c r="I65">
        <x:v>508820</x:v>
      </x:c>
      <x:c r="J65">
        <x:v>508820</x:v>
      </x:c>
      <x:c r="K65">
        <x:v>529150</x:v>
      </x:c>
      <x:c r="L65">
        <x:v>529150</x:v>
      </x:c>
      <x:c r="M65">
        <x:v>508820</x:v>
      </x:c>
    </x:row>
    <x:row r="66" spans="2:13">
      <x:c r="B66">
        <x:v>1877240</x:v>
      </x:c>
      <x:c r="C66">
        <x:v>2076560</x:v>
      </x:c>
      <x:c r="D66">
        <x:v>1877240</x:v>
      </x:c>
      <x:c r="E66">
        <x:v>1944780</x:v>
      </x:c>
      <x:c r="F66">
        <x:v>1944780</x:v>
      </x:c>
      <x:c r="G66">
        <x:v>1966330</x:v>
      </x:c>
      <x:c r="H66">
        <x:v>2144060</x:v>
      </x:c>
      <x:c r="I66">
        <x:v>1944780</x:v>
      </x:c>
      <x:c r="J66">
        <x:v>1944780</x:v>
      </x:c>
      <x:c r="K66">
        <x:v>2087110</x:v>
      </x:c>
      <x:c r="L66">
        <x:v>2087110</x:v>
      </x:c>
      <x:c r="M66">
        <x:v>2591780</x:v>
      </x:c>
    </x:row>
    <x:row r="67" spans="2:13">
      <x:c r="B67">
        <x:v>203360</x:v>
      </x:c>
      <x:c r="C67">
        <x:v>203360</x:v>
      </x:c>
      <x:c r="D67">
        <x:v>203360</x:v>
      </x:c>
      <x:c r="E67">
        <x:v>203360</x:v>
      </x:c>
      <x:c r="F67">
        <x:v>203360</x:v>
      </x:c>
      <x:c r="G67">
        <x:v>203360</x:v>
      </x:c>
      <x:c r="H67">
        <x:v>203360</x:v>
      </x:c>
      <x:c r="I67">
        <x:v>203360</x:v>
      </x:c>
      <x:c r="J67">
        <x:v>203360</x:v>
      </x:c>
      <x:c r="K67">
        <x:v>203360</x:v>
      </x:c>
      <x:c r="L67">
        <x:v>203360</x:v>
      </x:c>
      <x:c r="M67">
        <x:v>203360</x:v>
      </x:c>
    </x:row>
    <x:row r="68" spans="2:13">
      <x:c r="B68">
        <x:v>286650</x:v>
      </x:c>
      <x:c r="C68">
        <x:v>286650</x:v>
      </x:c>
      <x:c r="D68">
        <x:v>286650</x:v>
      </x:c>
      <x:c r="E68">
        <x:v>286650</x:v>
      </x:c>
      <x:c r="F68">
        <x:v>286650</x:v>
      </x:c>
      <x:c r="G68">
        <x:v>286650</x:v>
      </x:c>
      <x:c r="H68">
        <x:v>313500</x:v>
      </x:c>
      <x:c r="I68">
        <x:v>313500</x:v>
      </x:c>
      <x:c r="J68">
        <x:v>313500</x:v>
      </x:c>
      <x:c r="K68">
        <x:v>313500</x:v>
      </x:c>
      <x:c r="L68">
        <x:v>313500</x:v>
      </x:c>
      <x:c r="M68">
        <x:v>313500</x:v>
      </x:c>
    </x:row>
    <x:row r="69" spans="2:13">
      <x:c r="B69">
        <x:v>286650</x:v>
      </x:c>
      <x:c r="C69">
        <x:v>286650</x:v>
      </x:c>
      <x:c r="D69">
        <x:v>286650</x:v>
      </x:c>
      <x:c r="E69">
        <x:v>286650</x:v>
      </x:c>
      <x:c r="F69">
        <x:v>286650</x:v>
      </x:c>
      <x:c r="G69">
        <x:v>286650</x:v>
      </x:c>
      <x:c r="H69">
        <x:v>313500</x:v>
      </x:c>
      <x:c r="I69">
        <x:v>313500</x:v>
      </x:c>
      <x:c r="J69">
        <x:v>313500</x:v>
      </x:c>
      <x:c r="K69">
        <x:v>313500</x:v>
      </x:c>
      <x:c r="L69">
        <x:v>313500</x:v>
      </x:c>
      <x:c r="M69">
        <x:v>313500</x:v>
      </x:c>
    </x:row>
    <x:row r="70" spans="2:13">
      <x:c r="B70">
        <x:v>286650</x:v>
      </x:c>
      <x:c r="C70">
        <x:v>286650</x:v>
      </x:c>
      <x:c r="D70">
        <x:v>286650</x:v>
      </x:c>
      <x:c r="E70">
        <x:v>286650</x:v>
      </x:c>
      <x:c r="F70">
        <x:v>286650</x:v>
      </x:c>
      <x:c r="G70">
        <x:v>286650</x:v>
      </x:c>
      <x:c r="H70">
        <x:v>313500</x:v>
      </x:c>
      <x:c r="I70">
        <x:v>313500</x:v>
      </x:c>
      <x:c r="J70">
        <x:v>313500</x:v>
      </x:c>
      <x:c r="K70">
        <x:v>313500</x:v>
      </x:c>
      <x:c r="L70">
        <x:v>313500</x:v>
      </x:c>
      <x:c r="M70">
        <x:v>313500</x:v>
      </x:c>
    </x:row>
    <x:row r="71" spans="2:13">
      <x:c r="B71">
        <x:v>4629840</x:v>
      </x:c>
      <x:c r="C71">
        <x:v>5762870</x:v>
      </x:c>
      <x:c r="D71">
        <x:v>4403300</x:v>
      </x:c>
      <x:c r="E71">
        <x:v>4213510</x:v>
      </x:c>
      <x:c r="F71">
        <x:v>8676610</x:v>
      </x:c>
      <x:c r="G71">
        <x:v>4285430</x:v>
      </x:c>
      <x:c r="H71">
        <x:v>5513260</x:v>
      </x:c>
      <x:c r="I71">
        <x:v>4347760</x:v>
      </x:c>
      <x:c r="J71">
        <x:v>4347760</x:v>
      </x:c>
      <x:c r="K71">
        <x:v>5180260</x:v>
      </x:c>
      <x:c r="L71">
        <x:v>5180260</x:v>
      </x:c>
      <x:c r="M71">
        <x:v>4730320</x:v>
      </x:c>
    </x:row>
    <x:row r="72" spans="2:13">
      <x:c r="B72">
        <x:v>286650</x:v>
      </x:c>
      <x:c r="C72">
        <x:v>286650</x:v>
      </x:c>
      <x:c r="D72">
        <x:v>286650</x:v>
      </x:c>
      <x:c r="E72">
        <x:v>286650</x:v>
      </x:c>
      <x:c r="F72">
        <x:v>286650</x:v>
      </x:c>
      <x:c r="G72">
        <x:v>286650</x:v>
      </x:c>
      <x:c r="H72">
        <x:v>313500</x:v>
      </x:c>
      <x:c r="I72">
        <x:v>313500</x:v>
      </x:c>
      <x:c r="J72">
        <x:v>313500</x:v>
      </x:c>
      <x:c r="K72">
        <x:v>313500</x:v>
      </x:c>
      <x:c r="L72">
        <x:v>313500</x:v>
      </x:c>
      <x:c r="M72">
        <x:v>313500</x:v>
      </x:c>
    </x:row>
    <x:row r="73" spans="2:13">
      <x:c r="B73">
        <x:v>1503690</x:v>
      </x:c>
      <x:c r="C73">
        <x:v>1666310</x:v>
      </x:c>
      <x:c r="D73">
        <x:v>1503690</x:v>
      </x:c>
      <x:c r="E73">
        <x:v>1543030</x:v>
      </x:c>
      <x:c r="F73">
        <x:v>1543030</x:v>
      </x:c>
      <x:c r="G73">
        <x:v>1547080</x:v>
      </x:c>
      <x:c r="H73">
        <x:v>1754230</x:v>
      </x:c>
      <x:c r="I73">
        <x:v>1574930</x:v>
      </x:c>
      <x:c r="J73">
        <x:v>1574930</x:v>
      </x:c>
      <x:c r="K73">
        <x:v>1709230</x:v>
      </x:c>
      <x:c r="L73">
        <x:v>1709230</x:v>
      </x:c>
      <x:c r="M73">
        <x:v>1759800</x:v>
      </x:c>
    </x:row>
    <x:row r="74" spans="2:13">
      <x:c r="B74">
        <x:v>286650</x:v>
      </x:c>
      <x:c r="C74">
        <x:v>286650</x:v>
      </x:c>
      <x:c r="D74">
        <x:v>286650</x:v>
      </x:c>
      <x:c r="E74">
        <x:v>286650</x:v>
      </x:c>
      <x:c r="F74">
        <x:v>286650</x:v>
      </x:c>
      <x:c r="G74">
        <x:v>286650</x:v>
      </x:c>
      <x:c r="H74">
        <x:v>313500</x:v>
      </x:c>
      <x:c r="I74">
        <x:v>313500</x:v>
      </x:c>
      <x:c r="J74">
        <x:v>313500</x:v>
      </x:c>
      <x:c r="K74">
        <x:v>313500</x:v>
      </x:c>
      <x:c r="L74">
        <x:v>313500</x:v>
      </x:c>
      <x:c r="M74">
        <x:v>313500</x:v>
      </x:c>
    </x:row>
    <x:row r="75" spans="2:13">
      <x:c r="B75">
        <x:v>1847660</x:v>
      </x:c>
      <x:c r="C75">
        <x:v>1918630</x:v>
      </x:c>
      <x:c r="D75">
        <x:v>1847660</x:v>
      </x:c>
      <x:c r="E75">
        <x:v>1870950</x:v>
      </x:c>
      <x:c r="F75">
        <x:v>1870950</x:v>
      </x:c>
      <x:c r="G75">
        <x:v>1870950</x:v>
      </x:c>
      <x:c r="H75">
        <x:v>2068200</x:v>
      </x:c>
      <x:c r="I75">
        <x:v>1980430</x:v>
      </x:c>
      <x:c r="J75">
        <x:v>1980430</x:v>
      </x:c>
      <x:c r="K75">
        <x:v>2050200</x:v>
      </x:c>
      <x:c r="L75">
        <x:v>2050200</x:v>
      </x:c>
      <x:c r="M75">
        <x:v>2094310</x:v>
      </x:c>
    </x:row>
    <x:row r="76" spans="2:13">
      <x:c r="B76">
        <x:v>168520.5</x:v>
      </x:c>
      <x:c r="C76">
        <x:v>177970.5</x:v>
      </x:c>
      <x:c r="D76">
        <x:v>168520.5</x:v>
      </x:c>
      <x:c r="E76">
        <x:v>168520.5</x:v>
      </x:c>
      <x:c r="F76">
        <x:v>168520.5</x:v>
      </x:c>
      <x:c r="G76">
        <x:v>168520.5</x:v>
      </x:c>
      <x:c r="H76">
        <x:v>177970.5</x:v>
      </x:c>
      <x:c r="I76">
        <x:v>168520.5</x:v>
      </x:c>
      <x:c r="J76">
        <x:v>168520.5</x:v>
      </x:c>
      <x:c r="K76">
        <x:v>175270.5</x:v>
      </x:c>
      <x:c r="L76">
        <x:v>175270.5</x:v>
      </x:c>
      <x:c r="M76">
        <x:v>168520.5</x:v>
      </x:c>
    </x:row>
    <x:row r="77" spans="2:13">
      <x:c r="B77">
        <x:v>1479171.24</x:v>
      </x:c>
      <x:c r="C77">
        <x:v>1876071.24</x:v>
      </x:c>
      <x:c r="D77">
        <x:v>1411207.2179999999</x:v>
      </x:c>
      <x:c r="E77">
        <x:v>1372465.3446000002</x:v>
      </x:c>
      <x:c r="F77">
        <x:v>7433965.3445999995</x:v>
      </x:c>
      <x:c r="G77">
        <x:v>1414855.3446</x:v>
      </x:c>
      <x:c r="H77">
        <x:v>1769365.3446000002</x:v>
      </x:c>
      <x:c r="I77">
        <x:v>1372465.3446000002</x:v>
      </x:c>
      <x:c r="J77">
        <x:v>1372465.3446000002</x:v>
      </x:c>
      <x:c r="K77">
        <x:v>1655965.3446</x:v>
      </x:c>
      <x:c r="L77">
        <x:v>1655965.3446</x:v>
      </x:c>
      <x:c r="M77">
        <x:v>1719958.3146000002</x:v>
      </x:c>
    </x:row>
    <x:row r="78" spans="2:13">
      <x:c r="B78">
        <x:v>168520.5</x:v>
      </x:c>
      <x:c r="C78">
        <x:v>177970.5</x:v>
      </x:c>
      <x:c r="D78">
        <x:v>168520.5</x:v>
      </x:c>
      <x:c r="E78">
        <x:v>168520.5</x:v>
      </x:c>
      <x:c r="F78">
        <x:v>168520.5</x:v>
      </x:c>
      <x:c r="G78">
        <x:v>168520.5</x:v>
      </x:c>
      <x:c r="H78">
        <x:v>177970.5</x:v>
      </x:c>
      <x:c r="I78">
        <x:v>168520.5</x:v>
      </x:c>
      <x:c r="J78">
        <x:v>168520.5</x:v>
      </x:c>
      <x:c r="K78">
        <x:v>175270.5</x:v>
      </x:c>
      <x:c r="L78">
        <x:v>175270.5</x:v>
      </x:c>
      <x:c r="M78">
        <x:v>168520.5</x:v>
      </x:c>
    </x:row>
    <x:row r="79" spans="2:13">
      <x:c r="B79">
        <x:v>471364.73099999997</x:v>
      </x:c>
      <x:c r="C79">
        <x:v>537514.73099999991</x:v>
      </x:c>
      <x:c r="D79">
        <x:v>471364.73099999997</x:v>
      </x:c>
      <x:c r="E79">
        <x:v>488348.109</x:v>
      </x:c>
      <x:c r="F79">
        <x:v>488348.109</x:v>
      </x:c>
      <x:c r="G79">
        <x:v>489563.109</x:v>
      </x:c>
      <x:c r="H79">
        <x:v>554498.10899999994</x:v>
      </x:c>
      <x:c r="I79">
        <x:v>488348.109</x:v>
      </x:c>
      <x:c r="J79">
        <x:v>488348.109</x:v>
      </x:c>
      <x:c r="K79">
        <x:v>535598.10899999994</x:v>
      </x:c>
      <x:c r="L79">
        <x:v>535598.10899999994</x:v>
      </x:c>
      <x:c r="M79">
        <x:v>602062.37549999997</x:v>
      </x:c>
    </x:row>
    <x:row r="80" spans="2:13">
      <x:c r="B80">
        <x:v>168885</x:v>
      </x:c>
      <x:c r="C80">
        <x:v>178335</x:v>
      </x:c>
      <x:c r="D80">
        <x:v>168885</x:v>
      </x:c>
      <x:c r="E80">
        <x:v>168885</x:v>
      </x:c>
      <x:c r="F80">
        <x:v>168885</x:v>
      </x:c>
      <x:c r="G80">
        <x:v>168885</x:v>
      </x:c>
      <x:c r="H80">
        <x:v>178335</x:v>
      </x:c>
      <x:c r="I80">
        <x:v>168885</x:v>
      </x:c>
      <x:c r="J80">
        <x:v>168885</x:v>
      </x:c>
      <x:c r="K80">
        <x:v>175635</x:v>
      </x:c>
      <x:c r="L80">
        <x:v>175635</x:v>
      </x:c>
      <x:c r="M80">
        <x:v>168885</x:v>
      </x:c>
    </x:row>
    <x:row r="81" spans="2:13">
      <x:c r="B81">
        <x:v>623099.35800000001</x:v>
      </x:c>
      <x:c r="C81">
        <x:v>689249.35800000001</x:v>
      </x:c>
      <x:c r="D81">
        <x:v>623099.35800000001</x:v>
      </x:c>
      <x:c r="E81">
        <x:v>645512.86800000002</x:v>
      </x:c>
      <x:c r="F81">
        <x:v>645512.86800000002</x:v>
      </x:c>
      <x:c r="G81">
        <x:v>652667.86800000002</x:v>
      </x:c>
      <x:c r="H81">
        <x:v>711662.86800000013</x:v>
      </x:c>
      <x:c r="I81">
        <x:v>645512.86800000002</x:v>
      </x:c>
      <x:c r="J81">
        <x:v>645512.86800000002</x:v>
      </x:c>
      <x:c r="K81">
        <x:v>692762.86800000002</x:v>
      </x:c>
      <x:c r="L81">
        <x:v>692762.86800000002</x:v>
      </x:c>
      <x:c r="M81">
        <x:v>860260.72950000002</x:v>
      </x:c>
    </x:row>
    <x:row r="82" spans="2:13">
      <x:c r="B82">
        <x:v>67500</x:v>
      </x:c>
      <x:c r="C82">
        <x:v>67500</x:v>
      </x:c>
      <x:c r="D82">
        <x:v>67500</x:v>
      </x:c>
      <x:c r="E82">
        <x:v>67500</x:v>
      </x:c>
      <x:c r="F82">
        <x:v>67500</x:v>
      </x:c>
      <x:c r="G82">
        <x:v>67500</x:v>
      </x:c>
      <x:c r="H82">
        <x:v>67500</x:v>
      </x:c>
      <x:c r="I82">
        <x:v>67500</x:v>
      </x:c>
      <x:c r="J82">
        <x:v>67500</x:v>
      </x:c>
      <x:c r="K82">
        <x:v>67500</x:v>
      </x:c>
      <x:c r="L82">
        <x:v>67500</x:v>
      </x:c>
      <x:c r="M82">
        <x:v>67500</x:v>
      </x:c>
    </x:row>
    <x:row r="83" spans="2:13">
      <x:c r="B83">
        <x:v>0</x:v>
      </x:c>
      <x:c r="C83">
        <x:v>0</x:v>
      </x:c>
      <x:c r="D83">
        <x:v>0</x:v>
      </x:c>
      <x:c r="E83">
        <x:v>8900000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13000000</x:v>
      </x:c>
      <x:c r="L83">
        <x:v>0</x:v>
      </x:c>
      <x:c r="M83">
        <x:v>0</x:v>
      </x:c>
    </x:row>
    <x:row r="84" spans="2:13">
      <x:c r="B84">
        <x:v>0</x:v>
      </x:c>
      <x:c r="C84">
        <x:v>0</x:v>
      </x:c>
      <x:c r="D84">
        <x:v>0</x:v>
      </x:c>
      <x:c r="E84">
        <x:v>4300000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8300000</x:v>
      </x:c>
      <x:c r="L84">
        <x:v>0</x:v>
      </x:c>
      <x:c r="M84">
        <x:v>0</x:v>
      </x:c>
    </x:row>
    <x:row r="85" spans="2:13">
      <x:c r="B85">
        <x:v>0</x:v>
      </x:c>
      <x:c r="C85">
        <x:v>400000</x:v>
      </x:c>
      <x:c r="D85">
        <x:v>0</x:v>
      </x:c>
      <x:c r="E85">
        <x:v>400000</x:v>
      </x:c>
      <x:c r="F85">
        <x:v>0</x:v>
      </x:c>
      <x:c r="G85">
        <x:v>400000</x:v>
      </x:c>
      <x:c r="H85">
        <x:v>0</x:v>
      </x:c>
      <x:c r="I85">
        <x:v>400000</x:v>
      </x:c>
      <x:c r="J85">
        <x:v>0</x:v>
      </x:c>
      <x:c r="K85">
        <x:v>400000</x:v>
      </x:c>
      <x:c r="L85">
        <x:v>0</x:v>
      </x:c>
      <x:c r="M85">
        <x:v>400000</x:v>
      </x:c>
    </x:row>
    <x:row r="86" spans="2:13">
      <x:c r="B86">
        <x:v>0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  <x:c r="L86">
        <x:v>0</x:v>
      </x:c>
      <x:c r="M86">
        <x:v>1800000</x:v>
      </x:c>
    </x:row>
    <x:row r="87" spans="2:13">
      <x:c r="B87">
        <x:v>0</x:v>
      </x:c>
      <x:c r="C87">
        <x:v>0</x:v>
      </x:c>
      <x:c r="D87">
        <x:v>0</x:v>
      </x:c>
      <x:c r="E87">
        <x:v>60000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60000</x:v>
      </x:c>
      <x:c r="L87">
        <x:v>0</x:v>
      </x:c>
      <x:c r="M87">
        <x:v>0</x:v>
      </x:c>
    </x:row>
    <x:row r="88" spans="2:13">
      <x:c r="B88">
        <x:v>0</x:v>
      </x:c>
      <x:c r="C88">
        <x:v>0</x:v>
      </x:c>
      <x:c r="D88">
        <x:v>0</x:v>
      </x:c>
      <x:c r="E88">
        <x:v>6000000</x:v>
      </x:c>
      <x:c r="F88">
        <x:v>0</x:v>
      </x:c>
      <x:c r="G88">
        <x:v>0</x:v>
      </x:c>
      <x:c r="H88">
        <x:v>6000000</x:v>
      </x:c>
      <x:c r="I88">
        <x:v>0</x:v>
      </x:c>
      <x:c r="J88">
        <x:v>0</x:v>
      </x:c>
      <x:c r="K88">
        <x:v>6000000</x:v>
      </x:c>
      <x:c r="L88">
        <x:v>0</x:v>
      </x:c>
      <x:c r="M88">
        <x:v>0</x:v>
      </x:c>
    </x:row>
    <x:row r="89" spans="2:13">
      <x:c r="B89">
        <x:v>0</x:v>
      </x:c>
      <x:c r="C89">
        <x:v>0</x:v>
      </x:c>
      <x:c r="D89">
        <x:v>320000</x:v>
      </x:c>
      <x:c r="E89">
        <x:v>0</x:v>
      </x:c>
      <x:c r="F89">
        <x:v>0</x:v>
      </x:c>
      <x:c r="G89">
        <x:v>320000</x:v>
      </x:c>
      <x:c r="H89">
        <x:v>0</x:v>
      </x:c>
      <x:c r="I89">
        <x:v>0</x:v>
      </x:c>
      <x:c r="J89">
        <x:v>320000</x:v>
      </x:c>
      <x:c r="K89">
        <x:v>0</x:v>
      </x:c>
      <x:c r="L89">
        <x:v>0</x:v>
      </x:c>
      <x:c r="M89">
        <x:v>0</x:v>
      </x:c>
    </x:row>
    <x:row r="90" spans="2:13">
      <x:c r="B90">
        <x:v>700000</x:v>
      </x:c>
      <x:c r="C90">
        <x:v>700000</x:v>
      </x:c>
      <x:c r="D90">
        <x:v>700000</x:v>
      </x:c>
      <x:c r="E90">
        <x:v>700000</x:v>
      </x:c>
      <x:c r="F90">
        <x:v>700000</x:v>
      </x:c>
      <x:c r="G90">
        <x:v>700000</x:v>
      </x:c>
      <x:c r="H90">
        <x:v>700000</x:v>
      </x:c>
      <x:c r="I90">
        <x:v>700000</x:v>
      </x:c>
      <x:c r="J90">
        <x:v>700000</x:v>
      </x:c>
      <x:c r="K90">
        <x:v>700000</x:v>
      </x:c>
      <x:c r="L90">
        <x:v>700000</x:v>
      </x:c>
      <x:c r="M90">
        <x:v>700000</x:v>
      </x:c>
    </x:row>
    <x:row r="91" spans="2:13">
      <x:c r="B91">
        <x:v>1500000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  <x:c r="L91">
        <x:v>0</x:v>
      </x:c>
      <x:c r="M91">
        <x:v>0</x:v>
      </x:c>
    </x:row>
    <x:row r="92" spans="2:13">
      <x:c r="B92">
        <x:v>3200000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  <x:c r="L92">
        <x:v>0</x:v>
      </x:c>
      <x:c r="M92">
        <x:v>0</x:v>
      </x:c>
    </x:row>
    <x:row r="93" spans="2:13">
      <x:c r="B93">
        <x:v>75000</x:v>
      </x:c>
      <x:c r="C93">
        <x:v>75000</x:v>
      </x:c>
      <x:c r="D93">
        <x:v>75000</x:v>
      </x:c>
      <x:c r="E93">
        <x:v>75000</x:v>
      </x:c>
      <x:c r="F93">
        <x:v>95000</x:v>
      </x:c>
      <x:c r="G93">
        <x:v>75000</x:v>
      </x:c>
      <x:c r="H93">
        <x:v>75000</x:v>
      </x:c>
      <x:c r="I93">
        <x:v>75000</x:v>
      </x:c>
      <x:c r="J93">
        <x:v>75000</x:v>
      </x:c>
      <x:c r="K93">
        <x:v>75000</x:v>
      </x:c>
      <x:c r="L93">
        <x:v>95000</x:v>
      </x:c>
      <x:c r="M93">
        <x:v>75000</x:v>
      </x:c>
    </x:row>
    <x:row r="94" spans="2:13">
      <x:c r="B94">
        <x:v>525000</x:v>
      </x:c>
      <x:c r="C94">
        <x:v>525000</x:v>
      </x:c>
      <x:c r="D94">
        <x:v>525000</x:v>
      </x:c>
      <x:c r="E94">
        <x:v>525000</x:v>
      </x:c>
      <x:c r="F94">
        <x:v>665000</x:v>
      </x:c>
      <x:c r="G94">
        <x:v>525000</x:v>
      </x:c>
      <x:c r="H94">
        <x:v>525000</x:v>
      </x:c>
      <x:c r="I94">
        <x:v>525000</x:v>
      </x:c>
      <x:c r="J94">
        <x:v>525000</x:v>
      </x:c>
      <x:c r="K94">
        <x:v>525000</x:v>
      </x:c>
      <x:c r="L94">
        <x:v>665000</x:v>
      </x:c>
      <x:c r="M94">
        <x:v>525000</x:v>
      </x:c>
    </x:row>
    <x:row r="95" spans="2:13">
      <x:c r="B95">
        <x:v>16055000</x:v>
      </x:c>
      <x:c r="C95">
        <x:v>1050000</x:v>
      </x:c>
      <x:c r="D95">
        <x:v>1050000</x:v>
      </x:c>
      <x:c r="E95">
        <x:v>5950000</x:v>
      </x:c>
      <x:c r="F95">
        <x:v>1330000</x:v>
      </x:c>
      <x:c r="G95">
        <x:v>1050000</x:v>
      </x:c>
      <x:c r="H95">
        <x:v>16055000</x:v>
      </x:c>
      <x:c r="I95">
        <x:v>1050000</x:v>
      </x:c>
      <x:c r="J95">
        <x:v>1050000</x:v>
      </x:c>
      <x:c r="K95">
        <x:v>5950000</x:v>
      </x:c>
      <x:c r="L95">
        <x:v>1330000</x:v>
      </x:c>
      <x:c r="M95">
        <x:v>1050000</x:v>
      </x:c>
    </x:row>
    <x:row r="96" spans="2:13">
      <x:c r="B96">
        <x:v>600000</x:v>
      </x:c>
      <x:c r="C96">
        <x:v>600000</x:v>
      </x:c>
      <x:c r="D96">
        <x:v>600000</x:v>
      </x:c>
      <x:c r="E96">
        <x:v>600000</x:v>
      </x:c>
      <x:c r="F96">
        <x:v>760000</x:v>
      </x:c>
      <x:c r="G96">
        <x:v>600000</x:v>
      </x:c>
      <x:c r="H96">
        <x:v>600000</x:v>
      </x:c>
      <x:c r="I96">
        <x:v>600000</x:v>
      </x:c>
      <x:c r="J96">
        <x:v>600000</x:v>
      </x:c>
      <x:c r="K96">
        <x:v>600000</x:v>
      </x:c>
      <x:c r="L96">
        <x:v>760000</x:v>
      </x:c>
      <x:c r="M96">
        <x:v>600000</x:v>
      </x:c>
    </x:row>
    <x:row r="97" spans="2:13">
      <x:c r="B97">
        <x:v>925000</x:v>
      </x:c>
      <x:c r="C97">
        <x:v>5600000</x:v>
      </x:c>
      <x:c r="D97">
        <x:v>18800000</x:v>
      </x:c>
      <x:c r="E97">
        <x:v>13925000</x:v>
      </x:c>
      <x:c r="F97">
        <x:v>5600000</x:v>
      </x:c>
      <x:c r="G97">
        <x:v>44760000</x:v>
      </x:c>
      <x:c r="H97">
        <x:v>33525000</x:v>
      </x:c>
      <x:c r="I97">
        <x:v>5600000</x:v>
      </x:c>
      <x:c r="J97">
        <x:v>0</x:v>
      </x:c>
      <x:c r="K97">
        <x:v>20165000</x:v>
      </x:c>
      <x:c r="L97">
        <x:v>24400000</x:v>
      </x:c>
      <x:c r="M97">
        <x:v>0</x:v>
      </x:c>
    </x:row>
    <x:row r="98" spans="2:13">
      <x:c r="B98">
        <x:v>0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1000000</x:v>
      </x:c>
      <x:c r="K98">
        <x:v>0</x:v>
      </x:c>
      <x:c r="L98">
        <x:v>0</x:v>
      </x:c>
      <x:c r="M98">
        <x:v>0</x:v>
      </x:c>
    </x:row>
    <x:row r="99" spans="2:13">
      <x:c r="B99">
        <x:v>0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6400000</x:v>
      </x:c>
      <x:c r="K99">
        <x:v>0</x:v>
      </x:c>
      <x:c r="L99">
        <x:v>0</x:v>
      </x:c>
      <x:c r="M99">
        <x:v>0</x:v>
      </x:c>
    </x:row>
    <x:row r="100" spans="2:13">
      <x:c r="B100">
        <x:v>0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2200000</x:v>
      </x:c>
      <x:c r="K100">
        <x:v>0</x:v>
      </x:c>
      <x:c r="L100">
        <x:v>0</x:v>
      </x:c>
      <x:c r="M100">
        <x:v>0</x:v>
      </x:c>
    </x:row>
    <x:row r="101" spans="2:13">
      <x:c r="B101">
        <x:v>0</x:v>
      </x:c>
      <x:c r="C101">
        <x:v>200000</x:v>
      </x:c>
      <x:c r="D101">
        <x:v>0</x:v>
      </x:c>
      <x:c r="E101">
        <x:v>200000</x:v>
      </x:c>
      <x:c r="F101">
        <x:v>0</x:v>
      </x:c>
      <x:c r="G101">
        <x:v>200000</x:v>
      </x:c>
      <x:c r="H101">
        <x:v>0</x:v>
      </x:c>
      <x:c r="I101">
        <x:v>200000</x:v>
      </x:c>
      <x:c r="J101">
        <x:v>0</x:v>
      </x:c>
      <x:c r="K101">
        <x:v>200000</x:v>
      </x:c>
      <x:c r="L101">
        <x:v>0</x:v>
      </x:c>
      <x:c r="M101">
        <x:v>200000</x:v>
      </x:c>
    </x:row>
    <x:row r="102" spans="2:13">
      <x:c r="B102">
        <x:v>268500</x:v>
      </x:c>
      <x:c r="C102">
        <x:v>0</x:v>
      </x:c>
      <x:c r="D102">
        <x:v>0</x:v>
      </x:c>
      <x:c r="E102">
        <x:v>268500</x:v>
      </x:c>
      <x:c r="F102">
        <x:v>0</x:v>
      </x:c>
      <x:c r="G102">
        <x:v>0</x:v>
      </x:c>
      <x:c r="H102">
        <x:v>268500</x:v>
      </x:c>
      <x:c r="I102">
        <x:v>0</x:v>
      </x:c>
      <x:c r="J102">
        <x:v>0</x:v>
      </x:c>
      <x:c r="K102">
        <x:v>268500</x:v>
      </x:c>
      <x:c r="L102">
        <x:v>0</x:v>
      </x:c>
      <x:c r="M102">
        <x:v>0</x:v>
      </x:c>
    </x:row>
    <x:row r="103" spans="2:13">
      <x:c r="B103">
        <x:v>200000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  <x:c r="L103">
        <x:v>0</x:v>
      </x:c>
      <x:c r="M103">
        <x:v>0</x:v>
      </x:c>
    </x:row>
    <x:row r="104" spans="2:13">
      <x:c r="B104">
        <x:v>0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1350000</x:v>
      </x:c>
      <x:c r="J104">
        <x:v>0</x:v>
      </x:c>
      <x:c r="K104">
        <x:v>1350000</x:v>
      </x:c>
      <x:c r="L104">
        <x:v>0</x:v>
      </x:c>
      <x:c r="M104">
        <x:v>0</x:v>
      </x:c>
    </x:row>
    <x:row r="105" spans="2:13">
      <x:c r="B105">
        <x:v>0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6000000</x:v>
      </x:c>
      <x:c r="K105">
        <x:v>0</x:v>
      </x:c>
      <x:c r="L105">
        <x:v>0</x:v>
      </x:c>
      <x:c r="M105">
        <x:v>0</x:v>
      </x:c>
    </x:row>
    <x:row r="106" spans="2:13">
      <x:c r="B106">
        <x:v>30000</x:v>
      </x:c>
      <x:c r="C106">
        <x:v>30000</x:v>
      </x:c>
      <x:c r="D106">
        <x:v>30000</x:v>
      </x:c>
      <x:c r="E106">
        <x:v>30000</x:v>
      </x:c>
      <x:c r="F106">
        <x:v>30000</x:v>
      </x:c>
      <x:c r="G106">
        <x:v>30000</x:v>
      </x:c>
      <x:c r="H106">
        <x:v>30000</x:v>
      </x:c>
      <x:c r="I106">
        <x:v>30000</x:v>
      </x:c>
      <x:c r="J106">
        <x:v>30000</x:v>
      </x:c>
      <x:c r="K106">
        <x:v>30000</x:v>
      </x:c>
      <x:c r="L106">
        <x:v>30000</x:v>
      </x:c>
      <x:c r="M106">
        <x:v>30000</x:v>
      </x:c>
    </x:row>
    <x:row r="107" spans="2:13">
      <x:c r="B107">
        <x:v>78000</x:v>
      </x:c>
      <x:c r="C107">
        <x:v>0</x:v>
      </x:c>
      <x:c r="D107">
        <x:v>0</x:v>
      </x:c>
      <x:c r="E107">
        <x:v>0</x:v>
      </x:c>
      <x:c r="F107">
        <x:v>0</x:v>
      </x:c>
      <x:c r="G107">
        <x:v>65000</x:v>
      </x:c>
      <x:c r="H107">
        <x:v>0</x:v>
      </x:c>
      <x:c r="I107">
        <x:v>0</x:v>
      </x:c>
      <x:c r="J107">
        <x:v>0</x:v>
      </x:c>
      <x:c r="K107">
        <x:v>0</x:v>
      </x:c>
      <x:c r="L107">
        <x:v>0</x:v>
      </x:c>
      <x:c r="M107">
        <x:v>0</x:v>
      </x:c>
    </x:row>
    <x:row r="108" spans="2:13">
      <x:c r="B108">
        <x:v>0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  <x:c r="L108">
        <x:v>0</x:v>
      </x:c>
      <x:c r="M108">
        <x:v>0</x:v>
      </x:c>
    </x:row>
    <x:row r="109" spans="2:13">
      <x:c r="B109">
        <x:v>0</x:v>
      </x:c>
      <x:c r="C109">
        <x:v>0</x:v>
      </x:c>
      <x:c r="D109">
        <x:v>50000</x:v>
      </x:c>
      <x:c r="E109">
        <x:v>0</x:v>
      </x:c>
      <x:c r="F109">
        <x:v>0</x:v>
      </x:c>
      <x:c r="G109">
        <x:v>50000</x:v>
      </x:c>
      <x:c r="H109">
        <x:v>0</x:v>
      </x:c>
      <x:c r="I109">
        <x:v>0</x:v>
      </x:c>
      <x:c r="J109">
        <x:v>50000</x:v>
      </x:c>
      <x:c r="K109">
        <x:v>0</x:v>
      </x:c>
      <x:c r="L109">
        <x:v>0</x:v>
      </x:c>
      <x:c r="M109">
        <x:v>0</x:v>
      </x:c>
    </x:row>
    <x:row r="110" spans="2:13">
      <x:c r="B110">
        <x:v>100000</x:v>
      </x:c>
      <x:c r="C110">
        <x:v>0</x:v>
      </x:c>
      <x:c r="D110">
        <x:v>0</x:v>
      </x:c>
      <x:c r="E110">
        <x:v>100000</x:v>
      </x:c>
      <x:c r="F110">
        <x:v>0</x:v>
      </x:c>
      <x:c r="G110">
        <x:v>0</x:v>
      </x:c>
      <x:c r="H110">
        <x:v>50000</x:v>
      </x:c>
      <x:c r="I110">
        <x:v>0</x:v>
      </x:c>
      <x:c r="J110">
        <x:v>0</x:v>
      </x:c>
      <x:c r="K110">
        <x:v>50000</x:v>
      </x:c>
      <x:c r="L110">
        <x:v>0</x:v>
      </x:c>
      <x:c r="M110">
        <x:v>0</x:v>
      </x:c>
    </x:row>
    <x:row r="111" spans="2:13">
      <x:c r="B111">
        <x:v>0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  <x:c r="L111">
        <x:v>0</x:v>
      </x:c>
      <x:c r="M111">
        <x:v>300000</x:v>
      </x:c>
    </x:row>
    <x:row r="112" spans="2:13">
      <x:c r="B112">
        <x:v>0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  <x:c r="L112">
        <x:v>0</x:v>
      </x:c>
      <x:c r="M112">
        <x:v>2000000</x:v>
      </x:c>
    </x:row>
    <x:row r="113" spans="2:13">
      <x:c r="B113">
        <x:v>0</x:v>
      </x:c>
      <x:c r="C113">
        <x:v>150000</x:v>
      </x:c>
      <x:c r="D113">
        <x:v>150000</x:v>
      </x:c>
      <x:c r="E113">
        <x:v>0</x:v>
      </x:c>
      <x:c r="F113">
        <x:v>150000</x:v>
      </x:c>
      <x:c r="G113">
        <x:v>150000</x:v>
      </x:c>
      <x:c r="H113">
        <x:v>0</x:v>
      </x:c>
      <x:c r="I113">
        <x:v>150000</x:v>
      </x:c>
      <x:c r="J113">
        <x:v>150000</x:v>
      </x:c>
      <x:c r="K113">
        <x:v>0</x:v>
      </x:c>
      <x:c r="L113">
        <x:v>150000</x:v>
      </x:c>
      <x:c r="M113">
        <x:v>150000</x:v>
      </x:c>
    </x:row>
    <x:row r="114" spans="2:13">
      <x:c r="B114">
        <x:v>100000</x:v>
      </x:c>
      <x:c r="C114">
        <x:v>100000</x:v>
      </x:c>
      <x:c r="D114">
        <x:v>100000</x:v>
      </x:c>
      <x:c r="E114">
        <x:v>100000</x:v>
      </x:c>
      <x:c r="F114">
        <x:v>100000</x:v>
      </x:c>
      <x:c r="G114">
        <x:v>100000</x:v>
      </x:c>
      <x:c r="H114">
        <x:v>100000</x:v>
      </x:c>
      <x:c r="I114">
        <x:v>100000</x:v>
      </x:c>
      <x:c r="J114">
        <x:v>100000</x:v>
      </x:c>
      <x:c r="K114">
        <x:v>100000</x:v>
      </x:c>
      <x:c r="L114">
        <x:v>100000</x:v>
      </x:c>
      <x:c r="M114">
        <x:v>100000</x:v>
      </x:c>
    </x:row>
    <x:row r="115" spans="2:13">
      <x:c r="B115">
        <x:v>0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  <x:c r="L115">
        <x:v>0</x:v>
      </x:c>
      <x:c r="M115">
        <x:v>36000000</x:v>
      </x:c>
    </x:row>
    <x:row r="116" spans="2:13">
      <x:c r="B116">
        <x:v>1000000</x:v>
      </x:c>
      <x:c r="C116">
        <x:v>180000</x:v>
      </x:c>
      <x:c r="D116">
        <x:v>180000</x:v>
      </x:c>
      <x:c r="E116">
        <x:v>180000</x:v>
      </x:c>
      <x:c r="F116">
        <x:v>180000</x:v>
      </x:c>
      <x:c r="G116">
        <x:v>180000</x:v>
      </x:c>
      <x:c r="H116">
        <x:v>180000</x:v>
      </x:c>
      <x:c r="I116">
        <x:v>180000</x:v>
      </x:c>
      <x:c r="J116">
        <x:v>180000</x:v>
      </x:c>
      <x:c r="K116">
        <x:v>180000</x:v>
      </x:c>
      <x:c r="L116">
        <x:v>180000</x:v>
      </x:c>
      <x:c r="M116">
        <x:v>180000</x:v>
      </x:c>
    </x:row>
    <x:row r="117" spans="2:13">
      <x:c r="B117">
        <x:v>0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  <x:c r="L117">
        <x:v>0</x:v>
      </x:c>
      <x:c r="M117">
        <x:v>250000</x:v>
      </x:c>
    </x:row>
    <x:row r="118" spans="2:13">
      <x:c r="B118">
        <x:v>25000</x:v>
      </x:c>
      <x:c r="C118">
        <x:v>25000</x:v>
      </x:c>
      <x:c r="D118">
        <x:v>25000</x:v>
      </x:c>
      <x:c r="E118">
        <x:v>25000</x:v>
      </x:c>
      <x:c r="F118">
        <x:v>25000</x:v>
      </x:c>
      <x:c r="G118">
        <x:v>25000</x:v>
      </x:c>
      <x:c r="H118">
        <x:v>25000</x:v>
      </x:c>
      <x:c r="I118">
        <x:v>25000</x:v>
      </x:c>
      <x:c r="J118">
        <x:v>25000</x:v>
      </x:c>
      <x:c r="K118">
        <x:v>25000</x:v>
      </x:c>
      <x:c r="L118">
        <x:v>25000</x:v>
      </x:c>
      <x:c r="M118">
        <x:v>25000</x:v>
      </x:c>
    </x:row>
    <x:row r="119" spans="2:13">
      <x:c r="B119">
        <x:v>70079590</x:v>
      </x:c>
      <x:c r="C119">
        <x:v>70503094</x:v>
      </x:c>
      <x:c r="D119">
        <x:v>72646801</x:v>
      </x:c>
      <x:c r="E119">
        <x:v>68253894</x:v>
      </x:c>
      <x:c r="F119">
        <x:v>61025856</x:v>
      </x:c>
      <x:c r="G119">
        <x:v>57823114</x:v>
      </x:c>
      <x:c r="H119">
        <x:v>74094095</x:v>
      </x:c>
      <x:c r="I119">
        <x:v>90842475</x:v>
      </x:c>
      <x:c r="J119">
        <x:v>85773514</x:v>
      </x:c>
      <x:c r="K119">
        <x:v>74694320</x:v>
      </x:c>
      <x:c r="L119">
        <x:v>64207812</x:v>
      </x:c>
      <x:c r="M119">
        <x:v>74694320</x:v>
      </x:c>
    </x:row>
    <x:row r="120" spans="2:13">
      <x:c r="B120">
        <x:v>-49756508.899999999</x:v>
      </x:c>
      <x:c r="C120">
        <x:v>-50057196.739999995</x:v>
      </x:c>
      <x:c r="D120">
        <x:v>-51579228.710000001</x:v>
      </x:c>
      <x:c r="E120">
        <x:v>-48460264.739999995</x:v>
      </x:c>
      <x:c r="F120">
        <x:v>-43328357.759999998</x:v>
      </x:c>
      <x:c r="G120">
        <x:v>-41054410.939999998</x:v>
      </x:c>
      <x:c r="H120">
        <x:v>-52606807.449999996</x:v>
      </x:c>
      <x:c r="I120">
        <x:v>-64498157.25</x:v>
      </x:c>
      <x:c r="J120">
        <x:v>-60899194.939999998</x:v>
      </x:c>
      <x:c r="K120">
        <x:v>-53032967.199999996</x:v>
      </x:c>
      <x:c r="L120">
        <x:v>-45587546.519999996</x:v>
      </x:c>
      <x:c r="M120">
        <x:v>-53032967.199999996</x:v>
      </x:c>
    </x:row>
    <x:row r="121" spans="2:13">
      <x:c r="B121">
        <x:v>-7007959</x:v>
      </x:c>
      <x:c r="C121">
        <x:v>-7050309.4000000004</x:v>
      </x:c>
      <x:c r="D121">
        <x:v>-7264680.1000000006</x:v>
      </x:c>
      <x:c r="E121">
        <x:v>-6825389.4000000004</x:v>
      </x:c>
      <x:c r="F121">
        <x:v>-6102585.6000000006</x:v>
      </x:c>
      <x:c r="G121">
        <x:v>-5782311.4000000004</x:v>
      </x:c>
      <x:c r="H121">
        <x:v>-7409409.5</x:v>
      </x:c>
      <x:c r="I121">
        <x:v>-9084247.5</x:v>
      </x:c>
      <x:c r="J121">
        <x:v>-8577351.4000000004</x:v>
      </x:c>
      <x:c r="K121">
        <x:v>-7469432</x:v>
      </x:c>
      <x:c r="L121">
        <x:v>-6420781.2000000002</x:v>
      </x:c>
      <x:c r="M121">
        <x:v>-7469432</x:v>
      </x:c>
    </x:row>
    <x:row r="122" spans="2:13">
      <x:c r="B122">
        <x:v>27000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  <x:c r="L122">
        <x:v>0</x:v>
      </x:c>
      <x:c r="M122">
        <x:v>0</x:v>
      </x:c>
    </x:row>
    <x:row r="123" spans="2:13">
      <x:c r="B123">
        <x:v>0</x:v>
      </x:c>
      <x:c r="C123">
        <x:v>0</x:v>
      </x:c>
      <x:c r="D123">
        <x:v>0</x:v>
      </x:c>
      <x:c r="E123">
        <x:v>3881460.0000000005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  <x:c r="L123">
        <x:v>0</x:v>
      </x:c>
      <x:c r="M123">
        <x:v>0</x:v>
      </x:c>
    </x:row>
    <x:row r="124" spans="2:13">
      <x:c r="B124">
        <x:v>0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10632220</x:v>
      </x:c>
      <x:c r="L124">
        <x:v>0</x:v>
      </x:c>
      <x:c r="M124">
        <x:v>0</x:v>
      </x:c>
    </x:row>
    <x:row r="125" spans="2:13">
      <x:c r="B125">
        <x:v>2358908</x:v>
      </x:c>
      <x:c r="C125">
        <x:v>2358908</x:v>
      </x:c>
      <x:c r="D125">
        <x:v>2358908</x:v>
      </x:c>
      <x:c r="E125">
        <x:v>2358908</x:v>
      </x:c>
      <x:c r="F125">
        <x:v>2358908</x:v>
      </x:c>
      <x:c r="G125">
        <x:v>2358908</x:v>
      </x:c>
      <x:c r="H125">
        <x:v>2358908</x:v>
      </x:c>
      <x:c r="I125">
        <x:v>2358908</x:v>
      </x:c>
      <x:c r="J125">
        <x:v>2358908</x:v>
      </x:c>
      <x:c r="K125">
        <x:v>2358908</x:v>
      </x:c>
      <x:c r="L125">
        <x:v>2358908</x:v>
      </x:c>
      <x:c r="M125">
        <x:v>2358908</x:v>
      </x:c>
    </x:row>
    <x:row r="126" spans="2:13">
      <x:c r="B126">
        <x:v>4988346</x:v>
      </x:c>
      <x:c r="C126">
        <x:v>4988346</x:v>
      </x:c>
      <x:c r="D126">
        <x:v>4988346</x:v>
      </x:c>
      <x:c r="E126">
        <x:v>4988346</x:v>
      </x:c>
      <x:c r="F126">
        <x:v>4988346</x:v>
      </x:c>
      <x:c r="G126">
        <x:v>4988346</x:v>
      </x:c>
      <x:c r="H126">
        <x:v>4988346</x:v>
      </x:c>
      <x:c r="I126">
        <x:v>4988346</x:v>
      </x:c>
      <x:c r="J126">
        <x:v>4988346</x:v>
      </x:c>
      <x:c r="K126">
        <x:v>4988346</x:v>
      </x:c>
      <x:c r="L126">
        <x:v>4988346</x:v>
      </x:c>
      <x:c r="M126">
        <x:v>4988346</x:v>
      </x:c>
    </x:row>
    <x:row r="127" spans="2:13">
      <x:c r="B127">
        <x:v>0</x:v>
      </x:c>
      <x:c r="C127">
        <x:v>0</x:v>
      </x:c>
      <x:c r="D127">
        <x:v>0</x:v>
      </x:c>
      <x:c r="E127">
        <x:v>0</x:v>
      </x:c>
      <x:c r="F127">
        <x:v>7500000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  <x:c r="L127">
        <x:v>0</x:v>
      </x:c>
      <x:c r="M127">
        <x:v>0</x:v>
      </x:c>
    </x:row>
    <x:row r="128" spans="2:13">
      <x:c r="B128">
        <x:v>36000</x:v>
      </x:c>
      <x:c r="C128">
        <x:v>36000</x:v>
      </x:c>
      <x:c r="D128">
        <x:v>36000</x:v>
      </x:c>
      <x:c r="E128">
        <x:v>36000</x:v>
      </x:c>
      <x:c r="F128">
        <x:v>36000</x:v>
      </x:c>
      <x:c r="G128">
        <x:v>36000</x:v>
      </x:c>
      <x:c r="H128">
        <x:v>36000</x:v>
      </x:c>
      <x:c r="I128">
        <x:v>36000</x:v>
      </x:c>
      <x:c r="J128">
        <x:v>36000</x:v>
      </x:c>
      <x:c r="K128">
        <x:v>36000</x:v>
      </x:c>
      <x:c r="L128">
        <x:v>36000</x:v>
      </x:c>
      <x:c r="M128">
        <x:v>36000</x:v>
      </x:c>
    </x:row>
    <x:row r="129" spans="2:13">
      <x:c r="B129">
        <x:v>88883</x:v>
      </x:c>
      <x:c r="C129">
        <x:v>88883</x:v>
      </x:c>
      <x:c r="D129">
        <x:v>88883</x:v>
      </x:c>
      <x:c r="E129">
        <x:v>88883</x:v>
      </x:c>
      <x:c r="F129">
        <x:v>88883</x:v>
      </x:c>
      <x:c r="G129">
        <x:v>88883</x:v>
      </x:c>
      <x:c r="H129">
        <x:v>88883</x:v>
      </x:c>
      <x:c r="I129">
        <x:v>88883</x:v>
      </x:c>
      <x:c r="J129">
        <x:v>88883</x:v>
      </x:c>
      <x:c r="K129">
        <x:v>88883</x:v>
      </x:c>
      <x:c r="L129">
        <x:v>88883</x:v>
      </x:c>
      <x:c r="M129">
        <x:v>88883</x:v>
      </x:c>
    </x:row>
    <x:row r="130" spans="2:13">
      <x:c r="B130">
        <x:v>0</x:v>
      </x:c>
      <x:c r="C130">
        <x:v>0</x:v>
      </x:c>
      <x:c r="D130">
        <x:v>0</x:v>
      </x:c>
      <x:c r="E130">
        <x:v>0</x:v>
      </x:c>
      <x:c r="F130">
        <x:v>0</x:v>
      </x:c>
      <x:c r="G130">
        <x:v>1460000</x:v>
      </x:c>
      <x:c r="H130">
        <x:v>0</x:v>
      </x:c>
      <x:c r="I130">
        <x:v>0</x:v>
      </x:c>
      <x:c r="J130">
        <x:v>0</x:v>
      </x:c>
      <x:c r="K130">
        <x:v>0</x:v>
      </x:c>
      <x:c r="L130">
        <x:v>0</x:v>
      </x:c>
      <x:c r="M130">
        <x:v>0</x:v>
      </x:c>
    </x:row>
    <x:row r="131" spans="2:13">
      <x:c r="B131">
        <x:v>0</x:v>
      </x:c>
      <x:c r="C131">
        <x:v>0</x:v>
      </x:c>
      <x:c r="D131">
        <x:v>0</x:v>
      </x:c>
      <x:c r="E131">
        <x:v>0</x:v>
      </x:c>
      <x:c r="F131">
        <x:v>0</x:v>
      </x:c>
      <x:c r="G131">
        <x:v>2920000</x:v>
      </x:c>
      <x:c r="H131">
        <x:v>0</x:v>
      </x:c>
      <x:c r="I131">
        <x:v>0</x:v>
      </x:c>
      <x:c r="J131">
        <x:v>0</x:v>
      </x:c>
      <x:c r="K131">
        <x:v>0</x:v>
      </x:c>
      <x:c r="L131">
        <x:v>0</x:v>
      </x:c>
      <x:c r="M131">
        <x:v>0</x:v>
      </x:c>
    </x:row>
    <x:row r="132" spans="2:13">
      <x:c r="B132">
        <x:v>0</x:v>
      </x:c>
      <x:c r="C132">
        <x:v>0</x:v>
      </x:c>
      <x:c r="D132">
        <x:v>0</x:v>
      </x:c>
      <x:c r="E132">
        <x:v>0</x:v>
      </x:c>
      <x:c r="F132">
        <x:v>0</x:v>
      </x:c>
      <x:c r="G132">
        <x:v>1460000</x:v>
      </x:c>
      <x:c r="H132">
        <x:v>0</x:v>
      </x:c>
      <x:c r="I132">
        <x:v>0</x:v>
      </x:c>
      <x:c r="J132">
        <x:v>0</x:v>
      </x:c>
      <x:c r="K132">
        <x:v>0</x:v>
      </x:c>
      <x:c r="L132">
        <x:v>0</x:v>
      </x:c>
      <x:c r="M132">
        <x:v>0</x:v>
      </x:c>
    </x:row>
    <x:row r="133" spans="2:13">
      <x:c r="B133">
        <x:v>456238</x:v>
      </x:c>
      <x:c r="C133">
        <x:v>318437</x:v>
      </x:c>
      <x:c r="D133">
        <x:v>404102</x:v>
      </x:c>
      <x:c r="E133">
        <x:v>477024</x:v>
      </x:c>
      <x:c r="F133">
        <x:v>514372</x:v>
      </x:c>
      <x:c r="G133">
        <x:v>477991</x:v>
      </x:c>
      <x:c r="H133">
        <x:v>532885</x:v>
      </x:c>
      <x:c r="I133">
        <x:v>574346</x:v>
      </x:c>
      <x:c r="J133">
        <x:v>413260</x:v>
      </x:c>
      <x:c r="K133">
        <x:v>526027</x:v>
      </x:c>
      <x:c r="L133">
        <x:v>454000</x:v>
      </x:c>
      <x:c r="M133">
        <x:v>454000</x:v>
      </x:c>
    </x:row>
    <x:row r="134" spans="2:13">
      <x:c r="B134">
        <x:v>20004434</x:v>
      </x:c>
      <x:c r="C134">
        <x:v>22212148</x:v>
      </x:c>
      <x:c r="D134">
        <x:v>27585615</x:v>
      </x:c>
      <x:c r="E134">
        <x:v>11972668</x:v>
      </x:c>
      <x:c r="F134">
        <x:v>2661187</x:v>
      </x:c>
      <x:c r="G134">
        <x:v>2198353</x:v>
      </x:c>
      <x:c r="H134">
        <x:v>6711191</x:v>
      </x:c>
      <x:c r="I134">
        <x:v>16840431</x:v>
      </x:c>
      <x:c r="J134">
        <x:v>20920767</x:v>
      </x:c>
      <x:c r="K134">
        <x:v>11329602</x:v>
      </x:c>
      <x:c r="L134">
        <x:v>4078848</x:v>
      </x:c>
      <x:c r="M134">
        <x:v>6575870</x:v>
      </x:c>
    </x:row>
    <x:row r="135" spans="2:13">
      <x:c r="B135">
        <x:v>-14003103.799999999</x:v>
      </x:c>
      <x:c r="C135">
        <x:v>-15548503.6</x:v>
      </x:c>
      <x:c r="D135">
        <x:v>-19309930.5</x:v>
      </x:c>
      <x:c r="E135">
        <x:v>-8380867.5999999996</x:v>
      </x:c>
      <x:c r="F135">
        <x:v>-1862830.9</x:v>
      </x:c>
      <x:c r="G135">
        <x:v>-1538847.0999999999</x:v>
      </x:c>
      <x:c r="H135">
        <x:v>-4697833.6999999993</x:v>
      </x:c>
      <x:c r="I135">
        <x:v>-11788301.699999999</x:v>
      </x:c>
      <x:c r="J135">
        <x:v>-14644536.899999999</x:v>
      </x:c>
      <x:c r="K135">
        <x:v>-7930721.3999999994</x:v>
      </x:c>
      <x:c r="L135">
        <x:v>-2855193.5999999996</x:v>
      </x:c>
      <x:c r="M135">
        <x:v>-4603109</x:v>
      </x:c>
    </x:row>
    <x:row r="136" spans="2:13">
      <x:c r="B136">
        <x:v>-2000443.4000000001</x:v>
      </x:c>
      <x:c r="C136">
        <x:v>-2221214.8000000003</x:v>
      </x:c>
      <x:c r="D136">
        <x:v>-2758561.5</x:v>
      </x:c>
      <x:c r="E136">
        <x:v>-1197266.8</x:v>
      </x:c>
      <x:c r="F136">
        <x:v>-266118.7</x:v>
      </x:c>
      <x:c r="G136">
        <x:v>-219835.30000000002</x:v>
      </x:c>
      <x:c r="H136">
        <x:v>-671119.10000000009</x:v>
      </x:c>
      <x:c r="I136">
        <x:v>-1684043.1</x:v>
      </x:c>
      <x:c r="J136">
        <x:v>-2092076.7000000002</x:v>
      </x:c>
      <x:c r="K136">
        <x:v>-1132960.2</x:v>
      </x:c>
      <x:c r="L136">
        <x:v>-407884.80000000005</x:v>
      </x:c>
      <x:c r="M136">
        <x:v>-657587</x:v>
      </x:c>
    </x:row>
    <x:row r="137" spans="2:13">
      <x:c r="B137">
        <x:v>1701480</x:v>
      </x:c>
      <x:c r="C137">
        <x:v>1632000</x:v>
      </x:c>
      <x:c r="D137">
        <x:v>2296400</x:v>
      </x:c>
      <x:c r="E137">
        <x:v>3088400</x:v>
      </x:c>
      <x:c r="F137">
        <x:v>2023600</x:v>
      </x:c>
      <x:c r="G137">
        <x:v>2061000</x:v>
      </x:c>
      <x:c r="H137">
        <x:v>2842000</x:v>
      </x:c>
      <x:c r="I137">
        <x:v>3750600</x:v>
      </x:c>
      <x:c r="J137">
        <x:v>4179600</x:v>
      </x:c>
      <x:c r="K137">
        <x:v>3396400</x:v>
      </x:c>
      <x:c r="L137">
        <x:v>1962000</x:v>
      </x:c>
      <x:c r="M137">
        <x:v>1962000</x:v>
      </x:c>
    </x:row>
    <x:row r="138" spans="2:13">
      <x:c r="B138">
        <x:v>-425370</x:v>
      </x:c>
      <x:c r="C138">
        <x:v>-408000</x:v>
      </x:c>
      <x:c r="D138">
        <x:v>-574100</x:v>
      </x:c>
      <x:c r="E138">
        <x:v>-772100</x:v>
      </x:c>
      <x:c r="F138">
        <x:v>-505900</x:v>
      </x:c>
      <x:c r="G138">
        <x:v>-515250</x:v>
      </x:c>
      <x:c r="H138">
        <x:v>-710500</x:v>
      </x:c>
      <x:c r="I138">
        <x:v>-937650</x:v>
      </x:c>
      <x:c r="J138">
        <x:v>-1044900</x:v>
      </x:c>
      <x:c r="K138">
        <x:v>-849100</x:v>
      </x:c>
      <x:c r="L138">
        <x:v>-490500</x:v>
      </x:c>
      <x:c r="M138">
        <x:v>-490500</x:v>
      </x:c>
    </x:row>
    <x:row r="139" spans="2:13">
      <x:c r="B139">
        <x:v>-425370</x:v>
      </x:c>
      <x:c r="C139">
        <x:v>-408000</x:v>
      </x:c>
      <x:c r="D139">
        <x:v>-574100</x:v>
      </x:c>
      <x:c r="E139">
        <x:v>-772100</x:v>
      </x:c>
      <x:c r="F139">
        <x:v>-505900</x:v>
      </x:c>
      <x:c r="G139">
        <x:v>-515250</x:v>
      </x:c>
      <x:c r="H139">
        <x:v>-710500</x:v>
      </x:c>
      <x:c r="I139">
        <x:v>-937650</x:v>
      </x:c>
      <x:c r="J139">
        <x:v>-1044900</x:v>
      </x:c>
      <x:c r="K139">
        <x:v>-849100</x:v>
      </x:c>
      <x:c r="L139">
        <x:v>-490500</x:v>
      </x:c>
      <x:c r="M139">
        <x:v>-490500</x:v>
      </x:c>
    </x:row>
    <x:row r="140" spans="2:13">
      <x:c r="B140">
        <x:v>12484109.1</x:v>
      </x:c>
      <x:c r="C140">
        <x:v>12484109.1</x:v>
      </x:c>
      <x:c r="D140">
        <x:v>12484109.1</x:v>
      </x:c>
      <x:c r="E140">
        <x:v>12484109.1</x:v>
      </x:c>
      <x:c r="F140">
        <x:v>12484109.1</x:v>
      </x:c>
      <x:c r="G140">
        <x:v>12484109.1</x:v>
      </x:c>
      <x:c r="H140">
        <x:v>12484109.1</x:v>
      </x:c>
      <x:c r="I140">
        <x:v>12484109.1</x:v>
      </x:c>
      <x:c r="J140">
        <x:v>12484109.1</x:v>
      </x:c>
      <x:c r="K140">
        <x:v>12484109.1</x:v>
      </x:c>
      <x:c r="L140">
        <x:v>12484109.1</x:v>
      </x:c>
      <x:c r="M140">
        <x:v>12484109.1</x:v>
      </x:c>
    </x:row>
    <x:row r="141" spans="2:13">
      <x:c r="B141">
        <x:v>62000000</x:v>
      </x:c>
      <x:c r="C141">
        <x:v>0</x:v>
      </x:c>
      <x:c r="D141">
        <x:v>45285000</x:v>
      </x:c>
      <x:c r="E141">
        <x:v>42200000</x:v>
      </x:c>
      <x:c r="F141">
        <x:v>2500000</x:v>
      </x:c>
      <x:c r="G141">
        <x:v>0</x:v>
      </x:c>
      <x:c r="H141">
        <x:v>0</x:v>
      </x:c>
      <x:c r="I141">
        <x:v>57400000</x:v>
      </x:c>
      <x:c r="J141">
        <x:v>0</x:v>
      </x:c>
      <x:c r="K141">
        <x:v>4100000</x:v>
      </x:c>
      <x:c r="L141">
        <x:v>0</x:v>
      </x:c>
      <x:c r="M141">
        <x:v>0</x:v>
      </x:c>
    </x:row>
    <x:row r="142" spans="2:13">
      <x:c r="B142">
        <x:v>0</x:v>
      </x:c>
      <x:c r="C142">
        <x:v>0</x:v>
      </x:c>
      <x:c r="D142">
        <x:v>0</x:v>
      </x:c>
      <x:c r="E142">
        <x:v>0</x:v>
      </x:c>
      <x:c r="F142">
        <x:v>0</x:v>
      </x:c>
      <x:c r="G142">
        <x:v>8000000</x:v>
      </x:c>
      <x:c r="H142">
        <x:v>0</x:v>
      </x:c>
      <x:c r="I142">
        <x:v>0</x:v>
      </x:c>
      <x:c r="J142">
        <x:v>0</x:v>
      </x:c>
      <x:c r="K142">
        <x:v>0</x:v>
      </x:c>
      <x:c r="L142">
        <x:v>0</x:v>
      </x:c>
      <x:c r="M142">
        <x:v>0</x:v>
      </x:c>
    </x:row>
    <x:row r="143" spans="2:13">
      <x:c r="B143">
        <x:v>2648354.722222222</x:v>
      </x:c>
      <x:c r="C143">
        <x:v>2648354.722222222</x:v>
      </x:c>
      <x:c r="D143">
        <x:v>2648354.722222222</x:v>
      </x:c>
      <x:c r="E143">
        <x:v>2648354.722222222</x:v>
      </x:c>
      <x:c r="F143">
        <x:v>2648354.722222222</x:v>
      </x:c>
      <x:c r="G143">
        <x:v>2648354.722222222</x:v>
      </x:c>
      <x:c r="H143">
        <x:v>2648354.722222222</x:v>
      </x:c>
      <x:c r="I143">
        <x:v>2648354.722222222</x:v>
      </x:c>
      <x:c r="J143">
        <x:v>2648354.722222222</x:v>
      </x:c>
      <x:c r="K143">
        <x:v>2648354.722222222</x:v>
      </x:c>
      <x:c r="L143">
        <x:v>2648354.722222222</x:v>
      </x:c>
      <x:c r="M143">
        <x:v>2648354.722222222</x:v>
      </x:c>
    </x:row>
    <x:row r="144" spans="2:13">
      <x:c r="B144">
        <x:v>51250</x:v>
      </x:c>
      <x:c r="C144">
        <x:v>51250</x:v>
      </x:c>
      <x:c r="D144">
        <x:v>51250</x:v>
      </x:c>
      <x:c r="E144">
        <x:v>51250</x:v>
      </x:c>
      <x:c r="F144">
        <x:v>51250</x:v>
      </x:c>
      <x:c r="G144">
        <x:v>51250</x:v>
      </x:c>
      <x:c r="H144">
        <x:v>51250</x:v>
      </x:c>
      <x:c r="I144">
        <x:v>51250</x:v>
      </x:c>
      <x:c r="J144">
        <x:v>51250</x:v>
      </x:c>
      <x:c r="K144">
        <x:v>51250</x:v>
      </x:c>
      <x:c r="L144">
        <x:v>51250</x:v>
      </x:c>
      <x:c r="M144">
        <x:v>51250</x:v>
      </x:c>
    </x:row>
    <x:row r="145" spans="2:13">
      <x:c r="B145">
        <x:v>331666.66666666669</x:v>
      </x:c>
      <x:c r="C145">
        <x:v>331666.66666666669</x:v>
      </x:c>
      <x:c r="D145">
        <x:v>331666.66666666669</x:v>
      </x:c>
      <x:c r="E145">
        <x:v>331666.66666666669</x:v>
      </x:c>
      <x:c r="F145">
        <x:v>331666.66666666669</x:v>
      </x:c>
      <x:c r="G145">
        <x:v>331666.66666666669</x:v>
      </x:c>
      <x:c r="H145">
        <x:v>331666.66666666669</x:v>
      </x:c>
      <x:c r="I145">
        <x:v>331666.66666666669</x:v>
      </x:c>
      <x:c r="J145">
        <x:v>331666.66666666669</x:v>
      </x:c>
      <x:c r="K145">
        <x:v>331666.66666666669</x:v>
      </x:c>
      <x:c r="L145">
        <x:v>331666.66666666669</x:v>
      </x:c>
      <x:c r="M145">
        <x:v>331666.66666666669</x:v>
      </x:c>
    </x:row>
    <x:row r="146" spans="2:13">
      <x:c r="B146">
        <x:v>220416.66666666666</x:v>
      </x:c>
      <x:c r="C146">
        <x:v>220416.66666666666</x:v>
      </x:c>
      <x:c r="D146">
        <x:v>220416.66666666666</x:v>
      </x:c>
      <x:c r="E146">
        <x:v>220416.66666666666</x:v>
      </x:c>
      <x:c r="F146">
        <x:v>220416.66666666666</x:v>
      </x:c>
      <x:c r="G146">
        <x:v>220416.66666666666</x:v>
      </x:c>
      <x:c r="H146">
        <x:v>220416.66666666666</x:v>
      </x:c>
      <x:c r="I146">
        <x:v>220416.66666666666</x:v>
      </x:c>
      <x:c r="J146">
        <x:v>220416.66666666666</x:v>
      </x:c>
      <x:c r="K146">
        <x:v>220416.66666666666</x:v>
      </x:c>
      <x:c r="L146">
        <x:v>220416.66666666666</x:v>
      </x:c>
      <x:c r="M146">
        <x:v>220416.66666666666</x:v>
      </x:c>
    </x:row>
    <x:row r="147" spans="2:13">
      <x:c r="B147">
        <x:v>217916.66666666666</x:v>
      </x:c>
      <x:c r="C147">
        <x:v>217916.66666666666</x:v>
      </x:c>
      <x:c r="D147">
        <x:v>217916.66666666666</x:v>
      </x:c>
      <x:c r="E147">
        <x:v>217916.66666666666</x:v>
      </x:c>
      <x:c r="F147">
        <x:v>217916.66666666666</x:v>
      </x:c>
      <x:c r="G147">
        <x:v>217916.66666666666</x:v>
      </x:c>
      <x:c r="H147">
        <x:v>217916.66666666666</x:v>
      </x:c>
      <x:c r="I147">
        <x:v>217916.66666666666</x:v>
      </x:c>
      <x:c r="J147">
        <x:v>217916.66666666666</x:v>
      </x:c>
      <x:c r="K147">
        <x:v>217916.66666666666</x:v>
      </x:c>
      <x:c r="L147">
        <x:v>217916.66666666666</x:v>
      </x:c>
      <x:c r="M147">
        <x:v>217916.66666666666</x:v>
      </x:c>
    </x:row>
    <x:row r="148" spans="2:13">
      <x:c r="B148">
        <x:v>2605455</x:v>
      </x:c>
      <x:c r="C148">
        <x:v>7422464</x:v>
      </x:c>
      <x:c r="D148">
        <x:v>136364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50000</x:v>
      </x:c>
      <x:c r="L148">
        <x:v>0</x:v>
      </x:c>
      <x:c r="M148">
        <x:v>2000000</x:v>
      </x:c>
    </x:row>
    <x:row r="149" spans="2:13">
      <x:c r="B149">
        <x:v>2155000</x:v>
      </x:c>
      <x:c r="C149">
        <x:v>2155000</x:v>
      </x:c>
      <x:c r="D149">
        <x:v>2155000</x:v>
      </x:c>
      <x:c r="E149">
        <x:v>2155000</x:v>
      </x:c>
      <x:c r="F149">
        <x:v>2155000</x:v>
      </x:c>
      <x:c r="G149">
        <x:v>2155000</x:v>
      </x:c>
      <x:c r="H149">
        <x:v>2155000</x:v>
      </x:c>
      <x:c r="I149">
        <x:v>2155000</x:v>
      </x:c>
      <x:c r="J149">
        <x:v>2155000</x:v>
      </x:c>
      <x:c r="K149">
        <x:v>2155000</x:v>
      </x:c>
      <x:c r="L149">
        <x:v>2155000</x:v>
      </x:c>
      <x:c r="M149">
        <x:v>2155000</x:v>
      </x:c>
    </x:row>
    <x:row r="150" spans="2:13">
      <x:c r="B150">
        <x:v>250000</x:v>
      </x:c>
      <x:c r="C150">
        <x:v>250000</x:v>
      </x:c>
      <x:c r="D150">
        <x:v>250000</x:v>
      </x:c>
      <x:c r="E150">
        <x:v>250000</x:v>
      </x:c>
      <x:c r="F150">
        <x:v>250000</x:v>
      </x:c>
      <x:c r="G150">
        <x:v>250000</x:v>
      </x:c>
      <x:c r="H150">
        <x:v>250000</x:v>
      </x:c>
      <x:c r="I150">
        <x:v>250000</x:v>
      </x:c>
      <x:c r="J150">
        <x:v>250000</x:v>
      </x:c>
      <x:c r="K150">
        <x:v>250000</x:v>
      </x:c>
      <x:c r="L150">
        <x:v>250000</x:v>
      </x:c>
      <x:c r="M150">
        <x:v>250000</x:v>
      </x:c>
    </x:row>
    <x:row r="151" spans="2:13">
      <x:c r="B151">
        <x:v>0</x:v>
      </x:c>
      <x:c r="C151">
        <x:v>0</x:v>
      </x:c>
      <x:c r="D151">
        <x:v>0</x:v>
      </x:c>
      <x:c r="E151">
        <x:v>0</x:v>
      </x:c>
      <x:c r="F151">
        <x:v>860000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  <x:c r="L151">
        <x:v>860000</x:v>
      </x:c>
      <x:c r="M151">
        <x:v>0</x:v>
      </x:c>
    </x:row>
    <x:row r="152" spans="2:13">
      <x:c r="B152">
        <x:v>400000</x:v>
      </x:c>
      <x:c r="C152">
        <x:v>400000</x:v>
      </x:c>
      <x:c r="D152">
        <x:v>400000</x:v>
      </x:c>
      <x:c r="E152">
        <x:v>400000</x:v>
      </x:c>
      <x:c r="F152">
        <x:v>400000</x:v>
      </x:c>
      <x:c r="G152">
        <x:v>400000</x:v>
      </x:c>
      <x:c r="H152">
        <x:v>400000</x:v>
      </x:c>
      <x:c r="I152">
        <x:v>400000</x:v>
      </x:c>
      <x:c r="J152">
        <x:v>400000</x:v>
      </x:c>
      <x:c r="K152">
        <x:v>400000</x:v>
      </x:c>
      <x:c r="L152">
        <x:v>400000</x:v>
      </x:c>
      <x:c r="M152">
        <x:v>400000</x:v>
      </x:c>
    </x:row>
    <x:row r="153" spans="2:13">
      <x:c r="B153">
        <x:v>1850000</x:v>
      </x:c>
      <x:c r="C153">
        <x:v>1850000</x:v>
      </x:c>
      <x:c r="D153">
        <x:v>1850000</x:v>
      </x:c>
      <x:c r="E153">
        <x:v>1850000</x:v>
      </x:c>
      <x:c r="F153">
        <x:v>1850000</x:v>
      </x:c>
      <x:c r="G153">
        <x:v>1850000</x:v>
      </x:c>
      <x:c r="H153">
        <x:v>1850000</x:v>
      </x:c>
      <x:c r="I153">
        <x:v>1850000</x:v>
      </x:c>
      <x:c r="J153">
        <x:v>1850000</x:v>
      </x:c>
      <x:c r="K153">
        <x:v>1850000</x:v>
      </x:c>
      <x:c r="L153">
        <x:v>1850000</x:v>
      </x:c>
      <x:c r="M153">
        <x:v>1850000</x:v>
      </x:c>
    </x:row>
    <x:row r="154" spans="2:13">
      <x:c r="B154">
        <x:v>100000</x:v>
      </x:c>
      <x:c r="C154">
        <x:v>100000</x:v>
      </x:c>
      <x:c r="D154">
        <x:v>100000</x:v>
      </x:c>
      <x:c r="E154">
        <x:v>100000</x:v>
      </x:c>
      <x:c r="F154">
        <x:v>100000</x:v>
      </x:c>
      <x:c r="G154">
        <x:v>100000</x:v>
      </x:c>
      <x:c r="H154">
        <x:v>100000</x:v>
      </x:c>
      <x:c r="I154">
        <x:v>100000</x:v>
      </x:c>
      <x:c r="J154">
        <x:v>100000</x:v>
      </x:c>
      <x:c r="K154">
        <x:v>100000</x:v>
      </x:c>
      <x:c r="L154">
        <x:v>100000</x:v>
      </x:c>
      <x:c r="M154">
        <x:v>100000</x:v>
      </x:c>
    </x:row>
    <x:row r="155" spans="2:13">
      <x:c r="B155">
        <x:v>700000</x:v>
      </x:c>
      <x:c r="C155">
        <x:v>700000</x:v>
      </x:c>
      <x:c r="D155">
        <x:v>700000</x:v>
      </x:c>
      <x:c r="E155">
        <x:v>700000</x:v>
      </x:c>
      <x:c r="F155">
        <x:v>700000</x:v>
      </x:c>
      <x:c r="G155">
        <x:v>700000</x:v>
      </x:c>
      <x:c r="H155">
        <x:v>700000</x:v>
      </x:c>
      <x:c r="I155">
        <x:v>700000</x:v>
      </x:c>
      <x:c r="J155">
        <x:v>700000</x:v>
      </x:c>
      <x:c r="K155">
        <x:v>700000</x:v>
      </x:c>
      <x:c r="L155">
        <x:v>700000</x:v>
      </x:c>
      <x:c r="M155">
        <x:v>700000</x:v>
      </x:c>
    </x:row>
    <x:row r="156" spans="2:13">
      <x:c r="B156">
        <x:v>300000</x:v>
      </x:c>
      <x:c r="C156">
        <x:v>300000</x:v>
      </x:c>
      <x:c r="D156">
        <x:v>300000</x:v>
      </x:c>
      <x:c r="E156">
        <x:v>300000</x:v>
      </x:c>
      <x:c r="F156">
        <x:v>300000</x:v>
      </x:c>
      <x:c r="G156">
        <x:v>300000</x:v>
      </x:c>
      <x:c r="H156">
        <x:v>300000</x:v>
      </x:c>
      <x:c r="I156">
        <x:v>300000</x:v>
      </x:c>
      <x:c r="J156">
        <x:v>300000</x:v>
      </x:c>
      <x:c r="K156">
        <x:v>300000</x:v>
      </x:c>
      <x:c r="L156">
        <x:v>300000</x:v>
      </x:c>
      <x:c r="M156">
        <x:v>300000</x:v>
      </x:c>
    </x:row>
    <x:row r="157" spans="2:13">
      <x:c r="B157">
        <x:v>0</x:v>
      </x:c>
      <x:c r="C157">
        <x:v>0</x:v>
      </x:c>
      <x:c r="D157">
        <x:v>20000000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  <x:c r="L157">
        <x:v>0</x:v>
      </x:c>
      <x:c r="M157">
        <x:v>0</x:v>
      </x:c>
    </x:row>
    <x:row r="158" spans="2:13">
      <x:c r="B158">
        <x:v>730000</x:v>
      </x:c>
      <x:c r="C158">
        <x:v>730000</x:v>
      </x:c>
      <x:c r="D158">
        <x:v>730000</x:v>
      </x:c>
      <x:c r="E158">
        <x:v>730000</x:v>
      </x:c>
      <x:c r="F158">
        <x:v>730000</x:v>
      </x:c>
      <x:c r="G158">
        <x:v>730000</x:v>
      </x:c>
      <x:c r="H158">
        <x:v>730000</x:v>
      </x:c>
      <x:c r="I158">
        <x:v>730000</x:v>
      </x:c>
      <x:c r="J158">
        <x:v>730000</x:v>
      </x:c>
      <x:c r="K158">
        <x:v>730000</x:v>
      </x:c>
      <x:c r="L158">
        <x:v>730000</x:v>
      </x:c>
      <x:c r="M158">
        <x:v>730000</x:v>
      </x:c>
    </x:row>
    <x:row r="159" spans="2:13">
      <x:c r="B159">
        <x:v>0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5882500</x:v>
      </x:c>
      <x:c r="L159">
        <x:v>0</x:v>
      </x:c>
      <x:c r="M159">
        <x:v>0</x:v>
      </x:c>
    </x:row>
    <x:row r="160" spans="2:13">
      <x:c r="B160">
        <x:v>0</x:v>
      </x:c>
      <x:c r="C160">
        <x:v>0</x:v>
      </x:c>
      <x:c r="D160">
        <x:v>4500000</x:v>
      </x:c>
      <x:c r="E160">
        <x:v>0</x:v>
      </x:c>
      <x:c r="F160">
        <x:v>0</x:v>
      </x:c>
      <x:c r="G160">
        <x:v>0</x:v>
      </x:c>
      <x:c r="H160">
        <x:v>4000000</x:v>
      </x:c>
      <x:c r="I160">
        <x:v>0</x:v>
      </x:c>
      <x:c r="J160">
        <x:v>0</x:v>
      </x:c>
      <x:c r="K160">
        <x:v>0</x:v>
      </x:c>
      <x:c r="L160">
        <x:v>0</x:v>
      </x:c>
      <x:c r="M160">
        <x:v>0</x:v>
      </x:c>
    </x:row>
    <x:row r="161" spans="2:13">
      <x:c r="B161">
        <x:v>0</x:v>
      </x:c>
      <x:c r="C161">
        <x:v>300000</x:v>
      </x:c>
      <x:c r="D161">
        <x:v>0</x:v>
      </x:c>
      <x:c r="E161">
        <x:v>300000</x:v>
      </x:c>
      <x:c r="F161">
        <x:v>0</x:v>
      </x:c>
      <x:c r="G161">
        <x:v>300000</x:v>
      </x:c>
      <x:c r="H161">
        <x:v>0</x:v>
      </x:c>
      <x:c r="I161">
        <x:v>300000</x:v>
      </x:c>
      <x:c r="J161">
        <x:v>0</x:v>
      </x:c>
      <x:c r="K161">
        <x:v>300000</x:v>
      </x:c>
      <x:c r="L161">
        <x:v>0</x:v>
      </x:c>
      <x:c r="M161">
        <x:v>300000</x:v>
      </x:c>
    </x:row>
    <x:row r="162" spans="2:13">
      <x:c r="B162">
        <x:v>468000</x:v>
      </x:c>
      <x:c r="C162">
        <x:v>468000</x:v>
      </x:c>
      <x:c r="D162">
        <x:v>468000</x:v>
      </x:c>
      <x:c r="E162">
        <x:v>468000</x:v>
      </x:c>
      <x:c r="F162">
        <x:v>468000</x:v>
      </x:c>
      <x:c r="G162">
        <x:v>468000</x:v>
      </x:c>
      <x:c r="H162">
        <x:v>468000</x:v>
      </x:c>
      <x:c r="I162">
        <x:v>468000</x:v>
      </x:c>
      <x:c r="J162">
        <x:v>468000</x:v>
      </x:c>
      <x:c r="K162">
        <x:v>468000</x:v>
      </x:c>
      <x:c r="L162">
        <x:v>468000</x:v>
      </x:c>
      <x:c r="M162">
        <x:v>468000</x:v>
      </x:c>
    </x:row>
    <x:row r="163" spans="2:13">
      <x:c r="B163">
        <x:v>47439000</x:v>
      </x:c>
      <x:c r="C163">
        <x:v>47439000</x:v>
      </x:c>
      <x:c r="D163">
        <x:v>47439000</x:v>
      </x:c>
      <x:c r="E163">
        <x:v>47439000</x:v>
      </x:c>
      <x:c r="F163">
        <x:v>47439000</x:v>
      </x:c>
      <x:c r="G163">
        <x:v>47439000</x:v>
      </x:c>
      <x:c r="H163">
        <x:v>47439000</x:v>
      </x:c>
      <x:c r="I163">
        <x:v>47439000</x:v>
      </x:c>
      <x:c r="J163">
        <x:v>47439000</x:v>
      </x:c>
      <x:c r="K163">
        <x:v>47439000</x:v>
      </x:c>
      <x:c r="L163">
        <x:v>47439000</x:v>
      </x:c>
      <x:c r="M163">
        <x:v>47439000</x:v>
      </x:c>
    </x:row>
    <x:row r="164" spans="2:13">
      <x:c r="B164">
        <x:v>170000</x:v>
      </x:c>
      <x:c r="C164">
        <x:v>170000</x:v>
      </x:c>
      <x:c r="D164">
        <x:v>170000</x:v>
      </x:c>
      <x:c r="E164">
        <x:v>170000</x:v>
      </x:c>
      <x:c r="F164">
        <x:v>170000</x:v>
      </x:c>
      <x:c r="G164">
        <x:v>170000</x:v>
      </x:c>
      <x:c r="H164">
        <x:v>170000</x:v>
      </x:c>
      <x:c r="I164">
        <x:v>170000</x:v>
      </x:c>
      <x:c r="J164">
        <x:v>170000</x:v>
      </x:c>
      <x:c r="K164">
        <x:v>170000</x:v>
      </x:c>
      <x:c r="L164">
        <x:v>170000</x:v>
      </x:c>
      <x:c r="M164">
        <x:v>170000</x:v>
      </x:c>
    </x:row>
    <x:row r="165" spans="2:13">
      <x:c r="B165">
        <x:v>200000</x:v>
      </x:c>
      <x:c r="C165">
        <x:v>200000</x:v>
      </x:c>
      <x:c r="D165">
        <x:v>200000</x:v>
      </x:c>
      <x:c r="E165">
        <x:v>200000</x:v>
      </x:c>
      <x:c r="F165">
        <x:v>200000</x:v>
      </x:c>
      <x:c r="G165">
        <x:v>200000</x:v>
      </x:c>
      <x:c r="H165">
        <x:v>200000</x:v>
      </x:c>
      <x:c r="I165">
        <x:v>200000</x:v>
      </x:c>
      <x:c r="J165">
        <x:v>200000</x:v>
      </x:c>
      <x:c r="K165">
        <x:v>200000</x:v>
      </x:c>
      <x:c r="L165">
        <x:v>200000</x:v>
      </x:c>
      <x:c r="M165">
        <x:v>200000</x:v>
      </x:c>
    </x:row>
    <x:row r="166" spans="2:13">
      <x:c r="B166">
        <x:v>200000</x:v>
      </x:c>
      <x:c r="C166">
        <x:v>200000</x:v>
      </x:c>
      <x:c r="D166">
        <x:v>200000</x:v>
      </x:c>
      <x:c r="E166">
        <x:v>200000</x:v>
      </x:c>
      <x:c r="F166">
        <x:v>200000</x:v>
      </x:c>
      <x:c r="G166">
        <x:v>200000</x:v>
      </x:c>
      <x:c r="H166">
        <x:v>200000</x:v>
      </x:c>
      <x:c r="I166">
        <x:v>200000</x:v>
      </x:c>
      <x:c r="J166">
        <x:v>200000</x:v>
      </x:c>
      <x:c r="K166">
        <x:v>200000</x:v>
      </x:c>
      <x:c r="L166">
        <x:v>200000</x:v>
      </x:c>
      <x:c r="M166">
        <x:v>200000</x:v>
      </x:c>
    </x:row>
    <x:row r="167" spans="2:13">
      <x:c r="B167">
        <x:v>7820</x:v>
      </x:c>
      <x:c r="C167">
        <x:v>7820</x:v>
      </x:c>
      <x:c r="D167">
        <x:v>7820</x:v>
      </x:c>
      <x:c r="E167">
        <x:v>7820</x:v>
      </x:c>
      <x:c r="F167">
        <x:v>7820</x:v>
      </x:c>
      <x:c r="G167">
        <x:v>7820</x:v>
      </x:c>
      <x:c r="H167">
        <x:v>7820</x:v>
      </x:c>
      <x:c r="I167">
        <x:v>7820</x:v>
      </x:c>
      <x:c r="J167">
        <x:v>7820</x:v>
      </x:c>
      <x:c r="K167">
        <x:v>7820</x:v>
      </x:c>
      <x:c r="L167">
        <x:v>7820</x:v>
      </x:c>
      <x:c r="M167">
        <x:v>7820</x:v>
      </x:c>
    </x:row>
    <x:row r="168" spans="2:13">
      <x:c r="B168">
        <x:v>916880.41666666663</x:v>
      </x:c>
      <x:c r="C168">
        <x:v>916880.41666666663</x:v>
      </x:c>
      <x:c r="D168">
        <x:v>916880.41666666663</x:v>
      </x:c>
      <x:c r="E168">
        <x:v>916880.41666666663</x:v>
      </x:c>
      <x:c r="F168">
        <x:v>916880.41666666663</x:v>
      </x:c>
      <x:c r="G168">
        <x:v>916880.41666666663</x:v>
      </x:c>
      <x:c r="H168">
        <x:v>916880.41666666663</x:v>
      </x:c>
      <x:c r="I168">
        <x:v>916880.41666666663</x:v>
      </x:c>
      <x:c r="J168">
        <x:v>916880.41666666663</x:v>
      </x:c>
      <x:c r="K168">
        <x:v>916880.41666666663</x:v>
      </x:c>
      <x:c r="L168">
        <x:v>916880.41666666663</x:v>
      </x:c>
      <x:c r="M168">
        <x:v>916880.41666666663</x:v>
      </x:c>
    </x:row>
    <x:row r="169" spans="2:13">
      <x:c r="B169">
        <x:v>20704044.565763135</x:v>
      </x:c>
      <x:c r="C169">
        <x:v>20704044.565763135</x:v>
      </x:c>
      <x:c r="D169">
        <x:v>20704044.565763135</x:v>
      </x:c>
      <x:c r="E169">
        <x:v>20704044.565763135</x:v>
      </x:c>
      <x:c r="F169">
        <x:v>20704044.565763135</x:v>
      </x:c>
      <x:c r="G169">
        <x:v>20704044.565763135</x:v>
      </x:c>
      <x:c r="H169">
        <x:v>20704044.565763135</x:v>
      </x:c>
      <x:c r="I169">
        <x:v>20704044.565763135</x:v>
      </x:c>
      <x:c r="J169">
        <x:v>20704044.565763135</x:v>
      </x:c>
      <x:c r="K169">
        <x:v>20704044.565763135</x:v>
      </x:c>
      <x:c r="L169">
        <x:v>20704044.565763135</x:v>
      </x:c>
      <x:c r="M169">
        <x:v>20704044.565763135</x:v>
      </x:c>
    </x:row>
    <x:row r="170" spans="2:13">
      <x:c r="B170">
        <x:v>50954649.415753081</x:v>
      </x:c>
      <x:c r="C170">
        <x:v>50954649.415753081</x:v>
      </x:c>
      <x:c r="D170">
        <x:v>50954649.415753081</x:v>
      </x:c>
      <x:c r="E170">
        <x:v>50954649.415753081</x:v>
      </x:c>
      <x:c r="F170">
        <x:v>50954649.415753081</x:v>
      </x:c>
      <x:c r="G170">
        <x:v>50954649.415753081</x:v>
      </x:c>
      <x:c r="H170">
        <x:v>50954649.415753081</x:v>
      </x:c>
      <x:c r="I170">
        <x:v>50954649.415753081</x:v>
      </x:c>
      <x:c r="J170">
        <x:v>50954649.415753081</x:v>
      </x:c>
      <x:c r="K170">
        <x:v>50954649.415753081</x:v>
      </x:c>
      <x:c r="L170">
        <x:v>50954649.415753081</x:v>
      </x:c>
      <x:c r="M170">
        <x:v>50954649.415753081</x:v>
      </x:c>
    </x:row>
    <x:row r="171" spans="2:13">
      <x:c r="B171">
        <x:v>50000</x:v>
      </x:c>
      <x:c r="C171">
        <x:v>50000</x:v>
      </x:c>
      <x:c r="D171">
        <x:v>50000</x:v>
      </x:c>
      <x:c r="E171">
        <x:v>50000</x:v>
      </x:c>
      <x:c r="F171">
        <x:v>50000</x:v>
      </x:c>
      <x:c r="G171">
        <x:v>50000</x:v>
      </x:c>
      <x:c r="H171">
        <x:v>50000</x:v>
      </x:c>
      <x:c r="I171">
        <x:v>50000</x:v>
      </x:c>
      <x:c r="J171">
        <x:v>50000</x:v>
      </x:c>
      <x:c r="K171">
        <x:v>50000</x:v>
      </x:c>
      <x:c r="L171">
        <x:v>50000</x:v>
      </x:c>
      <x:c r="M171">
        <x:v>50000</x:v>
      </x:c>
    </x:row>
    <x:row r="172" spans="2:13">
      <x:c r="B172">
        <x:v>4200000</x:v>
      </x:c>
      <x:c r="C172">
        <x:v>4200000</x:v>
      </x:c>
      <x:c r="D172">
        <x:v>4200000</x:v>
      </x:c>
      <x:c r="E172">
        <x:v>4200000</x:v>
      </x:c>
      <x:c r="F172">
        <x:v>4200000</x:v>
      </x:c>
      <x:c r="G172">
        <x:v>4200000</x:v>
      </x:c>
      <x:c r="H172">
        <x:v>4200000</x:v>
      </x:c>
      <x:c r="I172">
        <x:v>4200000</x:v>
      </x:c>
      <x:c r="J172">
        <x:v>4200000</x:v>
      </x:c>
      <x:c r="K172">
        <x:v>4200000</x:v>
      </x:c>
      <x:c r="L172">
        <x:v>4200000</x:v>
      </x:c>
      <x:c r="M172">
        <x:v>4200000</x:v>
      </x:c>
    </x:row>
    <x:row r="173" spans="2:13">
      <x:c r="B173">
        <x:v>1200000</x:v>
      </x:c>
      <x:c r="C173">
        <x:v>1200000</x:v>
      </x:c>
      <x:c r="D173">
        <x:v>1200000</x:v>
      </x:c>
      <x:c r="E173">
        <x:v>1200000</x:v>
      </x:c>
      <x:c r="F173">
        <x:v>1200000</x:v>
      </x:c>
      <x:c r="G173">
        <x:v>1200000</x:v>
      </x:c>
      <x:c r="H173">
        <x:v>1200000</x:v>
      </x:c>
      <x:c r="I173">
        <x:v>1200000</x:v>
      </x:c>
      <x:c r="J173">
        <x:v>1200000</x:v>
      </x:c>
      <x:c r="K173">
        <x:v>1200000</x:v>
      </x:c>
      <x:c r="L173">
        <x:v>1200000</x:v>
      </x:c>
      <x:c r="M173">
        <x:v>1200000</x:v>
      </x:c>
    </x:row>
    <x:row r="174" spans="2:13">
      <x:c r="B174">
        <x:v>180000</x:v>
      </x:c>
      <x:c r="C174">
        <x:v>180000</x:v>
      </x:c>
      <x:c r="D174">
        <x:v>180000</x:v>
      </x:c>
      <x:c r="E174">
        <x:v>180000</x:v>
      </x:c>
      <x:c r="F174">
        <x:v>180000</x:v>
      </x:c>
      <x:c r="G174">
        <x:v>180000</x:v>
      </x:c>
      <x:c r="H174">
        <x:v>180000</x:v>
      </x:c>
      <x:c r="I174">
        <x:v>180000</x:v>
      </x:c>
      <x:c r="J174">
        <x:v>180000</x:v>
      </x:c>
      <x:c r="K174">
        <x:v>180000</x:v>
      </x:c>
      <x:c r="L174">
        <x:v>180000</x:v>
      </x:c>
      <x:c r="M174">
        <x:v>180000</x:v>
      </x:c>
    </x:row>
    <x:row r="175" spans="2:13">
      <x:c r="B175">
        <x:v>556362</x:v>
      </x:c>
      <x:c r="C175">
        <x:v>556362</x:v>
      </x:c>
      <x:c r="D175">
        <x:v>556362</x:v>
      </x:c>
      <x:c r="E175">
        <x:v>556362</x:v>
      </x:c>
      <x:c r="F175">
        <x:v>556362</x:v>
      </x:c>
      <x:c r="G175">
        <x:v>556362</x:v>
      </x:c>
      <x:c r="H175">
        <x:v>556362</x:v>
      </x:c>
      <x:c r="I175">
        <x:v>556362</x:v>
      </x:c>
      <x:c r="J175">
        <x:v>556362</x:v>
      </x:c>
      <x:c r="K175">
        <x:v>556362</x:v>
      </x:c>
      <x:c r="L175">
        <x:v>556362</x:v>
      </x:c>
      <x:c r="M175">
        <x:v>556362</x:v>
      </x:c>
    </x:row>
    <x:row r="176" spans="2:13">
      <x:c r="B176">
        <x:v>1119551</x:v>
      </x:c>
      <x:c r="C176">
        <x:v>1119551</x:v>
      </x:c>
      <x:c r="D176">
        <x:v>1119551</x:v>
      </x:c>
      <x:c r="E176">
        <x:v>1119551</x:v>
      </x:c>
      <x:c r="F176">
        <x:v>1119551</x:v>
      </x:c>
      <x:c r="G176">
        <x:v>1119551</x:v>
      </x:c>
      <x:c r="H176">
        <x:v>1119551</x:v>
      </x:c>
      <x:c r="I176">
        <x:v>1119551</x:v>
      </x:c>
      <x:c r="J176">
        <x:v>1119551</x:v>
      </x:c>
      <x:c r="K176">
        <x:v>1119551</x:v>
      </x:c>
      <x:c r="L176">
        <x:v>1119551</x:v>
      </x:c>
      <x:c r="M176">
        <x:v>1119551</x:v>
      </x:c>
    </x:row>
    <x:row r="177" spans="2:13">
      <x:c r="B177">
        <x:v>87273</x:v>
      </x:c>
      <x:c r="C177">
        <x:v>87273</x:v>
      </x:c>
      <x:c r="D177">
        <x:v>87273</x:v>
      </x:c>
      <x:c r="E177">
        <x:v>87273</x:v>
      </x:c>
      <x:c r="F177">
        <x:v>87273</x:v>
      </x:c>
      <x:c r="G177">
        <x:v>87273</x:v>
      </x:c>
      <x:c r="H177">
        <x:v>87273</x:v>
      </x:c>
      <x:c r="I177">
        <x:v>87273</x:v>
      </x:c>
      <x:c r="J177">
        <x:v>87273</x:v>
      </x:c>
      <x:c r="K177">
        <x:v>87273</x:v>
      </x:c>
      <x:c r="L177">
        <x:v>87273</x:v>
      </x:c>
      <x:c r="M177">
        <x:v>87273</x:v>
      </x:c>
    </x:row>
    <x:row r="178" spans="2:13">
      <x:c r="B178">
        <x:v>30819</x:v>
      </x:c>
      <x:c r="C178">
        <x:v>30819</x:v>
      </x:c>
      <x:c r="D178">
        <x:v>30819</x:v>
      </x:c>
      <x:c r="E178">
        <x:v>30819</x:v>
      </x:c>
      <x:c r="F178">
        <x:v>30819</x:v>
      </x:c>
      <x:c r="G178">
        <x:v>30819</x:v>
      </x:c>
      <x:c r="H178">
        <x:v>30819</x:v>
      </x:c>
      <x:c r="I178">
        <x:v>30819</x:v>
      </x:c>
      <x:c r="J178">
        <x:v>30819</x:v>
      </x:c>
      <x:c r="K178">
        <x:v>30819</x:v>
      </x:c>
      <x:c r="L178">
        <x:v>30819</x:v>
      </x:c>
      <x:c r="M178">
        <x:v>30819</x:v>
      </x:c>
    </x:row>
    <x:row r="179" spans="2:13">
      <x:c r="B179">
        <x:v>624001</x:v>
      </x:c>
      <x:c r="C179">
        <x:v>624001</x:v>
      </x:c>
      <x:c r="D179">
        <x:v>624001</x:v>
      </x:c>
      <x:c r="E179">
        <x:v>624001</x:v>
      </x:c>
      <x:c r="F179">
        <x:v>624001</x:v>
      </x:c>
      <x:c r="G179">
        <x:v>624001</x:v>
      </x:c>
      <x:c r="H179">
        <x:v>624001</x:v>
      </x:c>
      <x:c r="I179">
        <x:v>624001</x:v>
      </x:c>
      <x:c r="J179">
        <x:v>624001</x:v>
      </x:c>
      <x:c r="K179">
        <x:v>624001</x:v>
      </x:c>
      <x:c r="L179">
        <x:v>624001</x:v>
      </x:c>
      <x:c r="M179">
        <x:v>624001</x:v>
      </x:c>
    </x:row>
    <x:row r="180" spans="2:13">
      <x:c r="B180">
        <x:v>927000</x:v>
      </x:c>
      <x:c r="C180">
        <x:v>927000</x:v>
      </x:c>
      <x:c r="D180">
        <x:v>927000</x:v>
      </x:c>
      <x:c r="E180">
        <x:v>927000</x:v>
      </x:c>
      <x:c r="F180">
        <x:v>927000</x:v>
      </x:c>
      <x:c r="G180">
        <x:v>927000</x:v>
      </x:c>
      <x:c r="H180">
        <x:v>927000</x:v>
      </x:c>
      <x:c r="I180">
        <x:v>927000</x:v>
      </x:c>
      <x:c r="J180">
        <x:v>927000</x:v>
      </x:c>
      <x:c r="K180">
        <x:v>927000</x:v>
      </x:c>
      <x:c r="L180">
        <x:v>927000</x:v>
      </x:c>
      <x:c r="M180">
        <x:v>927000</x:v>
      </x:c>
    </x:row>
    <x:row r="181" spans="2:13">
      <x:c r="B181">
        <x:v>2329999</x:v>
      </x:c>
      <x:c r="C181">
        <x:v>2329999</x:v>
      </x:c>
      <x:c r="D181">
        <x:v>2329999</x:v>
      </x:c>
      <x:c r="E181">
        <x:v>2329999</x:v>
      </x:c>
      <x:c r="F181">
        <x:v>2329999</x:v>
      </x:c>
      <x:c r="G181">
        <x:v>2329999</x:v>
      </x:c>
      <x:c r="H181">
        <x:v>2329999</x:v>
      </x:c>
      <x:c r="I181">
        <x:v>2329999</x:v>
      </x:c>
      <x:c r="J181">
        <x:v>2329999</x:v>
      </x:c>
      <x:c r="K181">
        <x:v>2329999</x:v>
      </x:c>
      <x:c r="L181">
        <x:v>2329999</x:v>
      </x:c>
      <x:c r="M181">
        <x:v>2329999</x:v>
      </x:c>
    </x:row>
    <x:row r="182" spans="2:13">
      <x:c r="B182">
        <x:v>1021661</x:v>
      </x:c>
      <x:c r="C182">
        <x:v>1021661</x:v>
      </x:c>
      <x:c r="D182">
        <x:v>1021661</x:v>
      </x:c>
      <x:c r="E182">
        <x:v>1021661</x:v>
      </x:c>
      <x:c r="F182">
        <x:v>1021661</x:v>
      </x:c>
      <x:c r="G182">
        <x:v>1021661</x:v>
      </x:c>
      <x:c r="H182">
        <x:v>1021661</x:v>
      </x:c>
      <x:c r="I182">
        <x:v>1021661</x:v>
      </x:c>
      <x:c r="J182">
        <x:v>1021661</x:v>
      </x:c>
      <x:c r="K182">
        <x:v>1021661</x:v>
      </x:c>
      <x:c r="L182">
        <x:v>1021661</x:v>
      </x:c>
      <x:c r="M182">
        <x:v>1021661</x:v>
      </x:c>
    </x:row>
    <x:row r="183" spans="2:13">
      <x:c r="B183">
        <x:v>2415000</x:v>
      </x:c>
      <x:c r="C183">
        <x:v>2415000</x:v>
      </x:c>
      <x:c r="D183">
        <x:v>2415000</x:v>
      </x:c>
      <x:c r="E183">
        <x:v>2415000</x:v>
      </x:c>
      <x:c r="F183">
        <x:v>2415000</x:v>
      </x:c>
      <x:c r="G183">
        <x:v>2415000</x:v>
      </x:c>
      <x:c r="H183">
        <x:v>2415000</x:v>
      </x:c>
      <x:c r="I183">
        <x:v>2415000</x:v>
      </x:c>
      <x:c r="J183">
        <x:v>2415000</x:v>
      </x:c>
      <x:c r="K183">
        <x:v>2415000</x:v>
      </x:c>
      <x:c r="L183">
        <x:v>2415000</x:v>
      </x:c>
      <x:c r="M183">
        <x:v>2415000</x:v>
      </x:c>
    </x:row>
    <x:row r="184" spans="2:13">
      <x:c r="B184">
        <x:v>2649999</x:v>
      </x:c>
      <x:c r="C184">
        <x:v>2649999</x:v>
      </x:c>
      <x:c r="D184">
        <x:v>2649999</x:v>
      </x:c>
      <x:c r="E184">
        <x:v>2649999</x:v>
      </x:c>
      <x:c r="F184">
        <x:v>2649999</x:v>
      </x:c>
      <x:c r="G184">
        <x:v>2649999</x:v>
      </x:c>
      <x:c r="H184">
        <x:v>2649999</x:v>
      </x:c>
      <x:c r="I184">
        <x:v>2649999</x:v>
      </x:c>
      <x:c r="J184">
        <x:v>2649999</x:v>
      </x:c>
      <x:c r="K184">
        <x:v>2649999</x:v>
      </x:c>
      <x:c r="L184">
        <x:v>2649999</x:v>
      </x:c>
      <x:c r="M184">
        <x:v>2649999</x:v>
      </x:c>
    </x:row>
    <x:row r="185" spans="2:13">
      <x:c r="B185">
        <x:v>980000</x:v>
      </x:c>
      <x:c r="C185">
        <x:v>980000</x:v>
      </x:c>
      <x:c r="D185">
        <x:v>980000</x:v>
      </x:c>
      <x:c r="E185">
        <x:v>980000</x:v>
      </x:c>
      <x:c r="F185">
        <x:v>980000</x:v>
      </x:c>
      <x:c r="G185">
        <x:v>980000</x:v>
      </x:c>
      <x:c r="H185">
        <x:v>980000</x:v>
      </x:c>
      <x:c r="I185">
        <x:v>980000</x:v>
      </x:c>
      <x:c r="J185">
        <x:v>980000</x:v>
      </x:c>
      <x:c r="K185">
        <x:v>980000</x:v>
      </x:c>
      <x:c r="L185">
        <x:v>980000</x:v>
      </x:c>
      <x:c r="M185">
        <x:v>980000</x:v>
      </x:c>
    </x:row>
    <x:row r="186" spans="2:13">
      <x:c r="B186">
        <x:v>46200</x:v>
      </x:c>
      <x:c r="C186">
        <x:v>46200</x:v>
      </x:c>
      <x:c r="D186">
        <x:v>46200</x:v>
      </x:c>
      <x:c r="E186">
        <x:v>46200</x:v>
      </x:c>
      <x:c r="F186">
        <x:v>46200</x:v>
      </x:c>
      <x:c r="G186">
        <x:v>46200</x:v>
      </x:c>
      <x:c r="H186">
        <x:v>46200</x:v>
      </x:c>
      <x:c r="I186">
        <x:v>46200</x:v>
      </x:c>
      <x:c r="J186">
        <x:v>46200</x:v>
      </x:c>
      <x:c r="K186">
        <x:v>46200</x:v>
      </x:c>
      <x:c r="L186">
        <x:v>46200</x:v>
      </x:c>
      <x:c r="M186">
        <x:v>46200</x:v>
      </x:c>
    </x:row>
    <x:row r="187" spans="2:13">
      <x:c r="B187">
        <x:v>90000</x:v>
      </x:c>
      <x:c r="C187">
        <x:v>90000</x:v>
      </x:c>
      <x:c r="D187">
        <x:v>90000</x:v>
      </x:c>
      <x:c r="E187">
        <x:v>90000</x:v>
      </x:c>
      <x:c r="F187">
        <x:v>90000</x:v>
      </x:c>
      <x:c r="G187">
        <x:v>90000</x:v>
      </x:c>
      <x:c r="H187">
        <x:v>90000</x:v>
      </x:c>
      <x:c r="I187">
        <x:v>90000</x:v>
      </x:c>
      <x:c r="J187">
        <x:v>90000</x:v>
      </x:c>
      <x:c r="K187">
        <x:v>90000</x:v>
      </x:c>
      <x:c r="L187">
        <x:v>90000</x:v>
      </x:c>
      <x:c r="M187">
        <x:v>90000</x:v>
      </x:c>
    </x:row>
    <x:row r="188" spans="2:13">
      <x:c r="B188">
        <x:v>90000</x:v>
      </x:c>
      <x:c r="C188">
        <x:v>90000</x:v>
      </x:c>
      <x:c r="D188">
        <x:v>90000</x:v>
      </x:c>
      <x:c r="E188">
        <x:v>90000</x:v>
      </x:c>
      <x:c r="F188">
        <x:v>90000</x:v>
      </x:c>
      <x:c r="G188">
        <x:v>90000</x:v>
      </x:c>
      <x:c r="H188">
        <x:v>90000</x:v>
      </x:c>
      <x:c r="I188">
        <x:v>90000</x:v>
      </x:c>
      <x:c r="J188">
        <x:v>90000</x:v>
      </x:c>
      <x:c r="K188">
        <x:v>90000</x:v>
      </x:c>
      <x:c r="L188">
        <x:v>90000</x:v>
      </x:c>
      <x:c r="M188">
        <x:v>90000</x:v>
      </x:c>
    </x:row>
    <x:row r="189" spans="2:13">
      <x:c r="B189">
        <x:v>90000</x:v>
      </x:c>
      <x:c r="C189">
        <x:v>90000</x:v>
      </x:c>
      <x:c r="D189">
        <x:v>90000</x:v>
      </x:c>
      <x:c r="E189">
        <x:v>90000</x:v>
      </x:c>
      <x:c r="F189">
        <x:v>90000</x:v>
      </x:c>
      <x:c r="G189">
        <x:v>90000</x:v>
      </x:c>
      <x:c r="H189">
        <x:v>90000</x:v>
      </x:c>
      <x:c r="I189">
        <x:v>90000</x:v>
      </x:c>
      <x:c r="J189">
        <x:v>90000</x:v>
      </x:c>
      <x:c r="K189">
        <x:v>90000</x:v>
      </x:c>
      <x:c r="L189">
        <x:v>90000</x:v>
      </x:c>
      <x:c r="M189">
        <x:v>90000</x:v>
      </x:c>
    </x:row>
    <x:row r="190" spans="2:13">
      <x:c r="B190">
        <x:v>205000</x:v>
      </x:c>
      <x:c r="C190">
        <x:v>205000</x:v>
      </x:c>
      <x:c r="D190">
        <x:v>205000</x:v>
      </x:c>
      <x:c r="E190">
        <x:v>205000</x:v>
      </x:c>
      <x:c r="F190">
        <x:v>205000</x:v>
      </x:c>
      <x:c r="G190">
        <x:v>205000</x:v>
      </x:c>
      <x:c r="H190">
        <x:v>205000</x:v>
      </x:c>
      <x:c r="I190">
        <x:v>205000</x:v>
      </x:c>
      <x:c r="J190">
        <x:v>205000</x:v>
      </x:c>
      <x:c r="K190">
        <x:v>205000</x:v>
      </x:c>
      <x:c r="L190">
        <x:v>205000</x:v>
      </x:c>
      <x:c r="M190">
        <x:v>205000</x:v>
      </x:c>
    </x:row>
    <x:row r="191" spans="2:13">
      <x:c r="B191">
        <x:v>90000</x:v>
      </x:c>
      <x:c r="C191">
        <x:v>90000</x:v>
      </x:c>
      <x:c r="D191">
        <x:v>90000</x:v>
      </x:c>
      <x:c r="E191">
        <x:v>90000</x:v>
      </x:c>
      <x:c r="F191">
        <x:v>90000</x:v>
      </x:c>
      <x:c r="G191">
        <x:v>90000</x:v>
      </x:c>
      <x:c r="H191">
        <x:v>90000</x:v>
      </x:c>
      <x:c r="I191">
        <x:v>90000</x:v>
      </x:c>
      <x:c r="J191">
        <x:v>90000</x:v>
      </x:c>
      <x:c r="K191">
        <x:v>90000</x:v>
      </x:c>
      <x:c r="L191">
        <x:v>90000</x:v>
      </x:c>
      <x:c r="M191">
        <x:v>90000</x:v>
      </x:c>
    </x:row>
    <x:row r="192" spans="2:13">
      <x:c r="B192">
        <x:v>7421.5555555555557</x:v>
      </x:c>
      <x:c r="C192">
        <x:v>7421.5555555555557</x:v>
      </x:c>
      <x:c r="D192">
        <x:v>7421.5555555555557</x:v>
      </x:c>
      <x:c r="E192">
        <x:v>7421.5555555555557</x:v>
      </x:c>
      <x:c r="F192">
        <x:v>7421.5555555555557</x:v>
      </x:c>
      <x:c r="G192">
        <x:v>7421.5555555555557</x:v>
      </x:c>
      <x:c r="H192">
        <x:v>7421.5555555555557</x:v>
      </x:c>
      <x:c r="I192">
        <x:v>7421.5555555555557</x:v>
      </x:c>
      <x:c r="J192">
        <x:v>7421.5555555555557</x:v>
      </x:c>
      <x:c r="K192">
        <x:v>7421.5555555555557</x:v>
      </x:c>
      <x:c r="L192">
        <x:v>7421.5555555555557</x:v>
      </x:c>
      <x:c r="M192">
        <x:v>7421.5555555555557</x:v>
      </x:c>
    </x:row>
    <x:row r="193" spans="2:13">
      <x:c r="B193">
        <x:v>136997.77777777778</x:v>
      </x:c>
      <x:c r="C193">
        <x:v>136997.77777777778</x:v>
      </x:c>
      <x:c r="D193">
        <x:v>136997.77777777778</x:v>
      </x:c>
      <x:c r="E193">
        <x:v>136997.77777777778</x:v>
      </x:c>
      <x:c r="F193">
        <x:v>136997.77777777778</x:v>
      </x:c>
      <x:c r="G193">
        <x:v>136997.77777777778</x:v>
      </x:c>
      <x:c r="H193">
        <x:v>136997.77777777778</x:v>
      </x:c>
      <x:c r="I193">
        <x:v>136997.77777777778</x:v>
      </x:c>
      <x:c r="J193">
        <x:v>136997.77777777778</x:v>
      </x:c>
      <x:c r="K193">
        <x:v>136997.77777777778</x:v>
      </x:c>
      <x:c r="L193">
        <x:v>136997.77777777778</x:v>
      </x:c>
      <x:c r="M193">
        <x:v>136997.77777777778</x:v>
      </x:c>
    </x:row>
    <x:row r="194" spans="2:13">
      <x:c r="B194">
        <x:v>92075</x:v>
      </x:c>
      <x:c r="C194">
        <x:v>92075</x:v>
      </x:c>
      <x:c r="D194">
        <x:v>92075</x:v>
      </x:c>
      <x:c r="E194">
        <x:v>92075</x:v>
      </x:c>
      <x:c r="F194">
        <x:v>92075</x:v>
      </x:c>
      <x:c r="G194">
        <x:v>92075</x:v>
      </x:c>
      <x:c r="H194">
        <x:v>92075</x:v>
      </x:c>
      <x:c r="I194">
        <x:v>92075</x:v>
      </x:c>
      <x:c r="J194">
        <x:v>92075</x:v>
      </x:c>
      <x:c r="K194">
        <x:v>92075</x:v>
      </x:c>
      <x:c r="L194">
        <x:v>92075</x:v>
      </x:c>
      <x:c r="M194">
        <x:v>92075</x:v>
      </x:c>
    </x:row>
    <x:row r="195" spans="2:13">
      <x:c r="B195">
        <x:v>593277.66666666663</x:v>
      </x:c>
      <x:c r="C195">
        <x:v>593277.66666666663</x:v>
      </x:c>
      <x:c r="D195">
        <x:v>593277.66666666663</x:v>
      </x:c>
      <x:c r="E195">
        <x:v>593277.66666666663</x:v>
      </x:c>
      <x:c r="F195">
        <x:v>593277.66666666663</x:v>
      </x:c>
      <x:c r="G195">
        <x:v>593277.66666666663</x:v>
      </x:c>
      <x:c r="H195">
        <x:v>593277.66666666663</x:v>
      </x:c>
      <x:c r="I195">
        <x:v>593277.66666666663</x:v>
      </x:c>
      <x:c r="J195">
        <x:v>593277.66666666663</x:v>
      </x:c>
      <x:c r="K195">
        <x:v>593277.66666666663</x:v>
      </x:c>
      <x:c r="L195">
        <x:v>593277.66666666663</x:v>
      </x:c>
      <x:c r="M195">
        <x:v>593277.66666666663</x:v>
      </x:c>
    </x:row>
    <x:row r="196" spans="2:13">
      <x:c r="B196">
        <x:v>37060</x:v>
      </x:c>
      <x:c r="C196">
        <x:v>37060</x:v>
      </x:c>
      <x:c r="D196">
        <x:v>37060</x:v>
      </x:c>
      <x:c r="E196">
        <x:v>37060</x:v>
      </x:c>
      <x:c r="F196">
        <x:v>37060</x:v>
      </x:c>
      <x:c r="G196">
        <x:v>37060</x:v>
      </x:c>
      <x:c r="H196">
        <x:v>37060</x:v>
      </x:c>
      <x:c r="I196">
        <x:v>37060</x:v>
      </x:c>
      <x:c r="J196">
        <x:v>37060</x:v>
      </x:c>
      <x:c r="K196">
        <x:v>37060</x:v>
      </x:c>
      <x:c r="L196">
        <x:v>37060</x:v>
      </x:c>
      <x:c r="M196">
        <x:v>37060</x:v>
      </x:c>
    </x:row>
    <x:row r="197" spans="2:13">
      <x:c r="B197">
        <x:v>72550</x:v>
      </x:c>
      <x:c r="C197">
        <x:v>72550</x:v>
      </x:c>
      <x:c r="D197">
        <x:v>72550</x:v>
      </x:c>
      <x:c r="E197">
        <x:v>72550</x:v>
      </x:c>
      <x:c r="F197">
        <x:v>72550</x:v>
      </x:c>
      <x:c r="G197">
        <x:v>72550</x:v>
      </x:c>
      <x:c r="H197">
        <x:v>72550</x:v>
      </x:c>
      <x:c r="I197">
        <x:v>72550</x:v>
      </x:c>
      <x:c r="J197">
        <x:v>72550</x:v>
      </x:c>
      <x:c r="K197">
        <x:v>72550</x:v>
      </x:c>
      <x:c r="L197">
        <x:v>72550</x:v>
      </x:c>
      <x:c r="M197">
        <x:v>72550</x:v>
      </x:c>
    </x:row>
    <x:row r="198" spans="2:13">
      <x:c r="B198">
        <x:v>30882</x:v>
      </x:c>
      <x:c r="C198">
        <x:v>30882</x:v>
      </x:c>
      <x:c r="D198">
        <x:v>30882</x:v>
      </x:c>
      <x:c r="E198">
        <x:v>30882</x:v>
      </x:c>
      <x:c r="F198">
        <x:v>30882</x:v>
      </x:c>
      <x:c r="G198">
        <x:v>30882</x:v>
      </x:c>
      <x:c r="H198">
        <x:v>30882</x:v>
      </x:c>
      <x:c r="I198">
        <x:v>30882</x:v>
      </x:c>
      <x:c r="J198">
        <x:v>30882</x:v>
      </x:c>
      <x:c r="K198">
        <x:v>30882</x:v>
      </x:c>
      <x:c r="L198">
        <x:v>30882</x:v>
      </x:c>
      <x:c r="M198">
        <x:v>30882</x:v>
      </x:c>
    </x:row>
    <x:row r="199" spans="2:13">
      <x:c r="B199">
        <x:v>436816</x:v>
      </x:c>
      <x:c r="C199">
        <x:v>436816</x:v>
      </x:c>
      <x:c r="D199">
        <x:v>436816</x:v>
      </x:c>
      <x:c r="E199">
        <x:v>436816</x:v>
      </x:c>
      <x:c r="F199">
        <x:v>436816</x:v>
      </x:c>
      <x:c r="G199">
        <x:v>436816</x:v>
      </x:c>
      <x:c r="H199">
        <x:v>436816</x:v>
      </x:c>
      <x:c r="I199">
        <x:v>436816</x:v>
      </x:c>
      <x:c r="J199">
        <x:v>436816</x:v>
      </x:c>
      <x:c r="K199">
        <x:v>436816</x:v>
      </x:c>
      <x:c r="L199">
        <x:v>436816</x:v>
      </x:c>
      <x:c r="M199">
        <x:v>436816</x:v>
      </x:c>
    </x:row>
    <x:row r="200" spans="2:13">
      <x:c r="B200">
        <x:v>3500</x:v>
      </x:c>
      <x:c r="C200">
        <x:v>3500</x:v>
      </x:c>
      <x:c r="D200">
        <x:v>3500</x:v>
      </x:c>
      <x:c r="E200">
        <x:v>3500</x:v>
      </x:c>
      <x:c r="F200">
        <x:v>3500</x:v>
      </x:c>
      <x:c r="G200">
        <x:v>3500</x:v>
      </x:c>
      <x:c r="H200">
        <x:v>3500</x:v>
      </x:c>
      <x:c r="I200">
        <x:v>3500</x:v>
      </x:c>
      <x:c r="J200">
        <x:v>3500</x:v>
      </x:c>
      <x:c r="K200">
        <x:v>3500</x:v>
      </x:c>
      <x:c r="L200">
        <x:v>3500</x:v>
      </x:c>
      <x:c r="M200">
        <x:v>3500</x:v>
      </x:c>
    </x:row>
    <x:row r="201" spans="2:13">
      <x:c r="B201">
        <x:v>0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1628000</x:v>
      </x:c>
      <x:c r="K201">
        <x:v>0</x:v>
      </x:c>
      <x:c r="L201">
        <x:v>0</x:v>
      </x:c>
      <x:c r="M201">
        <x:v>0</x:v>
      </x:c>
    </x:row>
    <x:row r="202" spans="2:13">
      <x:c r="B202">
        <x:v>0</x:v>
      </x:c>
      <x:c r="C202">
        <x:v>5277273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4931818</x:v>
      </x:c>
      <x:c r="K202">
        <x:v>0</x:v>
      </x:c>
      <x:c r="L202">
        <x:v>0</x:v>
      </x:c>
      <x:c r="M202">
        <x:v>0</x:v>
      </x:c>
    </x:row>
    <x:row r="203" spans="2:13">
      <x:c r="B203">
        <x:v>46200000</x:v>
      </x:c>
      <x:c r="C203">
        <x:v>36960000</x:v>
      </x:c>
      <x:c r="D203">
        <x:v>48510000</x:v>
      </x:c>
      <x:c r="E203">
        <x:v>50820000</x:v>
      </x:c>
      <x:c r="F203">
        <x:v>41580000</x:v>
      </x:c>
      <x:c r="G203">
        <x:v>48510000</x:v>
      </x:c>
      <x:c r="H203">
        <x:v>53130000</x:v>
      </x:c>
      <x:c r="I203">
        <x:v>34650000</x:v>
      </x:c>
      <x:c r="J203">
        <x:v>42180000</x:v>
      </x:c>
      <x:c r="K203">
        <x:v>46200000</x:v>
      </x:c>
      <x:c r="L203">
        <x:v>48510000</x:v>
      </x:c>
      <x:c r="M203">
        <x:v>50820000</x:v>
      </x:c>
    </x:row>
    <x:row r="204" spans="2:13">
      <x:c r="B204">
        <x:v>-15246000</x:v>
      </x:c>
      <x:c r="C204">
        <x:v>-12196800</x:v>
      </x:c>
      <x:c r="D204">
        <x:v>-16008300</x:v>
      </x:c>
      <x:c r="E204">
        <x:v>-16770600</x:v>
      </x:c>
      <x:c r="F204">
        <x:v>-13721400</x:v>
      </x:c>
      <x:c r="G204">
        <x:v>-16008300</x:v>
      </x:c>
      <x:c r="H204">
        <x:v>-17532900</x:v>
      </x:c>
      <x:c r="I204">
        <x:v>-11434500</x:v>
      </x:c>
      <x:c r="J204">
        <x:v>-13919400</x:v>
      </x:c>
      <x:c r="K204">
        <x:v>-15246000</x:v>
      </x:c>
      <x:c r="L204">
        <x:v>-16008300</x:v>
      </x:c>
      <x:c r="M204">
        <x:v>-16770600</x:v>
      </x:c>
    </x:row>
    <x:row r="205" spans="2:13">
      <x:c r="B205">
        <x:v>-10626000</x:v>
      </x:c>
      <x:c r="C205">
        <x:v>-8500800</x:v>
      </x:c>
      <x:c r="D205">
        <x:v>-11157300</x:v>
      </x:c>
      <x:c r="E205">
        <x:v>-11688600</x:v>
      </x:c>
      <x:c r="F205">
        <x:v>-9563400</x:v>
      </x:c>
      <x:c r="G205">
        <x:v>-11157300</x:v>
      </x:c>
      <x:c r="H205">
        <x:v>-12219900</x:v>
      </x:c>
      <x:c r="I205">
        <x:v>-7969500</x:v>
      </x:c>
      <x:c r="J205">
        <x:v>-9701400</x:v>
      </x:c>
      <x:c r="K205">
        <x:v>-10626000</x:v>
      </x:c>
      <x:c r="L205">
        <x:v>-11157300</x:v>
      </x:c>
      <x:c r="M205">
        <x:v>-11688600</x:v>
      </x:c>
    </x:row>
    <x:row r="206" spans="2:13">
      <x:c r="B206">
        <x:v>0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  <x:c r="L206">
        <x:v>1460000</x:v>
      </x:c>
      <x:c r="M206">
        <x:v>0</x:v>
      </x:c>
    </x:row>
    <x:row r="207" spans="2:13">
      <x:c r="B207">
        <x:v>909090</x:v>
      </x:c>
      <x:c r="C207">
        <x:v>909090</x:v>
      </x:c>
      <x:c r="D207">
        <x:v>909090</x:v>
      </x:c>
      <x:c r="E207">
        <x:v>909090</x:v>
      </x:c>
      <x:c r="F207">
        <x:v>909090</x:v>
      </x:c>
      <x:c r="G207">
        <x:v>909090</x:v>
      </x:c>
      <x:c r="H207">
        <x:v>909090</x:v>
      </x:c>
      <x:c r="I207">
        <x:v>909090</x:v>
      </x:c>
      <x:c r="J207">
        <x:v>909090</x:v>
      </x:c>
      <x:c r="K207">
        <x:v>909090</x:v>
      </x:c>
      <x:c r="L207">
        <x:v>909090</x:v>
      </x:c>
      <x:c r="M207">
        <x:v>909090</x:v>
      </x:c>
    </x:row>
    <x:row r="208" spans="2:13">
      <x:c r="B208">
        <x:v>-299999.7</x:v>
      </x:c>
      <x:c r="C208">
        <x:v>-299999.7</x:v>
      </x:c>
      <x:c r="D208">
        <x:v>-299999.7</x:v>
      </x:c>
      <x:c r="E208">
        <x:v>-299999.7</x:v>
      </x:c>
      <x:c r="F208">
        <x:v>-299999.7</x:v>
      </x:c>
      <x:c r="G208">
        <x:v>-299999.7</x:v>
      </x:c>
      <x:c r="H208">
        <x:v>-299999.7</x:v>
      </x:c>
      <x:c r="I208">
        <x:v>-299999.7</x:v>
      </x:c>
      <x:c r="J208">
        <x:v>-299999.7</x:v>
      </x:c>
      <x:c r="K208">
        <x:v>-299999.7</x:v>
      </x:c>
      <x:c r="L208">
        <x:v>-299999.7</x:v>
      </x:c>
      <x:c r="M208">
        <x:v>-299999.7</x:v>
      </x:c>
    </x:row>
    <x:row r="209" spans="2:13">
      <x:c r="B209">
        <x:v>-209090.7</x:v>
      </x:c>
      <x:c r="C209">
        <x:v>-209090.7</x:v>
      </x:c>
      <x:c r="D209">
        <x:v>-209090.7</x:v>
      </x:c>
      <x:c r="E209">
        <x:v>-209090.7</x:v>
      </x:c>
      <x:c r="F209">
        <x:v>-209090.7</x:v>
      </x:c>
      <x:c r="G209">
        <x:v>-209090.7</x:v>
      </x:c>
      <x:c r="H209">
        <x:v>-209090.7</x:v>
      </x:c>
      <x:c r="I209">
        <x:v>-209090.7</x:v>
      </x:c>
      <x:c r="J209">
        <x:v>-209090.7</x:v>
      </x:c>
      <x:c r="K209">
        <x:v>-209090.7</x:v>
      </x:c>
      <x:c r="L209">
        <x:v>-209090.7</x:v>
      </x:c>
      <x:c r="M209">
        <x:v>-209090.7</x:v>
      </x:c>
    </x:row>
    <x:row r="210" spans="2:13">
      <x:c r="B210">
        <x:v>3488620</x:v>
      </x:c>
      <x:c r="C210">
        <x:v>3488620</x:v>
      </x:c>
      <x:c r="D210">
        <x:v>3488620</x:v>
      </x:c>
      <x:c r="E210">
        <x:v>3488620</x:v>
      </x:c>
      <x:c r="F210">
        <x:v>3488620</x:v>
      </x:c>
      <x:c r="G210">
        <x:v>3488620</x:v>
      </x:c>
      <x:c r="H210">
        <x:v>3488620</x:v>
      </x:c>
      <x:c r="I210">
        <x:v>3488620</x:v>
      </x:c>
      <x:c r="J210">
        <x:v>3488620</x:v>
      </x:c>
      <x:c r="K210">
        <x:v>3488620</x:v>
      </x:c>
      <x:c r="L210">
        <x:v>3488620</x:v>
      </x:c>
      <x:c r="M210">
        <x:v>3488620</x:v>
      </x:c>
    </x:row>
    <x:row r="211" spans="2:13">
      <x:c r="B211">
        <x:v>0</x:v>
      </x:c>
      <x:c r="C211">
        <x:v>0</x:v>
      </x:c>
      <x:c r="D211">
        <x:v>3000000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  <x:c r="L211">
        <x:v>0</x:v>
      </x:c>
      <x:c r="M211">
        <x:v>0</x:v>
      </x:c>
    </x:row>
    <x:row r="212" spans="2:13">
      <x:c r="B212">
        <x:v>18370055.290003113</x:v>
      </x:c>
      <x:c r="C212">
        <x:v>18370055.290003113</x:v>
      </x:c>
      <x:c r="D212">
        <x:v>18370055.290003113</x:v>
      </x:c>
      <x:c r="E212">
        <x:v>18370055.290003113</x:v>
      </x:c>
      <x:c r="F212">
        <x:v>18370055.290003113</x:v>
      </x:c>
      <x:c r="G212">
        <x:v>18370055.290003113</x:v>
      </x:c>
      <x:c r="H212">
        <x:v>18370055.290003113</x:v>
      </x:c>
      <x:c r="I212">
        <x:v>18370055.290003113</x:v>
      </x:c>
      <x:c r="J212">
        <x:v>18370055.290003113</x:v>
      </x:c>
      <x:c r="K212">
        <x:v>18370055.290003113</x:v>
      </x:c>
      <x:c r="L212">
        <x:v>18370055.290003113</x:v>
      </x:c>
      <x:c r="M212">
        <x:v>18370055.290003113</x:v>
      </x:c>
    </x:row>
    <x:row r="213" spans="2:13">
      <x:c r="B213">
        <x:v>-6062118.245701028</x:v>
      </x:c>
      <x:c r="C213">
        <x:v>-6062118.245701028</x:v>
      </x:c>
      <x:c r="D213">
        <x:v>-6062118.245701028</x:v>
      </x:c>
      <x:c r="E213">
        <x:v>-6062118.245701028</x:v>
      </x:c>
      <x:c r="F213">
        <x:v>-6062118.245701028</x:v>
      </x:c>
      <x:c r="G213">
        <x:v>-6062118.245701028</x:v>
      </x:c>
      <x:c r="H213">
        <x:v>-6062118.245701028</x:v>
      </x:c>
      <x:c r="I213">
        <x:v>-6062118.245701028</x:v>
      </x:c>
      <x:c r="J213">
        <x:v>-6062118.245701028</x:v>
      </x:c>
      <x:c r="K213">
        <x:v>-6062118.245701028</x:v>
      </x:c>
      <x:c r="L213">
        <x:v>-6062118.245701028</x:v>
      </x:c>
      <x:c r="M213">
        <x:v>-6062118.245701028</x:v>
      </x:c>
    </x:row>
    <x:row r="214" spans="2:13">
      <x:c r="B214">
        <x:v>-4225112.7167007159</x:v>
      </x:c>
      <x:c r="C214">
        <x:v>-4225112.7167007159</x:v>
      </x:c>
      <x:c r="D214">
        <x:v>-4225112.7167007159</x:v>
      </x:c>
      <x:c r="E214">
        <x:v>-4225112.7167007159</x:v>
      </x:c>
      <x:c r="F214">
        <x:v>-4225112.7167007159</x:v>
      </x:c>
      <x:c r="G214">
        <x:v>-4225112.7167007159</x:v>
      </x:c>
      <x:c r="H214">
        <x:v>-4225112.7167007159</x:v>
      </x:c>
      <x:c r="I214">
        <x:v>-4225112.7167007159</x:v>
      </x:c>
      <x:c r="J214">
        <x:v>-4225112.7167007159</x:v>
      </x:c>
      <x:c r="K214">
        <x:v>-4225112.7167007159</x:v>
      </x:c>
      <x:c r="L214">
        <x:v>-4225112.7167007159</x:v>
      </x:c>
      <x:c r="M214">
        <x:v>-4225112.7167007159</x:v>
      </x:c>
    </x:row>
    <x:row r="215" spans="2:13">
      <x:c r="B215">
        <x:v>100000</x:v>
      </x:c>
      <x:c r="C215">
        <x:v>100000</x:v>
      </x:c>
      <x:c r="D215">
        <x:v>100000</x:v>
      </x:c>
      <x:c r="E215">
        <x:v>100000</x:v>
      </x:c>
      <x:c r="F215">
        <x:v>100000</x:v>
      </x:c>
      <x:c r="G215">
        <x:v>100000</x:v>
      </x:c>
      <x:c r="H215">
        <x:v>100000</x:v>
      </x:c>
      <x:c r="I215">
        <x:v>100000</x:v>
      </x:c>
      <x:c r="J215">
        <x:v>100000</x:v>
      </x:c>
      <x:c r="K215">
        <x:v>100000</x:v>
      </x:c>
      <x:c r="L215">
        <x:v>100000</x:v>
      </x:c>
      <x:c r="M215">
        <x:v>100000</x:v>
      </x:c>
    </x:row>
    <x:row r="216" spans="2:13">
      <x:c r="B216">
        <x:v>100000</x:v>
      </x:c>
      <x:c r="C216">
        <x:v>100000</x:v>
      </x:c>
      <x:c r="D216">
        <x:v>100000</x:v>
      </x:c>
      <x:c r="E216">
        <x:v>100000</x:v>
      </x:c>
      <x:c r="F216">
        <x:v>100000</x:v>
      </x:c>
      <x:c r="G216">
        <x:v>100000</x:v>
      </x:c>
      <x:c r="H216">
        <x:v>100000</x:v>
      </x:c>
      <x:c r="I216">
        <x:v>100000</x:v>
      </x:c>
      <x:c r="J216">
        <x:v>100000</x:v>
      </x:c>
      <x:c r="K216">
        <x:v>100000</x:v>
      </x:c>
      <x:c r="L216">
        <x:v>100000</x:v>
      </x:c>
      <x:c r="M216">
        <x:v>100000</x:v>
      </x:c>
    </x:row>
    <x:row r="217" spans="2:13">
      <x:c r="B217">
        <x:v>100000</x:v>
      </x:c>
      <x:c r="C217">
        <x:v>100000</x:v>
      </x:c>
      <x:c r="D217">
        <x:v>100000</x:v>
      </x:c>
      <x:c r="E217">
        <x:v>100000</x:v>
      </x:c>
      <x:c r="F217">
        <x:v>100000</x:v>
      </x:c>
      <x:c r="G217">
        <x:v>100000</x:v>
      </x:c>
      <x:c r="H217">
        <x:v>100000</x:v>
      </x:c>
      <x:c r="I217">
        <x:v>100000</x:v>
      </x:c>
      <x:c r="J217">
        <x:v>100000</x:v>
      </x:c>
      <x:c r="K217">
        <x:v>100000</x:v>
      </x:c>
      <x:c r="L217">
        <x:v>100000</x:v>
      </x:c>
      <x:c r="M217">
        <x:v>100000</x:v>
      </x:c>
    </x:row>
    <x:row r="218" spans="2:13">
      <x:c r="B218">
        <x:v>100000</x:v>
      </x:c>
      <x:c r="C218">
        <x:v>100000</x:v>
      </x:c>
      <x:c r="D218">
        <x:v>100000</x:v>
      </x:c>
      <x:c r="E218">
        <x:v>100000</x:v>
      </x:c>
      <x:c r="F218">
        <x:v>100000</x:v>
      </x:c>
      <x:c r="G218">
        <x:v>100000</x:v>
      </x:c>
      <x:c r="H218">
        <x:v>100000</x:v>
      </x:c>
      <x:c r="I218">
        <x:v>100000</x:v>
      </x:c>
      <x:c r="J218">
        <x:v>100000</x:v>
      </x:c>
      <x:c r="K218">
        <x:v>100000</x:v>
      </x:c>
      <x:c r="L218">
        <x:v>100000</x:v>
      </x:c>
      <x:c r="M218">
        <x:v>100000</x:v>
      </x:c>
    </x:row>
    <x:row r="219" spans="2:13">
      <x:c r="B219">
        <x:v>0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11806592</x:v>
      </x:c>
      <x:c r="J219">
        <x:v>0</x:v>
      </x:c>
      <x:c r="K219">
        <x:v>0</x:v>
      </x:c>
      <x:c r="L219">
        <x:v>0</x:v>
      </x:c>
      <x:c r="M219">
        <x:v>0</x:v>
      </x:c>
    </x:row>
    <x:row r="220" spans="2:13">
      <x:c r="B220">
        <x:v>0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32487128</x:v>
      </x:c>
      <x:c r="J220">
        <x:v>0</x:v>
      </x:c>
      <x:c r="K220">
        <x:v>0</x:v>
      </x:c>
      <x:c r="L220">
        <x:v>0</x:v>
      </x:c>
      <x:c r="M220">
        <x:v>0</x:v>
      </x:c>
    </x:row>
    <x:row r="221" spans="2:13">
      <x:c r="B221">
        <x:v>0</x:v>
      </x:c>
      <x:c r="C221">
        <x:v>0</x:v>
      </x:c>
      <x:c r="D221">
        <x:v>60000</x:v>
      </x:c>
      <x:c r="E221">
        <x:v>0</x:v>
      </x:c>
      <x:c r="F221">
        <x:v>0</x:v>
      </x:c>
      <x:c r="G221">
        <x:v>60000</x:v>
      </x:c>
      <x:c r="H221">
        <x:v>0</x:v>
      </x:c>
      <x:c r="I221">
        <x:v>0</x:v>
      </x:c>
      <x:c r="J221">
        <x:v>60000</x:v>
      </x:c>
      <x:c r="K221">
        <x:v>0</x:v>
      </x:c>
      <x:c r="L221">
        <x:v>0</x:v>
      </x:c>
      <x:c r="M221">
        <x:v>60000</x:v>
      </x:c>
    </x:row>
    <x:row r="222" spans="2:13">
      <x:c r="B222">
        <x:v>0</x:v>
      </x:c>
      <x:c r="C222">
        <x:v>0</x:v>
      </x:c>
      <x:c r="D222">
        <x:v>15000</x:v>
      </x:c>
      <x:c r="E222">
        <x:v>0</x:v>
      </x:c>
      <x:c r="F222">
        <x:v>0</x:v>
      </x:c>
      <x:c r="G222">
        <x:v>15000</x:v>
      </x:c>
      <x:c r="H222">
        <x:v>0</x:v>
      </x:c>
      <x:c r="I222">
        <x:v>0</x:v>
      </x:c>
      <x:c r="J222">
        <x:v>15000</x:v>
      </x:c>
      <x:c r="K222">
        <x:v>0</x:v>
      </x:c>
      <x:c r="L222">
        <x:v>0</x:v>
      </x:c>
      <x:c r="M222">
        <x:v>15000</x:v>
      </x:c>
    </x:row>
    <x:row r="223" spans="2:13">
      <x:c r="B223">
        <x:v>0</x:v>
      </x:c>
      <x:c r="C223">
        <x:v>0</x:v>
      </x:c>
      <x:c r="D223">
        <x:v>0</x:v>
      </x:c>
      <x:c r="E223">
        <x:v>0</x:v>
      </x:c>
      <x:c r="F223">
        <x:v>0</x:v>
      </x:c>
      <x:c r="G223">
        <x:v>100000</x:v>
      </x:c>
      <x:c r="H223">
        <x:v>0</x:v>
      </x:c>
      <x:c r="I223">
        <x:v>0</x:v>
      </x:c>
      <x:c r="J223">
        <x:v>0</x:v>
      </x:c>
      <x:c r="K223">
        <x:v>0</x:v>
      </x:c>
      <x:c r="L223">
        <x:v>0</x:v>
      </x:c>
      <x:c r="M223">
        <x:v>100000</x:v>
      </x:c>
    </x:row>
    <x:row r="224" spans="2:13">
      <x:c r="B224">
        <x:v>0</x:v>
      </x:c>
      <x:c r="C224">
        <x:v>0</x:v>
      </x:c>
      <x:c r="D224">
        <x:v>0</x:v>
      </x:c>
      <x:c r="E224">
        <x:v>0</x:v>
      </x:c>
      <x:c r="F224">
        <x:v>0</x:v>
      </x:c>
      <x:c r="G224">
        <x:v>500000</x:v>
      </x:c>
      <x:c r="H224">
        <x:v>0</x:v>
      </x:c>
      <x:c r="I224">
        <x:v>0</x:v>
      </x:c>
      <x:c r="J224">
        <x:v>0</x:v>
      </x:c>
      <x:c r="K224">
        <x:v>0</x:v>
      </x:c>
      <x:c r="L224">
        <x:v>0</x:v>
      </x:c>
      <x:c r="M224">
        <x:v>500000</x:v>
      </x:c>
    </x:row>
    <x:row r="225" spans="2:13">
      <x:c r="B225">
        <x:v>0</x:v>
      </x:c>
      <x:c r="C225">
        <x:v>0</x:v>
      </x:c>
      <x:c r="D225">
        <x:v>0</x:v>
      </x:c>
      <x:c r="E225">
        <x:v>0</x:v>
      </x:c>
      <x:c r="F225">
        <x:v>565455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  <x:c r="L225">
        <x:v>0</x:v>
      </x:c>
      <x:c r="M225">
        <x:v>565455</x:v>
      </x:c>
    </x:row>
    <x:row r="226" spans="2:13">
      <x:c r="B226">
        <x:v>40000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40000</x:v>
      </x:c>
      <x:c r="I226">
        <x:v>0</x:v>
      </x:c>
      <x:c r="J226">
        <x:v>0</x:v>
      </x:c>
      <x:c r="K226">
        <x:v>40000</x:v>
      </x:c>
      <x:c r="L226">
        <x:v>0</x:v>
      </x:c>
      <x:c r="M226">
        <x:v>0</x:v>
      </x:c>
    </x:row>
    <x:row r="227" spans="2:13">
      <x:c r="B227">
        <x:v>640000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640000</x:v>
      </x:c>
      <x:c r="I227">
        <x:v>0</x:v>
      </x:c>
      <x:c r="J227">
        <x:v>0</x:v>
      </x:c>
      <x:c r="K227">
        <x:v>640000</x:v>
      </x:c>
      <x:c r="L227">
        <x:v>0</x:v>
      </x:c>
      <x:c r="M227">
        <x:v>0</x:v>
      </x:c>
    </x:row>
    <x:row r="228" spans="2:13">
      <x:c r="B228">
        <x:v>560000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560000</x:v>
      </x:c>
      <x:c r="I228">
        <x:v>0</x:v>
      </x:c>
      <x:c r="J228">
        <x:v>0</x:v>
      </x:c>
      <x:c r="K228">
        <x:v>560000</x:v>
      </x:c>
      <x:c r="L228">
        <x:v>0</x:v>
      </x:c>
      <x:c r="M228">
        <x:v>0</x:v>
      </x:c>
    </x:row>
    <x:row r="229" spans="2:13">
      <x:c r="B229">
        <x:v>320000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320000</x:v>
      </x:c>
      <x:c r="I229">
        <x:v>0</x:v>
      </x:c>
      <x:c r="J229">
        <x:v>0</x:v>
      </x:c>
      <x:c r="K229">
        <x:v>320000</x:v>
      </x:c>
      <x:c r="L229">
        <x:v>0</x:v>
      </x:c>
      <x:c r="M229">
        <x:v>0</x:v>
      </x:c>
    </x:row>
    <x:row r="230" spans="2:13">
      <x:c r="B230">
        <x:v>320000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320000</x:v>
      </x:c>
      <x:c r="I230">
        <x:v>0</x:v>
      </x:c>
      <x:c r="J230">
        <x:v>0</x:v>
      </x:c>
      <x:c r="K230">
        <x:v>320000</x:v>
      </x:c>
      <x:c r="L230">
        <x:v>0</x:v>
      </x:c>
      <x:c r="M230">
        <x:v>0</x:v>
      </x:c>
    </x:row>
    <x:row r="231" spans="2:13">
      <x:c r="B231">
        <x:v>0</x:v>
      </x:c>
      <x:c r="C231">
        <x:v>0</x:v>
      </x:c>
      <x:c r="D231">
        <x:v>0</x:v>
      </x:c>
      <x:c r="E231">
        <x:v>60000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  <x:c r="L231">
        <x:v>0</x:v>
      </x:c>
      <x:c r="M231">
        <x:v>60000</x:v>
      </x:c>
    </x:row>
    <x:row r="232" spans="2:13">
      <x:c r="B232">
        <x:v>0</x:v>
      </x:c>
      <x:c r="C232">
        <x:v>0</x:v>
      </x:c>
      <x:c r="D232">
        <x:v>0</x:v>
      </x:c>
      <x:c r="E232">
        <x:v>960000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  <x:c r="L232">
        <x:v>0</x:v>
      </x:c>
      <x:c r="M232">
        <x:v>960000</x:v>
      </x:c>
    </x:row>
    <x:row r="233" spans="2:13">
      <x:c r="B233">
        <x:v>0</x:v>
      </x:c>
      <x:c r="C233">
        <x:v>0</x:v>
      </x:c>
      <x:c r="D233">
        <x:v>0</x:v>
      </x:c>
      <x:c r="E233">
        <x:v>840000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  <x:c r="L233">
        <x:v>0</x:v>
      </x:c>
      <x:c r="M233">
        <x:v>840000</x:v>
      </x:c>
    </x:row>
    <x:row r="234" spans="2:13">
      <x:c r="B234">
        <x:v>0</x:v>
      </x:c>
      <x:c r="C234">
        <x:v>0</x:v>
      </x:c>
      <x:c r="D234">
        <x:v>0</x:v>
      </x:c>
      <x:c r="E234">
        <x:v>480000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  <x:c r="L234">
        <x:v>0</x:v>
      </x:c>
      <x:c r="M234">
        <x:v>480000</x:v>
      </x:c>
    </x:row>
    <x:row r="235" spans="2:13">
      <x:c r="B235">
        <x:v>0</x:v>
      </x:c>
      <x:c r="C235">
        <x:v>0</x:v>
      </x:c>
      <x:c r="D235">
        <x:v>0</x:v>
      </x:c>
      <x:c r="E235">
        <x:v>480000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  <x:c r="L235">
        <x:v>0</x:v>
      </x:c>
      <x:c r="M235">
        <x:v>480000</x:v>
      </x:c>
    </x:row>
    <x:row r="236" spans="2:13">
      <x:c r="B236">
        <x:v>0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  <x:c r="L236">
        <x:v>0</x:v>
      </x:c>
      <x:c r="M236">
        <x:v>500000</x:v>
      </x:c>
    </x:row>
    <x:row r="237" spans="2:13">
      <x:c r="B237">
        <x:v>0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  <x:c r="L237">
        <x:v>0</x:v>
      </x:c>
      <x:c r="M237">
        <x:v>500000</x:v>
      </x:c>
    </x:row>
    <x:row r="238" spans="2:13">
      <x:c r="B238">
        <x:v>0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  <x:c r="L238">
        <x:v>0</x:v>
      </x:c>
      <x:c r="M238">
        <x:v>500000</x:v>
      </x:c>
    </x:row>
    <x:row r="239" spans="2:13">
      <x:c r="B239">
        <x:v>0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  <x:c r="L239">
        <x:v>0</x:v>
      </x:c>
      <x:c r="M239">
        <x:v>500000</x:v>
      </x:c>
    </x:row>
    <x:row r="240" spans="2:13">
      <x:c r="B240">
        <x:v>0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  <x:c r="L240">
        <x:v>0</x:v>
      </x:c>
      <x:c r="M240">
        <x:v>20000000</x:v>
      </x:c>
    </x:row>
    <x:row r="241" spans="2:13">
      <x:c r="B241">
        <x:v>0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  <x:c r="L241">
        <x:v>0</x:v>
      </x:c>
      <x:c r="M241">
        <x:v>3500000</x:v>
      </x:c>
    </x:row>
    <x:row r="242" spans="2:13">
      <x:c r="B242">
        <x:v>0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  <x:c r="L242">
        <x:v>0</x:v>
      </x:c>
      <x:c r="M242">
        <x:v>3500000</x:v>
      </x:c>
    </x:row>
    <x:row r="243" spans="2:13">
      <x:c r="B243">
        <x:v>0</x:v>
      </x:c>
      <x:c r="C243">
        <x:v>0</x:v>
      </x:c>
      <x:c r="D243">
        <x:v>95160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  <x:c r="L243">
        <x:v>0</x:v>
      </x:c>
      <x:c r="M243">
        <x:v>0</x:v>
      </x:c>
    </x:row>
    <x:row r="244" spans="2:13">
      <x:c r="B244">
        <x:v>0</x:v>
      </x:c>
      <x:c r="C244">
        <x:v>0</x:v>
      </x:c>
      <x:c r="D244">
        <x:v>95160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  <x:c r="L244">
        <x:v>0</x:v>
      </x:c>
      <x:c r="M244">
        <x:v>0</x:v>
      </x:c>
    </x:row>
    <x:row r="245" spans="2:13">
      <x:c r="B245">
        <x:v>0</x:v>
      </x:c>
      <x:c r="C245">
        <x:v>0</x:v>
      </x:c>
      <x:c r="D245">
        <x:v>95160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  <x:c r="L245">
        <x:v>0</x:v>
      </x:c>
      <x:c r="M245">
        <x:v>0</x:v>
      </x:c>
    </x:row>
    <x:row r="246" spans="2:13">
      <x:c r="B246">
        <x:v>0</x:v>
      </x:c>
      <x:c r="C246">
        <x:v>0</x:v>
      </x:c>
      <x:c r="D246">
        <x:v>95160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  <x:c r="L246">
        <x:v>0</x:v>
      </x:c>
      <x:c r="M246">
        <x:v>0</x:v>
      </x:c>
    </x:row>
    <x:row r="247" spans="2:13">
      <x:c r="B247">
        <x:v>0</x:v>
      </x:c>
      <x:c r="C247">
        <x:v>0</x:v>
      </x:c>
      <x:c r="D247">
        <x:v>95160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  <x:c r="L247">
        <x:v>0</x:v>
      </x:c>
      <x:c r="M247">
        <x:v>0</x:v>
      </x:c>
    </x:row>
    <x:row r="248" spans="2:13">
      <x:c r="B248">
        <x:v>0</x:v>
      </x:c>
      <x:c r="C248">
        <x:v>0</x:v>
      </x:c>
      <x:c r="D248">
        <x:v>1332240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  <x:c r="L248">
        <x:v>0</x:v>
      </x:c>
      <x:c r="M248">
        <x:v>0</x:v>
      </x:c>
    </x:row>
    <x:row r="249" spans="2:13">
      <x:c r="B249">
        <x:v>0</x:v>
      </x:c>
      <x:c r="C249">
        <x:v>0</x:v>
      </x:c>
      <x:c r="D249">
        <x:v>666120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  <x:c r="L249">
        <x:v>0</x:v>
      </x:c>
      <x:c r="M249">
        <x:v>0</x:v>
      </x:c>
    </x:row>
    <x:row r="250" spans="2:13">
      <x:c r="B250">
        <x:v>0</x:v>
      </x:c>
      <x:c r="C250">
        <x:v>0</x:v>
      </x:c>
      <x:c r="D250">
        <x:v>666120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  <x:c r="L250">
        <x:v>0</x:v>
      </x:c>
      <x:c r="M250">
        <x:v>0</x:v>
      </x:c>
    </x:row>
    <x:row r="251" spans="2:13">
      <x:c r="B251">
        <x:v>0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  <x:c r="L251">
        <x:v>0</x:v>
      </x:c>
      <x:c r="M251">
        <x:v>2400000</x:v>
      </x:c>
    </x:row>
    <x:row r="252" spans="2:13">
      <x:c r="B252">
        <x:v>0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  <x:c r="L252">
        <x:v>0</x:v>
      </x:c>
      <x:c r="M252">
        <x:v>1200000</x:v>
      </x:c>
    </x:row>
    <x:row r="253" spans="2:13">
      <x:c r="B253">
        <x:v>0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  <x:c r="L253">
        <x:v>0</x:v>
      </x:c>
      <x:c r="M253">
        <x:v>1800000</x:v>
      </x:c>
    </x:row>
    <x:row r="254" spans="2:13">
      <x:c r="B254">
        <x:v>0</x:v>
      </x:c>
      <x:c r="C254">
        <x:v>0</x:v>
      </x:c>
      <x:c r="D254">
        <x:v>0</x:v>
      </x:c>
      <x:c r="E254">
        <x:v>3470000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  <x:c r="L254">
        <x:v>3470000</x:v>
      </x:c>
      <x:c r="M254">
        <x:v>0</x:v>
      </x:c>
    </x:row>
    <x:row r="255" spans="2:13">
      <x:c r="B255">
        <x:v>50000</x:v>
      </x:c>
      <x:c r="C255">
        <x:v>200000</x:v>
      </x:c>
      <x:c r="D255">
        <x:v>200000</x:v>
      </x:c>
      <x:c r="E255">
        <x:v>50000</x:v>
      </x:c>
      <x:c r="F255">
        <x:v>50000</x:v>
      </x:c>
      <x:c r="G255">
        <x:v>200000</x:v>
      </x:c>
      <x:c r="H255">
        <x:v>50000</x:v>
      </x:c>
      <x:c r="I255">
        <x:v>50000</x:v>
      </x:c>
      <x:c r="J255">
        <x:v>200000</x:v>
      </x:c>
      <x:c r="K255">
        <x:v>50000</x:v>
      </x:c>
      <x:c r="L255">
        <x:v>50000</x:v>
      </x:c>
      <x:c r="M255">
        <x:v>350000</x:v>
      </x:c>
    </x:row>
    <x:row r="256" spans="2:13">
      <x:c r="B256">
        <x:v>0</x:v>
      </x:c>
      <x:c r="C256">
        <x:v>0</x:v>
      </x:c>
      <x:c r="D256">
        <x:v>0</x:v>
      </x:c>
      <x:c r="E256">
        <x:v>0</x:v>
      </x:c>
      <x:c r="F256">
        <x:v>20000000</x:v>
      </x:c>
      <x:c r="G256">
        <x:v>0</x:v>
      </x:c>
      <x:c r="H256">
        <x:v>0</x:v>
      </x:c>
      <x:c r="I256">
        <x:v>0</x:v>
      </x:c>
      <x:c r="J256">
        <x:v>0</x:v>
      </x:c>
      <x:c r="K256">
        <x:v>3000000</x:v>
      </x:c>
      <x:c r="L256">
        <x:v>0</x:v>
      </x:c>
      <x:c r="M256">
        <x:v>0</x:v>
      </x:c>
    </x:row>
    <x:row r="257" spans="2:13">
      <x:c r="B257">
        <x:v>0</x:v>
      </x:c>
      <x:c r="C257">
        <x:v>0</x:v>
      </x:c>
      <x:c r="D257">
        <x:v>0</x:v>
      </x:c>
      <x:c r="E257">
        <x:v>0</x:v>
      </x:c>
      <x:c r="F257">
        <x:v>10000000</x:v>
      </x:c>
      <x:c r="G257">
        <x:v>0</x:v>
      </x:c>
      <x:c r="H257">
        <x:v>0</x:v>
      </x:c>
      <x:c r="I257">
        <x:v>0</x:v>
      </x:c>
      <x:c r="J257">
        <x:v>0</x:v>
      </x:c>
      <x:c r="K257">
        <x:v>1500000</x:v>
      </x:c>
      <x:c r="L257">
        <x:v>0</x:v>
      </x:c>
      <x:c r="M257">
        <x:v>0</x:v>
      </x:c>
    </x:row>
    <x:row r="258" spans="2:13">
      <x:c r="B258">
        <x:v>250000</x:v>
      </x:c>
      <x:c r="C258">
        <x:v>250000</x:v>
      </x:c>
      <x:c r="D258">
        <x:v>250000</x:v>
      </x:c>
      <x:c r="E258">
        <x:v>250000</x:v>
      </x:c>
      <x:c r="F258">
        <x:v>250000</x:v>
      </x:c>
      <x:c r="G258">
        <x:v>250000</x:v>
      </x:c>
      <x:c r="H258">
        <x:v>250000</x:v>
      </x:c>
      <x:c r="I258">
        <x:v>250000</x:v>
      </x:c>
      <x:c r="J258">
        <x:v>250000</x:v>
      </x:c>
      <x:c r="K258">
        <x:v>250000</x:v>
      </x:c>
      <x:c r="L258">
        <x:v>250000</x:v>
      </x:c>
      <x:c r="M258">
        <x:v>250000</x:v>
      </x:c>
    </x:row>
    <x:row r="259" spans="2:13">
      <x:c r="B259">
        <x:v>10000</x:v>
      </x:c>
      <x:c r="C259">
        <x:v>10000</x:v>
      </x:c>
      <x:c r="D259">
        <x:v>30000</x:v>
      </x:c>
      <x:c r="E259">
        <x:v>10000</x:v>
      </x:c>
      <x:c r="F259">
        <x:v>10000</x:v>
      </x:c>
      <x:c r="G259">
        <x:v>30000</x:v>
      </x:c>
      <x:c r="H259">
        <x:v>10000</x:v>
      </x:c>
      <x:c r="I259">
        <x:v>10000</x:v>
      </x:c>
      <x:c r="J259">
        <x:v>30000</x:v>
      </x:c>
      <x:c r="K259">
        <x:v>10000</x:v>
      </x:c>
      <x:c r="L259">
        <x:v>10000</x:v>
      </x:c>
      <x:c r="M259">
        <x:v>30000</x:v>
      </x:c>
    </x:row>
    <x:row r="260" spans="2:13">
      <x:c r="B260">
        <x:v>0</x:v>
      </x:c>
      <x:c r="C260">
        <x:v>0</x:v>
      </x:c>
      <x:c r="D260">
        <x:v>0</x:v>
      </x:c>
      <x:c r="E260">
        <x:v>50000</x:v>
      </x:c>
      <x:c r="F260">
        <x:v>0</x:v>
      </x:c>
      <x:c r="G260">
        <x:v>50000</x:v>
      </x:c>
      <x:c r="H260">
        <x:v>0</x:v>
      </x:c>
      <x:c r="I260">
        <x:v>0</x:v>
      </x:c>
      <x:c r="J260">
        <x:v>0</x:v>
      </x:c>
      <x:c r="K260">
        <x:v>0</x:v>
      </x:c>
      <x:c r="L260">
        <x:v>0</x:v>
      </x:c>
      <x:c r="M260">
        <x:v>0</x:v>
      </x:c>
    </x:row>
    <x:row r="261" spans="2:13">
      <x:c r="B261">
        <x:v>25000</x:v>
      </x:c>
      <x:c r="C261">
        <x:v>25000</x:v>
      </x:c>
      <x:c r="D261">
        <x:v>25000</x:v>
      </x:c>
      <x:c r="E261">
        <x:v>25000</x:v>
      </x:c>
      <x:c r="F261">
        <x:v>25000</x:v>
      </x:c>
      <x:c r="G261">
        <x:v>25000</x:v>
      </x:c>
      <x:c r="H261">
        <x:v>125000</x:v>
      </x:c>
      <x:c r="I261">
        <x:v>25000</x:v>
      </x:c>
      <x:c r="J261">
        <x:v>25000</x:v>
      </x:c>
      <x:c r="K261">
        <x:v>25000</x:v>
      </x:c>
      <x:c r="L261">
        <x:v>25000</x:v>
      </x:c>
      <x:c r="M261">
        <x:v>25000</x:v>
      </x:c>
    </x:row>
    <x:row r="262" spans="2:13">
      <x:c r="B262">
        <x:v>0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88000000</x:v>
      </x:c>
      <x:c r="I262">
        <x:v>0</x:v>
      </x:c>
      <x:c r="J262">
        <x:v>125000000</x:v>
      </x:c>
      <x:c r="K262">
        <x:v>0</x:v>
      </x:c>
      <x:c r="L262">
        <x:v>0</x:v>
      </x:c>
      <x:c r="M262">
        <x:v>0</x:v>
      </x:c>
    </x:row>
    <x:row r="263" spans="2:13">
      <x:c r="B263">
        <x:v>0</x:v>
      </x:c>
      <x:c r="C263">
        <x:v>0</x:v>
      </x:c>
      <x:c r="D263">
        <x:v>900000</x:v>
      </x:c>
      <x:c r="E263">
        <x:v>0</x:v>
      </x:c>
      <x:c r="F263">
        <x:v>0</x:v>
      </x:c>
      <x:c r="G263">
        <x:v>900000</x:v>
      </x:c>
      <x:c r="H263">
        <x:v>0</x:v>
      </x:c>
      <x:c r="I263">
        <x:v>0</x:v>
      </x:c>
      <x:c r="J263">
        <x:v>900000</x:v>
      </x:c>
      <x:c r="K263">
        <x:v>0</x:v>
      </x:c>
      <x:c r="L263">
        <x:v>0</x:v>
      </x:c>
      <x:c r="M263">
        <x:v>900000</x:v>
      </x:c>
    </x:row>
    <x:row r="264" spans="2:13">
      <x:c r="B264">
        <x:v>35000000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100000000</x:v>
      </x:c>
      <x:c r="I264">
        <x:v>0</x:v>
      </x:c>
      <x:c r="J264">
        <x:v>0</x:v>
      </x:c>
      <x:c r="K264">
        <x:v>100000000</x:v>
      </x:c>
      <x:c r="L264">
        <x:v>0</x:v>
      </x:c>
      <x:c r="M264">
        <x:v>55000000</x:v>
      </x:c>
    </x:row>
    <x:row r="265" spans="2:13">
      <x:c r="B265">
        <x:v>100000</x:v>
      </x:c>
      <x:c r="C265">
        <x:v>100000</x:v>
      </x:c>
      <x:c r="D265">
        <x:v>200000</x:v>
      </x:c>
      <x:c r="E265">
        <x:v>100000</x:v>
      </x:c>
      <x:c r="F265">
        <x:v>100000</x:v>
      </x:c>
      <x:c r="G265">
        <x:v>200000</x:v>
      </x:c>
      <x:c r="H265">
        <x:v>100000</x:v>
      </x:c>
      <x:c r="I265">
        <x:v>100000</x:v>
      </x:c>
      <x:c r="J265">
        <x:v>200000</x:v>
      </x:c>
      <x:c r="K265">
        <x:v>100000</x:v>
      </x:c>
      <x:c r="L265">
        <x:v>100000</x:v>
      </x:c>
      <x:c r="M265">
        <x:v>200000</x:v>
      </x:c>
    </x:row>
    <x:row r="266" spans="2:13">
      <x:c r="B266">
        <x:v>1500000</x:v>
      </x:c>
      <x:c r="C266">
        <x:v>3000000</x:v>
      </x:c>
      <x:c r="D266">
        <x:v>1500000</x:v>
      </x:c>
      <x:c r="E266">
        <x:v>1500000</x:v>
      </x:c>
      <x:c r="F266">
        <x:v>1500000</x:v>
      </x:c>
      <x:c r="G266">
        <x:v>1500000</x:v>
      </x:c>
      <x:c r="H266">
        <x:v>1500000</x:v>
      </x:c>
      <x:c r="I266">
        <x:v>1500000</x:v>
      </x:c>
      <x:c r="J266">
        <x:v>1500000</x:v>
      </x:c>
      <x:c r="K266">
        <x:v>1500000</x:v>
      </x:c>
      <x:c r="L266">
        <x:v>3000000</x:v>
      </x:c>
      <x:c r="M266">
        <x:v>1500000</x:v>
      </x:c>
    </x:row>
    <x:row r="267" spans="2:13">
      <x:c r="B267">
        <x:v>30000</x:v>
      </x:c>
      <x:c r="C267">
        <x:v>150000</x:v>
      </x:c>
      <x:c r="D267">
        <x:v>150000</x:v>
      </x:c>
      <x:c r="E267">
        <x:v>100000</x:v>
      </x:c>
      <x:c r="F267">
        <x:v>0</x:v>
      </x:c>
      <x:c r="G267">
        <x:v>150000</x:v>
      </x:c>
      <x:c r="H267">
        <x:v>0</x:v>
      </x:c>
      <x:c r="I267">
        <x:v>0</x:v>
      </x:c>
      <x:c r="J267">
        <x:v>150000</x:v>
      </x:c>
      <x:c r="K267">
        <x:v>150000</x:v>
      </x:c>
      <x:c r="L267">
        <x:v>100000</x:v>
      </x:c>
      <x:c r="M267">
        <x:v>150000</x:v>
      </x:c>
    </x:row>
    <x:row r="268" spans="2:13">
      <x:c r="B268">
        <x:v>230000</x:v>
      </x:c>
      <x:c r="C268">
        <x:v>200000</x:v>
      </x:c>
      <x:c r="D268">
        <x:v>200000</x:v>
      </x:c>
      <x:c r="E268">
        <x:v>200000</x:v>
      </x:c>
      <x:c r="F268">
        <x:v>200000</x:v>
      </x:c>
      <x:c r="G268">
        <x:v>200000</x:v>
      </x:c>
      <x:c r="H268">
        <x:v>200000</x:v>
      </x:c>
      <x:c r="I268">
        <x:v>200000</x:v>
      </x:c>
      <x:c r="J268">
        <x:v>200000</x:v>
      </x:c>
      <x:c r="K268">
        <x:v>200000</x:v>
      </x:c>
      <x:c r="L268">
        <x:v>200000</x:v>
      </x:c>
      <x:c r="M268">
        <x:v>130200000</x:v>
      </x:c>
    </x:row>
    <x:row r="269" spans="2:13">
      <x:c r="B269">
        <x:v>2100000</x:v>
      </x:c>
      <x:c r="C269">
        <x:v>2100000</x:v>
      </x:c>
      <x:c r="D269">
        <x:v>2100000</x:v>
      </x:c>
      <x:c r="E269">
        <x:v>2100000</x:v>
      </x:c>
      <x:c r="F269">
        <x:v>2100000</x:v>
      </x:c>
      <x:c r="G269">
        <x:v>2100000</x:v>
      </x:c>
      <x:c r="H269">
        <x:v>2100000</x:v>
      </x:c>
      <x:c r="I269">
        <x:v>2100000</x:v>
      </x:c>
      <x:c r="J269">
        <x:v>2100000</x:v>
      </x:c>
      <x:c r="K269">
        <x:v>2100000</x:v>
      </x:c>
      <x:c r="L269">
        <x:v>2100000</x:v>
      </x:c>
      <x:c r="M269">
        <x:v>2100000</x:v>
      </x:c>
    </x:row>
    <x:row r="270" spans="2:13">
      <x:c r="B270">
        <x:v>20000000</x:v>
      </x:c>
      <x:c r="C270">
        <x:v>0</x:v>
      </x:c>
      <x:c r="D270">
        <x:v>0</x:v>
      </x:c>
      <x:c r="E270">
        <x:v>37000000</x:v>
      </x:c>
      <x:c r="F270">
        <x:v>0</x:v>
      </x:c>
      <x:c r="G270">
        <x:v>0</x:v>
      </x:c>
      <x:c r="H270">
        <x:v>20000000</x:v>
      </x:c>
      <x:c r="I270">
        <x:v>0</x:v>
      </x:c>
      <x:c r="J270">
        <x:v>0</x:v>
      </x:c>
      <x:c r="K270">
        <x:v>20000000</x:v>
      </x:c>
      <x:c r="L270">
        <x:v>0</x:v>
      </x:c>
      <x:c r="M270">
        <x:v>0</x:v>
      </x:c>
    </x:row>
    <x:row r="271" spans="2:13">
      <x:c r="B271">
        <x:v>0</x:v>
      </x:c>
      <x:c r="C271">
        <x:v>0</x:v>
      </x:c>
      <x:c r="D271">
        <x:v>0</x:v>
      </x:c>
      <x:c r="E271">
        <x:v>33000000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  <x:c r="L271">
        <x:v>0</x:v>
      </x:c>
      <x:c r="M271">
        <x:v>0</x:v>
      </x:c>
    </x:row>
    <x:row r="272" spans="2:13">
      <x:c r="B272">
        <x:v>44500000</x:v>
      </x:c>
      <x:c r="C272">
        <x:v>44500000</x:v>
      </x:c>
      <x:c r="D272">
        <x:v>44500000</x:v>
      </x:c>
      <x:c r="E272">
        <x:v>44500000</x:v>
      </x:c>
      <x:c r="F272">
        <x:v>44500000</x:v>
      </x:c>
      <x:c r="G272">
        <x:v>44500000</x:v>
      </x:c>
      <x:c r="H272">
        <x:v>44500000</x:v>
      </x:c>
      <x:c r="I272">
        <x:v>44500000</x:v>
      </x:c>
      <x:c r="J272">
        <x:v>44500000</x:v>
      </x:c>
      <x:c r="K272">
        <x:v>44500000</x:v>
      </x:c>
      <x:c r="L272">
        <x:v>44500000</x:v>
      </x:c>
      <x:c r="M272">
        <x:v>44500000</x:v>
      </x:c>
    </x:row>
    <x:row r="273" spans="2:13">
      <x:c r="B273">
        <x:v>0</x:v>
      </x:c>
      <x:c r="C273">
        <x:v>0</x:v>
      </x:c>
      <x:c r="D273">
        <x:v>300000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  <x:c r="L273">
        <x:v>0</x:v>
      </x:c>
      <x:c r="M273">
        <x:v>0</x:v>
      </x:c>
    </x:row>
    <x:row r="274" spans="2:13">
      <x:c r="B274">
        <x:v>300000</x:v>
      </x:c>
      <x:c r="C274">
        <x:v>80000</x:v>
      </x:c>
      <x:c r="D274">
        <x:v>300000</x:v>
      </x:c>
      <x:c r="E274">
        <x:v>80000</x:v>
      </x:c>
      <x:c r="F274">
        <x:v>80000</x:v>
      </x:c>
      <x:c r="G274">
        <x:v>80000</x:v>
      </x:c>
      <x:c r="H274">
        <x:v>80000</x:v>
      </x:c>
      <x:c r="I274">
        <x:v>80000</x:v>
      </x:c>
      <x:c r="J274">
        <x:v>80000</x:v>
      </x:c>
      <x:c r="K274">
        <x:v>80000</x:v>
      </x:c>
      <x:c r="L274">
        <x:v>80000</x:v>
      </x:c>
      <x:c r="M274">
        <x:v>300000</x:v>
      </x:c>
    </x:row>
    <x:row r="275" spans="2:13">
      <x:c r="B275">
        <x:v>20000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20000</x:v>
      </x:c>
      <x:c r="I275">
        <x:v>0</x:v>
      </x:c>
      <x:c r="J275">
        <x:v>0</x:v>
      </x:c>
      <x:c r="K275">
        <x:v>0</x:v>
      </x:c>
      <x:c r="L275">
        <x:v>0</x:v>
      </x:c>
      <x:c r="M275">
        <x:v>60000</x:v>
      </x:c>
    </x:row>
    <x:row r="276" spans="2:13">
      <x:c r="B276">
        <x:v>0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100000</x:v>
      </x:c>
      <x:c r="I276">
        <x:v>0</x:v>
      </x:c>
      <x:c r="J276">
        <x:v>0</x:v>
      </x:c>
      <x:c r="K276">
        <x:v>0</x:v>
      </x:c>
      <x:c r="L276">
        <x:v>0</x:v>
      </x:c>
      <x:c r="M276">
        <x:v>0</x:v>
      </x:c>
    </x:row>
    <x:row r="277" spans="2:13">
      <x:c r="B277">
        <x:v>120000</x:v>
      </x:c>
      <x:c r="C277">
        <x:v>120000</x:v>
      </x:c>
      <x:c r="D277">
        <x:v>120000</x:v>
      </x:c>
      <x:c r="E277">
        <x:v>120000</x:v>
      </x:c>
      <x:c r="F277">
        <x:v>120000</x:v>
      </x:c>
      <x:c r="G277">
        <x:v>120000</x:v>
      </x:c>
      <x:c r="H277">
        <x:v>120000</x:v>
      </x:c>
      <x:c r="I277">
        <x:v>120000</x:v>
      </x:c>
      <x:c r="J277">
        <x:v>120000</x:v>
      </x:c>
      <x:c r="K277">
        <x:v>120000</x:v>
      </x:c>
      <x:c r="L277">
        <x:v>120000</x:v>
      </x:c>
      <x:c r="M277">
        <x:v>120000</x:v>
      </x:c>
    </x:row>
    <x:row r="278" spans="2:13">
      <x:c r="B278">
        <x:v>116525929</x:v>
      </x:c>
      <x:c r="C278">
        <x:v>116525929</x:v>
      </x:c>
      <x:c r="D278">
        <x:v>116525929</x:v>
      </x:c>
      <x:c r="E278">
        <x:v>116525929</x:v>
      </x:c>
      <x:c r="F278">
        <x:v>116525929</x:v>
      </x:c>
      <x:c r="G278">
        <x:v>116525928</x:v>
      </x:c>
      <x:c r="H278">
        <x:v>116525929</x:v>
      </x:c>
      <x:c r="I278">
        <x:v>116525929</x:v>
      </x:c>
      <x:c r="J278">
        <x:v>116525929</x:v>
      </x:c>
      <x:c r="K278">
        <x:v>116525929</x:v>
      </x:c>
      <x:c r="L278">
        <x:v>116525929</x:v>
      </x:c>
      <x:c r="M278">
        <x:v>116525928</x:v>
      </x:c>
    </x:row>
    <x:row r="279" spans="2:13">
      <x:c r="B279">
        <x:v>3759764</x:v>
      </x:c>
      <x:c r="C279">
        <x:v>3759764</x:v>
      </x:c>
      <x:c r="D279">
        <x:v>3759764</x:v>
      </x:c>
      <x:c r="E279">
        <x:v>3759765</x:v>
      </x:c>
      <x:c r="F279">
        <x:v>3759764</x:v>
      </x:c>
      <x:c r="G279">
        <x:v>3759764</x:v>
      </x:c>
      <x:c r="H279">
        <x:v>3759764</x:v>
      </x:c>
      <x:c r="I279">
        <x:v>3759765</x:v>
      </x:c>
      <x:c r="J279">
        <x:v>3759764</x:v>
      </x:c>
      <x:c r="K279">
        <x:v>3759764</x:v>
      </x:c>
      <x:c r="L279">
        <x:v>3759764</x:v>
      </x:c>
      <x:c r="M279">
        <x:v>3759765</x:v>
      </x:c>
    </x:row>
    <x:row r="280" spans="2:13">
      <x:c r="B280">
        <x:v>2210411</x:v>
      </x:c>
      <x:c r="C280">
        <x:v>2210411</x:v>
      </x:c>
      <x:c r="D280">
        <x:v>2210411</x:v>
      </x:c>
      <x:c r="E280">
        <x:v>2210411</x:v>
      </x:c>
      <x:c r="F280">
        <x:v>2210411</x:v>
      </x:c>
      <x:c r="G280">
        <x:v>2210410</x:v>
      </x:c>
      <x:c r="H280">
        <x:v>2210411</x:v>
      </x:c>
      <x:c r="I280">
        <x:v>2210411</x:v>
      </x:c>
      <x:c r="J280">
        <x:v>2210411</x:v>
      </x:c>
      <x:c r="K280">
        <x:v>2210411</x:v>
      </x:c>
      <x:c r="L280">
        <x:v>2210411</x:v>
      </x:c>
      <x:c r="M280">
        <x:v>2210410</x:v>
      </x:c>
    </x:row>
    <x:row r="281" spans="2:13">
      <x:c r="B281">
        <x:v>566667</x:v>
      </x:c>
      <x:c r="C281">
        <x:v>566667</x:v>
      </x:c>
      <x:c r="D281">
        <x:v>566666</x:v>
      </x:c>
      <x:c r="E281">
        <x:v>566667</x:v>
      </x:c>
      <x:c r="F281">
        <x:v>566667</x:v>
      </x:c>
      <x:c r="G281">
        <x:v>566666</x:v>
      </x:c>
      <x:c r="H281">
        <x:v>566667</x:v>
      </x:c>
      <x:c r="I281">
        <x:v>566667</x:v>
      </x:c>
      <x:c r="J281">
        <x:v>566666</x:v>
      </x:c>
      <x:c r="K281">
        <x:v>566667</x:v>
      </x:c>
      <x:c r="L281">
        <x:v>566667</x:v>
      </x:c>
      <x:c r="M281">
        <x:v>566666</x:v>
      </x:c>
    </x:row>
    <x:row r="282" spans="2:13">
      <x:c r="B282">
        <x:v>198333</x:v>
      </x:c>
      <x:c r="C282">
        <x:v>198333</x:v>
      </x:c>
      <x:c r="D282">
        <x:v>198334</x:v>
      </x:c>
      <x:c r="E282">
        <x:v>198333</x:v>
      </x:c>
      <x:c r="F282">
        <x:v>198333</x:v>
      </x:c>
      <x:c r="G282">
        <x:v>198334</x:v>
      </x:c>
      <x:c r="H282">
        <x:v>198333</x:v>
      </x:c>
      <x:c r="I282">
        <x:v>198333</x:v>
      </x:c>
      <x:c r="J282">
        <x:v>198334</x:v>
      </x:c>
      <x:c r="K282">
        <x:v>198333</x:v>
      </x:c>
      <x:c r="L282">
        <x:v>198333</x:v>
      </x:c>
      <x:c r="M282">
        <x:v>198334</x:v>
      </x:c>
    </x:row>
    <x:row r="283" spans="2:13">
      <x:c r="B283">
        <x:v>960500</x:v>
      </x:c>
      <x:c r="C283">
        <x:v>960500</x:v>
      </x:c>
      <x:c r="D283">
        <x:v>960500</x:v>
      </x:c>
      <x:c r="E283">
        <x:v>960500</x:v>
      </x:c>
      <x:c r="F283">
        <x:v>960500</x:v>
      </x:c>
      <x:c r="G283">
        <x:v>960500</x:v>
      </x:c>
      <x:c r="H283">
        <x:v>960500</x:v>
      </x:c>
      <x:c r="I283">
        <x:v>960500</x:v>
      </x:c>
      <x:c r="J283">
        <x:v>960500</x:v>
      </x:c>
      <x:c r="K283">
        <x:v>960500</x:v>
      </x:c>
      <x:c r="L283">
        <x:v>960500</x:v>
      </x:c>
      <x:c r="M283">
        <x:v>960500</x:v>
      </x:c>
    </x:row>
    <x:row r="284" spans="2:13">
      <x:c r="B284">
        <x:v>833333</x:v>
      </x:c>
      <x:c r="C284">
        <x:v>833333</x:v>
      </x:c>
      <x:c r="D284">
        <x:v>833334</x:v>
      </x:c>
      <x:c r="E284">
        <x:v>833333</x:v>
      </x:c>
      <x:c r="F284">
        <x:v>833333</x:v>
      </x:c>
      <x:c r="G284">
        <x:v>833334</x:v>
      </x:c>
      <x:c r="H284">
        <x:v>833333</x:v>
      </x:c>
      <x:c r="I284">
        <x:v>833333</x:v>
      </x:c>
      <x:c r="J284">
        <x:v>833334</x:v>
      </x:c>
      <x:c r="K284">
        <x:v>833333</x:v>
      </x:c>
      <x:c r="L284">
        <x:v>833333</x:v>
      </x:c>
      <x:c r="M284">
        <x:v>833334</x:v>
      </x:c>
    </x:row>
    <x:row r="285" spans="2:13">
      <x:c r="B285">
        <x:v>1291667</x:v>
      </x:c>
      <x:c r="C285">
        <x:v>1291667</x:v>
      </x:c>
      <x:c r="D285">
        <x:v>1291666</x:v>
      </x:c>
      <x:c r="E285">
        <x:v>1291667</x:v>
      </x:c>
      <x:c r="F285">
        <x:v>1291667</x:v>
      </x:c>
      <x:c r="G285">
        <x:v>1291666</x:v>
      </x:c>
      <x:c r="H285">
        <x:v>1291667</x:v>
      </x:c>
      <x:c r="I285">
        <x:v>1291667</x:v>
      </x:c>
      <x:c r="J285">
        <x:v>1291666</x:v>
      </x:c>
      <x:c r="K285">
        <x:v>1291667</x:v>
      </x:c>
      <x:c r="L285">
        <x:v>1291667</x:v>
      </x:c>
      <x:c r="M285">
        <x:v>1291666</x:v>
      </x:c>
    </x:row>
    <x:row r="286" spans="2:13">
      <x:c r="B286">
        <x:v>750000</x:v>
      </x:c>
      <x:c r="C286">
        <x:v>750000</x:v>
      </x:c>
      <x:c r="D286">
        <x:v>750000</x:v>
      </x:c>
      <x:c r="E286">
        <x:v>750000</x:v>
      </x:c>
      <x:c r="F286">
        <x:v>750000</x:v>
      </x:c>
      <x:c r="G286">
        <x:v>750000</x:v>
      </x:c>
      <x:c r="H286">
        <x:v>750000</x:v>
      </x:c>
      <x:c r="I286">
        <x:v>750000</x:v>
      </x:c>
      <x:c r="J286">
        <x:v>750000</x:v>
      </x:c>
      <x:c r="K286">
        <x:v>750000</x:v>
      </x:c>
      <x:c r="L286">
        <x:v>750000</x:v>
      </x:c>
      <x:c r="M286">
        <x:v>750000</x:v>
      </x:c>
    </x:row>
    <x:row r="287" spans="2:13">
      <x:c r="B287">
        <x:v>104167</x:v>
      </x:c>
      <x:c r="C287">
        <x:v>104167</x:v>
      </x:c>
      <x:c r="D287">
        <x:v>104166</x:v>
      </x:c>
      <x:c r="E287">
        <x:v>104167</x:v>
      </x:c>
      <x:c r="F287">
        <x:v>104167</x:v>
      </x:c>
      <x:c r="G287">
        <x:v>104166</x:v>
      </x:c>
      <x:c r="H287">
        <x:v>104167</x:v>
      </x:c>
      <x:c r="I287">
        <x:v>104167</x:v>
      </x:c>
      <x:c r="J287">
        <x:v>104166</x:v>
      </x:c>
      <x:c r="K287">
        <x:v>104167</x:v>
      </x:c>
      <x:c r="L287">
        <x:v>104167</x:v>
      </x:c>
      <x:c r="M287">
        <x:v>104166</x:v>
      </x:c>
    </x:row>
    <x:row r="288" spans="2:13">
      <x:c r="B288">
        <x:v>49901</x:v>
      </x:c>
      <x:c r="C288">
        <x:v>49903</x:v>
      </x:c>
      <x:c r="D288">
        <x:v>49903</x:v>
      </x:c>
      <x:c r="E288">
        <x:v>49903</x:v>
      </x:c>
      <x:c r="F288">
        <x:v>49903</x:v>
      </x:c>
      <x:c r="G288">
        <x:v>49903</x:v>
      </x:c>
      <x:c r="H288">
        <x:v>49903</x:v>
      </x:c>
      <x:c r="I288">
        <x:v>49903</x:v>
      </x:c>
      <x:c r="J288">
        <x:v>49903</x:v>
      </x:c>
      <x:c r="K288">
        <x:v>49903</x:v>
      </x:c>
      <x:c r="L288">
        <x:v>49903</x:v>
      </x:c>
      <x:c r="M288">
        <x:v>49903</x:v>
      </x:c>
    </x:row>
    <x:row r="289" spans="2:13">
      <x:c r="B289">
        <x:v>55885</x:v>
      </x:c>
      <x:c r="C289">
        <x:v>55891</x:v>
      </x:c>
      <x:c r="D289">
        <x:v>55891</x:v>
      </x:c>
      <x:c r="E289">
        <x:v>55891</x:v>
      </x:c>
      <x:c r="F289">
        <x:v>55891</x:v>
      </x:c>
      <x:c r="G289">
        <x:v>55891</x:v>
      </x:c>
      <x:c r="H289">
        <x:v>55891</x:v>
      </x:c>
      <x:c r="I289">
        <x:v>55891</x:v>
      </x:c>
      <x:c r="J289">
        <x:v>55891</x:v>
      </x:c>
      <x:c r="K289">
        <x:v>55891</x:v>
      </x:c>
      <x:c r="L289">
        <x:v>55891</x:v>
      </x:c>
      <x:c r="M289">
        <x:v>55891</x:v>
      </x:c>
    </x:row>
    <x:row r="290" spans="2:13">
      <x:c r="B290">
        <x:v>4185</x:v>
      </x:c>
      <x:c r="C290">
        <x:v>4181</x:v>
      </x:c>
      <x:c r="D290">
        <x:v>4181</x:v>
      </x:c>
      <x:c r="E290">
        <x:v>4181</x:v>
      </x:c>
      <x:c r="F290">
        <x:v>4181</x:v>
      </x:c>
      <x:c r="G290">
        <x:v>4181</x:v>
      </x:c>
      <x:c r="H290">
        <x:v>4181</x:v>
      </x:c>
      <x:c r="I290">
        <x:v>4181</x:v>
      </x:c>
      <x:c r="J290">
        <x:v>4181</x:v>
      </x:c>
      <x:c r="K290">
        <x:v>4181</x:v>
      </x:c>
      <x:c r="L290">
        <x:v>4181</x:v>
      </x:c>
      <x:c r="M290">
        <x:v>4181</x:v>
      </x:c>
    </x:row>
    <x:row r="291" spans="2:13">
      <x:c r="B291">
        <x:v>151107</x:v>
      </x:c>
      <x:c r="C291">
        <x:v>151107</x:v>
      </x:c>
      <x:c r="D291">
        <x:v>151107</x:v>
      </x:c>
      <x:c r="E291">
        <x:v>151107</x:v>
      </x:c>
      <x:c r="F291">
        <x:v>151107</x:v>
      </x:c>
      <x:c r="G291">
        <x:v>151107</x:v>
      </x:c>
      <x:c r="H291">
        <x:v>151107</x:v>
      </x:c>
      <x:c r="I291">
        <x:v>151108</x:v>
      </x:c>
      <x:c r="J291">
        <x:v>0</x:v>
      </x:c>
      <x:c r="K291">
        <x:v>0</x:v>
      </x:c>
      <x:c r="L291">
        <x:v>0</x:v>
      </x:c>
      <x:c r="M291">
        <x:v>0</x:v>
      </x:c>
    </x:row>
    <x:row r="292" spans="2:13">
      <x:c r="B292">
        <x:v>171394</x:v>
      </x:c>
      <x:c r="C292">
        <x:v>171394</x:v>
      </x:c>
      <x:c r="D292">
        <x:v>171394</x:v>
      </x:c>
      <x:c r="E292">
        <x:v>171394</x:v>
      </x:c>
      <x:c r="F292">
        <x:v>171394</x:v>
      </x:c>
      <x:c r="G292">
        <x:v>171394</x:v>
      </x:c>
      <x:c r="H292">
        <x:v>171394</x:v>
      </x:c>
      <x:c r="I292">
        <x:v>171396</x:v>
      </x:c>
      <x:c r="J292">
        <x:v>0</x:v>
      </x:c>
      <x:c r="K292">
        <x:v>0</x:v>
      </x:c>
      <x:c r="L292">
        <x:v>0</x:v>
      </x:c>
      <x:c r="M292">
        <x:v>0</x:v>
      </x:c>
    </x:row>
    <x:row r="293" spans="2:13">
      <x:c r="B293">
        <x:v>59667</x:v>
      </x:c>
      <x:c r="C293">
        <x:v>59673</x:v>
      </x:c>
      <x:c r="D293">
        <x:v>59673</x:v>
      </x:c>
      <x:c r="E293">
        <x:v>59673</x:v>
      </x:c>
      <x:c r="F293">
        <x:v>59673</x:v>
      </x:c>
      <x:c r="G293">
        <x:v>59673</x:v>
      </x:c>
      <x:c r="H293">
        <x:v>59673</x:v>
      </x:c>
      <x:c r="I293">
        <x:v>59673</x:v>
      </x:c>
      <x:c r="J293">
        <x:v>59673</x:v>
      </x:c>
      <x:c r="K293">
        <x:v>59673</x:v>
      </x:c>
      <x:c r="L293">
        <x:v>59673</x:v>
      </x:c>
      <x:c r="M293">
        <x:v>59673</x:v>
      </x:c>
    </x:row>
    <x:row r="294" spans="2:13">
      <x:c r="B294">
        <x:v>31312</x:v>
      </x:c>
      <x:c r="C294">
        <x:v>31307</x:v>
      </x:c>
      <x:c r="D294">
        <x:v>31307</x:v>
      </x:c>
      <x:c r="E294">
        <x:v>31307</x:v>
      </x:c>
      <x:c r="F294">
        <x:v>31307</x:v>
      </x:c>
      <x:c r="G294">
        <x:v>31307</x:v>
      </x:c>
      <x:c r="H294">
        <x:v>31307</x:v>
      </x:c>
      <x:c r="I294">
        <x:v>31307</x:v>
      </x:c>
      <x:c r="J294">
        <x:v>31307</x:v>
      </x:c>
      <x:c r="K294">
        <x:v>31307</x:v>
      </x:c>
      <x:c r="L294">
        <x:v>31307</x:v>
      </x:c>
      <x:c r="M294">
        <x:v>31307</x:v>
      </x:c>
    </x:row>
    <x:row r="295" spans="2:13">
      <x:c r="B295">
        <x:v>24749</x:v>
      </x:c>
      <x:c r="C295">
        <x:v>24746</x:v>
      </x:c>
      <x:c r="D295">
        <x:v>24746</x:v>
      </x:c>
      <x:c r="E295">
        <x:v>24746</x:v>
      </x:c>
      <x:c r="F295">
        <x:v>24746</x:v>
      </x:c>
      <x:c r="G295">
        <x:v>24746</x:v>
      </x:c>
      <x:c r="H295">
        <x:v>24746</x:v>
      </x:c>
      <x:c r="I295">
        <x:v>24746</x:v>
      </x:c>
      <x:c r="J295">
        <x:v>24746</x:v>
      </x:c>
      <x:c r="K295">
        <x:v>24746</x:v>
      </x:c>
      <x:c r="L295">
        <x:v>24746</x:v>
      </x:c>
      <x:c r="M295">
        <x:v>24746</x:v>
      </x:c>
    </x:row>
    <x:row r="296" spans="2:13">
      <x:c r="B296">
        <x:v>53386</x:v>
      </x:c>
      <x:c r="C296">
        <x:v>53385</x:v>
      </x:c>
      <x:c r="D296">
        <x:v>53385</x:v>
      </x:c>
      <x:c r="E296">
        <x:v>53385</x:v>
      </x:c>
      <x:c r="F296">
        <x:v>53385</x:v>
      </x:c>
      <x:c r="G296">
        <x:v>53385</x:v>
      </x:c>
      <x:c r="H296">
        <x:v>53385</x:v>
      </x:c>
      <x:c r="I296">
        <x:v>53385</x:v>
      </x:c>
      <x:c r="J296">
        <x:v>53385</x:v>
      </x:c>
      <x:c r="K296">
        <x:v>53385</x:v>
      </x:c>
      <x:c r="L296">
        <x:v>53385</x:v>
      </x:c>
      <x:c r="M296">
        <x:v>53385</x:v>
      </x:c>
    </x:row>
    <x:row r="297" spans="2:13">
      <x:c r="B297">
        <x:v>57037</x:v>
      </x:c>
      <x:c r="C297">
        <x:v>57037</x:v>
      </x:c>
      <x:c r="D297">
        <x:v>57037</x:v>
      </x:c>
      <x:c r="E297">
        <x:v>57037</x:v>
      </x:c>
      <x:c r="F297">
        <x:v>57037</x:v>
      </x:c>
      <x:c r="G297">
        <x:v>57037</x:v>
      </x:c>
      <x:c r="H297">
        <x:v>57037</x:v>
      </x:c>
      <x:c r="I297">
        <x:v>57037</x:v>
      </x:c>
      <x:c r="J297">
        <x:v>57037</x:v>
      </x:c>
      <x:c r="K297">
        <x:v>57037</x:v>
      </x:c>
      <x:c r="L297">
        <x:v>57037</x:v>
      </x:c>
      <x:c r="M297">
        <x:v>57037</x:v>
      </x:c>
    </x:row>
    <x:row r="298" spans="2:13">
      <x:c r="B298">
        <x:v>32484</x:v>
      </x:c>
      <x:c r="C298">
        <x:v>32479</x:v>
      </x:c>
      <x:c r="D298">
        <x:v>32479</x:v>
      </x:c>
      <x:c r="E298">
        <x:v>32479</x:v>
      </x:c>
      <x:c r="F298">
        <x:v>32479</x:v>
      </x:c>
      <x:c r="G298">
        <x:v>32479</x:v>
      </x:c>
      <x:c r="H298">
        <x:v>32479</x:v>
      </x:c>
      <x:c r="I298">
        <x:v>32479</x:v>
      </x:c>
      <x:c r="J298">
        <x:v>32479</x:v>
      </x:c>
      <x:c r="K298">
        <x:v>32479</x:v>
      </x:c>
      <x:c r="L298">
        <x:v>32479</x:v>
      </x:c>
      <x:c r="M298">
        <x:v>32479</x:v>
      </x:c>
    </x:row>
    <x:row r="299" spans="2:13">
      <x:c r="B299">
        <x:v>21841</x:v>
      </x:c>
      <x:c r="C299">
        <x:v>21844</x:v>
      </x:c>
      <x:c r="D299">
        <x:v>21844</x:v>
      </x:c>
      <x:c r="E299">
        <x:v>21844</x:v>
      </x:c>
      <x:c r="F299">
        <x:v>21844</x:v>
      </x:c>
      <x:c r="G299">
        <x:v>21844</x:v>
      </x:c>
      <x:c r="H299">
        <x:v>21844</x:v>
      </x:c>
      <x:c r="I299">
        <x:v>21844</x:v>
      </x:c>
      <x:c r="J299">
        <x:v>21844</x:v>
      </x:c>
      <x:c r="K299">
        <x:v>21844</x:v>
      </x:c>
      <x:c r="L299">
        <x:v>21844</x:v>
      </x:c>
      <x:c r="M299">
        <x:v>21844</x:v>
      </x:c>
    </x:row>
    <x:row r="300" spans="2:13">
      <x:c r="B300">
        <x:v>720499</x:v>
      </x:c>
      <x:c r="C300">
        <x:v>720505</x:v>
      </x:c>
      <x:c r="D300">
        <x:v>720505</x:v>
      </x:c>
      <x:c r="E300">
        <x:v>720505</x:v>
      </x:c>
      <x:c r="F300">
        <x:v>720505</x:v>
      </x:c>
      <x:c r="G300">
        <x:v>720505</x:v>
      </x:c>
      <x:c r="H300">
        <x:v>720505</x:v>
      </x:c>
      <x:c r="I300">
        <x:v>720505</x:v>
      </x:c>
      <x:c r="J300">
        <x:v>720505</x:v>
      </x:c>
      <x:c r="K300">
        <x:v>720505</x:v>
      </x:c>
      <x:c r="L300">
        <x:v>720505</x:v>
      </x:c>
      <x:c r="M300">
        <x:v>720505</x:v>
      </x:c>
    </x:row>
    <x:row r="301" spans="2:13">
      <x:c r="B301">
        <x:v>310881</x:v>
      </x:c>
      <x:c r="C301">
        <x:v>310885</x:v>
      </x:c>
      <x:c r="D301">
        <x:v>310885</x:v>
      </x:c>
      <x:c r="E301">
        <x:v>310885</x:v>
      </x:c>
      <x:c r="F301">
        <x:v>310885</x:v>
      </x:c>
      <x:c r="G301">
        <x:v>310885</x:v>
      </x:c>
      <x:c r="H301">
        <x:v>310885</x:v>
      </x:c>
      <x:c r="I301">
        <x:v>310885</x:v>
      </x:c>
      <x:c r="J301">
        <x:v>310885</x:v>
      </x:c>
      <x:c r="K301">
        <x:v>310885</x:v>
      </x:c>
      <x:c r="L301">
        <x:v>310885</x:v>
      </x:c>
      <x:c r="M301">
        <x:v>310885</x:v>
      </x:c>
    </x:row>
    <x:row r="302" spans="2:13">
      <x:c r="B302">
        <x:v>2458859</x:v>
      </x:c>
      <x:c r="C302">
        <x:v>2458865</x:v>
      </x:c>
      <x:c r="D302">
        <x:v>2458865</x:v>
      </x:c>
      <x:c r="E302">
        <x:v>2458865</x:v>
      </x:c>
      <x:c r="F302">
        <x:v>2458865</x:v>
      </x:c>
      <x:c r="G302">
        <x:v>2458865</x:v>
      </x:c>
      <x:c r="H302">
        <x:v>2458865</x:v>
      </x:c>
      <x:c r="I302">
        <x:v>2458865</x:v>
      </x:c>
      <x:c r="J302">
        <x:v>2458865</x:v>
      </x:c>
      <x:c r="K302">
        <x:v>2458865</x:v>
      </x:c>
      <x:c r="L302">
        <x:v>2458865</x:v>
      </x:c>
      <x:c r="M302">
        <x:v>2458865</x:v>
      </x:c>
    </x:row>
    <x:row r="303" spans="2:13">
      <x:c r="B303">
        <x:v>0</x:v>
      </x:c>
      <x:c r="C303">
        <x:v>0</x:v>
      </x:c>
      <x:c r="D303">
        <x:v>10000000</x:v>
      </x:c>
      <x:c r="E303">
        <x:v>0</x:v>
      </x:c>
      <x:c r="F303">
        <x:v>0</x:v>
      </x:c>
      <x:c r="G303">
        <x:v>5000000</x:v>
      </x:c>
      <x:c r="H303">
        <x:v>0</x:v>
      </x:c>
      <x:c r="I303">
        <x:v>0</x:v>
      </x:c>
      <x:c r="J303">
        <x:v>5000000</x:v>
      </x:c>
      <x:c r="K303">
        <x:v>0</x:v>
      </x:c>
      <x:c r="L303">
        <x:v>0</x:v>
      </x:c>
      <x:c r="M303">
        <x:v>5000000</x:v>
      </x:c>
    </x:row>
    <x:row r="304" spans="2:13">
      <x:c r="B304">
        <x:v>0</x:v>
      </x:c>
      <x:c r="C304">
        <x:v>0</x:v>
      </x:c>
      <x:c r="D304">
        <x:v>1500000</x:v>
      </x:c>
      <x:c r="E304">
        <x:v>0</x:v>
      </x:c>
      <x:c r="F304">
        <x:v>0</x:v>
      </x:c>
      <x:c r="G304">
        <x:v>1500000</x:v>
      </x:c>
      <x:c r="H304">
        <x:v>0</x:v>
      </x:c>
      <x:c r="I304">
        <x:v>0</x:v>
      </x:c>
      <x:c r="J304">
        <x:v>1500000</x:v>
      </x:c>
      <x:c r="K304">
        <x:v>0</x:v>
      </x:c>
      <x:c r="L304">
        <x:v>0</x:v>
      </x:c>
      <x:c r="M304">
        <x:v>1500000</x:v>
      </x:c>
    </x:row>
    <x:row r="305" spans="2:13">
      <x:c r="B305">
        <x:v>0</x:v>
      </x:c>
      <x:c r="C305">
        <x:v>0</x:v>
      </x:c>
      <x:c r="D305">
        <x:v>1500000</x:v>
      </x:c>
      <x:c r="E305">
        <x:v>0</x:v>
      </x:c>
      <x:c r="F305">
        <x:v>0</x:v>
      </x:c>
      <x:c r="G305">
        <x:v>1500000</x:v>
      </x:c>
      <x:c r="H305">
        <x:v>0</x:v>
      </x:c>
      <x:c r="I305">
        <x:v>0</x:v>
      </x:c>
      <x:c r="J305">
        <x:v>1500000</x:v>
      </x:c>
      <x:c r="K305">
        <x:v>0</x:v>
      </x:c>
      <x:c r="L305">
        <x:v>0</x:v>
      </x:c>
      <x:c r="M305">
        <x:v>1500000</x:v>
      </x:c>
    </x:row>
    <x:row r="306" spans="2:13">
      <x:c r="B306">
        <x:v>0</x:v>
      </x:c>
      <x:c r="C306">
        <x:v>0</x:v>
      </x:c>
      <x:c r="D306">
        <x:v>1500000</x:v>
      </x:c>
      <x:c r="E306">
        <x:v>0</x:v>
      </x:c>
      <x:c r="F306">
        <x:v>0</x:v>
      </x:c>
      <x:c r="G306">
        <x:v>1500000</x:v>
      </x:c>
      <x:c r="H306">
        <x:v>0</x:v>
      </x:c>
      <x:c r="I306">
        <x:v>0</x:v>
      </x:c>
      <x:c r="J306">
        <x:v>1500000</x:v>
      </x:c>
      <x:c r="K306">
        <x:v>0</x:v>
      </x:c>
      <x:c r="L306">
        <x:v>0</x:v>
      </x:c>
      <x:c r="M306">
        <x:v>1500000</x:v>
      </x:c>
    </x:row>
    <x:row r="307" spans="2:13">
      <x:c r="B307">
        <x:v>0</x:v>
      </x:c>
      <x:c r="C307">
        <x:v>0</x:v>
      </x:c>
      <x:c r="D307">
        <x:v>1500000</x:v>
      </x:c>
      <x:c r="E307">
        <x:v>0</x:v>
      </x:c>
      <x:c r="F307">
        <x:v>0</x:v>
      </x:c>
      <x:c r="G307">
        <x:v>1500000</x:v>
      </x:c>
      <x:c r="H307">
        <x:v>0</x:v>
      </x:c>
      <x:c r="I307">
        <x:v>0</x:v>
      </x:c>
      <x:c r="J307">
        <x:v>1500000</x:v>
      </x:c>
      <x:c r="K307">
        <x:v>0</x:v>
      </x:c>
      <x:c r="L307">
        <x:v>0</x:v>
      </x:c>
      <x:c r="M307">
        <x:v>1500000</x:v>
      </x:c>
    </x:row>
    <x:row r="308" spans="2:13">
      <x:c r="B308">
        <x:v>0</x:v>
      </x:c>
      <x:c r="C308">
        <x:v>0</x:v>
      </x:c>
      <x:c r="D308">
        <x:v>5000000</x:v>
      </x:c>
      <x:c r="E308">
        <x:v>0</x:v>
      </x:c>
      <x:c r="F308">
        <x:v>0</x:v>
      </x:c>
      <x:c r="G308">
        <x:v>5000000</x:v>
      </x:c>
      <x:c r="H308">
        <x:v>0</x:v>
      </x:c>
      <x:c r="I308">
        <x:v>0</x:v>
      </x:c>
      <x:c r="J308">
        <x:v>5000000</x:v>
      </x:c>
      <x:c r="K308">
        <x:v>0</x:v>
      </x:c>
      <x:c r="L308">
        <x:v>0</x:v>
      </x:c>
      <x:c r="M308">
        <x:v>5000000</x:v>
      </x:c>
    </x:row>
    <x:row r="309" spans="2:13">
      <x:c r="B309">
        <x:v>0</x:v>
      </x:c>
      <x:c r="C309">
        <x:v>0</x:v>
      </x:c>
      <x:c r="D309">
        <x:v>750000</x:v>
      </x:c>
      <x:c r="E309">
        <x:v>0</x:v>
      </x:c>
      <x:c r="F309">
        <x:v>0</x:v>
      </x:c>
      <x:c r="G309">
        <x:v>750000</x:v>
      </x:c>
      <x:c r="H309">
        <x:v>0</x:v>
      </x:c>
      <x:c r="I309">
        <x:v>0</x:v>
      </x:c>
      <x:c r="J309">
        <x:v>750000</x:v>
      </x:c>
      <x:c r="K309">
        <x:v>0</x:v>
      </x:c>
      <x:c r="L309">
        <x:v>0</x:v>
      </x:c>
      <x:c r="M309">
        <x:v>750000</x:v>
      </x:c>
    </x:row>
    <x:row r="310" spans="2:13">
      <x:c r="B310">
        <x:v>0</x:v>
      </x:c>
      <x:c r="C310">
        <x:v>0</x:v>
      </x:c>
      <x:c r="D310">
        <x:v>500000</x:v>
      </x:c>
      <x:c r="E310">
        <x:v>0</x:v>
      </x:c>
      <x:c r="F310">
        <x:v>0</x:v>
      </x:c>
      <x:c r="G310">
        <x:v>500000</x:v>
      </x:c>
      <x:c r="H310">
        <x:v>0</x:v>
      </x:c>
      <x:c r="I310">
        <x:v>0</x:v>
      </x:c>
      <x:c r="J310">
        <x:v>500000</x:v>
      </x:c>
      <x:c r="K310">
        <x:v>0</x:v>
      </x:c>
      <x:c r="L310">
        <x:v>0</x:v>
      </x:c>
      <x:c r="M310">
        <x:v>500000</x:v>
      </x:c>
    </x:row>
    <x:row r="311" spans="2:13">
      <x:c r="B311">
        <x:v>0</x:v>
      </x:c>
      <x:c r="C311">
        <x:v>0</x:v>
      </x:c>
      <x:c r="D311">
        <x:v>500000</x:v>
      </x:c>
      <x:c r="E311">
        <x:v>0</x:v>
      </x:c>
      <x:c r="F311">
        <x:v>0</x:v>
      </x:c>
      <x:c r="G311">
        <x:v>500000</x:v>
      </x:c>
      <x:c r="H311">
        <x:v>0</x:v>
      </x:c>
      <x:c r="I311">
        <x:v>0</x:v>
      </x:c>
      <x:c r="J311">
        <x:v>500000</x:v>
      </x:c>
      <x:c r="K311">
        <x:v>0</x:v>
      </x:c>
      <x:c r="L311">
        <x:v>0</x:v>
      </x:c>
      <x:c r="M311">
        <x:v>500000</x:v>
      </x:c>
    </x:row>
    <x:row r="312" spans="2:13">
      <x:c r="B312">
        <x:v>0</x:v>
      </x:c>
      <x:c r="C312">
        <x:v>0</x:v>
      </x:c>
      <x:c r="D312">
        <x:v>500000</x:v>
      </x:c>
      <x:c r="E312">
        <x:v>0</x:v>
      </x:c>
      <x:c r="F312">
        <x:v>0</x:v>
      </x:c>
      <x:c r="G312">
        <x:v>500000</x:v>
      </x:c>
      <x:c r="H312">
        <x:v>0</x:v>
      </x:c>
      <x:c r="I312">
        <x:v>0</x:v>
      </x:c>
      <x:c r="J312">
        <x:v>500000</x:v>
      </x:c>
      <x:c r="K312">
        <x:v>0</x:v>
      </x:c>
      <x:c r="L312">
        <x:v>0</x:v>
      </x:c>
      <x:c r="M312">
        <x:v>500000</x:v>
      </x:c>
    </x:row>
    <x:row r="313" spans="2:13">
      <x:c r="B313">
        <x:v>0</x:v>
      </x:c>
      <x:c r="C313">
        <x:v>0</x:v>
      </x:c>
      <x:c r="D313">
        <x:v>5000000</x:v>
      </x:c>
      <x:c r="E313">
        <x:v>0</x:v>
      </x:c>
      <x:c r="F313">
        <x:v>0</x:v>
      </x:c>
      <x:c r="G313">
        <x:v>5000000</x:v>
      </x:c>
      <x:c r="H313">
        <x:v>0</x:v>
      </x:c>
      <x:c r="I313">
        <x:v>0</x:v>
      </x:c>
      <x:c r="J313">
        <x:v>5000000</x:v>
      </x:c>
      <x:c r="K313">
        <x:v>0</x:v>
      </x:c>
      <x:c r="L313">
        <x:v>0</x:v>
      </x:c>
      <x:c r="M313">
        <x:v>5000000</x:v>
      </x:c>
    </x:row>
    <x:row r="314" spans="2:13">
      <x:c r="B314">
        <x:v>0</x:v>
      </x:c>
      <x:c r="C314">
        <x:v>0</x:v>
      </x:c>
      <x:c r="D314">
        <x:v>2000000</x:v>
      </x:c>
      <x:c r="E314">
        <x:v>0</x:v>
      </x:c>
      <x:c r="F314">
        <x:v>0</x:v>
      </x:c>
      <x:c r="G314">
        <x:v>2000000</x:v>
      </x:c>
      <x:c r="H314">
        <x:v>0</x:v>
      </x:c>
      <x:c r="I314">
        <x:v>0</x:v>
      </x:c>
      <x:c r="J314">
        <x:v>2000000</x:v>
      </x:c>
      <x:c r="K314">
        <x:v>0</x:v>
      </x:c>
      <x:c r="L314">
        <x:v>0</x:v>
      </x:c>
      <x:c r="M314">
        <x:v>2000000</x:v>
      </x:c>
    </x:row>
    <x:row r="315" spans="2:13">
      <x:c r="B315">
        <x:v>280000</x:v>
      </x:c>
      <x:c r="C315">
        <x:v>280000</x:v>
      </x:c>
      <x:c r="D315">
        <x:v>280000</x:v>
      </x:c>
      <x:c r="E315">
        <x:v>280000</x:v>
      </x:c>
      <x:c r="F315">
        <x:v>280000</x:v>
      </x:c>
      <x:c r="G315">
        <x:v>280000</x:v>
      </x:c>
      <x:c r="H315">
        <x:v>280000</x:v>
      </x:c>
      <x:c r="I315">
        <x:v>280000</x:v>
      </x:c>
      <x:c r="J315">
        <x:v>280000</x:v>
      </x:c>
      <x:c r="K315">
        <x:v>280000</x:v>
      </x:c>
      <x:c r="L315">
        <x:v>280000</x:v>
      </x:c>
      <x:c r="M315">
        <x:v>280000</x:v>
      </x:c>
    </x:row>
    <x:row r="316" spans="2:13">
      <x:c r="B316">
        <x:v>480000</x:v>
      </x:c>
      <x:c r="C316">
        <x:v>480000</x:v>
      </x:c>
      <x:c r="D316">
        <x:v>480000</x:v>
      </x:c>
      <x:c r="E316">
        <x:v>480000</x:v>
      </x:c>
      <x:c r="F316">
        <x:v>480000</x:v>
      </x:c>
      <x:c r="G316">
        <x:v>480000</x:v>
      </x:c>
      <x:c r="H316">
        <x:v>480000</x:v>
      </x:c>
      <x:c r="I316">
        <x:v>480000</x:v>
      </x:c>
      <x:c r="J316">
        <x:v>480000</x:v>
      </x:c>
      <x:c r="K316">
        <x:v>480000</x:v>
      </x:c>
      <x:c r="L316">
        <x:v>480000</x:v>
      </x:c>
      <x:c r="M316">
        <x:v>480000</x:v>
      </x:c>
    </x:row>
    <x:row r="317" spans="2:13">
      <x:c r="B317">
        <x:v>280000</x:v>
      </x:c>
      <x:c r="C317">
        <x:v>280000</x:v>
      </x:c>
      <x:c r="D317">
        <x:v>280000</x:v>
      </x:c>
      <x:c r="E317">
        <x:v>280000</x:v>
      </x:c>
      <x:c r="F317">
        <x:v>280000</x:v>
      </x:c>
      <x:c r="G317">
        <x:v>280000</x:v>
      </x:c>
      <x:c r="H317">
        <x:v>280000</x:v>
      </x:c>
      <x:c r="I317">
        <x:v>280000</x:v>
      </x:c>
      <x:c r="J317">
        <x:v>280000</x:v>
      </x:c>
      <x:c r="K317">
        <x:v>280000</x:v>
      </x:c>
      <x:c r="L317">
        <x:v>280000</x:v>
      </x:c>
      <x:c r="M317">
        <x:v>280000</x:v>
      </x:c>
    </x:row>
    <x:row r="318" spans="2:13">
      <x:c r="B318">
        <x:v>20000</x:v>
      </x:c>
      <x:c r="C318">
        <x:v>20000</x:v>
      </x:c>
      <x:c r="D318">
        <x:v>20000</x:v>
      </x:c>
      <x:c r="E318">
        <x:v>20000</x:v>
      </x:c>
      <x:c r="F318">
        <x:v>20000</x:v>
      </x:c>
      <x:c r="G318">
        <x:v>20000</x:v>
      </x:c>
      <x:c r="H318">
        <x:v>20000</x:v>
      </x:c>
      <x:c r="I318">
        <x:v>20000</x:v>
      </x:c>
      <x:c r="J318">
        <x:v>20000</x:v>
      </x:c>
      <x:c r="K318">
        <x:v>20000</x:v>
      </x:c>
      <x:c r="L318">
        <x:v>20000</x:v>
      </x:c>
      <x:c r="M318">
        <x:v>20000</x:v>
      </x:c>
    </x:row>
    <x:row r="319" spans="2:13">
      <x:c r="B319">
        <x:v>10000</x:v>
      </x:c>
      <x:c r="C319">
        <x:v>10000</x:v>
      </x:c>
      <x:c r="D319">
        <x:v>10000</x:v>
      </x:c>
      <x:c r="E319">
        <x:v>10000</x:v>
      </x:c>
      <x:c r="F319">
        <x:v>10000</x:v>
      </x:c>
      <x:c r="G319">
        <x:v>10000</x:v>
      </x:c>
      <x:c r="H319">
        <x:v>10000</x:v>
      </x:c>
      <x:c r="I319">
        <x:v>10000</x:v>
      </x:c>
      <x:c r="J319">
        <x:v>10000</x:v>
      </x:c>
      <x:c r="K319">
        <x:v>10000</x:v>
      </x:c>
      <x:c r="L319">
        <x:v>10000</x:v>
      </x:c>
      <x:c r="M319">
        <x:v>10000</x:v>
      </x:c>
    </x:row>
    <x:row r="320" spans="2:13">
      <x:c r="B320">
        <x:v>0</x:v>
      </x:c>
      <x:c r="C320">
        <x:v>0</x:v>
      </x:c>
      <x:c r="D320">
        <x:v>5000000</x:v>
      </x:c>
      <x:c r="E320">
        <x:v>0</x:v>
      </x:c>
      <x:c r="F320">
        <x:v>0</x:v>
      </x:c>
      <x:c r="G320">
        <x:v>5000000</x:v>
      </x:c>
      <x:c r="H320">
        <x:v>0</x:v>
      </x:c>
      <x:c r="I320">
        <x:v>0</x:v>
      </x:c>
      <x:c r="J320">
        <x:v>5000000</x:v>
      </x:c>
      <x:c r="K320">
        <x:v>0</x:v>
      </x:c>
      <x:c r="L320">
        <x:v>0</x:v>
      </x:c>
      <x:c r="M320">
        <x:v>5000000</x:v>
      </x:c>
    </x:row>
    <x:row r="321" spans="2:13">
      <x:c r="B321">
        <x:v>10000</x:v>
      </x:c>
      <x:c r="C321">
        <x:v>10000</x:v>
      </x:c>
      <x:c r="D321">
        <x:v>10000</x:v>
      </x:c>
      <x:c r="E321">
        <x:v>10000</x:v>
      </x:c>
      <x:c r="F321">
        <x:v>10000</x:v>
      </x:c>
      <x:c r="G321">
        <x:v>10000</x:v>
      </x:c>
      <x:c r="H321">
        <x:v>10000</x:v>
      </x:c>
      <x:c r="I321">
        <x:v>10000</x:v>
      </x:c>
      <x:c r="J321">
        <x:v>10000</x:v>
      </x:c>
      <x:c r="K321">
        <x:v>10000</x:v>
      </x:c>
      <x:c r="L321">
        <x:v>10000</x:v>
      </x:c>
      <x:c r="M321">
        <x:v>10000</x:v>
      </x:c>
    </x:row>
    <x:row r="322" spans="2:13">
      <x:c r="B322">
        <x:v>80000</x:v>
      </x:c>
      <x:c r="C322">
        <x:v>80000</x:v>
      </x:c>
      <x:c r="D322">
        <x:v>90000</x:v>
      </x:c>
      <x:c r="E322">
        <x:v>80000</x:v>
      </x:c>
      <x:c r="F322">
        <x:v>80000</x:v>
      </x:c>
      <x:c r="G322">
        <x:v>90000</x:v>
      </x:c>
      <x:c r="H322">
        <x:v>80000</x:v>
      </x:c>
      <x:c r="I322">
        <x:v>80000</x:v>
      </x:c>
      <x:c r="J322">
        <x:v>90000</x:v>
      </x:c>
      <x:c r="K322">
        <x:v>80000</x:v>
      </x:c>
      <x:c r="L322">
        <x:v>80000</x:v>
      </x:c>
      <x:c r="M322">
        <x:v>90000</x:v>
      </x:c>
    </x:row>
    <x:row r="323" spans="2:13">
      <x:c r="B323">
        <x:v>30000</x:v>
      </x:c>
      <x:c r="C323">
        <x:v>30000</x:v>
      </x:c>
      <x:c r="D323">
        <x:v>30000</x:v>
      </x:c>
      <x:c r="E323">
        <x:v>30000</x:v>
      </x:c>
      <x:c r="F323">
        <x:v>30000</x:v>
      </x:c>
      <x:c r="G323">
        <x:v>30000</x:v>
      </x:c>
      <x:c r="H323">
        <x:v>30000</x:v>
      </x:c>
      <x:c r="I323">
        <x:v>30000</x:v>
      </x:c>
      <x:c r="J323">
        <x:v>30000</x:v>
      </x:c>
      <x:c r="K323">
        <x:v>30000</x:v>
      </x:c>
      <x:c r="L323">
        <x:v>30000</x:v>
      </x:c>
      <x:c r="M323">
        <x:v>30000</x:v>
      </x:c>
    </x:row>
    <x:row r="324" spans="2:13">
      <x:c r="B324">
        <x:v>0</x:v>
      </x:c>
      <x:c r="C324">
        <x:v>0</x:v>
      </x:c>
      <x:c r="D324">
        <x:v>0</x:v>
      </x:c>
      <x:c r="E324">
        <x:v>700000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  <x:c r="L324">
        <x:v>0</x:v>
      </x:c>
      <x:c r="M324">
        <x:v>0</x:v>
      </x:c>
    </x:row>
    <x:row r="325" spans="2:13">
      <x:c r="C325">
        <x:v>200000</x:v>
      </x:c>
      <x:c r="E325">
        <x:v>200000</x:v>
      </x:c>
      <x:c r="H325">
        <x:v>200000</x:v>
      </x:c>
      <x:c r="J325">
        <x:v>200000</x:v>
      </x:c>
      <x:c r="M325">
        <x:v>200000</x:v>
      </x:c>
    </x:row>
    <x:row r="326" spans="2:13">
      <x:c r="C326">
        <x:v>200000</x:v>
      </x:c>
      <x:c r="E326">
        <x:v>200000</x:v>
      </x:c>
      <x:c r="H326">
        <x:v>200000</x:v>
      </x:c>
      <x:c r="J326">
        <x:v>200000</x:v>
      </x:c>
      <x:c r="M326">
        <x:v>200000</x:v>
      </x:c>
    </x:row>
    <x:row r="327" spans="2:13">
      <x:c r="B327">
        <x:v>200000</x:v>
      </x:c>
      <x:c r="D327">
        <x:v>200000</x:v>
      </x:c>
      <x:c r="G327">
        <x:v>200000</x:v>
      </x:c>
      <x:c r="I327">
        <x:v>200000</x:v>
      </x:c>
      <x:c r="L327">
        <x:v>200000</x:v>
      </x:c>
    </x:row>
  </x:sheetData>
  <x:phoneticPr fontId="7" type="noConversion"/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7F49239-B54D-47BB-886F-D3B96A49CB8F}" mc:Ignorable="x14ac xr xr2 xr3">
  <x:dimension ref="A1:R81"/>
  <x:sheetViews>
    <x:sheetView zoomScale="70" zoomScaleNormal="70" workbookViewId="0">
      <x:selection activeCell="W34" sqref="W34"/>
    </x:sheetView>
  </x:sheetViews>
  <x:sheetFormatPr defaultColWidth="8.7109375" defaultRowHeight="13.5"/>
  <x:cols>
    <x:col min="1" max="1" width="25.42578125" style="343" bestFit="1" customWidth="1"/>
    <x:col min="2" max="2" width="14.28515625" style="343" customWidth="1"/>
    <x:col min="3" max="13" width="14.28515625" style="343" bestFit="1" customWidth="1"/>
    <x:col min="14" max="15" width="8.7109375" style="343"/>
    <x:col min="16" max="17" width="14.7109375" style="343" bestFit="1" customWidth="1"/>
    <x:col min="18" max="18" width="10.42578125" style="343" bestFit="1" customWidth="1"/>
    <x:col min="19" max="16384" width="8.7109375" style="343"/>
  </x:cols>
  <x:sheetData>
    <x:row r="1" spans="1:17">
      <x:c r="B1" s="343" t="b">
        <x:f>SUM(B2:B17,B21:B36,B40:B57,B67:B81)='3. 손익계산서 월별실적'!E6</x:f>
        <x:v>1</x:v>
      </x:c>
      <x:c r="C1" s="343" t="e">
        <x:f>SUM(C2:C17,C21:C36,C40:C57,C67:C81)='3. 손익계산서 월별실적'!F6</x:f>
        <x:v>#REF!</x:v>
      </x:c>
      <x:c r="D1" s="343" t="e">
        <x:f>SUM(D2:D17,D21:D36,D40:D57,D67:D81)='3. 손익계산서 월별실적'!G6</x:f>
        <x:v>#REF!</x:v>
      </x:c>
      <x:c r="E1" s="343" t="e">
        <x:f>SUM(E2:E17,E21:E36,E40:E57,E67:E81)='3. 손익계산서 월별실적'!H6</x:f>
        <x:v>#REF!</x:v>
      </x:c>
      <x:c r="F1" s="343" t="e">
        <x:f>SUM(F2:F17,F21:F36,F40:F57,F67:F81)='3. 손익계산서 월별실적'!I6</x:f>
        <x:v>#REF!</x:v>
      </x:c>
      <x:c r="G1" s="343" t="e">
        <x:f>SUM(G2:G17,G21:G36,G40:G57,G67:G81)='3. 손익계산서 월별실적'!J6</x:f>
        <x:v>#REF!</x:v>
      </x:c>
      <x:c r="H1" s="343" t="e">
        <x:f>SUM(H2:H17,H21:H36,H40:H57,H67:H81)='3. 손익계산서 월별실적'!K6</x:f>
        <x:v>#REF!</x:v>
      </x:c>
      <x:c r="I1" s="343" t="e">
        <x:f>SUM(I2:I17,I21:I36,I40:I57,I67:I81)='3. 손익계산서 월별실적'!L6</x:f>
        <x:v>#REF!</x:v>
      </x:c>
      <x:c r="J1" s="343" t="e">
        <x:f>SUM(J2:J17,J21:J36,J40:J57,J67:J81)='3. 손익계산서 월별실적'!M6</x:f>
        <x:v>#REF!</x:v>
      </x:c>
      <x:c r="K1" s="343" t="e">
        <x:f>SUM(K2:K17,K21:K36,K40:K57,K67:K81)='3. 손익계산서 월별실적'!N6</x:f>
        <x:v>#REF!</x:v>
      </x:c>
      <x:c r="L1" s="343" t="b">
        <x:f>SUM(L2:L17,L21:L36,L40:L57,L67:L81)='3. 손익계산서 월별실적'!O6</x:f>
        <x:v>1</x:v>
      </x:c>
      <x:c r="M1" s="343" t="b">
        <x:f>SUM(M2:M17,M21:M36,M40:M57,M67:M81)='3. 손익계산서 월별실적'!P6</x:f>
        <x:v>1</x:v>
      </x:c>
      <x:c r="P1" s="345"/>
    </x:row>
    <x:row r="2" spans="1:17">
      <x:c r="A2" s="343" t="s">
        <x:v>5</x:v>
      </x:c>
      <x:c r="B2" s="344" t="s">
        <x:v>7</x:v>
      </x:c>
      <x:c r="C2" s="344" t="s">
        <x:v>368</x:v>
      </x:c>
      <x:c r="D2" s="344" t="s">
        <x:v>369</x:v>
      </x:c>
      <x:c r="E2" s="344" t="s">
        <x:v>370</x:v>
      </x:c>
      <x:c r="F2" s="344" t="s">
        <x:v>360</x:v>
      </x:c>
      <x:c r="G2" s="344" t="s">
        <x:v>361</x:v>
      </x:c>
      <x:c r="H2" s="344" t="s">
        <x:v>362</x:v>
      </x:c>
      <x:c r="I2" s="344" t="s">
        <x:v>363</x:v>
      </x:c>
      <x:c r="J2" s="344" t="s">
        <x:v>364</x:v>
      </x:c>
      <x:c r="K2" s="344" t="s">
        <x:v>365</x:v>
      </x:c>
      <x:c r="L2" s="344" t="s">
        <x:v>366</x:v>
      </x:c>
      <x:c r="M2" s="344" t="s">
        <x:v>367</x:v>
      </x:c>
    </x:row>
    <x:row r="3" spans="1:17">
      <x:c r="A3" s="343" t="s">
        <x:v>228</x:v>
      </x:c>
      <x:c r="B3" s="345">
        <x:f>SUMIFS('pa data(26년1월)'!$F:$F,'pa data(26년1월)'!$B:$B,매출추이!$A3,'pa data(26년1월)'!$C:$C,매출추이!$A$2)</x:f>
        <x:v>0</x:v>
      </x:c>
      <x:c r="C3" s="345" t="e">
        <x:f>SUMIFS(#REF!,#REF!,매출추이!$A3,#REF!,매출추이!$A$2)</x:f>
        <x:v>#REF!</x:v>
      </x:c>
      <x:c r="D3" s="345" t="e">
        <x:f>SUMIFS(#REF!,#REF!,매출추이!$A3,#REF!,매출추이!$A$2)</x:f>
        <x:v>#REF!</x:v>
      </x:c>
      <x:c r="E3" s="345" t="e">
        <x:f>SUMIFS(#REF!,#REF!,매출추이!$A3,#REF!,매출추이!$A$2)</x:f>
        <x:v>#REF!</x:v>
      </x:c>
      <x:c r="F3" s="345" t="e">
        <x:f>SUMIFS(#REF!,#REF!,매출추이!$A3,#REF!,매출추이!$A$2)</x:f>
        <x:v>#REF!</x:v>
      </x:c>
      <x:c r="G3" s="345" t="e">
        <x:f>SUMIFS(#REF!,#REF!,매출추이!$A3,#REF!,매출추이!$A$2)</x:f>
        <x:v>#REF!</x:v>
      </x:c>
      <x:c r="H3" s="345" t="e">
        <x:f>SUMIFS(#REF!,#REF!,매출추이!$A3,#REF!,매출추이!$A$2)</x:f>
        <x:v>#REF!</x:v>
      </x:c>
      <x:c r="I3" s="345" t="e">
        <x:f>SUMIFS(#REF!,#REF!,매출추이!$A3,#REF!,매출추이!$A$2)</x:f>
        <x:v>#REF!</x:v>
      </x:c>
      <x:c r="J3" s="345" t="e">
        <x:f>SUMIFS(#REF!,#REF!,매출추이!$A3,#REF!,매출추이!$A$2)</x:f>
        <x:v>#REF!</x:v>
      </x:c>
      <x:c r="K3" s="345" t="e">
        <x:f>SUMIFS(#REF!,#REF!,매출추이!$A3,#REF!,매출추이!$A$2)</x:f>
        <x:v>#REF!</x:v>
      </x:c>
      <x:c r="L3" s="345">
        <x:f>SUMIFS('pa data(26년1월)'!$F:$F,'pa data(26년1월)'!$B:$B,매출추이!$A3,'pa data(26년1월)'!$C:$C,매출추이!$A$2)</x:f>
        <x:v>0</x:v>
      </x:c>
      <x:c r="M3" s="345">
        <x:f>SUMIFS('pa data(26년1월)'!$F:$F,'pa data(26년1월)'!$B:$B,매출추이!$A3,'pa data(26년1월)'!$C:$C,매출추이!$A$2)</x:f>
        <x:v>0</x:v>
      </x:c>
      <x:c r="P3" s="346"/>
      <x:c r="Q3" s="345"/>
    </x:row>
    <x:row r="4" spans="1:17">
      <x:c r="A4" s="343" t="s">
        <x:v>335</x:v>
      </x:c>
      <x:c r="B4" s="345">
        <x:f>SUMIFS('pa data(26년1월)'!$F:$F,'pa data(26년1월)'!$B:$B,매출추이!$A4,'pa data(26년1월)'!$C:$C,매출추이!$A$2)</x:f>
        <x:v>0</x:v>
      </x:c>
      <x:c r="C4" s="345" t="e">
        <x:f>SUMIFS(#REF!,#REF!,매출추이!$A4,#REF!,매출추이!$A$2)</x:f>
        <x:v>#REF!</x:v>
      </x:c>
      <x:c r="D4" s="345" t="e">
        <x:f>SUMIFS(#REF!,#REF!,매출추이!$A4,#REF!,매출추이!$A$2)</x:f>
        <x:v>#REF!</x:v>
      </x:c>
      <x:c r="E4" s="345" t="e">
        <x:f>SUMIFS(#REF!,#REF!,매출추이!$A4,#REF!,매출추이!$A$2)</x:f>
        <x:v>#REF!</x:v>
      </x:c>
      <x:c r="F4" s="345" t="e">
        <x:f>SUMIFS(#REF!,#REF!,매출추이!$A4,#REF!,매출추이!$A$2)</x:f>
        <x:v>#REF!</x:v>
      </x:c>
      <x:c r="G4" s="345" t="e">
        <x:f>SUMIFS(#REF!,#REF!,매출추이!$A4,#REF!,매출추이!$A$2)</x:f>
        <x:v>#REF!</x:v>
      </x:c>
      <x:c r="H4" s="345" t="e">
        <x:f>SUMIFS(#REF!,#REF!,매출추이!$A4,#REF!,매출추이!$A$2)</x:f>
        <x:v>#REF!</x:v>
      </x:c>
      <x:c r="I4" s="345" t="e">
        <x:f>SUMIFS(#REF!,#REF!,매출추이!$A4,#REF!,매출추이!$A$2)</x:f>
        <x:v>#REF!</x:v>
      </x:c>
      <x:c r="J4" s="345" t="e">
        <x:f>SUMIFS(#REF!,#REF!,매출추이!$A4,#REF!,매출추이!$A$2)</x:f>
        <x:v>#REF!</x:v>
      </x:c>
      <x:c r="K4" s="345" t="e">
        <x:f>SUMIFS(#REF!,#REF!,매출추이!$A4,#REF!,매출추이!$A$2)</x:f>
        <x:v>#REF!</x:v>
      </x:c>
      <x:c r="L4" s="345">
        <x:f>SUMIFS('pa data(26년1월)'!$F:$F,'pa data(26년1월)'!$B:$B,매출추이!$A4,'pa data(26년1월)'!$C:$C,매출추이!$A$2)</x:f>
        <x:v>0</x:v>
      </x:c>
      <x:c r="M4" s="345">
        <x:f>SUMIFS('pa data(26년1월)'!$F:$F,'pa data(26년1월)'!$B:$B,매출추이!$A4,'pa data(26년1월)'!$C:$C,매출추이!$A$2)</x:f>
        <x:v>0</x:v>
      </x:c>
      <x:c r="P4" s="346"/>
      <x:c r="Q4" s="345"/>
    </x:row>
    <x:row r="5" spans="1:17">
      <x:c r="A5" s="343" t="s">
        <x:v>227</x:v>
      </x:c>
      <x:c r="B5" s="345">
        <x:f>SUMIFS('pa data(26년1월)'!$F:$F,'pa data(26년1월)'!$B:$B,매출추이!$A5,'pa data(26년1월)'!$C:$C,매출추이!$A$2)</x:f>
        <x:v>0</x:v>
      </x:c>
      <x:c r="C5" s="345" t="e">
        <x:f>SUMIFS(#REF!,#REF!,매출추이!$A5,#REF!,매출추이!$A$2)</x:f>
        <x:v>#REF!</x:v>
      </x:c>
      <x:c r="D5" s="345" t="e">
        <x:f>SUMIFS(#REF!,#REF!,매출추이!$A5,#REF!,매출추이!$A$2)</x:f>
        <x:v>#REF!</x:v>
      </x:c>
      <x:c r="E5" s="345" t="e">
        <x:f>SUMIFS(#REF!,#REF!,매출추이!$A5,#REF!,매출추이!$A$2)</x:f>
        <x:v>#REF!</x:v>
      </x:c>
      <x:c r="F5" s="345" t="e">
        <x:f>SUMIFS(#REF!,#REF!,매출추이!$A5,#REF!,매출추이!$A$2)</x:f>
        <x:v>#REF!</x:v>
      </x:c>
      <x:c r="G5" s="345" t="e">
        <x:f>SUMIFS(#REF!,#REF!,매출추이!$A5,#REF!,매출추이!$A$2)</x:f>
        <x:v>#REF!</x:v>
      </x:c>
      <x:c r="H5" s="345" t="e">
        <x:f>SUMIFS(#REF!,#REF!,매출추이!$A5,#REF!,매출추이!$A$2)</x:f>
        <x:v>#REF!</x:v>
      </x:c>
      <x:c r="I5" s="345" t="e">
        <x:f>SUMIFS(#REF!,#REF!,매출추이!$A5,#REF!,매출추이!$A$2)</x:f>
        <x:v>#REF!</x:v>
      </x:c>
      <x:c r="J5" s="345" t="e">
        <x:f>SUMIFS(#REF!,#REF!,매출추이!$A5,#REF!,매출추이!$A$2)</x:f>
        <x:v>#REF!</x:v>
      </x:c>
      <x:c r="K5" s="345" t="e">
        <x:f>SUMIFS(#REF!,#REF!,매출추이!$A5,#REF!,매출추이!$A$2)</x:f>
        <x:v>#REF!</x:v>
      </x:c>
      <x:c r="L5" s="345">
        <x:f>SUMIFS('pa data(26년1월)'!$F:$F,'pa data(26년1월)'!$B:$B,매출추이!$A5,'pa data(26년1월)'!$C:$C,매출추이!$A$2)</x:f>
        <x:v>0</x:v>
      </x:c>
      <x:c r="M5" s="345">
        <x:f>SUMIFS('pa data(26년1월)'!$F:$F,'pa data(26년1월)'!$B:$B,매출추이!$A5,'pa data(26년1월)'!$C:$C,매출추이!$A$2)</x:f>
        <x:v>0</x:v>
      </x:c>
      <x:c r="P5" s="346"/>
      <x:c r="Q5" s="345"/>
    </x:row>
    <x:row r="6" spans="1:17">
      <x:c r="A6" s="343" t="s">
        <x:v>229</x:v>
      </x:c>
      <x:c r="B6" s="345">
        <x:f>SUMIFS('pa data(26년1월)'!$F:$F,'pa data(26년1월)'!$B:$B,매출추이!$A6,'pa data(26년1월)'!$C:$C,매출추이!$A$2)</x:f>
        <x:v>0</x:v>
      </x:c>
      <x:c r="C6" s="345" t="e">
        <x:f>SUMIFS(#REF!,#REF!,매출추이!$A6,#REF!,매출추이!$A$2)</x:f>
        <x:v>#REF!</x:v>
      </x:c>
      <x:c r="D6" s="345" t="e">
        <x:f>SUMIFS(#REF!,#REF!,매출추이!$A6,#REF!,매출추이!$A$2)</x:f>
        <x:v>#REF!</x:v>
      </x:c>
      <x:c r="E6" s="345" t="e">
        <x:f>SUMIFS(#REF!,#REF!,매출추이!$A6,#REF!,매출추이!$A$2)</x:f>
        <x:v>#REF!</x:v>
      </x:c>
      <x:c r="F6" s="345" t="e">
        <x:f>SUMIFS(#REF!,#REF!,매출추이!$A6,#REF!,매출추이!$A$2)</x:f>
        <x:v>#REF!</x:v>
      </x:c>
      <x:c r="G6" s="345" t="e">
        <x:f>SUMIFS(#REF!,#REF!,매출추이!$A6,#REF!,매출추이!$A$2)</x:f>
        <x:v>#REF!</x:v>
      </x:c>
      <x:c r="H6" s="345" t="e">
        <x:f>SUMIFS(#REF!,#REF!,매출추이!$A6,#REF!,매출추이!$A$2)</x:f>
        <x:v>#REF!</x:v>
      </x:c>
      <x:c r="I6" s="345" t="e">
        <x:f>SUMIFS(#REF!,#REF!,매출추이!$A6,#REF!,매출추이!$A$2)</x:f>
        <x:v>#REF!</x:v>
      </x:c>
      <x:c r="J6" s="345" t="e">
        <x:f>SUMIFS(#REF!,#REF!,매출추이!$A6,#REF!,매출추이!$A$2)</x:f>
        <x:v>#REF!</x:v>
      </x:c>
      <x:c r="K6" s="345" t="e">
        <x:f>SUMIFS(#REF!,#REF!,매출추이!$A6,#REF!,매출추이!$A$2)</x:f>
        <x:v>#REF!</x:v>
      </x:c>
      <x:c r="L6" s="345">
        <x:f>SUMIFS('pa data(26년1월)'!$F:$F,'pa data(26년1월)'!$B:$B,매출추이!$A6,'pa data(26년1월)'!$C:$C,매출추이!$A$2)</x:f>
        <x:v>0</x:v>
      </x:c>
      <x:c r="M6" s="345">
        <x:f>SUMIFS('pa data(26년1월)'!$F:$F,'pa data(26년1월)'!$B:$B,매출추이!$A6,'pa data(26년1월)'!$C:$C,매출추이!$A$2)</x:f>
        <x:v>0</x:v>
      </x:c>
      <x:c r="P6" s="346"/>
      <x:c r="Q6" s="345"/>
    </x:row>
    <x:row r="7" spans="1:17">
      <x:c r="A7" s="343" t="s">
        <x:v>281</x:v>
      </x:c>
      <x:c r="B7" s="345">
        <x:f>SUMIFS('pa data(26년1월)'!$F:$F,'pa data(26년1월)'!$B:$B,매출추이!$A7,'pa data(26년1월)'!$C:$C,매출추이!$A$2)</x:f>
        <x:v>0</x:v>
      </x:c>
      <x:c r="C7" s="345" t="e">
        <x:f>SUMIFS(#REF!,#REF!,매출추이!$A7,#REF!,매출추이!$A$2)</x:f>
        <x:v>#REF!</x:v>
      </x:c>
      <x:c r="D7" s="345" t="e">
        <x:f>SUMIFS(#REF!,#REF!,매출추이!$A7,#REF!,매출추이!$A$2)</x:f>
        <x:v>#REF!</x:v>
      </x:c>
      <x:c r="E7" s="345" t="e">
        <x:f>SUMIFS(#REF!,#REF!,매출추이!$A7,#REF!,매출추이!$A$2)</x:f>
        <x:v>#REF!</x:v>
      </x:c>
      <x:c r="F7" s="345" t="e">
        <x:f>SUMIFS(#REF!,#REF!,매출추이!$A7,#REF!,매출추이!$A$2)</x:f>
        <x:v>#REF!</x:v>
      </x:c>
      <x:c r="G7" s="345" t="e">
        <x:f>SUMIFS(#REF!,#REF!,매출추이!$A7,#REF!,매출추이!$A$2)</x:f>
        <x:v>#REF!</x:v>
      </x:c>
      <x:c r="H7" s="345" t="e">
        <x:f>SUMIFS(#REF!,#REF!,매출추이!$A7,#REF!,매출추이!$A$2)</x:f>
        <x:v>#REF!</x:v>
      </x:c>
      <x:c r="I7" s="345" t="e">
        <x:f>SUMIFS(#REF!,#REF!,매출추이!$A7,#REF!,매출추이!$A$2)</x:f>
        <x:v>#REF!</x:v>
      </x:c>
      <x:c r="J7" s="345" t="e">
        <x:f>SUMIFS(#REF!,#REF!,매출추이!$A7,#REF!,매출추이!$A$2)</x:f>
        <x:v>#REF!</x:v>
      </x:c>
      <x:c r="K7" s="345" t="e">
        <x:f>SUMIFS(#REF!,#REF!,매출추이!$A7,#REF!,매출추이!$A$2)</x:f>
        <x:v>#REF!</x:v>
      </x:c>
      <x:c r="L7" s="345">
        <x:f>SUMIFS('pa data(26년1월)'!$F:$F,'pa data(26년1월)'!$B:$B,매출추이!$A7,'pa data(26년1월)'!$C:$C,매출추이!$A$2)</x:f>
        <x:v>0</x:v>
      </x:c>
      <x:c r="M7" s="345">
        <x:f>SUMIFS('pa data(26년1월)'!$F:$F,'pa data(26년1월)'!$B:$B,매출추이!$A7,'pa data(26년1월)'!$C:$C,매출추이!$A$2)</x:f>
        <x:v>0</x:v>
      </x:c>
      <x:c r="P7" s="346"/>
      <x:c r="Q7" s="345"/>
    </x:row>
    <x:row r="8" spans="1:17">
      <x:c r="A8" s="343" t="s">
        <x:v>336</x:v>
      </x:c>
      <x:c r="B8" s="345">
        <x:f>SUMIFS('pa data(26년1월)'!$F:$F,'pa data(26년1월)'!$B:$B,매출추이!$A8,'pa data(26년1월)'!$C:$C,매출추이!$A$2)</x:f>
        <x:v>0</x:v>
      </x:c>
      <x:c r="C8" s="345" t="e">
        <x:f>SUMIFS(#REF!,#REF!,매출추이!$A8,#REF!,매출추이!$A$2)</x:f>
        <x:v>#REF!</x:v>
      </x:c>
      <x:c r="D8" s="345" t="e">
        <x:f>SUMIFS(#REF!,#REF!,매출추이!$A8,#REF!,매출추이!$A$2)</x:f>
        <x:v>#REF!</x:v>
      </x:c>
      <x:c r="E8" s="345" t="e">
        <x:f>SUMIFS(#REF!,#REF!,매출추이!$A8,#REF!,매출추이!$A$2)</x:f>
        <x:v>#REF!</x:v>
      </x:c>
      <x:c r="F8" s="345" t="e">
        <x:f>SUMIFS(#REF!,#REF!,매출추이!$A8,#REF!,매출추이!$A$2)</x:f>
        <x:v>#REF!</x:v>
      </x:c>
      <x:c r="G8" s="345" t="e">
        <x:f>SUMIFS(#REF!,#REF!,매출추이!$A8,#REF!,매출추이!$A$2)</x:f>
        <x:v>#REF!</x:v>
      </x:c>
      <x:c r="H8" s="345" t="e">
        <x:f>SUMIFS(#REF!,#REF!,매출추이!$A8,#REF!,매출추이!$A$2)</x:f>
        <x:v>#REF!</x:v>
      </x:c>
      <x:c r="I8" s="345" t="e">
        <x:f>SUMIFS(#REF!,#REF!,매출추이!$A8,#REF!,매출추이!$A$2)</x:f>
        <x:v>#REF!</x:v>
      </x:c>
      <x:c r="J8" s="345" t="e">
        <x:f>SUMIFS(#REF!,#REF!,매출추이!$A8,#REF!,매출추이!$A$2)</x:f>
        <x:v>#REF!</x:v>
      </x:c>
      <x:c r="K8" s="345" t="e">
        <x:f>SUMIFS(#REF!,#REF!,매출추이!$A8,#REF!,매출추이!$A$2)</x:f>
        <x:v>#REF!</x:v>
      </x:c>
      <x:c r="L8" s="345">
        <x:f>SUMIFS('pa data(26년1월)'!$F:$F,'pa data(26년1월)'!$B:$B,매출추이!$A8,'pa data(26년1월)'!$C:$C,매출추이!$A$2)</x:f>
        <x:v>0</x:v>
      </x:c>
      <x:c r="M8" s="345">
        <x:f>SUMIFS('pa data(26년1월)'!$F:$F,'pa data(26년1월)'!$B:$B,매출추이!$A8,'pa data(26년1월)'!$C:$C,매출추이!$A$2)</x:f>
        <x:v>0</x:v>
      </x:c>
      <x:c r="P8" s="346"/>
      <x:c r="Q8" s="345"/>
    </x:row>
    <x:row r="9" spans="1:17">
      <x:c r="A9" s="343" t="s">
        <x:v>337</x:v>
      </x:c>
      <x:c r="B9" s="345">
        <x:f>SUMIFS('pa data(26년1월)'!$F:$F,'pa data(26년1월)'!$B:$B,매출추이!$A9,'pa data(26년1월)'!$C:$C,매출추이!$A$2)</x:f>
        <x:v>0</x:v>
      </x:c>
      <x:c r="C9" s="345" t="e">
        <x:f>SUMIFS(#REF!,#REF!,매출추이!$A9,#REF!,매출추이!$A$2)</x:f>
        <x:v>#REF!</x:v>
      </x:c>
      <x:c r="D9" s="345" t="e">
        <x:f>SUMIFS(#REF!,#REF!,매출추이!$A9,#REF!,매출추이!$A$2)</x:f>
        <x:v>#REF!</x:v>
      </x:c>
      <x:c r="E9" s="345" t="e">
        <x:f>SUMIFS(#REF!,#REF!,매출추이!$A9,#REF!,매출추이!$A$2)</x:f>
        <x:v>#REF!</x:v>
      </x:c>
      <x:c r="F9" s="345" t="e">
        <x:f>SUMIFS(#REF!,#REF!,매출추이!$A9,#REF!,매출추이!$A$2)</x:f>
        <x:v>#REF!</x:v>
      </x:c>
      <x:c r="G9" s="345" t="e">
        <x:f>SUMIFS(#REF!,#REF!,매출추이!$A9,#REF!,매출추이!$A$2)</x:f>
        <x:v>#REF!</x:v>
      </x:c>
      <x:c r="H9" s="345" t="e">
        <x:f>SUMIFS(#REF!,#REF!,매출추이!$A9,#REF!,매출추이!$A$2)</x:f>
        <x:v>#REF!</x:v>
      </x:c>
      <x:c r="I9" s="345" t="e">
        <x:f>SUMIFS(#REF!,#REF!,매출추이!$A9,#REF!,매출추이!$A$2)</x:f>
        <x:v>#REF!</x:v>
      </x:c>
      <x:c r="J9" s="345" t="e">
        <x:f>SUMIFS(#REF!,#REF!,매출추이!$A9,#REF!,매출추이!$A$2)</x:f>
        <x:v>#REF!</x:v>
      </x:c>
      <x:c r="K9" s="345" t="e">
        <x:f>SUMIFS(#REF!,#REF!,매출추이!$A9,#REF!,매출추이!$A$2)</x:f>
        <x:v>#REF!</x:v>
      </x:c>
      <x:c r="L9" s="345">
        <x:f>SUMIFS('pa data(26년1월)'!$F:$F,'pa data(26년1월)'!$B:$B,매출추이!$A9,'pa data(26년1월)'!$C:$C,매출추이!$A$2)</x:f>
        <x:v>0</x:v>
      </x:c>
      <x:c r="M9" s="345">
        <x:f>SUMIFS('pa data(26년1월)'!$F:$F,'pa data(26년1월)'!$B:$B,매출추이!$A9,'pa data(26년1월)'!$C:$C,매출추이!$A$2)</x:f>
        <x:v>0</x:v>
      </x:c>
      <x:c r="P9" s="346"/>
      <x:c r="Q9" s="345"/>
    </x:row>
    <x:row r="10" spans="1:17">
      <x:c r="A10" s="343" t="s">
        <x:v>349</x:v>
      </x:c>
      <x:c r="B10" s="345">
        <x:f>SUMIFS('pa data(26년1월)'!$F:$F,'pa data(26년1월)'!$B:$B,매출추이!$A10,'pa data(26년1월)'!$C:$C,매출추이!$A$2)</x:f>
        <x:v>0</x:v>
      </x:c>
      <x:c r="C10" s="345" t="e">
        <x:f>SUMIFS(#REF!,#REF!,매출추이!$A10,#REF!,매출추이!$A$2)</x:f>
        <x:v>#REF!</x:v>
      </x:c>
      <x:c r="D10" s="345" t="e">
        <x:f>SUMIFS(#REF!,#REF!,매출추이!$A10,#REF!,매출추이!$A$2)</x:f>
        <x:v>#REF!</x:v>
      </x:c>
      <x:c r="E10" s="345" t="e">
        <x:f>SUMIFS(#REF!,#REF!,매출추이!$A10,#REF!,매출추이!$A$2)</x:f>
        <x:v>#REF!</x:v>
      </x:c>
      <x:c r="F10" s="345" t="e">
        <x:f>SUMIFS(#REF!,#REF!,매출추이!$A10,#REF!,매출추이!$A$2)</x:f>
        <x:v>#REF!</x:v>
      </x:c>
      <x:c r="G10" s="345" t="e">
        <x:f>SUMIFS(#REF!,#REF!,매출추이!$A10,#REF!,매출추이!$A$2)</x:f>
        <x:v>#REF!</x:v>
      </x:c>
      <x:c r="H10" s="345" t="e">
        <x:f>SUMIFS(#REF!,#REF!,매출추이!$A10,#REF!,매출추이!$A$2)</x:f>
        <x:v>#REF!</x:v>
      </x:c>
      <x:c r="I10" s="345" t="e">
        <x:f>SUMIFS(#REF!,#REF!,매출추이!$A10,#REF!,매출추이!$A$2)</x:f>
        <x:v>#REF!</x:v>
      </x:c>
      <x:c r="J10" s="345" t="e">
        <x:f>SUMIFS(#REF!,#REF!,매출추이!$A10,#REF!,매출추이!$A$2)</x:f>
        <x:v>#REF!</x:v>
      </x:c>
      <x:c r="K10" s="345" t="e">
        <x:f>SUMIFS(#REF!,#REF!,매출추이!$A10,#REF!,매출추이!$A$2)</x:f>
        <x:v>#REF!</x:v>
      </x:c>
      <x:c r="L10" s="345">
        <x:f>SUMIFS('pa data(26년1월)'!$F:$F,'pa data(26년1월)'!$B:$B,매출추이!$A10,'pa data(26년1월)'!$C:$C,매출추이!$A$2)</x:f>
        <x:v>0</x:v>
      </x:c>
      <x:c r="M10" s="345">
        <x:f>SUMIFS('pa data(26년1월)'!$F:$F,'pa data(26년1월)'!$B:$B,매출추이!$A10,'pa data(26년1월)'!$C:$C,매출추이!$A$2)</x:f>
        <x:v>0</x:v>
      </x:c>
      <x:c r="P10" s="346"/>
      <x:c r="Q10" s="345"/>
    </x:row>
    <x:row r="11" spans="1:17">
      <x:c r="A11" s="343" t="s">
        <x:v>340</x:v>
      </x:c>
      <x:c r="B11" s="345">
        <x:f>SUMIFS('pa data(26년1월)'!$F:$F,'pa data(26년1월)'!$B:$B,매출추이!$A11,'pa data(26년1월)'!$C:$C,매출추이!$A$2)</x:f>
        <x:v>0</x:v>
      </x:c>
      <x:c r="C11" s="345" t="e">
        <x:f>SUMIFS(#REF!,#REF!,매출추이!$A11,#REF!,매출추이!$A$2)</x:f>
        <x:v>#REF!</x:v>
      </x:c>
      <x:c r="D11" s="345" t="e">
        <x:f>SUMIFS(#REF!,#REF!,매출추이!$A11,#REF!,매출추이!$A$2)</x:f>
        <x:v>#REF!</x:v>
      </x:c>
      <x:c r="E11" s="345" t="e">
        <x:f>SUMIFS(#REF!,#REF!,매출추이!$A11,#REF!,매출추이!$A$2)</x:f>
        <x:v>#REF!</x:v>
      </x:c>
      <x:c r="F11" s="345" t="e">
        <x:f>SUMIFS(#REF!,#REF!,매출추이!$A11,#REF!,매출추이!$A$2)</x:f>
        <x:v>#REF!</x:v>
      </x:c>
      <x:c r="G11" s="345" t="e">
        <x:f>SUMIFS(#REF!,#REF!,매출추이!$A11,#REF!,매출추이!$A$2)</x:f>
        <x:v>#REF!</x:v>
      </x:c>
      <x:c r="H11" s="345" t="e">
        <x:f>SUMIFS(#REF!,#REF!,매출추이!$A11,#REF!,매출추이!$A$2)</x:f>
        <x:v>#REF!</x:v>
      </x:c>
      <x:c r="I11" s="345" t="e">
        <x:f>SUMIFS(#REF!,#REF!,매출추이!$A11,#REF!,매출추이!$A$2)</x:f>
        <x:v>#REF!</x:v>
      </x:c>
      <x:c r="J11" s="345" t="e">
        <x:f>SUMIFS(#REF!,#REF!,매출추이!$A11,#REF!,매출추이!$A$2)</x:f>
        <x:v>#REF!</x:v>
      </x:c>
      <x:c r="K11" s="345" t="e">
        <x:f>SUMIFS(#REF!,#REF!,매출추이!$A11,#REF!,매출추이!$A$2)</x:f>
        <x:v>#REF!</x:v>
      </x:c>
      <x:c r="L11" s="345">
        <x:f>SUMIFS('pa data(26년1월)'!$F:$F,'pa data(26년1월)'!$B:$B,매출추이!$A11,'pa data(26년1월)'!$C:$C,매출추이!$A$2)</x:f>
        <x:v>0</x:v>
      </x:c>
      <x:c r="M11" s="345">
        <x:f>SUMIFS('pa data(26년1월)'!$F:$F,'pa data(26년1월)'!$B:$B,매출추이!$A11,'pa data(26년1월)'!$C:$C,매출추이!$A$2)</x:f>
        <x:v>0</x:v>
      </x:c>
      <x:c r="P11" s="346"/>
      <x:c r="Q11" s="345"/>
    </x:row>
    <x:row r="12" spans="1:17">
      <x:c r="A12" s="343" t="s">
        <x:v>341</x:v>
      </x:c>
      <x:c r="B12" s="345">
        <x:f>SUMIFS('pa data(26년1월)'!$F:$F,'pa data(26년1월)'!$B:$B,매출추이!$A12,'pa data(26년1월)'!$C:$C,매출추이!$A$2)</x:f>
        <x:v>0</x:v>
      </x:c>
      <x:c r="C12" s="345" t="e">
        <x:f>SUMIFS(#REF!,#REF!,매출추이!$A12,#REF!,매출추이!$A$2)</x:f>
        <x:v>#REF!</x:v>
      </x:c>
      <x:c r="D12" s="345" t="e">
        <x:f>SUMIFS(#REF!,#REF!,매출추이!$A12,#REF!,매출추이!$A$2)</x:f>
        <x:v>#REF!</x:v>
      </x:c>
      <x:c r="E12" s="345" t="e">
        <x:f>SUMIFS(#REF!,#REF!,매출추이!$A12,#REF!,매출추이!$A$2)</x:f>
        <x:v>#REF!</x:v>
      </x:c>
      <x:c r="F12" s="345" t="e">
        <x:f>SUMIFS(#REF!,#REF!,매출추이!$A12,#REF!,매출추이!$A$2)</x:f>
        <x:v>#REF!</x:v>
      </x:c>
      <x:c r="G12" s="345" t="e">
        <x:f>SUMIFS(#REF!,#REF!,매출추이!$A12,#REF!,매출추이!$A$2)</x:f>
        <x:v>#REF!</x:v>
      </x:c>
      <x:c r="H12" s="345" t="e">
        <x:f>SUMIFS(#REF!,#REF!,매출추이!$A12,#REF!,매출추이!$A$2)</x:f>
        <x:v>#REF!</x:v>
      </x:c>
      <x:c r="I12" s="345" t="e">
        <x:f>SUMIFS(#REF!,#REF!,매출추이!$A12,#REF!,매출추이!$A$2)</x:f>
        <x:v>#REF!</x:v>
      </x:c>
      <x:c r="J12" s="345" t="e">
        <x:f>SUMIFS(#REF!,#REF!,매출추이!$A12,#REF!,매출추이!$A$2)</x:f>
        <x:v>#REF!</x:v>
      </x:c>
      <x:c r="K12" s="345" t="e">
        <x:f>SUMIFS(#REF!,#REF!,매출추이!$A12,#REF!,매출추이!$A$2)</x:f>
        <x:v>#REF!</x:v>
      </x:c>
      <x:c r="L12" s="345">
        <x:f>SUMIFS('pa data(26년1월)'!$F:$F,'pa data(26년1월)'!$B:$B,매출추이!$A12,'pa data(26년1월)'!$C:$C,매출추이!$A$2)</x:f>
        <x:v>0</x:v>
      </x:c>
      <x:c r="M12" s="345">
        <x:f>SUMIFS('pa data(26년1월)'!$F:$F,'pa data(26년1월)'!$B:$B,매출추이!$A12,'pa data(26년1월)'!$C:$C,매출추이!$A$2)</x:f>
        <x:v>0</x:v>
      </x:c>
      <x:c r="P12" s="346"/>
      <x:c r="Q12" s="345"/>
    </x:row>
    <x:row r="13" spans="1:17">
      <x:c r="A13" s="343" t="s">
        <x:v>353</x:v>
      </x:c>
      <x:c r="B13" s="345">
        <x:f>SUMIFS('pa data(26년1월)'!$F:$F,'pa data(26년1월)'!$B:$B,매출추이!$A13,'pa data(26년1월)'!$C:$C,매출추이!$A$2)</x:f>
        <x:v>0</x:v>
      </x:c>
      <x:c r="C13" s="345" t="e">
        <x:f>SUMIFS(#REF!,#REF!,매출추이!$A13,#REF!,매출추이!$A$2)</x:f>
        <x:v>#REF!</x:v>
      </x:c>
      <x:c r="D13" s="345" t="e">
        <x:f>SUMIFS(#REF!,#REF!,매출추이!$A13,#REF!,매출추이!$A$2)</x:f>
        <x:v>#REF!</x:v>
      </x:c>
      <x:c r="E13" s="345" t="e">
        <x:f>SUMIFS(#REF!,#REF!,매출추이!$A13,#REF!,매출추이!$A$2)</x:f>
        <x:v>#REF!</x:v>
      </x:c>
      <x:c r="F13" s="345" t="e">
        <x:f>SUMIFS(#REF!,#REF!,매출추이!$A13,#REF!,매출추이!$A$2)</x:f>
        <x:v>#REF!</x:v>
      </x:c>
      <x:c r="G13" s="345" t="e">
        <x:f>SUMIFS(#REF!,#REF!,매출추이!$A13,#REF!,매출추이!$A$2)</x:f>
        <x:v>#REF!</x:v>
      </x:c>
      <x:c r="H13" s="345" t="e">
        <x:f>SUMIFS(#REF!,#REF!,매출추이!$A13,#REF!,매출추이!$A$2)</x:f>
        <x:v>#REF!</x:v>
      </x:c>
      <x:c r="I13" s="345" t="e">
        <x:f>SUMIFS(#REF!,#REF!,매출추이!$A13,#REF!,매출추이!$A$2)</x:f>
        <x:v>#REF!</x:v>
      </x:c>
      <x:c r="J13" s="345" t="e">
        <x:f>SUMIFS(#REF!,#REF!,매출추이!$A13,#REF!,매출추이!$A$2)</x:f>
        <x:v>#REF!</x:v>
      </x:c>
      <x:c r="K13" s="345" t="e">
        <x:f>SUMIFS(#REF!,#REF!,매출추이!$A13,#REF!,매출추이!$A$2)</x:f>
        <x:v>#REF!</x:v>
      </x:c>
      <x:c r="L13" s="345">
        <x:f>SUMIFS('pa data(26년1월)'!$F:$F,'pa data(26년1월)'!$B:$B,매출추이!$A13,'pa data(26년1월)'!$C:$C,매출추이!$A$2)</x:f>
        <x:v>0</x:v>
      </x:c>
      <x:c r="M13" s="345">
        <x:f>SUMIFS('pa data(26년1월)'!$F:$F,'pa data(26년1월)'!$B:$B,매출추이!$A13,'pa data(26년1월)'!$C:$C,매출추이!$A$2)</x:f>
        <x:v>0</x:v>
      </x:c>
      <x:c r="P13" s="346"/>
      <x:c r="Q13" s="345"/>
    </x:row>
    <x:row r="14" spans="1:17">
      <x:c r="A14" s="343" t="s">
        <x:v>354</x:v>
      </x:c>
      <x:c r="B14" s="345">
        <x:f>SUMIFS('pa data(26년1월)'!$F:$F,'pa data(26년1월)'!$B:$B,매출추이!$A14,'pa data(26년1월)'!$C:$C,매출추이!$A$2)</x:f>
        <x:v>0</x:v>
      </x:c>
      <x:c r="C14" s="345" t="e">
        <x:f>SUMIFS(#REF!,#REF!,매출추이!$A14,#REF!,매출추이!$A$2)</x:f>
        <x:v>#REF!</x:v>
      </x:c>
      <x:c r="D14" s="345" t="e">
        <x:f>SUMIFS(#REF!,#REF!,매출추이!$A14,#REF!,매출추이!$A$2)</x:f>
        <x:v>#REF!</x:v>
      </x:c>
      <x:c r="E14" s="345" t="e">
        <x:f>SUMIFS(#REF!,#REF!,매출추이!$A14,#REF!,매출추이!$A$2)</x:f>
        <x:v>#REF!</x:v>
      </x:c>
      <x:c r="F14" s="345" t="e">
        <x:f>SUMIFS(#REF!,#REF!,매출추이!$A14,#REF!,매출추이!$A$2)</x:f>
        <x:v>#REF!</x:v>
      </x:c>
      <x:c r="G14" s="345" t="e">
        <x:f>SUMIFS(#REF!,#REF!,매출추이!$A14,#REF!,매출추이!$A$2)</x:f>
        <x:v>#REF!</x:v>
      </x:c>
      <x:c r="H14" s="345" t="e">
        <x:f>SUMIFS(#REF!,#REF!,매출추이!$A14,#REF!,매출추이!$A$2)</x:f>
        <x:v>#REF!</x:v>
      </x:c>
      <x:c r="I14" s="345" t="e">
        <x:f>SUMIFS(#REF!,#REF!,매출추이!$A14,#REF!,매출추이!$A$2)</x:f>
        <x:v>#REF!</x:v>
      </x:c>
      <x:c r="J14" s="345" t="e">
        <x:f>SUMIFS(#REF!,#REF!,매출추이!$A14,#REF!,매출추이!$A$2)</x:f>
        <x:v>#REF!</x:v>
      </x:c>
      <x:c r="K14" s="345" t="e">
        <x:f>SUMIFS(#REF!,#REF!,매출추이!$A14,#REF!,매출추이!$A$2)</x:f>
        <x:v>#REF!</x:v>
      </x:c>
      <x:c r="L14" s="345">
        <x:f>SUMIFS('pa data(26년1월)'!$F:$F,'pa data(26년1월)'!$B:$B,매출추이!$A14,'pa data(26년1월)'!$C:$C,매출추이!$A$2)</x:f>
        <x:v>0</x:v>
      </x:c>
      <x:c r="M14" s="345">
        <x:f>SUMIFS('pa data(26년1월)'!$F:$F,'pa data(26년1월)'!$B:$B,매출추이!$A14,'pa data(26년1월)'!$C:$C,매출추이!$A$2)</x:f>
        <x:v>0</x:v>
      </x:c>
      <x:c r="P14" s="346"/>
      <x:c r="Q14" s="345"/>
    </x:row>
    <x:row r="15" spans="1:17">
      <x:c r="A15" s="343" t="s">
        <x:v>355</x:v>
      </x:c>
      <x:c r="B15" s="345">
        <x:f>SUMIFS('pa data(26년1월)'!$F:$F,'pa data(26년1월)'!$B:$B,매출추이!$A15,'pa data(26년1월)'!$C:$C,매출추이!$A$2)</x:f>
        <x:v>0</x:v>
      </x:c>
      <x:c r="C15" s="345" t="e">
        <x:f>SUMIFS(#REF!,#REF!,매출추이!$A15,#REF!,매출추이!$A$2)</x:f>
        <x:v>#REF!</x:v>
      </x:c>
      <x:c r="D15" s="345" t="e">
        <x:f>SUMIFS(#REF!,#REF!,매출추이!$A15,#REF!,매출추이!$A$2)</x:f>
        <x:v>#REF!</x:v>
      </x:c>
      <x:c r="E15" s="345" t="e">
        <x:f>SUMIFS(#REF!,#REF!,매출추이!$A15,#REF!,매출추이!$A$2)</x:f>
        <x:v>#REF!</x:v>
      </x:c>
      <x:c r="F15" s="345" t="e">
        <x:f>SUMIFS(#REF!,#REF!,매출추이!$A15,#REF!,매출추이!$A$2)</x:f>
        <x:v>#REF!</x:v>
      </x:c>
      <x:c r="G15" s="345" t="e">
        <x:f>SUMIFS(#REF!,#REF!,매출추이!$A15,#REF!,매출추이!$A$2)</x:f>
        <x:v>#REF!</x:v>
      </x:c>
      <x:c r="H15" s="345" t="e">
        <x:f>SUMIFS(#REF!,#REF!,매출추이!$A15,#REF!,매출추이!$A$2)</x:f>
        <x:v>#REF!</x:v>
      </x:c>
      <x:c r="I15" s="345" t="e">
        <x:f>SUMIFS(#REF!,#REF!,매출추이!$A15,#REF!,매출추이!$A$2)</x:f>
        <x:v>#REF!</x:v>
      </x:c>
      <x:c r="J15" s="345" t="e">
        <x:f>SUMIFS(#REF!,#REF!,매출추이!$A15,#REF!,매출추이!$A$2)</x:f>
        <x:v>#REF!</x:v>
      </x:c>
      <x:c r="K15" s="345" t="e">
        <x:f>SUMIFS(#REF!,#REF!,매출추이!$A15,#REF!,매출추이!$A$2)</x:f>
        <x:v>#REF!</x:v>
      </x:c>
      <x:c r="L15" s="345">
        <x:f>SUMIFS('pa data(26년1월)'!$F:$F,'pa data(26년1월)'!$B:$B,매출추이!$A15,'pa data(26년1월)'!$C:$C,매출추이!$A$2)</x:f>
        <x:v>0</x:v>
      </x:c>
      <x:c r="M15" s="345">
        <x:f>SUMIFS('pa data(26년1월)'!$F:$F,'pa data(26년1월)'!$B:$B,매출추이!$A15,'pa data(26년1월)'!$C:$C,매출추이!$A$2)</x:f>
        <x:v>0</x:v>
      </x:c>
      <x:c r="P15" s="346"/>
      <x:c r="Q15" s="345"/>
    </x:row>
    <x:row r="16" spans="1:17">
      <x:c r="A16" s="343" t="s">
        <x:v>356</x:v>
      </x:c>
      <x:c r="B16" s="345">
        <x:f>SUMIFS('pa data(26년1월)'!$F:$F,'pa data(26년1월)'!$B:$B,매출추이!$A16,'pa data(26년1월)'!$C:$C,매출추이!$A$2)</x:f>
        <x:v>0</x:v>
      </x:c>
      <x:c r="C16" s="345" t="e">
        <x:f>SUMIFS(#REF!,#REF!,매출추이!$A16,#REF!,매출추이!$A$2)</x:f>
        <x:v>#REF!</x:v>
      </x:c>
      <x:c r="D16" s="345" t="e">
        <x:f>SUMIFS(#REF!,#REF!,매출추이!$A16,#REF!,매출추이!$A$2)</x:f>
        <x:v>#REF!</x:v>
      </x:c>
      <x:c r="E16" s="345" t="e">
        <x:f>SUMIFS(#REF!,#REF!,매출추이!$A16,#REF!,매출추이!$A$2)</x:f>
        <x:v>#REF!</x:v>
      </x:c>
      <x:c r="F16" s="345" t="e">
        <x:f>SUMIFS(#REF!,#REF!,매출추이!$A16,#REF!,매출추이!$A$2)</x:f>
        <x:v>#REF!</x:v>
      </x:c>
      <x:c r="G16" s="345" t="e">
        <x:f>SUMIFS(#REF!,#REF!,매출추이!$A16,#REF!,매출추이!$A$2)</x:f>
        <x:v>#REF!</x:v>
      </x:c>
      <x:c r="H16" s="345" t="e">
        <x:f>SUMIFS(#REF!,#REF!,매출추이!$A16,#REF!,매출추이!$A$2)</x:f>
        <x:v>#REF!</x:v>
      </x:c>
      <x:c r="I16" s="345" t="e">
        <x:f>SUMIFS(#REF!,#REF!,매출추이!$A16,#REF!,매출추이!$A$2)</x:f>
        <x:v>#REF!</x:v>
      </x:c>
      <x:c r="J16" s="345" t="e">
        <x:f>SUMIFS(#REF!,#REF!,매출추이!$A16,#REF!,매출추이!$A$2)</x:f>
        <x:v>#REF!</x:v>
      </x:c>
      <x:c r="K16" s="345" t="e">
        <x:f>SUMIFS(#REF!,#REF!,매출추이!$A16,#REF!,매출추이!$A$2)</x:f>
        <x:v>#REF!</x:v>
      </x:c>
      <x:c r="L16" s="345">
        <x:f>SUMIFS('pa data(26년1월)'!$F:$F,'pa data(26년1월)'!$B:$B,매출추이!$A16,'pa data(26년1월)'!$C:$C,매출추이!$A$2)</x:f>
        <x:v>0</x:v>
      </x:c>
      <x:c r="M16" s="345">
        <x:f>SUMIFS('pa data(26년1월)'!$F:$F,'pa data(26년1월)'!$B:$B,매출추이!$A16,'pa data(26년1월)'!$C:$C,매출추이!$A$2)</x:f>
        <x:v>0</x:v>
      </x:c>
      <x:c r="P16" s="346"/>
      <x:c r="Q16" s="345"/>
    </x:row>
    <x:row r="17" spans="1:17">
      <x:c r="A17" s="343" t="s">
        <x:v>359</x:v>
      </x:c>
      <x:c r="B17" s="345">
        <x:f>SUMIFS('pa data(26년1월)'!$F:$F,'pa data(26년1월)'!$B:$B,매출추이!$A17,'pa data(26년1월)'!$C:$C,매출추이!$A$2)</x:f>
        <x:v>0</x:v>
      </x:c>
      <x:c r="C17" s="345" t="e">
        <x:f>SUMIFS(#REF!,#REF!,매출추이!$A17,#REF!,매출추이!$A$2)</x:f>
        <x:v>#REF!</x:v>
      </x:c>
      <x:c r="D17" s="345" t="e">
        <x:f>SUMIFS(#REF!,#REF!,매출추이!$A17,#REF!,매출추이!$A$2)</x:f>
        <x:v>#REF!</x:v>
      </x:c>
      <x:c r="E17" s="345" t="e">
        <x:f>SUMIFS(#REF!,#REF!,매출추이!$A17,#REF!,매출추이!$A$2)</x:f>
        <x:v>#REF!</x:v>
      </x:c>
      <x:c r="F17" s="345" t="e">
        <x:f>SUMIFS(#REF!,#REF!,매출추이!$A17,#REF!,매출추이!$A$2)</x:f>
        <x:v>#REF!</x:v>
      </x:c>
      <x:c r="G17" s="345" t="e">
        <x:f>SUMIFS(#REF!,#REF!,매출추이!$A17,#REF!,매출추이!$A$2)</x:f>
        <x:v>#REF!</x:v>
      </x:c>
      <x:c r="H17" s="345" t="e">
        <x:f>SUMIFS(#REF!,#REF!,매출추이!$A17,#REF!,매출추이!$A$2)</x:f>
        <x:v>#REF!</x:v>
      </x:c>
      <x:c r="I17" s="345" t="e">
        <x:f>SUMIFS(#REF!,#REF!,매출추이!$A17,#REF!,매출추이!$A$2)</x:f>
        <x:v>#REF!</x:v>
      </x:c>
      <x:c r="J17" s="345" t="e">
        <x:f>SUMIFS(#REF!,#REF!,매출추이!$A17,#REF!,매출추이!$A$2)</x:f>
        <x:v>#REF!</x:v>
      </x:c>
      <x:c r="K17" s="345" t="e">
        <x:f>SUMIFS(#REF!,#REF!,매출추이!$A17,#REF!,매출추이!$A$2)</x:f>
        <x:v>#REF!</x:v>
      </x:c>
      <x:c r="L17" s="345">
        <x:f>SUMIFS('pa data(26년1월)'!$F:$F,'pa data(26년1월)'!$B:$B,매출추이!$A17,'pa data(26년1월)'!$C:$C,매출추이!$A$2)</x:f>
        <x:v>0</x:v>
      </x:c>
      <x:c r="M17" s="345">
        <x:f>SUMIFS('pa data(26년1월)'!$F:$F,'pa data(26년1월)'!$B:$B,매출추이!$A17,'pa data(26년1월)'!$C:$C,매출추이!$A$2)</x:f>
        <x:v>0</x:v>
      </x:c>
      <x:c r="P17" s="346"/>
      <x:c r="Q17" s="345"/>
    </x:row>
    <x:row r="18" spans="1:17">
      <x:c r="Q18" s="345"/>
    </x:row>
    <x:row r="19" spans="1:17">
      <x:c r="Q19" s="345"/>
    </x:row>
    <x:row r="20" spans="1:17">
      <x:c r="A20" s="343" t="s">
        <x:v>330</x:v>
      </x:c>
      <x:c r="B20" s="344" t="s">
        <x:v>78</x:v>
      </x:c>
      <x:c r="C20" s="344" t="s">
        <x:v>9</x:v>
      </x:c>
      <x:c r="D20" s="344" t="s">
        <x:v>10</x:v>
      </x:c>
      <x:c r="E20" s="344" t="s">
        <x:v>11</x:v>
      </x:c>
      <x:c r="F20" s="344" t="s">
        <x:v>12</x:v>
      </x:c>
      <x:c r="G20" s="344" t="s">
        <x:v>13</x:v>
      </x:c>
      <x:c r="H20" s="344" t="s">
        <x:v>14</x:v>
      </x:c>
      <x:c r="I20" s="344" t="s">
        <x:v>15</x:v>
      </x:c>
      <x:c r="J20" s="344" t="s">
        <x:v>16</x:v>
      </x:c>
      <x:c r="K20" s="344" t="s">
        <x:v>17</x:v>
      </x:c>
      <x:c r="L20" s="344" t="s">
        <x:v>18</x:v>
      </x:c>
      <x:c r="M20" s="344" t="s">
        <x:v>19</x:v>
      </x:c>
      <x:c r="Q20" s="345"/>
    </x:row>
    <x:row r="21" spans="1:17">
      <x:c r="A21" s="343" t="s">
        <x:v>228</x:v>
      </x:c>
      <x:c r="B21" s="345">
        <x:f>SUMIFS('pa data(26년1월)'!$F:$F,'pa data(26년1월)'!$B:$B,매출추이!$A21,'pa data(26년1월)'!$C:$C,매출추이!$A$20)</x:f>
        <x:v>0</x:v>
      </x:c>
      <x:c r="C21" s="345" t="e">
        <x:f>SUMIFS(#REF!,#REF!,매출추이!$A21,#REF!,매출추이!$A$20)</x:f>
        <x:v>#REF!</x:v>
      </x:c>
      <x:c r="D21" s="345" t="e">
        <x:f>SUMIFS(#REF!,#REF!,매출추이!$A21,#REF!,매출추이!$A$20)</x:f>
        <x:v>#REF!</x:v>
      </x:c>
      <x:c r="E21" s="345" t="e">
        <x:f>SUMIFS(#REF!,#REF!,매출추이!$A21,#REF!,매출추이!$A$20)</x:f>
        <x:v>#REF!</x:v>
      </x:c>
      <x:c r="F21" s="345" t="e">
        <x:f>SUMIFS(#REF!,#REF!,매출추이!$A21,#REF!,매출추이!$A$20)</x:f>
        <x:v>#REF!</x:v>
      </x:c>
      <x:c r="G21" s="345" t="e">
        <x:f>SUMIFS(#REF!,#REF!,매출추이!$A21,#REF!,매출추이!$A$20)</x:f>
        <x:v>#REF!</x:v>
      </x:c>
      <x:c r="H21" s="345" t="e">
        <x:f>SUMIFS(#REF!,#REF!,매출추이!$A21,#REF!,매출추이!$A$20)</x:f>
        <x:v>#REF!</x:v>
      </x:c>
      <x:c r="I21" s="345" t="e">
        <x:f>SUMIFS(#REF!,#REF!,매출추이!$A21,#REF!,매출추이!$A$20)</x:f>
        <x:v>#REF!</x:v>
      </x:c>
      <x:c r="J21" s="345" t="e">
        <x:f>SUMIFS(#REF!,#REF!,매출추이!$A21,#REF!,매출추이!$A$20)</x:f>
        <x:v>#REF!</x:v>
      </x:c>
      <x:c r="K21" s="345" t="e">
        <x:f>SUMIFS(#REF!,#REF!,매출추이!$A21,#REF!,매출추이!$A$20)</x:f>
        <x:v>#REF!</x:v>
      </x:c>
      <x:c r="L21" s="345">
        <x:f>SUMIFS('pa data(26년1월)'!$F:$F,'pa data(26년1월)'!$B:$B,매출추이!$A21,'pa data(26년1월)'!$C:$C,매출추이!$A$20)</x:f>
        <x:v>0</x:v>
      </x:c>
      <x:c r="M21" s="345">
        <x:f>SUMIFS('pa data(26년1월)'!$F:$F,'pa data(26년1월)'!$B:$B,매출추이!$A21,'pa data(26년1월)'!$C:$C,매출추이!$A$20)</x:f>
        <x:v>0</x:v>
      </x:c>
      <x:c r="Q21" s="345"/>
    </x:row>
    <x:row r="22" spans="1:17">
      <x:c r="A22" s="343" t="s">
        <x:v>335</x:v>
      </x:c>
      <x:c r="B22" s="345">
        <x:f>SUMIFS('pa data(26년1월)'!$F:$F,'pa data(26년1월)'!$B:$B,매출추이!$A22,'pa data(26년1월)'!$C:$C,매출추이!$A$20)</x:f>
        <x:v>0</x:v>
      </x:c>
      <x:c r="C22" s="345" t="e">
        <x:f>SUMIFS(#REF!,#REF!,매출추이!$A22,#REF!,매출추이!$A$20)</x:f>
        <x:v>#REF!</x:v>
      </x:c>
      <x:c r="D22" s="345" t="e">
        <x:f>SUMIFS(#REF!,#REF!,매출추이!$A22,#REF!,매출추이!$A$20)</x:f>
        <x:v>#REF!</x:v>
      </x:c>
      <x:c r="E22" s="345" t="e">
        <x:f>SUMIFS(#REF!,#REF!,매출추이!$A22,#REF!,매출추이!$A$20)</x:f>
        <x:v>#REF!</x:v>
      </x:c>
      <x:c r="F22" s="345" t="e">
        <x:f>SUMIFS(#REF!,#REF!,매출추이!$A22,#REF!,매출추이!$A$20)</x:f>
        <x:v>#REF!</x:v>
      </x:c>
      <x:c r="G22" s="345" t="e">
        <x:f>SUMIFS(#REF!,#REF!,매출추이!$A22,#REF!,매출추이!$A$20)</x:f>
        <x:v>#REF!</x:v>
      </x:c>
      <x:c r="H22" s="345" t="e">
        <x:f>SUMIFS(#REF!,#REF!,매출추이!$A22,#REF!,매출추이!$A$20)</x:f>
        <x:v>#REF!</x:v>
      </x:c>
      <x:c r="I22" s="345" t="e">
        <x:f>SUMIFS(#REF!,#REF!,매출추이!$A22,#REF!,매출추이!$A$20)</x:f>
        <x:v>#REF!</x:v>
      </x:c>
      <x:c r="J22" s="345" t="e">
        <x:f>SUMIFS(#REF!,#REF!,매출추이!$A22,#REF!,매출추이!$A$20)</x:f>
        <x:v>#REF!</x:v>
      </x:c>
      <x:c r="K22" s="345" t="e">
        <x:f>SUMIFS(#REF!,#REF!,매출추이!$A22,#REF!,매출추이!$A$20)</x:f>
        <x:v>#REF!</x:v>
      </x:c>
      <x:c r="L22" s="345">
        <x:f>SUMIFS('pa data(26년1월)'!$F:$F,'pa data(26년1월)'!$B:$B,매출추이!$A22,'pa data(26년1월)'!$C:$C,매출추이!$A$20)</x:f>
        <x:v>0</x:v>
      </x:c>
      <x:c r="M22" s="345">
        <x:f>SUMIFS('pa data(26년1월)'!$F:$F,'pa data(26년1월)'!$B:$B,매출추이!$A22,'pa data(26년1월)'!$C:$C,매출추이!$A$20)</x:f>
        <x:v>0</x:v>
      </x:c>
      <x:c r="Q22" s="345"/>
    </x:row>
    <x:row r="23" spans="1:17">
      <x:c r="A23" s="343" t="s">
        <x:v>227</x:v>
      </x:c>
      <x:c r="B23" s="345">
        <x:f>SUMIFS('pa data(26년1월)'!$F:$F,'pa data(26년1월)'!$B:$B,매출추이!$A23,'pa data(26년1월)'!$C:$C,매출추이!$A$20)</x:f>
        <x:v>0</x:v>
      </x:c>
      <x:c r="C23" s="345" t="e">
        <x:f>SUMIFS(#REF!,#REF!,매출추이!$A23,#REF!,매출추이!$A$20)</x:f>
        <x:v>#REF!</x:v>
      </x:c>
      <x:c r="D23" s="345" t="e">
        <x:f>SUMIFS(#REF!,#REF!,매출추이!$A23,#REF!,매출추이!$A$20)</x:f>
        <x:v>#REF!</x:v>
      </x:c>
      <x:c r="E23" s="345" t="e">
        <x:f>SUMIFS(#REF!,#REF!,매출추이!$A23,#REF!,매출추이!$A$20)</x:f>
        <x:v>#REF!</x:v>
      </x:c>
      <x:c r="F23" s="345" t="e">
        <x:f>SUMIFS(#REF!,#REF!,매출추이!$A23,#REF!,매출추이!$A$20)</x:f>
        <x:v>#REF!</x:v>
      </x:c>
      <x:c r="G23" s="345" t="e">
        <x:f>SUMIFS(#REF!,#REF!,매출추이!$A23,#REF!,매출추이!$A$20)</x:f>
        <x:v>#REF!</x:v>
      </x:c>
      <x:c r="H23" s="345" t="e">
        <x:f>SUMIFS(#REF!,#REF!,매출추이!$A23,#REF!,매출추이!$A$20)</x:f>
        <x:v>#REF!</x:v>
      </x:c>
      <x:c r="I23" s="345" t="e">
        <x:f>SUMIFS(#REF!,#REF!,매출추이!$A23,#REF!,매출추이!$A$20)</x:f>
        <x:v>#REF!</x:v>
      </x:c>
      <x:c r="J23" s="345" t="e">
        <x:f>SUMIFS(#REF!,#REF!,매출추이!$A23,#REF!,매출추이!$A$20)</x:f>
        <x:v>#REF!</x:v>
      </x:c>
      <x:c r="K23" s="345" t="e">
        <x:f>SUMIFS(#REF!,#REF!,매출추이!$A23,#REF!,매출추이!$A$20)</x:f>
        <x:v>#REF!</x:v>
      </x:c>
      <x:c r="L23" s="345">
        <x:f>SUMIFS('pa data(26년1월)'!$F:$F,'pa data(26년1월)'!$B:$B,매출추이!$A23,'pa data(26년1월)'!$C:$C,매출추이!$A$20)</x:f>
        <x:v>0</x:v>
      </x:c>
      <x:c r="M23" s="345">
        <x:f>SUMIFS('pa data(26년1월)'!$F:$F,'pa data(26년1월)'!$B:$B,매출추이!$A23,'pa data(26년1월)'!$C:$C,매출추이!$A$20)</x:f>
        <x:v>0</x:v>
      </x:c>
      <x:c r="Q23" s="345"/>
    </x:row>
    <x:row r="24" spans="1:17">
      <x:c r="A24" s="343" t="s">
        <x:v>229</x:v>
      </x:c>
      <x:c r="B24" s="345">
        <x:f>SUMIFS('pa data(26년1월)'!$F:$F,'pa data(26년1월)'!$B:$B,매출추이!$A24,'pa data(26년1월)'!$C:$C,매출추이!$A$20)</x:f>
        <x:v>0</x:v>
      </x:c>
      <x:c r="C24" s="345" t="e">
        <x:f>SUMIFS(#REF!,#REF!,매출추이!$A24,#REF!,매출추이!$A$20)</x:f>
        <x:v>#REF!</x:v>
      </x:c>
      <x:c r="D24" s="345" t="e">
        <x:f>SUMIFS(#REF!,#REF!,매출추이!$A24,#REF!,매출추이!$A$20)</x:f>
        <x:v>#REF!</x:v>
      </x:c>
      <x:c r="E24" s="345" t="e">
        <x:f>SUMIFS(#REF!,#REF!,매출추이!$A24,#REF!,매출추이!$A$20)</x:f>
        <x:v>#REF!</x:v>
      </x:c>
      <x:c r="F24" s="345" t="e">
        <x:f>SUMIFS(#REF!,#REF!,매출추이!$A24,#REF!,매출추이!$A$20)</x:f>
        <x:v>#REF!</x:v>
      </x:c>
      <x:c r="G24" s="345" t="e">
        <x:f>SUMIFS(#REF!,#REF!,매출추이!$A24,#REF!,매출추이!$A$20)</x:f>
        <x:v>#REF!</x:v>
      </x:c>
      <x:c r="H24" s="345" t="e">
        <x:f>SUMIFS(#REF!,#REF!,매출추이!$A24,#REF!,매출추이!$A$20)</x:f>
        <x:v>#REF!</x:v>
      </x:c>
      <x:c r="I24" s="345" t="e">
        <x:f>SUMIFS(#REF!,#REF!,매출추이!$A24,#REF!,매출추이!$A$20)</x:f>
        <x:v>#REF!</x:v>
      </x:c>
      <x:c r="J24" s="345" t="e">
        <x:f>SUMIFS(#REF!,#REF!,매출추이!$A24,#REF!,매출추이!$A$20)</x:f>
        <x:v>#REF!</x:v>
      </x:c>
      <x:c r="K24" s="345" t="e">
        <x:f>SUMIFS(#REF!,#REF!,매출추이!$A24,#REF!,매출추이!$A$20)</x:f>
        <x:v>#REF!</x:v>
      </x:c>
      <x:c r="L24" s="345">
        <x:f>SUMIFS('pa data(26년1월)'!$F:$F,'pa data(26년1월)'!$B:$B,매출추이!$A24,'pa data(26년1월)'!$C:$C,매출추이!$A$20)</x:f>
        <x:v>0</x:v>
      </x:c>
      <x:c r="M24" s="345">
        <x:f>SUMIFS('pa data(26년1월)'!$F:$F,'pa data(26년1월)'!$B:$B,매출추이!$A24,'pa data(26년1월)'!$C:$C,매출추이!$A$20)</x:f>
        <x:v>0</x:v>
      </x:c>
      <x:c r="Q24" s="345"/>
    </x:row>
    <x:row r="25" spans="1:17">
      <x:c r="A25" s="343" t="s">
        <x:v>281</x:v>
      </x:c>
      <x:c r="B25" s="345">
        <x:f>SUMIFS('pa data(26년1월)'!$F:$F,'pa data(26년1월)'!$B:$B,매출추이!$A25,'pa data(26년1월)'!$C:$C,매출추이!$A$20)</x:f>
        <x:v>0</x:v>
      </x:c>
      <x:c r="C25" s="345" t="e">
        <x:f>SUMIFS(#REF!,#REF!,매출추이!$A25,#REF!,매출추이!$A$20)</x:f>
        <x:v>#REF!</x:v>
      </x:c>
      <x:c r="D25" s="345" t="e">
        <x:f>SUMIFS(#REF!,#REF!,매출추이!$A25,#REF!,매출추이!$A$20)</x:f>
        <x:v>#REF!</x:v>
      </x:c>
      <x:c r="E25" s="345" t="e">
        <x:f>SUMIFS(#REF!,#REF!,매출추이!$A25,#REF!,매출추이!$A$20)</x:f>
        <x:v>#REF!</x:v>
      </x:c>
      <x:c r="F25" s="345" t="e">
        <x:f>SUMIFS(#REF!,#REF!,매출추이!$A25,#REF!,매출추이!$A$20)</x:f>
        <x:v>#REF!</x:v>
      </x:c>
      <x:c r="G25" s="345" t="e">
        <x:f>SUMIFS(#REF!,#REF!,매출추이!$A25,#REF!,매출추이!$A$20)</x:f>
        <x:v>#REF!</x:v>
      </x:c>
      <x:c r="H25" s="345" t="e">
        <x:f>SUMIFS(#REF!,#REF!,매출추이!$A25,#REF!,매출추이!$A$20)</x:f>
        <x:v>#REF!</x:v>
      </x:c>
      <x:c r="I25" s="345" t="e">
        <x:f>SUMIFS(#REF!,#REF!,매출추이!$A25,#REF!,매출추이!$A$20)</x:f>
        <x:v>#REF!</x:v>
      </x:c>
      <x:c r="J25" s="345" t="e">
        <x:f>SUMIFS(#REF!,#REF!,매출추이!$A25,#REF!,매출추이!$A$20)</x:f>
        <x:v>#REF!</x:v>
      </x:c>
      <x:c r="K25" s="345" t="e">
        <x:f>SUMIFS(#REF!,#REF!,매출추이!$A25,#REF!,매출추이!$A$20)</x:f>
        <x:v>#REF!</x:v>
      </x:c>
      <x:c r="L25" s="345">
        <x:f>SUMIFS('pa data(26년1월)'!$F:$F,'pa data(26년1월)'!$B:$B,매출추이!$A25,'pa data(26년1월)'!$C:$C,매출추이!$A$20)</x:f>
        <x:v>0</x:v>
      </x:c>
      <x:c r="M25" s="345">
        <x:f>SUMIFS('pa data(26년1월)'!$F:$F,'pa data(26년1월)'!$B:$B,매출추이!$A25,'pa data(26년1월)'!$C:$C,매출추이!$A$20)</x:f>
        <x:v>0</x:v>
      </x:c>
      <x:c r="Q25" s="345"/>
    </x:row>
    <x:row r="26" spans="1:17">
      <x:c r="A26" s="352" t="s">
        <x:v>336</x:v>
      </x:c>
      <x:c r="B26" s="345">
        <x:f>SUMIFS('pa data(26년1월)'!$F:$F,'pa data(26년1월)'!$B:$B,매출추이!$A26,'pa data(26년1월)'!$C:$C,매출추이!$A$20)</x:f>
        <x:v>0</x:v>
      </x:c>
      <x:c r="C26" s="345" t="e">
        <x:f>SUMIFS(#REF!,#REF!,매출추이!$A26,#REF!,매출추이!$A$20)</x:f>
        <x:v>#REF!</x:v>
      </x:c>
      <x:c r="D26" s="345" t="e">
        <x:f>SUMIFS(#REF!,#REF!,매출추이!$A26,#REF!,매출추이!$A$20)</x:f>
        <x:v>#REF!</x:v>
      </x:c>
      <x:c r="E26" s="345" t="e">
        <x:f>SUMIFS(#REF!,#REF!,매출추이!$A26,#REF!,매출추이!$A$20)</x:f>
        <x:v>#REF!</x:v>
      </x:c>
      <x:c r="F26" s="345" t="e">
        <x:f>SUMIFS(#REF!,#REF!,매출추이!$A26,#REF!,매출추이!$A$20)</x:f>
        <x:v>#REF!</x:v>
      </x:c>
      <x:c r="G26" s="345" t="e">
        <x:f>SUMIFS(#REF!,#REF!,매출추이!$A26,#REF!,매출추이!$A$20)</x:f>
        <x:v>#REF!</x:v>
      </x:c>
      <x:c r="H26" s="345" t="e">
        <x:f>SUMIFS(#REF!,#REF!,매출추이!$A26,#REF!,매출추이!$A$20)</x:f>
        <x:v>#REF!</x:v>
      </x:c>
      <x:c r="I26" s="345" t="e">
        <x:f>SUMIFS(#REF!,#REF!,매출추이!$A26,#REF!,매출추이!$A$20)</x:f>
        <x:v>#REF!</x:v>
      </x:c>
      <x:c r="J26" s="345" t="e">
        <x:f>SUMIFS(#REF!,#REF!,매출추이!$A26,#REF!,매출추이!$A$20)</x:f>
        <x:v>#REF!</x:v>
      </x:c>
      <x:c r="K26" s="345" t="e">
        <x:f>SUMIFS(#REF!,#REF!,매출추이!$A26,#REF!,매출추이!$A$20)</x:f>
        <x:v>#REF!</x:v>
      </x:c>
      <x:c r="L26" s="345">
        <x:f>SUMIFS('pa data(26년1월)'!$F:$F,'pa data(26년1월)'!$B:$B,매출추이!$A26,'pa data(26년1월)'!$C:$C,매출추이!$A$20)</x:f>
        <x:v>0</x:v>
      </x:c>
      <x:c r="M26" s="345">
        <x:f>SUMIFS('pa data(26년1월)'!$F:$F,'pa data(26년1월)'!$B:$B,매출추이!$A26,'pa data(26년1월)'!$C:$C,매출추이!$A$20)</x:f>
        <x:v>0</x:v>
      </x:c>
      <x:c r="P26" s="346"/>
      <x:c r="Q26" s="345"/>
    </x:row>
    <x:row r="27" spans="1:17">
      <x:c r="A27" s="343" t="s">
        <x:v>337</x:v>
      </x:c>
      <x:c r="B27" s="345">
        <x:f>SUMIFS('pa data(26년1월)'!$F:$F,'pa data(26년1월)'!$B:$B,매출추이!$A27,'pa data(26년1월)'!$C:$C,매출추이!$A$20)</x:f>
        <x:v>0</x:v>
      </x:c>
      <x:c r="C27" s="345" t="e">
        <x:f>SUMIFS(#REF!,#REF!,매출추이!$A27,#REF!,매출추이!$A$20)</x:f>
        <x:v>#REF!</x:v>
      </x:c>
      <x:c r="D27" s="345" t="e">
        <x:f>SUMIFS(#REF!,#REF!,매출추이!$A27,#REF!,매출추이!$A$20)</x:f>
        <x:v>#REF!</x:v>
      </x:c>
      <x:c r="E27" s="345" t="e">
        <x:f>SUMIFS(#REF!,#REF!,매출추이!$A27,#REF!,매출추이!$A$20)</x:f>
        <x:v>#REF!</x:v>
      </x:c>
      <x:c r="F27" s="345" t="e">
        <x:f>SUMIFS(#REF!,#REF!,매출추이!$A27,#REF!,매출추이!$A$20)</x:f>
        <x:v>#REF!</x:v>
      </x:c>
      <x:c r="G27" s="345" t="e">
        <x:f>SUMIFS(#REF!,#REF!,매출추이!$A27,#REF!,매출추이!$A$20)</x:f>
        <x:v>#REF!</x:v>
      </x:c>
      <x:c r="H27" s="345" t="e">
        <x:f>SUMIFS(#REF!,#REF!,매출추이!$A27,#REF!,매출추이!$A$20)</x:f>
        <x:v>#REF!</x:v>
      </x:c>
      <x:c r="I27" s="345" t="e">
        <x:f>SUMIFS(#REF!,#REF!,매출추이!$A27,#REF!,매출추이!$A$20)</x:f>
        <x:v>#REF!</x:v>
      </x:c>
      <x:c r="J27" s="345" t="e">
        <x:f>SUMIFS(#REF!,#REF!,매출추이!$A27,#REF!,매출추이!$A$20)</x:f>
        <x:v>#REF!</x:v>
      </x:c>
      <x:c r="K27" s="345" t="e">
        <x:f>SUMIFS(#REF!,#REF!,매출추이!$A27,#REF!,매출추이!$A$20)</x:f>
        <x:v>#REF!</x:v>
      </x:c>
      <x:c r="L27" s="345">
        <x:f>SUMIFS('pa data(26년1월)'!$F:$F,'pa data(26년1월)'!$B:$B,매출추이!$A27,'pa data(26년1월)'!$C:$C,매출추이!$A$20)</x:f>
        <x:v>0</x:v>
      </x:c>
      <x:c r="M27" s="345">
        <x:f>SUMIFS('pa data(26년1월)'!$F:$F,'pa data(26년1월)'!$B:$B,매출추이!$A27,'pa data(26년1월)'!$C:$C,매출추이!$A$20)</x:f>
        <x:v>0</x:v>
      </x:c>
      <x:c r="Q27" s="345"/>
    </x:row>
    <x:row r="28" spans="1:17">
      <x:c r="A28" s="343" t="s">
        <x:v>349</x:v>
      </x:c>
      <x:c r="B28" s="345">
        <x:f>SUMIFS('pa data(26년1월)'!$F:$F,'pa data(26년1월)'!$B:$B,매출추이!$A28,'pa data(26년1월)'!$C:$C,매출추이!$A$20)</x:f>
        <x:v>0</x:v>
      </x:c>
      <x:c r="C28" s="345" t="e">
        <x:f>SUMIFS(#REF!,#REF!,매출추이!$A28,#REF!,매출추이!$A$20)</x:f>
        <x:v>#REF!</x:v>
      </x:c>
      <x:c r="D28" s="345" t="e">
        <x:f>SUMIFS(#REF!,#REF!,매출추이!$A28,#REF!,매출추이!$A$20)</x:f>
        <x:v>#REF!</x:v>
      </x:c>
      <x:c r="E28" s="345" t="e">
        <x:f>SUMIFS(#REF!,#REF!,매출추이!$A28,#REF!,매출추이!$A$20)</x:f>
        <x:v>#REF!</x:v>
      </x:c>
      <x:c r="F28" s="345" t="e">
        <x:f>SUMIFS(#REF!,#REF!,매출추이!$A28,#REF!,매출추이!$A$20)</x:f>
        <x:v>#REF!</x:v>
      </x:c>
      <x:c r="G28" s="345" t="e">
        <x:f>SUMIFS(#REF!,#REF!,매출추이!$A28,#REF!,매출추이!$A$20)</x:f>
        <x:v>#REF!</x:v>
      </x:c>
      <x:c r="H28" s="345" t="e">
        <x:f>SUMIFS(#REF!,#REF!,매출추이!$A28,#REF!,매출추이!$A$20)</x:f>
        <x:v>#REF!</x:v>
      </x:c>
      <x:c r="I28" s="345" t="e">
        <x:f>SUMIFS(#REF!,#REF!,매출추이!$A28,#REF!,매출추이!$A$20)</x:f>
        <x:v>#REF!</x:v>
      </x:c>
      <x:c r="J28" s="345" t="e">
        <x:f>SUMIFS(#REF!,#REF!,매출추이!$A28,#REF!,매출추이!$A$20)</x:f>
        <x:v>#REF!</x:v>
      </x:c>
      <x:c r="K28" s="345" t="e">
        <x:f>SUMIFS(#REF!,#REF!,매출추이!$A28,#REF!,매출추이!$A$20)</x:f>
        <x:v>#REF!</x:v>
      </x:c>
      <x:c r="L28" s="345">
        <x:f>SUMIFS('pa data(26년1월)'!$F:$F,'pa data(26년1월)'!$B:$B,매출추이!$A28,'pa data(26년1월)'!$C:$C,매출추이!$A$20)</x:f>
        <x:v>0</x:v>
      </x:c>
      <x:c r="M28" s="345">
        <x:f>SUMIFS('pa data(26년1월)'!$F:$F,'pa data(26년1월)'!$B:$B,매출추이!$A28,'pa data(26년1월)'!$C:$C,매출추이!$A$20)</x:f>
        <x:v>0</x:v>
      </x:c>
      <x:c r="Q28" s="345"/>
    </x:row>
    <x:row r="29" spans="1:17">
      <x:c r="A29" s="343" t="s">
        <x:v>340</x:v>
      </x:c>
      <x:c r="B29" s="345">
        <x:f>SUMIFS('pa data(26년1월)'!$F:$F,'pa data(26년1월)'!$B:$B,매출추이!$A29,'pa data(26년1월)'!$C:$C,매출추이!$A$20)</x:f>
        <x:v>0</x:v>
      </x:c>
      <x:c r="C29" s="345" t="e">
        <x:f>SUMIFS(#REF!,#REF!,매출추이!$A29,#REF!,매출추이!$A$20)</x:f>
        <x:v>#REF!</x:v>
      </x:c>
      <x:c r="D29" s="345" t="e">
        <x:f>SUMIFS(#REF!,#REF!,매출추이!$A29,#REF!,매출추이!$A$20)</x:f>
        <x:v>#REF!</x:v>
      </x:c>
      <x:c r="E29" s="345" t="e">
        <x:f>SUMIFS(#REF!,#REF!,매출추이!$A29,#REF!,매출추이!$A$20)</x:f>
        <x:v>#REF!</x:v>
      </x:c>
      <x:c r="F29" s="345" t="e">
        <x:f>SUMIFS(#REF!,#REF!,매출추이!$A29,#REF!,매출추이!$A$20)</x:f>
        <x:v>#REF!</x:v>
      </x:c>
      <x:c r="G29" s="345" t="e">
        <x:f>SUMIFS(#REF!,#REF!,매출추이!$A29,#REF!,매출추이!$A$20)</x:f>
        <x:v>#REF!</x:v>
      </x:c>
      <x:c r="H29" s="345" t="e">
        <x:f>SUMIFS(#REF!,#REF!,매출추이!$A29,#REF!,매출추이!$A$20)</x:f>
        <x:v>#REF!</x:v>
      </x:c>
      <x:c r="I29" s="345" t="e">
        <x:f>SUMIFS(#REF!,#REF!,매출추이!$A29,#REF!,매출추이!$A$20)</x:f>
        <x:v>#REF!</x:v>
      </x:c>
      <x:c r="J29" s="345" t="e">
        <x:f>SUMIFS(#REF!,#REF!,매출추이!$A29,#REF!,매출추이!$A$20)</x:f>
        <x:v>#REF!</x:v>
      </x:c>
      <x:c r="K29" s="345" t="e">
        <x:f>SUMIFS(#REF!,#REF!,매출추이!$A29,#REF!,매출추이!$A$20)</x:f>
        <x:v>#REF!</x:v>
      </x:c>
      <x:c r="L29" s="345">
        <x:f>SUMIFS('pa data(26년1월)'!$F:$F,'pa data(26년1월)'!$B:$B,매출추이!$A29,'pa data(26년1월)'!$C:$C,매출추이!$A$20)</x:f>
        <x:v>0</x:v>
      </x:c>
      <x:c r="M29" s="345">
        <x:f>SUMIFS('pa data(26년1월)'!$F:$F,'pa data(26년1월)'!$B:$B,매출추이!$A29,'pa data(26년1월)'!$C:$C,매출추이!$A$20)</x:f>
        <x:v>0</x:v>
      </x:c>
      <x:c r="Q29" s="345"/>
    </x:row>
    <x:row r="30" spans="1:17">
      <x:c r="A30" s="352" t="s">
        <x:v>341</x:v>
      </x:c>
      <x:c r="B30" s="345">
        <x:f>SUMIFS('pa data(26년1월)'!$F:$F,'pa data(26년1월)'!$B:$B,매출추이!$A30,'pa data(26년1월)'!$C:$C,매출추이!$A$20)</x:f>
        <x:v>0</x:v>
      </x:c>
      <x:c r="C30" s="345" t="e">
        <x:f>SUMIFS(#REF!,#REF!,매출추이!$A30,#REF!,매출추이!$A$20)</x:f>
        <x:v>#REF!</x:v>
      </x:c>
      <x:c r="D30" s="345" t="e">
        <x:f>SUMIFS(#REF!,#REF!,매출추이!$A30,#REF!,매출추이!$A$20)</x:f>
        <x:v>#REF!</x:v>
      </x:c>
      <x:c r="E30" s="345" t="e">
        <x:f>SUMIFS(#REF!,#REF!,매출추이!$A30,#REF!,매출추이!$A$20)</x:f>
        <x:v>#REF!</x:v>
      </x:c>
      <x:c r="F30" s="345" t="e">
        <x:f>SUMIFS(#REF!,#REF!,매출추이!$A30,#REF!,매출추이!$A$20)</x:f>
        <x:v>#REF!</x:v>
      </x:c>
      <x:c r="G30" s="345" t="e">
        <x:f>SUMIFS(#REF!,#REF!,매출추이!$A30,#REF!,매출추이!$A$20)</x:f>
        <x:v>#REF!</x:v>
      </x:c>
      <x:c r="H30" s="345" t="e">
        <x:f>SUMIFS(#REF!,#REF!,매출추이!$A30,#REF!,매출추이!$A$20)</x:f>
        <x:v>#REF!</x:v>
      </x:c>
      <x:c r="I30" s="345" t="e">
        <x:f>SUMIFS(#REF!,#REF!,매출추이!$A30,#REF!,매출추이!$A$20)</x:f>
        <x:v>#REF!</x:v>
      </x:c>
      <x:c r="J30" s="345" t="e">
        <x:f>SUMIFS(#REF!,#REF!,매출추이!$A30,#REF!,매출추이!$A$20)</x:f>
        <x:v>#REF!</x:v>
      </x:c>
      <x:c r="K30" s="345" t="e">
        <x:f>SUMIFS(#REF!,#REF!,매출추이!$A30,#REF!,매출추이!$A$20)</x:f>
        <x:v>#REF!</x:v>
      </x:c>
      <x:c r="L30" s="345">
        <x:f>SUMIFS('pa data(26년1월)'!$F:$F,'pa data(26년1월)'!$B:$B,매출추이!$A30,'pa data(26년1월)'!$C:$C,매출추이!$A$20)</x:f>
        <x:v>0</x:v>
      </x:c>
      <x:c r="M30" s="345">
        <x:f>SUMIFS('pa data(26년1월)'!$F:$F,'pa data(26년1월)'!$B:$B,매출추이!$A30,'pa data(26년1월)'!$C:$C,매출추이!$A$20)</x:f>
        <x:v>0</x:v>
      </x:c>
      <x:c r="Q30" s="345"/>
    </x:row>
    <x:row r="31" spans="1:17">
      <x:c r="A31" s="343" t="s">
        <x:v>353</x:v>
      </x:c>
      <x:c r="B31" s="345">
        <x:f>SUMIFS('pa data(26년1월)'!$F:$F,'pa data(26년1월)'!$B:$B,매출추이!$A31,'pa data(26년1월)'!$C:$C,매출추이!$A$20)</x:f>
        <x:v>0</x:v>
      </x:c>
      <x:c r="C31" s="345" t="e">
        <x:f>SUMIFS(#REF!,#REF!,매출추이!$A31,#REF!,매출추이!$A$20)</x:f>
        <x:v>#REF!</x:v>
      </x:c>
      <x:c r="D31" s="345" t="e">
        <x:f>SUMIFS(#REF!,#REF!,매출추이!$A31,#REF!,매출추이!$A$20)</x:f>
        <x:v>#REF!</x:v>
      </x:c>
      <x:c r="E31" s="345" t="e">
        <x:f>SUMIFS(#REF!,#REF!,매출추이!$A31,#REF!,매출추이!$A$20)</x:f>
        <x:v>#REF!</x:v>
      </x:c>
      <x:c r="F31" s="345" t="e">
        <x:f>SUMIFS(#REF!,#REF!,매출추이!$A31,#REF!,매출추이!$A$20)</x:f>
        <x:v>#REF!</x:v>
      </x:c>
      <x:c r="G31" s="345" t="e">
        <x:f>SUMIFS(#REF!,#REF!,매출추이!$A31,#REF!,매출추이!$A$20)</x:f>
        <x:v>#REF!</x:v>
      </x:c>
      <x:c r="H31" s="345" t="e">
        <x:f>SUMIFS(#REF!,#REF!,매출추이!$A31,#REF!,매출추이!$A$20)</x:f>
        <x:v>#REF!</x:v>
      </x:c>
      <x:c r="I31" s="345" t="e">
        <x:f>SUMIFS(#REF!,#REF!,매출추이!$A31,#REF!,매출추이!$A$20)</x:f>
        <x:v>#REF!</x:v>
      </x:c>
      <x:c r="J31" s="345" t="e">
        <x:f>SUMIFS(#REF!,#REF!,매출추이!$A31,#REF!,매출추이!$A$20)</x:f>
        <x:v>#REF!</x:v>
      </x:c>
      <x:c r="K31" s="345" t="e">
        <x:f>SUMIFS(#REF!,#REF!,매출추이!$A31,#REF!,매출추이!$A$20)</x:f>
        <x:v>#REF!</x:v>
      </x:c>
      <x:c r="L31" s="345">
        <x:f>SUMIFS('pa data(26년1월)'!$F:$F,'pa data(26년1월)'!$B:$B,매출추이!$A31,'pa data(26년1월)'!$C:$C,매출추이!$A$20)</x:f>
        <x:v>0</x:v>
      </x:c>
      <x:c r="M31" s="345">
        <x:f>SUMIFS('pa data(26년1월)'!$F:$F,'pa data(26년1월)'!$B:$B,매출추이!$A31,'pa data(26년1월)'!$C:$C,매출추이!$A$20)</x:f>
        <x:v>0</x:v>
      </x:c>
      <x:c r="Q31" s="345"/>
    </x:row>
    <x:row r="32" spans="1:17">
      <x:c r="A32" s="343" t="s">
        <x:v>354</x:v>
      </x:c>
      <x:c r="B32" s="345">
        <x:f>SUMIFS('pa data(26년1월)'!$F:$F,'pa data(26년1월)'!$B:$B,매출추이!$A32,'pa data(26년1월)'!$C:$C,매출추이!$A$20)</x:f>
        <x:v>0</x:v>
      </x:c>
      <x:c r="C32" s="345" t="e">
        <x:f>SUMIFS(#REF!,#REF!,매출추이!$A32,#REF!,매출추이!$A$20)</x:f>
        <x:v>#REF!</x:v>
      </x:c>
      <x:c r="D32" s="345" t="e">
        <x:f>SUMIFS(#REF!,#REF!,매출추이!$A32,#REF!,매출추이!$A$20)</x:f>
        <x:v>#REF!</x:v>
      </x:c>
      <x:c r="E32" s="345" t="e">
        <x:f>SUMIFS(#REF!,#REF!,매출추이!$A32,#REF!,매출추이!$A$20)</x:f>
        <x:v>#REF!</x:v>
      </x:c>
      <x:c r="F32" s="345" t="e">
        <x:f>SUMIFS(#REF!,#REF!,매출추이!$A32,#REF!,매출추이!$A$20)</x:f>
        <x:v>#REF!</x:v>
      </x:c>
      <x:c r="G32" s="345" t="e">
        <x:f>SUMIFS(#REF!,#REF!,매출추이!$A32,#REF!,매출추이!$A$20)</x:f>
        <x:v>#REF!</x:v>
      </x:c>
      <x:c r="H32" s="345" t="e">
        <x:f>SUMIFS(#REF!,#REF!,매출추이!$A32,#REF!,매출추이!$A$20)</x:f>
        <x:v>#REF!</x:v>
      </x:c>
      <x:c r="I32" s="345" t="e">
        <x:f>SUMIFS(#REF!,#REF!,매출추이!$A32,#REF!,매출추이!$A$20)</x:f>
        <x:v>#REF!</x:v>
      </x:c>
      <x:c r="J32" s="345" t="e">
        <x:f>SUMIFS(#REF!,#REF!,매출추이!$A32,#REF!,매출추이!$A$20)</x:f>
        <x:v>#REF!</x:v>
      </x:c>
      <x:c r="K32" s="345" t="e">
        <x:f>SUMIFS(#REF!,#REF!,매출추이!$A32,#REF!,매출추이!$A$20)</x:f>
        <x:v>#REF!</x:v>
      </x:c>
      <x:c r="L32" s="345">
        <x:f>SUMIFS('pa data(26년1월)'!$F:$F,'pa data(26년1월)'!$B:$B,매출추이!$A32,'pa data(26년1월)'!$C:$C,매출추이!$A$20)</x:f>
        <x:v>0</x:v>
      </x:c>
      <x:c r="M32" s="345">
        <x:f>SUMIFS('pa data(26년1월)'!$F:$F,'pa data(26년1월)'!$B:$B,매출추이!$A32,'pa data(26년1월)'!$C:$C,매출추이!$A$20)</x:f>
        <x:v>0</x:v>
      </x:c>
      <x:c r="Q32" s="345"/>
    </x:row>
    <x:row r="33" spans="1:18">
      <x:c r="A33" s="343" t="s">
        <x:v>355</x:v>
      </x:c>
      <x:c r="B33" s="345">
        <x:f>SUMIFS('pa data(26년1월)'!$F:$F,'pa data(26년1월)'!$B:$B,매출추이!$A33,'pa data(26년1월)'!$C:$C,매출추이!$A$20)</x:f>
        <x:v>0</x:v>
      </x:c>
      <x:c r="C33" s="345" t="e">
        <x:f>SUMIFS(#REF!,#REF!,매출추이!$A33,#REF!,매출추이!$A$20)</x:f>
        <x:v>#REF!</x:v>
      </x:c>
      <x:c r="D33" s="345" t="e">
        <x:f>SUMIFS(#REF!,#REF!,매출추이!$A33,#REF!,매출추이!$A$20)</x:f>
        <x:v>#REF!</x:v>
      </x:c>
      <x:c r="E33" s="345" t="e">
        <x:f>SUMIFS(#REF!,#REF!,매출추이!$A33,#REF!,매출추이!$A$20)</x:f>
        <x:v>#REF!</x:v>
      </x:c>
      <x:c r="F33" s="345" t="e">
        <x:f>SUMIFS(#REF!,#REF!,매출추이!$A33,#REF!,매출추이!$A$20)</x:f>
        <x:v>#REF!</x:v>
      </x:c>
      <x:c r="G33" s="345" t="e">
        <x:f>SUMIFS(#REF!,#REF!,매출추이!$A33,#REF!,매출추이!$A$20)</x:f>
        <x:v>#REF!</x:v>
      </x:c>
      <x:c r="H33" s="345" t="e">
        <x:f>SUMIFS(#REF!,#REF!,매출추이!$A33,#REF!,매출추이!$A$20)</x:f>
        <x:v>#REF!</x:v>
      </x:c>
      <x:c r="I33" s="345" t="e">
        <x:f>SUMIFS(#REF!,#REF!,매출추이!$A33,#REF!,매출추이!$A$20)</x:f>
        <x:v>#REF!</x:v>
      </x:c>
      <x:c r="J33" s="345" t="e">
        <x:f>SUMIFS(#REF!,#REF!,매출추이!$A33,#REF!,매출추이!$A$20)</x:f>
        <x:v>#REF!</x:v>
      </x:c>
      <x:c r="K33" s="345" t="e">
        <x:f>SUMIFS(#REF!,#REF!,매출추이!$A33,#REF!,매출추이!$A$20)</x:f>
        <x:v>#REF!</x:v>
      </x:c>
      <x:c r="L33" s="345">
        <x:f>SUMIFS('pa data(26년1월)'!$F:$F,'pa data(26년1월)'!$B:$B,매출추이!$A33,'pa data(26년1월)'!$C:$C,매출추이!$A$20)</x:f>
        <x:v>0</x:v>
      </x:c>
      <x:c r="M33" s="345">
        <x:f>SUMIFS('pa data(26년1월)'!$F:$F,'pa data(26년1월)'!$B:$B,매출추이!$A33,'pa data(26년1월)'!$C:$C,매출추이!$A$20)</x:f>
        <x:v>0</x:v>
      </x:c>
      <x:c r="Q33" s="345"/>
    </x:row>
    <x:row r="34" spans="1:18">
      <x:c r="A34" s="343" t="s">
        <x:v>356</x:v>
      </x:c>
      <x:c r="B34" s="345">
        <x:f>SUMIFS('pa data(26년1월)'!$F:$F,'pa data(26년1월)'!$B:$B,매출추이!$A34,'pa data(26년1월)'!$C:$C,매출추이!$A$20)</x:f>
        <x:v>0</x:v>
      </x:c>
      <x:c r="C34" s="345" t="e">
        <x:f>SUMIFS(#REF!,#REF!,매출추이!$A34,#REF!,매출추이!$A$20)</x:f>
        <x:v>#REF!</x:v>
      </x:c>
      <x:c r="D34" s="345" t="e">
        <x:f>SUMIFS(#REF!,#REF!,매출추이!$A34,#REF!,매출추이!$A$20)</x:f>
        <x:v>#REF!</x:v>
      </x:c>
      <x:c r="E34" s="345" t="e">
        <x:f>SUMIFS(#REF!,#REF!,매출추이!$A34,#REF!,매출추이!$A$20)</x:f>
        <x:v>#REF!</x:v>
      </x:c>
      <x:c r="F34" s="345" t="e">
        <x:f>SUMIFS(#REF!,#REF!,매출추이!$A34,#REF!,매출추이!$A$20)</x:f>
        <x:v>#REF!</x:v>
      </x:c>
      <x:c r="G34" s="345" t="e">
        <x:f>SUMIFS(#REF!,#REF!,매출추이!$A34,#REF!,매출추이!$A$20)</x:f>
        <x:v>#REF!</x:v>
      </x:c>
      <x:c r="H34" s="345" t="e">
        <x:f>SUMIFS(#REF!,#REF!,매출추이!$A34,#REF!,매출추이!$A$20)</x:f>
        <x:v>#REF!</x:v>
      </x:c>
      <x:c r="I34" s="345" t="e">
        <x:f>SUMIFS(#REF!,#REF!,매출추이!$A34,#REF!,매출추이!$A$20)</x:f>
        <x:v>#REF!</x:v>
      </x:c>
      <x:c r="J34" s="345" t="e">
        <x:f>SUMIFS(#REF!,#REF!,매출추이!$A34,#REF!,매출추이!$A$20)</x:f>
        <x:v>#REF!</x:v>
      </x:c>
      <x:c r="K34" s="345" t="e">
        <x:f>SUMIFS(#REF!,#REF!,매출추이!$A34,#REF!,매출추이!$A$20)</x:f>
        <x:v>#REF!</x:v>
      </x:c>
      <x:c r="L34" s="345">
        <x:f>SUMIFS('pa data(26년1월)'!$F:$F,'pa data(26년1월)'!$B:$B,매출추이!$A34,'pa data(26년1월)'!$C:$C,매출추이!$A$20)</x:f>
        <x:v>0</x:v>
      </x:c>
      <x:c r="M34" s="345">
        <x:f>SUMIFS('pa data(26년1월)'!$F:$F,'pa data(26년1월)'!$B:$B,매출추이!$A34,'pa data(26년1월)'!$C:$C,매출추이!$A$20)</x:f>
        <x:v>0</x:v>
      </x:c>
      <x:c r="Q34" s="345"/>
    </x:row>
    <x:row r="35" spans="1:18">
      <x:c r="A35" s="343" t="s">
        <x:v>359</x:v>
      </x:c>
      <x:c r="B35" s="345">
        <x:f>SUMIFS('pa data(26년1월)'!$F:$F,'pa data(26년1월)'!$B:$B,매출추이!$A35,'pa data(26년1월)'!$C:$C,매출추이!$A$20)</x:f>
        <x:v>0</x:v>
      </x:c>
      <x:c r="C35" s="345" t="e">
        <x:f>SUMIFS(#REF!,#REF!,매출추이!$A35,#REF!,매출추이!$A$20)</x:f>
        <x:v>#REF!</x:v>
      </x:c>
      <x:c r="D35" s="345" t="e">
        <x:f>SUMIFS(#REF!,#REF!,매출추이!$A35,#REF!,매출추이!$A$20)</x:f>
        <x:v>#REF!</x:v>
      </x:c>
      <x:c r="E35" s="345" t="e">
        <x:f>SUMIFS(#REF!,#REF!,매출추이!$A35,#REF!,매출추이!$A$20)</x:f>
        <x:v>#REF!</x:v>
      </x:c>
      <x:c r="F35" s="345" t="e">
        <x:f>SUMIFS(#REF!,#REF!,매출추이!$A35,#REF!,매출추이!$A$20)</x:f>
        <x:v>#REF!</x:v>
      </x:c>
      <x:c r="G35" s="345" t="e">
        <x:f>SUMIFS(#REF!,#REF!,매출추이!$A35,#REF!,매출추이!$A$20)</x:f>
        <x:v>#REF!</x:v>
      </x:c>
      <x:c r="H35" s="345" t="e">
        <x:f>SUMIFS(#REF!,#REF!,매출추이!$A35,#REF!,매출추이!$A$20)</x:f>
        <x:v>#REF!</x:v>
      </x:c>
      <x:c r="I35" s="345" t="e">
        <x:f>SUMIFS(#REF!,#REF!,매출추이!$A35,#REF!,매출추이!$A$20)</x:f>
        <x:v>#REF!</x:v>
      </x:c>
      <x:c r="J35" s="345" t="e">
        <x:f>SUMIFS(#REF!,#REF!,매출추이!$A35,#REF!,매출추이!$A$20)</x:f>
        <x:v>#REF!</x:v>
      </x:c>
      <x:c r="K35" s="345" t="e">
        <x:f>SUMIFS(#REF!,#REF!,매출추이!$A35,#REF!,매출추이!$A$20)</x:f>
        <x:v>#REF!</x:v>
      </x:c>
      <x:c r="L35" s="345">
        <x:f>SUMIFS('pa data(26년1월)'!$F:$F,'pa data(26년1월)'!$B:$B,매출추이!$A35,'pa data(26년1월)'!$C:$C,매출추이!$A$20)</x:f>
        <x:v>0</x:v>
      </x:c>
      <x:c r="M35" s="345">
        <x:f>SUMIFS('pa data(26년1월)'!$F:$F,'pa data(26년1월)'!$B:$B,매출추이!$A35,'pa data(26년1월)'!$C:$C,매출추이!$A$20)</x:f>
        <x:v>0</x:v>
      </x:c>
      <x:c r="Q35" s="345"/>
    </x:row>
    <x:row r="36" spans="1:18">
      <x:c r="A36" s="343" t="s">
        <x:v>396</x:v>
      </x:c>
      <x:c r="B36" s="345">
        <x:f>SUMIFS('pa data(26년1월)'!$F:$F,'pa data(26년1월)'!$B:$B,매출추이!$A36,'pa data(26년1월)'!$C:$C,매출추이!$A$20)</x:f>
        <x:v>0</x:v>
      </x:c>
      <x:c r="C36" s="345" t="e">
        <x:f>SUMIFS(#REF!,#REF!,매출추이!$A36,#REF!,매출추이!$A$20)</x:f>
        <x:v>#REF!</x:v>
      </x:c>
      <x:c r="D36" s="345" t="e">
        <x:f>SUMIFS(#REF!,#REF!,매출추이!$A36,#REF!,매출추이!$A$20)</x:f>
        <x:v>#REF!</x:v>
      </x:c>
      <x:c r="E36" s="345" t="e">
        <x:f>SUMIFS(#REF!,#REF!,매출추이!$A36,#REF!,매출추이!$A$20)</x:f>
        <x:v>#REF!</x:v>
      </x:c>
      <x:c r="F36" s="345" t="e">
        <x:f>SUMIFS(#REF!,#REF!,매출추이!$A36,#REF!,매출추이!$A$20)</x:f>
        <x:v>#REF!</x:v>
      </x:c>
      <x:c r="G36" s="345" t="e">
        <x:f>SUMIFS(#REF!,#REF!,매출추이!$A36,#REF!,매출추이!$A$20)</x:f>
        <x:v>#REF!</x:v>
      </x:c>
      <x:c r="H36" s="345" t="e">
        <x:f>SUMIFS(#REF!,#REF!,매출추이!$A36,#REF!,매출추이!$A$20)</x:f>
        <x:v>#REF!</x:v>
      </x:c>
      <x:c r="I36" s="345" t="e">
        <x:f>SUMIFS(#REF!,#REF!,매출추이!$A36,#REF!,매출추이!$A$20)</x:f>
        <x:v>#REF!</x:v>
      </x:c>
      <x:c r="J36" s="345" t="e">
        <x:f>SUMIFS(#REF!,#REF!,매출추이!$A36,#REF!,매출추이!$A$20)</x:f>
        <x:v>#REF!</x:v>
      </x:c>
      <x:c r="K36" s="345" t="e">
        <x:f>SUMIFS(#REF!,#REF!,매출추이!$A36,#REF!,매출추이!$A$20)</x:f>
        <x:v>#REF!</x:v>
      </x:c>
      <x:c r="L36" s="345">
        <x:f>SUMIFS('pa data(26년1월)'!$F:$F,'pa data(26년1월)'!$B:$B,매출추이!$A36,'pa data(26년1월)'!$C:$C,매출추이!$A$20)</x:f>
        <x:v>0</x:v>
      </x:c>
      <x:c r="M36" s="345">
        <x:f>SUMIFS('pa data(26년1월)'!$F:$F,'pa data(26년1월)'!$B:$B,매출추이!$A36,'pa data(26년1월)'!$C:$C,매출추이!$A$20)</x:f>
        <x:v>0</x:v>
      </x:c>
      <x:c r="Q36" s="345"/>
    </x:row>
    <x:row r="37" spans="1:18">
      <x:c r="Q37" s="345"/>
    </x:row>
    <x:row r="38" spans="1:18">
      <x:c r="Q38" s="345"/>
    </x:row>
    <x:row r="39" spans="1:18">
      <x:c r="A39" s="343" t="s">
        <x:v>6</x:v>
      </x:c>
      <x:c r="B39" s="344" t="s">
        <x:v>78</x:v>
      </x:c>
      <x:c r="C39" s="344" t="s">
        <x:v>9</x:v>
      </x:c>
      <x:c r="D39" s="344" t="s">
        <x:v>10</x:v>
      </x:c>
      <x:c r="E39" s="344" t="s">
        <x:v>11</x:v>
      </x:c>
      <x:c r="F39" s="344" t="s">
        <x:v>12</x:v>
      </x:c>
      <x:c r="G39" s="344" t="s">
        <x:v>13</x:v>
      </x:c>
      <x:c r="H39" s="344" t="s">
        <x:v>14</x:v>
      </x:c>
      <x:c r="I39" s="344" t="s">
        <x:v>15</x:v>
      </x:c>
      <x:c r="J39" s="344" t="s">
        <x:v>16</x:v>
      </x:c>
      <x:c r="K39" s="344" t="s">
        <x:v>17</x:v>
      </x:c>
      <x:c r="L39" s="344" t="s">
        <x:v>18</x:v>
      </x:c>
      <x:c r="M39" s="344" t="s">
        <x:v>19</x:v>
      </x:c>
      <x:c r="Q39" s="345"/>
    </x:row>
    <x:row r="40" spans="1:18">
      <x:c r="A40" s="343" t="s">
        <x:v>228</x:v>
      </x:c>
      <x:c r="B40" s="345">
        <x:f>SUMIFS('pa data(26년1월)'!$F:$F,'pa data(26년1월)'!$B:$B,매출추이!$A40,'pa data(26년1월)'!$C:$C,매출추이!$A$39)</x:f>
        <x:v>0</x:v>
      </x:c>
      <x:c r="C40" s="345" t="e">
        <x:f>SUMIFS(#REF!,#REF!,매출추이!$A40,#REF!,매출추이!$A$39)</x:f>
        <x:v>#REF!</x:v>
      </x:c>
      <x:c r="D40" s="345" t="e">
        <x:f>SUMIFS(#REF!,#REF!,매출추이!$A40,#REF!,매출추이!$A$39)</x:f>
        <x:v>#REF!</x:v>
      </x:c>
      <x:c r="E40" s="345" t="e">
        <x:f>SUMIFS(#REF!,#REF!,매출추이!$A40,#REF!,매출추이!$A$39)</x:f>
        <x:v>#REF!</x:v>
      </x:c>
      <x:c r="F40" s="345" t="e">
        <x:f>SUMIFS(#REF!,#REF!,매출추이!$A40,#REF!,매출추이!$A$39)</x:f>
        <x:v>#REF!</x:v>
      </x:c>
      <x:c r="G40" s="345" t="e">
        <x:f>SUMIFS(#REF!,#REF!,매출추이!$A40,#REF!,매출추이!$A$39)</x:f>
        <x:v>#REF!</x:v>
      </x:c>
      <x:c r="H40" s="345" t="e">
        <x:f>SUMIFS(#REF!,#REF!,매출추이!$A40,#REF!,매출추이!$A$39)</x:f>
        <x:v>#REF!</x:v>
      </x:c>
      <x:c r="I40" s="345" t="e">
        <x:f>SUMIFS(#REF!,#REF!,매출추이!$A40,#REF!,매출추이!$A$39)</x:f>
        <x:v>#REF!</x:v>
      </x:c>
      <x:c r="J40" s="345" t="e">
        <x:f>SUMIFS(#REF!,#REF!,매출추이!$A40,#REF!,매출추이!$A$39)</x:f>
        <x:v>#REF!</x:v>
      </x:c>
      <x:c r="K40" s="345" t="e">
        <x:f>SUMIFS(#REF!,#REF!,매출추이!$A40,#REF!,매출추이!$A$39)</x:f>
        <x:v>#REF!</x:v>
      </x:c>
      <x:c r="L40" s="345">
        <x:f>SUMIFS('pa data(26년1월)'!$F:$F,'pa data(26년1월)'!$B:$B,매출추이!$A40,'pa data(26년1월)'!$C:$C,매출추이!$A$39)</x:f>
        <x:v>0</x:v>
      </x:c>
      <x:c r="M40" s="345">
        <x:f>SUMIFS('pa data(26년1월)'!$F:$F,'pa data(26년1월)'!$B:$B,매출추이!$A40,'pa data(26년1월)'!$C:$C,매출추이!$A$39)</x:f>
        <x:v>0</x:v>
      </x:c>
      <x:c r="Q40" s="345"/>
    </x:row>
    <x:row r="41" spans="1:18">
      <x:c r="A41" s="343" t="s">
        <x:v>335</x:v>
      </x:c>
      <x:c r="B41" s="345">
        <x:f>SUMIFS('pa data(26년1월)'!$F:$F,'pa data(26년1월)'!$B:$B,매출추이!$A41,'pa data(26년1월)'!$C:$C,매출추이!$A$39)</x:f>
        <x:v>0</x:v>
      </x:c>
      <x:c r="C41" s="345" t="e">
        <x:f>SUMIFS(#REF!,#REF!,매출추이!$A41,#REF!,매출추이!$A$39)</x:f>
        <x:v>#REF!</x:v>
      </x:c>
      <x:c r="D41" s="345" t="e">
        <x:f>SUMIFS(#REF!,#REF!,매출추이!$A41,#REF!,매출추이!$A$39)</x:f>
        <x:v>#REF!</x:v>
      </x:c>
      <x:c r="E41" s="345" t="e">
        <x:f>SUMIFS(#REF!,#REF!,매출추이!$A41,#REF!,매출추이!$A$39)</x:f>
        <x:v>#REF!</x:v>
      </x:c>
      <x:c r="F41" s="345" t="e">
        <x:f>SUMIFS(#REF!,#REF!,매출추이!$A41,#REF!,매출추이!$A$39)</x:f>
        <x:v>#REF!</x:v>
      </x:c>
      <x:c r="G41" s="345" t="e">
        <x:f>SUMIFS(#REF!,#REF!,매출추이!$A41,#REF!,매출추이!$A$39)</x:f>
        <x:v>#REF!</x:v>
      </x:c>
      <x:c r="H41" s="345" t="e">
        <x:f>SUMIFS(#REF!,#REF!,매출추이!$A41,#REF!,매출추이!$A$39)</x:f>
        <x:v>#REF!</x:v>
      </x:c>
      <x:c r="I41" s="345" t="e">
        <x:f>SUMIFS(#REF!,#REF!,매출추이!$A41,#REF!,매출추이!$A$39)</x:f>
        <x:v>#REF!</x:v>
      </x:c>
      <x:c r="J41" s="345" t="e">
        <x:f>SUMIFS(#REF!,#REF!,매출추이!$A41,#REF!,매출추이!$A$39)</x:f>
        <x:v>#REF!</x:v>
      </x:c>
      <x:c r="K41" s="345" t="e">
        <x:f>SUMIFS(#REF!,#REF!,매출추이!$A41,#REF!,매출추이!$A$39)</x:f>
        <x:v>#REF!</x:v>
      </x:c>
      <x:c r="L41" s="345">
        <x:f>SUMIFS('pa data(26년1월)'!$F:$F,'pa data(26년1월)'!$B:$B,매출추이!$A41,'pa data(26년1월)'!$C:$C,매출추이!$A$39)</x:f>
        <x:v>0</x:v>
      </x:c>
      <x:c r="M41" s="345">
        <x:f>SUMIFS('pa data(26년1월)'!$F:$F,'pa data(26년1월)'!$B:$B,매출추이!$A41,'pa data(26년1월)'!$C:$C,매출추이!$A$39)</x:f>
        <x:v>0</x:v>
      </x:c>
      <x:c r="Q41" s="345"/>
    </x:row>
    <x:row r="42" spans="1:18">
      <x:c r="A42" s="343" t="s">
        <x:v>227</x:v>
      </x:c>
      <x:c r="B42" s="345">
        <x:f>SUMIFS('pa data(26년1월)'!$F:$F,'pa data(26년1월)'!$B:$B,매출추이!$A42,'pa data(26년1월)'!$C:$C,매출추이!$A$39)</x:f>
        <x:v>0</x:v>
      </x:c>
      <x:c r="C42" s="345" t="e">
        <x:f>SUMIFS(#REF!,#REF!,매출추이!$A42,#REF!,매출추이!$A$39)</x:f>
        <x:v>#REF!</x:v>
      </x:c>
      <x:c r="D42" s="345" t="e">
        <x:f>SUMIFS(#REF!,#REF!,매출추이!$A42,#REF!,매출추이!$A$39)</x:f>
        <x:v>#REF!</x:v>
      </x:c>
      <x:c r="E42" s="345" t="e">
        <x:f>SUMIFS(#REF!,#REF!,매출추이!$A42,#REF!,매출추이!$A$39)</x:f>
        <x:v>#REF!</x:v>
      </x:c>
      <x:c r="F42" s="345" t="e">
        <x:f>SUMIFS(#REF!,#REF!,매출추이!$A42,#REF!,매출추이!$A$39)</x:f>
        <x:v>#REF!</x:v>
      </x:c>
      <x:c r="G42" s="345" t="e">
        <x:f>SUMIFS(#REF!,#REF!,매출추이!$A42,#REF!,매출추이!$A$39)</x:f>
        <x:v>#REF!</x:v>
      </x:c>
      <x:c r="H42" s="345" t="e">
        <x:f>SUMIFS(#REF!,#REF!,매출추이!$A42,#REF!,매출추이!$A$39)</x:f>
        <x:v>#REF!</x:v>
      </x:c>
      <x:c r="I42" s="345" t="e">
        <x:f>SUMIFS(#REF!,#REF!,매출추이!$A42,#REF!,매출추이!$A$39)</x:f>
        <x:v>#REF!</x:v>
      </x:c>
      <x:c r="J42" s="345" t="e">
        <x:f>SUMIFS(#REF!,#REF!,매출추이!$A42,#REF!,매출추이!$A$39)</x:f>
        <x:v>#REF!</x:v>
      </x:c>
      <x:c r="K42" s="345" t="e">
        <x:f>SUMIFS(#REF!,#REF!,매출추이!$A42,#REF!,매출추이!$A$39)</x:f>
        <x:v>#REF!</x:v>
      </x:c>
      <x:c r="L42" s="345">
        <x:f>SUMIFS('pa data(26년1월)'!$F:$F,'pa data(26년1월)'!$B:$B,매출추이!$A42,'pa data(26년1월)'!$C:$C,매출추이!$A$39)</x:f>
        <x:v>0</x:v>
      </x:c>
      <x:c r="M42" s="345">
        <x:f>SUMIFS('pa data(26년1월)'!$F:$F,'pa data(26년1월)'!$B:$B,매출추이!$A42,'pa data(26년1월)'!$C:$C,매출추이!$A$39)</x:f>
        <x:v>0</x:v>
      </x:c>
      <x:c r="Q42" s="345"/>
    </x:row>
    <x:row r="43" spans="1:18">
      <x:c r="A43" s="343" t="s">
        <x:v>229</x:v>
      </x:c>
      <x:c r="B43" s="345">
        <x:f>SUMIFS('pa data(26년1월)'!$F:$F,'pa data(26년1월)'!$B:$B,매출추이!$A43,'pa data(26년1월)'!$C:$C,매출추이!$A$39)</x:f>
        <x:v>0</x:v>
      </x:c>
      <x:c r="C43" s="345" t="e">
        <x:f>SUMIFS(#REF!,#REF!,매출추이!$A43,#REF!,매출추이!$A$39)</x:f>
        <x:v>#REF!</x:v>
      </x:c>
      <x:c r="D43" s="345" t="e">
        <x:f>SUMIFS(#REF!,#REF!,매출추이!$A43,#REF!,매출추이!$A$39)</x:f>
        <x:v>#REF!</x:v>
      </x:c>
      <x:c r="E43" s="345" t="e">
        <x:f>SUMIFS(#REF!,#REF!,매출추이!$A43,#REF!,매출추이!$A$39)</x:f>
        <x:v>#REF!</x:v>
      </x:c>
      <x:c r="F43" s="345" t="e">
        <x:f>SUMIFS(#REF!,#REF!,매출추이!$A43,#REF!,매출추이!$A$39)</x:f>
        <x:v>#REF!</x:v>
      </x:c>
      <x:c r="G43" s="345" t="e">
        <x:f>SUMIFS(#REF!,#REF!,매출추이!$A43,#REF!,매출추이!$A$39)</x:f>
        <x:v>#REF!</x:v>
      </x:c>
      <x:c r="H43" s="345" t="e">
        <x:f>SUMIFS(#REF!,#REF!,매출추이!$A43,#REF!,매출추이!$A$39)</x:f>
        <x:v>#REF!</x:v>
      </x:c>
      <x:c r="I43" s="345" t="e">
        <x:f>SUMIFS(#REF!,#REF!,매출추이!$A43,#REF!,매출추이!$A$39)</x:f>
        <x:v>#REF!</x:v>
      </x:c>
      <x:c r="J43" s="345" t="e">
        <x:f>SUMIFS(#REF!,#REF!,매출추이!$A43,#REF!,매출추이!$A$39)</x:f>
        <x:v>#REF!</x:v>
      </x:c>
      <x:c r="K43" s="345" t="e">
        <x:f>SUMIFS(#REF!,#REF!,매출추이!$A43,#REF!,매출추이!$A$39)</x:f>
        <x:v>#REF!</x:v>
      </x:c>
      <x:c r="L43" s="345">
        <x:f>SUMIFS('pa data(26년1월)'!$F:$F,'pa data(26년1월)'!$B:$B,매출추이!$A43,'pa data(26년1월)'!$C:$C,매출추이!$A$39)</x:f>
        <x:v>0</x:v>
      </x:c>
      <x:c r="M43" s="345">
        <x:f>SUMIFS('pa data(26년1월)'!$F:$F,'pa data(26년1월)'!$B:$B,매출추이!$A43,'pa data(26년1월)'!$C:$C,매출추이!$A$39)</x:f>
        <x:v>0</x:v>
      </x:c>
      <x:c r="Q43" s="345"/>
    </x:row>
    <x:row r="44" spans="1:18">
      <x:c r="A44" s="343" t="s">
        <x:v>281</x:v>
      </x:c>
      <x:c r="B44" s="345">
        <x:f>SUMIFS('pa data(26년1월)'!$F:$F,'pa data(26년1월)'!$B:$B,매출추이!$A44,'pa data(26년1월)'!$C:$C,매출추이!$A$39)</x:f>
        <x:v>0</x:v>
      </x:c>
      <x:c r="C44" s="345" t="e">
        <x:f>SUMIFS(#REF!,#REF!,매출추이!$A44,#REF!,매출추이!$A$39)</x:f>
        <x:v>#REF!</x:v>
      </x:c>
      <x:c r="D44" s="345" t="e">
        <x:f>SUMIFS(#REF!,#REF!,매출추이!$A44,#REF!,매출추이!$A$39)</x:f>
        <x:v>#REF!</x:v>
      </x:c>
      <x:c r="E44" s="345" t="e">
        <x:f>SUMIFS(#REF!,#REF!,매출추이!$A44,#REF!,매출추이!$A$39)</x:f>
        <x:v>#REF!</x:v>
      </x:c>
      <x:c r="F44" s="345" t="e">
        <x:f>SUMIFS(#REF!,#REF!,매출추이!$A44,#REF!,매출추이!$A$39)</x:f>
        <x:v>#REF!</x:v>
      </x:c>
      <x:c r="G44" s="345" t="e">
        <x:f>SUMIFS(#REF!,#REF!,매출추이!$A44,#REF!,매출추이!$A$39)</x:f>
        <x:v>#REF!</x:v>
      </x:c>
      <x:c r="H44" s="345" t="e">
        <x:f>SUMIFS(#REF!,#REF!,매출추이!$A44,#REF!,매출추이!$A$39)</x:f>
        <x:v>#REF!</x:v>
      </x:c>
      <x:c r="I44" s="345" t="e">
        <x:f>SUMIFS(#REF!,#REF!,매출추이!$A44,#REF!,매출추이!$A$39)</x:f>
        <x:v>#REF!</x:v>
      </x:c>
      <x:c r="J44" s="345" t="e">
        <x:f>SUMIFS(#REF!,#REF!,매출추이!$A44,#REF!,매출추이!$A$39)</x:f>
        <x:v>#REF!</x:v>
      </x:c>
      <x:c r="K44" s="345" t="e">
        <x:f>SUMIFS(#REF!,#REF!,매출추이!$A44,#REF!,매출추이!$A$39)</x:f>
        <x:v>#REF!</x:v>
      </x:c>
      <x:c r="L44" s="345">
        <x:f>SUMIFS('pa data(26년1월)'!$F:$F,'pa data(26년1월)'!$B:$B,매출추이!$A44,'pa data(26년1월)'!$C:$C,매출추이!$A$39)</x:f>
        <x:v>0</x:v>
      </x:c>
      <x:c r="M44" s="345">
        <x:f>SUMIFS('pa data(26년1월)'!$F:$F,'pa data(26년1월)'!$B:$B,매출추이!$A44,'pa data(26년1월)'!$C:$C,매출추이!$A$39)</x:f>
        <x:v>0</x:v>
      </x:c>
      <x:c r="Q44" s="345"/>
    </x:row>
    <x:row r="45" spans="1:18">
      <x:c r="A45" s="343" t="s">
        <x:v>336</x:v>
      </x:c>
      <x:c r="B45" s="345">
        <x:f>SUMIFS('pa data(26년1월)'!$F:$F,'pa data(26년1월)'!$B:$B,매출추이!$A45,'pa data(26년1월)'!$C:$C,매출추이!$A$39)</x:f>
        <x:v>0</x:v>
      </x:c>
      <x:c r="C45" s="345" t="e">
        <x:f>SUMIFS(#REF!,#REF!,매출추이!$A45,#REF!,매출추이!$A$39)</x:f>
        <x:v>#REF!</x:v>
      </x:c>
      <x:c r="D45" s="345" t="e">
        <x:f>SUMIFS(#REF!,#REF!,매출추이!$A45,#REF!,매출추이!$A$39)</x:f>
        <x:v>#REF!</x:v>
      </x:c>
      <x:c r="E45" s="345" t="e">
        <x:f>SUMIFS(#REF!,#REF!,매출추이!$A45,#REF!,매출추이!$A$39)</x:f>
        <x:v>#REF!</x:v>
      </x:c>
      <x:c r="F45" s="345" t="e">
        <x:f>SUMIFS(#REF!,#REF!,매출추이!$A45,#REF!,매출추이!$A$39)</x:f>
        <x:v>#REF!</x:v>
      </x:c>
      <x:c r="G45" s="345" t="e">
        <x:f>SUMIFS(#REF!,#REF!,매출추이!$A45,#REF!,매출추이!$A$39)</x:f>
        <x:v>#REF!</x:v>
      </x:c>
      <x:c r="H45" s="345" t="e">
        <x:f>SUMIFS(#REF!,#REF!,매출추이!$A45,#REF!,매출추이!$A$39)</x:f>
        <x:v>#REF!</x:v>
      </x:c>
      <x:c r="I45" s="345" t="e">
        <x:f>SUMIFS(#REF!,#REF!,매출추이!$A45,#REF!,매출추이!$A$39)</x:f>
        <x:v>#REF!</x:v>
      </x:c>
      <x:c r="J45" s="345" t="e">
        <x:f>SUMIFS(#REF!,#REF!,매출추이!$A45,#REF!,매출추이!$A$39)</x:f>
        <x:v>#REF!</x:v>
      </x:c>
      <x:c r="K45" s="345" t="e">
        <x:f>SUMIFS(#REF!,#REF!,매출추이!$A45,#REF!,매출추이!$A$39)</x:f>
        <x:v>#REF!</x:v>
      </x:c>
      <x:c r="L45" s="345">
        <x:f>SUMIFS('pa data(26년1월)'!$F:$F,'pa data(26년1월)'!$B:$B,매출추이!$A45,'pa data(26년1월)'!$C:$C,매출추이!$A$39)</x:f>
        <x:v>0</x:v>
      </x:c>
      <x:c r="M45" s="345">
        <x:f>SUMIFS('pa data(26년1월)'!$F:$F,'pa data(26년1월)'!$B:$B,매출추이!$A45,'pa data(26년1월)'!$C:$C,매출추이!$A$39)</x:f>
        <x:v>0</x:v>
      </x:c>
      <x:c r="Q45" s="345"/>
      <x:c r="R45" s="346"/>
    </x:row>
    <x:row r="46" spans="1:18">
      <x:c r="A46" s="343" t="s">
        <x:v>337</x:v>
      </x:c>
      <x:c r="B46" s="345">
        <x:f>SUMIFS('pa data(26년1월)'!$F:$F,'pa data(26년1월)'!$B:$B,매출추이!$A46,'pa data(26년1월)'!$C:$C,매출추이!$A$39)</x:f>
        <x:v>0</x:v>
      </x:c>
      <x:c r="C46" s="345" t="e">
        <x:f>SUMIFS(#REF!,#REF!,매출추이!$A46,#REF!,매출추이!$A$39)</x:f>
        <x:v>#REF!</x:v>
      </x:c>
      <x:c r="D46" s="345" t="e">
        <x:f>SUMIFS(#REF!,#REF!,매출추이!$A46,#REF!,매출추이!$A$39)</x:f>
        <x:v>#REF!</x:v>
      </x:c>
      <x:c r="E46" s="345" t="e">
        <x:f>SUMIFS(#REF!,#REF!,매출추이!$A46,#REF!,매출추이!$A$39)</x:f>
        <x:v>#REF!</x:v>
      </x:c>
      <x:c r="F46" s="345" t="e">
        <x:f>SUMIFS(#REF!,#REF!,매출추이!$A46,#REF!,매출추이!$A$39)</x:f>
        <x:v>#REF!</x:v>
      </x:c>
      <x:c r="G46" s="345" t="e">
        <x:f>SUMIFS(#REF!,#REF!,매출추이!$A46,#REF!,매출추이!$A$39)</x:f>
        <x:v>#REF!</x:v>
      </x:c>
      <x:c r="H46" s="345" t="e">
        <x:f>SUMIFS(#REF!,#REF!,매출추이!$A46,#REF!,매출추이!$A$39)</x:f>
        <x:v>#REF!</x:v>
      </x:c>
      <x:c r="I46" s="345" t="e">
        <x:f>SUMIFS(#REF!,#REF!,매출추이!$A46,#REF!,매출추이!$A$39)</x:f>
        <x:v>#REF!</x:v>
      </x:c>
      <x:c r="J46" s="345" t="e">
        <x:f>SUMIFS(#REF!,#REF!,매출추이!$A46,#REF!,매출추이!$A$39)</x:f>
        <x:v>#REF!</x:v>
      </x:c>
      <x:c r="K46" s="345" t="e">
        <x:f>SUMIFS(#REF!,#REF!,매출추이!$A46,#REF!,매출추이!$A$39)</x:f>
        <x:v>#REF!</x:v>
      </x:c>
      <x:c r="L46" s="345">
        <x:f>SUMIFS('pa data(26년1월)'!$F:$F,'pa data(26년1월)'!$B:$B,매출추이!$A46,'pa data(26년1월)'!$C:$C,매출추이!$A$39)</x:f>
        <x:v>0</x:v>
      </x:c>
      <x:c r="M46" s="345">
        <x:f>SUMIFS('pa data(26년1월)'!$F:$F,'pa data(26년1월)'!$B:$B,매출추이!$A46,'pa data(26년1월)'!$C:$C,매출추이!$A$39)</x:f>
        <x:v>0</x:v>
      </x:c>
      <x:c r="Q46" s="345"/>
    </x:row>
    <x:row r="47" spans="1:18">
      <x:c r="A47" s="343" t="s">
        <x:v>349</x:v>
      </x:c>
      <x:c r="B47" s="345">
        <x:f>SUMIFS('pa data(26년1월)'!$F:$F,'pa data(26년1월)'!$B:$B,매출추이!$A47,'pa data(26년1월)'!$C:$C,매출추이!$A$39)</x:f>
        <x:v>0</x:v>
      </x:c>
      <x:c r="C47" s="345" t="e">
        <x:f>SUMIFS(#REF!,#REF!,매출추이!$A47,#REF!,매출추이!$A$39)</x:f>
        <x:v>#REF!</x:v>
      </x:c>
      <x:c r="D47" s="345" t="e">
        <x:f>SUMIFS(#REF!,#REF!,매출추이!$A47,#REF!,매출추이!$A$39)</x:f>
        <x:v>#REF!</x:v>
      </x:c>
      <x:c r="E47" s="345" t="e">
        <x:f>SUMIFS(#REF!,#REF!,매출추이!$A47,#REF!,매출추이!$A$39)</x:f>
        <x:v>#REF!</x:v>
      </x:c>
      <x:c r="F47" s="345" t="e">
        <x:f>SUMIFS(#REF!,#REF!,매출추이!$A47,#REF!,매출추이!$A$39)</x:f>
        <x:v>#REF!</x:v>
      </x:c>
      <x:c r="G47" s="345" t="e">
        <x:f>SUMIFS(#REF!,#REF!,매출추이!$A47,#REF!,매출추이!$A$39)</x:f>
        <x:v>#REF!</x:v>
      </x:c>
      <x:c r="H47" s="345" t="e">
        <x:f>SUMIFS(#REF!,#REF!,매출추이!$A47,#REF!,매출추이!$A$39)</x:f>
        <x:v>#REF!</x:v>
      </x:c>
      <x:c r="I47" s="345" t="e">
        <x:f>SUMIFS(#REF!,#REF!,매출추이!$A47,#REF!,매출추이!$A$39)</x:f>
        <x:v>#REF!</x:v>
      </x:c>
      <x:c r="J47" s="345" t="e">
        <x:f>SUMIFS(#REF!,#REF!,매출추이!$A47,#REF!,매출추이!$A$39)</x:f>
        <x:v>#REF!</x:v>
      </x:c>
      <x:c r="K47" s="345" t="e">
        <x:f>SUMIFS(#REF!,#REF!,매출추이!$A47,#REF!,매출추이!$A$39)</x:f>
        <x:v>#REF!</x:v>
      </x:c>
      <x:c r="L47" s="345">
        <x:f>SUMIFS('pa data(26년1월)'!$F:$F,'pa data(26년1월)'!$B:$B,매출추이!$A47,'pa data(26년1월)'!$C:$C,매출추이!$A$39)</x:f>
        <x:v>0</x:v>
      </x:c>
      <x:c r="M47" s="345">
        <x:f>SUMIFS('pa data(26년1월)'!$F:$F,'pa data(26년1월)'!$B:$B,매출추이!$A47,'pa data(26년1월)'!$C:$C,매출추이!$A$39)</x:f>
        <x:v>0</x:v>
      </x:c>
      <x:c r="Q47" s="345"/>
    </x:row>
    <x:row r="48" spans="1:18">
      <x:c r="A48" s="343" t="s">
        <x:v>340</x:v>
      </x:c>
      <x:c r="B48" s="345">
        <x:f>SUMIFS('pa data(26년1월)'!$F:$F,'pa data(26년1월)'!$B:$B,매출추이!$A48,'pa data(26년1월)'!$C:$C,매출추이!$A$39)</x:f>
        <x:v>0</x:v>
      </x:c>
      <x:c r="C48" s="345" t="e">
        <x:f>SUMIFS(#REF!,#REF!,매출추이!$A48,#REF!,매출추이!$A$39)</x:f>
        <x:v>#REF!</x:v>
      </x:c>
      <x:c r="D48" s="345" t="e">
        <x:f>SUMIFS(#REF!,#REF!,매출추이!$A48,#REF!,매출추이!$A$39)</x:f>
        <x:v>#REF!</x:v>
      </x:c>
      <x:c r="E48" s="345" t="e">
        <x:f>SUMIFS(#REF!,#REF!,매출추이!$A48,#REF!,매출추이!$A$39)</x:f>
        <x:v>#REF!</x:v>
      </x:c>
      <x:c r="F48" s="345" t="e">
        <x:f>SUMIFS(#REF!,#REF!,매출추이!$A48,#REF!,매출추이!$A$39)</x:f>
        <x:v>#REF!</x:v>
      </x:c>
      <x:c r="G48" s="345" t="e">
        <x:f>SUMIFS(#REF!,#REF!,매출추이!$A48,#REF!,매출추이!$A$39)</x:f>
        <x:v>#REF!</x:v>
      </x:c>
      <x:c r="H48" s="345" t="e">
        <x:f>SUMIFS(#REF!,#REF!,매출추이!$A48,#REF!,매출추이!$A$39)</x:f>
        <x:v>#REF!</x:v>
      </x:c>
      <x:c r="I48" s="345" t="e">
        <x:f>SUMIFS(#REF!,#REF!,매출추이!$A48,#REF!,매출추이!$A$39)</x:f>
        <x:v>#REF!</x:v>
      </x:c>
      <x:c r="J48" s="345" t="e">
        <x:f>SUMIFS(#REF!,#REF!,매출추이!$A48,#REF!,매출추이!$A$39)</x:f>
        <x:v>#REF!</x:v>
      </x:c>
      <x:c r="K48" s="345" t="e">
        <x:f>SUMIFS(#REF!,#REF!,매출추이!$A48,#REF!,매출추이!$A$39)</x:f>
        <x:v>#REF!</x:v>
      </x:c>
      <x:c r="L48" s="345">
        <x:f>SUMIFS('pa data(26년1월)'!$F:$F,'pa data(26년1월)'!$B:$B,매출추이!$A48,'pa data(26년1월)'!$C:$C,매출추이!$A$39)</x:f>
        <x:v>0</x:v>
      </x:c>
      <x:c r="M48" s="345">
        <x:f>SUMIFS('pa data(26년1월)'!$F:$F,'pa data(26년1월)'!$B:$B,매출추이!$A48,'pa data(26년1월)'!$C:$C,매출추이!$A$39)</x:f>
        <x:v>0</x:v>
      </x:c>
      <x:c r="Q48" s="345"/>
    </x:row>
    <x:row r="49" spans="1:17">
      <x:c r="A49" s="343" t="s">
        <x:v>341</x:v>
      </x:c>
      <x:c r="B49" s="345">
        <x:f>SUMIFS('pa data(26년1월)'!$F:$F,'pa data(26년1월)'!$B:$B,매출추이!$A49,'pa data(26년1월)'!$C:$C,매출추이!$A$39)</x:f>
        <x:v>0</x:v>
      </x:c>
      <x:c r="C49" s="345" t="e">
        <x:f>SUMIFS(#REF!,#REF!,매출추이!$A49,#REF!,매출추이!$A$39)</x:f>
        <x:v>#REF!</x:v>
      </x:c>
      <x:c r="D49" s="345" t="e">
        <x:f>SUMIFS(#REF!,#REF!,매출추이!$A49,#REF!,매출추이!$A$39)</x:f>
        <x:v>#REF!</x:v>
      </x:c>
      <x:c r="E49" s="345" t="e">
        <x:f>SUMIFS(#REF!,#REF!,매출추이!$A49,#REF!,매출추이!$A$39)</x:f>
        <x:v>#REF!</x:v>
      </x:c>
      <x:c r="F49" s="345" t="e">
        <x:f>SUMIFS(#REF!,#REF!,매출추이!$A49,#REF!,매출추이!$A$39)</x:f>
        <x:v>#REF!</x:v>
      </x:c>
      <x:c r="G49" s="345" t="e">
        <x:f>SUMIFS(#REF!,#REF!,매출추이!$A49,#REF!,매출추이!$A$39)</x:f>
        <x:v>#REF!</x:v>
      </x:c>
      <x:c r="H49" s="345" t="e">
        <x:f>SUMIFS(#REF!,#REF!,매출추이!$A49,#REF!,매출추이!$A$39)</x:f>
        <x:v>#REF!</x:v>
      </x:c>
      <x:c r="I49" s="345" t="e">
        <x:f>SUMIFS(#REF!,#REF!,매출추이!$A49,#REF!,매출추이!$A$39)</x:f>
        <x:v>#REF!</x:v>
      </x:c>
      <x:c r="J49" s="345" t="e">
        <x:f>SUMIFS(#REF!,#REF!,매출추이!$A49,#REF!,매출추이!$A$39)</x:f>
        <x:v>#REF!</x:v>
      </x:c>
      <x:c r="K49" s="345" t="e">
        <x:f>SUMIFS(#REF!,#REF!,매출추이!$A49,#REF!,매출추이!$A$39)</x:f>
        <x:v>#REF!</x:v>
      </x:c>
      <x:c r="L49" s="345">
        <x:f>SUMIFS('pa data(26년1월)'!$F:$F,'pa data(26년1월)'!$B:$B,매출추이!$A49,'pa data(26년1월)'!$C:$C,매출추이!$A$39)</x:f>
        <x:v>0</x:v>
      </x:c>
      <x:c r="M49" s="345">
        <x:f>SUMIFS('pa data(26년1월)'!$F:$F,'pa data(26년1월)'!$B:$B,매출추이!$A49,'pa data(26년1월)'!$C:$C,매출추이!$A$39)</x:f>
        <x:v>0</x:v>
      </x:c>
      <x:c r="Q49" s="345"/>
    </x:row>
    <x:row r="50" spans="1:17">
      <x:c r="A50" s="343" t="s">
        <x:v>353</x:v>
      </x:c>
      <x:c r="B50" s="345">
        <x:f>SUMIFS('pa data(26년1월)'!$F:$F,'pa data(26년1월)'!$B:$B,매출추이!$A50,'pa data(26년1월)'!$C:$C,매출추이!$A$39)</x:f>
        <x:v>0</x:v>
      </x:c>
      <x:c r="C50" s="345" t="e">
        <x:f>SUMIFS(#REF!,#REF!,매출추이!$A50,#REF!,매출추이!$A$39)</x:f>
        <x:v>#REF!</x:v>
      </x:c>
      <x:c r="D50" s="345" t="e">
        <x:f>SUMIFS(#REF!,#REF!,매출추이!$A50,#REF!,매출추이!$A$39)</x:f>
        <x:v>#REF!</x:v>
      </x:c>
      <x:c r="E50" s="345" t="e">
        <x:f>SUMIFS(#REF!,#REF!,매출추이!$A50,#REF!,매출추이!$A$39)</x:f>
        <x:v>#REF!</x:v>
      </x:c>
      <x:c r="F50" s="345" t="e">
        <x:f>SUMIFS(#REF!,#REF!,매출추이!$A50,#REF!,매출추이!$A$39)</x:f>
        <x:v>#REF!</x:v>
      </x:c>
      <x:c r="G50" s="345" t="e">
        <x:f>SUMIFS(#REF!,#REF!,매출추이!$A50,#REF!,매출추이!$A$39)</x:f>
        <x:v>#REF!</x:v>
      </x:c>
      <x:c r="H50" s="345" t="e">
        <x:f>SUMIFS(#REF!,#REF!,매출추이!$A50,#REF!,매출추이!$A$39)</x:f>
        <x:v>#REF!</x:v>
      </x:c>
      <x:c r="I50" s="345" t="e">
        <x:f>SUMIFS(#REF!,#REF!,매출추이!$A50,#REF!,매출추이!$A$39)</x:f>
        <x:v>#REF!</x:v>
      </x:c>
      <x:c r="J50" s="345" t="e">
        <x:f>SUMIFS(#REF!,#REF!,매출추이!$A50,#REF!,매출추이!$A$39)</x:f>
        <x:v>#REF!</x:v>
      </x:c>
      <x:c r="K50" s="345" t="e">
        <x:f>SUMIFS(#REF!,#REF!,매출추이!$A50,#REF!,매출추이!$A$39)</x:f>
        <x:v>#REF!</x:v>
      </x:c>
      <x:c r="L50" s="345">
        <x:f>SUMIFS('pa data(26년1월)'!$F:$F,'pa data(26년1월)'!$B:$B,매출추이!$A50,'pa data(26년1월)'!$C:$C,매출추이!$A$39)</x:f>
        <x:v>0</x:v>
      </x:c>
      <x:c r="M50" s="345">
        <x:f>SUMIFS('pa data(26년1월)'!$F:$F,'pa data(26년1월)'!$B:$B,매출추이!$A50,'pa data(26년1월)'!$C:$C,매출추이!$A$39)</x:f>
        <x:v>0</x:v>
      </x:c>
      <x:c r="Q50" s="345"/>
    </x:row>
    <x:row r="51" spans="1:17">
      <x:c r="A51" s="343" t="s">
        <x:v>354</x:v>
      </x:c>
      <x:c r="B51" s="345">
        <x:f>SUMIFS('pa data(26년1월)'!$F:$F,'pa data(26년1월)'!$B:$B,매출추이!$A51,'pa data(26년1월)'!$C:$C,매출추이!$A$39)</x:f>
        <x:v>0</x:v>
      </x:c>
      <x:c r="C51" s="345" t="e">
        <x:f>SUMIFS(#REF!,#REF!,매출추이!$A51,#REF!,매출추이!$A$39)</x:f>
        <x:v>#REF!</x:v>
      </x:c>
      <x:c r="D51" s="345" t="e">
        <x:f>SUMIFS(#REF!,#REF!,매출추이!$A51,#REF!,매출추이!$A$39)</x:f>
        <x:v>#REF!</x:v>
      </x:c>
      <x:c r="E51" s="345" t="e">
        <x:f>SUMIFS(#REF!,#REF!,매출추이!$A51,#REF!,매출추이!$A$39)</x:f>
        <x:v>#REF!</x:v>
      </x:c>
      <x:c r="F51" s="345" t="e">
        <x:f>SUMIFS(#REF!,#REF!,매출추이!$A51,#REF!,매출추이!$A$39)</x:f>
        <x:v>#REF!</x:v>
      </x:c>
      <x:c r="G51" s="345" t="e">
        <x:f>SUMIFS(#REF!,#REF!,매출추이!$A51,#REF!,매출추이!$A$39)</x:f>
        <x:v>#REF!</x:v>
      </x:c>
      <x:c r="H51" s="345" t="e">
        <x:f>SUMIFS(#REF!,#REF!,매출추이!$A51,#REF!,매출추이!$A$39)</x:f>
        <x:v>#REF!</x:v>
      </x:c>
      <x:c r="I51" s="345" t="e">
        <x:f>SUMIFS(#REF!,#REF!,매출추이!$A51,#REF!,매출추이!$A$39)</x:f>
        <x:v>#REF!</x:v>
      </x:c>
      <x:c r="J51" s="345" t="e">
        <x:f>SUMIFS(#REF!,#REF!,매출추이!$A51,#REF!,매출추이!$A$39)</x:f>
        <x:v>#REF!</x:v>
      </x:c>
      <x:c r="K51" s="345" t="e">
        <x:f>SUMIFS(#REF!,#REF!,매출추이!$A51,#REF!,매출추이!$A$39)</x:f>
        <x:v>#REF!</x:v>
      </x:c>
      <x:c r="L51" s="345">
        <x:f>SUMIFS('pa data(26년1월)'!$F:$F,'pa data(26년1월)'!$B:$B,매출추이!$A51,'pa data(26년1월)'!$C:$C,매출추이!$A$39)</x:f>
        <x:v>0</x:v>
      </x:c>
      <x:c r="M51" s="345">
        <x:f>SUMIFS('pa data(26년1월)'!$F:$F,'pa data(26년1월)'!$B:$B,매출추이!$A51,'pa data(26년1월)'!$C:$C,매출추이!$A$39)</x:f>
        <x:v>0</x:v>
      </x:c>
      <x:c r="Q51" s="345"/>
    </x:row>
    <x:row r="52" spans="1:17">
      <x:c r="A52" s="343" t="s">
        <x:v>355</x:v>
      </x:c>
      <x:c r="B52" s="345">
        <x:f>SUMIFS('pa data(26년1월)'!$F:$F,'pa data(26년1월)'!$B:$B,매출추이!$A52,'pa data(26년1월)'!$C:$C,매출추이!$A$39)</x:f>
        <x:v>0</x:v>
      </x:c>
      <x:c r="C52" s="345" t="e">
        <x:f>SUMIFS(#REF!,#REF!,매출추이!$A52,#REF!,매출추이!$A$39)</x:f>
        <x:v>#REF!</x:v>
      </x:c>
      <x:c r="D52" s="345" t="e">
        <x:f>SUMIFS(#REF!,#REF!,매출추이!$A52,#REF!,매출추이!$A$39)</x:f>
        <x:v>#REF!</x:v>
      </x:c>
      <x:c r="E52" s="345" t="e">
        <x:f>SUMIFS(#REF!,#REF!,매출추이!$A52,#REF!,매출추이!$A$39)</x:f>
        <x:v>#REF!</x:v>
      </x:c>
      <x:c r="F52" s="345" t="e">
        <x:f>SUMIFS(#REF!,#REF!,매출추이!$A52,#REF!,매출추이!$A$39)</x:f>
        <x:v>#REF!</x:v>
      </x:c>
      <x:c r="G52" s="345" t="e">
        <x:f>SUMIFS(#REF!,#REF!,매출추이!$A52,#REF!,매출추이!$A$39)</x:f>
        <x:v>#REF!</x:v>
      </x:c>
      <x:c r="H52" s="345" t="e">
        <x:f>SUMIFS(#REF!,#REF!,매출추이!$A52,#REF!,매출추이!$A$39)</x:f>
        <x:v>#REF!</x:v>
      </x:c>
      <x:c r="I52" s="345" t="e">
        <x:f>SUMIFS(#REF!,#REF!,매출추이!$A52,#REF!,매출추이!$A$39)</x:f>
        <x:v>#REF!</x:v>
      </x:c>
      <x:c r="J52" s="345" t="e">
        <x:f>SUMIFS(#REF!,#REF!,매출추이!$A52,#REF!,매출추이!$A$39)</x:f>
        <x:v>#REF!</x:v>
      </x:c>
      <x:c r="K52" s="345" t="e">
        <x:f>SUMIFS(#REF!,#REF!,매출추이!$A52,#REF!,매출추이!$A$39)</x:f>
        <x:v>#REF!</x:v>
      </x:c>
      <x:c r="L52" s="345">
        <x:f>SUMIFS('pa data(26년1월)'!$F:$F,'pa data(26년1월)'!$B:$B,매출추이!$A52,'pa data(26년1월)'!$C:$C,매출추이!$A$39)</x:f>
        <x:v>0</x:v>
      </x:c>
      <x:c r="M52" s="345">
        <x:f>SUMIFS('pa data(26년1월)'!$F:$F,'pa data(26년1월)'!$B:$B,매출추이!$A52,'pa data(26년1월)'!$C:$C,매출추이!$A$39)</x:f>
        <x:v>0</x:v>
      </x:c>
      <x:c r="Q52" s="345"/>
    </x:row>
    <x:row r="53" spans="1:17">
      <x:c r="A53" s="343" t="s">
        <x:v>356</x:v>
      </x:c>
      <x:c r="B53" s="345">
        <x:f>SUMIFS('pa data(26년1월)'!$F:$F,'pa data(26년1월)'!$B:$B,매출추이!$A53,'pa data(26년1월)'!$C:$C,매출추이!$A$39)</x:f>
        <x:v>0</x:v>
      </x:c>
      <x:c r="C53" s="345" t="e">
        <x:f>SUMIFS(#REF!,#REF!,매출추이!$A53,#REF!,매출추이!$A$39)</x:f>
        <x:v>#REF!</x:v>
      </x:c>
      <x:c r="D53" s="345" t="e">
        <x:f>SUMIFS(#REF!,#REF!,매출추이!$A53,#REF!,매출추이!$A$39)</x:f>
        <x:v>#REF!</x:v>
      </x:c>
      <x:c r="E53" s="345" t="e">
        <x:f>SUMIFS(#REF!,#REF!,매출추이!$A53,#REF!,매출추이!$A$39)</x:f>
        <x:v>#REF!</x:v>
      </x:c>
      <x:c r="F53" s="345" t="e">
        <x:f>SUMIFS(#REF!,#REF!,매출추이!$A53,#REF!,매출추이!$A$39)</x:f>
        <x:v>#REF!</x:v>
      </x:c>
      <x:c r="G53" s="345" t="e">
        <x:f>SUMIFS(#REF!,#REF!,매출추이!$A53,#REF!,매출추이!$A$39)</x:f>
        <x:v>#REF!</x:v>
      </x:c>
      <x:c r="H53" s="345" t="e">
        <x:f>SUMIFS(#REF!,#REF!,매출추이!$A53,#REF!,매출추이!$A$39)</x:f>
        <x:v>#REF!</x:v>
      </x:c>
      <x:c r="I53" s="345" t="e">
        <x:f>SUMIFS(#REF!,#REF!,매출추이!$A53,#REF!,매출추이!$A$39)</x:f>
        <x:v>#REF!</x:v>
      </x:c>
      <x:c r="J53" s="345" t="e">
        <x:f>SUMIFS(#REF!,#REF!,매출추이!$A53,#REF!,매출추이!$A$39)</x:f>
        <x:v>#REF!</x:v>
      </x:c>
      <x:c r="K53" s="345" t="e">
        <x:f>SUMIFS(#REF!,#REF!,매출추이!$A53,#REF!,매출추이!$A$39)</x:f>
        <x:v>#REF!</x:v>
      </x:c>
      <x:c r="L53" s="345">
        <x:f>SUMIFS('pa data(26년1월)'!$F:$F,'pa data(26년1월)'!$B:$B,매출추이!$A53,'pa data(26년1월)'!$C:$C,매출추이!$A$39)</x:f>
        <x:v>0</x:v>
      </x:c>
      <x:c r="M53" s="345">
        <x:f>SUMIFS('pa data(26년1월)'!$F:$F,'pa data(26년1월)'!$B:$B,매출추이!$A53,'pa data(26년1월)'!$C:$C,매출추이!$A$39)</x:f>
        <x:v>0</x:v>
      </x:c>
      <x:c r="Q53" s="345"/>
    </x:row>
    <x:row r="54" spans="1:17">
      <x:c r="A54" s="343" t="s">
        <x:v>359</x:v>
      </x:c>
      <x:c r="B54" s="345">
        <x:f>SUMIFS('pa data(26년1월)'!$F:$F,'pa data(26년1월)'!$B:$B,매출추이!$A54,'pa data(26년1월)'!$C:$C,매출추이!$A$39)</x:f>
        <x:v>0</x:v>
      </x:c>
      <x:c r="C54" s="345" t="e">
        <x:f>SUMIFS(#REF!,#REF!,매출추이!$A54,#REF!,매출추이!$A$39)</x:f>
        <x:v>#REF!</x:v>
      </x:c>
      <x:c r="D54" s="345" t="e">
        <x:f>SUMIFS(#REF!,#REF!,매출추이!$A54,#REF!,매출추이!$A$39)</x:f>
        <x:v>#REF!</x:v>
      </x:c>
      <x:c r="E54" s="345" t="e">
        <x:f>SUMIFS(#REF!,#REF!,매출추이!$A54,#REF!,매출추이!$A$39)</x:f>
        <x:v>#REF!</x:v>
      </x:c>
      <x:c r="F54" s="345" t="e">
        <x:f>SUMIFS(#REF!,#REF!,매출추이!$A54,#REF!,매출추이!$A$39)</x:f>
        <x:v>#REF!</x:v>
      </x:c>
      <x:c r="G54" s="345" t="e">
        <x:f>SUMIFS(#REF!,#REF!,매출추이!$A54,#REF!,매출추이!$A$39)</x:f>
        <x:v>#REF!</x:v>
      </x:c>
      <x:c r="H54" s="345" t="e">
        <x:f>SUMIFS(#REF!,#REF!,매출추이!$A54,#REF!,매출추이!$A$39)</x:f>
        <x:v>#REF!</x:v>
      </x:c>
      <x:c r="I54" s="345" t="e">
        <x:f>SUMIFS(#REF!,#REF!,매출추이!$A54,#REF!,매출추이!$A$39)</x:f>
        <x:v>#REF!</x:v>
      </x:c>
      <x:c r="J54" s="345" t="e">
        <x:f>SUMIFS(#REF!,#REF!,매출추이!$A54,#REF!,매출추이!$A$39)</x:f>
        <x:v>#REF!</x:v>
      </x:c>
      <x:c r="K54" s="345" t="e">
        <x:f>SUMIFS(#REF!,#REF!,매출추이!$A54,#REF!,매출추이!$A$39)</x:f>
        <x:v>#REF!</x:v>
      </x:c>
      <x:c r="L54" s="345">
        <x:f>SUMIFS('pa data(26년1월)'!$F:$F,'pa data(26년1월)'!$B:$B,매출추이!$A54,'pa data(26년1월)'!$C:$C,매출추이!$A$39)</x:f>
        <x:v>0</x:v>
      </x:c>
      <x:c r="M54" s="345">
        <x:f>SUMIFS('pa data(26년1월)'!$F:$F,'pa data(26년1월)'!$B:$B,매출추이!$A54,'pa data(26년1월)'!$C:$C,매출추이!$A$39)</x:f>
        <x:v>0</x:v>
      </x:c>
      <x:c r="Q54" s="345"/>
    </x:row>
    <x:row r="55" spans="1:17">
      <x:c r="A55" s="343" t="s">
        <x:v>395</x:v>
      </x:c>
      <x:c r="B55" s="345">
        <x:f>SUMIFS('pa data(26년1월)'!$F:$F,'pa data(26년1월)'!$B:$B,매출추이!$A55,'pa data(26년1월)'!$C:$C,매출추이!$A$39)</x:f>
        <x:v>0</x:v>
      </x:c>
      <x:c r="C55" s="345" t="e">
        <x:f>SUMIFS(#REF!,#REF!,매출추이!$A55,#REF!,매출추이!$A$39)</x:f>
        <x:v>#REF!</x:v>
      </x:c>
      <x:c r="D55" s="345" t="e">
        <x:f>SUMIFS(#REF!,#REF!,매출추이!$A55,#REF!,매출추이!$A$39)</x:f>
        <x:v>#REF!</x:v>
      </x:c>
      <x:c r="E55" s="345" t="e">
        <x:f>SUMIFS(#REF!,#REF!,매출추이!$A55,#REF!,매출추이!$A$39)</x:f>
        <x:v>#REF!</x:v>
      </x:c>
      <x:c r="F55" s="345" t="e">
        <x:f>SUMIFS(#REF!,#REF!,매출추이!$A55,#REF!,매출추이!$A$39)</x:f>
        <x:v>#REF!</x:v>
      </x:c>
      <x:c r="G55" s="345" t="e">
        <x:f>SUMIFS(#REF!,#REF!,매출추이!$A55,#REF!,매출추이!$A$39)</x:f>
        <x:v>#REF!</x:v>
      </x:c>
      <x:c r="H55" s="345" t="e">
        <x:f>SUMIFS(#REF!,#REF!,매출추이!$A55,#REF!,매출추이!$A$39)</x:f>
        <x:v>#REF!</x:v>
      </x:c>
      <x:c r="I55" s="345" t="e">
        <x:f>SUMIFS(#REF!,#REF!,매출추이!$A55,#REF!,매출추이!$A$39)</x:f>
        <x:v>#REF!</x:v>
      </x:c>
      <x:c r="J55" s="345" t="e">
        <x:f>SUMIFS(#REF!,#REF!,매출추이!$A55,#REF!,매출추이!$A$39)</x:f>
        <x:v>#REF!</x:v>
      </x:c>
      <x:c r="K55" s="345" t="e">
        <x:f>SUMIFS(#REF!,#REF!,매출추이!$A55,#REF!,매출추이!$A$39)</x:f>
        <x:v>#REF!</x:v>
      </x:c>
      <x:c r="L55" s="345">
        <x:f>SUMIFS('pa data(26년1월)'!$F:$F,'pa data(26년1월)'!$B:$B,매출추이!$A55,'pa data(26년1월)'!$C:$C,매출추이!$A$39)</x:f>
        <x:v>0</x:v>
      </x:c>
      <x:c r="M55" s="345">
        <x:f>SUMIFS('pa data(26년1월)'!$F:$F,'pa data(26년1월)'!$B:$B,매출추이!$A55,'pa data(26년1월)'!$C:$C,매출추이!$A$39)</x:f>
        <x:v>0</x:v>
      </x:c>
      <x:c r="Q55" s="345"/>
    </x:row>
    <x:row r="56" spans="1:17">
      <x:c r="A56" s="343" t="s">
        <x:v>614</x:v>
      </x:c>
      <x:c r="B56" s="345">
        <x:f>SUMIFS('pa data(26년1월)'!$F:$F,'pa data(26년1월)'!$B:$B,매출추이!$A56,'pa data(26년1월)'!$C:$C,매출추이!$A$39)</x:f>
        <x:v>0</x:v>
      </x:c>
      <x:c r="C56" s="345" t="e">
        <x:f>SUMIFS(#REF!,#REF!,매출추이!$A56,#REF!,매출추이!$A$39)</x:f>
        <x:v>#REF!</x:v>
      </x:c>
      <x:c r="D56" s="345" t="e">
        <x:f>SUMIFS(#REF!,#REF!,매출추이!$A56,#REF!,매출추이!$A$39)</x:f>
        <x:v>#REF!</x:v>
      </x:c>
      <x:c r="E56" s="345" t="e">
        <x:f>SUMIFS(#REF!,#REF!,매출추이!$A56,#REF!,매출추이!$A$39)</x:f>
        <x:v>#REF!</x:v>
      </x:c>
      <x:c r="F56" s="345" t="e">
        <x:f>SUMIFS(#REF!,#REF!,매출추이!$A56,#REF!,매출추이!$A$39)</x:f>
        <x:v>#REF!</x:v>
      </x:c>
      <x:c r="G56" s="345" t="e">
        <x:f>SUMIFS(#REF!,#REF!,매출추이!$A56,#REF!,매출추이!$A$39)</x:f>
        <x:v>#REF!</x:v>
      </x:c>
      <x:c r="H56" s="345" t="e">
        <x:f>SUMIFS(#REF!,#REF!,매출추이!$A56,#REF!,매출추이!$A$39)</x:f>
        <x:v>#REF!</x:v>
      </x:c>
      <x:c r="I56" s="345" t="e">
        <x:f>SUMIFS(#REF!,#REF!,매출추이!$A56,#REF!,매출추이!$A$39)</x:f>
        <x:v>#REF!</x:v>
      </x:c>
      <x:c r="J56" s="345" t="e">
        <x:f>SUMIFS(#REF!,#REF!,매출추이!$A56,#REF!,매출추이!$A$39)</x:f>
        <x:v>#REF!</x:v>
      </x:c>
      <x:c r="K56" s="345" t="e">
        <x:f>SUMIFS(#REF!,#REF!,매출추이!$A56,#REF!,매출추이!$A$39)</x:f>
        <x:v>#REF!</x:v>
      </x:c>
      <x:c r="L56" s="345">
        <x:f>SUMIFS('pa data(26년1월)'!$F:$F,'pa data(26년1월)'!$B:$B,매출추이!$A56,'pa data(26년1월)'!$C:$C,매출추이!$A$39)</x:f>
        <x:v>0</x:v>
      </x:c>
      <x:c r="M56" s="345">
        <x:f>SUMIFS('pa data(26년1월)'!$F:$F,'pa data(26년1월)'!$B:$B,매출추이!$A56,'pa data(26년1월)'!$C:$C,매출추이!$A$39)</x:f>
        <x:v>0</x:v>
      </x:c>
      <x:c r="Q56" s="345"/>
    </x:row>
    <x:row r="57" spans="1:17">
      <x:c r="A57" s="343" t="s">
        <x:v>617</x:v>
      </x:c>
      <x:c r="B57" s="345">
        <x:f>SUMIFS('pa data(26년1월)'!$F:$F,'pa data(26년1월)'!$B:$B,매출추이!$A57,'pa data(26년1월)'!$C:$C,매출추이!$A$39)</x:f>
        <x:v>0</x:v>
      </x:c>
      <x:c r="C57" s="345" t="e">
        <x:f>SUMIFS(#REF!,#REF!,매출추이!$A57,#REF!,매출추이!$A$39)</x:f>
        <x:v>#REF!</x:v>
      </x:c>
      <x:c r="D57" s="345" t="e">
        <x:f>SUMIFS(#REF!,#REF!,매출추이!$A57,#REF!,매출추이!$A$39)</x:f>
        <x:v>#REF!</x:v>
      </x:c>
      <x:c r="E57" s="345" t="e">
        <x:f>SUMIFS(#REF!,#REF!,매출추이!$A57,#REF!,매출추이!$A$39)</x:f>
        <x:v>#REF!</x:v>
      </x:c>
      <x:c r="F57" s="345" t="e">
        <x:f>SUMIFS(#REF!,#REF!,매출추이!$A57,#REF!,매출추이!$A$39)</x:f>
        <x:v>#REF!</x:v>
      </x:c>
      <x:c r="G57" s="345" t="e">
        <x:f>SUMIFS(#REF!,#REF!,매출추이!$A57,#REF!,매출추이!$A$39)</x:f>
        <x:v>#REF!</x:v>
      </x:c>
      <x:c r="H57" s="345" t="e">
        <x:f>SUMIFS(#REF!,#REF!,매출추이!$A57,#REF!,매출추이!$A$39)</x:f>
        <x:v>#REF!</x:v>
      </x:c>
      <x:c r="I57" s="345" t="e">
        <x:f>SUMIFS(#REF!,#REF!,매출추이!$A57,#REF!,매출추이!$A$39)</x:f>
        <x:v>#REF!</x:v>
      </x:c>
      <x:c r="J57" s="345" t="e">
        <x:f>SUMIFS(#REF!,#REF!,매출추이!$A57,#REF!,매출추이!$A$39)</x:f>
        <x:v>#REF!</x:v>
      </x:c>
      <x:c r="K57" s="345" t="e">
        <x:f>SUMIFS(#REF!,#REF!,매출추이!$A57,#REF!,매출추이!$A$39)</x:f>
        <x:v>#REF!</x:v>
      </x:c>
      <x:c r="L57" s="345">
        <x:f>SUMIFS('pa data(26년1월)'!$F:$F,'pa data(26년1월)'!$B:$B,매출추이!$A57,'pa data(26년1월)'!$C:$C,매출추이!$A$39)</x:f>
        <x:v>0</x:v>
      </x:c>
      <x:c r="M57" s="345">
        <x:f>SUMIFS('pa data(26년1월)'!$F:$F,'pa data(26년1월)'!$B:$B,매출추이!$A57,'pa data(26년1월)'!$C:$C,매출추이!$A$39)</x:f>
        <x:v>0</x:v>
      </x:c>
      <x:c r="Q57" s="345"/>
    </x:row>
    <x:row r="58" spans="1:17">
      <x:c r="B58" s="345"/>
      <x:c r="C58" s="345"/>
      <x:c r="D58" s="345"/>
      <x:c r="E58" s="345"/>
      <x:c r="F58" s="345"/>
      <x:c r="G58" s="345"/>
      <x:c r="H58" s="345"/>
      <x:c r="I58" s="345"/>
      <x:c r="J58" s="345"/>
      <x:c r="K58" s="345"/>
      <x:c r="L58" s="345"/>
      <x:c r="M58" s="345"/>
      <x:c r="Q58" s="345"/>
    </x:row>
    <x:row r="59" spans="1:17">
      <x:c r="B59" s="345"/>
      <x:c r="C59" s="345"/>
      <x:c r="D59" s="345"/>
      <x:c r="E59" s="345"/>
      <x:c r="F59" s="345"/>
      <x:c r="G59" s="345"/>
      <x:c r="H59" s="345"/>
      <x:c r="I59" s="345"/>
      <x:c r="J59" s="345"/>
      <x:c r="K59" s="345"/>
      <x:c r="L59" s="345"/>
      <x:c r="M59" s="345"/>
      <x:c r="Q59" s="345"/>
    </x:row>
    <x:row r="60" spans="1:17">
      <x:c r="B60" s="345"/>
      <x:c r="C60" s="345"/>
      <x:c r="D60" s="345"/>
      <x:c r="E60" s="345"/>
      <x:c r="F60" s="345"/>
      <x:c r="G60" s="345"/>
      <x:c r="H60" s="345"/>
      <x:c r="I60" s="345"/>
      <x:c r="J60" s="345"/>
      <x:c r="K60" s="345"/>
      <x:c r="L60" s="345"/>
      <x:c r="M60" s="345"/>
      <x:c r="Q60" s="345"/>
    </x:row>
    <x:row r="61" spans="1:17">
      <x:c r="B61" s="345"/>
      <x:c r="C61" s="345"/>
      <x:c r="D61" s="345"/>
      <x:c r="E61" s="345"/>
      <x:c r="F61" s="345"/>
      <x:c r="G61" s="345"/>
      <x:c r="H61" s="345"/>
      <x:c r="I61" s="345"/>
      <x:c r="J61" s="345"/>
      <x:c r="K61" s="345"/>
      <x:c r="L61" s="345"/>
      <x:c r="M61" s="345"/>
      <x:c r="Q61" s="345"/>
    </x:row>
    <x:row r="62" spans="1:17">
      <x:c r="B62" s="345"/>
      <x:c r="C62" s="345"/>
      <x:c r="D62" s="345"/>
      <x:c r="E62" s="345"/>
      <x:c r="F62" s="345"/>
      <x:c r="G62" s="345"/>
      <x:c r="H62" s="345"/>
      <x:c r="I62" s="345"/>
      <x:c r="J62" s="345"/>
      <x:c r="K62" s="345"/>
      <x:c r="L62" s="345"/>
      <x:c r="M62" s="345"/>
      <x:c r="Q62" s="345"/>
    </x:row>
    <x:row r="63" spans="1:17">
      <x:c r="B63" s="345"/>
      <x:c r="C63" s="345"/>
      <x:c r="D63" s="345"/>
      <x:c r="E63" s="345"/>
      <x:c r="F63" s="345"/>
      <x:c r="G63" s="345"/>
      <x:c r="H63" s="345"/>
      <x:c r="I63" s="345"/>
      <x:c r="J63" s="345"/>
      <x:c r="K63" s="345"/>
      <x:c r="L63" s="345"/>
      <x:c r="M63" s="345"/>
      <x:c r="Q63" s="345"/>
    </x:row>
    <x:row r="64" spans="1:17">
      <x:c r="B64" s="345"/>
      <x:c r="C64" s="345"/>
      <x:c r="D64" s="345"/>
      <x:c r="E64" s="345"/>
      <x:c r="F64" s="345"/>
      <x:c r="G64" s="345"/>
      <x:c r="H64" s="345"/>
      <x:c r="I64" s="345"/>
      <x:c r="J64" s="345"/>
      <x:c r="K64" s="345"/>
      <x:c r="L64" s="345"/>
      <x:c r="M64" s="345"/>
      <x:c r="Q64" s="345"/>
    </x:row>
    <x:row r="65" spans="1:17">
      <x:c r="Q65" s="345"/>
    </x:row>
    <x:row r="66" spans="1:17">
      <x:c r="A66" s="343" t="s">
        <x:v>371</x:v>
      </x:c>
      <x:c r="B66" s="344" t="s">
        <x:v>78</x:v>
      </x:c>
      <x:c r="C66" s="344" t="s">
        <x:v>9</x:v>
      </x:c>
      <x:c r="D66" s="344" t="s">
        <x:v>10</x:v>
      </x:c>
      <x:c r="E66" s="344" t="s">
        <x:v>11</x:v>
      </x:c>
      <x:c r="F66" s="344" t="s">
        <x:v>12</x:v>
      </x:c>
      <x:c r="G66" s="344" t="s">
        <x:v>13</x:v>
      </x:c>
      <x:c r="H66" s="344" t="s">
        <x:v>14</x:v>
      </x:c>
      <x:c r="I66" s="344" t="s">
        <x:v>15</x:v>
      </x:c>
      <x:c r="J66" s="344" t="s">
        <x:v>16</x:v>
      </x:c>
      <x:c r="K66" s="344" t="s">
        <x:v>17</x:v>
      </x:c>
      <x:c r="L66" s="344" t="s">
        <x:v>18</x:v>
      </x:c>
      <x:c r="M66" s="344" t="s">
        <x:v>19</x:v>
      </x:c>
      <x:c r="Q66" s="345"/>
    </x:row>
    <x:row r="67" spans="1:17">
      <x:c r="A67" s="343" t="s">
        <x:v>228</x:v>
      </x:c>
      <x:c r="B67" s="345">
        <x:f>SUMIFS('pa data(26년1월)'!$F:$F,'pa data(26년1월)'!$B:$B,매출추이!$A67,'pa data(26년1월)'!$C:$C,매출추이!$A$66)</x:f>
        <x:v>0</x:v>
      </x:c>
      <x:c r="C67" s="345" t="e">
        <x:f>SUMIFS(#REF!,#REF!,매출추이!$A67,#REF!,매출추이!$A$66)</x:f>
        <x:v>#REF!</x:v>
      </x:c>
      <x:c r="D67" s="345" t="e">
        <x:f>SUMIFS(#REF!,#REF!,매출추이!$A67,#REF!,매출추이!$A$66)</x:f>
        <x:v>#REF!</x:v>
      </x:c>
      <x:c r="E67" s="345" t="e">
        <x:f>SUMIFS(#REF!,#REF!,매출추이!$A67,#REF!,매출추이!$A$66)</x:f>
        <x:v>#REF!</x:v>
      </x:c>
      <x:c r="F67" s="345" t="e">
        <x:f>SUMIFS(#REF!,#REF!,매출추이!$A67,#REF!,매출추이!$A$66)</x:f>
        <x:v>#REF!</x:v>
      </x:c>
      <x:c r="G67" s="345" t="e">
        <x:f>SUMIFS(#REF!,#REF!,매출추이!$A67,#REF!,매출추이!$A$66)</x:f>
        <x:v>#REF!</x:v>
      </x:c>
      <x:c r="H67" s="345" t="e">
        <x:f>SUMIFS(#REF!,#REF!,매출추이!$A67,#REF!,매출추이!$A$66)</x:f>
        <x:v>#REF!</x:v>
      </x:c>
      <x:c r="I67" s="345" t="e">
        <x:f>SUMIFS(#REF!,#REF!,매출추이!$A67,#REF!,매출추이!$A$66)</x:f>
        <x:v>#REF!</x:v>
      </x:c>
      <x:c r="J67" s="345" t="e">
        <x:f>SUMIFS(#REF!,#REF!,매출추이!$A67,#REF!,매출추이!$A$66)</x:f>
        <x:v>#REF!</x:v>
      </x:c>
      <x:c r="K67" s="345" t="e">
        <x:f>SUMIFS(#REF!,#REF!,매출추이!$A67,#REF!,매출추이!$A$66)</x:f>
        <x:v>#REF!</x:v>
      </x:c>
      <x:c r="L67" s="345">
        <x:f>SUMIFS('pa data(26년1월)'!$F:$F,'pa data(26년1월)'!$B:$B,매출추이!$A67,'pa data(26년1월)'!$C:$C,매출추이!$A$66)</x:f>
        <x:v>0</x:v>
      </x:c>
      <x:c r="M67" s="345">
        <x:f>SUMIFS('pa data(26년1월)'!$F:$F,'pa data(26년1월)'!$B:$B,매출추이!$A67,'pa data(26년1월)'!$C:$C,매출추이!$A$66)</x:f>
        <x:v>0</x:v>
      </x:c>
      <x:c r="Q67" s="345"/>
    </x:row>
    <x:row r="68" spans="1:17">
      <x:c r="A68" s="343" t="s">
        <x:v>335</x:v>
      </x:c>
      <x:c r="B68" s="345">
        <x:f>SUMIFS('pa data(26년1월)'!$F:$F,'pa data(26년1월)'!$B:$B,매출추이!$A68,'pa data(26년1월)'!$C:$C,매출추이!$A$66)</x:f>
        <x:v>0</x:v>
      </x:c>
      <x:c r="C68" s="345" t="e">
        <x:f>SUMIFS(#REF!,#REF!,매출추이!$A68,#REF!,매출추이!$A$66)</x:f>
        <x:v>#REF!</x:v>
      </x:c>
      <x:c r="D68" s="345" t="e">
        <x:f>SUMIFS(#REF!,#REF!,매출추이!$A68,#REF!,매출추이!$A$66)</x:f>
        <x:v>#REF!</x:v>
      </x:c>
      <x:c r="E68" s="345" t="e">
        <x:f>SUMIFS(#REF!,#REF!,매출추이!$A68,#REF!,매출추이!$A$66)</x:f>
        <x:v>#REF!</x:v>
      </x:c>
      <x:c r="F68" s="345" t="e">
        <x:f>SUMIFS(#REF!,#REF!,매출추이!$A68,#REF!,매출추이!$A$66)</x:f>
        <x:v>#REF!</x:v>
      </x:c>
      <x:c r="G68" s="345" t="e">
        <x:f>SUMIFS(#REF!,#REF!,매출추이!$A68,#REF!,매출추이!$A$66)</x:f>
        <x:v>#REF!</x:v>
      </x:c>
      <x:c r="H68" s="345" t="e">
        <x:f>SUMIFS(#REF!,#REF!,매출추이!$A68,#REF!,매출추이!$A$66)</x:f>
        <x:v>#REF!</x:v>
      </x:c>
      <x:c r="I68" s="345" t="e">
        <x:f>SUMIFS(#REF!,#REF!,매출추이!$A68,#REF!,매출추이!$A$66)</x:f>
        <x:v>#REF!</x:v>
      </x:c>
      <x:c r="J68" s="345" t="e">
        <x:f>SUMIFS(#REF!,#REF!,매출추이!$A68,#REF!,매출추이!$A$66)</x:f>
        <x:v>#REF!</x:v>
      </x:c>
      <x:c r="K68" s="345" t="e">
        <x:f>SUMIFS(#REF!,#REF!,매출추이!$A68,#REF!,매출추이!$A$66)</x:f>
        <x:v>#REF!</x:v>
      </x:c>
      <x:c r="L68" s="345">
        <x:f>SUMIFS('pa data(26년1월)'!$F:$F,'pa data(26년1월)'!$B:$B,매출추이!$A68,'pa data(26년1월)'!$C:$C,매출추이!$A$66)</x:f>
        <x:v>0</x:v>
      </x:c>
      <x:c r="M68" s="345">
        <x:f>SUMIFS('pa data(26년1월)'!$F:$F,'pa data(26년1월)'!$B:$B,매출추이!$A68,'pa data(26년1월)'!$C:$C,매출추이!$A$66)</x:f>
        <x:v>0</x:v>
      </x:c>
      <x:c r="Q68" s="345"/>
    </x:row>
    <x:row r="69" spans="1:17">
      <x:c r="A69" s="343" t="s">
        <x:v>227</x:v>
      </x:c>
      <x:c r="B69" s="345">
        <x:f>SUMIFS('pa data(26년1월)'!$F:$F,'pa data(26년1월)'!$B:$B,매출추이!$A69,'pa data(26년1월)'!$C:$C,매출추이!$A$66)</x:f>
        <x:v>0</x:v>
      </x:c>
      <x:c r="C69" s="345" t="e">
        <x:f>SUMIFS(#REF!,#REF!,매출추이!$A69,#REF!,매출추이!$A$66)</x:f>
        <x:v>#REF!</x:v>
      </x:c>
      <x:c r="D69" s="345" t="e">
        <x:f>SUMIFS(#REF!,#REF!,매출추이!$A69,#REF!,매출추이!$A$66)</x:f>
        <x:v>#REF!</x:v>
      </x:c>
      <x:c r="E69" s="345" t="e">
        <x:f>SUMIFS(#REF!,#REF!,매출추이!$A69,#REF!,매출추이!$A$66)</x:f>
        <x:v>#REF!</x:v>
      </x:c>
      <x:c r="F69" s="345" t="e">
        <x:f>SUMIFS(#REF!,#REF!,매출추이!$A69,#REF!,매출추이!$A$66)</x:f>
        <x:v>#REF!</x:v>
      </x:c>
      <x:c r="G69" s="345" t="e">
        <x:f>SUMIFS(#REF!,#REF!,매출추이!$A69,#REF!,매출추이!$A$66)</x:f>
        <x:v>#REF!</x:v>
      </x:c>
      <x:c r="H69" s="345" t="e">
        <x:f>SUMIFS(#REF!,#REF!,매출추이!$A69,#REF!,매출추이!$A$66)</x:f>
        <x:v>#REF!</x:v>
      </x:c>
      <x:c r="I69" s="345" t="e">
        <x:f>SUMIFS(#REF!,#REF!,매출추이!$A69,#REF!,매출추이!$A$66)</x:f>
        <x:v>#REF!</x:v>
      </x:c>
      <x:c r="J69" s="345" t="e">
        <x:f>SUMIFS(#REF!,#REF!,매출추이!$A69,#REF!,매출추이!$A$66)</x:f>
        <x:v>#REF!</x:v>
      </x:c>
      <x:c r="K69" s="345" t="e">
        <x:f>SUMIFS(#REF!,#REF!,매출추이!$A69,#REF!,매출추이!$A$66)</x:f>
        <x:v>#REF!</x:v>
      </x:c>
      <x:c r="L69" s="345">
        <x:f>SUMIFS('pa data(26년1월)'!$F:$F,'pa data(26년1월)'!$B:$B,매출추이!$A69,'pa data(26년1월)'!$C:$C,매출추이!$A$66)</x:f>
        <x:v>0</x:v>
      </x:c>
      <x:c r="M69" s="345">
        <x:f>SUMIFS('pa data(26년1월)'!$F:$F,'pa data(26년1월)'!$B:$B,매출추이!$A69,'pa data(26년1월)'!$C:$C,매출추이!$A$66)</x:f>
        <x:v>0</x:v>
      </x:c>
      <x:c r="Q69" s="345"/>
    </x:row>
    <x:row r="70" spans="1:17">
      <x:c r="A70" s="343" t="s">
        <x:v>229</x:v>
      </x:c>
      <x:c r="B70" s="345">
        <x:f>SUMIFS('pa data(26년1월)'!$F:$F,'pa data(26년1월)'!$B:$B,매출추이!$A70,'pa data(26년1월)'!$C:$C,매출추이!$A$66)</x:f>
        <x:v>0</x:v>
      </x:c>
      <x:c r="C70" s="345" t="e">
        <x:f>SUMIFS(#REF!,#REF!,매출추이!$A70,#REF!,매출추이!$A$66)</x:f>
        <x:v>#REF!</x:v>
      </x:c>
      <x:c r="D70" s="345" t="e">
        <x:f>SUMIFS(#REF!,#REF!,매출추이!$A70,#REF!,매출추이!$A$66)</x:f>
        <x:v>#REF!</x:v>
      </x:c>
      <x:c r="E70" s="345" t="e">
        <x:f>SUMIFS(#REF!,#REF!,매출추이!$A70,#REF!,매출추이!$A$66)</x:f>
        <x:v>#REF!</x:v>
      </x:c>
      <x:c r="F70" s="345" t="e">
        <x:f>SUMIFS(#REF!,#REF!,매출추이!$A70,#REF!,매출추이!$A$66)</x:f>
        <x:v>#REF!</x:v>
      </x:c>
      <x:c r="G70" s="345" t="e">
        <x:f>SUMIFS(#REF!,#REF!,매출추이!$A70,#REF!,매출추이!$A$66)</x:f>
        <x:v>#REF!</x:v>
      </x:c>
      <x:c r="H70" s="345" t="e">
        <x:f>SUMIFS(#REF!,#REF!,매출추이!$A70,#REF!,매출추이!$A$66)</x:f>
        <x:v>#REF!</x:v>
      </x:c>
      <x:c r="I70" s="345" t="e">
        <x:f>SUMIFS(#REF!,#REF!,매출추이!$A70,#REF!,매출추이!$A$66)</x:f>
        <x:v>#REF!</x:v>
      </x:c>
      <x:c r="J70" s="345" t="e">
        <x:f>SUMIFS(#REF!,#REF!,매출추이!$A70,#REF!,매출추이!$A$66)</x:f>
        <x:v>#REF!</x:v>
      </x:c>
      <x:c r="K70" s="345" t="e">
        <x:f>SUMIFS(#REF!,#REF!,매출추이!$A70,#REF!,매출추이!$A$66)</x:f>
        <x:v>#REF!</x:v>
      </x:c>
      <x:c r="L70" s="345">
        <x:f>SUMIFS('pa data(26년1월)'!$F:$F,'pa data(26년1월)'!$B:$B,매출추이!$A70,'pa data(26년1월)'!$C:$C,매출추이!$A$66)</x:f>
        <x:v>0</x:v>
      </x:c>
      <x:c r="M70" s="345">
        <x:f>SUMIFS('pa data(26년1월)'!$F:$F,'pa data(26년1월)'!$B:$B,매출추이!$A70,'pa data(26년1월)'!$C:$C,매출추이!$A$66)</x:f>
        <x:v>0</x:v>
      </x:c>
      <x:c r="Q70" s="345"/>
    </x:row>
    <x:row r="71" spans="1:17">
      <x:c r="A71" s="343" t="s">
        <x:v>281</x:v>
      </x:c>
      <x:c r="B71" s="345">
        <x:f>SUMIFS('pa data(26년1월)'!$F:$F,'pa data(26년1월)'!$B:$B,매출추이!$A71,'pa data(26년1월)'!$C:$C,매출추이!$A$66)</x:f>
        <x:v>0</x:v>
      </x:c>
      <x:c r="C71" s="345" t="e">
        <x:f>SUMIFS(#REF!,#REF!,매출추이!$A71,#REF!,매출추이!$A$66)</x:f>
        <x:v>#REF!</x:v>
      </x:c>
      <x:c r="D71" s="345" t="e">
        <x:f>SUMIFS(#REF!,#REF!,매출추이!$A71,#REF!,매출추이!$A$66)</x:f>
        <x:v>#REF!</x:v>
      </x:c>
      <x:c r="E71" s="345" t="e">
        <x:f>SUMIFS(#REF!,#REF!,매출추이!$A71,#REF!,매출추이!$A$66)</x:f>
        <x:v>#REF!</x:v>
      </x:c>
      <x:c r="F71" s="345" t="e">
        <x:f>SUMIFS(#REF!,#REF!,매출추이!$A71,#REF!,매출추이!$A$66)</x:f>
        <x:v>#REF!</x:v>
      </x:c>
      <x:c r="G71" s="345" t="e">
        <x:f>SUMIFS(#REF!,#REF!,매출추이!$A71,#REF!,매출추이!$A$66)</x:f>
        <x:v>#REF!</x:v>
      </x:c>
      <x:c r="H71" s="345" t="e">
        <x:f>SUMIFS(#REF!,#REF!,매출추이!$A71,#REF!,매출추이!$A$66)</x:f>
        <x:v>#REF!</x:v>
      </x:c>
      <x:c r="I71" s="345" t="e">
        <x:f>SUMIFS(#REF!,#REF!,매출추이!$A71,#REF!,매출추이!$A$66)</x:f>
        <x:v>#REF!</x:v>
      </x:c>
      <x:c r="J71" s="345" t="e">
        <x:f>SUMIFS(#REF!,#REF!,매출추이!$A71,#REF!,매출추이!$A$66)</x:f>
        <x:v>#REF!</x:v>
      </x:c>
      <x:c r="K71" s="345" t="e">
        <x:f>SUMIFS(#REF!,#REF!,매출추이!$A71,#REF!,매출추이!$A$66)</x:f>
        <x:v>#REF!</x:v>
      </x:c>
      <x:c r="L71" s="345">
        <x:f>SUMIFS('pa data(26년1월)'!$F:$F,'pa data(26년1월)'!$B:$B,매출추이!$A71,'pa data(26년1월)'!$C:$C,매출추이!$A$66)</x:f>
        <x:v>0</x:v>
      </x:c>
      <x:c r="M71" s="345">
        <x:f>SUMIFS('pa data(26년1월)'!$F:$F,'pa data(26년1월)'!$B:$B,매출추이!$A71,'pa data(26년1월)'!$C:$C,매출추이!$A$66)</x:f>
        <x:v>0</x:v>
      </x:c>
      <x:c r="Q71" s="345"/>
    </x:row>
    <x:row r="72" spans="1:17">
      <x:c r="A72" s="343" t="s">
        <x:v>336</x:v>
      </x:c>
      <x:c r="B72" s="345">
        <x:f>SUMIFS('pa data(26년1월)'!$F:$F,'pa data(26년1월)'!$B:$B,매출추이!$A72,'pa data(26년1월)'!$C:$C,매출추이!$A$66)</x:f>
        <x:v>0</x:v>
      </x:c>
      <x:c r="C72" s="345" t="e">
        <x:f>SUMIFS(#REF!,#REF!,매출추이!$A72,#REF!,매출추이!$A$66)</x:f>
        <x:v>#REF!</x:v>
      </x:c>
      <x:c r="D72" s="345" t="e">
        <x:f>SUMIFS(#REF!,#REF!,매출추이!$A72,#REF!,매출추이!$A$66)</x:f>
        <x:v>#REF!</x:v>
      </x:c>
      <x:c r="E72" s="345" t="e">
        <x:f>SUMIFS(#REF!,#REF!,매출추이!$A72,#REF!,매출추이!$A$66)</x:f>
        <x:v>#REF!</x:v>
      </x:c>
      <x:c r="F72" s="345" t="e">
        <x:f>SUMIFS(#REF!,#REF!,매출추이!$A72,#REF!,매출추이!$A$66)</x:f>
        <x:v>#REF!</x:v>
      </x:c>
      <x:c r="G72" s="345" t="e">
        <x:f>SUMIFS(#REF!,#REF!,매출추이!$A72,#REF!,매출추이!$A$66)</x:f>
        <x:v>#REF!</x:v>
      </x:c>
      <x:c r="H72" s="345" t="e">
        <x:f>SUMIFS(#REF!,#REF!,매출추이!$A72,#REF!,매출추이!$A$66)</x:f>
        <x:v>#REF!</x:v>
      </x:c>
      <x:c r="I72" s="345" t="e">
        <x:f>SUMIFS(#REF!,#REF!,매출추이!$A72,#REF!,매출추이!$A$66)</x:f>
        <x:v>#REF!</x:v>
      </x:c>
      <x:c r="J72" s="345" t="e">
        <x:f>SUMIFS(#REF!,#REF!,매출추이!$A72,#REF!,매출추이!$A$66)</x:f>
        <x:v>#REF!</x:v>
      </x:c>
      <x:c r="K72" s="345" t="e">
        <x:f>SUMIFS(#REF!,#REF!,매출추이!$A72,#REF!,매출추이!$A$66)</x:f>
        <x:v>#REF!</x:v>
      </x:c>
      <x:c r="L72" s="345">
        <x:f>SUMIFS('pa data(26년1월)'!$F:$F,'pa data(26년1월)'!$B:$B,매출추이!$A72,'pa data(26년1월)'!$C:$C,매출추이!$A$66)</x:f>
        <x:v>0</x:v>
      </x:c>
      <x:c r="M72" s="345">
        <x:f>SUMIFS('pa data(26년1월)'!$F:$F,'pa data(26년1월)'!$B:$B,매출추이!$A72,'pa data(26년1월)'!$C:$C,매출추이!$A$66)</x:f>
        <x:v>0</x:v>
      </x:c>
      <x:c r="Q72" s="345"/>
    </x:row>
    <x:row r="73" spans="1:17">
      <x:c r="A73" s="343" t="s">
        <x:v>337</x:v>
      </x:c>
      <x:c r="B73" s="345">
        <x:f>SUMIFS('pa data(26년1월)'!$F:$F,'pa data(26년1월)'!$B:$B,매출추이!$A73,'pa data(26년1월)'!$C:$C,매출추이!$A$66)</x:f>
        <x:v>0</x:v>
      </x:c>
      <x:c r="C73" s="345" t="e">
        <x:f>SUMIFS(#REF!,#REF!,매출추이!$A73,#REF!,매출추이!$A$66)</x:f>
        <x:v>#REF!</x:v>
      </x:c>
      <x:c r="D73" s="345" t="e">
        <x:f>SUMIFS(#REF!,#REF!,매출추이!$A73,#REF!,매출추이!$A$66)</x:f>
        <x:v>#REF!</x:v>
      </x:c>
      <x:c r="E73" s="345" t="e">
        <x:f>SUMIFS(#REF!,#REF!,매출추이!$A73,#REF!,매출추이!$A$66)</x:f>
        <x:v>#REF!</x:v>
      </x:c>
      <x:c r="F73" s="345" t="e">
        <x:f>SUMIFS(#REF!,#REF!,매출추이!$A73,#REF!,매출추이!$A$66)</x:f>
        <x:v>#REF!</x:v>
      </x:c>
      <x:c r="G73" s="345" t="e">
        <x:f>SUMIFS(#REF!,#REF!,매출추이!$A73,#REF!,매출추이!$A$66)</x:f>
        <x:v>#REF!</x:v>
      </x:c>
      <x:c r="H73" s="345" t="e">
        <x:f>SUMIFS(#REF!,#REF!,매출추이!$A73,#REF!,매출추이!$A$66)</x:f>
        <x:v>#REF!</x:v>
      </x:c>
      <x:c r="I73" s="345" t="e">
        <x:f>SUMIFS(#REF!,#REF!,매출추이!$A73,#REF!,매출추이!$A$66)</x:f>
        <x:v>#REF!</x:v>
      </x:c>
      <x:c r="J73" s="345" t="e">
        <x:f>SUMIFS(#REF!,#REF!,매출추이!$A73,#REF!,매출추이!$A$66)</x:f>
        <x:v>#REF!</x:v>
      </x:c>
      <x:c r="K73" s="345" t="e">
        <x:f>SUMIFS(#REF!,#REF!,매출추이!$A73,#REF!,매출추이!$A$66)</x:f>
        <x:v>#REF!</x:v>
      </x:c>
      <x:c r="L73" s="345">
        <x:f>SUMIFS('pa data(26년1월)'!$F:$F,'pa data(26년1월)'!$B:$B,매출추이!$A73,'pa data(26년1월)'!$C:$C,매출추이!$A$66)</x:f>
        <x:v>0</x:v>
      </x:c>
      <x:c r="M73" s="345">
        <x:f>SUMIFS('pa data(26년1월)'!$F:$F,'pa data(26년1월)'!$B:$B,매출추이!$A73,'pa data(26년1월)'!$C:$C,매출추이!$A$66)</x:f>
        <x:v>0</x:v>
      </x:c>
      <x:c r="Q73" s="345"/>
    </x:row>
    <x:row r="74" spans="1:17">
      <x:c r="A74" s="343" t="s">
        <x:v>349</x:v>
      </x:c>
      <x:c r="B74" s="345">
        <x:f>SUMIFS('pa data(26년1월)'!$F:$F,'pa data(26년1월)'!$B:$B,매출추이!$A74,'pa data(26년1월)'!$C:$C,매출추이!$A$66)</x:f>
        <x:v>0</x:v>
      </x:c>
      <x:c r="C74" s="345" t="e">
        <x:f>SUMIFS(#REF!,#REF!,매출추이!$A74,#REF!,매출추이!$A$66)</x:f>
        <x:v>#REF!</x:v>
      </x:c>
      <x:c r="D74" s="345" t="e">
        <x:f>SUMIFS(#REF!,#REF!,매출추이!$A74,#REF!,매출추이!$A$66)</x:f>
        <x:v>#REF!</x:v>
      </x:c>
      <x:c r="E74" s="345" t="e">
        <x:f>SUMIFS(#REF!,#REF!,매출추이!$A74,#REF!,매출추이!$A$66)</x:f>
        <x:v>#REF!</x:v>
      </x:c>
      <x:c r="F74" s="345" t="e">
        <x:f>SUMIFS(#REF!,#REF!,매출추이!$A74,#REF!,매출추이!$A$66)</x:f>
        <x:v>#REF!</x:v>
      </x:c>
      <x:c r="G74" s="345" t="e">
        <x:f>SUMIFS(#REF!,#REF!,매출추이!$A74,#REF!,매출추이!$A$66)</x:f>
        <x:v>#REF!</x:v>
      </x:c>
      <x:c r="H74" s="345" t="e">
        <x:f>SUMIFS(#REF!,#REF!,매출추이!$A74,#REF!,매출추이!$A$66)</x:f>
        <x:v>#REF!</x:v>
      </x:c>
      <x:c r="I74" s="345" t="e">
        <x:f>SUMIFS(#REF!,#REF!,매출추이!$A74,#REF!,매출추이!$A$66)</x:f>
        <x:v>#REF!</x:v>
      </x:c>
      <x:c r="J74" s="345" t="e">
        <x:f>SUMIFS(#REF!,#REF!,매출추이!$A74,#REF!,매출추이!$A$66)</x:f>
        <x:v>#REF!</x:v>
      </x:c>
      <x:c r="K74" s="345" t="e">
        <x:f>SUMIFS(#REF!,#REF!,매출추이!$A74,#REF!,매출추이!$A$66)</x:f>
        <x:v>#REF!</x:v>
      </x:c>
      <x:c r="L74" s="345">
        <x:f>SUMIFS('pa data(26년1월)'!$F:$F,'pa data(26년1월)'!$B:$B,매출추이!$A74,'pa data(26년1월)'!$C:$C,매출추이!$A$66)</x:f>
        <x:v>0</x:v>
      </x:c>
      <x:c r="M74" s="345">
        <x:f>SUMIFS('pa data(26년1월)'!$F:$F,'pa data(26년1월)'!$B:$B,매출추이!$A74,'pa data(26년1월)'!$C:$C,매출추이!$A$66)</x:f>
        <x:v>0</x:v>
      </x:c>
      <x:c r="Q74" s="345"/>
    </x:row>
    <x:row r="75" spans="1:17">
      <x:c r="A75" s="343" t="s">
        <x:v>340</x:v>
      </x:c>
      <x:c r="B75" s="345">
        <x:f>SUMIFS('pa data(26년1월)'!$F:$F,'pa data(26년1월)'!$B:$B,매출추이!$A75,'pa data(26년1월)'!$C:$C,매출추이!$A$66)</x:f>
        <x:v>0</x:v>
      </x:c>
      <x:c r="C75" s="345" t="e">
        <x:f>SUMIFS(#REF!,#REF!,매출추이!$A75,#REF!,매출추이!$A$66)</x:f>
        <x:v>#REF!</x:v>
      </x:c>
      <x:c r="D75" s="345" t="e">
        <x:f>SUMIFS(#REF!,#REF!,매출추이!$A75,#REF!,매출추이!$A$66)</x:f>
        <x:v>#REF!</x:v>
      </x:c>
      <x:c r="E75" s="345" t="e">
        <x:f>SUMIFS(#REF!,#REF!,매출추이!$A75,#REF!,매출추이!$A$66)</x:f>
        <x:v>#REF!</x:v>
      </x:c>
      <x:c r="F75" s="345" t="e">
        <x:f>SUMIFS(#REF!,#REF!,매출추이!$A75,#REF!,매출추이!$A$66)</x:f>
        <x:v>#REF!</x:v>
      </x:c>
      <x:c r="G75" s="345" t="e">
        <x:f>SUMIFS(#REF!,#REF!,매출추이!$A75,#REF!,매출추이!$A$66)</x:f>
        <x:v>#REF!</x:v>
      </x:c>
      <x:c r="H75" s="345" t="e">
        <x:f>SUMIFS(#REF!,#REF!,매출추이!$A75,#REF!,매출추이!$A$66)</x:f>
        <x:v>#REF!</x:v>
      </x:c>
      <x:c r="I75" s="345" t="e">
        <x:f>SUMIFS(#REF!,#REF!,매출추이!$A75,#REF!,매출추이!$A$66)</x:f>
        <x:v>#REF!</x:v>
      </x:c>
      <x:c r="J75" s="345" t="e">
        <x:f>SUMIFS(#REF!,#REF!,매출추이!$A75,#REF!,매출추이!$A$66)</x:f>
        <x:v>#REF!</x:v>
      </x:c>
      <x:c r="K75" s="345" t="e">
        <x:f>SUMIFS(#REF!,#REF!,매출추이!$A75,#REF!,매출추이!$A$66)</x:f>
        <x:v>#REF!</x:v>
      </x:c>
      <x:c r="L75" s="345">
        <x:f>SUMIFS('pa data(26년1월)'!$F:$F,'pa data(26년1월)'!$B:$B,매출추이!$A75,'pa data(26년1월)'!$C:$C,매출추이!$A$66)</x:f>
        <x:v>0</x:v>
      </x:c>
      <x:c r="M75" s="345">
        <x:f>SUMIFS('pa data(26년1월)'!$F:$F,'pa data(26년1월)'!$B:$B,매출추이!$A75,'pa data(26년1월)'!$C:$C,매출추이!$A$66)</x:f>
        <x:v>0</x:v>
      </x:c>
      <x:c r="Q75" s="345"/>
    </x:row>
    <x:row r="76" spans="1:17">
      <x:c r="A76" s="343" t="s">
        <x:v>341</x:v>
      </x:c>
      <x:c r="B76" s="345">
        <x:f>SUMIFS('pa data(26년1월)'!$F:$F,'pa data(26년1월)'!$B:$B,매출추이!$A76,'pa data(26년1월)'!$C:$C,매출추이!$A$66)</x:f>
        <x:v>0</x:v>
      </x:c>
      <x:c r="C76" s="345" t="e">
        <x:f>SUMIFS(#REF!,#REF!,매출추이!$A76,#REF!,매출추이!$A$66)</x:f>
        <x:v>#REF!</x:v>
      </x:c>
      <x:c r="D76" s="345" t="e">
        <x:f>SUMIFS(#REF!,#REF!,매출추이!$A76,#REF!,매출추이!$A$66)</x:f>
        <x:v>#REF!</x:v>
      </x:c>
      <x:c r="E76" s="345" t="e">
        <x:f>SUMIFS(#REF!,#REF!,매출추이!$A76,#REF!,매출추이!$A$66)</x:f>
        <x:v>#REF!</x:v>
      </x:c>
      <x:c r="F76" s="345" t="e">
        <x:f>SUMIFS(#REF!,#REF!,매출추이!$A76,#REF!,매출추이!$A$66)</x:f>
        <x:v>#REF!</x:v>
      </x:c>
      <x:c r="G76" s="345" t="e">
        <x:f>SUMIFS(#REF!,#REF!,매출추이!$A76,#REF!,매출추이!$A$66)</x:f>
        <x:v>#REF!</x:v>
      </x:c>
      <x:c r="H76" s="345" t="e">
        <x:f>SUMIFS(#REF!,#REF!,매출추이!$A76,#REF!,매출추이!$A$66)</x:f>
        <x:v>#REF!</x:v>
      </x:c>
      <x:c r="I76" s="345" t="e">
        <x:f>SUMIFS(#REF!,#REF!,매출추이!$A76,#REF!,매출추이!$A$66)</x:f>
        <x:v>#REF!</x:v>
      </x:c>
      <x:c r="J76" s="345" t="e">
        <x:f>SUMIFS(#REF!,#REF!,매출추이!$A76,#REF!,매출추이!$A$66)</x:f>
        <x:v>#REF!</x:v>
      </x:c>
      <x:c r="K76" s="345" t="e">
        <x:f>SUMIFS(#REF!,#REF!,매출추이!$A76,#REF!,매출추이!$A$66)</x:f>
        <x:v>#REF!</x:v>
      </x:c>
      <x:c r="L76" s="345">
        <x:f>SUMIFS('pa data(26년1월)'!$F:$F,'pa data(26년1월)'!$B:$B,매출추이!$A76,'pa data(26년1월)'!$C:$C,매출추이!$A$66)</x:f>
        <x:v>0</x:v>
      </x:c>
      <x:c r="M76" s="345">
        <x:f>SUMIFS('pa data(26년1월)'!$F:$F,'pa data(26년1월)'!$B:$B,매출추이!$A76,'pa data(26년1월)'!$C:$C,매출추이!$A$66)</x:f>
        <x:v>0</x:v>
      </x:c>
      <x:c r="Q76" s="345"/>
    </x:row>
    <x:row r="77" spans="1:17">
      <x:c r="A77" s="343" t="s">
        <x:v>353</x:v>
      </x:c>
      <x:c r="B77" s="345">
        <x:f>SUMIFS('pa data(26년1월)'!$F:$F,'pa data(26년1월)'!$B:$B,매출추이!$A77,'pa data(26년1월)'!$C:$C,매출추이!$A$66)</x:f>
        <x:v>0</x:v>
      </x:c>
      <x:c r="C77" s="345" t="e">
        <x:f>SUMIFS(#REF!,#REF!,매출추이!$A77,#REF!,매출추이!$A$66)</x:f>
        <x:v>#REF!</x:v>
      </x:c>
      <x:c r="D77" s="345" t="e">
        <x:f>SUMIFS(#REF!,#REF!,매출추이!$A77,#REF!,매출추이!$A$66)</x:f>
        <x:v>#REF!</x:v>
      </x:c>
      <x:c r="E77" s="345" t="e">
        <x:f>SUMIFS(#REF!,#REF!,매출추이!$A77,#REF!,매출추이!$A$66)</x:f>
        <x:v>#REF!</x:v>
      </x:c>
      <x:c r="F77" s="345" t="e">
        <x:f>SUMIFS(#REF!,#REF!,매출추이!$A77,#REF!,매출추이!$A$66)</x:f>
        <x:v>#REF!</x:v>
      </x:c>
      <x:c r="G77" s="345" t="e">
        <x:f>SUMIFS(#REF!,#REF!,매출추이!$A77,#REF!,매출추이!$A$66)</x:f>
        <x:v>#REF!</x:v>
      </x:c>
      <x:c r="H77" s="345" t="e">
        <x:f>SUMIFS(#REF!,#REF!,매출추이!$A77,#REF!,매출추이!$A$66)</x:f>
        <x:v>#REF!</x:v>
      </x:c>
      <x:c r="I77" s="345" t="e">
        <x:f>SUMIFS(#REF!,#REF!,매출추이!$A77,#REF!,매출추이!$A$66)</x:f>
        <x:v>#REF!</x:v>
      </x:c>
      <x:c r="J77" s="345" t="e">
        <x:f>SUMIFS(#REF!,#REF!,매출추이!$A77,#REF!,매출추이!$A$66)</x:f>
        <x:v>#REF!</x:v>
      </x:c>
      <x:c r="K77" s="345" t="e">
        <x:f>SUMIFS(#REF!,#REF!,매출추이!$A77,#REF!,매출추이!$A$66)</x:f>
        <x:v>#REF!</x:v>
      </x:c>
      <x:c r="L77" s="345">
        <x:f>SUMIFS('pa data(26년1월)'!$F:$F,'pa data(26년1월)'!$B:$B,매출추이!$A77,'pa data(26년1월)'!$C:$C,매출추이!$A$66)</x:f>
        <x:v>0</x:v>
      </x:c>
      <x:c r="M77" s="345">
        <x:f>SUMIFS('pa data(26년1월)'!$F:$F,'pa data(26년1월)'!$B:$B,매출추이!$A77,'pa data(26년1월)'!$C:$C,매출추이!$A$66)</x:f>
        <x:v>0</x:v>
      </x:c>
      <x:c r="Q77" s="345"/>
    </x:row>
    <x:row r="78" spans="1:17">
      <x:c r="A78" s="343" t="s">
        <x:v>354</x:v>
      </x:c>
      <x:c r="B78" s="345">
        <x:f>SUMIFS('pa data(26년1월)'!$F:$F,'pa data(26년1월)'!$B:$B,매출추이!$A78,'pa data(26년1월)'!$C:$C,매출추이!$A$66)</x:f>
        <x:v>0</x:v>
      </x:c>
      <x:c r="C78" s="345" t="e">
        <x:f>SUMIFS(#REF!,#REF!,매출추이!$A78,#REF!,매출추이!$A$66)</x:f>
        <x:v>#REF!</x:v>
      </x:c>
      <x:c r="D78" s="345" t="e">
        <x:f>SUMIFS(#REF!,#REF!,매출추이!$A78,#REF!,매출추이!$A$66)</x:f>
        <x:v>#REF!</x:v>
      </x:c>
      <x:c r="E78" s="345" t="e">
        <x:f>SUMIFS(#REF!,#REF!,매출추이!$A78,#REF!,매출추이!$A$66)</x:f>
        <x:v>#REF!</x:v>
      </x:c>
      <x:c r="F78" s="345" t="e">
        <x:f>SUMIFS(#REF!,#REF!,매출추이!$A78,#REF!,매출추이!$A$66)</x:f>
        <x:v>#REF!</x:v>
      </x:c>
      <x:c r="G78" s="345" t="e">
        <x:f>SUMIFS(#REF!,#REF!,매출추이!$A78,#REF!,매출추이!$A$66)</x:f>
        <x:v>#REF!</x:v>
      </x:c>
      <x:c r="H78" s="345" t="e">
        <x:f>SUMIFS(#REF!,#REF!,매출추이!$A78,#REF!,매출추이!$A$66)</x:f>
        <x:v>#REF!</x:v>
      </x:c>
      <x:c r="I78" s="345" t="e">
        <x:f>SUMIFS(#REF!,#REF!,매출추이!$A78,#REF!,매출추이!$A$66)</x:f>
        <x:v>#REF!</x:v>
      </x:c>
      <x:c r="J78" s="345" t="e">
        <x:f>SUMIFS(#REF!,#REF!,매출추이!$A78,#REF!,매출추이!$A$66)</x:f>
        <x:v>#REF!</x:v>
      </x:c>
      <x:c r="K78" s="345" t="e">
        <x:f>SUMIFS(#REF!,#REF!,매출추이!$A78,#REF!,매출추이!$A$66)</x:f>
        <x:v>#REF!</x:v>
      </x:c>
      <x:c r="L78" s="345">
        <x:f>SUMIFS('pa data(26년1월)'!$F:$F,'pa data(26년1월)'!$B:$B,매출추이!$A78,'pa data(26년1월)'!$C:$C,매출추이!$A$66)</x:f>
        <x:v>0</x:v>
      </x:c>
      <x:c r="M78" s="345">
        <x:f>SUMIFS('pa data(26년1월)'!$F:$F,'pa data(26년1월)'!$B:$B,매출추이!$A78,'pa data(26년1월)'!$C:$C,매출추이!$A$66)</x:f>
        <x:v>0</x:v>
      </x:c>
      <x:c r="Q78" s="345"/>
    </x:row>
    <x:row r="79" spans="1:17">
      <x:c r="A79" s="343" t="s">
        <x:v>355</x:v>
      </x:c>
      <x:c r="B79" s="345">
        <x:f>SUMIFS('pa data(26년1월)'!$F:$F,'pa data(26년1월)'!$B:$B,매출추이!$A79,'pa data(26년1월)'!$C:$C,매출추이!$A$66)</x:f>
        <x:v>0</x:v>
      </x:c>
      <x:c r="C79" s="345" t="e">
        <x:f>SUMIFS(#REF!,#REF!,매출추이!$A79,#REF!,매출추이!$A$66)</x:f>
        <x:v>#REF!</x:v>
      </x:c>
      <x:c r="D79" s="345" t="e">
        <x:f>SUMIFS(#REF!,#REF!,매출추이!$A79,#REF!,매출추이!$A$66)</x:f>
        <x:v>#REF!</x:v>
      </x:c>
      <x:c r="E79" s="345" t="e">
        <x:f>SUMIFS(#REF!,#REF!,매출추이!$A79,#REF!,매출추이!$A$66)</x:f>
        <x:v>#REF!</x:v>
      </x:c>
      <x:c r="F79" s="345" t="e">
        <x:f>SUMIFS(#REF!,#REF!,매출추이!$A79,#REF!,매출추이!$A$66)</x:f>
        <x:v>#REF!</x:v>
      </x:c>
      <x:c r="G79" s="345" t="e">
        <x:f>SUMIFS(#REF!,#REF!,매출추이!$A79,#REF!,매출추이!$A$66)</x:f>
        <x:v>#REF!</x:v>
      </x:c>
      <x:c r="H79" s="345" t="e">
        <x:f>SUMIFS(#REF!,#REF!,매출추이!$A79,#REF!,매출추이!$A$66)</x:f>
        <x:v>#REF!</x:v>
      </x:c>
      <x:c r="I79" s="345" t="e">
        <x:f>SUMIFS(#REF!,#REF!,매출추이!$A79,#REF!,매출추이!$A$66)</x:f>
        <x:v>#REF!</x:v>
      </x:c>
      <x:c r="J79" s="345" t="e">
        <x:f>SUMIFS(#REF!,#REF!,매출추이!$A79,#REF!,매출추이!$A$66)</x:f>
        <x:v>#REF!</x:v>
      </x:c>
      <x:c r="K79" s="345" t="e">
        <x:f>SUMIFS(#REF!,#REF!,매출추이!$A79,#REF!,매출추이!$A$66)</x:f>
        <x:v>#REF!</x:v>
      </x:c>
      <x:c r="L79" s="345">
        <x:f>SUMIFS('pa data(26년1월)'!$F:$F,'pa data(26년1월)'!$B:$B,매출추이!$A79,'pa data(26년1월)'!$C:$C,매출추이!$A$66)</x:f>
        <x:v>0</x:v>
      </x:c>
      <x:c r="M79" s="345">
        <x:f>SUMIFS('pa data(26년1월)'!$F:$F,'pa data(26년1월)'!$B:$B,매출추이!$A79,'pa data(26년1월)'!$C:$C,매출추이!$A$66)</x:f>
        <x:v>0</x:v>
      </x:c>
      <x:c r="Q79" s="345"/>
    </x:row>
    <x:row r="80" spans="1:17">
      <x:c r="A80" s="343" t="s">
        <x:v>356</x:v>
      </x:c>
      <x:c r="B80" s="345">
        <x:f>SUMIFS('pa data(26년1월)'!$F:$F,'pa data(26년1월)'!$B:$B,매출추이!$A80,'pa data(26년1월)'!$C:$C,매출추이!$A$66)</x:f>
        <x:v>0</x:v>
      </x:c>
      <x:c r="C80" s="345" t="e">
        <x:f>SUMIFS(#REF!,#REF!,매출추이!$A80,#REF!,매출추이!$A$66)</x:f>
        <x:v>#REF!</x:v>
      </x:c>
      <x:c r="D80" s="345" t="e">
        <x:f>SUMIFS(#REF!,#REF!,매출추이!$A80,#REF!,매출추이!$A$66)</x:f>
        <x:v>#REF!</x:v>
      </x:c>
      <x:c r="E80" s="345" t="e">
        <x:f>SUMIFS(#REF!,#REF!,매출추이!$A80,#REF!,매출추이!$A$66)</x:f>
        <x:v>#REF!</x:v>
      </x:c>
      <x:c r="F80" s="345" t="e">
        <x:f>SUMIFS(#REF!,#REF!,매출추이!$A80,#REF!,매출추이!$A$66)</x:f>
        <x:v>#REF!</x:v>
      </x:c>
      <x:c r="G80" s="345" t="e">
        <x:f>SUMIFS(#REF!,#REF!,매출추이!$A80,#REF!,매출추이!$A$66)</x:f>
        <x:v>#REF!</x:v>
      </x:c>
      <x:c r="H80" s="345" t="e">
        <x:f>SUMIFS(#REF!,#REF!,매출추이!$A80,#REF!,매출추이!$A$66)</x:f>
        <x:v>#REF!</x:v>
      </x:c>
      <x:c r="I80" s="345" t="e">
        <x:f>SUMIFS(#REF!,#REF!,매출추이!$A80,#REF!,매출추이!$A$66)</x:f>
        <x:v>#REF!</x:v>
      </x:c>
      <x:c r="J80" s="345" t="e">
        <x:f>SUMIFS(#REF!,#REF!,매출추이!$A80,#REF!,매출추이!$A$66)</x:f>
        <x:v>#REF!</x:v>
      </x:c>
      <x:c r="K80" s="345" t="e">
        <x:f>SUMIFS(#REF!,#REF!,매출추이!$A80,#REF!,매출추이!$A$66)</x:f>
        <x:v>#REF!</x:v>
      </x:c>
      <x:c r="L80" s="345">
        <x:f>SUMIFS('pa data(26년1월)'!$F:$F,'pa data(26년1월)'!$B:$B,매출추이!$A80,'pa data(26년1월)'!$C:$C,매출추이!$A$66)</x:f>
        <x:v>0</x:v>
      </x:c>
      <x:c r="M80" s="345">
        <x:f>SUMIFS('pa data(26년1월)'!$F:$F,'pa data(26년1월)'!$B:$B,매출추이!$A80,'pa data(26년1월)'!$C:$C,매출추이!$A$66)</x:f>
        <x:v>0</x:v>
      </x:c>
      <x:c r="Q80" s="345"/>
    </x:row>
    <x:row r="81" spans="1:17">
      <x:c r="A81" s="343" t="s">
        <x:v>359</x:v>
      </x:c>
      <x:c r="B81" s="345">
        <x:f>SUMIFS('pa data(26년1월)'!$F:$F,'pa data(26년1월)'!$B:$B,매출추이!$A81,'pa data(26년1월)'!$C:$C,매출추이!$A$66)</x:f>
        <x:v>0</x:v>
      </x:c>
      <x:c r="C81" s="345" t="e">
        <x:f>SUMIFS(#REF!,#REF!,매출추이!$A81,#REF!,매출추이!$A$66)</x:f>
        <x:v>#REF!</x:v>
      </x:c>
      <x:c r="D81" s="345" t="e">
        <x:f>SUMIFS(#REF!,#REF!,매출추이!$A81,#REF!,매출추이!$A$66)</x:f>
        <x:v>#REF!</x:v>
      </x:c>
      <x:c r="E81" s="345" t="e">
        <x:f>SUMIFS(#REF!,#REF!,매출추이!$A81,#REF!,매출추이!$A$66)</x:f>
        <x:v>#REF!</x:v>
      </x:c>
      <x:c r="F81" s="345" t="e">
        <x:f>SUMIFS(#REF!,#REF!,매출추이!$A81,#REF!,매출추이!$A$66)</x:f>
        <x:v>#REF!</x:v>
      </x:c>
      <x:c r="G81" s="345" t="e">
        <x:f>SUMIFS(#REF!,#REF!,매출추이!$A81,#REF!,매출추이!$A$66)</x:f>
        <x:v>#REF!</x:v>
      </x:c>
      <x:c r="H81" s="345" t="e">
        <x:f>SUMIFS(#REF!,#REF!,매출추이!$A81,#REF!,매출추이!$A$66)</x:f>
        <x:v>#REF!</x:v>
      </x:c>
      <x:c r="I81" s="345" t="e">
        <x:f>SUMIFS(#REF!,#REF!,매출추이!$A81,#REF!,매출추이!$A$66)</x:f>
        <x:v>#REF!</x:v>
      </x:c>
      <x:c r="J81" s="345" t="e">
        <x:f>SUMIFS(#REF!,#REF!,매출추이!$A81,#REF!,매출추이!$A$66)</x:f>
        <x:v>#REF!</x:v>
      </x:c>
      <x:c r="K81" s="345" t="e">
        <x:f>SUMIFS(#REF!,#REF!,매출추이!$A81,#REF!,매출추이!$A$66)</x:f>
        <x:v>#REF!</x:v>
      </x:c>
      <x:c r="L81" s="345">
        <x:f>SUMIFS('pa data(26년1월)'!$F:$F,'pa data(26년1월)'!$B:$B,매출추이!$A81,'pa data(26년1월)'!$C:$C,매출추이!$A$66)</x:f>
        <x:v>0</x:v>
      </x:c>
      <x:c r="M81" s="345">
        <x:f>SUMIFS('pa data(26년1월)'!$F:$F,'pa data(26년1월)'!$B:$B,매출추이!$A81,'pa data(26년1월)'!$C:$C,매출추이!$A$66)</x:f>
        <x:v>0</x:v>
      </x:c>
      <x:c r="Q81" s="345"/>
    </x:row>
  </x:sheetData>
  <x:phoneticPr fontId="7" type="noConversion"/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A132630-88FD-49DB-A1C9-7AA9BE93D7B3}" mc:Ignorable="x14ac xr xr2 xr3">
  <x:sheetPr>
    <x:tabColor theme="2" tint="-9.9978637043366805E-2"/>
  </x:sheetPr>
  <x:dimension ref="B1:L80"/>
  <x:sheetViews>
    <x:sheetView showGridLines="0" zoomScale="70" zoomScaleNormal="70" workbookViewId="0">
      <x:pane xSplit="2" ySplit="5" topLeftCell="C6" activePane="bottomRight" state="frozen"/>
      <x:selection activeCell="W34" sqref="W34"/>
      <x:selection pane="topRight" activeCell="W34" sqref="W34"/>
      <x:selection pane="bottomLeft" activeCell="W34" sqref="W34"/>
      <x:selection pane="bottomRight" activeCell="W34" sqref="W34"/>
    </x:sheetView>
  </x:sheetViews>
  <x:sheetFormatPr defaultColWidth="8.85546875" defaultRowHeight="13.5" outlineLevelCol="1"/>
  <x:cols>
    <x:col min="1" max="1" width="1.42578125" style="13" customWidth="1"/>
    <x:col min="2" max="2" width="24.85546875" style="13" customWidth="1"/>
    <x:col min="3" max="3" width="19.140625" style="14" customWidth="1" outlineLevel="1"/>
    <x:col min="4" max="4" width="16.85546875" style="14" customWidth="1" outlineLevel="1"/>
    <x:col min="5" max="5" width="14.5703125" style="14" customWidth="1" outlineLevel="1"/>
    <x:col min="6" max="6" width="15.85546875" style="14" customWidth="1" outlineLevel="1"/>
    <x:col min="7" max="7" width="66.5703125" style="14" customWidth="1" outlineLevel="1"/>
    <x:col min="8" max="8" width="24.42578125" style="13" bestFit="1" customWidth="1"/>
    <x:col min="9" max="9" width="15.85546875" style="13" bestFit="1" customWidth="1"/>
    <x:col min="10" max="10" width="15.5703125" style="13" customWidth="1"/>
    <x:col min="11" max="11" width="14.42578125" style="13" customWidth="1"/>
    <x:col min="12" max="12" width="19" style="13" customWidth="1"/>
    <x:col min="13" max="16384" width="8.85546875" style="13"/>
  </x:cols>
  <x:sheetData>
    <x:row r="1" spans="2:12">
      <x:c r="C1" s="331"/>
      <x:c r="D1" s="331"/>
      <x:c r="E1" s="331"/>
      <x:c r="F1" s="331"/>
      <x:c r="G1" s="331"/>
    </x:row>
    <x:row r="2" spans="2:12" ht="12.75" customHeight="1"/>
    <x:row r="3" spans="2:12" ht="27.6" customHeight="1">
      <x:c r="B3" s="15"/>
    </x:row>
    <x:row r="4" spans="2:12" ht="14.45" customHeight="1">
      <x:c r="C4" s="13"/>
      <x:c r="D4" s="13"/>
    </x:row>
    <x:row r="5" spans="2:12" ht="25.7" customHeight="1">
      <x:c r="B5" s="355" t="s">
        <x:v>21</x:v>
      </x:c>
      <x:c r="C5" s="355" t="s">
        <x:v>296</x:v>
      </x:c>
      <x:c r="D5" s="355" t="s">
        <x:v>394</x:v>
      </x:c>
      <x:c r="E5" s="355" t="s">
        <x:v>390</x:v>
      </x:c>
      <x:c r="F5" s="355" t="s">
        <x:v>391</x:v>
      </x:c>
      <x:c r="G5" s="355" t="s">
        <x:v>374</x:v>
      </x:c>
    </x:row>
    <x:row r="6" spans="2:12" s="6" customFormat="1" ht="20.45" customHeight="1">
      <x:c r="B6" s="19" t="s">
        <x:v>22</x:v>
      </x:c>
      <x:c r="C6" s="20">
        <x:f>SUM(C7:C10)</x:f>
        <x:v>2666.7969781995098</x:v>
      </x:c>
      <x:c r="D6" s="20">
        <x:f t="shared" ref="D6" si="0">SUM(D7:D10)</x:f>
        <x:v>0</x:v>
      </x:c>
      <x:c r="E6" s="20">
        <x:f>D6-C6</x:f>
        <x:v>-2666.7969781995098</x:v>
      </x:c>
      <x:c r="F6" s="358">
        <x:f>D6/C6-1</x:f>
        <x:v>-1</x:v>
      </x:c>
      <x:c r="G6" s="20"/>
    </x:row>
    <x:row r="7" spans="2:12">
      <x:c r="B7" s="13" t="s">
        <x:v>183</x:v>
      </x:c>
      <x:c r="C7" s="14">
        <x:f>'(계획)손익계산서 월별계획'!N7/1000000</x:f>
        <x:v>0</x:v>
      </x:c>
      <x:c r="D7" s="161">
        <x:f>'3. 손익계산서 월별실적'!N7/1000000</x:f>
        <x:v>0</x:v>
      </x:c>
      <x:c r="E7" s="14">
        <x:f t="shared" ref="E7:E68" si="1">D7-C7</x:f>
        <x:v>0</x:v>
      </x:c>
      <x:c r="F7" s="49" t="e">
        <x:f t="shared" ref="F7:F68" si="2">D7/C7-1</x:f>
        <x:v>#DIV/0!</x:v>
      </x:c>
    </x:row>
    <x:row r="8" spans="2:12">
      <x:c r="B8" s="13" t="s">
        <x:v>330</x:v>
      </x:c>
      <x:c r="C8" s="14">
        <x:f>'(계획)손익계산서 월별계획'!N8/1000000</x:f>
        <x:v>771.41868399999998</x:v>
      </x:c>
      <x:c r="D8" s="161">
        <x:f>'3. 손익계산서 월별실적'!N8/1000000</x:f>
        <x:v>0</x:v>
      </x:c>
      <x:c r="E8" s="14">
        <x:f t="shared" si="1"/>
        <x:v>-771.41868399999998</x:v>
      </x:c>
      <x:c r="F8" s="49">
        <x:f t="shared" si="2"/>
        <x:v>-1</x:v>
      </x:c>
      <x:c r="J8" s="6"/>
      <x:c r="K8" s="6"/>
      <x:c r="L8" s="6"/>
    </x:row>
    <x:row r="9" spans="2:12">
      <x:c r="B9" s="13" t="s">
        <x:v>5</x:v>
      </x:c>
      <x:c r="C9" s="14">
        <x:f>'(계획)손익계산서 월별계획'!N9/1000000</x:f>
        <x:v>1895.3782941995096</x:v>
      </x:c>
      <x:c r="D9" s="14">
        <x:f>'3. 손익계산서 월별실적'!N9/1000000</x:f>
        <x:v>0</x:v>
      </x:c>
      <x:c r="E9" s="14">
        <x:f t="shared" si="1"/>
        <x:v>-1895.3782941995096</x:v>
      </x:c>
      <x:c r="F9" s="49">
        <x:f t="shared" si="2"/>
        <x:v>-1</x:v>
      </x:c>
      <x:c r="J9" s="6"/>
      <x:c r="K9" s="6"/>
      <x:c r="L9" s="6"/>
    </x:row>
    <x:row r="10" spans="2:12">
      <x:c r="B10" s="13" t="s">
        <x:v>6</x:v>
      </x:c>
      <x:c r="C10" s="14">
        <x:f>'(계획)손익계산서 월별계획'!N10/1000000</x:f>
        <x:v>0</x:v>
      </x:c>
      <x:c r="D10" s="14">
        <x:f>'3. 손익계산서 월별실적'!N10/1000000</x:f>
        <x:v>0</x:v>
      </x:c>
      <x:c r="E10" s="14">
        <x:f t="shared" si="1"/>
        <x:v>0</x:v>
      </x:c>
      <x:c r="F10" s="49" t="e">
        <x:f t="shared" si="2"/>
        <x:v>#DIV/0!</x:v>
      </x:c>
      <x:c r="J10" s="6"/>
      <x:c r="K10" s="6"/>
      <x:c r="L10" s="6"/>
    </x:row>
    <x:row r="11" spans="2:12" s="6" customFormat="1" ht="21.6" customHeight="1">
      <x:c r="B11" s="19" t="s">
        <x:v>23</x:v>
      </x:c>
      <x:c r="C11" s="20">
        <x:f>SUM(C12:C15)</x:f>
        <x:v>2280.3631260022835</x:v>
      </x:c>
      <x:c r="D11" s="20">
        <x:f t="shared" ref="D11" si="3">SUM(D12:D15)</x:f>
        <x:v>0</x:v>
      </x:c>
      <x:c r="E11" s="20">
        <x:f t="shared" si="1"/>
        <x:v>-2280.3631260022835</x:v>
      </x:c>
      <x:c r="F11" s="358">
        <x:f t="shared" si="2"/>
        <x:v>-1</x:v>
      </x:c>
      <x:c r="G11" s="20"/>
    </x:row>
    <x:row r="12" spans="2:12" s="6" customFormat="1" ht="21.6" customHeight="1">
      <x:c r="B12" s="13" t="s">
        <x:v>183</x:v>
      </x:c>
      <x:c r="C12" s="14">
        <x:f>'(계획)손익계산서 월별계획'!N12/1000000</x:f>
        <x:v>0</x:v>
      </x:c>
      <x:c r="D12" s="14">
        <x:f>'3. 손익계산서 월별실적'!N12/1000000</x:f>
        <x:v>0</x:v>
      </x:c>
      <x:c r="E12" s="14">
        <x:f t="shared" si="1"/>
        <x:v>0</x:v>
      </x:c>
      <x:c r="F12" s="49" t="e">
        <x:f t="shared" si="2"/>
        <x:v>#DIV/0!</x:v>
      </x:c>
      <x:c r="G12" s="14"/>
      <x:c r="H12" s="204"/>
    </x:row>
    <x:row r="13" spans="2:12">
      <x:c r="B13" s="13" t="s">
        <x:v>330</x:v>
      </x:c>
      <x:c r="C13" s="14">
        <x:f>'(계획)손익계산서 월별계획'!N13/1000000</x:f>
        <x:v>438.77179400000006</x:v>
      </x:c>
      <x:c r="D13" s="190">
        <x:f>'3. 손익계산서 월별실적'!N13/1000000</x:f>
        <x:v>0</x:v>
      </x:c>
      <x:c r="E13" s="14">
        <x:f t="shared" si="1"/>
        <x:v>-438.77179400000006</x:v>
      </x:c>
      <x:c r="F13" s="49">
        <x:f t="shared" si="2"/>
        <x:v>-1</x:v>
      </x:c>
      <x:c r="H13" s="191"/>
      <x:c r="I13" s="183"/>
    </x:row>
    <x:row r="14" spans="2:12">
      <x:c r="B14" s="13" t="s">
        <x:v>5</x:v>
      </x:c>
      <x:c r="C14" s="14">
        <x:f>'(계획)손익계산서 월별계획'!N14/1000000</x:f>
        <x:v>1839.1637595915713</x:v>
      </x:c>
      <x:c r="D14" s="190">
        <x:f>'3. 손익계산서 월별실적'!N14/1000000</x:f>
        <x:v>0</x:v>
      </x:c>
      <x:c r="E14" s="14">
        <x:f t="shared" si="1"/>
        <x:v>-1839.1637595915713</x:v>
      </x:c>
      <x:c r="F14" s="49">
        <x:f t="shared" si="2"/>
        <x:v>-1</x:v>
      </x:c>
      <x:c r="H14" s="191"/>
    </x:row>
    <x:row r="15" spans="2:12">
      <x:c r="B15" s="13" t="s">
        <x:v>6</x:v>
      </x:c>
      <x:c r="C15" s="14">
        <x:f>'(계획)손익계산서 월별계획'!N15/1000000</x:f>
        <x:v>2.427572410712135</x:v>
      </x:c>
      <x:c r="D15" s="190">
        <x:f>'3. 손익계산서 월별실적'!N15/1000000</x:f>
        <x:v>0</x:v>
      </x:c>
      <x:c r="E15" s="14">
        <x:f t="shared" si="1"/>
        <x:v>-2.427572410712135</x:v>
      </x:c>
      <x:c r="F15" s="49">
        <x:f t="shared" si="2"/>
        <x:v>-1</x:v>
      </x:c>
      <x:c r="I15" s="183"/>
      <x:c r="J15" s="183"/>
    </x:row>
    <x:row r="16" spans="2:12" s="6" customFormat="1" ht="17.45" customHeight="1">
      <x:c r="B16" s="19" t="s">
        <x:v>24</x:v>
      </x:c>
      <x:c r="C16" s="20">
        <x:f t="shared" ref="C16:D16" si="4">+C6-C11</x:f>
        <x:v>386.43385219722632</x:v>
      </x:c>
      <x:c r="D16" s="20">
        <x:f t="shared" si="4"/>
        <x:v>0</x:v>
      </x:c>
      <x:c r="E16" s="20">
        <x:f t="shared" si="1"/>
        <x:v>-386.43385219722632</x:v>
      </x:c>
      <x:c r="F16" s="358">
        <x:f t="shared" si="2"/>
        <x:v>-1</x:v>
      </x:c>
      <x:c r="G16" s="20"/>
      <x:c r="I16" s="183"/>
    </x:row>
    <x:row r="17" spans="2:10" s="65" customFormat="1">
      <x:c r="B17" s="69" t="s">
        <x:v>25</x:v>
      </x:c>
      <x:c r="C17" s="56">
        <x:f>+IFERROR(C16/C6,)</x:f>
        <x:v>0.14490561349673026</x:v>
      </x:c>
      <x:c r="D17" s="56">
        <x:f>+IFERROR(D16/D6,)</x:f>
        <x:v>0</x:v>
      </x:c>
      <x:c r="E17" s="56">
        <x:f>+IFERROR(E16/E6,)</x:f>
        <x:v>0.14490561349673026</x:v>
      </x:c>
      <x:c r="F17" s="56"/>
      <x:c r="G17" s="49"/>
      <x:c r="I17" s="183"/>
    </x:row>
    <x:row r="18" spans="2:10" s="6" customFormat="1" ht="18.600000000000001" customHeight="1">
      <x:c r="B18" s="19" t="s">
        <x:v>26</x:v>
      </x:c>
      <x:c r="C18" s="20">
        <x:f>+C19+C35+C53</x:f>
        <x:v>1251.5339513979916</x:v>
      </x:c>
      <x:c r="D18" s="20">
        <x:f t="shared" ref="D18" si="5">+D19+D35+D53</x:f>
        <x:v>0</x:v>
      </x:c>
      <x:c r="E18" s="20">
        <x:f t="shared" si="1"/>
        <x:v>-1251.5339513979916</x:v>
      </x:c>
      <x:c r="F18" s="358">
        <x:f t="shared" si="2"/>
        <x:v>-1</x:v>
      </x:c>
      <x:c r="G18" s="20"/>
      <x:c r="I18" s="183"/>
    </x:row>
    <x:row r="19" spans="2:10" ht="16.5">
      <x:c r="B19" s="73" t="s">
        <x:v>2</x:v>
      </x:c>
      <x:c r="C19" s="6">
        <x:f>SUM(C20:C33)</x:f>
        <x:v>133.10093279693831</x:v>
      </x:c>
      <x:c r="D19" s="6">
        <x:f t="shared" ref="D19" si="6">SUM(D20:D33)</x:f>
        <x:v>0</x:v>
      </x:c>
      <x:c r="E19" s="356">
        <x:f t="shared" si="1"/>
        <x:v>-133.10093279693831</x:v>
      </x:c>
      <x:c r="F19" s="359">
        <x:f t="shared" si="2"/>
        <x:v>-1</x:v>
      </x:c>
      <x:c r="G19" s="6"/>
      <x:c r="I19" s="238"/>
    </x:row>
    <x:row r="20" spans="2:10">
      <x:c r="B20" s="26" t="s">
        <x:v>49</x:v>
      </x:c>
      <x:c r="C20" s="14">
        <x:f>'(계획)손익계산서 월별계획'!N20/1000000</x:f>
        <x:v>60.387439999999998</x:v>
      </x:c>
      <x:c r="D20" s="14">
        <x:f>'3. 손익계산서 월별실적'!N20/1000000</x:f>
        <x:v>0</x:v>
      </x:c>
      <x:c r="E20" s="14">
        <x:f t="shared" si="1"/>
        <x:v>-60.387439999999998</x:v>
      </x:c>
      <x:c r="F20" s="360">
        <x:f t="shared" si="2"/>
        <x:v>-1</x:v>
      </x:c>
      <x:c r="G20" s="357"/>
      <x:c r="H20" s="185"/>
      <x:c r="I20" s="238"/>
      <x:c r="J20" s="14"/>
    </x:row>
    <x:row r="21" spans="2:10">
      <x:c r="B21" s="26" t="s">
        <x:v>50</x:v>
      </x:c>
      <x:c r="C21" s="13">
        <x:f>'(계획)손익계산서 월별계획'!N21/1000000</x:f>
        <x:v>1.0034540000000001</x:v>
      </x:c>
      <x:c r="D21" s="13">
        <x:f>'3. 손익계산서 월별실적'!N21/1000000</x:f>
        <x:v>0</x:v>
      </x:c>
      <x:c r="E21" s="13">
        <x:f t="shared" si="1"/>
        <x:v>-1.0034540000000001</x:v>
      </x:c>
      <x:c r="F21" s="360">
        <x:f t="shared" si="2"/>
        <x:v>-1</x:v>
      </x:c>
      <x:c r="G21" s="357"/>
      <x:c r="H21" s="26"/>
      <x:c r="I21" s="238"/>
    </x:row>
    <x:row r="22" spans="2:10">
      <x:c r="B22" s="26" t="s">
        <x:v>51</x:v>
      </x:c>
      <x:c r="C22" s="13">
        <x:f>'(계획)손익계산서 월별계획'!N22/1000000</x:f>
        <x:v>5.2319723190000005</x:v>
      </x:c>
      <x:c r="D22" s="13">
        <x:f>'3. 손익계산서 월별실적'!N22/1000000</x:f>
        <x:v>0</x:v>
      </x:c>
      <x:c r="E22" s="13">
        <x:f t="shared" si="1"/>
        <x:v>-5.2319723190000005</x:v>
      </x:c>
      <x:c r="F22" s="360">
        <x:f t="shared" si="2"/>
        <x:v>-1</x:v>
      </x:c>
      <x:c r="G22" s="349"/>
      <x:c r="H22" s="26"/>
      <x:c r="I22" s="239"/>
    </x:row>
    <x:row r="23" spans="2:10">
      <x:c r="B23" s="26" t="s">
        <x:v>52</x:v>
      </x:c>
      <x:c r="C23" s="13">
        <x:f>'(계획)손익계산서 월별계획'!N23/1000000</x:f>
        <x:v>1.8956974166666665</x:v>
      </x:c>
      <x:c r="D23" s="13">
        <x:f>'3. 손익계산서 월별실적'!N23/1000000</x:f>
        <x:v>0</x:v>
      </x:c>
      <x:c r="E23" s="13">
        <x:f t="shared" si="1"/>
        <x:v>-1.8956974166666665</x:v>
      </x:c>
      <x:c r="F23" s="360">
        <x:f t="shared" si="2"/>
        <x:v>-1</x:v>
      </x:c>
      <x:c r="G23" s="349"/>
      <x:c r="H23" s="26"/>
      <x:c r="I23" s="239"/>
    </x:row>
    <x:row r="24" spans="2:10">
      <x:c r="B24" s="26" t="s">
        <x:v>53</x:v>
      </x:c>
      <x:c r="C24" s="13">
        <x:f>'(계획)손익계산서 월별계획'!N24/1000000</x:f>
        <x:v>52.329389505716101</x:v>
      </x:c>
      <x:c r="D24" s="13">
        <x:f>'3. 손익계산서 월별실적'!N24/1000000</x:f>
        <x:v>0</x:v>
      </x:c>
      <x:c r="E24" s="13">
        <x:f t="shared" si="1"/>
        <x:v>-52.329389505716101</x:v>
      </x:c>
      <x:c r="F24" s="360">
        <x:f t="shared" si="2"/>
        <x:v>-1</x:v>
      </x:c>
      <x:c r="G24" s="349"/>
      <x:c r="H24" s="26"/>
      <x:c r="I24" s="239"/>
    </x:row>
    <x:row r="25" spans="2:10">
      <x:c r="B25" s="26" t="s">
        <x:v>54</x:v>
      </x:c>
      <x:c r="C25" s="13">
        <x:f>'(계획)손익계산서 월별계획'!N25/1000000</x:f>
        <x:v>0</x:v>
      </x:c>
      <x:c r="D25" s="13">
        <x:f>'3. 손익계산서 월별실적'!N25/1000000</x:f>
        <x:v>0</x:v>
      </x:c>
      <x:c r="E25" s="14">
        <x:f t="shared" si="1"/>
        <x:v>0</x:v>
      </x:c>
      <x:c r="F25" s="360" t="e">
        <x:f t="shared" si="2"/>
        <x:v>#DIV/0!</x:v>
      </x:c>
      <x:c r="H25" s="26"/>
      <x:c r="I25" s="239"/>
    </x:row>
    <x:row r="26" spans="2:10">
      <x:c r="B26" s="26" t="s">
        <x:v>55</x:v>
      </x:c>
      <x:c r="C26" s="13">
        <x:f>'(계획)손익계산서 월별계획'!N26/1000000</x:f>
        <x:v>0</x:v>
      </x:c>
      <x:c r="D26" s="13">
        <x:f>'3. 손익계산서 월별실적'!N26/1000000</x:f>
        <x:v>0</x:v>
      </x:c>
      <x:c r="E26" s="14">
        <x:f t="shared" si="1"/>
        <x:v>0</x:v>
      </x:c>
      <x:c r="F26" s="360" t="e">
        <x:f t="shared" si="2"/>
        <x:v>#DIV/0!</x:v>
      </x:c>
      <x:c r="H26" s="26"/>
      <x:c r="I26" s="239"/>
    </x:row>
    <x:row r="27" spans="2:10">
      <x:c r="B27" s="26" t="s">
        <x:v>56</x:v>
      </x:c>
      <x:c r="C27" s="13">
        <x:f>'(계획)손익계산서 월별계획'!N27/1000000</x:f>
        <x:v>0.192</x:v>
      </x:c>
      <x:c r="D27" s="349">
        <x:f>'3. 손익계산서 월별실적'!N27/1000000</x:f>
        <x:v>0</x:v>
      </x:c>
      <x:c r="E27" s="13">
        <x:f t="shared" si="1"/>
        <x:v>-0.192</x:v>
      </x:c>
      <x:c r="F27" s="360">
        <x:f t="shared" si="2"/>
        <x:v>-1</x:v>
      </x:c>
      <x:c r="G27" s="349"/>
      <x:c r="H27" s="26"/>
      <x:c r="I27" s="239"/>
    </x:row>
    <x:row r="28" spans="2:10">
      <x:c r="B28" s="26" t="s">
        <x:v>57</x:v>
      </x:c>
      <x:c r="C28" s="13">
        <x:f>'(계획)손익계산서 월별계획'!N28/1000000</x:f>
        <x:v>9.8020833333333339</x:v>
      </x:c>
      <x:c r="D28" s="13">
        <x:f>'3. 손익계산서 월별실적'!N28/1000000</x:f>
        <x:v>0</x:v>
      </x:c>
      <x:c r="E28" s="13">
        <x:f t="shared" si="1"/>
        <x:v>-9.8020833333333339</x:v>
      </x:c>
      <x:c r="F28" s="360">
        <x:f t="shared" si="2"/>
        <x:v>-1</x:v>
      </x:c>
      <x:c r="G28" s="349"/>
      <x:c r="H28" s="26"/>
      <x:c r="I28" s="239"/>
    </x:row>
    <x:row r="29" spans="2:10">
      <x:c r="B29" s="26" t="s">
        <x:v>58</x:v>
      </x:c>
      <x:c r="C29" s="13">
        <x:f>'(계획)손익계산서 월별계획'!N29/1000000</x:f>
        <x:v>0</x:v>
      </x:c>
      <x:c r="D29" s="13">
        <x:f>'3. 손익계산서 월별실적'!N29/1000000</x:f>
        <x:v>0</x:v>
      </x:c>
      <x:c r="E29" s="13">
        <x:f t="shared" si="1"/>
        <x:v>0</x:v>
      </x:c>
      <x:c r="F29" s="360" t="e">
        <x:f t="shared" si="2"/>
        <x:v>#DIV/0!</x:v>
      </x:c>
      <x:c r="G29" s="349"/>
      <x:c r="H29" s="26"/>
      <x:c r="I29" s="239"/>
    </x:row>
    <x:row r="30" spans="2:10">
      <x:c r="B30" s="26" t="s">
        <x:v>59</x:v>
      </x:c>
      <x:c r="C30" s="13">
        <x:f>'(계획)손익계산서 월별계획'!N30/1000000</x:f>
        <x:v>0</x:v>
      </x:c>
      <x:c r="D30" s="13">
        <x:f>'3. 손익계산서 월별실적'!N30/1000000</x:f>
        <x:v>0</x:v>
      </x:c>
      <x:c r="E30" s="14">
        <x:f t="shared" si="1"/>
        <x:v>0</x:v>
      </x:c>
      <x:c r="F30" s="360" t="e">
        <x:f t="shared" si="2"/>
        <x:v>#DIV/0!</x:v>
      </x:c>
      <x:c r="H30" s="26"/>
      <x:c r="I30" s="239"/>
    </x:row>
    <x:row r="31" spans="2:10">
      <x:c r="B31" s="26" t="s">
        <x:v>60</x:v>
      </x:c>
      <x:c r="C31" s="13">
        <x:f>'(계획)손익계산서 월별계획'!N31/1000000</x:f>
        <x:v>0</x:v>
      </x:c>
      <x:c r="D31" s="13">
        <x:f>'3. 손익계산서 월별실적'!N31/1000000</x:f>
        <x:v>0</x:v>
      </x:c>
      <x:c r="E31" s="14">
        <x:f t="shared" si="1"/>
        <x:v>0</x:v>
      </x:c>
      <x:c r="F31" s="360" t="e">
        <x:f t="shared" si="2"/>
        <x:v>#DIV/0!</x:v>
      </x:c>
      <x:c r="H31" s="26"/>
      <x:c r="I31" s="239"/>
    </x:row>
    <x:row r="32" spans="2:10">
      <x:c r="B32" s="26" t="s">
        <x:v>61</x:v>
      </x:c>
      <x:c r="C32" s="13">
        <x:f>'(계획)손익계산서 월별계획'!N32/1000000</x:f>
        <x:v>0</x:v>
      </x:c>
      <x:c r="D32" s="13">
        <x:f>'3. 손익계산서 월별실적'!N32/1000000</x:f>
        <x:v>0</x:v>
      </x:c>
      <x:c r="E32" s="14">
        <x:f t="shared" si="1"/>
        <x:v>0</x:v>
      </x:c>
      <x:c r="F32" s="360" t="e">
        <x:f t="shared" si="2"/>
        <x:v>#DIV/0!</x:v>
      </x:c>
      <x:c r="H32" s="26"/>
      <x:c r="I32" s="239"/>
    </x:row>
    <x:row r="33" spans="2:9">
      <x:c r="B33" s="26" t="s">
        <x:v>62</x:v>
      </x:c>
      <x:c r="C33" s="13">
        <x:f>'(계획)손익계산서 월별계획'!N33/1000000</x:f>
        <x:v>2.258896222222222</x:v>
      </x:c>
      <x:c r="D33" s="13">
        <x:f>'3. 손익계산서 월별실적'!N33/1000000</x:f>
        <x:v>0</x:v>
      </x:c>
      <x:c r="E33" s="13">
        <x:f t="shared" si="1"/>
        <x:v>-2.258896222222222</x:v>
      </x:c>
      <x:c r="F33" s="360">
        <x:f t="shared" si="2"/>
        <x:v>-1</x:v>
      </x:c>
      <x:c r="G33" s="349"/>
      <x:c r="H33" s="26"/>
      <x:c r="I33" s="239"/>
    </x:row>
    <x:row r="34" spans="2:9">
      <x:c r="B34" s="27"/>
      <x:c r="C34" s="75"/>
      <x:c r="D34" s="75"/>
      <x:c r="E34" s="14">
        <x:f t="shared" si="1"/>
        <x:v>0</x:v>
      </x:c>
      <x:c r="F34" s="360" t="e">
        <x:f t="shared" si="2"/>
        <x:v>#DIV/0!</x:v>
      </x:c>
      <x:c r="I34" s="239"/>
    </x:row>
    <x:row r="35" spans="2:9" ht="16.5">
      <x:c r="B35" s="73" t="s">
        <x:v>3</x:v>
      </x:c>
      <x:c r="C35" s="6">
        <x:f>SUM(C36:C51)</x:f>
        <x:v>689.38943964460896</x:v>
      </x:c>
      <x:c r="D35" s="6">
        <x:f t="shared" ref="D35" si="7">SUM(D36:D51)</x:f>
        <x:v>0</x:v>
      </x:c>
      <x:c r="E35" s="356">
        <x:f t="shared" si="1"/>
        <x:v>-689.38943964460896</x:v>
      </x:c>
      <x:c r="F35" s="359">
        <x:f t="shared" si="2"/>
        <x:v>-1</x:v>
      </x:c>
      <x:c r="G35" s="13"/>
      <x:c r="I35" s="239"/>
    </x:row>
    <x:row r="36" spans="2:9">
      <x:c r="B36" s="68" t="s">
        <x:v>42</x:v>
      </x:c>
      <x:c r="C36" s="13">
        <x:f>'(계획)손익계산서 월별계획'!N36/1000000</x:f>
        <x:v>430.2855147064306</x:v>
      </x:c>
      <x:c r="D36" s="349">
        <x:f>'3. 손익계산서 월별실적'!N36/1000000</x:f>
        <x:v>0</x:v>
      </x:c>
      <x:c r="E36" s="13">
        <x:f t="shared" si="1"/>
        <x:v>-430.2855147064306</x:v>
      </x:c>
      <x:c r="F36" s="360">
        <x:f t="shared" si="2"/>
        <x:v>-1</x:v>
      </x:c>
      <x:c r="G36" s="357"/>
      <x:c r="H36" s="185"/>
      <x:c r="I36" s="238"/>
    </x:row>
    <x:row r="37" spans="2:9">
      <x:c r="B37" s="68" t="s">
        <x:v>43</x:v>
      </x:c>
      <x:c r="C37" s="13">
        <x:f>'(계획)손익계산서 월별계획'!N37/1000000</x:f>
        <x:v>23.455511369169852</x:v>
      </x:c>
      <x:c r="D37" s="349">
        <x:f>'3. 손익계산서 월별실적'!N37/1000000</x:f>
        <x:v>0</x:v>
      </x:c>
      <x:c r="E37" s="13">
        <x:f t="shared" si="1"/>
        <x:v>-23.455511369169852</x:v>
      </x:c>
      <x:c r="F37" s="360">
        <x:f t="shared" si="2"/>
        <x:v>-1</x:v>
      </x:c>
      <x:c r="G37" s="349"/>
      <x:c r="H37" s="330"/>
      <x:c r="I37" s="239"/>
    </x:row>
    <x:row r="38" spans="2:9">
      <x:c r="B38" s="68" t="s">
        <x:v>44</x:v>
      </x:c>
      <x:c r="C38" s="13">
        <x:f>'(계획)손익계산서 월별계획'!N38/1000000</x:f>
        <x:v>46.687272332104705</x:v>
      </x:c>
      <x:c r="D38" s="349">
        <x:f>'3. 손익계산서 월별실적'!N38/1000000</x:f>
        <x:v>0</x:v>
      </x:c>
      <x:c r="E38" s="13">
        <x:f t="shared" si="1"/>
        <x:v>-46.687272332104705</x:v>
      </x:c>
      <x:c r="F38" s="360">
        <x:f t="shared" si="2"/>
        <x:v>-1</x:v>
      </x:c>
      <x:c r="G38" s="349"/>
      <x:c r="H38" s="330"/>
      <x:c r="I38" s="239"/>
    </x:row>
    <x:row r="39" spans="2:9">
      <x:c r="B39" s="68" t="s">
        <x:v>34</x:v>
      </x:c>
      <x:c r="C39" s="13">
        <x:f>'(계획)손익계산서 월별계획'!N39/1000000</x:f>
        <x:v>14.84707091985989</x:v>
      </x:c>
      <x:c r="D39" s="349">
        <x:f>'3. 손익계산서 월별실적'!N39/1000000</x:f>
        <x:v>0</x:v>
      </x:c>
      <x:c r="E39" s="13">
        <x:f t="shared" si="1"/>
        <x:v>-14.84707091985989</x:v>
      </x:c>
      <x:c r="F39" s="360">
        <x:f t="shared" si="2"/>
        <x:v>-1</x:v>
      </x:c>
      <x:c r="G39" s="349"/>
      <x:c r="H39" s="330"/>
      <x:c r="I39" s="239"/>
    </x:row>
    <x:row r="40" spans="2:9">
      <x:c r="B40" s="68" t="s">
        <x:v>38</x:v>
      </x:c>
      <x:c r="C40" s="13">
        <x:f>'(계획)손익계산서 월별계획'!N40/1000000</x:f>
        <x:v>0</x:v>
      </x:c>
      <x:c r="D40" s="349">
        <x:f>'3. 손익계산서 월별실적'!N40/1000000</x:f>
        <x:v>0</x:v>
      </x:c>
      <x:c r="E40" s="13">
        <x:f t="shared" si="1"/>
        <x:v>0</x:v>
      </x:c>
      <x:c r="F40" s="360" t="e">
        <x:f t="shared" si="2"/>
        <x:v>#DIV/0!</x:v>
      </x:c>
      <x:c r="G40" s="349"/>
      <x:c r="H40" s="330"/>
      <x:c r="I40" s="239"/>
    </x:row>
    <x:row r="41" spans="2:9">
      <x:c r="B41" s="68" t="s">
        <x:v>39</x:v>
      </x:c>
      <x:c r="C41" s="13">
        <x:f>'(계획)손익계산서 월별계획'!N41/1000000</x:f>
        <x:v>0</x:v>
      </x:c>
      <x:c r="D41" s="13">
        <x:f>'3. 손익계산서 월별실적'!N41/1000000</x:f>
        <x:v>0</x:v>
      </x:c>
      <x:c r="E41" s="14">
        <x:f t="shared" si="1"/>
        <x:v>0</x:v>
      </x:c>
      <x:c r="F41" s="360" t="e">
        <x:f t="shared" si="2"/>
        <x:v>#DIV/0!</x:v>
      </x:c>
      <x:c r="H41" s="68"/>
      <x:c r="I41" s="239"/>
    </x:row>
    <x:row r="42" spans="2:9">
      <x:c r="B42" s="68" t="s">
        <x:v>37</x:v>
      </x:c>
      <x:c r="C42" s="13">
        <x:f>'(계획)손익계산서 월별계획'!N42/1000000</x:f>
        <x:v>0</x:v>
      </x:c>
      <x:c r="D42" s="13">
        <x:f>'3. 손익계산서 월별실적'!N42/1000000</x:f>
        <x:v>0</x:v>
      </x:c>
      <x:c r="E42" s="14">
        <x:f t="shared" si="1"/>
        <x:v>0</x:v>
      </x:c>
      <x:c r="F42" s="360" t="e">
        <x:f t="shared" si="2"/>
        <x:v>#DIV/0!</x:v>
      </x:c>
      <x:c r="H42" s="68"/>
      <x:c r="I42" s="239"/>
    </x:row>
    <x:row r="43" spans="2:9">
      <x:c r="B43" s="68" t="s">
        <x:v>40</x:v>
      </x:c>
      <x:c r="C43" s="13">
        <x:f>'(계획)손익계산서 월별계획'!N43/1000000</x:f>
        <x:v>99.98179335993855</x:v>
      </x:c>
      <x:c r="D43" s="349">
        <x:f>'3. 손익계산서 월별실적'!N43/1000000</x:f>
        <x:v>0</x:v>
      </x:c>
      <x:c r="E43" s="13">
        <x:f t="shared" si="1"/>
        <x:v>-99.98179335993855</x:v>
      </x:c>
      <x:c r="F43" s="360">
        <x:f t="shared" si="2"/>
        <x:v>-1</x:v>
      </x:c>
      <x:c r="G43" s="349"/>
      <x:c r="H43" s="330"/>
      <x:c r="I43" s="239"/>
    </x:row>
    <x:row r="44" spans="2:9">
      <x:c r="B44" s="68" t="s">
        <x:v>35</x:v>
      </x:c>
      <x:c r="C44" s="13">
        <x:f>'(계획)손익계산서 월별계획'!N44/1000000</x:f>
        <x:v>12.494890067549312</x:v>
      </x:c>
      <x:c r="D44" s="349">
        <x:f>'3. 손익계산서 월별실적'!N44/1000000</x:f>
        <x:v>0</x:v>
      </x:c>
      <x:c r="E44" s="13">
        <x:f t="shared" si="1"/>
        <x:v>-12.494890067549312</x:v>
      </x:c>
      <x:c r="F44" s="360">
        <x:f t="shared" si="2"/>
        <x:v>-1</x:v>
      </x:c>
      <x:c r="G44" s="349"/>
      <x:c r="H44" s="330"/>
      <x:c r="I44" s="239"/>
    </x:row>
    <x:row r="45" spans="2:9">
      <x:c r="B45" s="68" t="s">
        <x:v>36</x:v>
      </x:c>
      <x:c r="C45" s="13">
        <x:f>'(계획)손익계산서 월별계획'!N45/1000000</x:f>
        <x:v>28.554122147016834</x:v>
      </x:c>
      <x:c r="D45" s="349">
        <x:f>'3. 손익계산서 월별실적'!N45/1000000</x:f>
        <x:v>0</x:v>
      </x:c>
      <x:c r="E45" s="13">
        <x:f t="shared" si="1"/>
        <x:v>-28.554122147016834</x:v>
      </x:c>
      <x:c r="F45" s="360">
        <x:f t="shared" si="2"/>
        <x:v>-1</x:v>
      </x:c>
      <x:c r="G45" s="349"/>
      <x:c r="H45" s="330"/>
      <x:c r="I45" s="239"/>
    </x:row>
    <x:row r="46" spans="2:9">
      <x:c r="B46" s="68" t="s">
        <x:v>45</x:v>
      </x:c>
      <x:c r="C46" s="13">
        <x:f>'(계획)손익계산서 월별계획'!N46/1000000</x:f>
        <x:v>22</x:v>
      </x:c>
      <x:c r="D46" s="13">
        <x:f>'3. 손익계산서 월별실적'!N46/1000000</x:f>
        <x:v>0</x:v>
      </x:c>
      <x:c r="E46" s="13">
        <x:f t="shared" si="1"/>
        <x:v>-22</x:v>
      </x:c>
      <x:c r="F46" s="360">
        <x:f t="shared" si="2"/>
        <x:v>-1</x:v>
      </x:c>
      <x:c r="G46" s="349"/>
      <x:c r="H46" s="330"/>
      <x:c r="I46" s="239"/>
    </x:row>
    <x:row r="47" spans="2:9">
      <x:c r="B47" s="68" t="s">
        <x:v>46</x:v>
      </x:c>
      <x:c r="C47" s="13">
        <x:f>'(계획)손익계산서 월별계획'!N47/1000000</x:f>
        <x:v>0</x:v>
      </x:c>
      <x:c r="D47" s="13">
        <x:f>'3. 손익계산서 월별실적'!N47/1000000</x:f>
        <x:v>0</x:v>
      </x:c>
      <x:c r="E47" s="14">
        <x:f t="shared" si="1"/>
        <x:v>0</x:v>
      </x:c>
      <x:c r="F47" s="360" t="e">
        <x:f t="shared" si="2"/>
        <x:v>#DIV/0!</x:v>
      </x:c>
      <x:c r="H47" s="68"/>
      <x:c r="I47" s="239"/>
    </x:row>
    <x:row r="48" spans="2:9">
      <x:c r="B48" s="68" t="s">
        <x:v>47</x:v>
      </x:c>
      <x:c r="C48" s="13">
        <x:f>'(계획)손익계산서 월별계획'!N48/1000000</x:f>
        <x:v>0</x:v>
      </x:c>
      <x:c r="D48" s="13">
        <x:f>'3. 손익계산서 월별실적'!N48/1000000</x:f>
        <x:v>0</x:v>
      </x:c>
      <x:c r="E48" s="14">
        <x:f t="shared" si="1"/>
        <x:v>0</x:v>
      </x:c>
      <x:c r="F48" s="360" t="e">
        <x:f t="shared" si="2"/>
        <x:v>#DIV/0!</x:v>
      </x:c>
      <x:c r="H48" s="68"/>
      <x:c r="I48" s="239"/>
    </x:row>
    <x:row r="49" spans="2:9">
      <x:c r="B49" s="68" t="s">
        <x:v>48</x:v>
      </x:c>
      <x:c r="C49" s="13">
        <x:f>'(계획)손익계산서 월별계획'!N49/1000000</x:f>
        <x:v>11.083264742539038</x:v>
      </x:c>
      <x:c r="D49" s="349">
        <x:f>'3. 손익계산서 월별실적'!N49/1000000</x:f>
        <x:v>0</x:v>
      </x:c>
      <x:c r="E49" s="13">
        <x:f t="shared" si="1"/>
        <x:v>-11.083264742539038</x:v>
      </x:c>
      <x:c r="F49" s="360">
        <x:f t="shared" si="2"/>
        <x:v>-1</x:v>
      </x:c>
      <x:c r="G49" s="349"/>
      <x:c r="H49" s="330"/>
      <x:c r="I49" s="239"/>
    </x:row>
    <x:row r="50" spans="2:9">
      <x:c r="B50" s="68" t="s">
        <x:v>63</x:v>
      </x:c>
      <x:c r="C50" s="13">
        <x:f>'(계획)손익계산서 월별계획'!N50/1000000</x:f>
        <x:v>0</x:v>
      </x:c>
      <x:c r="D50" s="13">
        <x:f>'3. 손익계산서 월별실적'!N50/1000000</x:f>
        <x:v>0</x:v>
      </x:c>
      <x:c r="E50" s="14">
        <x:f t="shared" si="1"/>
        <x:v>0</x:v>
      </x:c>
      <x:c r="F50" s="360" t="e">
        <x:f t="shared" si="2"/>
        <x:v>#DIV/0!</x:v>
      </x:c>
      <x:c r="H50" s="68"/>
      <x:c r="I50" s="239"/>
    </x:row>
    <x:row r="51" spans="2:9" ht="19.350000000000001" customHeight="1">
      <x:c r="B51" s="68" t="s">
        <x:v>64</x:v>
      </x:c>
      <x:c r="C51" s="13">
        <x:f>'(계획)손익계산서 월별계획'!N51/1000000</x:f>
        <x:v>0</x:v>
      </x:c>
      <x:c r="D51" s="13">
        <x:f>'3. 손익계산서 월별실적'!N51/1000000</x:f>
        <x:v>0</x:v>
      </x:c>
      <x:c r="E51" s="14">
        <x:f t="shared" si="1"/>
        <x:v>0</x:v>
      </x:c>
      <x:c r="F51" s="360" t="e">
        <x:f t="shared" si="2"/>
        <x:v>#DIV/0!</x:v>
      </x:c>
      <x:c r="I51" s="239"/>
    </x:row>
    <x:row r="52" spans="2:9">
      <x:c r="B52" s="27"/>
      <x:c r="C52" s="75"/>
      <x:c r="D52" s="75"/>
      <x:c r="E52" s="14">
        <x:f t="shared" si="1"/>
        <x:v>0</x:v>
      </x:c>
      <x:c r="F52" s="360" t="e">
        <x:f t="shared" si="2"/>
        <x:v>#DIV/0!</x:v>
      </x:c>
      <x:c r="I52" s="239"/>
    </x:row>
    <x:row r="53" spans="2:9" ht="16.5">
      <x:c r="B53" s="73" t="s">
        <x:v>4</x:v>
      </x:c>
      <x:c r="C53" s="6">
        <x:f>SUM(C54:C67)</x:f>
        <x:v>429.04357895644432</x:v>
      </x:c>
      <x:c r="D53" s="6">
        <x:f t="shared" ref="D53" si="8">SUM(D54:D67)</x:f>
        <x:v>0</x:v>
      </x:c>
      <x:c r="E53" s="356">
        <x:f t="shared" si="1"/>
        <x:v>-429.04357895644432</x:v>
      </x:c>
      <x:c r="F53" s="359">
        <x:f t="shared" si="2"/>
        <x:v>-1</x:v>
      </x:c>
      <x:c r="G53" s="13"/>
      <x:c r="I53" s="238"/>
    </x:row>
    <x:row r="54" spans="2:9">
      <x:c r="B54" s="68" t="s">
        <x:v>42</x:v>
      </x:c>
      <x:c r="C54" s="13">
        <x:f>'(계획)손익계산서 월별계획'!N54/1000000</x:f>
        <x:v>288.005222</x:v>
      </x:c>
      <x:c r="D54" s="185">
        <x:f>'3. 손익계산서 월별실적'!N54/1000000</x:f>
        <x:v>0</x:v>
      </x:c>
      <x:c r="E54" s="13">
        <x:f t="shared" si="1"/>
        <x:v>-288.005222</x:v>
      </x:c>
      <x:c r="F54" s="360">
        <x:f t="shared" si="2"/>
        <x:v>-1</x:v>
      </x:c>
      <x:c r="G54" s="185"/>
      <x:c r="H54" s="185"/>
      <x:c r="I54" s="239"/>
    </x:row>
    <x:row r="55" spans="2:9">
      <x:c r="B55" s="68" t="s">
        <x:v>65</x:v>
      </x:c>
      <x:c r="C55" s="13">
        <x:f>'(계획)손익계산서 월별계획'!N55/1000000</x:f>
        <x:v>2.9879475000000002</x:v>
      </x:c>
      <x:c r="D55" s="185">
        <x:f>'3. 손익계산서 월별실적'!N55/1000000</x:f>
        <x:v>0</x:v>
      </x:c>
      <x:c r="E55" s="13">
        <x:f t="shared" si="1"/>
        <x:v>-2.9879475000000002</x:v>
      </x:c>
      <x:c r="F55" s="360">
        <x:f t="shared" si="2"/>
        <x:v>-1</x:v>
      </x:c>
      <x:c r="G55" s="185"/>
      <x:c r="H55" s="330"/>
      <x:c r="I55" s="239"/>
    </x:row>
    <x:row r="56" spans="2:9">
      <x:c r="B56" s="68" t="s">
        <x:v>44</x:v>
      </x:c>
      <x:c r="C56" s="13">
        <x:f>'(계획)손익계산서 월별계획'!N56/1000000</x:f>
        <x:v>23.603771511999998</x:v>
      </x:c>
      <x:c r="D56" s="185">
        <x:f>'3. 손익계산서 월별실적'!N56/1000000</x:f>
        <x:v>0</x:v>
      </x:c>
      <x:c r="E56" s="13">
        <x:f t="shared" si="1"/>
        <x:v>-23.603771511999998</x:v>
      </x:c>
      <x:c r="F56" s="360">
        <x:f t="shared" si="2"/>
        <x:v>-1</x:v>
      </x:c>
      <x:c r="G56" s="185"/>
      <x:c r="H56" s="330"/>
      <x:c r="I56" s="239"/>
    </x:row>
    <x:row r="57" spans="2:9">
      <x:c r="B57" s="68" t="s">
        <x:v>34</x:v>
      </x:c>
      <x:c r="C57" s="13">
        <x:f>'(계획)손익계산서 월별계획'!N57/1000000</x:f>
        <x:v>8.3297734999999999</x:v>
      </x:c>
      <x:c r="D57" s="185">
        <x:f>'3. 손익계산서 월별실적'!N57/1000000</x:f>
        <x:v>0</x:v>
      </x:c>
      <x:c r="E57" s="13">
        <x:f t="shared" si="1"/>
        <x:v>-8.3297734999999999</x:v>
      </x:c>
      <x:c r="F57" s="360">
        <x:f t="shared" si="2"/>
        <x:v>-1</x:v>
      </x:c>
      <x:c r="G57" s="185"/>
      <x:c r="H57" s="330"/>
      <x:c r="I57" s="239"/>
    </x:row>
    <x:row r="58" spans="2:9">
      <x:c r="B58" s="68" t="s">
        <x:v>38</x:v>
      </x:c>
      <x:c r="C58" s="13">
        <x:f>'(계획)손익계산서 월별계획'!N58/1000000</x:f>
        <x:v>0.31</x:v>
      </x:c>
      <x:c r="D58" s="185">
        <x:f>'3. 손익계산서 월별실적'!N58/1000000</x:f>
        <x:v>0</x:v>
      </x:c>
      <x:c r="E58" s="13">
        <x:f t="shared" si="1"/>
        <x:v>-0.31</x:v>
      </x:c>
      <x:c r="F58" s="360">
        <x:f t="shared" si="2"/>
        <x:v>-1</x:v>
      </x:c>
      <x:c r="G58" s="185"/>
      <x:c r="H58" s="330"/>
      <x:c r="I58" s="239"/>
    </x:row>
    <x:row r="59" spans="2:9">
      <x:c r="B59" s="68" t="s">
        <x:v>39</x:v>
      </x:c>
      <x:c r="C59" s="13">
        <x:f>'(계획)손익계산서 월별계획'!N59/1000000</x:f>
        <x:v>0</x:v>
      </x:c>
      <x:c r="D59" s="13">
        <x:f>'3. 손익계산서 월별실적'!N59/1000000</x:f>
        <x:v>0</x:v>
      </x:c>
      <x:c r="E59" s="14">
        <x:f t="shared" si="1"/>
        <x:v>0</x:v>
      </x:c>
      <x:c r="F59" s="360" t="e">
        <x:f t="shared" si="2"/>
        <x:v>#DIV/0!</x:v>
      </x:c>
      <x:c r="H59" s="68"/>
      <x:c r="I59" s="239"/>
    </x:row>
    <x:row r="60" spans="2:9">
      <x:c r="B60" s="68" t="s">
        <x:v>37</x:v>
      </x:c>
      <x:c r="C60" s="13">
        <x:f>'(계획)손익계산서 월별계획'!N60/1000000</x:f>
        <x:v>0</x:v>
      </x:c>
      <x:c r="D60" s="13">
        <x:f>'3. 손익계산서 월별실적'!N60/1000000</x:f>
        <x:v>0</x:v>
      </x:c>
      <x:c r="E60" s="14">
        <x:f t="shared" si="1"/>
        <x:v>0</x:v>
      </x:c>
      <x:c r="F60" s="360" t="e">
        <x:f t="shared" si="2"/>
        <x:v>#DIV/0!</x:v>
      </x:c>
      <x:c r="H60" s="68"/>
      <x:c r="I60" s="239"/>
    </x:row>
    <x:row r="61" spans="2:9">
      <x:c r="B61" s="68" t="s">
        <x:v>40</x:v>
      </x:c>
      <x:c r="C61" s="13">
        <x:f>'(계획)손익계산서 월별계획'!N61/1000000</x:f>
        <x:v>40.522998999999999</x:v>
      </x:c>
      <x:c r="D61" s="185">
        <x:f>'3. 손익계산서 월별실적'!N61/1000000</x:f>
        <x:v>0</x:v>
      </x:c>
      <x:c r="E61" s="13">
        <x:f t="shared" si="1"/>
        <x:v>-40.522998999999999</x:v>
      </x:c>
      <x:c r="F61" s="360">
        <x:f t="shared" si="2"/>
        <x:v>-1</x:v>
      </x:c>
      <x:c r="G61" s="185"/>
      <x:c r="H61" s="330"/>
      <x:c r="I61" s="239"/>
    </x:row>
    <x:row r="62" spans="2:9">
      <x:c r="B62" s="68" t="s">
        <x:v>35</x:v>
      </x:c>
      <x:c r="C62" s="13">
        <x:f>'(계획)손익계산서 월별계획'!N62/1000000</x:f>
        <x:v>7.3095833333333333</x:v>
      </x:c>
      <x:c r="D62" s="185">
        <x:f>'3. 손익계산서 월별실적'!N62/1000000</x:f>
        <x:v>0</x:v>
      </x:c>
      <x:c r="E62" s="13">
        <x:f t="shared" si="1"/>
        <x:v>-7.3095833333333333</x:v>
      </x:c>
      <x:c r="F62" s="360">
        <x:f t="shared" si="2"/>
        <x:v>-1</x:v>
      </x:c>
      <x:c r="G62" s="185"/>
      <x:c r="H62" s="330"/>
      <x:c r="I62" s="239"/>
    </x:row>
    <x:row r="63" spans="2:9">
      <x:c r="B63" s="68" t="s">
        <x:v>36</x:v>
      </x:c>
      <x:c r="C63" s="13">
        <x:f>'(계획)손익계산서 월별계획'!N63/1000000</x:f>
        <x:v>18.064263</x:v>
      </x:c>
      <x:c r="D63" s="185">
        <x:f>'3. 손익계산서 월별실적'!N63/1000000</x:f>
        <x:v>0</x:v>
      </x:c>
      <x:c r="E63" s="13">
        <x:f t="shared" si="1"/>
        <x:v>-18.064263</x:v>
      </x:c>
      <x:c r="F63" s="360">
        <x:f t="shared" si="2"/>
        <x:v>-1</x:v>
      </x:c>
      <x:c r="G63" s="185"/>
      <x:c r="H63" s="330"/>
      <x:c r="I63" s="239"/>
    </x:row>
    <x:row r="64" spans="2:9">
      <x:c r="B64" s="68" t="s">
        <x:v>45</x:v>
      </x:c>
      <x:c r="C64" s="13">
        <x:f>'(계획)손익계산서 월별계획'!N64/1000000</x:f>
        <x:v>33.39</x:v>
      </x:c>
      <x:c r="D64" s="185">
        <x:f>'3. 손익계산서 월별실적'!N64/1000000</x:f>
        <x:v>0</x:v>
      </x:c>
      <x:c r="E64" s="13">
        <x:f t="shared" si="1"/>
        <x:v>-33.39</x:v>
      </x:c>
      <x:c r="F64" s="360">
        <x:f t="shared" si="2"/>
        <x:v>-1</x:v>
      </x:c>
      <x:c r="G64" s="185"/>
      <x:c r="H64" s="330"/>
      <x:c r="I64" s="239"/>
    </x:row>
    <x:row r="65" spans="2:9">
      <x:c r="B65" s="68" t="s">
        <x:v>46</x:v>
      </x:c>
      <x:c r="C65" s="13">
        <x:f>'(계획)손익계산서 월별계획'!N65/1000000</x:f>
        <x:v>0</x:v>
      </x:c>
      <x:c r="D65" s="13">
        <x:f>'3. 손익계산서 월별실적'!N65/1000000</x:f>
        <x:v>0</x:v>
      </x:c>
      <x:c r="E65" s="14">
        <x:f t="shared" si="1"/>
        <x:v>0</x:v>
      </x:c>
      <x:c r="F65" s="360" t="e">
        <x:f t="shared" si="2"/>
        <x:v>#DIV/0!</x:v>
      </x:c>
      <x:c r="H65" s="68"/>
      <x:c r="I65" s="239"/>
    </x:row>
    <x:row r="66" spans="2:9">
      <x:c r="B66" s="68" t="s">
        <x:v>47</x:v>
      </x:c>
      <x:c r="C66" s="13">
        <x:f>'(계획)손익계산서 월별계획'!N66/1000000</x:f>
        <x:v>0</x:v>
      </x:c>
      <x:c r="D66" s="13">
        <x:f>'3. 손익계산서 월별실적'!N66/1000000</x:f>
        <x:v>0</x:v>
      </x:c>
      <x:c r="E66" s="14">
        <x:f t="shared" si="1"/>
        <x:v>0</x:v>
      </x:c>
      <x:c r="F66" s="360" t="e">
        <x:f t="shared" si="2"/>
        <x:v>#DIV/0!</x:v>
      </x:c>
      <x:c r="H66" s="68"/>
      <x:c r="I66" s="239"/>
    </x:row>
    <x:row r="67" spans="2:9">
      <x:c r="B67" s="68" t="s">
        <x:v>48</x:v>
      </x:c>
      <x:c r="C67" s="13">
        <x:f>'(계획)손익계산서 월별계획'!N67/1000000</x:f>
        <x:v>6.520019111111111</x:v>
      </x:c>
      <x:c r="D67" s="13">
        <x:f>'3. 손익계산서 월별실적'!N67/1000000</x:f>
        <x:v>0</x:v>
      </x:c>
      <x:c r="E67" s="13">
        <x:f t="shared" si="1"/>
        <x:v>-6.520019111111111</x:v>
      </x:c>
      <x:c r="F67" s="65">
        <x:f t="shared" si="2"/>
        <x:v>-1</x:v>
      </x:c>
      <x:c r="G67" s="185"/>
    </x:row>
    <x:row r="68" spans="2:9" s="6" customFormat="1" ht="18.600000000000001" customHeight="1">
      <x:c r="B68" s="17" t="s">
        <x:v>27</x:v>
      </x:c>
      <x:c r="C68" s="18">
        <x:f t="shared" ref="C68:D68" si="9">+C16-C18</x:f>
        <x:v>-865.10009920076527</x:v>
      </x:c>
      <x:c r="D68" s="18">
        <x:f t="shared" si="9"/>
        <x:v>0</x:v>
      </x:c>
      <x:c r="E68" s="18">
        <x:f t="shared" si="1"/>
        <x:v>865.10009920076527</x:v>
      </x:c>
      <x:c r="F68" s="79">
        <x:f t="shared" si="2"/>
        <x:v>-1</x:v>
      </x:c>
      <x:c r="G68" s="18"/>
      <x:c r="H68" s="80"/>
    </x:row>
    <x:row r="69" spans="2:9" s="80" customFormat="1">
      <x:c r="B69" s="78" t="s">
        <x:v>28</x:v>
      </x:c>
      <x:c r="C69" s="57">
        <x:f>+IFERROR(C68/C6,)</x:f>
        <x:v>-0.3243966849643119</x:v>
      </x:c>
      <x:c r="D69" s="57">
        <x:f>+IFERROR(D68/D6,)</x:f>
        <x:v>0</x:v>
      </x:c>
      <x:c r="E69" s="57"/>
      <x:c r="F69" s="33"/>
      <x:c r="G69" s="79"/>
      <x:c r="H69" s="6"/>
      <x:c r="I69" s="186"/>
    </x:row>
    <x:row r="70" spans="2:9" s="6" customFormat="1" ht="18.600000000000001" customHeight="1">
      <x:c r="B70" s="34" t="s">
        <x:v>29</x:v>
      </x:c>
      <x:c r="C70" s="13"/>
      <x:c r="E70" s="35"/>
      <x:c r="F70" s="35"/>
      <x:c r="G70" s="35"/>
    </x:row>
    <x:row r="71" spans="2:9" s="6" customFormat="1" ht="20.100000000000001" customHeight="1">
      <x:c r="B71" s="34" t="s">
        <x:v>30</x:v>
      </x:c>
      <x:c r="C71" s="35"/>
      <x:c r="D71" s="35"/>
      <x:c r="E71" s="35"/>
      <x:c r="F71" s="35"/>
      <x:c r="G71" s="35"/>
    </x:row>
    <x:row r="72" spans="2:9" s="6" customFormat="1" ht="20.45" customHeight="1">
      <x:c r="B72" s="34" t="s">
        <x:v>31</x:v>
      </x:c>
      <x:c r="C72" s="35"/>
      <x:c r="D72" s="35"/>
      <x:c r="E72" s="35"/>
      <x:c r="F72" s="35"/>
      <x:c r="G72" s="35"/>
    </x:row>
    <x:row r="73" spans="2:9" s="6" customFormat="1" ht="20.45" customHeight="1">
      <x:c r="B73" s="34" t="s">
        <x:v>32</x:v>
      </x:c>
      <x:c r="C73" s="35"/>
      <x:c r="D73" s="35"/>
      <x:c r="E73" s="35"/>
      <x:c r="F73" s="35"/>
      <x:c r="G73" s="35"/>
      <x:c r="H73" s="30"/>
    </x:row>
    <x:row r="74" spans="2:9" s="30" customFormat="1">
      <x:c r="B74" s="36" t="s">
        <x:v>33</x:v>
      </x:c>
      <x:c r="C74" s="77"/>
      <x:c r="D74" s="77"/>
      <x:c r="E74" s="77"/>
      <x:c r="F74" s="77"/>
      <x:c r="G74" s="76"/>
      <x:c r="H74" s="13"/>
    </x:row>
    <x:row r="80" spans="2:9">
      <x:c r="D80" s="6"/>
    </x:row>
  </x:sheetData>
  <x:phoneticPr fontId="7" type="noConversion"/>
  <x:pageMargins left="0.7" right="0.7" top="0.75" bottom="0.75" header="0.3" footer="0.3"/>
  <x:pageSetup paperSize="9"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3DFD0A-D21F-4A49-B9DB-C7C06773B163}" mc:Ignorable="x14ac xr xr2 xr3">
  <x:sheetPr>
    <x:tabColor theme="2" tint="-9.9978637043366805E-2"/>
  </x:sheetPr>
  <x:dimension ref="B1:M85"/>
  <x:sheetViews>
    <x:sheetView showGridLines="0" zoomScale="70" zoomScaleNormal="70" workbookViewId="0">
      <x:pane xSplit="2" ySplit="5" topLeftCell="C34" activePane="bottomRight" state="frozen"/>
      <x:selection activeCell="W34" sqref="W34"/>
      <x:selection pane="topRight" activeCell="W34" sqref="W34"/>
      <x:selection pane="bottomLeft" activeCell="W34" sqref="W34"/>
      <x:selection pane="bottomRight" activeCell="W34" sqref="W34"/>
    </x:sheetView>
  </x:sheetViews>
  <x:sheetFormatPr defaultColWidth="8.85546875" defaultRowHeight="13.5" outlineLevelCol="1"/>
  <x:cols>
    <x:col min="1" max="1" width="1.42578125" style="13" customWidth="1"/>
    <x:col min="2" max="2" width="24.85546875" style="13" customWidth="1"/>
    <x:col min="3" max="3" width="19.140625" style="14" customWidth="1" outlineLevel="1"/>
    <x:col min="4" max="4" width="16.85546875" style="14" customWidth="1" outlineLevel="1"/>
    <x:col min="5" max="5" width="14.5703125" style="14" customWidth="1" outlineLevel="1"/>
    <x:col min="6" max="6" width="15.85546875" style="14" customWidth="1" outlineLevel="1"/>
    <x:col min="7" max="7" width="66.5703125" style="14" customWidth="1" outlineLevel="1"/>
    <x:col min="8" max="8" width="24.42578125" style="13" bestFit="1" customWidth="1"/>
    <x:col min="9" max="9" width="15.85546875" style="13" bestFit="1" customWidth="1"/>
    <x:col min="10" max="10" width="15.5703125" style="13" customWidth="1"/>
    <x:col min="11" max="11" width="14.42578125" style="13" customWidth="1"/>
    <x:col min="12" max="12" width="19" style="13" customWidth="1"/>
    <x:col min="13" max="13" width="10.85546875" style="13" bestFit="1" customWidth="1"/>
    <x:col min="14" max="16384" width="8.85546875" style="13"/>
  </x:cols>
  <x:sheetData>
    <x:row r="1" spans="2:12">
      <x:c r="C1" s="331"/>
      <x:c r="D1" s="331"/>
      <x:c r="E1" s="331"/>
      <x:c r="F1" s="331"/>
      <x:c r="G1" s="331"/>
    </x:row>
    <x:row r="2" spans="2:12" ht="12.75" customHeight="1"/>
    <x:row r="3" spans="2:12" ht="27.6" customHeight="1">
      <x:c r="B3" s="15"/>
    </x:row>
    <x:row r="4" spans="2:12" ht="14.45" customHeight="1">
      <x:c r="C4" s="13"/>
      <x:c r="D4" s="13"/>
    </x:row>
    <x:row r="5" spans="2:12" ht="25.7" customHeight="1">
      <x:c r="B5" s="355" t="s">
        <x:v>21</x:v>
      </x:c>
      <x:c r="C5" s="355" t="s">
        <x:v>297</x:v>
      </x:c>
      <x:c r="D5" s="355" t="s">
        <x:v>394</x:v>
      </x:c>
      <x:c r="E5" s="355" t="s">
        <x:v>390</x:v>
      </x:c>
      <x:c r="F5" s="355" t="s">
        <x:v>391</x:v>
      </x:c>
      <x:c r="G5" s="355" t="s">
        <x:v>374</x:v>
      </x:c>
    </x:row>
    <x:row r="6" spans="2:12" s="6" customFormat="1" ht="20.45" customHeight="1">
      <x:c r="B6" s="19" t="s">
        <x:v>22</x:v>
      </x:c>
      <x:c r="C6" s="20">
        <x:f>SUM(C7:C10)</x:f>
        <x:v>0</x:v>
      </x:c>
      <x:c r="D6" s="20">
        <x:f t="shared" ref="D6" si="0">SUM(D7:D10)</x:f>
        <x:v>0</x:v>
      </x:c>
      <x:c r="E6" s="20">
        <x:f>D6-C6</x:f>
        <x:v>0</x:v>
      </x:c>
      <x:c r="F6" s="358" t="e">
        <x:f>D6/C6-1</x:f>
        <x:v>#DIV/0!</x:v>
      </x:c>
      <x:c r="G6" s="20"/>
    </x:row>
    <x:row r="7" spans="2:12">
      <x:c r="B7" s="13" t="s">
        <x:v>183</x:v>
      </x:c>
      <x:c r="C7" s="161">
        <x:f>'3. 손익계산서 월별실적'!M7/1000000</x:f>
        <x:v>0</x:v>
      </x:c>
      <x:c r="D7" s="161">
        <x:f>'3. 손익계산서 월별실적'!N7/1000000</x:f>
        <x:v>0</x:v>
      </x:c>
      <x:c r="E7" s="14">
        <x:f t="shared" ref="E7:E68" si="1">D7-C7</x:f>
        <x:v>0</x:v>
      </x:c>
      <x:c r="F7" s="49" t="e">
        <x:f t="shared" ref="F7:F68" si="2">D7/C7-1</x:f>
        <x:v>#DIV/0!</x:v>
      </x:c>
    </x:row>
    <x:row r="8" spans="2:12">
      <x:c r="B8" s="13" t="s">
        <x:v>330</x:v>
      </x:c>
      <x:c r="C8" s="161">
        <x:f>'3. 손익계산서 월별실적'!M8/1000000</x:f>
        <x:v>0</x:v>
      </x:c>
      <x:c r="D8" s="161">
        <x:f>'3. 손익계산서 월별실적'!N8/1000000</x:f>
        <x:v>0</x:v>
      </x:c>
      <x:c r="E8" s="14">
        <x:f t="shared" si="1"/>
        <x:v>0</x:v>
      </x:c>
      <x:c r="F8" s="49" t="e">
        <x:f t="shared" si="2"/>
        <x:v>#DIV/0!</x:v>
      </x:c>
    </x:row>
    <x:row r="9" spans="2:12">
      <x:c r="B9" s="13" t="s">
        <x:v>5</x:v>
      </x:c>
      <x:c r="C9" s="14">
        <x:f>'3. 손익계산서 월별실적'!M9/1000000</x:f>
        <x:v>0</x:v>
      </x:c>
      <x:c r="D9" s="14">
        <x:f>'3. 손익계산서 월별실적'!N9/1000000</x:f>
        <x:v>0</x:v>
      </x:c>
      <x:c r="E9" s="14">
        <x:f t="shared" si="1"/>
        <x:v>0</x:v>
      </x:c>
      <x:c r="F9" s="49" t="e">
        <x:f t="shared" si="2"/>
        <x:v>#DIV/0!</x:v>
      </x:c>
      <x:c r="L9" s="191"/>
    </x:row>
    <x:row r="10" spans="2:12">
      <x:c r="B10" s="13" t="s">
        <x:v>6</x:v>
      </x:c>
      <x:c r="C10" s="14">
        <x:f>'3. 손익계산서 월별실적'!M10/1000000</x:f>
        <x:v>0</x:v>
      </x:c>
      <x:c r="D10" s="14">
        <x:f>'3. 손익계산서 월별실적'!N10/1000000</x:f>
        <x:v>0</x:v>
      </x:c>
      <x:c r="E10" s="14">
        <x:f t="shared" si="1"/>
        <x:v>0</x:v>
      </x:c>
      <x:c r="F10" s="49" t="e">
        <x:f t="shared" si="2"/>
        <x:v>#DIV/0!</x:v>
      </x:c>
      <x:c r="L10" s="191"/>
    </x:row>
    <x:row r="11" spans="2:12" s="6" customFormat="1" ht="21.6" customHeight="1">
      <x:c r="B11" s="19" t="s">
        <x:v>23</x:v>
      </x:c>
      <x:c r="C11" s="20">
        <x:f>SUM(C12:C15)</x:f>
        <x:v>0</x:v>
      </x:c>
      <x:c r="D11" s="20">
        <x:f t="shared" ref="D11" si="3">SUM(D12:D15)</x:f>
        <x:v>0</x:v>
      </x:c>
      <x:c r="E11" s="20">
        <x:f t="shared" si="1"/>
        <x:v>0</x:v>
      </x:c>
      <x:c r="F11" s="358" t="e">
        <x:f t="shared" si="2"/>
        <x:v>#DIV/0!</x:v>
      </x:c>
      <x:c r="G11" s="20"/>
      <x:c r="J11" s="13"/>
    </x:row>
    <x:row r="12" spans="2:12" s="6" customFormat="1" ht="21.6" customHeight="1">
      <x:c r="B12" s="13" t="s">
        <x:v>183</x:v>
      </x:c>
      <x:c r="C12" s="14">
        <x:f>'3. 손익계산서 월별실적'!M12/1000000</x:f>
        <x:v>0</x:v>
      </x:c>
      <x:c r="D12" s="14">
        <x:f>'3. 손익계산서 월별실적'!N12/1000000</x:f>
        <x:v>0</x:v>
      </x:c>
      <x:c r="E12" s="14">
        <x:f t="shared" si="1"/>
        <x:v>0</x:v>
      </x:c>
      <x:c r="F12" s="49" t="e">
        <x:f t="shared" si="2"/>
        <x:v>#DIV/0!</x:v>
      </x:c>
      <x:c r="G12" s="14"/>
      <x:c r="H12" s="204"/>
    </x:row>
    <x:row r="13" spans="2:12">
      <x:c r="B13" s="13" t="s">
        <x:v>330</x:v>
      </x:c>
      <x:c r="C13" s="190">
        <x:f>'3. 손익계산서 월별실적'!M13/1000000</x:f>
        <x:v>0</x:v>
      </x:c>
      <x:c r="D13" s="190">
        <x:f>'3. 손익계산서 월별실적'!N13/1000000</x:f>
        <x:v>0</x:v>
      </x:c>
      <x:c r="E13" s="14">
        <x:f t="shared" si="1"/>
        <x:v>0</x:v>
      </x:c>
      <x:c r="F13" s="49" t="e">
        <x:f t="shared" si="2"/>
        <x:v>#DIV/0!</x:v>
      </x:c>
      <x:c r="H13" s="191"/>
      <x:c r="I13" s="183"/>
    </x:row>
    <x:row r="14" spans="2:12">
      <x:c r="B14" s="13" t="s">
        <x:v>5</x:v>
      </x:c>
      <x:c r="C14" s="190">
        <x:f>'3. 손익계산서 월별실적'!M14/1000000</x:f>
        <x:v>0</x:v>
      </x:c>
      <x:c r="D14" s="190">
        <x:f>'3. 손익계산서 월별실적'!N14/1000000</x:f>
        <x:v>0</x:v>
      </x:c>
      <x:c r="E14" s="14">
        <x:f t="shared" si="1"/>
        <x:v>0</x:v>
      </x:c>
      <x:c r="F14" s="49" t="e">
        <x:f t="shared" si="2"/>
        <x:v>#DIV/0!</x:v>
      </x:c>
      <x:c r="H14" s="191"/>
      <x:c r="I14" s="183"/>
    </x:row>
    <x:row r="15" spans="2:12">
      <x:c r="B15" s="13" t="s">
        <x:v>6</x:v>
      </x:c>
      <x:c r="C15" s="190">
        <x:f>'3. 손익계산서 월별실적'!M15/1000000</x:f>
        <x:v>0</x:v>
      </x:c>
      <x:c r="D15" s="190">
        <x:f>'3. 손익계산서 월별실적'!N15/1000000</x:f>
        <x:v>0</x:v>
      </x:c>
      <x:c r="E15" s="14">
        <x:f t="shared" si="1"/>
        <x:v>0</x:v>
      </x:c>
      <x:c r="F15" s="49" t="e">
        <x:f t="shared" si="2"/>
        <x:v>#DIV/0!</x:v>
      </x:c>
      <x:c r="I15" s="183"/>
    </x:row>
    <x:row r="16" spans="2:12" s="6" customFormat="1" ht="17.45" customHeight="1">
      <x:c r="B16" s="19" t="s">
        <x:v>24</x:v>
      </x:c>
      <x:c r="C16" s="20">
        <x:f t="shared" ref="C16:D16" si="4">+C6-C11</x:f>
        <x:v>0</x:v>
      </x:c>
      <x:c r="D16" s="20">
        <x:f t="shared" si="4"/>
        <x:v>0</x:v>
      </x:c>
      <x:c r="E16" s="20">
        <x:f t="shared" si="1"/>
        <x:v>0</x:v>
      </x:c>
      <x:c r="F16" s="358" t="e">
        <x:f t="shared" si="2"/>
        <x:v>#DIV/0!</x:v>
      </x:c>
      <x:c r="G16" s="20"/>
      <x:c r="I16" s="183"/>
    </x:row>
    <x:row r="17" spans="2:10" s="65" customFormat="1">
      <x:c r="B17" s="69" t="s">
        <x:v>25</x:v>
      </x:c>
      <x:c r="C17" s="56">
        <x:f>+IFERROR(C16/C6,)</x:f>
        <x:v>0</x:v>
      </x:c>
      <x:c r="D17" s="56">
        <x:f>+IFERROR(D16/D6,)</x:f>
        <x:v>0</x:v>
      </x:c>
      <x:c r="E17" s="56">
        <x:f t="shared" si="1"/>
        <x:v>0</x:v>
      </x:c>
      <x:c r="F17" s="56"/>
      <x:c r="G17" s="49"/>
      <x:c r="I17" s="183"/>
    </x:row>
    <x:row r="18" spans="2:10" s="6" customFormat="1" ht="18.600000000000001" customHeight="1">
      <x:c r="B18" s="19" t="s">
        <x:v>26</x:v>
      </x:c>
      <x:c r="C18" s="20">
        <x:f>+C19+C35+C53</x:f>
        <x:v>0</x:v>
      </x:c>
      <x:c r="D18" s="20">
        <x:f t="shared" ref="D18" si="5">+D19+D35+D53</x:f>
        <x:v>0</x:v>
      </x:c>
      <x:c r="E18" s="20">
        <x:f t="shared" si="1"/>
        <x:v>0</x:v>
      </x:c>
      <x:c r="F18" s="358" t="e">
        <x:f t="shared" si="2"/>
        <x:v>#DIV/0!</x:v>
      </x:c>
      <x:c r="G18" s="20"/>
      <x:c r="I18" s="183"/>
    </x:row>
    <x:row r="19" spans="2:10" ht="16.5">
      <x:c r="B19" s="73" t="s">
        <x:v>2</x:v>
      </x:c>
      <x:c r="C19" s="6">
        <x:f>SUM(C20:C33)</x:f>
        <x:v>0</x:v>
      </x:c>
      <x:c r="D19" s="6">
        <x:f t="shared" ref="D19" si="6">SUM(D20:D33)</x:f>
        <x:v>0</x:v>
      </x:c>
      <x:c r="E19" s="356">
        <x:f t="shared" si="1"/>
        <x:v>0</x:v>
      </x:c>
      <x:c r="F19" s="359" t="e">
        <x:f t="shared" si="2"/>
        <x:v>#DIV/0!</x:v>
      </x:c>
      <x:c r="G19" s="6"/>
      <x:c r="I19" s="238"/>
    </x:row>
    <x:row r="20" spans="2:10">
      <x:c r="B20" s="26" t="s">
        <x:v>49</x:v>
      </x:c>
      <x:c r="C20" s="14">
        <x:f>'3. 손익계산서 월별실적'!M20/1000000</x:f>
        <x:v>0</x:v>
      </x:c>
      <x:c r="D20" s="14">
        <x:f>'3. 손익계산서 월별실적'!N20/1000000</x:f>
        <x:v>0</x:v>
      </x:c>
      <x:c r="E20" s="14">
        <x:f t="shared" si="1"/>
        <x:v>0</x:v>
      </x:c>
      <x:c r="F20" s="360" t="e">
        <x:f t="shared" si="2"/>
        <x:v>#DIV/0!</x:v>
      </x:c>
      <x:c r="G20" s="357"/>
      <x:c r="H20" s="185"/>
      <x:c r="I20" s="238"/>
      <x:c r="J20" s="14"/>
    </x:row>
    <x:row r="21" spans="2:10">
      <x:c r="B21" s="26" t="s">
        <x:v>50</x:v>
      </x:c>
      <x:c r="C21" s="13">
        <x:f>'3. 손익계산서 월별실적'!M21/1000000</x:f>
        <x:v>0</x:v>
      </x:c>
      <x:c r="D21" s="13">
        <x:f>'3. 손익계산서 월별실적'!N21/1000000</x:f>
        <x:v>0</x:v>
      </x:c>
      <x:c r="E21" s="13">
        <x:f t="shared" si="1"/>
        <x:v>0</x:v>
      </x:c>
      <x:c r="F21" s="360" t="e">
        <x:f t="shared" si="2"/>
        <x:v>#DIV/0!</x:v>
      </x:c>
      <x:c r="G21" s="357"/>
      <x:c r="H21" s="26"/>
      <x:c r="I21" s="238"/>
    </x:row>
    <x:row r="22" spans="2:10">
      <x:c r="B22" s="26" t="s">
        <x:v>51</x:v>
      </x:c>
      <x:c r="C22" s="13">
        <x:f>'3. 손익계산서 월별실적'!M22/1000000</x:f>
        <x:v>0</x:v>
      </x:c>
      <x:c r="D22" s="13">
        <x:f>'3. 손익계산서 월별실적'!N22/1000000</x:f>
        <x:v>0</x:v>
      </x:c>
      <x:c r="E22" s="13">
        <x:f t="shared" si="1"/>
        <x:v>0</x:v>
      </x:c>
      <x:c r="F22" s="360" t="e">
        <x:f t="shared" si="2"/>
        <x:v>#DIV/0!</x:v>
      </x:c>
      <x:c r="G22" s="349"/>
      <x:c r="H22" s="26"/>
      <x:c r="I22" s="239"/>
    </x:row>
    <x:row r="23" spans="2:10">
      <x:c r="B23" s="26" t="s">
        <x:v>52</x:v>
      </x:c>
      <x:c r="C23" s="13">
        <x:f>'3. 손익계산서 월별실적'!M23/1000000</x:f>
        <x:v>0</x:v>
      </x:c>
      <x:c r="D23" s="13">
        <x:f>'3. 손익계산서 월별실적'!N23/1000000</x:f>
        <x:v>0</x:v>
      </x:c>
      <x:c r="E23" s="13">
        <x:f t="shared" si="1"/>
        <x:v>0</x:v>
      </x:c>
      <x:c r="F23" s="360" t="e">
        <x:f t="shared" si="2"/>
        <x:v>#DIV/0!</x:v>
      </x:c>
      <x:c r="G23" s="349"/>
      <x:c r="H23" s="26"/>
      <x:c r="I23" s="239"/>
    </x:row>
    <x:row r="24" spans="2:10">
      <x:c r="B24" s="26" t="s">
        <x:v>53</x:v>
      </x:c>
      <x:c r="C24" s="13">
        <x:f>'3. 손익계산서 월별실적'!M24/1000000</x:f>
        <x:v>0</x:v>
      </x:c>
      <x:c r="D24" s="13">
        <x:f>'3. 손익계산서 월별실적'!N24/1000000</x:f>
        <x:v>0</x:v>
      </x:c>
      <x:c r="E24" s="13">
        <x:f t="shared" si="1"/>
        <x:v>0</x:v>
      </x:c>
      <x:c r="F24" s="360" t="e">
        <x:f t="shared" si="2"/>
        <x:v>#DIV/0!</x:v>
      </x:c>
      <x:c r="G24" s="349"/>
      <x:c r="H24" s="26"/>
      <x:c r="I24" s="239"/>
    </x:row>
    <x:row r="25" spans="2:10">
      <x:c r="B25" s="26" t="s">
        <x:v>54</x:v>
      </x:c>
      <x:c r="C25" s="13">
        <x:f>'3. 손익계산서 월별실적'!M25/1000000</x:f>
        <x:v>0</x:v>
      </x:c>
      <x:c r="D25" s="13">
        <x:f>'3. 손익계산서 월별실적'!N25/1000000</x:f>
        <x:v>0</x:v>
      </x:c>
      <x:c r="E25" s="14">
        <x:f t="shared" si="1"/>
        <x:v>0</x:v>
      </x:c>
      <x:c r="F25" s="360" t="e">
        <x:f t="shared" si="2"/>
        <x:v>#DIV/0!</x:v>
      </x:c>
      <x:c r="H25" s="26"/>
      <x:c r="I25" s="239"/>
    </x:row>
    <x:row r="26" spans="2:10">
      <x:c r="B26" s="26" t="s">
        <x:v>55</x:v>
      </x:c>
      <x:c r="C26" s="13">
        <x:f>'3. 손익계산서 월별실적'!M26/1000000</x:f>
        <x:v>0</x:v>
      </x:c>
      <x:c r="D26" s="13">
        <x:f>'3. 손익계산서 월별실적'!N26/1000000</x:f>
        <x:v>0</x:v>
      </x:c>
      <x:c r="E26" s="14">
        <x:f t="shared" si="1"/>
        <x:v>0</x:v>
      </x:c>
      <x:c r="F26" s="360" t="e">
        <x:f t="shared" si="2"/>
        <x:v>#DIV/0!</x:v>
      </x:c>
      <x:c r="H26" s="26"/>
      <x:c r="I26" s="239"/>
    </x:row>
    <x:row r="27" spans="2:10">
      <x:c r="B27" s="26" t="s">
        <x:v>56</x:v>
      </x:c>
      <x:c r="C27" s="349">
        <x:f>'3. 손익계산서 월별실적'!M27/1000000</x:f>
        <x:v>0</x:v>
      </x:c>
      <x:c r="D27" s="349">
        <x:f>'3. 손익계산서 월별실적'!N27/1000000</x:f>
        <x:v>0</x:v>
      </x:c>
      <x:c r="E27" s="13">
        <x:f t="shared" si="1"/>
        <x:v>0</x:v>
      </x:c>
      <x:c r="F27" s="360" t="e">
        <x:f t="shared" si="2"/>
        <x:v>#DIV/0!</x:v>
      </x:c>
      <x:c r="G27" s="349"/>
      <x:c r="H27" s="26"/>
      <x:c r="I27" s="239"/>
    </x:row>
    <x:row r="28" spans="2:10">
      <x:c r="B28" s="26" t="s">
        <x:v>57</x:v>
      </x:c>
      <x:c r="C28" s="13">
        <x:f>'3. 손익계산서 월별실적'!M28/1000000</x:f>
        <x:v>0</x:v>
      </x:c>
      <x:c r="D28" s="13">
        <x:f>'3. 손익계산서 월별실적'!N28/1000000</x:f>
        <x:v>0</x:v>
      </x:c>
      <x:c r="E28" s="13">
        <x:f t="shared" si="1"/>
        <x:v>0</x:v>
      </x:c>
      <x:c r="F28" s="360" t="e">
        <x:f t="shared" si="2"/>
        <x:v>#DIV/0!</x:v>
      </x:c>
      <x:c r="G28" s="349"/>
      <x:c r="H28" s="26"/>
      <x:c r="I28" s="239"/>
    </x:row>
    <x:row r="29" spans="2:10">
      <x:c r="B29" s="26" t="s">
        <x:v>58</x:v>
      </x:c>
      <x:c r="C29" s="13">
        <x:f>'3. 손익계산서 월별실적'!M29/1000000</x:f>
        <x:v>0</x:v>
      </x:c>
      <x:c r="D29" s="13">
        <x:f>'3. 손익계산서 월별실적'!N29/1000000</x:f>
        <x:v>0</x:v>
      </x:c>
      <x:c r="E29" s="13">
        <x:f t="shared" si="1"/>
        <x:v>0</x:v>
      </x:c>
      <x:c r="F29" s="360" t="e">
        <x:f t="shared" si="2"/>
        <x:v>#DIV/0!</x:v>
      </x:c>
      <x:c r="G29" s="349"/>
      <x:c r="H29" s="26"/>
      <x:c r="I29" s="239"/>
    </x:row>
    <x:row r="30" spans="2:10">
      <x:c r="B30" s="26" t="s">
        <x:v>59</x:v>
      </x:c>
      <x:c r="C30" s="13">
        <x:f>'3. 손익계산서 월별실적'!M30/1000000</x:f>
        <x:v>0</x:v>
      </x:c>
      <x:c r="D30" s="13">
        <x:f>'3. 손익계산서 월별실적'!N30/1000000</x:f>
        <x:v>0</x:v>
      </x:c>
      <x:c r="E30" s="14">
        <x:f t="shared" si="1"/>
        <x:v>0</x:v>
      </x:c>
      <x:c r="F30" s="360" t="e">
        <x:f t="shared" si="2"/>
        <x:v>#DIV/0!</x:v>
      </x:c>
      <x:c r="H30" s="26"/>
      <x:c r="I30" s="239"/>
    </x:row>
    <x:row r="31" spans="2:10">
      <x:c r="B31" s="26" t="s">
        <x:v>60</x:v>
      </x:c>
      <x:c r="C31" s="13">
        <x:f>'3. 손익계산서 월별실적'!M31/1000000</x:f>
        <x:v>0</x:v>
      </x:c>
      <x:c r="D31" s="13">
        <x:f>'3. 손익계산서 월별실적'!N31/1000000</x:f>
        <x:v>0</x:v>
      </x:c>
      <x:c r="E31" s="14">
        <x:f t="shared" si="1"/>
        <x:v>0</x:v>
      </x:c>
      <x:c r="F31" s="360" t="e">
        <x:f t="shared" si="2"/>
        <x:v>#DIV/0!</x:v>
      </x:c>
      <x:c r="H31" s="26"/>
      <x:c r="I31" s="239"/>
    </x:row>
    <x:row r="32" spans="2:10">
      <x:c r="B32" s="26" t="s">
        <x:v>61</x:v>
      </x:c>
      <x:c r="C32" s="13">
        <x:f>'3. 손익계산서 월별실적'!M32/1000000</x:f>
        <x:v>0</x:v>
      </x:c>
      <x:c r="D32" s="13">
        <x:f>'3. 손익계산서 월별실적'!N32/1000000</x:f>
        <x:v>0</x:v>
      </x:c>
      <x:c r="E32" s="14">
        <x:f t="shared" si="1"/>
        <x:v>0</x:v>
      </x:c>
      <x:c r="F32" s="360" t="e">
        <x:f t="shared" si="2"/>
        <x:v>#DIV/0!</x:v>
      </x:c>
      <x:c r="H32" s="26"/>
      <x:c r="I32" s="239"/>
    </x:row>
    <x:row r="33" spans="2:9">
      <x:c r="B33" s="26" t="s">
        <x:v>62</x:v>
      </x:c>
      <x:c r="C33" s="13">
        <x:f>'3. 손익계산서 월별실적'!M33/1000000</x:f>
        <x:v>0</x:v>
      </x:c>
      <x:c r="D33" s="13">
        <x:f>'3. 손익계산서 월별실적'!N33/1000000</x:f>
        <x:v>0</x:v>
      </x:c>
      <x:c r="E33" s="13">
        <x:f t="shared" si="1"/>
        <x:v>0</x:v>
      </x:c>
      <x:c r="F33" s="360" t="e">
        <x:f t="shared" si="2"/>
        <x:v>#DIV/0!</x:v>
      </x:c>
      <x:c r="G33" s="349"/>
      <x:c r="H33" s="26"/>
      <x:c r="I33" s="239"/>
    </x:row>
    <x:row r="34" spans="2:9">
      <x:c r="B34" s="27"/>
      <x:c r="C34" s="75"/>
      <x:c r="D34" s="75"/>
      <x:c r="E34" s="14">
        <x:f t="shared" si="1"/>
        <x:v>0</x:v>
      </x:c>
      <x:c r="F34" s="360" t="e">
        <x:f t="shared" si="2"/>
        <x:v>#DIV/0!</x:v>
      </x:c>
      <x:c r="I34" s="239"/>
    </x:row>
    <x:row r="35" spans="2:9" ht="16.5">
      <x:c r="B35" s="73" t="s">
        <x:v>3</x:v>
      </x:c>
      <x:c r="C35" s="6">
        <x:f>SUM(C36:C51)</x:f>
        <x:v>0</x:v>
      </x:c>
      <x:c r="D35" s="6">
        <x:f t="shared" ref="D35" si="7">SUM(D36:D51)</x:f>
        <x:v>0</x:v>
      </x:c>
      <x:c r="E35" s="356">
        <x:f t="shared" si="1"/>
        <x:v>0</x:v>
      </x:c>
      <x:c r="F35" s="359" t="e">
        <x:f t="shared" si="2"/>
        <x:v>#DIV/0!</x:v>
      </x:c>
      <x:c r="G35" s="13"/>
      <x:c r="I35" s="239"/>
    </x:row>
    <x:row r="36" spans="2:9">
      <x:c r="B36" s="68" t="s">
        <x:v>42</x:v>
      </x:c>
      <x:c r="C36" s="349">
        <x:f>'3. 손익계산서 월별실적'!M36/1000000</x:f>
        <x:v>0</x:v>
      </x:c>
      <x:c r="D36" s="349">
        <x:f>'3. 손익계산서 월별실적'!N36/1000000</x:f>
        <x:v>0</x:v>
      </x:c>
      <x:c r="E36" s="13">
        <x:f t="shared" si="1"/>
        <x:v>0</x:v>
      </x:c>
      <x:c r="F36" s="360" t="e">
        <x:f t="shared" si="2"/>
        <x:v>#DIV/0!</x:v>
      </x:c>
      <x:c r="G36" s="357"/>
      <x:c r="H36" s="185"/>
      <x:c r="I36" s="238"/>
    </x:row>
    <x:row r="37" spans="2:9">
      <x:c r="B37" s="68" t="s">
        <x:v>43</x:v>
      </x:c>
      <x:c r="C37" s="349">
        <x:f>'3. 손익계산서 월별실적'!M37/1000000</x:f>
        <x:v>0</x:v>
      </x:c>
      <x:c r="D37" s="349">
        <x:f>'3. 손익계산서 월별실적'!N37/1000000</x:f>
        <x:v>0</x:v>
      </x:c>
      <x:c r="E37" s="13">
        <x:f t="shared" si="1"/>
        <x:v>0</x:v>
      </x:c>
      <x:c r="F37" s="360" t="e">
        <x:f t="shared" si="2"/>
        <x:v>#DIV/0!</x:v>
      </x:c>
      <x:c r="G37" s="349"/>
      <x:c r="H37" s="330"/>
      <x:c r="I37" s="239"/>
    </x:row>
    <x:row r="38" spans="2:9">
      <x:c r="B38" s="68" t="s">
        <x:v>44</x:v>
      </x:c>
      <x:c r="C38" s="349">
        <x:f>'3. 손익계산서 월별실적'!M38/1000000</x:f>
        <x:v>0</x:v>
      </x:c>
      <x:c r="D38" s="349">
        <x:f>'3. 손익계산서 월별실적'!N38/1000000</x:f>
        <x:v>0</x:v>
      </x:c>
      <x:c r="E38" s="13">
        <x:f t="shared" si="1"/>
        <x:v>0</x:v>
      </x:c>
      <x:c r="F38" s="360" t="e">
        <x:f t="shared" si="2"/>
        <x:v>#DIV/0!</x:v>
      </x:c>
      <x:c r="G38" s="349"/>
      <x:c r="H38" s="330"/>
      <x:c r="I38" s="239"/>
    </x:row>
    <x:row r="39" spans="2:9">
      <x:c r="B39" s="68" t="s">
        <x:v>34</x:v>
      </x:c>
      <x:c r="C39" s="349">
        <x:f>'3. 손익계산서 월별실적'!M39/1000000</x:f>
        <x:v>0</x:v>
      </x:c>
      <x:c r="D39" s="349">
        <x:f>'3. 손익계산서 월별실적'!N39/1000000</x:f>
        <x:v>0</x:v>
      </x:c>
      <x:c r="E39" s="13">
        <x:f t="shared" si="1"/>
        <x:v>0</x:v>
      </x:c>
      <x:c r="F39" s="360" t="e">
        <x:f t="shared" si="2"/>
        <x:v>#DIV/0!</x:v>
      </x:c>
      <x:c r="G39" s="349"/>
      <x:c r="H39" s="330"/>
      <x:c r="I39" s="239"/>
    </x:row>
    <x:row r="40" spans="2:9">
      <x:c r="B40" s="68" t="s">
        <x:v>38</x:v>
      </x:c>
      <x:c r="C40" s="349">
        <x:f>'3. 손익계산서 월별실적'!M40/1000000</x:f>
        <x:v>0</x:v>
      </x:c>
      <x:c r="D40" s="349">
        <x:f>'3. 손익계산서 월별실적'!N40/1000000</x:f>
        <x:v>0</x:v>
      </x:c>
      <x:c r="E40" s="13">
        <x:f t="shared" si="1"/>
        <x:v>0</x:v>
      </x:c>
      <x:c r="F40" s="360" t="e">
        <x:f t="shared" si="2"/>
        <x:v>#DIV/0!</x:v>
      </x:c>
      <x:c r="G40" s="349"/>
      <x:c r="H40" s="330"/>
      <x:c r="I40" s="239"/>
    </x:row>
    <x:row r="41" spans="2:9">
      <x:c r="B41" s="68" t="s">
        <x:v>39</x:v>
      </x:c>
      <x:c r="C41" s="13">
        <x:f>'3. 손익계산서 월별실적'!M41/1000000</x:f>
        <x:v>0</x:v>
      </x:c>
      <x:c r="D41" s="13">
        <x:f>'3. 손익계산서 월별실적'!N41/1000000</x:f>
        <x:v>0</x:v>
      </x:c>
      <x:c r="E41" s="14">
        <x:f t="shared" si="1"/>
        <x:v>0</x:v>
      </x:c>
      <x:c r="F41" s="360" t="e">
        <x:f t="shared" si="2"/>
        <x:v>#DIV/0!</x:v>
      </x:c>
      <x:c r="H41" s="68"/>
      <x:c r="I41" s="239"/>
    </x:row>
    <x:row r="42" spans="2:9">
      <x:c r="B42" s="68" t="s">
        <x:v>37</x:v>
      </x:c>
      <x:c r="C42" s="13">
        <x:f>'3. 손익계산서 월별실적'!M42/1000000</x:f>
        <x:v>0</x:v>
      </x:c>
      <x:c r="D42" s="13">
        <x:f>'3. 손익계산서 월별실적'!N42/1000000</x:f>
        <x:v>0</x:v>
      </x:c>
      <x:c r="E42" s="14">
        <x:f t="shared" si="1"/>
        <x:v>0</x:v>
      </x:c>
      <x:c r="F42" s="360" t="e">
        <x:f t="shared" si="2"/>
        <x:v>#DIV/0!</x:v>
      </x:c>
      <x:c r="H42" s="68"/>
      <x:c r="I42" s="239"/>
    </x:row>
    <x:row r="43" spans="2:9">
      <x:c r="B43" s="68" t="s">
        <x:v>40</x:v>
      </x:c>
      <x:c r="C43" s="349">
        <x:f>'3. 손익계산서 월별실적'!M43/1000000</x:f>
        <x:v>0</x:v>
      </x:c>
      <x:c r="D43" s="349">
        <x:f>'3. 손익계산서 월별실적'!N43/1000000</x:f>
        <x:v>0</x:v>
      </x:c>
      <x:c r="E43" s="13">
        <x:f t="shared" si="1"/>
        <x:v>0</x:v>
      </x:c>
      <x:c r="F43" s="360" t="e">
        <x:f t="shared" si="2"/>
        <x:v>#DIV/0!</x:v>
      </x:c>
      <x:c r="G43" s="349"/>
      <x:c r="H43" s="330"/>
      <x:c r="I43" s="239"/>
    </x:row>
    <x:row r="44" spans="2:9">
      <x:c r="B44" s="68" t="s">
        <x:v>35</x:v>
      </x:c>
      <x:c r="C44" s="349">
        <x:f>'3. 손익계산서 월별실적'!M44/1000000</x:f>
        <x:v>0</x:v>
      </x:c>
      <x:c r="D44" s="349">
        <x:f>'3. 손익계산서 월별실적'!N44/1000000</x:f>
        <x:v>0</x:v>
      </x:c>
      <x:c r="E44" s="13">
        <x:f t="shared" si="1"/>
        <x:v>0</x:v>
      </x:c>
      <x:c r="F44" s="360" t="e">
        <x:f t="shared" si="2"/>
        <x:v>#DIV/0!</x:v>
      </x:c>
      <x:c r="G44" s="349"/>
      <x:c r="H44" s="330"/>
      <x:c r="I44" s="239"/>
    </x:row>
    <x:row r="45" spans="2:9">
      <x:c r="B45" s="68" t="s">
        <x:v>36</x:v>
      </x:c>
      <x:c r="C45" s="349">
        <x:f>'3. 손익계산서 월별실적'!M45/1000000</x:f>
        <x:v>0</x:v>
      </x:c>
      <x:c r="D45" s="349">
        <x:f>'3. 손익계산서 월별실적'!N45/1000000</x:f>
        <x:v>0</x:v>
      </x:c>
      <x:c r="E45" s="13">
        <x:f t="shared" si="1"/>
        <x:v>0</x:v>
      </x:c>
      <x:c r="F45" s="360" t="e">
        <x:f t="shared" si="2"/>
        <x:v>#DIV/0!</x:v>
      </x:c>
      <x:c r="G45" s="349"/>
      <x:c r="H45" s="330"/>
      <x:c r="I45" s="239"/>
    </x:row>
    <x:row r="46" spans="2:9">
      <x:c r="B46" s="68" t="s">
        <x:v>45</x:v>
      </x:c>
      <x:c r="C46" s="13">
        <x:f>'3. 손익계산서 월별실적'!M46/1000000</x:f>
        <x:v>0</x:v>
      </x:c>
      <x:c r="D46" s="13">
        <x:f>'3. 손익계산서 월별실적'!N46/1000000</x:f>
        <x:v>0</x:v>
      </x:c>
      <x:c r="E46" s="13">
        <x:f t="shared" si="1"/>
        <x:v>0</x:v>
      </x:c>
      <x:c r="F46" s="360" t="e">
        <x:f t="shared" si="2"/>
        <x:v>#DIV/0!</x:v>
      </x:c>
      <x:c r="G46" s="349"/>
      <x:c r="H46" s="330"/>
      <x:c r="I46" s="239"/>
    </x:row>
    <x:row r="47" spans="2:9">
      <x:c r="B47" s="68" t="s">
        <x:v>46</x:v>
      </x:c>
      <x:c r="C47" s="13">
        <x:f>'3. 손익계산서 월별실적'!M47/1000000</x:f>
        <x:v>0</x:v>
      </x:c>
      <x:c r="D47" s="13">
        <x:f>'3. 손익계산서 월별실적'!N47/1000000</x:f>
        <x:v>0</x:v>
      </x:c>
      <x:c r="E47" s="14">
        <x:f t="shared" si="1"/>
        <x:v>0</x:v>
      </x:c>
      <x:c r="F47" s="360" t="e">
        <x:f t="shared" si="2"/>
        <x:v>#DIV/0!</x:v>
      </x:c>
      <x:c r="H47" s="68"/>
      <x:c r="I47" s="239"/>
    </x:row>
    <x:row r="48" spans="2:9">
      <x:c r="B48" s="68" t="s">
        <x:v>47</x:v>
      </x:c>
      <x:c r="C48" s="13">
        <x:f>'3. 손익계산서 월별실적'!M48/1000000</x:f>
        <x:v>0</x:v>
      </x:c>
      <x:c r="D48" s="13">
        <x:f>'3. 손익계산서 월별실적'!N48/1000000</x:f>
        <x:v>0</x:v>
      </x:c>
      <x:c r="E48" s="14">
        <x:f t="shared" si="1"/>
        <x:v>0</x:v>
      </x:c>
      <x:c r="F48" s="360" t="e">
        <x:f t="shared" si="2"/>
        <x:v>#DIV/0!</x:v>
      </x:c>
      <x:c r="H48" s="68"/>
      <x:c r="I48" s="239"/>
    </x:row>
    <x:row r="49" spans="2:9">
      <x:c r="B49" s="68" t="s">
        <x:v>48</x:v>
      </x:c>
      <x:c r="C49" s="349">
        <x:f>'3. 손익계산서 월별실적'!M49/1000000</x:f>
        <x:v>0</x:v>
      </x:c>
      <x:c r="D49" s="349">
        <x:f>'3. 손익계산서 월별실적'!N49/1000000</x:f>
        <x:v>0</x:v>
      </x:c>
      <x:c r="E49" s="13">
        <x:f t="shared" si="1"/>
        <x:v>0</x:v>
      </x:c>
      <x:c r="F49" s="360" t="e">
        <x:f t="shared" si="2"/>
        <x:v>#DIV/0!</x:v>
      </x:c>
      <x:c r="G49" s="349"/>
      <x:c r="H49" s="330"/>
      <x:c r="I49" s="239"/>
    </x:row>
    <x:row r="50" spans="2:9">
      <x:c r="B50" s="68" t="s">
        <x:v>63</x:v>
      </x:c>
      <x:c r="C50" s="13">
        <x:f>'3. 손익계산서 월별실적'!M50/1000000</x:f>
        <x:v>0</x:v>
      </x:c>
      <x:c r="D50" s="13">
        <x:f>'3. 손익계산서 월별실적'!N50/1000000</x:f>
        <x:v>0</x:v>
      </x:c>
      <x:c r="E50" s="14">
        <x:f t="shared" si="1"/>
        <x:v>0</x:v>
      </x:c>
      <x:c r="F50" s="360" t="e">
        <x:f t="shared" si="2"/>
        <x:v>#DIV/0!</x:v>
      </x:c>
      <x:c r="H50" s="68"/>
      <x:c r="I50" s="239"/>
    </x:row>
    <x:row r="51" spans="2:9" ht="19.350000000000001" customHeight="1">
      <x:c r="B51" s="68" t="s">
        <x:v>64</x:v>
      </x:c>
      <x:c r="C51" s="13">
        <x:f>'3. 손익계산서 월별실적'!M51/1000000</x:f>
        <x:v>0</x:v>
      </x:c>
      <x:c r="D51" s="13">
        <x:f>'3. 손익계산서 월별실적'!N51/1000000</x:f>
        <x:v>0</x:v>
      </x:c>
      <x:c r="E51" s="14">
        <x:f t="shared" si="1"/>
        <x:v>0</x:v>
      </x:c>
      <x:c r="F51" s="360" t="e">
        <x:f t="shared" si="2"/>
        <x:v>#DIV/0!</x:v>
      </x:c>
      <x:c r="I51" s="239"/>
    </x:row>
    <x:row r="52" spans="2:9">
      <x:c r="B52" s="27"/>
      <x:c r="C52" s="75"/>
      <x:c r="D52" s="75"/>
      <x:c r="E52" s="14">
        <x:f t="shared" si="1"/>
        <x:v>0</x:v>
      </x:c>
      <x:c r="F52" s="360" t="e">
        <x:f t="shared" si="2"/>
        <x:v>#DIV/0!</x:v>
      </x:c>
      <x:c r="I52" s="239"/>
    </x:row>
    <x:row r="53" spans="2:9" ht="16.5">
      <x:c r="B53" s="73" t="s">
        <x:v>4</x:v>
      </x:c>
      <x:c r="C53" s="6">
        <x:f>SUM(C54:C67)</x:f>
        <x:v>0</x:v>
      </x:c>
      <x:c r="D53" s="6">
        <x:f t="shared" ref="D53" si="8">SUM(D54:D67)</x:f>
        <x:v>0</x:v>
      </x:c>
      <x:c r="E53" s="356">
        <x:f t="shared" si="1"/>
        <x:v>0</x:v>
      </x:c>
      <x:c r="F53" s="359" t="e">
        <x:f t="shared" si="2"/>
        <x:v>#DIV/0!</x:v>
      </x:c>
      <x:c r="G53" s="13"/>
      <x:c r="I53" s="238"/>
    </x:row>
    <x:row r="54" spans="2:9">
      <x:c r="B54" s="68" t="s">
        <x:v>42</x:v>
      </x:c>
      <x:c r="C54" s="185">
        <x:f>'3. 손익계산서 월별실적'!M54/1000000</x:f>
        <x:v>0</x:v>
      </x:c>
      <x:c r="D54" s="185">
        <x:f>'3. 손익계산서 월별실적'!N54/1000000</x:f>
        <x:v>0</x:v>
      </x:c>
      <x:c r="E54" s="13">
        <x:f t="shared" si="1"/>
        <x:v>0</x:v>
      </x:c>
      <x:c r="F54" s="360" t="e">
        <x:f t="shared" si="2"/>
        <x:v>#DIV/0!</x:v>
      </x:c>
      <x:c r="G54" s="185"/>
      <x:c r="H54" s="185"/>
      <x:c r="I54" s="239"/>
    </x:row>
    <x:row r="55" spans="2:9">
      <x:c r="B55" s="68" t="s">
        <x:v>65</x:v>
      </x:c>
      <x:c r="C55" s="185">
        <x:f>'3. 손익계산서 월별실적'!M55/1000000</x:f>
        <x:v>0</x:v>
      </x:c>
      <x:c r="D55" s="185">
        <x:f>'3. 손익계산서 월별실적'!N55/1000000</x:f>
        <x:v>0</x:v>
      </x:c>
      <x:c r="E55" s="13">
        <x:f t="shared" si="1"/>
        <x:v>0</x:v>
      </x:c>
      <x:c r="F55" s="360" t="e">
        <x:f t="shared" si="2"/>
        <x:v>#DIV/0!</x:v>
      </x:c>
      <x:c r="G55" s="185"/>
      <x:c r="H55" s="330"/>
      <x:c r="I55" s="239"/>
    </x:row>
    <x:row r="56" spans="2:9">
      <x:c r="B56" s="68" t="s">
        <x:v>44</x:v>
      </x:c>
      <x:c r="C56" s="185">
        <x:f>'3. 손익계산서 월별실적'!M56/1000000</x:f>
        <x:v>0</x:v>
      </x:c>
      <x:c r="D56" s="185">
        <x:f>'3. 손익계산서 월별실적'!N56/1000000</x:f>
        <x:v>0</x:v>
      </x:c>
      <x:c r="E56" s="13">
        <x:f t="shared" si="1"/>
        <x:v>0</x:v>
      </x:c>
      <x:c r="F56" s="360" t="e">
        <x:f t="shared" si="2"/>
        <x:v>#DIV/0!</x:v>
      </x:c>
      <x:c r="G56" s="185"/>
      <x:c r="H56" s="330"/>
      <x:c r="I56" s="239"/>
    </x:row>
    <x:row r="57" spans="2:9">
      <x:c r="B57" s="68" t="s">
        <x:v>34</x:v>
      </x:c>
      <x:c r="C57" s="185">
        <x:f>'3. 손익계산서 월별실적'!M57/1000000</x:f>
        <x:v>0</x:v>
      </x:c>
      <x:c r="D57" s="185">
        <x:f>'3. 손익계산서 월별실적'!N57/1000000</x:f>
        <x:v>0</x:v>
      </x:c>
      <x:c r="E57" s="13">
        <x:f t="shared" si="1"/>
        <x:v>0</x:v>
      </x:c>
      <x:c r="F57" s="360" t="e">
        <x:f t="shared" si="2"/>
        <x:v>#DIV/0!</x:v>
      </x:c>
      <x:c r="G57" s="185"/>
      <x:c r="H57" s="330"/>
      <x:c r="I57" s="239"/>
    </x:row>
    <x:row r="58" spans="2:9">
      <x:c r="B58" s="68" t="s">
        <x:v>38</x:v>
      </x:c>
      <x:c r="C58" s="185">
        <x:f>'3. 손익계산서 월별실적'!M58/1000000</x:f>
        <x:v>0</x:v>
      </x:c>
      <x:c r="D58" s="185">
        <x:f>'3. 손익계산서 월별실적'!N58/1000000</x:f>
        <x:v>0</x:v>
      </x:c>
      <x:c r="E58" s="13">
        <x:f t="shared" si="1"/>
        <x:v>0</x:v>
      </x:c>
      <x:c r="F58" s="360" t="e">
        <x:f t="shared" si="2"/>
        <x:v>#DIV/0!</x:v>
      </x:c>
      <x:c r="G58" s="185"/>
      <x:c r="H58" s="330"/>
      <x:c r="I58" s="479"/>
    </x:row>
    <x:row r="59" spans="2:9">
      <x:c r="B59" s="68" t="s">
        <x:v>39</x:v>
      </x:c>
      <x:c r="C59" s="13">
        <x:f>'3. 손익계산서 월별실적'!M59/1000000</x:f>
        <x:v>0</x:v>
      </x:c>
      <x:c r="D59" s="13">
        <x:f>'3. 손익계산서 월별실적'!N59/1000000</x:f>
        <x:v>0</x:v>
      </x:c>
      <x:c r="E59" s="14">
        <x:f t="shared" si="1"/>
        <x:v>0</x:v>
      </x:c>
      <x:c r="F59" s="360" t="e">
        <x:f t="shared" si="2"/>
        <x:v>#DIV/0!</x:v>
      </x:c>
      <x:c r="H59" s="68"/>
      <x:c r="I59" s="239"/>
    </x:row>
    <x:row r="60" spans="2:9">
      <x:c r="B60" s="68" t="s">
        <x:v>37</x:v>
      </x:c>
      <x:c r="C60" s="13">
        <x:f>'3. 손익계산서 월별실적'!M60/1000000</x:f>
        <x:v>0</x:v>
      </x:c>
      <x:c r="D60" s="13">
        <x:f>'3. 손익계산서 월별실적'!N60/1000000</x:f>
        <x:v>0</x:v>
      </x:c>
      <x:c r="E60" s="14">
        <x:f t="shared" si="1"/>
        <x:v>0</x:v>
      </x:c>
      <x:c r="F60" s="360" t="e">
        <x:f t="shared" si="2"/>
        <x:v>#DIV/0!</x:v>
      </x:c>
      <x:c r="H60" s="68"/>
      <x:c r="I60" s="239"/>
    </x:row>
    <x:row r="61" spans="2:9">
      <x:c r="B61" s="68" t="s">
        <x:v>40</x:v>
      </x:c>
      <x:c r="C61" s="185">
        <x:f>'3. 손익계산서 월별실적'!M61/1000000</x:f>
        <x:v>0</x:v>
      </x:c>
      <x:c r="D61" s="185">
        <x:f>'3. 손익계산서 월별실적'!N61/1000000</x:f>
        <x:v>0</x:v>
      </x:c>
      <x:c r="E61" s="13">
        <x:f t="shared" si="1"/>
        <x:v>0</x:v>
      </x:c>
      <x:c r="F61" s="360" t="e">
        <x:f t="shared" si="2"/>
        <x:v>#DIV/0!</x:v>
      </x:c>
      <x:c r="G61" s="185"/>
      <x:c r="H61" s="330"/>
      <x:c r="I61" s="239"/>
    </x:row>
    <x:row r="62" spans="2:9">
      <x:c r="B62" s="68" t="s">
        <x:v>35</x:v>
      </x:c>
      <x:c r="C62" s="185">
        <x:f>'3. 손익계산서 월별실적'!M62/1000000</x:f>
        <x:v>0</x:v>
      </x:c>
      <x:c r="D62" s="185">
        <x:f>'3. 손익계산서 월별실적'!N62/1000000</x:f>
        <x:v>0</x:v>
      </x:c>
      <x:c r="E62" s="13">
        <x:f t="shared" si="1"/>
        <x:v>0</x:v>
      </x:c>
      <x:c r="F62" s="360" t="e">
        <x:f t="shared" si="2"/>
        <x:v>#DIV/0!</x:v>
      </x:c>
      <x:c r="G62" s="185"/>
      <x:c r="H62" s="330"/>
      <x:c r="I62" s="239"/>
    </x:row>
    <x:row r="63" spans="2:9">
      <x:c r="B63" s="68" t="s">
        <x:v>36</x:v>
      </x:c>
      <x:c r="C63" s="185">
        <x:f>'3. 손익계산서 월별실적'!M63/1000000</x:f>
        <x:v>0</x:v>
      </x:c>
      <x:c r="D63" s="185">
        <x:f>'3. 손익계산서 월별실적'!N63/1000000</x:f>
        <x:v>0</x:v>
      </x:c>
      <x:c r="E63" s="13">
        <x:f t="shared" si="1"/>
        <x:v>0</x:v>
      </x:c>
      <x:c r="F63" s="360" t="e">
        <x:f t="shared" si="2"/>
        <x:v>#DIV/0!</x:v>
      </x:c>
      <x:c r="G63" s="185"/>
      <x:c r="H63" s="330"/>
      <x:c r="I63" s="239"/>
    </x:row>
    <x:row r="64" spans="2:9">
      <x:c r="B64" s="68" t="s">
        <x:v>45</x:v>
      </x:c>
      <x:c r="C64" s="185">
        <x:f>'3. 손익계산서 월별실적'!M64/1000000</x:f>
        <x:v>0</x:v>
      </x:c>
      <x:c r="D64" s="185">
        <x:f>'3. 손익계산서 월별실적'!N64/1000000</x:f>
        <x:v>0</x:v>
      </x:c>
      <x:c r="E64" s="13">
        <x:f t="shared" si="1"/>
        <x:v>0</x:v>
      </x:c>
      <x:c r="F64" s="360" t="e">
        <x:f t="shared" si="2"/>
        <x:v>#DIV/0!</x:v>
      </x:c>
      <x:c r="G64" s="185"/>
      <x:c r="H64" s="330"/>
      <x:c r="I64" s="239"/>
    </x:row>
    <x:row r="65" spans="2:9">
      <x:c r="B65" s="68" t="s">
        <x:v>46</x:v>
      </x:c>
      <x:c r="C65" s="13">
        <x:f>'3. 손익계산서 월별실적'!M65/1000000</x:f>
        <x:v>0</x:v>
      </x:c>
      <x:c r="D65" s="13">
        <x:f>'3. 손익계산서 월별실적'!N65/1000000</x:f>
        <x:v>0</x:v>
      </x:c>
      <x:c r="E65" s="14">
        <x:f t="shared" si="1"/>
        <x:v>0</x:v>
      </x:c>
      <x:c r="F65" s="360" t="e">
        <x:f t="shared" si="2"/>
        <x:v>#DIV/0!</x:v>
      </x:c>
      <x:c r="H65" s="68"/>
      <x:c r="I65" s="239"/>
    </x:row>
    <x:row r="66" spans="2:9">
      <x:c r="B66" s="68" t="s">
        <x:v>47</x:v>
      </x:c>
      <x:c r="C66" s="13">
        <x:f>'3. 손익계산서 월별실적'!M66/1000000</x:f>
        <x:v>0</x:v>
      </x:c>
      <x:c r="D66" s="13">
        <x:f>'3. 손익계산서 월별실적'!N66/1000000</x:f>
        <x:v>0</x:v>
      </x:c>
      <x:c r="E66" s="14">
        <x:f t="shared" si="1"/>
        <x:v>0</x:v>
      </x:c>
      <x:c r="F66" s="360" t="e">
        <x:f t="shared" si="2"/>
        <x:v>#DIV/0!</x:v>
      </x:c>
      <x:c r="H66" s="68"/>
      <x:c r="I66" s="239"/>
    </x:row>
    <x:row r="67" spans="2:9">
      <x:c r="B67" s="68" t="s">
        <x:v>48</x:v>
      </x:c>
      <x:c r="C67" s="13">
        <x:f>'3. 손익계산서 월별실적'!M67/1000000</x:f>
        <x:v>0</x:v>
      </x:c>
      <x:c r="D67" s="13">
        <x:f>'3. 손익계산서 월별실적'!N67/1000000</x:f>
        <x:v>0</x:v>
      </x:c>
      <x:c r="E67" s="13">
        <x:f t="shared" si="1"/>
        <x:v>0</x:v>
      </x:c>
      <x:c r="F67" s="360" t="e">
        <x:f t="shared" si="2"/>
        <x:v>#DIV/0!</x:v>
      </x:c>
      <x:c r="G67" s="185"/>
    </x:row>
    <x:row r="68" spans="2:9" s="6" customFormat="1" ht="18.600000000000001" customHeight="1">
      <x:c r="B68" s="17" t="s">
        <x:v>27</x:v>
      </x:c>
      <x:c r="C68" s="18">
        <x:f t="shared" ref="C68:D68" si="9">+C16-C18</x:f>
        <x:v>0</x:v>
      </x:c>
      <x:c r="D68" s="18">
        <x:f t="shared" si="9"/>
        <x:v>0</x:v>
      </x:c>
      <x:c r="E68" s="18">
        <x:f t="shared" si="1"/>
        <x:v>0</x:v>
      </x:c>
      <x:c r="F68" s="79" t="e">
        <x:f t="shared" si="2"/>
        <x:v>#DIV/0!</x:v>
      </x:c>
      <x:c r="G68" s="18"/>
      <x:c r="H68" s="80"/>
    </x:row>
    <x:row r="69" spans="2:9" s="80" customFormat="1">
      <x:c r="B69" s="78" t="s">
        <x:v>28</x:v>
      </x:c>
      <x:c r="C69" s="57">
        <x:f>+IFERROR(C68/C6,)</x:f>
        <x:v>0</x:v>
      </x:c>
      <x:c r="D69" s="57">
        <x:f>+IFERROR(D68/D6,)</x:f>
        <x:v>0</x:v>
      </x:c>
      <x:c r="E69" s="57"/>
      <x:c r="F69" s="33"/>
      <x:c r="G69" s="79"/>
      <x:c r="H69" s="6"/>
      <x:c r="I69" s="186"/>
    </x:row>
    <x:row r="70" spans="2:9" s="6" customFormat="1" ht="18.600000000000001" customHeight="1">
      <x:c r="B70" s="34" t="s">
        <x:v>29</x:v>
      </x:c>
      <x:c r="C70" s="13"/>
      <x:c r="E70" s="35"/>
      <x:c r="F70" s="35"/>
      <x:c r="G70" s="35"/>
    </x:row>
    <x:row r="71" spans="2:9" s="6" customFormat="1" ht="20.100000000000001" customHeight="1">
      <x:c r="B71" s="34" t="s">
        <x:v>30</x:v>
      </x:c>
      <x:c r="C71" s="35"/>
      <x:c r="D71" s="35"/>
      <x:c r="E71" s="35"/>
      <x:c r="F71" s="35"/>
      <x:c r="G71" s="35"/>
    </x:row>
    <x:row r="72" spans="2:9" s="6" customFormat="1" ht="20.45" customHeight="1">
      <x:c r="B72" s="34" t="s">
        <x:v>31</x:v>
      </x:c>
      <x:c r="C72" s="35"/>
      <x:c r="D72" s="35"/>
      <x:c r="E72" s="35"/>
      <x:c r="F72" s="35"/>
      <x:c r="G72" s="35"/>
    </x:row>
    <x:row r="73" spans="2:9" s="6" customFormat="1" ht="20.45" customHeight="1">
      <x:c r="B73" s="34" t="s">
        <x:v>32</x:v>
      </x:c>
      <x:c r="C73" s="35"/>
      <x:c r="D73" s="35"/>
      <x:c r="E73" s="35"/>
      <x:c r="F73" s="35"/>
      <x:c r="G73" s="35"/>
      <x:c r="H73" s="30"/>
    </x:row>
    <x:row r="74" spans="2:9" s="30" customFormat="1">
      <x:c r="B74" s="36" t="s">
        <x:v>33</x:v>
      </x:c>
      <x:c r="C74" s="77"/>
      <x:c r="D74" s="77"/>
      <x:c r="E74" s="77"/>
      <x:c r="F74" s="77"/>
      <x:c r="G74" s="76"/>
      <x:c r="H74" s="13"/>
    </x:row>
    <x:row r="80" spans="2:9">
      <x:c r="D80" s="6"/>
    </x:row>
    <x:row r="85" spans="13:13">
      <x:c r="M85" s="21"/>
    </x:row>
  </x:sheetData>
  <x:phoneticPr fontId="7" type="noConversion"/>
  <x:pageMargins left="0.7" right="0.7" top="0.75" bottom="0.75" header="0.3" footer="0.3"/>
  <x:pageSetup paperSize="9"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1E7F812-CB4E-4E28-9F1C-A2EDC3134F5D}" mc:Ignorable="x14ac xr xr2 xr3">
  <x:sheetPr>
    <x:tabColor theme="2" tint="-9.9978637043366805E-2"/>
  </x:sheetPr>
  <x:dimension ref="B2:O82"/>
  <x:sheetViews>
    <x:sheetView showGridLines="0" zoomScale="70" zoomScaleNormal="70" workbookViewId="0">
      <x:pane xSplit="3" ySplit="5" topLeftCell="D6" activePane="bottomRight" state="frozen"/>
      <x:selection activeCell="W34" sqref="W34"/>
      <x:selection pane="topRight" activeCell="W34" sqref="W34"/>
      <x:selection pane="bottomLeft" activeCell="W34" sqref="W34"/>
      <x:selection pane="bottomRight" activeCell="W34" sqref="W34"/>
    </x:sheetView>
  </x:sheetViews>
  <x:sheetFormatPr defaultColWidth="8.85546875" defaultRowHeight="12.75"/>
  <x:cols>
    <x:col min="1" max="1" width="1.42578125" style="8" customWidth="1"/>
    <x:col min="2" max="2" width="21.42578125" style="8" customWidth="1"/>
    <x:col min="3" max="3" width="7.85546875" style="7" hidden="1" customWidth="1"/>
    <x:col min="4" max="5" width="16.42578125" style="7" bestFit="1" customWidth="1"/>
    <x:col min="6" max="6" width="16.85546875" style="7" bestFit="1" customWidth="1"/>
    <x:col min="7" max="7" width="16.85546875" style="7" customWidth="1"/>
    <x:col min="8" max="8" width="69.28515625" style="7" customWidth="1"/>
    <x:col min="9" max="10" width="8.85546875" style="8"/>
    <x:col min="11" max="12" width="12.42578125" style="8" bestFit="1" customWidth="1"/>
    <x:col min="13" max="16384" width="8.85546875" style="8"/>
  </x:cols>
  <x:sheetData>
    <x:row r="2" spans="2:12" ht="6" customHeight="1"/>
    <x:row r="3" spans="2:12" ht="27.6" customHeight="1">
      <x:c r="B3" s="15"/>
    </x:row>
    <x:row r="4" spans="2:12" ht="14.45" customHeight="1">
      <x:c r="D4" s="8"/>
      <x:c r="E4" s="14" t="s">
        <x:v>20</x:v>
      </x:c>
      <x:c r="H4" s="7" t="s">
        <x:v>392</x:v>
      </x:c>
    </x:row>
    <x:row r="5" spans="2:12" ht="27.6" customHeight="1">
      <x:c r="B5" s="17" t="s">
        <x:v>41</x:v>
      </x:c>
      <x:c r="C5" s="17" t="s">
        <x:v>0</x:v>
      </x:c>
      <x:c r="D5" s="18" t="s">
        <x:v>296</x:v>
      </x:c>
      <x:c r="E5" s="18" t="s">
        <x:v>389</x:v>
      </x:c>
      <x:c r="F5" s="18" t="s">
        <x:v>390</x:v>
      </x:c>
      <x:c r="G5" s="18" t="s">
        <x:v>391</x:v>
      </x:c>
      <x:c r="H5" s="355" t="s">
        <x:v>374</x:v>
      </x:c>
    </x:row>
    <x:row r="6" spans="2:12" s="10" customFormat="1" ht="20.45" customHeight="1">
      <x:c r="B6" s="19" t="s">
        <x:v>22</x:v>
      </x:c>
      <x:c r="C6" s="19">
        <x:v>0</x:v>
      </x:c>
      <x:c r="D6" s="19">
        <x:v>6328968834.5709229</x:v>
      </x:c>
      <x:c r="E6" s="19">
        <x:v>3449303468</x:v>
      </x:c>
      <x:c r="F6" s="19">
        <x:f>E6-D6</x:f>
        <x:v>-2879665366.5709229</x:v>
      </x:c>
      <x:c r="G6" s="19"/>
      <x:c r="H6" s="19"/>
    </x:row>
    <x:row r="7" spans="2:12" ht="13.5">
      <x:c r="B7" s="6" t="s">
        <x:v>183</x:v>
      </x:c>
      <x:c r="C7" s="354"/>
      <x:c r="D7" s="354"/>
      <x:c r="E7" s="354">
        <x:v>0</x:v>
      </x:c>
      <x:c r="F7" s="354">
        <x:f t="shared" ref="F7:F71" si="0">E7-D7</x:f>
        <x:v>0</x:v>
      </x:c>
      <x:c r="G7" s="354"/>
      <x:c r="H7" s="354"/>
    </x:row>
    <x:row r="8" spans="2:12" ht="13.5">
      <x:c r="B8" s="6" t="s">
        <x:v>330</x:v>
      </x:c>
      <x:c r="C8" s="354"/>
      <x:c r="D8" s="354">
        <x:v>1575372450.6999998</x:v>
      </x:c>
      <x:c r="E8" s="354">
        <x:v>766298058</x:v>
      </x:c>
      <x:c r="F8" s="354">
        <x:f t="shared" si="0"/>
        <x:v>-809074392.69999981</x:v>
      </x:c>
      <x:c r="G8" s="354"/>
      <x:c r="H8" s="354"/>
    </x:row>
    <x:row r="9" spans="2:12" ht="13.5">
      <x:c r="B9" s="13" t="s">
        <x:v>378</x:v>
      </x:c>
      <x:c r="C9" s="202"/>
      <x:c r="D9" s="202">
        <x:v>1575372450.6999998</x:v>
      </x:c>
      <x:c r="E9" s="202">
        <x:v>766298058</x:v>
      </x:c>
      <x:c r="F9" s="202">
        <x:f t="shared" si="0"/>
        <x:v>-809074392.69999981</x:v>
      </x:c>
      <x:c r="G9" s="202"/>
      <x:c r="H9" s="202"/>
    </x:row>
    <x:row r="10" spans="2:12" ht="13.5">
      <x:c r="B10" s="13" t="s">
        <x:v>380</x:v>
      </x:c>
      <x:c r="C10" s="202"/>
      <x:c r="D10" s="202"/>
      <x:c r="E10" s="202">
        <x:v>0</x:v>
      </x:c>
      <x:c r="F10" s="202">
        <x:f t="shared" si="0"/>
        <x:v>0</x:v>
      </x:c>
      <x:c r="G10" s="202"/>
      <x:c r="H10" s="202"/>
    </x:row>
    <x:row r="11" spans="2:12" ht="13.5">
      <x:c r="B11" s="13"/>
      <x:c r="C11" s="202"/>
      <x:c r="D11" s="202"/>
      <x:c r="E11" s="202">
        <x:v>0</x:v>
      </x:c>
      <x:c r="F11" s="202"/>
      <x:c r="G11" s="202"/>
      <x:c r="H11" s="202"/>
    </x:row>
    <x:row r="12" spans="2:12" ht="13.5">
      <x:c r="B12" s="6" t="s">
        <x:v>5</x:v>
      </x:c>
      <x:c r="C12" s="354"/>
      <x:c r="D12" s="354">
        <x:v>4220780583.8709226</x:v>
      </x:c>
      <x:c r="E12" s="354">
        <x:v>2644329659</x:v>
      </x:c>
      <x:c r="F12" s="354">
        <x:f t="shared" si="0"/>
        <x:v>-1576450924.8709226</x:v>
      </x:c>
      <x:c r="G12" s="354"/>
      <x:c r="H12" s="354"/>
    </x:row>
    <x:row r="13" spans="2:12" ht="13.5">
      <x:c r="B13" s="13" t="s">
        <x:v>382</x:v>
      </x:c>
      <x:c r="C13" s="202"/>
      <x:c r="D13" s="202">
        <x:v>1159696465.7475202</x:v>
      </x:c>
      <x:c r="E13" s="202">
        <x:v>1519907606</x:v>
      </x:c>
      <x:c r="F13" s="202">
        <x:f t="shared" si="0"/>
        <x:v>360211140.25247979</x:v>
      </x:c>
      <x:c r="G13" s="202"/>
      <x:c r="H13" s="202"/>
    </x:row>
    <x:row r="14" spans="2:12" ht="13.5">
      <x:c r="B14" s="13" t="s">
        <x:v>384</x:v>
      </x:c>
      <x:c r="C14" s="202"/>
      <x:c r="D14" s="202">
        <x:v>3061084118.1234021</x:v>
      </x:c>
      <x:c r="E14" s="202">
        <x:v>1124422053</x:v>
      </x:c>
      <x:c r="F14" s="202">
        <x:f t="shared" si="0"/>
        <x:v>-1936662065.1234021</x:v>
      </x:c>
      <x:c r="G14" s="202"/>
      <x:c r="H14" s="202"/>
      <x:c r="L14" s="367">
        <x:f>-19.4+3.6</x:f>
        <x:v>-15.799999999999999</x:v>
      </x:c>
    </x:row>
    <x:row r="15" spans="2:12" ht="13.5">
      <x:c r="B15" s="13" t="s">
        <x:v>386</x:v>
      </x:c>
      <x:c r="C15" s="202"/>
      <x:c r="D15" s="202">
        <x:v>0</x:v>
      </x:c>
      <x:c r="E15" s="202">
        <x:v>0</x:v>
      </x:c>
      <x:c r="F15" s="202">
        <x:f t="shared" si="0"/>
        <x:v>0</x:v>
      </x:c>
      <x:c r="G15" s="202"/>
      <x:c r="H15" s="202"/>
    </x:row>
    <x:row r="16" spans="2:12" ht="13.5">
      <x:c r="B16" s="13" t="s">
        <x:v>388</x:v>
      </x:c>
      <x:c r="C16" s="202"/>
      <x:c r="D16" s="202">
        <x:v>4.76837158203125E-7</x:v>
      </x:c>
      <x:c r="E16" s="202">
        <x:v>0</x:v>
      </x:c>
      <x:c r="F16" s="202">
        <x:f t="shared" si="0"/>
        <x:v>-4.76837158203125E-7</x:v>
      </x:c>
      <x:c r="G16" s="202"/>
      <x:c r="H16" s="202"/>
    </x:row>
    <x:row r="17" spans="2:15" ht="13.5">
      <x:c r="B17" s="6" t="s">
        <x:v>6</x:v>
      </x:c>
      <x:c r="C17" s="354"/>
      <x:c r="D17" s="354">
        <x:v>532815800</x:v>
      </x:c>
      <x:c r="E17" s="354">
        <x:v>38675751</x:v>
      </x:c>
      <x:c r="F17" s="354">
        <x:f t="shared" si="0"/>
        <x:v>-494140049</x:v>
      </x:c>
      <x:c r="G17" s="354"/>
      <x:c r="H17" s="354"/>
    </x:row>
    <x:row r="18" spans="2:15" ht="19.350000000000001" customHeight="1">
      <x:c r="B18" s="19" t="s">
        <x:v>23</x:v>
      </x:c>
      <x:c r="C18" s="19"/>
      <x:c r="D18" s="19">
        <x:v>4930034733.2360792</x:v>
      </x:c>
      <x:c r="E18" s="19">
        <x:v>2983419147</x:v>
      </x:c>
      <x:c r="F18" s="19">
        <x:f t="shared" si="0"/>
        <x:v>-1946615586.2360792</x:v>
      </x:c>
      <x:c r="G18" s="19"/>
      <x:c r="H18" s="19"/>
      <x:c r="L18" s="367"/>
    </x:row>
    <x:row r="19" spans="2:15" ht="13.5">
      <x:c r="B19" s="6" t="s">
        <x:v>183</x:v>
      </x:c>
      <x:c r="C19" s="354"/>
      <x:c r="D19" s="354"/>
      <x:c r="E19" s="354">
        <x:v>0</x:v>
      </x:c>
      <x:c r="F19" s="354">
        <x:f t="shared" si="0"/>
        <x:v>0</x:v>
      </x:c>
      <x:c r="G19" s="354"/>
      <x:c r="H19" s="354"/>
      <x:c r="O19" s="367"/>
    </x:row>
    <x:row r="20" spans="2:15" ht="13.5">
      <x:c r="B20" s="6" t="s">
        <x:v>330</x:v>
      </x:c>
      <x:c r="C20" s="354">
        <x:v>0</x:v>
      </x:c>
      <x:c r="D20" s="354">
        <x:v>907763780</x:v>
      </x:c>
      <x:c r="E20" s="354">
        <x:v>438837201</x:v>
      </x:c>
      <x:c r="F20" s="354">
        <x:f t="shared" si="0"/>
        <x:v>-468926579</x:v>
      </x:c>
      <x:c r="G20" s="354"/>
      <x:c r="H20" s="354"/>
    </x:row>
    <x:row r="21" spans="2:15" ht="13.5" hidden="1">
      <x:c r="B21" s="13" t="s">
        <x:v>377</x:v>
      </x:c>
      <x:c r="C21" s="202"/>
      <x:c r="D21" s="202">
        <x:v>907763780</x:v>
      </x:c>
      <x:c r="E21" s="202"/>
      <x:c r="F21" s="202"/>
      <x:c r="G21" s="202"/>
      <x:c r="H21" s="202"/>
    </x:row>
    <x:row r="22" spans="2:15" ht="13.5" hidden="1">
      <x:c r="B22" s="13" t="s">
        <x:v>379</x:v>
      </x:c>
      <x:c r="C22" s="202"/>
      <x:c r="D22" s="202"/>
      <x:c r="E22" s="202"/>
      <x:c r="F22" s="202"/>
      <x:c r="G22" s="202"/>
      <x:c r="H22" s="202"/>
    </x:row>
    <x:row r="23" spans="2:15" ht="13.5">
      <x:c r="B23" s="6" t="s">
        <x:v>5</x:v>
      </x:c>
      <x:c r="C23" s="354"/>
      <x:c r="D23" s="354">
        <x:v>3986745177.4039998</x:v>
      </x:c>
      <x:c r="E23" s="354">
        <x:v>2515124477</x:v>
      </x:c>
      <x:c r="F23" s="354">
        <x:f t="shared" si="0"/>
        <x:v>-1471620700.4039998</x:v>
      </x:c>
      <x:c r="G23" s="354"/>
      <x:c r="H23" s="354"/>
    </x:row>
    <x:row r="24" spans="2:15" ht="13.5" hidden="1">
      <x:c r="B24" s="13" t="s">
        <x:v>381</x:v>
      </x:c>
      <x:c r="C24" s="202"/>
      <x:c r="D24" s="202">
        <x:v>1125918898.7839999</x:v>
      </x:c>
      <x:c r="E24" s="202"/>
      <x:c r="F24" s="202"/>
      <x:c r="G24" s="202"/>
      <x:c r="H24" s="202"/>
    </x:row>
    <x:row r="25" spans="2:15" ht="13.5" hidden="1">
      <x:c r="B25" s="13" t="s">
        <x:v>383</x:v>
      </x:c>
      <x:c r="C25" s="202"/>
      <x:c r="D25" s="202">
        <x:v>2860826278.6199999</x:v>
      </x:c>
      <x:c r="E25" s="202"/>
      <x:c r="F25" s="202"/>
      <x:c r="G25" s="202"/>
      <x:c r="H25" s="202"/>
    </x:row>
    <x:row r="26" spans="2:15" ht="13.5" hidden="1">
      <x:c r="B26" s="13" t="s">
        <x:v>385</x:v>
      </x:c>
      <x:c r="C26" s="202"/>
      <x:c r="D26" s="202">
        <x:v>0</x:v>
      </x:c>
      <x:c r="E26" s="202"/>
      <x:c r="F26" s="202"/>
      <x:c r="G26" s="202"/>
      <x:c r="H26" s="202"/>
    </x:row>
    <x:row r="27" spans="2:15" ht="13.5" hidden="1">
      <x:c r="B27" s="13" t="s">
        <x:v>387</x:v>
      </x:c>
      <x:c r="C27" s="202"/>
      <x:c r="D27" s="202">
        <x:v>0</x:v>
      </x:c>
      <x:c r="E27" s="202"/>
      <x:c r="F27" s="202"/>
      <x:c r="G27" s="202"/>
      <x:c r="H27" s="202"/>
    </x:row>
    <x:row r="28" spans="2:15" ht="13.5">
      <x:c r="B28" s="6" t="s">
        <x:v>6</x:v>
      </x:c>
      <x:c r="C28" s="354"/>
      <x:c r="D28" s="354">
        <x:v>35525775.832080275</x:v>
      </x:c>
      <x:c r="E28" s="354">
        <x:v>29457469</x:v>
      </x:c>
      <x:c r="F28" s="354">
        <x:f t="shared" si="0"/>
        <x:v>-6068306.8320802748</x:v>
      </x:c>
      <x:c r="G28" s="354"/>
      <x:c r="H28" s="354"/>
      <x:c r="K28" s="475"/>
      <x:c r="L28" s="367"/>
      <x:c r="M28" s="367"/>
    </x:row>
    <x:row r="29" spans="2:15" s="10" customFormat="1" ht="21.6" customHeight="1">
      <x:c r="B29" s="19" t="s">
        <x:v>24</x:v>
      </x:c>
      <x:c r="C29" s="19">
        <x:v>0</x:v>
      </x:c>
      <x:c r="D29" s="19">
        <x:v>1398934101.3348436</x:v>
      </x:c>
      <x:c r="E29" s="19">
        <x:v>465884321</x:v>
      </x:c>
      <x:c r="F29" s="19">
        <x:f t="shared" si="0"/>
        <x:v>-933049780.33484364</x:v>
      </x:c>
      <x:c r="G29" s="19"/>
      <x:c r="H29" s="19"/>
    </x:row>
    <x:row r="30" spans="2:15" s="10" customFormat="1" ht="21.6" customHeight="1">
      <x:c r="B30" s="22" t="s">
        <x:v>25</x:v>
      </x:c>
      <x:c r="C30" s="56">
        <x:v>0</x:v>
      </x:c>
      <x:c r="D30" s="56">
        <x:v>0.22103665508564405</x:v>
      </x:c>
      <x:c r="E30" s="56">
        <x:v>0.13506620258904978</x:v>
      </x:c>
      <x:c r="F30" s="56">
        <x:f t="shared" si="0"/>
        <x:v>-8.5970452496594268E-2</x:v>
      </x:c>
      <x:c r="G30" s="56"/>
      <x:c r="H30" s="56"/>
    </x:row>
    <x:row r="31" spans="2:15" ht="13.5">
      <x:c r="B31" s="19" t="s">
        <x:v>26</x:v>
      </x:c>
      <x:c r="C31" s="20"/>
      <x:c r="D31" s="20">
        <x:v>1578093819.4252119</x:v>
      </x:c>
      <x:c r="E31" s="20">
        <x:v>1357800484</x:v>
      </x:c>
      <x:c r="F31" s="20">
        <x:f t="shared" si="0"/>
        <x:v>-220293335.42521191</x:v>
      </x:c>
      <x:c r="G31" s="20"/>
      <x:c r="H31" s="20"/>
    </x:row>
    <x:row r="32" spans="2:15" ht="16.5">
      <x:c r="B32" s="12" t="s">
        <x:v>2</x:v>
      </x:c>
      <x:c r="C32" s="24"/>
      <x:c r="D32" s="25">
        <x:v>172330286.82396406</x:v>
      </x:c>
      <x:c r="E32" s="25">
        <x:v>92142791</x:v>
      </x:c>
      <x:c r="F32" s="25">
        <x:f t="shared" si="0"/>
        <x:v>-80187495.823964059</x:v>
      </x:c>
      <x:c r="G32" s="25"/>
      <x:c r="H32" s="25"/>
      <x:c r="M32" s="475"/>
    </x:row>
    <x:row r="33" spans="2:8" ht="13.5">
      <x:c r="B33" s="26" t="s">
        <x:v>49</x:v>
      </x:c>
      <x:c r="C33" s="241"/>
      <x:c r="D33" s="202">
        <x:v>60977021.003633112</x:v>
      </x:c>
      <x:c r="E33" s="202">
        <x:v>58374867</x:v>
      </x:c>
      <x:c r="F33" s="202">
        <x:f t="shared" si="0"/>
        <x:v>-2602154.0036331117</x:v>
      </x:c>
      <x:c r="G33" s="202"/>
      <x:c r="H33" s="202"/>
    </x:row>
    <x:row r="34" spans="2:8" ht="13.5">
      <x:c r="B34" s="26" t="s">
        <x:v>50</x:v>
      </x:c>
      <x:c r="C34" s="241"/>
      <x:c r="D34" s="202">
        <x:v>977514.16666666663</x:v>
      </x:c>
      <x:c r="E34" s="202">
        <x:v>984240</x:v>
      </x:c>
      <x:c r="F34" s="202">
        <x:f t="shared" si="0"/>
        <x:v>6725.8333333333721</x:v>
      </x:c>
      <x:c r="G34" s="202"/>
      <x:c r="H34" s="202"/>
    </x:row>
    <x:row r="35" spans="2:8" ht="13.5">
      <x:c r="B35" s="26" t="s">
        <x:v>51</x:v>
      </x:c>
      <x:c r="C35" s="241"/>
      <x:c r="D35" s="202">
        <x:v>5257200</x:v>
      </x:c>
      <x:c r="E35" s="202">
        <x:v>4930690</x:v>
      </x:c>
      <x:c r="F35" s="202">
        <x:f t="shared" si="0"/>
        <x:v>-326510</x:v>
      </x:c>
      <x:c r="G35" s="202"/>
      <x:c r="H35" s="202"/>
    </x:row>
    <x:row r="36" spans="2:8" ht="13.5">
      <x:c r="B36" s="26" t="s">
        <x:v>52</x:v>
      </x:c>
      <x:c r="C36" s="241"/>
      <x:c r="D36" s="202">
        <x:v>1501333.3333333333</x:v>
      </x:c>
      <x:c r="E36" s="202">
        <x:v>2291028</x:v>
      </x:c>
      <x:c r="F36" s="202">
        <x:f t="shared" si="0"/>
        <x:v>789694.66666666674</x:v>
      </x:c>
      <x:c r="G36" s="202"/>
      <x:c r="H36" s="202"/>
    </x:row>
    <x:row r="37" spans="2:8" ht="13.5">
      <x:c r="B37" s="26" t="s">
        <x:v>53</x:v>
      </x:c>
      <x:c r="C37" s="241"/>
      <x:c r="D37" s="202">
        <x:v>92371279.953664303</x:v>
      </x:c>
      <x:c r="E37" s="202">
        <x:v>23139640</x:v>
      </x:c>
      <x:c r="F37" s="202">
        <x:f t="shared" si="0"/>
        <x:v>-69231639.953664303</x:v>
      </x:c>
      <x:c r="G37" s="202"/>
      <x:c r="H37" s="202"/>
    </x:row>
    <x:row r="38" spans="2:8" ht="13.5">
      <x:c r="B38" s="26" t="s">
        <x:v>54</x:v>
      </x:c>
      <x:c r="C38" s="241"/>
      <x:c r="D38" s="202">
        <x:v>0</x:v>
      </x:c>
      <x:c r="E38" s="202">
        <x:v>0</x:v>
      </x:c>
      <x:c r="F38" s="202">
        <x:f t="shared" si="0"/>
        <x:v>0</x:v>
      </x:c>
      <x:c r="G38" s="202"/>
      <x:c r="H38" s="202"/>
    </x:row>
    <x:row r="39" spans="2:8" ht="13.5">
      <x:c r="B39" s="26" t="s">
        <x:v>55</x:v>
      </x:c>
      <x:c r="C39" s="241"/>
      <x:c r="D39" s="202">
        <x:v>0</x:v>
      </x:c>
      <x:c r="E39" s="202">
        <x:v>0</x:v>
      </x:c>
      <x:c r="F39" s="202">
        <x:f t="shared" si="0"/>
        <x:v>0</x:v>
      </x:c>
      <x:c r="G39" s="202"/>
      <x:c r="H39" s="202"/>
    </x:row>
    <x:row r="40" spans="2:8" ht="13.5">
      <x:c r="B40" s="26" t="s">
        <x:v>56</x:v>
      </x:c>
      <x:c r="C40" s="241"/>
      <x:c r="D40" s="202">
        <x:v>181000</x:v>
      </x:c>
      <x:c r="E40" s="202">
        <x:v>0</x:v>
      </x:c>
      <x:c r="F40" s="202">
        <x:f t="shared" si="0"/>
        <x:v>-181000</x:v>
      </x:c>
      <x:c r="G40" s="202"/>
      <x:c r="H40" s="202"/>
    </x:row>
    <x:row r="41" spans="2:8" ht="13.5">
      <x:c r="B41" s="26" t="s">
        <x:v>57</x:v>
      </x:c>
      <x:c r="C41" s="241"/>
      <x:c r="D41" s="202">
        <x:v>8692499.9666666668</x:v>
      </x:c>
      <x:c r="E41" s="202">
        <x:v>1018526</x:v>
      </x:c>
      <x:c r="F41" s="202">
        <x:f t="shared" si="0"/>
        <x:v>-7673973.9666666668</x:v>
      </x:c>
      <x:c r="G41" s="202"/>
      <x:c r="H41" s="202"/>
    </x:row>
    <x:row r="42" spans="2:8" ht="13.5">
      <x:c r="B42" s="26" t="s">
        <x:v>58</x:v>
      </x:c>
      <x:c r="C42" s="241"/>
      <x:c r="D42" s="202">
        <x:v>0</x:v>
      </x:c>
      <x:c r="E42" s="202">
        <x:v>0</x:v>
      </x:c>
      <x:c r="F42" s="202">
        <x:f t="shared" si="0"/>
        <x:v>0</x:v>
      </x:c>
      <x:c r="G42" s="202"/>
      <x:c r="H42" s="202"/>
    </x:row>
    <x:row r="43" spans="2:8" ht="13.5">
      <x:c r="B43" s="26" t="s">
        <x:v>59</x:v>
      </x:c>
      <x:c r="C43" s="241"/>
      <x:c r="D43" s="202">
        <x:v>0</x:v>
      </x:c>
      <x:c r="E43" s="202">
        <x:v>0</x:v>
      </x:c>
      <x:c r="F43" s="202">
        <x:f t="shared" si="0"/>
        <x:v>0</x:v>
      </x:c>
      <x:c r="G43" s="202"/>
      <x:c r="H43" s="202"/>
    </x:row>
    <x:row r="44" spans="2:8" ht="13.5">
      <x:c r="B44" s="26" t="s">
        <x:v>60</x:v>
      </x:c>
      <x:c r="C44" s="241"/>
      <x:c r="D44" s="202">
        <x:v>0</x:v>
      </x:c>
      <x:c r="E44" s="202">
        <x:v>0</x:v>
      </x:c>
      <x:c r="F44" s="202">
        <x:f t="shared" si="0"/>
        <x:v>0</x:v>
      </x:c>
      <x:c r="G44" s="202"/>
      <x:c r="H44" s="202"/>
    </x:row>
    <x:row r="45" spans="2:8" ht="13.5">
      <x:c r="B45" s="26" t="s">
        <x:v>61</x:v>
      </x:c>
      <x:c r="C45" s="241"/>
      <x:c r="D45" s="202">
        <x:v>0</x:v>
      </x:c>
      <x:c r="E45" s="202">
        <x:v>0</x:v>
      </x:c>
      <x:c r="F45" s="202">
        <x:f t="shared" si="0"/>
        <x:v>0</x:v>
      </x:c>
      <x:c r="G45" s="202"/>
      <x:c r="H45" s="202"/>
    </x:row>
    <x:row r="46" spans="2:8" s="10" customFormat="1" ht="17.45" customHeight="1">
      <x:c r="B46" s="26" t="s">
        <x:v>62</x:v>
      </x:c>
      <x:c r="C46" s="241"/>
      <x:c r="D46" s="202">
        <x:v>2372438.4</x:v>
      </x:c>
      <x:c r="E46" s="202">
        <x:v>1403800</x:v>
      </x:c>
      <x:c r="F46" s="202">
        <x:f t="shared" si="0"/>
        <x:v>-968638.39999999991</x:v>
      </x:c>
      <x:c r="G46" s="202"/>
      <x:c r="H46" s="202"/>
    </x:row>
    <x:row r="47" spans="2:8" s="11" customFormat="1" ht="9.6" customHeight="1">
      <x:c r="B47" s="27"/>
      <x:c r="C47" s="14"/>
      <x:c r="D47" s="189"/>
      <x:c r="E47" s="189"/>
      <x:c r="F47" s="188">
        <x:f t="shared" si="0"/>
        <x:v>0</x:v>
      </x:c>
      <x:c r="G47" s="188"/>
      <x:c r="H47" s="188"/>
    </x:row>
    <x:row r="48" spans="2:8" s="10" customFormat="1" ht="18.600000000000001" customHeight="1">
      <x:c r="B48" s="12" t="s">
        <x:v>3</x:v>
      </x:c>
      <x:c r="C48" s="28"/>
      <x:c r="D48" s="29">
        <x:v>838840081.73912859</x:v>
      </x:c>
      <x:c r="E48" s="29">
        <x:v>737445273</x:v>
      </x:c>
      <x:c r="F48" s="29">
        <x:f t="shared" si="0"/>
        <x:v>-101394808.73912859</x:v>
      </x:c>
      <x:c r="G48" s="29"/>
      <x:c r="H48" s="29"/>
    </x:row>
    <x:row r="49" spans="2:8" ht="13.5">
      <x:c r="B49" s="68" t="s">
        <x:v>42</x:v>
      </x:c>
      <x:c r="C49" s="241"/>
      <x:c r="D49" s="202">
        <x:v>477013770.26132399</x:v>
      </x:c>
      <x:c r="E49" s="202">
        <x:v>428674228</x:v>
      </x:c>
      <x:c r="F49" s="202">
        <x:f t="shared" si="0"/>
        <x:v>-48339542.261323988</x:v>
      </x:c>
      <x:c r="G49" s="202"/>
      <x:c r="H49" s="202"/>
    </x:row>
    <x:row r="50" spans="2:8" ht="13.5">
      <x:c r="B50" s="68" t="s">
        <x:v>43</x:v>
      </x:c>
      <x:c r="C50" s="241"/>
      <x:c r="D50" s="202">
        <x:v>18158245.676435046</x:v>
      </x:c>
      <x:c r="E50" s="202">
        <x:v>9221350</x:v>
      </x:c>
      <x:c r="F50" s="202">
        <x:f t="shared" si="0"/>
        <x:v>-8936895.6764350459</x:v>
      </x:c>
      <x:c r="G50" s="202"/>
      <x:c r="H50" s="202"/>
    </x:row>
    <x:row r="51" spans="2:8" ht="13.5">
      <x:c r="B51" s="68" t="s">
        <x:v>44</x:v>
      </x:c>
      <x:c r="C51" s="241"/>
      <x:c r="D51" s="202">
        <x:v>50791165.935536921</x:v>
      </x:c>
      <x:c r="E51" s="202">
        <x:v>43126588</x:v>
      </x:c>
      <x:c r="F51" s="202">
        <x:f t="shared" si="0"/>
        <x:v>-7664577.935536921</x:v>
      </x:c>
      <x:c r="G51" s="202"/>
      <x:c r="H51" s="202"/>
    </x:row>
    <x:row r="52" spans="2:8" ht="13.5">
      <x:c r="B52" s="68" t="s">
        <x:v>34</x:v>
      </x:c>
      <x:c r="C52" s="241"/>
      <x:c r="D52" s="202">
        <x:v>11096374.067575742</x:v>
      </x:c>
      <x:c r="E52" s="202">
        <x:v>25427722</x:v>
      </x:c>
      <x:c r="F52" s="202">
        <x:f t="shared" si="0"/>
        <x:v>14331347.932424258</x:v>
      </x:c>
      <x:c r="G52" s="202"/>
      <x:c r="H52" s="202"/>
    </x:row>
    <x:row r="53" spans="2:8" ht="13.5">
      <x:c r="B53" s="68" t="s">
        <x:v>38</x:v>
      </x:c>
      <x:c r="C53" s="241"/>
      <x:c r="D53" s="202">
        <x:v>0</x:v>
      </x:c>
      <x:c r="E53" s="202">
        <x:v>0</x:v>
      </x:c>
      <x:c r="F53" s="202">
        <x:f t="shared" si="0"/>
        <x:v>0</x:v>
      </x:c>
      <x:c r="G53" s="202"/>
      <x:c r="H53" s="202"/>
    </x:row>
    <x:row r="54" spans="2:8" ht="13.5">
      <x:c r="B54" s="68" t="s">
        <x:v>39</x:v>
      </x:c>
      <x:c r="C54" s="241"/>
      <x:c r="D54" s="202">
        <x:v>0</x:v>
      </x:c>
      <x:c r="E54" s="202">
        <x:v>0</x:v>
      </x:c>
      <x:c r="F54" s="202">
        <x:f t="shared" si="0"/>
        <x:v>0</x:v>
      </x:c>
      <x:c r="G54" s="202"/>
      <x:c r="H54" s="202"/>
    </x:row>
    <x:row r="55" spans="2:8" ht="13.5">
      <x:c r="B55" s="68" t="s">
        <x:v>37</x:v>
      </x:c>
      <x:c r="C55" s="241"/>
      <x:c r="D55" s="202">
        <x:v>0</x:v>
      </x:c>
      <x:c r="E55" s="202">
        <x:v>0</x:v>
      </x:c>
      <x:c r="F55" s="202">
        <x:f t="shared" si="0"/>
        <x:v>0</x:v>
      </x:c>
      <x:c r="G55" s="202"/>
      <x:c r="H55" s="202"/>
    </x:row>
    <x:row r="56" spans="2:8" ht="13.5">
      <x:c r="B56" s="68" t="s">
        <x:v>40</x:v>
      </x:c>
      <x:c r="C56" s="241"/>
      <x:c r="D56" s="202">
        <x:v>160451132.08564669</x:v>
      </x:c>
      <x:c r="E56" s="202">
        <x:v>155993440</x:v>
      </x:c>
      <x:c r="F56" s="202">
        <x:f t="shared" si="0"/>
        <x:v>-4457692.0856466889</x:v>
      </x:c>
      <x:c r="G56" s="202"/>
      <x:c r="H56" s="202"/>
    </x:row>
    <x:row r="57" spans="2:8" ht="13.5">
      <x:c r="B57" s="68" t="s">
        <x:v>35</x:v>
      </x:c>
      <x:c r="C57" s="241"/>
      <x:c r="D57" s="202">
        <x:v>16930999.364553671</x:v>
      </x:c>
      <x:c r="E57" s="202">
        <x:v>22015608</x:v>
      </x:c>
      <x:c r="F57" s="202">
        <x:f t="shared" si="0"/>
        <x:v>5084608.6354463287</x:v>
      </x:c>
      <x:c r="G57" s="202"/>
      <x:c r="H57" s="202"/>
    </x:row>
    <x:row r="58" spans="2:8" ht="13.5">
      <x:c r="B58" s="68" t="s">
        <x:v>36</x:v>
      </x:c>
      <x:c r="C58" s="241"/>
      <x:c r="D58" s="202">
        <x:v>89411022.860509247</x:v>
      </x:c>
      <x:c r="E58" s="202">
        <x:v>43043627</x:v>
      </x:c>
      <x:c r="F58" s="202">
        <x:f t="shared" si="0"/>
        <x:v>-46367395.860509247</x:v>
      </x:c>
      <x:c r="G58" s="202"/>
      <x:c r="H58" s="202"/>
    </x:row>
    <x:row r="59" spans="2:8" ht="13.5">
      <x:c r="B59" s="68" t="s">
        <x:v>45</x:v>
      </x:c>
      <x:c r="C59" s="241"/>
      <x:c r="D59" s="202">
        <x:v>500000</x:v>
      </x:c>
      <x:c r="E59" s="202">
        <x:v>220000</x:v>
      </x:c>
      <x:c r="F59" s="202">
        <x:f t="shared" si="0"/>
        <x:v>-280000</x:v>
      </x:c>
      <x:c r="G59" s="202"/>
      <x:c r="H59" s="202"/>
    </x:row>
    <x:row r="60" spans="2:8" ht="13.5">
      <x:c r="B60" s="68" t="s">
        <x:v>46</x:v>
      </x:c>
      <x:c r="C60" s="241"/>
      <x:c r="D60" s="202">
        <x:v>0</x:v>
      </x:c>
      <x:c r="E60" s="202">
        <x:v>0</x:v>
      </x:c>
      <x:c r="F60" s="202">
        <x:f t="shared" si="0"/>
        <x:v>0</x:v>
      </x:c>
      <x:c r="G60" s="202"/>
      <x:c r="H60" s="202"/>
    </x:row>
    <x:row r="61" spans="2:8" ht="13.5">
      <x:c r="B61" s="68" t="s">
        <x:v>47</x:v>
      </x:c>
      <x:c r="C61" s="241"/>
      <x:c r="D61" s="202">
        <x:v>0</x:v>
      </x:c>
      <x:c r="E61" s="202">
        <x:v>0</x:v>
      </x:c>
      <x:c r="F61" s="202">
        <x:f t="shared" si="0"/>
        <x:v>0</x:v>
      </x:c>
      <x:c r="G61" s="202"/>
      <x:c r="H61" s="202"/>
    </x:row>
    <x:row r="62" spans="2:8" ht="13.5">
      <x:c r="B62" s="68" t="s">
        <x:v>48</x:v>
      </x:c>
      <x:c r="C62" s="241"/>
      <x:c r="D62" s="202">
        <x:v>14487371.487547316</x:v>
      </x:c>
      <x:c r="E62" s="202">
        <x:v>9722710</x:v>
      </x:c>
      <x:c r="F62" s="202">
        <x:f t="shared" si="0"/>
        <x:v>-4764661.4875473157</x:v>
      </x:c>
      <x:c r="G62" s="202"/>
      <x:c r="H62" s="202"/>
    </x:row>
    <x:row r="63" spans="2:8" ht="13.5">
      <x:c r="B63" s="68" t="s">
        <x:v>63</x:v>
      </x:c>
      <x:c r="C63" s="241"/>
      <x:c r="D63" s="202">
        <x:v>0</x:v>
      </x:c>
      <x:c r="E63" s="202">
        <x:v>0</x:v>
      </x:c>
      <x:c r="F63" s="202">
        <x:f t="shared" si="0"/>
        <x:v>0</x:v>
      </x:c>
      <x:c r="G63" s="202"/>
      <x:c r="H63" s="202"/>
    </x:row>
    <x:row r="64" spans="2:8" ht="13.5">
      <x:c r="B64" s="68" t="s">
        <x:v>64</x:v>
      </x:c>
      <x:c r="C64" s="241"/>
      <x:c r="D64" s="202">
        <x:v>0</x:v>
      </x:c>
      <x:c r="E64" s="202">
        <x:v>0</x:v>
      </x:c>
      <x:c r="F64" s="202">
        <x:f t="shared" si="0"/>
        <x:v>0</x:v>
      </x:c>
      <x:c r="G64" s="202"/>
      <x:c r="H64" s="202"/>
    </x:row>
    <x:row r="65" spans="2:8" ht="9.6" customHeight="1">
      <x:c r="B65" s="27"/>
      <x:c r="C65" s="14"/>
      <x:c r="D65" s="187"/>
      <x:c r="E65" s="187"/>
      <x:c r="F65" s="187">
        <x:f t="shared" si="0"/>
        <x:v>0</x:v>
      </x:c>
      <x:c r="G65" s="187"/>
      <x:c r="H65" s="187"/>
    </x:row>
    <x:row r="66" spans="2:8" ht="16.5">
      <x:c r="B66" s="12" t="s">
        <x:v>4</x:v>
      </x:c>
      <x:c r="C66" s="28"/>
      <x:c r="D66" s="29">
        <x:v>566923450.8621192</x:v>
      </x:c>
      <x:c r="E66" s="29">
        <x:v>528212420</x:v>
      </x:c>
      <x:c r="F66" s="29">
        <x:f t="shared" si="0"/>
        <x:v>-38711030.862119198</x:v>
      </x:c>
      <x:c r="G66" s="29"/>
      <x:c r="H66" s="29"/>
    </x:row>
    <x:row r="67" spans="2:8" ht="13.5">
      <x:c r="B67" s="68" t="s">
        <x:v>42</x:v>
      </x:c>
      <x:c r="C67" s="241"/>
      <x:c r="D67" s="202">
        <x:v>269893240.86211926</x:v>
      </x:c>
      <x:c r="E67" s="202">
        <x:v>231246522</x:v>
      </x:c>
      <x:c r="F67" s="202">
        <x:f t="shared" si="0"/>
        <x:v>-38646718.862119257</x:v>
      </x:c>
      <x:c r="G67" s="202"/>
      <x:c r="H67" s="202"/>
    </x:row>
    <x:row r="68" spans="2:8" ht="13.5">
      <x:c r="B68" s="68" t="s">
        <x:v>65</x:v>
      </x:c>
      <x:c r="C68" s="241"/>
      <x:c r="D68" s="202">
        <x:v>2554095.833333333</x:v>
      </x:c>
      <x:c r="E68" s="202">
        <x:v>38437379</x:v>
      </x:c>
      <x:c r="F68" s="202">
        <x:f t="shared" si="0"/>
        <x:v>35883283.166666664</x:v>
      </x:c>
      <x:c r="G68" s="202"/>
      <x:c r="H68" s="202"/>
    </x:row>
    <x:row r="69" spans="2:8" ht="13.5">
      <x:c r="B69" s="68" t="s">
        <x:v>44</x:v>
      </x:c>
      <x:c r="C69" s="241"/>
      <x:c r="D69" s="202">
        <x:v>23303920</x:v>
      </x:c>
      <x:c r="E69" s="202">
        <x:v>18917510</x:v>
      </x:c>
      <x:c r="F69" s="202">
        <x:f t="shared" si="0"/>
        <x:v>-4386410</x:v>
      </x:c>
      <x:c r="G69" s="202"/>
      <x:c r="H69" s="202"/>
    </x:row>
    <x:row r="70" spans="2:8" ht="13.5">
      <x:c r="B70" s="68" t="s">
        <x:v>34</x:v>
      </x:c>
      <x:c r="C70" s="241"/>
      <x:c r="D70" s="202">
        <x:v>3967000</x:v>
      </x:c>
      <x:c r="E70" s="202">
        <x:v>15376659</x:v>
      </x:c>
      <x:c r="F70" s="202">
        <x:f t="shared" si="0"/>
        <x:v>11409659</x:v>
      </x:c>
      <x:c r="G70" s="202"/>
      <x:c r="H70" s="202"/>
    </x:row>
    <x:row r="71" spans="2:8" ht="13.5">
      <x:c r="B71" s="68" t="s">
        <x:v>38</x:v>
      </x:c>
      <x:c r="C71" s="241"/>
      <x:c r="D71" s="202">
        <x:v>500000</x:v>
      </x:c>
      <x:c r="E71" s="202">
        <x:v>3032105</x:v>
      </x:c>
      <x:c r="F71" s="202">
        <x:f t="shared" si="0"/>
        <x:v>2532105</x:v>
      </x:c>
      <x:c r="G71" s="202"/>
      <x:c r="H71" s="202"/>
    </x:row>
    <x:row r="72" spans="2:8" ht="13.5">
      <x:c r="B72" s="68" t="s">
        <x:v>39</x:v>
      </x:c>
      <x:c r="C72" s="241"/>
      <x:c r="D72" s="202">
        <x:v>0</x:v>
      </x:c>
      <x:c r="E72" s="202">
        <x:v>0</x:v>
      </x:c>
      <x:c r="F72" s="202">
        <x:f t="shared" ref="F72:F81" si="1">E72-D72</x:f>
        <x:v>0</x:v>
      </x:c>
      <x:c r="G72" s="202"/>
      <x:c r="H72" s="202"/>
    </x:row>
    <x:row r="73" spans="2:8" ht="13.5">
      <x:c r="B73" s="68" t="s">
        <x:v>37</x:v>
      </x:c>
      <x:c r="C73" s="241"/>
      <x:c r="D73" s="202">
        <x:v>0</x:v>
      </x:c>
      <x:c r="E73" s="202">
        <x:v>0</x:v>
      </x:c>
      <x:c r="F73" s="202">
        <x:f t="shared" si="1"/>
        <x:v>0</x:v>
      </x:c>
      <x:c r="G73" s="202"/>
      <x:c r="H73" s="202"/>
    </x:row>
    <x:row r="74" spans="2:8" ht="13.5">
      <x:c r="B74" s="68" t="s">
        <x:v>40</x:v>
      </x:c>
      <x:c r="C74" s="241"/>
      <x:c r="D74" s="202">
        <x:v>94478155</x:v>
      </x:c>
      <x:c r="E74" s="202">
        <x:v>55883691</x:v>
      </x:c>
      <x:c r="F74" s="202">
        <x:f t="shared" si="1"/>
        <x:v>-38594464</x:v>
      </x:c>
      <x:c r="G74" s="202"/>
      <x:c r="H74" s="202"/>
    </x:row>
    <x:row r="75" spans="2:8" ht="13.5">
      <x:c r="B75" s="68" t="s">
        <x:v>35</x:v>
      </x:c>
      <x:c r="C75" s="241"/>
      <x:c r="D75" s="202">
        <x:v>45650000</x:v>
      </x:c>
      <x:c r="E75" s="202">
        <x:v>12355648</x:v>
      </x:c>
      <x:c r="F75" s="202">
        <x:f t="shared" si="1"/>
        <x:v>-33294352</x:v>
      </x:c>
      <x:c r="G75" s="202"/>
      <x:c r="H75" s="202"/>
    </x:row>
    <x:row r="76" spans="2:8" ht="13.5">
      <x:c r="B76" s="68" t="s">
        <x:v>36</x:v>
      </x:c>
      <x:c r="C76" s="241"/>
      <x:c r="D76" s="202">
        <x:v>1732437</x:v>
      </x:c>
      <x:c r="E76" s="202">
        <x:v>4114865</x:v>
      </x:c>
      <x:c r="F76" s="202">
        <x:f t="shared" si="1"/>
        <x:v>2382428</x:v>
      </x:c>
      <x:c r="G76" s="202"/>
      <x:c r="H76" s="202"/>
    </x:row>
    <x:row r="77" spans="2:8" ht="13.5">
      <x:c r="B77" s="68" t="s">
        <x:v>45</x:v>
      </x:c>
      <x:c r="C77" s="241"/>
      <x:c r="D77" s="202">
        <x:v>118333334</x:v>
      </x:c>
      <x:c r="E77" s="202">
        <x:v>145590517</x:v>
      </x:c>
      <x:c r="F77" s="202">
        <x:f t="shared" si="1"/>
        <x:v>27257183</x:v>
      </x:c>
      <x:c r="G77" s="202"/>
      <x:c r="H77" s="202"/>
    </x:row>
    <x:row r="78" spans="2:8" ht="13.5">
      <x:c r="B78" s="68" t="s">
        <x:v>46</x:v>
      </x:c>
      <x:c r="C78" s="241"/>
      <x:c r="D78" s="202">
        <x:v>0</x:v>
      </x:c>
      <x:c r="E78" s="202">
        <x:v>0</x:v>
      </x:c>
      <x:c r="F78" s="202">
        <x:f t="shared" si="1"/>
        <x:v>0</x:v>
      </x:c>
      <x:c r="G78" s="202"/>
      <x:c r="H78" s="202"/>
    </x:row>
    <x:row r="79" spans="2:8" ht="13.5">
      <x:c r="B79" s="68" t="s">
        <x:v>47</x:v>
      </x:c>
      <x:c r="C79" s="241"/>
      <x:c r="D79" s="202">
        <x:v>0</x:v>
      </x:c>
      <x:c r="E79" s="202">
        <x:v>0</x:v>
      </x:c>
      <x:c r="F79" s="202">
        <x:f t="shared" si="1"/>
        <x:v>0</x:v>
      </x:c>
      <x:c r="G79" s="202"/>
      <x:c r="H79" s="202"/>
    </x:row>
    <x:row r="80" spans="2:8" ht="13.5">
      <x:c r="B80" s="68" t="s">
        <x:v>48</x:v>
      </x:c>
      <x:c r="C80" s="241"/>
      <x:c r="D80" s="202">
        <x:v>6511268.166666666</x:v>
      </x:c>
      <x:c r="E80" s="202">
        <x:v>3257524</x:v>
      </x:c>
      <x:c r="F80" s="202">
        <x:f t="shared" si="1"/>
        <x:v>-3253744.166666666</x:v>
      </x:c>
      <x:c r="G80" s="202"/>
      <x:c r="H80" s="202"/>
    </x:row>
    <x:row r="81" spans="2:8" ht="13.5">
      <x:c r="B81" s="17" t="s">
        <x:v>27</x:v>
      </x:c>
      <x:c r="C81" s="18">
        <x:v>0</x:v>
      </x:c>
      <x:c r="D81" s="18">
        <x:v>-179159718.09036827</x:v>
      </x:c>
      <x:c r="E81" s="18">
        <x:v>-891916163</x:v>
      </x:c>
      <x:c r="F81" s="18">
        <x:f t="shared" si="1"/>
        <x:v>-712756444.90963173</x:v>
      </x:c>
      <x:c r="G81" s="18"/>
      <x:c r="H81" s="18"/>
    </x:row>
    <x:row r="82" spans="2:8" ht="13.5">
      <x:c r="B82" s="31" t="s">
        <x:v>28</x:v>
      </x:c>
      <x:c r="C82" s="33">
        <x:v>0</x:v>
      </x:c>
      <x:c r="D82" s="57">
        <x:v>-2.8307884392120654E-2</x:v>
      </x:c>
      <x:c r="E82" s="57">
        <x:v>-0.25857862935938114</x:v>
      </x:c>
      <x:c r="F82" s="33"/>
      <x:c r="G82" s="33"/>
      <x:c r="H82" s="33"/>
    </x:row>
  </x:sheetData>
  <x:phoneticPr fontId="7" type="noConversion"/>
  <x:pageMargins left="0.7" right="0.7" top="0.75" bottom="0.75" header="0.3" footer="0.3"/>
  <x:pageSetup paperSize="9" orientation="portrait" r:id="rId1"/>
</x:worksheet>
</file>

<file path=xl/worksheets/sheet1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C023ED-C584-4589-8513-A2526FD74135}" mc:Ignorable="x14ac xr xr2 xr3">
  <x:sheetPr>
    <x:tabColor theme="2" tint="-9.9978637043366805E-2"/>
  </x:sheetPr>
  <x:dimension ref="B1:S82"/>
  <x:sheetViews>
    <x:sheetView showGridLines="0" zoomScale="70" zoomScaleNormal="70" workbookViewId="0">
      <x:pane xSplit="4" ySplit="5" topLeftCell="I6" activePane="bottomRight" state="frozen"/>
      <x:selection activeCell="W34" sqref="W34"/>
      <x:selection pane="topRight" activeCell="W34" sqref="W34"/>
      <x:selection pane="bottomLeft" activeCell="W34" sqref="W34"/>
      <x:selection pane="bottomRight" activeCell="W34" sqref="W34"/>
    </x:sheetView>
  </x:sheetViews>
  <x:sheetFormatPr defaultColWidth="8.85546875" defaultRowHeight="12.75"/>
  <x:cols>
    <x:col min="1" max="1" width="1.42578125" style="8" customWidth="1"/>
    <x:col min="2" max="2" width="21.42578125" style="8" customWidth="1"/>
    <x:col min="3" max="3" width="17.140625" style="7" bestFit="1" customWidth="1"/>
    <x:col min="4" max="4" width="20.140625" style="7" customWidth="1"/>
    <x:col min="5" max="6" width="16.42578125" style="7" bestFit="1" customWidth="1"/>
    <x:col min="7" max="7" width="16.85546875" style="7" bestFit="1" customWidth="1"/>
    <x:col min="8" max="8" width="16.42578125" style="7" bestFit="1" customWidth="1"/>
    <x:col min="9" max="9" width="16.42578125" style="7" customWidth="1"/>
    <x:col min="10" max="11" width="16.85546875" style="7" bestFit="1" customWidth="1"/>
    <x:col min="12" max="12" width="16.42578125" style="7" bestFit="1" customWidth="1"/>
    <x:col min="13" max="15" width="16.85546875" style="7" bestFit="1" customWidth="1"/>
    <x:col min="16" max="16" width="16.42578125" style="7" customWidth="1"/>
    <x:col min="17" max="18" width="8.85546875" style="8"/>
    <x:col min="19" max="19" width="21.7109375" style="8" customWidth="1"/>
    <x:col min="20" max="16384" width="8.85546875" style="8"/>
  </x:cols>
  <x:sheetData>
    <x:row r="1" spans="2:19">
      <x:c r="E1" s="476" t="e">
        <x:f>E3/E8</x:f>
        <x:v>#DIV/0!</x:v>
      </x:c>
      <x:c r="F1" s="476" t="e">
        <x:f>F3/F8</x:f>
        <x:v>#REF!</x:v>
      </x:c>
    </x:row>
    <x:row r="2" spans="2:19" ht="19.5" customHeight="1"/>
    <x:row r="3" spans="2:19" ht="27.6" customHeight="1">
      <x:c r="B3" s="15"/>
      <x:c r="E3" s="7">
        <x:f>E8-E20</x:f>
        <x:v>0</x:v>
      </x:c>
      <x:c r="F3" s="7" t="e">
        <x:f>F8-F20</x:f>
        <x:v>#REF!</x:v>
      </x:c>
      <x:c r="P3" s="9"/>
    </x:row>
    <x:row r="4" spans="2:19" ht="14.45" customHeight="1">
      <x:c r="E4" s="8"/>
      <x:c r="F4" s="8"/>
      <x:c r="N4" s="8"/>
      <x:c r="P4" s="14" t="s">
        <x:v>20</x:v>
      </x:c>
    </x:row>
    <x:row r="5" spans="2:19" ht="27.6" customHeight="1">
      <x:c r="B5" s="17" t="s">
        <x:v>41</x:v>
      </x:c>
      <x:c r="C5" s="18" t="s">
        <x:v>182</x:v>
      </x:c>
      <x:c r="D5" s="17" t="s">
        <x:v>0</x:v>
      </x:c>
      <x:c r="E5" s="18" t="s">
        <x:v>7</x:v>
      </x:c>
      <x:c r="F5" s="18" t="s">
        <x:v>9</x:v>
      </x:c>
      <x:c r="G5" s="18" t="s">
        <x:v>10</x:v>
      </x:c>
      <x:c r="H5" s="18" t="s">
        <x:v>11</x:v>
      </x:c>
      <x:c r="I5" s="18" t="s">
        <x:v>12</x:v>
      </x:c>
      <x:c r="J5" s="18" t="s">
        <x:v>13</x:v>
      </x:c>
      <x:c r="K5" s="18" t="s">
        <x:v>14</x:v>
      </x:c>
      <x:c r="L5" s="18" t="s">
        <x:v>15</x:v>
      </x:c>
      <x:c r="M5" s="18" t="s">
        <x:v>16</x:v>
      </x:c>
      <x:c r="N5" s="18" t="s">
        <x:v>17</x:v>
      </x:c>
      <x:c r="O5" s="18" t="s">
        <x:v>18</x:v>
      </x:c>
      <x:c r="P5" s="18" t="s">
        <x:v>19</x:v>
      </x:c>
    </x:row>
    <x:row r="6" spans="2:19" s="10" customFormat="1" ht="20.45" customHeight="1">
      <x:c r="B6" s="19" t="s">
        <x:v>22</x:v>
      </x:c>
      <x:c r="C6" s="20" t="e">
        <x:f>SUM(E6:P6)</x:f>
        <x:v>#REF!</x:v>
      </x:c>
      <x:c r="D6" s="19">
        <x:v>8521702445.999999</x:v>
      </x:c>
      <x:c r="E6" s="19">
        <x:f>E8+E12+E17+E7</x:f>
        <x:v>0</x:v>
      </x:c>
      <x:c r="F6" s="19" t="e">
        <x:f t="shared" ref="F6:L6" si="0">F8+F12+F17+F7</x:f>
        <x:v>#REF!</x:v>
      </x:c>
      <x:c r="G6" s="19" t="e">
        <x:f t="shared" si="0"/>
        <x:v>#REF!</x:v>
      </x:c>
      <x:c r="H6" s="19" t="e">
        <x:f t="shared" si="0"/>
        <x:v>#REF!</x:v>
      </x:c>
      <x:c r="I6" s="19" t="e">
        <x:f t="shared" si="0"/>
        <x:v>#REF!</x:v>
      </x:c>
      <x:c r="J6" s="19" t="e">
        <x:f t="shared" si="0"/>
        <x:v>#REF!</x:v>
      </x:c>
      <x:c r="K6" s="19" t="e">
        <x:f t="shared" si="0"/>
        <x:v>#REF!</x:v>
      </x:c>
      <x:c r="L6" s="19" t="e">
        <x:f t="shared" si="0"/>
        <x:v>#REF!</x:v>
      </x:c>
      <x:c r="M6" s="19" t="e">
        <x:f t="shared" ref="M6:N6" si="1">M8+M12+M17+M7</x:f>
        <x:v>#REF!</x:v>
      </x:c>
      <x:c r="N6" s="19" t="e">
        <x:f t="shared" si="1"/>
        <x:v>#REF!</x:v>
      </x:c>
      <x:c r="O6" s="19"/>
      <x:c r="P6" s="19"/>
    </x:row>
    <x:row r="7" spans="2:19" ht="13.5">
      <x:c r="B7" s="6" t="s">
        <x:v>183</x:v>
      </x:c>
      <x:c r="C7" s="353">
        <x:f t="shared" ref="C7:C29" si="2">SUM(E7:P7)</x:f>
        <x:v>0</x:v>
      </x:c>
      <x:c r="D7" s="354">
        <x:v>0</x:v>
      </x:c>
      <x:c r="E7" s="354">
        <x:f>'3. 손익계산서 월별실적'!E7</x:f>
        <x:v>0</x:v>
      </x:c>
      <x:c r="F7" s="354">
        <x:f>'3. 손익계산서 월별실적'!F7</x:f>
        <x:v>0</x:v>
      </x:c>
      <x:c r="G7" s="354">
        <x:f>'3. 손익계산서 월별실적'!G7</x:f>
        <x:v>0</x:v>
      </x:c>
      <x:c r="H7" s="354">
        <x:f>'3. 손익계산서 월별실적'!H7</x:f>
        <x:v>0</x:v>
      </x:c>
      <x:c r="I7" s="354">
        <x:f>'3. 손익계산서 월별실적'!I7</x:f>
        <x:v>0</x:v>
      </x:c>
      <x:c r="J7" s="354">
        <x:f>'3. 손익계산서 월별실적'!J7</x:f>
        <x:v>0</x:v>
      </x:c>
      <x:c r="K7" s="354">
        <x:f>'3. 손익계산서 월별실적'!K7</x:f>
        <x:v>0</x:v>
      </x:c>
      <x:c r="L7" s="354">
        <x:f>'3. 손익계산서 월별실적'!L7</x:f>
        <x:v>0</x:v>
      </x:c>
      <x:c r="M7" s="354">
        <x:f>'3. 손익계산서 월별실적'!M7</x:f>
        <x:v>0</x:v>
      </x:c>
      <x:c r="N7" s="354">
        <x:f>'3. 손익계산서 월별실적'!N7</x:f>
        <x:v>0</x:v>
      </x:c>
      <x:c r="O7" s="354"/>
      <x:c r="P7" s="354"/>
    </x:row>
    <x:row r="8" spans="2:19" ht="13.5">
      <x:c r="B8" s="6" t="s">
        <x:v>330</x:v>
      </x:c>
      <x:c r="C8" s="353" t="e">
        <x:f t="shared" si="2"/>
        <x:v>#REF!</x:v>
      </x:c>
      <x:c r="D8" s="354">
        <x:v>1548225403.1084263</x:v>
      </x:c>
      <x:c r="E8" s="354">
        <x:f>SUM(매출추이!B21:B36)</x:f>
        <x:v>0</x:v>
      </x:c>
      <x:c r="F8" s="354" t="e">
        <x:f>SUM(매출추이!C21:C36)</x:f>
        <x:v>#REF!</x:v>
      </x:c>
      <x:c r="G8" s="354" t="e">
        <x:f>SUM(매출추이!D21:D36)</x:f>
        <x:v>#REF!</x:v>
      </x:c>
      <x:c r="H8" s="354" t="e">
        <x:f>SUM(매출추이!E21:E36)</x:f>
        <x:v>#REF!</x:v>
      </x:c>
      <x:c r="I8" s="354" t="e">
        <x:f>SUM(매출추이!F21:F36)</x:f>
        <x:v>#REF!</x:v>
      </x:c>
      <x:c r="J8" s="354" t="e">
        <x:f>SUM(매출추이!G21:G36)</x:f>
        <x:v>#REF!</x:v>
      </x:c>
      <x:c r="K8" s="354" t="e">
        <x:f>SUM(매출추이!H21:H36)</x:f>
        <x:v>#REF!</x:v>
      </x:c>
      <x:c r="L8" s="354" t="e">
        <x:f>SUM(매출추이!I21:I36)</x:f>
        <x:v>#REF!</x:v>
      </x:c>
      <x:c r="M8" s="354" t="e">
        <x:f>SUM(매출추이!J21:J36)</x:f>
        <x:v>#REF!</x:v>
      </x:c>
      <x:c r="N8" s="354" t="e">
        <x:f>SUM(매출추이!K21:K36)</x:f>
        <x:v>#REF!</x:v>
      </x:c>
      <x:c r="O8" s="354"/>
      <x:c r="P8" s="354"/>
      <x:c r="S8" s="10" t="e">
        <x:f>N8-M8</x:f>
        <x:v>#REF!</x:v>
      </x:c>
    </x:row>
    <x:row r="9" spans="2:19" ht="13.5">
      <x:c r="B9" s="13" t="s">
        <x:v>378</x:v>
      </x:c>
      <x:c r="C9" s="241" t="e">
        <x:f t="shared" si="2"/>
        <x:v>#REF!</x:v>
      </x:c>
      <x:c r="D9" s="202">
        <x:v>1548225403.1084263</x:v>
      </x:c>
      <x:c r="E9" s="202">
        <x:f>매출추이!B26+매출추이!B30+매출추이!B36</x:f>
        <x:v>0</x:v>
      </x:c>
      <x:c r="F9" s="202" t="e">
        <x:f>매출추이!C26+매출추이!C30+매출추이!C36</x:f>
        <x:v>#REF!</x:v>
      </x:c>
      <x:c r="G9" s="202" t="e">
        <x:f>매출추이!D26+매출추이!D30+매출추이!D36</x:f>
        <x:v>#REF!</x:v>
      </x:c>
      <x:c r="H9" s="202" t="e">
        <x:f>매출추이!E26+매출추이!E30+매출추이!E36</x:f>
        <x:v>#REF!</x:v>
      </x:c>
      <x:c r="I9" s="202" t="e">
        <x:f>매출추이!F26+매출추이!F30+매출추이!F36</x:f>
        <x:v>#REF!</x:v>
      </x:c>
      <x:c r="J9" s="202" t="e">
        <x:f>매출추이!G26+매출추이!G30+매출추이!G36</x:f>
        <x:v>#REF!</x:v>
      </x:c>
      <x:c r="K9" s="202" t="e">
        <x:f>매출추이!H26+매출추이!H30+매출추이!H36</x:f>
        <x:v>#REF!</x:v>
      </x:c>
      <x:c r="L9" s="202" t="e">
        <x:f>매출추이!I26+매출추이!I30+매출추이!I36</x:f>
        <x:v>#REF!</x:v>
      </x:c>
      <x:c r="M9" s="202" t="e">
        <x:f>매출추이!J26+매출추이!J30+매출추이!J36</x:f>
        <x:v>#REF!</x:v>
      </x:c>
      <x:c r="N9" s="202" t="e">
        <x:f>매출추이!K26+매출추이!K30+매출추이!K36</x:f>
        <x:v>#REF!</x:v>
      </x:c>
      <x:c r="O9" s="202"/>
      <x:c r="P9" s="202"/>
      <x:c r="R9" s="8" t="s">
        <x:v>377</x:v>
      </x:c>
      <x:c r="S9" s="10" t="e">
        <x:f t="shared" ref="S9:S17" si="3">N9-M9</x:f>
        <x:v>#REF!</x:v>
      </x:c>
    </x:row>
    <x:row r="10" spans="2:19" ht="13.5">
      <x:c r="B10" s="13" t="s">
        <x:v>380</x:v>
      </x:c>
      <x:c r="C10" s="241" t="e">
        <x:f t="shared" si="2"/>
        <x:v>#REF!</x:v>
      </x:c>
      <x:c r="D10" s="202">
        <x:v>0</x:v>
      </x:c>
      <x:c r="E10" s="202">
        <x:f>매출추이!B21</x:f>
        <x:v>0</x:v>
      </x:c>
      <x:c r="F10" s="202" t="e">
        <x:f>매출추이!C21</x:f>
        <x:v>#REF!</x:v>
      </x:c>
      <x:c r="G10" s="202" t="e">
        <x:f>매출추이!D21</x:f>
        <x:v>#REF!</x:v>
      </x:c>
      <x:c r="H10" s="202" t="e">
        <x:f>매출추이!E21</x:f>
        <x:v>#REF!</x:v>
      </x:c>
      <x:c r="I10" s="202" t="e">
        <x:f>매출추이!F21</x:f>
        <x:v>#REF!</x:v>
      </x:c>
      <x:c r="J10" s="202" t="e">
        <x:f>매출추이!G21</x:f>
        <x:v>#REF!</x:v>
      </x:c>
      <x:c r="K10" s="202" t="e">
        <x:f>매출추이!H21</x:f>
        <x:v>#REF!</x:v>
      </x:c>
      <x:c r="L10" s="202" t="e">
        <x:f>매출추이!I21</x:f>
        <x:v>#REF!</x:v>
      </x:c>
      <x:c r="M10" s="202" t="e">
        <x:f>매출추이!J21</x:f>
        <x:v>#REF!</x:v>
      </x:c>
      <x:c r="N10" s="202" t="e">
        <x:f>매출추이!K21</x:f>
        <x:v>#REF!</x:v>
      </x:c>
      <x:c r="O10" s="202"/>
      <x:c r="P10" s="202"/>
      <x:c r="R10" s="8" t="s">
        <x:v>379</x:v>
      </x:c>
      <x:c r="S10" s="10" t="e">
        <x:f t="shared" si="3"/>
        <x:v>#REF!</x:v>
      </x:c>
    </x:row>
    <x:row r="11" spans="2:19" ht="13.5">
      <x:c r="B11" s="13" t="s">
        <x:v>393</x:v>
      </x:c>
      <x:c r="C11" s="241" t="e">
        <x:f>0+(SUM(E11:P11))</x:f>
        <x:v>#REF!</x:v>
      </x:c>
      <x:c r="D11" s="202">
        <x:v>0</x:v>
      </x:c>
      <x:c r="E11" s="202">
        <x:f>E8-E9-E10</x:f>
        <x:v>0</x:v>
      </x:c>
      <x:c r="F11" s="202" t="e">
        <x:f t="shared" ref="F11:L11" si="4">F8-F9-F10</x:f>
        <x:v>#REF!</x:v>
      </x:c>
      <x:c r="G11" s="202" t="e">
        <x:f t="shared" si="4"/>
        <x:v>#REF!</x:v>
      </x:c>
      <x:c r="H11" s="202" t="e">
        <x:f t="shared" si="4"/>
        <x:v>#REF!</x:v>
      </x:c>
      <x:c r="I11" s="202" t="e">
        <x:f t="shared" si="4"/>
        <x:v>#REF!</x:v>
      </x:c>
      <x:c r="J11" s="202" t="e">
        <x:f t="shared" si="4"/>
        <x:v>#REF!</x:v>
      </x:c>
      <x:c r="K11" s="202" t="e">
        <x:f t="shared" si="4"/>
        <x:v>#REF!</x:v>
      </x:c>
      <x:c r="L11" s="202" t="e">
        <x:f t="shared" si="4"/>
        <x:v>#REF!</x:v>
      </x:c>
      <x:c r="M11" s="202" t="e">
        <x:f t="shared" ref="M11:N11" si="5">M8-M9-M10</x:f>
        <x:v>#REF!</x:v>
      </x:c>
      <x:c r="N11" s="202" t="e">
        <x:f t="shared" si="5"/>
        <x:v>#REF!</x:v>
      </x:c>
      <x:c r="O11" s="202"/>
      <x:c r="P11" s="202"/>
      <x:c r="R11" s="8" t="s">
        <x:v>616</x:v>
      </x:c>
      <x:c r="S11" s="10" t="e">
        <x:f t="shared" si="3"/>
        <x:v>#REF!</x:v>
      </x:c>
    </x:row>
    <x:row r="12" spans="2:19" ht="13.5">
      <x:c r="B12" s="6" t="s">
        <x:v>5</x:v>
      </x:c>
      <x:c r="C12" s="353" t="e">
        <x:f t="shared" si="2"/>
        <x:v>#REF!</x:v>
      </x:c>
      <x:c r="D12" s="354">
        <x:v>2156916531.1099267</x:v>
      </x:c>
      <x:c r="E12" s="354">
        <x:f>SUM(매출추이!B3:B17)</x:f>
        <x:v>0</x:v>
      </x:c>
      <x:c r="F12" s="354" t="e">
        <x:f>SUM(매출추이!C3:C17)</x:f>
        <x:v>#REF!</x:v>
      </x:c>
      <x:c r="G12" s="354" t="e">
        <x:f>SUM(매출추이!D3:D17)</x:f>
        <x:v>#REF!</x:v>
      </x:c>
      <x:c r="H12" s="354" t="e">
        <x:f>SUM(매출추이!E3:E17)</x:f>
        <x:v>#REF!</x:v>
      </x:c>
      <x:c r="I12" s="354" t="e">
        <x:f>SUM(매출추이!F3:F17)</x:f>
        <x:v>#REF!</x:v>
      </x:c>
      <x:c r="J12" s="354" t="e">
        <x:f>SUM(매출추이!G3:G17)</x:f>
        <x:v>#REF!</x:v>
      </x:c>
      <x:c r="K12" s="354" t="e">
        <x:f>SUM(매출추이!H3:H17)</x:f>
        <x:v>#REF!</x:v>
      </x:c>
      <x:c r="L12" s="354" t="e">
        <x:f>SUM(매출추이!I3:I17)</x:f>
        <x:v>#REF!</x:v>
      </x:c>
      <x:c r="M12" s="354" t="e">
        <x:f>SUM(매출추이!J3:J17)</x:f>
        <x:v>#REF!</x:v>
      </x:c>
      <x:c r="N12" s="354" t="e">
        <x:f>SUM(매출추이!K3:K17)</x:f>
        <x:v>#REF!</x:v>
      </x:c>
      <x:c r="O12" s="354"/>
      <x:c r="P12" s="354"/>
      <x:c r="S12" s="10" t="e">
        <x:f t="shared" si="3"/>
        <x:v>#REF!</x:v>
      </x:c>
    </x:row>
    <x:row r="13" spans="2:19" ht="13.5">
      <x:c r="B13" s="13" t="s">
        <x:v>382</x:v>
      </x:c>
      <x:c r="C13" s="241" t="e">
        <x:f t="shared" si="2"/>
        <x:v>#REF!</x:v>
      </x:c>
      <x:c r="D13" s="202">
        <x:v>1906238000.7887042</x:v>
      </x:c>
      <x:c r="E13" s="202">
        <x:f>매출추이!B3</x:f>
        <x:v>0</x:v>
      </x:c>
      <x:c r="F13" s="202" t="e">
        <x:f>매출추이!C3</x:f>
        <x:v>#REF!</x:v>
      </x:c>
      <x:c r="G13" s="202" t="e">
        <x:f>매출추이!D3</x:f>
        <x:v>#REF!</x:v>
      </x:c>
      <x:c r="H13" s="202" t="e">
        <x:f>매출추이!E3</x:f>
        <x:v>#REF!</x:v>
      </x:c>
      <x:c r="I13" s="202" t="e">
        <x:f>매출추이!F3</x:f>
        <x:v>#REF!</x:v>
      </x:c>
      <x:c r="J13" s="202" t="e">
        <x:f>매출추이!G3</x:f>
        <x:v>#REF!</x:v>
      </x:c>
      <x:c r="K13" s="202" t="e">
        <x:f>매출추이!H3</x:f>
        <x:v>#REF!</x:v>
      </x:c>
      <x:c r="L13" s="202" t="e">
        <x:f>매출추이!I3</x:f>
        <x:v>#REF!</x:v>
      </x:c>
      <x:c r="M13" s="202" t="e">
        <x:f>매출추이!J3</x:f>
        <x:v>#REF!</x:v>
      </x:c>
      <x:c r="N13" s="202" t="e">
        <x:f>매출추이!K3</x:f>
        <x:v>#REF!</x:v>
      </x:c>
      <x:c r="O13" s="202"/>
      <x:c r="P13" s="202"/>
      <x:c r="R13" s="8" t="s">
        <x:v>381</x:v>
      </x:c>
      <x:c r="S13" s="10" t="e">
        <x:f t="shared" si="3"/>
        <x:v>#REF!</x:v>
      </x:c>
    </x:row>
    <x:row r="14" spans="2:19" ht="13.5">
      <x:c r="B14" s="13" t="s">
        <x:v>384</x:v>
      </x:c>
      <x:c r="C14" s="241" t="e">
        <x:f t="shared" si="2"/>
        <x:v>#REF!</x:v>
      </x:c>
      <x:c r="D14" s="202">
        <x:v>143533080.81342617</x:v>
      </x:c>
      <x:c r="E14" s="202">
        <x:f>매출추이!B6</x:f>
        <x:v>0</x:v>
      </x:c>
      <x:c r="F14" s="202" t="e">
        <x:f>매출추이!C6</x:f>
        <x:v>#REF!</x:v>
      </x:c>
      <x:c r="G14" s="202" t="e">
        <x:f>매출추이!D6</x:f>
        <x:v>#REF!</x:v>
      </x:c>
      <x:c r="H14" s="202" t="e">
        <x:f>매출추이!E6</x:f>
        <x:v>#REF!</x:v>
      </x:c>
      <x:c r="I14" s="202" t="e">
        <x:f>매출추이!F6</x:f>
        <x:v>#REF!</x:v>
      </x:c>
      <x:c r="J14" s="202" t="e">
        <x:f>매출추이!G6</x:f>
        <x:v>#REF!</x:v>
      </x:c>
      <x:c r="K14" s="202" t="e">
        <x:f>매출추이!H6</x:f>
        <x:v>#REF!</x:v>
      </x:c>
      <x:c r="L14" s="202" t="e">
        <x:f>매출추이!I6</x:f>
        <x:v>#REF!</x:v>
      </x:c>
      <x:c r="M14" s="202" t="e">
        <x:f>매출추이!J6</x:f>
        <x:v>#REF!</x:v>
      </x:c>
      <x:c r="N14" s="202" t="e">
        <x:f>매출추이!K6</x:f>
        <x:v>#REF!</x:v>
      </x:c>
      <x:c r="O14" s="202"/>
      <x:c r="P14" s="202"/>
      <x:c r="R14" s="8" t="s">
        <x:v>383</x:v>
      </x:c>
      <x:c r="S14" s="10" t="e">
        <x:f t="shared" si="3"/>
        <x:v>#REF!</x:v>
      </x:c>
    </x:row>
    <x:row r="15" spans="2:19" ht="13.5">
      <x:c r="B15" s="13" t="s">
        <x:v>386</x:v>
      </x:c>
      <x:c r="C15" s="241" t="e">
        <x:f t="shared" si="2"/>
        <x:v>#REF!</x:v>
      </x:c>
      <x:c r="D15" s="202">
        <x:v>0</x:v>
      </x:c>
      <x:c r="E15" s="202">
        <x:f>매출추이!B11</x:f>
        <x:v>0</x:v>
      </x:c>
      <x:c r="F15" s="202" t="e">
        <x:f>매출추이!C11</x:f>
        <x:v>#REF!</x:v>
      </x:c>
      <x:c r="G15" s="202" t="e">
        <x:f>매출추이!D11</x:f>
        <x:v>#REF!</x:v>
      </x:c>
      <x:c r="H15" s="202" t="e">
        <x:f>매출추이!E11</x:f>
        <x:v>#REF!</x:v>
      </x:c>
      <x:c r="I15" s="202" t="e">
        <x:f>매출추이!F11</x:f>
        <x:v>#REF!</x:v>
      </x:c>
      <x:c r="J15" s="202" t="e">
        <x:f>매출추이!G11</x:f>
        <x:v>#REF!</x:v>
      </x:c>
      <x:c r="K15" s="202" t="e">
        <x:f>매출추이!H11</x:f>
        <x:v>#REF!</x:v>
      </x:c>
      <x:c r="L15" s="202" t="e">
        <x:f>매출추이!I11</x:f>
        <x:v>#REF!</x:v>
      </x:c>
      <x:c r="M15" s="202" t="e">
        <x:f>매출추이!J11</x:f>
        <x:v>#REF!</x:v>
      </x:c>
      <x:c r="N15" s="202" t="e">
        <x:f>매출추이!K11</x:f>
        <x:v>#REF!</x:v>
      </x:c>
      <x:c r="O15" s="202"/>
      <x:c r="P15" s="202"/>
      <x:c r="R15" s="8" t="s">
        <x:v>385</x:v>
      </x:c>
      <x:c r="S15" s="10" t="e">
        <x:f t="shared" si="3"/>
        <x:v>#REF!</x:v>
      </x:c>
    </x:row>
    <x:row r="16" spans="2:19" ht="13.5">
      <x:c r="B16" s="13" t="s">
        <x:v>388</x:v>
      </x:c>
      <x:c r="C16" s="241" t="e">
        <x:f t="shared" si="2"/>
        <x:v>#REF!</x:v>
      </x:c>
      <x:c r="D16" s="202">
        <x:v>107145449.50779638</x:v>
      </x:c>
      <x:c r="E16" s="202">
        <x:f>E12-E13-E14-E15</x:f>
        <x:v>0</x:v>
      </x:c>
      <x:c r="F16" s="202" t="e">
        <x:f t="shared" ref="F16:L16" si="6">F12-F13-F14-F15</x:f>
        <x:v>#REF!</x:v>
      </x:c>
      <x:c r="G16" s="202" t="e">
        <x:f t="shared" si="6"/>
        <x:v>#REF!</x:v>
      </x:c>
      <x:c r="H16" s="202" t="e">
        <x:f t="shared" si="6"/>
        <x:v>#REF!</x:v>
      </x:c>
      <x:c r="I16" s="202" t="e">
        <x:f t="shared" si="6"/>
        <x:v>#REF!</x:v>
      </x:c>
      <x:c r="J16" s="202" t="e">
        <x:f t="shared" si="6"/>
        <x:v>#REF!</x:v>
      </x:c>
      <x:c r="K16" s="202" t="e">
        <x:f t="shared" si="6"/>
        <x:v>#REF!</x:v>
      </x:c>
      <x:c r="L16" s="202" t="e">
        <x:f t="shared" si="6"/>
        <x:v>#REF!</x:v>
      </x:c>
      <x:c r="M16" s="202" t="e">
        <x:f t="shared" ref="M16:N16" si="7">M12-M13-M14-M15</x:f>
        <x:v>#REF!</x:v>
      </x:c>
      <x:c r="N16" s="202" t="e">
        <x:f t="shared" si="7"/>
        <x:v>#REF!</x:v>
      </x:c>
      <x:c r="O16" s="202"/>
      <x:c r="P16" s="202"/>
      <x:c r="R16" s="8" t="s">
        <x:v>387</x:v>
      </x:c>
      <x:c r="S16" s="10" t="e">
        <x:f t="shared" si="3"/>
        <x:v>#REF!</x:v>
      </x:c>
    </x:row>
    <x:row r="17" spans="2:19" ht="13.5">
      <x:c r="B17" s="6" t="s">
        <x:v>6</x:v>
      </x:c>
      <x:c r="C17" s="353" t="e">
        <x:f t="shared" si="2"/>
        <x:v>#REF!</x:v>
      </x:c>
      <x:c r="D17" s="354">
        <x:v>4816560511.7816458</x:v>
      </x:c>
      <x:c r="E17" s="354">
        <x:f>SUM(매출추이!B40:B57)</x:f>
        <x:v>0</x:v>
      </x:c>
      <x:c r="F17" s="354" t="e">
        <x:f>SUM(매출추이!C40:C57)</x:f>
        <x:v>#REF!</x:v>
      </x:c>
      <x:c r="G17" s="354" t="e">
        <x:f>SUM(매출추이!D40:D57)</x:f>
        <x:v>#REF!</x:v>
      </x:c>
      <x:c r="H17" s="354" t="e">
        <x:f>SUM(매출추이!E40:E57)</x:f>
        <x:v>#REF!</x:v>
      </x:c>
      <x:c r="I17" s="354" t="e">
        <x:f>SUM(매출추이!F40:F57)</x:f>
        <x:v>#REF!</x:v>
      </x:c>
      <x:c r="J17" s="354" t="e">
        <x:f>SUM(매출추이!G40:G57)</x:f>
        <x:v>#REF!</x:v>
      </x:c>
      <x:c r="K17" s="354" t="e">
        <x:f>SUM(매출추이!H40:H57)</x:f>
        <x:v>#REF!</x:v>
      </x:c>
      <x:c r="L17" s="354" t="e">
        <x:f>SUM(매출추이!I40:I57)</x:f>
        <x:v>#REF!</x:v>
      </x:c>
      <x:c r="M17" s="354" t="e">
        <x:f>SUM(매출추이!J40:J57)</x:f>
        <x:v>#REF!</x:v>
      </x:c>
      <x:c r="N17" s="354" t="e">
        <x:f>SUM(매출추이!K40:K57)</x:f>
        <x:v>#REF!</x:v>
      </x:c>
      <x:c r="O17" s="354"/>
      <x:c r="P17" s="354"/>
      <x:c r="S17" s="10" t="e">
        <x:f t="shared" si="3"/>
        <x:v>#REF!</x:v>
      </x:c>
    </x:row>
    <x:row r="18" spans="2:19" ht="19.350000000000001" customHeight="1">
      <x:c r="B18" s="19" t="s">
        <x:v>23</x:v>
      </x:c>
      <x:c r="C18" s="20">
        <x:f t="shared" si="2"/>
        <x:v>0</x:v>
      </x:c>
      <x:c r="D18" s="19">
        <x:v>4681435045</x:v>
      </x:c>
      <x:c r="E18" s="19">
        <x:f>E19+E20+E23+E28</x:f>
        <x:v>0</x:v>
      </x:c>
      <x:c r="F18" s="19">
        <x:f t="shared" ref="F18:L18" si="8">F19+F20+F23+F28</x:f>
        <x:v>0</x:v>
      </x:c>
      <x:c r="G18" s="19">
        <x:f t="shared" si="8"/>
        <x:v>0</x:v>
      </x:c>
      <x:c r="H18" s="19">
        <x:f t="shared" si="8"/>
        <x:v>0</x:v>
      </x:c>
      <x:c r="I18" s="19">
        <x:f t="shared" si="8"/>
        <x:v>0</x:v>
      </x:c>
      <x:c r="J18" s="19">
        <x:f t="shared" si="8"/>
        <x:v>0</x:v>
      </x:c>
      <x:c r="K18" s="19">
        <x:f t="shared" si="8"/>
        <x:v>0</x:v>
      </x:c>
      <x:c r="L18" s="19">
        <x:f t="shared" si="8"/>
        <x:v>0</x:v>
      </x:c>
      <x:c r="M18" s="19">
        <x:f t="shared" ref="M18" si="9">M19+M20+M23+M28</x:f>
        <x:v>0</x:v>
      </x:c>
      <x:c r="N18" s="19">
        <x:f>N19+N20+N23+N28</x:f>
        <x:v>0</x:v>
      </x:c>
      <x:c r="O18" s="19"/>
      <x:c r="P18" s="19"/>
    </x:row>
    <x:row r="19" spans="2:19" ht="13.5">
      <x:c r="B19" s="6" t="s">
        <x:v>183</x:v>
      </x:c>
      <x:c r="C19" s="353">
        <x:f t="shared" si="2"/>
        <x:v>0</x:v>
      </x:c>
      <x:c r="D19" s="354">
        <x:v>0</x:v>
      </x:c>
      <x:c r="E19" s="354">
        <x:f>'3. 손익계산서 월별실적'!E12</x:f>
        <x:v>0</x:v>
      </x:c>
      <x:c r="F19" s="354">
        <x:f>'3. 손익계산서 월별실적'!F12</x:f>
        <x:v>0</x:v>
      </x:c>
      <x:c r="G19" s="354">
        <x:f>'3. 손익계산서 월별실적'!G12</x:f>
        <x:v>0</x:v>
      </x:c>
      <x:c r="H19" s="354">
        <x:f>'3. 손익계산서 월별실적'!H12</x:f>
        <x:v>0</x:v>
      </x:c>
      <x:c r="I19" s="354">
        <x:f>'3. 손익계산서 월별실적'!I12</x:f>
        <x:v>0</x:v>
      </x:c>
      <x:c r="J19" s="354">
        <x:f>'3. 손익계산서 월별실적'!J12</x:f>
        <x:v>0</x:v>
      </x:c>
      <x:c r="K19" s="354">
        <x:f>'3. 손익계산서 월별실적'!K12</x:f>
        <x:v>0</x:v>
      </x:c>
      <x:c r="L19" s="354">
        <x:f>'3. 손익계산서 월별실적'!L12</x:f>
        <x:v>0</x:v>
      </x:c>
      <x:c r="M19" s="354">
        <x:f>'3. 손익계산서 월별실적'!M12</x:f>
        <x:v>0</x:v>
      </x:c>
      <x:c r="N19" s="354">
        <x:f>'3. 손익계산서 월별실적'!N12</x:f>
        <x:v>0</x:v>
      </x:c>
      <x:c r="O19" s="354"/>
      <x:c r="P19" s="354"/>
    </x:row>
    <x:row r="20" spans="2:19" ht="13.5">
      <x:c r="B20" s="6" t="s">
        <x:v>330</x:v>
      </x:c>
      <x:c r="C20" s="353">
        <x:f t="shared" si="2"/>
        <x:v>0</x:v>
      </x:c>
      <x:c r="D20" s="354">
        <x:v>822713985</x:v>
      </x:c>
      <x:c r="E20" s="354">
        <x:f>'3. 손익계산서 월별실적'!E13</x:f>
        <x:v>0</x:v>
      </x:c>
      <x:c r="F20" s="354">
        <x:f>'3. 손익계산서 월별실적'!F13</x:f>
        <x:v>0</x:v>
      </x:c>
      <x:c r="G20" s="354">
        <x:f>'3. 손익계산서 월별실적'!G13</x:f>
        <x:v>0</x:v>
      </x:c>
      <x:c r="H20" s="354">
        <x:f>'3. 손익계산서 월별실적'!H13</x:f>
        <x:v>0</x:v>
      </x:c>
      <x:c r="I20" s="354">
        <x:f>'3. 손익계산서 월별실적'!I13</x:f>
        <x:v>0</x:v>
      </x:c>
      <x:c r="J20" s="354">
        <x:f>'3. 손익계산서 월별실적'!J13</x:f>
        <x:v>0</x:v>
      </x:c>
      <x:c r="K20" s="354">
        <x:f>'3. 손익계산서 월별실적'!K13</x:f>
        <x:v>0</x:v>
      </x:c>
      <x:c r="L20" s="354">
        <x:f>'3. 손익계산서 월별실적'!L13</x:f>
        <x:v>0</x:v>
      </x:c>
      <x:c r="M20" s="354">
        <x:f>'3. 손익계산서 월별실적'!M13</x:f>
        <x:v>0</x:v>
      </x:c>
      <x:c r="N20" s="354">
        <x:f>'3. 손익계산서 월별실적'!N13</x:f>
        <x:v>0</x:v>
      </x:c>
      <x:c r="O20" s="354"/>
      <x:c r="P20" s="354"/>
    </x:row>
    <x:row r="21" spans="2:19" ht="13.5">
      <x:c r="B21" s="13" t="s">
        <x:v>377</x:v>
      </x:c>
      <x:c r="C21" s="241">
        <x:f t="shared" si="2"/>
        <x:v>0</x:v>
      </x:c>
      <x:c r="D21" s="202"/>
      <x:c r="E21" s="202"/>
      <x:c r="F21" s="202"/>
      <x:c r="G21" s="202"/>
      <x:c r="H21" s="202"/>
      <x:c r="I21" s="202"/>
      <x:c r="J21" s="202"/>
      <x:c r="K21" s="202"/>
      <x:c r="L21" s="202"/>
      <x:c r="M21" s="202"/>
      <x:c r="N21" s="202"/>
      <x:c r="O21" s="202"/>
      <x:c r="P21" s="202"/>
      <x:c r="S21" s="367"/>
    </x:row>
    <x:row r="22" spans="2:19" ht="13.5">
      <x:c r="B22" s="13" t="s">
        <x:v>379</x:v>
      </x:c>
      <x:c r="C22" s="241">
        <x:f t="shared" si="2"/>
        <x:v>0</x:v>
      </x:c>
      <x:c r="D22" s="202"/>
      <x:c r="E22" s="202"/>
      <x:c r="F22" s="202"/>
      <x:c r="G22" s="202"/>
      <x:c r="H22" s="202"/>
      <x:c r="I22" s="202"/>
      <x:c r="J22" s="202"/>
      <x:c r="K22" s="202"/>
      <x:c r="L22" s="202"/>
      <x:c r="M22" s="202"/>
      <x:c r="N22" s="202"/>
      <x:c r="O22" s="202"/>
      <x:c r="P22" s="202"/>
    </x:row>
    <x:row r="23" spans="2:19" ht="13.5">
      <x:c r="B23" s="6" t="s">
        <x:v>5</x:v>
      </x:c>
      <x:c r="C23" s="353">
        <x:f t="shared" si="2"/>
        <x:v>0</x:v>
      </x:c>
      <x:c r="D23" s="354">
        <x:v>2004304512</x:v>
      </x:c>
      <x:c r="E23" s="354">
        <x:f>'3. 손익계산서 월별실적'!E14</x:f>
        <x:v>0</x:v>
      </x:c>
      <x:c r="F23" s="354">
        <x:f>'3. 손익계산서 월별실적'!F14</x:f>
        <x:v>0</x:v>
      </x:c>
      <x:c r="G23" s="354">
        <x:f>'3. 손익계산서 월별실적'!G14</x:f>
        <x:v>0</x:v>
      </x:c>
      <x:c r="H23" s="354">
        <x:f>'3. 손익계산서 월별실적'!H14</x:f>
        <x:v>0</x:v>
      </x:c>
      <x:c r="I23" s="354">
        <x:f>'3. 손익계산서 월별실적'!I14</x:f>
        <x:v>0</x:v>
      </x:c>
      <x:c r="J23" s="354">
        <x:f>'3. 손익계산서 월별실적'!J14</x:f>
        <x:v>0</x:v>
      </x:c>
      <x:c r="K23" s="354">
        <x:f>'3. 손익계산서 월별실적'!K14</x:f>
        <x:v>0</x:v>
      </x:c>
      <x:c r="L23" s="354">
        <x:f>'3. 손익계산서 월별실적'!L14</x:f>
        <x:v>0</x:v>
      </x:c>
      <x:c r="M23" s="354">
        <x:f>'3. 손익계산서 월별실적'!M14</x:f>
        <x:v>0</x:v>
      </x:c>
      <x:c r="N23" s="354">
        <x:f>'3. 손익계산서 월별실적'!N14</x:f>
        <x:v>0</x:v>
      </x:c>
      <x:c r="O23" s="354"/>
      <x:c r="P23" s="354"/>
    </x:row>
    <x:row r="24" spans="2:19" ht="13.5">
      <x:c r="B24" s="13" t="s">
        <x:v>381</x:v>
      </x:c>
      <x:c r="C24" s="241">
        <x:f t="shared" si="2"/>
        <x:v>0</x:v>
      </x:c>
      <x:c r="D24" s="202"/>
      <x:c r="E24" s="202"/>
      <x:c r="F24" s="202"/>
      <x:c r="G24" s="202"/>
      <x:c r="H24" s="202"/>
      <x:c r="I24" s="202"/>
      <x:c r="J24" s="202"/>
      <x:c r="K24" s="202"/>
      <x:c r="L24" s="202"/>
      <x:c r="M24" s="202"/>
      <x:c r="N24" s="202"/>
      <x:c r="O24" s="202"/>
      <x:c r="P24" s="202"/>
      <x:c r="S24" s="367"/>
    </x:row>
    <x:row r="25" spans="2:19" ht="13.5">
      <x:c r="B25" s="13" t="s">
        <x:v>383</x:v>
      </x:c>
      <x:c r="C25" s="241">
        <x:f t="shared" si="2"/>
        <x:v>0</x:v>
      </x:c>
      <x:c r="D25" s="202"/>
      <x:c r="E25" s="202"/>
      <x:c r="F25" s="202"/>
      <x:c r="G25" s="202"/>
      <x:c r="H25" s="202"/>
      <x:c r="I25" s="202"/>
      <x:c r="J25" s="202"/>
      <x:c r="K25" s="202"/>
      <x:c r="L25" s="202"/>
      <x:c r="M25" s="202"/>
      <x:c r="N25" s="202"/>
      <x:c r="O25" s="202"/>
      <x:c r="P25" s="202"/>
      <x:c r="S25" s="367"/>
    </x:row>
    <x:row r="26" spans="2:19" ht="13.5">
      <x:c r="B26" s="13" t="s">
        <x:v>385</x:v>
      </x:c>
      <x:c r="C26" s="241">
        <x:f t="shared" si="2"/>
        <x:v>0</x:v>
      </x:c>
      <x:c r="D26" s="202"/>
      <x:c r="E26" s="202"/>
      <x:c r="F26" s="202"/>
      <x:c r="G26" s="202"/>
      <x:c r="H26" s="202"/>
      <x:c r="I26" s="202"/>
      <x:c r="J26" s="202"/>
      <x:c r="K26" s="202"/>
      <x:c r="L26" s="202"/>
      <x:c r="M26" s="202"/>
      <x:c r="N26" s="202"/>
      <x:c r="O26" s="202"/>
      <x:c r="P26" s="202"/>
      <x:c r="S26" s="475"/>
    </x:row>
    <x:row r="27" spans="2:19" ht="13.5">
      <x:c r="B27" s="13" t="s">
        <x:v>387</x:v>
      </x:c>
      <x:c r="C27" s="241">
        <x:f t="shared" si="2"/>
        <x:v>0</x:v>
      </x:c>
      <x:c r="D27" s="202"/>
      <x:c r="E27" s="202"/>
      <x:c r="F27" s="202"/>
      <x:c r="G27" s="202"/>
      <x:c r="H27" s="202"/>
      <x:c r="I27" s="202"/>
      <x:c r="J27" s="202"/>
      <x:c r="K27" s="202"/>
      <x:c r="L27" s="202"/>
      <x:c r="M27" s="202"/>
      <x:c r="N27" s="202"/>
      <x:c r="O27" s="202"/>
      <x:c r="P27" s="202"/>
    </x:row>
    <x:row r="28" spans="2:19" ht="13.5">
      <x:c r="B28" s="6" t="s">
        <x:v>6</x:v>
      </x:c>
      <x:c r="C28" s="353">
        <x:f t="shared" si="2"/>
        <x:v>0</x:v>
      </x:c>
      <x:c r="D28" s="354">
        <x:v>1854416548</x:v>
      </x:c>
      <x:c r="E28" s="354">
        <x:f>'3. 손익계산서 월별실적'!E15</x:f>
        <x:v>0</x:v>
      </x:c>
      <x:c r="F28" s="354">
        <x:f>'3. 손익계산서 월별실적'!F15</x:f>
        <x:v>0</x:v>
      </x:c>
      <x:c r="G28" s="354">
        <x:f>'3. 손익계산서 월별실적'!G15</x:f>
        <x:v>0</x:v>
      </x:c>
      <x:c r="H28" s="354">
        <x:f>'3. 손익계산서 월별실적'!H15</x:f>
        <x:v>0</x:v>
      </x:c>
      <x:c r="I28" s="354">
        <x:f>'3. 손익계산서 월별실적'!I15</x:f>
        <x:v>0</x:v>
      </x:c>
      <x:c r="J28" s="354">
        <x:f>'3. 손익계산서 월별실적'!J15</x:f>
        <x:v>0</x:v>
      </x:c>
      <x:c r="K28" s="354">
        <x:f>'3. 손익계산서 월별실적'!K15</x:f>
        <x:v>0</x:v>
      </x:c>
      <x:c r="L28" s="354">
        <x:f>'3. 손익계산서 월별실적'!L15</x:f>
        <x:v>0</x:v>
      </x:c>
      <x:c r="M28" s="354">
        <x:f>'3. 손익계산서 월별실적'!M15</x:f>
        <x:v>0</x:v>
      </x:c>
      <x:c r="N28" s="354">
        <x:f>'3. 손익계산서 월별실적'!N15</x:f>
        <x:v>0</x:v>
      </x:c>
      <x:c r="O28" s="354"/>
      <x:c r="P28" s="354"/>
    </x:row>
    <x:row r="29" spans="2:19" s="10" customFormat="1" ht="21.6" customHeight="1">
      <x:c r="B29" s="19" t="s">
        <x:v>24</x:v>
      </x:c>
      <x:c r="C29" s="20" t="e">
        <x:f t="shared" si="2"/>
        <x:v>#REF!</x:v>
      </x:c>
      <x:c r="D29" s="19">
        <x:v>3840267400.999999</x:v>
      </x:c>
      <x:c r="E29" s="19">
        <x:f t="shared" ref="E29:L29" si="10">+E6-E18</x:f>
        <x:v>0</x:v>
      </x:c>
      <x:c r="F29" s="19" t="e">
        <x:f t="shared" si="10"/>
        <x:v>#REF!</x:v>
      </x:c>
      <x:c r="G29" s="19" t="e">
        <x:f t="shared" si="10"/>
        <x:v>#REF!</x:v>
      </x:c>
      <x:c r="H29" s="19" t="e">
        <x:f t="shared" si="10"/>
        <x:v>#REF!</x:v>
      </x:c>
      <x:c r="I29" s="19" t="e">
        <x:f t="shared" si="10"/>
        <x:v>#REF!</x:v>
      </x:c>
      <x:c r="J29" s="19" t="e">
        <x:f t="shared" si="10"/>
        <x:v>#REF!</x:v>
      </x:c>
      <x:c r="K29" s="19" t="e">
        <x:f t="shared" si="10"/>
        <x:v>#REF!</x:v>
      </x:c>
      <x:c r="L29" s="19" t="e">
        <x:f t="shared" si="10"/>
        <x:v>#REF!</x:v>
      </x:c>
      <x:c r="M29" s="19" t="e">
        <x:f t="shared" ref="M29:N29" si="11">+M6-M18</x:f>
        <x:v>#REF!</x:v>
      </x:c>
      <x:c r="N29" s="19" t="e">
        <x:f t="shared" si="11"/>
        <x:v>#REF!</x:v>
      </x:c>
      <x:c r="O29" s="19"/>
      <x:c r="P29" s="19"/>
    </x:row>
    <x:row r="30" spans="2:19" s="10" customFormat="1" ht="21.6" customHeight="1">
      <x:c r="B30" s="22" t="s">
        <x:v>25</x:v>
      </x:c>
      <x:c r="C30" s="56">
        <x:f>IFERROR(C29/C6,0)</x:f>
        <x:v>0</x:v>
      </x:c>
      <x:c r="D30" s="56">
        <x:v>0.45064556352851559</x:v>
      </x:c>
      <x:c r="E30" s="56">
        <x:f t="shared" ref="E30:L30" si="12">IFERROR(E29/E6,0)</x:f>
        <x:v>0</x:v>
      </x:c>
      <x:c r="F30" s="56">
        <x:f t="shared" si="12"/>
        <x:v>0</x:v>
      </x:c>
      <x:c r="G30" s="56">
        <x:f t="shared" si="12"/>
        <x:v>0</x:v>
      </x:c>
      <x:c r="H30" s="56">
        <x:f t="shared" si="12"/>
        <x:v>0</x:v>
      </x:c>
      <x:c r="I30" s="56">
        <x:f t="shared" si="12"/>
        <x:v>0</x:v>
      </x:c>
      <x:c r="J30" s="56">
        <x:f t="shared" si="12"/>
        <x:v>0</x:v>
      </x:c>
      <x:c r="K30" s="56">
        <x:f t="shared" si="12"/>
        <x:v>0</x:v>
      </x:c>
      <x:c r="L30" s="56">
        <x:f t="shared" si="12"/>
        <x:v>0</x:v>
      </x:c>
      <x:c r="M30" s="56">
        <x:f t="shared" ref="M30:N30" si="13">IFERROR(M29/M6,0)</x:f>
        <x:v>0</x:v>
      </x:c>
      <x:c r="N30" s="56">
        <x:f t="shared" si="13"/>
        <x:v>0</x:v>
      </x:c>
      <x:c r="O30" s="56"/>
      <x:c r="P30" s="56"/>
    </x:row>
    <x:row r="31" spans="2:19" ht="13.5">
      <x:c r="B31" s="19" t="s">
        <x:v>26</x:v>
      </x:c>
      <x:c r="C31" s="20">
        <x:f>SUM(E31:P31)</x:f>
        <x:v>0</x:v>
      </x:c>
      <x:c r="D31" s="20">
        <x:v>2082355036</x:v>
      </x:c>
      <x:c r="E31" s="20">
        <x:f>SUM(E32,E48,E66)</x:f>
        <x:v>0</x:v>
      </x:c>
      <x:c r="F31" s="20">
        <x:f t="shared" ref="F31:L31" si="14">SUM(F32,F48,F66)</x:f>
        <x:v>0</x:v>
      </x:c>
      <x:c r="G31" s="20">
        <x:f t="shared" si="14"/>
        <x:v>0</x:v>
      </x:c>
      <x:c r="H31" s="20">
        <x:f t="shared" si="14"/>
        <x:v>0</x:v>
      </x:c>
      <x:c r="I31" s="20">
        <x:f t="shared" si="14"/>
        <x:v>0</x:v>
      </x:c>
      <x:c r="J31" s="20">
        <x:f t="shared" si="14"/>
        <x:v>0</x:v>
      </x:c>
      <x:c r="K31" s="20">
        <x:f t="shared" si="14"/>
        <x:v>0</x:v>
      </x:c>
      <x:c r="L31" s="20">
        <x:f t="shared" si="14"/>
        <x:v>0</x:v>
      </x:c>
      <x:c r="M31" s="20">
        <x:f t="shared" ref="M31:N31" si="15">SUM(M32,M48,M66)</x:f>
        <x:v>0</x:v>
      </x:c>
      <x:c r="N31" s="20">
        <x:f t="shared" si="15"/>
        <x:v>0</x:v>
      </x:c>
      <x:c r="O31" s="20"/>
      <x:c r="P31" s="20"/>
    </x:row>
    <x:row r="32" spans="2:19" ht="16.5">
      <x:c r="B32" s="12" t="s">
        <x:v>2</x:v>
      </x:c>
      <x:c r="C32" s="24">
        <x:f>SUM(E32:P32)</x:f>
        <x:v>0</x:v>
      </x:c>
      <x:c r="D32" s="24">
        <x:v>168769233</x:v>
      </x:c>
      <x:c r="E32" s="25">
        <x:f>SUM(E33:E46)</x:f>
        <x:v>0</x:v>
      </x:c>
      <x:c r="F32" s="25">
        <x:f t="shared" ref="F32:L32" si="16">SUM(F33:F46)</x:f>
        <x:v>0</x:v>
      </x:c>
      <x:c r="G32" s="24">
        <x:f t="shared" si="16"/>
        <x:v>0</x:v>
      </x:c>
      <x:c r="H32" s="25">
        <x:f t="shared" si="16"/>
        <x:v>0</x:v>
      </x:c>
      <x:c r="I32" s="25">
        <x:f t="shared" si="16"/>
        <x:v>0</x:v>
      </x:c>
      <x:c r="J32" s="25">
        <x:f t="shared" si="16"/>
        <x:v>0</x:v>
      </x:c>
      <x:c r="K32" s="25">
        <x:f t="shared" si="16"/>
        <x:v>0</x:v>
      </x:c>
      <x:c r="L32" s="25">
        <x:f t="shared" si="16"/>
        <x:v>0</x:v>
      </x:c>
      <x:c r="M32" s="25">
        <x:f t="shared" ref="M32:N32" si="17">SUM(M33:M46)</x:f>
        <x:v>0</x:v>
      </x:c>
      <x:c r="N32" s="25">
        <x:f t="shared" si="17"/>
        <x:v>0</x:v>
      </x:c>
      <x:c r="O32" s="25"/>
      <x:c r="P32" s="25"/>
    </x:row>
    <x:row r="33" spans="2:16" ht="13.5">
      <x:c r="B33" s="26" t="s">
        <x:v>49</x:v>
      </x:c>
      <x:c r="C33" s="241">
        <x:f>SUM(E33:P33)</x:f>
        <x:v>0</x:v>
      </x:c>
      <x:c r="D33" s="241">
        <x:v>79898915</x:v>
      </x:c>
      <x:c r="E33" s="14">
        <x:f>'3. 손익계산서 월별실적'!E20</x:f>
        <x:v>0</x:v>
      </x:c>
      <x:c r="F33" s="14">
        <x:f>'3. 손익계산서 월별실적'!F20</x:f>
        <x:v>0</x:v>
      </x:c>
      <x:c r="G33" s="14">
        <x:f>'3. 손익계산서 월별실적'!G20</x:f>
        <x:v>0</x:v>
      </x:c>
      <x:c r="H33" s="183">
        <x:f>'3. 손익계산서 월별실적'!H20</x:f>
        <x:v>0</x:v>
      </x:c>
      <x:c r="I33" s="183">
        <x:f>'3. 손익계산서 월별실적'!I20</x:f>
        <x:v>0</x:v>
      </x:c>
      <x:c r="J33" s="183">
        <x:f>'3. 손익계산서 월별실적'!J20</x:f>
        <x:v>0</x:v>
      </x:c>
      <x:c r="K33" s="183">
        <x:f>'3. 손익계산서 월별실적'!K20</x:f>
        <x:v>0</x:v>
      </x:c>
      <x:c r="L33" s="183">
        <x:f>'3. 손익계산서 월별실적'!L20</x:f>
        <x:v>0</x:v>
      </x:c>
      <x:c r="M33" s="183">
        <x:f>'3. 손익계산서 월별실적'!M20</x:f>
        <x:v>0</x:v>
      </x:c>
      <x:c r="N33" s="183">
        <x:f>'3. 손익계산서 월별실적'!N20</x:f>
        <x:v>0</x:v>
      </x:c>
      <x:c r="O33" s="14">
        <x:f>'3. 손익계산서 월별실적'!O20</x:f>
        <x:v>0</x:v>
      </x:c>
      <x:c r="P33" s="13">
        <x:f>'3. 손익계산서 월별실적'!P20</x:f>
        <x:v>0</x:v>
      </x:c>
    </x:row>
    <x:row r="34" spans="2:16" ht="13.5">
      <x:c r="B34" s="26" t="s">
        <x:v>50</x:v>
      </x:c>
      <x:c r="C34" s="241">
        <x:f t="shared" ref="C34:C46" si="18">SUM(E34:P34)</x:f>
        <x:v>0</x:v>
      </x:c>
      <x:c r="D34" s="241">
        <x:v>1078320</x:v>
      </x:c>
      <x:c r="E34" s="13">
        <x:f>'3. 손익계산서 월별실적'!E21</x:f>
        <x:v>0</x:v>
      </x:c>
      <x:c r="F34" s="13">
        <x:f>'3. 손익계산서 월별실적'!F21</x:f>
        <x:v>0</x:v>
      </x:c>
      <x:c r="G34" s="13">
        <x:f>'3. 손익계산서 월별실적'!G21</x:f>
        <x:v>0</x:v>
      </x:c>
      <x:c r="H34" s="183">
        <x:f>'3. 손익계산서 월별실적'!H21</x:f>
        <x:v>0</x:v>
      </x:c>
      <x:c r="I34" s="183">
        <x:f>'3. 손익계산서 월별실적'!I21</x:f>
        <x:v>0</x:v>
      </x:c>
      <x:c r="J34" s="183">
        <x:f>'3. 손익계산서 월별실적'!J21</x:f>
        <x:v>0</x:v>
      </x:c>
      <x:c r="K34" s="183">
        <x:f>'3. 손익계산서 월별실적'!K21</x:f>
        <x:v>0</x:v>
      </x:c>
      <x:c r="L34" s="185">
        <x:f>'3. 손익계산서 월별실적'!L21</x:f>
        <x:v>0</x:v>
      </x:c>
      <x:c r="M34" s="185">
        <x:f>'3. 손익계산서 월별실적'!M21</x:f>
        <x:v>0</x:v>
      </x:c>
      <x:c r="N34" s="185">
        <x:f>'3. 손익계산서 월별실적'!N21</x:f>
        <x:v>0</x:v>
      </x:c>
      <x:c r="O34" s="13">
        <x:f>'3. 손익계산서 월별실적'!O21</x:f>
        <x:v>0</x:v>
      </x:c>
      <x:c r="P34" s="13">
        <x:f>'3. 손익계산서 월별실적'!P21</x:f>
        <x:v>0</x:v>
      </x:c>
    </x:row>
    <x:row r="35" spans="2:16" ht="13.5">
      <x:c r="B35" s="26" t="s">
        <x:v>51</x:v>
      </x:c>
      <x:c r="C35" s="241">
        <x:f t="shared" si="18"/>
        <x:v>0</x:v>
      </x:c>
      <x:c r="D35" s="241">
        <x:v>4970010</x:v>
      </x:c>
      <x:c r="E35" s="13">
        <x:f>'3. 손익계산서 월별실적'!E22</x:f>
        <x:v>0</x:v>
      </x:c>
      <x:c r="F35" s="13">
        <x:f>'3. 손익계산서 월별실적'!F22</x:f>
        <x:v>0</x:v>
      </x:c>
      <x:c r="G35" s="13">
        <x:f>'3. 손익계산서 월별실적'!G22</x:f>
        <x:v>0</x:v>
      </x:c>
      <x:c r="H35" s="185">
        <x:f>'3. 손익계산서 월별실적'!H22</x:f>
        <x:v>0</x:v>
      </x:c>
      <x:c r="I35" s="185">
        <x:f>'3. 손익계산서 월별실적'!I22</x:f>
        <x:v>0</x:v>
      </x:c>
      <x:c r="J35" s="185">
        <x:f>'3. 손익계산서 월별실적'!J22</x:f>
        <x:v>0</x:v>
      </x:c>
      <x:c r="K35" s="185">
        <x:f>'3. 손익계산서 월별실적'!K22</x:f>
        <x:v>0</x:v>
      </x:c>
      <x:c r="L35" s="185">
        <x:f>'3. 손익계산서 월별실적'!L22</x:f>
        <x:v>0</x:v>
      </x:c>
      <x:c r="M35" s="185">
        <x:f>'3. 손익계산서 월별실적'!M22</x:f>
        <x:v>0</x:v>
      </x:c>
      <x:c r="N35" s="185">
        <x:f>'3. 손익계산서 월별실적'!N22</x:f>
        <x:v>0</x:v>
      </x:c>
      <x:c r="O35" s="13">
        <x:f>'3. 손익계산서 월별실적'!O22</x:f>
        <x:v>0</x:v>
      </x:c>
      <x:c r="P35" s="13">
        <x:f>'3. 손익계산서 월별실적'!P22</x:f>
        <x:v>0</x:v>
      </x:c>
    </x:row>
    <x:row r="36" spans="2:16" ht="13.5">
      <x:c r="B36" s="26" t="s">
        <x:v>52</x:v>
      </x:c>
      <x:c r="C36" s="241">
        <x:f t="shared" si="18"/>
        <x:v>0</x:v>
      </x:c>
      <x:c r="D36" s="241">
        <x:v>6851366</x:v>
      </x:c>
      <x:c r="E36" s="13">
        <x:f>'3. 손익계산서 월별실적'!E23</x:f>
        <x:v>0</x:v>
      </x:c>
      <x:c r="F36" s="13">
        <x:f>'3. 손익계산서 월별실적'!F23</x:f>
        <x:v>0</x:v>
      </x:c>
      <x:c r="G36" s="13">
        <x:f>'3. 손익계산서 월별실적'!G23</x:f>
        <x:v>0</x:v>
      </x:c>
      <x:c r="H36" s="185">
        <x:f>'3. 손익계산서 월별실적'!H23</x:f>
        <x:v>0</x:v>
      </x:c>
      <x:c r="I36" s="185">
        <x:f>'3. 손익계산서 월별실적'!I23</x:f>
        <x:v>0</x:v>
      </x:c>
      <x:c r="J36" s="185">
        <x:f>'3. 손익계산서 월별실적'!J23</x:f>
        <x:v>0</x:v>
      </x:c>
      <x:c r="K36" s="185">
        <x:f>'3. 손익계산서 월별실적'!K23</x:f>
        <x:v>0</x:v>
      </x:c>
      <x:c r="L36" s="185">
        <x:f>'3. 손익계산서 월별실적'!L23</x:f>
        <x:v>0</x:v>
      </x:c>
      <x:c r="M36" s="185">
        <x:f>'3. 손익계산서 월별실적'!M23</x:f>
        <x:v>0</x:v>
      </x:c>
      <x:c r="N36" s="185">
        <x:f>'3. 손익계산서 월별실적'!N23</x:f>
        <x:v>0</x:v>
      </x:c>
      <x:c r="O36" s="13">
        <x:f>'3. 손익계산서 월별실적'!O23</x:f>
        <x:v>0</x:v>
      </x:c>
      <x:c r="P36" s="13">
        <x:f>'3. 손익계산서 월별실적'!P23</x:f>
        <x:v>0</x:v>
      </x:c>
    </x:row>
    <x:row r="37" spans="2:16" ht="13.5">
      <x:c r="B37" s="26" t="s">
        <x:v>53</x:v>
      </x:c>
      <x:c r="C37" s="241">
        <x:f t="shared" si="18"/>
        <x:v>0</x:v>
      </x:c>
      <x:c r="D37" s="241">
        <x:v>68312758</x:v>
      </x:c>
      <x:c r="E37" s="13">
        <x:f>'3. 손익계산서 월별실적'!E24</x:f>
        <x:v>0</x:v>
      </x:c>
      <x:c r="F37" s="13">
        <x:f>'3. 손익계산서 월별실적'!F24</x:f>
        <x:v>0</x:v>
      </x:c>
      <x:c r="G37" s="13">
        <x:f>'3. 손익계산서 월별실적'!G24</x:f>
        <x:v>0</x:v>
      </x:c>
      <x:c r="H37" s="185">
        <x:f>'3. 손익계산서 월별실적'!H24</x:f>
        <x:v>0</x:v>
      </x:c>
      <x:c r="I37" s="185">
        <x:f>'3. 손익계산서 월별실적'!I24</x:f>
        <x:v>0</x:v>
      </x:c>
      <x:c r="J37" s="185">
        <x:f>'3. 손익계산서 월별실적'!J24</x:f>
        <x:v>0</x:v>
      </x:c>
      <x:c r="K37" s="185">
        <x:f>'3. 손익계산서 월별실적'!K24</x:f>
        <x:v>0</x:v>
      </x:c>
      <x:c r="L37" s="185">
        <x:f>'3. 손익계산서 월별실적'!L24</x:f>
        <x:v>0</x:v>
      </x:c>
      <x:c r="M37" s="185">
        <x:f>'3. 손익계산서 월별실적'!M24</x:f>
        <x:v>0</x:v>
      </x:c>
      <x:c r="N37" s="185">
        <x:f>'3. 손익계산서 월별실적'!N24</x:f>
        <x:v>0</x:v>
      </x:c>
      <x:c r="O37" s="13">
        <x:f>'3. 손익계산서 월별실적'!O24</x:f>
        <x:v>0</x:v>
      </x:c>
      <x:c r="P37" s="13">
        <x:f>'3. 손익계산서 월별실적'!P24</x:f>
        <x:v>0</x:v>
      </x:c>
    </x:row>
    <x:row r="38" spans="2:16" ht="13.5">
      <x:c r="B38" s="26" t="s">
        <x:v>54</x:v>
      </x:c>
      <x:c r="C38" s="241">
        <x:f t="shared" si="18"/>
        <x:v>0</x:v>
      </x:c>
      <x:c r="D38" s="241">
        <x:v>0</x:v>
      </x:c>
      <x:c r="E38" s="13">
        <x:f>'3. 손익계산서 월별실적'!E25</x:f>
        <x:v>0</x:v>
      </x:c>
      <x:c r="F38" s="13">
        <x:f>'3. 손익계산서 월별실적'!F25</x:f>
        <x:v>0</x:v>
      </x:c>
      <x:c r="G38" s="14">
        <x:f>'3. 손익계산서 월별실적'!G25</x:f>
        <x:v>0</x:v>
      </x:c>
      <x:c r="H38" s="14">
        <x:f>'3. 손익계산서 월별실적'!H25</x:f>
        <x:v>0</x:v>
      </x:c>
      <x:c r="I38" s="14">
        <x:f>'3. 손익계산서 월별실적'!I25</x:f>
        <x:v>0</x:v>
      </x:c>
      <x:c r="J38" s="14">
        <x:f>'3. 손익계산서 월별실적'!J25</x:f>
        <x:v>0</x:v>
      </x:c>
      <x:c r="K38" s="14">
        <x:f>'3. 손익계산서 월별실적'!K25</x:f>
        <x:v>0</x:v>
      </x:c>
      <x:c r="L38" s="14">
        <x:f>'3. 손익계산서 월별실적'!L25</x:f>
        <x:v>0</x:v>
      </x:c>
      <x:c r="M38" s="14">
        <x:f>'3. 손익계산서 월별실적'!M25</x:f>
        <x:v>0</x:v>
      </x:c>
      <x:c r="N38" s="14">
        <x:f>'3. 손익계산서 월별실적'!N25</x:f>
        <x:v>0</x:v>
      </x:c>
      <x:c r="O38" s="14">
        <x:f>'3. 손익계산서 월별실적'!O25</x:f>
        <x:v>0</x:v>
      </x:c>
      <x:c r="P38" s="14">
        <x:f>'3. 손익계산서 월별실적'!P25</x:f>
        <x:v>0</x:v>
      </x:c>
    </x:row>
    <x:row r="39" spans="2:16" ht="13.5">
      <x:c r="B39" s="26" t="s">
        <x:v>55</x:v>
      </x:c>
      <x:c r="C39" s="241">
        <x:f t="shared" si="18"/>
        <x:v>0</x:v>
      </x:c>
      <x:c r="D39" s="241">
        <x:v>0</x:v>
      </x:c>
      <x:c r="E39" s="13">
        <x:f>'3. 손익계산서 월별실적'!E26</x:f>
        <x:v>0</x:v>
      </x:c>
      <x:c r="F39" s="13">
        <x:f>'3. 손익계산서 월별실적'!F26</x:f>
        <x:v>0</x:v>
      </x:c>
      <x:c r="G39" s="14">
        <x:f>'3. 손익계산서 월별실적'!G26</x:f>
        <x:v>0</x:v>
      </x:c>
      <x:c r="H39" s="185">
        <x:f>'3. 손익계산서 월별실적'!H26</x:f>
        <x:v>0</x:v>
      </x:c>
      <x:c r="I39" s="14">
        <x:f>'3. 손익계산서 월별실적'!I26</x:f>
        <x:v>0</x:v>
      </x:c>
      <x:c r="J39" s="14">
        <x:f>'3. 손익계산서 월별실적'!J26</x:f>
        <x:v>0</x:v>
      </x:c>
      <x:c r="K39" s="14">
        <x:f>'3. 손익계산서 월별실적'!K26</x:f>
        <x:v>0</x:v>
      </x:c>
      <x:c r="L39" s="14">
        <x:f>'3. 손익계산서 월별실적'!L26</x:f>
        <x:v>0</x:v>
      </x:c>
      <x:c r="M39" s="14">
        <x:f>'3. 손익계산서 월별실적'!M26</x:f>
        <x:v>0</x:v>
      </x:c>
      <x:c r="N39" s="14">
        <x:f>'3. 손익계산서 월별실적'!N26</x:f>
        <x:v>0</x:v>
      </x:c>
      <x:c r="O39" s="13">
        <x:f>'3. 손익계산서 월별실적'!O26</x:f>
        <x:v>0</x:v>
      </x:c>
      <x:c r="P39" s="185">
        <x:f>'3. 손익계산서 월별실적'!P26</x:f>
        <x:v>0</x:v>
      </x:c>
    </x:row>
    <x:row r="40" spans="2:16" ht="13.5">
      <x:c r="B40" s="26" t="s">
        <x:v>56</x:v>
      </x:c>
      <x:c r="C40" s="241">
        <x:f t="shared" si="18"/>
        <x:v>0</x:v>
      </x:c>
      <x:c r="D40" s="241">
        <x:v>480533</x:v>
      </x:c>
      <x:c r="E40" s="13">
        <x:f>'3. 손익계산서 월별실적'!E27</x:f>
        <x:v>0</x:v>
      </x:c>
      <x:c r="F40" s="185">
        <x:f>'3. 손익계산서 월별실적'!F27</x:f>
        <x:v>0</x:v>
      </x:c>
      <x:c r="G40" s="13">
        <x:f>'3. 손익계산서 월별실적'!G27</x:f>
        <x:v>0</x:v>
      </x:c>
      <x:c r="H40" s="185">
        <x:f>'3. 손익계산서 월별실적'!H27</x:f>
        <x:v>0</x:v>
      </x:c>
      <x:c r="I40" s="185">
        <x:f>'3. 손익계산서 월별실적'!I27</x:f>
        <x:v>0</x:v>
      </x:c>
      <x:c r="J40" s="185">
        <x:f>'3. 손익계산서 월별실적'!J27</x:f>
        <x:v>0</x:v>
      </x:c>
      <x:c r="K40" s="185">
        <x:f>'3. 손익계산서 월별실적'!K27</x:f>
        <x:v>0</x:v>
      </x:c>
      <x:c r="L40" s="185">
        <x:f>'3. 손익계산서 월별실적'!L27</x:f>
        <x:v>0</x:v>
      </x:c>
      <x:c r="M40" s="185">
        <x:f>'3. 손익계산서 월별실적'!M27</x:f>
        <x:v>0</x:v>
      </x:c>
      <x:c r="N40" s="185">
        <x:f>'3. 손익계산서 월별실적'!N27</x:f>
        <x:v>0</x:v>
      </x:c>
      <x:c r="O40" s="13">
        <x:f>'3. 손익계산서 월별실적'!O27</x:f>
        <x:v>0</x:v>
      </x:c>
      <x:c r="P40" s="13">
        <x:f>'3. 손익계산서 월별실적'!P27</x:f>
        <x:v>0</x:v>
      </x:c>
    </x:row>
    <x:row r="41" spans="2:16" ht="13.5">
      <x:c r="B41" s="26" t="s">
        <x:v>57</x:v>
      </x:c>
      <x:c r="C41" s="241">
        <x:f t="shared" si="18"/>
        <x:v>0</x:v>
      </x:c>
      <x:c r="D41" s="241">
        <x:v>4968179</x:v>
      </x:c>
      <x:c r="E41" s="13">
        <x:f>'3. 손익계산서 월별실적'!E28</x:f>
        <x:v>0</x:v>
      </x:c>
      <x:c r="F41" s="13">
        <x:f>'3. 손익계산서 월별실적'!F28</x:f>
        <x:v>0</x:v>
      </x:c>
      <x:c r="G41" s="13">
        <x:f>'3. 손익계산서 월별실적'!G28</x:f>
        <x:v>0</x:v>
      </x:c>
      <x:c r="H41" s="185">
        <x:f>'3. 손익계산서 월별실적'!H28</x:f>
        <x:v>0</x:v>
      </x:c>
      <x:c r="I41" s="185">
        <x:f>'3. 손익계산서 월별실적'!I28</x:f>
        <x:v>0</x:v>
      </x:c>
      <x:c r="J41" s="185">
        <x:f>'3. 손익계산서 월별실적'!J28</x:f>
        <x:v>0</x:v>
      </x:c>
      <x:c r="K41" s="185">
        <x:f>'3. 손익계산서 월별실적'!K28</x:f>
        <x:v>0</x:v>
      </x:c>
      <x:c r="L41" s="185">
        <x:f>'3. 손익계산서 월별실적'!L28</x:f>
        <x:v>0</x:v>
      </x:c>
      <x:c r="M41" s="185">
        <x:f>'3. 손익계산서 월별실적'!M28</x:f>
        <x:v>0</x:v>
      </x:c>
      <x:c r="N41" s="185">
        <x:f>'3. 손익계산서 월별실적'!N28</x:f>
        <x:v>0</x:v>
      </x:c>
      <x:c r="O41" s="13">
        <x:f>'3. 손익계산서 월별실적'!O28</x:f>
        <x:v>0</x:v>
      </x:c>
      <x:c r="P41" s="13">
        <x:f>'3. 손익계산서 월별실적'!P28</x:f>
        <x:v>0</x:v>
      </x:c>
    </x:row>
    <x:row r="42" spans="2:16" ht="13.5">
      <x:c r="B42" s="26" t="s">
        <x:v>58</x:v>
      </x:c>
      <x:c r="C42" s="241">
        <x:f t="shared" si="18"/>
        <x:v>0</x:v>
      </x:c>
      <x:c r="D42" s="241">
        <x:v>0</x:v>
      </x:c>
      <x:c r="E42" s="13">
        <x:f>'3. 손익계산서 월별실적'!E29</x:f>
        <x:v>0</x:v>
      </x:c>
      <x:c r="F42" s="13">
        <x:f>'3. 손익계산서 월별실적'!F29</x:f>
        <x:v>0</x:v>
      </x:c>
      <x:c r="G42" s="13">
        <x:f>'3. 손익계산서 월별실적'!G29</x:f>
        <x:v>0</x:v>
      </x:c>
      <x:c r="H42" s="185">
        <x:f>'3. 손익계산서 월별실적'!H29</x:f>
        <x:v>0</x:v>
      </x:c>
      <x:c r="I42" s="185">
        <x:f>'3. 손익계산서 월별실적'!I29</x:f>
        <x:v>0</x:v>
      </x:c>
      <x:c r="J42" s="185">
        <x:f>'3. 손익계산서 월별실적'!J29</x:f>
        <x:v>0</x:v>
      </x:c>
      <x:c r="K42" s="185">
        <x:f>'3. 손익계산서 월별실적'!K29</x:f>
        <x:v>0</x:v>
      </x:c>
      <x:c r="L42" s="185">
        <x:f>'3. 손익계산서 월별실적'!L29</x:f>
        <x:v>0</x:v>
      </x:c>
      <x:c r="M42" s="185">
        <x:f>'3. 손익계산서 월별실적'!M29</x:f>
        <x:v>0</x:v>
      </x:c>
      <x:c r="N42" s="185">
        <x:f>'3. 손익계산서 월별실적'!N29</x:f>
        <x:v>0</x:v>
      </x:c>
      <x:c r="O42" s="13">
        <x:f>'3. 손익계산서 월별실적'!O29</x:f>
        <x:v>0</x:v>
      </x:c>
      <x:c r="P42" s="13">
        <x:f>'3. 손익계산서 월별실적'!P29</x:f>
        <x:v>0</x:v>
      </x:c>
    </x:row>
    <x:row r="43" spans="2:16" ht="13.5">
      <x:c r="B43" s="26" t="s">
        <x:v>59</x:v>
      </x:c>
      <x:c r="C43" s="241">
        <x:f t="shared" si="18"/>
        <x:v>0</x:v>
      </x:c>
      <x:c r="D43" s="241">
        <x:v>0</x:v>
      </x:c>
      <x:c r="E43" s="13">
        <x:f>'3. 손익계산서 월별실적'!E30</x:f>
        <x:v>0</x:v>
      </x:c>
      <x:c r="F43" s="13">
        <x:f>'3. 손익계산서 월별실적'!F30</x:f>
        <x:v>0</x:v>
      </x:c>
      <x:c r="G43" s="14">
        <x:f>'3. 손익계산서 월별실적'!G30</x:f>
        <x:v>0</x:v>
      </x:c>
      <x:c r="H43" s="14">
        <x:f>'3. 손익계산서 월별실적'!H30</x:f>
        <x:v>0</x:v>
      </x:c>
      <x:c r="I43" s="14">
        <x:f>'3. 손익계산서 월별실적'!I30</x:f>
        <x:v>0</x:v>
      </x:c>
      <x:c r="J43" s="14">
        <x:f>'3. 손익계산서 월별실적'!J30</x:f>
        <x:v>0</x:v>
      </x:c>
      <x:c r="K43" s="14">
        <x:f>'3. 손익계산서 월별실적'!K30</x:f>
        <x:v>0</x:v>
      </x:c>
      <x:c r="L43" s="14">
        <x:f>'3. 손익계산서 월별실적'!L30</x:f>
        <x:v>0</x:v>
      </x:c>
      <x:c r="M43" s="14">
        <x:f>'3. 손익계산서 월별실적'!M30</x:f>
        <x:v>0</x:v>
      </x:c>
      <x:c r="N43" s="14">
        <x:f>'3. 손익계산서 월별실적'!N30</x:f>
        <x:v>0</x:v>
      </x:c>
      <x:c r="O43" s="14">
        <x:f>'3. 손익계산서 월별실적'!O30</x:f>
        <x:v>0</x:v>
      </x:c>
      <x:c r="P43" s="185">
        <x:f>'3. 손익계산서 월별실적'!P30</x:f>
        <x:v>0</x:v>
      </x:c>
    </x:row>
    <x:row r="44" spans="2:16" ht="13.5">
      <x:c r="B44" s="26" t="s">
        <x:v>60</x:v>
      </x:c>
      <x:c r="C44" s="241">
        <x:f t="shared" si="18"/>
        <x:v>0</x:v>
      </x:c>
      <x:c r="D44" s="241">
        <x:v>0</x:v>
      </x:c>
      <x:c r="E44" s="13">
        <x:f>'3. 손익계산서 월별실적'!E31</x:f>
        <x:v>0</x:v>
      </x:c>
      <x:c r="F44" s="13">
        <x:f>'3. 손익계산서 월별실적'!F31</x:f>
        <x:v>0</x:v>
      </x:c>
      <x:c r="G44" s="14">
        <x:f>'3. 손익계산서 월별실적'!G31</x:f>
        <x:v>0</x:v>
      </x:c>
      <x:c r="H44" s="14">
        <x:f>'3. 손익계산서 월별실적'!H31</x:f>
        <x:v>0</x:v>
      </x:c>
      <x:c r="I44" s="14">
        <x:f>'3. 손익계산서 월별실적'!I31</x:f>
        <x:v>0</x:v>
      </x:c>
      <x:c r="J44" s="14">
        <x:f>'3. 손익계산서 월별실적'!J31</x:f>
        <x:v>0</x:v>
      </x:c>
      <x:c r="K44" s="74">
        <x:f>'3. 손익계산서 월별실적'!K31</x:f>
        <x:v>0</x:v>
      </x:c>
      <x:c r="L44" s="14">
        <x:f>'3. 손익계산서 월별실적'!L31</x:f>
        <x:v>0</x:v>
      </x:c>
      <x:c r="M44" s="14">
        <x:f>'3. 손익계산서 월별실적'!M31</x:f>
        <x:v>0</x:v>
      </x:c>
      <x:c r="N44" s="14">
        <x:f>'3. 손익계산서 월별실적'!N31</x:f>
        <x:v>0</x:v>
      </x:c>
      <x:c r="O44" s="14">
        <x:f>'3. 손익계산서 월별실적'!O31</x:f>
        <x:v>0</x:v>
      </x:c>
      <x:c r="P44" s="14">
        <x:f>'3. 손익계산서 월별실적'!P31</x:f>
        <x:v>0</x:v>
      </x:c>
    </x:row>
    <x:row r="45" spans="2:16" ht="13.5">
      <x:c r="B45" s="26" t="s">
        <x:v>61</x:v>
      </x:c>
      <x:c r="C45" s="241">
        <x:f t="shared" si="18"/>
        <x:v>0</x:v>
      </x:c>
      <x:c r="D45" s="241">
        <x:v>0</x:v>
      </x:c>
      <x:c r="E45" s="13">
        <x:f>'3. 손익계산서 월별실적'!E32</x:f>
        <x:v>0</x:v>
      </x:c>
      <x:c r="F45" s="13">
        <x:f>'3. 손익계산서 월별실적'!F32</x:f>
        <x:v>0</x:v>
      </x:c>
      <x:c r="G45" s="14">
        <x:f>'3. 손익계산서 월별실적'!G32</x:f>
        <x:v>0</x:v>
      </x:c>
      <x:c r="H45" s="14">
        <x:f>'3. 손익계산서 월별실적'!H32</x:f>
        <x:v>0</x:v>
      </x:c>
      <x:c r="I45" s="14">
        <x:f>'3. 손익계산서 월별실적'!I32</x:f>
        <x:v>0</x:v>
      </x:c>
      <x:c r="J45" s="14">
        <x:f>'3. 손익계산서 월별실적'!J32</x:f>
        <x:v>0</x:v>
      </x:c>
      <x:c r="K45" s="14">
        <x:f>'3. 손익계산서 월별실적'!K32</x:f>
        <x:v>0</x:v>
      </x:c>
      <x:c r="L45" s="14">
        <x:f>'3. 손익계산서 월별실적'!L32</x:f>
        <x:v>0</x:v>
      </x:c>
      <x:c r="M45" s="14">
        <x:f>'3. 손익계산서 월별실적'!M32</x:f>
        <x:v>0</x:v>
      </x:c>
      <x:c r="N45" s="14">
        <x:f>'3. 손익계산서 월별실적'!N32</x:f>
        <x:v>0</x:v>
      </x:c>
      <x:c r="O45" s="14">
        <x:f>'3. 손익계산서 월별실적'!O32</x:f>
        <x:v>0</x:v>
      </x:c>
      <x:c r="P45" s="14">
        <x:f>'3. 손익계산서 월별실적'!P32</x:f>
        <x:v>0</x:v>
      </x:c>
    </x:row>
    <x:row r="46" spans="2:16" s="10" customFormat="1" ht="17.45" customHeight="1">
      <x:c r="B46" s="26" t="s">
        <x:v>62</x:v>
      </x:c>
      <x:c r="C46" s="241">
        <x:f t="shared" si="18"/>
        <x:v>0</x:v>
      </x:c>
      <x:c r="D46" s="241">
        <x:v>2209152</x:v>
      </x:c>
      <x:c r="E46" s="13">
        <x:f>'3. 손익계산서 월별실적'!E33</x:f>
        <x:v>0</x:v>
      </x:c>
      <x:c r="F46" s="13">
        <x:f>'3. 손익계산서 월별실적'!F33</x:f>
        <x:v>0</x:v>
      </x:c>
      <x:c r="G46" s="13">
        <x:f>'3. 손익계산서 월별실적'!G33</x:f>
        <x:v>0</x:v>
      </x:c>
      <x:c r="H46" s="185">
        <x:f>'3. 손익계산서 월별실적'!H33</x:f>
        <x:v>0</x:v>
      </x:c>
      <x:c r="I46" s="185">
        <x:f>'3. 손익계산서 월별실적'!I33</x:f>
        <x:v>0</x:v>
      </x:c>
      <x:c r="J46" s="185">
        <x:f>'3. 손익계산서 월별실적'!J33</x:f>
        <x:v>0</x:v>
      </x:c>
      <x:c r="K46" s="185">
        <x:f>'3. 손익계산서 월별실적'!K33</x:f>
        <x:v>0</x:v>
      </x:c>
      <x:c r="L46" s="185">
        <x:f>'3. 손익계산서 월별실적'!L33</x:f>
        <x:v>0</x:v>
      </x:c>
      <x:c r="M46" s="185">
        <x:f>'3. 손익계산서 월별실적'!M33</x:f>
        <x:v>0</x:v>
      </x:c>
      <x:c r="N46" s="185">
        <x:f>'3. 손익계산서 월별실적'!N33</x:f>
        <x:v>0</x:v>
      </x:c>
      <x:c r="O46" s="13">
        <x:f>'3. 손익계산서 월별실적'!O33</x:f>
        <x:v>0</x:v>
      </x:c>
      <x:c r="P46" s="13">
        <x:f>'3. 손익계산서 월별실적'!P33</x:f>
        <x:v>0</x:v>
      </x:c>
    </x:row>
    <x:row r="47" spans="2:16" s="11" customFormat="1" ht="9.6" customHeight="1">
      <x:c r="B47" s="27"/>
      <x:c r="C47" s="14"/>
      <x:c r="D47" s="14"/>
      <x:c r="E47" s="75"/>
      <x:c r="F47" s="75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</x:row>
    <x:row r="48" spans="2:16" s="10" customFormat="1" ht="18.600000000000001" customHeight="1">
      <x:c r="B48" s="12" t="s">
        <x:v>3</x:v>
      </x:c>
      <x:c r="C48" s="28">
        <x:f>SUM(E48:P48)</x:f>
        <x:v>0</x:v>
      </x:c>
      <x:c r="D48" s="28">
        <x:v>1249675848</x:v>
      </x:c>
      <x:c r="E48" s="29">
        <x:f>SUM(E49:E64)</x:f>
        <x:v>0</x:v>
      </x:c>
      <x:c r="F48" s="29">
        <x:f t="shared" ref="F48:K48" si="19">SUM(F49:F64)</x:f>
        <x:v>0</x:v>
      </x:c>
      <x:c r="G48" s="28">
        <x:f t="shared" si="19"/>
        <x:v>0</x:v>
      </x:c>
      <x:c r="H48" s="29">
        <x:f t="shared" si="19"/>
        <x:v>0</x:v>
      </x:c>
      <x:c r="I48" s="29">
        <x:f t="shared" si="19"/>
        <x:v>0</x:v>
      </x:c>
      <x:c r="J48" s="29">
        <x:f t="shared" si="19"/>
        <x:v>0</x:v>
      </x:c>
      <x:c r="K48" s="29">
        <x:f t="shared" si="19"/>
        <x:v>0</x:v>
      </x:c>
      <x:c r="L48" s="29">
        <x:f>SUM(L49:L64)</x:f>
        <x:v>0</x:v>
      </x:c>
      <x:c r="M48" s="29">
        <x:f>SUM(M49:M64)</x:f>
        <x:v>0</x:v>
      </x:c>
      <x:c r="N48" s="29">
        <x:f>SUM(N49:N64)</x:f>
        <x:v>0</x:v>
      </x:c>
      <x:c r="O48" s="29"/>
      <x:c r="P48" s="29"/>
    </x:row>
    <x:row r="49" spans="2:16" ht="13.5">
      <x:c r="B49" s="68" t="s">
        <x:v>42</x:v>
      </x:c>
      <x:c r="C49" s="241">
        <x:f t="shared" ref="C49:C64" si="20">SUM(E49:P49)</x:f>
        <x:v>0</x:v>
      </x:c>
      <x:c r="D49" s="241">
        <x:v>622497436</x:v>
      </x:c>
      <x:c r="E49" s="13">
        <x:f>'3. 손익계산서 월별실적'!E36</x:f>
        <x:v>0</x:v>
      </x:c>
      <x:c r="F49" s="185">
        <x:f>'3. 손익계산서 월별실적'!F36</x:f>
        <x:v>0</x:v>
      </x:c>
      <x:c r="G49" s="13">
        <x:f>'3. 손익계산서 월별실적'!G36</x:f>
        <x:v>0</x:v>
      </x:c>
      <x:c r="H49" s="183">
        <x:f>'3. 손익계산서 월별실적'!H36</x:f>
        <x:v>0</x:v>
      </x:c>
      <x:c r="I49" s="183">
        <x:f>'3. 손익계산서 월별실적'!I36</x:f>
        <x:v>0</x:v>
      </x:c>
      <x:c r="J49" s="183">
        <x:f>'3. 손익계산서 월별실적'!J36</x:f>
        <x:v>0</x:v>
      </x:c>
      <x:c r="K49" s="183">
        <x:f>'3. 손익계산서 월별실적'!K36</x:f>
        <x:v>0</x:v>
      </x:c>
      <x:c r="L49" s="183">
        <x:f>'3. 손익계산서 월별실적'!L36</x:f>
        <x:v>0</x:v>
      </x:c>
      <x:c r="M49" s="183">
        <x:f>'3. 손익계산서 월별실적'!M36</x:f>
        <x:v>0</x:v>
      </x:c>
      <x:c r="N49" s="183">
        <x:f>'3. 손익계산서 월별실적'!N36</x:f>
        <x:v>0</x:v>
      </x:c>
      <x:c r="O49" s="13">
        <x:f>'3. 손익계산서 월별실적'!O36</x:f>
        <x:v>0</x:v>
      </x:c>
      <x:c r="P49" s="13">
        <x:f>'3. 손익계산서 월별실적'!P36</x:f>
        <x:v>0</x:v>
      </x:c>
    </x:row>
    <x:row r="50" spans="2:16" ht="13.5">
      <x:c r="B50" s="68" t="s">
        <x:v>43</x:v>
      </x:c>
      <x:c r="C50" s="241">
        <x:f t="shared" si="20"/>
        <x:v>0</x:v>
      </x:c>
      <x:c r="D50" s="241">
        <x:v>12582543</x:v>
      </x:c>
      <x:c r="E50" s="13">
        <x:f>'3. 손익계산서 월별실적'!E37</x:f>
        <x:v>0</x:v>
      </x:c>
      <x:c r="F50" s="185">
        <x:f>'3. 손익계산서 월별실적'!F37</x:f>
        <x:v>0</x:v>
      </x:c>
      <x:c r="G50" s="13">
        <x:f>'3. 손익계산서 월별실적'!G37</x:f>
        <x:v>0</x:v>
      </x:c>
      <x:c r="H50" s="185">
        <x:f>'3. 손익계산서 월별실적'!H37</x:f>
        <x:v>0</x:v>
      </x:c>
      <x:c r="I50" s="185">
        <x:f>'3. 손익계산서 월별실적'!I37</x:f>
        <x:v>0</x:v>
      </x:c>
      <x:c r="J50" s="185">
        <x:f>'3. 손익계산서 월별실적'!J37</x:f>
        <x:v>0</x:v>
      </x:c>
      <x:c r="K50" s="185">
        <x:f>'3. 손익계산서 월별실적'!K37</x:f>
        <x:v>0</x:v>
      </x:c>
      <x:c r="L50" s="185">
        <x:f>'3. 손익계산서 월별실적'!L37</x:f>
        <x:v>0</x:v>
      </x:c>
      <x:c r="M50" s="185">
        <x:f>'3. 손익계산서 월별실적'!M37</x:f>
        <x:v>0</x:v>
      </x:c>
      <x:c r="N50" s="185">
        <x:f>'3. 손익계산서 월별실적'!N37</x:f>
        <x:v>0</x:v>
      </x:c>
      <x:c r="O50" s="13">
        <x:f>'3. 손익계산서 월별실적'!O37</x:f>
        <x:v>0</x:v>
      </x:c>
      <x:c r="P50" s="13">
        <x:f>'3. 손익계산서 월별실적'!P37</x:f>
        <x:v>0</x:v>
      </x:c>
    </x:row>
    <x:row r="51" spans="2:16" ht="13.5">
      <x:c r="B51" s="68" t="s">
        <x:v>44</x:v>
      </x:c>
      <x:c r="C51" s="241">
        <x:f t="shared" si="20"/>
        <x:v>0</x:v>
      </x:c>
      <x:c r="D51" s="241">
        <x:v>54590194</x:v>
      </x:c>
      <x:c r="E51" s="13">
        <x:f>'3. 손익계산서 월별실적'!E38</x:f>
        <x:v>0</x:v>
      </x:c>
      <x:c r="F51" s="185">
        <x:f>'3. 손익계산서 월별실적'!F38</x:f>
        <x:v>0</x:v>
      </x:c>
      <x:c r="G51" s="13">
        <x:f>'3. 손익계산서 월별실적'!G38</x:f>
        <x:v>0</x:v>
      </x:c>
      <x:c r="H51" s="185">
        <x:f>'3. 손익계산서 월별실적'!H38</x:f>
        <x:v>0</x:v>
      </x:c>
      <x:c r="I51" s="185">
        <x:f>'3. 손익계산서 월별실적'!I38</x:f>
        <x:v>0</x:v>
      </x:c>
      <x:c r="J51" s="185">
        <x:f>'3. 손익계산서 월별실적'!J38</x:f>
        <x:v>0</x:v>
      </x:c>
      <x:c r="K51" s="185">
        <x:f>'3. 손익계산서 월별실적'!K38</x:f>
        <x:v>0</x:v>
      </x:c>
      <x:c r="L51" s="185">
        <x:f>'3. 손익계산서 월별실적'!L38</x:f>
        <x:v>0</x:v>
      </x:c>
      <x:c r="M51" s="185">
        <x:f>'3. 손익계산서 월별실적'!M38</x:f>
        <x:v>0</x:v>
      </x:c>
      <x:c r="N51" s="185">
        <x:f>'3. 손익계산서 월별실적'!N38</x:f>
        <x:v>0</x:v>
      </x:c>
      <x:c r="O51" s="13">
        <x:f>'3. 손익계산서 월별실적'!O38</x:f>
        <x:v>0</x:v>
      </x:c>
      <x:c r="P51" s="13">
        <x:f>'3. 손익계산서 월별실적'!P38</x:f>
        <x:v>0</x:v>
      </x:c>
    </x:row>
    <x:row r="52" spans="2:16" ht="13.5">
      <x:c r="B52" s="68" t="s">
        <x:v>34</x:v>
      </x:c>
      <x:c r="C52" s="241">
        <x:f t="shared" si="20"/>
        <x:v>0</x:v>
      </x:c>
      <x:c r="D52" s="241">
        <x:v>76906812</x:v>
      </x:c>
      <x:c r="E52" s="13">
        <x:f>'3. 손익계산서 월별실적'!E39</x:f>
        <x:v>0</x:v>
      </x:c>
      <x:c r="F52" s="185">
        <x:f>'3. 손익계산서 월별실적'!F39</x:f>
        <x:v>0</x:v>
      </x:c>
      <x:c r="G52" s="13">
        <x:f>'3. 손익계산서 월별실적'!G39</x:f>
        <x:v>0</x:v>
      </x:c>
      <x:c r="H52" s="185">
        <x:f>'3. 손익계산서 월별실적'!H39</x:f>
        <x:v>0</x:v>
      </x:c>
      <x:c r="I52" s="185">
        <x:f>'3. 손익계산서 월별실적'!I39</x:f>
        <x:v>0</x:v>
      </x:c>
      <x:c r="J52" s="185">
        <x:f>'3. 손익계산서 월별실적'!J39</x:f>
        <x:v>0</x:v>
      </x:c>
      <x:c r="K52" s="185">
        <x:f>'3. 손익계산서 월별실적'!K39</x:f>
        <x:v>0</x:v>
      </x:c>
      <x:c r="L52" s="185">
        <x:f>'3. 손익계산서 월별실적'!L39</x:f>
        <x:v>0</x:v>
      </x:c>
      <x:c r="M52" s="185">
        <x:f>'3. 손익계산서 월별실적'!M39</x:f>
        <x:v>0</x:v>
      </x:c>
      <x:c r="N52" s="185">
        <x:f>'3. 손익계산서 월별실적'!N39</x:f>
        <x:v>0</x:v>
      </x:c>
      <x:c r="O52" s="13">
        <x:f>'3. 손익계산서 월별실적'!O39</x:f>
        <x:v>0</x:v>
      </x:c>
      <x:c r="P52" s="13">
        <x:f>'3. 손익계산서 월별실적'!P39</x:f>
        <x:v>0</x:v>
      </x:c>
    </x:row>
    <x:row r="53" spans="2:16" ht="13.5">
      <x:c r="B53" s="68" t="s">
        <x:v>38</x:v>
      </x:c>
      <x:c r="C53" s="241">
        <x:f t="shared" si="20"/>
        <x:v>0</x:v>
      </x:c>
      <x:c r="D53" s="241">
        <x:v>0</x:v>
      </x:c>
      <x:c r="E53" s="13">
        <x:f>'3. 손익계산서 월별실적'!E40</x:f>
        <x:v>0</x:v>
      </x:c>
      <x:c r="F53" s="185">
        <x:f>'3. 손익계산서 월별실적'!F40</x:f>
        <x:v>0</x:v>
      </x:c>
      <x:c r="G53" s="13">
        <x:f>'3. 손익계산서 월별실적'!G40</x:f>
        <x:v>0</x:v>
      </x:c>
      <x:c r="H53" s="185">
        <x:f>'3. 손익계산서 월별실적'!H40</x:f>
        <x:v>0</x:v>
      </x:c>
      <x:c r="I53" s="185">
        <x:f>'3. 손익계산서 월별실적'!I40</x:f>
        <x:v>0</x:v>
      </x:c>
      <x:c r="J53" s="185">
        <x:f>'3. 손익계산서 월별실적'!J40</x:f>
        <x:v>0</x:v>
      </x:c>
      <x:c r="K53" s="185">
        <x:f>'3. 손익계산서 월별실적'!K40</x:f>
        <x:v>0</x:v>
      </x:c>
      <x:c r="L53" s="185">
        <x:f>'3. 손익계산서 월별실적'!L40</x:f>
        <x:v>0</x:v>
      </x:c>
      <x:c r="M53" s="185">
        <x:f>'3. 손익계산서 월별실적'!M40</x:f>
        <x:v>0</x:v>
      </x:c>
      <x:c r="N53" s="185">
        <x:f>'3. 손익계산서 월별실적'!N40</x:f>
        <x:v>0</x:v>
      </x:c>
      <x:c r="O53" s="13">
        <x:f>'3. 손익계산서 월별실적'!O40</x:f>
        <x:v>0</x:v>
      </x:c>
      <x:c r="P53" s="13">
        <x:f>'3. 손익계산서 월별실적'!P40</x:f>
        <x:v>0</x:v>
      </x:c>
    </x:row>
    <x:row r="54" spans="2:16" ht="13.5">
      <x:c r="B54" s="68" t="s">
        <x:v>39</x:v>
      </x:c>
      <x:c r="C54" s="241">
        <x:f t="shared" si="20"/>
        <x:v>0</x:v>
      </x:c>
      <x:c r="D54" s="241">
        <x:v>0</x:v>
      </x:c>
      <x:c r="E54" s="13">
        <x:f>'3. 손익계산서 월별실적'!E41</x:f>
        <x:v>0</x:v>
      </x:c>
      <x:c r="F54" s="13">
        <x:f>'3. 손익계산서 월별실적'!F41</x:f>
        <x:v>0</x:v>
      </x:c>
      <x:c r="G54" s="14">
        <x:f>'3. 손익계산서 월별실적'!G41</x:f>
        <x:v>0</x:v>
      </x:c>
      <x:c r="H54" s="14">
        <x:f>'3. 손익계산서 월별실적'!H41</x:f>
        <x:v>0</x:v>
      </x:c>
      <x:c r="I54" s="14">
        <x:f>'3. 손익계산서 월별실적'!I41</x:f>
        <x:v>0</x:v>
      </x:c>
      <x:c r="J54" s="14">
        <x:f>'3. 손익계산서 월별실적'!J41</x:f>
        <x:v>0</x:v>
      </x:c>
      <x:c r="K54" s="14">
        <x:f>'3. 손익계산서 월별실적'!K41</x:f>
        <x:v>0</x:v>
      </x:c>
      <x:c r="L54" s="14">
        <x:f>'3. 손익계산서 월별실적'!L41</x:f>
        <x:v>0</x:v>
      </x:c>
      <x:c r="M54" s="14">
        <x:f>'3. 손익계산서 월별실적'!M41</x:f>
        <x:v>0</x:v>
      </x:c>
      <x:c r="N54" s="14">
        <x:f>'3. 손익계산서 월별실적'!N41</x:f>
        <x:v>0</x:v>
      </x:c>
      <x:c r="O54" s="14">
        <x:f>'3. 손익계산서 월별실적'!O41</x:f>
        <x:v>0</x:v>
      </x:c>
      <x:c r="P54" s="14">
        <x:f>'3. 손익계산서 월별실적'!P41</x:f>
        <x:v>0</x:v>
      </x:c>
    </x:row>
    <x:row r="55" spans="2:16" ht="13.5">
      <x:c r="B55" s="68" t="s">
        <x:v>37</x:v>
      </x:c>
      <x:c r="C55" s="241">
        <x:f t="shared" si="20"/>
        <x:v>0</x:v>
      </x:c>
      <x:c r="D55" s="241">
        <x:v>0</x:v>
      </x:c>
      <x:c r="E55" s="13">
        <x:f>'3. 손익계산서 월별실적'!E42</x:f>
        <x:v>0</x:v>
      </x:c>
      <x:c r="F55" s="13">
        <x:f>'3. 손익계산서 월별실적'!F42</x:f>
        <x:v>0</x:v>
      </x:c>
      <x:c r="G55" s="14">
        <x:f>'3. 손익계산서 월별실적'!G42</x:f>
        <x:v>0</x:v>
      </x:c>
      <x:c r="H55" s="14">
        <x:f>'3. 손익계산서 월별실적'!H42</x:f>
        <x:v>0</x:v>
      </x:c>
      <x:c r="I55" s="14">
        <x:f>'3. 손익계산서 월별실적'!I42</x:f>
        <x:v>0</x:v>
      </x:c>
      <x:c r="J55" s="14">
        <x:f>'3. 손익계산서 월별실적'!J42</x:f>
        <x:v>0</x:v>
      </x:c>
      <x:c r="K55" s="14">
        <x:f>'3. 손익계산서 월별실적'!K42</x:f>
        <x:v>0</x:v>
      </x:c>
      <x:c r="L55" s="14">
        <x:f>'3. 손익계산서 월별실적'!L42</x:f>
        <x:v>0</x:v>
      </x:c>
      <x:c r="M55" s="14">
        <x:f>'3. 손익계산서 월별실적'!M42</x:f>
        <x:v>0</x:v>
      </x:c>
      <x:c r="N55" s="14">
        <x:f>'3. 손익계산서 월별실적'!N42</x:f>
        <x:v>0</x:v>
      </x:c>
      <x:c r="O55" s="14">
        <x:f>'3. 손익계산서 월별실적'!O42</x:f>
        <x:v>0</x:v>
      </x:c>
      <x:c r="P55" s="14">
        <x:f>'3. 손익계산서 월별실적'!P42</x:f>
        <x:v>0</x:v>
      </x:c>
    </x:row>
    <x:row r="56" spans="2:16" ht="13.5">
      <x:c r="B56" s="68" t="s">
        <x:v>40</x:v>
      </x:c>
      <x:c r="C56" s="241">
        <x:f t="shared" si="20"/>
        <x:v>0</x:v>
      </x:c>
      <x:c r="D56" s="241">
        <x:v>401416613</x:v>
      </x:c>
      <x:c r="E56" s="13">
        <x:f>'3. 손익계산서 월별실적'!E43</x:f>
        <x:v>0</x:v>
      </x:c>
      <x:c r="F56" s="185">
        <x:f>'3. 손익계산서 월별실적'!F43</x:f>
        <x:v>0</x:v>
      </x:c>
      <x:c r="G56" s="13">
        <x:f>'3. 손익계산서 월별실적'!G43</x:f>
        <x:v>0</x:v>
      </x:c>
      <x:c r="H56" s="185">
        <x:f>'3. 손익계산서 월별실적'!H43</x:f>
        <x:v>0</x:v>
      </x:c>
      <x:c r="I56" s="338">
        <x:f>'3. 손익계산서 월별실적'!I43</x:f>
        <x:v>0</x:v>
      </x:c>
      <x:c r="J56" s="185">
        <x:f>'3. 손익계산서 월별실적'!J43</x:f>
        <x:v>0</x:v>
      </x:c>
      <x:c r="K56" s="185">
        <x:f>'3. 손익계산서 월별실적'!K43</x:f>
        <x:v>0</x:v>
      </x:c>
      <x:c r="L56" s="185">
        <x:f>'3. 손익계산서 월별실적'!L43</x:f>
        <x:v>0</x:v>
      </x:c>
      <x:c r="M56" s="185">
        <x:f>'3. 손익계산서 월별실적'!M43</x:f>
        <x:v>0</x:v>
      </x:c>
      <x:c r="N56" s="185">
        <x:f>'3. 손익계산서 월별실적'!N43</x:f>
        <x:v>0</x:v>
      </x:c>
      <x:c r="O56" s="13">
        <x:f>'3. 손익계산서 월별실적'!O43</x:f>
        <x:v>0</x:v>
      </x:c>
      <x:c r="P56" s="13">
        <x:f>'3. 손익계산서 월별실적'!P43</x:f>
        <x:v>0</x:v>
      </x:c>
    </x:row>
    <x:row r="57" spans="2:16" ht="13.5">
      <x:c r="B57" s="68" t="s">
        <x:v>35</x:v>
      </x:c>
      <x:c r="C57" s="241">
        <x:f t="shared" si="20"/>
        <x:v>0</x:v>
      </x:c>
      <x:c r="D57" s="241">
        <x:v>5527618</x:v>
      </x:c>
      <x:c r="E57" s="13">
        <x:f>'3. 손익계산서 월별실적'!E44</x:f>
        <x:v>0</x:v>
      </x:c>
      <x:c r="F57" s="185">
        <x:f>'3. 손익계산서 월별실적'!F44</x:f>
        <x:v>0</x:v>
      </x:c>
      <x:c r="G57" s="13">
        <x:f>'3. 손익계산서 월별실적'!G44</x:f>
        <x:v>0</x:v>
      </x:c>
      <x:c r="H57" s="185">
        <x:f>'3. 손익계산서 월별실적'!H44</x:f>
        <x:v>0</x:v>
      </x:c>
      <x:c r="I57" s="185">
        <x:f>'3. 손익계산서 월별실적'!I44</x:f>
        <x:v>0</x:v>
      </x:c>
      <x:c r="J57" s="185">
        <x:f>'3. 손익계산서 월별실적'!J44</x:f>
        <x:v>0</x:v>
      </x:c>
      <x:c r="K57" s="185">
        <x:f>'3. 손익계산서 월별실적'!K44</x:f>
        <x:v>0</x:v>
      </x:c>
      <x:c r="L57" s="185">
        <x:f>'3. 손익계산서 월별실적'!L44</x:f>
        <x:v>0</x:v>
      </x:c>
      <x:c r="M57" s="185">
        <x:f>'3. 손익계산서 월별실적'!M44</x:f>
        <x:v>0</x:v>
      </x:c>
      <x:c r="N57" s="185">
        <x:f>'3. 손익계산서 월별실적'!N44</x:f>
        <x:v>0</x:v>
      </x:c>
      <x:c r="O57" s="13">
        <x:f>'3. 손익계산서 월별실적'!O44</x:f>
        <x:v>0</x:v>
      </x:c>
      <x:c r="P57" s="13">
        <x:f>'3. 손익계산서 월별실적'!P44</x:f>
        <x:v>0</x:v>
      </x:c>
    </x:row>
    <x:row r="58" spans="2:16" ht="13.5">
      <x:c r="B58" s="68" t="s">
        <x:v>36</x:v>
      </x:c>
      <x:c r="C58" s="241">
        <x:f t="shared" si="20"/>
        <x:v>0</x:v>
      </x:c>
      <x:c r="D58" s="241">
        <x:v>66253085</x:v>
      </x:c>
      <x:c r="E58" s="13">
        <x:f>'3. 손익계산서 월별실적'!E45</x:f>
        <x:v>0</x:v>
      </x:c>
      <x:c r="F58" s="185">
        <x:f>'3. 손익계산서 월별실적'!F45</x:f>
        <x:v>0</x:v>
      </x:c>
      <x:c r="G58" s="13">
        <x:f>'3. 손익계산서 월별실적'!G45</x:f>
        <x:v>0</x:v>
      </x:c>
      <x:c r="H58" s="185">
        <x:f>'3. 손익계산서 월별실적'!H45</x:f>
        <x:v>0</x:v>
      </x:c>
      <x:c r="I58" s="185">
        <x:f>'3. 손익계산서 월별실적'!I45</x:f>
        <x:v>0</x:v>
      </x:c>
      <x:c r="J58" s="185">
        <x:f>'3. 손익계산서 월별실적'!J45</x:f>
        <x:v>0</x:v>
      </x:c>
      <x:c r="K58" s="185">
        <x:f>'3. 손익계산서 월별실적'!K45</x:f>
        <x:v>0</x:v>
      </x:c>
      <x:c r="L58" s="185">
        <x:f>'3. 손익계산서 월별실적'!L45</x:f>
        <x:v>0</x:v>
      </x:c>
      <x:c r="M58" s="185">
        <x:f>'3. 손익계산서 월별실적'!M45</x:f>
        <x:v>0</x:v>
      </x:c>
      <x:c r="N58" s="185">
        <x:f>'3. 손익계산서 월별실적'!N45</x:f>
        <x:v>0</x:v>
      </x:c>
      <x:c r="O58" s="13">
        <x:f>'3. 손익계산서 월별실적'!O45</x:f>
        <x:v>0</x:v>
      </x:c>
      <x:c r="P58" s="13">
        <x:f>'3. 손익계산서 월별실적'!P45</x:f>
        <x:v>0</x:v>
      </x:c>
    </x:row>
    <x:row r="59" spans="2:16" ht="13.5">
      <x:c r="B59" s="68" t="s">
        <x:v>45</x:v>
      </x:c>
      <x:c r="C59" s="241">
        <x:f t="shared" si="20"/>
        <x:v>0</x:v>
      </x:c>
      <x:c r="D59" s="241">
        <x:v>0</x:v>
      </x:c>
      <x:c r="E59" s="13">
        <x:f>'3. 손익계산서 월별실적'!E46</x:f>
        <x:v>0</x:v>
      </x:c>
      <x:c r="F59" s="13">
        <x:f>'3. 손익계산서 월별실적'!F46</x:f>
        <x:v>0</x:v>
      </x:c>
      <x:c r="G59" s="13">
        <x:f>'3. 손익계산서 월별실적'!G46</x:f>
        <x:v>0</x:v>
      </x:c>
      <x:c r="H59" s="185">
        <x:f>'3. 손익계산서 월별실적'!H46</x:f>
        <x:v>0</x:v>
      </x:c>
      <x:c r="I59" s="185">
        <x:f>'3. 손익계산서 월별실적'!I46</x:f>
        <x:v>0</x:v>
      </x:c>
      <x:c r="J59" s="185">
        <x:f>'3. 손익계산서 월별실적'!J46</x:f>
        <x:v>0</x:v>
      </x:c>
      <x:c r="K59" s="185">
        <x:f>'3. 손익계산서 월별실적'!K46</x:f>
        <x:v>0</x:v>
      </x:c>
      <x:c r="L59" s="14">
        <x:f>'3. 손익계산서 월별실적'!L46</x:f>
        <x:v>0</x:v>
      </x:c>
      <x:c r="M59" s="14">
        <x:f>'3. 손익계산서 월별실적'!M46</x:f>
        <x:v>0</x:v>
      </x:c>
      <x:c r="N59" s="14">
        <x:f>'3. 손익계산서 월별실적'!N46</x:f>
        <x:v>0</x:v>
      </x:c>
      <x:c r="O59" s="14">
        <x:f>'3. 손익계산서 월별실적'!O46</x:f>
        <x:v>0</x:v>
      </x:c>
      <x:c r="P59" s="14">
        <x:f>'3. 손익계산서 월별실적'!P46</x:f>
        <x:v>0</x:v>
      </x:c>
    </x:row>
    <x:row r="60" spans="2:16" ht="13.5">
      <x:c r="B60" s="68" t="s">
        <x:v>46</x:v>
      </x:c>
      <x:c r="C60" s="241">
        <x:f t="shared" si="20"/>
        <x:v>0</x:v>
      </x:c>
      <x:c r="D60" s="241">
        <x:v>0</x:v>
      </x:c>
      <x:c r="E60" s="13">
        <x:f>'3. 손익계산서 월별실적'!E47</x:f>
        <x:v>0</x:v>
      </x:c>
      <x:c r="F60" s="13">
        <x:f>'3. 손익계산서 월별실적'!F47</x:f>
        <x:v>0</x:v>
      </x:c>
      <x:c r="G60" s="14">
        <x:f>'3. 손익계산서 월별실적'!G47</x:f>
        <x:v>0</x:v>
      </x:c>
      <x:c r="H60" s="14">
        <x:f>'3. 손익계산서 월별실적'!H47</x:f>
        <x:v>0</x:v>
      </x:c>
      <x:c r="I60" s="14">
        <x:f>'3. 손익계산서 월별실적'!I47</x:f>
        <x:v>0</x:v>
      </x:c>
      <x:c r="J60" s="14">
        <x:f>'3. 손익계산서 월별실적'!J47</x:f>
        <x:v>0</x:v>
      </x:c>
      <x:c r="K60" s="14">
        <x:f>'3. 손익계산서 월별실적'!K47</x:f>
        <x:v>0</x:v>
      </x:c>
      <x:c r="L60" s="14">
        <x:f>'3. 손익계산서 월별실적'!L47</x:f>
        <x:v>0</x:v>
      </x:c>
      <x:c r="M60" s="14">
        <x:f>'3. 손익계산서 월별실적'!M47</x:f>
        <x:v>0</x:v>
      </x:c>
      <x:c r="N60" s="14">
        <x:f>'3. 손익계산서 월별실적'!N47</x:f>
        <x:v>0</x:v>
      </x:c>
      <x:c r="O60" s="14">
        <x:f>'3. 손익계산서 월별실적'!O47</x:f>
        <x:v>0</x:v>
      </x:c>
      <x:c r="P60" s="14">
        <x:f>'3. 손익계산서 월별실적'!P47</x:f>
        <x:v>0</x:v>
      </x:c>
    </x:row>
    <x:row r="61" spans="2:16" ht="13.5">
      <x:c r="B61" s="68" t="s">
        <x:v>47</x:v>
      </x:c>
      <x:c r="C61" s="241">
        <x:f t="shared" si="20"/>
        <x:v>0</x:v>
      </x:c>
      <x:c r="D61" s="241">
        <x:v>0</x:v>
      </x:c>
      <x:c r="E61" s="13">
        <x:f>'3. 손익계산서 월별실적'!E48</x:f>
        <x:v>0</x:v>
      </x:c>
      <x:c r="F61" s="13">
        <x:f>'3. 손익계산서 월별실적'!F48</x:f>
        <x:v>0</x:v>
      </x:c>
      <x:c r="G61" s="14">
        <x:f>'3. 손익계산서 월별실적'!G48</x:f>
        <x:v>0</x:v>
      </x:c>
      <x:c r="H61" s="14">
        <x:f>'3. 손익계산서 월별실적'!H48</x:f>
        <x:v>0</x:v>
      </x:c>
      <x:c r="I61" s="14">
        <x:f>'3. 손익계산서 월별실적'!I48</x:f>
        <x:v>0</x:v>
      </x:c>
      <x:c r="J61" s="14">
        <x:f>'3. 손익계산서 월별실적'!J48</x:f>
        <x:v>0</x:v>
      </x:c>
      <x:c r="K61" s="14">
        <x:f>'3. 손익계산서 월별실적'!K48</x:f>
        <x:v>0</x:v>
      </x:c>
      <x:c r="L61" s="14">
        <x:f>'3. 손익계산서 월별실적'!L48</x:f>
        <x:v>0</x:v>
      </x:c>
      <x:c r="M61" s="14">
        <x:f>'3. 손익계산서 월별실적'!M48</x:f>
        <x:v>0</x:v>
      </x:c>
      <x:c r="N61" s="14">
        <x:f>'3. 손익계산서 월별실적'!N48</x:f>
        <x:v>0</x:v>
      </x:c>
      <x:c r="O61" s="14">
        <x:f>'3. 손익계산서 월별실적'!O48</x:f>
        <x:v>0</x:v>
      </x:c>
      <x:c r="P61" s="14">
        <x:f>'3. 손익계산서 월별실적'!P48</x:f>
        <x:v>0</x:v>
      </x:c>
    </x:row>
    <x:row r="62" spans="2:16" ht="13.5">
      <x:c r="B62" s="68" t="s">
        <x:v>48</x:v>
      </x:c>
      <x:c r="C62" s="241">
        <x:f t="shared" si="20"/>
        <x:v>0</x:v>
      </x:c>
      <x:c r="D62" s="241">
        <x:v>9901547</x:v>
      </x:c>
      <x:c r="E62" s="13">
        <x:f>'3. 손익계산서 월별실적'!E49</x:f>
        <x:v>0</x:v>
      </x:c>
      <x:c r="F62" s="185">
        <x:f>'3. 손익계산서 월별실적'!F49</x:f>
        <x:v>0</x:v>
      </x:c>
      <x:c r="G62" s="13">
        <x:f>'3. 손익계산서 월별실적'!G49</x:f>
        <x:v>0</x:v>
      </x:c>
      <x:c r="H62" s="185">
        <x:f>'3. 손익계산서 월별실적'!H49</x:f>
        <x:v>0</x:v>
      </x:c>
      <x:c r="I62" s="185">
        <x:f>'3. 손익계산서 월별실적'!I49</x:f>
        <x:v>0</x:v>
      </x:c>
      <x:c r="J62" s="185">
        <x:f>'3. 손익계산서 월별실적'!J49</x:f>
        <x:v>0</x:v>
      </x:c>
      <x:c r="K62" s="185">
        <x:f>'3. 손익계산서 월별실적'!K49</x:f>
        <x:v>0</x:v>
      </x:c>
      <x:c r="L62" s="185">
        <x:f>'3. 손익계산서 월별실적'!L49</x:f>
        <x:v>0</x:v>
      </x:c>
      <x:c r="M62" s="185">
        <x:f>'3. 손익계산서 월별실적'!M49</x:f>
        <x:v>0</x:v>
      </x:c>
      <x:c r="N62" s="185">
        <x:f>'3. 손익계산서 월별실적'!N49</x:f>
        <x:v>0</x:v>
      </x:c>
      <x:c r="O62" s="13">
        <x:f>'3. 손익계산서 월별실적'!O49</x:f>
        <x:v>0</x:v>
      </x:c>
      <x:c r="P62" s="13">
        <x:f>'3. 손익계산서 월별실적'!P49</x:f>
        <x:v>0</x:v>
      </x:c>
    </x:row>
    <x:row r="63" spans="2:16" ht="13.5">
      <x:c r="B63" s="68" t="s">
        <x:v>63</x:v>
      </x:c>
      <x:c r="C63" s="241">
        <x:f t="shared" si="20"/>
        <x:v>0</x:v>
      </x:c>
      <x:c r="D63" s="241"/>
      <x:c r="E63" s="13">
        <x:f>'3. 손익계산서 월별실적'!E50</x:f>
        <x:v>0</x:v>
      </x:c>
      <x:c r="F63" s="13">
        <x:f>'3. 손익계산서 월별실적'!F50</x:f>
        <x:v>0</x:v>
      </x:c>
      <x:c r="G63" s="14">
        <x:f>'3. 손익계산서 월별실적'!G50</x:f>
        <x:v>0</x:v>
      </x:c>
      <x:c r="H63" s="14">
        <x:f>'3. 손익계산서 월별실적'!H50</x:f>
        <x:v>0</x:v>
      </x:c>
      <x:c r="I63" s="14">
        <x:f>'3. 손익계산서 월별실적'!I50</x:f>
        <x:v>0</x:v>
      </x:c>
      <x:c r="J63" s="14">
        <x:f>'3. 손익계산서 월별실적'!J50</x:f>
        <x:v>0</x:v>
      </x:c>
      <x:c r="K63" s="14">
        <x:f>'3. 손익계산서 월별실적'!K50</x:f>
        <x:v>0</x:v>
      </x:c>
      <x:c r="L63" s="14">
        <x:f>'3. 손익계산서 월별실적'!L50</x:f>
        <x:v>0</x:v>
      </x:c>
      <x:c r="M63" s="14">
        <x:f>'3. 손익계산서 월별실적'!M50</x:f>
        <x:v>0</x:v>
      </x:c>
      <x:c r="N63" s="14">
        <x:f>'3. 손익계산서 월별실적'!N50</x:f>
        <x:v>0</x:v>
      </x:c>
      <x:c r="O63" s="14">
        <x:f>'3. 손익계산서 월별실적'!O50</x:f>
        <x:v>0</x:v>
      </x:c>
      <x:c r="P63" s="14">
        <x:f>'3. 손익계산서 월별실적'!P50</x:f>
        <x:v>0</x:v>
      </x:c>
    </x:row>
    <x:row r="64" spans="2:16" ht="13.5">
      <x:c r="B64" s="68" t="s">
        <x:v>64</x:v>
      </x:c>
      <x:c r="C64" s="241">
        <x:f t="shared" si="20"/>
        <x:v>0</x:v>
      </x:c>
      <x:c r="D64" s="241"/>
      <x:c r="E64" s="13">
        <x:f>'3. 손익계산서 월별실적'!E51</x:f>
        <x:v>0</x:v>
      </x:c>
      <x:c r="F64" s="13">
        <x:f>'3. 손익계산서 월별실적'!F51</x:f>
        <x:v>0</x:v>
      </x:c>
      <x:c r="G64" s="14">
        <x:f>'3. 손익계산서 월별실적'!G51</x:f>
        <x:v>0</x:v>
      </x:c>
      <x:c r="H64" s="14">
        <x:f>'3. 손익계산서 월별실적'!H51</x:f>
        <x:v>0</x:v>
      </x:c>
      <x:c r="I64" s="14">
        <x:f>'3. 손익계산서 월별실적'!I51</x:f>
        <x:v>0</x:v>
      </x:c>
      <x:c r="J64" s="14">
        <x:f>'3. 손익계산서 월별실적'!J51</x:f>
        <x:v>0</x:v>
      </x:c>
      <x:c r="K64" s="14">
        <x:f>'3. 손익계산서 월별실적'!K51</x:f>
        <x:v>0</x:v>
      </x:c>
      <x:c r="L64" s="14">
        <x:f>'3. 손익계산서 월별실적'!L51</x:f>
        <x:v>0</x:v>
      </x:c>
      <x:c r="M64" s="14">
        <x:f>'3. 손익계산서 월별실적'!M51</x:f>
        <x:v>0</x:v>
      </x:c>
      <x:c r="N64" s="14">
        <x:f>'3. 손익계산서 월별실적'!N51</x:f>
        <x:v>0</x:v>
      </x:c>
      <x:c r="O64" s="14">
        <x:f>'3. 손익계산서 월별실적'!O51</x:f>
        <x:v>0</x:v>
      </x:c>
      <x:c r="P64" s="14">
        <x:f>'3. 손익계산서 월별실적'!P51</x:f>
        <x:v>0</x:v>
      </x:c>
    </x:row>
    <x:row r="65" spans="2:16" ht="9.6" customHeight="1">
      <x:c r="B65" s="27"/>
      <x:c r="C65" s="14"/>
      <x:c r="D65" s="14"/>
      <x:c r="E65" s="75"/>
      <x:c r="F65" s="75"/>
      <x:c r="G65" s="14" t="s">
        <x:v>235</x:v>
      </x:c>
      <x:c r="H65" s="14"/>
      <x:c r="I65" s="14"/>
      <x:c r="J65" s="14"/>
      <x:c r="K65" s="14"/>
      <x:c r="L65" s="14"/>
      <x:c r="M65" s="14"/>
      <x:c r="N65" s="14"/>
      <x:c r="O65" s="14"/>
      <x:c r="P65" s="14"/>
    </x:row>
    <x:row r="66" spans="2:16" ht="16.5">
      <x:c r="B66" s="12" t="s">
        <x:v>4</x:v>
      </x:c>
      <x:c r="C66" s="28">
        <x:f>SUM(E66:P66)</x:f>
        <x:v>0</x:v>
      </x:c>
      <x:c r="D66" s="28">
        <x:v>663909955</x:v>
      </x:c>
      <x:c r="E66" s="29">
        <x:f>SUM(E67:E80)</x:f>
        <x:v>0</x:v>
      </x:c>
      <x:c r="F66" s="29">
        <x:f t="shared" ref="F66:K66" si="21">SUM(F67:F80)</x:f>
        <x:v>0</x:v>
      </x:c>
      <x:c r="G66" s="28">
        <x:f>SUM(G67:G80)</x:f>
        <x:v>0</x:v>
      </x:c>
      <x:c r="H66" s="29">
        <x:f t="shared" si="21"/>
        <x:v>0</x:v>
      </x:c>
      <x:c r="I66" s="29">
        <x:f t="shared" si="21"/>
        <x:v>0</x:v>
      </x:c>
      <x:c r="J66" s="29">
        <x:f t="shared" si="21"/>
        <x:v>0</x:v>
      </x:c>
      <x:c r="K66" s="29">
        <x:f t="shared" si="21"/>
        <x:v>0</x:v>
      </x:c>
      <x:c r="L66" s="29">
        <x:f>SUM(L67:L80)</x:f>
        <x:v>0</x:v>
      </x:c>
      <x:c r="M66" s="29">
        <x:f>SUM(M67:M80)</x:f>
        <x:v>0</x:v>
      </x:c>
      <x:c r="N66" s="29">
        <x:f>SUM(N67:N80)</x:f>
        <x:v>0</x:v>
      </x:c>
      <x:c r="O66" s="29"/>
      <x:c r="P66" s="29"/>
    </x:row>
    <x:row r="67" spans="2:16" ht="13.5">
      <x:c r="B67" s="68" t="s">
        <x:v>42</x:v>
      </x:c>
      <x:c r="C67" s="241">
        <x:f t="shared" ref="C67:C80" si="22">SUM(E67:P67)</x:f>
        <x:v>0</x:v>
      </x:c>
      <x:c r="D67" s="241">
        <x:v>335945376</x:v>
      </x:c>
      <x:c r="E67" s="13">
        <x:f>'3. 손익계산서 월별실적'!E54</x:f>
        <x:v>0</x:v>
      </x:c>
      <x:c r="F67" s="185">
        <x:f>'3. 손익계산서 월별실적'!F54</x:f>
        <x:v>0</x:v>
      </x:c>
      <x:c r="G67" s="13">
        <x:f>'3. 손익계산서 월별실적'!G54</x:f>
        <x:v>0</x:v>
      </x:c>
      <x:c r="H67" s="185">
        <x:f>'3. 손익계산서 월별실적'!H54</x:f>
        <x:v>0</x:v>
      </x:c>
      <x:c r="I67" s="185">
        <x:f>'3. 손익계산서 월별실적'!I54</x:f>
        <x:v>0</x:v>
      </x:c>
      <x:c r="J67" s="185">
        <x:f>'3. 손익계산서 월별실적'!J54</x:f>
        <x:v>0</x:v>
      </x:c>
      <x:c r="K67" s="185">
        <x:f>'3. 손익계산서 월별실적'!K54</x:f>
        <x:v>0</x:v>
      </x:c>
      <x:c r="L67" s="185">
        <x:f>'3. 손익계산서 월별실적'!L54</x:f>
        <x:v>0</x:v>
      </x:c>
      <x:c r="M67" s="185">
        <x:f>'3. 손익계산서 월별실적'!M54</x:f>
        <x:v>0</x:v>
      </x:c>
      <x:c r="N67" s="185">
        <x:f>'3. 손익계산서 월별실적'!N54</x:f>
        <x:v>0</x:v>
      </x:c>
      <x:c r="O67" s="13">
        <x:f>'3. 손익계산서 월별실적'!O54</x:f>
        <x:v>0</x:v>
      </x:c>
      <x:c r="P67" s="13">
        <x:f>'3. 손익계산서 월별실적'!P54</x:f>
        <x:v>0</x:v>
      </x:c>
    </x:row>
    <x:row r="68" spans="2:16" ht="13.5">
      <x:c r="B68" s="68" t="s">
        <x:v>65</x:v>
      </x:c>
      <x:c r="C68" s="241">
        <x:f t="shared" si="22"/>
        <x:v>0</x:v>
      </x:c>
      <x:c r="D68" s="241">
        <x:v>10301404</x:v>
      </x:c>
      <x:c r="E68" s="13">
        <x:f>'3. 손익계산서 월별실적'!E55</x:f>
        <x:v>0</x:v>
      </x:c>
      <x:c r="F68" s="185">
        <x:f>'3. 손익계산서 월별실적'!F55</x:f>
        <x:v>0</x:v>
      </x:c>
      <x:c r="G68" s="13">
        <x:f>'3. 손익계산서 월별실적'!G55</x:f>
        <x:v>0</x:v>
      </x:c>
      <x:c r="H68" s="185">
        <x:f>'3. 손익계산서 월별실적'!H55</x:f>
        <x:v>0</x:v>
      </x:c>
      <x:c r="I68" s="185">
        <x:f>'3. 손익계산서 월별실적'!I55</x:f>
        <x:v>0</x:v>
      </x:c>
      <x:c r="J68" s="185">
        <x:f>'3. 손익계산서 월별실적'!J55</x:f>
        <x:v>0</x:v>
      </x:c>
      <x:c r="K68" s="185">
        <x:f>'3. 손익계산서 월별실적'!K55</x:f>
        <x:v>0</x:v>
      </x:c>
      <x:c r="L68" s="185">
        <x:f>'3. 손익계산서 월별실적'!L55</x:f>
        <x:v>0</x:v>
      </x:c>
      <x:c r="M68" s="185">
        <x:f>'3. 손익계산서 월별실적'!M55</x:f>
        <x:v>0</x:v>
      </x:c>
      <x:c r="N68" s="185">
        <x:f>'3. 손익계산서 월별실적'!N55</x:f>
        <x:v>0</x:v>
      </x:c>
      <x:c r="O68" s="13">
        <x:f>'3. 손익계산서 월별실적'!O55</x:f>
        <x:v>0</x:v>
      </x:c>
      <x:c r="P68" s="13">
        <x:f>'3. 손익계산서 월별실적'!P55</x:f>
        <x:v>0</x:v>
      </x:c>
    </x:row>
    <x:row r="69" spans="2:16" ht="13.5">
      <x:c r="B69" s="68" t="s">
        <x:v>44</x:v>
      </x:c>
      <x:c r="C69" s="241">
        <x:f t="shared" si="22"/>
        <x:v>0</x:v>
      </x:c>
      <x:c r="D69" s="241">
        <x:v>22281850</x:v>
      </x:c>
      <x:c r="E69" s="13">
        <x:f>'3. 손익계산서 월별실적'!E56</x:f>
        <x:v>0</x:v>
      </x:c>
      <x:c r="F69" s="185">
        <x:f>'3. 손익계산서 월별실적'!F56</x:f>
        <x:v>0</x:v>
      </x:c>
      <x:c r="G69" s="13">
        <x:f>'3. 손익계산서 월별실적'!G56</x:f>
        <x:v>0</x:v>
      </x:c>
      <x:c r="H69" s="185">
        <x:f>'3. 손익계산서 월별실적'!H56</x:f>
        <x:v>0</x:v>
      </x:c>
      <x:c r="I69" s="185">
        <x:f>'3. 손익계산서 월별실적'!I56</x:f>
        <x:v>0</x:v>
      </x:c>
      <x:c r="J69" s="185">
        <x:f>'3. 손익계산서 월별실적'!J56</x:f>
        <x:v>0</x:v>
      </x:c>
      <x:c r="K69" s="185">
        <x:f>'3. 손익계산서 월별실적'!K56</x:f>
        <x:v>0</x:v>
      </x:c>
      <x:c r="L69" s="185">
        <x:f>'3. 손익계산서 월별실적'!L56</x:f>
        <x:v>0</x:v>
      </x:c>
      <x:c r="M69" s="185">
        <x:f>'3. 손익계산서 월별실적'!M56</x:f>
        <x:v>0</x:v>
      </x:c>
      <x:c r="N69" s="185">
        <x:f>'3. 손익계산서 월별실적'!N56</x:f>
        <x:v>0</x:v>
      </x:c>
      <x:c r="O69" s="13">
        <x:f>'3. 손익계산서 월별실적'!O56</x:f>
        <x:v>0</x:v>
      </x:c>
      <x:c r="P69" s="13">
        <x:f>'3. 손익계산서 월별실적'!P56</x:f>
        <x:v>0</x:v>
      </x:c>
    </x:row>
    <x:row r="70" spans="2:16" ht="13.5">
      <x:c r="B70" s="68" t="s">
        <x:v>34</x:v>
      </x:c>
      <x:c r="C70" s="241">
        <x:f t="shared" si="22"/>
        <x:v>0</x:v>
      </x:c>
      <x:c r="D70" s="241">
        <x:v>29904993</x:v>
      </x:c>
      <x:c r="E70" s="13">
        <x:f>'3. 손익계산서 월별실적'!E57</x:f>
        <x:v>0</x:v>
      </x:c>
      <x:c r="F70" s="185">
        <x:f>'3. 손익계산서 월별실적'!F57</x:f>
        <x:v>0</x:v>
      </x:c>
      <x:c r="G70" s="13">
        <x:f>'3. 손익계산서 월별실적'!G57</x:f>
        <x:v>0</x:v>
      </x:c>
      <x:c r="H70" s="185">
        <x:f>'3. 손익계산서 월별실적'!H57</x:f>
        <x:v>0</x:v>
      </x:c>
      <x:c r="I70" s="185">
        <x:f>'3. 손익계산서 월별실적'!I57</x:f>
        <x:v>0</x:v>
      </x:c>
      <x:c r="J70" s="185">
        <x:f>'3. 손익계산서 월별실적'!J57</x:f>
        <x:v>0</x:v>
      </x:c>
      <x:c r="K70" s="185">
        <x:f>'3. 손익계산서 월별실적'!K57</x:f>
        <x:v>0</x:v>
      </x:c>
      <x:c r="L70" s="185">
        <x:f>'3. 손익계산서 월별실적'!L57</x:f>
        <x:v>0</x:v>
      </x:c>
      <x:c r="M70" s="185">
        <x:f>'3. 손익계산서 월별실적'!M57</x:f>
        <x:v>0</x:v>
      </x:c>
      <x:c r="N70" s="185">
        <x:f>'3. 손익계산서 월별실적'!N57</x:f>
        <x:v>0</x:v>
      </x:c>
      <x:c r="O70" s="13">
        <x:f>'3. 손익계산서 월별실적'!O57</x:f>
        <x:v>0</x:v>
      </x:c>
      <x:c r="P70" s="13">
        <x:f>'3. 손익계산서 월별실적'!P57</x:f>
        <x:v>0</x:v>
      </x:c>
    </x:row>
    <x:row r="71" spans="2:16" ht="13.5">
      <x:c r="B71" s="68" t="s">
        <x:v>38</x:v>
      </x:c>
      <x:c r="C71" s="241">
        <x:f t="shared" si="22"/>
        <x:v>0</x:v>
      </x:c>
      <x:c r="D71" s="241">
        <x:v>1458740</x:v>
      </x:c>
      <x:c r="E71" s="13">
        <x:f>'3. 손익계산서 월별실적'!E58</x:f>
        <x:v>0</x:v>
      </x:c>
      <x:c r="F71" s="185">
        <x:f>'3. 손익계산서 월별실적'!F58</x:f>
        <x:v>0</x:v>
      </x:c>
      <x:c r="G71" s="13">
        <x:f>'3. 손익계산서 월별실적'!G58</x:f>
        <x:v>0</x:v>
      </x:c>
      <x:c r="H71" s="185">
        <x:f>'3. 손익계산서 월별실적'!H58</x:f>
        <x:v>0</x:v>
      </x:c>
      <x:c r="I71" s="185">
        <x:f>'3. 손익계산서 월별실적'!I58</x:f>
        <x:v>0</x:v>
      </x:c>
      <x:c r="J71" s="185">
        <x:f>'3. 손익계산서 월별실적'!J58</x:f>
        <x:v>0</x:v>
      </x:c>
      <x:c r="K71" s="185">
        <x:f>'3. 손익계산서 월별실적'!K58</x:f>
        <x:v>0</x:v>
      </x:c>
      <x:c r="L71" s="185">
        <x:f>'3. 손익계산서 월별실적'!L58</x:f>
        <x:v>0</x:v>
      </x:c>
      <x:c r="M71" s="185">
        <x:f>'3. 손익계산서 월별실적'!M58</x:f>
        <x:v>0</x:v>
      </x:c>
      <x:c r="N71" s="185">
        <x:f>'3. 손익계산서 월별실적'!N58</x:f>
        <x:v>0</x:v>
      </x:c>
      <x:c r="O71" s="13">
        <x:f>'3. 손익계산서 월별실적'!O58</x:f>
        <x:v>0</x:v>
      </x:c>
      <x:c r="P71" s="13">
        <x:f>'3. 손익계산서 월별실적'!P58</x:f>
        <x:v>0</x:v>
      </x:c>
    </x:row>
    <x:row r="72" spans="2:16" ht="13.5">
      <x:c r="B72" s="68" t="s">
        <x:v>39</x:v>
      </x:c>
      <x:c r="C72" s="241">
        <x:f t="shared" si="22"/>
        <x:v>0</x:v>
      </x:c>
      <x:c r="D72" s="241">
        <x:v>0</x:v>
      </x:c>
      <x:c r="E72" s="13">
        <x:f>'3. 손익계산서 월별실적'!E59</x:f>
        <x:v>0</x:v>
      </x:c>
      <x:c r="F72" s="13">
        <x:f>'3. 손익계산서 월별실적'!F59</x:f>
        <x:v>0</x:v>
      </x:c>
      <x:c r="G72" s="14">
        <x:f>'3. 손익계산서 월별실적'!G59</x:f>
        <x:v>0</x:v>
      </x:c>
      <x:c r="H72" s="14">
        <x:f>'3. 손익계산서 월별실적'!H59</x:f>
        <x:v>0</x:v>
      </x:c>
      <x:c r="I72" s="14">
        <x:f>'3. 손익계산서 월별실적'!I59</x:f>
        <x:v>0</x:v>
      </x:c>
      <x:c r="J72" s="14">
        <x:f>'3. 손익계산서 월별실적'!J59</x:f>
        <x:v>0</x:v>
      </x:c>
      <x:c r="K72" s="14">
        <x:f>'3. 손익계산서 월별실적'!K59</x:f>
        <x:v>0</x:v>
      </x:c>
      <x:c r="L72" s="14">
        <x:f>'3. 손익계산서 월별실적'!L59</x:f>
        <x:v>0</x:v>
      </x:c>
      <x:c r="M72" s="14">
        <x:f>'3. 손익계산서 월별실적'!M59</x:f>
        <x:v>0</x:v>
      </x:c>
      <x:c r="N72" s="14">
        <x:f>'3. 손익계산서 월별실적'!N59</x:f>
        <x:v>0</x:v>
      </x:c>
      <x:c r="O72" s="14">
        <x:f>'3. 손익계산서 월별실적'!O59</x:f>
        <x:v>0</x:v>
      </x:c>
      <x:c r="P72" s="14">
        <x:f>'3. 손익계산서 월별실적'!P59</x:f>
        <x:v>0</x:v>
      </x:c>
    </x:row>
    <x:row r="73" spans="2:16" ht="13.5">
      <x:c r="B73" s="68" t="s">
        <x:v>37</x:v>
      </x:c>
      <x:c r="C73" s="241">
        <x:f t="shared" si="22"/>
        <x:v>0</x:v>
      </x:c>
      <x:c r="D73" s="241">
        <x:v>0</x:v>
      </x:c>
      <x:c r="E73" s="13">
        <x:f>'3. 손익계산서 월별실적'!E60</x:f>
        <x:v>0</x:v>
      </x:c>
      <x:c r="F73" s="13">
        <x:f>'3. 손익계산서 월별실적'!F60</x:f>
        <x:v>0</x:v>
      </x:c>
      <x:c r="G73" s="14">
        <x:f>'3. 손익계산서 월별실적'!G60</x:f>
        <x:v>0</x:v>
      </x:c>
      <x:c r="H73" s="14">
        <x:f>'3. 손익계산서 월별실적'!H60</x:f>
        <x:v>0</x:v>
      </x:c>
      <x:c r="I73" s="14">
        <x:f>'3. 손익계산서 월별실적'!I60</x:f>
        <x:v>0</x:v>
      </x:c>
      <x:c r="J73" s="14">
        <x:f>'3. 손익계산서 월별실적'!J60</x:f>
        <x:v>0</x:v>
      </x:c>
      <x:c r="K73" s="14">
        <x:f>'3. 손익계산서 월별실적'!K60</x:f>
        <x:v>0</x:v>
      </x:c>
      <x:c r="L73" s="14">
        <x:f>'3. 손익계산서 월별실적'!L60</x:f>
        <x:v>0</x:v>
      </x:c>
      <x:c r="M73" s="14">
        <x:f>'3. 손익계산서 월별실적'!M60</x:f>
        <x:v>0</x:v>
      </x:c>
      <x:c r="N73" s="14">
        <x:f>'3. 손익계산서 월별실적'!N60</x:f>
        <x:v>0</x:v>
      </x:c>
      <x:c r="O73" s="14">
        <x:f>'3. 손익계산서 월별실적'!O60</x:f>
        <x:v>0</x:v>
      </x:c>
      <x:c r="P73" s="14">
        <x:f>'3. 손익계산서 월별실적'!P60</x:f>
        <x:v>0</x:v>
      </x:c>
    </x:row>
    <x:row r="74" spans="2:16" ht="13.5">
      <x:c r="B74" s="68" t="s">
        <x:v>40</x:v>
      </x:c>
      <x:c r="C74" s="241">
        <x:f t="shared" si="22"/>
        <x:v>0</x:v>
      </x:c>
      <x:c r="D74" s="241">
        <x:v>75508374</x:v>
      </x:c>
      <x:c r="E74" s="13">
        <x:f>'3. 손익계산서 월별실적'!E61</x:f>
        <x:v>0</x:v>
      </x:c>
      <x:c r="F74" s="185">
        <x:f>'3. 손익계산서 월별실적'!F61</x:f>
        <x:v>0</x:v>
      </x:c>
      <x:c r="G74" s="13">
        <x:f>'3. 손익계산서 월별실적'!G61</x:f>
        <x:v>0</x:v>
      </x:c>
      <x:c r="H74" s="185">
        <x:f>'3. 손익계산서 월별실적'!H61</x:f>
        <x:v>0</x:v>
      </x:c>
      <x:c r="I74" s="185">
        <x:f>'3. 손익계산서 월별실적'!I61</x:f>
        <x:v>0</x:v>
      </x:c>
      <x:c r="J74" s="185">
        <x:f>'3. 손익계산서 월별실적'!J61</x:f>
        <x:v>0</x:v>
      </x:c>
      <x:c r="K74" s="185">
        <x:f>'3. 손익계산서 월별실적'!K61</x:f>
        <x:v>0</x:v>
      </x:c>
      <x:c r="L74" s="185">
        <x:f>'3. 손익계산서 월별실적'!L61</x:f>
        <x:v>0</x:v>
      </x:c>
      <x:c r="M74" s="185">
        <x:f>'3. 손익계산서 월별실적'!M61</x:f>
        <x:v>0</x:v>
      </x:c>
      <x:c r="N74" s="185">
        <x:f>'3. 손익계산서 월별실적'!N61</x:f>
        <x:v>0</x:v>
      </x:c>
      <x:c r="O74" s="13">
        <x:f>'3. 손익계산서 월별실적'!O61</x:f>
        <x:v>0</x:v>
      </x:c>
      <x:c r="P74" s="13">
        <x:f>'3. 손익계산서 월별실적'!P61</x:f>
        <x:v>0</x:v>
      </x:c>
    </x:row>
    <x:row r="75" spans="2:16" ht="13.5">
      <x:c r="B75" s="68" t="s">
        <x:v>35</x:v>
      </x:c>
      <x:c r="C75" s="241">
        <x:f t="shared" si="22"/>
        <x:v>0</x:v>
      </x:c>
      <x:c r="D75" s="241">
        <x:v>3814487</x:v>
      </x:c>
      <x:c r="E75" s="13">
        <x:f>'3. 손익계산서 월별실적'!E62</x:f>
        <x:v>0</x:v>
      </x:c>
      <x:c r="F75" s="185">
        <x:f>'3. 손익계산서 월별실적'!F62</x:f>
        <x:v>0</x:v>
      </x:c>
      <x:c r="G75" s="13">
        <x:f>'3. 손익계산서 월별실적'!G62</x:f>
        <x:v>0</x:v>
      </x:c>
      <x:c r="H75" s="185">
        <x:f>'3. 손익계산서 월별실적'!H62</x:f>
        <x:v>0</x:v>
      </x:c>
      <x:c r="I75" s="185">
        <x:f>'3. 손익계산서 월별실적'!I62</x:f>
        <x:v>0</x:v>
      </x:c>
      <x:c r="J75" s="185">
        <x:f>'3. 손익계산서 월별실적'!J62</x:f>
        <x:v>0</x:v>
      </x:c>
      <x:c r="K75" s="185">
        <x:f>'3. 손익계산서 월별실적'!K62</x:f>
        <x:v>0</x:v>
      </x:c>
      <x:c r="L75" s="185">
        <x:f>'3. 손익계산서 월별실적'!L62</x:f>
        <x:v>0</x:v>
      </x:c>
      <x:c r="M75" s="185">
        <x:f>'3. 손익계산서 월별실적'!M62</x:f>
        <x:v>0</x:v>
      </x:c>
      <x:c r="N75" s="185">
        <x:f>'3. 손익계산서 월별실적'!N62</x:f>
        <x:v>0</x:v>
      </x:c>
      <x:c r="O75" s="13">
        <x:f>'3. 손익계산서 월별실적'!O62</x:f>
        <x:v>0</x:v>
      </x:c>
      <x:c r="P75" s="13">
        <x:f>'3. 손익계산서 월별실적'!P62</x:f>
        <x:v>0</x:v>
      </x:c>
    </x:row>
    <x:row r="76" spans="2:16" ht="13.5">
      <x:c r="B76" s="68" t="s">
        <x:v>36</x:v>
      </x:c>
      <x:c r="C76" s="241">
        <x:f t="shared" si="22"/>
        <x:v>0</x:v>
      </x:c>
      <x:c r="D76" s="241">
        <x:v>2621156</x:v>
      </x:c>
      <x:c r="E76" s="13">
        <x:f>'3. 손익계산서 월별실적'!E63</x:f>
        <x:v>0</x:v>
      </x:c>
      <x:c r="F76" s="185">
        <x:f>'3. 손익계산서 월별실적'!F63</x:f>
        <x:v>0</x:v>
      </x:c>
      <x:c r="G76" s="13">
        <x:f>'3. 손익계산서 월별실적'!G63</x:f>
        <x:v>0</x:v>
      </x:c>
      <x:c r="H76" s="185">
        <x:f>'3. 손익계산서 월별실적'!H63</x:f>
        <x:v>0</x:v>
      </x:c>
      <x:c r="I76" s="185">
        <x:f>'3. 손익계산서 월별실적'!I63</x:f>
        <x:v>0</x:v>
      </x:c>
      <x:c r="J76" s="185">
        <x:f>'3. 손익계산서 월별실적'!J63</x:f>
        <x:v>0</x:v>
      </x:c>
      <x:c r="K76" s="185">
        <x:f>'3. 손익계산서 월별실적'!K63</x:f>
        <x:v>0</x:v>
      </x:c>
      <x:c r="L76" s="185">
        <x:f>'3. 손익계산서 월별실적'!L63</x:f>
        <x:v>0</x:v>
      </x:c>
      <x:c r="M76" s="185">
        <x:f>'3. 손익계산서 월별실적'!M63</x:f>
        <x:v>0</x:v>
      </x:c>
      <x:c r="N76" s="185">
        <x:f>'3. 손익계산서 월별실적'!N63</x:f>
        <x:v>0</x:v>
      </x:c>
      <x:c r="O76" s="13">
        <x:f>'3. 손익계산서 월별실적'!O63</x:f>
        <x:v>0</x:v>
      </x:c>
      <x:c r="P76" s="13">
        <x:f>'3. 손익계산서 월별실적'!P63</x:f>
        <x:v>0</x:v>
      </x:c>
    </x:row>
    <x:row r="77" spans="2:16" ht="13.5">
      <x:c r="B77" s="68" t="s">
        <x:v>45</x:v>
      </x:c>
      <x:c r="C77" s="241">
        <x:f t="shared" si="22"/>
        <x:v>0</x:v>
      </x:c>
      <x:c r="D77" s="241">
        <x:v>179939611</x:v>
      </x:c>
      <x:c r="E77" s="13">
        <x:f>'3. 손익계산서 월별실적'!E64</x:f>
        <x:v>0</x:v>
      </x:c>
      <x:c r="F77" s="185">
        <x:f>'3. 손익계산서 월별실적'!F64</x:f>
        <x:v>0</x:v>
      </x:c>
      <x:c r="G77" s="13">
        <x:f>'3. 손익계산서 월별실적'!G64</x:f>
        <x:v>0</x:v>
      </x:c>
      <x:c r="H77" s="185">
        <x:f>'3. 손익계산서 월별실적'!H64</x:f>
        <x:v>0</x:v>
      </x:c>
      <x:c r="I77" s="185">
        <x:f>'3. 손익계산서 월별실적'!I64</x:f>
        <x:v>0</x:v>
      </x:c>
      <x:c r="J77" s="185">
        <x:f>'3. 손익계산서 월별실적'!J64</x:f>
        <x:v>0</x:v>
      </x:c>
      <x:c r="K77" s="185">
        <x:f>'3. 손익계산서 월별실적'!K64</x:f>
        <x:v>0</x:v>
      </x:c>
      <x:c r="L77" s="185">
        <x:f>'3. 손익계산서 월별실적'!L64</x:f>
        <x:v>0</x:v>
      </x:c>
      <x:c r="M77" s="185">
        <x:f>'3. 손익계산서 월별실적'!M64</x:f>
        <x:v>0</x:v>
      </x:c>
      <x:c r="N77" s="185">
        <x:f>'3. 손익계산서 월별실적'!N64</x:f>
        <x:v>0</x:v>
      </x:c>
      <x:c r="O77" s="13">
        <x:f>'3. 손익계산서 월별실적'!O64</x:f>
        <x:v>0</x:v>
      </x:c>
      <x:c r="P77" s="13">
        <x:f>'3. 손익계산서 월별실적'!P64</x:f>
        <x:v>0</x:v>
      </x:c>
    </x:row>
    <x:row r="78" spans="2:16" ht="13.5">
      <x:c r="B78" s="68" t="s">
        <x:v>46</x:v>
      </x:c>
      <x:c r="C78" s="241">
        <x:f t="shared" si="22"/>
        <x:v>0</x:v>
      </x:c>
      <x:c r="D78" s="241">
        <x:v>0</x:v>
      </x:c>
      <x:c r="E78" s="13">
        <x:f>'3. 손익계산서 월별실적'!E65</x:f>
        <x:v>0</x:v>
      </x:c>
      <x:c r="F78" s="13">
        <x:f>'3. 손익계산서 월별실적'!F65</x:f>
        <x:v>0</x:v>
      </x:c>
      <x:c r="G78" s="14">
        <x:f>'3. 손익계산서 월별실적'!G65</x:f>
        <x:v>0</x:v>
      </x:c>
      <x:c r="H78" s="14">
        <x:f>'3. 손익계산서 월별실적'!H65</x:f>
        <x:v>0</x:v>
      </x:c>
      <x:c r="I78" s="14">
        <x:f>'3. 손익계산서 월별실적'!I65</x:f>
        <x:v>0</x:v>
      </x:c>
      <x:c r="J78" s="14">
        <x:f>'3. 손익계산서 월별실적'!J65</x:f>
        <x:v>0</x:v>
      </x:c>
      <x:c r="K78" s="14">
        <x:f>'3. 손익계산서 월별실적'!K65</x:f>
        <x:v>0</x:v>
      </x:c>
      <x:c r="L78" s="14">
        <x:f>'3. 손익계산서 월별실적'!L65</x:f>
        <x:v>0</x:v>
      </x:c>
      <x:c r="M78" s="14">
        <x:f>'3. 손익계산서 월별실적'!M65</x:f>
        <x:v>0</x:v>
      </x:c>
      <x:c r="N78" s="14">
        <x:f>'3. 손익계산서 월별실적'!N65</x:f>
        <x:v>0</x:v>
      </x:c>
      <x:c r="O78" s="14">
        <x:f>'3. 손익계산서 월별실적'!O65</x:f>
        <x:v>0</x:v>
      </x:c>
      <x:c r="P78" s="14">
        <x:f>'3. 손익계산서 월별실적'!P65</x:f>
        <x:v>0</x:v>
      </x:c>
    </x:row>
    <x:row r="79" spans="2:16" ht="13.5">
      <x:c r="B79" s="68" t="s">
        <x:v>47</x:v>
      </x:c>
      <x:c r="C79" s="241">
        <x:f t="shared" si="22"/>
        <x:v>0</x:v>
      </x:c>
      <x:c r="D79" s="241">
        <x:v>0</x:v>
      </x:c>
      <x:c r="E79" s="13">
        <x:f>'3. 손익계산서 월별실적'!E66</x:f>
        <x:v>0</x:v>
      </x:c>
      <x:c r="F79" s="13">
        <x:f>'3. 손익계산서 월별실적'!F66</x:f>
        <x:v>0</x:v>
      </x:c>
      <x:c r="G79" s="14">
        <x:f>'3. 손익계산서 월별실적'!G66</x:f>
        <x:v>0</x:v>
      </x:c>
      <x:c r="H79" s="14">
        <x:f>'3. 손익계산서 월별실적'!H66</x:f>
        <x:v>0</x:v>
      </x:c>
      <x:c r="I79" s="14">
        <x:f>'3. 손익계산서 월별실적'!I66</x:f>
        <x:v>0</x:v>
      </x:c>
      <x:c r="J79" s="14">
        <x:f>'3. 손익계산서 월별실적'!J66</x:f>
        <x:v>0</x:v>
      </x:c>
      <x:c r="K79" s="14">
        <x:f>'3. 손익계산서 월별실적'!K66</x:f>
        <x:v>0</x:v>
      </x:c>
      <x:c r="L79" s="14">
        <x:f>'3. 손익계산서 월별실적'!L66</x:f>
        <x:v>0</x:v>
      </x:c>
      <x:c r="M79" s="14">
        <x:f>'3. 손익계산서 월별실적'!M66</x:f>
        <x:v>0</x:v>
      </x:c>
      <x:c r="N79" s="14">
        <x:f>'3. 손익계산서 월별실적'!N66</x:f>
        <x:v>0</x:v>
      </x:c>
      <x:c r="O79" s="14">
        <x:f>'3. 손익계산서 월별실적'!O66</x:f>
        <x:v>0</x:v>
      </x:c>
      <x:c r="P79" s="14">
        <x:f>'3. 손익계산서 월별실적'!P66</x:f>
        <x:v>0</x:v>
      </x:c>
    </x:row>
    <x:row r="80" spans="2:16" ht="13.5">
      <x:c r="B80" s="68" t="s">
        <x:v>48</x:v>
      </x:c>
      <x:c r="C80" s="241">
        <x:f t="shared" si="22"/>
        <x:v>0</x:v>
      </x:c>
      <x:c r="D80" s="241">
        <x:v>2133964</x:v>
      </x:c>
      <x:c r="E80" s="13">
        <x:f>'3. 손익계산서 월별실적'!E67</x:f>
        <x:v>0</x:v>
      </x:c>
      <x:c r="F80" s="13">
        <x:f>'3. 손익계산서 월별실적'!F67</x:f>
        <x:v>0</x:v>
      </x:c>
      <x:c r="G80" s="13">
        <x:f>'3. 손익계산서 월별실적'!G67</x:f>
        <x:v>0</x:v>
      </x:c>
      <x:c r="H80" s="13">
        <x:f>'3. 손익계산서 월별실적'!H67</x:f>
        <x:v>0</x:v>
      </x:c>
      <x:c r="I80" s="185">
        <x:f>'3. 손익계산서 월별실적'!I67</x:f>
        <x:v>0</x:v>
      </x:c>
      <x:c r="J80" s="185">
        <x:f>'3. 손익계산서 월별실적'!J67</x:f>
        <x:v>0</x:v>
      </x:c>
      <x:c r="K80" s="185">
        <x:f>'3. 손익계산서 월별실적'!K67</x:f>
        <x:v>0</x:v>
      </x:c>
      <x:c r="L80" s="185">
        <x:f>'3. 손익계산서 월별실적'!L67</x:f>
        <x:v>0</x:v>
      </x:c>
      <x:c r="M80" s="185">
        <x:f>'3. 손익계산서 월별실적'!M67</x:f>
        <x:v>0</x:v>
      </x:c>
      <x:c r="N80" s="185">
        <x:f>'3. 손익계산서 월별실적'!N67</x:f>
        <x:v>0</x:v>
      </x:c>
      <x:c r="O80" s="13">
        <x:f>'3. 손익계산서 월별실적'!O67</x:f>
        <x:v>0</x:v>
      </x:c>
      <x:c r="P80" s="13">
        <x:f>'3. 손익계산서 월별실적'!P67</x:f>
        <x:v>0</x:v>
      </x:c>
    </x:row>
    <x:row r="81" spans="2:16" ht="13.5">
      <x:c r="B81" s="17" t="s">
        <x:v>27</x:v>
      </x:c>
      <x:c r="C81" s="18" t="e">
        <x:f>SUM(E81:P81)</x:f>
        <x:v>#REF!</x:v>
      </x:c>
      <x:c r="D81" s="18">
        <x:v>1757912364.999999</x:v>
      </x:c>
      <x:c r="E81" s="18">
        <x:f t="shared" ref="E81:L81" si="23">+E29-E31</x:f>
        <x:v>0</x:v>
      </x:c>
      <x:c r="F81" s="18" t="e">
        <x:f t="shared" si="23"/>
        <x:v>#REF!</x:v>
      </x:c>
      <x:c r="G81" s="18" t="e">
        <x:f t="shared" si="23"/>
        <x:v>#REF!</x:v>
      </x:c>
      <x:c r="H81" s="18" t="e">
        <x:f t="shared" si="23"/>
        <x:v>#REF!</x:v>
      </x:c>
      <x:c r="I81" s="18" t="e">
        <x:f t="shared" si="23"/>
        <x:v>#REF!</x:v>
      </x:c>
      <x:c r="J81" s="18" t="e">
        <x:f t="shared" si="23"/>
        <x:v>#REF!</x:v>
      </x:c>
      <x:c r="K81" s="18" t="e">
        <x:f t="shared" si="23"/>
        <x:v>#REF!</x:v>
      </x:c>
      <x:c r="L81" s="18" t="e">
        <x:f t="shared" si="23"/>
        <x:v>#REF!</x:v>
      </x:c>
      <x:c r="M81" s="18" t="e">
        <x:f t="shared" ref="M81:N81" si="24">+M29-M31</x:f>
        <x:v>#REF!</x:v>
      </x:c>
      <x:c r="N81" s="18" t="e">
        <x:f t="shared" si="24"/>
        <x:v>#REF!</x:v>
      </x:c>
      <x:c r="O81" s="18"/>
      <x:c r="P81" s="18"/>
    </x:row>
    <x:row r="82" spans="2:16" ht="13.5">
      <x:c r="B82" s="31" t="s">
        <x:v>28</x:v>
      </x:c>
      <x:c r="C82" s="32">
        <x:v>-2.1310148718388353E-2</x:v>
      </x:c>
      <x:c r="D82" s="33">
        <x:v>0.20628652269185313</x:v>
      </x:c>
      <x:c r="E82" s="57" t="e">
        <x:f>E81/E6</x:f>
        <x:v>#DIV/0!</x:v>
      </x:c>
      <x:c r="F82" s="57" t="e">
        <x:f t="shared" ref="F82:P82" si="25">F81/F6</x:f>
        <x:v>#REF!</x:v>
      </x:c>
      <x:c r="G82" s="57" t="e">
        <x:f t="shared" si="25"/>
        <x:v>#REF!</x:v>
      </x:c>
      <x:c r="H82" s="57" t="e">
        <x:f t="shared" si="25"/>
        <x:v>#REF!</x:v>
      </x:c>
      <x:c r="I82" s="79" t="e">
        <x:f t="shared" si="25"/>
        <x:v>#REF!</x:v>
      </x:c>
      <x:c r="J82" s="79" t="e">
        <x:f t="shared" si="25"/>
        <x:v>#REF!</x:v>
      </x:c>
      <x:c r="K82" s="79" t="e">
        <x:f t="shared" si="25"/>
        <x:v>#REF!</x:v>
      </x:c>
      <x:c r="L82" s="79" t="e">
        <x:f t="shared" si="25"/>
        <x:v>#REF!</x:v>
      </x:c>
      <x:c r="M82" s="79" t="e">
        <x:f t="shared" ref="M82:N82" si="26">M81/M6</x:f>
        <x:v>#REF!</x:v>
      </x:c>
      <x:c r="N82" s="79" t="e">
        <x:f t="shared" si="26"/>
        <x:v>#REF!</x:v>
      </x:c>
      <x:c r="O82" s="79" t="e">
        <x:f t="shared" si="25"/>
        <x:v>#DIV/0!</x:v>
      </x:c>
      <x:c r="P82" s="79" t="e">
        <x:f t="shared" si="25"/>
        <x:v>#DIV/0!</x:v>
      </x:c>
    </x:row>
  </x:sheetData>
  <x:phoneticPr fontId="7" type="noConversion"/>
  <x:pageMargins left="0.7" right="0.7" top="0.75" bottom="0.75" header="0.3" footer="0.3"/>
  <x:pageSetup paperSize="9" orientation="portrait" r:id="rId1"/>
  <x:legacyDrawing r:id="rId2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5970FFB-5BC8-46D1-A7DE-CE18CF31E3F9}" mc:Ignorable="x14ac xr xr2 xr3">
  <x:sheetPr>
    <x:tabColor theme="2" tint="-9.9978637043366805E-2"/>
  </x:sheetPr>
  <x:dimension ref="B2:P82"/>
  <x:sheetViews>
    <x:sheetView showGridLines="0" zoomScale="70" zoomScaleNormal="70" workbookViewId="0">
      <x:pane xSplit="4" ySplit="5" topLeftCell="E50" activePane="bottomRight" state="frozen"/>
      <x:selection activeCell="W34" sqref="W34"/>
      <x:selection pane="topRight" activeCell="W34" sqref="W34"/>
      <x:selection pane="bottomLeft" activeCell="W34" sqref="W34"/>
      <x:selection pane="bottomRight" activeCell="W34" sqref="W34"/>
    </x:sheetView>
  </x:sheetViews>
  <x:sheetFormatPr defaultColWidth="8.85546875" defaultRowHeight="12.75"/>
  <x:cols>
    <x:col min="1" max="1" width="1.42578125" style="8" customWidth="1"/>
    <x:col min="2" max="2" width="21.42578125" style="8" customWidth="1"/>
    <x:col min="3" max="3" width="17.140625" style="7" bestFit="1" customWidth="1"/>
    <x:col min="4" max="4" width="7.85546875" style="7" hidden="1" customWidth="1"/>
    <x:col min="5" max="6" width="16.42578125" style="7" bestFit="1" customWidth="1"/>
    <x:col min="7" max="7" width="16.85546875" style="7" bestFit="1" customWidth="1"/>
    <x:col min="8" max="8" width="16.42578125" style="7" bestFit="1" customWidth="1"/>
    <x:col min="9" max="9" width="13.85546875" style="7" customWidth="1"/>
    <x:col min="10" max="11" width="16.85546875" style="7" bestFit="1" customWidth="1"/>
    <x:col min="12" max="12" width="16.42578125" style="7" bestFit="1" customWidth="1"/>
    <x:col min="13" max="15" width="16.85546875" style="7" bestFit="1" customWidth="1"/>
    <x:col min="16" max="16" width="16.42578125" style="7" customWidth="1"/>
    <x:col min="17" max="18" width="8.85546875" style="8"/>
    <x:col min="19" max="19" width="22" style="8" customWidth="1"/>
    <x:col min="20" max="16384" width="8.85546875" style="8"/>
  </x:cols>
  <x:sheetData>
    <x:row r="2" spans="2:16" ht="6" customHeight="1"/>
    <x:row r="3" spans="2:16" ht="27.6" customHeight="1">
      <x:c r="B3" s="15" t="s">
        <x:v>319</x:v>
      </x:c>
      <x:c r="P3" s="9"/>
    </x:row>
    <x:row r="4" spans="2:16" ht="14.45" customHeight="1">
      <x:c r="E4" s="8"/>
      <x:c r="F4" s="8"/>
      <x:c r="N4" s="8"/>
      <x:c r="P4" s="14" t="s">
        <x:v>20</x:v>
      </x:c>
    </x:row>
    <x:row r="5" spans="2:16" ht="27.6" customHeight="1">
      <x:c r="B5" s="17" t="s">
        <x:v>41</x:v>
      </x:c>
      <x:c r="C5" s="18" t="s">
        <x:v>182</x:v>
      </x:c>
      <x:c r="D5" s="17" t="s">
        <x:v>0</x:v>
      </x:c>
      <x:c r="E5" s="18" t="s">
        <x:v>7</x:v>
      </x:c>
      <x:c r="F5" s="18" t="s">
        <x:v>9</x:v>
      </x:c>
      <x:c r="G5" s="18" t="s">
        <x:v>10</x:v>
      </x:c>
      <x:c r="H5" s="18" t="s">
        <x:v>11</x:v>
      </x:c>
      <x:c r="I5" s="18" t="s">
        <x:v>12</x:v>
      </x:c>
      <x:c r="J5" s="18" t="s">
        <x:v>13</x:v>
      </x:c>
      <x:c r="K5" s="18" t="s">
        <x:v>14</x:v>
      </x:c>
      <x:c r="L5" s="18" t="s">
        <x:v>15</x:v>
      </x:c>
      <x:c r="M5" s="18" t="s">
        <x:v>16</x:v>
      </x:c>
      <x:c r="N5" s="18" t="s">
        <x:v>17</x:v>
      </x:c>
      <x:c r="O5" s="18" t="s">
        <x:v>18</x:v>
      </x:c>
      <x:c r="P5" s="18" t="s">
        <x:v>19</x:v>
      </x:c>
    </x:row>
    <x:row r="6" spans="2:16" s="10" customFormat="1" ht="20.45" customHeight="1">
      <x:c r="B6" s="19" t="s">
        <x:v>22</x:v>
      </x:c>
      <x:c r="C6" s="20">
        <x:f>SUM(E6:P6)</x:f>
        <x:v>47498576182.606285</x:v>
      </x:c>
      <x:c r="D6" s="19">
        <x:v>0</x:v>
      </x:c>
      <x:c r="E6" s="19">
        <x:f>E8+E12+E17</x:f>
        <x:v>1801973745.210376</x:v>
      </x:c>
      <x:c r="F6" s="19">
        <x:f t="shared" ref="F6:P6" si="0">F8+F12+F17</x:f>
        <x:v>2267171092.8277717</x:v>
      </x:c>
      <x:c r="G6" s="19">
        <x:f t="shared" si="0"/>
        <x:v>3213691885.8107204</x:v>
      </x:c>
      <x:c r="H6" s="19">
        <x:f t="shared" si="0"/>
        <x:v>5875672551.9337206</x:v>
      </x:c>
      <x:c r="I6" s="19">
        <x:f t="shared" si="0"/>
        <x:v>3036004726.5567708</x:v>
      </x:c>
      <x:c r="J6" s="19">
        <x:f t="shared" si="0"/>
        <x:v>4398740202.3980103</x:v>
      </x:c>
      <x:c r="K6" s="19">
        <x:f t="shared" si="0"/>
        <x:v>4179845415.46527</x:v>
      </x:c>
      <x:c r="L6" s="19">
        <x:f t="shared" si="0"/>
        <x:v>2131670473.4916458</x:v>
      </x:c>
      <x:c r="M6" s="19">
        <x:f t="shared" si="0"/>
        <x:v>2751373188.5337706</x:v>
      </x:c>
      <x:c r="N6" s="19">
        <x:f t="shared" si="0"/>
        <x:v>2666796978.1995096</x:v>
      </x:c>
      <x:c r="O6" s="19">
        <x:f t="shared" si="0"/>
        <x:v>2555575973.9065294</x:v>
      </x:c>
      <x:c r="P6" s="19">
        <x:f t="shared" si="0"/>
        <x:v>12620059948.272186</x:v>
      </x:c>
    </x:row>
    <x:row r="7" spans="2:16" ht="13.5">
      <x:c r="B7" s="6" t="s">
        <x:v>183</x:v>
      </x:c>
      <x:c r="C7" s="353">
        <x:f t="shared" ref="C7:C29" si="1">SUM(E7:P7)</x:f>
        <x:v>0</x:v>
      </x:c>
      <x:c r="D7" s="354"/>
      <x:c r="E7" s="354"/>
      <x:c r="F7" s="354"/>
      <x:c r="G7" s="354"/>
      <x:c r="H7" s="354"/>
      <x:c r="I7" s="354"/>
      <x:c r="J7" s="354"/>
      <x:c r="K7" s="354"/>
      <x:c r="L7" s="354"/>
      <x:c r="M7" s="354"/>
      <x:c r="N7" s="354"/>
      <x:c r="O7" s="354"/>
      <x:c r="P7" s="354"/>
    </x:row>
    <x:row r="8" spans="2:16" ht="13.5">
      <x:c r="B8" s="6" t="s">
        <x:v>330</x:v>
      </x:c>
      <x:c r="C8" s="353">
        <x:f t="shared" si="1"/>
        <x:v>9059168350</x:v>
      </x:c>
      <x:c r="D8" s="354"/>
      <x:c r="E8" s="354">
        <x:f>E9+E10</x:f>
        <x:v>268009000</x:v>
      </x:c>
      <x:c r="F8" s="354">
        <x:f t="shared" ref="F8:P8" si="2">F9+F10</x:f>
        <x:v>470499568</x:v>
      </x:c>
      <x:c r="G8" s="354">
        <x:f t="shared" si="2"/>
        <x:v>581814052</x:v>
      </x:c>
      <x:c r="H8" s="354">
        <x:f t="shared" si="2"/>
        <x:v>916682560</x:v>
      </x:c>
      <x:c r="I8" s="354">
        <x:f t="shared" si="2"/>
        <x:v>897375852</x:v>
      </x:c>
      <x:c r="J8" s="354">
        <x:f t="shared" si="2"/>
        <x:v>903742952</x:v>
      </x:c>
      <x:c r="K8" s="354">
        <x:f t="shared" si="2"/>
        <x:v>1032380066</x:v>
      </x:c>
      <x:c r="L8" s="354">
        <x:f t="shared" si="2"/>
        <x:v>832505164</x:v>
      </x:c>
      <x:c r="M8" s="354">
        <x:f t="shared" si="2"/>
        <x:v>841903084</x:v>
      </x:c>
      <x:c r="N8" s="354">
        <x:f t="shared" si="2"/>
        <x:v>771418684</x:v>
      </x:c>
      <x:c r="O8" s="354">
        <x:f t="shared" si="2"/>
        <x:v>771418684</x:v>
      </x:c>
      <x:c r="P8" s="354">
        <x:f t="shared" si="2"/>
        <x:v>771418684</x:v>
      </x:c>
    </x:row>
    <x:row r="9" spans="2:16" ht="13.5">
      <x:c r="B9" s="13" t="s">
        <x:v>378</x:v>
      </x:c>
      <x:c r="C9" s="241">
        <x:f t="shared" si="1"/>
        <x:v>9059168350</x:v>
      </x:c>
      <x:c r="D9" s="202"/>
      <x:c r="E9" s="202">
        <x:f>'(계획)26년 매출매입 월별계획'!E5</x:f>
        <x:v>268009000</x:v>
      </x:c>
      <x:c r="F9" s="202">
        <x:f>'(계획)26년 매출매입 월별계획'!F5</x:f>
        <x:v>470499568</x:v>
      </x:c>
      <x:c r="G9" s="202">
        <x:f>'(계획)26년 매출매입 월별계획'!G5</x:f>
        <x:v>581814052</x:v>
      </x:c>
      <x:c r="H9" s="202">
        <x:f>'(계획)26년 매출매입 월별계획'!H5</x:f>
        <x:v>916682560</x:v>
      </x:c>
      <x:c r="I9" s="202">
        <x:f>'(계획)26년 매출매입 월별계획'!I5</x:f>
        <x:v>897375852</x:v>
      </x:c>
      <x:c r="J9" s="202">
        <x:f>'(계획)26년 매출매입 월별계획'!J5</x:f>
        <x:v>903742952</x:v>
      </x:c>
      <x:c r="K9" s="202">
        <x:f>'(계획)26년 매출매입 월별계획'!K5</x:f>
        <x:v>1032380066</x:v>
      </x:c>
      <x:c r="L9" s="202">
        <x:f>'(계획)26년 매출매입 월별계획'!L5</x:f>
        <x:v>832505164</x:v>
      </x:c>
      <x:c r="M9" s="202">
        <x:f>'(계획)26년 매출매입 월별계획'!M5</x:f>
        <x:v>841903084</x:v>
      </x:c>
      <x:c r="N9" s="202">
        <x:f>'(계획)26년 매출매입 월별계획'!N5</x:f>
        <x:v>771418684</x:v>
      </x:c>
      <x:c r="O9" s="202">
        <x:f>'(계획)26년 매출매입 월별계획'!O5</x:f>
        <x:v>771418684</x:v>
      </x:c>
      <x:c r="P9" s="202">
        <x:f>'(계획)26년 매출매입 월별계획'!P5</x:f>
        <x:v>771418684</x:v>
      </x:c>
    </x:row>
    <x:row r="10" spans="2:16" ht="13.5">
      <x:c r="B10" s="13" t="s">
        <x:v>380</x:v>
      </x:c>
      <x:c r="C10" s="241">
        <x:f t="shared" si="1"/>
        <x:v>0</x:v>
      </x:c>
      <x:c r="D10" s="202"/>
      <x:c r="E10" s="202"/>
      <x:c r="F10" s="202"/>
      <x:c r="G10" s="202"/>
      <x:c r="H10" s="202"/>
      <x:c r="I10" s="202"/>
      <x:c r="J10" s="202"/>
      <x:c r="K10" s="202"/>
      <x:c r="L10" s="202"/>
      <x:c r="M10" s="202"/>
      <x:c r="N10" s="202"/>
      <x:c r="O10" s="202"/>
      <x:c r="P10" s="202"/>
    </x:row>
    <x:row r="11" spans="2:16" ht="13.5">
      <x:c r="B11" s="13"/>
      <x:c r="C11" s="241"/>
      <x:c r="D11" s="202"/>
      <x:c r="E11" s="202"/>
      <x:c r="F11" s="202"/>
      <x:c r="G11" s="202"/>
      <x:c r="H11" s="202"/>
      <x:c r="I11" s="202"/>
      <x:c r="J11" s="202"/>
      <x:c r="K11" s="202"/>
      <x:c r="L11" s="202"/>
      <x:c r="M11" s="202"/>
      <x:c r="N11" s="202"/>
      <x:c r="O11" s="202"/>
      <x:c r="P11" s="202"/>
    </x:row>
    <x:row r="12" spans="2:16" ht="13.5">
      <x:c r="B12" s="6" t="s">
        <x:v>5</x:v>
      </x:c>
      <x:c r="C12" s="353">
        <x:f t="shared" si="1"/>
        <x:v>22049849603.606281</x:v>
      </x:c>
      <x:c r="D12" s="354"/>
      <x:c r="E12" s="354">
        <x:f>'(계획)손익계산서 월별계획'!E9</x:f>
        <x:v>1533964745.210376</x:v>
      </x:c>
      <x:c r="F12" s="354">
        <x:f>'(계획)손익계산서 월별계획'!F9</x:f>
        <x:v>1796671524.8277717</x:v>
      </x:c>
      <x:c r="G12" s="354">
        <x:f>'(계획)손익계산서 월별계획'!G9</x:f>
        <x:v>2125214833.8107207</x:v>
      </x:c>
      <x:c r="H12" s="354">
        <x:f>'(계획)손익계산서 월별계획'!H9</x:f>
        <x:v>1966593991.9337206</x:v>
      </x:c>
      <x:c r="I12" s="354">
        <x:f>'(계획)손익계산서 월별계획'!I9</x:f>
        <x:v>2066528874.5567708</x:v>
      </x:c>
      <x:c r="J12" s="354">
        <x:f>'(계획)손익계산서 월별계획'!J9</x:f>
        <x:v>2159002850.3980103</x:v>
      </x:c>
      <x:c r="K12" s="354">
        <x:f>'(계획)손익계산서 월별계획'!K9</x:f>
        <x:v>1700781749.4652703</x:v>
      </x:c>
      <x:c r="L12" s="354">
        <x:f>'(계획)손익계산서 월별계획'!L9</x:f>
        <x:v>1299165309.4916458</x:v>
      </x:c>
      <x:c r="M12" s="354">
        <x:f>'(계획)손익계산서 월별계획'!M9</x:f>
        <x:v>1750965104.5337703</x:v>
      </x:c>
      <x:c r="N12" s="354">
        <x:f>'(계획)손익계산서 월별계획'!N9</x:f>
        <x:v>1895378294.1995096</x:v>
      </x:c>
      <x:c r="O12" s="354">
        <x:f>'(계획)손익계산서 월별계획'!O9</x:f>
        <x:v>1784157289.9065292</x:v>
      </x:c>
      <x:c r="P12" s="354">
        <x:f>'(계획)손익계산서 월별계획'!P9</x:f>
        <x:v>1971425035.2721863</x:v>
      </x:c>
    </x:row>
    <x:row r="13" spans="2:16" ht="13.5">
      <x:c r="B13" s="13" t="s">
        <x:v>382</x:v>
      </x:c>
      <x:c r="C13" s="241">
        <x:f t="shared" si="1"/>
        <x:v>21360667223.417881</x:v>
      </x:c>
      <x:c r="D13" s="202"/>
      <x:c r="E13" s="202">
        <x:f>SUMIFS('(계획)26년 매출매입 월별계획'!E:E,'(계획)26년 매출매입 월별계획'!$S:$S,"KSCE",'(계획)26년 매출매입 월별계획'!$V:$V,"매출",'(계획)26년 매출매입 월별계획'!$T:$T,"부품")</x:f>
        <x:v>1526933407.6103761</x:v>
      </x:c>
      <x:c r="F13" s="202">
        <x:f>SUMIFS('(계획)26년 매출매입 월별계획'!F:F,'(계획)26년 매출매입 월별계획'!$S:$S,"KSCE",'(계획)26년 매출매입 월별계획'!$V:$V,"매출",'(계획)26년 매출매입 월별계획'!$T:$T,"부품")</x:f>
        <x:v>1781871990.7077718</x:v>
      </x:c>
      <x:c r="G13" s="202">
        <x:f>SUMIFS('(계획)26년 매출매입 월별계획'!G:G,'(계획)26년 매출매입 월별계획'!$S:$S,"KSCE",'(계획)26년 매출매입 월별계획'!$V:$V,"매출",'(계획)26년 매출매입 월별계획'!$T:$T,"부품")</x:f>
        <x:v>2106658413.1307206</x:v>
      </x:c>
      <x:c r="H13" s="202">
        <x:f>SUMIFS('(계획)26년 매출매입 월별계획'!H:H,'(계획)26년 매출매입 월별계획'!$S:$S,"KSCE",'(계획)26년 매출매입 월별계획'!$V:$V,"매출",'(계획)26년 매출매입 월별계획'!$T:$T,"부품")</x:f>
        <x:v>1948325047.8137207</x:v>
      </x:c>
      <x:c r="I13" s="202">
        <x:f>SUMIFS('(계획)26년 매출매입 월별계획'!I:I,'(계획)26년 매출매입 월별계획'!$S:$S,"KSCE",'(계획)26년 매출매입 월별계획'!$V:$V,"매출",'(계획)26년 매출매입 월별계획'!$T:$T,"부품")</x:f>
        <x:v>2026292578.9282207</x:v>
      </x:c>
      <x:c r="J13" s="202">
        <x:f>SUMIFS('(계획)26년 매출매입 월별계획'!J:J,'(계획)26년 매출매입 월별계획'!$S:$S,"KSCE",'(계획)26년 매출매입 월별계획'!$V:$V,"매출",'(계획)26년 매출매입 월별계획'!$T:$T,"부품")</x:f>
        <x:v>2069810049.1694601</x:v>
      </x:c>
      <x:c r="K13" s="202">
        <x:f>SUMIFS('(계획)26년 매출매입 월별계획'!K:K,'(계획)26년 매출매입 월별계획'!$S:$S,"KSCE",'(계획)26년 매출매입 월별계획'!$V:$V,"매출",'(계획)26년 매출매입 월별계획'!$T:$T,"부품")</x:f>
        <x:v>1617265574.9967203</x:v>
      </x:c>
      <x:c r="L13" s="202">
        <x:f>SUMIFS('(계획)26년 매출매입 월별계획'!L:L,'(계획)26년 매출매입 월별계획'!$S:$S,"KSCE",'(계획)26년 매출매입 월별계획'!$V:$V,"매출",'(계획)26년 매출매입 월별계획'!$T:$T,"부품")</x:f>
        <x:v>1215649135.0230958</x:v>
      </x:c>
      <x:c r="M13" s="202">
        <x:f>SUMIFS('(계획)26년 매출매입 월별계획'!M:M,'(계획)26년 매출매입 월별계획'!$S:$S,"KSCE",'(계획)26년 매출매입 월별계획'!$V:$V,"매출",'(계획)26년 매출매입 월별계획'!$T:$T,"부품")</x:f>
        <x:v>1667448930.0652204</x:v>
      </x:c>
      <x:c r="N13" s="202">
        <x:f>SUMIFS('(계획)26년 매출매입 월별계획'!N:N,'(계획)26년 매출매입 월별계획'!$S:$S,"KSCE",'(계획)26년 매출매입 월별계획'!$V:$V,"매출",'(계획)26년 매출매입 월별계획'!$T:$T,"부품")</x:f>
        <x:v>1811862119.7309597</x:v>
      </x:c>
      <x:c r="O13" s="202">
        <x:f>SUMIFS('(계획)26년 매출매입 월별계획'!O:O,'(계획)26년 매출매입 월별계획'!$S:$S,"KSCE",'(계획)26년 매출매입 월별계획'!$V:$V,"매출",'(계획)26년 매출매입 월별계획'!$T:$T,"부품")</x:f>
        <x:v>1700641115.4379792</x:v>
      </x:c>
      <x:c r="P13" s="202">
        <x:f>SUMIFS('(계획)26년 매출매입 월별계획'!P:P,'(계획)26년 매출매입 월별계획'!$S:$S,"KSCE",'(계획)26년 매출매입 월별계획'!$V:$V,"매출",'(계획)26년 매출매입 월별계획'!$T:$T,"부품")</x:f>
        <x:v>1887908860.8036363</x:v>
      </x:c>
    </x:row>
    <x:row r="14" spans="2:16" ht="13.5">
      <x:c r="B14" s="13" t="s">
        <x:v>384</x:v>
      </x:c>
      <x:c r="C14" s="241">
        <x:f t="shared" si="1"/>
        <x:v>0</x:v>
      </x:c>
      <x:c r="D14" s="202"/>
      <x:c r="E14" s="202">
        <x:f>SUMIFS('(계획)26년 매출매입 월별계획'!E:E,'(계획)26년 매출매입 월별계획'!$S:$S,"KSCI",'(계획)26년 매출매입 월별계획'!$V:$V,"매출",'(계획)26년 매출매입 월별계획'!$T:$T,"부품")+'(계획)26년 매출매입 월별계획'!E38</x:f>
        <x:v>0</x:v>
      </x:c>
      <x:c r="F14" s="202">
        <x:f>SUMIFS('(계획)26년 매출매입 월별계획'!F:F,'(계획)26년 매출매입 월별계획'!$S:$S,"KSCI",'(계획)26년 매출매입 월별계획'!$V:$V,"매출",'(계획)26년 매출매입 월별계획'!$T:$T,"부품")+'(계획)26년 매출매입 월별계획'!F38</x:f>
        <x:v>0</x:v>
      </x:c>
      <x:c r="G14" s="202">
        <x:f>SUMIFS('(계획)26년 매출매입 월별계획'!G:G,'(계획)26년 매출매입 월별계획'!$S:$S,"KSCI",'(계획)26년 매출매입 월별계획'!$V:$V,"매출",'(계획)26년 매출매입 월별계획'!$T:$T,"부품")+'(계획)26년 매출매입 월별계획'!G38</x:f>
        <x:v>0</x:v>
      </x:c>
      <x:c r="H14" s="202">
        <x:f>SUMIFS('(계획)26년 매출매입 월별계획'!H:H,'(계획)26년 매출매입 월별계획'!$S:$S,"KSCI",'(계획)26년 매출매입 월별계획'!$V:$V,"매출",'(계획)26년 매출매입 월별계획'!$T:$T,"부품")+'(계획)26년 매출매입 월별계획'!H38</x:f>
        <x:v>0</x:v>
      </x:c>
      <x:c r="I14" s="202">
        <x:f>SUMIFS('(계획)26년 매출매입 월별계획'!I:I,'(계획)26년 매출매입 월별계획'!$S:$S,"KSCI",'(계획)26년 매출매입 월별계획'!$V:$V,"매출",'(계획)26년 매출매입 월별계획'!$T:$T,"부품")+'(계획)26년 매출매입 월별계획'!I38</x:f>
        <x:v>0</x:v>
      </x:c>
      <x:c r="J14" s="202">
        <x:f>SUMIFS('(계획)26년 매출매입 월별계획'!J:J,'(계획)26년 매출매입 월별계획'!$S:$S,"KSCI",'(계획)26년 매출매입 월별계획'!$V:$V,"매출",'(계획)26년 매출매입 월별계획'!$T:$T,"부품")+'(계획)26년 매출매입 월별계획'!J38</x:f>
        <x:v>0</x:v>
      </x:c>
      <x:c r="K14" s="202">
        <x:f>SUMIFS('(계획)26년 매출매입 월별계획'!K:K,'(계획)26년 매출매입 월별계획'!$S:$S,"KSCI",'(계획)26년 매출매입 월별계획'!$V:$V,"매출",'(계획)26년 매출매입 월별계획'!$T:$T,"부품")+'(계획)26년 매출매입 월별계획'!K38</x:f>
        <x:v>0</x:v>
      </x:c>
      <x:c r="L14" s="202">
        <x:f>SUMIFS('(계획)26년 매출매입 월별계획'!L:L,'(계획)26년 매출매입 월별계획'!$S:$S,"KSCI",'(계획)26년 매출매입 월별계획'!$V:$V,"매출",'(계획)26년 매출매입 월별계획'!$T:$T,"부품")+'(계획)26년 매출매입 월별계획'!L38</x:f>
        <x:v>0</x:v>
      </x:c>
      <x:c r="M14" s="202">
        <x:f>SUMIFS('(계획)26년 매출매입 월별계획'!M:M,'(계획)26년 매출매입 월별계획'!$S:$S,"KSCI",'(계획)26년 매출매입 월별계획'!$V:$V,"매출",'(계획)26년 매출매입 월별계획'!$T:$T,"부품")+'(계획)26년 매출매입 월별계획'!M38</x:f>
        <x:v>0</x:v>
      </x:c>
      <x:c r="N14" s="202">
        <x:f>SUMIFS('(계획)26년 매출매입 월별계획'!N:N,'(계획)26년 매출매입 월별계획'!$S:$S,"KSCI",'(계획)26년 매출매입 월별계획'!$V:$V,"매출",'(계획)26년 매출매입 월별계획'!$T:$T,"부품")+'(계획)26년 매출매입 월별계획'!N38</x:f>
        <x:v>0</x:v>
      </x:c>
      <x:c r="O14" s="202">
        <x:f>SUMIFS('(계획)26년 매출매입 월별계획'!O:O,'(계획)26년 매출매입 월별계획'!$S:$S,"KSCI",'(계획)26년 매출매입 월별계획'!$V:$V,"매출",'(계획)26년 매출매입 월별계획'!$T:$T,"부품")+'(계획)26년 매출매입 월별계획'!O38</x:f>
        <x:v>0</x:v>
      </x:c>
      <x:c r="P14" s="202">
        <x:f>SUMIFS('(계획)26년 매출매입 월별계획'!P:P,'(계획)26년 매출매입 월별계획'!$S:$S,"KSCI",'(계획)26년 매출매입 월별계획'!$V:$V,"매출",'(계획)26년 매출매입 월별계획'!$T:$T,"부품")+'(계획)26년 매출매입 월별계획'!P38</x:f>
        <x:v>0</x:v>
      </x:c>
    </x:row>
    <x:row r="15" spans="2:16" ht="13.5">
      <x:c r="B15" s="13" t="s">
        <x:v>386</x:v>
      </x:c>
      <x:c r="C15" s="241">
        <x:f t="shared" si="1"/>
        <x:v>0</x:v>
      </x:c>
      <x:c r="D15" s="202"/>
      <x:c r="E15" s="202">
        <x:f>SUMIFS('(계획)26년 매출매입 월별계획'!E:E,'(계획)26년 매출매입 월별계획'!$S:$S,"KSCP",'(계획)26년 매출매입 월별계획'!$V:$V,"매출",'(계획)26년 매출매입 월별계획'!$T:$T,"부품")</x:f>
        <x:v>0</x:v>
      </x:c>
      <x:c r="F15" s="202">
        <x:f>SUMIFS('(계획)26년 매출매입 월별계획'!F:F,'(계획)26년 매출매입 월별계획'!$S:$S,"KSCP",'(계획)26년 매출매입 월별계획'!$V:$V,"매출",'(계획)26년 매출매입 월별계획'!$T:$T,"부품")</x:f>
        <x:v>0</x:v>
      </x:c>
      <x:c r="G15" s="202">
        <x:f>SUMIFS('(계획)26년 매출매입 월별계획'!G:G,'(계획)26년 매출매입 월별계획'!$S:$S,"KSCP",'(계획)26년 매출매입 월별계획'!$V:$V,"매출",'(계획)26년 매출매입 월별계획'!$T:$T,"부품")</x:f>
        <x:v>0</x:v>
      </x:c>
      <x:c r="H15" s="202">
        <x:f>SUMIFS('(계획)26년 매출매입 월별계획'!H:H,'(계획)26년 매출매입 월별계획'!$S:$S,"KSCP",'(계획)26년 매출매입 월별계획'!$V:$V,"매출",'(계획)26년 매출매입 월별계획'!$T:$T,"부품")</x:f>
        <x:v>0</x:v>
      </x:c>
      <x:c r="I15" s="202">
        <x:f>SUMIFS('(계획)26년 매출매입 월별계획'!I:I,'(계획)26년 매출매입 월별계획'!$S:$S,"KSCP",'(계획)26년 매출매입 월별계획'!$V:$V,"매출",'(계획)26년 매출매입 월별계획'!$T:$T,"부품")</x:f>
        <x:v>0</x:v>
      </x:c>
      <x:c r="J15" s="202">
        <x:f>SUMIFS('(계획)26년 매출매입 월별계획'!J:J,'(계획)26년 매출매입 월별계획'!$S:$S,"KSCP",'(계획)26년 매출매입 월별계획'!$V:$V,"매출",'(계획)26년 매출매입 월별계획'!$T:$T,"부품")</x:f>
        <x:v>0</x:v>
      </x:c>
      <x:c r="K15" s="202">
        <x:f>SUMIFS('(계획)26년 매출매입 월별계획'!K:K,'(계획)26년 매출매입 월별계획'!$S:$S,"KSCP",'(계획)26년 매출매입 월별계획'!$V:$V,"매출",'(계획)26년 매출매입 월별계획'!$T:$T,"부품")</x:f>
        <x:v>0</x:v>
      </x:c>
      <x:c r="L15" s="202">
        <x:f>SUMIFS('(계획)26년 매출매입 월별계획'!L:L,'(계획)26년 매출매입 월별계획'!$S:$S,"KSCP",'(계획)26년 매출매입 월별계획'!$V:$V,"매출",'(계획)26년 매출매입 월별계획'!$T:$T,"부품")</x:f>
        <x:v>0</x:v>
      </x:c>
      <x:c r="M15" s="202">
        <x:f>SUMIFS('(계획)26년 매출매입 월별계획'!M:M,'(계획)26년 매출매입 월별계획'!$S:$S,"KSCP",'(계획)26년 매출매입 월별계획'!$V:$V,"매출",'(계획)26년 매출매입 월별계획'!$T:$T,"부품")</x:f>
        <x:v>0</x:v>
      </x:c>
      <x:c r="N15" s="202">
        <x:f>SUMIFS('(계획)26년 매출매입 월별계획'!N:N,'(계획)26년 매출매입 월별계획'!$S:$S,"KSCP",'(계획)26년 매출매입 월별계획'!$V:$V,"매출",'(계획)26년 매출매입 월별계획'!$T:$T,"부품")</x:f>
        <x:v>0</x:v>
      </x:c>
      <x:c r="O15" s="202">
        <x:f>SUMIFS('(계획)26년 매출매입 월별계획'!O:O,'(계획)26년 매출매입 월별계획'!$S:$S,"KSCP",'(계획)26년 매출매입 월별계획'!$V:$V,"매출",'(계획)26년 매출매입 월별계획'!$T:$T,"부품")</x:f>
        <x:v>0</x:v>
      </x:c>
      <x:c r="P15" s="202">
        <x:f>SUMIFS('(계획)26년 매출매입 월별계획'!P:P,'(계획)26년 매출매입 월별계획'!$S:$S,"KSCP",'(계획)26년 매출매입 월별계획'!$V:$V,"매출",'(계획)26년 매출매입 월별계획'!$T:$T,"부품")</x:f>
        <x:v>0</x:v>
      </x:c>
    </x:row>
    <x:row r="16" spans="2:16" ht="13.5">
      <x:c r="B16" s="13" t="s">
        <x:v>388</x:v>
      </x:c>
      <x:c r="C16" s="241">
        <x:f t="shared" si="1"/>
        <x:v>689182380.18839979</x:v>
      </x:c>
      <x:c r="D16" s="202"/>
      <x:c r="E16" s="202">
        <x:f>E12-E13-E14-E15</x:f>
        <x:v>7031337.5999999046</x:v>
      </x:c>
      <x:c r="F16" s="202">
        <x:f t="shared" ref="F16:P16" si="3">F12-F13-F14-F15</x:f>
        <x:v>14799534.119999886</x:v>
      </x:c>
      <x:c r="G16" s="202">
        <x:f t="shared" si="3"/>
        <x:v>18556420.680000067</x:v>
      </x:c>
      <x:c r="H16" s="202">
        <x:f t="shared" si="3"/>
        <x:v>18268944.119999886</x:v>
      </x:c>
      <x:c r="I16" s="202">
        <x:f t="shared" si="3"/>
        <x:v>40236295.628550053</x:v>
      </x:c>
      <x:c r="J16" s="202">
        <x:f t="shared" si="3"/>
        <x:v>89192801.228550196</x:v>
      </x:c>
      <x:c r="K16" s="202">
        <x:f t="shared" si="3"/>
        <x:v>83516174.468549967</x:v>
      </x:c>
      <x:c r="L16" s="202">
        <x:f t="shared" si="3"/>
        <x:v>83516174.468549967</x:v>
      </x:c>
      <x:c r="M16" s="202">
        <x:f t="shared" si="3"/>
        <x:v>83516174.468549967</x:v>
      </x:c>
      <x:c r="N16" s="202">
        <x:f t="shared" si="3"/>
        <x:v>83516174.468549967</x:v>
      </x:c>
      <x:c r="O16" s="202">
        <x:f t="shared" si="3"/>
        <x:v>83516174.468549967</x:v>
      </x:c>
      <x:c r="P16" s="202">
        <x:f t="shared" si="3"/>
        <x:v>83516174.468549967</x:v>
      </x:c>
    </x:row>
    <x:row r="17" spans="2:16" ht="13.5">
      <x:c r="B17" s="6" t="s">
        <x:v>6</x:v>
      </x:c>
      <x:c r="C17" s="353">
        <x:f t="shared" si="1"/>
        <x:v>16389558229</x:v>
      </x:c>
      <x:c r="D17" s="354"/>
      <x:c r="E17" s="354">
        <x:f>'(계획)손익계산서 월별계획'!E10</x:f>
        <x:v>0</x:v>
      </x:c>
      <x:c r="F17" s="354">
        <x:f>'(계획)손익계산서 월별계획'!F10</x:f>
        <x:v>0</x:v>
      </x:c>
      <x:c r="G17" s="354">
        <x:f>'(계획)손익계산서 월별계획'!G10</x:f>
        <x:v>506663000</x:v>
      </x:c>
      <x:c r="H17" s="354">
        <x:f>'(계획)손익계산서 월별계획'!H10</x:f>
        <x:v>2992396000</x:v>
      </x:c>
      <x:c r="I17" s="354">
        <x:f>'(계획)손익계산서 월별계획'!I10</x:f>
        <x:v>72100000</x:v>
      </x:c>
      <x:c r="J17" s="354">
        <x:f>'(계획)손익계산서 월별계획'!J10</x:f>
        <x:v>1335994400</x:v>
      </x:c>
      <x:c r="K17" s="354">
        <x:f>'(계획)손익계산서 월별계획'!K10</x:f>
        <x:v>1446683600</x:v>
      </x:c>
      <x:c r="L17" s="354">
        <x:f>'(계획)손익계산서 월별계획'!L10</x:f>
        <x:v>0</x:v>
      </x:c>
      <x:c r="M17" s="354">
        <x:f>'(계획)손익계산서 월별계획'!M10</x:f>
        <x:v>158505000</x:v>
      </x:c>
      <x:c r="N17" s="354">
        <x:f>'(계획)손익계산서 월별계획'!N10</x:f>
        <x:v>0</x:v>
      </x:c>
      <x:c r="O17" s="354">
        <x:f>'(계획)손익계산서 월별계획'!O10</x:f>
        <x:v>0</x:v>
      </x:c>
      <x:c r="P17" s="354">
        <x:f>'(계획)손익계산서 월별계획'!P10</x:f>
        <x:v>9877216229</x:v>
      </x:c>
    </x:row>
    <x:row r="18" spans="2:16" ht="19.350000000000001" customHeight="1">
      <x:c r="B18" s="19" t="s">
        <x:v>23</x:v>
      </x:c>
      <x:c r="C18" s="20">
        <x:f t="shared" si="1"/>
        <x:v>40951464023.634239</x:v>
      </x:c>
      <x:c r="D18" s="19"/>
      <x:c r="E18" s="19">
        <x:f>E19+E20+E23+E28</x:f>
        <x:v>1646342203.4499125</x:v>
      </x:c>
      <x:c r="F18" s="19">
        <x:f t="shared" ref="F18:P18" si="4">F19+F20+F23+F28</x:f>
        <x:v>2009101919.6831121</x:v>
      </x:c>
      <x:c r="G18" s="19">
        <x:f t="shared" si="4"/>
        <x:v>2523544913.7747126</x:v>
      </x:c>
      <x:c r="H18" s="19">
        <x:f t="shared" si="4"/>
        <x:v>5384973311.4947128</x:v>
      </x:c>
      <x:c r="I18" s="19">
        <x:f t="shared" si="4"/>
        <x:v>2585649516.7957125</x:v>
      </x:c>
      <x:c r="J18" s="19">
        <x:f t="shared" si="4"/>
        <x:v>2935481327.332283</x:v>
      </x:c>
      <x:c r="K18" s="19">
        <x:f t="shared" si="4"/>
        <x:v>3686806224.7942839</x:v>
      </x:c>
      <x:c r="L18" s="19">
        <x:f t="shared" si="4"/>
        <x:v>1735575412.0334835</x:v>
      </x:c>
      <x:c r="M18" s="19">
        <x:f t="shared" si="4"/>
        <x:v>2336955965.7442842</x:v>
      </x:c>
      <x:c r="N18" s="19">
        <x:f t="shared" si="4"/>
        <x:v>2280363126.0022836</x:v>
      </x:c>
      <x:c r="O18" s="19">
        <x:f t="shared" si="4"/>
        <x:v>2172381568.4362841</x:v>
      </x:c>
      <x:c r="P18" s="19">
        <x:f t="shared" si="4"/>
        <x:v>11654288534.093172</x:v>
      </x:c>
    </x:row>
    <x:row r="19" spans="2:16" ht="13.5">
      <x:c r="B19" s="6" t="s">
        <x:v>183</x:v>
      </x:c>
      <x:c r="C19" s="353">
        <x:f t="shared" si="1"/>
        <x:v>0</x:v>
      </x:c>
      <x:c r="D19" s="354"/>
      <x:c r="E19" s="354"/>
      <x:c r="F19" s="354"/>
      <x:c r="G19" s="354"/>
      <x:c r="H19" s="354"/>
      <x:c r="I19" s="354"/>
      <x:c r="J19" s="354"/>
      <x:c r="K19" s="354"/>
      <x:c r="L19" s="354"/>
      <x:c r="M19" s="354"/>
      <x:c r="N19" s="354"/>
      <x:c r="O19" s="354"/>
      <x:c r="P19" s="354"/>
    </x:row>
    <x:row r="20" spans="2:16" ht="13.5">
      <x:c r="B20" s="6" t="s">
        <x:v>330</x:v>
      </x:c>
      <x:c r="C20" s="353">
        <x:f t="shared" si="1"/>
        <x:v>5125883039</x:v>
      </x:c>
      <x:c r="D20" s="354">
        <x:v>0</x:v>
      </x:c>
      <x:c r="E20" s="354">
        <x:f>E21</x:f>
        <x:v>154758500</x:v>
      </x:c>
      <x:c r="F20" s="354">
        <x:f t="shared" ref="F20:P20" si="5">F21</x:f>
        <x:v>261536528</x:v>
      </x:c>
      <x:c r="G20" s="354">
        <x:f t="shared" si="5"/>
        <x:v>320539802.00000006</x:v>
      </x:c>
      <x:c r="H20" s="354">
        <x:f t="shared" si="5"/>
        <x:v>517598810</x:v>
      </x:c>
      <x:c r="I20" s="354">
        <x:f t="shared" si="5"/>
        <x:v>506557096</x:v>
      </x:c>
      <x:c r="J20" s="354">
        <x:f t="shared" si="5"/>
        <x:v>510213692</x:v>
      </x:c>
      <x:c r="K20" s="354">
        <x:f t="shared" si="5"/>
        <x:v>587459976.99999988</x:v>
      </x:c>
      <x:c r="L20" s="354">
        <x:f t="shared" si="5"/>
        <x:v>472831638.00000006</x:v>
      </x:c>
      <x:c r="M20" s="354">
        <x:f t="shared" si="5"/>
        <x:v>478071614.00000006</x:v>
      </x:c>
      <x:c r="N20" s="354">
        <x:f t="shared" si="5"/>
        <x:v>438771794.00000006</x:v>
      </x:c>
      <x:c r="O20" s="354">
        <x:f t="shared" si="5"/>
        <x:v>438771794.00000006</x:v>
      </x:c>
      <x:c r="P20" s="354">
        <x:f t="shared" si="5"/>
        <x:v>438771794.00000006</x:v>
      </x:c>
    </x:row>
    <x:row r="21" spans="2:16" ht="13.5">
      <x:c r="B21" s="13" t="s">
        <x:v>377</x:v>
      </x:c>
      <x:c r="C21" s="241">
        <x:f t="shared" si="1"/>
        <x:v>5125883039</x:v>
      </x:c>
      <x:c r="D21" s="202"/>
      <x:c r="E21" s="202">
        <x:f>'(계획)26년 매출매입 월별계획'!E20</x:f>
        <x:v>154758500</x:v>
      </x:c>
      <x:c r="F21" s="202">
        <x:f>'(계획)26년 매출매입 월별계획'!F20</x:f>
        <x:v>261536528</x:v>
      </x:c>
      <x:c r="G21" s="202">
        <x:f>'(계획)26년 매출매입 월별계획'!G20</x:f>
        <x:v>320539802.00000006</x:v>
      </x:c>
      <x:c r="H21" s="202">
        <x:f>'(계획)26년 매출매입 월별계획'!H20</x:f>
        <x:v>517598810</x:v>
      </x:c>
      <x:c r="I21" s="202">
        <x:f>'(계획)26년 매출매입 월별계획'!I20</x:f>
        <x:v>506557096</x:v>
      </x:c>
      <x:c r="J21" s="202">
        <x:f>'(계획)26년 매출매입 월별계획'!J20</x:f>
        <x:v>510213692</x:v>
      </x:c>
      <x:c r="K21" s="202">
        <x:f>'(계획)26년 매출매입 월별계획'!K20</x:f>
        <x:v>587459976.99999988</x:v>
      </x:c>
      <x:c r="L21" s="202">
        <x:f>'(계획)26년 매출매입 월별계획'!L20</x:f>
        <x:v>472831638.00000006</x:v>
      </x:c>
      <x:c r="M21" s="202">
        <x:f>'(계획)26년 매출매입 월별계획'!M20</x:f>
        <x:v>478071614.00000006</x:v>
      </x:c>
      <x:c r="N21" s="202">
        <x:f>'(계획)26년 매출매입 월별계획'!N20</x:f>
        <x:v>438771794.00000006</x:v>
      </x:c>
      <x:c r="O21" s="202">
        <x:f>'(계획)26년 매출매입 월별계획'!O20</x:f>
        <x:v>438771794.00000006</x:v>
      </x:c>
      <x:c r="P21" s="202">
        <x:f>'(계획)26년 매출매입 월별계획'!P20</x:f>
        <x:v>438771794.00000006</x:v>
      </x:c>
    </x:row>
    <x:row r="22" spans="2:16" ht="13.5">
      <x:c r="B22" s="13" t="s">
        <x:v>379</x:v>
      </x:c>
      <x:c r="C22" s="241">
        <x:f t="shared" si="1"/>
        <x:v>0</x:v>
      </x:c>
      <x:c r="D22" s="202"/>
      <x:c r="E22" s="202"/>
      <x:c r="F22" s="202"/>
      <x:c r="G22" s="202"/>
      <x:c r="H22" s="202"/>
      <x:c r="I22" s="202"/>
      <x:c r="J22" s="202"/>
      <x:c r="K22" s="202"/>
      <x:c r="L22" s="202"/>
      <x:c r="M22" s="202"/>
      <x:c r="N22" s="202"/>
      <x:c r="O22" s="202"/>
      <x:c r="P22" s="202"/>
    </x:row>
    <x:row r="23" spans="2:16" ht="13.5">
      <x:c r="B23" s="6" t="s">
        <x:v>5</x:v>
      </x:c>
      <x:c r="C23" s="353">
        <x:f t="shared" si="1"/>
        <x:v>21403972895.063999</x:v>
      </x:c>
      <x:c r="D23" s="354"/>
      <x:c r="E23" s="354">
        <x:f>'(계획)손익계산서 월별계획'!E14</x:f>
        <x:v>1489156131.0392003</x:v>
      </x:c>
      <x:c r="F23" s="354">
        <x:f>'(계획)손익계산서 월별계획'!F14</x:f>
        <x:v>1745137819.2723999</x:v>
      </x:c>
      <x:c r="G23" s="354">
        <x:f>'(계획)손익계산서 월별계획'!G14</x:f>
        <x:v>2064577539.3640001</x:v>
      </x:c>
      <x:c r="H23" s="354">
        <x:f>'(계획)손익계산서 월별계획'!H14</x:f>
        <x:v>1910046929.0840001</x:v>
      </x:c>
      <x:c r="I23" s="354">
        <x:f>'(계획)손익계산서 월별계획'!I14</x:f>
        <x:v>2006664848.385</x:v>
      </x:c>
      <x:c r="J23" s="354">
        <x:f>'(계획)손익계산서 월별계획'!J14</x:f>
        <x:v>2095540062.921571</x:v>
      </x:c>
      <x:c r="K23" s="354">
        <x:f>'(계획)손익계산서 월별계획'!K14</x:f>
        <x:v>1650235075.3835716</x:v>
      </x:c>
      <x:c r="L23" s="354">
        <x:f>'(계획)손익계산서 월별계획'!L14</x:f>
        <x:v>1260316201.6227713</x:v>
      </x:c>
      <x:c r="M23" s="354">
        <x:f>'(계획)손익계산서 월별계획'!M14</x:f>
        <x:v>1698956779.3335717</x:v>
      </x:c>
      <x:c r="N23" s="354">
        <x:f>'(계획)손익계산서 월별계획'!N14</x:f>
        <x:v>1839163759.5915713</x:v>
      </x:c>
      <x:c r="O23" s="354">
        <x:f>'(계획)손익계산서 월별계획'!O14</x:f>
        <x:v>1731182202.0255716</x:v>
      </x:c>
      <x:c r="P23" s="354">
        <x:f>'(계획)손익계산서 월별계획'!P14</x:f>
        <x:v>1912995547.040772</x:v>
      </x:c>
    </x:row>
    <x:row r="24" spans="2:16" ht="13.5">
      <x:c r="B24" s="13" t="s">
        <x:v>381</x:v>
      </x:c>
      <x:c r="C24" s="241">
        <x:f t="shared" si="1"/>
        <x:v>20738511867.395996</x:v>
      </x:c>
      <x:c r="D24" s="202"/>
      <x:c r="E24" s="202">
        <x:f>SUMIFS('(계획)26년 매출매입 월별계획'!E:E,'(계획)26년 매출매입 월별계획'!$S:$S,"KSCE",'(계획)26년 매출매입 월별계획'!$V:$V,"매입",'(계획)26년 매출매입 월별계획'!$T:$T,"부품")</x:f>
        <x:v>1482459619.0392003</x:v>
      </x:c>
      <x:c r="F24" s="202">
        <x:f>SUMIFS('(계획)26년 매출매입 월별계획'!F:F,'(계획)26년 매출매입 월별계획'!$S:$S,"KSCE",'(계획)26년 매출매입 월별계획'!$V:$V,"매입",'(계획)26년 매출매입 월별계획'!$T:$T,"부품")</x:f>
        <x:v>1729972806.5123999</x:v>
      </x:c>
      <x:c r="G24" s="202">
        <x:f>SUMIFS('(계획)26년 매출매입 월별계획'!G:G,'(계획)26년 매출매입 월별계획'!$S:$S,"KSCE",'(계획)26년 매출매입 월별계획'!$V:$V,"매입",'(계획)26년 매출매입 월별계획'!$T:$T,"부품")</x:f>
        <x:v>2045299430.224</x:v>
      </x:c>
      <x:c r="H24" s="202">
        <x:f>SUMIFS('(계획)26년 매출매입 월별계획'!H:H,'(계획)26년 매출매입 월별계획'!$S:$S,"KSCE",'(계획)26년 매출매입 월별계획'!$V:$V,"매입",'(계획)26년 매출매입 월별계획'!$T:$T,"부품")</x:f>
        <x:v>1891577716.3240001</x:v>
      </x:c>
      <x:c r="I24" s="202">
        <x:f>SUMIFS('(계획)26년 매출매입 월별계획'!I:I,'(계획)26년 매출매입 월별계획'!$S:$S,"KSCE",'(계획)26년 매출매입 월별계획'!$V:$V,"매입",'(계획)26년 매출매입 월별계획'!$T:$T,"부품")</x:f>
        <x:v>1967274348.474</x:v>
      </x:c>
      <x:c r="J24" s="202">
        <x:f>SUMIFS('(계획)26년 매출매입 월별계획'!J:J,'(계획)26년 매출매입 월별계획'!$S:$S,"KSCE",'(계획)26년 매출매입 월별계획'!$V:$V,"매입",'(계획)26년 매출매입 월별계획'!$T:$T,"부품")</x:f>
        <x:v>2009524319.5819995</x:v>
      </x:c>
      <x:c r="K24" s="202">
        <x:f>SUMIFS('(계획)26년 매출매입 월별계획'!K:K,'(계획)26년 매출매입 월별계획'!$S:$S,"KSCE",'(계획)26년 매출매입 월별계획'!$V:$V,"매입",'(계획)26년 매출매입 월별계획'!$T:$T,"부품")</x:f>
        <x:v>1570160752.424</x:v>
      </x:c>
      <x:c r="L24" s="202">
        <x:f>SUMIFS('(계획)26년 매출매입 월별계획'!L:L,'(계획)26년 매출매입 월별계획'!$S:$S,"KSCE",'(계획)26년 매출매입 월별계획'!$V:$V,"매입",'(계획)26년 매출매입 월별계획'!$T:$T,"부품")</x:f>
        <x:v>1180241878.6631997</x:v>
      </x:c>
      <x:c r="M24" s="202">
        <x:f>SUMIFS('(계획)26년 매출매입 월별계획'!M:M,'(계획)26년 매출매입 월별계획'!$S:$S,"KSCE",'(계획)26년 매출매입 월별계획'!$V:$V,"매입",'(계획)26년 매출매입 월별계획'!$T:$T,"부품")</x:f>
        <x:v>1618882456.3740001</x:v>
      </x:c>
      <x:c r="N24" s="202">
        <x:f>SUMIFS('(계획)26년 매출매입 월별계획'!N:N,'(계획)26년 매출매입 월별계획'!$S:$S,"KSCE",'(계획)26년 매출매입 월별계획'!$V:$V,"매입",'(계획)26년 매출매입 월별계획'!$T:$T,"부품")</x:f>
        <x:v>1759089436.6319997</x:v>
      </x:c>
      <x:c r="O24" s="202">
        <x:f>SUMIFS('(계획)26년 매출매입 월별계획'!O:O,'(계획)26년 매출매입 월별계획'!$S:$S,"KSCE",'(계획)26년 매출매입 월별계획'!$V:$V,"매입",'(계획)26년 매출매입 월별계획'!$T:$T,"부품")</x:f>
        <x:v>1651107879.066</x:v>
      </x:c>
      <x:c r="P24" s="202">
        <x:f>SUMIFS('(계획)26년 매출매입 월별계획'!P:P,'(계획)26년 매출매입 월별계획'!$S:$S,"KSCE",'(계획)26년 매출매입 월별계획'!$V:$V,"매입",'(계획)26년 매출매입 월별계획'!$T:$T,"부품")</x:f>
        <x:v>1832921224.0812004</x:v>
      </x:c>
    </x:row>
    <x:row r="25" spans="2:16" ht="13.5">
      <x:c r="B25" s="13" t="s">
        <x:v>383</x:v>
      </x:c>
      <x:c r="C25" s="241">
        <x:f t="shared" si="1"/>
        <x:v>0</x:v>
      </x:c>
      <x:c r="D25" s="202"/>
      <x:c r="E25" s="202">
        <x:f>SUMIFS('(계획)26년 매출매입 월별계획'!E:E,'(계획)26년 매출매입 월별계획'!$S:$S,"KSCI",'(계획)26년 매출매입 월별계획'!$V:$V,"매입",'(계획)26년 매출매입 월별계획'!$T:$T,"부품")+'(계획)26년 매출매입 월별계획'!E51</x:f>
        <x:v>0</x:v>
      </x:c>
      <x:c r="F25" s="202">
        <x:f>SUMIFS('(계획)26년 매출매입 월별계획'!F:F,'(계획)26년 매출매입 월별계획'!$S:$S,"KSCI",'(계획)26년 매출매입 월별계획'!$V:$V,"매입",'(계획)26년 매출매입 월별계획'!$T:$T,"부품")+'(계획)26년 매출매입 월별계획'!F51</x:f>
        <x:v>0</x:v>
      </x:c>
      <x:c r="G25" s="202">
        <x:f>SUMIFS('(계획)26년 매출매입 월별계획'!G:G,'(계획)26년 매출매입 월별계획'!$S:$S,"KSCI",'(계획)26년 매출매입 월별계획'!$V:$V,"매입",'(계획)26년 매출매입 월별계획'!$T:$T,"부품")+'(계획)26년 매출매입 월별계획'!G51</x:f>
        <x:v>0</x:v>
      </x:c>
      <x:c r="H25" s="202">
        <x:f>SUMIFS('(계획)26년 매출매입 월별계획'!H:H,'(계획)26년 매출매입 월별계획'!$S:$S,"KSCI",'(계획)26년 매출매입 월별계획'!$V:$V,"매입",'(계획)26년 매출매입 월별계획'!$T:$T,"부품")+'(계획)26년 매출매입 월별계획'!H51</x:f>
        <x:v>0</x:v>
      </x:c>
      <x:c r="I25" s="202">
        <x:f>SUMIFS('(계획)26년 매출매입 월별계획'!I:I,'(계획)26년 매출매입 월별계획'!$S:$S,"KSCI",'(계획)26년 매출매입 월별계획'!$V:$V,"매입",'(계획)26년 매출매입 월별계획'!$T:$T,"부품")+'(계획)26년 매출매입 월별계획'!I51</x:f>
        <x:v>0</x:v>
      </x:c>
      <x:c r="J25" s="202">
        <x:f>SUMIFS('(계획)26년 매출매입 월별계획'!J:J,'(계획)26년 매출매입 월별계획'!$S:$S,"KSCI",'(계획)26년 매출매입 월별계획'!$V:$V,"매입",'(계획)26년 매출매입 월별계획'!$T:$T,"부품")+'(계획)26년 매출매입 월별계획'!J51</x:f>
        <x:v>0</x:v>
      </x:c>
      <x:c r="K25" s="202">
        <x:f>SUMIFS('(계획)26년 매출매입 월별계획'!K:K,'(계획)26년 매출매입 월별계획'!$S:$S,"KSCI",'(계획)26년 매출매입 월별계획'!$V:$V,"매입",'(계획)26년 매출매입 월별계획'!$T:$T,"부품")+'(계획)26년 매출매입 월별계획'!K51</x:f>
        <x:v>0</x:v>
      </x:c>
      <x:c r="L25" s="202">
        <x:f>SUMIFS('(계획)26년 매출매입 월별계획'!L:L,'(계획)26년 매출매입 월별계획'!$S:$S,"KSCI",'(계획)26년 매출매입 월별계획'!$V:$V,"매입",'(계획)26년 매출매입 월별계획'!$T:$T,"부품")+'(계획)26년 매출매입 월별계획'!L51</x:f>
        <x:v>0</x:v>
      </x:c>
      <x:c r="M25" s="202">
        <x:f>SUMIFS('(계획)26년 매출매입 월별계획'!M:M,'(계획)26년 매출매입 월별계획'!$S:$S,"KSCI",'(계획)26년 매출매입 월별계획'!$V:$V,"매입",'(계획)26년 매출매입 월별계획'!$T:$T,"부품")+'(계획)26년 매출매입 월별계획'!M51</x:f>
        <x:v>0</x:v>
      </x:c>
      <x:c r="N25" s="202">
        <x:f>SUMIFS('(계획)26년 매출매입 월별계획'!N:N,'(계획)26년 매출매입 월별계획'!$S:$S,"KSCI",'(계획)26년 매출매입 월별계획'!$V:$V,"매입",'(계획)26년 매출매입 월별계획'!$T:$T,"부품")+'(계획)26년 매출매입 월별계획'!N51</x:f>
        <x:v>0</x:v>
      </x:c>
      <x:c r="O25" s="202">
        <x:f>SUMIFS('(계획)26년 매출매입 월별계획'!O:O,'(계획)26년 매출매입 월별계획'!$S:$S,"KSCI",'(계획)26년 매출매입 월별계획'!$V:$V,"매입",'(계획)26년 매출매입 월별계획'!$T:$T,"부품")+'(계획)26년 매출매입 월별계획'!O51</x:f>
        <x:v>0</x:v>
      </x:c>
      <x:c r="P25" s="202">
        <x:f>SUMIFS('(계획)26년 매출매입 월별계획'!P:P,'(계획)26년 매출매입 월별계획'!$S:$S,"KSCI",'(계획)26년 매출매입 월별계획'!$V:$V,"매입",'(계획)26년 매출매입 월별계획'!$T:$T,"부품")+'(계획)26년 매출매입 월별계획'!P51</x:f>
        <x:v>0</x:v>
      </x:c>
    </x:row>
    <x:row r="26" spans="2:16" ht="13.5">
      <x:c r="B26" s="13" t="s">
        <x:v>385</x:v>
      </x:c>
      <x:c r="C26" s="241">
        <x:f t="shared" si="1"/>
        <x:v>0</x:v>
      </x:c>
      <x:c r="D26" s="202"/>
      <x:c r="E26" s="202">
        <x:f>SUMIFS('(계획)26년 매출매입 월별계획'!E:E,'(계획)26년 매출매입 월별계획'!$S:$S,"KSCP",'(계획)26년 매출매입 월별계획'!$V:$V,"매입",'(계획)26년 매출매입 월별계획'!$T:$T,"부품")</x:f>
        <x:v>0</x:v>
      </x:c>
      <x:c r="F26" s="202">
        <x:f>SUMIFS('(계획)26년 매출매입 월별계획'!F:F,'(계획)26년 매출매입 월별계획'!$S:$S,"KSCP",'(계획)26년 매출매입 월별계획'!$V:$V,"매입",'(계획)26년 매출매입 월별계획'!$T:$T,"부품")</x:f>
        <x:v>0</x:v>
      </x:c>
      <x:c r="G26" s="202">
        <x:f>SUMIFS('(계획)26년 매출매입 월별계획'!G:G,'(계획)26년 매출매입 월별계획'!$S:$S,"KSCP",'(계획)26년 매출매입 월별계획'!$V:$V,"매입",'(계획)26년 매출매입 월별계획'!$T:$T,"부품")</x:f>
        <x:v>0</x:v>
      </x:c>
      <x:c r="H26" s="202">
        <x:f>SUMIFS('(계획)26년 매출매입 월별계획'!H:H,'(계획)26년 매출매입 월별계획'!$S:$S,"KSCP",'(계획)26년 매출매입 월별계획'!$V:$V,"매입",'(계획)26년 매출매입 월별계획'!$T:$T,"부품")</x:f>
        <x:v>0</x:v>
      </x:c>
      <x:c r="I26" s="202">
        <x:f>SUMIFS('(계획)26년 매출매입 월별계획'!I:I,'(계획)26년 매출매입 월별계획'!$S:$S,"KSCP",'(계획)26년 매출매입 월별계획'!$V:$V,"매입",'(계획)26년 매출매입 월별계획'!$T:$T,"부품")</x:f>
        <x:v>0</x:v>
      </x:c>
      <x:c r="J26" s="202">
        <x:f>SUMIFS('(계획)26년 매출매입 월별계획'!J:J,'(계획)26년 매출매입 월별계획'!$S:$S,"KSCP",'(계획)26년 매출매입 월별계획'!$V:$V,"매입",'(계획)26년 매출매입 월별계획'!$T:$T,"부품")</x:f>
        <x:v>0</x:v>
      </x:c>
      <x:c r="K26" s="202">
        <x:f>SUMIFS('(계획)26년 매출매입 월별계획'!K:K,'(계획)26년 매출매입 월별계획'!$S:$S,"KSCP",'(계획)26년 매출매입 월별계획'!$V:$V,"매입",'(계획)26년 매출매입 월별계획'!$T:$T,"부품")</x:f>
        <x:v>0</x:v>
      </x:c>
      <x:c r="L26" s="202">
        <x:f>SUMIFS('(계획)26년 매출매입 월별계획'!L:L,'(계획)26년 매출매입 월별계획'!$S:$S,"KSCP",'(계획)26년 매출매입 월별계획'!$V:$V,"매입",'(계획)26년 매출매입 월별계획'!$T:$T,"부품")</x:f>
        <x:v>0</x:v>
      </x:c>
      <x:c r="M26" s="202">
        <x:f>SUMIFS('(계획)26년 매출매입 월별계획'!M:M,'(계획)26년 매출매입 월별계획'!$S:$S,"KSCP",'(계획)26년 매출매입 월별계획'!$V:$V,"매입",'(계획)26년 매출매입 월별계획'!$T:$T,"부품")</x:f>
        <x:v>0</x:v>
      </x:c>
      <x:c r="N26" s="202">
        <x:f>SUMIFS('(계획)26년 매출매입 월별계획'!N:N,'(계획)26년 매출매입 월별계획'!$S:$S,"KSCP",'(계획)26년 매출매입 월별계획'!$V:$V,"매입",'(계획)26년 매출매입 월별계획'!$T:$T,"부품")</x:f>
        <x:v>0</x:v>
      </x:c>
      <x:c r="O26" s="202">
        <x:f>SUMIFS('(계획)26년 매출매입 월별계획'!O:O,'(계획)26년 매출매입 월별계획'!$S:$S,"KSCP",'(계획)26년 매출매입 월별계획'!$V:$V,"매입",'(계획)26년 매출매입 월별계획'!$T:$T,"부품")</x:f>
        <x:v>0</x:v>
      </x:c>
      <x:c r="P26" s="202">
        <x:f>SUMIFS('(계획)26년 매출매입 월별계획'!P:P,'(계획)26년 매출매입 월별계획'!$S:$S,"KSCP",'(계획)26년 매출매입 월별계획'!$V:$V,"매입",'(계획)26년 매출매입 월별계획'!$T:$T,"부품")</x:f>
        <x:v>0</x:v>
      </x:c>
    </x:row>
    <x:row r="27" spans="2:16" ht="13.5">
      <x:c r="B27" s="13" t="s">
        <x:v>387</x:v>
      </x:c>
      <x:c r="C27" s="241">
        <x:f t="shared" si="1"/>
        <x:v>665461027.66800117</x:v>
      </x:c>
      <x:c r="D27" s="202"/>
      <x:c r="E27" s="202">
        <x:f>E23-E24-E25-E26</x:f>
        <x:v>6696512</x:v>
      </x:c>
      <x:c r="F27" s="202">
        <x:f t="shared" ref="F27:P27" si="6">F23-F24-F25-F26</x:f>
        <x:v>15165012.75999999</x:v>
      </x:c>
      <x:c r="G27" s="202">
        <x:f t="shared" si="6"/>
        <x:v>19278109.140000105</x:v>
      </x:c>
      <x:c r="H27" s="202">
        <x:f t="shared" si="6"/>
        <x:v>18469212.75999999</x:v>
      </x:c>
      <x:c r="I27" s="202">
        <x:f t="shared" si="6"/>
        <x:v>39390499.911000013</x:v>
      </x:c>
      <x:c r="J27" s="202">
        <x:f t="shared" si="6"/>
        <x:v>86015743.339571476</x:v>
      </x:c>
      <x:c r="K27" s="202">
        <x:f t="shared" si="6"/>
        <x:v>80074322.9595716</x:v>
      </x:c>
      <x:c r="L27" s="202">
        <x:f t="shared" si="6"/>
        <x:v>80074322.9595716</x:v>
      </x:c>
      <x:c r="M27" s="202">
        <x:f t="shared" si="6"/>
        <x:v>80074322.9595716</x:v>
      </x:c>
      <x:c r="N27" s="202">
        <x:f t="shared" si="6"/>
        <x:v>80074322.9595716</x:v>
      </x:c>
      <x:c r="O27" s="202">
        <x:f t="shared" si="6"/>
        <x:v>80074322.9595716</x:v>
      </x:c>
      <x:c r="P27" s="202">
        <x:f t="shared" si="6"/>
        <x:v>80074322.9595716</x:v>
      </x:c>
    </x:row>
    <x:row r="28" spans="2:16" ht="13.5">
      <x:c r="B28" s="6" t="s">
        <x:v>6</x:v>
      </x:c>
      <x:c r="C28" s="353">
        <x:f t="shared" si="1"/>
        <x:v>14421608089.570234</x:v>
      </x:c>
      <x:c r="D28" s="354"/>
      <x:c r="E28" s="354">
        <x:f>'(계획)손익계산서 월별계획'!E15</x:f>
        <x:v>2427572.410712135</x:v>
      </x:c>
      <x:c r="F28" s="354">
        <x:f>'(계획)손익계산서 월별계획'!F15</x:f>
        <x:v>2427572.410712135</x:v>
      </x:c>
      <x:c r="G28" s="354">
        <x:f>'(계획)손익계산서 월별계획'!G15</x:f>
        <x:v>138427572.41071212</x:v>
      </x:c>
      <x:c r="H28" s="354">
        <x:f>'(계획)손익계산서 월별계획'!H15</x:f>
        <x:v>2957327572.4107122</x:v>
      </x:c>
      <x:c r="I28" s="354">
        <x:f>'(계획)손익계산서 월별계획'!I15</x:f>
        <x:v>72427572.410712138</x:v>
      </x:c>
      <x:c r="J28" s="354">
        <x:f>'(계획)손익계산서 월별계획'!J15</x:f>
        <x:v>329727572.41071212</x:v>
      </x:c>
      <x:c r="K28" s="354">
        <x:f>'(계획)손익계산서 월별계획'!K15</x:f>
        <x:v>1449111172.4107122</x:v>
      </x:c>
      <x:c r="L28" s="354">
        <x:f>'(계획)손익계산서 월별계획'!L15</x:f>
        <x:v>2427572.410712135</x:v>
      </x:c>
      <x:c r="M28" s="354">
        <x:f>'(계획)손익계산서 월별계획'!M15</x:f>
        <x:v>159927572.41071212</x:v>
      </x:c>
      <x:c r="N28" s="354">
        <x:f>'(계획)손익계산서 월별계획'!N15</x:f>
        <x:v>2427572.410712135</x:v>
      </x:c>
      <x:c r="O28" s="354">
        <x:f>'(계획)손익계산서 월별계획'!O15</x:f>
        <x:v>2427572.410712135</x:v>
      </x:c>
      <x:c r="P28" s="354">
        <x:f>'(계획)손익계산서 월별계획'!P15</x:f>
        <x:v>9302521193.0524006</x:v>
      </x:c>
    </x:row>
    <x:row r="29" spans="2:16" s="10" customFormat="1" ht="21.6" customHeight="1">
      <x:c r="B29" s="19" t="s">
        <x:v>24</x:v>
      </x:c>
      <x:c r="C29" s="20">
        <x:f t="shared" si="1"/>
        <x:v>6547112158.972044</x:v>
      </x:c>
      <x:c r="D29" s="19">
        <x:v>0</x:v>
      </x:c>
      <x:c r="E29" s="19">
        <x:f t="shared" ref="E29:P29" si="7">+E6-E18</x:f>
        <x:v>155631541.76046348</x:v>
      </x:c>
      <x:c r="F29" s="19">
        <x:f t="shared" si="7"/>
        <x:v>258069173.14465952</x:v>
      </x:c>
      <x:c r="G29" s="19">
        <x:f t="shared" si="7"/>
        <x:v>690146972.03600788</x:v>
      </x:c>
      <x:c r="H29" s="19">
        <x:f t="shared" si="7"/>
        <x:v>490699240.43900776</x:v>
      </x:c>
      <x:c r="I29" s="19">
        <x:f t="shared" si="7"/>
        <x:v>450355209.76105833</x:v>
      </x:c>
      <x:c r="J29" s="19">
        <x:f t="shared" si="7"/>
        <x:v>1463258875.0657272</x:v>
      </x:c>
      <x:c r="K29" s="19">
        <x:f t="shared" si="7"/>
        <x:v>493039190.67098618</x:v>
      </x:c>
      <x:c r="L29" s="19">
        <x:f t="shared" si="7"/>
        <x:v>396095061.45816231</x:v>
      </x:c>
      <x:c r="M29" s="19">
        <x:f t="shared" si="7"/>
        <x:v>414417222.78948641</x:v>
      </x:c>
      <x:c r="N29" s="19">
        <x:f t="shared" si="7"/>
        <x:v>386433852.19722605</x:v>
      </x:c>
      <x:c r="O29" s="19">
        <x:f t="shared" si="7"/>
        <x:v>383194405.47024536</x:v>
      </x:c>
      <x:c r="P29" s="19">
        <x:f t="shared" si="7"/>
        <x:v>965771414.17901421</x:v>
      </x:c>
    </x:row>
    <x:row r="30" spans="2:16" s="10" customFormat="1" ht="21.6" customHeight="1">
      <x:c r="B30" s="22" t="s">
        <x:v>25</x:v>
      </x:c>
      <x:c r="C30" s="56">
        <x:f>IFERROR(C29/C6,0)</x:f>
        <x:v>0.13783807189929118</x:v>
      </x:c>
      <x:c r="D30" s="56">
        <x:v>0</x:v>
      </x:c>
      <x:c r="E30" s="56">
        <x:f t="shared" ref="E30:P30" si="8">IFERROR(E29/E6,0)</x:f>
        <x:v>8.6367263770701544E-2</x:v>
      </x:c>
      <x:c r="F30" s="56">
        <x:f t="shared" si="8"/>
        <x:v>0.1138287154247269</x:v>
      </x:c>
      <x:c r="G30" s="56">
        <x:f t="shared" si="8"/>
        <x:v>0.21475206602200572</x:v>
      </x:c>
      <x:c r="H30" s="56">
        <x:f t="shared" si="8"/>
        <x:v>8.3513714575111156E-2</x:v>
      </x:c>
      <x:c r="I30" s="56">
        <x:f t="shared" si="8"/>
        <x:v>0.14833811219780954</x:v>
      </x:c>
      <x:c r="J30" s="56">
        <x:f t="shared" si="8"/>
        <x:v>0.33265407997226554</x:v>
      </x:c>
      <x:c r="K30" s="56">
        <x:f t="shared" si="8"/>
        <x:v>0.11795632174500038</x:v>
      </x:c>
      <x:c r="L30" s="56">
        <x:f t="shared" si="8"/>
        <x:v>0.18581439597902027</x:v>
      </x:c>
      <x:c r="M30" s="56">
        <x:f t="shared" si="8"/>
        <x:v>0.15062196016031282</x:v>
      </x:c>
      <x:c r="N30" s="56">
        <x:f t="shared" si="8"/>
        <x:v>0.14490561349673015</x:v>
      </x:c>
      <x:c r="O30" s="56">
        <x:f t="shared" si="8"/>
        <x:v>0.14994443889863426</x:v>
      </x:c>
      <x:c r="P30" s="56">
        <x:f t="shared" si="8"/>
        <x:v>7.6526689899855671E-2</x:v>
      </x:c>
    </x:row>
    <x:row r="31" spans="2:16" ht="13.5">
      <x:c r="B31" s="19" t="s">
        <x:v>26</x:v>
      </x:c>
      <x:c r="C31" s="20">
        <x:f>SUM(E31:P31)</x:f>
        <x:v>16095021254.841496</x:v>
      </x:c>
      <x:c r="D31" s="20"/>
      <x:c r="E31" s="20">
        <x:f>SUM(E32,E48,E66)</x:f>
        <x:v>1367927965.5688534</x:v>
      </x:c>
      <x:c r="F31" s="20">
        <x:f t="shared" ref="F31:P31" si="9">SUM(F32,F48,F66)</x:f>
        <x:v>1547109739.6143179</x:v>
      </x:c>
      <x:c r="G31" s="20">
        <x:f t="shared" si="9"/>
        <x:v>1482787206.1615553</x:v>
      </x:c>
      <x:c r="H31" s="20">
        <x:f t="shared" si="9"/>
        <x:v>1350986979.2776077</x:v>
      </x:c>
      <x:c r="I31" s="20">
        <x:f t="shared" si="9"/>
        <x:v>1196792727.1294651</x:v>
      </x:c>
      <x:c r="J31" s="20">
        <x:f t="shared" si="9"/>
        <x:v>1368846351.9065709</x:v>
      </x:c>
      <x:c r="K31" s="20">
        <x:f t="shared" si="9"/>
        <x:v>1291439041.2174253</x:v>
      </x:c>
      <x:c r="L31" s="20">
        <x:f t="shared" si="9"/>
        <x:v>1241707105.9892671</x:v>
      </x:c>
      <x:c r="M31" s="20">
        <x:f t="shared" si="9"/>
        <x:v>1241590267.5675073</x:v>
      </x:c>
      <x:c r="N31" s="20">
        <x:f t="shared" si="9"/>
        <x:v>1251533951.3979917</x:v>
      </x:c>
      <x:c r="O31" s="20">
        <x:f t="shared" si="9"/>
        <x:v>1315707584.4805663</x:v>
      </x:c>
      <x:c r="P31" s="20">
        <x:f t="shared" si="9"/>
        <x:v>1438592334.5303667</x:v>
      </x:c>
    </x:row>
    <x:row r="32" spans="2:16" ht="16.5">
      <x:c r="B32" s="12" t="s">
        <x:v>2</x:v>
      </x:c>
      <x:c r="C32" s="24">
        <x:f>SUM(E32:P32)</x:f>
        <x:v>1617699693.6571627</x:v>
      </x:c>
      <x:c r="D32" s="24"/>
      <x:c r="E32" s="25">
        <x:f>SUM(E33:E46)</x:f>
        <x:v>141506402.55802414</x:v>
      </x:c>
      <x:c r="F32" s="25">
        <x:f t="shared" ref="F32:P32" si="10">SUM(F33:F46)</x:f>
        <x:v>138311123.44345772</x:v>
      </x:c>
      <x:c r="G32" s="25">
        <x:f t="shared" si="10"/>
        <x:v>133161989.19303241</x:v>
      </x:c>
      <x:c r="H32" s="25">
        <x:f t="shared" si="10"/>
        <x:v>133751192.57706171</x:v>
      </x:c>
      <x:c r="I32" s="25">
        <x:f t="shared" si="10"/>
        <x:v>113642473.35718521</x:v>
      </x:c>
      <x:c r="J32" s="25">
        <x:f t="shared" si="10"/>
        <x:v>140808954.68700004</x:v>
      </x:c>
      <x:c r="K32" s="25">
        <x:f t="shared" si="10"/>
        <x:v>119335037.35718521</x:v>
      </x:c>
      <x:c r="L32" s="25">
        <x:f t="shared" si="10"/>
        <x:v>133023364.35718521</x:v>
      </x:c>
      <x:c r="M32" s="25">
        <x:f t="shared" si="10"/>
        <x:v>135273557.68700001</x:v>
      </x:c>
      <x:c r="N32" s="25">
        <x:f t="shared" si="10"/>
        <x:v>133100932.79693832</x:v>
      </x:c>
      <x:c r="O32" s="25">
        <x:f t="shared" si="10"/>
        <x:v>140679290.57706171</x:v>
      </x:c>
      <x:c r="P32" s="25">
        <x:f t="shared" si="10"/>
        <x:v>155105375.06603104</x:v>
      </x:c>
    </x:row>
    <x:row r="33" spans="2:16" ht="13.5">
      <x:c r="B33" s="26" t="s">
        <x:v>49</x:v>
      </x:c>
      <x:c r="C33" s="241">
        <x:f>SUM(E33:P33)</x:f>
        <x:v>715264669.55859137</x:v>
      </x:c>
      <x:c r="D33" s="241"/>
      <x:c r="E33" s="202">
        <x:f>'(계획)손익계산서 월별계획'!E20</x:f>
        <x:v>56724043.558591418</x:v>
      </x:c>
      <x:c r="F33" s="202">
        <x:f>'(계획)손익계산서 월별계획'!F20</x:f>
        <x:v>65666944</x:v>
      </x:c>
      <x:c r="G33" s="202">
        <x:f>'(계획)손익계산서 월별계획'!G20</x:f>
        <x:v>55820911</x:v>
      </x:c>
      <x:c r="H33" s="202">
        <x:f>'(계획)손익계산서 월별계획'!H20</x:f>
        <x:v>60638160</x:v>
      </x:c>
      <x:c r="I33" s="202">
        <x:f>'(계획)손익계산서 월별계획'!I20</x:f>
        <x:v>50594871</x:v>
      </x:c>
      <x:c r="J33" s="202">
        <x:f>'(계획)손익계산서 월별계획'!J20</x:f>
        <x:v>62780442</x:v>
      </x:c>
      <x:c r="K33" s="202">
        <x:f>'(계획)손익계산서 월별계획'!K20</x:f>
        <x:v>59413755</x:v>
      </x:c>
      <x:c r="L33" s="202">
        <x:f>'(계획)손익계산서 월별계획'!L20</x:f>
        <x:v>56282442</x:v>
      </x:c>
      <x:c r="M33" s="202">
        <x:f>'(계획)손익계산서 월별계획'!M20</x:f>
        <x:v>56219110</x:v>
      </x:c>
      <x:c r="N33" s="202">
        <x:f>'(계획)손익계산서 월별계획'!N20</x:f>
        <x:v>60387440</x:v>
      </x:c>
      <x:c r="O33" s="202">
        <x:f>'(계획)손익계산서 월별계획'!O20</x:f>
        <x:v>63091228</x:v>
      </x:c>
      <x:c r="P33" s="202">
        <x:f>'(계획)손익계산서 월별계획'!P20</x:f>
        <x:v>67645323</x:v>
      </x:c>
    </x:row>
    <x:row r="34" spans="2:16" ht="13.5">
      <x:c r="B34" s="26" t="s">
        <x:v>50</x:v>
      </x:c>
      <x:c r="C34" s="241">
        <x:f t="shared" ref="C34:C46" si="11">SUM(E34:P34)</x:f>
        <x:v>12041448</x:v>
      </x:c>
      <x:c r="D34" s="241"/>
      <x:c r="E34" s="202">
        <x:f>'(계획)손익계산서 월별계획'!E21</x:f>
        <x:v>1003454</x:v>
      </x:c>
      <x:c r="F34" s="202">
        <x:f>'(계획)손익계산서 월별계획'!F21</x:f>
        <x:v>1003454</x:v>
      </x:c>
      <x:c r="G34" s="202">
        <x:f>'(계획)손익계산서 월별계획'!G21</x:f>
        <x:v>1003454</x:v>
      </x:c>
      <x:c r="H34" s="202">
        <x:f>'(계획)손익계산서 월별계획'!H21</x:f>
        <x:v>1003454</x:v>
      </x:c>
      <x:c r="I34" s="202">
        <x:f>'(계획)손익계산서 월별계획'!I21</x:f>
        <x:v>1003454</x:v>
      </x:c>
      <x:c r="J34" s="202">
        <x:f>'(계획)손익계산서 월별계획'!J21</x:f>
        <x:v>1003454</x:v>
      </x:c>
      <x:c r="K34" s="202">
        <x:f>'(계획)손익계산서 월별계획'!K21</x:f>
        <x:v>1003454</x:v>
      </x:c>
      <x:c r="L34" s="202">
        <x:f>'(계획)손익계산서 월별계획'!L21</x:f>
        <x:v>1003454</x:v>
      </x:c>
      <x:c r="M34" s="202">
        <x:f>'(계획)손익계산서 월별계획'!M21</x:f>
        <x:v>1003454</x:v>
      </x:c>
      <x:c r="N34" s="202">
        <x:f>'(계획)손익계산서 월별계획'!N21</x:f>
        <x:v>1003454</x:v>
      </x:c>
      <x:c r="O34" s="202">
        <x:f>'(계획)손익계산서 월별계획'!O21</x:f>
        <x:v>1003454</x:v>
      </x:c>
      <x:c r="P34" s="202">
        <x:f>'(계획)손익계산서 월별계획'!P21</x:f>
        <x:v>1003454</x:v>
      </x:c>
    </x:row>
    <x:row r="35" spans="2:16" ht="13.5">
      <x:c r="B35" s="26" t="s">
        <x:v>51</x:v>
      </x:c>
      <x:c r="C35" s="241">
        <x:f t="shared" si="11"/>
        <x:v>60201579.732499987</x:v>
      </x:c>
      <x:c r="D35" s="241"/>
      <x:c r="E35" s="202">
        <x:f>'(계획)손익계산서 월별계획'!E22</x:f>
        <x:v>4668587.96</x:v>
      </x:c>
      <x:c r="F35" s="202">
        <x:f>'(계획)손익계산서 월별계획'!F22</x:f>
        <x:v>5112317.96</x:v>
      </x:c>
      <x:c r="G35" s="202">
        <x:f>'(계획)손익계산서 월별계획'!G22</x:f>
        <x:v>4668587.96</x:v>
      </x:c>
      <x:c r="H35" s="202">
        <x:f>'(계획)손익계산서 월별계획'!H22</x:f>
        <x:v>4796942.3190000001</x:v>
      </x:c>
      <x:c r="I35" s="202">
        <x:f>'(계획)손익계산서 월별계획'!I22</x:f>
        <x:v>4796942.3190000001</x:v>
      </x:c>
      <x:c r="J35" s="202">
        <x:f>'(계획)손익계산서 월별계획'!J22</x:f>
        <x:v>4924707.3190000001</x:v>
      </x:c>
      <x:c r="K35" s="202">
        <x:f>'(계획)손익계산서 월별계획'!K22</x:f>
        <x:v>5345622.3190000001</x:v>
      </x:c>
      <x:c r="L35" s="202">
        <x:f>'(계획)손익계산서 월별계획'!L22</x:f>
        <x:v>4850642.3190000001</x:v>
      </x:c>
      <x:c r="M35" s="202">
        <x:f>'(계획)손익계산서 월별계획'!M22</x:f>
        <x:v>4850642.3190000001</x:v>
      </x:c>
      <x:c r="N35" s="202">
        <x:f>'(계획)손익계산서 월별계획'!N22</x:f>
        <x:v>5231972.3190000001</x:v>
      </x:c>
      <x:c r="O35" s="202">
        <x:f>'(계획)손익계산서 월별계획'!O22</x:f>
        <x:v>5231972.3190000001</x:v>
      </x:c>
      <x:c r="P35" s="202">
        <x:f>'(계획)손익계산서 월별계획'!P22</x:f>
        <x:v>5722642.3004999999</x:v>
      </x:c>
    </x:row>
    <x:row r="36" spans="2:16" ht="13.5">
      <x:c r="B36" s="26" t="s">
        <x:v>52</x:v>
      </x:c>
      <x:c r="C36" s="241">
        <x:f t="shared" si="11"/>
        <x:v>60289268.999999993</x:v>
      </x:c>
      <x:c r="D36" s="241"/>
      <x:c r="E36" s="202">
        <x:f>'(계획)손익계산서 월별계획'!E23</x:f>
        <x:v>2095697.4166666665</x:v>
      </x:c>
      <x:c r="F36" s="202">
        <x:f>'(계획)손익계산서 월별계획'!F23</x:f>
        <x:v>8845697.416666666</x:v>
      </x:c>
      <x:c r="G36" s="202">
        <x:f>'(계획)손익계산서 월별계획'!G23</x:f>
        <x:v>3981977.4166666665</x:v>
      </x:c>
      <x:c r="H36" s="202">
        <x:f>'(계획)손익계산서 월별계획'!H23</x:f>
        <x:v>2035697.4166666665</x:v>
      </x:c>
      <x:c r="I36" s="202">
        <x:f>'(계획)손익계산서 월별계획'!I23</x:f>
        <x:v>1615697.4166666665</x:v>
      </x:c>
      <x:c r="J36" s="202">
        <x:f>'(계획)손익계산서 월별계획'!J23</x:f>
        <x:v>3220697.4166666665</x:v>
      </x:c>
      <x:c r="K36" s="202">
        <x:f>'(계획)손익계산서 월별계획'!K23</x:f>
        <x:v>1900697.4166666665</x:v>
      </x:c>
      <x:c r="L36" s="202">
        <x:f>'(계획)손익계산서 월별계획'!L23</x:f>
        <x:v>16415317.416666666</x:v>
      </x:c>
      <x:c r="M36" s="202">
        <x:f>'(계획)손익계산서 월별계획'!M23</x:f>
        <x:v>5220697.416666666</x:v>
      </x:c>
      <x:c r="N36" s="202">
        <x:f>'(계획)손익계산서 월별계획'!N23</x:f>
        <x:v>1895697.4166666665</x:v>
      </x:c>
      <x:c r="O36" s="202">
        <x:f>'(계획)손익계산서 월별계획'!O23</x:f>
        <x:v>1815697.4166666665</x:v>
      </x:c>
      <x:c r="P36" s="202">
        <x:f>'(계획)손익계산서 월별계획'!P23</x:f>
        <x:v>11245697.416666666</x:v>
      </x:c>
    </x:row>
    <x:row r="37" spans="2:16" ht="13.5">
      <x:c r="B37" s="26" t="s">
        <x:v>53</x:v>
      </x:c>
      <x:c r="C37" s="241">
        <x:f t="shared" si="11"/>
        <x:v>622546972.69940484</x:v>
      </x:c>
      <x:c r="D37" s="241"/>
      <x:c r="E37" s="202">
        <x:f>'(계획)손익계산서 월별계획'!E24</x:f>
        <x:v>64761640.067210503</x:v>
      </x:c>
      <x:c r="F37" s="202">
        <x:f>'(계획)손익계산서 월별계획'!F24</x:f>
        <x:v>45429730.511235498</x:v>
      </x:c>
      <x:c r="G37" s="202">
        <x:f>'(계획)손익계산서 월별계획'!G24</x:f>
        <x:v>55434079.260810196</x:v>
      </x:c>
      <x:c r="H37" s="202">
        <x:f>'(계획)손익계산서 월별계획'!H24</x:f>
        <x:v>53023959.285839498</x:v>
      </x:c>
      <x:c r="I37" s="202">
        <x:f>'(계획)손익계산서 월별계획'!I24</x:f>
        <x:v>43218529.065963</x:v>
      </x:c>
      <x:c r="J37" s="202">
        <x:f>'(계획)손익계산서 월별계획'!J24</x:f>
        <x:v>56626674.395777799</x:v>
      </x:c>
      <x:c r="K37" s="202">
        <x:f>'(계획)손익계산서 월별계획'!K24</x:f>
        <x:v>39418529.065963</x:v>
      </x:c>
      <x:c r="L37" s="202">
        <x:f>'(계획)손익계산서 월별계획'!L24</x:f>
        <x:v>42218529.065963</x:v>
      </x:c>
      <x:c r="M37" s="202">
        <x:f>'(계획)손익계산서 월별계획'!M24</x:f>
        <x:v>55726674.395777799</x:v>
      </x:c>
      <x:c r="N37" s="202">
        <x:f>'(계획)손익계산서 월별계획'!N24</x:f>
        <x:v>52329389.5057161</x:v>
      </x:c>
      <x:c r="O37" s="202">
        <x:f>'(계획)손익계산서 월별계획'!O24</x:f>
        <x:v>57123959.285839498</x:v>
      </x:c>
      <x:c r="P37" s="202">
        <x:f>'(계획)손익계산서 월별계획'!P24</x:f>
        <x:v>57235278.793308802</x:v>
      </x:c>
    </x:row>
    <x:row r="38" spans="2:16" ht="13.5">
      <x:c r="B38" s="26" t="s">
        <x:v>54</x:v>
      </x:c>
      <x:c r="C38" s="241">
        <x:f t="shared" si="11"/>
        <x:v>0</x:v>
      </x:c>
      <x:c r="D38" s="241"/>
      <x:c r="E38" s="202">
        <x:f>'(계획)손익계산서 월별계획'!E25</x:f>
        <x:v>0</x:v>
      </x:c>
      <x:c r="F38" s="202">
        <x:f>'(계획)손익계산서 월별계획'!F25</x:f>
        <x:v>0</x:v>
      </x:c>
      <x:c r="G38" s="202">
        <x:f>'(계획)손익계산서 월별계획'!G25</x:f>
        <x:v>0</x:v>
      </x:c>
      <x:c r="H38" s="202">
        <x:f>'(계획)손익계산서 월별계획'!H25</x:f>
        <x:v>0</x:v>
      </x:c>
      <x:c r="I38" s="202">
        <x:f>'(계획)손익계산서 월별계획'!I25</x:f>
        <x:v>0</x:v>
      </x:c>
      <x:c r="J38" s="202">
        <x:f>'(계획)손익계산서 월별계획'!J25</x:f>
        <x:v>0</x:v>
      </x:c>
      <x:c r="K38" s="202">
        <x:f>'(계획)손익계산서 월별계획'!K25</x:f>
        <x:v>0</x:v>
      </x:c>
      <x:c r="L38" s="202">
        <x:f>'(계획)손익계산서 월별계획'!L25</x:f>
        <x:v>0</x:v>
      </x:c>
      <x:c r="M38" s="202">
        <x:f>'(계획)손익계산서 월별계획'!M25</x:f>
        <x:v>0</x:v>
      </x:c>
      <x:c r="N38" s="202">
        <x:f>'(계획)손익계산서 월별계획'!N25</x:f>
        <x:v>0</x:v>
      </x:c>
      <x:c r="O38" s="202">
        <x:f>'(계획)손익계산서 월별계획'!O25</x:f>
        <x:v>0</x:v>
      </x:c>
      <x:c r="P38" s="202">
        <x:f>'(계획)손익계산서 월별계획'!P25</x:f>
        <x:v>0</x:v>
      </x:c>
    </x:row>
    <x:row r="39" spans="2:16" ht="13.5">
      <x:c r="B39" s="26" t="s">
        <x:v>55</x:v>
      </x:c>
      <x:c r="C39" s="241">
        <x:f t="shared" si="11"/>
        <x:v>0</x:v>
      </x:c>
      <x:c r="D39" s="241"/>
      <x:c r="E39" s="202">
        <x:f>'(계획)손익계산서 월별계획'!E26</x:f>
        <x:v>0</x:v>
      </x:c>
      <x:c r="F39" s="202">
        <x:f>'(계획)손익계산서 월별계획'!F26</x:f>
        <x:v>0</x:v>
      </x:c>
      <x:c r="G39" s="202">
        <x:f>'(계획)손익계산서 월별계획'!G26</x:f>
        <x:v>0</x:v>
      </x:c>
      <x:c r="H39" s="202">
        <x:f>'(계획)손익계산서 월별계획'!H26</x:f>
        <x:v>0</x:v>
      </x:c>
      <x:c r="I39" s="202">
        <x:f>'(계획)손익계산서 월별계획'!I26</x:f>
        <x:v>0</x:v>
      </x:c>
      <x:c r="J39" s="202">
        <x:f>'(계획)손익계산서 월별계획'!J26</x:f>
        <x:v>0</x:v>
      </x:c>
      <x:c r="K39" s="202">
        <x:f>'(계획)손익계산서 월별계획'!K26</x:f>
        <x:v>0</x:v>
      </x:c>
      <x:c r="L39" s="202">
        <x:f>'(계획)손익계산서 월별계획'!L26</x:f>
        <x:v>0</x:v>
      </x:c>
      <x:c r="M39" s="202">
        <x:f>'(계획)손익계산서 월별계획'!M26</x:f>
        <x:v>0</x:v>
      </x:c>
      <x:c r="N39" s="202">
        <x:f>'(계획)손익계산서 월별계획'!N26</x:f>
        <x:v>0</x:v>
      </x:c>
      <x:c r="O39" s="202">
        <x:f>'(계획)손익계산서 월별계획'!O26</x:f>
        <x:v>0</x:v>
      </x:c>
      <x:c r="P39" s="202">
        <x:f>'(계획)손익계산서 월별계획'!P26</x:f>
        <x:v>0</x:v>
      </x:c>
    </x:row>
    <x:row r="40" spans="2:16" ht="13.5">
      <x:c r="B40" s="26" t="s">
        <x:v>56</x:v>
      </x:c>
      <x:c r="C40" s="241">
        <x:f t="shared" si="11"/>
        <x:v>2304000</x:v>
      </x:c>
      <x:c r="D40" s="241"/>
      <x:c r="E40" s="202">
        <x:f>'(계획)손익계산서 월별계획'!E27</x:f>
        <x:v>192000</x:v>
      </x:c>
      <x:c r="F40" s="202">
        <x:f>'(계획)손익계산서 월별계획'!F27</x:f>
        <x:v>192000</x:v>
      </x:c>
      <x:c r="G40" s="202">
        <x:f>'(계획)손익계산서 월별계획'!G27</x:f>
        <x:v>192000</x:v>
      </x:c>
      <x:c r="H40" s="202">
        <x:f>'(계획)손익계산서 월별계획'!H27</x:f>
        <x:v>192000</x:v>
      </x:c>
      <x:c r="I40" s="202">
        <x:f>'(계획)손익계산서 월별계획'!I27</x:f>
        <x:v>192000</x:v>
      </x:c>
      <x:c r="J40" s="202">
        <x:f>'(계획)손익계산서 월별계획'!J27</x:f>
        <x:v>192000</x:v>
      </x:c>
      <x:c r="K40" s="202">
        <x:f>'(계획)손익계산서 월별계획'!K27</x:f>
        <x:v>192000</x:v>
      </x:c>
      <x:c r="L40" s="202">
        <x:f>'(계획)손익계산서 월별계획'!L27</x:f>
        <x:v>192000</x:v>
      </x:c>
      <x:c r="M40" s="202">
        <x:f>'(계획)손익계산서 월별계획'!M27</x:f>
        <x:v>192000</x:v>
      </x:c>
      <x:c r="N40" s="202">
        <x:f>'(계획)손익계산서 월별계획'!N27</x:f>
        <x:v>192000</x:v>
      </x:c>
      <x:c r="O40" s="202">
        <x:f>'(계획)손익계산서 월별계획'!O27</x:f>
        <x:v>192000</x:v>
      </x:c>
      <x:c r="P40" s="202">
        <x:f>'(계획)손익계산서 월별계획'!P27</x:f>
        <x:v>192000</x:v>
      </x:c>
    </x:row>
    <x:row r="41" spans="2:16" ht="13.5">
      <x:c r="B41" s="26" t="s">
        <x:v>57</x:v>
      </x:c>
      <x:c r="C41" s="241">
        <x:f t="shared" si="11"/>
        <x:v>117624999.99999999</x:v>
      </x:c>
      <x:c r="D41" s="241"/>
      <x:c r="E41" s="202">
        <x:f>'(계획)손익계산서 월별계획'!E28</x:f>
        <x:v>9802083.333333334</x:v>
      </x:c>
      <x:c r="F41" s="202">
        <x:f>'(계획)손익계산서 월별계획'!F28</x:f>
        <x:v>9802083.333333334</x:v>
      </x:c>
      <x:c r="G41" s="202">
        <x:f>'(계획)손익계산서 월별계획'!G28</x:f>
        <x:v>9802083.333333334</x:v>
      </x:c>
      <x:c r="H41" s="202">
        <x:f>'(계획)손익계산서 월별계획'!H28</x:f>
        <x:v>9802083.333333334</x:v>
      </x:c>
      <x:c r="I41" s="202">
        <x:f>'(계획)손익계산서 월별계획'!I28</x:f>
        <x:v>9802083.333333334</x:v>
      </x:c>
      <x:c r="J41" s="202">
        <x:f>'(계획)손익계산서 월별계획'!J28</x:f>
        <x:v>9802083.333333334</x:v>
      </x:c>
      <x:c r="K41" s="202">
        <x:f>'(계획)손익계산서 월별계획'!K28</x:f>
        <x:v>9802083.333333334</x:v>
      </x:c>
      <x:c r="L41" s="202">
        <x:f>'(계획)손익계산서 월별계획'!L28</x:f>
        <x:v>9802083.333333334</x:v>
      </x:c>
      <x:c r="M41" s="202">
        <x:f>'(계획)손익계산서 월별계획'!M28</x:f>
        <x:v>9802083.333333334</x:v>
      </x:c>
      <x:c r="N41" s="202">
        <x:f>'(계획)손익계산서 월별계획'!N28</x:f>
        <x:v>9802083.333333334</x:v>
      </x:c>
      <x:c r="O41" s="202">
        <x:f>'(계획)손익계산서 월별계획'!O28</x:f>
        <x:v>9802083.333333334</x:v>
      </x:c>
      <x:c r="P41" s="202">
        <x:f>'(계획)손익계산서 월별계획'!P28</x:f>
        <x:v>9802083.333333334</x:v>
      </x:c>
    </x:row>
    <x:row r="42" spans="2:16" ht="13.5">
      <x:c r="B42" s="26" t="s">
        <x:v>58</x:v>
      </x:c>
      <x:c r="C42" s="241">
        <x:f t="shared" si="11"/>
        <x:v>0</x:v>
      </x:c>
      <x:c r="D42" s="241"/>
      <x:c r="E42" s="202">
        <x:f>'(계획)손익계산서 월별계획'!E29</x:f>
        <x:v>0</x:v>
      </x:c>
      <x:c r="F42" s="202">
        <x:f>'(계획)손익계산서 월별계획'!F29</x:f>
        <x:v>0</x:v>
      </x:c>
      <x:c r="G42" s="202">
        <x:f>'(계획)손익계산서 월별계획'!G29</x:f>
        <x:v>0</x:v>
      </x:c>
      <x:c r="H42" s="202">
        <x:f>'(계획)손익계산서 월별계획'!H29</x:f>
        <x:v>0</x:v>
      </x:c>
      <x:c r="I42" s="202">
        <x:f>'(계획)손익계산서 월별계획'!I29</x:f>
        <x:v>0</x:v>
      </x:c>
      <x:c r="J42" s="202">
        <x:f>'(계획)손익계산서 월별계획'!J29</x:f>
        <x:v>0</x:v>
      </x:c>
      <x:c r="K42" s="202">
        <x:f>'(계획)손익계산서 월별계획'!K29</x:f>
        <x:v>0</x:v>
      </x:c>
      <x:c r="L42" s="202">
        <x:f>'(계획)손익계산서 월별계획'!L29</x:f>
        <x:v>0</x:v>
      </x:c>
      <x:c r="M42" s="202">
        <x:f>'(계획)손익계산서 월별계획'!M29</x:f>
        <x:v>0</x:v>
      </x:c>
      <x:c r="N42" s="202">
        <x:f>'(계획)손익계산서 월별계획'!N29</x:f>
        <x:v>0</x:v>
      </x:c>
      <x:c r="O42" s="202">
        <x:f>'(계획)손익계산서 월별계획'!O29</x:f>
        <x:v>0</x:v>
      </x:c>
      <x:c r="P42" s="202">
        <x:f>'(계획)손익계산서 월별계획'!P29</x:f>
        <x:v>0</x:v>
      </x:c>
    </x:row>
    <x:row r="43" spans="2:16" ht="13.5">
      <x:c r="B43" s="26" t="s">
        <x:v>59</x:v>
      </x:c>
      <x:c r="C43" s="241">
        <x:f t="shared" si="11"/>
        <x:v>0</x:v>
      </x:c>
      <x:c r="D43" s="241"/>
      <x:c r="E43" s="202">
        <x:f>'(계획)손익계산서 월별계획'!E30</x:f>
        <x:v>0</x:v>
      </x:c>
      <x:c r="F43" s="202">
        <x:f>'(계획)손익계산서 월별계획'!F30</x:f>
        <x:v>0</x:v>
      </x:c>
      <x:c r="G43" s="202">
        <x:f>'(계획)손익계산서 월별계획'!G30</x:f>
        <x:v>0</x:v>
      </x:c>
      <x:c r="H43" s="202">
        <x:f>'(계획)손익계산서 월별계획'!H30</x:f>
        <x:v>0</x:v>
      </x:c>
      <x:c r="I43" s="202">
        <x:f>'(계획)손익계산서 월별계획'!I30</x:f>
        <x:v>0</x:v>
      </x:c>
      <x:c r="J43" s="202">
        <x:f>'(계획)손익계산서 월별계획'!J30</x:f>
        <x:v>0</x:v>
      </x:c>
      <x:c r="K43" s="202">
        <x:f>'(계획)손익계산서 월별계획'!K30</x:f>
        <x:v>0</x:v>
      </x:c>
      <x:c r="L43" s="202">
        <x:f>'(계획)손익계산서 월별계획'!L30</x:f>
        <x:v>0</x:v>
      </x:c>
      <x:c r="M43" s="202">
        <x:f>'(계획)손익계산서 월별계획'!M30</x:f>
        <x:v>0</x:v>
      </x:c>
      <x:c r="N43" s="202">
        <x:f>'(계획)손익계산서 월별계획'!N30</x:f>
        <x:v>0</x:v>
      </x:c>
      <x:c r="O43" s="202">
        <x:f>'(계획)손익계산서 월별계획'!O30</x:f>
        <x:v>0</x:v>
      </x:c>
      <x:c r="P43" s="202">
        <x:f>'(계획)손익계산서 월별계획'!P30</x:f>
        <x:v>0</x:v>
      </x:c>
    </x:row>
    <x:row r="44" spans="2:16" ht="13.5">
      <x:c r="B44" s="26" t="s">
        <x:v>60</x:v>
      </x:c>
      <x:c r="C44" s="241">
        <x:f t="shared" si="11"/>
        <x:v>0</x:v>
      </x:c>
      <x:c r="D44" s="241"/>
      <x:c r="E44" s="202">
        <x:f>'(계획)손익계산서 월별계획'!E31</x:f>
        <x:v>0</x:v>
      </x:c>
      <x:c r="F44" s="202">
        <x:f>'(계획)손익계산서 월별계획'!F31</x:f>
        <x:v>0</x:v>
      </x:c>
      <x:c r="G44" s="202">
        <x:f>'(계획)손익계산서 월별계획'!G31</x:f>
        <x:v>0</x:v>
      </x:c>
      <x:c r="H44" s="202">
        <x:f>'(계획)손익계산서 월별계획'!H31</x:f>
        <x:v>0</x:v>
      </x:c>
      <x:c r="I44" s="202">
        <x:f>'(계획)손익계산서 월별계획'!I31</x:f>
        <x:v>0</x:v>
      </x:c>
      <x:c r="J44" s="202">
        <x:f>'(계획)손익계산서 월별계획'!J31</x:f>
        <x:v>0</x:v>
      </x:c>
      <x:c r="K44" s="202">
        <x:f>'(계획)손익계산서 월별계획'!K31</x:f>
        <x:v>0</x:v>
      </x:c>
      <x:c r="L44" s="202">
        <x:f>'(계획)손익계산서 월별계획'!L31</x:f>
        <x:v>0</x:v>
      </x:c>
      <x:c r="M44" s="202">
        <x:f>'(계획)손익계산서 월별계획'!M31</x:f>
        <x:v>0</x:v>
      </x:c>
      <x:c r="N44" s="202">
        <x:f>'(계획)손익계산서 월별계획'!N31</x:f>
        <x:v>0</x:v>
      </x:c>
      <x:c r="O44" s="202">
        <x:f>'(계획)손익계산서 월별계획'!O31</x:f>
        <x:v>0</x:v>
      </x:c>
      <x:c r="P44" s="202">
        <x:f>'(계획)손익계산서 월별계획'!P31</x:f>
        <x:v>0</x:v>
      </x:c>
    </x:row>
    <x:row r="45" spans="2:16" ht="13.5">
      <x:c r="B45" s="26" t="s">
        <x:v>61</x:v>
      </x:c>
      <x:c r="C45" s="241">
        <x:f t="shared" si="11"/>
        <x:v>0</x:v>
      </x:c>
      <x:c r="D45" s="241"/>
      <x:c r="E45" s="202">
        <x:f>'(계획)손익계산서 월별계획'!E32</x:f>
        <x:v>0</x:v>
      </x:c>
      <x:c r="F45" s="202">
        <x:f>'(계획)손익계산서 월별계획'!F32</x:f>
        <x:v>0</x:v>
      </x:c>
      <x:c r="G45" s="202">
        <x:f>'(계획)손익계산서 월별계획'!G32</x:f>
        <x:v>0</x:v>
      </x:c>
      <x:c r="H45" s="202">
        <x:f>'(계획)손익계산서 월별계획'!H32</x:f>
        <x:v>0</x:v>
      </x:c>
      <x:c r="I45" s="202">
        <x:f>'(계획)손익계산서 월별계획'!I32</x:f>
        <x:v>0</x:v>
      </x:c>
      <x:c r="J45" s="202">
        <x:f>'(계획)손익계산서 월별계획'!J32</x:f>
        <x:v>0</x:v>
      </x:c>
      <x:c r="K45" s="202">
        <x:f>'(계획)손익계산서 월별계획'!K32</x:f>
        <x:v>0</x:v>
      </x:c>
      <x:c r="L45" s="202">
        <x:f>'(계획)손익계산서 월별계획'!L32</x:f>
        <x:v>0</x:v>
      </x:c>
      <x:c r="M45" s="202">
        <x:f>'(계획)손익계산서 월별계획'!M32</x:f>
        <x:v>0</x:v>
      </x:c>
      <x:c r="N45" s="202">
        <x:f>'(계획)손익계산서 월별계획'!N32</x:f>
        <x:v>0</x:v>
      </x:c>
      <x:c r="O45" s="202">
        <x:f>'(계획)손익계산서 월별계획'!O32</x:f>
        <x:v>0</x:v>
      </x:c>
      <x:c r="P45" s="202">
        <x:f>'(계획)손익계산서 월별계획'!P32</x:f>
        <x:v>0</x:v>
      </x:c>
    </x:row>
    <x:row r="46" spans="2:16" s="10" customFormat="1" ht="17.45" customHeight="1">
      <x:c r="B46" s="26" t="s">
        <x:v>62</x:v>
      </x:c>
      <x:c r="C46" s="241">
        <x:f t="shared" si="11"/>
        <x:v>27426754.666666672</x:v>
      </x:c>
      <x:c r="D46" s="241"/>
      <x:c r="E46" s="202">
        <x:f>'(계획)손익계산서 월별계획'!E33</x:f>
        <x:v>2258896.222222222</x:v>
      </x:c>
      <x:c r="F46" s="202">
        <x:f>'(계획)손익계산서 월별계획'!F33</x:f>
        <x:v>2258896.222222222</x:v>
      </x:c>
      <x:c r="G46" s="202">
        <x:f>'(계획)손익계산서 월별계획'!G33</x:f>
        <x:v>2258896.222222222</x:v>
      </x:c>
      <x:c r="H46" s="202">
        <x:f>'(계획)손익계산서 월별계획'!H33</x:f>
        <x:v>2258896.222222222</x:v>
      </x:c>
      <x:c r="I46" s="202">
        <x:f>'(계획)손익계산서 월별계획'!I33</x:f>
        <x:v>2418896.222222222</x:v>
      </x:c>
      <x:c r="J46" s="202">
        <x:f>'(계획)손익계산서 월별계획'!J33</x:f>
        <x:v>2258896.222222222</x:v>
      </x:c>
      <x:c r="K46" s="202">
        <x:f>'(계획)손익계산서 월별계획'!K33</x:f>
        <x:v>2258896.222222222</x:v>
      </x:c>
      <x:c r="L46" s="202">
        <x:f>'(계획)손익계산서 월별계획'!L33</x:f>
        <x:v>2258896.222222222</x:v>
      </x:c>
      <x:c r="M46" s="202">
        <x:f>'(계획)손익계산서 월별계획'!M33</x:f>
        <x:v>2258896.222222222</x:v>
      </x:c>
      <x:c r="N46" s="202">
        <x:f>'(계획)손익계산서 월별계획'!N33</x:f>
        <x:v>2258896.222222222</x:v>
      </x:c>
      <x:c r="O46" s="202">
        <x:f>'(계획)손익계산서 월별계획'!O33</x:f>
        <x:v>2418896.222222222</x:v>
      </x:c>
      <x:c r="P46" s="202">
        <x:f>'(계획)손익계산서 월별계획'!P33</x:f>
        <x:v>2258896.222222222</x:v>
      </x:c>
    </x:row>
    <x:row r="47" spans="2:16" s="11" customFormat="1" ht="9.6" customHeight="1">
      <x:c r="B47" s="27"/>
      <x:c r="C47" s="14"/>
      <x:c r="D47" s="14"/>
      <x:c r="E47" s="189"/>
      <x:c r="F47" s="189"/>
      <x:c r="G47" s="188"/>
      <x:c r="H47" s="188"/>
      <x:c r="I47" s="188"/>
      <x:c r="J47" s="188"/>
      <x:c r="K47" s="188"/>
      <x:c r="L47" s="188"/>
      <x:c r="M47" s="188"/>
      <x:c r="N47" s="188"/>
      <x:c r="O47" s="188"/>
      <x:c r="P47" s="188"/>
    </x:row>
    <x:row r="48" spans="2:16" s="10" customFormat="1" ht="18.600000000000001" customHeight="1">
      <x:c r="B48" s="12" t="s">
        <x:v>3</x:v>
      </x:c>
      <x:c r="C48" s="28">
        <x:f>SUM(E48:P48)</x:f>
        <x:v>8903363912.2123909</x:v>
      </x:c>
      <x:c r="D48" s="28"/>
      <x:c r="E48" s="29">
        <x:f t="shared" ref="E48:O48" si="12">SUM(E49:E64)</x:f>
        <x:v>731659433.27613389</x:v>
      </x:c>
      <x:c r="F48" s="29">
        <x:f t="shared" si="12"/>
        <x:v>851862700.65141571</x:v>
      </x:c>
      <x:c r="G48" s="29">
        <x:f t="shared" si="12"/>
        <x:v>747290337.16572356</x:v>
      </x:c>
      <x:c r="H48" s="29">
        <x:f t="shared" si="12"/>
        <x:v>765386163.74410152</x:v>
      </x:c>
      <x:c r="I48" s="29">
        <x:f t="shared" si="12"/>
        <x:v>659903516.81583548</x:v>
      </x:c>
      <x:c r="J48" s="29">
        <x:f t="shared" si="12"/>
        <x:v>796509007.26312637</x:v>
      </x:c>
      <x:c r="K48" s="29">
        <x:f t="shared" si="12"/>
        <x:v>681087754.9037956</x:v>
      </x:c>
      <x:c r="L48" s="29">
        <x:f t="shared" si="12"/>
        <x:v>712805530.67563736</x:v>
      </x:c>
      <x:c r="M48" s="29">
        <x:f t="shared" si="12"/>
        <x:v>717046650.92406285</x:v>
      </x:c>
      <x:c r="N48" s="29">
        <x:f t="shared" si="12"/>
        <x:v>689389439.64460886</x:v>
      </x:c>
      <x:c r="O48" s="29">
        <x:f t="shared" si="12"/>
        <x:v>725166002.94706011</x:v>
      </x:c>
      <x:c r="P48" s="29">
        <x:f>SUM(P49:P64)</x:f>
        <x:v>825257374.20089126</x:v>
      </x:c>
    </x:row>
    <x:row r="49" spans="2:16" ht="13.5">
      <x:c r="B49" s="68" t="s">
        <x:v>42</x:v>
      </x:c>
      <x:c r="C49" s="241">
        <x:f t="shared" ref="C49:C64" si="13">SUM(E49:P49)</x:f>
        <x:v>5184045195.6434135</x:v>
      </x:c>
      <x:c r="D49" s="241"/>
      <x:c r="E49" s="202">
        <x:f>'(계획)손익계산서 월별계획'!E36</x:f>
        <x:v>407220252.04377949</x:v>
      </x:c>
      <x:c r="F49" s="202">
        <x:f>'(계획)손익계산서 월별계획'!F36</x:f>
        <x:v>510703148.58389825</x:v>
      </x:c>
      <x:c r="G49" s="202">
        <x:f>'(계획)손익계산서 월별계획'!G36</x:f>
        <x:v>413157037.22833771</x:v>
      </x:c>
      <x:c r="H49" s="202">
        <x:f>'(계획)손익계산서 월별계획'!H36</x:f>
        <x:v>472985080.9496206</x:v>
      </x:c>
      <x:c r="I49" s="202">
        <x:f>'(계획)손익계산서 월별계획'!I36</x:f>
        <x:v>344337037.04017878</x:v>
      </x:c>
      <x:c r="J49" s="202">
        <x:f>'(계획)손익계산서 월별계획'!J36</x:f>
        <x:v>476383793.98835915</x:v>
      </x:c>
      <x:c r="K49" s="202">
        <x:f>'(계획)손익계산서 월별계획'!K36</x:f>
        <x:v>402733048.33594197</x:v>
      </x:c>
      <x:c r="L49" s="202">
        <x:f>'(계획)손익계산서 월별계획'!L36</x:f>
        <x:v>400682435.42900997</x:v>
      </x:c>
      <x:c r="M49" s="202">
        <x:f>'(계획)손익계산서 월별계획'!M36</x:f>
        <x:v>400267526.36312842</x:v>
      </x:c>
      <x:c r="N49" s="202">
        <x:f>'(계획)손익계산서 월별계획'!N36</x:f>
        <x:v>430285514.70643061</x:v>
      </x:c>
      <x:c r="O49" s="202">
        <x:f>'(계획)손익계산서 월별계획'!O36</x:f>
        <x:v>469743014.3837738</x:v>
      </x:c>
      <x:c r="P49" s="202">
        <x:f>'(계획)손익계산서 월별계획'!P36</x:f>
        <x:v>455547306.59095603</x:v>
      </x:c>
    </x:row>
    <x:row r="50" spans="2:16" ht="13.5">
      <x:c r="B50" s="68" t="s">
        <x:v>43</x:v>
      </x:c>
      <x:c r="C50" s="241">
        <x:f t="shared" si="13"/>
        <x:v>443787419.51711595</x:v>
      </x:c>
      <x:c r="D50" s="241"/>
      <x:c r="E50" s="202">
        <x:f>'(계획)손익계산서 월별계획'!E37</x:f>
        <x:v>26650201.587109305</x:v>
      </x:c>
      <x:c r="F50" s="202">
        <x:f>'(계획)손익계산서 월별계획'!F37</x:f>
        <x:v>23495925.856702354</x:v>
      </x:c>
      <x:c r="G50" s="202">
        <x:f>'(계획)손익계산서 월별계획'!G37</x:f>
        <x:v>61058167.651389115</x:v>
      </x:c>
      <x:c r="H50" s="202">
        <x:f>'(계획)손익계산서 월별계획'!H37</x:f>
        <x:v>25656652.156738091</x:v>
      </x:c>
      <x:c r="I50" s="202">
        <x:f>'(계획)손익계산서 월별계획'!I37</x:f>
        <x:v>23500107.258426446</x:v>
      </x:c>
      <x:c r="J50" s="202">
        <x:f>'(계획)손익계산서 월별계획'!J37</x:f>
        <x:v>70349596.976527929</x:v>
      </x:c>
      <x:c r="K50" s="202">
        <x:f>'(계획)손익계산서 월별계획'!K37</x:f>
        <x:v>23218357.706565745</x:v>
      </x:c>
      <x:c r="L50" s="202">
        <x:f>'(계획)손익계산서 월별계획'!L37</x:f>
        <x:v>26635801.488395885</x:v>
      </x:c>
      <x:c r="M50" s="202">
        <x:f>'(계획)손익계산서 월별계획'!M37</x:f>
        <x:v>58513771.431928352</x:v>
      </x:c>
      <x:c r="N50" s="202">
        <x:f>'(계획)손익계산서 월별계획'!N37</x:f>
        <x:v>23455511.36916985</x:v>
      </x:c>
      <x:c r="O50" s="202">
        <x:f>'(계획)손익계산서 월별계획'!O37</x:f>
        <x:v>23000360.421949785</x:v>
      </x:c>
      <x:c r="P50" s="202">
        <x:f>'(계획)손익계산서 월별계획'!P37</x:f>
        <x:v>58252965.612213068</x:v>
      </x:c>
    </x:row>
    <x:row r="51" spans="2:16" ht="13.5">
      <x:c r="B51" s="68" t="s">
        <x:v>44</x:v>
      </x:c>
      <x:c r="C51" s="241">
        <x:f t="shared" si="13"/>
        <x:v>473988026.65000492</x:v>
      </x:c>
      <x:c r="D51" s="241"/>
      <x:c r="E51" s="202">
        <x:f>'(계획)손익계산서 월별계획'!E38</x:f>
        <x:v>38314585.37441659</x:v>
      </x:c>
      <x:c r="F51" s="202">
        <x:f>'(계획)손익계산서 월별계획'!F38</x:f>
        <x:v>36361015.10634771</x:v>
      </x:c>
      <x:c r="G51" s="202">
        <x:f>'(계획)손익계산서 월별계획'!G38</x:f>
        <x:v>33278280.48859496</x:v>
      </x:c>
      <x:c r="H51" s="202">
        <x:f>'(계획)손익계산서 월별계획'!H38</x:f>
        <x:v>37889952.770366564</x:v>
      </x:c>
      <x:c r="I51" s="202">
        <x:f>'(계획)손익계산서 월별계획'!I38</x:f>
        <x:v>36086360.626613609</x:v>
      </x:c>
      <x:c r="J51" s="202">
        <x:f>'(계획)손익계산서 월별계획'!J38</x:f>
        <x:v>34858764.190459251</x:v>
      </x:c>
      <x:c r="K51" s="202">
        <x:f>'(계획)손익계산서 월별계획'!K38</x:f>
        <x:v>51764677.860557295</x:v>
      </x:c>
      <x:c r="L51" s="202">
        <x:f>'(계획)손익계산서 월별계획'!L38</x:f>
        <x:v>35069686.271805599</x:v>
      </x:c>
      <x:c r="M51" s="202">
        <x:f>'(계획)손익계산서 월별계획'!M38</x:f>
        <x:v>41906333.096380606</x:v>
      </x:c>
      <x:c r="N51" s="202">
        <x:f>'(계획)손익계산서 월별계획'!N38</x:f>
        <x:v>46687272.332104705</x:v>
      </x:c>
      <x:c r="O51" s="202">
        <x:f>'(계획)손익계산서 월별계획'!O38</x:f>
        <x:v>37523677.460426755</x:v>
      </x:c>
      <x:c r="P51" s="202">
        <x:f>'(계획)손익계산서 월별계획'!P38</x:f>
        <x:v>44247421.07193128</x:v>
      </x:c>
    </x:row>
    <x:row r="52" spans="2:16" ht="13.5">
      <x:c r="B52" s="68" t="s">
        <x:v>34</x:v>
      </x:c>
      <x:c r="C52" s="241">
        <x:f t="shared" si="13"/>
        <x:v>371673991.64883161</x:v>
      </x:c>
      <x:c r="D52" s="241"/>
      <x:c r="E52" s="202">
        <x:f>'(계획)손익계산서 월별계획'!E39</x:f>
        <x:v>17105491.958382115</x:v>
      </x:c>
      <x:c r="F52" s="202">
        <x:f>'(계획)손익계산서 월별계획'!F39</x:f>
        <x:v>41837257.625576369</x:v>
      </x:c>
      <x:c r="G52" s="202">
        <x:f>'(계획)손익계산서 월별계획'!G39</x:f>
        <x:v>25836755.68871161</x:v>
      </x:c>
      <x:c r="H52" s="202">
        <x:f>'(계획)손익계산서 월별계획'!H39</x:f>
        <x:v>18992835.472590901</x:v>
      </x:c>
      <x:c r="I52" s="202">
        <x:f>'(계획)손익계산서 월별계획'!I39</x:f>
        <x:v>16975776.075847462</x:v>
      </x:c>
      <x:c r="J52" s="202">
        <x:f>'(계획)손익계산서 월별계획'!J39</x:f>
        <x:v>18724985.391780552</x:v>
      </x:c>
      <x:c r="K52" s="202">
        <x:f>'(계획)손익계산서 월별계획'!K39</x:f>
        <x:v>15168238.113094889</x:v>
      </x:c>
      <x:c r="L52" s="202">
        <x:f>'(계획)손익계산서 월별계획'!L39</x:f>
        <x:v>84970399.120141029</x:v>
      </x:c>
      <x:c r="M52" s="202">
        <x:f>'(계획)손익계산서 월별계획'!M39</x:f>
        <x:v>27740145.594649985</x:v>
      </x:c>
      <x:c r="N52" s="202">
        <x:f>'(계획)손익계산서 월별계획'!N39</x:f>
        <x:v>14847070.91985989</x:v>
      </x:c>
      <x:c r="O52" s="202">
        <x:f>'(계획)손익계산서 월별계획'!O39</x:f>
        <x:v>21152490.707569864</x:v>
      </x:c>
      <x:c r="P52" s="202">
        <x:f>'(계획)손익계산서 월별계획'!P39</x:f>
        <x:v>68322544.98062703</x:v>
      </x:c>
    </x:row>
    <x:row r="53" spans="2:16" ht="13.5">
      <x:c r="B53" s="68" t="s">
        <x:v>38</x:v>
      </x:c>
      <x:c r="C53" s="241">
        <x:f t="shared" si="13"/>
        <x:v>0</x:v>
      </x:c>
      <x:c r="D53" s="241"/>
      <x:c r="E53" s="202">
        <x:f>'(계획)손익계산서 월별계획'!E40</x:f>
        <x:v>0</x:v>
      </x:c>
      <x:c r="F53" s="202">
        <x:f>'(계획)손익계산서 월별계획'!F40</x:f>
        <x:v>0</x:v>
      </x:c>
      <x:c r="G53" s="202">
        <x:f>'(계획)손익계산서 월별계획'!G40</x:f>
        <x:v>0</x:v>
      </x:c>
      <x:c r="H53" s="202">
        <x:f>'(계획)손익계산서 월별계획'!H40</x:f>
        <x:v>0</x:v>
      </x:c>
      <x:c r="I53" s="202">
        <x:f>'(계획)손익계산서 월별계획'!I40</x:f>
        <x:v>0</x:v>
      </x:c>
      <x:c r="J53" s="202">
        <x:f>'(계획)손익계산서 월별계획'!J40</x:f>
        <x:v>0</x:v>
      </x:c>
      <x:c r="K53" s="202">
        <x:f>'(계획)손익계산서 월별계획'!K40</x:f>
        <x:v>0</x:v>
      </x:c>
      <x:c r="L53" s="202">
        <x:f>'(계획)손익계산서 월별계획'!L40</x:f>
        <x:v>0</x:v>
      </x:c>
      <x:c r="M53" s="202">
        <x:f>'(계획)손익계산서 월별계획'!M40</x:f>
        <x:v>0</x:v>
      </x:c>
      <x:c r="N53" s="202">
        <x:f>'(계획)손익계산서 월별계획'!N40</x:f>
        <x:v>0</x:v>
      </x:c>
      <x:c r="O53" s="202">
        <x:f>'(계획)손익계산서 월별계획'!O40</x:f>
        <x:v>0</x:v>
      </x:c>
      <x:c r="P53" s="202">
        <x:f>'(계획)손익계산서 월별계획'!P40</x:f>
        <x:v>0</x:v>
      </x:c>
    </x:row>
    <x:row r="54" spans="2:16" ht="13.5">
      <x:c r="B54" s="68" t="s">
        <x:v>39</x:v>
      </x:c>
      <x:c r="C54" s="241">
        <x:f t="shared" si="13"/>
        <x:v>0</x:v>
      </x:c>
      <x:c r="D54" s="241"/>
      <x:c r="E54" s="202">
        <x:f>'(계획)손익계산서 월별계획'!E41</x:f>
        <x:v>0</x:v>
      </x:c>
      <x:c r="F54" s="202">
        <x:f>'(계획)손익계산서 월별계획'!F41</x:f>
        <x:v>0</x:v>
      </x:c>
      <x:c r="G54" s="202">
        <x:f>'(계획)손익계산서 월별계획'!G41</x:f>
        <x:v>0</x:v>
      </x:c>
      <x:c r="H54" s="202">
        <x:f>'(계획)손익계산서 월별계획'!H41</x:f>
        <x:v>0</x:v>
      </x:c>
      <x:c r="I54" s="202">
        <x:f>'(계획)손익계산서 월별계획'!I41</x:f>
        <x:v>0</x:v>
      </x:c>
      <x:c r="J54" s="202">
        <x:f>'(계획)손익계산서 월별계획'!J41</x:f>
        <x:v>0</x:v>
      </x:c>
      <x:c r="K54" s="202">
        <x:f>'(계획)손익계산서 월별계획'!K41</x:f>
        <x:v>0</x:v>
      </x:c>
      <x:c r="L54" s="202">
        <x:f>'(계획)손익계산서 월별계획'!L41</x:f>
        <x:v>0</x:v>
      </x:c>
      <x:c r="M54" s="202">
        <x:f>'(계획)손익계산서 월별계획'!M41</x:f>
        <x:v>0</x:v>
      </x:c>
      <x:c r="N54" s="202">
        <x:f>'(계획)손익계산서 월별계획'!N41</x:f>
        <x:v>0</x:v>
      </x:c>
      <x:c r="O54" s="202">
        <x:f>'(계획)손익계산서 월별계획'!O41</x:f>
        <x:v>0</x:v>
      </x:c>
      <x:c r="P54" s="202">
        <x:f>'(계획)손익계산서 월별계획'!P41</x:f>
        <x:v>0</x:v>
      </x:c>
    </x:row>
    <x:row r="55" spans="2:16" ht="13.5">
      <x:c r="B55" s="68" t="s">
        <x:v>37</x:v>
      </x:c>
      <x:c r="C55" s="241">
        <x:f t="shared" si="13"/>
        <x:v>0</x:v>
      </x:c>
      <x:c r="D55" s="241"/>
      <x:c r="E55" s="202">
        <x:f>'(계획)손익계산서 월별계획'!E42</x:f>
        <x:v>0</x:v>
      </x:c>
      <x:c r="F55" s="202">
        <x:f>'(계획)손익계산서 월별계획'!F42</x:f>
        <x:v>0</x:v>
      </x:c>
      <x:c r="G55" s="202">
        <x:f>'(계획)손익계산서 월별계획'!G42</x:f>
        <x:v>0</x:v>
      </x:c>
      <x:c r="H55" s="202">
        <x:f>'(계획)손익계산서 월별계획'!H42</x:f>
        <x:v>0</x:v>
      </x:c>
      <x:c r="I55" s="202">
        <x:f>'(계획)손익계산서 월별계획'!I42</x:f>
        <x:v>0</x:v>
      </x:c>
      <x:c r="J55" s="202">
        <x:f>'(계획)손익계산서 월별계획'!J42</x:f>
        <x:v>0</x:v>
      </x:c>
      <x:c r="K55" s="202">
        <x:f>'(계획)손익계산서 월별계획'!K42</x:f>
        <x:v>0</x:v>
      </x:c>
      <x:c r="L55" s="202">
        <x:f>'(계획)손익계산서 월별계획'!L42</x:f>
        <x:v>0</x:v>
      </x:c>
      <x:c r="M55" s="202">
        <x:f>'(계획)손익계산서 월별계획'!M42</x:f>
        <x:v>0</x:v>
      </x:c>
      <x:c r="N55" s="202">
        <x:f>'(계획)손익계산서 월별계획'!N42</x:f>
        <x:v>0</x:v>
      </x:c>
      <x:c r="O55" s="202">
        <x:f>'(계획)손익계산서 월별계획'!O42</x:f>
        <x:v>0</x:v>
      </x:c>
      <x:c r="P55" s="202">
        <x:f>'(계획)손익계산서 월별계획'!P42</x:f>
        <x:v>0</x:v>
      </x:c>
    </x:row>
    <x:row r="56" spans="2:16" ht="13.5">
      <x:c r="B56" s="68" t="s">
        <x:v>40</x:v>
      </x:c>
      <x:c r="C56" s="241">
        <x:f t="shared" si="13"/>
        <x:v>1300829164.2543855</x:v>
      </x:c>
      <x:c r="D56" s="241"/>
      <x:c r="E56" s="202">
        <x:f>'(계획)손익계산서 월별계획'!E43</x:f>
        <x:v>122363848.0917128</x:v>
      </x:c>
      <x:c r="F56" s="202">
        <x:f>'(계획)손익계산서 월별계획'!F43</x:f>
        <x:v>126737245.37587193</x:v>
      </x:c>
      <x:c r="G56" s="202">
        <x:f>'(계획)손익계산서 월별계획'!G43</x:f>
        <x:v>134168735.28960171</x:v>
      </x:c>
      <x:c r="H56" s="202">
        <x:f>'(계획)손익계산서 월별계획'!H43</x:f>
        <x:v>133605482.15311083</x:v>
      </x:c>
      <x:c r="I56" s="202">
        <x:f>'(계획)손익계산서 월별계획'!I43</x:f>
        <x:v>131567654.60718061</x:v>
      </x:c>
      <x:c r="J56" s="202">
        <x:f>'(계획)손익계산서 월별계획'!J43</x:f>
        <x:v>95764622.079476878</x:v>
      </x:c>
      <x:c r="K56" s="202">
        <x:f>'(계획)손익계산서 월별계획'!K43</x:f>
        <x:v>91160020.679206952</x:v>
      </x:c>
      <x:c r="L56" s="202">
        <x:f>'(계획)손익계산서 월별계획'!L43</x:f>
        <x:v>81347245.375871927</x:v>
      </x:c>
      <x:c r="M56" s="202">
        <x:f>'(계획)손익계산서 월별계획'!M43</x:f>
        <x:v>90648331.419847235</x:v>
      </x:c>
      <x:c r="N56" s="202">
        <x:f>'(계획)손익계산서 월별계획'!N43</x:f>
        <x:v>99981793.359938547</x:v>
      </x:c>
      <x:c r="O56" s="202">
        <x:f>'(계획)손익계산서 월별계획'!O43</x:f>
        <x:v>91177654.60718061</x:v>
      </x:c>
      <x:c r="P56" s="202">
        <x:f>'(계획)손익계산서 월별계획'!P43</x:f>
        <x:v>102306531.21538544</x:v>
      </x:c>
    </x:row>
    <x:row r="57" spans="2:16" ht="13.5">
      <x:c r="B57" s="68" t="s">
        <x:v>35</x:v>
      </x:c>
      <x:c r="C57" s="241">
        <x:f t="shared" si="13"/>
        <x:v>311371798.39092433</x:v>
      </x:c>
      <x:c r="D57" s="241"/>
      <x:c r="E57" s="202">
        <x:f>'(계획)손익계산서 월별계획'!E44</x:f>
        <x:v>18778864.491560098</x:v>
      </x:c>
      <x:c r="F57" s="202">
        <x:f>'(계획)손익계산서 월별계획'!F44</x:f>
        <x:v>12040585.371066296</x:v>
      </x:c>
      <x:c r="G57" s="202">
        <x:f>'(계획)손익계산서 월별계획'!G44</x:f>
        <x:v>27451461.52936285</x:v>
      </x:c>
      <x:c r="H57" s="202">
        <x:f>'(계획)손익계산서 월별계획'!H44</x:f>
        <x:v>14940089.50470902</x:v>
      </x:c>
      <x:c r="I57" s="202">
        <x:f>'(계획)손익계산서 월별계획'!I44</x:f>
        <x:v>46237930.454524763</x:v>
      </x:c>
      <x:c r="J57" s="202">
        <x:f>'(계획)손익계산서 월별계획'!J44</x:f>
        <x:v>35205897.518807314</x:v>
      </x:c>
      <x:c r="K57" s="202">
        <x:f>'(계획)손익계산서 월별계획'!K44</x:f>
        <x:v>34608864.491560102</x:v>
      </x:c>
      <x:c r="L57" s="202">
        <x:f>'(계획)손익계산서 월별계획'!L44</x:f>
        <x:v>23493893.339399703</x:v>
      </x:c>
      <x:c r="M57" s="202">
        <x:f>'(계획)손익계산서 월별계획'!M44</x:f>
        <x:v>34697274.721955784</x:v>
      </x:c>
      <x:c r="N57" s="202">
        <x:f>'(계획)손익계산서 월별계획'!N44</x:f>
        <x:v>12494890.067549312</x:v>
      </x:c>
      <x:c r="O57" s="202">
        <x:f>'(계획)손익계산서 월별계획'!O44</x:f>
        <x:v>19938864.491560098</x:v>
      </x:c>
      <x:c r="P57" s="202">
        <x:f>'(계획)손익계산서 월별계획'!P44</x:f>
        <x:v>31483182.408869047</x:v>
      </x:c>
    </x:row>
    <x:row r="58" spans="2:16" ht="13.5">
      <x:c r="B58" s="68" t="s">
        <x:v>36</x:v>
      </x:c>
      <x:c r="C58" s="241">
        <x:f t="shared" si="13"/>
        <x:v>342482677.94829714</x:v>
      </x:c>
      <x:c r="D58" s="241"/>
      <x:c r="E58" s="202">
        <x:f>'(계획)손익계산서 월별계획'!E45</x:f>
        <x:v>28571640.845887918</x:v>
      </x:c>
      <x:c r="F58" s="202">
        <x:f>'(계획)손익계산서 월별계획'!F45</x:f>
        <x:v>28571651.660420902</x:v>
      </x:c>
      <x:c r="G58" s="202">
        <x:f>'(계획)손익계산서 월별계획'!G45</x:f>
        <x:v>28571651.606118698</x:v>
      </x:c>
      <x:c r="H58" s="202">
        <x:f>'(계획)손익계산서 월별계획'!H45</x:f>
        <x:v>28571651.714723103</x:v>
      </x:c>
      <x:c r="I58" s="202">
        <x:f>'(계획)손익계산서 월별계획'!I45</x:f>
        <x:v>28571651.660420902</x:v>
      </x:c>
      <x:c r="J58" s="202">
        <x:f>'(계획)손익계산서 월별계획'!J45</x:f>
        <x:v>28571651.4975143</x:v>
      </x:c>
      <x:c r="K58" s="202">
        <x:f>'(계획)손익계산서 월별계획'!K45</x:f>
        <x:v>28571651.660420902</x:v>
      </x:c>
      <x:c r="L58" s="202">
        <x:f>'(계획)손익계산서 월별계획'!L45</x:f>
        <x:v>28571651.877629701</x:v>
      </x:c>
      <x:c r="M58" s="202">
        <x:f>'(계획)손익계산서 월별계획'!M45</x:f>
        <x:v>28554139.09271463</x:v>
      </x:c>
      <x:c r="N58" s="202">
        <x:f>'(계획)손익계산서 월별계획'!N45</x:f>
        <x:v>28554122.147016834</x:v>
      </x:c>
      <x:c r="O58" s="202">
        <x:f>'(계획)손익계산서 월별계획'!O45</x:f>
        <x:v>28400607.147016834</x:v>
      </x:c>
      <x:c r="P58" s="202">
        <x:f>'(계획)손익계산서 월별계획'!P45</x:f>
        <x:v>28400607.038412433</x:v>
      </x:c>
    </x:row>
    <x:row r="59" spans="2:16" ht="13.5">
      <x:c r="B59" s="68" t="s">
        <x:v>45</x:v>
      </x:c>
      <x:c r="C59" s="241">
        <x:f t="shared" si="13"/>
        <x:v>330000000</x:v>
      </x:c>
      <x:c r="D59" s="241"/>
      <x:c r="E59" s="202">
        <x:f>'(계획)손익계산서 월별계획'!E46</x:f>
        <x:v>62000000</x:v>
      </x:c>
      <x:c r="F59" s="202">
        <x:f>'(계획)손익계산서 월별계획'!F46</x:f>
        <x:v>62000000</x:v>
      </x:c>
      <x:c r="G59" s="202">
        <x:f>'(계획)손익계산서 월별계획'!G46</x:f>
        <x:v>8000000</x:v>
      </x:c>
      <x:c r="H59" s="202">
        <x:f>'(계획)손익계산서 월별계획'!H46</x:f>
        <x:v>22000000</x:v>
      </x:c>
      <x:c r="I59" s="202">
        <x:f>'(계획)손익계산서 월별계획'!I46</x:f>
        <x:v>22000000</x:v>
      </x:c>
      <x:c r="J59" s="202">
        <x:f>'(계획)손익계산서 월별계획'!J46</x:f>
        <x:v>22000000</x:v>
      </x:c>
      <x:c r="K59" s="202">
        <x:f>'(계획)손익계산서 월별계획'!K46</x:f>
        <x:v>22000000</x:v>
      </x:c>
      <x:c r="L59" s="202">
        <x:f>'(계획)손익계산서 월별계획'!L46</x:f>
        <x:v>22000000</x:v>
      </x:c>
      <x:c r="M59" s="202">
        <x:f>'(계획)손익계산서 월별계획'!M46</x:f>
        <x:v>22000000</x:v>
      </x:c>
      <x:c r="N59" s="202">
        <x:f>'(계획)손익계산서 월별계획'!N46</x:f>
        <x:v>22000000</x:v>
      </x:c>
      <x:c r="O59" s="202">
        <x:f>'(계획)손익계산서 월별계획'!O46</x:f>
        <x:v>22000000</x:v>
      </x:c>
      <x:c r="P59" s="202">
        <x:f>'(계획)손익계산서 월별계획'!P46</x:f>
        <x:v>22000000</x:v>
      </x:c>
    </x:row>
    <x:row r="60" spans="2:16" ht="13.5">
      <x:c r="B60" s="68" t="s">
        <x:v>46</x:v>
      </x:c>
      <x:c r="C60" s="241">
        <x:f t="shared" si="13"/>
        <x:v>0</x:v>
      </x:c>
      <x:c r="D60" s="241"/>
      <x:c r="E60" s="202">
        <x:f>'(계획)손익계산서 월별계획'!E47</x:f>
        <x:v>0</x:v>
      </x:c>
      <x:c r="F60" s="202">
        <x:f>'(계획)손익계산서 월별계획'!F47</x:f>
        <x:v>0</x:v>
      </x:c>
      <x:c r="G60" s="202">
        <x:f>'(계획)손익계산서 월별계획'!G47</x:f>
        <x:v>0</x:v>
      </x:c>
      <x:c r="H60" s="202">
        <x:f>'(계획)손익계산서 월별계획'!H47</x:f>
        <x:v>0</x:v>
      </x:c>
      <x:c r="I60" s="202">
        <x:f>'(계획)손익계산서 월별계획'!I47</x:f>
        <x:v>0</x:v>
      </x:c>
      <x:c r="J60" s="202">
        <x:f>'(계획)손익계산서 월별계획'!J47</x:f>
        <x:v>0</x:v>
      </x:c>
      <x:c r="K60" s="202">
        <x:f>'(계획)손익계산서 월별계획'!K47</x:f>
        <x:v>0</x:v>
      </x:c>
      <x:c r="L60" s="202">
        <x:f>'(계획)손익계산서 월별계획'!L47</x:f>
        <x:v>0</x:v>
      </x:c>
      <x:c r="M60" s="202">
        <x:f>'(계획)손익계산서 월별계획'!M47</x:f>
        <x:v>0</x:v>
      </x:c>
      <x:c r="N60" s="202">
        <x:f>'(계획)손익계산서 월별계획'!N47</x:f>
        <x:v>0</x:v>
      </x:c>
      <x:c r="O60" s="202">
        <x:f>'(계획)손익계산서 월별계획'!O47</x:f>
        <x:v>0</x:v>
      </x:c>
      <x:c r="P60" s="202">
        <x:f>'(계획)손익계산서 월별계획'!P47</x:f>
        <x:v>0</x:v>
      </x:c>
    </x:row>
    <x:row r="61" spans="2:16" ht="13.5">
      <x:c r="B61" s="68" t="s">
        <x:v>47</x:v>
      </x:c>
      <x:c r="C61" s="241">
        <x:f t="shared" si="13"/>
        <x:v>0</x:v>
      </x:c>
      <x:c r="D61" s="241"/>
      <x:c r="E61" s="202">
        <x:f>'(계획)손익계산서 월별계획'!E48</x:f>
        <x:v>0</x:v>
      </x:c>
      <x:c r="F61" s="202">
        <x:f>'(계획)손익계산서 월별계획'!F48</x:f>
        <x:v>0</x:v>
      </x:c>
      <x:c r="G61" s="202">
        <x:f>'(계획)손익계산서 월별계획'!G48</x:f>
        <x:v>0</x:v>
      </x:c>
      <x:c r="H61" s="202">
        <x:f>'(계획)손익계산서 월별계획'!H48</x:f>
        <x:v>0</x:v>
      </x:c>
      <x:c r="I61" s="202">
        <x:f>'(계획)손익계산서 월별계획'!I48</x:f>
        <x:v>0</x:v>
      </x:c>
      <x:c r="J61" s="202">
        <x:f>'(계획)손익계산서 월별계획'!J48</x:f>
        <x:v>0</x:v>
      </x:c>
      <x:c r="K61" s="202">
        <x:f>'(계획)손익계산서 월별계획'!K48</x:f>
        <x:v>0</x:v>
      </x:c>
      <x:c r="L61" s="202">
        <x:f>'(계획)손익계산서 월별계획'!L48</x:f>
        <x:v>0</x:v>
      </x:c>
      <x:c r="M61" s="202">
        <x:f>'(계획)손익계산서 월별계획'!M48</x:f>
        <x:v>0</x:v>
      </x:c>
      <x:c r="N61" s="202">
        <x:f>'(계획)손익계산서 월별계획'!N48</x:f>
        <x:v>0</x:v>
      </x:c>
      <x:c r="O61" s="202">
        <x:f>'(계획)손익계산서 월별계획'!O48</x:f>
        <x:v>0</x:v>
      </x:c>
      <x:c r="P61" s="202">
        <x:f>'(계획)손익계산서 월별계획'!P48</x:f>
        <x:v>0</x:v>
      </x:c>
    </x:row>
    <x:row r="62" spans="2:16" ht="13.5">
      <x:c r="B62" s="68" t="s">
        <x:v>48</x:v>
      </x:c>
      <x:c r="C62" s="241">
        <x:f t="shared" si="13"/>
        <x:v>145185638.15941823</x:v>
      </x:c>
      <x:c r="D62" s="241"/>
      <x:c r="E62" s="202">
        <x:f>'(계획)손익계산서 월별계획'!E49</x:f>
        <x:v>10654548.883285508</x:v>
      </x:c>
      <x:c r="F62" s="202">
        <x:f>'(계획)손익계산서 월별계획'!F49</x:f>
        <x:v>10115871.07153186</x:v>
      </x:c>
      <x:c r="G62" s="202">
        <x:f>'(계획)손익계산서 월별계획'!G49</x:f>
        <x:v>15768247.683607031</x:v>
      </x:c>
      <x:c r="H62" s="202">
        <x:f>'(계획)손익계산서 월별계획'!H49</x:f>
        <x:v>10744419.02224239</x:v>
      </x:c>
      <x:c r="I62" s="202">
        <x:f>'(계획)손익계산서 월별계획'!I49</x:f>
        <x:v>10626999.092642922</x:v>
      </x:c>
      <x:c r="J62" s="202">
        <x:f>'(계획)손익계산서 월별계획'!J49</x:f>
        <x:v>14649695.620201061</x:v>
      </x:c>
      <x:c r="K62" s="202">
        <x:f>'(계획)손익계산서 월별계획'!K49</x:f>
        <x:v>11862896.056447778</x:v>
      </x:c>
      <x:c r="L62" s="202">
        <x:f>'(계획)손익계산서 월별계획'!L49</x:f>
        <x:v>10034417.773383629</x:v>
      </x:c>
      <x:c r="M62" s="202">
        <x:f>'(계획)손익계산서 월별계획'!M49</x:f>
        <x:v>12719129.203457791</x:v>
      </x:c>
      <x:c r="N62" s="202">
        <x:f>'(계획)손익계산서 월별계획'!N49</x:f>
        <x:v>11083264.742539039</x:v>
      </x:c>
      <x:c r="O62" s="202">
        <x:f>'(계획)손익계산서 월별계획'!O49</x:f>
        <x:v>12229333.727582337</x:v>
      </x:c>
      <x:c r="P62" s="202">
        <x:f>'(계획)손익계산서 월별계획'!P49</x:f>
        <x:v>14696815.282496884</x:v>
      </x:c>
    </x:row>
    <x:row r="63" spans="2:16" ht="13.5">
      <x:c r="B63" s="68" t="s">
        <x:v>63</x:v>
      </x:c>
      <x:c r="C63" s="241">
        <x:f t="shared" si="13"/>
        <x:v>0</x:v>
      </x:c>
      <x:c r="D63" s="241"/>
      <x:c r="E63" s="202">
        <x:f>'(계획)손익계산서 월별계획'!E50</x:f>
        <x:v>0</x:v>
      </x:c>
      <x:c r="F63" s="202">
        <x:f>'(계획)손익계산서 월별계획'!F50</x:f>
        <x:v>0</x:v>
      </x:c>
      <x:c r="G63" s="202">
        <x:f>'(계획)손익계산서 월별계획'!G50</x:f>
        <x:v>0</x:v>
      </x:c>
      <x:c r="H63" s="202">
        <x:f>'(계획)손익계산서 월별계획'!H50</x:f>
        <x:v>0</x:v>
      </x:c>
      <x:c r="I63" s="202">
        <x:f>'(계획)손익계산서 월별계획'!I50</x:f>
        <x:v>0</x:v>
      </x:c>
      <x:c r="J63" s="202">
        <x:f>'(계획)손익계산서 월별계획'!J50</x:f>
        <x:v>0</x:v>
      </x:c>
      <x:c r="K63" s="202">
        <x:f>'(계획)손익계산서 월별계획'!K50</x:f>
        <x:v>0</x:v>
      </x:c>
      <x:c r="L63" s="202">
        <x:f>'(계획)손익계산서 월별계획'!L50</x:f>
        <x:v>0</x:v>
      </x:c>
      <x:c r="M63" s="202">
        <x:f>'(계획)손익계산서 월별계획'!M50</x:f>
        <x:v>0</x:v>
      </x:c>
      <x:c r="N63" s="202">
        <x:f>'(계획)손익계산서 월별계획'!N50</x:f>
        <x:v>0</x:v>
      </x:c>
      <x:c r="O63" s="202">
        <x:f>'(계획)손익계산서 월별계획'!O50</x:f>
        <x:v>0</x:v>
      </x:c>
      <x:c r="P63" s="202">
        <x:f>'(계획)손익계산서 월별계획'!P50</x:f>
        <x:v>0</x:v>
      </x:c>
    </x:row>
    <x:row r="64" spans="2:16" ht="13.5">
      <x:c r="B64" s="68" t="s">
        <x:v>64</x:v>
      </x:c>
      <x:c r="C64" s="241">
        <x:f t="shared" si="13"/>
        <x:v>0</x:v>
      </x:c>
      <x:c r="D64" s="241"/>
      <x:c r="E64" s="202">
        <x:f>'(계획)손익계산서 월별계획'!E51</x:f>
        <x:v>0</x:v>
      </x:c>
      <x:c r="F64" s="202">
        <x:f>'(계획)손익계산서 월별계획'!F51</x:f>
        <x:v>0</x:v>
      </x:c>
      <x:c r="G64" s="202">
        <x:f>'(계획)손익계산서 월별계획'!G51</x:f>
        <x:v>0</x:v>
      </x:c>
      <x:c r="H64" s="202">
        <x:f>'(계획)손익계산서 월별계획'!H51</x:f>
        <x:v>0</x:v>
      </x:c>
      <x:c r="I64" s="202">
        <x:f>'(계획)손익계산서 월별계획'!I51</x:f>
        <x:v>0</x:v>
      </x:c>
      <x:c r="J64" s="202">
        <x:f>'(계획)손익계산서 월별계획'!J51</x:f>
        <x:v>0</x:v>
      </x:c>
      <x:c r="K64" s="202">
        <x:f>'(계획)손익계산서 월별계획'!K51</x:f>
        <x:v>0</x:v>
      </x:c>
      <x:c r="L64" s="202">
        <x:f>'(계획)손익계산서 월별계획'!L51</x:f>
        <x:v>0</x:v>
      </x:c>
      <x:c r="M64" s="202">
        <x:f>'(계획)손익계산서 월별계획'!M51</x:f>
        <x:v>0</x:v>
      </x:c>
      <x:c r="N64" s="202">
        <x:f>'(계획)손익계산서 월별계획'!N51</x:f>
        <x:v>0</x:v>
      </x:c>
      <x:c r="O64" s="202">
        <x:f>'(계획)손익계산서 월별계획'!O51</x:f>
        <x:v>0</x:v>
      </x:c>
      <x:c r="P64" s="202">
        <x:f>'(계획)손익계산서 월별계획'!P51</x:f>
        <x:v>0</x:v>
      </x:c>
    </x:row>
    <x:row r="65" spans="2:16" ht="9.6" customHeight="1">
      <x:c r="B65" s="27"/>
      <x:c r="C65" s="14"/>
      <x:c r="D65" s="14"/>
      <x:c r="E65" s="187"/>
      <x:c r="F65" s="187"/>
      <x:c r="G65" s="187"/>
      <x:c r="H65" s="187"/>
      <x:c r="I65" s="187"/>
      <x:c r="J65" s="187"/>
      <x:c r="K65" s="187"/>
      <x:c r="L65" s="187"/>
      <x:c r="M65" s="187"/>
      <x:c r="N65" s="187"/>
      <x:c r="O65" s="187"/>
      <x:c r="P65" s="187"/>
    </x:row>
    <x:row r="66" spans="2:16" ht="16.5">
      <x:c r="B66" s="12" t="s">
        <x:v>4</x:v>
      </x:c>
      <x:c r="C66" s="28">
        <x:f>SUM(E66:P66)</x:f>
        <x:v>5573957648.9719391</x:v>
      </x:c>
      <x:c r="D66" s="28"/>
      <x:c r="E66" s="29">
        <x:f t="shared" ref="E66:O66" si="14">SUM(E67:E80)</x:f>
        <x:v>494762129.73469526</x:v>
      </x:c>
      <x:c r="F66" s="29">
        <x:f t="shared" si="14"/>
        <x:v>556935915.51944447</x:v>
      </x:c>
      <x:c r="G66" s="29">
        <x:f t="shared" si="14"/>
        <x:v>602334879.80279922</x:v>
      </x:c>
      <x:c r="H66" s="29">
        <x:f t="shared" si="14"/>
        <x:v>451849622.95644444</x:v>
      </x:c>
      <x:c r="I66" s="29">
        <x:f t="shared" si="14"/>
        <x:v>423246736.95644438</x:v>
      </x:c>
      <x:c r="J66" s="29">
        <x:f t="shared" si="14"/>
        <x:v>431528389.95644444</x:v>
      </x:c>
      <x:c r="K66" s="29">
        <x:f t="shared" si="14"/>
        <x:v>491016248.95644444</x:v>
      </x:c>
      <x:c r="L66" s="29">
        <x:f t="shared" si="14"/>
        <x:v>395878210.95644444</x:v>
      </x:c>
      <x:c r="M66" s="29">
        <x:f t="shared" si="14"/>
        <x:v>389270058.95644444</x:v>
      </x:c>
      <x:c r="N66" s="29">
        <x:f t="shared" si="14"/>
        <x:v>429043578.95644444</x:v>
      </x:c>
      <x:c r="O66" s="29">
        <x:f t="shared" si="14"/>
        <x:v>449862290.95644444</x:v>
      </x:c>
      <x:c r="P66" s="29">
        <x:f>SUM(P67:P80)</x:f>
        <x:v>458229585.26344442</x:v>
      </x:c>
    </x:row>
    <x:row r="67" spans="2:16" ht="13.5">
      <x:c r="B67" s="68" t="s">
        <x:v>42</x:v>
      </x:c>
      <x:c r="C67" s="241">
        <x:f t="shared" ref="C67:C80" si="15">SUM(E67:P67)</x:f>
        <x:v>3156013165.4410572</x:v>
      </x:c>
      <x:c r="D67" s="241"/>
      <x:c r="E67" s="202">
        <x:f>'(계획)손익계산서 월별계획'!E54</x:f>
        <x:v>235571086.21525085</x:v>
      </x:c>
      <x:c r="F67" s="202">
        <x:f>'(계획)손익계산서 월별계획'!F54</x:f>
        <x:v>297382362</x:v>
      </x:c>
      <x:c r="G67" s="202">
        <x:f>'(계획)손익계산서 월별계획'!G54</x:f>
        <x:v>250220213.22580644</x:v>
      </x:c>
      <x:c r="H67" s="202">
        <x:f>'(계획)손익계산서 월별계획'!H54</x:f>
        <x:v>273905336</x:v>
      </x:c>
      <x:c r="I67" s="202">
        <x:f>'(계획)손익계산서 월별계획'!I54</x:f>
        <x:v>219286995</x:v>
      </x:c>
      <x:c r="J67" s="202">
        <x:f>'(계획)손익계산서 월별계획'!J54</x:f>
        <x:v>277270933</x:v>
      </x:c>
      <x:c r="K67" s="202">
        <x:f>'(계획)손익계산서 월별계획'!K54</x:f>
        <x:v>255298162</x:v>
      </x:c>
      <x:c r="L67" s="202">
        <x:f>'(계획)손익계산서 월별계획'!L54</x:f>
        <x:v>244681140</x:v>
      </x:c>
      <x:c r="M67" s="202">
        <x:f>'(계획)손익계산서 월별계획'!M54</x:f>
        <x:v>244311932</x:v>
      </x:c>
      <x:c r="N67" s="202">
        <x:f>'(계획)손익계산서 월별계획'!N54</x:f>
        <x:v>288005222</x:v>
      </x:c>
      <x:c r="O67" s="202">
        <x:f>'(계획)손익계산서 월별계획'!O54</x:f>
        <x:v>281683934</x:v>
      </x:c>
      <x:c r="P67" s="202">
        <x:f>'(계획)손익계산서 월별계획'!P54</x:f>
        <x:v>288395850</x:v>
      </x:c>
    </x:row>
    <x:row r="68" spans="2:16" ht="13.5">
      <x:c r="B68" s="68" t="s">
        <x:v>65</x:v>
      </x:c>
      <x:c r="C68" s="241">
        <x:f t="shared" si="15"/>
        <x:v>46515370</x:v>
      </x:c>
      <x:c r="D68" s="241"/>
      <x:c r="E68" s="202">
        <x:f>'(계획)손익계산서 월별계획'!E55</x:f>
        <x:v>3187947.5</x:v>
      </x:c>
      <x:c r="F68" s="202">
        <x:f>'(계획)손익계산서 월별계획'!F55</x:f>
        <x:v>5187947.5</x:v>
      </x:c>
      <x:c r="G68" s="202">
        <x:f>'(계획)손익계산서 월별계획'!G55</x:f>
        <x:v>3187947.5</x:v>
      </x:c>
      <x:c r="H68" s="202">
        <x:f>'(계획)손익계산서 월별계획'!H55</x:f>
        <x:v>3187947.5</x:v>
      </x:c>
      <x:c r="I68" s="202">
        <x:f>'(계획)손익계산서 월별계획'!I55</x:f>
        <x:v>5187947.5</x:v>
      </x:c>
      <x:c r="J68" s="202">
        <x:f>'(계획)손익계산서 월별계획'!J55</x:f>
        <x:v>4647947.5</x:v>
      </x:c>
      <x:c r="K68" s="202">
        <x:f>'(계획)손익계산서 월별계획'!K55</x:f>
        <x:v>2987947.5</x:v>
      </x:c>
      <x:c r="L68" s="202">
        <x:f>'(계획)손익계산서 월별계획'!L55</x:f>
        <x:v>4987947.5</x:v>
      </x:c>
      <x:c r="M68" s="202">
        <x:f>'(계획)손익계산서 월별계획'!M55</x:f>
        <x:v>2987947.5</x:v>
      </x:c>
      <x:c r="N68" s="202">
        <x:f>'(계획)손익계산서 월별계획'!N55</x:f>
        <x:v>2987947.5</x:v>
      </x:c>
      <x:c r="O68" s="202">
        <x:f>'(계획)손익계산서 월별계획'!O55</x:f>
        <x:v>4987947.5</x:v>
      </x:c>
      <x:c r="P68" s="202">
        <x:f>'(계획)손익계산서 월별계획'!P55</x:f>
        <x:v>2987947.5</x:v>
      </x:c>
    </x:row>
    <x:row r="69" spans="2:16" ht="13.5">
      <x:c r="B69" s="68" t="s">
        <x:v>44</x:v>
      </x:c>
      <x:c r="C69" s="241">
        <x:f t="shared" si="15"/>
        <x:v>270193544.19754833</x:v>
      </x:c>
      <x:c r="D69" s="241"/>
      <x:c r="E69" s="202">
        <x:f>'(계획)손익계산서 월별계획'!E56</x:f>
        <x:v>20846478.075000003</x:v>
      </x:c>
      <x:c r="F69" s="202">
        <x:f>'(계획)손익계산서 월별계획'!F56</x:f>
        <x:v>22553968.075000003</x:v>
      </x:c>
      <x:c r="G69" s="202">
        <x:f>'(계획)손익계산서 월별계획'!G56</x:f>
        <x:v>20614001.132548388</x:v>
      </x:c>
      <x:c r="H69" s="202">
        <x:f>'(계획)손익계산서 월별계획'!H56</x:f>
        <x:v>21664701.511999998</x:v>
      </x:c>
      <x:c r="I69" s="202">
        <x:f>'(계획)손익계산서 월별계획'!I56</x:f>
        <x:v>21664701.511999998</x:v>
      </x:c>
      <x:c r="J69" s="202">
        <x:f>'(계획)손익계산서 월별계획'!J56</x:f>
        <x:v>21837871.511999998</x:v>
      </x:c>
      <x:c r="K69" s="202">
        <x:f>'(계획)손익계산서 월별계획'!K56</x:f>
        <x:v>24168501.511999998</x:v>
      </x:c>
      <x:c r="L69" s="202">
        <x:f>'(계획)손익계산서 월별계획'!L56</x:f>
        <x:v>22008541.511999998</x:v>
      </x:c>
      <x:c r="M69" s="202">
        <x:f>'(계획)손익계산서 월별계획'!M56</x:f>
        <x:v>22008541.511999998</x:v>
      </x:c>
      <x:c r="N69" s="202">
        <x:f>'(계획)손익계산서 월별계획'!N56</x:f>
        <x:v>23603771.511999998</x:v>
      </x:c>
      <x:c r="O69" s="202">
        <x:f>'(계획)손익계산서 월별계획'!O56</x:f>
        <x:v>23603771.511999998</x:v>
      </x:c>
      <x:c r="P69" s="202">
        <x:f>'(계획)손익계산서 월별계획'!P56</x:f>
        <x:v>25618694.818999998</x:v>
      </x:c>
    </x:row>
    <x:row r="70" spans="2:16" ht="13.5">
      <x:c r="B70" s="68" t="s">
        <x:v>34</x:v>
      </x:c>
      <x:c r="C70" s="241">
        <x:f t="shared" si="15"/>
        <x:v>154713216</x:v>
      </x:c>
      <x:c r="D70" s="241"/>
      <x:c r="E70" s="202">
        <x:f>'(계획)손익계산서 월별계획'!E57</x:f>
        <x:v>8889773.5</x:v>
      </x:c>
      <x:c r="F70" s="202">
        <x:f>'(계획)손익계산서 월별계획'!F57</x:f>
        <x:v>12394773.5</x:v>
      </x:c>
      <x:c r="G70" s="202">
        <x:f>'(계획)손익계산서 월별계획'!G57</x:f>
        <x:v>12745853.5</x:v>
      </x:c>
      <x:c r="H70" s="202">
        <x:f>'(계획)손익계산서 월별계획'!H57</x:f>
        <x:v>9774773.5</x:v>
      </x:c>
      <x:c r="I70" s="202">
        <x:f>'(계획)손익계산서 월별계획'!I57</x:f>
        <x:v>9580228.5</x:v>
      </x:c>
      <x:c r="J70" s="202">
        <x:f>'(계획)손익계산서 월별계획'!J57</x:f>
        <x:v>9404773.5</x:v>
      </x:c>
      <x:c r="K70" s="202">
        <x:f>'(계획)손익계산서 월별계획'!K57</x:f>
        <x:v>8344773.4999999991</x:v>
      </x:c>
      <x:c r="L70" s="202">
        <x:f>'(계획)손익계산서 월별계획'!L57</x:f>
        <x:v>19483717.5</x:v>
      </x:c>
      <x:c r="M70" s="202">
        <x:f>'(계획)손익계산서 월별계획'!M57</x:f>
        <x:v>8244773.4999999991</x:v>
      </x:c>
      <x:c r="N70" s="202">
        <x:f>'(계획)손익계산서 월별계획'!N57</x:f>
        <x:v>8329773.4999999991</x:v>
      </x:c>
      <x:c r="O70" s="202">
        <x:f>'(계획)손익계산서 월별계획'!O57</x:f>
        <x:v>7209773.4999999991</x:v>
      </x:c>
      <x:c r="P70" s="202">
        <x:f>'(계획)손익계산서 월별계획'!P57</x:f>
        <x:v>40310228.5</x:v>
      </x:c>
    </x:row>
    <x:row r="71" spans="2:16" ht="13.5">
      <x:c r="B71" s="68" t="s">
        <x:v>38</x:v>
      </x:c>
      <x:c r="C71" s="241">
        <x:f t="shared" si="15"/>
        <x:v>3720000</x:v>
      </x:c>
      <x:c r="D71" s="241"/>
      <x:c r="E71" s="202">
        <x:f>'(계획)손익계산서 월별계획'!E58</x:f>
        <x:v>310000</x:v>
      </x:c>
      <x:c r="F71" s="202">
        <x:f>'(계획)손익계산서 월별계획'!F58</x:f>
        <x:v>310000</x:v>
      </x:c>
      <x:c r="G71" s="202">
        <x:f>'(계획)손익계산서 월별계획'!G58</x:f>
        <x:v>310000</x:v>
      </x:c>
      <x:c r="H71" s="202">
        <x:f>'(계획)손익계산서 월별계획'!H58</x:f>
        <x:v>310000</x:v>
      </x:c>
      <x:c r="I71" s="202">
        <x:f>'(계획)손익계산서 월별계획'!I58</x:f>
        <x:v>310000</x:v>
      </x:c>
      <x:c r="J71" s="202">
        <x:f>'(계획)손익계산서 월별계획'!J58</x:f>
        <x:v>310000</x:v>
      </x:c>
      <x:c r="K71" s="202">
        <x:f>'(계획)손익계산서 월별계획'!K58</x:f>
        <x:v>310000</x:v>
      </x:c>
      <x:c r="L71" s="202">
        <x:f>'(계획)손익계산서 월별계획'!L58</x:f>
        <x:v>310000</x:v>
      </x:c>
      <x:c r="M71" s="202">
        <x:f>'(계획)손익계산서 월별계획'!M58</x:f>
        <x:v>310000</x:v>
      </x:c>
      <x:c r="N71" s="202">
        <x:f>'(계획)손익계산서 월별계획'!N58</x:f>
        <x:v>310000</x:v>
      </x:c>
      <x:c r="O71" s="202">
        <x:f>'(계획)손익계산서 월별계획'!O58</x:f>
        <x:v>310000</x:v>
      </x:c>
      <x:c r="P71" s="202">
        <x:f>'(계획)손익계산서 월별계획'!P58</x:f>
        <x:v>310000</x:v>
      </x:c>
    </x:row>
    <x:row r="72" spans="2:16" ht="13.5">
      <x:c r="B72" s="68" t="s">
        <x:v>39</x:v>
      </x:c>
      <x:c r="C72" s="241">
        <x:f t="shared" si="15"/>
        <x:v>0</x:v>
      </x:c>
      <x:c r="D72" s="241"/>
      <x:c r="E72" s="202">
        <x:f>'(계획)손익계산서 월별계획'!E59</x:f>
        <x:v>0</x:v>
      </x:c>
      <x:c r="F72" s="202">
        <x:f>'(계획)손익계산서 월별계획'!F59</x:f>
        <x:v>0</x:v>
      </x:c>
      <x:c r="G72" s="202">
        <x:f>'(계획)손익계산서 월별계획'!G59</x:f>
        <x:v>0</x:v>
      </x:c>
      <x:c r="H72" s="202">
        <x:f>'(계획)손익계산서 월별계획'!H59</x:f>
        <x:v>0</x:v>
      </x:c>
      <x:c r="I72" s="202">
        <x:f>'(계획)손익계산서 월별계획'!I59</x:f>
        <x:v>0</x:v>
      </x:c>
      <x:c r="J72" s="202">
        <x:f>'(계획)손익계산서 월별계획'!J59</x:f>
        <x:v>0</x:v>
      </x:c>
      <x:c r="K72" s="202">
        <x:f>'(계획)손익계산서 월별계획'!K59</x:f>
        <x:v>0</x:v>
      </x:c>
      <x:c r="L72" s="202">
        <x:f>'(계획)손익계산서 월별계획'!L59</x:f>
        <x:v>0</x:v>
      </x:c>
      <x:c r="M72" s="202">
        <x:f>'(계획)손익계산서 월별계획'!M59</x:f>
        <x:v>0</x:v>
      </x:c>
      <x:c r="N72" s="202">
        <x:f>'(계획)손익계산서 월별계획'!N59</x:f>
        <x:v>0</x:v>
      </x:c>
      <x:c r="O72" s="202">
        <x:f>'(계획)손익계산서 월별계획'!O59</x:f>
        <x:v>0</x:v>
      </x:c>
      <x:c r="P72" s="202">
        <x:f>'(계획)손익계산서 월별계획'!P59</x:f>
        <x:v>0</x:v>
      </x:c>
    </x:row>
    <x:row r="73" spans="2:16" ht="13.5">
      <x:c r="B73" s="68" t="s">
        <x:v>37</x:v>
      </x:c>
      <x:c r="C73" s="241">
        <x:f t="shared" si="15"/>
        <x:v>0</x:v>
      </x:c>
      <x:c r="D73" s="241"/>
      <x:c r="E73" s="202">
        <x:f>'(계획)손익계산서 월별계획'!E60</x:f>
        <x:v>0</x:v>
      </x:c>
      <x:c r="F73" s="202">
        <x:f>'(계획)손익계산서 월별계획'!F60</x:f>
        <x:v>0</x:v>
      </x:c>
      <x:c r="G73" s="202">
        <x:f>'(계획)손익계산서 월별계획'!G60</x:f>
        <x:v>0</x:v>
      </x:c>
      <x:c r="H73" s="202">
        <x:f>'(계획)손익계산서 월별계획'!H60</x:f>
        <x:v>0</x:v>
      </x:c>
      <x:c r="I73" s="202">
        <x:f>'(계획)손익계산서 월별계획'!I60</x:f>
        <x:v>0</x:v>
      </x:c>
      <x:c r="J73" s="202">
        <x:f>'(계획)손익계산서 월별계획'!J60</x:f>
        <x:v>0</x:v>
      </x:c>
      <x:c r="K73" s="202">
        <x:f>'(계획)손익계산서 월별계획'!K60</x:f>
        <x:v>0</x:v>
      </x:c>
      <x:c r="L73" s="202">
        <x:f>'(계획)손익계산서 월별계획'!L60</x:f>
        <x:v>0</x:v>
      </x:c>
      <x:c r="M73" s="202">
        <x:f>'(계획)손익계산서 월별계획'!M60</x:f>
        <x:v>0</x:v>
      </x:c>
      <x:c r="N73" s="202">
        <x:f>'(계획)손익계산서 월별계획'!N60</x:f>
        <x:v>0</x:v>
      </x:c>
      <x:c r="O73" s="202">
        <x:f>'(계획)손익계산서 월별계획'!O60</x:f>
        <x:v>0</x:v>
      </x:c>
      <x:c r="P73" s="202">
        <x:f>'(계획)손익계산서 월별계획'!P60</x:f>
        <x:v>0</x:v>
      </x:c>
    </x:row>
    <x:row r="74" spans="2:16" ht="13.5">
      <x:c r="B74" s="68" t="s">
        <x:v>40</x:v>
      </x:c>
      <x:c r="C74" s="241">
        <x:f t="shared" si="15"/>
        <x:v>536975988</x:v>
      </x:c>
      <x:c r="D74" s="241"/>
      <x:c r="E74" s="202">
        <x:f>'(계획)손익계산서 월별계획'!E61</x:f>
        <x:v>43822999</x:v>
      </x:c>
      <x:c r="F74" s="202">
        <x:f>'(계획)손익계산서 월별계획'!F61</x:f>
        <x:v>83072999</x:v>
      </x:c>
      <x:c r="G74" s="202">
        <x:f>'(계획)손익계산서 월별계획'!G61</x:f>
        <x:v>39222999</x:v>
      </x:c>
      <x:c r="H74" s="202">
        <x:f>'(계획)손익계산서 월별계획'!H61</x:f>
        <x:v>56472999</x:v>
      </x:c>
      <x:c r="I74" s="202">
        <x:f>'(계획)손익계산서 월별계획'!I61</x:f>
        <x:v>30522999</x:v>
      </x:c>
      <x:c r="J74" s="202">
        <x:f>'(계획)손익계산서 월별계획'!J61</x:f>
        <x:v>30522999</x:v>
      </x:c>
      <x:c r="K74" s="202">
        <x:f>'(계획)손익계산서 월별계획'!K61</x:f>
        <x:v>30522999</x:v>
      </x:c>
      <x:c r="L74" s="202">
        <x:f>'(계획)손익계산서 월별계획'!L61</x:f>
        <x:v>30522999</x:v>
      </x:c>
      <x:c r="M74" s="202">
        <x:f>'(계획)손익계산서 월별계획'!M61</x:f>
        <x:v>47522999</x:v>
      </x:c>
      <x:c r="N74" s="202">
        <x:f>'(계획)손익계산서 월별계획'!N61</x:f>
        <x:v>40522999</x:v>
      </x:c>
      <x:c r="O74" s="202">
        <x:f>'(계획)손익계산서 월별계획'!O61</x:f>
        <x:v>67522999</x:v>
      </x:c>
      <x:c r="P74" s="202">
        <x:f>'(계획)손익계산서 월별계획'!P61</x:f>
        <x:v>36722999</x:v>
      </x:c>
    </x:row>
    <x:row r="75" spans="2:16" ht="13.5">
      <x:c r="B75" s="68" t="s">
        <x:v>35</x:v>
      </x:c>
      <x:c r="C75" s="241">
        <x:f t="shared" si="15"/>
        <x:v>209315000.00000006</x:v>
      </x:c>
      <x:c r="D75" s="241"/>
      <x:c r="E75" s="202">
        <x:f>'(계획)손익계산서 월별계획'!E62</x:f>
        <x:v>53409583.333333336</x:v>
      </x:c>
      <x:c r="F75" s="202">
        <x:f>'(계획)손익계산서 월별계획'!F62</x:f>
        <x:v>7309583.333333333</x:v>
      </x:c>
      <x:c r="G75" s="202">
        <x:f>'(계획)손익계산서 월별계획'!G62</x:f>
        <x:v>42309583.333333336</x:v>
      </x:c>
      <x:c r="H75" s="202">
        <x:f>'(계획)손익계산서 월별계획'!H62</x:f>
        <x:v>22309583.333333332</x:v>
      </x:c>
      <x:c r="I75" s="202">
        <x:f>'(계획)손익계산서 월별계획'!I62</x:f>
        <x:v>7309583.333333333</x:v>
      </x:c>
      <x:c r="J75" s="202">
        <x:f>'(계획)손익계산서 월별계획'!J62</x:f>
        <x:v>23309583.333333332</x:v>
      </x:c>
      <x:c r="K75" s="202">
        <x:f>'(계획)손익계산서 월별계획'!K62</x:f>
        <x:v>16809583.333333332</x:v>
      </x:c>
      <x:c r="L75" s="202">
        <x:f>'(계획)손익계산서 월별계획'!L62</x:f>
        <x:v>7309583.333333333</x:v>
      </x:c>
      <x:c r="M75" s="202">
        <x:f>'(계획)손익계산서 월별계획'!M62</x:f>
        <x:v>7309583.333333333</x:v>
      </x:c>
      <x:c r="N75" s="202">
        <x:f>'(계획)손익계산서 월별계획'!N62</x:f>
        <x:v>7309583.333333333</x:v>
      </x:c>
      <x:c r="O75" s="202">
        <x:f>'(계획)손익계산서 월별계획'!O62</x:f>
        <x:v>7309583.333333333</x:v>
      </x:c>
      <x:c r="P75" s="202">
        <x:f>'(계획)손익계산서 월별계획'!P62</x:f>
        <x:v>7309583.333333333</x:v>
      </x:c>
    </x:row>
    <x:row r="76" spans="2:16" ht="13.5">
      <x:c r="B76" s="68" t="s">
        <x:v>36</x:v>
      </x:c>
      <x:c r="C76" s="241">
        <x:f t="shared" si="15"/>
        <x:v>216771136</x:v>
      </x:c>
      <x:c r="D76" s="241"/>
      <x:c r="E76" s="202">
        <x:f>'(계획)손익계산서 월별계획'!E63</x:f>
        <x:v>18064243</x:v>
      </x:c>
      <x:c r="F76" s="202">
        <x:f>'(계획)손익계산서 월별계획'!F63</x:f>
        <x:v>18064263</x:v>
      </x:c>
      <x:c r="G76" s="202">
        <x:f>'(계획)손익계산서 월별계획'!G63</x:f>
        <x:v>18064263</x:v>
      </x:c>
      <x:c r="H76" s="202">
        <x:f>'(계획)손익계산서 월별계획'!H63</x:f>
        <x:v>18064263</x:v>
      </x:c>
      <x:c r="I76" s="202">
        <x:f>'(계획)손익계산서 월별계획'!I63</x:f>
        <x:v>18064263</x:v>
      </x:c>
      <x:c r="J76" s="202">
        <x:f>'(계획)손익계산서 월별계획'!J63</x:f>
        <x:v>18064263</x:v>
      </x:c>
      <x:c r="K76" s="202">
        <x:f>'(계획)손익계산서 월별계획'!K63</x:f>
        <x:v>18064263</x:v>
      </x:c>
      <x:c r="L76" s="202">
        <x:f>'(계획)손익계산서 월별계획'!L63</x:f>
        <x:v>18064263</x:v>
      </x:c>
      <x:c r="M76" s="202">
        <x:f>'(계획)손익계산서 월별계획'!M63</x:f>
        <x:v>18064263</x:v>
      </x:c>
      <x:c r="N76" s="202">
        <x:f>'(계획)손익계산서 월별계획'!N63</x:f>
        <x:v>18064263</x:v>
      </x:c>
      <x:c r="O76" s="202">
        <x:f>'(계획)손익계산서 월별계획'!O63</x:f>
        <x:v>18064263</x:v>
      </x:c>
      <x:c r="P76" s="202">
        <x:f>'(계획)손익계산서 월별계획'!P63</x:f>
        <x:v>18064263</x:v>
      </x:c>
    </x:row>
    <x:row r="77" spans="2:16" ht="13.5">
      <x:c r="B77" s="68" t="s">
        <x:v>45</x:v>
      </x:c>
      <x:c r="C77" s="241">
        <x:f t="shared" si="15"/>
        <x:v>890280000</x:v>
      </x:c>
      <x:c r="D77" s="241"/>
      <x:c r="E77" s="202">
        <x:f>'(계획)손익계산서 월별계획'!E64</x:f>
        <x:v>103990000</x:v>
      </x:c>
      <x:c r="F77" s="202">
        <x:f>'(계획)손익계산서 월별계획'!F64</x:f>
        <x:v>103990000</x:v>
      </x:c>
      <x:c r="G77" s="202">
        <x:f>'(계획)손익계산서 월별계획'!G64</x:f>
        <x:v>199990000</x:v>
      </x:c>
      <x:c r="H77" s="202">
        <x:f>'(계획)손익계산서 월별계획'!H64</x:f>
        <x:v>39490000</x:v>
      </x:c>
      <x:c r="I77" s="202">
        <x:f>'(계획)손익계산서 월별계획'!I64</x:f>
        <x:v>103990000</x:v>
      </x:c>
      <x:c r="J77" s="202">
        <x:f>'(계획)손익계산서 월별계획'!J64</x:f>
        <x:v>39490000</x:v>
      </x:c>
      <x:c r="K77" s="202">
        <x:f>'(계획)손익계산서 월별계획'!K64</x:f>
        <x:v>127990000</x:v>
      </x:c>
      <x:c r="L77" s="202">
        <x:f>'(계획)손익계산서 월별계획'!L64</x:f>
        <x:v>41990000</x:v>
      </x:c>
      <x:c r="M77" s="202">
        <x:f>'(계획)손익계산서 월별계획'!M64</x:f>
        <x:v>31990000</x:v>
      </x:c>
      <x:c r="N77" s="202">
        <x:f>'(계획)손익계산서 월별계획'!N64</x:f>
        <x:v>33390000</x:v>
      </x:c>
      <x:c r="O77" s="202">
        <x:f>'(계획)손익계산서 월별계획'!O64</x:f>
        <x:v>31990000</x:v>
      </x:c>
      <x:c r="P77" s="202">
        <x:f>'(계획)손익계산서 월별계획'!P64</x:f>
        <x:v>31990000</x:v>
      </x:c>
    </x:row>
    <x:row r="78" spans="2:16" ht="13.5">
      <x:c r="B78" s="68" t="s">
        <x:v>46</x:v>
      </x:c>
      <x:c r="C78" s="241">
        <x:f t="shared" si="15"/>
        <x:v>0</x:v>
      </x:c>
      <x:c r="D78" s="241"/>
      <x:c r="E78" s="202">
        <x:f>'(계획)손익계산서 월별계획'!E65</x:f>
        <x:v>0</x:v>
      </x:c>
      <x:c r="F78" s="202">
        <x:f>'(계획)손익계산서 월별계획'!F65</x:f>
        <x:v>0</x:v>
      </x:c>
      <x:c r="G78" s="202">
        <x:f>'(계획)손익계산서 월별계획'!G65</x:f>
        <x:v>0</x:v>
      </x:c>
      <x:c r="H78" s="202">
        <x:f>'(계획)손익계산서 월별계획'!H65</x:f>
        <x:v>0</x:v>
      </x:c>
      <x:c r="I78" s="202">
        <x:f>'(계획)손익계산서 월별계획'!I65</x:f>
        <x:v>0</x:v>
      </x:c>
      <x:c r="J78" s="202">
        <x:f>'(계획)손익계산서 월별계획'!J65</x:f>
        <x:v>0</x:v>
      </x:c>
      <x:c r="K78" s="202">
        <x:f>'(계획)손익계산서 월별계획'!K65</x:f>
        <x:v>0</x:v>
      </x:c>
      <x:c r="L78" s="202">
        <x:f>'(계획)손익계산서 월별계획'!L65</x:f>
        <x:v>0</x:v>
      </x:c>
      <x:c r="M78" s="202">
        <x:f>'(계획)손익계산서 월별계획'!M65</x:f>
        <x:v>0</x:v>
      </x:c>
      <x:c r="N78" s="202">
        <x:f>'(계획)손익계산서 월별계획'!N65</x:f>
        <x:v>0</x:v>
      </x:c>
      <x:c r="O78" s="202">
        <x:f>'(계획)손익계산서 월별계획'!O65</x:f>
        <x:v>0</x:v>
      </x:c>
      <x:c r="P78" s="202">
        <x:f>'(계획)손익계산서 월별계획'!P65</x:f>
        <x:v>0</x:v>
      </x:c>
    </x:row>
    <x:row r="79" spans="2:16" ht="13.5">
      <x:c r="B79" s="68" t="s">
        <x:v>47</x:v>
      </x:c>
      <x:c r="C79" s="241">
        <x:f t="shared" si="15"/>
        <x:v>0</x:v>
      </x:c>
      <x:c r="D79" s="241"/>
      <x:c r="E79" s="202">
        <x:f>'(계획)손익계산서 월별계획'!E66</x:f>
        <x:v>0</x:v>
      </x:c>
      <x:c r="F79" s="202">
        <x:f>'(계획)손익계산서 월별계획'!F66</x:f>
        <x:v>0</x:v>
      </x:c>
      <x:c r="G79" s="202">
        <x:f>'(계획)손익계산서 월별계획'!G66</x:f>
        <x:v>0</x:v>
      </x:c>
      <x:c r="H79" s="202">
        <x:f>'(계획)손익계산서 월별계획'!H66</x:f>
        <x:v>0</x:v>
      </x:c>
      <x:c r="I79" s="202">
        <x:f>'(계획)손익계산서 월별계획'!I66</x:f>
        <x:v>0</x:v>
      </x:c>
      <x:c r="J79" s="202">
        <x:f>'(계획)손익계산서 월별계획'!J66</x:f>
        <x:v>0</x:v>
      </x:c>
      <x:c r="K79" s="202">
        <x:f>'(계획)손익계산서 월별계획'!K66</x:f>
        <x:v>0</x:v>
      </x:c>
      <x:c r="L79" s="202">
        <x:f>'(계획)손익계산서 월별계획'!L66</x:f>
        <x:v>0</x:v>
      </x:c>
      <x:c r="M79" s="202">
        <x:f>'(계획)손익계산서 월별계획'!M66</x:f>
        <x:v>0</x:v>
      </x:c>
      <x:c r="N79" s="202">
        <x:f>'(계획)손익계산서 월별계획'!N66</x:f>
        <x:v>0</x:v>
      </x:c>
      <x:c r="O79" s="202">
        <x:f>'(계획)손익계산서 월별계획'!O66</x:f>
        <x:v>0</x:v>
      </x:c>
      <x:c r="P79" s="202">
        <x:f>'(계획)손익계산서 월별계획'!P66</x:f>
        <x:v>0</x:v>
      </x:c>
    </x:row>
    <x:row r="80" spans="2:16" ht="13.5">
      <x:c r="B80" s="68" t="s">
        <x:v>48</x:v>
      </x:c>
      <x:c r="C80" s="241">
        <x:f t="shared" si="15"/>
        <x:v>89460229.333333313</x:v>
      </x:c>
      <x:c r="D80" s="241"/>
      <x:c r="E80" s="202">
        <x:f>'(계획)손익계산서 월별계획'!E67</x:f>
        <x:v>6670019.111111111</x:v>
      </x:c>
      <x:c r="F80" s="202">
        <x:f>'(계획)손익계산서 월별계획'!F67</x:f>
        <x:v>6670019.111111111</x:v>
      </x:c>
      <x:c r="G80" s="202">
        <x:f>'(계획)손익계산서 월별계획'!G67</x:f>
        <x:v>15670019.11111111</x:v>
      </x:c>
      <x:c r="H80" s="202">
        <x:f>'(계획)손익계산서 월별계획'!H67</x:f>
        <x:v>6670019.111111111</x:v>
      </x:c>
      <x:c r="I80" s="202">
        <x:f>'(계획)손익계산서 월별계획'!I67</x:f>
        <x:v>7330019.111111111</x:v>
      </x:c>
      <x:c r="J80" s="202">
        <x:f>'(계획)손익계산서 월별계획'!J67</x:f>
        <x:v>6670019.111111111</x:v>
      </x:c>
      <x:c r="K80" s="202">
        <x:f>'(계획)손익계산서 월별계획'!K67</x:f>
        <x:v>6520019.111111111</x:v>
      </x:c>
      <x:c r="L80" s="202">
        <x:f>'(계획)손익계산서 월별계획'!L67</x:f>
        <x:v>6520019.111111111</x:v>
      </x:c>
      <x:c r="M80" s="202">
        <x:f>'(계획)손익계산서 월별계획'!M67</x:f>
        <x:v>6520019.111111111</x:v>
      </x:c>
      <x:c r="N80" s="202">
        <x:f>'(계획)손익계산서 월별계획'!N67</x:f>
        <x:v>6520019.111111111</x:v>
      </x:c>
      <x:c r="O80" s="202">
        <x:f>'(계획)손익계산서 월별계획'!O67</x:f>
        <x:v>7180019.111111111</x:v>
      </x:c>
      <x:c r="P80" s="202">
        <x:f>'(계획)손익계산서 월별계획'!P67</x:f>
        <x:v>6520019.111111111</x:v>
      </x:c>
    </x:row>
    <x:row r="81" spans="2:16" ht="13.5">
      <x:c r="B81" s="17" t="s">
        <x:v>27</x:v>
      </x:c>
      <x:c r="C81" s="18">
        <x:f>SUM(E81:P81)</x:f>
        <x:v>-9547909095.8694515</x:v>
      </x:c>
      <x:c r="D81" s="18">
        <x:v>0</x:v>
      </x:c>
      <x:c r="E81" s="18">
        <x:f>+E29-E31</x:f>
        <x:v>-1212296423.8083899</x:v>
      </x:c>
      <x:c r="F81" s="18">
        <x:f t="shared" ref="F81:P81" si="16">+F29-F31</x:f>
        <x:v>-1289040566.4696584</x:v>
      </x:c>
      <x:c r="G81" s="18">
        <x:f t="shared" si="16"/>
        <x:v>-792640234.12554741</x:v>
      </x:c>
      <x:c r="H81" s="18">
        <x:f t="shared" si="16"/>
        <x:v>-860287738.83859992</x:v>
      </x:c>
      <x:c r="I81" s="18">
        <x:f t="shared" si="16"/>
        <x:v>-746437517.36840677</x:v>
      </x:c>
      <x:c r="J81" s="18">
        <x:f t="shared" si="16"/>
        <x:v>94412523.159156322</x:v>
      </x:c>
      <x:c r="K81" s="18">
        <x:f t="shared" si="16"/>
        <x:v>-798399850.54643917</x:v>
      </x:c>
      <x:c r="L81" s="18">
        <x:f t="shared" si="16"/>
        <x:v>-845612044.5311048</x:v>
      </x:c>
      <x:c r="M81" s="18">
        <x:f t="shared" si="16"/>
        <x:v>-827173044.77802086</x:v>
      </x:c>
      <x:c r="N81" s="18">
        <x:f t="shared" si="16"/>
        <x:v>-865100099.20076561</x:v>
      </x:c>
      <x:c r="O81" s="18">
        <x:f t="shared" si="16"/>
        <x:v>-932513179.0103209</x:v>
      </x:c>
      <x:c r="P81" s="18">
        <x:f t="shared" si="16"/>
        <x:v>-472820920.35135245</x:v>
      </x:c>
    </x:row>
    <x:row r="82" spans="2:16" ht="13.5">
      <x:c r="B82" s="31" t="s">
        <x:v>28</x:v>
      </x:c>
      <x:c r="C82" s="32">
        <x:f>C81/C6</x:f>
        <x:v>-0.2010146379791031</x:v>
      </x:c>
      <x:c r="D82" s="33" t="e">
        <x:f t="shared" ref="D82:P82" si="17">D81/D6</x:f>
        <x:v>#DIV/0!</x:v>
      </x:c>
      <x:c r="E82" s="33">
        <x:f t="shared" si="17"/>
        <x:v>-0.6727603146442388</x:v>
      </x:c>
      <x:c r="F82" s="33">
        <x:f t="shared" si="17"/>
        <x:v>-0.56856783793140131</x:v>
      </x:c>
      <x:c r="G82" s="33">
        <x:f t="shared" si="17"/>
        <x:v>-0.24664475073832023</x:v>
      </x:c>
      <x:c r="H82" s="33">
        <x:f t="shared" si="17"/>
        <x:v>-0.14641519438578549</x:v>
      </x:c>
      <x:c r="I82" s="32">
        <x:f t="shared" si="17"/>
        <x:v>-0.24586177710433449</x:v>
      </x:c>
      <x:c r="J82" s="32">
        <x:f t="shared" si="17"/>
        <x:v>2.1463537016277193E-2</x:v>
      </x:c>
      <x:c r="K82" s="32">
        <x:f t="shared" si="17"/>
        <x:v>-0.19101181292312627</x:v>
      </x:c>
      <x:c r="L82" s="32">
        <x:f t="shared" si="17"/>
        <x:v>-0.39668985194789713</x:v>
      </x:c>
      <x:c r="M82" s="32">
        <x:f t="shared" si="17"/>
        <x:v>-0.30064007609917437</x:v>
      </x:c>
      <x:c r="N82" s="32">
        <x:f t="shared" si="17"/>
        <x:v>-0.32439668496431201</x:v>
      </x:c>
      <x:c r="O82" s="32">
        <x:f t="shared" si="17"/>
        <x:v>-0.36489354592923862</x:v>
      </x:c>
      <x:c r="P82" s="32">
        <x:f t="shared" si="17"/>
        <x:v>-3.7465822055471804E-2</x:v>
      </x:c>
    </x:row>
  </x:sheetData>
  <x:phoneticPr fontId="7" type="noConversion"/>
  <x:pageMargins left="0.7" right="0.7" top="0.75" bottom="0.75" header="0.3" footer="0.3"/>
  <x:pageSetup paperSize="9" orientation="portrait" r:id="rId1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D696D1-33BB-4E0F-903D-C70A6BEBCA6E}" mc:Ignorable="x14ac xr xr2 xr3">
  <x:dimension ref="B3:O32"/>
  <x:sheetViews>
    <x:sheetView zoomScale="70" zoomScaleNormal="70" workbookViewId="0">
      <x:selection activeCell="W22" sqref="W22"/>
    </x:sheetView>
  </x:sheetViews>
  <x:sheetFormatPr defaultRowHeight="12.75"/>
  <x:cols>
    <x:col min="4" max="14" width="14.5703125" style="70" bestFit="1" customWidth="1"/>
    <x:col min="15" max="15" width="14.5703125" style="70" customWidth="1"/>
  </x:cols>
  <x:sheetData>
    <x:row r="3" spans="2:15">
      <x:c r="B3" s="428" t="s">
        <x:v>339</x:v>
      </x:c>
    </x:row>
    <x:row r="4" spans="2:15">
      <x:c r="B4" s="429" t="s">
        <x:v>330</x:v>
      </x:c>
      <x:c r="C4" t="s">
        <x:v>270</x:v>
      </x:c>
      <x:c r="D4" s="70">
        <x:v>429047286.29999995</x:v>
      </x:c>
      <x:c r="E4" s="70">
        <x:v>429047286.29999995</x:v>
      </x:c>
      <x:c r="F4" s="70">
        <x:v>429047286.29999995</x:v>
      </x:c>
      <x:c r="G4" s="70">
        <x:v>1260439466.0999997</x:v>
      </x:c>
      <x:c r="H4" s="70">
        <x:v>1260439466.0999997</x:v>
      </x:c>
      <x:c r="I4" s="70">
        <x:v>1260439466.0999997</x:v>
      </x:c>
      <x:c r="J4" s="70">
        <x:v>1305802175.6999998</x:v>
      </x:c>
      <x:c r="K4" s="70">
        <x:v>1305802175.6999998</x:v>
      </x:c>
      <x:c r="L4" s="70">
        <x:v>1305802175.6999998</x:v>
      </x:c>
      <x:c r="M4" s="70">
        <x:v>1575372450.6999998</x:v>
      </x:c>
      <x:c r="N4" s="70">
        <x:v>1598053805.4999998</x:v>
      </x:c>
      <x:c r="O4" s="70">
        <x:v>1598053805.4999998</x:v>
      </x:c>
    </x:row>
    <x:row r="5" spans="2:15">
      <x:c r="B5" s="428" t="s">
        <x:v>5</x:v>
      </x:c>
      <x:c r="C5" t="s">
        <x:v>271</x:v>
      </x:c>
      <x:c r="D5" s="70">
        <x:f>'(계획)26년 매출매입 월별계획'!E7+'(계획)26년 매출매입 월별계획'!E35</x:f>
        <x:v>7031337.6000000015</x:v>
      </x:c>
      <x:c r="E5" s="70">
        <x:f>'(계획)26년 매출매입 월별계획'!F7+'(계획)26년 매출매입 월별계획'!F35</x:f>
        <x:v>3446280.6000000006</x:v>
      </x:c>
      <x:c r="F5" s="70">
        <x:f>'(계획)26년 매출매입 월별계획'!G7+'(계획)26년 매출매입 월별계획'!G35</x:f>
        <x:v>1526540.4000000004</x:v>
      </x:c>
      <x:c r="G5" s="70">
        <x:f>'(계획)26년 매출매입 월별계획'!H7+'(계획)26년 매출매입 월별계획'!H35</x:f>
        <x:v>6915690.6000000015</x:v>
      </x:c>
      <x:c r="H5" s="70">
        <x:f>'(계획)26년 매출매입 월별계획'!I7+'(계획)26년 매출매입 월별계획'!I35</x:f>
        <x:v>2220422.4000000004</x:v>
      </x:c>
      <x:c r="I5" s="70">
        <x:f>'(계획)26년 매출매입 월별계획'!J7+'(계획)26년 매출매입 월별계획'!J35</x:f>
        <x:v>1817310.0000000005</x:v>
      </x:c>
      <x:c r="J5" s="70">
        <x:f>'(계획)26년 매출매입 월별계획'!K7+'(계획)26년 매출매입 월별계획'!K35</x:f>
        <x:v>1817310.0000000005</x:v>
      </x:c>
      <x:c r="K5" s="70">
        <x:f>'(계획)26년 매출매입 월별계획'!L7+'(계획)26년 매출매입 월별계획'!L35</x:f>
        <x:v>1817310.0000000005</x:v>
      </x:c>
      <x:c r="L5" s="70">
        <x:f>'(계획)26년 매출매입 월별계획'!M7+'(계획)26년 매출매입 월별계획'!M35</x:f>
        <x:v>1817310.0000000005</x:v>
      </x:c>
      <x:c r="M5" s="70">
        <x:f>'(계획)26년 매출매입 월별계획'!N7+'(계획)26년 매출매입 월별계획'!N35</x:f>
        <x:v>1817310.0000000005</x:v>
      </x:c>
      <x:c r="N5" s="70">
        <x:f>'(계획)26년 매출매입 월별계획'!O7+'(계획)26년 매출매입 월별계획'!O35</x:f>
        <x:v>1817310.0000000005</x:v>
      </x:c>
      <x:c r="O5" s="70">
        <x:f>'(계획)26년 매출매입 월별계획'!P7+'(계획)26년 매출매입 월별계획'!P35</x:f>
        <x:v>1817310.0000000005</x:v>
      </x:c>
    </x:row>
    <x:row r="6" spans="2:15">
      <x:c r="B6" s="428" t="s">
        <x:v>5</x:v>
      </x:c>
      <x:c r="C6" t="s">
        <x:v>215</x:v>
      </x:c>
      <x:c r="D6" s="70">
        <x:f>'(계획)26년 매출매입 월별계획'!E8+'(계획)26년 매출매입 월별계획'!E36</x:f>
        <x:v>1526933407.6103761</x:v>
      </x:c>
      <x:c r="E6" s="70">
        <x:f>'(계획)26년 매출매입 월별계획'!F8+'(계획)26년 매출매입 월별계획'!F36</x:f>
        <x:v>1781871990.7077718</x:v>
      </x:c>
      <x:c r="F6" s="70">
        <x:f>'(계획)26년 매출매입 월별계획'!G8+'(계획)26년 매출매입 월별계획'!G36</x:f>
        <x:v>2106658413.1307206</x:v>
      </x:c>
      <x:c r="G6" s="70">
        <x:f>'(계획)26년 매출매입 월별계획'!H8+'(계획)26년 매출매입 월별계획'!H36</x:f>
        <x:v>1948325047.8137207</x:v>
      </x:c>
      <x:c r="H6" s="70">
        <x:f>'(계획)26년 매출매입 월별계획'!I8+'(계획)26년 매출매입 월별계획'!I36</x:f>
        <x:v>2026292578.9282207</x:v>
      </x:c>
      <x:c r="I6" s="70">
        <x:f>'(계획)26년 매출매입 월별계획'!J8+'(계획)26년 매출매입 월별계획'!J36</x:f>
        <x:v>2069810049.1694601</x:v>
      </x:c>
      <x:c r="J6" s="70">
        <x:f>'(계획)26년 매출매입 월별계획'!K8+'(계획)26년 매출매입 월별계획'!K36</x:f>
        <x:v>1617265574.9967203</x:v>
      </x:c>
      <x:c r="K6" s="70">
        <x:f>'(계획)26년 매출매입 월별계획'!L8+'(계획)26년 매출매입 월별계획'!L36</x:f>
        <x:v>1215649135.0230958</x:v>
      </x:c>
      <x:c r="L6" s="70">
        <x:f>'(계획)26년 매출매입 월별계획'!M8+'(계획)26년 매출매입 월별계획'!M36</x:f>
        <x:v>1667448930.0652204</x:v>
      </x:c>
      <x:c r="M6" s="70">
        <x:f>'(계획)26년 매출매입 월별계획'!N8+'(계획)26년 매출매입 월별계획'!N36</x:f>
        <x:v>1811862119.7309597</x:v>
      </x:c>
      <x:c r="N6" s="70">
        <x:f>'(계획)26년 매출매입 월별계획'!O8+'(계획)26년 매출매입 월별계획'!O36</x:f>
        <x:v>1700641115.4379792</x:v>
      </x:c>
      <x:c r="O6" s="70">
        <x:f>'(계획)26년 매출매입 월별계획'!P8+'(계획)26년 매출매입 월별계획'!P36</x:f>
        <x:v>1887908860.8036363</x:v>
      </x:c>
    </x:row>
    <x:row r="7" spans="2:15">
      <x:c r="B7" s="428" t="s">
        <x:v>5</x:v>
      </x:c>
      <x:c r="C7" t="s">
        <x:v>223</x:v>
      </x:c>
      <x:c r="D7" s="70">
        <x:f>'(계획)26년 매출매입 월별계획'!E37</x:f>
        <x:v>0</x:v>
      </x:c>
      <x:c r="E7" s="70">
        <x:f>'(계획)26년 매출매입 월별계획'!F37</x:f>
        <x:v>0</x:v>
      </x:c>
      <x:c r="F7" s="70">
        <x:f>'(계획)26년 매출매입 월별계획'!G37</x:f>
        <x:v>0</x:v>
      </x:c>
      <x:c r="G7" s="70">
        <x:f>'(계획)26년 매출매입 월별계획'!H37</x:f>
        <x:v>0</x:v>
      </x:c>
      <x:c r="H7" s="70">
        <x:f>'(계획)26년 매출매입 월별계획'!I37</x:f>
        <x:v>26662619.708549995</x:v>
      </x:c>
      <x:c r="I7" s="70">
        <x:f>'(계획)26년 매출매입 월별계획'!J37</x:f>
        <x:v>76022237.708550021</x:v>
      </x:c>
      <x:c r="J7" s="70">
        <x:f>'(계획)26년 매출매입 월별계획'!K37</x:f>
        <x:v>76022237.708550021</x:v>
      </x:c>
      <x:c r="K7" s="70">
        <x:f>'(계획)26년 매출매입 월별계획'!L37</x:f>
        <x:v>76022237.708550021</x:v>
      </x:c>
      <x:c r="L7" s="70">
        <x:f>'(계획)26년 매출매입 월별계획'!M37</x:f>
        <x:v>76022237.708550021</x:v>
      </x:c>
      <x:c r="M7" s="70">
        <x:f>'(계획)26년 매출매입 월별계획'!N37</x:f>
        <x:v>76022237.708550021</x:v>
      </x:c>
      <x:c r="N7" s="70">
        <x:f>'(계획)26년 매출매입 월별계획'!O37</x:f>
        <x:v>76022237.708550021</x:v>
      </x:c>
      <x:c r="O7" s="70">
        <x:f>'(계획)26년 매출매입 월별계획'!P37</x:f>
        <x:v>76022237.708550021</x:v>
      </x:c>
    </x:row>
    <x:row r="8" spans="2:15">
      <x:c r="B8" s="428" t="s">
        <x:v>5</x:v>
      </x:c>
      <x:c r="C8" t="s">
        <x:v>411</x:v>
      </x:c>
      <x:c r="D8" s="70">
        <x:f>'(계획)26년 매출매입 월별계획'!E12+'(계획)26년 매출매입 월별계획'!E38</x:f>
        <x:v>0</x:v>
      </x:c>
      <x:c r="E8" s="70">
        <x:f>'(계획)26년 매출매입 월별계획'!F12+'(계획)26년 매출매입 월별계획'!F38</x:f>
        <x:v>0</x:v>
      </x:c>
      <x:c r="F8" s="70">
        <x:f>'(계획)26년 매출매입 월별계획'!G12+'(계획)26년 매출매입 월별계획'!G38</x:f>
        <x:v>0</x:v>
      </x:c>
      <x:c r="G8" s="70">
        <x:f>'(계획)26년 매출매입 월별계획'!H12+'(계획)26년 매출매입 월별계획'!H38</x:f>
        <x:v>0</x:v>
      </x:c>
      <x:c r="H8" s="70">
        <x:f>'(계획)26년 매출매입 월별계획'!I12+'(계획)26년 매출매입 월별계획'!I38</x:f>
        <x:v>0</x:v>
      </x:c>
      <x:c r="I8" s="70">
        <x:f>'(계획)26년 매출매입 월별계획'!J12+'(계획)26년 매출매입 월별계획'!J38</x:f>
        <x:v>0</x:v>
      </x:c>
      <x:c r="J8" s="70">
        <x:f>'(계획)26년 매출매입 월별계획'!K12+'(계획)26년 매출매입 월별계획'!K38</x:f>
        <x:v>0</x:v>
      </x:c>
      <x:c r="K8" s="70">
        <x:f>'(계획)26년 매출매입 월별계획'!L12+'(계획)26년 매출매입 월별계획'!L38</x:f>
        <x:v>0</x:v>
      </x:c>
      <x:c r="L8" s="70">
        <x:f>'(계획)26년 매출매입 월별계획'!M12+'(계획)26년 매출매입 월별계획'!M38</x:f>
        <x:v>0</x:v>
      </x:c>
      <x:c r="M8" s="70">
        <x:f>'(계획)26년 매출매입 월별계획'!N12+'(계획)26년 매출매입 월별계획'!N38</x:f>
        <x:v>0</x:v>
      </x:c>
      <x:c r="N8" s="70">
        <x:f>'(계획)26년 매출매입 월별계획'!O12+'(계획)26년 매출매입 월별계획'!O38</x:f>
        <x:v>0</x:v>
      </x:c>
      <x:c r="O8" s="70">
        <x:f>'(계획)26년 매출매입 월별계획'!P12+'(계획)26년 매출매입 월별계획'!P38</x:f>
        <x:v>0</x:v>
      </x:c>
    </x:row>
    <x:row r="9" spans="2:15">
      <x:c r="D9" s="430">
        <x:f>SUM(D4:D8)</x:f>
        <x:v>1963012031.510376</x:v>
      </x:c>
      <x:c r="E9" s="430">
        <x:f t="shared" ref="E9:O9" si="0">SUM(E4:E8)</x:f>
        <x:v>2214365557.6077719</x:v>
      </x:c>
      <x:c r="F9" s="430">
        <x:f t="shared" si="0"/>
        <x:v>2537232239.8307204</x:v>
      </x:c>
      <x:c r="G9" s="430">
        <x:f t="shared" si="0"/>
        <x:v>3215680204.5137205</x:v>
      </x:c>
      <x:c r="H9" s="430">
        <x:f t="shared" si="0"/>
        <x:v>3315615087.1367707</x:v>
      </x:c>
      <x:c r="I9" s="430">
        <x:f t="shared" si="0"/>
        <x:v>3408089062.9780097</x:v>
      </x:c>
      <x:c r="J9" s="430">
        <x:f t="shared" si="0"/>
        <x:v>3000907298.4052701</x:v>
      </x:c>
      <x:c r="K9" s="430">
        <x:f t="shared" si="0"/>
        <x:v>2599290858.4316459</x:v>
      </x:c>
      <x:c r="L9" s="430">
        <x:f t="shared" si="0"/>
        <x:v>3051090653.4737701</x:v>
      </x:c>
      <x:c r="M9" s="430">
        <x:f t="shared" si="0"/>
        <x:v>3465074118.1395097</x:v>
      </x:c>
      <x:c r="N9" s="430">
        <x:f t="shared" si="0"/>
        <x:v>3376534468.6465287</x:v>
      </x:c>
      <x:c r="O9" s="430">
        <x:f t="shared" si="0"/>
        <x:v>3563802214.0121861</x:v>
      </x:c>
    </x:row>
    <x:row r="10" spans="2:15">
      <x:c r="B10" s="428" t="s">
        <x:v>420</x:v>
      </x:c>
    </x:row>
    <x:row r="11" spans="2:15">
      <x:c r="B11" s="429" t="s">
        <x:v>330</x:v>
      </x:c>
      <x:c r="C11" t="s">
        <x:v>270</x:v>
      </x:c>
      <x:c r="D11" s="70">
        <x:v>244606770</x:v>
      </x:c>
      <x:c r="E11" s="70">
        <x:v>244606770</x:v>
      </x:c>
      <x:c r="F11" s="70">
        <x:v>244606770</x:v>
      </x:c>
      <x:c r="G11" s="70">
        <x:v>726084940</x:v>
      </x:c>
      <x:c r="H11" s="70">
        <x:v>726084940</x:v>
      </x:c>
      <x:c r="I11" s="70">
        <x:v>726084940</x:v>
      </x:c>
      <x:c r="J11" s="70">
        <x:v>751508280</x:v>
      </x:c>
      <x:c r="K11" s="70">
        <x:v>751508280</x:v>
      </x:c>
      <x:c r="L11" s="70">
        <x:v>751508280</x:v>
      </x:c>
      <x:c r="M11" s="70">
        <x:v>907763780</x:v>
      </x:c>
      <x:c r="N11" s="70">
        <x:v>920475450</x:v>
      </x:c>
      <x:c r="O11" s="70">
        <x:v>920475450</x:v>
      </x:c>
    </x:row>
    <x:row r="12" spans="2:15">
      <x:c r="B12" s="428" t="s">
        <x:v>5</x:v>
      </x:c>
      <x:c r="C12" t="s">
        <x:v>271</x:v>
      </x:c>
      <x:c r="D12" s="70">
        <x:f>'(계획)26년 매출매입 월별계획'!E21+'(계획)26년 매출매입 월별계획'!E48</x:f>
        <x:v>6696512.0000000009</x:v>
      </x:c>
      <x:c r="E12" s="70">
        <x:f>'(계획)26년 매출매입 월별계획'!F21+'(계획)26년 매출매입 월별계획'!F48</x:f>
        <x:v>3282172.0000000005</x:v>
      </x:c>
      <x:c r="F12" s="70">
        <x:f>'(계획)26년 매출매입 월별계획'!G21+'(계획)26년 매출매입 월별계획'!G48</x:f>
        <x:v>1453848.0000000002</x:v>
      </x:c>
      <x:c r="G12" s="70">
        <x:f>'(계획)26년 매출매입 월별계획'!H21+'(계획)26년 매출매입 월별계획'!H48</x:f>
        <x:v>6586372.0000000009</x:v>
      </x:c>
      <x:c r="H12" s="70">
        <x:f>'(계획)26년 매출매입 월별계획'!I21+'(계획)26년 매출매입 월별계획'!I48</x:f>
        <x:v>2114688</x:v>
      </x:c>
      <x:c r="I12" s="70">
        <x:f>'(계획)26년 매출매입 월별계획'!J21+'(계획)26년 매출매입 월별계획'!J48</x:f>
        <x:v>1730771.4285714289</x:v>
      </x:c>
      <x:c r="J12" s="70">
        <x:f>'(계획)26년 매출매입 월별계획'!K21+'(계획)26년 매출매입 월별계획'!K48</x:f>
        <x:v>1730771.4285714289</x:v>
      </x:c>
      <x:c r="K12" s="70">
        <x:f>'(계획)26년 매출매입 월별계획'!L21+'(계획)26년 매출매입 월별계획'!L48</x:f>
        <x:v>1730771.4285714289</x:v>
      </x:c>
      <x:c r="L12" s="70">
        <x:f>'(계획)26년 매출매입 월별계획'!M21+'(계획)26년 매출매입 월별계획'!M48</x:f>
        <x:v>1730771.4285714289</x:v>
      </x:c>
      <x:c r="M12" s="70">
        <x:f>'(계획)26년 매출매입 월별계획'!N21+'(계획)26년 매출매입 월별계획'!N48</x:f>
        <x:v>1730771.4285714289</x:v>
      </x:c>
      <x:c r="N12" s="70">
        <x:f>'(계획)26년 매출매입 월별계획'!O21+'(계획)26년 매출매입 월별계획'!O48</x:f>
        <x:v>1730771.4285714289</x:v>
      </x:c>
      <x:c r="O12" s="70">
        <x:f>'(계획)26년 매출매입 월별계획'!P21+'(계획)26년 매출매입 월별계획'!P48</x:f>
        <x:v>1730771.4285714289</x:v>
      </x:c>
    </x:row>
    <x:row r="13" spans="2:15">
      <x:c r="B13" s="428" t="s">
        <x:v>5</x:v>
      </x:c>
      <x:c r="C13" t="s">
        <x:v>215</x:v>
      </x:c>
      <x:c r="D13" s="70">
        <x:f>'(계획)26년 매출매입 월별계획'!E23+'(계획)26년 매출매입 월별계획'!E49</x:f>
        <x:v>1482459619.0392003</x:v>
      </x:c>
      <x:c r="E13" s="70">
        <x:f>'(계획)26년 매출매입 월별계획'!F23+'(계획)26년 매출매입 월별계획'!F49</x:f>
        <x:v>1729972806.5123999</x:v>
      </x:c>
      <x:c r="F13" s="70">
        <x:f>'(계획)26년 매출매입 월별계획'!G23+'(계획)26년 매출매입 월별계획'!G49</x:f>
        <x:v>2045299430.224</x:v>
      </x:c>
      <x:c r="G13" s="70">
        <x:f>'(계획)26년 매출매입 월별계획'!H23+'(계획)26년 매출매입 월별계획'!H49</x:f>
        <x:v>1891577716.3240001</x:v>
      </x:c>
      <x:c r="H13" s="70">
        <x:f>'(계획)26년 매출매입 월별계획'!I23+'(계획)26년 매출매입 월별계획'!I49</x:f>
        <x:v>1967274348.474</x:v>
      </x:c>
      <x:c r="I13" s="70">
        <x:f>'(계획)26년 매출매입 월별계획'!J23+'(계획)26년 매출매입 월별계획'!J49</x:f>
        <x:v>2009524319.5819995</x:v>
      </x:c>
      <x:c r="J13" s="70">
        <x:f>'(계획)26년 매출매입 월별계획'!K23+'(계획)26년 매출매입 월별계획'!K49</x:f>
        <x:v>1570160752.424</x:v>
      </x:c>
      <x:c r="K13" s="70">
        <x:f>'(계획)26년 매출매입 월별계획'!L23+'(계획)26년 매출매입 월별계획'!L49</x:f>
        <x:v>1180241878.6631997</x:v>
      </x:c>
      <x:c r="L13" s="70">
        <x:f>'(계획)26년 매출매입 월별계획'!M23+'(계획)26년 매출매입 월별계획'!M49</x:f>
        <x:v>1618882456.3740001</x:v>
      </x:c>
      <x:c r="M13" s="70">
        <x:f>'(계획)26년 매출매입 월별계획'!N23+'(계획)26년 매출매입 월별계획'!N49</x:f>
        <x:v>1759089436.6319997</x:v>
      </x:c>
      <x:c r="N13" s="70">
        <x:f>'(계획)26년 매출매입 월별계획'!O23+'(계획)26년 매출매입 월별계획'!O49</x:f>
        <x:v>1651107879.066</x:v>
      </x:c>
      <x:c r="O13" s="70">
        <x:f>'(계획)26년 매출매입 월별계획'!P23+'(계획)26년 매출매입 월별계획'!P49</x:f>
        <x:v>1832921224.0812004</x:v>
      </x:c>
    </x:row>
    <x:row r="14" spans="2:15">
      <x:c r="B14" s="428" t="s">
        <x:v>5</x:v>
      </x:c>
      <x:c r="C14" t="s">
        <x:v>223</x:v>
      </x:c>
      <x:c r="D14" s="70">
        <x:f>'(계획)26년 매출매입 월별계획'!E50</x:f>
        <x:v>0</x:v>
      </x:c>
      <x:c r="E14" s="70">
        <x:f>'(계획)26년 매출매입 월별계획'!F50</x:f>
        <x:v>0</x:v>
      </x:c>
      <x:c r="F14" s="70">
        <x:f>'(계획)26년 매출매입 월별계획'!G50</x:f>
        <x:v>0</x:v>
      </x:c>
      <x:c r="G14" s="70">
        <x:f>'(계획)26년 매출매입 월별계획'!H50</x:f>
        <x:v>0</x:v>
      </x:c>
      <x:c r="H14" s="70">
        <x:f>'(계획)26년 매출매입 월별계획'!I50</x:f>
        <x:v>25392971.151000001</x:v>
      </x:c>
      <x:c r="I14" s="70">
        <x:f>'(계획)26년 매출매입 월별계획'!J50</x:f>
        <x:v>72402131.150999993</x:v>
      </x:c>
      <x:c r="J14" s="70">
        <x:f>'(계획)26년 매출매입 월별계획'!K50</x:f>
        <x:v>72402131.150999993</x:v>
      </x:c>
      <x:c r="K14" s="70">
        <x:f>'(계획)26년 매출매입 월별계획'!L50</x:f>
        <x:v>72402131.150999993</x:v>
      </x:c>
      <x:c r="L14" s="70">
        <x:f>'(계획)26년 매출매입 월별계획'!M50</x:f>
        <x:v>72402131.150999993</x:v>
      </x:c>
      <x:c r="M14" s="70">
        <x:f>'(계획)26년 매출매입 월별계획'!N50</x:f>
        <x:v>72402131.150999993</x:v>
      </x:c>
      <x:c r="N14" s="70">
        <x:f>'(계획)26년 매출매입 월별계획'!O50</x:f>
        <x:v>72402131.150999993</x:v>
      </x:c>
      <x:c r="O14" s="70">
        <x:f>'(계획)26년 매출매입 월별계획'!P50</x:f>
        <x:v>72402131.150999993</x:v>
      </x:c>
    </x:row>
    <x:row r="15" spans="2:15">
      <x:c r="B15" s="428" t="s">
        <x:v>5</x:v>
      </x:c>
      <x:c r="C15" t="s">
        <x:v>411</x:v>
      </x:c>
      <x:c r="D15" s="70">
        <x:f>'(계획)26년 매출매입 월별계획'!E27+'(계획)26년 매출매입 월별계획'!E51</x:f>
        <x:v>0</x:v>
      </x:c>
      <x:c r="E15" s="70">
        <x:f>'(계획)26년 매출매입 월별계획'!F27+'(계획)26년 매출매입 월별계획'!F51</x:f>
        <x:v>0</x:v>
      </x:c>
      <x:c r="F15" s="70">
        <x:f>'(계획)26년 매출매입 월별계획'!G27+'(계획)26년 매출매입 월별계획'!G51</x:f>
        <x:v>0</x:v>
      </x:c>
      <x:c r="G15" s="70">
        <x:f>'(계획)26년 매출매입 월별계획'!H27+'(계획)26년 매출매입 월별계획'!H51</x:f>
        <x:v>0</x:v>
      </x:c>
      <x:c r="H15" s="70">
        <x:f>'(계획)26년 매출매입 월별계획'!I27+'(계획)26년 매출매입 월별계획'!I51</x:f>
        <x:v>0</x:v>
      </x:c>
      <x:c r="I15" s="70">
        <x:f>'(계획)26년 매출매입 월별계획'!J27+'(계획)26년 매출매입 월별계획'!J51</x:f>
        <x:v>0</x:v>
      </x:c>
      <x:c r="J15" s="70">
        <x:f>'(계획)26년 매출매입 월별계획'!K27+'(계획)26년 매출매입 월별계획'!K51</x:f>
        <x:v>0</x:v>
      </x:c>
      <x:c r="K15" s="70">
        <x:f>'(계획)26년 매출매입 월별계획'!L27+'(계획)26년 매출매입 월별계획'!L51</x:f>
        <x:v>0</x:v>
      </x:c>
      <x:c r="L15" s="70">
        <x:f>'(계획)26년 매출매입 월별계획'!M27+'(계획)26년 매출매입 월별계획'!M51</x:f>
        <x:v>0</x:v>
      </x:c>
      <x:c r="M15" s="70">
        <x:f>'(계획)26년 매출매입 월별계획'!N27+'(계획)26년 매출매입 월별계획'!N51</x:f>
        <x:v>0</x:v>
      </x:c>
      <x:c r="N15" s="70">
        <x:f>'(계획)26년 매출매입 월별계획'!O27+'(계획)26년 매출매입 월별계획'!O51</x:f>
        <x:v>0</x:v>
      </x:c>
      <x:c r="O15" s="70">
        <x:f>'(계획)26년 매출매입 월별계획'!P27+'(계획)26년 매출매입 월별계획'!P51</x:f>
        <x:v>0</x:v>
      </x:c>
    </x:row>
    <x:row r="16" spans="2:15">
      <x:c r="D16" s="430">
        <x:f>SUM(D11:D15)</x:f>
        <x:v>1733762901.0392003</x:v>
      </x:c>
      <x:c r="E16" s="430">
        <x:f t="shared" ref="E16:O16" si="1">SUM(E11:E15)</x:f>
        <x:v>1977861748.5123999</x:v>
      </x:c>
      <x:c r="F16" s="430">
        <x:f t="shared" si="1"/>
        <x:v>2291360048.224</x:v>
      </x:c>
      <x:c r="G16" s="430">
        <x:f t="shared" si="1"/>
        <x:v>2624249028.3240004</x:v>
      </x:c>
      <x:c r="H16" s="430">
        <x:f t="shared" si="1"/>
        <x:v>2720866947.625</x:v>
      </x:c>
      <x:c r="I16" s="430">
        <x:f t="shared" si="1"/>
        <x:v>2809742162.161571</x:v>
      </x:c>
      <x:c r="J16" s="430">
        <x:f t="shared" si="1"/>
        <x:v>2395801935.0035715</x:v>
      </x:c>
      <x:c r="K16" s="430">
        <x:f t="shared" si="1"/>
        <x:v>2005883061.2427711</x:v>
      </x:c>
      <x:c r="L16" s="430">
        <x:f t="shared" si="1"/>
        <x:v>2444523638.9535713</x:v>
      </x:c>
      <x:c r="M16" s="430">
        <x:f t="shared" si="1"/>
        <x:v>2740986119.2115712</x:v>
      </x:c>
      <x:c r="N16" s="430">
        <x:f t="shared" si="1"/>
        <x:v>2645716231.6455717</x:v>
      </x:c>
      <x:c r="O16" s="430">
        <x:f t="shared" si="1"/>
        <x:v>2827529576.6607718</x:v>
      </x:c>
    </x:row>
    <x:row r="20" spans="3:15">
      <x:c r="C20" t="s">
        <x:v>270</x:v>
      </x:c>
      <x:c r="D20" s="70">
        <x:f>D4-D11</x:f>
        <x:v>184440516.29999995</x:v>
      </x:c>
      <x:c r="E20" s="70">
        <x:f t="shared" ref="E20:O20" si="2">E4-E11</x:f>
        <x:v>184440516.29999995</x:v>
      </x:c>
      <x:c r="F20" s="70">
        <x:f t="shared" si="2"/>
        <x:v>184440516.29999995</x:v>
      </x:c>
      <x:c r="G20" s="70">
        <x:f t="shared" si="2"/>
        <x:v>534354526.09999967</x:v>
      </x:c>
      <x:c r="H20" s="70">
        <x:f t="shared" si="2"/>
        <x:v>534354526.09999967</x:v>
      </x:c>
      <x:c r="I20" s="70">
        <x:f t="shared" si="2"/>
        <x:v>534354526.09999967</x:v>
      </x:c>
      <x:c r="J20" s="70">
        <x:f t="shared" si="2"/>
        <x:v>554293895.69999981</x:v>
      </x:c>
      <x:c r="K20" s="70">
        <x:f t="shared" si="2"/>
        <x:v>554293895.69999981</x:v>
      </x:c>
      <x:c r="L20" s="70">
        <x:f t="shared" si="2"/>
        <x:v>554293895.69999981</x:v>
      </x:c>
      <x:c r="M20" s="70">
        <x:f t="shared" si="2"/>
        <x:v>667608670.69999981</x:v>
      </x:c>
      <x:c r="N20" s="70">
        <x:f t="shared" si="2"/>
        <x:v>677578355.49999976</x:v>
      </x:c>
      <x:c r="O20" s="70">
        <x:f t="shared" si="2"/>
        <x:v>677578355.49999976</x:v>
      </x:c>
    </x:row>
    <x:row r="21" spans="3:15">
      <x:c r="C21" t="s">
        <x:v>271</x:v>
      </x:c>
      <x:c r="D21" s="70">
        <x:f t="shared" ref="D21:O25" si="3">D5-D12</x:f>
        <x:v>334825.60000000056</x:v>
      </x:c>
      <x:c r="E21" s="70">
        <x:f t="shared" si="3"/>
        <x:v>164108.60000000009</x:v>
      </x:c>
      <x:c r="F21" s="70">
        <x:f t="shared" si="3"/>
        <x:v>72692.40000000014</x:v>
      </x:c>
      <x:c r="G21" s="70">
        <x:f t="shared" si="3"/>
        <x:v>329318.60000000056</x:v>
      </x:c>
      <x:c r="H21" s="70">
        <x:f t="shared" si="3"/>
        <x:v>105734.40000000037</x:v>
      </x:c>
      <x:c r="I21" s="70">
        <x:f t="shared" si="3"/>
        <x:v>86538.571428571595</x:v>
      </x:c>
      <x:c r="J21" s="70">
        <x:f t="shared" si="3"/>
        <x:v>86538.571428571595</x:v>
      </x:c>
      <x:c r="K21" s="70">
        <x:f t="shared" si="3"/>
        <x:v>86538.571428571595</x:v>
      </x:c>
      <x:c r="L21" s="70">
        <x:f t="shared" si="3"/>
        <x:v>86538.571428571595</x:v>
      </x:c>
      <x:c r="M21" s="70">
        <x:f t="shared" si="3"/>
        <x:v>86538.571428571595</x:v>
      </x:c>
      <x:c r="N21" s="70">
        <x:f t="shared" si="3"/>
        <x:v>86538.571428571595</x:v>
      </x:c>
      <x:c r="O21" s="70">
        <x:f t="shared" si="3"/>
        <x:v>86538.571428571595</x:v>
      </x:c>
    </x:row>
    <x:row r="22" spans="3:15">
      <x:c r="C22" t="s">
        <x:v>215</x:v>
      </x:c>
      <x:c r="D22" s="70">
        <x:f t="shared" si="3"/>
        <x:v>44473788.571175814</x:v>
      </x:c>
      <x:c r="E22" s="70">
        <x:f t="shared" si="3"/>
        <x:v>51899184.195371866</x:v>
      </x:c>
      <x:c r="F22" s="70">
        <x:f t="shared" si="3"/>
        <x:v>61358982.906720638</x:v>
      </x:c>
      <x:c r="G22" s="70">
        <x:f t="shared" si="3"/>
        <x:v>56747331.489720583</x:v>
      </x:c>
      <x:c r="H22" s="70">
        <x:f t="shared" si="3"/>
        <x:v>59018230.454220772</x:v>
      </x:c>
      <x:c r="I22" s="70">
        <x:f t="shared" si="3"/>
        <x:v>60285729.587460518</x:v>
      </x:c>
      <x:c r="J22" s="70">
        <x:f t="shared" si="3"/>
        <x:v>47104822.572720289</x:v>
      </x:c>
      <x:c r="K22" s="70">
        <x:f t="shared" si="3"/>
        <x:v>35407256.359896183</x:v>
      </x:c>
      <x:c r="L22" s="70">
        <x:f t="shared" si="3"/>
        <x:v>48566473.691220284</x:v>
      </x:c>
      <x:c r="M22" s="70">
        <x:f t="shared" si="3"/>
        <x:v>52772683.098959923</x:v>
      </x:c>
      <x:c r="N22" s="70">
        <x:f t="shared" si="3"/>
        <x:v>49533236.371979237</x:v>
      </x:c>
      <x:c r="O22" s="70">
        <x:f t="shared" si="3"/>
        <x:v>54987636.722435951</x:v>
      </x:c>
    </x:row>
    <x:row r="23" spans="3:15">
      <x:c r="C23" t="s">
        <x:v>223</x:v>
      </x:c>
      <x:c r="D23" s="70">
        <x:f t="shared" si="3"/>
        <x:v>0</x:v>
      </x:c>
      <x:c r="E23" s="70">
        <x:f t="shared" si="3"/>
        <x:v>0</x:v>
      </x:c>
      <x:c r="F23" s="70">
        <x:f t="shared" si="3"/>
        <x:v>0</x:v>
      </x:c>
      <x:c r="G23" s="70">
        <x:f t="shared" si="3"/>
        <x:v>0</x:v>
      </x:c>
      <x:c r="H23" s="70">
        <x:f t="shared" si="3"/>
        <x:v>1269648.5575499944</x:v>
      </x:c>
      <x:c r="I23" s="70">
        <x:f t="shared" si="3"/>
        <x:v>3620106.557550028</x:v>
      </x:c>
      <x:c r="J23" s="70">
        <x:f t="shared" si="3"/>
        <x:v>3620106.557550028</x:v>
      </x:c>
      <x:c r="K23" s="70">
        <x:f t="shared" si="3"/>
        <x:v>3620106.557550028</x:v>
      </x:c>
      <x:c r="L23" s="70">
        <x:f t="shared" si="3"/>
        <x:v>3620106.557550028</x:v>
      </x:c>
      <x:c r="M23" s="70">
        <x:f t="shared" si="3"/>
        <x:v>3620106.557550028</x:v>
      </x:c>
      <x:c r="N23" s="70">
        <x:f t="shared" si="3"/>
        <x:v>3620106.557550028</x:v>
      </x:c>
      <x:c r="O23" s="70">
        <x:f t="shared" si="3"/>
        <x:v>3620106.557550028</x:v>
      </x:c>
    </x:row>
    <x:row r="24" spans="3:15">
      <x:c r="C24" t="s">
        <x:v>411</x:v>
      </x:c>
      <x:c r="D24" s="70">
        <x:f t="shared" si="3"/>
        <x:v>0</x:v>
      </x:c>
      <x:c r="E24" s="70">
        <x:f t="shared" si="3"/>
        <x:v>0</x:v>
      </x:c>
      <x:c r="F24" s="70">
        <x:f t="shared" si="3"/>
        <x:v>0</x:v>
      </x:c>
      <x:c r="G24" s="70">
        <x:f t="shared" si="3"/>
        <x:v>0</x:v>
      </x:c>
      <x:c r="H24" s="70">
        <x:f t="shared" si="3"/>
        <x:v>0</x:v>
      </x:c>
      <x:c r="I24" s="70">
        <x:f t="shared" si="3"/>
        <x:v>0</x:v>
      </x:c>
      <x:c r="J24" s="70">
        <x:f t="shared" si="3"/>
        <x:v>0</x:v>
      </x:c>
      <x:c r="K24" s="70">
        <x:f t="shared" si="3"/>
        <x:v>0</x:v>
      </x:c>
      <x:c r="L24" s="70">
        <x:f t="shared" si="3"/>
        <x:v>0</x:v>
      </x:c>
      <x:c r="M24" s="70">
        <x:f t="shared" si="3"/>
        <x:v>0</x:v>
      </x:c>
      <x:c r="N24" s="70">
        <x:f t="shared" si="3"/>
        <x:v>0</x:v>
      </x:c>
      <x:c r="O24" s="70">
        <x:f t="shared" si="3"/>
        <x:v>0</x:v>
      </x:c>
    </x:row>
    <x:row r="25" spans="3:15">
      <x:c r="D25" s="70">
        <x:f t="shared" si="3"/>
        <x:v>229249130.47117567</x:v>
      </x:c>
      <x:c r="E25" s="70">
        <x:f t="shared" si="3"/>
        <x:v>236503809.09537196</x:v>
      </x:c>
      <x:c r="F25" s="70">
        <x:f t="shared" si="3"/>
        <x:v>245872191.60672045</x:v>
      </x:c>
      <x:c r="G25" s="70">
        <x:f t="shared" si="3"/>
        <x:v>591431176.18972015</x:v>
      </x:c>
      <x:c r="H25" s="70">
        <x:f t="shared" si="3"/>
        <x:v>594748139.51177073</x:v>
      </x:c>
      <x:c r="I25" s="70">
        <x:f t="shared" si="3"/>
        <x:v>598346900.81643867</x:v>
      </x:c>
      <x:c r="J25" s="70">
        <x:f t="shared" si="3"/>
        <x:v>605105363.40169859</x:v>
      </x:c>
      <x:c r="K25" s="70">
        <x:f t="shared" si="3"/>
        <x:v>593407797.18887472</x:v>
      </x:c>
      <x:c r="L25" s="70">
        <x:f t="shared" si="3"/>
        <x:v>606567014.52019882</x:v>
      </x:c>
      <x:c r="M25" s="70">
        <x:f t="shared" si="3"/>
        <x:v>724087998.92793846</x:v>
      </x:c>
      <x:c r="N25" s="70">
        <x:f t="shared" si="3"/>
        <x:v>730818237.00095701</x:v>
      </x:c>
      <x:c r="O25" s="70">
        <x:f t="shared" si="3"/>
        <x:v>736272637.3514142</x:v>
      </x:c>
    </x:row>
    <x:row r="26" spans="3:15">
      <x:c r="D26" s="432">
        <x:f>+D20/D4</x:f>
        <x:v>0.42988388970029473</x:v>
      </x:c>
      <x:c r="E26" s="432">
        <x:f t="shared" ref="E26:O26" si="4">+E20/E4</x:f>
        <x:v>0.42988388970029473</x:v>
      </x:c>
      <x:c r="F26" s="432">
        <x:f t="shared" si="4"/>
        <x:v>0.42988388970029473</x:v>
      </x:c>
      <x:c r="G26" s="432">
        <x:f t="shared" si="4"/>
        <x:v>0.42394302976990844</x:v>
      </x:c>
      <x:c r="H26" s="432">
        <x:f t="shared" si="4"/>
        <x:v>0.42394302976990844</x:v>
      </x:c>
      <x:c r="I26" s="432">
        <x:f t="shared" si="4"/>
        <x:v>0.42394302976990844</x:v>
      </x:c>
      <x:c r="J26" s="432">
        <x:f t="shared" si="4"/>
        <x:v>0.42448535162139711</x:v>
      </x:c>
      <x:c r="K26" s="432">
        <x:f t="shared" si="4"/>
        <x:v>0.42448535162139711</x:v>
      </x:c>
      <x:c r="L26" s="432">
        <x:f t="shared" si="4"/>
        <x:v>0.42448535162139711</x:v>
      </x:c>
      <x:c r="M26" s="432">
        <x:f t="shared" si="4"/>
        <x:v>0.42377830741127603</x:v>
      </x:c>
      <x:c r="N26" s="432">
        <x:f t="shared" si="4"/>
        <x:v>0.42400221642599745</x:v>
      </x:c>
      <x:c r="O26" s="432">
        <x:f t="shared" si="4"/>
        <x:v>0.42400221642599745</x:v>
      </x:c>
    </x:row>
    <x:row r="27" spans="3:15">
      <x:c r="D27" s="432">
        <x:f t="shared" ref="D27:O27" si="5">+D21/D5</x:f>
        <x:v>4.7619047619047686E-2</x:v>
      </x:c>
      <x:c r="E27" s="432">
        <x:f t="shared" si="5"/>
        <x:v>4.7619047619047637E-2</x:v>
      </x:c>
      <x:c r="F27" s="432">
        <x:f t="shared" si="5"/>
        <x:v>4.76190476190477E-2</x:v>
      </x:c>
      <x:c r="G27" s="432">
        <x:f t="shared" si="5"/>
        <x:v>4.7619047619047693E-2</x:v>
      </x:c>
      <x:c r="H27" s="432">
        <x:f t="shared" si="5"/>
        <x:v>4.7619047619047776E-2</x:v>
      </x:c>
      <x:c r="I27" s="432">
        <x:f t="shared" si="5"/>
        <x:v>4.76190476190477E-2</x:v>
      </x:c>
      <x:c r="J27" s="432">
        <x:f t="shared" si="5"/>
        <x:v>4.76190476190477E-2</x:v>
      </x:c>
      <x:c r="K27" s="432">
        <x:f t="shared" si="5"/>
        <x:v>4.76190476190477E-2</x:v>
      </x:c>
      <x:c r="L27" s="432">
        <x:f t="shared" si="5"/>
        <x:v>4.76190476190477E-2</x:v>
      </x:c>
      <x:c r="M27" s="432">
        <x:f t="shared" si="5"/>
        <x:v>4.76190476190477E-2</x:v>
      </x:c>
      <x:c r="N27" s="432">
        <x:f t="shared" si="5"/>
        <x:v>4.76190476190477E-2</x:v>
      </x:c>
      <x:c r="O27" s="432">
        <x:f t="shared" si="5"/>
        <x:v>4.76190476190477E-2</x:v>
      </x:c>
    </x:row>
    <x:row r="28" spans="3:15">
      <x:c r="D28" s="432">
        <x:f t="shared" ref="D28:O28" si="6">+D22/D6</x:f>
        <x:v>2.9126213592232886E-2</x:v>
      </x:c>
      <x:c r="E28" s="432">
        <x:f t="shared" si="6"/>
        <x:v>2.9126213592232938E-2</x:v>
      </x:c>
      <x:c r="F28" s="432">
        <x:f t="shared" si="6"/>
        <x:v>2.9126213592233306E-2</x:v>
      </x:c>
      <x:c r="G28" s="432">
        <x:f t="shared" si="6"/>
        <x:v>2.9126213592233299E-2</x:v>
      </x:c>
      <x:c r="H28" s="432">
        <x:f t="shared" si="6"/>
        <x:v>2.9126213592233378E-2</x:v>
      </x:c>
      <x:c r="I28" s="432">
        <x:f t="shared" si="6"/>
        <x:v>2.912621359223326E-2</x:v>
      </x:c>
      <x:c r="J28" s="432">
        <x:f t="shared" si="6"/>
        <x:v>2.9126213592233184E-2</x:v>
      </x:c>
      <x:c r="K28" s="432">
        <x:f t="shared" si="6"/>
        <x:v>2.9126213592233163E-2</x:v>
      </x:c>
      <x:c r="L28" s="432">
        <x:f t="shared" si="6"/>
        <x:v>2.9126213592233174E-2</x:v>
      </x:c>
      <x:c r="M28" s="432">
        <x:f t="shared" si="6"/>
        <x:v>2.9126213592232972E-2</x:v>
      </x:c>
      <x:c r="N28" s="432">
        <x:f t="shared" si="6"/>
        <x:v>2.9126213592232574E-2</x:v>
      </x:c>
      <x:c r="O28" s="432">
        <x:f t="shared" si="6"/>
        <x:v>2.9126213592232979E-2</x:v>
      </x:c>
    </x:row>
    <x:row r="29" spans="3:15">
      <x:c r="D29" s="432" t="e">
        <x:f t="shared" ref="D29:O29" si="7">+D23/D7</x:f>
        <x:v>#DIV/0!</x:v>
      </x:c>
      <x:c r="E29" s="432" t="e">
        <x:f t="shared" si="7"/>
        <x:v>#DIV/0!</x:v>
      </x:c>
      <x:c r="F29" s="432" t="e">
        <x:f t="shared" si="7"/>
        <x:v>#DIV/0!</x:v>
      </x:c>
      <x:c r="G29" s="432" t="e">
        <x:f t="shared" si="7"/>
        <x:v>#DIV/0!</x:v>
      </x:c>
      <x:c r="H29" s="432">
        <x:f t="shared" si="7"/>
        <x:v>4.7619047619047422E-2</x:v>
      </x:c>
      <x:c r="I29" s="432">
        <x:f t="shared" si="7"/>
        <x:v>4.761904761904797E-2</x:v>
      </x:c>
      <x:c r="J29" s="432">
        <x:f t="shared" si="7"/>
        <x:v>4.761904761904797E-2</x:v>
      </x:c>
      <x:c r="K29" s="432">
        <x:f t="shared" si="7"/>
        <x:v>4.761904761904797E-2</x:v>
      </x:c>
      <x:c r="L29" s="432">
        <x:f t="shared" si="7"/>
        <x:v>4.761904761904797E-2</x:v>
      </x:c>
      <x:c r="M29" s="432">
        <x:f t="shared" si="7"/>
        <x:v>4.761904761904797E-2</x:v>
      </x:c>
      <x:c r="N29" s="432">
        <x:f t="shared" si="7"/>
        <x:v>4.761904761904797E-2</x:v>
      </x:c>
      <x:c r="O29" s="432">
        <x:f t="shared" si="7"/>
        <x:v>4.761904761904797E-2</x:v>
      </x:c>
    </x:row>
    <x:row r="30" spans="3:15">
      <x:c r="D30" s="432" t="e">
        <x:f>+D24/D8</x:f>
        <x:v>#DIV/0!</x:v>
      </x:c>
      <x:c r="E30" s="432" t="e">
        <x:f t="shared" ref="E30:O30" si="8">+E24/E8</x:f>
        <x:v>#DIV/0!</x:v>
      </x:c>
      <x:c r="F30" s="432" t="e">
        <x:f t="shared" si="8"/>
        <x:v>#DIV/0!</x:v>
      </x:c>
      <x:c r="G30" s="432" t="e">
        <x:f t="shared" si="8"/>
        <x:v>#DIV/0!</x:v>
      </x:c>
      <x:c r="H30" s="432" t="e">
        <x:f t="shared" si="8"/>
        <x:v>#DIV/0!</x:v>
      </x:c>
      <x:c r="I30" s="432" t="e">
        <x:f t="shared" si="8"/>
        <x:v>#DIV/0!</x:v>
      </x:c>
      <x:c r="J30" s="432" t="e">
        <x:f t="shared" si="8"/>
        <x:v>#DIV/0!</x:v>
      </x:c>
      <x:c r="K30" s="432" t="e">
        <x:f t="shared" si="8"/>
        <x:v>#DIV/0!</x:v>
      </x:c>
      <x:c r="L30" s="432" t="e">
        <x:f t="shared" si="8"/>
        <x:v>#DIV/0!</x:v>
      </x:c>
      <x:c r="M30" s="432" t="e">
        <x:f t="shared" si="8"/>
        <x:v>#DIV/0!</x:v>
      </x:c>
      <x:c r="N30" s="432" t="e">
        <x:f t="shared" si="8"/>
        <x:v>#DIV/0!</x:v>
      </x:c>
      <x:c r="O30" s="432" t="e">
        <x:f t="shared" si="8"/>
        <x:v>#DIV/0!</x:v>
      </x:c>
    </x:row>
    <x:row r="31" spans="3:15">
      <x:c r="D31" s="432">
        <x:f t="shared" ref="D31:O31" si="9">+D25/D9</x:f>
        <x:v>0.11678437360100506</x:v>
      </x:c>
      <x:c r="E31" s="432">
        <x:f t="shared" si="9"/>
        <x:v>0.10680432067001271</x:v>
      </x:c>
      <x:c r="F31" s="432">
        <x:f t="shared" si="9"/>
        <x:v>9.6905670575557795E-2</x:v>
      </x:c>
      <x:c r="G31" s="432">
        <x:f t="shared" si="9"/>
        <x:v>0.18392101781749071</x:v>
      </x:c>
      <x:c r="H31" s="432">
        <x:f t="shared" si="9"/>
        <x:v>0.17937792050082957</x:v>
      </x:c>
      <x:c r="I31" s="432">
        <x:f t="shared" si="9"/>
        <x:v>0.17556668554125149</x:v>
      </x:c>
      <x:c r="J31" s="432">
        <x:f t="shared" si="9"/>
        <x:v>0.20164080500695947</x:v>
      </x:c>
      <x:c r="K31" s="432">
        <x:f t="shared" si="9"/>
        <x:v>0.22829603515280461</x:v>
      </x:c>
      <x:c r="L31" s="432">
        <x:f t="shared" si="9"/>
        <x:v>0.19880334064463201</x:v>
      </x:c>
      <x:c r="M31" s="432">
        <x:f t="shared" si="9"/>
        <x:v>0.20896753553910141</x:v>
      </x:c>
      <x:c r="N31" s="432">
        <x:f t="shared" si="9"/>
        <x:v>0.21644033069619537</x:v>
      </x:c>
      <x:c r="O31" s="432">
        <x:f t="shared" si="9"/>
        <x:v>0.20659750264942639</x:v>
      </x:c>
    </x:row>
    <x:row r="32" spans="3:15">
      <x:c r="D32" s="431"/>
      <x:c r="E32" s="431"/>
      <x:c r="F32" s="431"/>
      <x:c r="G32" s="431"/>
      <x:c r="H32" s="431"/>
      <x:c r="I32" s="431"/>
      <x:c r="J32" s="431"/>
      <x:c r="K32" s="431"/>
      <x:c r="L32" s="431"/>
      <x:c r="M32" s="431"/>
      <x:c r="N32" s="431"/>
      <x:c r="O32" s="431"/>
    </x:row>
  </x:sheetData>
  <x:phoneticPr fontId="7" type="noConversion"/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C48EED396788249BB0E1DB38EC6BA6D" ma:contentTypeVersion="9" ma:contentTypeDescription="새 문서를 만듭니다." ma:contentTypeScope="" ma:versionID="9f6e2334658423b236b6949b17f5b5ff">
  <xsd:schema xmlns:xsd="http://www.w3.org/2001/XMLSchema" xmlns:xs="http://www.w3.org/2001/XMLSchema" xmlns:p="http://schemas.microsoft.com/office/2006/metadata/properties" xmlns:ns2="e8450c8b-69af-46ef-b020-9f342a944101" targetNamespace="http://schemas.microsoft.com/office/2006/metadata/properties" ma:root="true" ma:fieldsID="682194e653a89da4ac210ce0354bb898" ns2:_="">
    <xsd:import namespace="e8450c8b-69af-46ef-b020-9f342a944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50c8b-69af-46ef-b020-9f342a94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사인 오프 상태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8450c8b-69af-46ef-b020-9f342a94410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302EB-6822-4D21-80B2-AB2B1A0829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50c8b-69af-46ef-b020-9f342a9441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72129D-2FFA-4FB7-AF9C-DADB9A877606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e8450c8b-69af-46ef-b020-9f342a944101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78CFDD9-560F-4C4B-87E8-BF5B154F320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1. 경신전선 요약</vt:lpstr>
      <vt:lpstr>2. 손익계산서</vt:lpstr>
      <vt:lpstr>3. 손익계산서 월별실적</vt:lpstr>
      <vt:lpstr>4. PA요약</vt:lpstr>
      <vt:lpstr>pa data(26년1월)</vt:lpstr>
      <vt:lpstr>(계획)손익계산서 월별계획</vt:lpstr>
      <vt:lpstr>(계획)26년 매출매입 월별계획</vt:lpstr>
      <vt:lpstr>(계획)비용계획 상세_26년</vt:lpstr>
      <vt:lpstr>Sheet2</vt:lpstr>
      <vt:lpstr>매출추이</vt:lpstr>
      <vt:lpstr>계획비1</vt:lpstr>
      <vt:lpstr>전월비1</vt:lpstr>
      <vt:lpstr>계획비</vt:lpstr>
      <vt:lpstr>실적</vt:lpstr>
      <vt:lpstr>계획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고태호 선임매니저 [Tae Ho Goh]</cp:lastModifiedBy>
  <cp:revision>1</cp:revision>
  <cp:lastPrinted>2024-03-06T08:46:59Z</cp:lastPrinted>
  <dcterms:created xsi:type="dcterms:W3CDTF">2020-06-25T01:22:36Z</dcterms:created>
  <dcterms:modified xsi:type="dcterms:W3CDTF">2026-02-04T01:10:00Z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5faf2-c19d-4b37-ab34-f6cc946cd950_Enabled">
    <vt:lpwstr>true</vt:lpwstr>
  </property>
  <property fmtid="{D5CDD505-2E9C-101B-9397-08002B2CF9AE}" pid="3" name="MSIP_Label_60c5faf2-c19d-4b37-ab34-f6cc946cd950_SetDate">
    <vt:lpwstr>2021-09-07T08:58:58Z</vt:lpwstr>
  </property>
  <property fmtid="{D5CDD505-2E9C-101B-9397-08002B2CF9AE}" pid="4" name="MSIP_Label_60c5faf2-c19d-4b37-ab34-f6cc946cd950_Method">
    <vt:lpwstr>Standard</vt:lpwstr>
  </property>
  <property fmtid="{D5CDD505-2E9C-101B-9397-08002B2CF9AE}" pid="5" name="MSIP_Label_60c5faf2-c19d-4b37-ab34-f6cc946cd950_Name">
    <vt:lpwstr>평문_</vt:lpwstr>
  </property>
  <property fmtid="{D5CDD505-2E9C-101B-9397-08002B2CF9AE}" pid="6" name="MSIP_Label_60c5faf2-c19d-4b37-ab34-f6cc946cd950_SiteId">
    <vt:lpwstr>1757bd3c-a2e2-4dd3-9a67-139612e54698</vt:lpwstr>
  </property>
  <property fmtid="{D5CDD505-2E9C-101B-9397-08002B2CF9AE}" pid="7" name="MSIP_Label_60c5faf2-c19d-4b37-ab34-f6cc946cd950_ActionId">
    <vt:lpwstr>c8ae4e3d-0dbf-4065-9cd0-89b046ab2025</vt:lpwstr>
  </property>
  <property fmtid="{D5CDD505-2E9C-101B-9397-08002B2CF9AE}" pid="8" name="MSIP_Label_60c5faf2-c19d-4b37-ab34-f6cc946cd950_ContentBits">
    <vt:lpwstr>8</vt:lpwstr>
  </property>
  <property fmtid="{D5CDD505-2E9C-101B-9397-08002B2CF9AE}" pid="9" name="ContentTypeId">
    <vt:lpwstr>0x0101004C48EED396788249BB0E1DB38EC6BA6D</vt:lpwstr>
  </property>
</Properties>
</file>