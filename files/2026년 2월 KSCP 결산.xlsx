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업무\★폴란드\23.사업계획관련\KSCP 경영실적\"/>
    </mc:Choice>
  </mc:AlternateContent>
  <x:bookViews>
    <x:workbookView xWindow="-28920" yWindow="-120" windowWidth="29040" windowHeight="15720" tabRatio="859" activeTab="4" xr2:uid="{00000000-000D-0000-FFFF-FFFF00000000}"/>
  </x:bookViews>
  <x:sheets>
    <x:sheet name="1월종합" sheetId="183" r:id="rId1"/>
    <x:sheet name="1월매출" sheetId="180" r:id="rId2"/>
    <x:sheet name="Sheet1" sheetId="186" r:id="rId3"/>
    <x:sheet name="1월지출" sheetId="182" r:id="rId4"/>
    <x:sheet name="2월종합" sheetId="189" r:id="rId5"/>
    <x:sheet name="2월매출" sheetId="188" r:id="rId6"/>
    <x:sheet name="Sheet3" sheetId="191" r:id="rId7"/>
    <x:sheet name="2월지출" sheetId="190" r:id="rId8"/>
    <x:sheet name="재고평가" sheetId="187" r:id="rId9"/>
    <x:sheet name="월종합" sheetId="124" r:id="rId10"/>
    <x:sheet name="보고용자료" sheetId="125" r:id="rId11"/>
    <x:sheet name="재무VS관리" sheetId="131" r:id="rId12"/>
  </x:sheets>
  <x:definedNames>
    <x:definedName name="_xlnm._FilterDatabase" localSheetId="1" hidden="1">'1월매출'!$A$1:$M$68</x:definedName>
    <x:definedName name="_xlnm._FilterDatabase" localSheetId="3" hidden="1">'1월지출'!$A$1:$C$56</x:definedName>
    <x:definedName name="_xlnm._FilterDatabase" localSheetId="5" hidden="1">'2월매출'!$A$1:$M$67</x:definedName>
    <x:definedName name="_xlnm._FilterDatabase" localSheetId="7" hidden="1">'2월지출'!$A$1:$C$83</x:definedName>
  </x:definedNames>
  <x:calcPr calcId="191029"/>
  <x:pivotCaches>
    <x:pivotCache cacheId="12" r:id="rId13"/>
    <x:pivotCache cacheId="13" r:id="rId14"/>
    <x:pivotCache cacheId="14" r:id="rId15"/>
    <x:pivotCache cacheId="15" r:id="rId16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calcChain xmlns="http://schemas.openxmlformats.org/spreadsheetml/2006/main">
  <c r="F46" i="189" l="1"/>
  <c r="F45" i="189"/>
  <c r="F44" i="189"/>
  <c r="F43" i="189"/>
  <c r="F42" i="189"/>
  <c r="F41" i="189"/>
  <c r="F40" i="189"/>
  <c r="F39" i="189"/>
  <c r="F38" i="189"/>
  <c r="F37" i="189"/>
  <c r="F36" i="189"/>
  <c r="F35" i="189"/>
  <c r="F34" i="189"/>
  <c r="F33" i="189"/>
  <c r="F32" i="189"/>
  <c r="F31" i="189"/>
  <c r="F30" i="189"/>
  <c r="F29" i="189"/>
  <c r="F28" i="189"/>
  <c r="F27" i="189"/>
  <c r="F26" i="189"/>
  <c r="E6" i="131" l="1"/>
  <c r="E3" i="131"/>
  <c r="E4" i="131"/>
  <c r="D44" i="189"/>
  <c r="E44" i="189" s="1"/>
  <c r="D41" i="189"/>
  <c r="D39" i="189"/>
  <c r="E39" i="189" s="1"/>
  <c r="D35" i="189"/>
  <c r="E35" i="189" s="1"/>
  <c r="I32" i="187"/>
  <c r="I30" i="187"/>
  <c r="I29" i="187"/>
  <c r="I28" i="187"/>
  <c r="I3" i="187"/>
  <c r="I4" i="187"/>
  <c r="I5" i="187"/>
  <c r="I6" i="187"/>
  <c r="I7" i="187"/>
  <c r="I8" i="187"/>
  <c r="I9" i="187"/>
  <c r="I10" i="187"/>
  <c r="I11" i="187"/>
  <c r="I12" i="187"/>
  <c r="I13" i="187"/>
  <c r="I14" i="187"/>
  <c r="I15" i="187"/>
  <c r="I16" i="187"/>
  <c r="I17" i="187"/>
  <c r="I18" i="187"/>
  <c r="I19" i="187"/>
  <c r="I20" i="187"/>
  <c r="I21" i="187"/>
  <c r="I22" i="187"/>
  <c r="I23" i="187"/>
  <c r="I24" i="187"/>
  <c r="I25" i="187"/>
  <c r="I26" i="187"/>
  <c r="I27" i="187"/>
  <c r="I2" i="187"/>
  <c r="D46" i="189"/>
  <c r="E46" i="189" s="1"/>
  <c r="D43" i="189"/>
  <c r="E43" i="189" s="1"/>
  <c r="E42" i="189"/>
  <c r="D42" i="189"/>
  <c r="D38" i="189"/>
  <c r="E38" i="189" s="1"/>
  <c r="D37" i="189"/>
  <c r="D36" i="189" s="1"/>
  <c r="D34" i="189"/>
  <c r="E34" i="189" s="1"/>
  <c r="D33" i="189"/>
  <c r="D32" i="189"/>
  <c r="E32" i="189" s="1"/>
  <c r="J63" i="188"/>
  <c r="L63" i="188" s="1"/>
  <c r="I63" i="188"/>
  <c r="K63" i="188" s="1"/>
  <c r="J62" i="188"/>
  <c r="L62" i="188" s="1"/>
  <c r="I62" i="188"/>
  <c r="K62" i="188" s="1"/>
  <c r="J61" i="188"/>
  <c r="L61" i="188" s="1"/>
  <c r="I61" i="188"/>
  <c r="K61" i="188" s="1"/>
  <c r="J60" i="188"/>
  <c r="L60" i="188" s="1"/>
  <c r="I60" i="188"/>
  <c r="K60" i="188" s="1"/>
  <c r="J56" i="188"/>
  <c r="L56" i="188" s="1"/>
  <c r="L10" i="125"/>
  <c r="L9" i="125"/>
  <c r="L8" i="125"/>
  <c r="L7" i="125"/>
  <c r="L6" i="125"/>
  <c r="L5" i="125"/>
  <c r="L4" i="125"/>
  <c r="J10" i="125"/>
  <c r="J9" i="125"/>
  <c r="J8" i="125"/>
  <c r="J7" i="125"/>
  <c r="J6" i="125"/>
  <c r="J5" i="125"/>
  <c r="J4" i="125"/>
  <c r="P22" i="124"/>
  <c r="P21" i="124"/>
  <c r="P20" i="124"/>
  <c r="P19" i="124"/>
  <c r="P18" i="124"/>
  <c r="P17" i="124"/>
  <c r="P16" i="124"/>
  <c r="P15" i="124"/>
  <c r="P14" i="124"/>
  <c r="P13" i="124"/>
  <c r="P12" i="124"/>
  <c r="P11" i="124"/>
  <c r="P10" i="124"/>
  <c r="P9" i="124"/>
  <c r="P8" i="124"/>
  <c r="P7" i="124"/>
  <c r="P6" i="124"/>
  <c r="P5" i="124"/>
  <c r="P4" i="124"/>
  <c r="P3" i="124"/>
  <c r="P2" i="124"/>
  <c r="P23" i="131"/>
  <c r="P22" i="131"/>
  <c r="P21" i="131"/>
  <c r="P16" i="131"/>
  <c r="P15" i="131"/>
  <c r="P14" i="131"/>
  <c r="P13" i="131"/>
  <c r="P12" i="131"/>
  <c r="F55" i="188"/>
  <c r="I55" i="188" s="1"/>
  <c r="K55" i="188" s="1"/>
  <c r="F54" i="188"/>
  <c r="J54" i="188" s="1"/>
  <c r="L54" i="188" s="1"/>
  <c r="J27" i="188"/>
  <c r="L27" i="188" s="1"/>
  <c r="I27" i="188"/>
  <c r="K27" i="188" s="1"/>
  <c r="J26" i="188"/>
  <c r="L26" i="188" s="1"/>
  <c r="I26" i="188"/>
  <c r="K26" i="188" s="1"/>
  <c r="F39" i="188"/>
  <c r="J39" i="188" s="1"/>
  <c r="L39" i="188" s="1"/>
  <c r="F37" i="188"/>
  <c r="J37" i="188" s="1"/>
  <c r="L37" i="188" s="1"/>
  <c r="J25" i="188"/>
  <c r="L25" i="188" s="1"/>
  <c r="I25" i="188"/>
  <c r="K25" i="188" s="1"/>
  <c r="J24" i="188"/>
  <c r="L24" i="188" s="1"/>
  <c r="I24" i="188"/>
  <c r="K24" i="188" s="1"/>
  <c r="J23" i="188"/>
  <c r="L23" i="188" s="1"/>
  <c r="I23" i="188"/>
  <c r="K23" i="188" s="1"/>
  <c r="J22" i="188"/>
  <c r="L22" i="188" s="1"/>
  <c r="I22" i="188"/>
  <c r="K22" i="188" s="1"/>
  <c r="J21" i="188"/>
  <c r="L21" i="188" s="1"/>
  <c r="I21" i="188"/>
  <c r="K21" i="188" s="1"/>
  <c r="J20" i="188"/>
  <c r="L20" i="188" s="1"/>
  <c r="I20" i="188"/>
  <c r="K20" i="188" s="1"/>
  <c r="J19" i="188"/>
  <c r="L19" i="188" s="1"/>
  <c r="I19" i="188"/>
  <c r="K19" i="188" s="1"/>
  <c r="J18" i="188"/>
  <c r="L18" i="188" s="1"/>
  <c r="I18" i="188"/>
  <c r="K18" i="188" s="1"/>
  <c r="J17" i="188"/>
  <c r="L17" i="188" s="1"/>
  <c r="I17" i="188"/>
  <c r="K17" i="188" s="1"/>
  <c r="J16" i="188"/>
  <c r="L16" i="188" s="1"/>
  <c r="I16" i="188"/>
  <c r="K16" i="188" s="1"/>
  <c r="J15" i="188"/>
  <c r="L15" i="188" s="1"/>
  <c r="I15" i="188"/>
  <c r="K15" i="188" s="1"/>
  <c r="J14" i="188"/>
  <c r="L14" i="188" s="1"/>
  <c r="I14" i="188"/>
  <c r="K14" i="188" s="1"/>
  <c r="J13" i="188"/>
  <c r="L13" i="188" s="1"/>
  <c r="I13" i="188"/>
  <c r="K13" i="188" s="1"/>
  <c r="J12" i="188"/>
  <c r="L12" i="188" s="1"/>
  <c r="I12" i="188"/>
  <c r="K12" i="188" s="1"/>
  <c r="J11" i="188"/>
  <c r="L11" i="188" s="1"/>
  <c r="I11" i="188"/>
  <c r="K11" i="188" s="1"/>
  <c r="J10" i="188"/>
  <c r="L10" i="188" s="1"/>
  <c r="I10" i="188"/>
  <c r="K10" i="188" s="1"/>
  <c r="J67" i="188"/>
  <c r="L67" i="188" s="1"/>
  <c r="I67" i="188"/>
  <c r="K67" i="188" s="1"/>
  <c r="J66" i="188"/>
  <c r="L66" i="188" s="1"/>
  <c r="I66" i="188"/>
  <c r="K66" i="188" s="1"/>
  <c r="J65" i="188"/>
  <c r="L65" i="188" s="1"/>
  <c r="I65" i="188"/>
  <c r="K65" i="188" s="1"/>
  <c r="J64" i="188"/>
  <c r="L64" i="188" s="1"/>
  <c r="I64" i="188"/>
  <c r="K64" i="188" s="1"/>
  <c r="J59" i="188"/>
  <c r="L59" i="188" s="1"/>
  <c r="I59" i="188"/>
  <c r="K59" i="188" s="1"/>
  <c r="J58" i="188"/>
  <c r="L58" i="188" s="1"/>
  <c r="I58" i="188"/>
  <c r="K58" i="188" s="1"/>
  <c r="J57" i="188"/>
  <c r="L57" i="188" s="1"/>
  <c r="I57" i="188"/>
  <c r="K57" i="188" s="1"/>
  <c r="I56" i="188"/>
  <c r="K56" i="188" s="1"/>
  <c r="J53" i="188"/>
  <c r="L53" i="188" s="1"/>
  <c r="I53" i="188"/>
  <c r="K53" i="188" s="1"/>
  <c r="J52" i="188"/>
  <c r="L52" i="188" s="1"/>
  <c r="I52" i="188"/>
  <c r="K52" i="188" s="1"/>
  <c r="J51" i="188"/>
  <c r="L51" i="188" s="1"/>
  <c r="I51" i="188"/>
  <c r="K51" i="188" s="1"/>
  <c r="J50" i="188"/>
  <c r="L50" i="188" s="1"/>
  <c r="I50" i="188"/>
  <c r="K50" i="188" s="1"/>
  <c r="J49" i="188"/>
  <c r="L49" i="188" s="1"/>
  <c r="I49" i="188"/>
  <c r="K49" i="188" s="1"/>
  <c r="J48" i="188"/>
  <c r="L48" i="188" s="1"/>
  <c r="I48" i="188"/>
  <c r="K48" i="188" s="1"/>
  <c r="J47" i="188"/>
  <c r="L47" i="188" s="1"/>
  <c r="I47" i="188"/>
  <c r="K47" i="188" s="1"/>
  <c r="J46" i="188"/>
  <c r="L46" i="188" s="1"/>
  <c r="I46" i="188"/>
  <c r="K46" i="188" s="1"/>
  <c r="J45" i="188"/>
  <c r="L45" i="188" s="1"/>
  <c r="I45" i="188"/>
  <c r="K45" i="188" s="1"/>
  <c r="J44" i="188"/>
  <c r="L44" i="188" s="1"/>
  <c r="I44" i="188"/>
  <c r="K44" i="188" s="1"/>
  <c r="J43" i="188"/>
  <c r="L43" i="188" s="1"/>
  <c r="I43" i="188"/>
  <c r="K43" i="188" s="1"/>
  <c r="J42" i="188"/>
  <c r="L42" i="188" s="1"/>
  <c r="I42" i="188"/>
  <c r="K42" i="188" s="1"/>
  <c r="J41" i="188"/>
  <c r="L41" i="188" s="1"/>
  <c r="I41" i="188"/>
  <c r="K41" i="188" s="1"/>
  <c r="J40" i="188"/>
  <c r="L40" i="188" s="1"/>
  <c r="I40" i="188"/>
  <c r="K40" i="188" s="1"/>
  <c r="J38" i="188"/>
  <c r="L38" i="188" s="1"/>
  <c r="I38" i="188"/>
  <c r="K38" i="188" s="1"/>
  <c r="J36" i="188"/>
  <c r="L36" i="188" s="1"/>
  <c r="I36" i="188"/>
  <c r="K36" i="188" s="1"/>
  <c r="J35" i="188"/>
  <c r="L35" i="188" s="1"/>
  <c r="I35" i="188"/>
  <c r="K35" i="188" s="1"/>
  <c r="J34" i="188"/>
  <c r="L34" i="188" s="1"/>
  <c r="I34" i="188"/>
  <c r="K34" i="188" s="1"/>
  <c r="J33" i="188"/>
  <c r="L33" i="188" s="1"/>
  <c r="I33" i="188"/>
  <c r="K33" i="188" s="1"/>
  <c r="J32" i="188"/>
  <c r="L32" i="188" s="1"/>
  <c r="I32" i="188"/>
  <c r="K32" i="188" s="1"/>
  <c r="J31" i="188"/>
  <c r="L31" i="188" s="1"/>
  <c r="I31" i="188"/>
  <c r="K31" i="188" s="1"/>
  <c r="J30" i="188"/>
  <c r="L30" i="188" s="1"/>
  <c r="I30" i="188"/>
  <c r="K30" i="188" s="1"/>
  <c r="J29" i="188"/>
  <c r="L29" i="188" s="1"/>
  <c r="I29" i="188"/>
  <c r="K29" i="188" s="1"/>
  <c r="J28" i="188"/>
  <c r="L28" i="188" s="1"/>
  <c r="I28" i="188"/>
  <c r="K28" i="188" s="1"/>
  <c r="J9" i="188"/>
  <c r="L9" i="188" s="1"/>
  <c r="I9" i="188"/>
  <c r="K9" i="188" s="1"/>
  <c r="J8" i="188"/>
  <c r="L8" i="188" s="1"/>
  <c r="I8" i="188"/>
  <c r="K8" i="188" s="1"/>
  <c r="J7" i="188"/>
  <c r="L7" i="188" s="1"/>
  <c r="I7" i="188"/>
  <c r="K7" i="188" s="1"/>
  <c r="J6" i="188"/>
  <c r="L6" i="188" s="1"/>
  <c r="I6" i="188"/>
  <c r="K6" i="188" s="1"/>
  <c r="J5" i="188"/>
  <c r="L5" i="188" s="1"/>
  <c r="I5" i="188"/>
  <c r="K5" i="188" s="1"/>
  <c r="J4" i="188"/>
  <c r="L4" i="188" s="1"/>
  <c r="I4" i="188"/>
  <c r="K4" i="188" s="1"/>
  <c r="J3" i="188"/>
  <c r="L3" i="188" s="1"/>
  <c r="I3" i="188"/>
  <c r="K3" i="188" s="1"/>
  <c r="J2" i="188"/>
  <c r="L2" i="188" s="1"/>
  <c r="I2" i="188"/>
  <c r="K2" i="188" s="1"/>
  <c r="H3" i="187"/>
  <c r="H4" i="187"/>
  <c r="H5" i="187"/>
  <c r="H6" i="187"/>
  <c r="H7" i="187"/>
  <c r="H8" i="187"/>
  <c r="H9" i="187"/>
  <c r="H10" i="187"/>
  <c r="H11" i="187"/>
  <c r="H12" i="187"/>
  <c r="H13" i="187"/>
  <c r="H14" i="187"/>
  <c r="H15" i="187"/>
  <c r="H16" i="187"/>
  <c r="H17" i="187"/>
  <c r="H18" i="187"/>
  <c r="H19" i="187"/>
  <c r="H20" i="187"/>
  <c r="H21" i="187"/>
  <c r="H22" i="187"/>
  <c r="H23" i="187"/>
  <c r="H24" i="187"/>
  <c r="H25" i="187"/>
  <c r="H26" i="187"/>
  <c r="H27" i="187"/>
  <c r="H2" i="187"/>
  <c r="G3" i="187"/>
  <c r="G4" i="187"/>
  <c r="G5" i="187"/>
  <c r="G6" i="187"/>
  <c r="G7" i="187"/>
  <c r="G8" i="187"/>
  <c r="G9" i="187"/>
  <c r="G10" i="187"/>
  <c r="G11" i="187"/>
  <c r="G12" i="187"/>
  <c r="G13" i="187"/>
  <c r="G14" i="187"/>
  <c r="G15" i="187"/>
  <c r="G16" i="187"/>
  <c r="G17" i="187"/>
  <c r="G18" i="187"/>
  <c r="G19" i="187"/>
  <c r="G20" i="187"/>
  <c r="G21" i="187"/>
  <c r="G22" i="187"/>
  <c r="G23" i="187"/>
  <c r="G24" i="187"/>
  <c r="G25" i="187"/>
  <c r="G26" i="187"/>
  <c r="G27" i="187"/>
  <c r="G2" i="187"/>
  <c r="D26" i="189"/>
  <c r="D31" i="189"/>
  <c r="D40" i="189" l="1"/>
  <c r="E40" i="189" s="1"/>
  <c r="H28" i="187"/>
  <c r="G28" i="187"/>
  <c r="D30" i="189"/>
  <c r="E31" i="189"/>
  <c r="E26" i="189"/>
  <c r="E36" i="189"/>
  <c r="E33" i="189"/>
  <c r="E37" i="189"/>
  <c r="E41" i="189"/>
  <c r="I39" i="188"/>
  <c r="K39" i="188" s="1"/>
  <c r="I54" i="188"/>
  <c r="K54" i="188" s="1"/>
  <c r="J55" i="188"/>
  <c r="L55" i="188" s="1"/>
  <c r="I37" i="188"/>
  <c r="K37" i="188" s="1"/>
  <c r="D6" i="131"/>
  <c r="D4" i="131"/>
  <c r="D3" i="131"/>
  <c r="D5" i="131" s="1"/>
  <c r="P5" i="131" s="1"/>
  <c r="D40" i="183"/>
  <c r="D47" i="183"/>
  <c r="D45" i="183"/>
  <c r="D44" i="183"/>
  <c r="D43" i="183"/>
  <c r="D42" i="183"/>
  <c r="D39" i="183"/>
  <c r="D38" i="183"/>
  <c r="D35" i="183"/>
  <c r="D34" i="183"/>
  <c r="D33" i="183"/>
  <c r="J63" i="180"/>
  <c r="L63" i="180" s="1"/>
  <c r="I63" i="180"/>
  <c r="K63" i="180" s="1"/>
  <c r="J62" i="180"/>
  <c r="L62" i="180" s="1"/>
  <c r="I62" i="180"/>
  <c r="K62" i="180" s="1"/>
  <c r="J61" i="180"/>
  <c r="L61" i="180" s="1"/>
  <c r="J60" i="180"/>
  <c r="L60" i="180" s="1"/>
  <c r="J65" i="180"/>
  <c r="L65" i="180" s="1"/>
  <c r="J59" i="180"/>
  <c r="L59" i="180" s="1"/>
  <c r="I59" i="180"/>
  <c r="K59" i="180" s="1"/>
  <c r="J58" i="180"/>
  <c r="L58" i="180" s="1"/>
  <c r="I58" i="180"/>
  <c r="K58" i="180" s="1"/>
  <c r="J31" i="180"/>
  <c r="L31" i="180" s="1"/>
  <c r="I31" i="180"/>
  <c r="K31" i="180" s="1"/>
  <c r="J30" i="180"/>
  <c r="L30" i="180" s="1"/>
  <c r="I30" i="180"/>
  <c r="K30" i="180" s="1"/>
  <c r="J29" i="180"/>
  <c r="L29" i="180" s="1"/>
  <c r="I29" i="180"/>
  <c r="K29" i="180" s="1"/>
  <c r="J28" i="180"/>
  <c r="L28" i="180" s="1"/>
  <c r="I28" i="180"/>
  <c r="K28" i="180" s="1"/>
  <c r="J27" i="180"/>
  <c r="L27" i="180" s="1"/>
  <c r="I27" i="180"/>
  <c r="K27" i="180" s="1"/>
  <c r="J55" i="180"/>
  <c r="L55" i="180" s="1"/>
  <c r="I55" i="180"/>
  <c r="K55" i="180" s="1"/>
  <c r="J54" i="180"/>
  <c r="L54" i="180" s="1"/>
  <c r="I54" i="180"/>
  <c r="K54" i="180" s="1"/>
  <c r="J66" i="180"/>
  <c r="L66" i="180" s="1"/>
  <c r="I66" i="180"/>
  <c r="K66" i="180" s="1"/>
  <c r="J57" i="180"/>
  <c r="L57" i="180" s="1"/>
  <c r="I57" i="180"/>
  <c r="K57" i="180" s="1"/>
  <c r="J56" i="180"/>
  <c r="L56" i="180" s="1"/>
  <c r="I56" i="180"/>
  <c r="K56" i="180" s="1"/>
  <c r="J53" i="180"/>
  <c r="L53" i="180" s="1"/>
  <c r="I53" i="180"/>
  <c r="K53" i="180" s="1"/>
  <c r="J52" i="180"/>
  <c r="L52" i="180" s="1"/>
  <c r="I52" i="180"/>
  <c r="K52" i="180" s="1"/>
  <c r="J51" i="180"/>
  <c r="L51" i="180" s="1"/>
  <c r="I51" i="180"/>
  <c r="K51" i="180" s="1"/>
  <c r="J50" i="180"/>
  <c r="L50" i="180" s="1"/>
  <c r="I50" i="180"/>
  <c r="K50" i="180" s="1"/>
  <c r="J49" i="180"/>
  <c r="L49" i="180" s="1"/>
  <c r="I49" i="180"/>
  <c r="K49" i="180" s="1"/>
  <c r="J48" i="180"/>
  <c r="L48" i="180" s="1"/>
  <c r="I48" i="180"/>
  <c r="K48" i="180" s="1"/>
  <c r="J47" i="180"/>
  <c r="L47" i="180" s="1"/>
  <c r="I47" i="180"/>
  <c r="K47" i="180" s="1"/>
  <c r="J46" i="180"/>
  <c r="L46" i="180" s="1"/>
  <c r="I46" i="180"/>
  <c r="K46" i="180" s="1"/>
  <c r="J43" i="180"/>
  <c r="L43" i="180" s="1"/>
  <c r="I43" i="180"/>
  <c r="K43" i="180" s="1"/>
  <c r="J42" i="180"/>
  <c r="L42" i="180" s="1"/>
  <c r="I42" i="180"/>
  <c r="K42" i="180" s="1"/>
  <c r="J45" i="180"/>
  <c r="L45" i="180" s="1"/>
  <c r="I45" i="180"/>
  <c r="K45" i="180" s="1"/>
  <c r="J44" i="180"/>
  <c r="L44" i="180" s="1"/>
  <c r="I44" i="180"/>
  <c r="K44" i="180" s="1"/>
  <c r="J39" i="180"/>
  <c r="L39" i="180" s="1"/>
  <c r="I39" i="180"/>
  <c r="K39" i="180" s="1"/>
  <c r="J38" i="180"/>
  <c r="L38" i="180" s="1"/>
  <c r="I38" i="180"/>
  <c r="K38" i="180" s="1"/>
  <c r="J37" i="180"/>
  <c r="L37" i="180" s="1"/>
  <c r="I37" i="180"/>
  <c r="K37" i="180" s="1"/>
  <c r="J36" i="180"/>
  <c r="L36" i="180" s="1"/>
  <c r="I36" i="180"/>
  <c r="K36" i="180" s="1"/>
  <c r="J35" i="180"/>
  <c r="L35" i="180" s="1"/>
  <c r="I35" i="180"/>
  <c r="K35" i="180" s="1"/>
  <c r="J34" i="180"/>
  <c r="L34" i="180" s="1"/>
  <c r="I34" i="180"/>
  <c r="K34" i="180" s="1"/>
  <c r="J41" i="180"/>
  <c r="L41" i="180" s="1"/>
  <c r="I41" i="180"/>
  <c r="K41" i="180" s="1"/>
  <c r="J40" i="180"/>
  <c r="L40" i="180" s="1"/>
  <c r="I40" i="180"/>
  <c r="K40" i="180" s="1"/>
  <c r="J26" i="180"/>
  <c r="L26" i="180" s="1"/>
  <c r="I26" i="180"/>
  <c r="K26" i="180" s="1"/>
  <c r="J25" i="180"/>
  <c r="L25" i="180" s="1"/>
  <c r="I25" i="180"/>
  <c r="K25" i="180" s="1"/>
  <c r="J24" i="180"/>
  <c r="L24" i="180" s="1"/>
  <c r="I24" i="180"/>
  <c r="K24" i="180" s="1"/>
  <c r="J23" i="180"/>
  <c r="L23" i="180" s="1"/>
  <c r="I23" i="180"/>
  <c r="K23" i="180" s="1"/>
  <c r="J22" i="180"/>
  <c r="L22" i="180" s="1"/>
  <c r="I22" i="180"/>
  <c r="K22" i="180" s="1"/>
  <c r="J21" i="180"/>
  <c r="L21" i="180" s="1"/>
  <c r="I21" i="180"/>
  <c r="K21" i="180" s="1"/>
  <c r="J20" i="180"/>
  <c r="L20" i="180" s="1"/>
  <c r="I20" i="180"/>
  <c r="K20" i="180" s="1"/>
  <c r="J19" i="180"/>
  <c r="L19" i="180" s="1"/>
  <c r="I19" i="180"/>
  <c r="K19" i="180" s="1"/>
  <c r="J18" i="180"/>
  <c r="L18" i="180" s="1"/>
  <c r="I18" i="180"/>
  <c r="K18" i="180" s="1"/>
  <c r="J17" i="180"/>
  <c r="L17" i="180" s="1"/>
  <c r="I17" i="180"/>
  <c r="K17" i="180" s="1"/>
  <c r="J16" i="180"/>
  <c r="L16" i="180" s="1"/>
  <c r="I16" i="180"/>
  <c r="K16" i="180" s="1"/>
  <c r="J15" i="180"/>
  <c r="L15" i="180" s="1"/>
  <c r="I15" i="180"/>
  <c r="K15" i="180" s="1"/>
  <c r="J14" i="180"/>
  <c r="L14" i="180" s="1"/>
  <c r="I14" i="180"/>
  <c r="K14" i="180" s="1"/>
  <c r="J13" i="180"/>
  <c r="L13" i="180" s="1"/>
  <c r="I13" i="180"/>
  <c r="K13" i="180" s="1"/>
  <c r="J12" i="180"/>
  <c r="L12" i="180" s="1"/>
  <c r="I12" i="180"/>
  <c r="K12" i="180" s="1"/>
  <c r="J9" i="180"/>
  <c r="L9" i="180" s="1"/>
  <c r="I9" i="180"/>
  <c r="K9" i="180" s="1"/>
  <c r="J7" i="180"/>
  <c r="L7" i="180" s="1"/>
  <c r="I7" i="180"/>
  <c r="K7" i="180" s="1"/>
  <c r="J6" i="180"/>
  <c r="L6" i="180" s="1"/>
  <c r="I6" i="180"/>
  <c r="K6" i="180" s="1"/>
  <c r="J5" i="180"/>
  <c r="L5" i="180" s="1"/>
  <c r="I5" i="180"/>
  <c r="K5" i="180" s="1"/>
  <c r="J33" i="180"/>
  <c r="L33" i="180" s="1"/>
  <c r="I33" i="180"/>
  <c r="K33" i="180" s="1"/>
  <c r="J32" i="180"/>
  <c r="L32" i="180" s="1"/>
  <c r="I32" i="180"/>
  <c r="K32" i="180" s="1"/>
  <c r="J11" i="180"/>
  <c r="L11" i="180" s="1"/>
  <c r="I11" i="180"/>
  <c r="K11" i="180" s="1"/>
  <c r="J10" i="180"/>
  <c r="L10" i="180" s="1"/>
  <c r="I10" i="180"/>
  <c r="K10" i="180" s="1"/>
  <c r="J8" i="180"/>
  <c r="L8" i="180" s="1"/>
  <c r="I8" i="180"/>
  <c r="K8" i="180" s="1"/>
  <c r="J2" i="180"/>
  <c r="L2" i="180" s="1"/>
  <c r="I2" i="180"/>
  <c r="K2" i="180" s="1"/>
  <c r="J3" i="180"/>
  <c r="L3" i="180" s="1"/>
  <c r="I3" i="180"/>
  <c r="K3" i="180" s="1"/>
  <c r="J4" i="180"/>
  <c r="L4" i="180" s="1"/>
  <c r="I4" i="180"/>
  <c r="K4" i="180" s="1"/>
  <c r="AE11" i="124"/>
  <c r="AF11" i="124" s="1"/>
  <c r="R22" i="124"/>
  <c r="R21" i="124"/>
  <c r="R20" i="124"/>
  <c r="R19" i="124"/>
  <c r="R18" i="124"/>
  <c r="R17" i="124"/>
  <c r="R16" i="124"/>
  <c r="R15" i="124"/>
  <c r="R14" i="124"/>
  <c r="R13" i="124"/>
  <c r="R12" i="124"/>
  <c r="R11" i="124"/>
  <c r="R10" i="124"/>
  <c r="R9" i="124"/>
  <c r="R8" i="124"/>
  <c r="R7" i="124"/>
  <c r="R6" i="124"/>
  <c r="R5" i="124"/>
  <c r="R4" i="124"/>
  <c r="R3" i="124"/>
  <c r="R2" i="124"/>
  <c r="O11" i="124"/>
  <c r="Q11" i="124" s="1"/>
  <c r="E5" i="131"/>
  <c r="F5" i="131"/>
  <c r="G5" i="131"/>
  <c r="H5" i="131"/>
  <c r="I5" i="131"/>
  <c r="J5" i="131"/>
  <c r="K5" i="131"/>
  <c r="L5" i="131"/>
  <c r="M5" i="131"/>
  <c r="N5" i="131"/>
  <c r="O5" i="131"/>
  <c r="AE22" i="124"/>
  <c r="AE21" i="124"/>
  <c r="AE20" i="124"/>
  <c r="AE19" i="124"/>
  <c r="AE18" i="124"/>
  <c r="AE17" i="124"/>
  <c r="AE16" i="124"/>
  <c r="AE15" i="124"/>
  <c r="AE14" i="124"/>
  <c r="AE13" i="124"/>
  <c r="AE12" i="124"/>
  <c r="AE10" i="124"/>
  <c r="AE9" i="124"/>
  <c r="AE8" i="124"/>
  <c r="AE7" i="124"/>
  <c r="AE6" i="124"/>
  <c r="AE5" i="124"/>
  <c r="AE4" i="124"/>
  <c r="AE3" i="124"/>
  <c r="AE2" i="124"/>
  <c r="H29" i="187" l="1"/>
  <c r="H30" i="187" s="1"/>
  <c r="H32" i="187" s="1"/>
  <c r="D36" i="183" s="1"/>
  <c r="D27" i="189"/>
  <c r="E30" i="189"/>
  <c r="I60" i="180"/>
  <c r="K60" i="180" s="1"/>
  <c r="I61" i="180"/>
  <c r="K61" i="180" s="1"/>
  <c r="I65" i="180"/>
  <c r="K65" i="180" s="1"/>
  <c r="I64" i="180"/>
  <c r="K64" i="180" s="1"/>
  <c r="J64" i="180"/>
  <c r="L64" i="180" s="1"/>
  <c r="C22" i="125"/>
  <c r="D31" i="183" l="1"/>
  <c r="E36" i="183"/>
  <c r="E27" i="189"/>
  <c r="D28" i="189"/>
  <c r="N6" i="125"/>
  <c r="D29" i="189" l="1"/>
  <c r="E28" i="189"/>
  <c r="E47" i="183"/>
  <c r="E42" i="183"/>
  <c r="E40" i="183"/>
  <c r="E39" i="183"/>
  <c r="E38" i="183"/>
  <c r="E34" i="183"/>
  <c r="E33" i="183"/>
  <c r="D27" i="183"/>
  <c r="D32" i="183"/>
  <c r="E29" i="189" l="1"/>
  <c r="D45" i="189"/>
  <c r="F36" i="183"/>
  <c r="D41" i="183"/>
  <c r="F41" i="183" s="1"/>
  <c r="D37" i="183"/>
  <c r="E37" i="183" s="1"/>
  <c r="F32" i="183"/>
  <c r="E32" i="183"/>
  <c r="F47" i="183"/>
  <c r="F27" i="183"/>
  <c r="E27" i="183"/>
  <c r="F38" i="183"/>
  <c r="F34" i="183"/>
  <c r="F40" i="183"/>
  <c r="F39" i="183"/>
  <c r="F35" i="183"/>
  <c r="F42" i="183"/>
  <c r="F43" i="183"/>
  <c r="F44" i="183"/>
  <c r="F45" i="183"/>
  <c r="F33" i="183"/>
  <c r="E45" i="183"/>
  <c r="E43" i="183"/>
  <c r="E44" i="183"/>
  <c r="E35" i="183"/>
  <c r="E45" i="189" l="1"/>
  <c r="E41" i="183"/>
  <c r="F37" i="183"/>
  <c r="D28" i="183"/>
  <c r="F31" i="183"/>
  <c r="E31" i="183"/>
  <c r="J67" i="180"/>
  <c r="L67" i="180" s="1"/>
  <c r="I67" i="180"/>
  <c r="K67" i="180" s="1"/>
  <c r="F28" i="183" l="1"/>
  <c r="E28" i="183"/>
  <c r="D29" i="183"/>
  <c r="D30" i="183" l="1"/>
  <c r="F29" i="183"/>
  <c r="E29" i="183"/>
  <c r="E30" i="183" l="1"/>
  <c r="F30" i="183"/>
  <c r="D46" i="183"/>
  <c r="F46" i="183" l="1"/>
  <c r="E46" i="183"/>
  <c r="J68" i="180" l="1"/>
  <c r="L68" i="180" s="1"/>
  <c r="I68" i="180"/>
  <c r="K68" i="180" s="1"/>
  <c r="O7" i="131"/>
  <c r="H7" i="131" l="1"/>
  <c r="E15" i="131" l="1"/>
  <c r="E13" i="131"/>
  <c r="E12" i="131"/>
  <c r="D15" i="131"/>
  <c r="D13" i="131"/>
  <c r="D12" i="131"/>
  <c r="D23" i="131" l="1"/>
  <c r="D22" i="131"/>
  <c r="D21" i="131"/>
  <c r="O15" i="131"/>
  <c r="O23" i="131" s="1"/>
  <c r="N15" i="131"/>
  <c r="N23" i="131" s="1"/>
  <c r="M15" i="131"/>
  <c r="M23" i="131" s="1"/>
  <c r="L15" i="131"/>
  <c r="L23" i="131" s="1"/>
  <c r="K15" i="131"/>
  <c r="K23" i="131" s="1"/>
  <c r="J15" i="131"/>
  <c r="J23" i="131" s="1"/>
  <c r="I15" i="131"/>
  <c r="I23" i="131" s="1"/>
  <c r="H15" i="131"/>
  <c r="H23" i="131" s="1"/>
  <c r="G15" i="131"/>
  <c r="G23" i="131" s="1"/>
  <c r="F15" i="131"/>
  <c r="D14" i="131"/>
  <c r="O13" i="131"/>
  <c r="O22" i="131" s="1"/>
  <c r="N13" i="131"/>
  <c r="N22" i="131" s="1"/>
  <c r="M13" i="131"/>
  <c r="M22" i="131" s="1"/>
  <c r="L13" i="131"/>
  <c r="L22" i="131" s="1"/>
  <c r="K13" i="131"/>
  <c r="K22" i="131" s="1"/>
  <c r="J13" i="131"/>
  <c r="J22" i="131" s="1"/>
  <c r="I13" i="131"/>
  <c r="I22" i="131" s="1"/>
  <c r="H13" i="131"/>
  <c r="H22" i="131" s="1"/>
  <c r="G13" i="131"/>
  <c r="G22" i="131" s="1"/>
  <c r="F13" i="131"/>
  <c r="E22" i="131"/>
  <c r="O12" i="131"/>
  <c r="O21" i="131" s="1"/>
  <c r="N12" i="131"/>
  <c r="N21" i="131" s="1"/>
  <c r="M12" i="131"/>
  <c r="L12" i="131"/>
  <c r="K12" i="131"/>
  <c r="J12" i="131"/>
  <c r="J21" i="131" s="1"/>
  <c r="I12" i="131"/>
  <c r="I21" i="131" s="1"/>
  <c r="H12" i="131"/>
  <c r="H21" i="131" s="1"/>
  <c r="G12" i="131"/>
  <c r="G21" i="131" s="1"/>
  <c r="F12" i="131"/>
  <c r="O8" i="131"/>
  <c r="H8" i="131"/>
  <c r="P6" i="131"/>
  <c r="N7" i="131"/>
  <c r="N8" i="131" s="1"/>
  <c r="M7" i="131"/>
  <c r="M8" i="131" s="1"/>
  <c r="L7" i="131"/>
  <c r="L8" i="131" s="1"/>
  <c r="K7" i="131"/>
  <c r="K8" i="131" s="1"/>
  <c r="J7" i="131"/>
  <c r="J8" i="131" s="1"/>
  <c r="I7" i="131"/>
  <c r="I8" i="131" s="1"/>
  <c r="G7" i="131"/>
  <c r="G8" i="131" s="1"/>
  <c r="F7" i="131"/>
  <c r="F8" i="131" s="1"/>
  <c r="E7" i="131"/>
  <c r="E8" i="131" s="1"/>
  <c r="D7" i="131"/>
  <c r="P4" i="131"/>
  <c r="P3" i="131"/>
  <c r="F23" i="131" l="1"/>
  <c r="F22" i="131"/>
  <c r="F21" i="131"/>
  <c r="D16" i="131"/>
  <c r="M14" i="131"/>
  <c r="M16" i="131" s="1"/>
  <c r="M17" i="131" s="1"/>
  <c r="L14" i="131"/>
  <c r="L16" i="131" s="1"/>
  <c r="L17" i="131" s="1"/>
  <c r="K14" i="131"/>
  <c r="K16" i="131" s="1"/>
  <c r="K17" i="131" s="1"/>
  <c r="E14" i="131"/>
  <c r="H14" i="131"/>
  <c r="H16" i="131" s="1"/>
  <c r="H17" i="131" s="1"/>
  <c r="M21" i="131"/>
  <c r="N14" i="131"/>
  <c r="N16" i="131" s="1"/>
  <c r="N17" i="131" s="1"/>
  <c r="E21" i="131"/>
  <c r="F14" i="131"/>
  <c r="F16" i="131" s="1"/>
  <c r="F17" i="131" s="1"/>
  <c r="K21" i="131"/>
  <c r="D8" i="131"/>
  <c r="P7" i="131"/>
  <c r="P8" i="131" s="1"/>
  <c r="G14" i="131"/>
  <c r="G16" i="131" s="1"/>
  <c r="G17" i="131" s="1"/>
  <c r="O14" i="131"/>
  <c r="O16" i="131" s="1"/>
  <c r="O17" i="131" s="1"/>
  <c r="L21" i="131"/>
  <c r="I14" i="131"/>
  <c r="I16" i="131" s="1"/>
  <c r="I17" i="131" s="1"/>
  <c r="J14" i="131"/>
  <c r="J16" i="131" s="1"/>
  <c r="J17" i="131" s="1"/>
  <c r="E23" i="131"/>
  <c r="D17" i="131" l="1"/>
  <c r="E16" i="131"/>
  <c r="E17" i="131" l="1"/>
  <c r="P17" i="131"/>
  <c r="D16" i="124"/>
  <c r="E16" i="124"/>
  <c r="F16" i="124"/>
  <c r="G16" i="124"/>
  <c r="H16" i="124"/>
  <c r="I16" i="124"/>
  <c r="J16" i="124"/>
  <c r="K16" i="124"/>
  <c r="L16" i="124"/>
  <c r="M16" i="124"/>
  <c r="N16" i="124"/>
  <c r="C16" i="124"/>
  <c r="D12" i="124"/>
  <c r="E12" i="124"/>
  <c r="F12" i="124"/>
  <c r="G12" i="124"/>
  <c r="H12" i="124"/>
  <c r="I12" i="124"/>
  <c r="J12" i="124"/>
  <c r="K12" i="124"/>
  <c r="L12" i="124"/>
  <c r="M12" i="124"/>
  <c r="N12" i="124"/>
  <c r="C12" i="124"/>
  <c r="D6" i="124"/>
  <c r="D4" i="124" s="1"/>
  <c r="E6" i="124"/>
  <c r="F6" i="124"/>
  <c r="F4" i="124" s="1"/>
  <c r="G6" i="124"/>
  <c r="G4" i="124" s="1"/>
  <c r="H6" i="124"/>
  <c r="I6" i="124"/>
  <c r="I4" i="124" s="1"/>
  <c r="J6" i="124"/>
  <c r="K6" i="124"/>
  <c r="K4" i="124" s="1"/>
  <c r="L6" i="124"/>
  <c r="M6" i="124"/>
  <c r="N6" i="124"/>
  <c r="C6" i="124"/>
  <c r="M4" i="124" l="1"/>
  <c r="M5" i="124" s="1"/>
  <c r="D5" i="124"/>
  <c r="D21" i="124" s="1"/>
  <c r="F5" i="124"/>
  <c r="F21" i="124" s="1"/>
  <c r="L4" i="124"/>
  <c r="L5" i="124" s="1"/>
  <c r="G5" i="124"/>
  <c r="G21" i="124" s="1"/>
  <c r="J4" i="124"/>
  <c r="J5" i="124" s="1"/>
  <c r="K5" i="124"/>
  <c r="K21" i="124" s="1"/>
  <c r="H4" i="124"/>
  <c r="H5" i="124" s="1"/>
  <c r="E4" i="124"/>
  <c r="E5" i="124" s="1"/>
  <c r="I5" i="124"/>
  <c r="I21" i="124" s="1"/>
  <c r="N4" i="124"/>
  <c r="N5" i="124" s="1"/>
  <c r="C4" i="124"/>
  <c r="N21" i="124" l="1"/>
  <c r="O6" i="125"/>
  <c r="M21" i="124"/>
  <c r="L21" i="124"/>
  <c r="J21" i="124"/>
  <c r="H21" i="124"/>
  <c r="E21" i="124"/>
  <c r="C5" i="124"/>
  <c r="D7" i="125"/>
  <c r="O6" i="124"/>
  <c r="C7" i="125" s="1"/>
  <c r="C21" i="124" l="1"/>
  <c r="E7" i="125" l="1"/>
  <c r="AF6" i="124"/>
  <c r="O7" i="125" l="1"/>
  <c r="O9" i="125"/>
  <c r="N5" i="125"/>
  <c r="N7" i="125"/>
  <c r="N8" i="125"/>
  <c r="N9" i="125"/>
  <c r="N10" i="125"/>
  <c r="N4" i="125"/>
  <c r="M5" i="125"/>
  <c r="M6" i="125"/>
  <c r="M7" i="125"/>
  <c r="M8" i="125"/>
  <c r="M9" i="125"/>
  <c r="M10" i="125"/>
  <c r="M4" i="125"/>
  <c r="I5" i="125"/>
  <c r="I6" i="125"/>
  <c r="I7" i="125"/>
  <c r="I8" i="125"/>
  <c r="I9" i="125"/>
  <c r="I10" i="125"/>
  <c r="I4" i="125"/>
  <c r="D9" i="125"/>
  <c r="O22" i="124"/>
  <c r="O20" i="124"/>
  <c r="O19" i="124"/>
  <c r="O10" i="124"/>
  <c r="O9" i="124"/>
  <c r="O8" i="124"/>
  <c r="O18" i="124"/>
  <c r="O17" i="124"/>
  <c r="E10" i="125"/>
  <c r="O10" i="125"/>
  <c r="E9" i="125"/>
  <c r="O15" i="124"/>
  <c r="C9" i="125" s="1"/>
  <c r="O14" i="124"/>
  <c r="O13" i="124"/>
  <c r="E8" i="125"/>
  <c r="O8" i="125"/>
  <c r="O7" i="124"/>
  <c r="E6" i="125"/>
  <c r="E5" i="125"/>
  <c r="AF8" i="124" l="1"/>
  <c r="AF9" i="124"/>
  <c r="AF20" i="124"/>
  <c r="AF7" i="124"/>
  <c r="AF5" i="124"/>
  <c r="AF17" i="124"/>
  <c r="AF10" i="124"/>
  <c r="AF19" i="124"/>
  <c r="D8" i="125"/>
  <c r="G8" i="125" s="1"/>
  <c r="AF14" i="124"/>
  <c r="AF22" i="124"/>
  <c r="O5" i="125"/>
  <c r="O3" i="124"/>
  <c r="C5" i="125" s="1"/>
  <c r="D5" i="125"/>
  <c r="G5" i="125" s="1"/>
  <c r="F9" i="125"/>
  <c r="O16" i="124"/>
  <c r="C10" i="125" s="1"/>
  <c r="D10" i="125"/>
  <c r="G10" i="125" s="1"/>
  <c r="AF18" i="124"/>
  <c r="O2" i="124"/>
  <c r="Q10" i="124" s="1"/>
  <c r="AF13" i="124"/>
  <c r="AF15" i="124"/>
  <c r="AF21" i="124"/>
  <c r="E4" i="125"/>
  <c r="G9" i="125"/>
  <c r="F7" i="125"/>
  <c r="O12" i="124"/>
  <c r="AF12" i="124" s="1"/>
  <c r="AF4" i="124"/>
  <c r="F10" i="125" l="1"/>
  <c r="F5" i="125"/>
  <c r="Q15" i="124"/>
  <c r="D4" i="125"/>
  <c r="G4" i="125" s="1"/>
  <c r="Q17" i="124"/>
  <c r="Q6" i="124"/>
  <c r="AF3" i="124"/>
  <c r="Q3" i="124"/>
  <c r="Q2" i="124"/>
  <c r="C4" i="125"/>
  <c r="Q9" i="124"/>
  <c r="Q22" i="124"/>
  <c r="K4" i="125"/>
  <c r="K8" i="125"/>
  <c r="O4" i="125"/>
  <c r="K7" i="125"/>
  <c r="K9" i="125"/>
  <c r="K10" i="125"/>
  <c r="D6" i="125"/>
  <c r="AF16" i="124"/>
  <c r="Q18" i="124"/>
  <c r="Q20" i="124"/>
  <c r="Q13" i="124"/>
  <c r="Q7" i="124"/>
  <c r="Q12" i="124"/>
  <c r="C8" i="125"/>
  <c r="Q14" i="124"/>
  <c r="Q16" i="124"/>
  <c r="AF2" i="124"/>
  <c r="Q8" i="124"/>
  <c r="Q19" i="124"/>
  <c r="K5" i="125"/>
  <c r="G7" i="125"/>
  <c r="G6" i="125"/>
  <c r="O5" i="124"/>
  <c r="O4" i="124"/>
  <c r="Q4" i="124" s="1"/>
  <c r="F4" i="125" l="1"/>
  <c r="F8" i="125"/>
  <c r="K6" i="125"/>
  <c r="Q5" i="124"/>
  <c r="C6" i="125"/>
  <c r="O21" i="124"/>
  <c r="Q21" i="124" s="1"/>
  <c r="F6" i="125" l="1"/>
</calcChain>
</file>

<file path=xl/sharedStrings.xml><?xml version="1.0" encoding="utf-8"?>
<sst xmlns="http://schemas.openxmlformats.org/spreadsheetml/2006/main" count="1241" uniqueCount="213">
  <si>
    <t>Order Date</t>
  </si>
  <si>
    <t>CarName</t>
  </si>
  <si>
    <t>SubPno</t>
  </si>
  <si>
    <t>Car Maker Factory</t>
  </si>
  <si>
    <t>ItemName</t>
  </si>
  <si>
    <t>LG Energy Solution Wroclaw (C00001)</t>
  </si>
  <si>
    <t>PSA_PHEV</t>
  </si>
  <si>
    <t>EBB00416AC</t>
  </si>
  <si>
    <t>INTER_BUSBAR_ASSY</t>
  </si>
  <si>
    <t>EBB00418AC</t>
  </si>
  <si>
    <t>BUSBAR_ASSY_#1_SUV</t>
  </si>
  <si>
    <t>BUSBAR_ASSY_#5_SUV</t>
  </si>
  <si>
    <t>BUSBAR_ASSY_#4_SUV</t>
  </si>
  <si>
    <t>ECW01188AD</t>
  </si>
  <si>
    <t>WH_ASSY_SDN</t>
  </si>
  <si>
    <t>ECW01190AD</t>
  </si>
  <si>
    <t>WH_ASSY_SUV</t>
  </si>
  <si>
    <t>FUSE_BOX_ASSY</t>
  </si>
  <si>
    <t>BDU_ASSY</t>
  </si>
  <si>
    <t>Price</t>
  </si>
  <si>
    <t>Remark</t>
  </si>
  <si>
    <t>QtyOrder</t>
  </si>
  <si>
    <t xml:space="preserve">Material </t>
    <phoneticPr fontId="12" type="noConversion"/>
  </si>
  <si>
    <t>P/Amount</t>
    <phoneticPr fontId="12" type="noConversion"/>
  </si>
  <si>
    <t>M/Amount</t>
    <phoneticPr fontId="12" type="noConversion"/>
  </si>
  <si>
    <t>P/Amount(Won)</t>
    <phoneticPr fontId="12" type="noConversion"/>
  </si>
  <si>
    <t>M/Amount(Won)</t>
    <phoneticPr fontId="12" type="noConversion"/>
  </si>
  <si>
    <t>(비어 있음)</t>
  </si>
  <si>
    <t>총합계</t>
  </si>
  <si>
    <t>소모품비</t>
  </si>
  <si>
    <t>노무비(간접)</t>
  </si>
  <si>
    <t>세금공과</t>
  </si>
  <si>
    <t>관세</t>
  </si>
  <si>
    <t>물류비</t>
  </si>
  <si>
    <t>이자비용</t>
  </si>
  <si>
    <t>급여</t>
  </si>
  <si>
    <t>임대,용역,리스</t>
  </si>
  <si>
    <t>운반비</t>
  </si>
  <si>
    <t>기계경비</t>
  </si>
  <si>
    <t>통관, 물류</t>
  </si>
  <si>
    <t>기타</t>
  </si>
  <si>
    <t>매출액</t>
  </si>
  <si>
    <t>영업이익</t>
  </si>
  <si>
    <t>재료비(\)</t>
  </si>
  <si>
    <t>노무비(\)</t>
  </si>
  <si>
    <t>직접</t>
  </si>
  <si>
    <t>간접</t>
  </si>
  <si>
    <t>기계경비(\)</t>
  </si>
  <si>
    <t>운반비(고객)</t>
  </si>
  <si>
    <t>당기순이익</t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</si>
  <si>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</si>
  <si>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</si>
  <si>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</si>
  <si>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</si>
  <si>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</si>
  <si>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</si>
  <si>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</si>
  <si>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</si>
  <si>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</si>
  <si>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</si>
  <si>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</si>
  <si>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</si>
  <si>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교육비</t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</si>
  <si>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</si>
  <si>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</si>
  <si>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</si>
  <si>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</si>
  <si>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</si>
  <si>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계획 Total</t>
    <phoneticPr fontId="3" type="noConversion"/>
  </si>
  <si>
    <t>실적 Total</t>
    <phoneticPr fontId="3" type="noConversion"/>
  </si>
  <si>
    <t>USD</t>
  </si>
  <si>
    <t>구분</t>
  </si>
  <si>
    <t>금액</t>
  </si>
  <si>
    <t>KSCE</t>
  </si>
  <si>
    <t>EBB00412AC</t>
  </si>
  <si>
    <t>BUSBAR_ASSY_#1_SDN</t>
  </si>
  <si>
    <t>이자비용</t>
    <phoneticPr fontId="3" type="noConversion"/>
  </si>
  <si>
    <t>후생비,접대비</t>
    <phoneticPr fontId="3" type="noConversion"/>
  </si>
  <si>
    <t>세금공과</t>
    <phoneticPr fontId="3" type="noConversion"/>
  </si>
  <si>
    <t>EBB00420AD</t>
  </si>
  <si>
    <t>EBB00422AD</t>
  </si>
  <si>
    <t>EEA00308AF</t>
  </si>
  <si>
    <t>매출원가</t>
  </si>
  <si>
    <t>매출총이익</t>
  </si>
  <si>
    <t>합계 : P/Amount(Won)</t>
  </si>
  <si>
    <t>합계 : M/Amount(Won)</t>
  </si>
  <si>
    <t>PSA_PHEV 요약</t>
  </si>
  <si>
    <t>(비어 있음) 요약</t>
  </si>
  <si>
    <t>계획</t>
  </si>
  <si>
    <t>실적</t>
  </si>
  <si>
    <t>Firewall support</t>
  </si>
  <si>
    <t>Firewall</t>
  </si>
  <si>
    <t>Firewall support 요약</t>
  </si>
  <si>
    <t>EV2020_87</t>
  </si>
  <si>
    <t>FRONT BUSBAR FRAME ASSY</t>
  </si>
  <si>
    <t>REAR BUSBAR FRAME ASSY</t>
  </si>
  <si>
    <t>당월누계
계획</t>
  </si>
  <si>
    <t>당월누계
실적</t>
  </si>
  <si>
    <t>년계획
진척율</t>
  </si>
  <si>
    <t>누계계획
진척율</t>
  </si>
  <si>
    <t>전월
실적</t>
  </si>
  <si>
    <t>매출
구성비</t>
  </si>
  <si>
    <t>전월
대비</t>
  </si>
  <si>
    <t>비고</t>
  </si>
  <si>
    <t>계획
대비</t>
  </si>
  <si>
    <t>재료비</t>
  </si>
  <si>
    <t>노무비</t>
  </si>
  <si>
    <t>EEA00306AD</t>
  </si>
  <si>
    <t>원재료</t>
  </si>
  <si>
    <t>판관비(\)</t>
  </si>
  <si>
    <t>달성율</t>
  </si>
  <si>
    <t>비율</t>
  </si>
  <si>
    <t>EV2020_87 요약</t>
  </si>
  <si>
    <t>판관비</t>
  </si>
  <si>
    <t>1월</t>
  </si>
  <si>
    <t>Total</t>
  </si>
  <si>
    <t>매출</t>
  </si>
  <si>
    <t>영업이익율</t>
  </si>
  <si>
    <t>►관리-재무 차액</t>
  </si>
  <si>
    <r>
      <rPr>
        <b/>
        <sz val="11"/>
        <color theme="1"/>
        <rFont val="Times New Roman"/>
        <family val="1"/>
      </rPr>
      <t>►</t>
    </r>
    <r>
      <rPr>
        <b/>
        <sz val="11"/>
        <color theme="1"/>
        <rFont val="Malgun Gothic"/>
        <family val="2"/>
      </rPr>
      <t>재무재표 결산기준</t>
    </r>
    <r>
      <rPr>
        <b/>
        <sz val="11"/>
        <color theme="1"/>
        <rFont val="Malgun Gothic"/>
        <family val="1"/>
      </rPr>
      <t xml:space="preserve"> 누적</t>
    </r>
  </si>
  <si>
    <t>노무비(직접)</t>
  </si>
  <si>
    <t>BMW_12V</t>
  </si>
  <si>
    <t>ECW01550AF</t>
  </si>
  <si>
    <t>스타리온(폴란드)(C00003)</t>
  </si>
  <si>
    <t>HAF WIRING HARNESS</t>
  </si>
  <si>
    <t>판가(2024.4Q),원가(2024.4Q)</t>
  </si>
  <si>
    <t>BMW_12V 요약</t>
  </si>
  <si>
    <t>행 레이블</t>
  </si>
  <si>
    <t>후생비,접대비</t>
  </si>
  <si>
    <t>합계 : 금액</t>
  </si>
  <si>
    <t>EBB00414AE</t>
  </si>
  <si>
    <t>BUSBAR_ASSY_#4_SDN</t>
  </si>
  <si>
    <t>MFR01053AD</t>
  </si>
  <si>
    <t>MFR01055AC</t>
  </si>
  <si>
    <t>신규 MDM단가</t>
  </si>
  <si>
    <t>A/S판가, 원가 적용</t>
  </si>
  <si>
    <t>► 관리회계 결산기준(환율: 1,600원/EUR, 1,350원/USD, 385원/PLN)</t>
  </si>
  <si>
    <t>재고평가 손실</t>
    <phoneticPr fontId="2" type="noConversion"/>
  </si>
  <si>
    <t>2026년
계획</t>
  </si>
  <si>
    <t>► 재무회계 결산기준(환율: 각월 일별 고시 환율에 따름, 단 금액 산출시 385원/PLN적용)</t>
  </si>
  <si>
    <t>재고평가손실</t>
  </si>
  <si>
    <t>공장 관리비</t>
  </si>
  <si>
    <t>공장 임대료</t>
  </si>
  <si>
    <t>KSCE2026-P001</t>
  </si>
  <si>
    <t>KSCE2026-P003</t>
  </si>
  <si>
    <t>KSCCP2025-R012</t>
  </si>
  <si>
    <t>KSCP2512-KSCE01T</t>
  </si>
  <si>
    <t>KSCE2025-P169</t>
  </si>
  <si>
    <t>KSCP2512-KSCE02T</t>
  </si>
  <si>
    <t>KSCE2025-P171</t>
  </si>
  <si>
    <t>KSCP2512-KSCE03T</t>
  </si>
  <si>
    <t>KSCE2025-P167</t>
  </si>
  <si>
    <t>KSCE2026-P005</t>
  </si>
  <si>
    <t>KSCE2026-P007</t>
  </si>
  <si>
    <t>KSCCP2025-R013</t>
  </si>
  <si>
    <t>KSCCP2025-S003</t>
  </si>
  <si>
    <t>KSCE2026-P009</t>
  </si>
  <si>
    <t>KSCE2026-P011</t>
  </si>
  <si>
    <t>소구분</t>
  </si>
  <si>
    <t>Project</t>
  </si>
  <si>
    <t>MDM</t>
  </si>
  <si>
    <t>LOCO</t>
  </si>
  <si>
    <t>MHU00264AE</t>
  </si>
  <si>
    <t>W1 SDN</t>
  </si>
  <si>
    <t>W1 SUV</t>
  </si>
  <si>
    <t>W1 Commen</t>
  </si>
  <si>
    <t>EEA00308AG</t>
  </si>
  <si>
    <t>W2</t>
  </si>
  <si>
    <t>EBB00539AD</t>
  </si>
  <si>
    <t>EBB00540AD</t>
  </si>
  <si>
    <t>EBB00689AB</t>
  </si>
  <si>
    <t>EEA00373AB</t>
  </si>
  <si>
    <t>EEA00376AD</t>
  </si>
  <si>
    <t>EEA00379AD</t>
  </si>
  <si>
    <t>FCA GSW</t>
  </si>
  <si>
    <t>ECW01503AM</t>
  </si>
  <si>
    <t>ECW01504AM</t>
  </si>
  <si>
    <t>ECW01505AM</t>
  </si>
  <si>
    <t>EEA00383AI</t>
  </si>
  <si>
    <t>EEA00415AH</t>
  </si>
  <si>
    <t>EV2020</t>
  </si>
  <si>
    <t>BMW 12V</t>
  </si>
  <si>
    <t>Price(USD)</t>
  </si>
  <si>
    <t>DEC</t>
  </si>
  <si>
    <t>JAN</t>
  </si>
  <si>
    <t>DHL</t>
  </si>
  <si>
    <t>ZUS</t>
  </si>
  <si>
    <t>PIT4</t>
  </si>
  <si>
    <t>PPK</t>
  </si>
  <si>
    <t>반품</t>
  </si>
  <si>
    <t>1분기 인하단가</t>
  </si>
  <si>
    <t>2월 누계계획</t>
  </si>
  <si>
    <t>2월
계획</t>
  </si>
  <si>
    <t>2월
실적</t>
  </si>
  <si>
    <t>FEB</t>
  </si>
  <si>
    <t>출장비</t>
  </si>
  <si>
    <t>KSCCP2025-S003 환율 변경 추가분</t>
  </si>
  <si>
    <t>KSCE2026-P013</t>
  </si>
  <si>
    <t>KSCE2026-P015</t>
  </si>
  <si>
    <t>ZUS(1월)</t>
  </si>
  <si>
    <t>PIT4(1월)</t>
  </si>
  <si>
    <t>PPK(1월)</t>
  </si>
  <si>
    <t>KSCE2026-P017</t>
  </si>
  <si>
    <t>KSCE2026-P019</t>
  </si>
  <si>
    <t>KSCCP2026-R001</t>
  </si>
  <si>
    <t>KSCE2025-P173</t>
  </si>
  <si>
    <t>KSCP2512-KSCE04T</t>
  </si>
  <si>
    <t>KSCP2601-KSCE01T</t>
  </si>
  <si>
    <t>KSCP2601-KSCE02T</t>
  </si>
  <si>
    <t>KSCP2601-KSCE03T</t>
  </si>
  <si>
    <t>KSCP2601-KSCE04T</t>
  </si>
  <si>
    <t>KSCE2026-P021</t>
  </si>
  <si>
    <t>KSCE2026-P023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</si>
</sst>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1" formatCode="_-* #,##0_-;\-* #,##0_-;_-* &quot;-&quot;_-;_-@_-"/>
    <x:numFmt numFmtId="43" formatCode="_-* #,##0.00_-;\-* #,##0.00_-;_-* &quot;-&quot;??_-;_-@_-"/>
    <x:numFmt numFmtId="164" formatCode="_-* #,##0.00_-;\-* #,##0.00_-;_-* &quot;-&quot;_-;_-@_-"/>
    <x:numFmt numFmtId="165" formatCode="#,##0,"/>
    <x:numFmt numFmtId="166" formatCode="yyyy&quot;-&quot;m&quot;-&quot;d;@"/>
    <x:numFmt numFmtId="167" formatCode="[$-409]d\-mmm\-yyyy;@"/>
    <x:numFmt numFmtId="168" formatCode="_-* #,##0.0_-;\-* #,##0.0_-;_-* &quot;-&quot;_-;_-@_-"/>
    <x:numFmt numFmtId="169" formatCode="_-* #,##0.0000_-;\-* #,##0.0000_-;_-* &quot;-&quot;_-;_-@_-"/>
    <x:numFmt numFmtId="170" formatCode="0.0%"/>
    <x:numFmt numFmtId="171" formatCode="[$-409]mmm&quot;-&quot;yy;@"/>
  </x:numFmts>
  <x:fonts count="27">
    <x:font>
      <x:sz val="8.25"/>
      <x:color indexed="8"/>
      <x:name val="Microsoft Sans Serif"/>
      <x:charset val="1"/>
    </x:font>
    <x:font>
      <x:sz val="8.25"/>
      <x:color indexed="8"/>
      <x:name val="Microsoft Sans Serif"/>
      <x:family val="2"/>
    </x:font>
    <x:font>
      <x:sz val="11"/>
      <x:color theme="1"/>
      <x:name val="Calibri"/>
      <x:family val="2"/>
      <x:charset val="129"/>
      <x:scheme val="minor"/>
    </x:font>
    <x:font>
      <x:sz val="8"/>
      <x:name val="BatangChe"/>
      <x:family val="3"/>
      <x:charset val="129"/>
    </x:font>
    <x:font>
      <x:sz val="8.25"/>
      <x:color indexed="8"/>
      <x:name val="Microsoft Sans Serif"/>
      <x:family val="2"/>
      <x:charset val="129"/>
    </x:font>
    <x:font>
      <x:sz val="8.25"/>
      <x:name val="Microsoft Sans Serif"/>
      <x:family val="2"/>
      <x:charset val="129"/>
    </x:font>
    <x:font>
      <x:sz val="8.25"/>
      <x:name val="Microsoft Sans Serif"/>
      <x:family val="2"/>
    </x:font>
    <x:font>
      <x:sz val="11"/>
      <x:color theme="1"/>
      <x:name val="Calibri"/>
      <x:family val="3"/>
      <x:charset val="129"/>
      <x:scheme val="minor"/>
    </x:font>
    <x:font>
      <x:sz val="10"/>
      <x:color theme="1"/>
      <x:name val="맑은 고딕"/>
      <x:family val="3"/>
      <x:charset val="129"/>
    </x:font>
    <x:font>
      <x:sz val="10"/>
      <x:color theme="1"/>
      <x:name val="맑은 고딕"/>
      <x:family val="2"/>
      <x:charset val="129"/>
    </x:font>
    <x:font>
      <x:sz val="8.25"/>
      <x:color indexed="8"/>
      <x:name val="Microsoft Sans Serif"/>
      <x:family val="2"/>
    </x:font>
    <x:font>
      <x:sz val="8.25"/>
      <x:color indexed="8"/>
      <x:name val="Microsoft Sans Serif"/>
      <x:family val="2"/>
    </x:font>
    <x:font>
      <x:sz val="8"/>
      <x:name val="Microsoft Sans Serif"/>
      <x:family val="2"/>
      <x:charset val="129"/>
    </x:font>
    <x:font>
      <x:b/>
      <x:sz val="11"/>
      <x:color theme="1"/>
      <x:name val="Arial"/>
      <x:family val="2"/>
    </x:font>
    <x:font>
      <x:sz val="11"/>
      <x:color theme="1"/>
      <x:name val="Arial"/>
      <x:family val="2"/>
    </x:font>
    <x:font>
      <x:sz val="11"/>
      <x:color indexed="8"/>
      <x:name val="Arial"/>
      <x:family val="2"/>
    </x:font>
    <x:font>
      <x:sz val="11"/>
      <x:color theme="1"/>
      <x:name val="맑은 고딕"/>
      <x:charset val="129"/>
    </x:font>
    <x:font>
      <x:sz val="11"/>
      <x:color theme="1"/>
      <x:name val="Malgun Gothic"/>
      <x:family val="2"/>
    </x:font>
    <x:font>
      <x:sz val="11"/>
      <x:color indexed="8"/>
      <x:name val="Malgun Gothic"/>
      <x:family val="2"/>
    </x:font>
    <x:font>
      <x:b/>
      <x:sz val="11"/>
      <x:color indexed="8"/>
      <x:name val="Malgun Gothic"/>
      <x:family val="2"/>
    </x:font>
    <x:font>
      <x:b/>
      <x:sz val="11"/>
      <x:color theme="1"/>
      <x:name val="Malgun Gothic"/>
      <x:family val="2"/>
    </x:font>
    <x:font>
      <x:sz val="11"/>
      <x:color theme="1"/>
      <x:name val="Malgun Gothic"/>
      <x:family val="1"/>
    </x:font>
    <x:font>
      <x:b/>
      <x:sz val="11"/>
      <x:color theme="1"/>
      <x:name val="Times New Roman"/>
      <x:family val="1"/>
    </x:font>
    <x:font>
      <x:b/>
      <x:sz val="11"/>
      <x:color theme="1"/>
      <x:name val="Malgun Gothic"/>
      <x:family val="1"/>
    </x:font>
    <x:font>
      <x:b/>
      <x:sz val="11"/>
      <x:name val="Malgun Gothic"/>
      <x:family val="2"/>
    </x:font>
    <x:font>
      <x:sz val="11"/>
      <x:name val="Malgun Gothic"/>
      <x:family val="2"/>
    </x:font>
    <x:font>
      <x:sz val="11"/>
      <x:color indexed="8"/>
      <x:name val="Malgun Gothic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</x:borders>
  <x:cellStyleXfs count="50">
    <x:xf numFmtId="0" fontId="0" fillId="0" borderId="0"/>
    <x:xf numFmtId="0" fontId="4" fillId="0" borderId="0"/>
    <x:xf numFmtId="9" fontId="4" fillId="0" borderId="0" applyFont="0" applyFill="0" applyBorder="0" applyAlignment="0" applyProtection="0"/>
    <x:xf numFmtId="9" fontId="7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/>
    <x:xf numFmtId="41" fontId="8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0" fontId="4" fillId="0" borderId="0"/>
    <x:xf numFmtId="0" fontId="8" fillId="0" borderId="0">
      <x:alignment vertical="center"/>
    </x:xf>
    <x:xf numFmtId="0" fontId="4" fillId="0" borderId="0"/>
    <x:xf numFmtId="0" fontId="8" fillId="0" borderId="0">
      <x:alignment vertical="center"/>
    </x:xf>
    <x:xf numFmtId="0" fontId="1" fillId="0" borderId="0"/>
    <x:xf numFmtId="0" fontId="4" fillId="0" borderId="0"/>
    <x:xf numFmtId="0" fontId="5" fillId="0" borderId="0"/>
    <x:xf numFmtId="0" fontId="6" fillId="0" borderId="0"/>
    <x:xf numFmtId="0" fontId="7" fillId="0" borderId="0">
      <x:alignment vertical="center"/>
    </x:xf>
    <x:xf numFmtId="0" fontId="7" fillId="0" borderId="0">
      <x:alignment vertical="center"/>
    </x:xf>
    <x:xf numFmtId="0" fontId="5" fillId="0" borderId="0"/>
    <x:xf numFmtId="0" fontId="7" fillId="0" borderId="0">
      <x:alignment vertical="center"/>
    </x:xf>
    <x:xf numFmtId="0" fontId="7" fillId="0" borderId="0">
      <x:alignment vertical="center"/>
    </x:xf>
    <x:xf numFmtId="0" fontId="7" fillId="0" borderId="0">
      <x:alignment vertical="center"/>
    </x:xf>
    <x:xf numFmtId="0" fontId="4" fillId="0" borderId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/>
    <x:xf numFmtId="41" fontId="5" fillId="0" borderId="0" applyFont="0" applyFill="0" applyBorder="0" applyAlignment="0" applyProtection="0">
      <x:alignment vertical="center"/>
    </x:xf>
    <x:xf numFmtId="0" fontId="4" fillId="0" borderId="0"/>
    <x:xf numFmtId="0" fontId="4" fillId="0" borderId="0"/>
    <x:xf numFmtId="0" fontId="4" fillId="0" borderId="0"/>
    <x:xf numFmtId="0" fontId="5" fillId="0" borderId="0"/>
    <x:xf numFmtId="0" fontId="2" fillId="0" borderId="0">
      <x:alignment vertical="center"/>
    </x:xf>
    <x:xf numFmtId="41" fontId="2" fillId="0" borderId="0" applyFont="0" applyFill="0" applyBorder="0" applyAlignment="0" applyProtection="0">
      <x:alignment vertical="center"/>
    </x:xf>
    <x:xf numFmtId="0" fontId="9" fillId="0" borderId="0">
      <x:alignment vertical="center"/>
    </x:xf>
    <x:xf numFmtId="41" fontId="9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</x:cellStyleXfs>
  <x:cellXfs count="116">
    <x:xf numFmtId="0" fontId="0" fillId="0" borderId="0" xfId="0"/>
    <x:xf numFmtId="41" fontId="16" fillId="0" borderId="1" xfId="48" applyFont="1" applyBorder="1" applyAlignment="1">
      <x:alignment vertical="center"/>
    </x:xf>
    <x:xf numFmtId="0" fontId="16" fillId="0" borderId="0" xfId="0" applyFont="1" applyAlignment="1">
      <x:alignment vertical="center"/>
    </x:xf>
    <x:xf numFmtId="41" fontId="16" fillId="0" borderId="1" xfId="48" applyFont="1" applyBorder="1">
      <x:alignment vertical="center"/>
    </x:xf>
    <x:xf numFmtId="0" fontId="17" fillId="0" borderId="0" xfId="0" applyFont="1" applyAlignment="1">
      <x:alignment vertical="center"/>
    </x:xf>
    <x:xf numFmtId="166" fontId="13" fillId="2" borderId="0" xfId="25" applyNumberFormat="1" applyFont="1" applyFill="1" applyAlignment="1">
      <x:alignment horizontal="center" vertical="center"/>
    </x:xf>
    <x:xf numFmtId="0" fontId="13" fillId="2" borderId="0" xfId="25" applyFont="1" applyFill="1" applyAlignment="1">
      <x:alignment horizontal="center" vertical="center"/>
    </x:xf>
    <x:xf numFmtId="41" fontId="13" fillId="2" borderId="0" xfId="48" applyFont="1" applyFill="1" applyAlignment="1" applyProtection="1">
      <x:alignment horizontal="center" vertical="center"/>
    </x:xf>
    <x:xf numFmtId="164" fontId="13" fillId="2" borderId="0" xfId="48" applyNumberFormat="1" applyFont="1" applyFill="1" applyBorder="1" applyAlignment="1" applyProtection="1">
      <x:alignment horizontal="center" vertical="center"/>
    </x:xf>
    <x:xf numFmtId="41" fontId="13" fillId="2" borderId="0" xfId="48" applyFont="1" applyFill="1" applyBorder="1" applyAlignment="1" applyProtection="1">
      <x:alignment horizontal="center" vertical="center"/>
    </x:xf>
    <x:xf numFmtId="0" fontId="13" fillId="2" borderId="0" xfId="35" applyFont="1" applyFill="1" applyAlignment="1">
      <x:alignment vertical="center"/>
    </x:xf>
    <x:xf numFmtId="0" fontId="14" fillId="2" borderId="0" xfId="0" applyFont="1" applyFill="1" applyAlignment="1">
      <x:alignment vertical="center"/>
    </x:xf>
    <x:xf numFmtId="0" fontId="15" fillId="2" borderId="0" xfId="0" applyFont="1" applyFill="1" applyAlignment="1">
      <x:alignment horizontal="left" vertical="center" wrapText="1"/>
    </x:xf>
    <x:xf numFmtId="164" fontId="15" fillId="2" borderId="0" xfId="48" applyNumberFormat="1" applyFont="1" applyFill="1" applyBorder="1" applyAlignment="1" applyProtection="1">
      <x:alignment vertical="center"/>
    </x:xf>
    <x:xf numFmtId="41" fontId="15" fillId="2" borderId="0" xfId="48" applyFont="1" applyFill="1" applyBorder="1" applyAlignment="1" applyProtection="1">
      <x:alignment vertical="center"/>
    </x:xf>
    <x:xf numFmtId="0" fontId="15" fillId="2" borderId="0" xfId="0" applyFont="1" applyFill="1" applyAlignment="1">
      <x:alignment vertical="center"/>
    </x:xf>
    <x:xf numFmtId="167" fontId="15" fillId="2" borderId="0" xfId="0" applyNumberFormat="1" applyFont="1" applyFill="1" applyAlignment="1">
      <x:alignment horizontal="left" vertical="center" wrapText="1"/>
    </x:xf>
    <x:xf numFmtId="164" fontId="14" fillId="2" borderId="0" xfId="48" applyNumberFormat="1" applyFont="1" applyFill="1" applyBorder="1" applyAlignment="1" applyProtection="1">
      <x:alignment vertical="center"/>
    </x:xf>
    <x:xf numFmtId="169" fontId="15" fillId="2" borderId="0" xfId="48" applyNumberFormat="1" applyFont="1" applyFill="1" applyBorder="1" applyAlignment="1" applyProtection="1">
      <x:alignment vertical="center"/>
    </x:xf>
    <x:xf numFmtId="169" fontId="13" fillId="2" borderId="0" xfId="48" applyNumberFormat="1" applyFont="1" applyFill="1" applyAlignment="1" applyProtection="1">
      <x:alignment horizontal="center" vertical="center"/>
    </x:xf>
    <x:xf numFmtId="169" fontId="13" fillId="2" borderId="0" xfId="48" applyNumberFormat="1" applyFont="1" applyFill="1" applyBorder="1" applyAlignment="1" applyProtection="1">
      <x:alignment horizontal="center" vertical="center"/>
    </x:xf>
    <x:xf numFmtId="169" fontId="15" fillId="2" borderId="0" xfId="0" applyNumberFormat="1" applyFont="1" applyFill="1" applyAlignment="1">
      <x:alignment vertical="center"/>
    </x:xf>
    <x:xf numFmtId="0" fontId="14" fillId="2" borderId="0" xfId="0" applyFont="1" applyFill="1" applyAlignment="1">
      <x:alignment horizontal="left" vertical="center" wrapText="1"/>
    </x:xf>
    <x:xf numFmtId="169" fontId="14" fillId="2" borderId="0" xfId="48" applyNumberFormat="1" applyFont="1" applyFill="1" applyBorder="1" applyAlignment="1" applyProtection="1">
      <x:alignment vertical="center"/>
    </x:xf>
    <x:xf numFmtId="0" fontId="18" fillId="0" borderId="0" xfId="0" applyFont="1" applyAlignment="1">
      <x:alignment vertical="center"/>
    </x:xf>
    <x:xf numFmtId="0" fontId="19" fillId="0" borderId="0" xfId="0" applyFont="1" applyAlignment="1">
      <x:alignment vertical="center"/>
    </x:xf>
    <x:xf numFmtId="0" fontId="18" fillId="0" borderId="1" xfId="0" applyFont="1" applyBorder="1" applyAlignment="1">
      <x:alignment vertical="center"/>
    </x:xf>
    <x:xf numFmtId="165" fontId="19" fillId="0" borderId="0" xfId="48" applyNumberFormat="1" applyFont="1" applyFill="1" applyBorder="1" applyAlignment="1" applyProtection="1">
      <x:alignment vertical="center"/>
    </x:xf>
    <x:xf numFmtId="165" fontId="18" fillId="0" borderId="0" xfId="48" applyNumberFormat="1" applyFont="1" applyFill="1" applyBorder="1" applyAlignment="1" applyProtection="1">
      <x:alignment vertical="center"/>
    </x:xf>
    <x:xf numFmtId="165" fontId="18" fillId="0" borderId="0" xfId="48" applyNumberFormat="1" applyFont="1" applyFill="1" applyBorder="1" applyAlignment="1" applyProtection="1"/>
    <x:xf numFmtId="165" fontId="19" fillId="0" borderId="0" xfId="48" applyNumberFormat="1" applyFont="1" applyFill="1" applyBorder="1" applyAlignment="1" applyProtection="1"/>
    <x:xf numFmtId="41" fontId="18" fillId="0" borderId="0" xfId="48" applyFont="1" applyFill="1" applyBorder="1" applyAlignment="1" applyProtection="1">
      <x:alignment vertical="center"/>
    </x:xf>
    <x:xf numFmtId="41" fontId="17" fillId="0" borderId="0" xfId="48" applyFont="1" applyFill="1" applyBorder="1" applyAlignment="1" applyProtection="1">
      <x:alignment vertical="center"/>
    </x:xf>
    <x:xf numFmtId="41" fontId="19" fillId="0" borderId="0" xfId="48" applyFont="1" applyFill="1" applyBorder="1" applyAlignment="1" applyProtection="1">
      <x:alignment vertical="center"/>
    </x:xf>
    <x:xf numFmtId="165" fontId="19" fillId="0" borderId="0" xfId="0" applyNumberFormat="1" applyFont="1" applyAlignment="1">
      <x:alignment vertical="center"/>
    </x:xf>
    <x:xf numFmtId="9" fontId="19" fillId="0" borderId="0" xfId="49" applyFont="1" applyFill="1" applyBorder="1" applyAlignment="1" applyProtection="1">
      <x:alignment vertical="center"/>
    </x:xf>
    <x:xf numFmtId="9" fontId="18" fillId="0" borderId="0" xfId="49" applyFont="1" applyFill="1" applyBorder="1" applyAlignment="1" applyProtection="1">
      <x:alignment vertical="center"/>
    </x:xf>
    <x:xf numFmtId="168" fontId="18" fillId="0" borderId="0" xfId="48" applyNumberFormat="1" applyFont="1" applyFill="1" applyBorder="1" applyAlignment="1" applyProtection="1">
      <x:alignment vertical="center"/>
    </x:xf>
    <x:xf numFmtId="165" fontId="18" fillId="0" borderId="0" xfId="0" applyNumberFormat="1" applyFont="1" applyAlignment="1">
      <x:alignment vertical="center"/>
    </x:xf>
    <x:xf numFmtId="0" fontId="18" fillId="0" borderId="1" xfId="0" applyFont="1" applyBorder="1" applyAlignment="1">
      <x:alignment horizontal="center" vertical="center"/>
    </x:xf>
    <x:xf numFmtId="0" fontId="18" fillId="0" borderId="1" xfId="0" applyFont="1" applyBorder="1" applyAlignment="1">
      <x:alignment horizontal="center" vertical="center" wrapText="1"/>
    </x:xf>
    <x:xf numFmtId="165" fontId="18" fillId="0" borderId="1" xfId="48" applyNumberFormat="1" applyFont="1" applyBorder="1" applyAlignment="1">
      <x:alignment vertical="center"/>
    </x:xf>
    <x:xf numFmtId="9" fontId="18" fillId="0" borderId="1" xfId="49" applyFont="1" applyBorder="1" applyAlignment="1">
      <x:alignment vertical="center"/>
    </x:xf>
    <x:xf numFmtId="0" fontId="20" fillId="2" borderId="0" xfId="0" applyFont="1" applyFill="1" applyAlignment="1">
      <x:alignment vertical="center"/>
    </x:xf>
    <x:xf numFmtId="0" fontId="17" fillId="2" borderId="0" xfId="0" applyFont="1" applyFill="1" applyAlignment="1">
      <x:alignment vertical="center"/>
    </x:xf>
    <x:xf numFmtId="41" fontId="17" fillId="2" borderId="0" xfId="48" applyFont="1" applyFill="1" applyAlignment="1">
      <x:alignment vertical="center"/>
    </x:xf>
    <x:xf numFmtId="0" fontId="17" fillId="2" borderId="1" xfId="0" applyFont="1" applyFill="1" applyBorder="1" applyAlignment="1">
      <x:alignment horizontal="center" vertical="center"/>
    </x:xf>
    <x:xf numFmtId="0" fontId="17" fillId="2" borderId="1" xfId="0" applyFont="1" applyFill="1" applyBorder="1" applyAlignment="1">
      <x:alignment vertical="center"/>
    </x:xf>
    <x:xf numFmtId="0" fontId="17" fillId="2" borderId="2" xfId="0" applyFont="1" applyFill="1" applyBorder="1" applyAlignment="1">
      <x:alignment vertical="center"/>
    </x:xf>
    <x:xf numFmtId="165" fontId="20" fillId="2" borderId="1" xfId="48" applyNumberFormat="1" applyFont="1" applyFill="1" applyBorder="1" applyAlignment="1">
      <x:alignment vertical="center"/>
    </x:xf>
    <x:xf numFmtId="165" fontId="20" fillId="2" borderId="1" xfId="0" applyNumberFormat="1" applyFont="1" applyFill="1" applyBorder="1" applyAlignment="1">
      <x:alignment vertical="center"/>
    </x:xf>
    <x:xf numFmtId="165" fontId="20" fillId="2" borderId="2" xfId="0" applyNumberFormat="1" applyFont="1" applyFill="1" applyBorder="1" applyAlignment="1">
      <x:alignment vertical="center"/>
    </x:xf>
    <x:xf numFmtId="165" fontId="17" fillId="2" borderId="1" xfId="48" applyNumberFormat="1" applyFont="1" applyFill="1" applyBorder="1" applyAlignment="1">
      <x:alignment vertical="center"/>
    </x:xf>
    <x:xf numFmtId="165" fontId="17" fillId="2" borderId="2" xfId="0" applyNumberFormat="1" applyFont="1" applyFill="1" applyBorder="1" applyAlignment="1">
      <x:alignment vertical="center"/>
    </x:xf>
    <x:xf numFmtId="170" fontId="17" fillId="2" borderId="1" xfId="49" applyNumberFormat="1" applyFont="1" applyFill="1" applyBorder="1" applyAlignment="1">
      <x:alignment vertical="center"/>
    </x:xf>
    <x:xf numFmtId="170" fontId="17" fillId="2" borderId="2" xfId="49" applyNumberFormat="1" applyFont="1" applyFill="1" applyBorder="1" applyAlignment="1">
      <x:alignment vertical="center"/>
    </x:xf>
    <x:xf numFmtId="165" fontId="20" fillId="2" borderId="0" xfId="0" applyNumberFormat="1" applyFont="1" applyFill="1" applyAlignment="1">
      <x:alignment vertical="center"/>
    </x:xf>
    <x:xf numFmtId="165" fontId="17" fillId="2" borderId="1" xfId="0" applyNumberFormat="1" applyFont="1" applyFill="1" applyBorder="1" applyAlignment="1">
      <x:alignment vertical="center"/>
    </x:xf>
    <x:xf numFmtId="165" fontId="17" fillId="2" borderId="0" xfId="0" applyNumberFormat="1" applyFont="1" applyFill="1" applyAlignment="1">
      <x:alignment vertical="center"/>
    </x:xf>
    <x:xf numFmtId="170" fontId="17" fillId="2" borderId="0" xfId="49" applyNumberFormat="1" applyFont="1" applyFill="1" applyBorder="1" applyAlignment="1">
      <x:alignment vertical="center"/>
    </x:xf>
    <x:xf numFmtId="170" fontId="17" fillId="2" borderId="0" xfId="49" applyNumberFormat="1" applyFont="1" applyFill="1" applyAlignment="1">
      <x:alignment vertical="center"/>
    </x:xf>
    <x:xf numFmtId="41" fontId="17" fillId="2" borderId="6" xfId="48" applyFont="1" applyFill="1" applyBorder="1" applyAlignment="1">
      <x:alignment vertical="center"/>
    </x:xf>
    <x:xf numFmtId="0" fontId="17" fillId="2" borderId="6" xfId="0" applyFont="1" applyFill="1" applyBorder="1" applyAlignment="1">
      <x:alignment vertical="center"/>
    </x:xf>
    <x:xf numFmtId="41" fontId="17" fillId="2" borderId="1" xfId="48" applyFont="1" applyFill="1" applyBorder="1" applyAlignment="1">
      <x:alignment horizontal="center" vertical="center"/>
    </x:xf>
    <x:xf numFmtId="165" fontId="24" fillId="2" borderId="1" xfId="0" applyNumberFormat="1" applyFont="1" applyFill="1" applyBorder="1" applyAlignment="1">
      <x:alignment vertical="center"/>
    </x:xf>
    <x:xf numFmtId="165" fontId="25" fillId="2" borderId="1" xfId="48" applyNumberFormat="1" applyFont="1" applyFill="1" applyBorder="1" applyAlignment="1">
      <x:alignment vertical="center"/>
    </x:xf>
    <x:xf numFmtId="170" fontId="25" fillId="2" borderId="1" xfId="49" applyNumberFormat="1" applyFont="1" applyFill="1" applyBorder="1" applyAlignment="1">
      <x:alignment vertical="center"/>
    </x:xf>
    <x:xf numFmtId="170" fontId="18" fillId="0" borderId="0" xfId="49" applyNumberFormat="1" applyFont="1" applyAlignment="1">
      <x:alignment vertical="center"/>
    </x:xf>
    <x:xf numFmtId="0" fontId="0" fillId="0" borderId="0" xfId="0" applyAlignment="1">
      <x:alignment vertical="center"/>
    </x:xf>
    <x:xf numFmtId="9" fontId="17" fillId="2" borderId="0" xfId="49" applyFont="1" applyFill="1" applyAlignment="1">
      <x:alignment vertical="center"/>
    </x:xf>
    <x:xf numFmtId="41" fontId="0" fillId="0" borderId="0" xfId="48" applyFont="1" applyAlignment="1">
      <x:alignment vertical="center"/>
    </x:xf>
    <x:xf numFmtId="41" fontId="17" fillId="0" borderId="1" xfId="48" applyFont="1" applyBorder="1" applyAlignment="1">
      <x:alignment vertical="center"/>
    </x:xf>
    <x:xf numFmtId="0" fontId="0" fillId="0" borderId="0" xfId="0" pivotButton="1"/>
    <x:xf numFmtId="0" fontId="0" fillId="0" borderId="0" xfId="0" applyAlignment="1">
      <x:alignment horizontal="left"/>
    </x:xf>
    <x:xf numFmtId="165" fontId="24" fillId="2" borderId="1" xfId="48" applyNumberFormat="1" applyFont="1" applyFill="1" applyBorder="1" applyAlignment="1">
      <x:alignment vertical="center"/>
    </x:xf>
    <x:xf numFmtId="41" fontId="18" fillId="0" borderId="0" xfId="48" applyFont="1" applyAlignment="1">
      <x:alignment vertical="center"/>
    </x:xf>
    <x:xf numFmtId="10" fontId="19" fillId="0" borderId="0" xfId="49" applyNumberFormat="1" applyFont="1" applyFill="1" applyBorder="1" applyAlignment="1" applyProtection="1">
      <x:alignment vertical="center"/>
    </x:xf>
    <x:xf numFmtId="170" fontId="17" fillId="0" borderId="0" xfId="49" applyNumberFormat="1" applyFont="1" applyFill="1" applyBorder="1" applyAlignment="1" applyProtection="1">
      <x:alignment vertical="center"/>
    </x:xf>
    <x:xf numFmtId="41" fontId="18" fillId="0" borderId="0" xfId="48" applyFont="1" applyAlignment="1">
      <x:alignment horizontal="right" vertical="center"/>
    </x:xf>
    <x:xf numFmtId="41" fontId="18" fillId="0" borderId="0" xfId="0" applyNumberFormat="1" applyFont="1" applyAlignment="1">
      <x:alignment horizontal="right" vertical="center"/>
    </x:xf>
    <x:xf numFmtId="165" fontId="20" fillId="0" borderId="0" xfId="48" applyNumberFormat="1" applyFont="1" applyFill="1" applyBorder="1" applyAlignment="1" applyProtection="1">
      <x:alignment vertical="center"/>
    </x:xf>
    <x:xf numFmtId="165" fontId="17" fillId="0" borderId="0" xfId="48" applyNumberFormat="1" applyFont="1" applyFill="1" applyBorder="1" applyAlignment="1" applyProtection="1">
      <x:alignment vertical="center"/>
    </x:xf>
    <x:xf numFmtId="41" fontId="15" fillId="2" borderId="0" xfId="48" applyFont="1" applyFill="1" applyAlignment="1">
      <x:alignment vertical="center" wrapText="1"/>
    </x:xf>
    <x:xf numFmtId="41" fontId="14" fillId="2" borderId="0" xfId="48" applyFont="1" applyFill="1" applyAlignment="1">
      <x:alignment vertical="center" wrapText="1"/>
    </x:xf>
    <x:xf numFmtId="41" fontId="16" fillId="0" borderId="1" xfId="48" applyFont="1" applyBorder="1" applyAlignment="1">
      <x:alignment horizontal="left" vertical="center"/>
    </x:xf>
    <x:xf numFmtId="41" fontId="16" fillId="0" borderId="0" xfId="48" applyFont="1" applyAlignment="1">
      <x:alignment vertical="center"/>
    </x:xf>
    <x:xf numFmtId="41" fontId="0" fillId="0" borderId="0" xfId="0" applyNumberFormat="1"/>
    <x:xf numFmtId="0" fontId="26" fillId="0" borderId="0" xfId="0" pivotButton="1" applyFont="1" applyAlignment="1">
      <x:alignment vertical="center"/>
    </x:xf>
    <x:xf numFmtId="0" fontId="26" fillId="0" borderId="0" xfId="0" applyFont="1" applyAlignment="1">
      <x:alignment vertical="center"/>
    </x:xf>
    <x:xf numFmtId="41" fontId="26" fillId="0" borderId="0" xfId="0" applyNumberFormat="1" applyFont="1" applyAlignment="1">
      <x:alignment vertical="center"/>
    </x:xf>
    <x:xf numFmtId="41" fontId="19" fillId="0" borderId="0" xfId="48" applyFont="1" applyAlignment="1">
      <x:alignment vertical="center"/>
    </x:xf>
    <x:xf numFmtId="165" fontId="19" fillId="0" borderId="0" xfId="48" applyNumberFormat="1" applyFont="1" applyAlignment="1">
      <x:alignment vertical="center"/>
    </x:xf>
    <x:xf numFmtId="9" fontId="19" fillId="0" borderId="0" xfId="49" applyFont="1" applyAlignment="1">
      <x:alignment vertical="center"/>
    </x:xf>
    <x:xf numFmtId="165" fontId="18" fillId="0" borderId="0" xfId="48" applyNumberFormat="1" applyFont="1" applyAlignment="1">
      <x:alignment vertical="center"/>
    </x:xf>
    <x:xf numFmtId="9" fontId="18" fillId="0" borderId="0" xfId="49" applyFont="1" applyAlignment="1">
      <x:alignment vertical="center"/>
    </x:xf>
    <x:xf numFmtId="164" fontId="18" fillId="0" borderId="0" xfId="48" applyNumberFormat="1" applyFont="1" applyAlignment="1">
      <x:alignment vertical="center"/>
    </x:xf>
    <x:xf numFmtId="164" fontId="18" fillId="0" borderId="0" xfId="0" applyNumberFormat="1" applyFont="1" applyAlignment="1">
      <x:alignment vertical="center"/>
    </x:xf>
    <x:xf numFmtId="43" fontId="18" fillId="0" borderId="0" xfId="0" applyNumberFormat="1" applyFont="1" applyAlignment="1">
      <x:alignment vertical="center"/>
    </x:xf>
    <x:xf numFmtId="10" fontId="18" fillId="0" borderId="0" xfId="0" applyNumberFormat="1" applyFont="1" applyAlignment="1">
      <x:alignment vertical="center"/>
    </x:xf>
    <x:xf numFmtId="0" fontId="18" fillId="0" borderId="0" xfId="0" applyFont="1" applyAlignment="1">
      <x:alignment horizontal="center" vertical="center"/>
    </x:xf>
    <x:xf numFmtId="41" fontId="18" fillId="0" borderId="0" xfId="48" applyFont="1" applyAlignment="1">
      <x:alignment horizontal="center" vertical="center"/>
    </x:xf>
    <x:xf numFmtId="171" fontId="18" fillId="0" borderId="0" xfId="48" applyNumberFormat="1" applyFont="1" applyAlignment="1">
      <x:alignment horizontal="center" vertical="center"/>
    </x:xf>
    <x:xf numFmtId="0" fontId="18" fillId="0" borderId="0" xfId="0" pivotButton="1" applyFont="1" applyAlignment="1">
      <x:alignment vertical="center"/>
    </x:xf>
    <x:xf numFmtId="41" fontId="17" fillId="2" borderId="1" xfId="48" applyFont="1" applyFill="1" applyBorder="1">
      <x:alignment vertical="center"/>
    </x:xf>
    <x:xf numFmtId="0" fontId="1" fillId="0" borderId="0" xfId="0" applyFont="1" applyAlignment="1">
      <x:alignment vertical="center"/>
    </x:xf>
    <x:xf numFmtId="41" fontId="1" fillId="0" borderId="0" xfId="48" applyFont="1" applyAlignment="1">
      <x:alignment vertical="center"/>
    </x:xf>
    <x:xf numFmtId="41" fontId="0" fillId="0" borderId="0" xfId="48" applyFont="1" applyAlignment="1"/>
    <x:xf numFmtId="0" fontId="17" fillId="2" borderId="3" xfId="0" applyFont="1" applyFill="1" applyBorder="1" applyAlignment="1">
      <x:alignment horizontal="center" vertical="center"/>
    </x:xf>
    <x:xf numFmtId="0" fontId="17" fillId="2" borderId="4" xfId="0" applyFont="1" applyFill="1" applyBorder="1" applyAlignment="1">
      <x:alignment horizontal="center" vertical="center"/>
    </x:xf>
    <x:xf numFmtId="0" fontId="17" fillId="2" borderId="5" xfId="0" applyFont="1" applyFill="1" applyBorder="1" applyAlignment="1">
      <x:alignment horizontal="center" vertical="center"/>
    </x:xf>
    <x:xf numFmtId="0" fontId="20" fillId="2" borderId="1" xfId="0" applyFont="1" applyFill="1" applyBorder="1" applyAlignment="1">
      <x:alignment horizontal="center" vertical="center"/>
    </x:xf>
    <x:xf numFmtId="0" fontId="17" fillId="2" borderId="1" xfId="0" applyFont="1" applyFill="1" applyBorder="1" applyAlignment="1">
      <x:alignment horizontal="center" vertical="center"/>
    </x:xf>
    <x:xf numFmtId="0" fontId="23" fillId="2" borderId="7" xfId="0" applyFont="1" applyFill="1" applyBorder="1" applyAlignment="1">
      <x:alignment horizontal="left" vertical="center"/>
    </x:xf>
    <x:xf numFmtId="0" fontId="20" fillId="2" borderId="8" xfId="0" applyFont="1" applyFill="1" applyBorder="1" applyAlignment="1">
      <x:alignment horizontal="left" vertical="center"/>
    </x:xf>
    <x:xf numFmtId="0" fontId="20" fillId="2" borderId="9" xfId="0" applyFont="1" applyFill="1" applyBorder="1" applyAlignment="1">
      <x:alignment horizontal="left" vertical="center"/>
    </x:xf>
    <x:xf numFmtId="0" fontId="21" fillId="2" borderId="1" xfId="0" applyFont="1" applyFill="1" applyBorder="1" applyAlignment="1">
      <x:alignment horizontal="center" vertical="center"/>
    </x:xf>
  </x:cellXfs>
  <x:cellStyles count="3">
    <x:cellStyle name="백분율" xfId="49" builtinId="5"/>
    <x:cellStyle name="쉼표 [0]" xfId="48" builtinId="6"/>
    <x:cellStyle name="표준" xfId="0" builtinId="0"/>
  </x:cellStyles>
  <x:dxfs count="61">
    <x:dxf>
      <x:font>
        <x:color rgb="FF9C0006"/>
      </x:font>
      <x:fill>
        <x:patternFill>
          <x:bgColor rgb="FFFFC7CE"/>
        </x:patternFill>
      </x:fill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font>
        <x:name val="Malgun Gothic"/>
        <x:family val="2"/>
      </x:font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alignment vertical="center"/>
    </x:dxf>
    <x:dxf>
      <x:numFmt numFmtId="33" formatCode="_-* #,##0_-;\-* #,##0_-;_-* &quot;-&quot;_-;_-@_-"/>
    </x:dxf>
    <x:dxf>
      <x:font>
        <x:name val="Malgun Gothic"/>
      </x:font>
    </x:dxf>
    <x:dxf>
      <x:font>
        <x:name val="Malgun Gothic"/>
      </x:font>
    </x:dxf>
    <x:dxf>
      <x:font>
        <x:name val="Malgun Gothic"/>
      </x:font>
    </x:dxf>
    <x:dxf>
      <x:font>
        <x:name val="Malgun Gothic"/>
      </x:font>
    </x:dxf>
    <x:dxf>
      <x:font>
        <x:name val="Malgun Gothic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  <x:dxf>
      <x:font>
        <x:sz val="11"/>
      </x:font>
    </x:dxf>
  </x:dxfs>
  <x:tableStyles count="0" defaultTableStyle="TableStyleMedium2" defaultPivotStyle="PivotStyleLight16"/>
  <x:colors>
    <x:mruColors>
      <x:color rgb="FF0000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정윤성 책임매니저 [Yun Sung Jung]" refreshedDate="46052.454231134259" createdVersion="8" refreshedVersion="8" minRefreshableVersion="3" recordCount="55" xr:uid="{1D49D466-76E8-4E57-8202-2CFADEAF9EC6}">
  <cacheSource type="worksheet">
    <worksheetSource ref="A1:C56" sheet="1월지출"/>
  </cacheSource>
  <cacheFields count="3">
    <cacheField name="구분" numFmtId="41">
      <sharedItems count="13">
        <s v="후생비,접대비"/>
        <s v="소모품비"/>
        <s v="이자비용"/>
        <s v="기계경비"/>
        <s v="임대,용역,리스"/>
        <s v="급여"/>
        <s v="노무비(간접)"/>
        <s v="노무비(직접)"/>
        <s v="물류비"/>
        <s v="운반비"/>
        <s v="세금공과"/>
        <s v="관세"/>
        <s v="교육비"/>
      </sharedItems>
    </cacheField>
    <cacheField name="금액" numFmtId="41">
      <sharedItems containsSemiMixedTypes="0" containsString="0" containsNumber="1" minValue="-31636966.5" maxValue="-11342.1"/>
    </cacheField>
    <cacheField name="소구분" numFmtId="4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정윤성 책임매니저 [Yun Sung Jung]" refreshedDate="46052.454231481483" createdVersion="8" refreshedVersion="8" minRefreshableVersion="3" recordCount="68" xr:uid="{5838D290-1279-46E8-A36E-9AF8E74FF243}">
  <cacheSource type="worksheet">
    <worksheetSource ref="A1:M1048576" sheet="1월매출"/>
  </cacheSource>
  <cacheFields count="13">
    <cacheField name="Order Date" numFmtId="0">
      <sharedItems containsNonDate="0" containsDate="1" containsString="0" containsBlank="1" minDate="2026-01-02T00:00:00" maxDate="2026-02-01T00:00:00"/>
    </cacheField>
    <cacheField name="CarName" numFmtId="0">
      <sharedItems containsBlank="1" count="6">
        <s v="PSA_PHEV"/>
        <s v="EV2020_87"/>
        <s v="BMW_12V"/>
        <s v="Firewall support"/>
        <m/>
        <s v="PSA WAVE2" u="1"/>
      </sharedItems>
    </cacheField>
    <cacheField name="SubPno" numFmtId="0">
      <sharedItems containsBlank="1" count="22">
        <s v="EBB00412AC"/>
        <s v="EBB00414AE"/>
        <s v="EBB00416AC"/>
        <s v="EBB00418AC"/>
        <s v="EBB00420AD"/>
        <s v="EBB00422AD"/>
        <s v="ECW01188AD"/>
        <s v="ECW01190AD"/>
        <s v="EEA00306AD"/>
        <s v="EEA00308AF"/>
        <s v="MFR01053AD"/>
        <s v="MFR01055AC"/>
        <s v="ECW01550AF"/>
        <m/>
        <s v="EBB00539AD" u="1"/>
        <s v="EBB00540AD" u="1"/>
        <s v="EBB00689AB" u="1"/>
        <s v="EEA00373AB" u="1"/>
        <s v="EEA00376AD" u="1"/>
        <s v="EEA00379AD" u="1"/>
        <s v="MFR01053AC" u="1"/>
        <s v="MFR01055AB" u="1"/>
      </sharedItems>
    </cacheField>
    <cacheField name="Car Maker Factory" numFmtId="0">
      <sharedItems containsBlank="1"/>
    </cacheField>
    <cacheField name="ItemName" numFmtId="0">
      <sharedItems containsBlank="1"/>
    </cacheField>
    <cacheField name="QtyOrder" numFmtId="41">
      <sharedItems containsString="0" containsBlank="1" containsNumber="1" containsInteger="1" minValue="-4032" maxValue="6272"/>
    </cacheField>
    <cacheField name="Price" numFmtId="169">
      <sharedItems containsString="0" containsBlank="1" containsNumber="1" minValue="0.56000000000000005" maxValue="7862.4"/>
    </cacheField>
    <cacheField name="Material " numFmtId="169">
      <sharedItems containsString="0" containsBlank="1" containsNumber="1" minValue="0" maxValue="157.04"/>
    </cacheField>
    <cacheField name="P/Amount" numFmtId="164">
      <sharedItems containsString="0" containsBlank="1" containsNumber="1" minValue="-41448.959999999999" maxValue="150480"/>
    </cacheField>
    <cacheField name="M/Amount" numFmtId="164">
      <sharedItems containsString="0" containsBlank="1" containsNumber="1" minValue="-40440.959999999999" maxValue="136012.80000000002"/>
    </cacheField>
    <cacheField name="P/Amount(Won)" numFmtId="0">
      <sharedItems containsString="0" containsBlank="1" containsNumber="1" minValue="-67022968.320000008" maxValue="243326160"/>
    </cacheField>
    <cacheField name="M/Amount(Won)" numFmtId="0">
      <sharedItems containsString="0" containsBlank="1" containsNumber="1" minValue="-56051170.560000002" maxValue="188513740.8000000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정윤성 책임매니저 [Yun Sung Jung]" refreshedDate="46079.515606828703" createdVersion="8" refreshedVersion="8" minRefreshableVersion="3" recordCount="67" xr:uid="{A21EE7F5-E89A-4601-B515-1F6105A9A00F}">
  <cacheSource type="worksheet">
    <worksheetSource ref="A1:M1048576" sheet="2월매출"/>
  </cacheSource>
  <cacheFields count="13">
    <cacheField name="Order Date" numFmtId="0">
      <sharedItems containsNonDate="0" containsDate="1" containsString="0" containsBlank="1" minDate="2026-02-01T00:00:00" maxDate="2026-02-28T00:00:00"/>
    </cacheField>
    <cacheField name="CarName" numFmtId="0">
      <sharedItems containsBlank="1" count="4">
        <s v="PSA_PHEV"/>
        <s v="EV2020_87"/>
        <s v="BMW_12V"/>
        <m/>
      </sharedItems>
    </cacheField>
    <cacheField name="SubPno" numFmtId="0">
      <sharedItems containsBlank="1" count="15">
        <s v="EBB00412AC"/>
        <s v="EBB00416AC"/>
        <s v="EBB00418AC"/>
        <s v="EBB00420AD"/>
        <s v="EBB00422AD"/>
        <s v="ECW01188AD"/>
        <s v="ECW01190AD"/>
        <s v="EEA00306AD"/>
        <s v="EEA00308AF"/>
        <s v="EBB00414AE"/>
        <s v="EEA00308AG"/>
        <s v="MFR01053AD"/>
        <s v="MFR01055AC"/>
        <s v="ECW01550AF"/>
        <m/>
      </sharedItems>
    </cacheField>
    <cacheField name="Car Maker Factory" numFmtId="0">
      <sharedItems containsBlank="1"/>
    </cacheField>
    <cacheField name="ItemName" numFmtId="0">
      <sharedItems containsBlank="1"/>
    </cacheField>
    <cacheField name="QtyOrder" numFmtId="41">
      <sharedItems containsString="0" containsBlank="1" containsNumber="1" containsInteger="1" minValue="-3136" maxValue="5376"/>
    </cacheField>
    <cacheField name="Price" numFmtId="169">
      <sharedItems containsString="0" containsBlank="1" containsNumber="1" minValue="0.56000000000000005" maxValue="156.75"/>
    </cacheField>
    <cacheField name="Material " numFmtId="169">
      <sharedItems containsString="0" containsBlank="1" containsNumber="1" minValue="0.39" maxValue="157.04"/>
    </cacheField>
    <cacheField name="P/Amount" numFmtId="164">
      <sharedItems containsString="0" containsBlank="1" containsNumber="1" minValue="-32238.079999999998" maxValue="150480"/>
    </cacheField>
    <cacheField name="M/Amount" numFmtId="164">
      <sharedItems containsString="0" containsBlank="1" containsNumber="1" minValue="-31454.079999999998" maxValue="136012.80000000002"/>
    </cacheField>
    <cacheField name="P/Amount(Won)" numFmtId="0">
      <sharedItems containsString="0" containsBlank="1" containsNumber="1" minValue="-52128975.359999992" maxValue="243326160"/>
    </cacheField>
    <cacheField name="M/Amount(Won)" numFmtId="0">
      <sharedItems containsString="0" containsBlank="1" containsNumber="1" minValue="-43595354.879999995" maxValue="188513740.80000004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정윤성 책임매니저 [Yun Sung Jung]" refreshedDate="46080.609729166667" createdVersion="8" refreshedVersion="8" minRefreshableVersion="3" recordCount="83" xr:uid="{2F191407-4757-415F-AF6D-061A1D290739}">
  <cacheSource type="worksheet">
    <worksheetSource ref="A1:C1048576" sheet="2월지출"/>
  </cacheSource>
  <cacheFields count="3">
    <cacheField name="구분" numFmtId="0">
      <sharedItems containsBlank="1" count="14">
        <s v="소모품비"/>
        <s v="후생비,접대비"/>
        <s v="출장비"/>
        <s v="세금공과"/>
        <s v="이자비용"/>
        <s v="관세"/>
        <s v="임대,용역,리스"/>
        <s v="물류비"/>
        <s v="운반비"/>
        <s v="기계경비"/>
        <s v="급여"/>
        <s v="노무비(간접)"/>
        <s v="노무비(직접)"/>
        <m/>
      </sharedItems>
    </cacheField>
    <cacheField name="금액" numFmtId="41">
      <sharedItems containsString="0" containsBlank="1" containsNumber="1" minValue="-30704130" maxValue="-13732.95"/>
    </cacheField>
    <cacheField name="소구분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n v="-29202.249999999996"/>
    <m/>
  </r>
  <r>
    <x v="0"/>
    <n v="-102125.09999999999"/>
    <m/>
  </r>
  <r>
    <x v="0"/>
    <n v="-57750"/>
    <m/>
  </r>
  <r>
    <x v="1"/>
    <n v="-252175"/>
    <m/>
  </r>
  <r>
    <x v="1"/>
    <n v="-41965"/>
    <m/>
  </r>
  <r>
    <x v="1"/>
    <n v="-32447.8"/>
    <m/>
  </r>
  <r>
    <x v="2"/>
    <n v="-25025"/>
    <m/>
  </r>
  <r>
    <x v="2"/>
    <n v="-15085493.5"/>
    <m/>
  </r>
  <r>
    <x v="2"/>
    <n v="-31636966.5"/>
    <m/>
  </r>
  <r>
    <x v="2"/>
    <n v="-2201742"/>
    <m/>
  </r>
  <r>
    <x v="2"/>
    <n v="-405000"/>
    <m/>
  </r>
  <r>
    <x v="3"/>
    <n v="-1688602"/>
    <m/>
  </r>
  <r>
    <x v="4"/>
    <n v="-470708.69999999995"/>
    <m/>
  </r>
  <r>
    <x v="4"/>
    <n v="-473550"/>
    <m/>
  </r>
  <r>
    <x v="4"/>
    <n v="-2511686.1"/>
    <m/>
  </r>
  <r>
    <x v="4"/>
    <n v="-334919.2"/>
    <m/>
  </r>
  <r>
    <x v="4"/>
    <n v="-8364217.4000000004"/>
    <s v="공장 관리비"/>
  </r>
  <r>
    <x v="4"/>
    <n v="-23947808"/>
    <s v="공장 임대료"/>
  </r>
  <r>
    <x v="5"/>
    <n v="-1675080"/>
    <m/>
  </r>
  <r>
    <x v="5"/>
    <n v="-3680973.4499999997"/>
    <m/>
  </r>
  <r>
    <x v="5"/>
    <n v="-2372088.9500000002"/>
    <m/>
  </r>
  <r>
    <x v="6"/>
    <n v="-2135937.65"/>
    <m/>
  </r>
  <r>
    <x v="6"/>
    <n v="-3153827.6"/>
    <m/>
  </r>
  <r>
    <x v="6"/>
    <n v="-2583858.1999999997"/>
    <m/>
  </r>
  <r>
    <x v="6"/>
    <n v="-3517637.1999999997"/>
    <m/>
  </r>
  <r>
    <x v="6"/>
    <n v="-2750440"/>
    <m/>
  </r>
  <r>
    <x v="7"/>
    <n v="-16442310.500000002"/>
    <m/>
  </r>
  <r>
    <x v="4"/>
    <n v="-1831560.5"/>
    <m/>
  </r>
  <r>
    <x v="1"/>
    <n v="-151305"/>
    <m/>
  </r>
  <r>
    <x v="1"/>
    <n v="-1325208.5"/>
    <m/>
  </r>
  <r>
    <x v="4"/>
    <n v="-133595"/>
    <m/>
  </r>
  <r>
    <x v="8"/>
    <n v="-11342.1"/>
    <m/>
  </r>
  <r>
    <x v="4"/>
    <n v="-49722.75"/>
    <m/>
  </r>
  <r>
    <x v="9"/>
    <n v="-2699235"/>
    <m/>
  </r>
  <r>
    <x v="10"/>
    <n v="-12824319.199999999"/>
    <s v="ZUS(12월)"/>
  </r>
  <r>
    <x v="10"/>
    <n v="-6009080"/>
    <s v="PIT4(12월)"/>
  </r>
  <r>
    <x v="10"/>
    <n v="-1058338.05"/>
    <s v="PPK(12월)"/>
  </r>
  <r>
    <x v="11"/>
    <n v="-13756050"/>
    <s v="KSCE2026-P001"/>
  </r>
  <r>
    <x v="11"/>
    <n v="-8295210"/>
    <s v="KSCE2026-P003"/>
  </r>
  <r>
    <x v="12"/>
    <n v="-385000"/>
    <m/>
  </r>
  <r>
    <x v="11"/>
    <n v="-6442590"/>
    <s v="KSCCP2025-R012"/>
  </r>
  <r>
    <x v="4"/>
    <n v="-1918597.45"/>
    <m/>
  </r>
  <r>
    <x v="4"/>
    <n v="-520905"/>
    <m/>
  </r>
  <r>
    <x v="8"/>
    <n v="-167888"/>
    <s v="KSCP2512-KSCE01T"/>
  </r>
  <r>
    <x v="8"/>
    <n v="-213344"/>
    <s v="KSCE2025-P169"/>
  </r>
  <r>
    <x v="8"/>
    <n v="-167920"/>
    <s v="KSCP2512-KSCE02T"/>
  </r>
  <r>
    <x v="8"/>
    <n v="-213823.99999999997"/>
    <s v="KSCE2025-P171"/>
  </r>
  <r>
    <x v="8"/>
    <n v="-168224"/>
    <s v="KSCP2512-KSCE03T"/>
  </r>
  <r>
    <x v="8"/>
    <n v="-209504"/>
    <s v="KSCE2025-P167"/>
  </r>
  <r>
    <x v="11"/>
    <n v="-6460685"/>
    <s v="KSCE2026-P005"/>
  </r>
  <r>
    <x v="11"/>
    <n v="-6553855"/>
    <s v="KSCE2026-P007"/>
  </r>
  <r>
    <x v="11"/>
    <n v="-4533375"/>
    <s v="KSCCP2025-R013"/>
  </r>
  <r>
    <x v="11"/>
    <n v="-3674055"/>
    <s v="KSCCP2025-S003"/>
  </r>
  <r>
    <x v="11"/>
    <n v="-10040415"/>
    <s v="KSCE2026-P009"/>
  </r>
  <r>
    <x v="11"/>
    <n v="-1694770"/>
    <s v="KSCE2026-P0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6-01-05T00:00:00"/>
    <x v="0"/>
    <x v="0"/>
    <s v="LG Energy Solution Wroclaw (C00001)"/>
    <s v="BUSBAR_ASSY_#1_SDN"/>
    <n v="400"/>
    <n v="2.35"/>
    <n v="2.5499999999999998"/>
    <n v="940"/>
    <n v="1019.9999999999999"/>
    <n v="1519980"/>
    <n v="1413719.9999999998"/>
    <s v="판가(2024.4Q),원가(2024.4Q)"/>
  </r>
  <r>
    <d v="2026-01-05T00:00:00"/>
    <x v="0"/>
    <x v="1"/>
    <s v="LG Energy Solution Wroclaw (C00001)"/>
    <s v="BUSBAR_ASSY_#4_SDN"/>
    <n v="600"/>
    <n v="7.68"/>
    <n v="8.25"/>
    <n v="4608"/>
    <n v="4950"/>
    <n v="7451136.0000000009"/>
    <n v="6860700"/>
    <s v="판가(2024.4Q),원가(2024.4Q)"/>
  </r>
  <r>
    <d v="2026-01-05T00:00:00"/>
    <x v="0"/>
    <x v="2"/>
    <s v="LG Energy Solution Wroclaw (C00001)"/>
    <s v="INTER_BUSBAR_ASSY"/>
    <n v="3000"/>
    <n v="0.56000000000000005"/>
    <n v="0.39"/>
    <n v="1680.0000000000002"/>
    <n v="1170"/>
    <n v="2716560.0000000005"/>
    <n v="1621620"/>
    <m/>
  </r>
  <r>
    <d v="2026-01-05T00:00:00"/>
    <x v="0"/>
    <x v="3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1-05T00:00:00"/>
    <x v="0"/>
    <x v="4"/>
    <s v="LG Energy Solution Wroclaw (C00001)"/>
    <s v="BUSBAR_ASSY_#5_SUV"/>
    <n v="1000"/>
    <n v="7.71"/>
    <n v="6.95"/>
    <n v="7710"/>
    <n v="6950"/>
    <n v="12467070"/>
    <n v="9632700"/>
    <s v="A/S판가, 원가 적용"/>
  </r>
  <r>
    <d v="2026-01-05T00:00:00"/>
    <x v="0"/>
    <x v="5"/>
    <s v="LG Energy Solution Wroclaw (C00001)"/>
    <s v="BUSBAR_ASSY_#4_SUV"/>
    <n v="1000"/>
    <n v="5.31"/>
    <n v="4.79"/>
    <n v="5310"/>
    <n v="4790"/>
    <n v="8586270"/>
    <n v="6638940"/>
    <s v="A/S판가, 원가 적용"/>
  </r>
  <r>
    <d v="2026-01-05T00:00:00"/>
    <x v="0"/>
    <x v="6"/>
    <s v="LG Energy Solution Wroclaw (C00001)"/>
    <s v="WH_ASSY_SDN"/>
    <n v="360"/>
    <n v="85.86"/>
    <n v="98.23"/>
    <n v="30909.599999999999"/>
    <n v="35362.800000000003"/>
    <n v="49980823.199999996"/>
    <n v="49012840.800000004"/>
    <s v="판가(2024.4Q),원가(2024.4Q)"/>
  </r>
  <r>
    <d v="2026-01-05T00:00:00"/>
    <x v="0"/>
    <x v="7"/>
    <s v="LG Energy Solution Wroclaw (C00001)"/>
    <s v="WH_ASSY_SUV"/>
    <n v="600"/>
    <n v="117.2"/>
    <n v="157.04"/>
    <n v="70320"/>
    <n v="94224"/>
    <n v="113707440"/>
    <n v="130594464.00000001"/>
    <s v="A/S판가, 원가 적용"/>
  </r>
  <r>
    <d v="2026-01-05T00:00:00"/>
    <x v="0"/>
    <x v="8"/>
    <s v="LG Energy Solution Wroclaw (C00001)"/>
    <s v="FUSE_BOX_ASSY"/>
    <n v="960"/>
    <n v="27.14"/>
    <n v="24.12"/>
    <n v="26054.400000000001"/>
    <n v="23155.200000000001"/>
    <n v="42129964.800000004"/>
    <n v="32093107.199999999"/>
    <s v="A/S판가, 원가 적용"/>
  </r>
  <r>
    <d v="2026-01-05T00:00:00"/>
    <x v="0"/>
    <x v="9"/>
    <s v="LG Energy Solution Wroclaw (C00001)"/>
    <s v="BDU_ASSY"/>
    <n v="840"/>
    <n v="156.75"/>
    <n v="141.68"/>
    <n v="131670"/>
    <n v="119011.20000000001"/>
    <n v="212910390"/>
    <n v="164949523.20000002"/>
    <s v="A/S판가, 원가 적용"/>
  </r>
  <r>
    <d v="2026-01-13T00:00:00"/>
    <x v="0"/>
    <x v="1"/>
    <s v="LG Energy Solution Wroclaw (C00001)"/>
    <s v="BUSBAR_ASSY_#4_SDN"/>
    <n v="300"/>
    <n v="7.68"/>
    <n v="8.25"/>
    <n v="2304"/>
    <n v="2475"/>
    <n v="3725568.0000000005"/>
    <n v="3430350"/>
    <s v="판가(2024.4Q),원가(2024.4Q)"/>
  </r>
  <r>
    <d v="2026-01-13T00:00:00"/>
    <x v="0"/>
    <x v="2"/>
    <s v="LG Energy Solution Wroclaw (C00001)"/>
    <s v="INTER_BUSBAR_ASSY"/>
    <n v="3000"/>
    <n v="0.56000000000000005"/>
    <n v="0.39"/>
    <n v="1680.0000000000002"/>
    <n v="1170"/>
    <n v="2716560.0000000005"/>
    <n v="1621620"/>
    <m/>
  </r>
  <r>
    <d v="2026-01-13T00:00:00"/>
    <x v="0"/>
    <x v="3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1-13T00:00:00"/>
    <x v="0"/>
    <x v="6"/>
    <s v="LG Energy Solution Wroclaw (C00001)"/>
    <s v="WH_ASSY_SDN"/>
    <n v="360"/>
    <n v="85.86"/>
    <n v="98.23"/>
    <n v="30909.599999999999"/>
    <n v="35362.800000000003"/>
    <n v="49980823.199999996"/>
    <n v="49012840.800000004"/>
    <s v="판가(2024.4Q),원가(2024.4Q)"/>
  </r>
  <r>
    <d v="2026-01-13T00:00:00"/>
    <x v="0"/>
    <x v="7"/>
    <s v="LG Energy Solution Wroclaw (C00001)"/>
    <s v="WH_ASSY_SUV"/>
    <n v="360"/>
    <n v="117.2"/>
    <n v="157.04"/>
    <n v="42192"/>
    <n v="56534.399999999994"/>
    <n v="68224464"/>
    <n v="78356678.400000006"/>
    <s v="A/S판가, 원가 적용"/>
  </r>
  <r>
    <d v="2026-01-13T00:00:00"/>
    <x v="0"/>
    <x v="8"/>
    <s v="LG Energy Solution Wroclaw (C00001)"/>
    <s v="FUSE_BOX_ASSY"/>
    <n v="480"/>
    <n v="27.14"/>
    <n v="24.12"/>
    <n v="13027.2"/>
    <n v="11577.6"/>
    <n v="21064982.400000002"/>
    <n v="16046553.6"/>
    <s v="A/S판가, 원가 적용"/>
  </r>
  <r>
    <d v="2026-01-13T00:00:00"/>
    <x v="0"/>
    <x v="9"/>
    <s v="LG Energy Solution Wroclaw (C00001)"/>
    <s v="BDU_ASSY"/>
    <n v="600"/>
    <n v="156.75"/>
    <n v="141.68"/>
    <n v="94050"/>
    <n v="85008"/>
    <n v="152078850"/>
    <n v="117821088"/>
    <s v="A/S판가, 원가 적용"/>
  </r>
  <r>
    <d v="2026-01-19T00:00:00"/>
    <x v="0"/>
    <x v="0"/>
    <s v="LG Energy Solution Wroclaw (C00001)"/>
    <s v="BUSBAR_ASSY_#1_SDN"/>
    <n v="200"/>
    <n v="2.35"/>
    <n v="2.5499999999999998"/>
    <n v="470"/>
    <n v="509.99999999999994"/>
    <n v="759990"/>
    <n v="706859.99999999988"/>
    <s v="판가(2024.4Q),원가(2024.4Q)"/>
  </r>
  <r>
    <d v="2026-01-19T00:00:00"/>
    <x v="0"/>
    <x v="2"/>
    <s v="LG Energy Solution Wroclaw (C00001)"/>
    <s v="INTER_BUSBAR_ASSY"/>
    <n v="3000"/>
    <n v="0.56000000000000005"/>
    <n v="0.39"/>
    <n v="1680.0000000000002"/>
    <n v="1170"/>
    <n v="2716560.0000000005"/>
    <n v="1621620"/>
    <m/>
  </r>
  <r>
    <d v="2026-01-19T00:00:00"/>
    <x v="0"/>
    <x v="3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1-19T00:00:00"/>
    <x v="0"/>
    <x v="4"/>
    <s v="LG Energy Solution Wroclaw (C00001)"/>
    <s v="BUSBAR_ASSY_#5_SUV"/>
    <n v="1000"/>
    <n v="7.71"/>
    <n v="6.95"/>
    <n v="7710"/>
    <n v="6950"/>
    <n v="12467070"/>
    <n v="9632700"/>
    <s v="A/S판가, 원가 적용"/>
  </r>
  <r>
    <d v="2026-01-19T00:00:00"/>
    <x v="0"/>
    <x v="5"/>
    <s v="LG Energy Solution Wroclaw (C00001)"/>
    <s v="BUSBAR_ASSY_#4_SUV"/>
    <n v="1000"/>
    <n v="5.31"/>
    <n v="4.79"/>
    <n v="5310"/>
    <n v="4790"/>
    <n v="8586270"/>
    <n v="6638940"/>
    <s v="A/S판가, 원가 적용"/>
  </r>
  <r>
    <d v="2026-01-19T00:00:00"/>
    <x v="0"/>
    <x v="7"/>
    <s v="LG Energy Solution Wroclaw (C00001)"/>
    <s v="WH_ASSY_SUV"/>
    <n v="720"/>
    <n v="117.2"/>
    <n v="157.04"/>
    <n v="84384"/>
    <n v="113068.79999999999"/>
    <n v="136448928"/>
    <n v="156713356.80000001"/>
    <s v="A/S판가, 원가 적용"/>
  </r>
  <r>
    <d v="2026-01-19T00:00:00"/>
    <x v="0"/>
    <x v="8"/>
    <s v="LG Energy Solution Wroclaw (C00001)"/>
    <s v="FUSE_BOX_ASSY"/>
    <n v="960"/>
    <n v="27.14"/>
    <n v="24.12"/>
    <n v="26054.400000000001"/>
    <n v="23155.200000000001"/>
    <n v="42129964.800000004"/>
    <n v="32093107.199999999"/>
    <s v="A/S판가, 원가 적용"/>
  </r>
  <r>
    <d v="2026-01-19T00:00:00"/>
    <x v="0"/>
    <x v="9"/>
    <s v="LG Energy Solution Wroclaw (C00001)"/>
    <s v="BDU_ASSY"/>
    <n v="960"/>
    <n v="156.75"/>
    <n v="141.68"/>
    <n v="150480"/>
    <n v="136012.80000000002"/>
    <n v="243326160"/>
    <n v="188513740.80000004"/>
    <s v="A/S판가, 원가 적용"/>
  </r>
  <r>
    <d v="2026-01-28T00:00:00"/>
    <x v="0"/>
    <x v="2"/>
    <s v="LG Energy Solution Wroclaw (C00001)"/>
    <s v="INTER_BUSBAR_ASSY"/>
    <n v="3000"/>
    <n v="0.56000000000000005"/>
    <n v="0.39"/>
    <n v="1680.0000000000002"/>
    <n v="1170"/>
    <n v="2716560.0000000005"/>
    <n v="1621620"/>
    <m/>
  </r>
  <r>
    <d v="2026-01-28T00:00:00"/>
    <x v="0"/>
    <x v="3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1-28T00:00:00"/>
    <x v="0"/>
    <x v="7"/>
    <s v="LG Energy Solution Wroclaw (C00001)"/>
    <s v="WH_ASSY_SUV"/>
    <n v="840"/>
    <n v="117.2"/>
    <n v="157.04"/>
    <n v="98448"/>
    <n v="131913.60000000001"/>
    <n v="159190416"/>
    <n v="182832249.59999999"/>
    <s v="A/S판가, 원가 적용"/>
  </r>
  <r>
    <d v="2026-01-28T00:00:00"/>
    <x v="0"/>
    <x v="8"/>
    <s v="LG Energy Solution Wroclaw (C00001)"/>
    <s v="FUSE_BOX_ASSY"/>
    <n v="960"/>
    <n v="27.14"/>
    <n v="24.12"/>
    <n v="26054.400000000001"/>
    <n v="23155.200000000001"/>
    <n v="42129964.800000004"/>
    <n v="32093107.199999999"/>
    <s v="A/S판가, 원가 적용"/>
  </r>
  <r>
    <d v="2026-01-28T00:00:00"/>
    <x v="0"/>
    <x v="9"/>
    <s v="LG Energy Solution Wroclaw (C00001)"/>
    <s v="BDU_ASSY"/>
    <n v="960"/>
    <n v="156.75"/>
    <n v="141.68"/>
    <n v="150480"/>
    <n v="136012.80000000002"/>
    <n v="243326160"/>
    <n v="188513740.80000004"/>
    <s v="A/S판가, 원가 적용"/>
  </r>
  <r>
    <d v="2026-01-02T00:00:00"/>
    <x v="1"/>
    <x v="10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1-02T00:00:00"/>
    <x v="1"/>
    <x v="11"/>
    <s v="LG Energy Solution Wroclaw (C00001)"/>
    <s v="FRONT BUSBAR FRAME ASSY"/>
    <n v="2688"/>
    <n v="10.28"/>
    <n v="10.029999999999999"/>
    <n v="27632.639999999999"/>
    <n v="26960.639999999999"/>
    <n v="44681978.880000003"/>
    <n v="37367447.039999999"/>
    <s v="신규 MDM단가"/>
  </r>
  <r>
    <d v="2026-01-03T00:00:00"/>
    <x v="1"/>
    <x v="10"/>
    <s v="LG Energy Solution Wroclaw (C00001)"/>
    <s v="REAR BUSBAR FRAME ASSY"/>
    <n v="4224"/>
    <n v="7.59"/>
    <n v="7.41"/>
    <n v="32060.16"/>
    <n v="31299.84"/>
    <n v="51841278.719999999"/>
    <n v="43381578.240000002"/>
    <s v="신규 MDM단가"/>
  </r>
  <r>
    <d v="2026-01-03T00:00:00"/>
    <x v="1"/>
    <x v="11"/>
    <s v="LG Energy Solution Wroclaw (C00001)"/>
    <s v="FRONT BUSBAR FRAME ASSY"/>
    <n v="4480"/>
    <n v="10.28"/>
    <n v="10.029999999999999"/>
    <n v="46054.399999999994"/>
    <n v="44934.399999999994"/>
    <n v="74469964.799999997"/>
    <n v="62279078.399999999"/>
    <s v="신규 MDM단가"/>
  </r>
  <r>
    <d v="2026-01-06T00:00:00"/>
    <x v="1"/>
    <x v="10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1-06T00:00:00"/>
    <x v="1"/>
    <x v="11"/>
    <s v="LG Energy Solution Wroclaw (C00001)"/>
    <s v="FRONT BUSBAR FRAME ASSY"/>
    <n v="2688"/>
    <n v="10.28"/>
    <n v="10.029999999999999"/>
    <n v="27632.639999999999"/>
    <n v="26960.639999999999"/>
    <n v="44681978.880000003"/>
    <n v="37367447.039999999"/>
    <s v="신규 MDM단가"/>
  </r>
  <r>
    <d v="2026-01-07T00:00:00"/>
    <x v="1"/>
    <x v="10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1-07T00:00:00"/>
    <x v="1"/>
    <x v="11"/>
    <s v="LG Energy Solution Wroclaw (C00001)"/>
    <s v="FRONT BUSBAR FRAME ASSY"/>
    <n v="2688"/>
    <n v="10.28"/>
    <n v="10.029999999999999"/>
    <n v="27632.639999999999"/>
    <n v="26960.639999999999"/>
    <n v="44681978.880000003"/>
    <n v="37367447.039999999"/>
    <s v="신규 MDM단가"/>
  </r>
  <r>
    <d v="2026-01-08T00:00:00"/>
    <x v="1"/>
    <x v="10"/>
    <s v="LG Energy Solution Wroclaw (C00001)"/>
    <s v="REAR BUSBAR FRAME ASSY"/>
    <n v="4608"/>
    <n v="7.59"/>
    <n v="7.41"/>
    <n v="34974.720000000001"/>
    <n v="34145.279999999999"/>
    <n v="56554122.24000001"/>
    <n v="47325358.079999998"/>
    <s v="신규 MDM단가"/>
  </r>
  <r>
    <d v="2026-01-08T00:00:00"/>
    <x v="1"/>
    <x v="11"/>
    <s v="LG Energy Solution Wroclaw (C00001)"/>
    <s v="FRONT BUSBAR FRAME ASSY"/>
    <n v="4480"/>
    <n v="10.28"/>
    <n v="10.029999999999999"/>
    <n v="46054.399999999994"/>
    <n v="44934.399999999994"/>
    <n v="74469964.799999997"/>
    <n v="62279078.399999999"/>
    <s v="신규 MDM단가"/>
  </r>
  <r>
    <d v="2026-01-12T00:00:00"/>
    <x v="1"/>
    <x v="10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1-12T00:00:00"/>
    <x v="1"/>
    <x v="11"/>
    <s v="LG Energy Solution Wroclaw (C00001)"/>
    <s v="FRONT BUSBAR FRAME ASSY"/>
    <n v="2688"/>
    <n v="10.28"/>
    <n v="10.029999999999999"/>
    <n v="27632.639999999999"/>
    <n v="26960.639999999999"/>
    <n v="44681978.880000003"/>
    <n v="37367447.039999999"/>
    <s v="신규 MDM단가"/>
  </r>
  <r>
    <d v="2026-01-13T00:00:00"/>
    <x v="1"/>
    <x v="10"/>
    <s v="LG Energy Solution Wroclaw (C00001)"/>
    <s v="REAR BUSBAR FRAME ASSY"/>
    <n v="1920"/>
    <n v="7.59"/>
    <n v="7.41"/>
    <n v="14572.8"/>
    <n v="14227.2"/>
    <n v="23564217.600000001"/>
    <n v="19718899.200000003"/>
    <s v="신규 MDM단가"/>
  </r>
  <r>
    <d v="2026-01-13T00:00:00"/>
    <x v="1"/>
    <x v="11"/>
    <s v="LG Energy Solution Wroclaw (C00001)"/>
    <s v="FRONT BUSBAR FRAME ASSY"/>
    <n v="6272"/>
    <n v="10.28"/>
    <n v="10.029999999999999"/>
    <n v="64476.159999999996"/>
    <n v="62908.159999999996"/>
    <n v="104257950.71999998"/>
    <n v="87190709.75999999"/>
    <s v="신규 MDM단가"/>
  </r>
  <r>
    <d v="2026-01-14T00:00:00"/>
    <x v="1"/>
    <x v="10"/>
    <s v="LG Energy Solution Wroclaw (C00001)"/>
    <s v="REAR BUSBAR FRAME ASSY"/>
    <n v="3072"/>
    <n v="7.59"/>
    <n v="7.41"/>
    <n v="23316.48"/>
    <n v="22763.52"/>
    <n v="37702748.159999996"/>
    <n v="31550238.720000003"/>
    <s v="신규 MDM단가"/>
  </r>
  <r>
    <d v="2026-01-14T00:00:00"/>
    <x v="1"/>
    <x v="11"/>
    <s v="LG Energy Solution Wroclaw (C00001)"/>
    <s v="FRONT BUSBAR FRAME ASSY"/>
    <n v="3136"/>
    <n v="10.28"/>
    <n v="10.029999999999999"/>
    <n v="32238.079999999998"/>
    <n v="31454.079999999998"/>
    <n v="52128975.359999992"/>
    <n v="43595354.879999995"/>
    <s v="신규 MDM단가"/>
  </r>
  <r>
    <d v="2026-01-15T00:00:00"/>
    <x v="1"/>
    <x v="10"/>
    <s v="LG Energy Solution Wroclaw (C00001)"/>
    <s v="REAR BUSBAR FRAME ASSY"/>
    <n v="3456"/>
    <n v="7.59"/>
    <n v="7.41"/>
    <n v="26231.040000000001"/>
    <n v="25608.959999999999"/>
    <n v="42415591.68"/>
    <n v="35494018.559999995"/>
    <s v="신규 MDM단가"/>
  </r>
  <r>
    <d v="2026-01-15T00:00:00"/>
    <x v="1"/>
    <x v="11"/>
    <s v="LG Energy Solution Wroclaw (C00001)"/>
    <s v="FRONT BUSBAR FRAME ASSY"/>
    <n v="3584"/>
    <n v="10.28"/>
    <n v="10.029999999999999"/>
    <n v="36843.519999999997"/>
    <n v="35947.519999999997"/>
    <n v="59575971.839999996"/>
    <n v="49823262.719999991"/>
    <s v="신규 MDM단가"/>
  </r>
  <r>
    <d v="2026-01-17T00:00:00"/>
    <x v="1"/>
    <x v="10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1-17T00:00:00"/>
    <x v="1"/>
    <x v="11"/>
    <s v="LG Energy Solution Wroclaw (C00001)"/>
    <s v="FRONT BUSBAR FRAME ASSY"/>
    <n v="2240"/>
    <n v="10.28"/>
    <n v="10.029999999999999"/>
    <n v="23027.199999999997"/>
    <n v="22467.199999999997"/>
    <n v="37234982.399999999"/>
    <n v="31139539.199999999"/>
    <s v="신규 MDM단가"/>
  </r>
  <r>
    <d v="2026-01-21T00:00:00"/>
    <x v="1"/>
    <x v="10"/>
    <s v="LG Energy Solution Wroclaw (C00001)"/>
    <s v="REAR BUSBAR FRAME ASSY"/>
    <n v="3456"/>
    <n v="7.59"/>
    <n v="7.41"/>
    <n v="26231.040000000001"/>
    <n v="25608.959999999999"/>
    <n v="42415591.68"/>
    <n v="35494018.559999995"/>
    <s v="신규 MDM단가"/>
  </r>
  <r>
    <d v="2026-01-21T00:00:00"/>
    <x v="1"/>
    <x v="11"/>
    <s v="LG Energy Solution Wroclaw (C00001)"/>
    <s v="FRONT BUSBAR FRAME ASSY"/>
    <n v="3584"/>
    <n v="10.28"/>
    <n v="10.029999999999999"/>
    <n v="36843.519999999997"/>
    <n v="35947.519999999997"/>
    <n v="59575971.839999996"/>
    <n v="49823262.719999991"/>
    <s v="신규 MDM단가"/>
  </r>
  <r>
    <d v="2026-01-22T00:00:00"/>
    <x v="1"/>
    <x v="10"/>
    <s v="LG Energy Solution Wroclaw (C00001)"/>
    <s v="REAR BUSBAR FRAME ASSY"/>
    <n v="3072"/>
    <n v="7.59"/>
    <n v="7.41"/>
    <n v="23316.48"/>
    <n v="22763.52"/>
    <n v="37702748.159999996"/>
    <n v="31550238.720000003"/>
    <s v="신규 MDM단가"/>
  </r>
  <r>
    <d v="2026-01-22T00:00:00"/>
    <x v="1"/>
    <x v="11"/>
    <s v="LG Energy Solution Wroclaw (C00001)"/>
    <s v="FRONT BUSBAR FRAME ASSY"/>
    <n v="2688"/>
    <n v="10.28"/>
    <n v="10.029999999999999"/>
    <n v="27632.639999999999"/>
    <n v="26960.639999999999"/>
    <n v="44681978.880000003"/>
    <n v="37367447.039999999"/>
    <s v="신규 MDM단가"/>
  </r>
  <r>
    <d v="2026-01-23T00:00:00"/>
    <x v="1"/>
    <x v="10"/>
    <s v="LG Energy Solution Wroclaw (C00001)"/>
    <s v="REAR BUSBAR FRAME ASSY"/>
    <n v="2304"/>
    <n v="7.59"/>
    <n v="7.41"/>
    <n v="17487.36"/>
    <n v="17072.64"/>
    <n v="28277061.120000005"/>
    <n v="23662679.039999999"/>
    <s v="신규 MDM단가"/>
  </r>
  <r>
    <d v="2026-01-23T00:00:00"/>
    <x v="1"/>
    <x v="11"/>
    <s v="LG Energy Solution Wroclaw (C00001)"/>
    <s v="FRONT BUSBAR FRAME ASSY"/>
    <n v="2240"/>
    <n v="10.28"/>
    <n v="10.029999999999999"/>
    <n v="23027.199999999997"/>
    <n v="22467.199999999997"/>
    <n v="37234982.399999999"/>
    <n v="31139539.199999999"/>
    <s v="신규 MDM단가"/>
  </r>
  <r>
    <d v="2026-01-27T00:00:00"/>
    <x v="1"/>
    <x v="10"/>
    <s v="LG Energy Solution Wroclaw (C00001)"/>
    <s v="REAR BUSBAR FRAME ASSY"/>
    <n v="3072"/>
    <n v="7.59"/>
    <n v="7.41"/>
    <n v="23316.48"/>
    <n v="22763.52"/>
    <n v="37702748.159999996"/>
    <n v="31550238.720000003"/>
    <s v="신규 MDM단가"/>
  </r>
  <r>
    <d v="2026-01-27T00:00:00"/>
    <x v="1"/>
    <x v="11"/>
    <s v="LG Energy Solution Wroclaw (C00001)"/>
    <s v="FRONT BUSBAR FRAME ASSY"/>
    <n v="3136"/>
    <n v="10.28"/>
    <n v="10.029999999999999"/>
    <n v="32238.079999999998"/>
    <n v="31454.079999999998"/>
    <n v="52128975.359999992"/>
    <n v="43595354.879999995"/>
    <s v="신규 MDM단가"/>
  </r>
  <r>
    <d v="2026-01-28T00:00:00"/>
    <x v="1"/>
    <x v="10"/>
    <s v="LG Energy Solution Wroclaw (C00001)"/>
    <s v="REAR BUSBAR FRAME ASSY"/>
    <n v="1152"/>
    <n v="7.59"/>
    <n v="7.41"/>
    <n v="8743.68"/>
    <n v="8536.32"/>
    <n v="14138530.560000002"/>
    <n v="11831339.52"/>
    <s v="신규 MDM단가"/>
  </r>
  <r>
    <d v="2026-01-28T00:00:00"/>
    <x v="1"/>
    <x v="11"/>
    <s v="LG Energy Solution Wroclaw (C00001)"/>
    <s v="FRONT BUSBAR FRAME ASSY"/>
    <n v="1344"/>
    <n v="10.28"/>
    <n v="10.029999999999999"/>
    <n v="13816.32"/>
    <n v="13480.32"/>
    <n v="22340989.440000001"/>
    <n v="18683723.52"/>
    <s v="신규 MDM단가"/>
  </r>
  <r>
    <d v="2026-01-29T00:00:00"/>
    <x v="1"/>
    <x v="10"/>
    <s v="LG Energy Solution Wroclaw (C00001)"/>
    <s v="REAR BUSBAR FRAME ASSY"/>
    <n v="3456"/>
    <n v="7.59"/>
    <n v="7.41"/>
    <n v="26231.040000000001"/>
    <n v="25608.959999999999"/>
    <n v="42415591.68"/>
    <n v="35494018.559999995"/>
    <s v="신규 MDM단가"/>
  </r>
  <r>
    <d v="2026-01-29T00:00:00"/>
    <x v="1"/>
    <x v="11"/>
    <s v="LG Energy Solution Wroclaw (C00001)"/>
    <s v="FRONT BUSBAR FRAME ASSY"/>
    <n v="3584"/>
    <n v="10.28"/>
    <n v="10.029999999999999"/>
    <n v="36843.519999999997"/>
    <n v="35947.519999999997"/>
    <n v="59575971.839999996"/>
    <n v="49823262.719999991"/>
    <s v="신규 MDM단가"/>
  </r>
  <r>
    <d v="2026-01-30T00:00:00"/>
    <x v="1"/>
    <x v="10"/>
    <s v="LG Energy Solution Wroclaw (C00001)"/>
    <s v="REAR BUSBAR FRAME ASSY"/>
    <n v="3456"/>
    <n v="7.59"/>
    <n v="7.41"/>
    <n v="26231.040000000001"/>
    <n v="25608.959999999999"/>
    <n v="42415591.68"/>
    <n v="35494018.559999995"/>
    <s v="신규 MDM단가"/>
  </r>
  <r>
    <d v="2026-01-30T00:00:00"/>
    <x v="1"/>
    <x v="11"/>
    <s v="LG Energy Solution Wroclaw (C00001)"/>
    <s v="FRONT BUSBAR FRAME ASSY"/>
    <n v="3584"/>
    <n v="10.28"/>
    <n v="10.029999999999999"/>
    <n v="36843.519999999997"/>
    <n v="35947.519999999997"/>
    <n v="59575971.839999996"/>
    <n v="49823262.719999991"/>
    <s v="신규 MDM단가"/>
  </r>
  <r>
    <d v="2026-01-31T00:00:00"/>
    <x v="1"/>
    <x v="11"/>
    <s v="LG Energy Solution Wroclaw (C00001)"/>
    <s v="FRONT BUSBAR FRAME ASSY"/>
    <n v="-4032"/>
    <n v="10.28"/>
    <n v="10.029999999999999"/>
    <n v="-41448.959999999999"/>
    <n v="-40440.959999999999"/>
    <n v="-67022968.320000008"/>
    <n v="-56051170.560000002"/>
    <s v="신규 MDM단가"/>
  </r>
  <r>
    <d v="2026-01-09T00:00:00"/>
    <x v="2"/>
    <x v="12"/>
    <s v="스타리온(폴란드)(C00003)"/>
    <s v="HAF WIRING HARNESS"/>
    <n v="1500"/>
    <n v="6.59"/>
    <n v="6.31"/>
    <n v="9885"/>
    <n v="9465"/>
    <n v="13700610"/>
    <n v="13118490"/>
    <s v="USD"/>
  </r>
  <r>
    <d v="2026-01-05T00:00:00"/>
    <x v="3"/>
    <x v="13"/>
    <s v="KSCE"/>
    <s v="Firewall"/>
    <n v="1"/>
    <n v="7862.4"/>
    <n v="0"/>
    <n v="7862.4"/>
    <n v="0"/>
    <n v="10897286.4"/>
    <n v="0"/>
    <s v="USD"/>
  </r>
  <r>
    <m/>
    <x v="4"/>
    <x v="13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d v="2026-02-01T00:00:00"/>
    <x v="0"/>
    <x v="0"/>
    <s v="LG Energy Solution Wroclaw (C00001)"/>
    <s v="BUSBAR_ASSY_#1_SDN"/>
    <n v="400"/>
    <n v="2.35"/>
    <n v="2.5499999999999998"/>
    <n v="940"/>
    <n v="1019.9999999999999"/>
    <n v="1519980"/>
    <n v="1413719.9999999998"/>
    <s v="판가(2024.4Q),원가(2024.4Q)"/>
  </r>
  <r>
    <d v="2026-02-01T00:00:00"/>
    <x v="0"/>
    <x v="1"/>
    <s v="LG Energy Solution Wroclaw (C00001)"/>
    <s v="INTER_BUSBAR_ASSY"/>
    <n v="3000"/>
    <n v="0.56000000000000005"/>
    <n v="0.39"/>
    <n v="1680.0000000000002"/>
    <n v="1170"/>
    <n v="2716560.0000000005"/>
    <n v="1621620"/>
    <m/>
  </r>
  <r>
    <d v="2026-02-01T00:00:00"/>
    <x v="0"/>
    <x v="2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2-01T00:00:00"/>
    <x v="0"/>
    <x v="3"/>
    <s v="LG Energy Solution Wroclaw (C00001)"/>
    <s v="BUSBAR_ASSY_#5_SUV"/>
    <n v="1000"/>
    <n v="7.71"/>
    <n v="6.95"/>
    <n v="7710"/>
    <n v="6950"/>
    <n v="12467070"/>
    <n v="9632700"/>
    <s v="A/S판가, 원가 적용"/>
  </r>
  <r>
    <d v="2026-02-01T00:00:00"/>
    <x v="0"/>
    <x v="4"/>
    <s v="LG Energy Solution Wroclaw (C00001)"/>
    <s v="BUSBAR_ASSY_#4_SUV"/>
    <n v="1000"/>
    <n v="5.31"/>
    <n v="4.79"/>
    <n v="5310"/>
    <n v="4790"/>
    <n v="8586270"/>
    <n v="6638940"/>
    <s v="A/S판가, 원가 적용"/>
  </r>
  <r>
    <d v="2026-02-01T00:00:00"/>
    <x v="0"/>
    <x v="5"/>
    <s v="LG Energy Solution Wroclaw (C00001)"/>
    <s v="WH_ASSY_SDN"/>
    <n v="360"/>
    <n v="85.86"/>
    <n v="98.23"/>
    <n v="30909.599999999999"/>
    <n v="35362.800000000003"/>
    <n v="49980823.199999996"/>
    <n v="49012840.800000004"/>
    <s v="판가(2024.4Q),원가(2024.4Q)"/>
  </r>
  <r>
    <d v="2026-02-01T00:00:00"/>
    <x v="0"/>
    <x v="6"/>
    <s v="LG Energy Solution Wroclaw (C00001)"/>
    <s v="WH_ASSY_SUV"/>
    <n v="600"/>
    <n v="117.2"/>
    <n v="157.04"/>
    <n v="70320"/>
    <n v="94224"/>
    <n v="113707440"/>
    <n v="130594464.00000001"/>
    <s v="A/S판가, 원가 적용"/>
  </r>
  <r>
    <d v="2026-02-01T00:00:00"/>
    <x v="0"/>
    <x v="7"/>
    <s v="LG Energy Solution Wroclaw (C00001)"/>
    <s v="FUSE_BOX_ASSY"/>
    <n v="480"/>
    <n v="27.14"/>
    <n v="24.12"/>
    <n v="13027.2"/>
    <n v="11577.6"/>
    <n v="21064982.400000002"/>
    <n v="16046553.6"/>
    <s v="A/S판가, 원가 적용"/>
  </r>
  <r>
    <d v="2026-02-01T00:00:00"/>
    <x v="0"/>
    <x v="8"/>
    <s v="LG Energy Solution Wroclaw (C00001)"/>
    <s v="BDU_ASSY"/>
    <n v="480"/>
    <n v="156.75"/>
    <n v="141.68"/>
    <n v="75240"/>
    <n v="68006.400000000009"/>
    <n v="121663080"/>
    <n v="94256870.400000021"/>
    <s v="A/S판가, 원가 적용"/>
  </r>
  <r>
    <d v="2026-02-02T00:00:00"/>
    <x v="0"/>
    <x v="7"/>
    <s v="LG Energy Solution Wroclaw (C00001)"/>
    <s v="FUSE_BOX_ASSY"/>
    <n v="33"/>
    <n v="27.14"/>
    <n v="24.12"/>
    <n v="895.62"/>
    <n v="795.96"/>
    <n v="1448217.54"/>
    <n v="1103200.56"/>
    <s v="A/S판가, 원가 적용"/>
  </r>
  <r>
    <d v="2026-02-07T00:00:00"/>
    <x v="0"/>
    <x v="0"/>
    <s v="LG Energy Solution Wroclaw (C00001)"/>
    <s v="BUSBAR_ASSY_#1_SDN"/>
    <n v="200"/>
    <n v="2.35"/>
    <n v="2.5499999999999998"/>
    <n v="470"/>
    <n v="509.99999999999994"/>
    <n v="759990"/>
    <n v="706859.99999999988"/>
    <s v="판가(2024.4Q),원가(2024.4Q)"/>
  </r>
  <r>
    <d v="2026-02-07T00:00:00"/>
    <x v="0"/>
    <x v="9"/>
    <s v="LG Energy Solution Wroclaw (C00001)"/>
    <s v="BUSBAR_ASSY_#4_SDN"/>
    <n v="300"/>
    <n v="7.68"/>
    <n v="8.25"/>
    <n v="2304"/>
    <n v="2475"/>
    <n v="3725568.0000000005"/>
    <n v="3430350"/>
    <s v="판가(2024.4Q),원가(2024.4Q)"/>
  </r>
  <r>
    <d v="2026-02-07T00:00:00"/>
    <x v="0"/>
    <x v="1"/>
    <s v="LG Energy Solution Wroclaw (C00001)"/>
    <s v="INTER_BUSBAR_ASSY"/>
    <n v="5000"/>
    <n v="0.56000000000000005"/>
    <n v="0.39"/>
    <n v="2800.0000000000005"/>
    <n v="1950"/>
    <n v="4527600.0000000009"/>
    <n v="2702700"/>
    <m/>
  </r>
  <r>
    <d v="2026-02-07T00:00:00"/>
    <x v="0"/>
    <x v="2"/>
    <s v="LG Energy Solution Wroclaw (C00001)"/>
    <s v="BUSBAR_ASSY_#1_SUV"/>
    <n v="600"/>
    <n v="3.74"/>
    <n v="3.41"/>
    <n v="2244"/>
    <n v="2046"/>
    <n v="3628548.0000000005"/>
    <n v="2835756"/>
    <s v="A/S판가, 원가 적용"/>
  </r>
  <r>
    <d v="2026-02-07T00:00:00"/>
    <x v="0"/>
    <x v="3"/>
    <s v="LG Energy Solution Wroclaw (C00001)"/>
    <s v="BUSBAR_ASSY_#5_SUV"/>
    <n v="1000"/>
    <n v="7.71"/>
    <n v="6.95"/>
    <n v="7710"/>
    <n v="6950"/>
    <n v="12467070"/>
    <n v="9632700"/>
    <s v="A/S판가, 원가 적용"/>
  </r>
  <r>
    <d v="2026-02-07T00:00:00"/>
    <x v="0"/>
    <x v="4"/>
    <s v="LG Energy Solution Wroclaw (C00001)"/>
    <s v="BUSBAR_ASSY_#4_SUV"/>
    <n v="1000"/>
    <n v="5.31"/>
    <n v="4.79"/>
    <n v="5310"/>
    <n v="4790"/>
    <n v="8586270"/>
    <n v="6638940"/>
    <s v="A/S판가, 원가 적용"/>
  </r>
  <r>
    <d v="2026-02-07T00:00:00"/>
    <x v="0"/>
    <x v="6"/>
    <s v="LG Energy Solution Wroclaw (C00001)"/>
    <s v="WH_ASSY_SUV"/>
    <n v="600"/>
    <n v="117.2"/>
    <n v="157.04"/>
    <n v="70320"/>
    <n v="94224"/>
    <n v="113707440"/>
    <n v="130594464.00000001"/>
    <s v="A/S판가, 원가 적용"/>
  </r>
  <r>
    <d v="2026-02-07T00:00:00"/>
    <x v="0"/>
    <x v="7"/>
    <s v="LG Energy Solution Wroclaw (C00001)"/>
    <s v="FUSE_BOX_ASSY"/>
    <n v="960"/>
    <n v="27.14"/>
    <n v="24.12"/>
    <n v="26054.400000000001"/>
    <n v="23155.200000000001"/>
    <n v="42129964.800000004"/>
    <n v="32093107.199999999"/>
    <s v="A/S판가, 원가 적용"/>
  </r>
  <r>
    <d v="2026-02-07T00:00:00"/>
    <x v="0"/>
    <x v="8"/>
    <s v="LG Energy Solution Wroclaw (C00001)"/>
    <s v="BDU_ASSY"/>
    <n v="450"/>
    <n v="156.75"/>
    <n v="141.68"/>
    <n v="70537.5"/>
    <n v="63756"/>
    <n v="114059137.5"/>
    <n v="88365816"/>
    <s v="A/S판가, 원가 적용"/>
  </r>
  <r>
    <d v="2026-02-17T00:00:00"/>
    <x v="0"/>
    <x v="1"/>
    <s v="LG Energy Solution Wroclaw (C00001)"/>
    <s v="INTER_BUSBAR_ASSY"/>
    <n v="2000"/>
    <n v="0.56000000000000005"/>
    <n v="0.39"/>
    <n v="1120"/>
    <n v="780"/>
    <n v="1811040"/>
    <n v="1081080"/>
    <m/>
  </r>
  <r>
    <d v="2026-02-17T00:00:00"/>
    <x v="0"/>
    <x v="2"/>
    <s v="LG Energy Solution Wroclaw (C00001)"/>
    <s v="BUSBAR_ASSY_#1_SUV"/>
    <n v="400"/>
    <n v="3.74"/>
    <n v="3.41"/>
    <n v="1496"/>
    <n v="1364"/>
    <n v="2419032"/>
    <n v="1890504.0000000002"/>
    <s v="A/S판가, 원가 적용"/>
  </r>
  <r>
    <d v="2026-02-17T00:00:00"/>
    <x v="0"/>
    <x v="6"/>
    <s v="LG Energy Solution Wroclaw (C00001)"/>
    <s v="WH_ASSY_SUV"/>
    <n v="600"/>
    <n v="117.2"/>
    <n v="157.04"/>
    <n v="70320"/>
    <n v="94224"/>
    <n v="113707440"/>
    <n v="130594464.00000001"/>
    <s v="A/S판가, 원가 적용"/>
  </r>
  <r>
    <d v="2026-02-17T00:00:00"/>
    <x v="0"/>
    <x v="7"/>
    <s v="LG Energy Solution Wroclaw (C00001)"/>
    <s v="FUSE_BOX_ASSY"/>
    <n v="480"/>
    <n v="27.14"/>
    <n v="24.12"/>
    <n v="13027.2"/>
    <n v="11577.6"/>
    <n v="21064982.400000002"/>
    <n v="16046553.6"/>
    <s v="A/S판가, 원가 적용"/>
  </r>
  <r>
    <d v="2026-02-17T00:00:00"/>
    <x v="0"/>
    <x v="10"/>
    <s v="LG Energy Solution Wroclaw (C00001)"/>
    <s v="BDU_ASSY"/>
    <n v="960"/>
    <n v="156.75"/>
    <n v="141.68"/>
    <n v="150480"/>
    <n v="136012.80000000002"/>
    <n v="243326160"/>
    <n v="188513740.80000004"/>
    <s v="A/S판가, 원가 적용"/>
  </r>
  <r>
    <d v="2026-02-01T00:00:00"/>
    <x v="1"/>
    <x v="11"/>
    <s v="LG Energy Solution Wroclaw (C00001)"/>
    <s v="REAR BUSBAR FRAME ASSY"/>
    <n v="2304"/>
    <n v="7.59"/>
    <n v="7.41"/>
    <n v="17487.36"/>
    <n v="17072.64"/>
    <n v="28277061.120000005"/>
    <n v="23662679.039999999"/>
    <s v="신규 MDM단가"/>
  </r>
  <r>
    <d v="2026-02-01T00:00:00"/>
    <x v="1"/>
    <x v="12"/>
    <s v="LG Energy Solution Wroclaw (C00001)"/>
    <s v="FRONT BUSBAR FRAME ASSY"/>
    <n v="1792"/>
    <n v="10.28"/>
    <n v="10.029999999999999"/>
    <n v="18421.759999999998"/>
    <n v="17973.759999999998"/>
    <n v="29787985.919999998"/>
    <n v="24911631.359999996"/>
    <s v="신규 MDM단가"/>
  </r>
  <r>
    <d v="2026-02-02T00:00:00"/>
    <x v="1"/>
    <x v="11"/>
    <s v="LG Energy Solution Wroclaw (C00001)"/>
    <s v="REAR BUSBAR FRAME ASSY"/>
    <n v="2304"/>
    <n v="7.59"/>
    <n v="7.41"/>
    <n v="17487.36"/>
    <n v="17072.64"/>
    <n v="28277061.120000005"/>
    <n v="23662679.039999999"/>
    <s v="신규 MDM단가"/>
  </r>
  <r>
    <d v="2026-02-02T00:00:00"/>
    <x v="1"/>
    <x v="12"/>
    <s v="LG Energy Solution Wroclaw (C00001)"/>
    <s v="FRONT BUSBAR FRAME ASSY"/>
    <n v="2240"/>
    <n v="10.28"/>
    <n v="10.029999999999999"/>
    <n v="23027.199999999997"/>
    <n v="22467.199999999997"/>
    <n v="37234982.399999999"/>
    <n v="31139539.199999999"/>
    <s v="신규 MDM단가"/>
  </r>
  <r>
    <d v="2026-02-03T00:00:00"/>
    <x v="1"/>
    <x v="11"/>
    <s v="LG Energy Solution Wroclaw (C00001)"/>
    <s v="REAR BUSBAR FRAME ASSY"/>
    <n v="1536"/>
    <n v="7.59"/>
    <n v="7.41"/>
    <n v="11658.24"/>
    <n v="11381.76"/>
    <n v="18851374.079999998"/>
    <n v="15775119.360000001"/>
    <s v="신규 MDM단가"/>
  </r>
  <r>
    <d v="2026-02-03T00:00:00"/>
    <x v="1"/>
    <x v="12"/>
    <s v="LG Energy Solution Wroclaw (C00001)"/>
    <s v="FRONT BUSBAR FRAME ASSY"/>
    <n v="1344"/>
    <n v="10.28"/>
    <n v="10.029999999999999"/>
    <n v="13816.32"/>
    <n v="13480.32"/>
    <n v="22340989.440000001"/>
    <n v="18683723.52"/>
    <s v="신규 MDM단가"/>
  </r>
  <r>
    <d v="2026-02-04T00:00:00"/>
    <x v="1"/>
    <x v="11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2-04T00:00:00"/>
    <x v="1"/>
    <x v="12"/>
    <s v="LG Energy Solution Wroclaw (C00001)"/>
    <s v="FRONT BUSBAR FRAME ASSY"/>
    <n v="3136"/>
    <n v="10.28"/>
    <n v="10.029999999999999"/>
    <n v="32238.079999999998"/>
    <n v="31454.079999999998"/>
    <n v="52128975.359999992"/>
    <n v="43595354.879999995"/>
    <s v="신규 MDM단가"/>
  </r>
  <r>
    <d v="2026-02-05T00:00:00"/>
    <x v="1"/>
    <x v="11"/>
    <s v="LG Energy Solution Wroclaw (C00001)"/>
    <s v="REAR BUSBAR FRAME ASSY"/>
    <n v="3840"/>
    <n v="7.59"/>
    <n v="7.41"/>
    <n v="29145.599999999999"/>
    <n v="28454.400000000001"/>
    <n v="47128435.200000003"/>
    <n v="39437798.400000006"/>
    <s v="신규 MDM단가"/>
  </r>
  <r>
    <d v="2026-02-05T00:00:00"/>
    <x v="1"/>
    <x v="12"/>
    <s v="LG Energy Solution Wroclaw (C00001)"/>
    <s v="FRONT BUSBAR FRAME ASSY"/>
    <n v="3584"/>
    <n v="10.28"/>
    <n v="10.029999999999999"/>
    <n v="36843.519999999997"/>
    <n v="35947.519999999997"/>
    <n v="59575971.839999996"/>
    <n v="49823262.719999991"/>
    <s v="신규 MDM단가"/>
  </r>
  <r>
    <d v="2026-02-06T00:00:00"/>
    <x v="1"/>
    <x v="11"/>
    <s v="LG Energy Solution Wroclaw (C00001)"/>
    <s v="REAR BUSBAR FRAME ASSY"/>
    <n v="1536"/>
    <n v="7.59"/>
    <n v="7.41"/>
    <n v="11658.24"/>
    <n v="11381.76"/>
    <n v="18851374.079999998"/>
    <n v="15775119.360000001"/>
    <s v="신규 MDM단가"/>
  </r>
  <r>
    <d v="2026-02-06T00:00:00"/>
    <x v="1"/>
    <x v="12"/>
    <s v="LG Energy Solution Wroclaw (C00001)"/>
    <s v="FRONT BUSBAR FRAME ASSY"/>
    <n v="1792"/>
    <n v="10.28"/>
    <n v="10.029999999999999"/>
    <n v="18421.759999999998"/>
    <n v="17973.759999999998"/>
    <n v="29787985.919999998"/>
    <n v="24911631.359999996"/>
    <s v="신규 MDM단가"/>
  </r>
  <r>
    <d v="2026-02-09T00:00:00"/>
    <x v="1"/>
    <x v="11"/>
    <s v="LG Energy Solution Wroclaw (C00001)"/>
    <s v="REAR BUSBAR FRAME ASSY"/>
    <n v="2688"/>
    <n v="7.59"/>
    <n v="7.41"/>
    <n v="20401.919999999998"/>
    <n v="19918.080000000002"/>
    <n v="32989904.640000001"/>
    <n v="27606458.880000003"/>
    <s v="신규 MDM단가"/>
  </r>
  <r>
    <d v="2026-02-09T00:00:00"/>
    <x v="1"/>
    <x v="12"/>
    <s v="LG Energy Solution Wroclaw (C00001)"/>
    <s v="FRONT BUSBAR FRAME ASSY"/>
    <n v="3136"/>
    <n v="10.28"/>
    <n v="10.029999999999999"/>
    <n v="32238.079999999998"/>
    <n v="31454.079999999998"/>
    <n v="52128975.359999992"/>
    <n v="43595354.879999995"/>
    <s v="신규 MDM단가"/>
  </r>
  <r>
    <d v="2026-02-11T00:00:00"/>
    <x v="1"/>
    <x v="11"/>
    <s v="LG Energy Solution Wroclaw (C00001)"/>
    <s v="REAR BUSBAR FRAME ASSY"/>
    <n v="4992"/>
    <n v="7.59"/>
    <n v="7.41"/>
    <n v="37889.279999999999"/>
    <n v="36990.720000000001"/>
    <n v="61266965.759999998"/>
    <n v="51269137.920000002"/>
    <s v="신규 MDM단가"/>
  </r>
  <r>
    <d v="2026-02-11T00:00:00"/>
    <x v="1"/>
    <x v="12"/>
    <s v="LG Energy Solution Wroclaw (C00001)"/>
    <s v="FRONT BUSBAR FRAME ASSY"/>
    <n v="5376"/>
    <n v="10.28"/>
    <n v="10.029999999999999"/>
    <n v="55265.279999999999"/>
    <n v="53921.279999999999"/>
    <n v="89363957.760000005"/>
    <n v="74734894.079999998"/>
    <s v="신규 MDM단가"/>
  </r>
  <r>
    <d v="2026-02-12T00:00:00"/>
    <x v="1"/>
    <x v="11"/>
    <s v="LG Energy Solution Wroclaw (C00001)"/>
    <s v="REAR BUSBAR FRAME ASSY"/>
    <n v="1920"/>
    <n v="7.59"/>
    <n v="7.41"/>
    <n v="14572.8"/>
    <n v="14227.2"/>
    <n v="23564217.600000001"/>
    <n v="19718899.200000003"/>
    <s v="신규 MDM단가"/>
  </r>
  <r>
    <d v="2026-02-12T00:00:00"/>
    <x v="1"/>
    <x v="12"/>
    <s v="LG Energy Solution Wroclaw (C00001)"/>
    <s v="FRONT BUSBAR FRAME ASSY"/>
    <n v="1344"/>
    <n v="10.28"/>
    <n v="10.029999999999999"/>
    <n v="13816.32"/>
    <n v="13480.32"/>
    <n v="22340989.440000001"/>
    <n v="18683723.52"/>
    <s v="신규 MDM단가"/>
  </r>
  <r>
    <d v="2026-02-12T00:00:00"/>
    <x v="1"/>
    <x v="11"/>
    <s v="LG Energy Solution Wroclaw (C00001)"/>
    <s v="REAR BUSBAR FRAME ASSY"/>
    <n v="1152"/>
    <n v="7.14"/>
    <n v="6.97"/>
    <n v="8225.2799999999988"/>
    <n v="8029.44"/>
    <n v="13300277.76"/>
    <n v="11128803.84"/>
    <s v="신규 MDM단가"/>
  </r>
  <r>
    <d v="2026-02-12T00:00:00"/>
    <x v="1"/>
    <x v="12"/>
    <s v="LG Energy Solution Wroclaw (C00001)"/>
    <s v="FRONT BUSBAR FRAME ASSY"/>
    <n v="3584"/>
    <n v="9.69"/>
    <n v="9.4499999999999993"/>
    <n v="34728.959999999999"/>
    <n v="33868.799999999996"/>
    <n v="56156728.320000008"/>
    <n v="46942156.799999997"/>
    <s v="1분기 인하단가"/>
  </r>
  <r>
    <d v="2026-02-13T00:00:00"/>
    <x v="1"/>
    <x v="11"/>
    <s v="LG Energy Solution Wroclaw (C00001)"/>
    <s v="REAR BUSBAR FRAME ASSY"/>
    <n v="2304"/>
    <n v="7.14"/>
    <n v="6.97"/>
    <n v="16450.559999999998"/>
    <n v="16058.88"/>
    <n v="26600555.52"/>
    <n v="22257607.68"/>
    <s v="1분기 인하단가"/>
  </r>
  <r>
    <d v="2026-02-13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16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16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17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17T00:00:00"/>
    <x v="1"/>
    <x v="12"/>
    <s v="LG Energy Solution Wroclaw (C00001)"/>
    <s v="FRONT BUSBAR FRAME ASSY"/>
    <n v="2240"/>
    <n v="9.69"/>
    <n v="9.4499999999999993"/>
    <n v="21705.599999999999"/>
    <n v="21168"/>
    <n v="35097955.200000003"/>
    <n v="29338848"/>
    <s v="1분기 인하단가"/>
  </r>
  <r>
    <d v="2026-02-18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18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20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0T00:00:00"/>
    <x v="1"/>
    <x v="12"/>
    <s v="LG Energy Solution Wroclaw (C00001)"/>
    <s v="FRONT BUSBAR FRAME ASSY"/>
    <n v="3136"/>
    <n v="9.69"/>
    <n v="9.4499999999999993"/>
    <n v="30387.84"/>
    <n v="29635.199999999997"/>
    <n v="49137137.280000001"/>
    <n v="41074387.199999996"/>
    <s v="1분기 인하단가"/>
  </r>
  <r>
    <d v="2026-02-23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3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24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4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25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5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26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6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27T00:00:00"/>
    <x v="1"/>
    <x v="11"/>
    <s v="LG Energy Solution Wroclaw (C00001)"/>
    <s v="REAR BUSBAR FRAME ASSY"/>
    <n v="2688"/>
    <n v="7.14"/>
    <n v="6.97"/>
    <n v="19192.32"/>
    <n v="18735.36"/>
    <n v="31033981.440000001"/>
    <n v="25967208.960000001"/>
    <s v="1분기 인하단가"/>
  </r>
  <r>
    <d v="2026-02-27T00:00:00"/>
    <x v="1"/>
    <x v="12"/>
    <s v="LG Energy Solution Wroclaw (C00001)"/>
    <s v="FRONT BUSBAR FRAME ASSY"/>
    <n v="2688"/>
    <n v="9.69"/>
    <n v="9.4499999999999993"/>
    <n v="26046.719999999998"/>
    <n v="25401.599999999999"/>
    <n v="42117546.239999995"/>
    <n v="35206617.600000001"/>
    <s v="1분기 인하단가"/>
  </r>
  <r>
    <d v="2026-02-01T00:00:00"/>
    <x v="1"/>
    <x v="12"/>
    <s v="LG Energy Solution Wroclaw (C00001)"/>
    <s v="FRONT BUSBAR FRAME ASSY"/>
    <n v="-3136"/>
    <n v="10.28"/>
    <n v="10.029999999999999"/>
    <n v="-32238.079999999998"/>
    <n v="-31454.079999999998"/>
    <n v="-52128975.359999992"/>
    <n v="-43595354.879999995"/>
    <s v="반품"/>
  </r>
  <r>
    <d v="2026-02-19T00:00:00"/>
    <x v="2"/>
    <x v="13"/>
    <s v="스타리온(폴란드)(C00003)"/>
    <s v="HAF WIRING HARNESS"/>
    <n v="1500"/>
    <n v="6.38"/>
    <n v="6.11"/>
    <n v="9570"/>
    <n v="9165"/>
    <n v="13264020"/>
    <n v="12702690"/>
    <s v="USD"/>
  </r>
  <r>
    <m/>
    <x v="3"/>
    <x v="14"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n v="-30515.100000000002"/>
    <m/>
  </r>
  <r>
    <x v="1"/>
    <n v="-133960.75"/>
    <m/>
  </r>
  <r>
    <x v="1"/>
    <n v="-96149.900000000009"/>
    <m/>
  </r>
  <r>
    <x v="0"/>
    <n v="-21024.85"/>
    <m/>
  </r>
  <r>
    <x v="0"/>
    <n v="-77000"/>
    <m/>
  </r>
  <r>
    <x v="2"/>
    <n v="-687071"/>
    <m/>
  </r>
  <r>
    <x v="0"/>
    <n v="-346496.15"/>
    <m/>
  </r>
  <r>
    <x v="3"/>
    <n v="-151805.5"/>
    <m/>
  </r>
  <r>
    <x v="3"/>
    <n v="-179952.85"/>
    <m/>
  </r>
  <r>
    <x v="3"/>
    <n v="-180141.5"/>
    <m/>
  </r>
  <r>
    <x v="3"/>
    <n v="-277488.75"/>
    <m/>
  </r>
  <r>
    <x v="1"/>
    <n v="-168630"/>
    <m/>
  </r>
  <r>
    <x v="2"/>
    <n v="-35416.15"/>
    <m/>
  </r>
  <r>
    <x v="2"/>
    <n v="-1559250"/>
    <m/>
  </r>
  <r>
    <x v="0"/>
    <n v="-252175"/>
    <m/>
  </r>
  <r>
    <x v="0"/>
    <n v="-629621.30000000005"/>
    <m/>
  </r>
  <r>
    <x v="4"/>
    <n v="-385000"/>
    <m/>
  </r>
  <r>
    <x v="4"/>
    <n v="-25025"/>
    <m/>
  </r>
  <r>
    <x v="4"/>
    <n v="-14408494.100000001"/>
    <m/>
  </r>
  <r>
    <x v="4"/>
    <n v="-30704130"/>
    <m/>
  </r>
  <r>
    <x v="4"/>
    <n v="-3966367.5000000005"/>
    <m/>
  </r>
  <r>
    <x v="4"/>
    <n v="-405000"/>
    <m/>
  </r>
  <r>
    <x v="5"/>
    <n v="-27335"/>
    <s v="KSCCP2025-S003 환율 변경 추가분"/>
  </r>
  <r>
    <x v="6"/>
    <n v="-334919.2"/>
    <m/>
  </r>
  <r>
    <x v="3"/>
    <n v="-170859.15"/>
    <m/>
  </r>
  <r>
    <x v="7"/>
    <n v="-13732.95"/>
    <m/>
  </r>
  <r>
    <x v="6"/>
    <n v="-473550"/>
    <m/>
  </r>
  <r>
    <x v="6"/>
    <n v="-2427890.85"/>
    <m/>
  </r>
  <r>
    <x v="8"/>
    <n v="-3646335"/>
    <m/>
  </r>
  <r>
    <x v="6"/>
    <n v="-8364217.4000000004"/>
    <s v="공장 관리비"/>
  </r>
  <r>
    <x v="6"/>
    <n v="-23947808"/>
    <s v="공장 임대료"/>
  </r>
  <r>
    <x v="9"/>
    <n v="-2303782.25"/>
    <m/>
  </r>
  <r>
    <x v="0"/>
    <n v="-235827.9"/>
    <m/>
  </r>
  <r>
    <x v="5"/>
    <n v="-11040260"/>
    <s v="KSCE2026-P013"/>
  </r>
  <r>
    <x v="6"/>
    <n v="-519750"/>
    <m/>
  </r>
  <r>
    <x v="6"/>
    <n v="-195907.25"/>
    <m/>
  </r>
  <r>
    <x v="5"/>
    <n v="-6485325"/>
    <s v="KSCE2026-P015"/>
  </r>
  <r>
    <x v="10"/>
    <n v="-1675080"/>
    <m/>
  </r>
  <r>
    <x v="10"/>
    <n v="-4156413.8"/>
    <m/>
  </r>
  <r>
    <x v="10"/>
    <n v="-2914476.9499999997"/>
    <m/>
  </r>
  <r>
    <x v="11"/>
    <n v="-717640"/>
    <m/>
  </r>
  <r>
    <x v="11"/>
    <n v="-3945784.1500000004"/>
    <m/>
  </r>
  <r>
    <x v="11"/>
    <n v="-3278398.1999999997"/>
    <m/>
  </r>
  <r>
    <x v="11"/>
    <n v="-4148971.7499999995"/>
    <m/>
  </r>
  <r>
    <x v="12"/>
    <n v="-13293418.6"/>
    <m/>
  </r>
  <r>
    <x v="6"/>
    <n v="-1923140.45"/>
    <m/>
  </r>
  <r>
    <x v="6"/>
    <n v="-470708.69999999995"/>
    <m/>
  </r>
  <r>
    <x v="4"/>
    <n v="-462000"/>
    <m/>
  </r>
  <r>
    <x v="6"/>
    <n v="-1914932.2500000002"/>
    <m/>
  </r>
  <r>
    <x v="3"/>
    <n v="-397758.9"/>
    <m/>
  </r>
  <r>
    <x v="3"/>
    <n v="-12434052.4"/>
    <s v="ZUS(1월)"/>
  </r>
  <r>
    <x v="3"/>
    <n v="-2756600"/>
    <s v="PIT4(1월)"/>
  </r>
  <r>
    <x v="3"/>
    <n v="-1043808.15"/>
    <s v="PPK(1월)"/>
  </r>
  <r>
    <x v="2"/>
    <n v="-579810"/>
    <m/>
  </r>
  <r>
    <x v="2"/>
    <n v="-304535"/>
    <m/>
  </r>
  <r>
    <x v="5"/>
    <n v="-6461840"/>
    <s v="KSCE2026-P017"/>
  </r>
  <r>
    <x v="2"/>
    <n v="-184800"/>
    <m/>
  </r>
  <r>
    <x v="2"/>
    <n v="-178640"/>
    <m/>
  </r>
  <r>
    <x v="2"/>
    <n v="-171509.80000000002"/>
    <m/>
  </r>
  <r>
    <x v="2"/>
    <n v="-193447.1"/>
    <m/>
  </r>
  <r>
    <x v="2"/>
    <n v="-143470.25"/>
    <m/>
  </r>
  <r>
    <x v="6"/>
    <n v="-1444327.5"/>
    <m/>
  </r>
  <r>
    <x v="6"/>
    <n v="-150069.15"/>
    <m/>
  </r>
  <r>
    <x v="5"/>
    <n v="-9162230"/>
    <s v="KSCE2026-P019"/>
  </r>
  <r>
    <x v="5"/>
    <n v="-13732565"/>
    <s v="KSCCP2026-R001"/>
  </r>
  <r>
    <x v="7"/>
    <n v="-4224886.05"/>
    <s v="KSCCP2025-S003"/>
  </r>
  <r>
    <x v="7"/>
    <n v="-213552"/>
    <s v="KSCE2026-P001"/>
  </r>
  <r>
    <x v="7"/>
    <n v="-213552"/>
    <s v="KSCE2026-P003"/>
  </r>
  <r>
    <x v="7"/>
    <n v="-210144"/>
    <s v="KSCE2026-P005"/>
  </r>
  <r>
    <x v="7"/>
    <n v="-213952"/>
    <s v="KSCE2026-P007"/>
  </r>
  <r>
    <x v="7"/>
    <n v="-213728.00000000003"/>
    <s v="KSCE2026-P009"/>
  </r>
  <r>
    <x v="7"/>
    <n v="-213728.00000000003"/>
    <s v="KSCE2026-P011"/>
  </r>
  <r>
    <x v="7"/>
    <n v="-213664"/>
    <s v="KSCE2025-P173"/>
  </r>
  <r>
    <x v="7"/>
    <n v="-167872"/>
    <s v="KSCP2512-KSCE04T"/>
  </r>
  <r>
    <x v="7"/>
    <n v="-168048"/>
    <s v="KSCP2601-KSCE01T"/>
  </r>
  <r>
    <x v="7"/>
    <n v="-168048"/>
    <s v="KSCP2601-KSCE02T"/>
  </r>
  <r>
    <x v="7"/>
    <n v="-168288"/>
    <s v="KSCP2601-KSCE03T"/>
  </r>
  <r>
    <x v="7"/>
    <n v="-168160"/>
    <s v="KSCP2601-KSCE04T"/>
  </r>
  <r>
    <x v="7"/>
    <n v="-1075297.3"/>
    <s v="KSCCP2025-R013"/>
  </r>
  <r>
    <x v="7"/>
    <n v="-1093561.7"/>
    <s v="KSCCP2025-R012"/>
  </r>
  <r>
    <x v="5"/>
    <n v="-6141135"/>
    <s v="KSCE2026-P021"/>
  </r>
  <r>
    <x v="5"/>
    <n v="-9470615"/>
    <s v="KSCE2026-P023"/>
  </r>
  <r>
    <x v="1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622D8-8853-40C4-9496-7B30A5A95940}" name="피벗 테이블3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" firstHeaderRow="0" firstDataRow="1" firstDataCol="2"/>
  <pivotFields count="13">
    <pivotField compact="0" outline="0" showAll="0"/>
    <pivotField axis="axisRow" compact="0" outline="0" showAll="0">
      <items count="7">
        <item x="1"/>
        <item x="3"/>
        <item m="1" x="5"/>
        <item x="0"/>
        <item x="4"/>
        <item x="2"/>
        <item t="default"/>
      </items>
    </pivotField>
    <pivotField axis="axisRow" compact="0" outline="0" showAll="0">
      <items count="23">
        <item x="0"/>
        <item x="1"/>
        <item x="2"/>
        <item x="3"/>
        <item x="4"/>
        <item x="5"/>
        <item m="1" x="14"/>
        <item m="1" x="15"/>
        <item m="1" x="16"/>
        <item x="6"/>
        <item x="7"/>
        <item x="8"/>
        <item x="9"/>
        <item m="1" x="17"/>
        <item m="1" x="18"/>
        <item m="1" x="19"/>
        <item m="1" x="20"/>
        <item m="1" x="21"/>
        <item x="13"/>
        <item x="12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1"/>
    <field x="2"/>
  </rowFields>
  <rowItems count="21">
    <i>
      <x/>
      <x v="20"/>
    </i>
    <i r="1">
      <x v="21"/>
    </i>
    <i t="default">
      <x/>
    </i>
    <i>
      <x v="1"/>
      <x v="18"/>
    </i>
    <i t="default">
      <x v="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9"/>
    </i>
    <i r="1">
      <x v="10"/>
    </i>
    <i r="1">
      <x v="11"/>
    </i>
    <i r="1">
      <x v="12"/>
    </i>
    <i t="default">
      <x v="3"/>
    </i>
    <i>
      <x v="4"/>
      <x v="18"/>
    </i>
    <i t="default">
      <x v="4"/>
    </i>
    <i>
      <x v="5"/>
      <x v="19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P/Amount(Won)" fld="10" baseField="0" baseItem="0"/>
    <dataField name="합계 : M/Amount(Won)" fld="11" baseField="0" baseItem="0"/>
  </dataFields>
  <formats count="24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field="2" type="button" dataOnly="0" labelOnly="1" outline="0" axis="axisRow" fieldPosition="1"/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outline="0" fieldPosition="0">
        <references count="1">
          <reference field="1" count="0" defaultSubtotal="1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2">
          <reference field="1" count="1" selected="0">
            <x v="0"/>
          </reference>
          <reference field="2" count="2">
            <x v="20"/>
            <x v="21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"/>
          </reference>
          <reference field="2" count="1">
            <x v="18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3"/>
          </reference>
          <reference field="2" count="10">
            <x v="0"/>
            <x v="1"/>
            <x v="2"/>
            <x v="3"/>
            <x v="4"/>
            <x v="5"/>
            <x v="9"/>
            <x v="10"/>
            <x v="11"/>
            <x v="12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4"/>
          </reference>
          <reference field="2" count="1">
            <x v="18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5"/>
          </reference>
          <reference field="2" count="1">
            <x v="19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03276-EA55-441B-83CF-A4226D91B75C}" name="피벗 테이블3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>
      <items count="14">
        <item x="11"/>
        <item x="12"/>
        <item x="5"/>
        <item x="6"/>
        <item x="7"/>
        <item x="8"/>
        <item x="10"/>
        <item x="1"/>
        <item x="9"/>
        <item x="2"/>
        <item x="4"/>
        <item x="0"/>
        <item x="3"/>
        <item t="default"/>
      </items>
    </pivotField>
    <pivotField dataField="1" numFmtId="41"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합계 : 금액" fld="1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71B7E-1DD4-4FFB-8D20-F38F4C47BB54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3" firstHeaderRow="0" firstDataRow="1" firstDataCol="2"/>
  <pivotFields count="13"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16">
        <item x="0"/>
        <item x="9"/>
        <item x="1"/>
        <item x="2"/>
        <item x="3"/>
        <item x="4"/>
        <item x="5"/>
        <item x="6"/>
        <item x="13"/>
        <item x="7"/>
        <item x="8"/>
        <item x="10"/>
        <item x="11"/>
        <item x="12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1"/>
    <field x="2"/>
  </rowFields>
  <rowItems count="20">
    <i>
      <x/>
      <x v="8"/>
    </i>
    <i t="default">
      <x/>
    </i>
    <i>
      <x v="1"/>
      <x v="12"/>
    </i>
    <i r="1">
      <x v="13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2"/>
    </i>
    <i>
      <x v="3"/>
      <x v="14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P/Amount(Won)" fld="10" baseField="0" baseItem="0"/>
    <dataField name="합계 : M/Amount(Won)" fld="11" baseField="0" baseItem="0"/>
  </dataFields>
  <formats count="3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field="2" type="button" dataOnly="0" labelOnly="1" outline="0" axis="axisRow" fieldPosition="1"/>
    </format>
    <format dxfId="32">
      <pivotArea dataOnly="0" labelOnly="1" outline="0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1" count="0" defaultSubtotal="1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2">
          <reference field="1" count="1" selected="0">
            <x v="0"/>
          </reference>
          <reference field="2" count="1">
            <x v="8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1"/>
          </reference>
          <reference field="2" count="2">
            <x v="12"/>
            <x v="13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2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3"/>
          </reference>
          <reference field="2" count="1">
            <x v="14"/>
          </reference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dataOnly="0" labelOnly="1" outline="0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1" count="0" defaultSubtotal="1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2">
          <reference field="1" count="1" selected="0">
            <x v="0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2">
          <reference field="1" count="1" selected="0">
            <x v="1"/>
          </reference>
          <reference field="2" count="2">
            <x v="12"/>
            <x v="13"/>
          </reference>
        </references>
      </pivotArea>
    </format>
    <format dxfId="15">
      <pivotArea dataOnly="0" labelOnly="1" outline="0" fieldPosition="0">
        <references count="2">
          <reference field="1" count="1" selected="0">
            <x v="2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14">
      <pivotArea dataOnly="0" labelOnly="1" outline="0" fieldPosition="0">
        <references count="2">
          <reference field="1" count="1" selected="0">
            <x v="3"/>
          </reference>
          <reference field="2" count="1">
            <x v="14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1" count="0" defaultSubtotal="1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1" count="1" selected="0">
            <x v="0"/>
          </reference>
          <reference field="2" count="1">
            <x v="8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1"/>
          </reference>
          <reference field="2" count="2">
            <x v="12"/>
            <x v="13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2"/>
          </reference>
          <reference field="2" count="11">
            <x v="0"/>
            <x v="1"/>
            <x v="2"/>
            <x v="3"/>
            <x v="4"/>
            <x v="5"/>
            <x v="6"/>
            <x v="7"/>
            <x v="9"/>
            <x v="10"/>
            <x v="11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3"/>
          </reference>
          <reference field="2" count="1">
            <x v="14"/>
          </reference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A7214-CF28-451B-A091-9321C897EEE7}" name="피벗 테이블1" cacheId="1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axis="axisRow" showAll="0">
      <items count="15">
        <item x="5"/>
        <item x="10"/>
        <item x="9"/>
        <item x="11"/>
        <item x="12"/>
        <item x="7"/>
        <item x="3"/>
        <item x="0"/>
        <item x="8"/>
        <item x="4"/>
        <item x="6"/>
        <item x="2"/>
        <item x="1"/>
        <item x="13"/>
        <item t="default"/>
      </items>
    </pivotField>
    <pivotField dataField="1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합계 : 금액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6BAB11-539B-4882-B222-4AA084483342}" mc:Ignorable="x14ac xr xr2 xr3">
  <x:dimension ref="A3:H63"/>
  <x:sheetViews>
    <x:sheetView topLeftCell="A19" zoomScaleNormal="100" workbookViewId="0">
      <x:selection activeCell="D36" sqref="D36"/>
    </x:sheetView>
  </x:sheetViews>
  <x:sheetFormatPr defaultRowHeight="17.399999999999999"/>
  <x:cols>
    <x:col min="1" max="1" width="17.375" style="24" bestFit="1" customWidth="1"/>
    <x:col min="2" max="2" width="15.25" style="24" bestFit="1" customWidth="1"/>
    <x:col min="3" max="3" width="25.875" style="75" bestFit="1" customWidth="1"/>
    <x:col min="4" max="4" width="26.625" style="75" bestFit="1" customWidth="1"/>
    <x:col min="5" max="5" width="9" style="24" customWidth="1"/>
    <x:col min="6" max="7" width="9" style="24"/>
    <x:col min="8" max="8" width="12.375" style="24" customWidth="1"/>
    <x:col min="9" max="16384" width="9" style="24"/>
  </x:cols>
  <x:sheetData>
    <x:row r="3" spans="1:4">
      <x:c r="A3" s="87" t="s">
        <x:v>1</x:v>
      </x:c>
      <x:c r="B3" s="87" t="s">
        <x:v>2</x:v>
      </x:c>
      <x:c r="C3" s="88" t="s">
        <x:v>84</x:v>
      </x:c>
      <x:c r="D3" s="88" t="s">
        <x:v>85</x:v>
      </x:c>
    </x:row>
    <x:row r="4" spans="1:4">
      <x:c r="A4" s="88" t="s">
        <x:v>93</x:v>
      </x:c>
      <x:c r="B4" s="88" t="s">
        <x:v>132</x:v>
      </x:c>
      <x:c r="C4" s="89">
        <x:v>622095344.63999987</x:v>
      </x:c>
      <x:c r="D4" s="89">
        <x:v>520578938.88</x:v>
      </x:c>
    </x:row>
    <x:row r="5" spans="1:4">
      <x:c r="A5" s="88"/>
      <x:c r="B5" s="88" t="s">
        <x:v>133</x:v>
      </x:c>
      <x:c r="C5" s="89">
        <x:v>848957598.72000003</x:v>
      </x:c>
      <x:c r="D5" s="89">
        <x:v>709981493.75999999</x:v>
      </x:c>
    </x:row>
    <x:row r="6" spans="1:4">
      <x:c r="A6" s="88" t="s">
        <x:v>112</x:v>
      </x:c>
      <x:c r="B6" s="88"/>
      <x:c r="C6" s="89">
        <x:v>1471052943.3599999</x:v>
      </x:c>
      <x:c r="D6" s="89">
        <x:v>1230560432.6399999</x:v>
      </x:c>
    </x:row>
    <x:row r="7" spans="1:4">
      <x:c r="A7" s="88" t="s">
        <x:v>90</x:v>
      </x:c>
      <x:c r="B7" s="88" t="s">
        <x:v>27</x:v>
      </x:c>
      <x:c r="C7" s="89">
        <x:v>10897286.4</x:v>
      </x:c>
      <x:c r="D7" s="89">
        <x:v>0</x:v>
      </x:c>
    </x:row>
    <x:row r="8" spans="1:4">
      <x:c r="A8" s="88" t="s">
        <x:v>92</x:v>
      </x:c>
      <x:c r="B8" s="88"/>
      <x:c r="C8" s="89">
        <x:v>10897286.4</x:v>
      </x:c>
      <x:c r="D8" s="89">
        <x:v>0</x:v>
      </x:c>
    </x:row>
    <x:row r="9" spans="1:4">
      <x:c r="A9" s="88" t="s">
        <x:v>6</x:v>
      </x:c>
      <x:c r="B9" s="88" t="s">
        <x:v>74</x:v>
      </x:c>
      <x:c r="C9" s="89">
        <x:v>2279970</x:v>
      </x:c>
      <x:c r="D9" s="89">
        <x:v>2120579.9999999995</x:v>
      </x:c>
    </x:row>
    <x:row r="10" spans="1:4">
      <x:c r="A10" s="88"/>
      <x:c r="B10" s="88" t="s">
        <x:v>130</x:v>
      </x:c>
      <x:c r="C10" s="89">
        <x:v>11176704.000000002</x:v>
      </x:c>
      <x:c r="D10" s="89">
        <x:v>10291050</x:v>
      </x:c>
    </x:row>
    <x:row r="11" spans="1:4">
      <x:c r="A11" s="88"/>
      <x:c r="B11" s="88" t="s">
        <x:v>7</x:v>
      </x:c>
      <x:c r="C11" s="89">
        <x:v>10866240.000000002</x:v>
      </x:c>
      <x:c r="D11" s="89">
        <x:v>6486480</x:v>
      </x:c>
    </x:row>
    <x:row r="12" spans="1:4">
      <x:c r="A12" s="88"/>
      <x:c r="B12" s="88" t="s">
        <x:v>9</x:v>
      </x:c>
      <x:c r="C12" s="89">
        <x:v>14514192.000000002</x:v>
      </x:c>
      <x:c r="D12" s="89">
        <x:v>11343024</x:v>
      </x:c>
    </x:row>
    <x:row r="13" spans="1:4">
      <x:c r="A13" s="88"/>
      <x:c r="B13" s="88" t="s">
        <x:v>79</x:v>
      </x:c>
      <x:c r="C13" s="89">
        <x:v>24934140</x:v>
      </x:c>
      <x:c r="D13" s="89">
        <x:v>19265400</x:v>
      </x:c>
    </x:row>
    <x:row r="14" spans="1:4">
      <x:c r="A14" s="88"/>
      <x:c r="B14" s="88" t="s">
        <x:v>80</x:v>
      </x:c>
      <x:c r="C14" s="89">
        <x:v>17172540</x:v>
      </x:c>
      <x:c r="D14" s="89">
        <x:v>13277880</x:v>
      </x:c>
    </x:row>
    <x:row r="15" spans="1:4">
      <x:c r="A15" s="88"/>
      <x:c r="B15" s="88" t="s">
        <x:v>13</x:v>
      </x:c>
      <x:c r="C15" s="89">
        <x:v>99961646.399999991</x:v>
      </x:c>
      <x:c r="D15" s="89">
        <x:v>98025681.600000009</x:v>
      </x:c>
    </x:row>
    <x:row r="16" spans="1:4">
      <x:c r="A16" s="88"/>
      <x:c r="B16" s="88" t="s">
        <x:v>15</x:v>
      </x:c>
      <x:c r="C16" s="89">
        <x:v>477571248</x:v>
      </x:c>
      <x:c r="D16" s="89">
        <x:v>548496748.80000007</x:v>
      </x:c>
    </x:row>
    <x:row r="17" spans="1:6">
      <x:c r="A17" s="88"/>
      <x:c r="B17" s="88" t="s">
        <x:v>107</x:v>
      </x:c>
      <x:c r="C17" s="89">
        <x:v>147454876.80000001</x:v>
      </x:c>
      <x:c r="D17" s="89">
        <x:v>112325875.2</x:v>
      </x:c>
    </x:row>
    <x:row r="18" spans="1:6">
      <x:c r="A18" s="88"/>
      <x:c r="B18" s="88" t="s">
        <x:v>81</x:v>
      </x:c>
      <x:c r="C18" s="89">
        <x:v>851641560</x:v>
      </x:c>
      <x:c r="D18" s="89">
        <x:v>659798092.80000019</x:v>
      </x:c>
    </x:row>
    <x:row r="19" spans="1:6">
      <x:c r="A19" s="88" t="s">
        <x:v>86</x:v>
      </x:c>
      <x:c r="B19" s="88"/>
      <x:c r="C19" s="89">
        <x:v>1657573117.2</x:v>
      </x:c>
      <x:c r="D19" s="89">
        <x:v>1481430812.4000003</x:v>
      </x:c>
    </x:row>
    <x:row r="20" spans="1:6">
      <x:c r="A20" s="88" t="s">
        <x:v>27</x:v>
      </x:c>
      <x:c r="B20" s="88" t="s">
        <x:v>27</x:v>
      </x:c>
      <x:c r="C20" s="89"/>
      <x:c r="D20" s="89"/>
    </x:row>
    <x:row r="21" spans="1:6">
      <x:c r="A21" s="88" t="s">
        <x:v>87</x:v>
      </x:c>
      <x:c r="B21" s="88"/>
      <x:c r="C21" s="89"/>
      <x:c r="D21" s="89"/>
    </x:row>
    <x:row r="22" spans="1:6">
      <x:c r="A22" s="88" t="s">
        <x:v>121</x:v>
      </x:c>
      <x:c r="B22" s="88" t="s">
        <x:v>122</x:v>
      </x:c>
      <x:c r="C22" s="89">
        <x:v>13700610</x:v>
      </x:c>
      <x:c r="D22" s="89">
        <x:v>13118490</x:v>
      </x:c>
    </x:row>
    <x:row r="23" spans="1:6">
      <x:c r="A23" s="88" t="s">
        <x:v>126</x:v>
      </x:c>
      <x:c r="B23" s="88"/>
      <x:c r="C23" s="89">
        <x:v>13700610</x:v>
      </x:c>
      <x:c r="D23" s="89">
        <x:v>13118490</x:v>
      </x:c>
    </x:row>
    <x:row r="24" spans="1:6">
      <x:c r="A24" s="88" t="s">
        <x:v>28</x:v>
      </x:c>
      <x:c r="B24" s="88"/>
      <x:c r="C24" s="89">
        <x:v>3153223956.96</x:v>
      </x:c>
      <x:c r="D24" s="89">
        <x:v>2725109735.04</x:v>
      </x:c>
    </x:row>
    <x:row r="25" spans="1:6">
      <x:c r="A25" s="68"/>
      <x:c r="B25" s="68"/>
      <x:c r="C25" s="68"/>
      <x:c r="D25" s="68"/>
    </x:row>
    <x:row r="26" spans="1:6">
      <x:c r="B26" s="75"/>
      <x:c r="C26" s="75" t="s">
        <x:v>88</x:v>
      </x:c>
      <x:c r="D26" s="75" t="s">
        <x:v>89</x:v>
      </x:c>
      <x:c r="E26" s="24" t="s">
        <x:v>110</x:v>
      </x:c>
      <x:c r="F26" s="24" t="s">
        <x:v>111</x:v>
      </x:c>
    </x:row>
    <x:row r="27" spans="1:6">
      <x:c r="A27" s="25" t="s">
        <x:v>41</x:v>
      </x:c>
      <x:c r="B27" s="90"/>
      <x:c r="C27" s="91">
        <x:v>2669675754.9000001</x:v>
      </x:c>
      <x:c r="D27" s="91">
        <x:f>GETPIVOTDATA("합계 : P/Amount(Won)",$A$3)</x:f>
        <x:v>3153223956.96</x:v>
      </x:c>
      <x:c r="E27" s="92">
        <x:f>D27/C27</x:f>
        <x:v>1.1811261915131386</x:v>
      </x:c>
      <x:c r="F27" s="92">
        <x:f>D27/$D$27</x:f>
        <x:v>1</x:v>
      </x:c>
    </x:row>
    <x:row r="28" spans="1:6">
      <x:c r="A28" s="24" t="s">
        <x:v>82</x:v>
      </x:c>
      <x:c r="B28" s="75"/>
      <x:c r="C28" s="93">
        <x:v>2453611609.3575244</x:v>
      </x:c>
      <x:c r="D28" s="93">
        <x:f>D31+D37+D40</x:f>
        <x:v>2822684634.29</x:v>
      </x:c>
      <x:c r="E28" s="94">
        <x:f t="shared" ref="E28:E47" si="0">D28/C28</x:f>
        <x:v>1.1504203124589538</x:v>
      </x:c>
      <x:c r="F28" s="94">
        <x:f t="shared" ref="F28:F47" si="1">D28/$D$27</x:f>
        <x:v>0.8951741686661957</x:v>
      </x:c>
    </x:row>
    <x:row r="29" spans="1:6">
      <x:c r="A29" s="24" t="s">
        <x:v>83</x:v>
      </x:c>
      <x:c r="B29" s="75"/>
      <x:c r="C29" s="93">
        <x:v>216064145.5424757</x:v>
      </x:c>
      <x:c r="D29" s="93">
        <x:f>D27-D28</x:f>
        <x:v>330539322.67000008</x:v>
      </x:c>
      <x:c r="E29" s="94">
        <x:f t="shared" si="0"/>
        <x:v>1.5298203310878338</x:v>
      </x:c>
      <x:c r="F29" s="94">
        <x:f t="shared" si="1"/>
        <x:v>0.10482583133380434</x:v>
      </x:c>
    </x:row>
    <x:row r="30" spans="1:6">
      <x:c r="A30" s="25" t="s">
        <x:v>42</x:v>
      </x:c>
      <x:c r="B30" s="90"/>
      <x:c r="C30" s="91">
        <x:v>140727169.84710068</x:v>
      </x:c>
      <x:c r="D30" s="91">
        <x:f>D29-D41</x:f>
        <x:v>259984994.27000007</x:v>
      </x:c>
      <x:c r="E30" s="92">
        <x:f t="shared" si="0"/>
        <x:v>1.8474399403645536</x:v>
      </x:c>
      <x:c r="F30" s="92">
        <x:f t="shared" si="1"/>
        <x:v>8.2450532476814525E-2</x:v>
      </x:c>
    </x:row>
    <x:row r="31" spans="1:6">
      <x:c r="A31" s="25" t="s">
        <x:v>43</x:v>
      </x:c>
      <x:c r="B31" s="90"/>
      <x:c r="C31" s="91">
        <x:v>2417133589.1250243</x:v>
      </x:c>
      <x:c r="D31" s="91">
        <x:f>SUM(D32:D36)</x:f>
        <x:v>2790412021.1399999</x:v>
      </x:c>
      <x:c r="E31" s="92">
        <x:f t="shared" si="0"/>
        <x:v>1.1544302034833327</x:v>
      </x:c>
      <x:c r="F31" s="92">
        <x:f t="shared" si="1"/>
        <x:v>0.88493936974594578</x:v>
      </x:c>
    </x:row>
    <x:row r="32" spans="1:6">
      <x:c r="B32" s="75" t="s">
        <x:v>108</x:v>
      </x:c>
      <x:c r="C32" s="93">
        <x:v>2346218582.4000001</x:v>
      </x:c>
      <x:c r="D32" s="93">
        <x:f>GETPIVOTDATA("합계 : M/Amount(Won)",$A$3)</x:f>
        <x:v>2725109735.04</x:v>
      </x:c>
      <x:c r="E32" s="94">
        <x:f t="shared" si="0"/>
        <x:v>1.1614901337335857</x:v>
      </x:c>
      <x:c r="F32" s="94">
        <x:f t="shared" si="1"/>
        <x:v>0.8642296811886645</x:v>
      </x:c>
    </x:row>
    <x:row r="33" spans="1:8">
      <x:c r="B33" s="75" t="s">
        <x:v>32</x:v>
      </x:c>
      <x:c r="C33" s="93">
        <x:v>60751006.725024</x:v>
      </x:c>
      <x:c r="D33" s="93">
        <x:f>D50</x:f>
        <x:v>61451005</x:v>
      </x:c>
      <x:c r="E33" s="94">
        <x:f t="shared" si="0"/>
        <x:v>1.0115224144044952</x:v>
      </x:c>
      <x:c r="F33" s="94">
        <x:f t="shared" si="1"/>
        <x:v>1.948830969153376E-2</x:v>
      </x:c>
    </x:row>
    <x:row r="34" spans="1:8">
      <x:c r="B34" s="75" t="s">
        <x:v>39</x:v>
      </x:c>
      <x:c r="C34" s="93">
        <x:v>6930000</x:v>
      </x:c>
      <x:c r="D34" s="93">
        <x:f>D55</x:f>
        <x:v>1152046.1000000001</x:v>
      </x:c>
      <x:c r="E34" s="94">
        <x:f t="shared" si="0"/>
        <x:v>0.16624041847041848</x:v>
      </x:c>
      <x:c r="F34" s="94">
        <x:f t="shared" si="1"/>
        <x:v>3.6535498769668082E-4</x:v>
      </x:c>
    </x:row>
    <x:row r="35" spans="1:8">
      <x:c r="B35" s="75" t="s">
        <x:v>48</x:v>
      </x:c>
      <x:c r="C35" s="93">
        <x:v>3234000</x:v>
      </x:c>
      <x:c r="D35" s="93">
        <x:f>D58</x:f>
        <x:v>2699235</x:v>
      </x:c>
      <x:c r="E35" s="94">
        <x:f t="shared" si="0"/>
        <x:v>0.83464285714285713</x:v>
      </x:c>
      <x:c r="F35" s="94">
        <x:f t="shared" si="1"/>
        <x:v>8.560238780509306E-4</x:v>
      </x:c>
    </x:row>
    <x:row r="36" spans="1:8">
      <x:c r="B36" s="75" t="s">
        <x:v>140</x:v>
      </x:c>
      <x:c r="C36" s="93">
        <x:v>0</x:v>
      </x:c>
      <x:c r="D36" s="93">
        <x:f>IF(재고평가!H32&gt;0,재고평가!H32,0)</x:f>
        <x:v>0</x:v>
      </x:c>
      <x:c r="E36" s="94" t="e">
        <x:f t="shared" si="0"/>
        <x:v>#DIV/0!</x:v>
      </x:c>
      <x:c r="F36" s="94">
        <x:f t="shared" si="1"/>
        <x:v>0</x:v>
      </x:c>
      <x:c r="H36" s="93"/>
    </x:row>
    <x:row r="37" spans="1:8">
      <x:c r="A37" s="25" t="s">
        <x:v>44</x:v>
      </x:c>
      <x:c r="B37" s="90"/>
      <x:c r="C37" s="91">
        <x:v>33398020.232500002</x:v>
      </x:c>
      <x:c r="D37" s="91">
        <x:f>SUM(D38:D39)</x:f>
        <x:v>30584011.149999999</x:v>
      </x:c>
      <x:c r="E37" s="92">
        <x:f t="shared" si="0"/>
        <x:v>0.91574323678738123</x:v>
      </x:c>
      <x:c r="F37" s="92">
        <x:f t="shared" si="1"/>
        <x:v>9.6992828823633005E-3</x:v>
      </x:c>
    </x:row>
    <x:row r="38" spans="1:8">
      <x:c r="B38" s="75" t="s">
        <x:v>45</x:v>
      </x:c>
      <x:c r="C38" s="93">
        <x:v>20181700</x:v>
      </x:c>
      <x:c r="D38" s="93">
        <x:f>D54</x:f>
        <x:v>16442310.5</x:v>
      </x:c>
      <x:c r="E38" s="94">
        <x:f t="shared" si="0"/>
        <x:v>0.81471384967569627</x:v>
      </x:c>
      <x:c r="F38" s="94">
        <x:f t="shared" si="1"/>
        <x:v>5.2144442400634018E-3</x:v>
      </x:c>
    </x:row>
    <x:row r="39" spans="1:8">
      <x:c r="B39" s="75" t="s">
        <x:v>46</x:v>
      </x:c>
      <x:c r="C39" s="93">
        <x:v>13216320.2325</x:v>
      </x:c>
      <x:c r="D39" s="93">
        <x:f>D53</x:f>
        <x:v>14141700.65</x:v>
      </x:c>
      <x:c r="E39" s="94">
        <x:f t="shared" si="0"/>
        <x:v>1.0700180081309179</x:v>
      </x:c>
      <x:c r="F39" s="94">
        <x:f t="shared" si="1"/>
        <x:v>4.4848386422998987E-3</x:v>
      </x:c>
    </x:row>
    <x:row r="40" spans="1:8">
      <x:c r="A40" s="25" t="s">
        <x:v>47</x:v>
      </x:c>
      <x:c r="B40" s="90"/>
      <x:c r="C40" s="91">
        <x:v>3080000</x:v>
      </x:c>
      <x:c r="D40" s="91">
        <x:f>D62</x:f>
        <x:v>1688602</x:v>
      </x:c>
      <x:c r="E40" s="92">
        <x:f t="shared" si="0"/>
        <x:v>0.54824740259740257</x:v>
      </x:c>
      <x:c r="F40" s="92">
        <x:f t="shared" si="1"/>
        <x:v>5.3551603788649655E-4</x:v>
      </x:c>
    </x:row>
    <x:row r="41" spans="1:8">
      <x:c r="A41" s="25" t="s">
        <x:v>109</x:v>
      </x:c>
      <x:c r="B41" s="90"/>
      <x:c r="C41" s="91">
        <x:v>75336975.69537501</x:v>
      </x:c>
      <x:c r="D41" s="91">
        <x:f>SUM(D42:D45)</x:f>
        <x:v>70554328.400000006</x:v>
      </x:c>
      <x:c r="E41" s="92">
        <x:f t="shared" si="0"/>
        <x:v>0.93651660089577216</x:v>
      </x:c>
      <x:c r="F41" s="92">
        <x:f t="shared" si="1"/>
        <x:v>2.2375298856989821E-2</x:v>
      </x:c>
    </x:row>
    <x:row r="42" spans="1:8">
      <x:c r="B42" s="75" t="s">
        <x:v>35</x:v>
      </x:c>
      <x:c r="C42" s="93">
        <x:v>9408858.2953750007</x:v>
      </x:c>
      <x:c r="D42" s="93">
        <x:f>D52</x:f>
        <x:v>7728142.4000000004</x:v>
      </x:c>
      <x:c r="E42" s="94">
        <x:f t="shared" si="0"/>
        <x:v>0.82136877370114403</x:v>
      </x:c>
      <x:c r="F42" s="94">
        <x:f t="shared" si="1"/>
        <x:v>2.4508701270463027E-3</x:v>
      </x:c>
      <x:c r="H42" s="38"/>
    </x:row>
    <x:row r="43" spans="1:8">
      <x:c r="B43" s="75" t="s">
        <x:v>36</x:v>
      </x:c>
      <x:c r="C43" s="93">
        <x:v>43828617.400000006</x:v>
      </x:c>
      <x:c r="D43" s="93">
        <x:f>D60</x:f>
        <x:v>40557270.100000001</x:v>
      </x:c>
      <x:c r="E43" s="94">
        <x:f t="shared" si="0"/>
        <x:v>0.92536047235658403</x:v>
      </x:c>
      <x:c r="F43" s="94">
        <x:f t="shared" si="1"/>
        <x:v>1.2862159698640931E-2</x:v>
      </x:c>
    </x:row>
    <x:row r="44" spans="1:8">
      <x:c r="B44" s="75" t="s">
        <x:v>31</x:v>
      </x:c>
      <x:c r="C44" s="93">
        <x:v>17325000</x:v>
      </x:c>
      <x:c r="D44" s="93">
        <x:f>D56</x:f>
        <x:v>19891737.25</x:v>
      </x:c>
      <x:c r="E44" s="94">
        <x:f t="shared" si="0"/>
        <x:v>1.1481522222222222</x:v>
      </x:c>
      <x:c r="F44" s="94">
        <x:f t="shared" si="1"/>
        <x:v>6.3083807308052667E-3</x:v>
      </x:c>
    </x:row>
    <x:row r="45" spans="1:8">
      <x:c r="B45" s="75" t="s">
        <x:v>40</x:v>
      </x:c>
      <x:c r="C45" s="93">
        <x:v>4774500</x:v>
      </x:c>
      <x:c r="D45" s="93">
        <x:f>D51+D57+D61</x:f>
        <x:v>2377178.65</x:v>
      </x:c>
      <x:c r="E45" s="94">
        <x:f t="shared" si="0"/>
        <x:v>0.49789059587391349</x:v>
      </x:c>
      <x:c r="F45" s="94">
        <x:f t="shared" si="1"/>
        <x:v>7.5388830049731711E-4</x:v>
      </x:c>
    </x:row>
    <x:row r="46" spans="1:8">
      <x:c r="A46" s="25" t="s">
        <x:v>49</x:v>
      </x:c>
      <x:c r="B46" s="90"/>
      <x:c r="C46" s="91">
        <x:v>79127169.847100675</x:v>
      </x:c>
      <x:c r="D46" s="91">
        <x:f>D30-D47</x:f>
        <x:v>210630767.27000007</x:v>
      </x:c>
      <x:c r="E46" s="92">
        <x:f t="shared" si="0"/>
        <x:v>2.6619272201572097</x:v>
      </x:c>
      <x:c r="F46" s="92">
        <x:f t="shared" si="1"/>
        <x:v>6.6798543378145475E-2</x:v>
      </x:c>
    </x:row>
    <x:row r="47" spans="1:8">
      <x:c r="B47" s="75" t="s">
        <x:v>34</x:v>
      </x:c>
      <x:c r="C47" s="93">
        <x:v>61600000</x:v>
      </x:c>
      <x:c r="D47" s="93">
        <x:f>D59</x:f>
        <x:v>49354227</x:v>
      </x:c>
      <x:c r="E47" s="94">
        <x:f t="shared" si="0"/>
        <x:v>0.80120498376623372</x:v>
      </x:c>
      <x:c r="F47" s="94">
        <x:f t="shared" si="1"/>
        <x:v>1.5651989098669047E-2</x:v>
      </x:c>
    </x:row>
    <x:row r="49" spans="3:4">
      <x:c r="C49" s="75" t="s">
        <x:v>127</x:v>
      </x:c>
      <x:c r="D49" s="75" t="s">
        <x:v>129</x:v>
      </x:c>
    </x:row>
    <x:row r="50" spans="3:4">
      <x:c r="C50" s="75" t="s">
        <x:v>32</x:v>
      </x:c>
      <x:c r="D50" s="75">
        <x:v>61451005</x:v>
      </x:c>
    </x:row>
    <x:row r="51" spans="3:4">
      <x:c r="C51" s="75" t="s">
        <x:v>62</x:v>
      </x:c>
      <x:c r="D51" s="75">
        <x:v>385000</x:v>
      </x:c>
    </x:row>
    <x:row r="52" spans="3:4">
      <x:c r="C52" s="75" t="s">
        <x:v>35</x:v>
      </x:c>
      <x:c r="D52" s="75">
        <x:v>7728142.4000000004</x:v>
      </x:c>
    </x:row>
    <x:row r="53" spans="3:4">
      <x:c r="C53" s="75" t="s">
        <x:v>30</x:v>
      </x:c>
      <x:c r="D53" s="75">
        <x:v>14141700.65</x:v>
      </x:c>
    </x:row>
    <x:row r="54" spans="3:4">
      <x:c r="C54" s="75" t="s">
        <x:v>120</x:v>
      </x:c>
      <x:c r="D54" s="75">
        <x:v>16442310.5</x:v>
      </x:c>
    </x:row>
    <x:row r="55" spans="3:4">
      <x:c r="C55" s="75" t="s">
        <x:v>33</x:v>
      </x:c>
      <x:c r="D55" s="75">
        <x:v>1152046.1000000001</x:v>
      </x:c>
    </x:row>
    <x:row r="56" spans="3:4">
      <x:c r="C56" s="75" t="s">
        <x:v>31</x:v>
      </x:c>
      <x:c r="D56" s="75">
        <x:v>19891737.25</x:v>
      </x:c>
    </x:row>
    <x:row r="57" spans="3:4">
      <x:c r="C57" s="75" t="s">
        <x:v>29</x:v>
      </x:c>
      <x:c r="D57" s="75">
        <x:v>1803101.3</x:v>
      </x:c>
    </x:row>
    <x:row r="58" spans="3:4">
      <x:c r="C58" s="75" t="s">
        <x:v>37</x:v>
      </x:c>
      <x:c r="D58" s="75">
        <x:v>2699235</x:v>
      </x:c>
    </x:row>
    <x:row r="59" spans="3:4">
      <x:c r="C59" s="75" t="s">
        <x:v>34</x:v>
      </x:c>
      <x:c r="D59" s="75">
        <x:v>49354227</x:v>
      </x:c>
    </x:row>
    <x:row r="60" spans="3:4">
      <x:c r="C60" s="75" t="s">
        <x:v>36</x:v>
      </x:c>
      <x:c r="D60" s="75">
        <x:v>40557270.100000001</x:v>
      </x:c>
    </x:row>
    <x:row r="61" spans="3:4">
      <x:c r="C61" s="75" t="s">
        <x:v>128</x:v>
      </x:c>
      <x:c r="D61" s="75">
        <x:v>189077.35</x:v>
      </x:c>
    </x:row>
    <x:row r="62" spans="3:4">
      <x:c r="C62" s="75" t="s">
        <x:v>38</x:v>
      </x:c>
      <x:c r="D62" s="75">
        <x:v>1688602</x:v>
      </x:c>
    </x:row>
    <x:row r="63" spans="3:4">
      <x:c r="C63" s="75" t="s">
        <x:v>28</x:v>
      </x:c>
      <x:c r="D63" s="75">
        <x:v>217483454.65000001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7D2B3D-46F5-493E-84B8-2557E123505C}" mc:Ignorable="x14ac xr xr2 xr3">
  <x:sheetPr>
    <x:tabColor rgb="FFFF0000"/>
  </x:sheetPr>
  <x:dimension ref="A1:M68"/>
  <x:sheetViews>
    <x:sheetView workbookViewId="0">
      <x:selection activeCell="L10" sqref="L10"/>
    </x:sheetView>
  </x:sheetViews>
  <x:sheetFormatPr defaultColWidth="35.25" defaultRowHeight="13.8"/>
  <x:cols>
    <x:col min="1" max="1" width="21.625" style="15" customWidth="1"/>
    <x:col min="2" max="2" width="20" style="15" customWidth="1"/>
    <x:col min="3" max="3" width="16.375" style="15" bestFit="1" customWidth="1"/>
    <x:col min="4" max="4" width="46.5" style="15" customWidth="1"/>
    <x:col min="5" max="5" width="38.875" style="15" customWidth="1"/>
    <x:col min="6" max="6" width="18.125" style="14" bestFit="1" customWidth="1"/>
    <x:col min="7" max="7" width="17.625" style="21" customWidth="1"/>
    <x:col min="8" max="8" width="20.125" style="18" customWidth="1"/>
    <x:col min="9" max="9" width="18.5" style="13" bestFit="1" customWidth="1"/>
    <x:col min="10" max="10" width="18.875" style="13" bestFit="1" customWidth="1"/>
    <x:col min="11" max="11" width="25" style="15" bestFit="1" customWidth="1"/>
    <x:col min="12" max="12" width="25.5" style="15" bestFit="1" customWidth="1"/>
    <x:col min="13" max="13" width="32.625" style="15" bestFit="1" customWidth="1"/>
    <x:col min="14" max="16384" width="35.25" style="15"/>
  </x:cols>
  <x:sheetData>
    <x:row r="1" spans="1:13" s="11" customFormat="1">
      <x:c r="A1" s="5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7" t="s">
        <x:v>21</x:v>
      </x:c>
      <x:c r="G1" s="19" t="s">
        <x:v>19</x:v>
      </x:c>
      <x:c r="H1" s="20" t="s">
        <x:v>22</x:v>
      </x:c>
      <x:c r="I1" s="8" t="s">
        <x:v>23</x:v>
      </x:c>
      <x:c r="J1" s="8" t="s">
        <x:v>24</x:v>
      </x:c>
      <x:c r="K1" s="9" t="s">
        <x:v>25</x:v>
      </x:c>
      <x:c r="L1" s="9" t="s">
        <x:v>26</x:v>
      </x:c>
      <x:c r="M1" s="10" t="s">
        <x:v>20</x:v>
      </x:c>
    </x:row>
    <x:row r="2" spans="1:13">
      <x:c r="A2" s="16">
        <x:v>46027</x:v>
      </x:c>
      <x:c r="B2" s="12" t="s">
        <x:v>6</x:v>
      </x:c>
      <x:c r="C2" s="12" t="s">
        <x:v>74</x:v>
      </x:c>
      <x:c r="D2" s="12" t="s">
        <x:v>5</x:v>
      </x:c>
      <x:c r="E2" s="12" t="s">
        <x:v>75</x:v>
      </x:c>
      <x:c r="F2" s="82">
        <x:v>400</x:v>
      </x:c>
      <x:c r="G2" s="18">
        <x:v>2.35</x:v>
      </x:c>
      <x:c r="H2" s="18">
        <x:v>2.5499999999999998</x:v>
      </x:c>
      <x:c r="I2" s="17">
        <x:f>F2*G2</x:f>
        <x:v>940</x:v>
      </x:c>
      <x:c r="J2" s="13">
        <x:f>F2*H2</x:f>
        <x:v>1019.9999999999999</x:v>
      </x:c>
      <x:c r="K2" s="14">
        <x:f>I2*4.2*385</x:f>
        <x:v>1519980</x:v>
      </x:c>
      <x:c r="L2" s="14">
        <x:f>J2*3.6*385</x:f>
        <x:v>1413719.9999999998</x:v>
      </x:c>
      <x:c r="M2" s="11" t="s">
        <x:v>125</x:v>
      </x:c>
    </x:row>
    <x:row r="3" spans="1:13" s="11" customFormat="1">
      <x:c r="A3" s="16">
        <x:v>46027</x:v>
      </x:c>
      <x:c r="B3" s="22" t="s">
        <x:v>6</x:v>
      </x:c>
      <x:c r="C3" s="22" t="s">
        <x:v>130</x:v>
      </x:c>
      <x:c r="D3" s="22" t="s">
        <x:v>5</x:v>
      </x:c>
      <x:c r="E3" s="22" t="s">
        <x:v>131</x:v>
      </x:c>
      <x:c r="F3" s="83">
        <x:v>600</x:v>
      </x:c>
      <x:c r="G3" s="23">
        <x:v>7.68</x:v>
      </x:c>
      <x:c r="H3" s="23">
        <x:v>8.25</x:v>
      </x:c>
      <x:c r="I3" s="17">
        <x:f t="shared" ref="I3" si="0">F3*G3</x:f>
        <x:v>4608</x:v>
      </x:c>
      <x:c r="J3" s="17">
        <x:f t="shared" ref="J3" si="1">F3*H3</x:f>
        <x:v>4950</x:v>
      </x:c>
      <x:c r="K3" s="14">
        <x:f t="shared" ref="K3:K39" si="2">I3*4.2*385</x:f>
        <x:v>7451136.0000000009</x:v>
      </x:c>
      <x:c r="L3" s="14">
        <x:f t="shared" ref="L3:L39" si="3">J3*3.6*385</x:f>
        <x:v>6860700</x:v>
      </x:c>
      <x:c r="M3" s="11" t="s">
        <x:v>125</x:v>
      </x:c>
    </x:row>
    <x:row r="4" spans="1:13" s="11" customFormat="1">
      <x:c r="A4" s="16">
        <x:v>46027</x:v>
      </x:c>
      <x:c r="B4" s="22" t="s">
        <x:v>6</x:v>
      </x:c>
      <x:c r="C4" s="22" t="s">
        <x:v>7</x:v>
      </x:c>
      <x:c r="D4" s="22" t="s">
        <x:v>5</x:v>
      </x:c>
      <x:c r="E4" s="22" t="s">
        <x:v>8</x:v>
      </x:c>
      <x:c r="F4" s="83">
        <x:v>3000</x:v>
      </x:c>
      <x:c r="G4" s="23">
        <x:v>0.56000000000000005</x:v>
      </x:c>
      <x:c r="H4" s="23">
        <x:v>0.39</x:v>
      </x:c>
      <x:c r="I4" s="17">
        <x:f>F4*G4</x:f>
        <x:v>1680.0000000000002</x:v>
      </x:c>
      <x:c r="J4" s="17">
        <x:f>F4*H4</x:f>
        <x:v>1170</x:v>
      </x:c>
      <x:c r="K4" s="14">
        <x:f t="shared" si="2"/>
        <x:v>2716560.0000000005</x:v>
      </x:c>
      <x:c r="L4" s="14">
        <x:f t="shared" si="3"/>
        <x:v>1621620</x:v>
      </x:c>
      <x:c r="M4" s="15"/>
    </x:row>
    <x:row r="5" spans="1:13" s="11" customFormat="1">
      <x:c r="A5" s="16">
        <x:v>46027</x:v>
      </x:c>
      <x:c r="B5" s="22" t="s">
        <x:v>6</x:v>
      </x:c>
      <x:c r="C5" s="22" t="s">
        <x:v>9</x:v>
      </x:c>
      <x:c r="D5" s="22" t="s">
        <x:v>5</x:v>
      </x:c>
      <x:c r="E5" s="22" t="s">
        <x:v>10</x:v>
      </x:c>
      <x:c r="F5" s="83">
        <x:v>600</x:v>
      </x:c>
      <x:c r="G5" s="23">
        <x:v>3.74</x:v>
      </x:c>
      <x:c r="H5" s="23">
        <x:v>3.41</x:v>
      </x:c>
      <x:c r="I5" s="17">
        <x:f>F5*G5</x:f>
        <x:v>2244</x:v>
      </x:c>
      <x:c r="J5" s="17">
        <x:f>F5*H5</x:f>
        <x:v>2046</x:v>
      </x:c>
      <x:c r="K5" s="14">
        <x:f t="shared" si="2"/>
        <x:v>3628548.0000000005</x:v>
      </x:c>
      <x:c r="L5" s="14">
        <x:f t="shared" si="3"/>
        <x:v>2835756</x:v>
      </x:c>
      <x:c r="M5" s="11" t="s">
        <x:v>135</x:v>
      </x:c>
    </x:row>
    <x:row r="6" spans="1:13" s="11" customFormat="1">
      <x:c r="A6" s="16">
        <x:v>46027</x:v>
      </x:c>
      <x:c r="B6" s="22" t="s">
        <x:v>6</x:v>
      </x:c>
      <x:c r="C6" s="22" t="s">
        <x:v>79</x:v>
      </x:c>
      <x:c r="D6" s="22" t="s">
        <x:v>5</x:v>
      </x:c>
      <x:c r="E6" s="22" t="s">
        <x:v>11</x:v>
      </x:c>
      <x:c r="F6" s="83">
        <x:v>1000</x:v>
      </x:c>
      <x:c r="G6" s="23">
        <x:v>7.71</x:v>
      </x:c>
      <x:c r="H6" s="23">
        <x:v>6.95</x:v>
      </x:c>
      <x:c r="I6" s="17">
        <x:f t="shared" ref="I6:I7" si="4">F6*G6</x:f>
        <x:v>7710</x:v>
      </x:c>
      <x:c r="J6" s="17">
        <x:f t="shared" ref="J6:J7" si="5">F6*H6</x:f>
        <x:v>6950</x:v>
      </x:c>
      <x:c r="K6" s="14">
        <x:f t="shared" si="2"/>
        <x:v>12467070</x:v>
      </x:c>
      <x:c r="L6" s="14">
        <x:f t="shared" si="3"/>
        <x:v>9632700</x:v>
      </x:c>
      <x:c r="M6" s="11" t="s">
        <x:v>135</x:v>
      </x:c>
    </x:row>
    <x:row r="7" spans="1:13" s="11" customFormat="1">
      <x:c r="A7" s="16">
        <x:v>46027</x:v>
      </x:c>
      <x:c r="B7" s="22" t="s">
        <x:v>6</x:v>
      </x:c>
      <x:c r="C7" s="22" t="s">
        <x:v>80</x:v>
      </x:c>
      <x:c r="D7" s="22" t="s">
        <x:v>5</x:v>
      </x:c>
      <x:c r="E7" s="22" t="s">
        <x:v>12</x:v>
      </x:c>
      <x:c r="F7" s="83">
        <x:v>1000</x:v>
      </x:c>
      <x:c r="G7" s="23">
        <x:v>5.31</x:v>
      </x:c>
      <x:c r="H7" s="23">
        <x:v>4.79</x:v>
      </x:c>
      <x:c r="I7" s="17">
        <x:f t="shared" si="4"/>
        <x:v>5310</x:v>
      </x:c>
      <x:c r="J7" s="17">
        <x:f t="shared" si="5"/>
        <x:v>4790</x:v>
      </x:c>
      <x:c r="K7" s="14">
        <x:f t="shared" si="2"/>
        <x:v>8586270</x:v>
      </x:c>
      <x:c r="L7" s="14">
        <x:f t="shared" si="3"/>
        <x:v>6638940</x:v>
      </x:c>
      <x:c r="M7" s="11" t="s">
        <x:v>135</x:v>
      </x:c>
    </x:row>
    <x:row r="8" spans="1:13" s="11" customFormat="1">
      <x:c r="A8" s="16">
        <x:v>46027</x:v>
      </x:c>
      <x:c r="B8" s="22" t="s">
        <x:v>6</x:v>
      </x:c>
      <x:c r="C8" s="22" t="s">
        <x:v>13</x:v>
      </x:c>
      <x:c r="D8" s="22" t="s">
        <x:v>5</x:v>
      </x:c>
      <x:c r="E8" s="22" t="s">
        <x:v>14</x:v>
      </x:c>
      <x:c r="F8" s="83">
        <x:v>360</x:v>
      </x:c>
      <x:c r="G8" s="23">
        <x:v>85.86</x:v>
      </x:c>
      <x:c r="H8" s="23">
        <x:v>98.23</x:v>
      </x:c>
      <x:c r="I8" s="13">
        <x:f t="shared" ref="I8" si="6">F8*G8</x:f>
        <x:v>30909.599999999999</x:v>
      </x:c>
      <x:c r="J8" s="13">
        <x:f t="shared" ref="J8" si="7">F8*H8</x:f>
        <x:v>35362.800000000003</x:v>
      </x:c>
      <x:c r="K8" s="14">
        <x:f t="shared" si="2"/>
        <x:v>49980823.199999996</x:v>
      </x:c>
      <x:c r="L8" s="14">
        <x:f t="shared" si="3"/>
        <x:v>49012840.800000004</x:v>
      </x:c>
      <x:c r="M8" s="11" t="s">
        <x:v>125</x:v>
      </x:c>
    </x:row>
    <x:row r="9" spans="1:13" s="11" customFormat="1">
      <x:c r="A9" s="16">
        <x:v>46027</x:v>
      </x:c>
      <x:c r="B9" s="22" t="s">
        <x:v>6</x:v>
      </x:c>
      <x:c r="C9" s="22" t="s">
        <x:v>15</x:v>
      </x:c>
      <x:c r="D9" s="22" t="s">
        <x:v>5</x:v>
      </x:c>
      <x:c r="E9" s="22" t="s">
        <x:v>16</x:v>
      </x:c>
      <x:c r="F9" s="83">
        <x:v>600</x:v>
      </x:c>
      <x:c r="G9" s="23">
        <x:v>117.2</x:v>
      </x:c>
      <x:c r="H9" s="23">
        <x:v>157.04</x:v>
      </x:c>
      <x:c r="I9" s="13">
        <x:f>F9*G9</x:f>
        <x:v>70320</x:v>
      </x:c>
      <x:c r="J9" s="13">
        <x:f>F9*H9</x:f>
        <x:v>94224</x:v>
      </x:c>
      <x:c r="K9" s="14">
        <x:f t="shared" si="2"/>
        <x:v>113707440</x:v>
      </x:c>
      <x:c r="L9" s="14">
        <x:f t="shared" si="3"/>
        <x:v>130594464.00000001</x:v>
      </x:c>
      <x:c r="M9" s="11" t="s">
        <x:v>135</x:v>
      </x:c>
    </x:row>
    <x:row r="10" spans="1:13" s="11" customFormat="1">
      <x:c r="A10" s="16">
        <x:v>46027</x:v>
      </x:c>
      <x:c r="B10" s="22" t="s">
        <x:v>6</x:v>
      </x:c>
      <x:c r="C10" s="22" t="s">
        <x:v>107</x:v>
      </x:c>
      <x:c r="D10" s="22" t="s">
        <x:v>5</x:v>
      </x:c>
      <x:c r="E10" s="22" t="s">
        <x:v>17</x:v>
      </x:c>
      <x:c r="F10" s="83">
        <x:v>960</x:v>
      </x:c>
      <x:c r="G10" s="23">
        <x:v>27.14</x:v>
      </x:c>
      <x:c r="H10" s="23">
        <x:v>24.12</x:v>
      </x:c>
      <x:c r="I10" s="13">
        <x:f>F10*G10</x:f>
        <x:v>26054.400000000001</x:v>
      </x:c>
      <x:c r="J10" s="13">
        <x:f>F10*H10</x:f>
        <x:v>23155.200000000001</x:v>
      </x:c>
      <x:c r="K10" s="14">
        <x:f t="shared" si="2"/>
        <x:v>42129964.800000004</x:v>
      </x:c>
      <x:c r="L10" s="14">
        <x:f t="shared" si="3"/>
        <x:v>32093107.199999999</x:v>
      </x:c>
      <x:c r="M10" s="11" t="s">
        <x:v>135</x:v>
      </x:c>
    </x:row>
    <x:row r="11" spans="1:13" s="11" customFormat="1">
      <x:c r="A11" s="16">
        <x:v>46027</x:v>
      </x:c>
      <x:c r="B11" s="22" t="s">
        <x:v>6</x:v>
      </x:c>
      <x:c r="C11" s="22" t="s">
        <x:v>81</x:v>
      </x:c>
      <x:c r="D11" s="22" t="s">
        <x:v>5</x:v>
      </x:c>
      <x:c r="E11" s="22" t="s">
        <x:v>18</x:v>
      </x:c>
      <x:c r="F11" s="83">
        <x:v>840</x:v>
      </x:c>
      <x:c r="G11" s="23">
        <x:v>156.75</x:v>
      </x:c>
      <x:c r="H11" s="23">
        <x:v>141.68</x:v>
      </x:c>
      <x:c r="I11" s="13">
        <x:f t="shared" ref="I11:I39" si="8">F11*G11</x:f>
        <x:v>131670</x:v>
      </x:c>
      <x:c r="J11" s="13">
        <x:f t="shared" ref="J11:J39" si="9">F11*H11</x:f>
        <x:v>119011.20000000001</x:v>
      </x:c>
      <x:c r="K11" s="14">
        <x:f t="shared" si="2"/>
        <x:v>212910390</x:v>
      </x:c>
      <x:c r="L11" s="14">
        <x:f t="shared" si="3"/>
        <x:v>164949523.20000002</x:v>
      </x:c>
      <x:c r="M11" s="11" t="s">
        <x:v>135</x:v>
      </x:c>
    </x:row>
    <x:row r="12" spans="1:13" s="11" customFormat="1">
      <x:c r="A12" s="16">
        <x:v>46035</x:v>
      </x:c>
      <x:c r="B12" s="22" t="s">
        <x:v>6</x:v>
      </x:c>
      <x:c r="C12" s="22" t="s">
        <x:v>130</x:v>
      </x:c>
      <x:c r="D12" s="22" t="s">
        <x:v>5</x:v>
      </x:c>
      <x:c r="E12" s="22" t="s">
        <x:v>131</x:v>
      </x:c>
      <x:c r="F12" s="83">
        <x:v>300</x:v>
      </x:c>
      <x:c r="G12" s="23">
        <x:v>7.68</x:v>
      </x:c>
      <x:c r="H12" s="23">
        <x:v>8.25</x:v>
      </x:c>
      <x:c r="I12" s="17">
        <x:f t="shared" ref="I12" si="10">F12*G12</x:f>
        <x:v>2304</x:v>
      </x:c>
      <x:c r="J12" s="17">
        <x:f t="shared" ref="J12" si="11">F12*H12</x:f>
        <x:v>2475</x:v>
      </x:c>
      <x:c r="K12" s="14">
        <x:f t="shared" ref="K12:K18" si="12">I12*4.2*385</x:f>
        <x:v>3725568.0000000005</x:v>
      </x:c>
      <x:c r="L12" s="14">
        <x:f t="shared" ref="L12:L18" si="13">J12*3.6*385</x:f>
        <x:v>3430350</x:v>
      </x:c>
      <x:c r="M12" s="11" t="s">
        <x:v>125</x:v>
      </x:c>
    </x:row>
    <x:row r="13" spans="1:13" s="11" customFormat="1">
      <x:c r="A13" s="16">
        <x:v>46035</x:v>
      </x:c>
      <x:c r="B13" s="22" t="s">
        <x:v>6</x:v>
      </x:c>
      <x:c r="C13" s="22" t="s">
        <x:v>7</x:v>
      </x:c>
      <x:c r="D13" s="22" t="s">
        <x:v>5</x:v>
      </x:c>
      <x:c r="E13" s="22" t="s">
        <x:v>8</x:v>
      </x:c>
      <x:c r="F13" s="83">
        <x:v>3000</x:v>
      </x:c>
      <x:c r="G13" s="23">
        <x:v>0.56000000000000005</x:v>
      </x:c>
      <x:c r="H13" s="23">
        <x:v>0.39</x:v>
      </x:c>
      <x:c r="I13" s="17">
        <x:f>F13*G13</x:f>
        <x:v>1680.0000000000002</x:v>
      </x:c>
      <x:c r="J13" s="17">
        <x:f>F13*H13</x:f>
        <x:v>1170</x:v>
      </x:c>
      <x:c r="K13" s="14">
        <x:f t="shared" si="12"/>
        <x:v>2716560.0000000005</x:v>
      </x:c>
      <x:c r="L13" s="14">
        <x:f t="shared" si="13"/>
        <x:v>1621620</x:v>
      </x:c>
      <x:c r="M13" s="15"/>
    </x:row>
    <x:row r="14" spans="1:13" s="11" customFormat="1">
      <x:c r="A14" s="16">
        <x:v>46035</x:v>
      </x:c>
      <x:c r="B14" s="22" t="s">
        <x:v>6</x:v>
      </x:c>
      <x:c r="C14" s="22" t="s">
        <x:v>9</x:v>
      </x:c>
      <x:c r="D14" s="22" t="s">
        <x:v>5</x:v>
      </x:c>
      <x:c r="E14" s="22" t="s">
        <x:v>10</x:v>
      </x:c>
      <x:c r="F14" s="83">
        <x:v>600</x:v>
      </x:c>
      <x:c r="G14" s="23">
        <x:v>3.74</x:v>
      </x:c>
      <x:c r="H14" s="23">
        <x:v>3.41</x:v>
      </x:c>
      <x:c r="I14" s="17">
        <x:f>F14*G14</x:f>
        <x:v>2244</x:v>
      </x:c>
      <x:c r="J14" s="17">
        <x:f>F14*H14</x:f>
        <x:v>2046</x:v>
      </x:c>
      <x:c r="K14" s="14">
        <x:f t="shared" si="12"/>
        <x:v>3628548.0000000005</x:v>
      </x:c>
      <x:c r="L14" s="14">
        <x:f t="shared" si="13"/>
        <x:v>2835756</x:v>
      </x:c>
      <x:c r="M14" s="11" t="s">
        <x:v>135</x:v>
      </x:c>
    </x:row>
    <x:row r="15" spans="1:13" s="11" customFormat="1">
      <x:c r="A15" s="16">
        <x:v>46035</x:v>
      </x:c>
      <x:c r="B15" s="22" t="s">
        <x:v>6</x:v>
      </x:c>
      <x:c r="C15" s="22" t="s">
        <x:v>13</x:v>
      </x:c>
      <x:c r="D15" s="22" t="s">
        <x:v>5</x:v>
      </x:c>
      <x:c r="E15" s="22" t="s">
        <x:v>14</x:v>
      </x:c>
      <x:c r="F15" s="83">
        <x:v>360</x:v>
      </x:c>
      <x:c r="G15" s="23">
        <x:v>85.86</x:v>
      </x:c>
      <x:c r="H15" s="23">
        <x:v>98.23</x:v>
      </x:c>
      <x:c r="I15" s="13">
        <x:f t="shared" ref="I15" si="14">F15*G15</x:f>
        <x:v>30909.599999999999</x:v>
      </x:c>
      <x:c r="J15" s="13">
        <x:f t="shared" ref="J15" si="15">F15*H15</x:f>
        <x:v>35362.800000000003</x:v>
      </x:c>
      <x:c r="K15" s="14">
        <x:f t="shared" si="12"/>
        <x:v>49980823.199999996</x:v>
      </x:c>
      <x:c r="L15" s="14">
        <x:f t="shared" si="13"/>
        <x:v>49012840.800000004</x:v>
      </x:c>
      <x:c r="M15" s="11" t="s">
        <x:v>125</x:v>
      </x:c>
    </x:row>
    <x:row r="16" spans="1:13" s="11" customFormat="1">
      <x:c r="A16" s="16">
        <x:v>46035</x:v>
      </x:c>
      <x:c r="B16" s="22" t="s">
        <x:v>6</x:v>
      </x:c>
      <x:c r="C16" s="22" t="s">
        <x:v>15</x:v>
      </x:c>
      <x:c r="D16" s="22" t="s">
        <x:v>5</x:v>
      </x:c>
      <x:c r="E16" s="22" t="s">
        <x:v>16</x:v>
      </x:c>
      <x:c r="F16" s="83">
        <x:v>360</x:v>
      </x:c>
      <x:c r="G16" s="23">
        <x:v>117.2</x:v>
      </x:c>
      <x:c r="H16" s="23">
        <x:v>157.04</x:v>
      </x:c>
      <x:c r="I16" s="13">
        <x:f>F16*G16</x:f>
        <x:v>42192</x:v>
      </x:c>
      <x:c r="J16" s="13">
        <x:f>F16*H16</x:f>
        <x:v>56534.399999999994</x:v>
      </x:c>
      <x:c r="K16" s="14">
        <x:f t="shared" si="12"/>
        <x:v>68224464</x:v>
      </x:c>
      <x:c r="L16" s="14">
        <x:f t="shared" si="13"/>
        <x:v>78356678.400000006</x:v>
      </x:c>
      <x:c r="M16" s="11" t="s">
        <x:v>135</x:v>
      </x:c>
    </x:row>
    <x:row r="17" spans="1:13" s="11" customFormat="1">
      <x:c r="A17" s="16">
        <x:v>46035</x:v>
      </x:c>
      <x:c r="B17" s="22" t="s">
        <x:v>6</x:v>
      </x:c>
      <x:c r="C17" s="22" t="s">
        <x:v>107</x:v>
      </x:c>
      <x:c r="D17" s="22" t="s">
        <x:v>5</x:v>
      </x:c>
      <x:c r="E17" s="22" t="s">
        <x:v>17</x:v>
      </x:c>
      <x:c r="F17" s="83">
        <x:v>480</x:v>
      </x:c>
      <x:c r="G17" s="23">
        <x:v>27.14</x:v>
      </x:c>
      <x:c r="H17" s="23">
        <x:v>24.12</x:v>
      </x:c>
      <x:c r="I17" s="13">
        <x:f>F17*G17</x:f>
        <x:v>13027.2</x:v>
      </x:c>
      <x:c r="J17" s="13">
        <x:f>F17*H17</x:f>
        <x:v>11577.6</x:v>
      </x:c>
      <x:c r="K17" s="14">
        <x:f t="shared" si="12"/>
        <x:v>21064982.400000002</x:v>
      </x:c>
      <x:c r="L17" s="14">
        <x:f t="shared" si="13"/>
        <x:v>16046553.6</x:v>
      </x:c>
      <x:c r="M17" s="11" t="s">
        <x:v>135</x:v>
      </x:c>
    </x:row>
    <x:row r="18" spans="1:13" s="11" customFormat="1">
      <x:c r="A18" s="16">
        <x:v>46035</x:v>
      </x:c>
      <x:c r="B18" s="22" t="s">
        <x:v>6</x:v>
      </x:c>
      <x:c r="C18" s="22" t="s">
        <x:v>81</x:v>
      </x:c>
      <x:c r="D18" s="22" t="s">
        <x:v>5</x:v>
      </x:c>
      <x:c r="E18" s="22" t="s">
        <x:v>18</x:v>
      </x:c>
      <x:c r="F18" s="83">
        <x:v>600</x:v>
      </x:c>
      <x:c r="G18" s="23">
        <x:v>156.75</x:v>
      </x:c>
      <x:c r="H18" s="23">
        <x:v>141.68</x:v>
      </x:c>
      <x:c r="I18" s="13">
        <x:f t="shared" ref="I18" si="16">F18*G18</x:f>
        <x:v>94050</x:v>
      </x:c>
      <x:c r="J18" s="13">
        <x:f t="shared" ref="J18" si="17">F18*H18</x:f>
        <x:v>85008</x:v>
      </x:c>
      <x:c r="K18" s="14">
        <x:f t="shared" si="12"/>
        <x:v>152078850</x:v>
      </x:c>
      <x:c r="L18" s="14">
        <x:f t="shared" si="13"/>
        <x:v>117821088</x:v>
      </x:c>
      <x:c r="M18" s="11" t="s">
        <x:v>135</x:v>
      </x:c>
    </x:row>
    <x:row r="19" spans="1:13">
      <x:c r="A19" s="16">
        <x:v>46041</x:v>
      </x:c>
      <x:c r="B19" s="12" t="s">
        <x:v>6</x:v>
      </x:c>
      <x:c r="C19" s="12" t="s">
        <x:v>74</x:v>
      </x:c>
      <x:c r="D19" s="12" t="s">
        <x:v>5</x:v>
      </x:c>
      <x:c r="E19" s="12" t="s">
        <x:v>75</x:v>
      </x:c>
      <x:c r="F19" s="82">
        <x:v>200</x:v>
      </x:c>
      <x:c r="G19" s="18">
        <x:v>2.35</x:v>
      </x:c>
      <x:c r="H19" s="18">
        <x:v>2.5499999999999998</x:v>
      </x:c>
      <x:c r="I19" s="17">
        <x:f>F19*G19</x:f>
        <x:v>470</x:v>
      </x:c>
      <x:c r="J19" s="13">
        <x:f>F19*H19</x:f>
        <x:v>509.99999999999994</x:v>
      </x:c>
      <x:c r="K19" s="14">
        <x:f>I19*4.2*385</x:f>
        <x:v>759990</x:v>
      </x:c>
      <x:c r="L19" s="14">
        <x:f>J19*3.6*385</x:f>
        <x:v>706859.99999999988</x:v>
      </x:c>
      <x:c r="M19" s="11" t="s">
        <x:v>125</x:v>
      </x:c>
    </x:row>
    <x:row r="20" spans="1:13" s="11" customFormat="1">
      <x:c r="A20" s="16">
        <x:v>46041</x:v>
      </x:c>
      <x:c r="B20" s="22" t="s">
        <x:v>6</x:v>
      </x:c>
      <x:c r="C20" s="22" t="s">
        <x:v>7</x:v>
      </x:c>
      <x:c r="D20" s="22" t="s">
        <x:v>5</x:v>
      </x:c>
      <x:c r="E20" s="22" t="s">
        <x:v>8</x:v>
      </x:c>
      <x:c r="F20" s="83">
        <x:v>3000</x:v>
      </x:c>
      <x:c r="G20" s="23">
        <x:v>0.56000000000000005</x:v>
      </x:c>
      <x:c r="H20" s="23">
        <x:v>0.39</x:v>
      </x:c>
      <x:c r="I20" s="17">
        <x:f>F20*G20</x:f>
        <x:v>1680.0000000000002</x:v>
      </x:c>
      <x:c r="J20" s="17">
        <x:f>F20*H20</x:f>
        <x:v>1170</x:v>
      </x:c>
      <x:c r="K20" s="14">
        <x:f t="shared" ref="K20:K26" si="18">I20*4.2*385</x:f>
        <x:v>2716560.0000000005</x:v>
      </x:c>
      <x:c r="L20" s="14">
        <x:f t="shared" ref="L20:L26" si="19">J20*3.6*385</x:f>
        <x:v>1621620</x:v>
      </x:c>
      <x:c r="M20" s="15"/>
    </x:row>
    <x:row r="21" spans="1:13" s="11" customFormat="1">
      <x:c r="A21" s="16">
        <x:v>46041</x:v>
      </x:c>
      <x:c r="B21" s="22" t="s">
        <x:v>6</x:v>
      </x:c>
      <x:c r="C21" s="22" t="s">
        <x:v>9</x:v>
      </x:c>
      <x:c r="D21" s="22" t="s">
        <x:v>5</x:v>
      </x:c>
      <x:c r="E21" s="22" t="s">
        <x:v>10</x:v>
      </x:c>
      <x:c r="F21" s="83">
        <x:v>600</x:v>
      </x:c>
      <x:c r="G21" s="23">
        <x:v>3.74</x:v>
      </x:c>
      <x:c r="H21" s="23">
        <x:v>3.41</x:v>
      </x:c>
      <x:c r="I21" s="17">
        <x:f>F21*G21</x:f>
        <x:v>2244</x:v>
      </x:c>
      <x:c r="J21" s="17">
        <x:f>F21*H21</x:f>
        <x:v>2046</x:v>
      </x:c>
      <x:c r="K21" s="14">
        <x:f t="shared" si="18"/>
        <x:v>3628548.0000000005</x:v>
      </x:c>
      <x:c r="L21" s="14">
        <x:f t="shared" si="19"/>
        <x:v>2835756</x:v>
      </x:c>
      <x:c r="M21" s="11" t="s">
        <x:v>135</x:v>
      </x:c>
    </x:row>
    <x:row r="22" spans="1:13" s="11" customFormat="1">
      <x:c r="A22" s="16">
        <x:v>46041</x:v>
      </x:c>
      <x:c r="B22" s="22" t="s">
        <x:v>6</x:v>
      </x:c>
      <x:c r="C22" s="22" t="s">
        <x:v>79</x:v>
      </x:c>
      <x:c r="D22" s="22" t="s">
        <x:v>5</x:v>
      </x:c>
      <x:c r="E22" s="22" t="s">
        <x:v>11</x:v>
      </x:c>
      <x:c r="F22" s="83">
        <x:v>1000</x:v>
      </x:c>
      <x:c r="G22" s="23">
        <x:v>7.71</x:v>
      </x:c>
      <x:c r="H22" s="23">
        <x:v>6.95</x:v>
      </x:c>
      <x:c r="I22" s="17">
        <x:f t="shared" ref="I22:I23" si="20">F22*G22</x:f>
        <x:v>7710</x:v>
      </x:c>
      <x:c r="J22" s="17">
        <x:f t="shared" ref="J22:J23" si="21">F22*H22</x:f>
        <x:v>6950</x:v>
      </x:c>
      <x:c r="K22" s="14">
        <x:f t="shared" si="18"/>
        <x:v>12467070</x:v>
      </x:c>
      <x:c r="L22" s="14">
        <x:f t="shared" si="19"/>
        <x:v>9632700</x:v>
      </x:c>
      <x:c r="M22" s="11" t="s">
        <x:v>135</x:v>
      </x:c>
    </x:row>
    <x:row r="23" spans="1:13" s="11" customFormat="1">
      <x:c r="A23" s="16">
        <x:v>46041</x:v>
      </x:c>
      <x:c r="B23" s="22" t="s">
        <x:v>6</x:v>
      </x:c>
      <x:c r="C23" s="22" t="s">
        <x:v>80</x:v>
      </x:c>
      <x:c r="D23" s="22" t="s">
        <x:v>5</x:v>
      </x:c>
      <x:c r="E23" s="22" t="s">
        <x:v>12</x:v>
      </x:c>
      <x:c r="F23" s="83">
        <x:v>1000</x:v>
      </x:c>
      <x:c r="G23" s="23">
        <x:v>5.31</x:v>
      </x:c>
      <x:c r="H23" s="23">
        <x:v>4.79</x:v>
      </x:c>
      <x:c r="I23" s="17">
        <x:f t="shared" si="20"/>
        <x:v>5310</x:v>
      </x:c>
      <x:c r="J23" s="17">
        <x:f t="shared" si="21"/>
        <x:v>4790</x:v>
      </x:c>
      <x:c r="K23" s="14">
        <x:f t="shared" si="18"/>
        <x:v>8586270</x:v>
      </x:c>
      <x:c r="L23" s="14">
        <x:f t="shared" si="19"/>
        <x:v>6638940</x:v>
      </x:c>
      <x:c r="M23" s="11" t="s">
        <x:v>135</x:v>
      </x:c>
    </x:row>
    <x:row r="24" spans="1:13" s="11" customFormat="1">
      <x:c r="A24" s="16">
        <x:v>46041</x:v>
      </x:c>
      <x:c r="B24" s="22" t="s">
        <x:v>6</x:v>
      </x:c>
      <x:c r="C24" s="22" t="s">
        <x:v>15</x:v>
      </x:c>
      <x:c r="D24" s="22" t="s">
        <x:v>5</x:v>
      </x:c>
      <x:c r="E24" s="22" t="s">
        <x:v>16</x:v>
      </x:c>
      <x:c r="F24" s="83">
        <x:v>720</x:v>
      </x:c>
      <x:c r="G24" s="23">
        <x:v>117.2</x:v>
      </x:c>
      <x:c r="H24" s="23">
        <x:v>157.04</x:v>
      </x:c>
      <x:c r="I24" s="13">
        <x:f>F24*G24</x:f>
        <x:v>84384</x:v>
      </x:c>
      <x:c r="J24" s="13">
        <x:f>F24*H24</x:f>
        <x:v>113068.79999999999</x:v>
      </x:c>
      <x:c r="K24" s="14">
        <x:f t="shared" si="18"/>
        <x:v>136448928</x:v>
      </x:c>
      <x:c r="L24" s="14">
        <x:f t="shared" si="19"/>
        <x:v>156713356.80000001</x:v>
      </x:c>
      <x:c r="M24" s="11" t="s">
        <x:v>135</x:v>
      </x:c>
    </x:row>
    <x:row r="25" spans="1:13" s="11" customFormat="1">
      <x:c r="A25" s="16">
        <x:v>46041</x:v>
      </x:c>
      <x:c r="B25" s="22" t="s">
        <x:v>6</x:v>
      </x:c>
      <x:c r="C25" s="22" t="s">
        <x:v>107</x:v>
      </x:c>
      <x:c r="D25" s="22" t="s">
        <x:v>5</x:v>
      </x:c>
      <x:c r="E25" s="22" t="s">
        <x:v>17</x:v>
      </x:c>
      <x:c r="F25" s="83">
        <x:v>960</x:v>
      </x:c>
      <x:c r="G25" s="23">
        <x:v>27.14</x:v>
      </x:c>
      <x:c r="H25" s="23">
        <x:v>24.12</x:v>
      </x:c>
      <x:c r="I25" s="13">
        <x:f>F25*G25</x:f>
        <x:v>26054.400000000001</x:v>
      </x:c>
      <x:c r="J25" s="13">
        <x:f>F25*H25</x:f>
        <x:v>23155.200000000001</x:v>
      </x:c>
      <x:c r="K25" s="14">
        <x:f t="shared" si="18"/>
        <x:v>42129964.800000004</x:v>
      </x:c>
      <x:c r="L25" s="14">
        <x:f t="shared" si="19"/>
        <x:v>32093107.199999999</x:v>
      </x:c>
      <x:c r="M25" s="11" t="s">
        <x:v>135</x:v>
      </x:c>
    </x:row>
    <x:row r="26" spans="1:13" s="11" customFormat="1">
      <x:c r="A26" s="16">
        <x:v>46041</x:v>
      </x:c>
      <x:c r="B26" s="22" t="s">
        <x:v>6</x:v>
      </x:c>
      <x:c r="C26" s="22" t="s">
        <x:v>81</x:v>
      </x:c>
      <x:c r="D26" s="22" t="s">
        <x:v>5</x:v>
      </x:c>
      <x:c r="E26" s="22" t="s">
        <x:v>18</x:v>
      </x:c>
      <x:c r="F26" s="83">
        <x:v>960</x:v>
      </x:c>
      <x:c r="G26" s="23">
        <x:v>156.75</x:v>
      </x:c>
      <x:c r="H26" s="23">
        <x:v>141.68</x:v>
      </x:c>
      <x:c r="I26" s="13">
        <x:f t="shared" ref="I26" si="22">F26*G26</x:f>
        <x:v>150480</x:v>
      </x:c>
      <x:c r="J26" s="13">
        <x:f t="shared" ref="J26" si="23">F26*H26</x:f>
        <x:v>136012.80000000002</x:v>
      </x:c>
      <x:c r="K26" s="14">
        <x:f t="shared" si="18"/>
        <x:v>243326160</x:v>
      </x:c>
      <x:c r="L26" s="14">
        <x:f t="shared" si="19"/>
        <x:v>188513740.80000004</x:v>
      </x:c>
      <x:c r="M26" s="11" t="s">
        <x:v>135</x:v>
      </x:c>
    </x:row>
    <x:row r="27" spans="1:13" s="11" customFormat="1">
      <x:c r="A27" s="16">
        <x:v>46050</x:v>
      </x:c>
      <x:c r="B27" s="22" t="s">
        <x:v>6</x:v>
      </x:c>
      <x:c r="C27" s="22" t="s">
        <x:v>7</x:v>
      </x:c>
      <x:c r="D27" s="22" t="s">
        <x:v>5</x:v>
      </x:c>
      <x:c r="E27" s="22" t="s">
        <x:v>8</x:v>
      </x:c>
      <x:c r="F27" s="83">
        <x:v>3000</x:v>
      </x:c>
      <x:c r="G27" s="23">
        <x:v>0.56000000000000005</x:v>
      </x:c>
      <x:c r="H27" s="23">
        <x:v>0.39</x:v>
      </x:c>
      <x:c r="I27" s="17">
        <x:f>F27*G27</x:f>
        <x:v>1680.0000000000002</x:v>
      </x:c>
      <x:c r="J27" s="17">
        <x:f>F27*H27</x:f>
        <x:v>1170</x:v>
      </x:c>
      <x:c r="K27" s="14">
        <x:f t="shared" ref="K27:K31" si="24">I27*4.2*385</x:f>
        <x:v>2716560.0000000005</x:v>
      </x:c>
      <x:c r="L27" s="14">
        <x:f t="shared" ref="L27:L31" si="25">J27*3.6*385</x:f>
        <x:v>1621620</x:v>
      </x:c>
      <x:c r="M27" s="15"/>
    </x:row>
    <x:row r="28" spans="1:13" s="11" customFormat="1">
      <x:c r="A28" s="16">
        <x:v>46050</x:v>
      </x:c>
      <x:c r="B28" s="22" t="s">
        <x:v>6</x:v>
      </x:c>
      <x:c r="C28" s="22" t="s">
        <x:v>9</x:v>
      </x:c>
      <x:c r="D28" s="22" t="s">
        <x:v>5</x:v>
      </x:c>
      <x:c r="E28" s="22" t="s">
        <x:v>10</x:v>
      </x:c>
      <x:c r="F28" s="83">
        <x:v>600</x:v>
      </x:c>
      <x:c r="G28" s="23">
        <x:v>3.74</x:v>
      </x:c>
      <x:c r="H28" s="23">
        <x:v>3.41</x:v>
      </x:c>
      <x:c r="I28" s="17">
        <x:f>F28*G28</x:f>
        <x:v>2244</x:v>
      </x:c>
      <x:c r="J28" s="17">
        <x:f>F28*H28</x:f>
        <x:v>2046</x:v>
      </x:c>
      <x:c r="K28" s="14">
        <x:f t="shared" si="24"/>
        <x:v>3628548.0000000005</x:v>
      </x:c>
      <x:c r="L28" s="14">
        <x:f t="shared" si="25"/>
        <x:v>2835756</x:v>
      </x:c>
      <x:c r="M28" s="11" t="s">
        <x:v>135</x:v>
      </x:c>
    </x:row>
    <x:row r="29" spans="1:13" s="11" customFormat="1">
      <x:c r="A29" s="16">
        <x:v>46050</x:v>
      </x:c>
      <x:c r="B29" s="22" t="s">
        <x:v>6</x:v>
      </x:c>
      <x:c r="C29" s="22" t="s">
        <x:v>15</x:v>
      </x:c>
      <x:c r="D29" s="22" t="s">
        <x:v>5</x:v>
      </x:c>
      <x:c r="E29" s="22" t="s">
        <x:v>16</x:v>
      </x:c>
      <x:c r="F29" s="83">
        <x:v>840</x:v>
      </x:c>
      <x:c r="G29" s="23">
        <x:v>117.2</x:v>
      </x:c>
      <x:c r="H29" s="23">
        <x:v>157.04</x:v>
      </x:c>
      <x:c r="I29" s="13">
        <x:f>F29*G29</x:f>
        <x:v>98448</x:v>
      </x:c>
      <x:c r="J29" s="13">
        <x:f>F29*H29</x:f>
        <x:v>131913.60000000001</x:v>
      </x:c>
      <x:c r="K29" s="14">
        <x:f t="shared" si="24"/>
        <x:v>159190416</x:v>
      </x:c>
      <x:c r="L29" s="14">
        <x:f t="shared" si="25"/>
        <x:v>182832249.59999999</x:v>
      </x:c>
      <x:c r="M29" s="11" t="s">
        <x:v>135</x:v>
      </x:c>
    </x:row>
    <x:row r="30" spans="1:13" s="11" customFormat="1">
      <x:c r="A30" s="16">
        <x:v>46050</x:v>
      </x:c>
      <x:c r="B30" s="22" t="s">
        <x:v>6</x:v>
      </x:c>
      <x:c r="C30" s="22" t="s">
        <x:v>107</x:v>
      </x:c>
      <x:c r="D30" s="22" t="s">
        <x:v>5</x:v>
      </x:c>
      <x:c r="E30" s="22" t="s">
        <x:v>17</x:v>
      </x:c>
      <x:c r="F30" s="83">
        <x:v>960</x:v>
      </x:c>
      <x:c r="G30" s="23">
        <x:v>27.14</x:v>
      </x:c>
      <x:c r="H30" s="23">
        <x:v>24.12</x:v>
      </x:c>
      <x:c r="I30" s="13">
        <x:f>F30*G30</x:f>
        <x:v>26054.400000000001</x:v>
      </x:c>
      <x:c r="J30" s="13">
        <x:f>F30*H30</x:f>
        <x:v>23155.200000000001</x:v>
      </x:c>
      <x:c r="K30" s="14">
        <x:f t="shared" si="24"/>
        <x:v>42129964.800000004</x:v>
      </x:c>
      <x:c r="L30" s="14">
        <x:f t="shared" si="25"/>
        <x:v>32093107.199999999</x:v>
      </x:c>
      <x:c r="M30" s="11" t="s">
        <x:v>135</x:v>
      </x:c>
    </x:row>
    <x:row r="31" spans="1:13" s="11" customFormat="1">
      <x:c r="A31" s="16">
        <x:v>46050</x:v>
      </x:c>
      <x:c r="B31" s="22" t="s">
        <x:v>6</x:v>
      </x:c>
      <x:c r="C31" s="22" t="s">
        <x:v>81</x:v>
      </x:c>
      <x:c r="D31" s="22" t="s">
        <x:v>5</x:v>
      </x:c>
      <x:c r="E31" s="22" t="s">
        <x:v>18</x:v>
      </x:c>
      <x:c r="F31" s="83">
        <x:v>960</x:v>
      </x:c>
      <x:c r="G31" s="23">
        <x:v>156.75</x:v>
      </x:c>
      <x:c r="H31" s="23">
        <x:v>141.68</x:v>
      </x:c>
      <x:c r="I31" s="13">
        <x:f t="shared" ref="I31" si="26">F31*G31</x:f>
        <x:v>150480</x:v>
      </x:c>
      <x:c r="J31" s="13">
        <x:f t="shared" ref="J31" si="27">F31*H31</x:f>
        <x:v>136012.80000000002</x:v>
      </x:c>
      <x:c r="K31" s="14">
        <x:f t="shared" si="24"/>
        <x:v>243326160</x:v>
      </x:c>
      <x:c r="L31" s="14">
        <x:f t="shared" si="25"/>
        <x:v>188513740.80000004</x:v>
      </x:c>
      <x:c r="M31" s="11" t="s">
        <x:v>135</x:v>
      </x:c>
    </x:row>
    <x:row r="32" spans="1:13">
      <x:c r="A32" s="16">
        <x:v>46024</x:v>
      </x:c>
      <x:c r="B32" s="12" t="s">
        <x:v>93</x:v>
      </x:c>
      <x:c r="C32" s="12" t="s">
        <x:v>132</x:v>
      </x:c>
      <x:c r="D32" s="12" t="s">
        <x:v>5</x:v>
      </x:c>
      <x:c r="E32" s="12" t="s">
        <x:v>95</x:v>
      </x:c>
      <x:c r="F32" s="82">
        <x:v>2688</x:v>
      </x:c>
      <x:c r="G32" s="18">
        <x:v>7.59</x:v>
      </x:c>
      <x:c r="H32" s="18">
        <x:v>7.41</x:v>
      </x:c>
      <x:c r="I32" s="17">
        <x:f t="shared" si="8"/>
        <x:v>20401.919999999998</x:v>
      </x:c>
      <x:c r="J32" s="13">
        <x:f t="shared" si="9"/>
        <x:v>19918.080000000002</x:v>
      </x:c>
      <x:c r="K32" s="14">
        <x:f t="shared" si="2"/>
        <x:v>32989904.640000001</x:v>
      </x:c>
      <x:c r="L32" s="14">
        <x:f t="shared" si="3"/>
        <x:v>27606458.880000003</x:v>
      </x:c>
      <x:c r="M32" s="11" t="s">
        <x:v>134</x:v>
      </x:c>
    </x:row>
    <x:row r="33" spans="1:13">
      <x:c r="A33" s="16">
        <x:v>46024</x:v>
      </x:c>
      <x:c r="B33" s="12" t="s">
        <x:v>93</x:v>
      </x:c>
      <x:c r="C33" s="12" t="s">
        <x:v>133</x:v>
      </x:c>
      <x:c r="D33" s="12" t="s">
        <x:v>5</x:v>
      </x:c>
      <x:c r="E33" s="12" t="s">
        <x:v>94</x:v>
      </x:c>
      <x:c r="F33" s="82">
        <x:v>2688</x:v>
      </x:c>
      <x:c r="G33" s="18">
        <x:v>10.28</x:v>
      </x:c>
      <x:c r="H33" s="18">
        <x:v>10.029999999999999</x:v>
      </x:c>
      <x:c r="I33" s="17">
        <x:f t="shared" si="8"/>
        <x:v>27632.639999999999</x:v>
      </x:c>
      <x:c r="J33" s="13">
        <x:f t="shared" si="9"/>
        <x:v>26960.639999999999</x:v>
      </x:c>
      <x:c r="K33" s="14">
        <x:f t="shared" si="2"/>
        <x:v>44681978.880000003</x:v>
      </x:c>
      <x:c r="L33" s="14">
        <x:f t="shared" si="3"/>
        <x:v>37367447.039999999</x:v>
      </x:c>
      <x:c r="M33" s="11" t="s">
        <x:v>134</x:v>
      </x:c>
    </x:row>
    <x:row r="34" spans="1:13">
      <x:c r="A34" s="16">
        <x:v>46025</x:v>
      </x:c>
      <x:c r="B34" s="12" t="s">
        <x:v>93</x:v>
      </x:c>
      <x:c r="C34" s="12" t="s">
        <x:v>132</x:v>
      </x:c>
      <x:c r="D34" s="12" t="s">
        <x:v>5</x:v>
      </x:c>
      <x:c r="E34" s="12" t="s">
        <x:v>95</x:v>
      </x:c>
      <x:c r="F34" s="82">
        <x:v>4224</x:v>
      </x:c>
      <x:c r="G34" s="18">
        <x:v>7.59</x:v>
      </x:c>
      <x:c r="H34" s="18">
        <x:v>7.41</x:v>
      </x:c>
      <x:c r="I34" s="17">
        <x:f t="shared" si="8"/>
        <x:v>32060.16</x:v>
      </x:c>
      <x:c r="J34" s="13">
        <x:f t="shared" si="9"/>
        <x:v>31299.84</x:v>
      </x:c>
      <x:c r="K34" s="14">
        <x:f t="shared" si="2"/>
        <x:v>51841278.719999999</x:v>
      </x:c>
      <x:c r="L34" s="14">
        <x:f t="shared" si="3"/>
        <x:v>43381578.240000002</x:v>
      </x:c>
      <x:c r="M34" s="11" t="s">
        <x:v>134</x:v>
      </x:c>
    </x:row>
    <x:row r="35" spans="1:13">
      <x:c r="A35" s="16">
        <x:v>46025</x:v>
      </x:c>
      <x:c r="B35" s="12" t="s">
        <x:v>93</x:v>
      </x:c>
      <x:c r="C35" s="12" t="s">
        <x:v>133</x:v>
      </x:c>
      <x:c r="D35" s="12" t="s">
        <x:v>5</x:v>
      </x:c>
      <x:c r="E35" s="12" t="s">
        <x:v>94</x:v>
      </x:c>
      <x:c r="F35" s="82">
        <x:v>4480</x:v>
      </x:c>
      <x:c r="G35" s="18">
        <x:v>10.28</x:v>
      </x:c>
      <x:c r="H35" s="18">
        <x:v>10.029999999999999</x:v>
      </x:c>
      <x:c r="I35" s="17">
        <x:f t="shared" si="8"/>
        <x:v>46054.399999999994</x:v>
      </x:c>
      <x:c r="J35" s="13">
        <x:f t="shared" si="9"/>
        <x:v>44934.399999999994</x:v>
      </x:c>
      <x:c r="K35" s="14">
        <x:f t="shared" si="2"/>
        <x:v>74469964.799999997</x:v>
      </x:c>
      <x:c r="L35" s="14">
        <x:f t="shared" si="3"/>
        <x:v>62279078.399999999</x:v>
      </x:c>
      <x:c r="M35" s="11" t="s">
        <x:v>134</x:v>
      </x:c>
    </x:row>
    <x:row r="36" spans="1:13">
      <x:c r="A36" s="16">
        <x:v>46028</x:v>
      </x:c>
      <x:c r="B36" s="12" t="s">
        <x:v>93</x:v>
      </x:c>
      <x:c r="C36" s="12" t="s">
        <x:v>132</x:v>
      </x:c>
      <x:c r="D36" s="12" t="s">
        <x:v>5</x:v>
      </x:c>
      <x:c r="E36" s="12" t="s">
        <x:v>95</x:v>
      </x:c>
      <x:c r="F36" s="82">
        <x:v>2688</x:v>
      </x:c>
      <x:c r="G36" s="18">
        <x:v>7.59</x:v>
      </x:c>
      <x:c r="H36" s="18">
        <x:v>7.41</x:v>
      </x:c>
      <x:c r="I36" s="17">
        <x:f t="shared" si="8"/>
        <x:v>20401.919999999998</x:v>
      </x:c>
      <x:c r="J36" s="13">
        <x:f t="shared" si="9"/>
        <x:v>19918.080000000002</x:v>
      </x:c>
      <x:c r="K36" s="14">
        <x:f t="shared" si="2"/>
        <x:v>32989904.640000001</x:v>
      </x:c>
      <x:c r="L36" s="14">
        <x:f t="shared" si="3"/>
        <x:v>27606458.880000003</x:v>
      </x:c>
      <x:c r="M36" s="11" t="s">
        <x:v>134</x:v>
      </x:c>
    </x:row>
    <x:row r="37" spans="1:13">
      <x:c r="A37" s="16">
        <x:v>46028</x:v>
      </x:c>
      <x:c r="B37" s="12" t="s">
        <x:v>93</x:v>
      </x:c>
      <x:c r="C37" s="12" t="s">
        <x:v>133</x:v>
      </x:c>
      <x:c r="D37" s="12" t="s">
        <x:v>5</x:v>
      </x:c>
      <x:c r="E37" s="12" t="s">
        <x:v>94</x:v>
      </x:c>
      <x:c r="F37" s="82">
        <x:v>2688</x:v>
      </x:c>
      <x:c r="G37" s="18">
        <x:v>10.28</x:v>
      </x:c>
      <x:c r="H37" s="18">
        <x:v>10.029999999999999</x:v>
      </x:c>
      <x:c r="I37" s="17">
        <x:f t="shared" si="8"/>
        <x:v>27632.639999999999</x:v>
      </x:c>
      <x:c r="J37" s="13">
        <x:f t="shared" si="9"/>
        <x:v>26960.639999999999</x:v>
      </x:c>
      <x:c r="K37" s="14">
        <x:f t="shared" si="2"/>
        <x:v>44681978.880000003</x:v>
      </x:c>
      <x:c r="L37" s="14">
        <x:f t="shared" si="3"/>
        <x:v>37367447.039999999</x:v>
      </x:c>
      <x:c r="M37" s="11" t="s">
        <x:v>134</x:v>
      </x:c>
    </x:row>
    <x:row r="38" spans="1:13">
      <x:c r="A38" s="16">
        <x:v>46029</x:v>
      </x:c>
      <x:c r="B38" s="12" t="s">
        <x:v>93</x:v>
      </x:c>
      <x:c r="C38" s="12" t="s">
        <x:v>132</x:v>
      </x:c>
      <x:c r="D38" s="12" t="s">
        <x:v>5</x:v>
      </x:c>
      <x:c r="E38" s="12" t="s">
        <x:v>95</x:v>
      </x:c>
      <x:c r="F38" s="82">
        <x:v>2688</x:v>
      </x:c>
      <x:c r="G38" s="18">
        <x:v>7.59</x:v>
      </x:c>
      <x:c r="H38" s="18">
        <x:v>7.41</x:v>
      </x:c>
      <x:c r="I38" s="17">
        <x:f t="shared" si="8"/>
        <x:v>20401.919999999998</x:v>
      </x:c>
      <x:c r="J38" s="13">
        <x:f t="shared" si="9"/>
        <x:v>19918.080000000002</x:v>
      </x:c>
      <x:c r="K38" s="14">
        <x:f t="shared" si="2"/>
        <x:v>32989904.640000001</x:v>
      </x:c>
      <x:c r="L38" s="14">
        <x:f t="shared" si="3"/>
        <x:v>27606458.880000003</x:v>
      </x:c>
      <x:c r="M38" s="11" t="s">
        <x:v>134</x:v>
      </x:c>
    </x:row>
    <x:row r="39" spans="1:13">
      <x:c r="A39" s="16">
        <x:v>46029</x:v>
      </x:c>
      <x:c r="B39" s="12" t="s">
        <x:v>93</x:v>
      </x:c>
      <x:c r="C39" s="12" t="s">
        <x:v>133</x:v>
      </x:c>
      <x:c r="D39" s="12" t="s">
        <x:v>5</x:v>
      </x:c>
      <x:c r="E39" s="12" t="s">
        <x:v>94</x:v>
      </x:c>
      <x:c r="F39" s="82">
        <x:v>2688</x:v>
      </x:c>
      <x:c r="G39" s="18">
        <x:v>10.28</x:v>
      </x:c>
      <x:c r="H39" s="18">
        <x:v>10.029999999999999</x:v>
      </x:c>
      <x:c r="I39" s="17">
        <x:f t="shared" si="8"/>
        <x:v>27632.639999999999</x:v>
      </x:c>
      <x:c r="J39" s="13">
        <x:f t="shared" si="9"/>
        <x:v>26960.639999999999</x:v>
      </x:c>
      <x:c r="K39" s="14">
        <x:f t="shared" si="2"/>
        <x:v>44681978.880000003</x:v>
      </x:c>
      <x:c r="L39" s="14">
        <x:f t="shared" si="3"/>
        <x:v>37367447.039999999</x:v>
      </x:c>
      <x:c r="M39" s="11" t="s">
        <x:v>134</x:v>
      </x:c>
    </x:row>
    <x:row r="40" spans="1:13">
      <x:c r="A40" s="16">
        <x:v>46030</x:v>
      </x:c>
      <x:c r="B40" s="12" t="s">
        <x:v>93</x:v>
      </x:c>
      <x:c r="C40" s="12" t="s">
        <x:v>132</x:v>
      </x:c>
      <x:c r="D40" s="12" t="s">
        <x:v>5</x:v>
      </x:c>
      <x:c r="E40" s="12" t="s">
        <x:v>95</x:v>
      </x:c>
      <x:c r="F40" s="82">
        <x:v>4608</x:v>
      </x:c>
      <x:c r="G40" s="18">
        <x:v>7.59</x:v>
      </x:c>
      <x:c r="H40" s="18">
        <x:v>7.41</x:v>
      </x:c>
      <x:c r="I40" s="17">
        <x:f t="shared" ref="I40:I45" si="28">F40*G40</x:f>
        <x:v>34974.720000000001</x:v>
      </x:c>
      <x:c r="J40" s="13">
        <x:f t="shared" ref="J40:J45" si="29">F40*H40</x:f>
        <x:v>34145.279999999999</x:v>
      </x:c>
      <x:c r="K40" s="14">
        <x:f t="shared" ref="K40:K45" si="30">I40*4.2*385</x:f>
        <x:v>56554122.24000001</x:v>
      </x:c>
      <x:c r="L40" s="14">
        <x:f t="shared" ref="L40:L45" si="31">J40*3.6*385</x:f>
        <x:v>47325358.079999998</x:v>
      </x:c>
      <x:c r="M40" s="11" t="s">
        <x:v>134</x:v>
      </x:c>
    </x:row>
    <x:row r="41" spans="1:13">
      <x:c r="A41" s="16">
        <x:v>46030</x:v>
      </x:c>
      <x:c r="B41" s="12" t="s">
        <x:v>93</x:v>
      </x:c>
      <x:c r="C41" s="12" t="s">
        <x:v>133</x:v>
      </x:c>
      <x:c r="D41" s="12" t="s">
        <x:v>5</x:v>
      </x:c>
      <x:c r="E41" s="12" t="s">
        <x:v>94</x:v>
      </x:c>
      <x:c r="F41" s="82">
        <x:v>4480</x:v>
      </x:c>
      <x:c r="G41" s="18">
        <x:v>10.28</x:v>
      </x:c>
      <x:c r="H41" s="18">
        <x:v>10.029999999999999</x:v>
      </x:c>
      <x:c r="I41" s="17">
        <x:f t="shared" si="28"/>
        <x:v>46054.399999999994</x:v>
      </x:c>
      <x:c r="J41" s="13">
        <x:f t="shared" si="29"/>
        <x:v>44934.399999999994</x:v>
      </x:c>
      <x:c r="K41" s="14">
        <x:f t="shared" si="30"/>
        <x:v>74469964.799999997</x:v>
      </x:c>
      <x:c r="L41" s="14">
        <x:f t="shared" si="31"/>
        <x:v>62279078.399999999</x:v>
      </x:c>
      <x:c r="M41" s="11" t="s">
        <x:v>134</x:v>
      </x:c>
    </x:row>
    <x:row r="42" spans="1:13">
      <x:c r="A42" s="16">
        <x:v>46034</x:v>
      </x:c>
      <x:c r="B42" s="12" t="s">
        <x:v>93</x:v>
      </x:c>
      <x:c r="C42" s="12" t="s">
        <x:v>132</x:v>
      </x:c>
      <x:c r="D42" s="12" t="s">
        <x:v>5</x:v>
      </x:c>
      <x:c r="E42" s="12" t="s">
        <x:v>95</x:v>
      </x:c>
      <x:c r="F42" s="82">
        <x:v>2688</x:v>
      </x:c>
      <x:c r="G42" s="18">
        <x:v>7.59</x:v>
      </x:c>
      <x:c r="H42" s="18">
        <x:v>7.41</x:v>
      </x:c>
      <x:c r="I42" s="17">
        <x:f t="shared" ref="I42:I43" si="32">F42*G42</x:f>
        <x:v>20401.919999999998</x:v>
      </x:c>
      <x:c r="J42" s="13">
        <x:f t="shared" ref="J42:J43" si="33">F42*H42</x:f>
        <x:v>19918.080000000002</x:v>
      </x:c>
      <x:c r="K42" s="14">
        <x:f t="shared" ref="K42:K43" si="34">I42*4.2*385</x:f>
        <x:v>32989904.640000001</x:v>
      </x:c>
      <x:c r="L42" s="14">
        <x:f t="shared" ref="L42:L43" si="35">J42*3.6*385</x:f>
        <x:v>27606458.880000003</x:v>
      </x:c>
      <x:c r="M42" s="11" t="s">
        <x:v>134</x:v>
      </x:c>
    </x:row>
    <x:row r="43" spans="1:13">
      <x:c r="A43" s="16">
        <x:v>46034</x:v>
      </x:c>
      <x:c r="B43" s="12" t="s">
        <x:v>93</x:v>
      </x:c>
      <x:c r="C43" s="12" t="s">
        <x:v>133</x:v>
      </x:c>
      <x:c r="D43" s="12" t="s">
        <x:v>5</x:v>
      </x:c>
      <x:c r="E43" s="12" t="s">
        <x:v>94</x:v>
      </x:c>
      <x:c r="F43" s="82">
        <x:v>2688</x:v>
      </x:c>
      <x:c r="G43" s="18">
        <x:v>10.28</x:v>
      </x:c>
      <x:c r="H43" s="18">
        <x:v>10.029999999999999</x:v>
      </x:c>
      <x:c r="I43" s="17">
        <x:f t="shared" si="32"/>
        <x:v>27632.639999999999</x:v>
      </x:c>
      <x:c r="J43" s="13">
        <x:f t="shared" si="33"/>
        <x:v>26960.639999999999</x:v>
      </x:c>
      <x:c r="K43" s="14">
        <x:f t="shared" si="34"/>
        <x:v>44681978.880000003</x:v>
      </x:c>
      <x:c r="L43" s="14">
        <x:f t="shared" si="35"/>
        <x:v>37367447.039999999</x:v>
      </x:c>
      <x:c r="M43" s="11" t="s">
        <x:v>134</x:v>
      </x:c>
    </x:row>
    <x:row r="44" spans="1:13">
      <x:c r="A44" s="16">
        <x:v>46035</x:v>
      </x:c>
      <x:c r="B44" s="12" t="s">
        <x:v>93</x:v>
      </x:c>
      <x:c r="C44" s="12" t="s">
        <x:v>132</x:v>
      </x:c>
      <x:c r="D44" s="12" t="s">
        <x:v>5</x:v>
      </x:c>
      <x:c r="E44" s="12" t="s">
        <x:v>95</x:v>
      </x:c>
      <x:c r="F44" s="82">
        <x:v>1920</x:v>
      </x:c>
      <x:c r="G44" s="18">
        <x:v>7.59</x:v>
      </x:c>
      <x:c r="H44" s="18">
        <x:v>7.41</x:v>
      </x:c>
      <x:c r="I44" s="17">
        <x:f t="shared" si="28"/>
        <x:v>14572.8</x:v>
      </x:c>
      <x:c r="J44" s="13">
        <x:f t="shared" si="29"/>
        <x:v>14227.2</x:v>
      </x:c>
      <x:c r="K44" s="14">
        <x:f t="shared" si="30"/>
        <x:v>23564217.600000001</x:v>
      </x:c>
      <x:c r="L44" s="14">
        <x:f t="shared" si="31"/>
        <x:v>19718899.200000003</x:v>
      </x:c>
      <x:c r="M44" s="11" t="s">
        <x:v>134</x:v>
      </x:c>
    </x:row>
    <x:row r="45" spans="1:13">
      <x:c r="A45" s="16">
        <x:v>46035</x:v>
      </x:c>
      <x:c r="B45" s="12" t="s">
        <x:v>93</x:v>
      </x:c>
      <x:c r="C45" s="12" t="s">
        <x:v>133</x:v>
      </x:c>
      <x:c r="D45" s="12" t="s">
        <x:v>5</x:v>
      </x:c>
      <x:c r="E45" s="12" t="s">
        <x:v>94</x:v>
      </x:c>
      <x:c r="F45" s="82">
        <x:v>6272</x:v>
      </x:c>
      <x:c r="G45" s="18">
        <x:v>10.28</x:v>
      </x:c>
      <x:c r="H45" s="18">
        <x:v>10.029999999999999</x:v>
      </x:c>
      <x:c r="I45" s="17">
        <x:f t="shared" si="28"/>
        <x:v>64476.159999999996</x:v>
      </x:c>
      <x:c r="J45" s="13">
        <x:f t="shared" si="29"/>
        <x:v>62908.159999999996</x:v>
      </x:c>
      <x:c r="K45" s="14">
        <x:f t="shared" si="30"/>
        <x:v>104257950.71999998</x:v>
      </x:c>
      <x:c r="L45" s="14">
        <x:f t="shared" si="31"/>
        <x:v>87190709.75999999</x:v>
      </x:c>
      <x:c r="M45" s="11" t="s">
        <x:v>134</x:v>
      </x:c>
    </x:row>
    <x:row r="46" spans="1:13">
      <x:c r="A46" s="16">
        <x:v>46036</x:v>
      </x:c>
      <x:c r="B46" s="12" t="s">
        <x:v>93</x:v>
      </x:c>
      <x:c r="C46" s="12" t="s">
        <x:v>132</x:v>
      </x:c>
      <x:c r="D46" s="12" t="s">
        <x:v>5</x:v>
      </x:c>
      <x:c r="E46" s="12" t="s">
        <x:v>95</x:v>
      </x:c>
      <x:c r="F46" s="82">
        <x:v>3072</x:v>
      </x:c>
      <x:c r="G46" s="18">
        <x:v>7.59</x:v>
      </x:c>
      <x:c r="H46" s="18">
        <x:v>7.41</x:v>
      </x:c>
      <x:c r="I46" s="17">
        <x:f t="shared" ref="I46:I47" si="36">F46*G46</x:f>
        <x:v>23316.48</x:v>
      </x:c>
      <x:c r="J46" s="13">
        <x:f t="shared" ref="J46:J47" si="37">F46*H46</x:f>
        <x:v>22763.52</x:v>
      </x:c>
      <x:c r="K46" s="14">
        <x:f t="shared" ref="K46:K47" si="38">I46*4.2*385</x:f>
        <x:v>37702748.159999996</x:v>
      </x:c>
      <x:c r="L46" s="14">
        <x:f t="shared" ref="L46:L47" si="39">J46*3.6*385</x:f>
        <x:v>31550238.720000003</x:v>
      </x:c>
      <x:c r="M46" s="11" t="s">
        <x:v>134</x:v>
      </x:c>
    </x:row>
    <x:row r="47" spans="1:13">
      <x:c r="A47" s="16">
        <x:v>46036</x:v>
      </x:c>
      <x:c r="B47" s="12" t="s">
        <x:v>93</x:v>
      </x:c>
      <x:c r="C47" s="12" t="s">
        <x:v>133</x:v>
      </x:c>
      <x:c r="D47" s="12" t="s">
        <x:v>5</x:v>
      </x:c>
      <x:c r="E47" s="12" t="s">
        <x:v>94</x:v>
      </x:c>
      <x:c r="F47" s="82">
        <x:v>3136</x:v>
      </x:c>
      <x:c r="G47" s="18">
        <x:v>10.28</x:v>
      </x:c>
      <x:c r="H47" s="18">
        <x:v>10.029999999999999</x:v>
      </x:c>
      <x:c r="I47" s="17">
        <x:f t="shared" si="36"/>
        <x:v>32238.079999999998</x:v>
      </x:c>
      <x:c r="J47" s="13">
        <x:f t="shared" si="37"/>
        <x:v>31454.079999999998</x:v>
      </x:c>
      <x:c r="K47" s="14">
        <x:f t="shared" si="38"/>
        <x:v>52128975.359999992</x:v>
      </x:c>
      <x:c r="L47" s="14">
        <x:f t="shared" si="39"/>
        <x:v>43595354.879999995</x:v>
      </x:c>
      <x:c r="M47" s="11" t="s">
        <x:v>134</x:v>
      </x:c>
    </x:row>
    <x:row r="48" spans="1:13">
      <x:c r="A48" s="16">
        <x:v>46037</x:v>
      </x:c>
      <x:c r="B48" s="12" t="s">
        <x:v>93</x:v>
      </x:c>
      <x:c r="C48" s="12" t="s">
        <x:v>132</x:v>
      </x:c>
      <x:c r="D48" s="12" t="s">
        <x:v>5</x:v>
      </x:c>
      <x:c r="E48" s="12" t="s">
        <x:v>95</x:v>
      </x:c>
      <x:c r="F48" s="82">
        <x:v>3456</x:v>
      </x:c>
      <x:c r="G48" s="18">
        <x:v>7.59</x:v>
      </x:c>
      <x:c r="H48" s="18">
        <x:v>7.41</x:v>
      </x:c>
      <x:c r="I48" s="17">
        <x:f t="shared" ref="I48:I49" si="40">F48*G48</x:f>
        <x:v>26231.040000000001</x:v>
      </x:c>
      <x:c r="J48" s="13">
        <x:f t="shared" ref="J48:J49" si="41">F48*H48</x:f>
        <x:v>25608.959999999999</x:v>
      </x:c>
      <x:c r="K48" s="14">
        <x:f t="shared" ref="K48:K49" si="42">I48*4.2*385</x:f>
        <x:v>42415591.68</x:v>
      </x:c>
      <x:c r="L48" s="14">
        <x:f t="shared" ref="L48:L49" si="43">J48*3.6*385</x:f>
        <x:v>35494018.559999995</x:v>
      </x:c>
      <x:c r="M48" s="11" t="s">
        <x:v>134</x:v>
      </x:c>
    </x:row>
    <x:row r="49" spans="1:13">
      <x:c r="A49" s="16">
        <x:v>46037</x:v>
      </x:c>
      <x:c r="B49" s="12" t="s">
        <x:v>93</x:v>
      </x:c>
      <x:c r="C49" s="12" t="s">
        <x:v>133</x:v>
      </x:c>
      <x:c r="D49" s="12" t="s">
        <x:v>5</x:v>
      </x:c>
      <x:c r="E49" s="12" t="s">
        <x:v>94</x:v>
      </x:c>
      <x:c r="F49" s="82">
        <x:v>3584</x:v>
      </x:c>
      <x:c r="G49" s="18">
        <x:v>10.28</x:v>
      </x:c>
      <x:c r="H49" s="18">
        <x:v>10.029999999999999</x:v>
      </x:c>
      <x:c r="I49" s="17">
        <x:f t="shared" si="40"/>
        <x:v>36843.519999999997</x:v>
      </x:c>
      <x:c r="J49" s="13">
        <x:f t="shared" si="41"/>
        <x:v>35947.519999999997</x:v>
      </x:c>
      <x:c r="K49" s="14">
        <x:f t="shared" si="42"/>
        <x:v>59575971.839999996</x:v>
      </x:c>
      <x:c r="L49" s="14">
        <x:f t="shared" si="43"/>
        <x:v>49823262.719999991</x:v>
      </x:c>
      <x:c r="M49" s="11" t="s">
        <x:v>134</x:v>
      </x:c>
    </x:row>
    <x:row r="50" spans="1:13">
      <x:c r="A50" s="16">
        <x:v>46039</x:v>
      </x:c>
      <x:c r="B50" s="12" t="s">
        <x:v>93</x:v>
      </x:c>
      <x:c r="C50" s="12" t="s">
        <x:v>132</x:v>
      </x:c>
      <x:c r="D50" s="12" t="s">
        <x:v>5</x:v>
      </x:c>
      <x:c r="E50" s="12" t="s">
        <x:v>95</x:v>
      </x:c>
      <x:c r="F50" s="82">
        <x:v>2688</x:v>
      </x:c>
      <x:c r="G50" s="18">
        <x:v>7.59</x:v>
      </x:c>
      <x:c r="H50" s="18">
        <x:v>7.41</x:v>
      </x:c>
      <x:c r="I50" s="17">
        <x:f t="shared" ref="I50:I51" si="44">F50*G50</x:f>
        <x:v>20401.919999999998</x:v>
      </x:c>
      <x:c r="J50" s="13">
        <x:f t="shared" ref="J50:J51" si="45">F50*H50</x:f>
        <x:v>19918.080000000002</x:v>
      </x:c>
      <x:c r="K50" s="14">
        <x:f t="shared" ref="K50:K51" si="46">I50*4.2*385</x:f>
        <x:v>32989904.640000001</x:v>
      </x:c>
      <x:c r="L50" s="14">
        <x:f t="shared" ref="L50:L51" si="47">J50*3.6*385</x:f>
        <x:v>27606458.880000003</x:v>
      </x:c>
      <x:c r="M50" s="11" t="s">
        <x:v>134</x:v>
      </x:c>
    </x:row>
    <x:row r="51" spans="1:13">
      <x:c r="A51" s="16">
        <x:v>46039</x:v>
      </x:c>
      <x:c r="B51" s="12" t="s">
        <x:v>93</x:v>
      </x:c>
      <x:c r="C51" s="12" t="s">
        <x:v>133</x:v>
      </x:c>
      <x:c r="D51" s="12" t="s">
        <x:v>5</x:v>
      </x:c>
      <x:c r="E51" s="12" t="s">
        <x:v>94</x:v>
      </x:c>
      <x:c r="F51" s="82">
        <x:v>2240</x:v>
      </x:c>
      <x:c r="G51" s="18">
        <x:v>10.28</x:v>
      </x:c>
      <x:c r="H51" s="18">
        <x:v>10.029999999999999</x:v>
      </x:c>
      <x:c r="I51" s="17">
        <x:f t="shared" si="44"/>
        <x:v>23027.199999999997</x:v>
      </x:c>
      <x:c r="J51" s="13">
        <x:f t="shared" si="45"/>
        <x:v>22467.199999999997</x:v>
      </x:c>
      <x:c r="K51" s="14">
        <x:f t="shared" si="46"/>
        <x:v>37234982.399999999</x:v>
      </x:c>
      <x:c r="L51" s="14">
        <x:f t="shared" si="47"/>
        <x:v>31139539.199999999</x:v>
      </x:c>
      <x:c r="M51" s="11" t="s">
        <x:v>134</x:v>
      </x:c>
    </x:row>
    <x:row r="52" spans="1:13">
      <x:c r="A52" s="16">
        <x:v>46043</x:v>
      </x:c>
      <x:c r="B52" s="12" t="s">
        <x:v>93</x:v>
      </x:c>
      <x:c r="C52" s="12" t="s">
        <x:v>132</x:v>
      </x:c>
      <x:c r="D52" s="12" t="s">
        <x:v>5</x:v>
      </x:c>
      <x:c r="E52" s="12" t="s">
        <x:v>95</x:v>
      </x:c>
      <x:c r="F52" s="82">
        <x:v>3456</x:v>
      </x:c>
      <x:c r="G52" s="18">
        <x:v>7.59</x:v>
      </x:c>
      <x:c r="H52" s="18">
        <x:v>7.41</x:v>
      </x:c>
      <x:c r="I52" s="17">
        <x:f t="shared" ref="I52:I55" si="48">F52*G52</x:f>
        <x:v>26231.040000000001</x:v>
      </x:c>
      <x:c r="J52" s="13">
        <x:f t="shared" ref="J52:J55" si="49">F52*H52</x:f>
        <x:v>25608.959999999999</x:v>
      </x:c>
      <x:c r="K52" s="14">
        <x:f t="shared" ref="K52:K55" si="50">I52*4.2*385</x:f>
        <x:v>42415591.68</x:v>
      </x:c>
      <x:c r="L52" s="14">
        <x:f t="shared" ref="L52:L55" si="51">J52*3.6*385</x:f>
        <x:v>35494018.559999995</x:v>
      </x:c>
      <x:c r="M52" s="11" t="s">
        <x:v>134</x:v>
      </x:c>
    </x:row>
    <x:row r="53" spans="1:13">
      <x:c r="A53" s="16">
        <x:v>46043</x:v>
      </x:c>
      <x:c r="B53" s="12" t="s">
        <x:v>93</x:v>
      </x:c>
      <x:c r="C53" s="12" t="s">
        <x:v>133</x:v>
      </x:c>
      <x:c r="D53" s="12" t="s">
        <x:v>5</x:v>
      </x:c>
      <x:c r="E53" s="12" t="s">
        <x:v>94</x:v>
      </x:c>
      <x:c r="F53" s="82">
        <x:v>3584</x:v>
      </x:c>
      <x:c r="G53" s="18">
        <x:v>10.28</x:v>
      </x:c>
      <x:c r="H53" s="18">
        <x:v>10.029999999999999</x:v>
      </x:c>
      <x:c r="I53" s="17">
        <x:f t="shared" si="48"/>
        <x:v>36843.519999999997</x:v>
      </x:c>
      <x:c r="J53" s="13">
        <x:f t="shared" si="49"/>
        <x:v>35947.519999999997</x:v>
      </x:c>
      <x:c r="K53" s="14">
        <x:f t="shared" si="50"/>
        <x:v>59575971.839999996</x:v>
      </x:c>
      <x:c r="L53" s="14">
        <x:f t="shared" si="51"/>
        <x:v>49823262.719999991</x:v>
      </x:c>
      <x:c r="M53" s="11" t="s">
        <x:v>134</x:v>
      </x:c>
    </x:row>
    <x:row r="54" spans="1:13">
      <x:c r="A54" s="16">
        <x:v>46044</x:v>
      </x:c>
      <x:c r="B54" s="12" t="s">
        <x:v>93</x:v>
      </x:c>
      <x:c r="C54" s="12" t="s">
        <x:v>132</x:v>
      </x:c>
      <x:c r="D54" s="12" t="s">
        <x:v>5</x:v>
      </x:c>
      <x:c r="E54" s="12" t="s">
        <x:v>95</x:v>
      </x:c>
      <x:c r="F54" s="82">
        <x:v>3072</x:v>
      </x:c>
      <x:c r="G54" s="18">
        <x:v>7.59</x:v>
      </x:c>
      <x:c r="H54" s="18">
        <x:v>7.41</x:v>
      </x:c>
      <x:c r="I54" s="17">
        <x:f t="shared" si="48"/>
        <x:v>23316.48</x:v>
      </x:c>
      <x:c r="J54" s="13">
        <x:f t="shared" si="49"/>
        <x:v>22763.52</x:v>
      </x:c>
      <x:c r="K54" s="14">
        <x:f t="shared" si="50"/>
        <x:v>37702748.159999996</x:v>
      </x:c>
      <x:c r="L54" s="14">
        <x:f t="shared" si="51"/>
        <x:v>31550238.720000003</x:v>
      </x:c>
      <x:c r="M54" s="11" t="s">
        <x:v>134</x:v>
      </x:c>
    </x:row>
    <x:row r="55" spans="1:13">
      <x:c r="A55" s="16">
        <x:v>46044</x:v>
      </x:c>
      <x:c r="B55" s="12" t="s">
        <x:v>93</x:v>
      </x:c>
      <x:c r="C55" s="12" t="s">
        <x:v>133</x:v>
      </x:c>
      <x:c r="D55" s="12" t="s">
        <x:v>5</x:v>
      </x:c>
      <x:c r="E55" s="12" t="s">
        <x:v>94</x:v>
      </x:c>
      <x:c r="F55" s="82">
        <x:v>2688</x:v>
      </x:c>
      <x:c r="G55" s="18">
        <x:v>10.28</x:v>
      </x:c>
      <x:c r="H55" s="18">
        <x:v>10.029999999999999</x:v>
      </x:c>
      <x:c r="I55" s="17">
        <x:f t="shared" si="48"/>
        <x:v>27632.639999999999</x:v>
      </x:c>
      <x:c r="J55" s="13">
        <x:f t="shared" si="49"/>
        <x:v>26960.639999999999</x:v>
      </x:c>
      <x:c r="K55" s="14">
        <x:f t="shared" si="50"/>
        <x:v>44681978.880000003</x:v>
      </x:c>
      <x:c r="L55" s="14">
        <x:f t="shared" si="51"/>
        <x:v>37367447.039999999</x:v>
      </x:c>
      <x:c r="M55" s="11" t="s">
        <x:v>134</x:v>
      </x:c>
    </x:row>
    <x:row r="56" spans="1:13">
      <x:c r="A56" s="16">
        <x:v>46045</x:v>
      </x:c>
      <x:c r="B56" s="12" t="s">
        <x:v>93</x:v>
      </x:c>
      <x:c r="C56" s="12" t="s">
        <x:v>132</x:v>
      </x:c>
      <x:c r="D56" s="12" t="s">
        <x:v>5</x:v>
      </x:c>
      <x:c r="E56" s="12" t="s">
        <x:v>95</x:v>
      </x:c>
      <x:c r="F56" s="82">
        <x:v>2304</x:v>
      </x:c>
      <x:c r="G56" s="18">
        <x:v>7.59</x:v>
      </x:c>
      <x:c r="H56" s="18">
        <x:v>7.41</x:v>
      </x:c>
      <x:c r="I56" s="17">
        <x:f t="shared" ref="I56:I66" si="52">F56*G56</x:f>
        <x:v>17487.36</x:v>
      </x:c>
      <x:c r="J56" s="13">
        <x:f t="shared" ref="J56:J66" si="53">F56*H56</x:f>
        <x:v>17072.64</x:v>
      </x:c>
      <x:c r="K56" s="14">
        <x:f t="shared" ref="K56:K66" si="54">I56*4.2*385</x:f>
        <x:v>28277061.120000005</x:v>
      </x:c>
      <x:c r="L56" s="14">
        <x:f t="shared" ref="L56:L66" si="55">J56*3.6*385</x:f>
        <x:v>23662679.039999999</x:v>
      </x:c>
      <x:c r="M56" s="11" t="s">
        <x:v>134</x:v>
      </x:c>
    </x:row>
    <x:row r="57" spans="1:13">
      <x:c r="A57" s="16">
        <x:v>46045</x:v>
      </x:c>
      <x:c r="B57" s="12" t="s">
        <x:v>93</x:v>
      </x:c>
      <x:c r="C57" s="12" t="s">
        <x:v>133</x:v>
      </x:c>
      <x:c r="D57" s="12" t="s">
        <x:v>5</x:v>
      </x:c>
      <x:c r="E57" s="12" t="s">
        <x:v>94</x:v>
      </x:c>
      <x:c r="F57" s="82">
        <x:v>2240</x:v>
      </x:c>
      <x:c r="G57" s="18">
        <x:v>10.28</x:v>
      </x:c>
      <x:c r="H57" s="18">
        <x:v>10.029999999999999</x:v>
      </x:c>
      <x:c r="I57" s="17">
        <x:f t="shared" si="52"/>
        <x:v>23027.199999999997</x:v>
      </x:c>
      <x:c r="J57" s="13">
        <x:f t="shared" si="53"/>
        <x:v>22467.199999999997</x:v>
      </x:c>
      <x:c r="K57" s="14">
        <x:f t="shared" si="54"/>
        <x:v>37234982.399999999</x:v>
      </x:c>
      <x:c r="L57" s="14">
        <x:f t="shared" si="55"/>
        <x:v>31139539.199999999</x:v>
      </x:c>
      <x:c r="M57" s="11" t="s">
        <x:v>134</x:v>
      </x:c>
    </x:row>
    <x:row r="58" spans="1:13">
      <x:c r="A58" s="16">
        <x:v>46049</x:v>
      </x:c>
      <x:c r="B58" s="12" t="s">
        <x:v>93</x:v>
      </x:c>
      <x:c r="C58" s="12" t="s">
        <x:v>132</x:v>
      </x:c>
      <x:c r="D58" s="12" t="s">
        <x:v>5</x:v>
      </x:c>
      <x:c r="E58" s="12" t="s">
        <x:v>95</x:v>
      </x:c>
      <x:c r="F58" s="82">
        <x:v>3072</x:v>
      </x:c>
      <x:c r="G58" s="18">
        <x:v>7.59</x:v>
      </x:c>
      <x:c r="H58" s="18">
        <x:v>7.41</x:v>
      </x:c>
      <x:c r="I58" s="17">
        <x:f t="shared" si="52"/>
        <x:v>23316.48</x:v>
      </x:c>
      <x:c r="J58" s="13">
        <x:f t="shared" si="53"/>
        <x:v>22763.52</x:v>
      </x:c>
      <x:c r="K58" s="14">
        <x:f t="shared" si="54"/>
        <x:v>37702748.159999996</x:v>
      </x:c>
      <x:c r="L58" s="14">
        <x:f t="shared" si="55"/>
        <x:v>31550238.720000003</x:v>
      </x:c>
      <x:c r="M58" s="11" t="s">
        <x:v>134</x:v>
      </x:c>
    </x:row>
    <x:row r="59" spans="1:13">
      <x:c r="A59" s="16">
        <x:v>46049</x:v>
      </x:c>
      <x:c r="B59" s="12" t="s">
        <x:v>93</x:v>
      </x:c>
      <x:c r="C59" s="12" t="s">
        <x:v>133</x:v>
      </x:c>
      <x:c r="D59" s="12" t="s">
        <x:v>5</x:v>
      </x:c>
      <x:c r="E59" s="12" t="s">
        <x:v>94</x:v>
      </x:c>
      <x:c r="F59" s="82">
        <x:v>3136</x:v>
      </x:c>
      <x:c r="G59" s="18">
        <x:v>10.28</x:v>
      </x:c>
      <x:c r="H59" s="18">
        <x:v>10.029999999999999</x:v>
      </x:c>
      <x:c r="I59" s="17">
        <x:f t="shared" si="52"/>
        <x:v>32238.079999999998</x:v>
      </x:c>
      <x:c r="J59" s="13">
        <x:f t="shared" si="53"/>
        <x:v>31454.079999999998</x:v>
      </x:c>
      <x:c r="K59" s="14">
        <x:f t="shared" si="54"/>
        <x:v>52128975.359999992</x:v>
      </x:c>
      <x:c r="L59" s="14">
        <x:f t="shared" si="55"/>
        <x:v>43595354.879999995</x:v>
      </x:c>
      <x:c r="M59" s="11" t="s">
        <x:v>134</x:v>
      </x:c>
    </x:row>
    <x:row r="60" spans="1:13">
      <x:c r="A60" s="16">
        <x:v>46050</x:v>
      </x:c>
      <x:c r="B60" s="12" t="s">
        <x:v>93</x:v>
      </x:c>
      <x:c r="C60" s="12" t="s">
        <x:v>132</x:v>
      </x:c>
      <x:c r="D60" s="12" t="s">
        <x:v>5</x:v>
      </x:c>
      <x:c r="E60" s="12" t="s">
        <x:v>95</x:v>
      </x:c>
      <x:c r="F60" s="82">
        <x:v>1152</x:v>
      </x:c>
      <x:c r="G60" s="18">
        <x:v>7.59</x:v>
      </x:c>
      <x:c r="H60" s="18">
        <x:v>7.41</x:v>
      </x:c>
      <x:c r="I60" s="17">
        <x:f t="shared" si="52"/>
        <x:v>8743.68</x:v>
      </x:c>
      <x:c r="J60" s="13">
        <x:f t="shared" si="53"/>
        <x:v>8536.32</x:v>
      </x:c>
      <x:c r="K60" s="14">
        <x:f t="shared" si="54"/>
        <x:v>14138530.560000002</x:v>
      </x:c>
      <x:c r="L60" s="14">
        <x:f t="shared" si="55"/>
        <x:v>11831339.52</x:v>
      </x:c>
      <x:c r="M60" s="11" t="s">
        <x:v>134</x:v>
      </x:c>
    </x:row>
    <x:row r="61" spans="1:13">
      <x:c r="A61" s="16">
        <x:v>46050</x:v>
      </x:c>
      <x:c r="B61" s="12" t="s">
        <x:v>93</x:v>
      </x:c>
      <x:c r="C61" s="12" t="s">
        <x:v>133</x:v>
      </x:c>
      <x:c r="D61" s="12" t="s">
        <x:v>5</x:v>
      </x:c>
      <x:c r="E61" s="12" t="s">
        <x:v>94</x:v>
      </x:c>
      <x:c r="F61" s="82">
        <x:v>1344</x:v>
      </x:c>
      <x:c r="G61" s="18">
        <x:v>10.28</x:v>
      </x:c>
      <x:c r="H61" s="18">
        <x:v>10.029999999999999</x:v>
      </x:c>
      <x:c r="I61" s="17">
        <x:f t="shared" si="52"/>
        <x:v>13816.32</x:v>
      </x:c>
      <x:c r="J61" s="13">
        <x:f t="shared" si="53"/>
        <x:v>13480.32</x:v>
      </x:c>
      <x:c r="K61" s="14">
        <x:f t="shared" si="54"/>
        <x:v>22340989.440000001</x:v>
      </x:c>
      <x:c r="L61" s="14">
        <x:f t="shared" si="55"/>
        <x:v>18683723.52</x:v>
      </x:c>
      <x:c r="M61" s="11" t="s">
        <x:v>134</x:v>
      </x:c>
    </x:row>
    <x:row r="62" spans="1:13">
      <x:c r="A62" s="16">
        <x:v>46051</x:v>
      </x:c>
      <x:c r="B62" s="12" t="s">
        <x:v>93</x:v>
      </x:c>
      <x:c r="C62" s="12" t="s">
        <x:v>132</x:v>
      </x:c>
      <x:c r="D62" s="12" t="s">
        <x:v>5</x:v>
      </x:c>
      <x:c r="E62" s="12" t="s">
        <x:v>95</x:v>
      </x:c>
      <x:c r="F62" s="82">
        <x:v>3456</x:v>
      </x:c>
      <x:c r="G62" s="18">
        <x:v>7.59</x:v>
      </x:c>
      <x:c r="H62" s="18">
        <x:v>7.41</x:v>
      </x:c>
      <x:c r="I62" s="17">
        <x:f t="shared" si="52"/>
        <x:v>26231.040000000001</x:v>
      </x:c>
      <x:c r="J62" s="13">
        <x:f t="shared" si="53"/>
        <x:v>25608.959999999999</x:v>
      </x:c>
      <x:c r="K62" s="14">
        <x:f t="shared" si="54"/>
        <x:v>42415591.68</x:v>
      </x:c>
      <x:c r="L62" s="14">
        <x:f t="shared" si="55"/>
        <x:v>35494018.559999995</x:v>
      </x:c>
      <x:c r="M62" s="11" t="s">
        <x:v>134</x:v>
      </x:c>
    </x:row>
    <x:row r="63" spans="1:13">
      <x:c r="A63" s="16">
        <x:v>46051</x:v>
      </x:c>
      <x:c r="B63" s="12" t="s">
        <x:v>93</x:v>
      </x:c>
      <x:c r="C63" s="12" t="s">
        <x:v>133</x:v>
      </x:c>
      <x:c r="D63" s="12" t="s">
        <x:v>5</x:v>
      </x:c>
      <x:c r="E63" s="12" t="s">
        <x:v>94</x:v>
      </x:c>
      <x:c r="F63" s="82">
        <x:v>3584</x:v>
      </x:c>
      <x:c r="G63" s="18">
        <x:v>10.28</x:v>
      </x:c>
      <x:c r="H63" s="18">
        <x:v>10.029999999999999</x:v>
      </x:c>
      <x:c r="I63" s="17">
        <x:f t="shared" si="52"/>
        <x:v>36843.519999999997</x:v>
      </x:c>
      <x:c r="J63" s="13">
        <x:f t="shared" si="53"/>
        <x:v>35947.519999999997</x:v>
      </x:c>
      <x:c r="K63" s="14">
        <x:f t="shared" si="54"/>
        <x:v>59575971.839999996</x:v>
      </x:c>
      <x:c r="L63" s="14">
        <x:f t="shared" si="55"/>
        <x:v>49823262.719999991</x:v>
      </x:c>
      <x:c r="M63" s="11" t="s">
        <x:v>134</x:v>
      </x:c>
    </x:row>
    <x:row r="64" spans="1:13">
      <x:c r="A64" s="16">
        <x:v>46052</x:v>
      </x:c>
      <x:c r="B64" s="12" t="s">
        <x:v>93</x:v>
      </x:c>
      <x:c r="C64" s="12" t="s">
        <x:v>132</x:v>
      </x:c>
      <x:c r="D64" s="12" t="s">
        <x:v>5</x:v>
      </x:c>
      <x:c r="E64" s="12" t="s">
        <x:v>95</x:v>
      </x:c>
      <x:c r="F64" s="82">
        <x:v>3456</x:v>
      </x:c>
      <x:c r="G64" s="18">
        <x:v>7.59</x:v>
      </x:c>
      <x:c r="H64" s="18">
        <x:v>7.41</x:v>
      </x:c>
      <x:c r="I64" s="17">
        <x:f t="shared" ref="I64:I65" si="56">F64*G64</x:f>
        <x:v>26231.040000000001</x:v>
      </x:c>
      <x:c r="J64" s="13">
        <x:f t="shared" ref="J64:J65" si="57">F64*H64</x:f>
        <x:v>25608.959999999999</x:v>
      </x:c>
      <x:c r="K64" s="14">
        <x:f t="shared" ref="K64:K65" si="58">I64*4.2*385</x:f>
        <x:v>42415591.68</x:v>
      </x:c>
      <x:c r="L64" s="14">
        <x:f t="shared" ref="L64:L65" si="59">J64*3.6*385</x:f>
        <x:v>35494018.559999995</x:v>
      </x:c>
      <x:c r="M64" s="11" t="s">
        <x:v>134</x:v>
      </x:c>
    </x:row>
    <x:row r="65" spans="1:13">
      <x:c r="A65" s="16">
        <x:v>46052</x:v>
      </x:c>
      <x:c r="B65" s="12" t="s">
        <x:v>93</x:v>
      </x:c>
      <x:c r="C65" s="12" t="s">
        <x:v>133</x:v>
      </x:c>
      <x:c r="D65" s="12" t="s">
        <x:v>5</x:v>
      </x:c>
      <x:c r="E65" s="12" t="s">
        <x:v>94</x:v>
      </x:c>
      <x:c r="F65" s="82">
        <x:v>3584</x:v>
      </x:c>
      <x:c r="G65" s="18">
        <x:v>10.28</x:v>
      </x:c>
      <x:c r="H65" s="18">
        <x:v>10.029999999999999</x:v>
      </x:c>
      <x:c r="I65" s="17">
        <x:f t="shared" si="56"/>
        <x:v>36843.519999999997</x:v>
      </x:c>
      <x:c r="J65" s="13">
        <x:f t="shared" si="57"/>
        <x:v>35947.519999999997</x:v>
      </x:c>
      <x:c r="K65" s="14">
        <x:f t="shared" si="58"/>
        <x:v>59575971.839999996</x:v>
      </x:c>
      <x:c r="L65" s="14">
        <x:f t="shared" si="59"/>
        <x:v>49823262.719999991</x:v>
      </x:c>
      <x:c r="M65" s="11" t="s">
        <x:v>134</x:v>
      </x:c>
    </x:row>
    <x:row r="66" spans="1:13">
      <x:c r="A66" s="16">
        <x:v>46053</x:v>
      </x:c>
      <x:c r="B66" s="12" t="s">
        <x:v>93</x:v>
      </x:c>
      <x:c r="C66" s="12" t="s">
        <x:v>133</x:v>
      </x:c>
      <x:c r="D66" s="12" t="s">
        <x:v>5</x:v>
      </x:c>
      <x:c r="E66" s="12" t="s">
        <x:v>94</x:v>
      </x:c>
      <x:c r="F66" s="82">
        <x:v>-4032</x:v>
      </x:c>
      <x:c r="G66" s="18">
        <x:v>10.28</x:v>
      </x:c>
      <x:c r="H66" s="18">
        <x:v>10.029999999999999</x:v>
      </x:c>
      <x:c r="I66" s="17">
        <x:f t="shared" si="52"/>
        <x:v>-41448.959999999999</x:v>
      </x:c>
      <x:c r="J66" s="13">
        <x:f t="shared" si="53"/>
        <x:v>-40440.959999999999</x:v>
      </x:c>
      <x:c r="K66" s="14">
        <x:f t="shared" si="54"/>
        <x:v>-67022968.320000008</x:v>
      </x:c>
      <x:c r="L66" s="14">
        <x:f t="shared" si="55"/>
        <x:v>-56051170.560000002</x:v>
      </x:c>
      <x:c r="M66" s="11" t="s">
        <x:v>134</x:v>
      </x:c>
    </x:row>
    <x:row r="67" spans="1:13">
      <x:c r="A67" s="16">
        <x:v>46031</x:v>
      </x:c>
      <x:c r="B67" s="12" t="s">
        <x:v>121</x:v>
      </x:c>
      <x:c r="C67" s="12" t="s">
        <x:v>122</x:v>
      </x:c>
      <x:c r="D67" s="12" t="s">
        <x:v>123</x:v>
      </x:c>
      <x:c r="E67" s="12" t="s">
        <x:v>124</x:v>
      </x:c>
      <x:c r="F67" s="82">
        <x:v>1500</x:v>
      </x:c>
      <x:c r="G67" s="18">
        <x:v>6.59</x:v>
      </x:c>
      <x:c r="H67" s="18">
        <x:v>6.31</x:v>
      </x:c>
      <x:c r="I67" s="13">
        <x:f t="shared" ref="I67" si="60">F67*G67</x:f>
        <x:v>9885</x:v>
      </x:c>
      <x:c r="J67" s="13">
        <x:f t="shared" ref="J67" si="61">F67*H67</x:f>
        <x:v>9465</x:v>
      </x:c>
      <x:c r="K67" s="14">
        <x:f>I67*3.6*385</x:f>
        <x:v>13700610</x:v>
      </x:c>
      <x:c r="L67" s="14">
        <x:f>J67*3.6*385</x:f>
        <x:v>13118490</x:v>
      </x:c>
      <x:c r="M67" s="15" t="s">
        <x:v>70</x:v>
      </x:c>
    </x:row>
    <x:row r="68" spans="1:13">
      <x:c r="A68" s="16">
        <x:v>46027</x:v>
      </x:c>
      <x:c r="B68" s="12" t="s">
        <x:v>90</x:v>
      </x:c>
      <x:c r="D68" s="15" t="s">
        <x:v>73</x:v>
      </x:c>
      <x:c r="E68" s="15" t="s">
        <x:v>91</x:v>
      </x:c>
      <x:c r="F68" s="14">
        <x:v>1</x:v>
      </x:c>
      <x:c r="G68" s="18">
        <x:v>7862.4</x:v>
      </x:c>
      <x:c r="H68" s="18">
        <x:v>0</x:v>
      </x:c>
      <x:c r="I68" s="13">
        <x:f t="shared" ref="I68" si="62">F68*G68</x:f>
        <x:v>7862.4</x:v>
      </x:c>
      <x:c r="J68" s="13">
        <x:f t="shared" ref="J68" si="63">F68*H68</x:f>
        <x:v>0</x:v>
      </x:c>
      <x:c r="K68" s="14">
        <x:f>I68*3.6*385</x:f>
        <x:v>10897286.4</x:v>
      </x:c>
      <x:c r="L68" s="14">
        <x:f>J68*3.6*385</x:f>
        <x:v>0</x:v>
      </x:c>
      <x:c r="M68" s="15" t="s">
        <x:v>70</x:v>
      </x:c>
    </x:row>
  </x:sheetData>
  <x:autoFilter ref="A1:M68" xr:uid="{D985A708-7365-43AF-B85E-3D80577828F0}"/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E64605-B184-4450-AC16-D2E3F1049036}" mc:Ignorable="x14ac xr xr2 xr3">
  <x:sheetPr>
    <x:tabColor rgb="FFFF0000"/>
  </x:sheetPr>
  <x:dimension ref="A3:B17"/>
  <x:sheetViews>
    <x:sheetView workbookViewId="0">
      <x:selection activeCell="G27" sqref="G27"/>
    </x:sheetView>
  </x:sheetViews>
  <x:sheetFormatPr defaultRowHeight="10.8"/>
  <x:cols>
    <x:col min="1" max="1" width="12.375" bestFit="1" customWidth="1"/>
    <x:col min="2" max="2" width="14.125" bestFit="1" customWidth="1"/>
  </x:cols>
  <x:sheetData>
    <x:row r="3" spans="1:2">
      <x:c r="A3" s="72" t="s">
        <x:v>127</x:v>
      </x:c>
      <x:c r="B3" t="s">
        <x:v>129</x:v>
      </x:c>
    </x:row>
    <x:row r="4" spans="1:2">
      <x:c r="A4" s="73" t="s">
        <x:v>32</x:v>
      </x:c>
      <x:c r="B4" s="86">
        <x:v>-61451005</x:v>
      </x:c>
    </x:row>
    <x:row r="5" spans="1:2">
      <x:c r="A5" s="73" t="s">
        <x:v>62</x:v>
      </x:c>
      <x:c r="B5" s="86">
        <x:v>-385000</x:v>
      </x:c>
    </x:row>
    <x:row r="6" spans="1:2">
      <x:c r="A6" s="73" t="s">
        <x:v>35</x:v>
      </x:c>
      <x:c r="B6" s="86">
        <x:v>-7728142.3999999994</x:v>
      </x:c>
    </x:row>
    <x:row r="7" spans="1:2">
      <x:c r="A7" s="73" t="s">
        <x:v>30</x:v>
      </x:c>
      <x:c r="B7" s="86">
        <x:v>-14141700.649999999</x:v>
      </x:c>
    </x:row>
    <x:row r="8" spans="1:2">
      <x:c r="A8" s="73" t="s">
        <x:v>120</x:v>
      </x:c>
      <x:c r="B8" s="86">
        <x:v>-16442310.500000002</x:v>
      </x:c>
    </x:row>
    <x:row r="9" spans="1:2">
      <x:c r="A9" s="73" t="s">
        <x:v>33</x:v>
      </x:c>
      <x:c r="B9" s="86">
        <x:v>-1152046.1000000001</x:v>
      </x:c>
    </x:row>
    <x:row r="10" spans="1:2">
      <x:c r="A10" s="73" t="s">
        <x:v>31</x:v>
      </x:c>
      <x:c r="B10" s="86">
        <x:v>-19891737.25</x:v>
      </x:c>
    </x:row>
    <x:row r="11" spans="1:2">
      <x:c r="A11" s="73" t="s">
        <x:v>29</x:v>
      </x:c>
      <x:c r="B11" s="86">
        <x:v>-1803101.3</x:v>
      </x:c>
    </x:row>
    <x:row r="12" spans="1:2">
      <x:c r="A12" s="73" t="s">
        <x:v>37</x:v>
      </x:c>
      <x:c r="B12" s="86">
        <x:v>-2699235</x:v>
      </x:c>
    </x:row>
    <x:row r="13" spans="1:2">
      <x:c r="A13" s="73" t="s">
        <x:v>34</x:v>
      </x:c>
      <x:c r="B13" s="86">
        <x:v>-49354227</x:v>
      </x:c>
    </x:row>
    <x:row r="14" spans="1:2">
      <x:c r="A14" s="73" t="s">
        <x:v>36</x:v>
      </x:c>
      <x:c r="B14" s="86">
        <x:v>-40557270.100000001</x:v>
      </x:c>
    </x:row>
    <x:row r="15" spans="1:2">
      <x:c r="A15" s="73" t="s">
        <x:v>128</x:v>
      </x:c>
      <x:c r="B15" s="86">
        <x:v>-189077.34999999998</x:v>
      </x:c>
    </x:row>
    <x:row r="16" spans="1:2">
      <x:c r="A16" s="73" t="s">
        <x:v>38</x:v>
      </x:c>
      <x:c r="B16" s="86">
        <x:v>-1688602</x:v>
      </x:c>
    </x:row>
    <x:row r="17" spans="1:2">
      <x:c r="A17" s="73" t="s">
        <x:v>28</x:v>
      </x:c>
      <x:c r="B17" s="86">
        <x:v>-217483454.64999998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0C1336C-C930-4E1F-9445-2DC174E1EE6D}" mc:Ignorable="x14ac xr xr2 xr3">
  <x:sheetPr>
    <x:tabColor rgb="FFFF0000"/>
  </x:sheetPr>
  <x:dimension ref="A1:C85"/>
  <x:sheetViews>
    <x:sheetView workbookViewId="0">
      <x:selection activeCell="C6" sqref="C6"/>
    </x:sheetView>
  </x:sheetViews>
  <x:sheetFormatPr defaultRowHeight="10.8"/>
  <x:cols>
    <x:col min="1" max="1" width="17.625" style="68" bestFit="1" customWidth="1"/>
    <x:col min="2" max="2" width="14" style="70" bestFit="1" customWidth="1"/>
    <x:col min="3" max="3" width="26.375" style="68" bestFit="1" customWidth="1"/>
    <x:col min="4" max="16384" width="9" style="68"/>
  </x:cols>
  <x:sheetData>
    <x:row r="1" spans="1:3" ht="15.6" customHeight="1">
      <x:c r="A1" s="68" t="s">
        <x:v>71</x:v>
      </x:c>
      <x:c r="B1" s="70" t="s">
        <x:v>72</x:v>
      </x:c>
      <x:c r="C1" s="68" t="s">
        <x:v>158</x:v>
      </x:c>
    </x:row>
    <x:row r="2" spans="1:3" s="4" customFormat="1" ht="17.399999999999999">
      <x:c r="A2" s="3" t="s">
        <x:v>77</x:v>
      </x:c>
      <x:c r="B2" s="71">
        <x:v>-29202.249999999996</x:v>
      </x:c>
      <x:c r="C2" s="3"/>
    </x:row>
    <x:row r="3" spans="1:3" s="4" customFormat="1" ht="17.399999999999999">
      <x:c r="A3" s="3" t="s">
        <x:v>77</x:v>
      </x:c>
      <x:c r="B3" s="71">
        <x:v>-102125.09999999999</x:v>
      </x:c>
      <x:c r="C3" s="3"/>
    </x:row>
    <x:row r="4" spans="1:3" s="4" customFormat="1" ht="17.399999999999999">
      <x:c r="A4" s="3" t="s">
        <x:v>77</x:v>
      </x:c>
      <x:c r="B4" s="71">
        <x:v>-57750</x:v>
      </x:c>
      <x:c r="C4" s="3"/>
    </x:row>
    <x:row r="5" spans="1:3" s="4" customFormat="1" ht="17.399999999999999">
      <x:c r="A5" s="1" t="s">
        <x:v>29</x:v>
      </x:c>
      <x:c r="B5" s="71">
        <x:v>-252175</x:v>
      </x:c>
      <x:c r="C5" s="3"/>
    </x:row>
    <x:row r="6" spans="1:3" s="4" customFormat="1" ht="17.399999999999999">
      <x:c r="A6" s="1" t="s">
        <x:v>29</x:v>
      </x:c>
      <x:c r="B6" s="71">
        <x:v>-41965</x:v>
      </x:c>
      <x:c r="C6" s="3"/>
    </x:row>
    <x:row r="7" spans="1:3" s="4" customFormat="1" ht="17.399999999999999">
      <x:c r="A7" s="1" t="s">
        <x:v>29</x:v>
      </x:c>
      <x:c r="B7" s="71">
        <x:v>-32447.8</x:v>
      </x:c>
      <x:c r="C7" s="3"/>
    </x:row>
    <x:row r="8" spans="1:3" s="4" customFormat="1" ht="17.399999999999999">
      <x:c r="A8" s="1" t="s">
        <x:v>76</x:v>
      </x:c>
      <x:c r="B8" s="71">
        <x:v>-25025</x:v>
      </x:c>
      <x:c r="C8" s="3"/>
    </x:row>
    <x:row r="9" spans="1:3" s="2" customFormat="1" ht="17.399999999999999">
      <x:c r="A9" s="3" t="s">
        <x:v>34</x:v>
      </x:c>
      <x:c r="B9" s="71">
        <x:v>-15085493.5</x:v>
      </x:c>
      <x:c r="C9" s="84"/>
    </x:row>
    <x:row r="10" spans="1:3" s="2" customFormat="1" ht="17.399999999999999">
      <x:c r="A10" s="1" t="s">
        <x:v>76</x:v>
      </x:c>
      <x:c r="B10" s="71">
        <x:v>-31636966.5</x:v>
      </x:c>
      <x:c r="C10" s="84"/>
    </x:row>
    <x:row r="11" spans="1:3" s="2" customFormat="1" ht="17.399999999999999">
      <x:c r="A11" s="1" t="s">
        <x:v>76</x:v>
      </x:c>
      <x:c r="B11" s="71">
        <x:v>-2201742</x:v>
      </x:c>
      <x:c r="C11" s="84"/>
    </x:row>
    <x:row r="12" spans="1:3" s="2" customFormat="1" ht="17.399999999999999">
      <x:c r="A12" s="1" t="s">
        <x:v>76</x:v>
      </x:c>
      <x:c r="B12" s="71">
        <x:v>-405000</x:v>
      </x:c>
      <x:c r="C12" s="84"/>
    </x:row>
    <x:row r="13" spans="1:3" s="2" customFormat="1" ht="17.399999999999999">
      <x:c r="A13" s="1" t="s">
        <x:v>38</x:v>
      </x:c>
      <x:c r="B13" s="71">
        <x:v>-1688602</x:v>
      </x:c>
      <x:c r="C13" s="3"/>
    </x:row>
    <x:row r="14" spans="1:3" s="2" customFormat="1" ht="17.399999999999999">
      <x:c r="A14" s="3" t="s">
        <x:v>36</x:v>
      </x:c>
      <x:c r="B14" s="71">
        <x:v>-470708.69999999995</x:v>
      </x:c>
      <x:c r="C14" s="3"/>
    </x:row>
    <x:row r="15" spans="1:3" s="2" customFormat="1" ht="17.399999999999999">
      <x:c r="A15" s="1" t="s">
        <x:v>36</x:v>
      </x:c>
      <x:c r="B15" s="71">
        <x:v>-473550</x:v>
      </x:c>
      <x:c r="C15" s="3"/>
    </x:row>
    <x:row r="16" spans="1:3" s="2" customFormat="1" ht="17.399999999999999">
      <x:c r="A16" s="1" t="s">
        <x:v>36</x:v>
      </x:c>
      <x:c r="B16" s="71">
        <x:v>-2511686.1</x:v>
      </x:c>
      <x:c r="C16" s="3"/>
    </x:row>
    <x:row r="17" spans="1:3" s="2" customFormat="1" ht="17.399999999999999">
      <x:c r="A17" s="3" t="s">
        <x:v>36</x:v>
      </x:c>
      <x:c r="B17" s="71">
        <x:v>-334919.2</x:v>
      </x:c>
      <x:c r="C17" s="3"/>
    </x:row>
    <x:row r="18" spans="1:3" s="2" customFormat="1" ht="17.399999999999999">
      <x:c r="A18" s="1" t="s">
        <x:v>36</x:v>
      </x:c>
      <x:c r="B18" s="71">
        <x:v>-8364217.4000000004</x:v>
      </x:c>
      <x:c r="C18" s="84" t="s">
        <x:v>141</x:v>
      </x:c>
    </x:row>
    <x:row r="19" spans="1:3" s="2" customFormat="1" ht="17.399999999999999">
      <x:c r="A19" s="1" t="s">
        <x:v>36</x:v>
      </x:c>
      <x:c r="B19" s="71">
        <x:v>-23947808</x:v>
      </x:c>
      <x:c r="C19" s="84" t="s">
        <x:v>142</x:v>
      </x:c>
    </x:row>
    <x:row r="20" spans="1:3" s="2" customFormat="1" ht="17.399999999999999">
      <x:c r="A20" s="1" t="s">
        <x:v>35</x:v>
      </x:c>
      <x:c r="B20" s="71">
        <x:v>-1675080</x:v>
      </x:c>
      <x:c r="C20" s="84"/>
    </x:row>
    <x:row r="21" spans="1:3" s="2" customFormat="1" ht="17.399999999999999">
      <x:c r="A21" s="1" t="s">
        <x:v>35</x:v>
      </x:c>
      <x:c r="B21" s="71">
        <x:v>-3680973.4499999997</x:v>
      </x:c>
      <x:c r="C21" s="84"/>
    </x:row>
    <x:row r="22" spans="1:3" s="2" customFormat="1" ht="17.399999999999999">
      <x:c r="A22" s="1" t="s">
        <x:v>35</x:v>
      </x:c>
      <x:c r="B22" s="71">
        <x:v>-2372088.9500000002</x:v>
      </x:c>
      <x:c r="C22" s="84"/>
    </x:row>
    <x:row r="23" spans="1:3" s="2" customFormat="1" ht="17.399999999999999">
      <x:c r="A23" s="1" t="s">
        <x:v>30</x:v>
      </x:c>
      <x:c r="B23" s="71">
        <x:v>-2135937.65</x:v>
      </x:c>
      <x:c r="C23" s="84"/>
    </x:row>
    <x:row r="24" spans="1:3" s="2" customFormat="1" ht="17.399999999999999">
      <x:c r="A24" s="1" t="s">
        <x:v>30</x:v>
      </x:c>
      <x:c r="B24" s="71">
        <x:v>-3153827.6</x:v>
      </x:c>
      <x:c r="C24" s="84"/>
    </x:row>
    <x:row r="25" spans="1:3" s="2" customFormat="1" ht="17.399999999999999">
      <x:c r="A25" s="1" t="s">
        <x:v>30</x:v>
      </x:c>
      <x:c r="B25" s="71">
        <x:v>-2583858.1999999997</x:v>
      </x:c>
      <x:c r="C25" s="84"/>
    </x:row>
    <x:row r="26" spans="1:3" s="2" customFormat="1" ht="17.399999999999999">
      <x:c r="A26" s="1" t="s">
        <x:v>30</x:v>
      </x:c>
      <x:c r="B26" s="71">
        <x:v>-3517637.1999999997</x:v>
      </x:c>
      <x:c r="C26" s="84"/>
    </x:row>
    <x:row r="27" spans="1:3" s="2" customFormat="1" ht="17.399999999999999">
      <x:c r="A27" s="1" t="s">
        <x:v>30</x:v>
      </x:c>
      <x:c r="B27" s="71">
        <x:v>-2750440</x:v>
      </x:c>
      <x:c r="C27" s="84"/>
    </x:row>
    <x:row r="28" spans="1:3" s="2" customFormat="1" ht="17.399999999999999">
      <x:c r="A28" s="1" t="s">
        <x:v>120</x:v>
      </x:c>
      <x:c r="B28" s="71">
        <x:v>-16442310.500000002</x:v>
      </x:c>
      <x:c r="C28" s="3"/>
    </x:row>
    <x:row r="29" spans="1:3" s="2" customFormat="1" ht="17.399999999999999">
      <x:c r="A29" s="3" t="s">
        <x:v>36</x:v>
      </x:c>
      <x:c r="B29" s="71">
        <x:v>-1831560.5</x:v>
      </x:c>
      <x:c r="C29" s="84"/>
    </x:row>
    <x:row r="30" spans="1:3" s="2" customFormat="1" ht="17.399999999999999">
      <x:c r="A30" s="1" t="s">
        <x:v>29</x:v>
      </x:c>
      <x:c r="B30" s="71">
        <x:v>-151305</x:v>
      </x:c>
      <x:c r="C30" s="3"/>
    </x:row>
    <x:row r="31" spans="1:3" s="2" customFormat="1" ht="17.399999999999999">
      <x:c r="A31" s="1" t="s">
        <x:v>29</x:v>
      </x:c>
      <x:c r="B31" s="71">
        <x:v>-1325208.5</x:v>
      </x:c>
      <x:c r="C31" s="3"/>
    </x:row>
    <x:row r="32" spans="1:3" s="2" customFormat="1" ht="17.399999999999999">
      <x:c r="A32" s="3" t="s">
        <x:v>36</x:v>
      </x:c>
      <x:c r="B32" s="71">
        <x:v>-133595</x:v>
      </x:c>
      <x:c r="C32" s="84"/>
    </x:row>
    <x:row r="33" spans="1:3" s="2" customFormat="1" ht="17.399999999999999">
      <x:c r="A33" s="3" t="s">
        <x:v>33</x:v>
      </x:c>
      <x:c r="B33" s="71">
        <x:v>-11342.1</x:v>
      </x:c>
      <x:c r="C33" s="3" t="s">
        <x:v>185</x:v>
      </x:c>
    </x:row>
    <x:row r="34" spans="1:3" s="2" customFormat="1" ht="17.399999999999999">
      <x:c r="A34" s="1" t="s">
        <x:v>36</x:v>
      </x:c>
      <x:c r="B34" s="71">
        <x:v>-49722.75</x:v>
      </x:c>
      <x:c r="C34" s="3"/>
    </x:row>
    <x:row r="35" spans="1:3" s="2" customFormat="1" ht="17.399999999999999">
      <x:c r="A35" s="3" t="s">
        <x:v>37</x:v>
      </x:c>
      <x:c r="B35" s="71">
        <x:v>-2699235</x:v>
      </x:c>
      <x:c r="C35" s="3"/>
    </x:row>
    <x:row r="36" spans="1:3" s="2" customFormat="1" ht="17.399999999999999">
      <x:c r="A36" s="1" t="s">
        <x:v>78</x:v>
      </x:c>
      <x:c r="B36" s="71">
        <x:v>-12824319.199999999</x:v>
      </x:c>
      <x:c r="C36" s="84" t="s">
        <x:v>186</x:v>
      </x:c>
    </x:row>
    <x:row r="37" spans="1:3" s="2" customFormat="1" ht="17.399999999999999">
      <x:c r="A37" s="1" t="s">
        <x:v>78</x:v>
      </x:c>
      <x:c r="B37" s="71">
        <x:v>-6009080</x:v>
      </x:c>
      <x:c r="C37" s="84" t="s">
        <x:v>187</x:v>
      </x:c>
    </x:row>
    <x:row r="38" spans="1:3" s="2" customFormat="1" ht="17.399999999999999">
      <x:c r="A38" s="1" t="s">
        <x:v>78</x:v>
      </x:c>
      <x:c r="B38" s="71">
        <x:v>-1058338.05</x:v>
      </x:c>
      <x:c r="C38" s="84" t="s">
        <x:v>188</x:v>
      </x:c>
    </x:row>
    <x:row r="39" spans="1:3" s="2" customFormat="1" ht="17.399999999999999">
      <x:c r="A39" s="1" t="s">
        <x:v>32</x:v>
      </x:c>
      <x:c r="B39" s="71">
        <x:v>-13756050</x:v>
      </x:c>
      <x:c r="C39" s="3" t="s">
        <x:v>143</x:v>
      </x:c>
    </x:row>
    <x:row r="40" spans="1:3" s="2" customFormat="1" ht="17.399999999999999">
      <x:c r="A40" s="1" t="s">
        <x:v>32</x:v>
      </x:c>
      <x:c r="B40" s="71">
        <x:v>-8295210</x:v>
      </x:c>
      <x:c r="C40" s="3" t="s">
        <x:v>144</x:v>
      </x:c>
    </x:row>
    <x:row r="41" spans="1:3" s="2" customFormat="1" ht="17.399999999999999">
      <x:c r="A41" s="3" t="s">
        <x:v>62</x:v>
      </x:c>
      <x:c r="B41" s="71">
        <x:v>-385000</x:v>
      </x:c>
      <x:c r="C41" s="3"/>
    </x:row>
    <x:row r="42" spans="1:3" s="2" customFormat="1" ht="17.399999999999999">
      <x:c r="A42" s="1" t="s">
        <x:v>32</x:v>
      </x:c>
      <x:c r="B42" s="71">
        <x:v>-6442590</x:v>
      </x:c>
      <x:c r="C42" s="3" t="s">
        <x:v>145</x:v>
      </x:c>
    </x:row>
    <x:row r="43" spans="1:3" s="2" customFormat="1" ht="17.399999999999999">
      <x:c r="A43" s="1" t="s">
        <x:v>36</x:v>
      </x:c>
      <x:c r="B43" s="71">
        <x:v>-1918597.45</x:v>
      </x:c>
      <x:c r="C43" s="3"/>
    </x:row>
    <x:row r="44" spans="1:3" s="2" customFormat="1" ht="17.399999999999999">
      <x:c r="A44" s="3" t="s">
        <x:v>36</x:v>
      </x:c>
      <x:c r="B44" s="71">
        <x:v>-520905</x:v>
      </x:c>
      <x:c r="C44" s="3"/>
    </x:row>
    <x:row r="45" spans="1:3" s="2" customFormat="1" ht="17.399999999999999">
      <x:c r="A45" s="3" t="s">
        <x:v>33</x:v>
      </x:c>
      <x:c r="B45" s="71">
        <x:v>-167888</x:v>
      </x:c>
      <x:c r="C45" s="3" t="s">
        <x:v>146</x:v>
      </x:c>
    </x:row>
    <x:row r="46" spans="1:3" s="2" customFormat="1" ht="17.399999999999999">
      <x:c r="A46" s="3" t="s">
        <x:v>33</x:v>
      </x:c>
      <x:c r="B46" s="71">
        <x:v>-213344</x:v>
      </x:c>
      <x:c r="C46" s="3" t="s">
        <x:v>147</x:v>
      </x:c>
    </x:row>
    <x:row r="47" spans="1:3" s="2" customFormat="1" ht="17.399999999999999">
      <x:c r="A47" s="3" t="s">
        <x:v>33</x:v>
      </x:c>
      <x:c r="B47" s="71">
        <x:v>-167920</x:v>
      </x:c>
      <x:c r="C47" s="3" t="s">
        <x:v>148</x:v>
      </x:c>
    </x:row>
    <x:row r="48" spans="1:3" s="2" customFormat="1" ht="17.399999999999999">
      <x:c r="A48" s="3" t="s">
        <x:v>33</x:v>
      </x:c>
      <x:c r="B48" s="71">
        <x:v>-213823.99999999997</x:v>
      </x:c>
      <x:c r="C48" s="3" t="s">
        <x:v>149</x:v>
      </x:c>
    </x:row>
    <x:row r="49" spans="1:3" s="2" customFormat="1" ht="17.399999999999999">
      <x:c r="A49" s="3" t="s">
        <x:v>33</x:v>
      </x:c>
      <x:c r="B49" s="71">
        <x:v>-168224</x:v>
      </x:c>
      <x:c r="C49" s="3" t="s">
        <x:v>150</x:v>
      </x:c>
    </x:row>
    <x:row r="50" spans="1:3" s="2" customFormat="1" ht="17.399999999999999">
      <x:c r="A50" s="3" t="s">
        <x:v>33</x:v>
      </x:c>
      <x:c r="B50" s="71">
        <x:v>-209504</x:v>
      </x:c>
      <x:c r="C50" s="3" t="s">
        <x:v>151</x:v>
      </x:c>
    </x:row>
    <x:row r="51" spans="1:3" s="2" customFormat="1" ht="17.399999999999999">
      <x:c r="A51" s="1" t="s">
        <x:v>32</x:v>
      </x:c>
      <x:c r="B51" s="71">
        <x:v>-6460685</x:v>
      </x:c>
      <x:c r="C51" s="3" t="s">
        <x:v>152</x:v>
      </x:c>
    </x:row>
    <x:row r="52" spans="1:3" s="2" customFormat="1" ht="17.399999999999999">
      <x:c r="A52" s="1" t="s">
        <x:v>32</x:v>
      </x:c>
      <x:c r="B52" s="71">
        <x:v>-6553855</x:v>
      </x:c>
      <x:c r="C52" s="3" t="s">
        <x:v>153</x:v>
      </x:c>
    </x:row>
    <x:row r="53" spans="1:3" s="2" customFormat="1" ht="17.399999999999999">
      <x:c r="A53" s="1" t="s">
        <x:v>32</x:v>
      </x:c>
      <x:c r="B53" s="71">
        <x:v>-4533375</x:v>
      </x:c>
      <x:c r="C53" s="3" t="s">
        <x:v>154</x:v>
      </x:c>
    </x:row>
    <x:row r="54" spans="1:3" s="2" customFormat="1" ht="17.399999999999999">
      <x:c r="A54" s="1" t="s">
        <x:v>32</x:v>
      </x:c>
      <x:c r="B54" s="71">
        <x:v>-3674055</x:v>
      </x:c>
      <x:c r="C54" s="3" t="s">
        <x:v>155</x:v>
      </x:c>
    </x:row>
    <x:row r="55" spans="1:3" s="2" customFormat="1" ht="17.399999999999999">
      <x:c r="A55" s="1" t="s">
        <x:v>32</x:v>
      </x:c>
      <x:c r="B55" s="71">
        <x:v>-10040415</x:v>
      </x:c>
      <x:c r="C55" s="3" t="s">
        <x:v>156</x:v>
      </x:c>
    </x:row>
    <x:row r="56" spans="1:3" s="2" customFormat="1" ht="17.399999999999999">
      <x:c r="A56" s="1" t="s">
        <x:v>32</x:v>
      </x:c>
      <x:c r="B56" s="71">
        <x:v>-1694770</x:v>
      </x:c>
      <x:c r="C56" s="3" t="s">
        <x:v>157</x:v>
      </x:c>
    </x:row>
    <x:row r="57" spans="1:3" s="2" customFormat="1" ht="17.399999999999999">
      <x:c r="B57" s="85"/>
    </x:row>
    <x:row r="58" spans="1:3" s="2" customFormat="1" ht="17.399999999999999">
      <x:c r="B58" s="85"/>
    </x:row>
    <x:row r="59" spans="1:3" s="2" customFormat="1" ht="17.399999999999999">
      <x:c r="B59" s="85"/>
    </x:row>
    <x:row r="60" spans="1:3" s="2" customFormat="1" ht="17.399999999999999">
      <x:c r="B60" s="85"/>
    </x:row>
    <x:row r="61" spans="1:3" s="2" customFormat="1" ht="17.399999999999999">
      <x:c r="B61" s="85"/>
    </x:row>
    <x:row r="62" spans="1:3" s="2" customFormat="1" ht="17.399999999999999">
      <x:c r="B62" s="85"/>
    </x:row>
    <x:row r="63" spans="1:3" s="2" customFormat="1" ht="17.399999999999999">
      <x:c r="B63" s="85"/>
    </x:row>
    <x:row r="64" spans="1:3" s="2" customFormat="1" ht="17.399999999999999">
      <x:c r="B64" s="85"/>
    </x:row>
    <x:row r="65" spans="2:2" s="2" customFormat="1" ht="17.399999999999999">
      <x:c r="B65" s="85"/>
    </x:row>
    <x:row r="66" spans="2:2" s="2" customFormat="1" ht="17.399999999999999">
      <x:c r="B66" s="85"/>
    </x:row>
    <x:row r="67" spans="2:2" s="2" customFormat="1" ht="17.399999999999999">
      <x:c r="B67" s="85"/>
    </x:row>
    <x:row r="68" spans="2:2" s="2" customFormat="1" ht="17.399999999999999">
      <x:c r="B68" s="85"/>
    </x:row>
    <x:row r="69" spans="2:2" s="2" customFormat="1" ht="17.399999999999999">
      <x:c r="B69" s="85"/>
    </x:row>
    <x:row r="70" spans="2:2" s="2" customFormat="1" ht="17.399999999999999">
      <x:c r="B70" s="85"/>
    </x:row>
    <x:row r="71" spans="2:2" s="2" customFormat="1" ht="17.399999999999999">
      <x:c r="B71" s="85"/>
    </x:row>
    <x:row r="72" spans="2:2" s="2" customFormat="1" ht="17.399999999999999">
      <x:c r="B72" s="85"/>
    </x:row>
    <x:row r="73" spans="2:2" s="2" customFormat="1" ht="17.399999999999999">
      <x:c r="B73" s="85"/>
    </x:row>
    <x:row r="74" spans="2:2" s="2" customFormat="1" ht="17.399999999999999">
      <x:c r="B74" s="85"/>
    </x:row>
    <x:row r="75" spans="2:2" s="2" customFormat="1" ht="17.399999999999999">
      <x:c r="B75" s="85"/>
    </x:row>
    <x:row r="76" spans="2:2" s="2" customFormat="1" ht="17.399999999999999">
      <x:c r="B76" s="85"/>
    </x:row>
    <x:row r="77" spans="2:2" s="2" customFormat="1" ht="17.399999999999999">
      <x:c r="B77" s="85"/>
    </x:row>
    <x:row r="78" spans="2:2" s="2" customFormat="1" ht="17.399999999999999">
      <x:c r="B78" s="85"/>
    </x:row>
    <x:row r="79" spans="2:2" s="2" customFormat="1" ht="17.399999999999999">
      <x:c r="B79" s="85"/>
    </x:row>
    <x:row r="80" spans="2:2" s="2" customFormat="1" ht="17.399999999999999">
      <x:c r="B80" s="85"/>
    </x:row>
    <x:row r="81" spans="2:2" s="2" customFormat="1" ht="17.399999999999999">
      <x:c r="B81" s="85"/>
    </x:row>
    <x:row r="82" spans="2:2" s="2" customFormat="1" ht="17.399999999999999">
      <x:c r="B82" s="85"/>
    </x:row>
    <x:row r="83" spans="2:2" s="2" customFormat="1" ht="17.399999999999999">
      <x:c r="B83" s="85"/>
    </x:row>
    <x:row r="84" spans="2:2" s="2" customFormat="1" ht="17.399999999999999">
      <x:c r="B84" s="85"/>
    </x:row>
    <x:row r="85" spans="2:2" s="2" customFormat="1" ht="17.399999999999999">
      <x:c r="B85" s="85"/>
    </x:row>
  </x:sheetData>
  <x:autoFilter ref="A1:C56" xr:uid="{60C1336C-C930-4E1F-9445-2DC174E1EE6D}"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AE00975-BA08-4B06-B081-49CCAAB63435}" mc:Ignorable="x14ac xr xr2 xr3">
  <x:dimension ref="A3:F63"/>
  <x:sheetViews>
    <x:sheetView tabSelected="1" topLeftCell="A16" zoomScaleNormal="100" workbookViewId="0">
      <x:selection activeCell="H36" sqref="H36"/>
    </x:sheetView>
  </x:sheetViews>
  <x:sheetFormatPr defaultRowHeight="17.399999999999999"/>
  <x:cols>
    <x:col min="1" max="1" width="17.875" style="24" bestFit="1" customWidth="1"/>
    <x:col min="2" max="2" width="15.25" style="24" bestFit="1" customWidth="1"/>
    <x:col min="3" max="3" width="25.875" style="75" bestFit="1" customWidth="1"/>
    <x:col min="4" max="4" width="26.625" style="75" bestFit="1" customWidth="1"/>
    <x:col min="5" max="16384" width="9" style="24"/>
  </x:cols>
  <x:sheetData>
    <x:row r="3" spans="1:4">
      <x:c r="A3" s="102" t="s">
        <x:v>1</x:v>
      </x:c>
      <x:c r="B3" s="102" t="s">
        <x:v>2</x:v>
      </x:c>
      <x:c r="C3" s="75" t="s">
        <x:v>84</x:v>
      </x:c>
      <x:c r="D3" s="75" t="s">
        <x:v>85</x:v>
      </x:c>
    </x:row>
    <x:row r="4" spans="1:4">
      <x:c r="A4" s="24" t="s">
        <x:v>121</x:v>
      </x:c>
      <x:c r="B4" s="24" t="s">
        <x:v>122</x:v>
      </x:c>
      <x:c r="C4" s="75">
        <x:v>13264020</x:v>
      </x:c>
      <x:c r="D4" s="75">
        <x:v>12702690</x:v>
      </x:c>
    </x:row>
    <x:row r="5" spans="1:4">
      <x:c r="A5" s="24" t="s">
        <x:v>126</x:v>
      </x:c>
      <x:c r="C5" s="75">
        <x:v>13264020</x:v>
      </x:c>
      <x:c r="D5" s="75">
        <x:v>12702690</x:v>
      </x:c>
    </x:row>
    <x:row r="6" spans="1:4">
      <x:c r="A6" s="24" t="s">
        <x:v>93</x:v>
      </x:c>
      <x:c r="B6" s="24" t="s">
        <x:v>132</x:v>
      </x:c>
      <x:c r="C6" s="75">
        <x:v>611402964.48000014</x:v>
      </x:c>
      <x:c r="D6" s="75">
        <x:v>511605642.23999977</x:v>
      </x:c>
    </x:row>
    <x:row r="7" spans="1:4">
      <x:c r="B7" s="24" t="s">
        <x:v>133</x:v>
      </x:c>
      <x:c r="C7" s="75">
        <x:v>819894028.79999995</x:v>
      </x:c>
      <x:c r="D7" s="75">
        <x:v>685492093.44000018</x:v>
      </x:c>
    </x:row>
    <x:row r="8" spans="1:4">
      <x:c r="A8" s="24" t="s">
        <x:v>112</x:v>
      </x:c>
      <x:c r="C8" s="75">
        <x:v>1431296993.2800002</x:v>
      </x:c>
      <x:c r="D8" s="75">
        <x:v>1197097735.6799998</x:v>
      </x:c>
    </x:row>
    <x:row r="9" spans="1:4">
      <x:c r="A9" s="24" t="s">
        <x:v>6</x:v>
      </x:c>
      <x:c r="B9" s="24" t="s">
        <x:v>74</x:v>
      </x:c>
      <x:c r="C9" s="75">
        <x:v>2279970</x:v>
      </x:c>
      <x:c r="D9" s="75">
        <x:v>2120579.9999999995</x:v>
      </x:c>
    </x:row>
    <x:row r="10" spans="1:4">
      <x:c r="B10" s="24" t="s">
        <x:v>130</x:v>
      </x:c>
      <x:c r="C10" s="75">
        <x:v>3725568.0000000005</x:v>
      </x:c>
      <x:c r="D10" s="75">
        <x:v>3430350</x:v>
      </x:c>
    </x:row>
    <x:row r="11" spans="1:4">
      <x:c r="B11" s="24" t="s">
        <x:v>7</x:v>
      </x:c>
      <x:c r="C11" s="75">
        <x:v>9055200.0000000019</x:v>
      </x:c>
      <x:c r="D11" s="75">
        <x:v>5405400</x:v>
      </x:c>
    </x:row>
    <x:row r="12" spans="1:4">
      <x:c r="B12" s="24" t="s">
        <x:v>9</x:v>
      </x:c>
      <x:c r="C12" s="75">
        <x:v>9676128</x:v>
      </x:c>
      <x:c r="D12" s="75">
        <x:v>7562016</x:v>
      </x:c>
    </x:row>
    <x:row r="13" spans="1:4">
      <x:c r="B13" s="24" t="s">
        <x:v>79</x:v>
      </x:c>
      <x:c r="C13" s="75">
        <x:v>24934140</x:v>
      </x:c>
      <x:c r="D13" s="75">
        <x:v>19265400</x:v>
      </x:c>
    </x:row>
    <x:row r="14" spans="1:4">
      <x:c r="B14" s="24" t="s">
        <x:v>80</x:v>
      </x:c>
      <x:c r="C14" s="75">
        <x:v>17172540</x:v>
      </x:c>
      <x:c r="D14" s="75">
        <x:v>13277880</x:v>
      </x:c>
    </x:row>
    <x:row r="15" spans="1:4">
      <x:c r="B15" s="24" t="s">
        <x:v>13</x:v>
      </x:c>
      <x:c r="C15" s="75">
        <x:v>49980823.199999996</x:v>
      </x:c>
      <x:c r="D15" s="75">
        <x:v>49012840.800000004</x:v>
      </x:c>
    </x:row>
    <x:row r="16" spans="1:4">
      <x:c r="B16" s="24" t="s">
        <x:v>15</x:v>
      </x:c>
      <x:c r="C16" s="75">
        <x:v>341122320</x:v>
      </x:c>
      <x:c r="D16" s="75">
        <x:v>391783392.00000006</x:v>
      </x:c>
    </x:row>
    <x:row r="17" spans="1:6">
      <x:c r="B17" s="24" t="s">
        <x:v>107</x:v>
      </x:c>
      <x:c r="C17" s="75">
        <x:v>85708147.140000015</x:v>
      </x:c>
      <x:c r="D17" s="75">
        <x:v>65289414.960000001</x:v>
      </x:c>
    </x:row>
    <x:row r="18" spans="1:6">
      <x:c r="B18" s="24" t="s">
        <x:v>81</x:v>
      </x:c>
      <x:c r="C18" s="75">
        <x:v>235722217.5</x:v>
      </x:c>
      <x:c r="D18" s="75">
        <x:v>182622686.40000004</x:v>
      </x:c>
    </x:row>
    <x:row r="19" spans="1:6">
      <x:c r="B19" s="24" t="s">
        <x:v>166</x:v>
      </x:c>
      <x:c r="C19" s="75">
        <x:v>243326160</x:v>
      </x:c>
      <x:c r="D19" s="75">
        <x:v>188513740.80000004</x:v>
      </x:c>
    </x:row>
    <x:row r="20" spans="1:6">
      <x:c r="A20" s="24" t="s">
        <x:v>86</x:v>
      </x:c>
      <x:c r="C20" s="75">
        <x:v>1022703213.84</x:v>
      </x:c>
      <x:c r="D20" s="75">
        <x:v>928283700.96000016</x:v>
      </x:c>
    </x:row>
    <x:row r="21" spans="1:6">
      <x:c r="A21" s="24" t="s">
        <x:v>27</x:v>
      </x:c>
      <x:c r="B21" s="24" t="s">
        <x:v>27</x:v>
      </x:c>
    </x:row>
    <x:row r="22" spans="1:6">
      <x:c r="A22" s="24" t="s">
        <x:v>87</x:v>
      </x:c>
    </x:row>
    <x:row r="23" spans="1:6">
      <x:c r="A23" s="24" t="s">
        <x:v>28</x:v>
      </x:c>
      <x:c r="C23" s="75">
        <x:v>2467264227.1200004</x:v>
      </x:c>
      <x:c r="D23" s="75">
        <x:v>2138084126.6399999</x:v>
      </x:c>
    </x:row>
    <x:row r="25" spans="1:6">
      <x:c r="B25" s="75"/>
      <x:c r="C25" s="75" t="s">
        <x:v>88</x:v>
      </x:c>
      <x:c r="D25" s="75" t="s">
        <x:v>89</x:v>
      </x:c>
      <x:c r="E25" s="24" t="s">
        <x:v>110</x:v>
      </x:c>
      <x:c r="F25" s="24" t="s">
        <x:v>111</x:v>
      </x:c>
    </x:row>
    <x:row r="26" spans="1:6">
      <x:c r="A26" s="25" t="s">
        <x:v>41</x:v>
      </x:c>
      <x:c r="B26" s="90"/>
      <x:c r="C26" s="91">
        <x:v>2431618753.4099998</x:v>
      </x:c>
      <x:c r="D26" s="91">
        <x:f>GETPIVOTDATA("합계 : P/Amount(Won)",$A$3)</x:f>
        <x:v>2467264227.1200004</x:v>
      </x:c>
      <x:c r="E26" s="92">
        <x:f>D26/C26</x:f>
        <x:v>1.014659153973053</x:v>
      </x:c>
      <x:c r="F26" s="92">
        <x:f>D26/$D$26</x:f>
        <x:v>1</x:v>
      </x:c>
    </x:row>
    <x:row r="27" spans="1:6">
      <x:c r="A27" s="24" t="s">
        <x:v>82</x:v>
      </x:c>
      <x:c r="B27" s="75"/>
      <x:c r="C27" s="93">
        <x:v>2246018268.3608413</x:v>
      </x:c>
      <x:c r="D27" s="93">
        <x:f>D30+D36+D39</x:f>
        <x:v>2240679975.6487999</x:v>
      </x:c>
      <x:c r="E27" s="94">
        <x:f t="shared" ref="E27:E46" si="0">D27/C27</x:f>
        <x:v>0.99762321937125775</x:v>
      </x:c>
      <x:c r="F27" s="94">
        <x:f t="shared" ref="F27:F46" si="1">D27/$D$26</x:f>
        <x:v>0.90816376739037441</x:v>
      </x:c>
    </x:row>
    <x:row r="28" spans="1:6">
      <x:c r="A28" s="24" t="s">
        <x:v>83</x:v>
      </x:c>
      <x:c r="B28" s="75"/>
      <x:c r="C28" s="93">
        <x:v>185600485.04915857</x:v>
      </x:c>
      <x:c r="D28" s="93">
        <x:f>D26-D27</x:f>
        <x:v>226584251.47120047</x:v>
      </x:c>
      <x:c r="E28" s="94">
        <x:f t="shared" si="0"/>
        <x:v>1.220817129929304</x:v>
      </x:c>
      <x:c r="F28" s="94">
        <x:f t="shared" si="1"/>
        <x:v>9.183623260962559E-2</x:v>
      </x:c>
    </x:row>
    <x:row r="29" spans="1:6">
      <x:c r="A29" s="25" t="s">
        <x:v>42</x:v>
      </x:c>
      <x:c r="B29" s="90"/>
      <x:c r="C29" s="91">
        <x:v>110057643.29915857</x:v>
      </x:c>
      <x:c r="D29" s="91">
        <x:f>D28-D40</x:f>
        <x:v>152049242.52120048</x:v>
      </x:c>
      <x:c r="E29" s="92">
        <x:f t="shared" si="0"/>
        <x:v>1.3815418717253503</x:v>
      </x:c>
      <x:c r="F29" s="92">
        <x:f t="shared" si="1"/>
        <x:v>6.1626655487436476E-2</x:v>
      </x:c>
    </x:row>
    <x:row r="30" spans="1:6">
      <x:c r="A30" s="25" t="s">
        <x:v>43</x:v>
      </x:c>
      <x:c r="B30" s="90"/>
      <x:c r="C30" s="91">
        <x:v>2173961825.6608558</x:v>
      </x:c>
      <x:c r="D30" s="91">
        <x:f>SUM(D31:D35)</x:f>
        <x:v>2212991980.6988001</x:v>
      </x:c>
      <x:c r="E30" s="92">
        <x:f t="shared" si="0"/>
        <x:v>1.0179534684451415</x:v>
      </x:c>
      <x:c r="F30" s="92">
        <x:f t="shared" si="1"/>
        <x:v>0.89694162318479831</x:v>
      </x:c>
    </x:row>
    <x:row r="31" spans="1:6">
      <x:c r="B31" s="75" t="s">
        <x:v>108</x:v>
      </x:c>
      <x:c r="C31" s="93">
        <x:v>2089190731.3199999</x:v>
      </x:c>
      <x:c r="D31" s="93">
        <x:f>GETPIVOTDATA("합계 : M/Amount(Won)",$A$3)</x:f>
        <x:v>2138084126.6399999</x:v>
      </x:c>
      <x:c r="E31" s="94">
        <x:f t="shared" si="0"/>
        <x:v>1.0234030309377775</x:v>
      </x:c>
      <x:c r="F31" s="94">
        <x:f t="shared" si="1"/>
        <x:v>0.86658092924881125</x:v>
      </x:c>
    </x:row>
    <x:row r="32" spans="1:6">
      <x:c r="B32" s="75" t="s">
        <x:v>32</x:v>
      </x:c>
      <x:c r="C32" s="93">
        <x:v>74607094.340856016</x:v>
      </x:c>
      <x:c r="D32" s="93">
        <x:f>D49</x:f>
        <x:v>62521305</x:v>
      </x:c>
      <x:c r="E32" s="94">
        <x:f t="shared" si="0"/>
        <x:v>0.83800750521606027</x:v>
      </x:c>
      <x:c r="F32" s="94">
        <x:f t="shared" si="1"/>
        <x:v>2.5340336196168239E-2</x:v>
      </x:c>
    </x:row>
    <x:row r="33" spans="1:6">
      <x:c r="B33" s="75" t="s">
        <x:v>39</x:v>
      </x:c>
      <x:c r="C33" s="93">
        <x:v>6930000</x:v>
      </x:c>
      <x:c r="D33" s="93">
        <x:f>D54</x:f>
        <x:v>8740214</x:v>
      </x:c>
      <x:c r="E33" s="94">
        <x:f t="shared" si="0"/>
        <x:v>1.2612141414141413</x:v>
      </x:c>
      <x:c r="F33" s="94">
        <x:f t="shared" si="1"/>
        <x:v>3.5424718211888953E-3</x:v>
      </x:c>
    </x:row>
    <x:row r="34" spans="1:6">
      <x:c r="B34" s="75" t="s">
        <x:v>48</x:v>
      </x:c>
      <x:c r="C34" s="93">
        <x:v>3234000</x:v>
      </x:c>
      <x:c r="D34" s="93">
        <x:f>D57</x:f>
        <x:v>3646335</x:v>
      </x:c>
      <x:c r="E34" s="94">
        <x:f t="shared" si="0"/>
        <x:v>1.1274999999999999</x:v>
      </x:c>
      <x:c r="F34" s="94">
        <x:f t="shared" si="1"/>
        <x:v>1.4778858947978632E-3</x:v>
      </x:c>
    </x:row>
    <x:row r="35" spans="1:6">
      <x:c r="B35" s="75" t="s">
        <x:v>140</x:v>
      </x:c>
      <x:c r="C35" s="93">
        <x:v>33998800.192485124</x:v>
      </x:c>
      <x:c r="D35" s="93">
        <x:f>IF(재고평가!I31&gt;0,재고평가!I31,0)</x:f>
        <x:v>5.8799999999999998E-2</x:v>
      </x:c>
      <x:c r="E35" s="94">
        <x:f t="shared" si="0"/>
        <x:v>1.7294727951310696E-9</x:v>
      </x:c>
      <x:c r="F35" s="94">
        <x:f t="shared" si="1"/>
        <x:v>2.3832064419235849E-11</x:v>
      </x:c>
    </x:row>
    <x:row r="36" spans="1:6">
      <x:c r="A36" s="25" t="s">
        <x:v>44</x:v>
      </x:c>
      <x:c r="B36" s="90"/>
      <x:c r="C36" s="91">
        <x:v>34977642.5075</x:v>
      </x:c>
      <x:c r="D36" s="91">
        <x:f>SUM(D37:D38)</x:f>
        <x:v>25384212.699999999</x:v>
      </x:c>
      <x:c r="E36" s="92">
        <x:f t="shared" si="0"/>
        <x:v>0.72572680375920273</x:v>
      </x:c>
      <x:c r="F36" s="92">
        <x:f t="shared" si="1"/>
        <x:v>1.0288404630918109E-2</x:v>
      </x:c>
    </x:row>
    <x:row r="37" spans="1:6">
      <x:c r="B37" s="75" t="s">
        <x:v>45</x:v>
      </x:c>
      <x:c r="C37" s="93">
        <x:v>20181700</x:v>
      </x:c>
      <x:c r="D37" s="93">
        <x:f>D53</x:f>
        <x:v>13293418.6</x:v>
      </x:c>
      <x:c r="E37" s="94">
        <x:f t="shared" si="0"/>
        <x:v>0.65868676077832888</x:v>
      </x:c>
      <x:c r="F37" s="94">
        <x:f t="shared" si="1"/>
        <x:v>5.3879185106644224E-3</x:v>
      </x:c>
    </x:row>
    <x:row r="38" spans="1:6">
      <x:c r="B38" s="75" t="s">
        <x:v>46</x:v>
      </x:c>
      <x:c r="C38" s="93">
        <x:v>14795942.5075</x:v>
      </x:c>
      <x:c r="D38" s="93">
        <x:f>D52</x:f>
        <x:v>12090794.1</x:v>
      </x:c>
      <x:c r="E38" s="94">
        <x:f t="shared" si="0"/>
        <x:v>0.81716957834022586</x:v>
      </x:c>
      <x:c r="F38" s="94">
        <x:f t="shared" si="1"/>
        <x:v>4.9004861202536863E-3</x:v>
      </x:c>
    </x:row>
    <x:row r="39" spans="1:6">
      <x:c r="A39" s="25" t="s">
        <x:v>47</x:v>
      </x:c>
      <x:c r="B39" s="90"/>
      <x:c r="C39" s="91">
        <x:v>3080000</x:v>
      </x:c>
      <x:c r="D39" s="91">
        <x:f>D51</x:f>
        <x:v>2303782.25</x:v>
      </x:c>
      <x:c r="E39" s="92">
        <x:f t="shared" si="0"/>
        <x:v>0.74798125000000004</x:v>
      </x:c>
      <x:c r="F39" s="92">
        <x:f t="shared" si="1"/>
        <x:v>9.3373957465802911E-4</x:v>
      </x:c>
    </x:row>
    <x:row r="40" spans="1:6">
      <x:c r="A40" s="25" t="s">
        <x:v>109</x:v>
      </x:c>
      <x:c r="B40" s="90"/>
      <x:c r="C40" s="91">
        <x:v>75542841.75</x:v>
      </x:c>
      <x:c r="D40" s="91">
        <x:f>SUM(D41:D44)</x:f>
        <x:v>74535008.950000003</x:v>
      </x:c>
      <x:c r="E40" s="92">
        <x:f t="shared" si="0"/>
        <x:v>0.98665879153268687</x:v>
      </x:c>
      <x:c r="F40" s="92">
        <x:f t="shared" si="1"/>
        <x:v>3.0209577122189128E-2</x:v>
      </x:c>
    </x:row>
    <x:row r="41" spans="1:6">
      <x:c r="B41" s="75" t="s">
        <x:v>35</x:v>
      </x:c>
      <x:c r="C41" s="93">
        <x:v>9614724.3499999996</x:v>
      </x:c>
      <x:c r="D41" s="93">
        <x:f>D50</x:f>
        <x:v>8745970.75</x:v>
      </x:c>
      <x:c r="E41" s="94">
        <x:f t="shared" si="0"/>
        <x:v>0.90964342103057805</x:v>
      </x:c>
      <x:c r="F41" s="94">
        <x:f t="shared" si="1"/>
        <x:v>3.5448050735161986E-3</x:v>
      </x:c>
    </x:row>
    <x:row r="42" spans="1:6">
      <x:c r="B42" s="75" t="s">
        <x:v>36</x:v>
      </x:c>
      <x:c r="C42" s="93">
        <x:v>43828617.400000006</x:v>
      </x:c>
      <x:c r="D42" s="93">
        <x:f>D59</x:f>
        <x:v>42167220.75</x:v>
      </x:c>
      <x:c r="E42" s="94">
        <x:f t="shared" si="0"/>
        <x:v>0.96209333653312989</x:v>
      </x:c>
      <x:c r="F42" s="94">
        <x:f t="shared" si="1"/>
        <x:v>1.7090678933573786E-2</x:v>
      </x:c>
    </x:row>
    <x:row r="43" spans="1:6">
      <x:c r="B43" s="75" t="s">
        <x:v>31</x:v>
      </x:c>
      <x:c r="C43" s="93">
        <x:v>17325000</x:v>
      </x:c>
      <x:c r="D43" s="93">
        <x:f>D55</x:f>
        <x:v>17592467.199999999</x:v>
      </x:c>
      <x:c r="E43" s="94">
        <x:f t="shared" si="0"/>
        <x:v>1.0154382222222222</x:v>
      </x:c>
      <x:c r="F43" s="94">
        <x:f t="shared" si="1"/>
        <x:v>7.130353938838329E-3</x:v>
      </x:c>
    </x:row>
    <x:row r="44" spans="1:6">
      <x:c r="B44" s="75" t="s">
        <x:v>40</x:v>
      </x:c>
      <x:c r="C44" s="93">
        <x:v>4774500</x:v>
      </x:c>
      <x:c r="D44" s="93">
        <x:f>D61+D56+D60</x:f>
        <x:v>6029350.25</x:v>
      </x:c>
      <x:c r="E44" s="94">
        <x:f t="shared" si="0"/>
        <x:v>1.2628233846476071</x:v>
      </x:c>
      <x:c r="F44" s="94">
        <x:f t="shared" si="1"/>
        <x:v>2.4437391762608127E-3</x:v>
      </x:c>
    </x:row>
    <x:row r="45" spans="1:6">
      <x:c r="A45" s="25" t="s">
        <x:v>49</x:v>
      </x:c>
      <x:c r="B45" s="90"/>
      <x:c r="C45" s="91">
        <x:v>48457643.299158573</x:v>
      </x:c>
      <x:c r="D45" s="91">
        <x:f>D29-D46</x:f>
        <x:v>101693225.92120048</x:v>
      </x:c>
      <x:c r="E45" s="92">
        <x:f t="shared" si="0"/>
        <x:v>2.0986003238619388</x:v>
      </x:c>
      <x:c r="F45" s="92">
        <x:f t="shared" si="1"/>
        <x:v>4.1216998489012842E-2</x:v>
      </x:c>
    </x:row>
    <x:row r="46" spans="1:6">
      <x:c r="B46" s="75" t="s">
        <x:v>34</x:v>
      </x:c>
      <x:c r="C46" s="93">
        <x:v>61600000</x:v>
      </x:c>
      <x:c r="D46" s="93">
        <x:f>D58</x:f>
        <x:v>50356016.600000001</x:v>
      </x:c>
      <x:c r="E46" s="94">
        <x:f t="shared" si="0"/>
        <x:v>0.81746780194805202</x:v>
      </x:c>
      <x:c r="F46" s="94">
        <x:f t="shared" si="1"/>
        <x:v>2.0409656998423637E-2</x:v>
      </x:c>
    </x:row>
    <x:row r="48" spans="1:6">
      <x:c r="C48" s="75" t="s">
        <x:v>127</x:v>
      </x:c>
      <x:c r="D48" s="75" t="s">
        <x:v>129</x:v>
      </x:c>
    </x:row>
    <x:row r="49" spans="3:4">
      <x:c r="C49" s="75" t="s">
        <x:v>32</x:v>
      </x:c>
      <x:c r="D49" s="75">
        <x:v>62521305</x:v>
      </x:c>
    </x:row>
    <x:row r="50" spans="3:4">
      <x:c r="C50" s="75" t="s">
        <x:v>35</x:v>
      </x:c>
      <x:c r="D50" s="75">
        <x:v>8745970.75</x:v>
      </x:c>
    </x:row>
    <x:row r="51" spans="3:4">
      <x:c r="C51" s="75" t="s">
        <x:v>38</x:v>
      </x:c>
      <x:c r="D51" s="75">
        <x:v>2303782.25</x:v>
      </x:c>
    </x:row>
    <x:row r="52" spans="3:4">
      <x:c r="C52" s="75" t="s">
        <x:v>30</x:v>
      </x:c>
      <x:c r="D52" s="75">
        <x:v>12090794.1</x:v>
      </x:c>
    </x:row>
    <x:row r="53" spans="3:4">
      <x:c r="C53" s="75" t="s">
        <x:v>120</x:v>
      </x:c>
      <x:c r="D53" s="75">
        <x:v>13293418.6</x:v>
      </x:c>
    </x:row>
    <x:row r="54" spans="3:4">
      <x:c r="C54" s="75" t="s">
        <x:v>33</x:v>
      </x:c>
      <x:c r="D54" s="75">
        <x:v>8740214</x:v>
      </x:c>
    </x:row>
    <x:row r="55" spans="3:4">
      <x:c r="C55" s="75" t="s">
        <x:v>31</x:v>
      </x:c>
      <x:c r="D55" s="75">
        <x:v>17592467.199999999</x:v>
      </x:c>
    </x:row>
    <x:row r="56" spans="3:4">
      <x:c r="C56" s="75" t="s">
        <x:v>29</x:v>
      </x:c>
      <x:c r="D56" s="75">
        <x:v>1592660.3</x:v>
      </x:c>
    </x:row>
    <x:row r="57" spans="3:4">
      <x:c r="C57" s="75" t="s">
        <x:v>37</x:v>
      </x:c>
      <x:c r="D57" s="75">
        <x:v>3646335</x:v>
      </x:c>
    </x:row>
    <x:row r="58" spans="3:4">
      <x:c r="C58" s="75" t="s">
        <x:v>34</x:v>
      </x:c>
      <x:c r="D58" s="75">
        <x:v>50356016.600000001</x:v>
      </x:c>
    </x:row>
    <x:row r="59" spans="3:4">
      <x:c r="C59" s="75" t="s">
        <x:v>36</x:v>
      </x:c>
      <x:c r="D59" s="75">
        <x:v>42167220.75</x:v>
      </x:c>
    </x:row>
    <x:row r="60" spans="3:4">
      <x:c r="C60" s="75" t="s">
        <x:v>195</x:v>
      </x:c>
      <x:c r="D60" s="75">
        <x:v>4037949.3</x:v>
      </x:c>
    </x:row>
    <x:row r="61" spans="3:4">
      <x:c r="C61" s="75" t="s">
        <x:v>128</x:v>
      </x:c>
      <x:c r="D61" s="75">
        <x:v>398740.65</x:v>
      </x:c>
    </x:row>
    <x:row r="62" spans="3:4">
      <x:c r="C62" s="75" t="s">
        <x:v>27</x:v>
      </x:c>
    </x:row>
    <x:row r="63" spans="3:4">
      <x:c r="C63" s="75" t="s">
        <x:v>28</x:v>
      </x:c>
      <x:c r="D63" s="75">
        <x:v>227486874.5</x:v>
      </x:c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1CEBDF2-C11F-4911-A184-3719BF4DCE7B}" mc:Ignorable="x14ac xr xr2 xr3">
  <x:sheetPr>
    <x:tabColor rgb="FFFF0000"/>
  </x:sheetPr>
  <x:dimension ref="A1:M67"/>
  <x:sheetViews>
    <x:sheetView workbookViewId="0">
      <x:selection activeCell="E15" sqref="E15"/>
    </x:sheetView>
  </x:sheetViews>
  <x:sheetFormatPr defaultColWidth="35.25" defaultRowHeight="13.8"/>
  <x:cols>
    <x:col min="1" max="1" width="21.625" style="15" customWidth="1"/>
    <x:col min="2" max="2" width="20" style="15" customWidth="1"/>
    <x:col min="3" max="3" width="16.375" style="15" bestFit="1" customWidth="1"/>
    <x:col min="4" max="4" width="46.5" style="15" customWidth="1"/>
    <x:col min="5" max="5" width="38.875" style="15" customWidth="1"/>
    <x:col min="6" max="6" width="18.125" style="14" bestFit="1" customWidth="1"/>
    <x:col min="7" max="7" width="17.625" style="21" customWidth="1"/>
    <x:col min="8" max="8" width="20.125" style="18" customWidth="1"/>
    <x:col min="9" max="9" width="18.5" style="13" bestFit="1" customWidth="1"/>
    <x:col min="10" max="10" width="18.875" style="13" bestFit="1" customWidth="1"/>
    <x:col min="11" max="11" width="25" style="15" bestFit="1" customWidth="1"/>
    <x:col min="12" max="12" width="25.5" style="15" bestFit="1" customWidth="1"/>
    <x:col min="13" max="13" width="32.625" style="15" bestFit="1" customWidth="1"/>
    <x:col min="14" max="16384" width="35.25" style="15"/>
  </x:cols>
  <x:sheetData>
    <x:row r="1" spans="1:13" s="11" customFormat="1">
      <x:c r="A1" s="5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7" t="s">
        <x:v>21</x:v>
      </x:c>
      <x:c r="G1" s="19" t="s">
        <x:v>19</x:v>
      </x:c>
      <x:c r="H1" s="20" t="s">
        <x:v>22</x:v>
      </x:c>
      <x:c r="I1" s="8" t="s">
        <x:v>23</x:v>
      </x:c>
      <x:c r="J1" s="8" t="s">
        <x:v>24</x:v>
      </x:c>
      <x:c r="K1" s="9" t="s">
        <x:v>25</x:v>
      </x:c>
      <x:c r="L1" s="9" t="s">
        <x:v>26</x:v>
      </x:c>
      <x:c r="M1" s="10" t="s">
        <x:v>20</x:v>
      </x:c>
    </x:row>
    <x:row r="2" spans="1:13">
      <x:c r="A2" s="16">
        <x:v>46054</x:v>
      </x:c>
      <x:c r="B2" s="12" t="s">
        <x:v>6</x:v>
      </x:c>
      <x:c r="C2" s="12" t="s">
        <x:v>74</x:v>
      </x:c>
      <x:c r="D2" s="12" t="s">
        <x:v>5</x:v>
      </x:c>
      <x:c r="E2" s="12" t="s">
        <x:v>75</x:v>
      </x:c>
      <x:c r="F2" s="82">
        <x:v>400</x:v>
      </x:c>
      <x:c r="G2" s="18">
        <x:v>2.35</x:v>
      </x:c>
      <x:c r="H2" s="18">
        <x:v>2.5499999999999998</x:v>
      </x:c>
      <x:c r="I2" s="17">
        <x:f>F2*G2</x:f>
        <x:v>940</x:v>
      </x:c>
      <x:c r="J2" s="13">
        <x:f>F2*H2</x:f>
        <x:v>1019.9999999999999</x:v>
      </x:c>
      <x:c r="K2" s="14">
        <x:f>I2*4.2*385</x:f>
        <x:v>1519980</x:v>
      </x:c>
      <x:c r="L2" s="14">
        <x:f>J2*3.6*385</x:f>
        <x:v>1413719.9999999998</x:v>
      </x:c>
      <x:c r="M2" s="11" t="s">
        <x:v>125</x:v>
      </x:c>
    </x:row>
    <x:row r="3" spans="1:13" s="11" customFormat="1">
      <x:c r="A3" s="16">
        <x:v>46054</x:v>
      </x:c>
      <x:c r="B3" s="22" t="s">
        <x:v>6</x:v>
      </x:c>
      <x:c r="C3" s="22" t="s">
        <x:v>7</x:v>
      </x:c>
      <x:c r="D3" s="22" t="s">
        <x:v>5</x:v>
      </x:c>
      <x:c r="E3" s="22" t="s">
        <x:v>8</x:v>
      </x:c>
      <x:c r="F3" s="83">
        <x:v>3000</x:v>
      </x:c>
      <x:c r="G3" s="23">
        <x:v>0.56000000000000005</x:v>
      </x:c>
      <x:c r="H3" s="23">
        <x:v>0.39</x:v>
      </x:c>
      <x:c r="I3" s="17">
        <x:f>F3*G3</x:f>
        <x:v>1680.0000000000002</x:v>
      </x:c>
      <x:c r="J3" s="17">
        <x:f>F3*H3</x:f>
        <x:v>1170</x:v>
      </x:c>
      <x:c r="K3" s="14">
        <x:f t="shared" ref="K3:K66" si="0">I3*4.2*385</x:f>
        <x:v>2716560.0000000005</x:v>
      </x:c>
      <x:c r="L3" s="14">
        <x:f t="shared" ref="L3:L66" si="1">J3*3.6*385</x:f>
        <x:v>1621620</x:v>
      </x:c>
      <x:c r="M3" s="15"/>
    </x:row>
    <x:row r="4" spans="1:13" s="11" customFormat="1">
      <x:c r="A4" s="16">
        <x:v>46054</x:v>
      </x:c>
      <x:c r="B4" s="22" t="s">
        <x:v>6</x:v>
      </x:c>
      <x:c r="C4" s="22" t="s">
        <x:v>9</x:v>
      </x:c>
      <x:c r="D4" s="22" t="s">
        <x:v>5</x:v>
      </x:c>
      <x:c r="E4" s="22" t="s">
        <x:v>10</x:v>
      </x:c>
      <x:c r="F4" s="83">
        <x:v>600</x:v>
      </x:c>
      <x:c r="G4" s="23">
        <x:v>3.74</x:v>
      </x:c>
      <x:c r="H4" s="23">
        <x:v>3.41</x:v>
      </x:c>
      <x:c r="I4" s="17">
        <x:f>F4*G4</x:f>
        <x:v>2244</x:v>
      </x:c>
      <x:c r="J4" s="17">
        <x:f>F4*H4</x:f>
        <x:v>2046</x:v>
      </x:c>
      <x:c r="K4" s="14">
        <x:f t="shared" si="0"/>
        <x:v>3628548.0000000005</x:v>
      </x:c>
      <x:c r="L4" s="14">
        <x:f t="shared" si="1"/>
        <x:v>2835756</x:v>
      </x:c>
      <x:c r="M4" s="11" t="s">
        <x:v>135</x:v>
      </x:c>
    </x:row>
    <x:row r="5" spans="1:13" s="11" customFormat="1">
      <x:c r="A5" s="16">
        <x:v>46054</x:v>
      </x:c>
      <x:c r="B5" s="22" t="s">
        <x:v>6</x:v>
      </x:c>
      <x:c r="C5" s="22" t="s">
        <x:v>79</x:v>
      </x:c>
      <x:c r="D5" s="22" t="s">
        <x:v>5</x:v>
      </x:c>
      <x:c r="E5" s="22" t="s">
        <x:v>11</x:v>
      </x:c>
      <x:c r="F5" s="83">
        <x:v>1000</x:v>
      </x:c>
      <x:c r="G5" s="23">
        <x:v>7.71</x:v>
      </x:c>
      <x:c r="H5" s="23">
        <x:v>6.95</x:v>
      </x:c>
      <x:c r="I5" s="17">
        <x:f t="shared" ref="I5:I7" si="2">F5*G5</x:f>
        <x:v>7710</x:v>
      </x:c>
      <x:c r="J5" s="17">
        <x:f t="shared" ref="J5:J7" si="3">F5*H5</x:f>
        <x:v>6950</x:v>
      </x:c>
      <x:c r="K5" s="14">
        <x:f t="shared" si="0"/>
        <x:v>12467070</x:v>
      </x:c>
      <x:c r="L5" s="14">
        <x:f t="shared" si="1"/>
        <x:v>9632700</x:v>
      </x:c>
      <x:c r="M5" s="11" t="s">
        <x:v>135</x:v>
      </x:c>
    </x:row>
    <x:row r="6" spans="1:13" s="11" customFormat="1">
      <x:c r="A6" s="16">
        <x:v>46054</x:v>
      </x:c>
      <x:c r="B6" s="22" t="s">
        <x:v>6</x:v>
      </x:c>
      <x:c r="C6" s="22" t="s">
        <x:v>80</x:v>
      </x:c>
      <x:c r="D6" s="22" t="s">
        <x:v>5</x:v>
      </x:c>
      <x:c r="E6" s="22" t="s">
        <x:v>12</x:v>
      </x:c>
      <x:c r="F6" s="83">
        <x:v>1000</x:v>
      </x:c>
      <x:c r="G6" s="23">
        <x:v>5.31</x:v>
      </x:c>
      <x:c r="H6" s="23">
        <x:v>4.79</x:v>
      </x:c>
      <x:c r="I6" s="17">
        <x:f t="shared" si="2"/>
        <x:v>5310</x:v>
      </x:c>
      <x:c r="J6" s="17">
        <x:f t="shared" si="3"/>
        <x:v>4790</x:v>
      </x:c>
      <x:c r="K6" s="14">
        <x:f t="shared" si="0"/>
        <x:v>8586270</x:v>
      </x:c>
      <x:c r="L6" s="14">
        <x:f t="shared" si="1"/>
        <x:v>6638940</x:v>
      </x:c>
      <x:c r="M6" s="11" t="s">
        <x:v>135</x:v>
      </x:c>
    </x:row>
    <x:row r="7" spans="1:13" s="11" customFormat="1">
      <x:c r="A7" s="16">
        <x:v>46054</x:v>
      </x:c>
      <x:c r="B7" s="22" t="s">
        <x:v>6</x:v>
      </x:c>
      <x:c r="C7" s="22" t="s">
        <x:v>13</x:v>
      </x:c>
      <x:c r="D7" s="22" t="s">
        <x:v>5</x:v>
      </x:c>
      <x:c r="E7" s="22" t="s">
        <x:v>14</x:v>
      </x:c>
      <x:c r="F7" s="83">
        <x:v>360</x:v>
      </x:c>
      <x:c r="G7" s="23">
        <x:v>85.86</x:v>
      </x:c>
      <x:c r="H7" s="23">
        <x:v>98.23</x:v>
      </x:c>
      <x:c r="I7" s="13">
        <x:f t="shared" si="2"/>
        <x:v>30909.599999999999</x:v>
      </x:c>
      <x:c r="J7" s="13">
        <x:f t="shared" si="3"/>
        <x:v>35362.800000000003</x:v>
      </x:c>
      <x:c r="K7" s="14">
        <x:f t="shared" si="0"/>
        <x:v>49980823.199999996</x:v>
      </x:c>
      <x:c r="L7" s="14">
        <x:f t="shared" si="1"/>
        <x:v>49012840.800000004</x:v>
      </x:c>
      <x:c r="M7" s="11" t="s">
        <x:v>125</x:v>
      </x:c>
    </x:row>
    <x:row r="8" spans="1:13" s="11" customFormat="1">
      <x:c r="A8" s="16">
        <x:v>46054</x:v>
      </x:c>
      <x:c r="B8" s="22" t="s">
        <x:v>6</x:v>
      </x:c>
      <x:c r="C8" s="22" t="s">
        <x:v>15</x:v>
      </x:c>
      <x:c r="D8" s="22" t="s">
        <x:v>5</x:v>
      </x:c>
      <x:c r="E8" s="22" t="s">
        <x:v>16</x:v>
      </x:c>
      <x:c r="F8" s="83">
        <x:v>600</x:v>
      </x:c>
      <x:c r="G8" s="23">
        <x:v>117.2</x:v>
      </x:c>
      <x:c r="H8" s="23">
        <x:v>157.04</x:v>
      </x:c>
      <x:c r="I8" s="13">
        <x:f>F8*G8</x:f>
        <x:v>70320</x:v>
      </x:c>
      <x:c r="J8" s="13">
        <x:f>F8*H8</x:f>
        <x:v>94224</x:v>
      </x:c>
      <x:c r="K8" s="14">
        <x:f t="shared" si="0"/>
        <x:v>113707440</x:v>
      </x:c>
      <x:c r="L8" s="14">
        <x:f t="shared" si="1"/>
        <x:v>130594464.00000001</x:v>
      </x:c>
      <x:c r="M8" s="11" t="s">
        <x:v>135</x:v>
      </x:c>
    </x:row>
    <x:row r="9" spans="1:13" s="11" customFormat="1">
      <x:c r="A9" s="16">
        <x:v>46054</x:v>
      </x:c>
      <x:c r="B9" s="22" t="s">
        <x:v>6</x:v>
      </x:c>
      <x:c r="C9" s="22" t="s">
        <x:v>107</x:v>
      </x:c>
      <x:c r="D9" s="22" t="s">
        <x:v>5</x:v>
      </x:c>
      <x:c r="E9" s="22" t="s">
        <x:v>17</x:v>
      </x:c>
      <x:c r="F9" s="83">
        <x:v>480</x:v>
      </x:c>
      <x:c r="G9" s="23">
        <x:v>27.14</x:v>
      </x:c>
      <x:c r="H9" s="23">
        <x:v>24.12</x:v>
      </x:c>
      <x:c r="I9" s="13">
        <x:f>F9*G9</x:f>
        <x:v>13027.2</x:v>
      </x:c>
      <x:c r="J9" s="13">
        <x:f>F9*H9</x:f>
        <x:v>11577.6</x:v>
      </x:c>
      <x:c r="K9" s="14">
        <x:f t="shared" si="0"/>
        <x:v>21064982.400000002</x:v>
      </x:c>
      <x:c r="L9" s="14">
        <x:f t="shared" si="1"/>
        <x:v>16046553.6</x:v>
      </x:c>
      <x:c r="M9" s="11" t="s">
        <x:v>135</x:v>
      </x:c>
    </x:row>
    <x:row r="10" spans="1:13" s="11" customFormat="1">
      <x:c r="A10" s="16">
        <x:v>46054</x:v>
      </x:c>
      <x:c r="B10" s="22" t="s">
        <x:v>6</x:v>
      </x:c>
      <x:c r="C10" s="22" t="s">
        <x:v>81</x:v>
      </x:c>
      <x:c r="D10" s="22" t="s">
        <x:v>5</x:v>
      </x:c>
      <x:c r="E10" s="22" t="s">
        <x:v>18</x:v>
      </x:c>
      <x:c r="F10" s="83">
        <x:v>480</x:v>
      </x:c>
      <x:c r="G10" s="23">
        <x:v>156.75</x:v>
      </x:c>
      <x:c r="H10" s="23">
        <x:v>141.68</x:v>
      </x:c>
      <x:c r="I10" s="13">
        <x:f t="shared" ref="I10" si="4">F10*G10</x:f>
        <x:v>75240</x:v>
      </x:c>
      <x:c r="J10" s="13">
        <x:f t="shared" ref="J10" si="5">F10*H10</x:f>
        <x:v>68006.400000000009</x:v>
      </x:c>
      <x:c r="K10" s="14">
        <x:f t="shared" ref="K10" si="6">I10*4.2*385</x:f>
        <x:v>121663080</x:v>
      </x:c>
      <x:c r="L10" s="14">
        <x:f t="shared" ref="L10" si="7">J10*3.6*385</x:f>
        <x:v>94256870.400000021</x:v>
      </x:c>
      <x:c r="M10" s="11" t="s">
        <x:v>135</x:v>
      </x:c>
    </x:row>
    <x:row r="11" spans="1:13" s="11" customFormat="1">
      <x:c r="A11" s="16">
        <x:v>46055</x:v>
      </x:c>
      <x:c r="B11" s="22" t="s">
        <x:v>6</x:v>
      </x:c>
      <x:c r="C11" s="22" t="s">
        <x:v>107</x:v>
      </x:c>
      <x:c r="D11" s="22" t="s">
        <x:v>5</x:v>
      </x:c>
      <x:c r="E11" s="22" t="s">
        <x:v>17</x:v>
      </x:c>
      <x:c r="F11" s="83">
        <x:v>33</x:v>
      </x:c>
      <x:c r="G11" s="23">
        <x:v>27.14</x:v>
      </x:c>
      <x:c r="H11" s="23">
        <x:v>24.12</x:v>
      </x:c>
      <x:c r="I11" s="13">
        <x:f>F11*G11</x:f>
        <x:v>895.62</x:v>
      </x:c>
      <x:c r="J11" s="13">
        <x:f>F11*H11</x:f>
        <x:v>795.96</x:v>
      </x:c>
      <x:c r="K11" s="14">
        <x:f t="shared" ref="K11" si="8">I11*4.2*385</x:f>
        <x:v>1448217.54</x:v>
      </x:c>
      <x:c r="L11" s="14">
        <x:f t="shared" ref="L11" si="9">J11*3.6*385</x:f>
        <x:v>1103200.56</x:v>
      </x:c>
      <x:c r="M11" s="11" t="s">
        <x:v>135</x:v>
      </x:c>
    </x:row>
    <x:row r="12" spans="1:13">
      <x:c r="A12" s="16">
        <x:v>46060</x:v>
      </x:c>
      <x:c r="B12" s="12" t="s">
        <x:v>6</x:v>
      </x:c>
      <x:c r="C12" s="12" t="s">
        <x:v>74</x:v>
      </x:c>
      <x:c r="D12" s="12" t="s">
        <x:v>5</x:v>
      </x:c>
      <x:c r="E12" s="12" t="s">
        <x:v>75</x:v>
      </x:c>
      <x:c r="F12" s="82">
        <x:v>200</x:v>
      </x:c>
      <x:c r="G12" s="18">
        <x:v>2.35</x:v>
      </x:c>
      <x:c r="H12" s="18">
        <x:v>2.5499999999999998</x:v>
      </x:c>
      <x:c r="I12" s="17">
        <x:f>F12*G12</x:f>
        <x:v>470</x:v>
      </x:c>
      <x:c r="J12" s="13">
        <x:f>F12*H12</x:f>
        <x:v>509.99999999999994</x:v>
      </x:c>
      <x:c r="K12" s="14">
        <x:f>I12*4.2*385</x:f>
        <x:v>759990</x:v>
      </x:c>
      <x:c r="L12" s="14">
        <x:f>J12*3.6*385</x:f>
        <x:v>706859.99999999988</x:v>
      </x:c>
      <x:c r="M12" s="11" t="s">
        <x:v>125</x:v>
      </x:c>
    </x:row>
    <x:row r="13" spans="1:13" s="11" customFormat="1">
      <x:c r="A13" s="16">
        <x:v>46060</x:v>
      </x:c>
      <x:c r="B13" s="22" t="s">
        <x:v>6</x:v>
      </x:c>
      <x:c r="C13" s="22" t="s">
        <x:v>130</x:v>
      </x:c>
      <x:c r="D13" s="22" t="s">
        <x:v>5</x:v>
      </x:c>
      <x:c r="E13" s="22" t="s">
        <x:v>131</x:v>
      </x:c>
      <x:c r="F13" s="83">
        <x:v>300</x:v>
      </x:c>
      <x:c r="G13" s="23">
        <x:v>7.68</x:v>
      </x:c>
      <x:c r="H13" s="23">
        <x:v>8.25</x:v>
      </x:c>
      <x:c r="I13" s="17">
        <x:f t="shared" ref="I13" si="10">F13*G13</x:f>
        <x:v>2304</x:v>
      </x:c>
      <x:c r="J13" s="17">
        <x:f t="shared" ref="J13" si="11">F13*H13</x:f>
        <x:v>2475</x:v>
      </x:c>
      <x:c r="K13" s="14">
        <x:f t="shared" ref="K13:K20" si="12">I13*4.2*385</x:f>
        <x:v>3725568.0000000005</x:v>
      </x:c>
      <x:c r="L13" s="14">
        <x:f t="shared" ref="L13:L20" si="13">J13*3.6*385</x:f>
        <x:v>3430350</x:v>
      </x:c>
      <x:c r="M13" s="11" t="s">
        <x:v>125</x:v>
      </x:c>
    </x:row>
    <x:row r="14" spans="1:13" s="11" customFormat="1">
      <x:c r="A14" s="16">
        <x:v>46060</x:v>
      </x:c>
      <x:c r="B14" s="22" t="s">
        <x:v>6</x:v>
      </x:c>
      <x:c r="C14" s="22" t="s">
        <x:v>7</x:v>
      </x:c>
      <x:c r="D14" s="22" t="s">
        <x:v>5</x:v>
      </x:c>
      <x:c r="E14" s="22" t="s">
        <x:v>8</x:v>
      </x:c>
      <x:c r="F14" s="83">
        <x:v>5000</x:v>
      </x:c>
      <x:c r="G14" s="23">
        <x:v>0.56000000000000005</x:v>
      </x:c>
      <x:c r="H14" s="23">
        <x:v>0.39</x:v>
      </x:c>
      <x:c r="I14" s="17">
        <x:f>F14*G14</x:f>
        <x:v>2800.0000000000005</x:v>
      </x:c>
      <x:c r="J14" s="17">
        <x:f>F14*H14</x:f>
        <x:v>1950</x:v>
      </x:c>
      <x:c r="K14" s="14">
        <x:f t="shared" si="12"/>
        <x:v>4527600.0000000009</x:v>
      </x:c>
      <x:c r="L14" s="14">
        <x:f t="shared" si="13"/>
        <x:v>2702700</x:v>
      </x:c>
      <x:c r="M14" s="15"/>
    </x:row>
    <x:row r="15" spans="1:13" s="11" customFormat="1">
      <x:c r="A15" s="16">
        <x:v>46060</x:v>
      </x:c>
      <x:c r="B15" s="22" t="s">
        <x:v>6</x:v>
      </x:c>
      <x:c r="C15" s="22" t="s">
        <x:v>9</x:v>
      </x:c>
      <x:c r="D15" s="22" t="s">
        <x:v>5</x:v>
      </x:c>
      <x:c r="E15" s="22" t="s">
        <x:v>10</x:v>
      </x:c>
      <x:c r="F15" s="83">
        <x:v>600</x:v>
      </x:c>
      <x:c r="G15" s="23">
        <x:v>3.74</x:v>
      </x:c>
      <x:c r="H15" s="23">
        <x:v>3.41</x:v>
      </x:c>
      <x:c r="I15" s="17">
        <x:f>F15*G15</x:f>
        <x:v>2244</x:v>
      </x:c>
      <x:c r="J15" s="17">
        <x:f>F15*H15</x:f>
        <x:v>2046</x:v>
      </x:c>
      <x:c r="K15" s="14">
        <x:f t="shared" si="12"/>
        <x:v>3628548.0000000005</x:v>
      </x:c>
      <x:c r="L15" s="14">
        <x:f t="shared" si="13"/>
        <x:v>2835756</x:v>
      </x:c>
      <x:c r="M15" s="11" t="s">
        <x:v>135</x:v>
      </x:c>
    </x:row>
    <x:row r="16" spans="1:13" s="11" customFormat="1">
      <x:c r="A16" s="16">
        <x:v>46060</x:v>
      </x:c>
      <x:c r="B16" s="22" t="s">
        <x:v>6</x:v>
      </x:c>
      <x:c r="C16" s="22" t="s">
        <x:v>79</x:v>
      </x:c>
      <x:c r="D16" s="22" t="s">
        <x:v>5</x:v>
      </x:c>
      <x:c r="E16" s="22" t="s">
        <x:v>11</x:v>
      </x:c>
      <x:c r="F16" s="83">
        <x:v>1000</x:v>
      </x:c>
      <x:c r="G16" s="23">
        <x:v>7.71</x:v>
      </x:c>
      <x:c r="H16" s="23">
        <x:v>6.95</x:v>
      </x:c>
      <x:c r="I16" s="17">
        <x:f t="shared" ref="I16:I17" si="14">F16*G16</x:f>
        <x:v>7710</x:v>
      </x:c>
      <x:c r="J16" s="17">
        <x:f t="shared" ref="J16:J17" si="15">F16*H16</x:f>
        <x:v>6950</x:v>
      </x:c>
      <x:c r="K16" s="14">
        <x:f t="shared" si="12"/>
        <x:v>12467070</x:v>
      </x:c>
      <x:c r="L16" s="14">
        <x:f t="shared" si="13"/>
        <x:v>9632700</x:v>
      </x:c>
      <x:c r="M16" s="11" t="s">
        <x:v>135</x:v>
      </x:c>
    </x:row>
    <x:row r="17" spans="1:13" s="11" customFormat="1">
      <x:c r="A17" s="16">
        <x:v>46060</x:v>
      </x:c>
      <x:c r="B17" s="22" t="s">
        <x:v>6</x:v>
      </x:c>
      <x:c r="C17" s="22" t="s">
        <x:v>80</x:v>
      </x:c>
      <x:c r="D17" s="22" t="s">
        <x:v>5</x:v>
      </x:c>
      <x:c r="E17" s="22" t="s">
        <x:v>12</x:v>
      </x:c>
      <x:c r="F17" s="83">
        <x:v>1000</x:v>
      </x:c>
      <x:c r="G17" s="23">
        <x:v>5.31</x:v>
      </x:c>
      <x:c r="H17" s="23">
        <x:v>4.79</x:v>
      </x:c>
      <x:c r="I17" s="17">
        <x:f t="shared" si="14"/>
        <x:v>5310</x:v>
      </x:c>
      <x:c r="J17" s="17">
        <x:f t="shared" si="15"/>
        <x:v>4790</x:v>
      </x:c>
      <x:c r="K17" s="14">
        <x:f t="shared" si="12"/>
        <x:v>8586270</x:v>
      </x:c>
      <x:c r="L17" s="14">
        <x:f t="shared" si="13"/>
        <x:v>6638940</x:v>
      </x:c>
      <x:c r="M17" s="11" t="s">
        <x:v>135</x:v>
      </x:c>
    </x:row>
    <x:row r="18" spans="1:13" s="11" customFormat="1">
      <x:c r="A18" s="16">
        <x:v>46060</x:v>
      </x:c>
      <x:c r="B18" s="22" t="s">
        <x:v>6</x:v>
      </x:c>
      <x:c r="C18" s="22" t="s">
        <x:v>15</x:v>
      </x:c>
      <x:c r="D18" s="22" t="s">
        <x:v>5</x:v>
      </x:c>
      <x:c r="E18" s="22" t="s">
        <x:v>16</x:v>
      </x:c>
      <x:c r="F18" s="83">
        <x:v>600</x:v>
      </x:c>
      <x:c r="G18" s="23">
        <x:v>117.2</x:v>
      </x:c>
      <x:c r="H18" s="23">
        <x:v>157.04</x:v>
      </x:c>
      <x:c r="I18" s="13">
        <x:f>F18*G18</x:f>
        <x:v>70320</x:v>
      </x:c>
      <x:c r="J18" s="13">
        <x:f>F18*H18</x:f>
        <x:v>94224</x:v>
      </x:c>
      <x:c r="K18" s="14">
        <x:f t="shared" si="12"/>
        <x:v>113707440</x:v>
      </x:c>
      <x:c r="L18" s="14">
        <x:f t="shared" si="13"/>
        <x:v>130594464.00000001</x:v>
      </x:c>
      <x:c r="M18" s="11" t="s">
        <x:v>135</x:v>
      </x:c>
    </x:row>
    <x:row r="19" spans="1:13" s="11" customFormat="1">
      <x:c r="A19" s="16">
        <x:v>46060</x:v>
      </x:c>
      <x:c r="B19" s="22" t="s">
        <x:v>6</x:v>
      </x:c>
      <x:c r="C19" s="22" t="s">
        <x:v>107</x:v>
      </x:c>
      <x:c r="D19" s="22" t="s">
        <x:v>5</x:v>
      </x:c>
      <x:c r="E19" s="22" t="s">
        <x:v>17</x:v>
      </x:c>
      <x:c r="F19" s="83">
        <x:v>960</x:v>
      </x:c>
      <x:c r="G19" s="23">
        <x:v>27.14</x:v>
      </x:c>
      <x:c r="H19" s="23">
        <x:v>24.12</x:v>
      </x:c>
      <x:c r="I19" s="13">
        <x:f>F19*G19</x:f>
        <x:v>26054.400000000001</x:v>
      </x:c>
      <x:c r="J19" s="13">
        <x:f>F19*H19</x:f>
        <x:v>23155.200000000001</x:v>
      </x:c>
      <x:c r="K19" s="14">
        <x:f t="shared" si="12"/>
        <x:v>42129964.800000004</x:v>
      </x:c>
      <x:c r="L19" s="14">
        <x:f t="shared" si="13"/>
        <x:v>32093107.199999999</x:v>
      </x:c>
      <x:c r="M19" s="11" t="s">
        <x:v>135</x:v>
      </x:c>
    </x:row>
    <x:row r="20" spans="1:13" s="11" customFormat="1">
      <x:c r="A20" s="16">
        <x:v>46060</x:v>
      </x:c>
      <x:c r="B20" s="22" t="s">
        <x:v>6</x:v>
      </x:c>
      <x:c r="C20" s="22" t="s">
        <x:v>81</x:v>
      </x:c>
      <x:c r="D20" s="22" t="s">
        <x:v>5</x:v>
      </x:c>
      <x:c r="E20" s="22" t="s">
        <x:v>18</x:v>
      </x:c>
      <x:c r="F20" s="83">
        <x:v>450</x:v>
      </x:c>
      <x:c r="G20" s="23">
        <x:v>156.75</x:v>
      </x:c>
      <x:c r="H20" s="23">
        <x:v>141.68</x:v>
      </x:c>
      <x:c r="I20" s="13">
        <x:f t="shared" ref="I20" si="16">F20*G20</x:f>
        <x:v>70537.5</x:v>
      </x:c>
      <x:c r="J20" s="13">
        <x:f t="shared" ref="J20" si="17">F20*H20</x:f>
        <x:v>63756</x:v>
      </x:c>
      <x:c r="K20" s="14">
        <x:f t="shared" si="12"/>
        <x:v>114059137.5</x:v>
      </x:c>
      <x:c r="L20" s="14">
        <x:f t="shared" si="13"/>
        <x:v>88365816</x:v>
      </x:c>
      <x:c r="M20" s="11" t="s">
        <x:v>135</x:v>
      </x:c>
    </x:row>
    <x:row r="21" spans="1:13" s="11" customFormat="1">
      <x:c r="A21" s="16">
        <x:v>46070</x:v>
      </x:c>
      <x:c r="B21" s="22" t="s">
        <x:v>6</x:v>
      </x:c>
      <x:c r="C21" s="22" t="s">
        <x:v>7</x:v>
      </x:c>
      <x:c r="D21" s="22" t="s">
        <x:v>5</x:v>
      </x:c>
      <x:c r="E21" s="22" t="s">
        <x:v>8</x:v>
      </x:c>
      <x:c r="F21" s="83">
        <x:v>2000</x:v>
      </x:c>
      <x:c r="G21" s="23">
        <x:v>0.56000000000000005</x:v>
      </x:c>
      <x:c r="H21" s="23">
        <x:v>0.39</x:v>
      </x:c>
      <x:c r="I21" s="17">
        <x:f>F21*G21</x:f>
        <x:v>1120</x:v>
      </x:c>
      <x:c r="J21" s="17">
        <x:f>F21*H21</x:f>
        <x:v>780</x:v>
      </x:c>
      <x:c r="K21" s="14">
        <x:f t="shared" ref="K21:K27" si="18">I21*4.2*385</x:f>
        <x:v>1811040</x:v>
      </x:c>
      <x:c r="L21" s="14">
        <x:f t="shared" ref="L21:L27" si="19">J21*3.6*385</x:f>
        <x:v>1081080</x:v>
      </x:c>
      <x:c r="M21" s="15"/>
    </x:row>
    <x:row r="22" spans="1:13" s="11" customFormat="1">
      <x:c r="A22" s="16">
        <x:v>46070</x:v>
      </x:c>
      <x:c r="B22" s="22" t="s">
        <x:v>6</x:v>
      </x:c>
      <x:c r="C22" s="22" t="s">
        <x:v>9</x:v>
      </x:c>
      <x:c r="D22" s="22" t="s">
        <x:v>5</x:v>
      </x:c>
      <x:c r="E22" s="22" t="s">
        <x:v>10</x:v>
      </x:c>
      <x:c r="F22" s="83">
        <x:v>400</x:v>
      </x:c>
      <x:c r="G22" s="23">
        <x:v>3.74</x:v>
      </x:c>
      <x:c r="H22" s="23">
        <x:v>3.41</x:v>
      </x:c>
      <x:c r="I22" s="17">
        <x:f>F22*G22</x:f>
        <x:v>1496</x:v>
      </x:c>
      <x:c r="J22" s="17">
        <x:f>F22*H22</x:f>
        <x:v>1364</x:v>
      </x:c>
      <x:c r="K22" s="14">
        <x:f t="shared" si="18"/>
        <x:v>2419032</x:v>
      </x:c>
      <x:c r="L22" s="14">
        <x:f t="shared" si="19"/>
        <x:v>1890504.0000000002</x:v>
      </x:c>
      <x:c r="M22" s="11" t="s">
        <x:v>135</x:v>
      </x:c>
    </x:row>
    <x:row r="23" spans="1:13" s="11" customFormat="1">
      <x:c r="A23" s="16">
        <x:v>46070</x:v>
      </x:c>
      <x:c r="B23" s="22" t="s">
        <x:v>6</x:v>
      </x:c>
      <x:c r="C23" s="22" t="s">
        <x:v>15</x:v>
      </x:c>
      <x:c r="D23" s="22" t="s">
        <x:v>5</x:v>
      </x:c>
      <x:c r="E23" s="22" t="s">
        <x:v>16</x:v>
      </x:c>
      <x:c r="F23" s="83">
        <x:v>600</x:v>
      </x:c>
      <x:c r="G23" s="23">
        <x:v>117.2</x:v>
      </x:c>
      <x:c r="H23" s="23">
        <x:v>157.04</x:v>
      </x:c>
      <x:c r="I23" s="13">
        <x:f>F23*G23</x:f>
        <x:v>70320</x:v>
      </x:c>
      <x:c r="J23" s="13">
        <x:f>F23*H23</x:f>
        <x:v>94224</x:v>
      </x:c>
      <x:c r="K23" s="14">
        <x:f t="shared" si="18"/>
        <x:v>113707440</x:v>
      </x:c>
      <x:c r="L23" s="14">
        <x:f t="shared" si="19"/>
        <x:v>130594464.00000001</x:v>
      </x:c>
      <x:c r="M23" s="11" t="s">
        <x:v>135</x:v>
      </x:c>
    </x:row>
    <x:row r="24" spans="1:13" s="11" customFormat="1">
      <x:c r="A24" s="16">
        <x:v>46070</x:v>
      </x:c>
      <x:c r="B24" s="22" t="s">
        <x:v>6</x:v>
      </x:c>
      <x:c r="C24" s="22" t="s">
        <x:v>107</x:v>
      </x:c>
      <x:c r="D24" s="22" t="s">
        <x:v>5</x:v>
      </x:c>
      <x:c r="E24" s="22" t="s">
        <x:v>17</x:v>
      </x:c>
      <x:c r="F24" s="83">
        <x:v>480</x:v>
      </x:c>
      <x:c r="G24" s="23">
        <x:v>27.14</x:v>
      </x:c>
      <x:c r="H24" s="23">
        <x:v>24.12</x:v>
      </x:c>
      <x:c r="I24" s="13">
        <x:f>F24*G24</x:f>
        <x:v>13027.2</x:v>
      </x:c>
      <x:c r="J24" s="13">
        <x:f>F24*H24</x:f>
        <x:v>11577.6</x:v>
      </x:c>
      <x:c r="K24" s="14">
        <x:f t="shared" si="18"/>
        <x:v>21064982.400000002</x:v>
      </x:c>
      <x:c r="L24" s="14">
        <x:f t="shared" si="19"/>
        <x:v>16046553.6</x:v>
      </x:c>
      <x:c r="M24" s="11" t="s">
        <x:v>135</x:v>
      </x:c>
    </x:row>
    <x:row r="25" spans="1:13" s="11" customFormat="1">
      <x:c r="A25" s="16">
        <x:v>46070</x:v>
      </x:c>
      <x:c r="B25" s="22" t="s">
        <x:v>6</x:v>
      </x:c>
      <x:c r="C25" s="22" t="s">
        <x:v>166</x:v>
      </x:c>
      <x:c r="D25" s="22" t="s">
        <x:v>5</x:v>
      </x:c>
      <x:c r="E25" s="22" t="s">
        <x:v>18</x:v>
      </x:c>
      <x:c r="F25" s="83">
        <x:v>960</x:v>
      </x:c>
      <x:c r="G25" s="23">
        <x:v>156.75</x:v>
      </x:c>
      <x:c r="H25" s="23">
        <x:v>141.68</x:v>
      </x:c>
      <x:c r="I25" s="13">
        <x:f t="shared" ref="I25:I27" si="20">F25*G25</x:f>
        <x:v>150480</x:v>
      </x:c>
      <x:c r="J25" s="13">
        <x:f t="shared" ref="J25:J27" si="21">F25*H25</x:f>
        <x:v>136012.80000000002</x:v>
      </x:c>
      <x:c r="K25" s="14">
        <x:f t="shared" si="18"/>
        <x:v>243326160</x:v>
      </x:c>
      <x:c r="L25" s="14">
        <x:f t="shared" si="19"/>
        <x:v>188513740.80000004</x:v>
      </x:c>
      <x:c r="M25" s="11" t="s">
        <x:v>135</x:v>
      </x:c>
    </x:row>
    <x:row r="26" spans="1:13">
      <x:c r="A26" s="16">
        <x:v>46054</x:v>
      </x:c>
      <x:c r="B26" s="12" t="s">
        <x:v>93</x:v>
      </x:c>
      <x:c r="C26" s="12" t="s">
        <x:v>132</x:v>
      </x:c>
      <x:c r="D26" s="12" t="s">
        <x:v>5</x:v>
      </x:c>
      <x:c r="E26" s="12" t="s">
        <x:v>95</x:v>
      </x:c>
      <x:c r="F26" s="82">
        <x:v>2304</x:v>
      </x:c>
      <x:c r="G26" s="18">
        <x:v>7.59</x:v>
      </x:c>
      <x:c r="H26" s="18">
        <x:v>7.41</x:v>
      </x:c>
      <x:c r="I26" s="17">
        <x:f t="shared" si="20"/>
        <x:v>17487.36</x:v>
      </x:c>
      <x:c r="J26" s="13">
        <x:f t="shared" si="21"/>
        <x:v>17072.64</x:v>
      </x:c>
      <x:c r="K26" s="14">
        <x:f t="shared" si="18"/>
        <x:v>28277061.120000005</x:v>
      </x:c>
      <x:c r="L26" s="14">
        <x:f t="shared" si="19"/>
        <x:v>23662679.039999999</x:v>
      </x:c>
      <x:c r="M26" s="11" t="s">
        <x:v>134</x:v>
      </x:c>
    </x:row>
    <x:row r="27" spans="1:13">
      <x:c r="A27" s="16">
        <x:v>46054</x:v>
      </x:c>
      <x:c r="B27" s="12" t="s">
        <x:v>93</x:v>
      </x:c>
      <x:c r="C27" s="12" t="s">
        <x:v>133</x:v>
      </x:c>
      <x:c r="D27" s="12" t="s">
        <x:v>5</x:v>
      </x:c>
      <x:c r="E27" s="12" t="s">
        <x:v>94</x:v>
      </x:c>
      <x:c r="F27" s="82">
        <x:v>1792</x:v>
      </x:c>
      <x:c r="G27" s="18">
        <x:v>10.28</x:v>
      </x:c>
      <x:c r="H27" s="18">
        <x:v>10.029999999999999</x:v>
      </x:c>
      <x:c r="I27" s="17">
        <x:f t="shared" si="20"/>
        <x:v>18421.759999999998</x:v>
      </x:c>
      <x:c r="J27" s="13">
        <x:f t="shared" si="21"/>
        <x:v>17973.759999999998</x:v>
      </x:c>
      <x:c r="K27" s="14">
        <x:f t="shared" si="18"/>
        <x:v>29787985.919999998</x:v>
      </x:c>
      <x:c r="L27" s="14">
        <x:f t="shared" si="19"/>
        <x:v>24911631.359999996</x:v>
      </x:c>
      <x:c r="M27" s="11" t="s">
        <x:v>134</x:v>
      </x:c>
    </x:row>
    <x:row r="28" spans="1:13">
      <x:c r="A28" s="16">
        <x:v>46055</x:v>
      </x:c>
      <x:c r="B28" s="12" t="s">
        <x:v>93</x:v>
      </x:c>
      <x:c r="C28" s="12" t="s">
        <x:v>132</x:v>
      </x:c>
      <x:c r="D28" s="12" t="s">
        <x:v>5</x:v>
      </x:c>
      <x:c r="E28" s="12" t="s">
        <x:v>95</x:v>
      </x:c>
      <x:c r="F28" s="82">
        <x:v>2304</x:v>
      </x:c>
      <x:c r="G28" s="18">
        <x:v>7.59</x:v>
      </x:c>
      <x:c r="H28" s="18">
        <x:v>7.41</x:v>
      </x:c>
      <x:c r="I28" s="17">
        <x:f t="shared" ref="I28:I67" si="22">F28*G28</x:f>
        <x:v>17487.36</x:v>
      </x:c>
      <x:c r="J28" s="13">
        <x:f t="shared" ref="J28:J67" si="23">F28*H28</x:f>
        <x:v>17072.64</x:v>
      </x:c>
      <x:c r="K28" s="14">
        <x:f t="shared" si="0"/>
        <x:v>28277061.120000005</x:v>
      </x:c>
      <x:c r="L28" s="14">
        <x:f t="shared" si="1"/>
        <x:v>23662679.039999999</x:v>
      </x:c>
      <x:c r="M28" s="11" t="s">
        <x:v>134</x:v>
      </x:c>
    </x:row>
    <x:row r="29" spans="1:13">
      <x:c r="A29" s="16">
        <x:v>46055</x:v>
      </x:c>
      <x:c r="B29" s="12" t="s">
        <x:v>93</x:v>
      </x:c>
      <x:c r="C29" s="12" t="s">
        <x:v>133</x:v>
      </x:c>
      <x:c r="D29" s="12" t="s">
        <x:v>5</x:v>
      </x:c>
      <x:c r="E29" s="12" t="s">
        <x:v>94</x:v>
      </x:c>
      <x:c r="F29" s="82">
        <x:v>2240</x:v>
      </x:c>
      <x:c r="G29" s="18">
        <x:v>10.28</x:v>
      </x:c>
      <x:c r="H29" s="18">
        <x:v>10.029999999999999</x:v>
      </x:c>
      <x:c r="I29" s="17">
        <x:f t="shared" si="22"/>
        <x:v>23027.199999999997</x:v>
      </x:c>
      <x:c r="J29" s="13">
        <x:f t="shared" si="23"/>
        <x:v>22467.199999999997</x:v>
      </x:c>
      <x:c r="K29" s="14">
        <x:f t="shared" si="0"/>
        <x:v>37234982.399999999</x:v>
      </x:c>
      <x:c r="L29" s="14">
        <x:f t="shared" si="1"/>
        <x:v>31139539.199999999</x:v>
      </x:c>
      <x:c r="M29" s="11" t="s">
        <x:v>134</x:v>
      </x:c>
    </x:row>
    <x:row r="30" spans="1:13">
      <x:c r="A30" s="16">
        <x:v>46056</x:v>
      </x:c>
      <x:c r="B30" s="12" t="s">
        <x:v>93</x:v>
      </x:c>
      <x:c r="C30" s="12" t="s">
        <x:v>132</x:v>
      </x:c>
      <x:c r="D30" s="12" t="s">
        <x:v>5</x:v>
      </x:c>
      <x:c r="E30" s="12" t="s">
        <x:v>95</x:v>
      </x:c>
      <x:c r="F30" s="82">
        <x:v>1536</x:v>
      </x:c>
      <x:c r="G30" s="18">
        <x:v>7.59</x:v>
      </x:c>
      <x:c r="H30" s="18">
        <x:v>7.41</x:v>
      </x:c>
      <x:c r="I30" s="17">
        <x:f t="shared" si="22"/>
        <x:v>11658.24</x:v>
      </x:c>
      <x:c r="J30" s="13">
        <x:f t="shared" si="23"/>
        <x:v>11381.76</x:v>
      </x:c>
      <x:c r="K30" s="14">
        <x:f t="shared" si="0"/>
        <x:v>18851374.079999998</x:v>
      </x:c>
      <x:c r="L30" s="14">
        <x:f t="shared" si="1"/>
        <x:v>15775119.360000001</x:v>
      </x:c>
      <x:c r="M30" s="11" t="s">
        <x:v>134</x:v>
      </x:c>
    </x:row>
    <x:row r="31" spans="1:13">
      <x:c r="A31" s="16">
        <x:v>46056</x:v>
      </x:c>
      <x:c r="B31" s="12" t="s">
        <x:v>93</x:v>
      </x:c>
      <x:c r="C31" s="12" t="s">
        <x:v>133</x:v>
      </x:c>
      <x:c r="D31" s="12" t="s">
        <x:v>5</x:v>
      </x:c>
      <x:c r="E31" s="12" t="s">
        <x:v>94</x:v>
      </x:c>
      <x:c r="F31" s="82">
        <x:v>1344</x:v>
      </x:c>
      <x:c r="G31" s="18">
        <x:v>10.28</x:v>
      </x:c>
      <x:c r="H31" s="18">
        <x:v>10.029999999999999</x:v>
      </x:c>
      <x:c r="I31" s="17">
        <x:f t="shared" si="22"/>
        <x:v>13816.32</x:v>
      </x:c>
      <x:c r="J31" s="13">
        <x:f t="shared" si="23"/>
        <x:v>13480.32</x:v>
      </x:c>
      <x:c r="K31" s="14">
        <x:f t="shared" si="0"/>
        <x:v>22340989.440000001</x:v>
      </x:c>
      <x:c r="L31" s="14">
        <x:f t="shared" si="1"/>
        <x:v>18683723.52</x:v>
      </x:c>
      <x:c r="M31" s="11" t="s">
        <x:v>134</x:v>
      </x:c>
    </x:row>
    <x:row r="32" spans="1:13">
      <x:c r="A32" s="16">
        <x:v>46057</x:v>
      </x:c>
      <x:c r="B32" s="12" t="s">
        <x:v>93</x:v>
      </x:c>
      <x:c r="C32" s="12" t="s">
        <x:v>132</x:v>
      </x:c>
      <x:c r="D32" s="12" t="s">
        <x:v>5</x:v>
      </x:c>
      <x:c r="E32" s="12" t="s">
        <x:v>95</x:v>
      </x:c>
      <x:c r="F32" s="82">
        <x:v>2688</x:v>
      </x:c>
      <x:c r="G32" s="18">
        <x:v>7.59</x:v>
      </x:c>
      <x:c r="H32" s="18">
        <x:v>7.41</x:v>
      </x:c>
      <x:c r="I32" s="17">
        <x:f t="shared" si="22"/>
        <x:v>20401.919999999998</x:v>
      </x:c>
      <x:c r="J32" s="13">
        <x:f t="shared" si="23"/>
        <x:v>19918.080000000002</x:v>
      </x:c>
      <x:c r="K32" s="14">
        <x:f t="shared" si="0"/>
        <x:v>32989904.640000001</x:v>
      </x:c>
      <x:c r="L32" s="14">
        <x:f t="shared" si="1"/>
        <x:v>27606458.880000003</x:v>
      </x:c>
      <x:c r="M32" s="11" t="s">
        <x:v>134</x:v>
      </x:c>
    </x:row>
    <x:row r="33" spans="1:13">
      <x:c r="A33" s="16">
        <x:v>46057</x:v>
      </x:c>
      <x:c r="B33" s="12" t="s">
        <x:v>93</x:v>
      </x:c>
      <x:c r="C33" s="12" t="s">
        <x:v>133</x:v>
      </x:c>
      <x:c r="D33" s="12" t="s">
        <x:v>5</x:v>
      </x:c>
      <x:c r="E33" s="12" t="s">
        <x:v>94</x:v>
      </x:c>
      <x:c r="F33" s="82">
        <x:v>3136</x:v>
      </x:c>
      <x:c r="G33" s="18">
        <x:v>10.28</x:v>
      </x:c>
      <x:c r="H33" s="18">
        <x:v>10.029999999999999</x:v>
      </x:c>
      <x:c r="I33" s="17">
        <x:f t="shared" si="22"/>
        <x:v>32238.079999999998</x:v>
      </x:c>
      <x:c r="J33" s="13">
        <x:f t="shared" si="23"/>
        <x:v>31454.079999999998</x:v>
      </x:c>
      <x:c r="K33" s="14">
        <x:f t="shared" si="0"/>
        <x:v>52128975.359999992</x:v>
      </x:c>
      <x:c r="L33" s="14">
        <x:f t="shared" si="1"/>
        <x:v>43595354.879999995</x:v>
      </x:c>
      <x:c r="M33" s="11" t="s">
        <x:v>134</x:v>
      </x:c>
    </x:row>
    <x:row r="34" spans="1:13">
      <x:c r="A34" s="16">
        <x:v>46058</x:v>
      </x:c>
      <x:c r="B34" s="12" t="s">
        <x:v>93</x:v>
      </x:c>
      <x:c r="C34" s="12" t="s">
        <x:v>132</x:v>
      </x:c>
      <x:c r="D34" s="12" t="s">
        <x:v>5</x:v>
      </x:c>
      <x:c r="E34" s="12" t="s">
        <x:v>95</x:v>
      </x:c>
      <x:c r="F34" s="82">
        <x:v>3840</x:v>
      </x:c>
      <x:c r="G34" s="18">
        <x:v>7.59</x:v>
      </x:c>
      <x:c r="H34" s="18">
        <x:v>7.41</x:v>
      </x:c>
      <x:c r="I34" s="17">
        <x:f t="shared" si="22"/>
        <x:v>29145.599999999999</x:v>
      </x:c>
      <x:c r="J34" s="13">
        <x:f t="shared" si="23"/>
        <x:v>28454.400000000001</x:v>
      </x:c>
      <x:c r="K34" s="14">
        <x:f t="shared" si="0"/>
        <x:v>47128435.200000003</x:v>
      </x:c>
      <x:c r="L34" s="14">
        <x:f t="shared" si="1"/>
        <x:v>39437798.400000006</x:v>
      </x:c>
      <x:c r="M34" s="11" t="s">
        <x:v>134</x:v>
      </x:c>
    </x:row>
    <x:row r="35" spans="1:13">
      <x:c r="A35" s="16">
        <x:v>46058</x:v>
      </x:c>
      <x:c r="B35" s="12" t="s">
        <x:v>93</x:v>
      </x:c>
      <x:c r="C35" s="12" t="s">
        <x:v>133</x:v>
      </x:c>
      <x:c r="D35" s="12" t="s">
        <x:v>5</x:v>
      </x:c>
      <x:c r="E35" s="12" t="s">
        <x:v>94</x:v>
      </x:c>
      <x:c r="F35" s="82">
        <x:v>3584</x:v>
      </x:c>
      <x:c r="G35" s="18">
        <x:v>10.28</x:v>
      </x:c>
      <x:c r="H35" s="18">
        <x:v>10.029999999999999</x:v>
      </x:c>
      <x:c r="I35" s="17">
        <x:f t="shared" si="22"/>
        <x:v>36843.519999999997</x:v>
      </x:c>
      <x:c r="J35" s="13">
        <x:f t="shared" si="23"/>
        <x:v>35947.519999999997</x:v>
      </x:c>
      <x:c r="K35" s="14">
        <x:f t="shared" si="0"/>
        <x:v>59575971.839999996</x:v>
      </x:c>
      <x:c r="L35" s="14">
        <x:f t="shared" si="1"/>
        <x:v>49823262.719999991</x:v>
      </x:c>
      <x:c r="M35" s="11" t="s">
        <x:v>134</x:v>
      </x:c>
    </x:row>
    <x:row r="36" spans="1:13">
      <x:c r="A36" s="16">
        <x:v>46059</x:v>
      </x:c>
      <x:c r="B36" s="12" t="s">
        <x:v>93</x:v>
      </x:c>
      <x:c r="C36" s="12" t="s">
        <x:v>132</x:v>
      </x:c>
      <x:c r="D36" s="12" t="s">
        <x:v>5</x:v>
      </x:c>
      <x:c r="E36" s="12" t="s">
        <x:v>95</x:v>
      </x:c>
      <x:c r="F36" s="82">
        <x:v>1536</x:v>
      </x:c>
      <x:c r="G36" s="18">
        <x:v>7.59</x:v>
      </x:c>
      <x:c r="H36" s="18">
        <x:v>7.41</x:v>
      </x:c>
      <x:c r="I36" s="17">
        <x:f t="shared" si="22"/>
        <x:v>11658.24</x:v>
      </x:c>
      <x:c r="J36" s="13">
        <x:f t="shared" si="23"/>
        <x:v>11381.76</x:v>
      </x:c>
      <x:c r="K36" s="14">
        <x:f t="shared" si="0"/>
        <x:v>18851374.079999998</x:v>
      </x:c>
      <x:c r="L36" s="14">
        <x:f t="shared" si="1"/>
        <x:v>15775119.360000001</x:v>
      </x:c>
      <x:c r="M36" s="11" t="s">
        <x:v>134</x:v>
      </x:c>
    </x:row>
    <x:row r="37" spans="1:13">
      <x:c r="A37" s="16">
        <x:v>46059</x:v>
      </x:c>
      <x:c r="B37" s="12" t="s">
        <x:v>93</x:v>
      </x:c>
      <x:c r="C37" s="12" t="s">
        <x:v>133</x:v>
      </x:c>
      <x:c r="D37" s="12" t="s">
        <x:v>5</x:v>
      </x:c>
      <x:c r="E37" s="12" t="s">
        <x:v>94</x:v>
      </x:c>
      <x:c r="F37" s="82">
        <x:f>1344+448</x:f>
        <x:v>1792</x:v>
      </x:c>
      <x:c r="G37" s="18">
        <x:v>10.28</x:v>
      </x:c>
      <x:c r="H37" s="18">
        <x:v>10.029999999999999</x:v>
      </x:c>
      <x:c r="I37" s="17">
        <x:f t="shared" si="22"/>
        <x:v>18421.759999999998</x:v>
      </x:c>
      <x:c r="J37" s="13">
        <x:f t="shared" si="23"/>
        <x:v>17973.759999999998</x:v>
      </x:c>
      <x:c r="K37" s="14">
        <x:f t="shared" si="0"/>
        <x:v>29787985.919999998</x:v>
      </x:c>
      <x:c r="L37" s="14">
        <x:f t="shared" si="1"/>
        <x:v>24911631.359999996</x:v>
      </x:c>
      <x:c r="M37" s="11" t="s">
        <x:v>134</x:v>
      </x:c>
    </x:row>
    <x:row r="38" spans="1:13">
      <x:c r="A38" s="16">
        <x:v>46062</x:v>
      </x:c>
      <x:c r="B38" s="12" t="s">
        <x:v>93</x:v>
      </x:c>
      <x:c r="C38" s="12" t="s">
        <x:v>132</x:v>
      </x:c>
      <x:c r="D38" s="12" t="s">
        <x:v>5</x:v>
      </x:c>
      <x:c r="E38" s="12" t="s">
        <x:v>95</x:v>
      </x:c>
      <x:c r="F38" s="82">
        <x:v>2688</x:v>
      </x:c>
      <x:c r="G38" s="18">
        <x:v>7.59</x:v>
      </x:c>
      <x:c r="H38" s="18">
        <x:v>7.41</x:v>
      </x:c>
      <x:c r="I38" s="17">
        <x:f t="shared" si="22"/>
        <x:v>20401.919999999998</x:v>
      </x:c>
      <x:c r="J38" s="13">
        <x:f t="shared" si="23"/>
        <x:v>19918.080000000002</x:v>
      </x:c>
      <x:c r="K38" s="14">
        <x:f t="shared" si="0"/>
        <x:v>32989904.640000001</x:v>
      </x:c>
      <x:c r="L38" s="14">
        <x:f t="shared" si="1"/>
        <x:v>27606458.880000003</x:v>
      </x:c>
      <x:c r="M38" s="11" t="s">
        <x:v>134</x:v>
      </x:c>
    </x:row>
    <x:row r="39" spans="1:13">
      <x:c r="A39" s="16">
        <x:v>46062</x:v>
      </x:c>
      <x:c r="B39" s="12" t="s">
        <x:v>93</x:v>
      </x:c>
      <x:c r="C39" s="12" t="s">
        <x:v>133</x:v>
      </x:c>
      <x:c r="D39" s="12" t="s">
        <x:v>5</x:v>
      </x:c>
      <x:c r="E39" s="12" t="s">
        <x:v>94</x:v>
      </x:c>
      <x:c r="F39" s="82">
        <x:f>2688+448</x:f>
        <x:v>3136</x:v>
      </x:c>
      <x:c r="G39" s="18">
        <x:v>10.28</x:v>
      </x:c>
      <x:c r="H39" s="18">
        <x:v>10.029999999999999</x:v>
      </x:c>
      <x:c r="I39" s="17">
        <x:f t="shared" si="22"/>
        <x:v>32238.079999999998</x:v>
      </x:c>
      <x:c r="J39" s="13">
        <x:f t="shared" si="23"/>
        <x:v>31454.079999999998</x:v>
      </x:c>
      <x:c r="K39" s="14">
        <x:f t="shared" si="0"/>
        <x:v>52128975.359999992</x:v>
      </x:c>
      <x:c r="L39" s="14">
        <x:f t="shared" si="1"/>
        <x:v>43595354.879999995</x:v>
      </x:c>
      <x:c r="M39" s="11" t="s">
        <x:v>134</x:v>
      </x:c>
    </x:row>
    <x:row r="40" spans="1:13">
      <x:c r="A40" s="16">
        <x:v>46064</x:v>
      </x:c>
      <x:c r="B40" s="12" t="s">
        <x:v>93</x:v>
      </x:c>
      <x:c r="C40" s="12" t="s">
        <x:v>132</x:v>
      </x:c>
      <x:c r="D40" s="12" t="s">
        <x:v>5</x:v>
      </x:c>
      <x:c r="E40" s="12" t="s">
        <x:v>95</x:v>
      </x:c>
      <x:c r="F40" s="82">
        <x:v>4992</x:v>
      </x:c>
      <x:c r="G40" s="18">
        <x:v>7.59</x:v>
      </x:c>
      <x:c r="H40" s="18">
        <x:v>7.41</x:v>
      </x:c>
      <x:c r="I40" s="17">
        <x:f t="shared" si="22"/>
        <x:v>37889.279999999999</x:v>
      </x:c>
      <x:c r="J40" s="13">
        <x:f t="shared" si="23"/>
        <x:v>36990.720000000001</x:v>
      </x:c>
      <x:c r="K40" s="14">
        <x:f t="shared" si="0"/>
        <x:v>61266965.759999998</x:v>
      </x:c>
      <x:c r="L40" s="14">
        <x:f t="shared" si="1"/>
        <x:v>51269137.920000002</x:v>
      </x:c>
      <x:c r="M40" s="11" t="s">
        <x:v>134</x:v>
      </x:c>
    </x:row>
    <x:row r="41" spans="1:13">
      <x:c r="A41" s="16">
        <x:v>46064</x:v>
      </x:c>
      <x:c r="B41" s="12" t="s">
        <x:v>93</x:v>
      </x:c>
      <x:c r="C41" s="12" t="s">
        <x:v>133</x:v>
      </x:c>
      <x:c r="D41" s="12" t="s">
        <x:v>5</x:v>
      </x:c>
      <x:c r="E41" s="12" t="s">
        <x:v>94</x:v>
      </x:c>
      <x:c r="F41" s="82">
        <x:v>5376</x:v>
      </x:c>
      <x:c r="G41" s="18">
        <x:v>10.28</x:v>
      </x:c>
      <x:c r="H41" s="18">
        <x:v>10.029999999999999</x:v>
      </x:c>
      <x:c r="I41" s="17">
        <x:f t="shared" si="22"/>
        <x:v>55265.279999999999</x:v>
      </x:c>
      <x:c r="J41" s="13">
        <x:f t="shared" si="23"/>
        <x:v>53921.279999999999</x:v>
      </x:c>
      <x:c r="K41" s="14">
        <x:f t="shared" si="0"/>
        <x:v>89363957.760000005</x:v>
      </x:c>
      <x:c r="L41" s="14">
        <x:f t="shared" si="1"/>
        <x:v>74734894.079999998</x:v>
      </x:c>
      <x:c r="M41" s="11" t="s">
        <x:v>134</x:v>
      </x:c>
    </x:row>
    <x:row r="42" spans="1:13">
      <x:c r="A42" s="16">
        <x:v>46065</x:v>
      </x:c>
      <x:c r="B42" s="12" t="s">
        <x:v>93</x:v>
      </x:c>
      <x:c r="C42" s="12" t="s">
        <x:v>132</x:v>
      </x:c>
      <x:c r="D42" s="12" t="s">
        <x:v>5</x:v>
      </x:c>
      <x:c r="E42" s="12" t="s">
        <x:v>95</x:v>
      </x:c>
      <x:c r="F42" s="82">
        <x:v>1920</x:v>
      </x:c>
      <x:c r="G42" s="18">
        <x:v>7.59</x:v>
      </x:c>
      <x:c r="H42" s="18">
        <x:v>7.41</x:v>
      </x:c>
      <x:c r="I42" s="17">
        <x:f t="shared" si="22"/>
        <x:v>14572.8</x:v>
      </x:c>
      <x:c r="J42" s="13">
        <x:f t="shared" si="23"/>
        <x:v>14227.2</x:v>
      </x:c>
      <x:c r="K42" s="14">
        <x:f t="shared" si="0"/>
        <x:v>23564217.600000001</x:v>
      </x:c>
      <x:c r="L42" s="14">
        <x:f t="shared" si="1"/>
        <x:v>19718899.200000003</x:v>
      </x:c>
      <x:c r="M42" s="11" t="s">
        <x:v>134</x:v>
      </x:c>
    </x:row>
    <x:row r="43" spans="1:13">
      <x:c r="A43" s="16">
        <x:v>46065</x:v>
      </x:c>
      <x:c r="B43" s="12" t="s">
        <x:v>93</x:v>
      </x:c>
      <x:c r="C43" s="12" t="s">
        <x:v>133</x:v>
      </x:c>
      <x:c r="D43" s="12" t="s">
        <x:v>5</x:v>
      </x:c>
      <x:c r="E43" s="12" t="s">
        <x:v>94</x:v>
      </x:c>
      <x:c r="F43" s="82">
        <x:v>1344</x:v>
      </x:c>
      <x:c r="G43" s="18">
        <x:v>10.28</x:v>
      </x:c>
      <x:c r="H43" s="18">
        <x:v>10.029999999999999</x:v>
      </x:c>
      <x:c r="I43" s="17">
        <x:f t="shared" si="22"/>
        <x:v>13816.32</x:v>
      </x:c>
      <x:c r="J43" s="13">
        <x:f t="shared" si="23"/>
        <x:v>13480.32</x:v>
      </x:c>
      <x:c r="K43" s="14">
        <x:f t="shared" si="0"/>
        <x:v>22340989.440000001</x:v>
      </x:c>
      <x:c r="L43" s="14">
        <x:f t="shared" si="1"/>
        <x:v>18683723.52</x:v>
      </x:c>
      <x:c r="M43" s="11" t="s">
        <x:v>134</x:v>
      </x:c>
    </x:row>
    <x:row r="44" spans="1:13">
      <x:c r="A44" s="16">
        <x:v>46065</x:v>
      </x:c>
      <x:c r="B44" s="12" t="s">
        <x:v>93</x:v>
      </x:c>
      <x:c r="C44" s="12" t="s">
        <x:v>132</x:v>
      </x:c>
      <x:c r="D44" s="12" t="s">
        <x:v>5</x:v>
      </x:c>
      <x:c r="E44" s="12" t="s">
        <x:v>95</x:v>
      </x:c>
      <x:c r="F44" s="82">
        <x:v>1152</x:v>
      </x:c>
      <x:c r="G44" s="18">
        <x:v>7.14</x:v>
      </x:c>
      <x:c r="H44" s="18">
        <x:v>6.97</x:v>
      </x:c>
      <x:c r="I44" s="17">
        <x:f t="shared" si="22"/>
        <x:v>8225.2799999999988</x:v>
      </x:c>
      <x:c r="J44" s="13">
        <x:f t="shared" si="23"/>
        <x:v>8029.44</x:v>
      </x:c>
      <x:c r="K44" s="14">
        <x:f t="shared" si="0"/>
        <x:v>13300277.76</x:v>
      </x:c>
      <x:c r="L44" s="14">
        <x:f t="shared" si="1"/>
        <x:v>11128803.84</x:v>
      </x:c>
      <x:c r="M44" s="11" t="s">
        <x:v>134</x:v>
      </x:c>
    </x:row>
    <x:row r="45" spans="1:13">
      <x:c r="A45" s="16">
        <x:v>46065</x:v>
      </x:c>
      <x:c r="B45" s="12" t="s">
        <x:v>93</x:v>
      </x:c>
      <x:c r="C45" s="12" t="s">
        <x:v>133</x:v>
      </x:c>
      <x:c r="D45" s="12" t="s">
        <x:v>5</x:v>
      </x:c>
      <x:c r="E45" s="12" t="s">
        <x:v>94</x:v>
      </x:c>
      <x:c r="F45" s="82">
        <x:v>3584</x:v>
      </x:c>
      <x:c r="G45" s="18">
        <x:v>9.69</x:v>
      </x:c>
      <x:c r="H45" s="18">
        <x:v>9.4499999999999993</x:v>
      </x:c>
      <x:c r="I45" s="17">
        <x:f t="shared" si="22"/>
        <x:v>34728.959999999999</x:v>
      </x:c>
      <x:c r="J45" s="13">
        <x:f t="shared" si="23"/>
        <x:v>33868.799999999996</x:v>
      </x:c>
      <x:c r="K45" s="14">
        <x:f t="shared" si="0"/>
        <x:v>56156728.320000008</x:v>
      </x:c>
      <x:c r="L45" s="14">
        <x:f t="shared" si="1"/>
        <x:v>46942156.799999997</x:v>
      </x:c>
      <x:c r="M45" s="11" t="s">
        <x:v>190</x:v>
      </x:c>
    </x:row>
    <x:row r="46" spans="1:13">
      <x:c r="A46" s="16">
        <x:v>46066</x:v>
      </x:c>
      <x:c r="B46" s="12" t="s">
        <x:v>93</x:v>
      </x:c>
      <x:c r="C46" s="12" t="s">
        <x:v>132</x:v>
      </x:c>
      <x:c r="D46" s="12" t="s">
        <x:v>5</x:v>
      </x:c>
      <x:c r="E46" s="12" t="s">
        <x:v>95</x:v>
      </x:c>
      <x:c r="F46" s="82">
        <x:v>2304</x:v>
      </x:c>
      <x:c r="G46" s="18">
        <x:v>7.14</x:v>
      </x:c>
      <x:c r="H46" s="18">
        <x:v>6.97</x:v>
      </x:c>
      <x:c r="I46" s="17">
        <x:f t="shared" si="22"/>
        <x:v>16450.559999999998</x:v>
      </x:c>
      <x:c r="J46" s="13">
        <x:f t="shared" si="23"/>
        <x:v>16058.88</x:v>
      </x:c>
      <x:c r="K46" s="14">
        <x:f t="shared" si="0"/>
        <x:v>26600555.52</x:v>
      </x:c>
      <x:c r="L46" s="14">
        <x:f t="shared" si="1"/>
        <x:v>22257607.68</x:v>
      </x:c>
      <x:c r="M46" s="11" t="s">
        <x:v>190</x:v>
      </x:c>
    </x:row>
    <x:row r="47" spans="1:13">
      <x:c r="A47" s="16">
        <x:v>46066</x:v>
      </x:c>
      <x:c r="B47" s="12" t="s">
        <x:v>93</x:v>
      </x:c>
      <x:c r="C47" s="12" t="s">
        <x:v>133</x:v>
      </x:c>
      <x:c r="D47" s="12" t="s">
        <x:v>5</x:v>
      </x:c>
      <x:c r="E47" s="12" t="s">
        <x:v>94</x:v>
      </x:c>
      <x:c r="F47" s="82">
        <x:v>2688</x:v>
      </x:c>
      <x:c r="G47" s="18">
        <x:v>9.69</x:v>
      </x:c>
      <x:c r="H47" s="18">
        <x:v>9.4499999999999993</x:v>
      </x:c>
      <x:c r="I47" s="17">
        <x:f t="shared" si="22"/>
        <x:v>26046.719999999998</x:v>
      </x:c>
      <x:c r="J47" s="13">
        <x:f t="shared" si="23"/>
        <x:v>25401.599999999999</x:v>
      </x:c>
      <x:c r="K47" s="14">
        <x:f t="shared" si="0"/>
        <x:v>42117546.239999995</x:v>
      </x:c>
      <x:c r="L47" s="14">
        <x:f t="shared" si="1"/>
        <x:v>35206617.600000001</x:v>
      </x:c>
      <x:c r="M47" s="11" t="s">
        <x:v>190</x:v>
      </x:c>
    </x:row>
    <x:row r="48" spans="1:13">
      <x:c r="A48" s="16">
        <x:v>46069</x:v>
      </x:c>
      <x:c r="B48" s="12" t="s">
        <x:v>93</x:v>
      </x:c>
      <x:c r="C48" s="12" t="s">
        <x:v>132</x:v>
      </x:c>
      <x:c r="D48" s="12" t="s">
        <x:v>5</x:v>
      </x:c>
      <x:c r="E48" s="12" t="s">
        <x:v>95</x:v>
      </x:c>
      <x:c r="F48" s="82">
        <x:v>2688</x:v>
      </x:c>
      <x:c r="G48" s="18">
        <x:v>7.14</x:v>
      </x:c>
      <x:c r="H48" s="18">
        <x:v>6.97</x:v>
      </x:c>
      <x:c r="I48" s="17">
        <x:f t="shared" si="22"/>
        <x:v>19192.32</x:v>
      </x:c>
      <x:c r="J48" s="13">
        <x:f t="shared" si="23"/>
        <x:v>18735.36</x:v>
      </x:c>
      <x:c r="K48" s="14">
        <x:f t="shared" si="0"/>
        <x:v>31033981.440000001</x:v>
      </x:c>
      <x:c r="L48" s="14">
        <x:f t="shared" si="1"/>
        <x:v>25967208.960000001</x:v>
      </x:c>
      <x:c r="M48" s="11" t="s">
        <x:v>190</x:v>
      </x:c>
    </x:row>
    <x:row r="49" spans="1:13">
      <x:c r="A49" s="16">
        <x:v>46069</x:v>
      </x:c>
      <x:c r="B49" s="12" t="s">
        <x:v>93</x:v>
      </x:c>
      <x:c r="C49" s="12" t="s">
        <x:v>133</x:v>
      </x:c>
      <x:c r="D49" s="12" t="s">
        <x:v>5</x:v>
      </x:c>
      <x:c r="E49" s="12" t="s">
        <x:v>94</x:v>
      </x:c>
      <x:c r="F49" s="82">
        <x:v>2688</x:v>
      </x:c>
      <x:c r="G49" s="18">
        <x:v>9.69</x:v>
      </x:c>
      <x:c r="H49" s="18">
        <x:v>9.4499999999999993</x:v>
      </x:c>
      <x:c r="I49" s="17">
        <x:f t="shared" si="22"/>
        <x:v>26046.719999999998</x:v>
      </x:c>
      <x:c r="J49" s="13">
        <x:f t="shared" si="23"/>
        <x:v>25401.599999999999</x:v>
      </x:c>
      <x:c r="K49" s="14">
        <x:f t="shared" si="0"/>
        <x:v>42117546.239999995</x:v>
      </x:c>
      <x:c r="L49" s="14">
        <x:f t="shared" si="1"/>
        <x:v>35206617.600000001</x:v>
      </x:c>
      <x:c r="M49" s="11" t="s">
        <x:v>190</x:v>
      </x:c>
    </x:row>
    <x:row r="50" spans="1:13">
      <x:c r="A50" s="16">
        <x:v>46070</x:v>
      </x:c>
      <x:c r="B50" s="12" t="s">
        <x:v>93</x:v>
      </x:c>
      <x:c r="C50" s="12" t="s">
        <x:v>132</x:v>
      </x:c>
      <x:c r="D50" s="12" t="s">
        <x:v>5</x:v>
      </x:c>
      <x:c r="E50" s="12" t="s">
        <x:v>95</x:v>
      </x:c>
      <x:c r="F50" s="82">
        <x:v>2688</x:v>
      </x:c>
      <x:c r="G50" s="18">
        <x:v>7.14</x:v>
      </x:c>
      <x:c r="H50" s="18">
        <x:v>6.97</x:v>
      </x:c>
      <x:c r="I50" s="17">
        <x:f t="shared" si="22"/>
        <x:v>19192.32</x:v>
      </x:c>
      <x:c r="J50" s="13">
        <x:f t="shared" si="23"/>
        <x:v>18735.36</x:v>
      </x:c>
      <x:c r="K50" s="14">
        <x:f t="shared" si="0"/>
        <x:v>31033981.440000001</x:v>
      </x:c>
      <x:c r="L50" s="14">
        <x:f t="shared" si="1"/>
        <x:v>25967208.960000001</x:v>
      </x:c>
      <x:c r="M50" s="11" t="s">
        <x:v>190</x:v>
      </x:c>
    </x:row>
    <x:row r="51" spans="1:13">
      <x:c r="A51" s="16">
        <x:v>46070</x:v>
      </x:c>
      <x:c r="B51" s="12" t="s">
        <x:v>93</x:v>
      </x:c>
      <x:c r="C51" s="12" t="s">
        <x:v>133</x:v>
      </x:c>
      <x:c r="D51" s="12" t="s">
        <x:v>5</x:v>
      </x:c>
      <x:c r="E51" s="12" t="s">
        <x:v>94</x:v>
      </x:c>
      <x:c r="F51" s="82">
        <x:v>2240</x:v>
      </x:c>
      <x:c r="G51" s="18">
        <x:v>9.69</x:v>
      </x:c>
      <x:c r="H51" s="18">
        <x:v>9.4499999999999993</x:v>
      </x:c>
      <x:c r="I51" s="17">
        <x:f t="shared" si="22"/>
        <x:v>21705.599999999999</x:v>
      </x:c>
      <x:c r="J51" s="13">
        <x:f t="shared" si="23"/>
        <x:v>21168</x:v>
      </x:c>
      <x:c r="K51" s="14">
        <x:f t="shared" si="0"/>
        <x:v>35097955.200000003</x:v>
      </x:c>
      <x:c r="L51" s="14">
        <x:f t="shared" si="1"/>
        <x:v>29338848</x:v>
      </x:c>
      <x:c r="M51" s="11" t="s">
        <x:v>190</x:v>
      </x:c>
    </x:row>
    <x:row r="52" spans="1:13">
      <x:c r="A52" s="16">
        <x:v>46071</x:v>
      </x:c>
      <x:c r="B52" s="12" t="s">
        <x:v>93</x:v>
      </x:c>
      <x:c r="C52" s="12" t="s">
        <x:v>132</x:v>
      </x:c>
      <x:c r="D52" s="12" t="s">
        <x:v>5</x:v>
      </x:c>
      <x:c r="E52" s="12" t="s">
        <x:v>95</x:v>
      </x:c>
      <x:c r="F52" s="82">
        <x:v>2688</x:v>
      </x:c>
      <x:c r="G52" s="18">
        <x:v>7.14</x:v>
      </x:c>
      <x:c r="H52" s="18">
        <x:v>6.97</x:v>
      </x:c>
      <x:c r="I52" s="17">
        <x:f t="shared" si="22"/>
        <x:v>19192.32</x:v>
      </x:c>
      <x:c r="J52" s="13">
        <x:f t="shared" si="23"/>
        <x:v>18735.36</x:v>
      </x:c>
      <x:c r="K52" s="14">
        <x:f t="shared" si="0"/>
        <x:v>31033981.440000001</x:v>
      </x:c>
      <x:c r="L52" s="14">
        <x:f t="shared" si="1"/>
        <x:v>25967208.960000001</x:v>
      </x:c>
      <x:c r="M52" s="11" t="s">
        <x:v>190</x:v>
      </x:c>
    </x:row>
    <x:row r="53" spans="1:13">
      <x:c r="A53" s="16">
        <x:v>46071</x:v>
      </x:c>
      <x:c r="B53" s="12" t="s">
        <x:v>93</x:v>
      </x:c>
      <x:c r="C53" s="12" t="s">
        <x:v>133</x:v>
      </x:c>
      <x:c r="D53" s="12" t="s">
        <x:v>5</x:v>
      </x:c>
      <x:c r="E53" s="12" t="s">
        <x:v>94</x:v>
      </x:c>
      <x:c r="F53" s="82">
        <x:v>2688</x:v>
      </x:c>
      <x:c r="G53" s="18">
        <x:v>9.69</x:v>
      </x:c>
      <x:c r="H53" s="18">
        <x:v>9.4499999999999993</x:v>
      </x:c>
      <x:c r="I53" s="17">
        <x:f t="shared" si="22"/>
        <x:v>26046.719999999998</x:v>
      </x:c>
      <x:c r="J53" s="13">
        <x:f t="shared" si="23"/>
        <x:v>25401.599999999999</x:v>
      </x:c>
      <x:c r="K53" s="14">
        <x:f t="shared" si="0"/>
        <x:v>42117546.239999995</x:v>
      </x:c>
      <x:c r="L53" s="14">
        <x:f t="shared" si="1"/>
        <x:v>35206617.600000001</x:v>
      </x:c>
      <x:c r="M53" s="11" t="s">
        <x:v>190</x:v>
      </x:c>
    </x:row>
    <x:row r="54" spans="1:13">
      <x:c r="A54" s="16">
        <x:v>46073</x:v>
      </x:c>
      <x:c r="B54" s="12" t="s">
        <x:v>93</x:v>
      </x:c>
      <x:c r="C54" s="12" t="s">
        <x:v>132</x:v>
      </x:c>
      <x:c r="D54" s="12" t="s">
        <x:v>5</x:v>
      </x:c>
      <x:c r="E54" s="12" t="s">
        <x:v>95</x:v>
      </x:c>
      <x:c r="F54" s="82">
        <x:f>2688</x:f>
        <x:v>2688</x:v>
      </x:c>
      <x:c r="G54" s="18">
        <x:v>7.14</x:v>
      </x:c>
      <x:c r="H54" s="18">
        <x:v>6.97</x:v>
      </x:c>
      <x:c r="I54" s="17">
        <x:f t="shared" si="22"/>
        <x:v>19192.32</x:v>
      </x:c>
      <x:c r="J54" s="13">
        <x:f t="shared" si="23"/>
        <x:v>18735.36</x:v>
      </x:c>
      <x:c r="K54" s="14">
        <x:f t="shared" si="0"/>
        <x:v>31033981.440000001</x:v>
      </x:c>
      <x:c r="L54" s="14">
        <x:f t="shared" si="1"/>
        <x:v>25967208.960000001</x:v>
      </x:c>
      <x:c r="M54" s="11" t="s">
        <x:v>190</x:v>
      </x:c>
    </x:row>
    <x:row r="55" spans="1:13">
      <x:c r="A55" s="16">
        <x:v>46073</x:v>
      </x:c>
      <x:c r="B55" s="12" t="s">
        <x:v>93</x:v>
      </x:c>
      <x:c r="C55" s="12" t="s">
        <x:v>133</x:v>
      </x:c>
      <x:c r="D55" s="12" t="s">
        <x:v>5</x:v>
      </x:c>
      <x:c r="E55" s="12" t="s">
        <x:v>94</x:v>
      </x:c>
      <x:c r="F55" s="82">
        <x:f>448+2688</x:f>
        <x:v>3136</x:v>
      </x:c>
      <x:c r="G55" s="18">
        <x:v>9.69</x:v>
      </x:c>
      <x:c r="H55" s="18">
        <x:v>9.4499999999999993</x:v>
      </x:c>
      <x:c r="I55" s="17">
        <x:f t="shared" si="22"/>
        <x:v>30387.84</x:v>
      </x:c>
      <x:c r="J55" s="13">
        <x:f t="shared" si="23"/>
        <x:v>29635.199999999997</x:v>
      </x:c>
      <x:c r="K55" s="14">
        <x:f t="shared" si="0"/>
        <x:v>49137137.280000001</x:v>
      </x:c>
      <x:c r="L55" s="14">
        <x:f t="shared" si="1"/>
        <x:v>41074387.199999996</x:v>
      </x:c>
      <x:c r="M55" s="11" t="s">
        <x:v>190</x:v>
      </x:c>
    </x:row>
    <x:row r="56" spans="1:13">
      <x:c r="A56" s="16">
        <x:v>46076</x:v>
      </x:c>
      <x:c r="B56" s="12" t="s">
        <x:v>93</x:v>
      </x:c>
      <x:c r="C56" s="12" t="s">
        <x:v>132</x:v>
      </x:c>
      <x:c r="D56" s="12" t="s">
        <x:v>5</x:v>
      </x:c>
      <x:c r="E56" s="12" t="s">
        <x:v>95</x:v>
      </x:c>
      <x:c r="F56" s="82">
        <x:v>2688</x:v>
      </x:c>
      <x:c r="G56" s="18">
        <x:v>7.14</x:v>
      </x:c>
      <x:c r="H56" s="18">
        <x:v>6.97</x:v>
      </x:c>
      <x:c r="I56" s="17">
        <x:f t="shared" si="22"/>
        <x:v>19192.32</x:v>
      </x:c>
      <x:c r="J56" s="13">
        <x:f t="shared" si="23"/>
        <x:v>18735.36</x:v>
      </x:c>
      <x:c r="K56" s="14">
        <x:f t="shared" si="0"/>
        <x:v>31033981.440000001</x:v>
      </x:c>
      <x:c r="L56" s="14">
        <x:f t="shared" si="1"/>
        <x:v>25967208.960000001</x:v>
      </x:c>
      <x:c r="M56" s="11" t="s">
        <x:v>190</x:v>
      </x:c>
    </x:row>
    <x:row r="57" spans="1:13">
      <x:c r="A57" s="16">
        <x:v>46076</x:v>
      </x:c>
      <x:c r="B57" s="12" t="s">
        <x:v>93</x:v>
      </x:c>
      <x:c r="C57" s="12" t="s">
        <x:v>133</x:v>
      </x:c>
      <x:c r="D57" s="12" t="s">
        <x:v>5</x:v>
      </x:c>
      <x:c r="E57" s="12" t="s">
        <x:v>94</x:v>
      </x:c>
      <x:c r="F57" s="82">
        <x:v>2688</x:v>
      </x:c>
      <x:c r="G57" s="18">
        <x:v>9.69</x:v>
      </x:c>
      <x:c r="H57" s="18">
        <x:v>9.4499999999999993</x:v>
      </x:c>
      <x:c r="I57" s="17">
        <x:f t="shared" si="22"/>
        <x:v>26046.719999999998</x:v>
      </x:c>
      <x:c r="J57" s="13">
        <x:f t="shared" si="23"/>
        <x:v>25401.599999999999</x:v>
      </x:c>
      <x:c r="K57" s="14">
        <x:f t="shared" si="0"/>
        <x:v>42117546.239999995</x:v>
      </x:c>
      <x:c r="L57" s="14">
        <x:f t="shared" si="1"/>
        <x:v>35206617.600000001</x:v>
      </x:c>
      <x:c r="M57" s="11" t="s">
        <x:v>190</x:v>
      </x:c>
    </x:row>
    <x:row r="58" spans="1:13">
      <x:c r="A58" s="16">
        <x:v>46077</x:v>
      </x:c>
      <x:c r="B58" s="12" t="s">
        <x:v>93</x:v>
      </x:c>
      <x:c r="C58" s="12" t="s">
        <x:v>132</x:v>
      </x:c>
      <x:c r="D58" s="12" t="s">
        <x:v>5</x:v>
      </x:c>
      <x:c r="E58" s="12" t="s">
        <x:v>95</x:v>
      </x:c>
      <x:c r="F58" s="82">
        <x:v>2688</x:v>
      </x:c>
      <x:c r="G58" s="18">
        <x:v>7.14</x:v>
      </x:c>
      <x:c r="H58" s="18">
        <x:v>6.97</x:v>
      </x:c>
      <x:c r="I58" s="17">
        <x:f t="shared" si="22"/>
        <x:v>19192.32</x:v>
      </x:c>
      <x:c r="J58" s="13">
        <x:f t="shared" si="23"/>
        <x:v>18735.36</x:v>
      </x:c>
      <x:c r="K58" s="14">
        <x:f t="shared" si="0"/>
        <x:v>31033981.440000001</x:v>
      </x:c>
      <x:c r="L58" s="14">
        <x:f t="shared" si="1"/>
        <x:v>25967208.960000001</x:v>
      </x:c>
      <x:c r="M58" s="11" t="s">
        <x:v>190</x:v>
      </x:c>
    </x:row>
    <x:row r="59" spans="1:13">
      <x:c r="A59" s="16">
        <x:v>46077</x:v>
      </x:c>
      <x:c r="B59" s="12" t="s">
        <x:v>93</x:v>
      </x:c>
      <x:c r="C59" s="12" t="s">
        <x:v>133</x:v>
      </x:c>
      <x:c r="D59" s="12" t="s">
        <x:v>5</x:v>
      </x:c>
      <x:c r="E59" s="12" t="s">
        <x:v>94</x:v>
      </x:c>
      <x:c r="F59" s="82">
        <x:v>2688</x:v>
      </x:c>
      <x:c r="G59" s="18">
        <x:v>9.69</x:v>
      </x:c>
      <x:c r="H59" s="18">
        <x:v>9.4499999999999993</x:v>
      </x:c>
      <x:c r="I59" s="17">
        <x:f t="shared" si="22"/>
        <x:v>26046.719999999998</x:v>
      </x:c>
      <x:c r="J59" s="13">
        <x:f t="shared" si="23"/>
        <x:v>25401.599999999999</x:v>
      </x:c>
      <x:c r="K59" s="14">
        <x:f t="shared" si="0"/>
        <x:v>42117546.239999995</x:v>
      </x:c>
      <x:c r="L59" s="14">
        <x:f t="shared" si="1"/>
        <x:v>35206617.600000001</x:v>
      </x:c>
      <x:c r="M59" s="11" t="s">
        <x:v>190</x:v>
      </x:c>
    </x:row>
    <x:row r="60" spans="1:13">
      <x:c r="A60" s="16">
        <x:v>46078</x:v>
      </x:c>
      <x:c r="B60" s="12" t="s">
        <x:v>93</x:v>
      </x:c>
      <x:c r="C60" s="12" t="s">
        <x:v>132</x:v>
      </x:c>
      <x:c r="D60" s="12" t="s">
        <x:v>5</x:v>
      </x:c>
      <x:c r="E60" s="12" t="s">
        <x:v>95</x:v>
      </x:c>
      <x:c r="F60" s="82">
        <x:v>2688</x:v>
      </x:c>
      <x:c r="G60" s="18">
        <x:v>7.14</x:v>
      </x:c>
      <x:c r="H60" s="18">
        <x:v>6.97</x:v>
      </x:c>
      <x:c r="I60" s="17">
        <x:f t="shared" ref="I60:I63" si="24">F60*G60</x:f>
        <x:v>19192.32</x:v>
      </x:c>
      <x:c r="J60" s="13">
        <x:f t="shared" ref="J60:J63" si="25">F60*H60</x:f>
        <x:v>18735.36</x:v>
      </x:c>
      <x:c r="K60" s="14">
        <x:f t="shared" ref="K60:K63" si="26">I60*4.2*385</x:f>
        <x:v>31033981.440000001</x:v>
      </x:c>
      <x:c r="L60" s="14">
        <x:f t="shared" ref="L60:L63" si="27">J60*3.6*385</x:f>
        <x:v>25967208.960000001</x:v>
      </x:c>
      <x:c r="M60" s="11" t="s">
        <x:v>190</x:v>
      </x:c>
    </x:row>
    <x:row r="61" spans="1:13">
      <x:c r="A61" s="16">
        <x:v>46078</x:v>
      </x:c>
      <x:c r="B61" s="12" t="s">
        <x:v>93</x:v>
      </x:c>
      <x:c r="C61" s="12" t="s">
        <x:v>133</x:v>
      </x:c>
      <x:c r="D61" s="12" t="s">
        <x:v>5</x:v>
      </x:c>
      <x:c r="E61" s="12" t="s">
        <x:v>94</x:v>
      </x:c>
      <x:c r="F61" s="82">
        <x:v>2688</x:v>
      </x:c>
      <x:c r="G61" s="18">
        <x:v>9.69</x:v>
      </x:c>
      <x:c r="H61" s="18">
        <x:v>9.4499999999999993</x:v>
      </x:c>
      <x:c r="I61" s="17">
        <x:f t="shared" si="24"/>
        <x:v>26046.719999999998</x:v>
      </x:c>
      <x:c r="J61" s="13">
        <x:f t="shared" si="25"/>
        <x:v>25401.599999999999</x:v>
      </x:c>
      <x:c r="K61" s="14">
        <x:f t="shared" si="26"/>
        <x:v>42117546.239999995</x:v>
      </x:c>
      <x:c r="L61" s="14">
        <x:f t="shared" si="27"/>
        <x:v>35206617.600000001</x:v>
      </x:c>
      <x:c r="M61" s="11" t="s">
        <x:v>190</x:v>
      </x:c>
    </x:row>
    <x:row r="62" spans="1:13">
      <x:c r="A62" s="16">
        <x:v>46079</x:v>
      </x:c>
      <x:c r="B62" s="12" t="s">
        <x:v>93</x:v>
      </x:c>
      <x:c r="C62" s="12" t="s">
        <x:v>132</x:v>
      </x:c>
      <x:c r="D62" s="12" t="s">
        <x:v>5</x:v>
      </x:c>
      <x:c r="E62" s="12" t="s">
        <x:v>95</x:v>
      </x:c>
      <x:c r="F62" s="82">
        <x:v>2688</x:v>
      </x:c>
      <x:c r="G62" s="18">
        <x:v>7.14</x:v>
      </x:c>
      <x:c r="H62" s="18">
        <x:v>6.97</x:v>
      </x:c>
      <x:c r="I62" s="17">
        <x:f t="shared" si="24"/>
        <x:v>19192.32</x:v>
      </x:c>
      <x:c r="J62" s="13">
        <x:f t="shared" si="25"/>
        <x:v>18735.36</x:v>
      </x:c>
      <x:c r="K62" s="14">
        <x:f t="shared" si="26"/>
        <x:v>31033981.440000001</x:v>
      </x:c>
      <x:c r="L62" s="14">
        <x:f t="shared" si="27"/>
        <x:v>25967208.960000001</x:v>
      </x:c>
      <x:c r="M62" s="11" t="s">
        <x:v>190</x:v>
      </x:c>
    </x:row>
    <x:row r="63" spans="1:13">
      <x:c r="A63" s="16">
        <x:v>46079</x:v>
      </x:c>
      <x:c r="B63" s="12" t="s">
        <x:v>93</x:v>
      </x:c>
      <x:c r="C63" s="12" t="s">
        <x:v>133</x:v>
      </x:c>
      <x:c r="D63" s="12" t="s">
        <x:v>5</x:v>
      </x:c>
      <x:c r="E63" s="12" t="s">
        <x:v>94</x:v>
      </x:c>
      <x:c r="F63" s="82">
        <x:v>2688</x:v>
      </x:c>
      <x:c r="G63" s="18">
        <x:v>9.69</x:v>
      </x:c>
      <x:c r="H63" s="18">
        <x:v>9.4499999999999993</x:v>
      </x:c>
      <x:c r="I63" s="17">
        <x:f t="shared" si="24"/>
        <x:v>26046.719999999998</x:v>
      </x:c>
      <x:c r="J63" s="13">
        <x:f t="shared" si="25"/>
        <x:v>25401.599999999999</x:v>
      </x:c>
      <x:c r="K63" s="14">
        <x:f t="shared" si="26"/>
        <x:v>42117546.239999995</x:v>
      </x:c>
      <x:c r="L63" s="14">
        <x:f t="shared" si="27"/>
        <x:v>35206617.600000001</x:v>
      </x:c>
      <x:c r="M63" s="11" t="s">
        <x:v>190</x:v>
      </x:c>
    </x:row>
    <x:row r="64" spans="1:13">
      <x:c r="A64" s="16">
        <x:v>46080</x:v>
      </x:c>
      <x:c r="B64" s="12" t="s">
        <x:v>93</x:v>
      </x:c>
      <x:c r="C64" s="12" t="s">
        <x:v>132</x:v>
      </x:c>
      <x:c r="D64" s="12" t="s">
        <x:v>5</x:v>
      </x:c>
      <x:c r="E64" s="12" t="s">
        <x:v>95</x:v>
      </x:c>
      <x:c r="F64" s="82">
        <x:v>2688</x:v>
      </x:c>
      <x:c r="G64" s="18">
        <x:v>7.14</x:v>
      </x:c>
      <x:c r="H64" s="18">
        <x:v>6.97</x:v>
      </x:c>
      <x:c r="I64" s="17">
        <x:f t="shared" si="22"/>
        <x:v>19192.32</x:v>
      </x:c>
      <x:c r="J64" s="13">
        <x:f t="shared" si="23"/>
        <x:v>18735.36</x:v>
      </x:c>
      <x:c r="K64" s="14">
        <x:f t="shared" si="0"/>
        <x:v>31033981.440000001</x:v>
      </x:c>
      <x:c r="L64" s="14">
        <x:f t="shared" si="1"/>
        <x:v>25967208.960000001</x:v>
      </x:c>
      <x:c r="M64" s="11" t="s">
        <x:v>190</x:v>
      </x:c>
    </x:row>
    <x:row r="65" spans="1:13">
      <x:c r="A65" s="16">
        <x:v>46080</x:v>
      </x:c>
      <x:c r="B65" s="12" t="s">
        <x:v>93</x:v>
      </x:c>
      <x:c r="C65" s="12" t="s">
        <x:v>133</x:v>
      </x:c>
      <x:c r="D65" s="12" t="s">
        <x:v>5</x:v>
      </x:c>
      <x:c r="E65" s="12" t="s">
        <x:v>94</x:v>
      </x:c>
      <x:c r="F65" s="82">
        <x:v>2688</x:v>
      </x:c>
      <x:c r="G65" s="18">
        <x:v>9.69</x:v>
      </x:c>
      <x:c r="H65" s="18">
        <x:v>9.4499999999999993</x:v>
      </x:c>
      <x:c r="I65" s="17">
        <x:f t="shared" si="22"/>
        <x:v>26046.719999999998</x:v>
      </x:c>
      <x:c r="J65" s="13">
        <x:f t="shared" si="23"/>
        <x:v>25401.599999999999</x:v>
      </x:c>
      <x:c r="K65" s="14">
        <x:f t="shared" si="0"/>
        <x:v>42117546.239999995</x:v>
      </x:c>
      <x:c r="L65" s="14">
        <x:f t="shared" si="1"/>
        <x:v>35206617.600000001</x:v>
      </x:c>
      <x:c r="M65" s="11" t="s">
        <x:v>190</x:v>
      </x:c>
    </x:row>
    <x:row r="66" spans="1:13">
      <x:c r="A66" s="16">
        <x:v>46054</x:v>
      </x:c>
      <x:c r="B66" s="12" t="s">
        <x:v>93</x:v>
      </x:c>
      <x:c r="C66" s="12" t="s">
        <x:v>133</x:v>
      </x:c>
      <x:c r="D66" s="12" t="s">
        <x:v>5</x:v>
      </x:c>
      <x:c r="E66" s="12" t="s">
        <x:v>94</x:v>
      </x:c>
      <x:c r="F66" s="82">
        <x:v>-3136</x:v>
      </x:c>
      <x:c r="G66" s="18">
        <x:v>10.28</x:v>
      </x:c>
      <x:c r="H66" s="18">
        <x:v>10.029999999999999</x:v>
      </x:c>
      <x:c r="I66" s="17">
        <x:f t="shared" si="22"/>
        <x:v>-32238.079999999998</x:v>
      </x:c>
      <x:c r="J66" s="13">
        <x:f t="shared" si="23"/>
        <x:v>-31454.079999999998</x:v>
      </x:c>
      <x:c r="K66" s="14">
        <x:f t="shared" si="0"/>
        <x:v>-52128975.359999992</x:v>
      </x:c>
      <x:c r="L66" s="14">
        <x:f t="shared" si="1"/>
        <x:v>-43595354.879999995</x:v>
      </x:c>
      <x:c r="M66" s="11" t="s">
        <x:v>189</x:v>
      </x:c>
    </x:row>
    <x:row r="67" spans="1:13">
      <x:c r="A67" s="16">
        <x:v>46072</x:v>
      </x:c>
      <x:c r="B67" s="12" t="s">
        <x:v>121</x:v>
      </x:c>
      <x:c r="C67" s="12" t="s">
        <x:v>122</x:v>
      </x:c>
      <x:c r="D67" s="12" t="s">
        <x:v>123</x:v>
      </x:c>
      <x:c r="E67" s="12" t="s">
        <x:v>124</x:v>
      </x:c>
      <x:c r="F67" s="82">
        <x:v>1500</x:v>
      </x:c>
      <x:c r="G67" s="18">
        <x:v>6.38</x:v>
      </x:c>
      <x:c r="H67" s="18">
        <x:v>6.11</x:v>
      </x:c>
      <x:c r="I67" s="13">
        <x:f t="shared" si="22"/>
        <x:v>9570</x:v>
      </x:c>
      <x:c r="J67" s="13">
        <x:f t="shared" si="23"/>
        <x:v>9165</x:v>
      </x:c>
      <x:c r="K67" s="14">
        <x:f>I67*3.6*385</x:f>
        <x:v>13264020</x:v>
      </x:c>
      <x:c r="L67" s="14">
        <x:f>J67*3.6*385</x:f>
        <x:v>12702690</x:v>
      </x:c>
      <x:c r="M67" s="15" t="s">
        <x:v>70</x:v>
      </x:c>
    </x:row>
  </x:sheetData>
  <x:autoFilter ref="A1:M67" xr:uid="{D985A708-7365-43AF-B85E-3D80577828F0}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0DB797-722E-4544-880B-EB2E689D8C2F}" mc:Ignorable="x14ac xr xr2 xr3">
  <x:sheetPr>
    <x:tabColor rgb="FFFF0000"/>
  </x:sheetPr>
  <x:dimension ref="A3:B18"/>
  <x:sheetViews>
    <x:sheetView workbookViewId="0">
      <x:selection activeCell="A3" sqref="A3:B18"/>
    </x:sheetView>
  </x:sheetViews>
  <x:sheetFormatPr defaultRowHeight="10.8"/>
  <x:cols>
    <x:col min="1" max="1" width="12.375" bestFit="1" customWidth="1"/>
    <x:col min="2" max="2" width="14.375" style="106" bestFit="1" customWidth="1"/>
  </x:cols>
  <x:sheetData>
    <x:row r="3" spans="1:2">
      <x:c r="A3" s="72" t="s">
        <x:v>127</x:v>
      </x:c>
      <x:c r="B3" s="106" t="s">
        <x:v>129</x:v>
      </x:c>
    </x:row>
    <x:row r="4" spans="1:2">
      <x:c r="A4" s="73" t="s">
        <x:v>32</x:v>
      </x:c>
      <x:c r="B4" s="106">
        <x:v>-62521305</x:v>
      </x:c>
    </x:row>
    <x:row r="5" spans="1:2">
      <x:c r="A5" s="73" t="s">
        <x:v>35</x:v>
      </x:c>
      <x:c r="B5" s="106">
        <x:v>-8745970.75</x:v>
      </x:c>
    </x:row>
    <x:row r="6" spans="1:2">
      <x:c r="A6" s="73" t="s">
        <x:v>38</x:v>
      </x:c>
      <x:c r="B6" s="106">
        <x:v>-2303782.25</x:v>
      </x:c>
    </x:row>
    <x:row r="7" spans="1:2">
      <x:c r="A7" s="73" t="s">
        <x:v>30</x:v>
      </x:c>
      <x:c r="B7" s="106">
        <x:v>-12090794.1</x:v>
      </x:c>
    </x:row>
    <x:row r="8" spans="1:2">
      <x:c r="A8" s="73" t="s">
        <x:v>120</x:v>
      </x:c>
      <x:c r="B8" s="106">
        <x:v>-13293418.6</x:v>
      </x:c>
    </x:row>
    <x:row r="9" spans="1:2">
      <x:c r="A9" s="73" t="s">
        <x:v>33</x:v>
      </x:c>
      <x:c r="B9" s="106">
        <x:v>-8740214</x:v>
      </x:c>
    </x:row>
    <x:row r="10" spans="1:2">
      <x:c r="A10" s="73" t="s">
        <x:v>31</x:v>
      </x:c>
      <x:c r="B10" s="106">
        <x:v>-17592467.199999999</x:v>
      </x:c>
    </x:row>
    <x:row r="11" spans="1:2">
      <x:c r="A11" s="73" t="s">
        <x:v>29</x:v>
      </x:c>
      <x:c r="B11" s="106">
        <x:v>-1592660.3</x:v>
      </x:c>
    </x:row>
    <x:row r="12" spans="1:2">
      <x:c r="A12" s="73" t="s">
        <x:v>37</x:v>
      </x:c>
      <x:c r="B12" s="106">
        <x:v>-3646335</x:v>
      </x:c>
    </x:row>
    <x:row r="13" spans="1:2">
      <x:c r="A13" s="73" t="s">
        <x:v>34</x:v>
      </x:c>
      <x:c r="B13" s="106">
        <x:v>-50356016.600000001</x:v>
      </x:c>
    </x:row>
    <x:row r="14" spans="1:2">
      <x:c r="A14" s="73" t="s">
        <x:v>36</x:v>
      </x:c>
      <x:c r="B14" s="106">
        <x:v>-42167220.750000007</x:v>
      </x:c>
    </x:row>
    <x:row r="15" spans="1:2">
      <x:c r="A15" s="73" t="s">
        <x:v>195</x:v>
      </x:c>
      <x:c r="B15" s="106">
        <x:v>-4037949.3</x:v>
      </x:c>
    </x:row>
    <x:row r="16" spans="1:2">
      <x:c r="A16" s="73" t="s">
        <x:v>128</x:v>
      </x:c>
      <x:c r="B16" s="106">
        <x:v>-398740.65</x:v>
      </x:c>
    </x:row>
    <x:row r="17" spans="1:2">
      <x:c r="A17" s="73" t="s">
        <x:v>27</x:v>
      </x:c>
    </x:row>
    <x:row r="18" spans="1:2">
      <x:c r="A18" s="73" t="s">
        <x:v>28</x:v>
      </x:c>
      <x:c r="B18" s="106">
        <x:v>-227486874.5</x:v>
      </x:c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593E3ED-26BF-4794-853C-ABCF682A11F5}" mc:Ignorable="x14ac xr xr2 xr3">
  <x:sheetPr>
    <x:tabColor rgb="FFFF0000"/>
  </x:sheetPr>
  <x:dimension ref="A1:C83"/>
  <x:sheetViews>
    <x:sheetView workbookViewId="0">
      <x:selection activeCell="F73" sqref="F73"/>
    </x:sheetView>
  </x:sheetViews>
  <x:sheetFormatPr defaultRowHeight="10.8"/>
  <x:cols>
    <x:col min="1" max="1" width="17.625" style="68" bestFit="1" customWidth="1"/>
    <x:col min="2" max="2" width="14" style="70" bestFit="1" customWidth="1"/>
    <x:col min="3" max="3" width="39.25" style="68" bestFit="1" customWidth="1"/>
    <x:col min="4" max="16384" width="9" style="68"/>
  </x:cols>
  <x:sheetData>
    <x:row r="1" spans="1:3" ht="15.6" customHeight="1">
      <x:c r="A1" s="104" t="s">
        <x:v>71</x:v>
      </x:c>
      <x:c r="B1" s="105" t="s">
        <x:v>72</x:v>
      </x:c>
      <x:c r="C1" s="104" t="s">
        <x:v>158</x:v>
      </x:c>
    </x:row>
    <x:row r="2" spans="1:3" s="4" customFormat="1" ht="17.399999999999999">
      <x:c r="A2" s="1" t="s">
        <x:v>29</x:v>
      </x:c>
      <x:c r="B2" s="71">
        <x:v>-30515.100000000002</x:v>
      </x:c>
      <x:c r="C2" s="3"/>
    </x:row>
    <x:row r="3" spans="1:3" s="4" customFormat="1" ht="17.399999999999999">
      <x:c r="A3" s="3" t="s">
        <x:v>77</x:v>
      </x:c>
      <x:c r="B3" s="71">
        <x:v>-133960.75</x:v>
      </x:c>
      <x:c r="C3" s="3"/>
    </x:row>
    <x:row r="4" spans="1:3" s="4" customFormat="1" ht="17.399999999999999">
      <x:c r="A4" s="3" t="s">
        <x:v>77</x:v>
      </x:c>
      <x:c r="B4" s="71">
        <x:v>-96149.900000000009</x:v>
      </x:c>
      <x:c r="C4" s="3"/>
    </x:row>
    <x:row r="5" spans="1:3" s="4" customFormat="1" ht="17.399999999999999">
      <x:c r="A5" s="1" t="s">
        <x:v>29</x:v>
      </x:c>
      <x:c r="B5" s="71">
        <x:v>-21024.85</x:v>
      </x:c>
      <x:c r="C5" s="3"/>
    </x:row>
    <x:row r="6" spans="1:3" s="4" customFormat="1" ht="17.399999999999999">
      <x:c r="A6" s="1" t="s">
        <x:v>29</x:v>
      </x:c>
      <x:c r="B6" s="71">
        <x:v>-77000</x:v>
      </x:c>
      <x:c r="C6" s="3"/>
    </x:row>
    <x:row r="7" spans="1:3" s="4" customFormat="1" ht="17.399999999999999">
      <x:c r="A7" s="1" t="s">
        <x:v>195</x:v>
      </x:c>
      <x:c r="B7" s="71">
        <x:v>-687071</x:v>
      </x:c>
      <x:c r="C7" s="3"/>
    </x:row>
    <x:row r="8" spans="1:3" s="4" customFormat="1" ht="17.399999999999999">
      <x:c r="A8" s="1" t="s">
        <x:v>29</x:v>
      </x:c>
      <x:c r="B8" s="71">
        <x:v>-346496.15</x:v>
      </x:c>
      <x:c r="C8" s="3"/>
    </x:row>
    <x:row r="9" spans="1:3" s="4" customFormat="1" ht="17.399999999999999">
      <x:c r="A9" s="1" t="s">
        <x:v>78</x:v>
      </x:c>
      <x:c r="B9" s="71">
        <x:v>-151805.5</x:v>
      </x:c>
      <x:c r="C9" s="3"/>
    </x:row>
    <x:row r="10" spans="1:3" s="4" customFormat="1" ht="17.399999999999999">
      <x:c r="A10" s="1" t="s">
        <x:v>78</x:v>
      </x:c>
      <x:c r="B10" s="71">
        <x:v>-179952.85</x:v>
      </x:c>
      <x:c r="C10" s="3"/>
    </x:row>
    <x:row r="11" spans="1:3" s="4" customFormat="1" ht="17.399999999999999">
      <x:c r="A11" s="1" t="s">
        <x:v>78</x:v>
      </x:c>
      <x:c r="B11" s="71">
        <x:v>-180141.5</x:v>
      </x:c>
      <x:c r="C11" s="3"/>
    </x:row>
    <x:row r="12" spans="1:3" s="4" customFormat="1" ht="17.399999999999999">
      <x:c r="A12" s="1" t="s">
        <x:v>78</x:v>
      </x:c>
      <x:c r="B12" s="71">
        <x:v>-277488.75</x:v>
      </x:c>
      <x:c r="C12" s="3"/>
    </x:row>
    <x:row r="13" spans="1:3" s="4" customFormat="1" ht="17.399999999999999">
      <x:c r="A13" s="3" t="s">
        <x:v>77</x:v>
      </x:c>
      <x:c r="B13" s="71">
        <x:v>-168630</x:v>
      </x:c>
      <x:c r="C13" s="3"/>
    </x:row>
    <x:row r="14" spans="1:3" s="4" customFormat="1" ht="17.399999999999999">
      <x:c r="A14" s="1" t="s">
        <x:v>195</x:v>
      </x:c>
      <x:c r="B14" s="71">
        <x:v>-35416.15</x:v>
      </x:c>
      <x:c r="C14" s="3"/>
    </x:row>
    <x:row r="15" spans="1:3" s="4" customFormat="1" ht="17.399999999999999">
      <x:c r="A15" s="1" t="s">
        <x:v>195</x:v>
      </x:c>
      <x:c r="B15" s="71">
        <x:v>-1559250</x:v>
      </x:c>
      <x:c r="C15" s="3"/>
    </x:row>
    <x:row r="16" spans="1:3" s="4" customFormat="1" ht="17.399999999999999">
      <x:c r="A16" s="1" t="s">
        <x:v>29</x:v>
      </x:c>
      <x:c r="B16" s="71">
        <x:v>-252175</x:v>
      </x:c>
      <x:c r="C16" s="3"/>
    </x:row>
    <x:row r="17" spans="1:3" s="4" customFormat="1" ht="17.399999999999999">
      <x:c r="A17" s="1" t="s">
        <x:v>29</x:v>
      </x:c>
      <x:c r="B17" s="71">
        <x:v>-629621.30000000005</x:v>
      </x:c>
      <x:c r="C17" s="3"/>
    </x:row>
    <x:row r="18" spans="1:3" s="4" customFormat="1" ht="17.399999999999999">
      <x:c r="A18" s="1" t="s">
        <x:v>76</x:v>
      </x:c>
      <x:c r="B18" s="71">
        <x:v>-385000</x:v>
      </x:c>
      <x:c r="C18" s="3"/>
    </x:row>
    <x:row r="19" spans="1:3" s="4" customFormat="1" ht="17.399999999999999">
      <x:c r="A19" s="1" t="s">
        <x:v>76</x:v>
      </x:c>
      <x:c r="B19" s="71">
        <x:v>-25025</x:v>
      </x:c>
      <x:c r="C19" s="3"/>
    </x:row>
    <x:row r="20" spans="1:3" s="2" customFormat="1" ht="17.399999999999999">
      <x:c r="A20" s="3" t="s">
        <x:v>34</x:v>
      </x:c>
      <x:c r="B20" s="71">
        <x:v>-14408494.100000001</x:v>
      </x:c>
      <x:c r="C20" s="84"/>
    </x:row>
    <x:row r="21" spans="1:3" s="2" customFormat="1" ht="17.399999999999999">
      <x:c r="A21" s="1" t="s">
        <x:v>76</x:v>
      </x:c>
      <x:c r="B21" s="71">
        <x:v>-30704130</x:v>
      </x:c>
      <x:c r="C21" s="84"/>
    </x:row>
    <x:row r="22" spans="1:3" s="2" customFormat="1" ht="17.399999999999999">
      <x:c r="A22" s="1" t="s">
        <x:v>76</x:v>
      </x:c>
      <x:c r="B22" s="71">
        <x:v>-3966367.5000000005</x:v>
      </x:c>
      <x:c r="C22" s="84"/>
    </x:row>
    <x:row r="23" spans="1:3" s="2" customFormat="1" ht="17.399999999999999">
      <x:c r="A23" s="1" t="s">
        <x:v>76</x:v>
      </x:c>
      <x:c r="B23" s="71">
        <x:v>-405000</x:v>
      </x:c>
      <x:c r="C23" s="84"/>
    </x:row>
    <x:row r="24" spans="1:3" s="2" customFormat="1" ht="17.399999999999999">
      <x:c r="A24" s="1" t="s">
        <x:v>32</x:v>
      </x:c>
      <x:c r="B24" s="71">
        <x:v>-27335</x:v>
      </x:c>
      <x:c r="C24" s="3" t="s">
        <x:v>196</x:v>
      </x:c>
    </x:row>
    <x:row r="25" spans="1:3" s="2" customFormat="1" ht="17.399999999999999">
      <x:c r="A25" s="3" t="s">
        <x:v>36</x:v>
      </x:c>
      <x:c r="B25" s="71">
        <x:v>-334919.2</x:v>
      </x:c>
      <x:c r="C25" s="3"/>
    </x:row>
    <x:row r="26" spans="1:3" s="2" customFormat="1" ht="17.399999999999999">
      <x:c r="A26" s="1" t="s">
        <x:v>31</x:v>
      </x:c>
      <x:c r="B26" s="71">
        <x:v>-170859.15</x:v>
      </x:c>
      <x:c r="C26" s="3"/>
    </x:row>
    <x:row r="27" spans="1:3" s="2" customFormat="1" ht="17.399999999999999">
      <x:c r="A27" s="3" t="s">
        <x:v>33</x:v>
      </x:c>
      <x:c r="B27" s="71">
        <x:v>-13732.95</x:v>
      </x:c>
      <x:c r="C27" s="3"/>
    </x:row>
    <x:row r="28" spans="1:3" s="2" customFormat="1" ht="17.399999999999999">
      <x:c r="A28" s="1" t="s">
        <x:v>36</x:v>
      </x:c>
      <x:c r="B28" s="71">
        <x:v>-473550</x:v>
      </x:c>
      <x:c r="C28" s="3"/>
    </x:row>
    <x:row r="29" spans="1:3" s="2" customFormat="1" ht="17.399999999999999">
      <x:c r="A29" s="1" t="s">
        <x:v>36</x:v>
      </x:c>
      <x:c r="B29" s="71">
        <x:v>-2427890.85</x:v>
      </x:c>
      <x:c r="C29" s="3"/>
    </x:row>
    <x:row r="30" spans="1:3" s="2" customFormat="1" ht="17.399999999999999">
      <x:c r="A30" s="1" t="s">
        <x:v>37</x:v>
      </x:c>
      <x:c r="B30" s="71">
        <x:v>-3646335</x:v>
      </x:c>
      <x:c r="C30" s="84"/>
    </x:row>
    <x:row r="31" spans="1:3" s="2" customFormat="1" ht="17.399999999999999">
      <x:c r="A31" s="1" t="s">
        <x:v>36</x:v>
      </x:c>
      <x:c r="B31" s="71">
        <x:v>-8364217.4000000004</x:v>
      </x:c>
      <x:c r="C31" s="84" t="s">
        <x:v>141</x:v>
      </x:c>
    </x:row>
    <x:row r="32" spans="1:3" s="2" customFormat="1" ht="17.399999999999999">
      <x:c r="A32" s="1" t="s">
        <x:v>36</x:v>
      </x:c>
      <x:c r="B32" s="71">
        <x:v>-23947808</x:v>
      </x:c>
      <x:c r="C32" s="84" t="s">
        <x:v>142</x:v>
      </x:c>
    </x:row>
    <x:row r="33" spans="1:3" s="2" customFormat="1" ht="17.399999999999999">
      <x:c r="A33" s="1" t="s">
        <x:v>38</x:v>
      </x:c>
      <x:c r="B33" s="71">
        <x:v>-2303782.25</x:v>
      </x:c>
      <x:c r="C33" s="3"/>
    </x:row>
    <x:row r="34" spans="1:3" s="2" customFormat="1" ht="17.399999999999999">
      <x:c r="A34" s="3" t="s">
        <x:v>29</x:v>
      </x:c>
      <x:c r="B34" s="71">
        <x:v>-235827.9</x:v>
      </x:c>
      <x:c r="C34" s="3"/>
    </x:row>
    <x:row r="35" spans="1:3" s="2" customFormat="1" ht="17.399999999999999">
      <x:c r="A35" s="1" t="s">
        <x:v>32</x:v>
      </x:c>
      <x:c r="B35" s="71">
        <x:v>-11040260</x:v>
      </x:c>
      <x:c r="C35" s="3" t="s">
        <x:v>197</x:v>
      </x:c>
    </x:row>
    <x:row r="36" spans="1:3" s="2" customFormat="1" ht="17.399999999999999">
      <x:c r="A36" s="3" t="s">
        <x:v>36</x:v>
      </x:c>
      <x:c r="B36" s="71">
        <x:v>-519750</x:v>
      </x:c>
      <x:c r="C36" s="3"/>
    </x:row>
    <x:row r="37" spans="1:3" s="2" customFormat="1" ht="17.399999999999999">
      <x:c r="A37" s="1" t="s">
        <x:v>36</x:v>
      </x:c>
      <x:c r="B37" s="71">
        <x:v>-195907.25</x:v>
      </x:c>
      <x:c r="C37" s="3"/>
    </x:row>
    <x:row r="38" spans="1:3" s="2" customFormat="1" ht="17.399999999999999">
      <x:c r="A38" s="1" t="s">
        <x:v>32</x:v>
      </x:c>
      <x:c r="B38" s="71">
        <x:v>-6485325</x:v>
      </x:c>
      <x:c r="C38" s="3" t="s">
        <x:v>198</x:v>
      </x:c>
    </x:row>
    <x:row r="39" spans="1:3" s="2" customFormat="1" ht="17.399999999999999">
      <x:c r="A39" s="1" t="s">
        <x:v>35</x:v>
      </x:c>
      <x:c r="B39" s="71">
        <x:v>-1675080</x:v>
      </x:c>
      <x:c r="C39" s="84"/>
    </x:row>
    <x:row r="40" spans="1:3" s="2" customFormat="1" ht="17.399999999999999">
      <x:c r="A40" s="1" t="s">
        <x:v>35</x:v>
      </x:c>
      <x:c r="B40" s="71">
        <x:v>-4156413.8</x:v>
      </x:c>
      <x:c r="C40" s="84"/>
    </x:row>
    <x:row r="41" spans="1:3" s="2" customFormat="1" ht="17.399999999999999">
      <x:c r="A41" s="1" t="s">
        <x:v>35</x:v>
      </x:c>
      <x:c r="B41" s="71">
        <x:v>-2914476.9499999997</x:v>
      </x:c>
      <x:c r="C41" s="84"/>
    </x:row>
    <x:row r="42" spans="1:3" s="2" customFormat="1" ht="17.399999999999999">
      <x:c r="A42" s="1" t="s">
        <x:v>30</x:v>
      </x:c>
      <x:c r="B42" s="71">
        <x:v>-717640</x:v>
      </x:c>
      <x:c r="C42" s="84"/>
    </x:row>
    <x:row r="43" spans="1:3" s="2" customFormat="1" ht="17.399999999999999">
      <x:c r="A43" s="1" t="s">
        <x:v>30</x:v>
      </x:c>
      <x:c r="B43" s="71">
        <x:v>-3945784.1500000004</x:v>
      </x:c>
      <x:c r="C43" s="84"/>
    </x:row>
    <x:row r="44" spans="1:3" s="2" customFormat="1" ht="17.399999999999999">
      <x:c r="A44" s="1" t="s">
        <x:v>30</x:v>
      </x:c>
      <x:c r="B44" s="71">
        <x:v>-3278398.1999999997</x:v>
      </x:c>
      <x:c r="C44" s="84"/>
    </x:row>
    <x:row r="45" spans="1:3" s="2" customFormat="1" ht="17.399999999999999">
      <x:c r="A45" s="1" t="s">
        <x:v>30</x:v>
      </x:c>
      <x:c r="B45" s="71">
        <x:v>-4148971.7499999995</x:v>
      </x:c>
      <x:c r="C45" s="84"/>
    </x:row>
    <x:row r="46" spans="1:3" s="2" customFormat="1" ht="17.399999999999999">
      <x:c r="A46" s="1" t="s">
        <x:v>120</x:v>
      </x:c>
      <x:c r="B46" s="71">
        <x:v>-13293418.6</x:v>
      </x:c>
      <x:c r="C46" s="3"/>
    </x:row>
    <x:row r="47" spans="1:3" s="2" customFormat="1" ht="17.399999999999999">
      <x:c r="A47" s="3" t="s">
        <x:v>36</x:v>
      </x:c>
      <x:c r="B47" s="71">
        <x:v>-1923140.45</x:v>
      </x:c>
      <x:c r="C47" s="84"/>
    </x:row>
    <x:row r="48" spans="1:3" s="2" customFormat="1" ht="17.399999999999999">
      <x:c r="A48" s="3" t="s">
        <x:v>36</x:v>
      </x:c>
      <x:c r="B48" s="71">
        <x:v>-470708.69999999995</x:v>
      </x:c>
      <x:c r="C48" s="3"/>
    </x:row>
    <x:row r="49" spans="1:3" s="2" customFormat="1" ht="17.399999999999999">
      <x:c r="A49" s="1" t="s">
        <x:v>76</x:v>
      </x:c>
      <x:c r="B49" s="71">
        <x:v>-462000</x:v>
      </x:c>
      <x:c r="C49" s="84"/>
    </x:row>
    <x:row r="50" spans="1:3" s="2" customFormat="1" ht="17.399999999999999">
      <x:c r="A50" s="1" t="s">
        <x:v>36</x:v>
      </x:c>
      <x:c r="B50" s="71">
        <x:v>-1914932.2500000002</x:v>
      </x:c>
      <x:c r="C50" s="3"/>
    </x:row>
    <x:row r="51" spans="1:3" s="2" customFormat="1" ht="17.399999999999999">
      <x:c r="A51" s="3" t="s">
        <x:v>31</x:v>
      </x:c>
      <x:c r="B51" s="71">
        <x:v>-397758.9</x:v>
      </x:c>
      <x:c r="C51" s="3"/>
    </x:row>
    <x:row r="52" spans="1:3" s="2" customFormat="1" ht="17.399999999999999">
      <x:c r="A52" s="1" t="s">
        <x:v>78</x:v>
      </x:c>
      <x:c r="B52" s="71">
        <x:v>-12434052.4</x:v>
      </x:c>
      <x:c r="C52" s="84" t="s">
        <x:v>199</x:v>
      </x:c>
    </x:row>
    <x:row r="53" spans="1:3" s="2" customFormat="1" ht="17.399999999999999">
      <x:c r="A53" s="1" t="s">
        <x:v>78</x:v>
      </x:c>
      <x:c r="B53" s="71">
        <x:v>-2756600</x:v>
      </x:c>
      <x:c r="C53" s="84" t="s">
        <x:v>200</x:v>
      </x:c>
    </x:row>
    <x:row r="54" spans="1:3" s="2" customFormat="1" ht="17.399999999999999">
      <x:c r="A54" s="1" t="s">
        <x:v>78</x:v>
      </x:c>
      <x:c r="B54" s="71">
        <x:v>-1043808.15</x:v>
      </x:c>
      <x:c r="C54" s="84" t="s">
        <x:v>201</x:v>
      </x:c>
    </x:row>
    <x:row r="55" spans="1:3" s="2" customFormat="1" ht="17.399999999999999">
      <x:c r="A55" s="1" t="s">
        <x:v>195</x:v>
      </x:c>
      <x:c r="B55" s="71">
        <x:v>-579810</x:v>
      </x:c>
      <x:c r="C55" s="3"/>
    </x:row>
    <x:row r="56" spans="1:3" s="2" customFormat="1" ht="17.399999999999999">
      <x:c r="A56" s="3" t="s">
        <x:v>195</x:v>
      </x:c>
      <x:c r="B56" s="71">
        <x:v>-304535</x:v>
      </x:c>
      <x:c r="C56" s="3"/>
    </x:row>
    <x:row r="57" spans="1:3" s="2" customFormat="1" ht="17.399999999999999">
      <x:c r="A57" s="1" t="s">
        <x:v>32</x:v>
      </x:c>
      <x:c r="B57" s="71">
        <x:v>-6461840</x:v>
      </x:c>
      <x:c r="C57" s="3" t="s">
        <x:v>202</x:v>
      </x:c>
    </x:row>
    <x:row r="58" spans="1:3" s="2" customFormat="1" ht="17.399999999999999">
      <x:c r="A58" s="3" t="s">
        <x:v>195</x:v>
      </x:c>
      <x:c r="B58" s="71">
        <x:v>-184800</x:v>
      </x:c>
      <x:c r="C58" s="3"/>
    </x:row>
    <x:row r="59" spans="1:3" s="2" customFormat="1" ht="17.399999999999999">
      <x:c r="A59" s="3" t="s">
        <x:v>195</x:v>
      </x:c>
      <x:c r="B59" s="71">
        <x:v>-178640</x:v>
      </x:c>
      <x:c r="C59" s="3"/>
    </x:row>
    <x:row r="60" spans="1:3" s="2" customFormat="1" ht="17.399999999999999">
      <x:c r="A60" s="3" t="s">
        <x:v>195</x:v>
      </x:c>
      <x:c r="B60" s="71">
        <x:v>-171509.80000000002</x:v>
      </x:c>
      <x:c r="C60" s="3"/>
    </x:row>
    <x:row r="61" spans="1:3" s="2" customFormat="1" ht="17.399999999999999">
      <x:c r="A61" s="3" t="s">
        <x:v>195</x:v>
      </x:c>
      <x:c r="B61" s="71">
        <x:v>-193447.1</x:v>
      </x:c>
      <x:c r="C61" s="3"/>
    </x:row>
    <x:row r="62" spans="1:3" s="2" customFormat="1" ht="17.399999999999999">
      <x:c r="A62" s="3" t="s">
        <x:v>195</x:v>
      </x:c>
      <x:c r="B62" s="71">
        <x:v>-143470.25</x:v>
      </x:c>
      <x:c r="C62" s="3"/>
    </x:row>
    <x:row r="63" spans="1:3" s="2" customFormat="1" ht="17.399999999999999">
      <x:c r="A63" s="3" t="s">
        <x:v>36</x:v>
      </x:c>
      <x:c r="B63" s="71">
        <x:v>-1444327.5</x:v>
      </x:c>
      <x:c r="C63" s="3"/>
    </x:row>
    <x:row r="64" spans="1:3" s="2" customFormat="1" ht="17.399999999999999">
      <x:c r="A64" s="3" t="s">
        <x:v>36</x:v>
      </x:c>
      <x:c r="B64" s="71">
        <x:v>-150069.15</x:v>
      </x:c>
      <x:c r="C64" s="3"/>
    </x:row>
    <x:row r="65" spans="1:3" s="2" customFormat="1" ht="17.399999999999999">
      <x:c r="A65" s="1" t="s">
        <x:v>32</x:v>
      </x:c>
      <x:c r="B65" s="71">
        <x:v>-9162230</x:v>
      </x:c>
      <x:c r="C65" s="3" t="s">
        <x:v>203</x:v>
      </x:c>
    </x:row>
    <x:row r="66" spans="1:3" s="2" customFormat="1" ht="17.399999999999999">
      <x:c r="A66" s="1" t="s">
        <x:v>32</x:v>
      </x:c>
      <x:c r="B66" s="71">
        <x:v>-13732565</x:v>
      </x:c>
      <x:c r="C66" s="103" t="s">
        <x:v>204</x:v>
      </x:c>
    </x:row>
    <x:row r="67" spans="1:3" s="2" customFormat="1" ht="17.399999999999999">
      <x:c r="A67" s="3" t="s">
        <x:v>33</x:v>
      </x:c>
      <x:c r="B67" s="71">
        <x:v>-4224886.05</x:v>
      </x:c>
      <x:c r="C67" s="3" t="s">
        <x:v>155</x:v>
      </x:c>
    </x:row>
    <x:row r="68" spans="1:3" s="2" customFormat="1" ht="17.399999999999999">
      <x:c r="A68" s="3" t="s">
        <x:v>33</x:v>
      </x:c>
      <x:c r="B68" s="71">
        <x:v>-213552</x:v>
      </x:c>
      <x:c r="C68" s="3" t="s">
        <x:v>143</x:v>
      </x:c>
    </x:row>
    <x:row r="69" spans="1:3" s="2" customFormat="1" ht="17.399999999999999">
      <x:c r="A69" s="3" t="s">
        <x:v>33</x:v>
      </x:c>
      <x:c r="B69" s="71">
        <x:v>-213552</x:v>
      </x:c>
      <x:c r="C69" s="3" t="s">
        <x:v>144</x:v>
      </x:c>
    </x:row>
    <x:row r="70" spans="1:3" s="2" customFormat="1" ht="17.399999999999999">
      <x:c r="A70" s="3" t="s">
        <x:v>33</x:v>
      </x:c>
      <x:c r="B70" s="71">
        <x:v>-210144</x:v>
      </x:c>
      <x:c r="C70" s="3" t="s">
        <x:v>152</x:v>
      </x:c>
    </x:row>
    <x:row r="71" spans="1:3" s="2" customFormat="1" ht="17.399999999999999">
      <x:c r="A71" s="3" t="s">
        <x:v>33</x:v>
      </x:c>
      <x:c r="B71" s="71">
        <x:v>-213952</x:v>
      </x:c>
      <x:c r="C71" s="3" t="s">
        <x:v>153</x:v>
      </x:c>
    </x:row>
    <x:row r="72" spans="1:3" s="2" customFormat="1" ht="17.399999999999999">
      <x:c r="A72" s="3" t="s">
        <x:v>33</x:v>
      </x:c>
      <x:c r="B72" s="71">
        <x:v>-213728.00000000003</x:v>
      </x:c>
      <x:c r="C72" s="3" t="s">
        <x:v>156</x:v>
      </x:c>
    </x:row>
    <x:row r="73" spans="1:3" s="2" customFormat="1" ht="17.399999999999999">
      <x:c r="A73" s="3" t="s">
        <x:v>33</x:v>
      </x:c>
      <x:c r="B73" s="71">
        <x:v>-213728.00000000003</x:v>
      </x:c>
      <x:c r="C73" s="3" t="s">
        <x:v>157</x:v>
      </x:c>
    </x:row>
    <x:row r="74" spans="1:3" s="2" customFormat="1" ht="17.399999999999999">
      <x:c r="A74" s="3" t="s">
        <x:v>33</x:v>
      </x:c>
      <x:c r="B74" s="71">
        <x:v>-213664</x:v>
      </x:c>
      <x:c r="C74" s="3" t="s">
        <x:v>205</x:v>
      </x:c>
    </x:row>
    <x:row r="75" spans="1:3" s="2" customFormat="1" ht="17.399999999999999">
      <x:c r="A75" s="3" t="s">
        <x:v>33</x:v>
      </x:c>
      <x:c r="B75" s="71">
        <x:v>-167872</x:v>
      </x:c>
      <x:c r="C75" s="3" t="s">
        <x:v>206</x:v>
      </x:c>
    </x:row>
    <x:row r="76" spans="1:3" s="2" customFormat="1" ht="17.399999999999999">
      <x:c r="A76" s="3" t="s">
        <x:v>33</x:v>
      </x:c>
      <x:c r="B76" s="71">
        <x:v>-168048</x:v>
      </x:c>
      <x:c r="C76" s="3" t="s">
        <x:v>207</x:v>
      </x:c>
    </x:row>
    <x:row r="77" spans="1:3" s="2" customFormat="1" ht="17.399999999999999">
      <x:c r="A77" s="3" t="s">
        <x:v>33</x:v>
      </x:c>
      <x:c r="B77" s="71">
        <x:v>-168048</x:v>
      </x:c>
      <x:c r="C77" s="3" t="s">
        <x:v>208</x:v>
      </x:c>
    </x:row>
    <x:row r="78" spans="1:3" s="2" customFormat="1" ht="17.399999999999999">
      <x:c r="A78" s="3" t="s">
        <x:v>33</x:v>
      </x:c>
      <x:c r="B78" s="71">
        <x:v>-168288</x:v>
      </x:c>
      <x:c r="C78" s="3" t="s">
        <x:v>209</x:v>
      </x:c>
    </x:row>
    <x:row r="79" spans="1:3" s="2" customFormat="1" ht="17.399999999999999">
      <x:c r="A79" s="3" t="s">
        <x:v>33</x:v>
      </x:c>
      <x:c r="B79" s="71">
        <x:v>-168160</x:v>
      </x:c>
      <x:c r="C79" s="3" t="s">
        <x:v>210</x:v>
      </x:c>
    </x:row>
    <x:row r="80" spans="1:3" s="2" customFormat="1" ht="17.399999999999999">
      <x:c r="A80" s="3" t="s">
        <x:v>33</x:v>
      </x:c>
      <x:c r="B80" s="71">
        <x:v>-1075297.3</x:v>
      </x:c>
      <x:c r="C80" s="3" t="s">
        <x:v>154</x:v>
      </x:c>
    </x:row>
    <x:row r="81" spans="1:3" s="2" customFormat="1" ht="17.399999999999999">
      <x:c r="A81" s="3" t="s">
        <x:v>33</x:v>
      </x:c>
      <x:c r="B81" s="71">
        <x:v>-1093561.7</x:v>
      </x:c>
      <x:c r="C81" s="3" t="s">
        <x:v>145</x:v>
      </x:c>
    </x:row>
    <x:row r="82" spans="1:3" s="2" customFormat="1" ht="17.399999999999999">
      <x:c r="A82" s="1" t="s">
        <x:v>32</x:v>
      </x:c>
      <x:c r="B82" s="71">
        <x:v>-6141135</x:v>
      </x:c>
      <x:c r="C82" s="3" t="s">
        <x:v>211</x:v>
      </x:c>
    </x:row>
    <x:row r="83" spans="1:3" s="2" customFormat="1" ht="17.399999999999999">
      <x:c r="A83" s="1" t="s">
        <x:v>32</x:v>
      </x:c>
      <x:c r="B83" s="71">
        <x:v>-9470615</x:v>
      </x:c>
      <x:c r="C83" s="3" t="s">
        <x:v>212</x:v>
      </x:c>
    </x:row>
  </x:sheetData>
  <x:autoFilter ref="A1:C83" xr:uid="{2593E3ED-26BF-4794-853C-ABCF682A11F5}"/>
  <x:conditionalFormatting sqref="C66">
    <x:cfRule type="duplicateValues" dxfId="0" priority="1"/>
  </x:conditionalFormatting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313E154-0330-4EF6-B9EB-04A61396960E}" mc:Ignorable="x14ac xr xr2 xr3">
  <x:dimension ref="A1:I32"/>
  <x:sheetViews>
    <x:sheetView workbookViewId="0">
      <x:selection activeCell="I32" sqref="I32"/>
    </x:sheetView>
  </x:sheetViews>
  <x:sheetFormatPr defaultRowHeight="17.399999999999999"/>
  <x:cols>
    <x:col min="1" max="1" width="14.625" style="24" bestFit="1" customWidth="1"/>
    <x:col min="2" max="2" width="15.75" style="24" bestFit="1" customWidth="1"/>
    <x:col min="3" max="3" width="11.75" style="24" bestFit="1" customWidth="1"/>
    <x:col min="4" max="4" width="11.375" style="75" bestFit="1" customWidth="1"/>
    <x:col min="5" max="5" width="10.875" style="75" bestFit="1" customWidth="1"/>
    <x:col min="6" max="6" width="10.875" style="75" customWidth="1"/>
    <x:col min="7" max="7" width="17.75" style="24" bestFit="1" customWidth="1"/>
    <x:col min="8" max="8" width="18.375" style="24" bestFit="1" customWidth="1"/>
    <x:col min="9" max="9" width="20.125" style="24" bestFit="1" customWidth="1"/>
    <x:col min="10" max="16384" width="9" style="24"/>
  </x:cols>
  <x:sheetData>
    <x:row r="1" spans="1:9">
      <x:c r="A1" s="99" t="s">
        <x:v>159</x:v>
      </x:c>
      <x:c r="B1" s="99" t="s">
        <x:v>160</x:v>
      </x:c>
      <x:c r="C1" s="99" t="s">
        <x:v>182</x:v>
      </x:c>
      <x:c r="D1" s="101">
        <x:v>46022</x:v>
      </x:c>
      <x:c r="E1" s="101">
        <x:v>46053</x:v>
      </x:c>
      <x:c r="F1" s="101">
        <x:v>46081</x:v>
      </x:c>
      <x:c r="G1" s="100" t="s">
        <x:v>183</x:v>
      </x:c>
      <x:c r="H1" s="100" t="s">
        <x:v>184</x:v>
      </x:c>
      <x:c r="I1" s="99" t="s">
        <x:v>194</x:v>
      </x:c>
    </x:row>
    <x:row r="2" spans="1:9">
      <x:c r="A2" s="24" t="s">
        <x:v>161</x:v>
      </x:c>
      <x:c r="B2" s="24" t="s">
        <x:v>162</x:v>
      </x:c>
      <x:c r="C2" s="95">
        <x:v>10.02</x:v>
      </x:c>
      <x:c r="D2" s="75">
        <x:v>345</x:v>
      </x:c>
      <x:c r="E2" s="75">
        <x:v>345</x:v>
      </x:c>
      <x:c r="F2" s="75">
        <x:v>345</x:v>
      </x:c>
      <x:c r="G2" s="95">
        <x:f>C2*D2</x:f>
        <x:v>3456.8999999999996</x:v>
      </x:c>
      <x:c r="H2" s="95">
        <x:f>C2*E2</x:f>
        <x:v>3456.8999999999996</x:v>
      </x:c>
      <x:c r="I2" s="95">
        <x:f>C2*F2</x:f>
        <x:v>3456.8999999999996</x:v>
      </x:c>
    </x:row>
    <x:row r="3" spans="1:9">
      <x:c r="A3" s="24" t="s">
        <x:v>163</x:v>
      </x:c>
      <x:c r="B3" s="24" t="s">
        <x:v>74</x:v>
      </x:c>
      <x:c r="C3" s="95">
        <x:v>2.35</x:v>
      </x:c>
      <x:c r="D3" s="75">
        <x:v>5000</x:v>
      </x:c>
      <x:c r="E3" s="75">
        <x:v>4400</x:v>
      </x:c>
      <x:c r="F3" s="75">
        <x:v>3800</x:v>
      </x:c>
      <x:c r="G3" s="95">
        <x:f t="shared" ref="G3:G27" si="0">C3*D3</x:f>
        <x:v>11750</x:v>
      </x:c>
      <x:c r="H3" s="95">
        <x:f t="shared" ref="H3:H27" si="1">C3*E3</x:f>
        <x:v>10340</x:v>
      </x:c>
      <x:c r="I3" s="95">
        <x:f t="shared" ref="I3:I27" si="2">C3*F3</x:f>
        <x:v>8930</x:v>
      </x:c>
    </x:row>
    <x:row r="4" spans="1:9">
      <x:c r="A4" s="24" t="s">
        <x:v>163</x:v>
      </x:c>
      <x:c r="B4" s="24" t="s">
        <x:v>130</x:v>
      </x:c>
      <x:c r="C4" s="95">
        <x:v>7.68</x:v>
      </x:c>
      <x:c r="D4" s="75">
        <x:v>4800</x:v>
      </x:c>
      <x:c r="E4" s="75">
        <x:v>3900</x:v>
      </x:c>
      <x:c r="F4" s="75">
        <x:v>3600</x:v>
      </x:c>
      <x:c r="G4" s="95">
        <x:f t="shared" si="0"/>
        <x:v>36864</x:v>
      </x:c>
      <x:c r="H4" s="95">
        <x:f t="shared" si="1"/>
        <x:v>29952</x:v>
      </x:c>
      <x:c r="I4" s="95">
        <x:f t="shared" si="2"/>
        <x:v>27648</x:v>
      </x:c>
    </x:row>
    <x:row r="5" spans="1:9">
      <x:c r="A5" s="24" t="s">
        <x:v>163</x:v>
      </x:c>
      <x:c r="B5" s="24" t="s">
        <x:v>13</x:v>
      </x:c>
      <x:c r="C5" s="95">
        <x:v>85.86</x:v>
      </x:c>
      <x:c r="D5" s="75">
        <x:v>1272</x:v>
      </x:c>
      <x:c r="E5" s="75">
        <x:v>552</x:v>
      </x:c>
      <x:c r="F5" s="75">
        <x:v>192</x:v>
      </x:c>
      <x:c r="G5" s="95">
        <x:f t="shared" si="0"/>
        <x:v>109213.92</x:v>
      </x:c>
      <x:c r="H5" s="95">
        <x:f t="shared" si="1"/>
        <x:v>47394.720000000001</x:v>
      </x:c>
      <x:c r="I5" s="95">
        <x:f t="shared" si="2"/>
        <x:v>16485.12</x:v>
      </x:c>
    </x:row>
    <x:row r="6" spans="1:9">
      <x:c r="A6" s="24" t="s">
        <x:v>164</x:v>
      </x:c>
      <x:c r="B6" s="24" t="s">
        <x:v>9</x:v>
      </x:c>
      <x:c r="C6" s="95">
        <x:v>3.74</x:v>
      </x:c>
      <x:c r="D6" s="75">
        <x:v>8000</x:v>
      </x:c>
      <x:c r="E6" s="75">
        <x:v>7600</x:v>
      </x:c>
      <x:c r="F6" s="75">
        <x:v>7000</x:v>
      </x:c>
      <x:c r="G6" s="95">
        <x:f t="shared" si="0"/>
        <x:v>29920</x:v>
      </x:c>
      <x:c r="H6" s="95">
        <x:f t="shared" si="1"/>
        <x:v>28424</x:v>
      </x:c>
      <x:c r="I6" s="95">
        <x:f t="shared" si="2"/>
        <x:v>26180</x:v>
      </x:c>
    </x:row>
    <x:row r="7" spans="1:9">
      <x:c r="A7" s="24" t="s">
        <x:v>164</x:v>
      </x:c>
      <x:c r="B7" s="24" t="s">
        <x:v>79</x:v>
      </x:c>
      <x:c r="C7" s="95">
        <x:v>7.71</x:v>
      </x:c>
      <x:c r="D7" s="75">
        <x:v>7850</x:v>
      </x:c>
      <x:c r="E7" s="75">
        <x:v>7850</x:v>
      </x:c>
      <x:c r="F7" s="75">
        <x:v>7000</x:v>
      </x:c>
      <x:c r="G7" s="95">
        <x:f t="shared" si="0"/>
        <x:v>60523.5</x:v>
      </x:c>
      <x:c r="H7" s="95">
        <x:f t="shared" si="1"/>
        <x:v>60523.5</x:v>
      </x:c>
      <x:c r="I7" s="95">
        <x:f t="shared" si="2"/>
        <x:v>53970</x:v>
      </x:c>
    </x:row>
    <x:row r="8" spans="1:9">
      <x:c r="A8" s="24" t="s">
        <x:v>164</x:v>
      </x:c>
      <x:c r="B8" s="24" t="s">
        <x:v>80</x:v>
      </x:c>
      <x:c r="C8" s="95">
        <x:v>5.31</x:v>
      </x:c>
      <x:c r="D8" s="75">
        <x:v>7950</x:v>
      </x:c>
      <x:c r="E8" s="75">
        <x:v>8000</x:v>
      </x:c>
      <x:c r="F8" s="75">
        <x:v>7000</x:v>
      </x:c>
      <x:c r="G8" s="95">
        <x:f t="shared" si="0"/>
        <x:v>42214.5</x:v>
      </x:c>
      <x:c r="H8" s="95">
        <x:f t="shared" si="1"/>
        <x:v>42480</x:v>
      </x:c>
      <x:c r="I8" s="95">
        <x:f t="shared" si="2"/>
        <x:v>37170</x:v>
      </x:c>
    </x:row>
    <x:row r="9" spans="1:9">
      <x:c r="A9" s="24" t="s">
        <x:v>164</x:v>
      </x:c>
      <x:c r="B9" s="24" t="s">
        <x:v>15</x:v>
      </x:c>
      <x:c r="C9" s="95">
        <x:v>117.2</x:v>
      </x:c>
      <x:c r="D9" s="75">
        <x:v>1024</x:v>
      </x:c>
      <x:c r="E9" s="75">
        <x:v>772</x:v>
      </x:c>
      <x:c r="F9" s="75">
        <x:v>748</x:v>
      </x:c>
      <x:c r="G9" s="95">
        <x:f t="shared" si="0"/>
        <x:v>120012.8</x:v>
      </x:c>
      <x:c r="H9" s="95">
        <x:f t="shared" si="1"/>
        <x:v>90478.400000000009</x:v>
      </x:c>
      <x:c r="I9" s="95">
        <x:f t="shared" si="2"/>
        <x:v>87665.600000000006</x:v>
      </x:c>
    </x:row>
    <x:row r="10" spans="1:9">
      <x:c r="A10" s="24" t="s">
        <x:v>165</x:v>
      </x:c>
      <x:c r="B10" s="24" t="s">
        <x:v>7</x:v>
      </x:c>
      <x:c r="C10" s="95">
        <x:v>0.39</x:v>
      </x:c>
      <x:c r="D10" s="75">
        <x:v>133385</x:v>
      </x:c>
      <x:c r="E10" s="75">
        <x:v>121385</x:v>
      </x:c>
      <x:c r="F10" s="75">
        <x:v>111385</x:v>
      </x:c>
      <x:c r="G10" s="95">
        <x:f t="shared" si="0"/>
        <x:v>52020.15</x:v>
      </x:c>
      <x:c r="H10" s="95">
        <x:f t="shared" si="1"/>
        <x:v>47340.15</x:v>
      </x:c>
      <x:c r="I10" s="95">
        <x:f t="shared" si="2"/>
        <x:v>43440.15</x:v>
      </x:c>
    </x:row>
    <x:row r="11" spans="1:9">
      <x:c r="A11" s="24" t="s">
        <x:v>165</x:v>
      </x:c>
      <x:c r="B11" s="24" t="s">
        <x:v>107</x:v>
      </x:c>
      <x:c r="C11" s="95">
        <x:v>27.14</x:v>
      </x:c>
      <x:c r="D11" s="75">
        <x:v>11520</x:v>
      </x:c>
      <x:c r="E11" s="75">
        <x:v>9633</x:v>
      </x:c>
      <x:c r="F11" s="75">
        <x:v>10224</x:v>
      </x:c>
      <x:c r="G11" s="95">
        <x:f t="shared" si="0"/>
        <x:v>312652.79999999999</x:v>
      </x:c>
      <x:c r="H11" s="95">
        <x:f t="shared" si="1"/>
        <x:v>261439.62</x:v>
      </x:c>
      <x:c r="I11" s="95">
        <x:f t="shared" si="2"/>
        <x:v>277479.36</x:v>
      </x:c>
    </x:row>
    <x:row r="12" spans="1:9">
      <x:c r="A12" s="24" t="s">
        <x:v>165</x:v>
      </x:c>
      <x:c r="B12" s="24" t="s">
        <x:v>81</x:v>
      </x:c>
      <x:c r="C12" s="95">
        <x:v>156.75</x:v>
      </x:c>
      <x:c r="D12" s="75">
        <x:v>4290</x:v>
      </x:c>
      <x:c r="E12" s="75">
        <x:v>930</x:v>
      </x:c>
      <x:c r="F12" s="75">
        <x:v>0</x:v>
      </x:c>
      <x:c r="G12" s="95">
        <x:f t="shared" si="0"/>
        <x:v>672457.5</x:v>
      </x:c>
      <x:c r="H12" s="95">
        <x:f t="shared" si="1"/>
        <x:v>145777.5</x:v>
      </x:c>
      <x:c r="I12" s="95">
        <x:f t="shared" si="2"/>
        <x:v>0</x:v>
      </x:c>
    </x:row>
    <x:row r="13" spans="1:9">
      <x:c r="A13" s="24" t="s">
        <x:v>165</x:v>
      </x:c>
      <x:c r="B13" s="24" t="s">
        <x:v>166</x:v>
      </x:c>
      <x:c r="C13" s="95">
        <x:v>156.75</x:v>
      </x:c>
      <x:c r="D13" s="75">
        <x:v>1758</x:v>
      </x:c>
      <x:c r="E13" s="75">
        <x:v>3558</x:v>
      </x:c>
      <x:c r="F13" s="75">
        <x:v>4134</x:v>
      </x:c>
      <x:c r="G13" s="95">
        <x:f t="shared" si="0"/>
        <x:v>275566.5</x:v>
      </x:c>
      <x:c r="H13" s="95">
        <x:f t="shared" si="1"/>
        <x:v>557716.5</x:v>
      </x:c>
      <x:c r="I13" s="95">
        <x:f t="shared" si="2"/>
        <x:v>648004.5</x:v>
      </x:c>
    </x:row>
    <x:row r="14" spans="1:9">
      <x:c r="A14" s="24" t="s">
        <x:v>167</x:v>
      </x:c>
      <x:c r="B14" s="24" t="s">
        <x:v>168</x:v>
      </x:c>
      <x:c r="C14" s="95">
        <x:v>4.9800000000000004</x:v>
      </x:c>
      <x:c r="D14" s="75">
        <x:v>2052</x:v>
      </x:c>
      <x:c r="E14" s="75">
        <x:v>2052</x:v>
      </x:c>
      <x:c r="F14" s="75">
        <x:v>2052</x:v>
      </x:c>
      <x:c r="G14" s="95">
        <x:f t="shared" si="0"/>
        <x:v>10218.960000000001</x:v>
      </x:c>
      <x:c r="H14" s="95">
        <x:f t="shared" si="1"/>
        <x:v>10218.960000000001</x:v>
      </x:c>
      <x:c r="I14" s="95">
        <x:f t="shared" si="2"/>
        <x:v>10218.960000000001</x:v>
      </x:c>
    </x:row>
    <x:row r="15" spans="1:9">
      <x:c r="A15" s="24" t="s">
        <x:v>167</x:v>
      </x:c>
      <x:c r="B15" s="24" t="s">
        <x:v>169</x:v>
      </x:c>
      <x:c r="C15" s="95">
        <x:v>3.64</x:v>
      </x:c>
      <x:c r="D15" s="75">
        <x:v>2000</x:v>
      </x:c>
      <x:c r="E15" s="75">
        <x:v>2000</x:v>
      </x:c>
      <x:c r="F15" s="75">
        <x:v>2000</x:v>
      </x:c>
      <x:c r="G15" s="95">
        <x:f t="shared" si="0"/>
        <x:v>7280</x:v>
      </x:c>
      <x:c r="H15" s="95">
        <x:f t="shared" si="1"/>
        <x:v>7280</x:v>
      </x:c>
      <x:c r="I15" s="95">
        <x:f t="shared" si="2"/>
        <x:v>7280</x:v>
      </x:c>
    </x:row>
    <x:row r="16" spans="1:9">
      <x:c r="A16" s="24" t="s">
        <x:v>167</x:v>
      </x:c>
      <x:c r="B16" s="24" t="s">
        <x:v>170</x:v>
      </x:c>
      <x:c r="C16" s="95">
        <x:v>4.0599999999999996</x:v>
      </x:c>
      <x:c r="D16" s="75">
        <x:v>1920</x:v>
      </x:c>
      <x:c r="E16" s="75">
        <x:v>1920</x:v>
      </x:c>
      <x:c r="F16" s="75">
        <x:v>1920</x:v>
      </x:c>
      <x:c r="G16" s="95">
        <x:f t="shared" si="0"/>
        <x:v>7795.1999999999989</x:v>
      </x:c>
      <x:c r="H16" s="95">
        <x:f t="shared" si="1"/>
        <x:v>7795.1999999999989</x:v>
      </x:c>
      <x:c r="I16" s="95">
        <x:f t="shared" si="2"/>
        <x:v>7795.1999999999989</x:v>
      </x:c>
    </x:row>
    <x:row r="17" spans="1:9">
      <x:c r="A17" s="24" t="s">
        <x:v>167</x:v>
      </x:c>
      <x:c r="B17" s="24" t="s">
        <x:v>171</x:v>
      </x:c>
      <x:c r="C17" s="95">
        <x:v>0.46</x:v>
      </x:c>
      <x:c r="D17" s="75">
        <x:v>7920</x:v>
      </x:c>
      <x:c r="E17" s="75">
        <x:v>7920</x:v>
      </x:c>
      <x:c r="F17" s="75">
        <x:v>7920</x:v>
      </x:c>
      <x:c r="G17" s="95">
        <x:f t="shared" si="0"/>
        <x:v>3643.2000000000003</x:v>
      </x:c>
      <x:c r="H17" s="95">
        <x:f t="shared" si="1"/>
        <x:v>3643.2000000000003</x:v>
      </x:c>
      <x:c r="I17" s="95">
        <x:f t="shared" si="2"/>
        <x:v>3643.2000000000003</x:v>
      </x:c>
    </x:row>
    <x:row r="18" spans="1:9">
      <x:c r="A18" s="24" t="s">
        <x:v>167</x:v>
      </x:c>
      <x:c r="B18" s="24" t="s">
        <x:v>172</x:v>
      </x:c>
      <x:c r="C18" s="95">
        <x:v>71.13</x:v>
      </x:c>
      <x:c r="D18" s="75">
        <x:v>2</x:v>
      </x:c>
      <x:c r="E18" s="75">
        <x:v>50</x:v>
      </x:c>
      <x:c r="F18" s="75">
        <x:v>50</x:v>
      </x:c>
      <x:c r="G18" s="95">
        <x:f t="shared" si="0"/>
        <x:v>142.26</x:v>
      </x:c>
      <x:c r="H18" s="95">
        <x:f t="shared" si="1"/>
        <x:v>3556.5</x:v>
      </x:c>
      <x:c r="I18" s="95">
        <x:f t="shared" si="2"/>
        <x:v>3556.5</x:v>
      </x:c>
    </x:row>
    <x:row r="19" spans="1:9">
      <x:c r="A19" s="24" t="s">
        <x:v>167</x:v>
      </x:c>
      <x:c r="B19" s="24" t="s">
        <x:v>173</x:v>
      </x:c>
      <x:c r="C19" s="95">
        <x:v>15.62</x:v>
      </x:c>
      <x:c r="D19" s="75">
        <x:v>2000</x:v>
      </x:c>
      <x:c r="E19" s="75">
        <x:v>2000</x:v>
      </x:c>
      <x:c r="F19" s="75">
        <x:v>2000</x:v>
      </x:c>
      <x:c r="G19" s="95">
        <x:f t="shared" si="0"/>
        <x:v>31240</x:v>
      </x:c>
      <x:c r="H19" s="95">
        <x:f t="shared" si="1"/>
        <x:v>31240</x:v>
      </x:c>
      <x:c r="I19" s="95">
        <x:f t="shared" si="2"/>
        <x:v>31240</x:v>
      </x:c>
    </x:row>
    <x:row r="20" spans="1:9">
      <x:c r="A20" s="24" t="s">
        <x:v>174</x:v>
      </x:c>
      <x:c r="B20" s="24" t="s">
        <x:v>175</x:v>
      </x:c>
      <x:c r="C20" s="95">
        <x:v>4.66</x:v>
      </x:c>
      <x:c r="D20" s="75">
        <x:v>205</x:v>
      </x:c>
      <x:c r="E20" s="75">
        <x:v>205</x:v>
      </x:c>
      <x:c r="F20" s="75">
        <x:v>205</x:v>
      </x:c>
      <x:c r="G20" s="95">
        <x:f t="shared" si="0"/>
        <x:v>955.30000000000007</x:v>
      </x:c>
      <x:c r="H20" s="95">
        <x:f t="shared" si="1"/>
        <x:v>955.30000000000007</x:v>
      </x:c>
      <x:c r="I20" s="95">
        <x:f t="shared" si="2"/>
        <x:v>955.30000000000007</x:v>
      </x:c>
    </x:row>
    <x:row r="21" spans="1:9">
      <x:c r="A21" s="24" t="s">
        <x:v>174</x:v>
      </x:c>
      <x:c r="B21" s="24" t="s">
        <x:v>176</x:v>
      </x:c>
      <x:c r="C21" s="95">
        <x:v>4.46</x:v>
      </x:c>
      <x:c r="D21" s="75">
        <x:v>204</x:v>
      </x:c>
      <x:c r="E21" s="75">
        <x:v>204</x:v>
      </x:c>
      <x:c r="F21" s="75">
        <x:v>204</x:v>
      </x:c>
      <x:c r="G21" s="95">
        <x:f t="shared" si="0"/>
        <x:v>909.84</x:v>
      </x:c>
      <x:c r="H21" s="95">
        <x:f t="shared" si="1"/>
        <x:v>909.84</x:v>
      </x:c>
      <x:c r="I21" s="95">
        <x:f t="shared" si="2"/>
        <x:v>909.84</x:v>
      </x:c>
    </x:row>
    <x:row r="22" spans="1:9">
      <x:c r="A22" s="24" t="s">
        <x:v>174</x:v>
      </x:c>
      <x:c r="B22" s="24" t="s">
        <x:v>177</x:v>
      </x:c>
      <x:c r="C22" s="95">
        <x:v>4.3600000000000003</x:v>
      </x:c>
      <x:c r="D22" s="75">
        <x:v>201</x:v>
      </x:c>
      <x:c r="E22" s="75">
        <x:v>201</x:v>
      </x:c>
      <x:c r="F22" s="75">
        <x:v>201</x:v>
      </x:c>
      <x:c r="G22" s="95">
        <x:f t="shared" si="0"/>
        <x:v>876.36</x:v>
      </x:c>
      <x:c r="H22" s="95">
        <x:f t="shared" si="1"/>
        <x:v>876.36</x:v>
      </x:c>
      <x:c r="I22" s="95">
        <x:f t="shared" si="2"/>
        <x:v>876.36</x:v>
      </x:c>
    </x:row>
    <x:row r="23" spans="1:9">
      <x:c r="A23" s="24" t="s">
        <x:v>174</x:v>
      </x:c>
      <x:c r="B23" s="24" t="s">
        <x:v>178</x:v>
      </x:c>
      <x:c r="C23" s="95">
        <x:v>37.380000000000003</x:v>
      </x:c>
      <x:c r="D23" s="75">
        <x:v>124</x:v>
      </x:c>
      <x:c r="E23" s="75">
        <x:v>124</x:v>
      </x:c>
      <x:c r="F23" s="75">
        <x:v>124</x:v>
      </x:c>
      <x:c r="G23" s="95">
        <x:f t="shared" si="0"/>
        <x:v>4635.12</x:v>
      </x:c>
      <x:c r="H23" s="95">
        <x:f t="shared" si="1"/>
        <x:v>4635.12</x:v>
      </x:c>
      <x:c r="I23" s="95">
        <x:f t="shared" si="2"/>
        <x:v>4635.12</x:v>
      </x:c>
    </x:row>
    <x:row r="24" spans="1:9">
      <x:c r="A24" s="24" t="s">
        <x:v>174</x:v>
      </x:c>
      <x:c r="B24" s="24" t="s">
        <x:v>179</x:v>
      </x:c>
      <x:c r="C24" s="95">
        <x:v>16.09</x:v>
      </x:c>
      <x:c r="D24" s="75">
        <x:v>152</x:v>
      </x:c>
      <x:c r="E24" s="75">
        <x:v>152</x:v>
      </x:c>
      <x:c r="F24" s="75">
        <x:v>152</x:v>
      </x:c>
      <x:c r="G24" s="95">
        <x:f t="shared" si="0"/>
        <x:v>2445.6799999999998</x:v>
      </x:c>
      <x:c r="H24" s="95">
        <x:f t="shared" si="1"/>
        <x:v>2445.6799999999998</x:v>
      </x:c>
      <x:c r="I24" s="95">
        <x:f t="shared" si="2"/>
        <x:v>2445.6799999999998</x:v>
      </x:c>
    </x:row>
    <x:row r="25" spans="1:9">
      <x:c r="A25" s="24" t="s">
        <x:v>180</x:v>
      </x:c>
      <x:c r="B25" s="24" t="s">
        <x:v>133</x:v>
      </x:c>
      <x:c r="C25" s="95">
        <x:v>9.69</x:v>
      </x:c>
      <x:c r="D25" s="75">
        <x:v>48784</x:v>
      </x:c>
      <x:c r="E25" s="75">
        <x:v>30352</x:v>
      </x:c>
      <x:c r="F25" s="75">
        <x:v>19588</x:v>
      </x:c>
      <x:c r="G25" s="95">
        <x:f t="shared" si="0"/>
        <x:v>472716.95999999996</x:v>
      </x:c>
      <x:c r="H25" s="95">
        <x:f t="shared" si="1"/>
        <x:v>294110.88</x:v>
      </x:c>
      <x:c r="I25" s="95">
        <x:f t="shared" si="2"/>
        <x:v>189807.72</x:v>
      </x:c>
    </x:row>
    <x:row r="26" spans="1:9">
      <x:c r="A26" s="24" t="s">
        <x:v>180</x:v>
      </x:c>
      <x:c r="B26" s="24" t="s">
        <x:v>132</x:v>
      </x:c>
      <x:c r="C26" s="95">
        <x:v>7.14</x:v>
      </x:c>
      <x:c r="D26" s="75">
        <x:v>48688</x:v>
      </x:c>
      <x:c r="E26" s="75">
        <x:v>31280</x:v>
      </x:c>
      <x:c r="F26" s="75">
        <x:v>19684</x:v>
      </x:c>
      <x:c r="G26" s="95">
        <x:f t="shared" si="0"/>
        <x:v>347632.32</x:v>
      </x:c>
      <x:c r="H26" s="95">
        <x:f t="shared" si="1"/>
        <x:v>223339.19999999998</x:v>
      </x:c>
      <x:c r="I26" s="95">
        <x:f t="shared" si="2"/>
        <x:v>140543.75999999998</x:v>
      </x:c>
    </x:row>
    <x:row r="27" spans="1:9">
      <x:c r="A27" s="24" t="s">
        <x:v>181</x:v>
      </x:c>
      <x:c r="B27" s="24" t="s">
        <x:v>122</x:v>
      </x:c>
      <x:c r="C27" s="95">
        <x:v>6.38</x:v>
      </x:c>
      <x:c r="D27" s="75">
        <x:v>1500</x:v>
      </x:c>
      <x:c r="E27" s="75">
        <x:v>1500</x:v>
      </x:c>
      <x:c r="F27" s="75">
        <x:v>1200</x:v>
      </x:c>
      <x:c r="G27" s="95">
        <x:f t="shared" si="0"/>
        <x:v>9570</x:v>
      </x:c>
      <x:c r="H27" s="95">
        <x:f t="shared" si="1"/>
        <x:v>9570</x:v>
      </x:c>
      <x:c r="I27" s="95">
        <x:f t="shared" si="2"/>
        <x:v>7656</x:v>
      </x:c>
    </x:row>
    <x:row r="28" spans="1:9">
      <x:c r="G28" s="96">
        <x:f>SUM(G2:G27)</x:f>
        <x:v>2626713.77</x:v>
      </x:c>
      <x:c r="H28" s="96">
        <x:f>SUM(H2:H27)</x:f>
        <x:v>1925899.53</x:v>
      </x:c>
      <x:c r="I28" s="96">
        <x:f>SUM(I2:I27)</x:f>
        <x:v>1641993.27</x:v>
      </x:c>
    </x:row>
    <x:row r="29" spans="1:9">
      <x:c r="H29" s="97">
        <x:f>H28-G28</x:f>
        <x:v>-700814.24</x:v>
      </x:c>
      <x:c r="I29" s="95">
        <x:f>I28-G28</x:f>
        <x:v>-984720.5</x:v>
      </x:c>
    </x:row>
    <x:row r="30" spans="1:9">
      <x:c r="H30" s="97">
        <x:f>H29*1350</x:f>
        <x:v>-946099224</x:v>
      </x:c>
      <x:c r="I30" s="97">
        <x:f>I29*1350</x:f>
        <x:v>-1329372675</x:v>
      </x:c>
    </x:row>
    <x:row r="31" spans="1:9">
      <x:c r="H31" s="98">
        <x:v>5.8799999999999998E-2</x:v>
      </x:c>
      <x:c r="I31" s="98">
        <x:v>5.8799999999999998E-2</x:v>
      </x:c>
    </x:row>
    <x:row r="32" spans="1:9">
      <x:c r="H32" s="97">
        <x:f>H30*H31</x:f>
        <x:v>-55630634.371199995</x:v>
      </x:c>
      <x:c r="I32" s="97">
        <x:f>I30*I31</x:f>
        <x:v>-78167113.289999992</x:v>
      </x:c>
    </x:row>
  </x:sheetData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F09F03-904E-46BE-962E-DFD18D79779E}" mc:Ignorable="x14ac xr xr2 xr3">
  <x:dimension ref="A1:AF29"/>
  <x:sheetViews>
    <x:sheetView zoomScaleNormal="100" workbookViewId="0">
      <x:pane xSplit="2" ySplit="2" topLeftCell="L3" activePane="bottomRight" state="frozen"/>
      <x:selection pane="topRight" activeCell="C1" sqref="C1"/>
      <x:selection pane="bottomLeft" activeCell="A3" sqref="A3"/>
      <x:selection pane="bottomRight" activeCell="AA27" sqref="AA27"/>
    </x:sheetView>
  </x:sheetViews>
  <x:sheetFormatPr defaultRowHeight="17.399999999999999"/>
  <x:cols>
    <x:col min="1" max="1" width="14.25" style="24" bestFit="1" customWidth="1"/>
    <x:col min="2" max="2" width="16.375" style="24" bestFit="1" customWidth="1"/>
    <x:col min="3" max="14" width="12.5" style="31" bestFit="1" customWidth="1"/>
    <x:col min="15" max="15" width="14" style="25" bestFit="1" customWidth="1"/>
    <x:col min="16" max="16" width="15.5" style="25" bestFit="1" customWidth="1"/>
    <x:col min="17" max="17" width="7.625" style="25" bestFit="1" customWidth="1"/>
    <x:col min="18" max="18" width="7.625" style="25" customWidth="1"/>
    <x:col min="19" max="28" width="12.5" style="31" bestFit="1" customWidth="1"/>
    <x:col min="29" max="30" width="12.5" style="32" bestFit="1" customWidth="1"/>
    <x:col min="31" max="31" width="14.5" style="33" bestFit="1" customWidth="1"/>
    <x:col min="32" max="32" width="9.625" style="24" bestFit="1" customWidth="1"/>
    <x:col min="33" max="16384" width="9" style="24"/>
  </x:cols>
  <x:sheetData>
    <x:row r="1" spans="1:32">
      <x:c r="C1" s="31" t="s">
        <x:v>50</x:v>
      </x:c>
      <x:c r="D1" s="31" t="s">
        <x:v>51</x:v>
      </x:c>
      <x:c r="E1" s="31" t="s">
        <x:v>52</x:v>
      </x:c>
      <x:c r="F1" s="31" t="s">
        <x:v>53</x:v>
      </x:c>
      <x:c r="G1" s="31" t="s">
        <x:v>54</x:v>
      </x:c>
      <x:c r="H1" s="31" t="s">
        <x:v>55</x:v>
      </x:c>
      <x:c r="I1" s="31" t="s">
        <x:v>56</x:v>
      </x:c>
      <x:c r="J1" s="31" t="s">
        <x:v>57</x:v>
      </x:c>
      <x:c r="K1" s="31" t="s">
        <x:v>58</x:v>
      </x:c>
      <x:c r="L1" s="31" t="s">
        <x:v>59</x:v>
      </x:c>
      <x:c r="M1" s="31" t="s">
        <x:v>60</x:v>
      </x:c>
      <x:c r="N1" s="31" t="s">
        <x:v>61</x:v>
      </x:c>
      <x:c r="O1" s="25" t="s">
        <x:v>68</x:v>
      </x:c>
      <x:c r="P1" s="25" t="s">
        <x:v>191</x:v>
      </x:c>
      <x:c r="S1" s="31" t="s">
        <x:v>50</x:v>
      </x:c>
      <x:c r="T1" s="31" t="s">
        <x:v>63</x:v>
      </x:c>
      <x:c r="U1" s="31" t="s">
        <x:v>64</x:v>
      </x:c>
      <x:c r="V1" s="31" t="s">
        <x:v>65</x:v>
      </x:c>
      <x:c r="W1" s="31" t="s">
        <x:v>66</x:v>
      </x:c>
      <x:c r="X1" s="31" t="s">
        <x:v>67</x:v>
      </x:c>
      <x:c r="Y1" s="31" t="s">
        <x:v>56</x:v>
      </x:c>
      <x:c r="Z1" s="31" t="s">
        <x:v>57</x:v>
      </x:c>
      <x:c r="AA1" s="31" t="s">
        <x:v>58</x:v>
      </x:c>
      <x:c r="AB1" s="31" t="s">
        <x:v>59</x:v>
      </x:c>
      <x:c r="AC1" s="32" t="s">
        <x:v>60</x:v>
      </x:c>
      <x:c r="AD1" s="32" t="s">
        <x:v>61</x:v>
      </x:c>
      <x:c r="AE1" s="33" t="s">
        <x:v>69</x:v>
      </x:c>
    </x:row>
    <x:row r="2" spans="1:32" s="25" customFormat="1">
      <x:c r="A2" s="25" t="s">
        <x:v>41</x:v>
      </x:c>
      <x:c r="C2" s="27">
        <x:v>2669675754.9000001</x:v>
      </x:c>
      <x:c r="D2" s="27">
        <x:v>2431618753.4099998</x:v>
      </x:c>
      <x:c r="E2" s="27">
        <x:v>2044309002.1199999</x:v>
      </x:c>
      <x:c r="F2" s="27">
        <x:v>3109822407.2454</x:v>
      </x:c>
      <x:c r="G2" s="27">
        <x:v>2583103997.0043001</x:v>
      </x:c>
      <x:c r="H2" s="27">
        <x:v>1871934155.6684999</x:v>
      </x:c>
      <x:c r="I2" s="27">
        <x:v>1583895960.7547998</x:v>
      </x:c>
      <x:c r="J2" s="27">
        <x:v>1802349744.5183997</x:v>
      </x:c>
      <x:c r="K2" s="27">
        <x:v>1329369356.5845001</x:v>
      </x:c>
      <x:c r="L2" s="27">
        <x:v>1691360834.3016</x:v>
      </x:c>
      <x:c r="M2" s="27">
        <x:v>1183258160.7</x:v>
      </x:c>
      <x:c r="N2" s="27">
        <x:v>1183258160.7</x:v>
      </x:c>
      <x:c r="O2" s="34">
        <x:f>SUM(C2:N2)</x:f>
        <x:v>23483956287.907497</x:v>
      </x:c>
      <x:c r="P2" s="34">
        <x:f>SUM(C2:D2)</x:f>
        <x:v>5101294508.3099995</x:v>
      </x:c>
      <x:c r="Q2" s="35">
        <x:f>O2/$O$2</x:f>
        <x:v>1</x:v>
      </x:c>
      <x:c r="R2" s="35">
        <x:f>P2/$O$2</x:f>
        <x:v>0.21722466375637009</x:v>
      </x:c>
      <x:c r="S2" s="27">
        <x:v>3153223956.96</x:v>
      </x:c>
      <x:c r="T2" s="27">
        <x:v>2467264227.1200004</x:v>
      </x:c>
      <x:c r="U2" s="27"/>
      <x:c r="V2" s="27"/>
      <x:c r="W2" s="27"/>
      <x:c r="X2" s="27"/>
      <x:c r="Y2" s="27"/>
      <x:c r="Z2" s="27"/>
      <x:c r="AA2" s="27"/>
      <x:c r="AB2" s="27"/>
      <x:c r="AC2" s="80"/>
      <x:c r="AD2" s="80"/>
      <x:c r="AE2" s="27">
        <x:f>SUM(S2:AD2)</x:f>
        <x:v>5620488184.0799999</x:v>
      </x:c>
      <x:c r="AF2" s="35">
        <x:f>AE2/O2</x:f>
        <x:v>0.23933310534111904</x:v>
      </x:c>
    </x:row>
    <x:row r="3" spans="1:32" s="25" customFormat="1">
      <x:c r="A3" s="25" t="s">
        <x:v>82</x:v>
      </x:c>
      <x:c r="C3" s="27">
        <x:v>2453611609.3575244</x:v>
      </x:c>
      <x:c r="D3" s="27">
        <x:v>2246018268.3608413</x:v>
      </x:c>
      <x:c r="E3" s="27">
        <x:v>1938274900.4024701</x:v>
      </x:c>
      <x:c r="F3" s="27">
        <x:v>2839226107.0428638</x:v>
      </x:c>
      <x:c r="G3" s="27">
        <x:v>2339732546.3404183</x:v>
      </x:c>
      <x:c r="H3" s="27">
        <x:v>1800520470.3172016</x:v>
      </x:c>
      <x:c r="I3" s="27">
        <x:v>1521495920.0266659</x:v>
      </x:c>
      <x:c r="J3" s="27">
        <x:v>1759864885.2535551</x:v>
      </x:c>
      <x:c r="K3" s="27">
        <x:v>1292772743.7179689</x:v>
      </x:c>
      <x:c r="L3" s="27">
        <x:v>1635274034.1663449</x:v>
      </x:c>
      <x:c r="M3" s="27">
        <x:v>1142696719.7635601</x:v>
      </x:c>
      <x:c r="N3" s="27">
        <x:v>1134522208.8555949</x:v>
      </x:c>
      <x:c r="O3" s="34">
        <x:f t="shared" ref="O3:O22" si="0">SUM(C3:N3)</x:f>
        <x:v>22104010413.605011</x:v>
      </x:c>
      <x:c r="P3" s="34">
        <x:f t="shared" ref="P3:P22" si="1">SUM(C3:D3)</x:f>
        <x:v>4699629877.7183657</x:v>
      </x:c>
      <x:c r="Q3" s="35">
        <x:f t="shared" ref="Q3:Q22" si="2">O3/$O$2</x:f>
        <x:v>0.94123878202698508</x:v>
      </x:c>
      <x:c r="R3" s="35">
        <x:f t="shared" ref="R3:R22" si="3">P3/$O$2</x:f>
        <x:v>0.2001208748688707</x:v>
      </x:c>
      <x:c r="S3" s="27">
        <x:v>2822684634.29</x:v>
      </x:c>
      <x:c r="T3" s="27">
        <x:v>2240679975.6487999</x:v>
      </x:c>
      <x:c r="U3" s="27"/>
      <x:c r="V3" s="27"/>
      <x:c r="W3" s="27"/>
      <x:c r="X3" s="27"/>
      <x:c r="Y3" s="27"/>
      <x:c r="Z3" s="27"/>
      <x:c r="AA3" s="27"/>
      <x:c r="AB3" s="27"/>
      <x:c r="AC3" s="80"/>
      <x:c r="AD3" s="80"/>
      <x:c r="AE3" s="27">
        <x:f t="shared" ref="AE3:AE22" si="4">SUM(S3:AD3)</x:f>
        <x:v>5063364609.9387999</x:v>
      </x:c>
      <x:c r="AF3" s="35">
        <x:f t="shared" ref="AF3:AF22" si="5">AE3/O3</x:f>
        <x:v>0.22906995224822643</x:v>
      </x:c>
    </x:row>
    <x:row r="4" spans="1:32" s="25" customFormat="1">
      <x:c r="A4" s="25" t="s">
        <x:v>83</x:v>
      </x:c>
      <x:c r="C4" s="27">
        <x:f>C2-C3</x:f>
        <x:v>216064145.5424757</x:v>
      </x:c>
      <x:c r="D4" s="27">
        <x:f t="shared" ref="D4:N4" si="6">D2-D3</x:f>
        <x:v>185600485.04915857</x:v>
      </x:c>
      <x:c r="E4" s="27">
        <x:f t="shared" si="6"/>
        <x:v>106034101.71752977</x:v>
      </x:c>
      <x:c r="F4" s="27">
        <x:f t="shared" si="6"/>
        <x:v>270596300.20253611</x:v>
      </x:c>
      <x:c r="G4" s="27">
        <x:f t="shared" si="6"/>
        <x:v>243371450.66388178</x:v>
      </x:c>
      <x:c r="H4" s="27">
        <x:f t="shared" si="6"/>
        <x:v>71413685.351298332</x:v>
      </x:c>
      <x:c r="I4" s="27">
        <x:f t="shared" si="6"/>
        <x:v>62400040.728133917</x:v>
      </x:c>
      <x:c r="J4" s="27">
        <x:f t="shared" si="6"/>
        <x:v>42484859.264844656</x:v>
      </x:c>
      <x:c r="K4" s="27">
        <x:f t="shared" si="6"/>
        <x:v>36596612.866531134</x:v>
      </x:c>
      <x:c r="L4" s="27">
        <x:f t="shared" si="6"/>
        <x:v>56086800.135255098</x:v>
      </x:c>
      <x:c r="M4" s="27">
        <x:f t="shared" si="6"/>
        <x:v>40561440.936439991</x:v>
      </x:c>
      <x:c r="N4" s="27">
        <x:f t="shared" si="6"/>
        <x:v>48735951.844405174</x:v>
      </x:c>
      <x:c r="O4" s="34">
        <x:f t="shared" si="0"/>
        <x:v>1379945874.3024902</x:v>
      </x:c>
      <x:c r="P4" s="34">
        <x:f t="shared" si="1"/>
        <x:v>401664630.59163427</x:v>
      </x:c>
      <x:c r="Q4" s="35">
        <x:f t="shared" si="2"/>
        <x:v>5.8761217973015069E-2</x:v>
      </x:c>
      <x:c r="R4" s="35">
        <x:f t="shared" si="3"/>
        <x:v>1.7103788887499416E-2</x:v>
      </x:c>
      <x:c r="S4" s="27">
        <x:v>330539322.67000008</x:v>
      </x:c>
      <x:c r="T4" s="27">
        <x:v>226584251.47120047</x:v>
      </x:c>
      <x:c r="U4" s="27"/>
      <x:c r="V4" s="27"/>
      <x:c r="W4" s="27"/>
      <x:c r="X4" s="27"/>
      <x:c r="Y4" s="27"/>
      <x:c r="Z4" s="27"/>
      <x:c r="AA4" s="27"/>
      <x:c r="AB4" s="27"/>
      <x:c r="AC4" s="80"/>
      <x:c r="AD4" s="80"/>
      <x:c r="AE4" s="27">
        <x:f t="shared" si="4"/>
        <x:v>557123574.14120054</x:v>
      </x:c>
      <x:c r="AF4" s="35">
        <x:f>AE4/AE2</x:f>
        <x:v>9.9123698136978536E-2</x:v>
      </x:c>
    </x:row>
    <x:row r="5" spans="1:32" s="25" customFormat="1">
      <x:c r="A5" s="25" t="s">
        <x:v>42</x:v>
      </x:c>
      <x:c r="C5" s="27">
        <x:f>C4-C16</x:f>
        <x:v>140727169.84710068</x:v>
      </x:c>
      <x:c r="D5" s="27">
        <x:f t="shared" ref="D5:N5" si="7">D4-D16</x:f>
        <x:v>110057643.29915857</x:v>
      </x:c>
      <x:c r="E5" s="27">
        <x:f t="shared" si="7"/>
        <x:v>-214597.32997024059</x:v>
      </x:c>
      <x:c r="F5" s="27">
        <x:f t="shared" si="7"/>
        <x:v>195753368.24966109</x:v>
      </x:c>
      <x:c r="G5" s="27">
        <x:f t="shared" si="7"/>
        <x:v>169000039.38563177</x:v>
      </x:c>
      <x:c r="H5" s="27">
        <x:f t="shared" si="7"/>
        <x:v>-2910158.5705766678</x:v>
      </x:c>
      <x:c r="I5" s="27">
        <x:f t="shared" si="7"/>
        <x:v>-13124341.5327411</x:v>
      </x:c>
      <x:c r="J5" s="27">
        <x:f t="shared" si="7"/>
        <x:v>-33039669.363405347</x:v>
      </x:c>
      <x:c r="K5" s="27">
        <x:f t="shared" si="7"/>
        <x:v>-39424716.720218867</x:v>
      </x:c>
      <x:c r="L5" s="27">
        <x:f t="shared" si="7"/>
        <x:v>-22079954.37736991</x:v>
      </x:c>
      <x:c r="M5" s="27">
        <x:f t="shared" si="7"/>
        <x:v>-45412420.643560022</x:v>
      </x:c>
      <x:c r="N5" s="27">
        <x:f t="shared" si="7"/>
        <x:v>-26174215.555594832</x:v>
      </x:c>
      <x:c r="O5" s="34">
        <x:f t="shared" si="0"/>
        <x:v>433158146.68811512</x:v>
      </x:c>
      <x:c r="P5" s="34">
        <x:f t="shared" si="1"/>
        <x:v>250784813.14625925</x:v>
      </x:c>
      <x:c r="Q5" s="35">
        <x:f t="shared" si="2"/>
        <x:v>1.8444854068782251E-2</x:v>
      </x:c>
      <x:c r="R5" s="35">
        <x:f t="shared" si="3"/>
        <x:v>1.0678984838487155E-2</x:v>
      </x:c>
      <x:c r="S5" s="27">
        <x:v>259984994.27000007</x:v>
      </x:c>
      <x:c r="T5" s="27">
        <x:v>152049242.52120048</x:v>
      </x:c>
      <x:c r="U5" s="27"/>
      <x:c r="V5" s="27"/>
      <x:c r="W5" s="27"/>
      <x:c r="X5" s="27"/>
      <x:c r="Y5" s="27"/>
      <x:c r="Z5" s="27"/>
      <x:c r="AA5" s="27"/>
      <x:c r="AB5" s="27"/>
      <x:c r="AC5" s="27"/>
      <x:c r="AD5" s="27"/>
      <x:c r="AE5" s="27">
        <x:f t="shared" si="4"/>
        <x:v>412034236.79120052</x:v>
      </x:c>
      <x:c r="AF5" s="35">
        <x:f>AE5/AE2</x:f>
        <x:v>7.3309332445228706E-2</x:v>
      </x:c>
    </x:row>
    <x:row r="6" spans="1:32" s="25" customFormat="1">
      <x:c r="A6" s="25" t="s">
        <x:v>43</x:v>
      </x:c>
      <x:c r="C6" s="27">
        <x:f>SUM(C7:C10)</x:f>
        <x:v>2417133589.1250243</x:v>
      </x:c>
      <x:c r="D6" s="27">
        <x:f t="shared" ref="D6:N6" si="8">SUM(D7:D10)</x:f>
        <x:v>2173961825.6608558</x:v>
      </x:c>
      <x:c r="E6" s="27">
        <x:f t="shared" si="8"/>
        <x:v>1824029626.7269998</x:v>
      </x:c>
      <x:c r="F6" s="27">
        <x:f t="shared" si="8"/>
        <x:v>2801082574.6928639</x:v>
      </x:c>
      <x:c r="G6" s="27">
        <x:f t="shared" si="8"/>
        <x:v>2287563591.7217155</x:v>
      </x:c>
      <x:c r="H6" s="27">
        <x:f t="shared" si="8"/>
        <x:v>1690118748.9763639</x:v>
      </x:c>
      <x:c r="I6" s="27">
        <x:f t="shared" si="8"/>
        <x:v>1432105026.1175928</x:v>
      </x:c>
      <x:c r="J6" s="27">
        <x:f t="shared" si="8"/>
        <x:v>1641995475.9141459</x:v>
      </x:c>
      <x:c r="K6" s="27">
        <x:f t="shared" si="8"/>
        <x:v>1213583651.8781168</x:v>
      </x:c>
      <x:c r="L6" s="27">
        <x:f t="shared" si="8"/>
        <x:v>1533761087.8610158</x:v>
      </x:c>
      <x:c r="M6" s="27">
        <x:f t="shared" si="8"/>
        <x:v>1077441186.4836097</x:v>
      </x:c>
      <x:c r="N6" s="27">
        <x:f t="shared" si="8"/>
        <x:v>1072550909.8519495</x:v>
      </x:c>
      <x:c r="O6" s="34">
        <x:f t="shared" si="0"/>
        <x:v>21165327295.01025</x:v>
      </x:c>
      <x:c r="P6" s="34">
        <x:f t="shared" si="1"/>
        <x:v>4591095414.7858801</x:v>
      </x:c>
      <x:c r="Q6" s="35">
        <x:f t="shared" si="2"/>
        <x:v>0.9012675307145257</x:v>
      </x:c>
      <x:c r="R6" s="35">
        <x:f t="shared" si="3"/>
        <x:v>0.19549923183726733</x:v>
      </x:c>
      <x:c r="S6" s="27">
        <x:v>2790412021.1399999</x:v>
      </x:c>
      <x:c r="T6" s="27">
        <x:v>2212991980.6988001</x:v>
      </x:c>
      <x:c r="U6" s="27"/>
      <x:c r="V6" s="27"/>
      <x:c r="W6" s="27"/>
      <x:c r="X6" s="27"/>
      <x:c r="Y6" s="27"/>
      <x:c r="Z6" s="27"/>
      <x:c r="AA6" s="27"/>
      <x:c r="AB6" s="27"/>
      <x:c r="AC6" s="80"/>
      <x:c r="AD6" s="80"/>
      <x:c r="AE6" s="27">
        <x:f t="shared" si="4"/>
        <x:v>5003404001.8388004</x:v>
      </x:c>
      <x:c r="AF6" s="35">
        <x:f>AE6/O6</x:f>
        <x:v>0.23639624996578051</x:v>
      </x:c>
    </x:row>
    <x:row r="7" spans="1:32">
      <x:c r="B7" s="24" t="s">
        <x:v>108</x:v>
      </x:c>
      <x:c r="C7" s="28">
        <x:v>2346218582.4000001</x:v>
      </x:c>
      <x:c r="D7" s="28">
        <x:v>2089190731.3199999</x:v>
      </x:c>
      <x:c r="E7" s="28">
        <x:v>1735145929.4399998</x:v>
      </x:c>
      <x:c r="F7" s="28">
        <x:v>2712114042.9768</x:v>
      </x:c>
      <x:c r="G7" s="28">
        <x:v>2196121538.5955997</x:v>
      </x:c>
      <x:c r="H7" s="28">
        <x:v>1596022391.5420756</x:v>
      </x:c>
      <x:c r="I7" s="28">
        <x:v>1354824959.2816756</x:v>
      </x:c>
      <x:c r="J7" s="28">
        <x:v>1538046341.1328757</x:v>
      </x:c>
      <x:c r="K7" s="28">
        <x:v>1142188821.8140757</x:v>
      </x:c>
      <x:c r="L7" s="28">
        <x:v>1444908458.3872755</x:v>
      </x:c>
      <x:c r="M7" s="28">
        <x:v>1020001613.4400755</x:v>
      </x:c>
      <x:c r="N7" s="28">
        <x:v>1020001613.4400755</x:v>
      </x:c>
      <x:c r="O7" s="38">
        <x:f t="shared" si="0"/>
        <x:v>20194785023.770527</x:v>
      </x:c>
      <x:c r="P7" s="38">
        <x:f t="shared" si="1"/>
        <x:v>4435409313.7200003</x:v>
      </x:c>
      <x:c r="Q7" s="36">
        <x:f t="shared" si="2"/>
        <x:v>0.85993964458915928</x:v>
      </x:c>
      <x:c r="R7" s="36">
        <x:f t="shared" si="3"/>
        <x:v>0.18886976535567426</x:v>
      </x:c>
      <x:c r="S7" s="28">
        <x:v>2725109735.04</x:v>
      </x:c>
      <x:c r="T7" s="28">
        <x:v>2138084126.6399999</x:v>
      </x:c>
      <x:c r="U7" s="28"/>
      <x:c r="V7" s="28"/>
      <x:c r="W7" s="28"/>
      <x:c r="X7" s="28"/>
      <x:c r="Y7" s="28"/>
      <x:c r="Z7" s="28"/>
      <x:c r="AA7" s="29"/>
      <x:c r="AB7" s="28"/>
      <x:c r="AC7" s="81"/>
      <x:c r="AD7" s="81"/>
      <x:c r="AE7" s="28">
        <x:f t="shared" si="4"/>
        <x:v>4863193861.6800003</x:v>
      </x:c>
      <x:c r="AF7" s="36">
        <x:f t="shared" si="5"/>
        <x:v>0.24081434172018748</x:v>
      </x:c>
    </x:row>
    <x:row r="8" spans="1:32">
      <x:c r="B8" s="24" t="s">
        <x:v>32</x:v>
      </x:c>
      <x:c r="C8" s="28">
        <x:v>60751006.725024</x:v>
      </x:c>
      <x:c r="D8" s="28">
        <x:v>74607094.340856016</x:v>
      </x:c>
      <x:c r="E8" s="28">
        <x:v>77626297.287</x:v>
      </x:c>
      <x:c r="F8" s="28">
        <x:v>78642831.716064006</x:v>
      </x:c>
      <x:c r="G8" s="28">
        <x:v>81601453.126115993</x:v>
      </x:c>
      <x:c r="H8" s="28">
        <x:v>83000657.434288308</x:v>
      </x:c>
      <x:c r="I8" s="28">
        <x:v>66630966.835917249</x:v>
      </x:c>
      <x:c r="J8" s="28">
        <x:v>93785134.781270191</x:v>
      </x:c>
      <x:c r="K8" s="28">
        <x:v>60137430.064041242</x:v>
      </x:c>
      <x:c r="L8" s="28">
        <x:v>78365229.473740309</x:v>
      </x:c>
      <x:c r="M8" s="28">
        <x:v>47437273.04353416</x:v>
      </x:c>
      <x:c r="N8" s="28">
        <x:v>42061896.411873914</x:v>
      </x:c>
      <x:c r="O8" s="38">
        <x:f>SUM(C8:N8)</x:f>
        <x:v>844647271.23972535</x:v>
      </x:c>
      <x:c r="P8" s="38">
        <x:f t="shared" si="1"/>
        <x:v>135358101.06588</x:v>
      </x:c>
      <x:c r="Q8" s="36">
        <x:f>O8/$O$2</x:f>
        <x:v>3.59669921407006E-2</x:v>
      </x:c>
      <x:c r="R8" s="36">
        <x:f t="shared" si="3"/>
        <x:v>5.7638542418672195E-3</x:v>
      </x:c>
      <x:c r="S8" s="28">
        <x:v>61451005</x:v>
      </x:c>
      <x:c r="T8" s="28">
        <x:v>62521305</x:v>
      </x:c>
      <x:c r="U8" s="28"/>
      <x:c r="V8" s="28"/>
      <x:c r="W8" s="28"/>
      <x:c r="X8" s="28"/>
      <x:c r="Y8" s="28"/>
      <x:c r="Z8" s="28"/>
      <x:c r="AA8" s="29"/>
      <x:c r="AB8" s="28"/>
      <x:c r="AC8" s="81"/>
      <x:c r="AD8" s="81"/>
      <x:c r="AE8" s="28">
        <x:f t="shared" si="4"/>
        <x:v>123972310</x:v>
      </x:c>
      <x:c r="AF8" s="36">
        <x:f>AE8/O8</x:f>
        <x:v>0.14677406086689948</x:v>
      </x:c>
    </x:row>
    <x:row r="9" spans="1:32">
      <x:c r="B9" s="24" t="s">
        <x:v>39</x:v>
      </x:c>
      <x:c r="C9" s="28">
        <x:v>6930000</x:v>
      </x:c>
      <x:c r="D9" s="28">
        <x:v>6930000</x:v>
      </x:c>
      <x:c r="E9" s="28">
        <x:v>7700000</x:v>
      </x:c>
      <x:c r="F9" s="28">
        <x:v>6930000</x:v>
      </x:c>
      <x:c r="G9" s="28">
        <x:v>6930000</x:v>
      </x:c>
      <x:c r="H9" s="28">
        <x:v>7700000</x:v>
      </x:c>
      <x:c r="I9" s="28">
        <x:v>6930000</x:v>
      </x:c>
      <x:c r="J9" s="28">
        <x:v>6930000</x:v>
      </x:c>
      <x:c r="K9" s="28">
        <x:v>7700000</x:v>
      </x:c>
      <x:c r="L9" s="28">
        <x:v>6930000</x:v>
      </x:c>
      <x:c r="M9" s="28">
        <x:v>6930000</x:v>
      </x:c>
      <x:c r="N9" s="28">
        <x:v>6930000</x:v>
      </x:c>
      <x:c r="O9" s="38">
        <x:f>SUM(C9:N9)</x:f>
        <x:v>85470000</x:v>
      </x:c>
      <x:c r="P9" s="38">
        <x:f t="shared" si="1"/>
        <x:v>13860000</x:v>
      </x:c>
      <x:c r="Q9" s="36">
        <x:f>O9/$O$2</x:f>
        <x:v>3.6395060079383104E-3</x:v>
      </x:c>
      <x:c r="R9" s="36">
        <x:f t="shared" si="3"/>
        <x:v>5.9019016344945578E-4</x:v>
      </x:c>
      <x:c r="S9" s="28">
        <x:v>1152046.1000000001</x:v>
      </x:c>
      <x:c r="T9" s="28">
        <x:v>8740214</x:v>
      </x:c>
      <x:c r="U9" s="28"/>
      <x:c r="V9" s="28"/>
      <x:c r="W9" s="28"/>
      <x:c r="X9" s="28"/>
      <x:c r="Y9" s="28"/>
      <x:c r="Z9" s="28"/>
      <x:c r="AA9" s="29"/>
      <x:c r="AB9" s="28"/>
      <x:c r="AC9" s="81"/>
      <x:c r="AD9" s="81"/>
      <x:c r="AE9" s="28">
        <x:f t="shared" si="4"/>
        <x:v>9892260.0999999996</x:v>
      </x:c>
      <x:c r="AF9" s="36">
        <x:f>AE9/O9</x:f>
        <x:v>0.11573955890955891</x:v>
      </x:c>
    </x:row>
    <x:row r="10" spans="1:32">
      <x:c r="B10" s="24" t="s">
        <x:v>48</x:v>
      </x:c>
      <x:c r="C10" s="28">
        <x:v>3234000</x:v>
      </x:c>
      <x:c r="D10" s="28">
        <x:v>3234000</x:v>
      </x:c>
      <x:c r="E10" s="28">
        <x:v>3557400</x:v>
      </x:c>
      <x:c r="F10" s="28">
        <x:v>3395700</x:v>
      </x:c>
      <x:c r="G10" s="28">
        <x:v>2910600</x:v>
      </x:c>
      <x:c r="H10" s="28">
        <x:v>3395700</x:v>
      </x:c>
      <x:c r="I10" s="28">
        <x:v>3719100</x:v>
      </x:c>
      <x:c r="J10" s="28">
        <x:v>3234000</x:v>
      </x:c>
      <x:c r="K10" s="28">
        <x:v>3557400</x:v>
      </x:c>
      <x:c r="L10" s="28">
        <x:v>3557400</x:v>
      </x:c>
      <x:c r="M10" s="28">
        <x:v>3072300</x:v>
      </x:c>
      <x:c r="N10" s="28">
        <x:v>3557400</x:v>
      </x:c>
      <x:c r="O10" s="38">
        <x:f>SUM(C10:N10)</x:f>
        <x:v>40425000</x:v>
      </x:c>
      <x:c r="P10" s="38">
        <x:f t="shared" si="1"/>
        <x:v>6468000</x:v>
      </x:c>
      <x:c r="Q10" s="36">
        <x:f>O10/$O$2</x:f>
        <x:v>1.7213879767275792E-3</x:v>
      </x:c>
      <x:c r="R10" s="36">
        <x:f t="shared" si="3"/>
        <x:v>2.754220762764127E-4</x:v>
      </x:c>
      <x:c r="S10" s="28">
        <x:v>2699235</x:v>
      </x:c>
      <x:c r="T10" s="28">
        <x:v>3646335</x:v>
      </x:c>
      <x:c r="U10" s="28"/>
      <x:c r="V10" s="28"/>
      <x:c r="W10" s="28"/>
      <x:c r="X10" s="28"/>
      <x:c r="Y10" s="28"/>
      <x:c r="Z10" s="28"/>
      <x:c r="AA10" s="29"/>
      <x:c r="AB10" s="28"/>
      <x:c r="AC10" s="81"/>
      <x:c r="AD10" s="81"/>
      <x:c r="AE10" s="28">
        <x:f t="shared" si="4"/>
        <x:v>6345570</x:v>
      </x:c>
      <x:c r="AF10" s="36">
        <x:f>AE10/O10</x:f>
        <x:v>0.15697142857142857</x:v>
      </x:c>
    </x:row>
    <x:row r="11" spans="1:32">
      <x:c r="B11" s="44" t="s">
        <x:v>137</x:v>
      </x:c>
      <x:c r="C11" s="28">
        <x:v>0</x:v>
      </x:c>
      <x:c r="D11" s="28">
        <x:v>33998800.192485124</x:v>
      </x:c>
      <x:c r="E11" s="28">
        <x:v>74861679.810470358</x:v>
      </x:c>
      <x:c r="F11" s="28">
        <x:v>0</x:v>
      </x:c>
      <x:c r="G11" s="28">
        <x:v>17189229.453702986</x:v>
      </x:c>
      <x:c r="H11" s="28">
        <x:v>71446137.365837753</x:v>
      </x:c>
      <x:c r="I11" s="28">
        <x:v>55394685.316573091</x:v>
      </x:c>
      <x:c r="J11" s="28">
        <x:v>87077481.05690901</x:v>
      </x:c>
      <x:c r="K11" s="28">
        <x:v>46231828.269852228</x:v>
      </x:c>
      <x:c r="L11" s="28">
        <x:v>69368766.930329099</x:v>
      </x:c>
      <x:c r="M11" s="28">
        <x:v>35498749.877450503</x:v>
      </x:c>
      <x:c r="N11" s="28">
        <x:v>28749008.431020409</x:v>
      </x:c>
      <x:c r="O11" s="38">
        <x:f>SUM(C11:N11)</x:f>
        <x:v>519816366.70463061</x:v>
      </x:c>
      <x:c r="P11" s="38">
        <x:f t="shared" si="1"/>
        <x:v>33998800.192485124</x:v>
      </x:c>
      <x:c r="Q11" s="36">
        <x:f>O11/$O$2</x:f>
        <x:v>2.2134957173817329E-2</x:v>
      </x:c>
      <x:c r="R11" s="36">
        <x:f t="shared" si="3"/>
        <x:v>1.4477458472357996E-3</x:v>
      </x:c>
      <x:c r="S11" s="28">
        <x:v>0</x:v>
      </x:c>
      <x:c r="T11" s="28">
        <x:v>5.8799999999999998E-2</x:v>
      </x:c>
      <x:c r="U11" s="28"/>
      <x:c r="V11" s="28"/>
      <x:c r="W11" s="28"/>
      <x:c r="X11" s="28"/>
      <x:c r="Y11" s="28"/>
      <x:c r="Z11" s="28"/>
      <x:c r="AA11" s="29"/>
      <x:c r="AB11" s="28"/>
      <x:c r="AC11" s="81"/>
      <x:c r="AD11" s="81"/>
      <x:c r="AE11" s="28">
        <x:f t="shared" si="4"/>
        <x:v>5.8799999999999998E-2</x:v>
      </x:c>
      <x:c r="AF11" s="36">
        <x:f>AE11/O11</x:f>
        <x:v>1.1311686927589808E-10</x:v>
      </x:c>
    </x:row>
    <x:row r="12" spans="1:32" s="25" customFormat="1">
      <x:c r="A12" s="25" t="s">
        <x:v>44</x:v>
      </x:c>
      <x:c r="C12" s="27">
        <x:f>SUM(C13:C14)</x:f>
        <x:v>33398020.232500002</x:v>
      </x:c>
      <x:c r="D12" s="27">
        <x:f t="shared" ref="D12:N12" si="9">SUM(D13:D14)</x:f>
        <x:v>34977642.5075</x:v>
      </x:c>
      <x:c r="E12" s="27">
        <x:f t="shared" si="9"/>
        <x:v>36611593.865000002</x:v>
      </x:c>
      <x:c r="F12" s="27">
        <x:f t="shared" si="9"/>
        <x:v>35371532.350000001</x:v>
      </x:c>
      <x:c r="G12" s="27">
        <x:f t="shared" si="9"/>
        <x:v>32207725.164999999</x:v>
      </x:c>
      <x:c r="H12" s="27">
        <x:f t="shared" si="9"/>
        <x:v>35875583.975000001</x:v>
      </x:c>
      <x:c r="I12" s="27">
        <x:f t="shared" si="9"/>
        <x:v>30916208.592500001</x:v>
      </x:c>
      <x:c r="J12" s="27">
        <x:f t="shared" si="9"/>
        <x:v>27711928.282499999</x:v>
      </x:c>
      <x:c r="K12" s="27">
        <x:f t="shared" si="9"/>
        <x:v>30185263.57</x:v>
      </x:c>
      <x:c r="L12" s="27">
        <x:f t="shared" si="9"/>
        <x:v>29372179.375</x:v>
      </x:c>
      <x:c r="M12" s="27">
        <x:f t="shared" si="9"/>
        <x:v>26984783.4025</x:v>
      </x:c>
      <x:c r="N12" s="27">
        <x:f t="shared" si="9"/>
        <x:v>30142290.572625</x:v>
      </x:c>
      <x:c r="O12" s="34">
        <x:f t="shared" si="0"/>
        <x:v>383754751.89012498</x:v>
      </x:c>
      <x:c r="P12" s="34">
        <x:f t="shared" si="1"/>
        <x:v>68375662.74000001</x:v>
      </x:c>
      <x:c r="Q12" s="35">
        <x:f t="shared" si="2"/>
        <x:v>1.6341145724569857E-2</x:v>
      </x:c>
      <x:c r="R12" s="35">
        <x:f t="shared" si="3"/>
        <x:v>2.9115904450566716E-3</x:v>
      </x:c>
      <x:c r="S12" s="27">
        <x:v>30584011.149999999</x:v>
      </x:c>
      <x:c r="T12" s="27">
        <x:v>25384212.699999999</x:v>
      </x:c>
      <x:c r="U12" s="27"/>
      <x:c r="V12" s="27"/>
      <x:c r="W12" s="27"/>
      <x:c r="X12" s="27"/>
      <x:c r="Y12" s="27"/>
      <x:c r="Z12" s="27"/>
      <x:c r="AA12" s="27"/>
      <x:c r="AB12" s="27"/>
      <x:c r="AC12" s="80"/>
      <x:c r="AD12" s="80"/>
      <x:c r="AE12" s="27">
        <x:f t="shared" si="4"/>
        <x:v>55968223.849999994</x:v>
      </x:c>
      <x:c r="AF12" s="35">
        <x:f t="shared" si="5"/>
        <x:v>0.14584372851238225</x:v>
      </x:c>
    </x:row>
    <x:row r="13" spans="1:32">
      <x:c r="B13" s="24" t="s">
        <x:v>45</x:v>
      </x:c>
      <x:c r="C13" s="28">
        <x:v>20181700</x:v>
      </x:c>
      <x:c r="D13" s="28">
        <x:v>20181700</x:v>
      </x:c>
      <x:c r="E13" s="28">
        <x:v>22180620</x:v>
      </x:c>
      <x:c r="F13" s="28">
        <x:v>21181160</x:v>
      </x:c>
      <x:c r="G13" s="28">
        <x:v>18182780</x:v>
      </x:c>
      <x:c r="H13" s="28">
        <x:v>21181160</x:v>
      </x:c>
      <x:c r="I13" s="28">
        <x:v>23180080</x:v>
      </x:c>
      <x:c r="J13" s="28">
        <x:v>20181700</x:v>
      </x:c>
      <x:c r="K13" s="28">
        <x:v>22180620</x:v>
      </x:c>
      <x:c r="L13" s="28">
        <x:v>22180620</x:v>
      </x:c>
      <x:c r="M13" s="28">
        <x:v>19182240</x:v>
      </x:c>
      <x:c r="N13" s="28">
        <x:v>22180620</x:v>
      </x:c>
      <x:c r="O13" s="38">
        <x:f t="shared" si="0"/>
        <x:v>252175000</x:v>
      </x:c>
      <x:c r="P13" s="38">
        <x:f t="shared" si="1"/>
        <x:v>40363400</x:v>
      </x:c>
      <x:c r="Q13" s="35">
        <x:f t="shared" si="2"/>
        <x:v>1.0738182140538708E-2</x:v>
      </x:c>
      <x:c r="R13" s="35">
        <x:f t="shared" si="3"/>
        <x:v>1.7187649093344706E-3</x:v>
      </x:c>
      <x:c r="S13" s="28">
        <x:v>16442310.5</x:v>
      </x:c>
      <x:c r="T13" s="28">
        <x:v>13293418.6</x:v>
      </x:c>
      <x:c r="U13" s="28"/>
      <x:c r="V13" s="28"/>
      <x:c r="W13" s="28"/>
      <x:c r="X13" s="28"/>
      <x:c r="Y13" s="28"/>
      <x:c r="Z13" s="28"/>
      <x:c r="AA13" s="29"/>
      <x:c r="AB13" s="28"/>
      <x:c r="AC13" s="81"/>
      <x:c r="AD13" s="81"/>
      <x:c r="AE13" s="28">
        <x:f t="shared" si="4"/>
        <x:v>29735729.100000001</x:v>
      </x:c>
      <x:c r="AF13" s="36">
        <x:f t="shared" si="5"/>
        <x:v>0.11791703816793894</x:v>
      </x:c>
    </x:row>
    <x:row r="14" spans="1:32">
      <x:c r="B14" s="24" t="s">
        <x:v>46</x:v>
      </x:c>
      <x:c r="C14" s="28">
        <x:v>13216320.2325</x:v>
      </x:c>
      <x:c r="D14" s="28">
        <x:v>14795942.5075</x:v>
      </x:c>
      <x:c r="E14" s="28">
        <x:v>14430973.865</x:v>
      </x:c>
      <x:c r="F14" s="28">
        <x:v>14190372.35</x:v>
      </x:c>
      <x:c r="G14" s="28">
        <x:v>14024945.164999999</x:v>
      </x:c>
      <x:c r="H14" s="28">
        <x:v>14694423.975</x:v>
      </x:c>
      <x:c r="I14" s="28">
        <x:v>7736128.5924999993</x:v>
      </x:c>
      <x:c r="J14" s="28">
        <x:v>7530228.2825000007</x:v>
      </x:c>
      <x:c r="K14" s="28">
        <x:v>8004643.5699999994</x:v>
      </x:c>
      <x:c r="L14" s="28">
        <x:v>7191559.375</x:v>
      </x:c>
      <x:c r="M14" s="28">
        <x:v>7802543.4024999999</x:v>
      </x:c>
      <x:c r="N14" s="28">
        <x:v>7961670.572625</x:v>
      </x:c>
      <x:c r="O14" s="38">
        <x:f t="shared" si="0"/>
        <x:v>131579751.89012499</x:v>
      </x:c>
      <x:c r="P14" s="38">
        <x:f t="shared" si="1"/>
        <x:v>28012262.740000002</x:v>
      </x:c>
      <x:c r="Q14" s="35">
        <x:f t="shared" si="2"/>
        <x:v>5.6029635840311471E-3</x:v>
      </x:c>
      <x:c r="R14" s="35">
        <x:f t="shared" si="3"/>
        <x:v>1.1928255357222005E-3</x:v>
      </x:c>
      <x:c r="S14" s="28">
        <x:v>14141700.65</x:v>
      </x:c>
      <x:c r="T14" s="28">
        <x:v>12090794.1</x:v>
      </x:c>
      <x:c r="U14" s="28"/>
      <x:c r="V14" s="28"/>
      <x:c r="W14" s="28"/>
      <x:c r="X14" s="28"/>
      <x:c r="Y14" s="28"/>
      <x:c r="Z14" s="28"/>
      <x:c r="AA14" s="29"/>
      <x:c r="AB14" s="28"/>
      <x:c r="AC14" s="81"/>
      <x:c r="AD14" s="81"/>
      <x:c r="AE14" s="28">
        <x:f t="shared" si="4"/>
        <x:v>26232494.75</x:v>
      </x:c>
      <x:c r="AF14" s="36">
        <x:f t="shared" si="5"/>
        <x:v>0.19936574110510036</x:v>
      </x:c>
    </x:row>
    <x:row r="15" spans="1:32" s="25" customFormat="1">
      <x:c r="A15" s="25" t="s">
        <x:v>47</x:v>
      </x:c>
      <x:c r="C15" s="27">
        <x:v>3080000</x:v>
      </x:c>
      <x:c r="D15" s="27">
        <x:v>3080000</x:v>
      </x:c>
      <x:c r="E15" s="27">
        <x:v>2772000</x:v>
      </x:c>
      <x:c r="F15" s="27">
        <x:v>2772000</x:v>
      </x:c>
      <x:c r="G15" s="27">
        <x:v>2772000</x:v>
      </x:c>
      <x:c r="H15" s="27">
        <x:v>3080000</x:v>
      </x:c>
      <x:c r="I15" s="27">
        <x:v>3080000</x:v>
      </x:c>
      <x:c r="J15" s="27">
        <x:v>3080000</x:v>
      </x:c>
      <x:c r="K15" s="27">
        <x:v>2772000</x:v>
      </x:c>
      <x:c r="L15" s="27">
        <x:v>2772000</x:v>
      </x:c>
      <x:c r="M15" s="27">
        <x:v>2772000</x:v>
      </x:c>
      <x:c r="N15" s="27">
        <x:v>3080000</x:v>
      </x:c>
      <x:c r="O15" s="34">
        <x:f t="shared" si="0"/>
        <x:v>35112000</x:v>
      </x:c>
      <x:c r="P15" s="34">
        <x:f t="shared" si="1"/>
        <x:v>6160000</x:v>
      </x:c>
      <x:c r="Q15" s="35">
        <x:f t="shared" si="2"/>
        <x:v>1.4951484140719546E-3</x:v>
      </x:c>
      <x:c r="R15" s="35">
        <x:f t="shared" si="3"/>
        <x:v>2.6230673931086922E-4</x:v>
      </x:c>
      <x:c r="S15" s="27">
        <x:v>1688602</x:v>
      </x:c>
      <x:c r="T15" s="27">
        <x:v>2303782.25</x:v>
      </x:c>
      <x:c r="U15" s="27"/>
      <x:c r="V15" s="27"/>
      <x:c r="W15" s="27"/>
      <x:c r="X15" s="27"/>
      <x:c r="Y15" s="27"/>
      <x:c r="Z15" s="27"/>
      <x:c r="AA15" s="30"/>
      <x:c r="AB15" s="27"/>
      <x:c r="AC15" s="80"/>
      <x:c r="AD15" s="80"/>
      <x:c r="AE15" s="27">
        <x:f t="shared" si="4"/>
        <x:v>3992384.25</x:v>
      </x:c>
      <x:c r="AF15" s="35">
        <x:f t="shared" si="5"/>
        <x:v>0.11370426777170198</x:v>
      </x:c>
    </x:row>
    <x:row r="16" spans="1:32" s="25" customFormat="1">
      <x:c r="A16" s="25" t="s">
        <x:v>109</x:v>
      </x:c>
      <x:c r="C16" s="27">
        <x:f>SUM(C17:C20)</x:f>
        <x:v>75336975.69537501</x:v>
      </x:c>
      <x:c r="D16" s="27">
        <x:f t="shared" ref="D16:N16" si="10">SUM(D17:D20)</x:f>
        <x:v>75542841.75</x:v>
      </x:c>
      <x:c r="E16" s="27">
        <x:f t="shared" si="10"/>
        <x:v>106248699.04750001</x:v>
      </x:c>
      <x:c r="F16" s="27">
        <x:f t="shared" si="10"/>
        <x:v>74842931.952875003</x:v>
      </x:c>
      <x:c r="G16" s="27">
        <x:f t="shared" si="10"/>
        <x:v>74371411.278250009</x:v>
      </x:c>
      <x:c r="H16" s="27">
        <x:f t="shared" si="10"/>
        <x:v>74323843.921875</x:v>
      </x:c>
      <x:c r="I16" s="27">
        <x:f t="shared" si="10"/>
        <x:v>75524382.260875016</x:v>
      </x:c>
      <x:c r="J16" s="27">
        <x:f t="shared" si="10"/>
        <x:v>75524528.628250003</x:v>
      </x:c>
      <x:c r="K16" s="27">
        <x:f t="shared" si="10"/>
        <x:v>76021329.586750001</x:v>
      </x:c>
      <x:c r="L16" s="27">
        <x:f t="shared" si="10"/>
        <x:v>78166754.512625009</x:v>
      </x:c>
      <x:c r="M16" s="27">
        <x:f t="shared" si="10"/>
        <x:v>85973861.580000013</x:v>
      </x:c>
      <x:c r="N16" s="27">
        <x:f t="shared" si="10"/>
        <x:v>74910167.400000006</x:v>
      </x:c>
      <x:c r="O16" s="34">
        <x:f t="shared" si="0"/>
        <x:v>946787727.61437511</x:v>
      </x:c>
      <x:c r="P16" s="34">
        <x:f t="shared" si="1"/>
        <x:v>150879817.44537503</x:v>
      </x:c>
      <x:c r="Q16" s="35">
        <x:f t="shared" si="2"/>
        <x:v>4.0316363904232815E-2</x:v>
      </x:c>
      <x:c r="R16" s="35">
        <x:f t="shared" si="3"/>
        <x:v>6.4248040490122605E-3</x:v>
      </x:c>
      <x:c r="S16" s="27">
        <x:v>70554328.400000006</x:v>
      </x:c>
      <x:c r="T16" s="27">
        <x:v>74535008.950000003</x:v>
      </x:c>
      <x:c r="U16" s="27"/>
      <x:c r="V16" s="27"/>
      <x:c r="W16" s="27"/>
      <x:c r="X16" s="27"/>
      <x:c r="Y16" s="27"/>
      <x:c r="Z16" s="27"/>
      <x:c r="AA16" s="27"/>
      <x:c r="AB16" s="27"/>
      <x:c r="AC16" s="80"/>
      <x:c r="AD16" s="80"/>
      <x:c r="AE16" s="27">
        <x:f t="shared" si="4"/>
        <x:v>145089337.35000002</x:v>
      </x:c>
      <x:c r="AF16" s="35">
        <x:f t="shared" si="5"/>
        <x:v>0.15324378751252113</x:v>
      </x:c>
    </x:row>
    <x:row r="17" spans="1:32">
      <x:c r="B17" s="24" t="s">
        <x:v>35</x:v>
      </x:c>
      <x:c r="C17" s="28">
        <x:v>9408858.2953750007</x:v>
      </x:c>
      <x:c r="D17" s="28">
        <x:v>9614724.3499999996</x:v>
      </x:c>
      <x:c r="E17" s="28">
        <x:v>9520581.6475000009</x:v>
      </x:c>
      <x:c r="F17" s="28">
        <x:v>9838814.552875001</x:v>
      </x:c>
      <x:c r="G17" s="28">
        <x:v>9559793.878250001</x:v>
      </x:c>
      <x:c r="H17" s="28">
        <x:v>9512226.5218749978</x:v>
      </x:c>
      <x:c r="I17" s="28">
        <x:v>9557764.8608750012</x:v>
      </x:c>
      <x:c r="J17" s="28">
        <x:v>9557911.2282500006</x:v>
      </x:c>
      <x:c r="K17" s="28">
        <x:v>10054712.18675</x:v>
      </x:c>
      <x:c r="L17" s="28">
        <x:v>9428137.112625001</x:v>
      </x:c>
      <x:c r="M17" s="28">
        <x:v>9843244.1800000016</x:v>
      </x:c>
      <x:c r="N17" s="28">
        <x:v>10329550</x:v>
      </x:c>
      <x:c r="O17" s="38">
        <x:f t="shared" si="0"/>
        <x:v>116226318.81437501</x:v>
      </x:c>
      <x:c r="P17" s="38">
        <x:f t="shared" si="1"/>
        <x:v>19023582.645374998</x:v>
      </x:c>
      <x:c r="Q17" s="35">
        <x:f t="shared" si="2"/>
        <x:v>4.9491796607636753E-3</x:v>
      </x:c>
      <x:c r="R17" s="35">
        <x:f t="shared" si="3"/>
        <x:v>8.1006719703233048E-4</x:v>
      </x:c>
      <x:c r="S17" s="28">
        <x:v>7728142.4000000004</x:v>
      </x:c>
      <x:c r="T17" s="28">
        <x:v>8745970.75</x:v>
      </x:c>
      <x:c r="U17" s="28"/>
      <x:c r="V17" s="28"/>
      <x:c r="W17" s="28"/>
      <x:c r="X17" s="28"/>
      <x:c r="Y17" s="28"/>
      <x:c r="Z17" s="28"/>
      <x:c r="AA17" s="29"/>
      <x:c r="AB17" s="28"/>
      <x:c r="AC17" s="81"/>
      <x:c r="AD17" s="81"/>
      <x:c r="AE17" s="28">
        <x:f t="shared" si="4"/>
        <x:v>16474113.15</x:v>
      </x:c>
      <x:c r="AF17" s="36">
        <x:f t="shared" si="5"/>
        <x:v>0.14174167536279625</x:v>
      </x:c>
    </x:row>
    <x:row r="18" spans="1:32">
      <x:c r="B18" s="24" t="s">
        <x:v>36</x:v>
      </x:c>
      <x:c r="C18" s="28">
        <x:v>43828617.400000006</x:v>
      </x:c>
      <x:c r="D18" s="28">
        <x:v>43828617.400000006</x:v>
      </x:c>
      <x:c r="E18" s="28">
        <x:v>43828617.400000006</x:v>
      </x:c>
      <x:c r="F18" s="28">
        <x:v>43674617.400000006</x:v>
      </x:c>
      <x:c r="G18" s="28">
        <x:v>43482117.400000006</x:v>
      </x:c>
      <x:c r="H18" s="28">
        <x:v>43482117.400000006</x:v>
      </x:c>
      <x:c r="I18" s="28">
        <x:v>43867117.400000006</x:v>
      </x:c>
      <x:c r="J18" s="28">
        <x:v>43867117.400000006</x:v>
      </x:c>
      <x:c r="K18" s="28">
        <x:v>43867117.400000006</x:v>
      </x:c>
      <x:c r="L18" s="28">
        <x:v>43251117.400000006</x:v>
      </x:c>
      <x:c r="M18" s="28">
        <x:v>43251117.400000006</x:v>
      </x:c>
      <x:c r="N18" s="28">
        <x:v>43251117.400000006</x:v>
      </x:c>
      <x:c r="O18" s="38">
        <x:f t="shared" si="0"/>
        <x:v>523479408.79999995</x:v>
      </x:c>
      <x:c r="P18" s="38">
        <x:f t="shared" si="1"/>
        <x:v>87657234.800000012</x:v>
      </x:c>
      <x:c r="Q18" s="35">
        <x:f t="shared" si="2"/>
        <x:v>2.2290937795245054E-2</x:v>
      </x:c>
      <x:c r="R18" s="35">
        <x:f t="shared" si="3"/>
        <x:v>3.7326434151615678E-3</x:v>
      </x:c>
      <x:c r="S18" s="28">
        <x:v>40557270.100000001</x:v>
      </x:c>
      <x:c r="T18" s="28">
        <x:v>42167220.75</x:v>
      </x:c>
      <x:c r="U18" s="28"/>
      <x:c r="V18" s="28"/>
      <x:c r="W18" s="28"/>
      <x:c r="X18" s="28"/>
      <x:c r="Y18" s="28"/>
      <x:c r="Z18" s="28"/>
      <x:c r="AA18" s="29"/>
      <x:c r="AB18" s="28"/>
      <x:c r="AC18" s="81"/>
      <x:c r="AD18" s="81"/>
      <x:c r="AE18" s="28">
        <x:f t="shared" si="4"/>
        <x:v>82724490.849999994</x:v>
      </x:c>
      <x:c r="AF18" s="36">
        <x:f t="shared" si="5"/>
        <x:v>0.15802816588265392</x:v>
      </x:c>
    </x:row>
    <x:row r="19" spans="1:32">
      <x:c r="B19" s="24" t="s">
        <x:v>31</x:v>
      </x:c>
      <x:c r="C19" s="28">
        <x:v>17325000</x:v>
      </x:c>
      <x:c r="D19" s="28">
        <x:v>17325000</x:v>
      </x:c>
      <x:c r="E19" s="28">
        <x:v>17325000</x:v>
      </x:c>
      <x:c r="F19" s="28">
        <x:v>17325000</x:v>
      </x:c>
      <x:c r="G19" s="28">
        <x:v>17325000</x:v>
      </x:c>
      <x:c r="H19" s="28">
        <x:v>17325000</x:v>
      </x:c>
      <x:c r="I19" s="28">
        <x:v>17325000</x:v>
      </x:c>
      <x:c r="J19" s="28">
        <x:v>17325000</x:v>
      </x:c>
      <x:c r="K19" s="28">
        <x:v>17325000</x:v>
      </x:c>
      <x:c r="L19" s="28">
        <x:v>17325000</x:v>
      </x:c>
      <x:c r="M19" s="28">
        <x:v>17325000</x:v>
      </x:c>
      <x:c r="N19" s="28">
        <x:v>17325000</x:v>
      </x:c>
      <x:c r="O19" s="38">
        <x:f t="shared" si="0"/>
        <x:v>207900000</x:v>
      </x:c>
      <x:c r="P19" s="38">
        <x:f t="shared" si="1"/>
        <x:v>34650000</x:v>
      </x:c>
      <x:c r="Q19" s="35">
        <x:f t="shared" si="2"/>
        <x:v>8.8528524517418362E-3</x:v>
      </x:c>
      <x:c r="R19" s="35">
        <x:f t="shared" si="3"/>
        <x:v>1.4754754086236394E-3</x:v>
      </x:c>
      <x:c r="S19" s="28">
        <x:v>19891737.25</x:v>
      </x:c>
      <x:c r="T19" s="28">
        <x:v>17592467.199999999</x:v>
      </x:c>
      <x:c r="U19" s="28"/>
      <x:c r="V19" s="28"/>
      <x:c r="W19" s="28"/>
      <x:c r="X19" s="28"/>
      <x:c r="Y19" s="28"/>
      <x:c r="Z19" s="28"/>
      <x:c r="AA19" s="29"/>
      <x:c r="AB19" s="28"/>
      <x:c r="AC19" s="81"/>
      <x:c r="AD19" s="81"/>
      <x:c r="AE19" s="28">
        <x:f t="shared" si="4"/>
        <x:v>37484204.450000003</x:v>
      </x:c>
      <x:c r="AF19" s="36">
        <x:f t="shared" si="5"/>
        <x:v>0.18029920370370373</x:v>
      </x:c>
    </x:row>
    <x:row r="20" spans="1:32">
      <x:c r="B20" s="24" t="s">
        <x:v>40</x:v>
      </x:c>
      <x:c r="C20" s="28">
        <x:v>4774500</x:v>
      </x:c>
      <x:c r="D20" s="28">
        <x:v>4774500</x:v>
      </x:c>
      <x:c r="E20" s="28">
        <x:v>35574500</x:v>
      </x:c>
      <x:c r="F20" s="28">
        <x:v>4004500</x:v>
      </x:c>
      <x:c r="G20" s="28">
        <x:v>4004500</x:v>
      </x:c>
      <x:c r="H20" s="28">
        <x:v>4004500</x:v>
      </x:c>
      <x:c r="I20" s="28">
        <x:v>4774500</x:v>
      </x:c>
      <x:c r="J20" s="28">
        <x:v>4774500</x:v>
      </x:c>
      <x:c r="K20" s="28">
        <x:v>4774500</x:v>
      </x:c>
      <x:c r="L20" s="28">
        <x:v>8162499.9999999991</x:v>
      </x:c>
      <x:c r="M20" s="28">
        <x:v>15554500</x:v>
      </x:c>
      <x:c r="N20" s="28">
        <x:v>4004500</x:v>
      </x:c>
      <x:c r="O20" s="38">
        <x:f t="shared" si="0"/>
        <x:v>99182000</x:v>
      </x:c>
      <x:c r="P20" s="38">
        <x:f t="shared" si="1"/>
        <x:v>9549000</x:v>
      </x:c>
      <x:c r="Q20" s="35">
        <x:f t="shared" si="2"/>
        <x:v>4.2233939964822454E-3</x:v>
      </x:c>
      <x:c r="R20" s="35">
        <x:f t="shared" si="3"/>
        <x:v>4.0661802819472241E-4</x:v>
      </x:c>
      <x:c r="S20" s="28">
        <x:v>2377178.65</x:v>
      </x:c>
      <x:c r="T20" s="28">
        <x:v>6029350.25</x:v>
      </x:c>
      <x:c r="U20" s="28"/>
      <x:c r="V20" s="28"/>
      <x:c r="W20" s="28"/>
      <x:c r="X20" s="28"/>
      <x:c r="Y20" s="28"/>
      <x:c r="Z20" s="28"/>
      <x:c r="AA20" s="29"/>
      <x:c r="AB20" s="28"/>
      <x:c r="AC20" s="81"/>
      <x:c r="AD20" s="81"/>
      <x:c r="AE20" s="28">
        <x:f t="shared" si="4"/>
        <x:v>8406528.9000000004</x:v>
      </x:c>
      <x:c r="AF20" s="36">
        <x:f t="shared" si="5"/>
        <x:v>8.475861446633462E-2</x:v>
      </x:c>
    </x:row>
    <x:row r="21" spans="1:32" s="25" customFormat="1">
      <x:c r="A21" s="25" t="s">
        <x:v>49</x:v>
      </x:c>
      <x:c r="C21" s="27">
        <x:f>C5-C22</x:f>
        <x:v>79127169.847100675</x:v>
      </x:c>
      <x:c r="D21" s="27">
        <x:f t="shared" ref="D21:N21" si="11">D5-D22</x:f>
        <x:v>48457643.299158573</x:v>
      </x:c>
      <x:c r="E21" s="27">
        <x:f t="shared" si="11"/>
        <x:v>-61814597.329970241</x:v>
      </x:c>
      <x:c r="F21" s="27">
        <x:f t="shared" si="11"/>
        <x:v>134153368.24966109</x:v>
      </x:c>
      <x:c r="G21" s="27">
        <x:f t="shared" si="11"/>
        <x:v>107400039.38563177</x:v>
      </x:c>
      <x:c r="H21" s="27">
        <x:f t="shared" si="11"/>
        <x:v>-64510158.570576668</x:v>
      </x:c>
      <x:c r="I21" s="27">
        <x:f t="shared" si="11"/>
        <x:v>-74724341.5327411</x:v>
      </x:c>
      <x:c r="J21" s="27">
        <x:f t="shared" si="11"/>
        <x:v>-94639669.363405347</x:v>
      </x:c>
      <x:c r="K21" s="27">
        <x:f t="shared" si="11"/>
        <x:v>-101024716.72021887</x:v>
      </x:c>
      <x:c r="L21" s="27">
        <x:f t="shared" si="11"/>
        <x:v>-83679954.37736991</x:v>
      </x:c>
      <x:c r="M21" s="27">
        <x:f t="shared" si="11"/>
        <x:v>-107012420.64356002</x:v>
      </x:c>
      <x:c r="N21" s="27">
        <x:f t="shared" si="11"/>
        <x:v>-87774215.555594832</x:v>
      </x:c>
      <x:c r="O21" s="34">
        <x:f t="shared" si="0"/>
        <x:v>-306041853.31188488</x:v>
      </x:c>
      <x:c r="P21" s="34">
        <x:f t="shared" si="1"/>
        <x:v>127584813.14625925</x:v>
      </x:c>
      <x:c r="Q21" s="35">
        <x:f t="shared" si="2"/>
        <x:v>-1.3031954648522056E-2</x:v>
      </x:c>
      <x:c r="R21" s="35">
        <x:f t="shared" si="3"/>
        <x:v>5.4328500522697705E-3</x:v>
      </x:c>
      <x:c r="S21" s="27">
        <x:v>210630767.27000007</x:v>
      </x:c>
      <x:c r="T21" s="27">
        <x:v>101693225.92120048</x:v>
      </x:c>
      <x:c r="U21" s="27"/>
      <x:c r="V21" s="27"/>
      <x:c r="W21" s="27"/>
      <x:c r="X21" s="27"/>
      <x:c r="Y21" s="27"/>
      <x:c r="Z21" s="27"/>
      <x:c r="AA21" s="27"/>
      <x:c r="AB21" s="27"/>
      <x:c r="AC21" s="80"/>
      <x:c r="AD21" s="80"/>
      <x:c r="AE21" s="27">
        <x:f t="shared" si="4"/>
        <x:v>312323993.19120055</x:v>
      </x:c>
      <x:c r="AF21" s="35">
        <x:f>AE21/AE2</x:f>
        <x:v>5.5568837254361007E-2</x:v>
      </x:c>
    </x:row>
    <x:row r="22" spans="1:32">
      <x:c r="B22" s="24" t="s">
        <x:v>34</x:v>
      </x:c>
      <x:c r="C22" s="28">
        <x:v>61600000</x:v>
      </x:c>
      <x:c r="D22" s="28">
        <x:v>61600000</x:v>
      </x:c>
      <x:c r="E22" s="28">
        <x:v>61600000</x:v>
      </x:c>
      <x:c r="F22" s="28">
        <x:v>61600000</x:v>
      </x:c>
      <x:c r="G22" s="28">
        <x:v>61600000</x:v>
      </x:c>
      <x:c r="H22" s="28">
        <x:v>61600000</x:v>
      </x:c>
      <x:c r="I22" s="28">
        <x:v>61600000</x:v>
      </x:c>
      <x:c r="J22" s="28">
        <x:v>61600000</x:v>
      </x:c>
      <x:c r="K22" s="28">
        <x:v>61600000</x:v>
      </x:c>
      <x:c r="L22" s="28">
        <x:v>61600000</x:v>
      </x:c>
      <x:c r="M22" s="28">
        <x:v>61600000</x:v>
      </x:c>
      <x:c r="N22" s="28">
        <x:v>61600000</x:v>
      </x:c>
      <x:c r="O22" s="38">
        <x:f t="shared" si="0"/>
        <x:v>739200000</x:v>
      </x:c>
      <x:c r="P22" s="38">
        <x:f t="shared" si="1"/>
        <x:v>123200000</x:v>
      </x:c>
      <x:c r="Q22" s="35">
        <x:f t="shared" si="2"/>
        <x:v>3.1476808717304308E-2</x:v>
      </x:c>
      <x:c r="R22" s="35">
        <x:f t="shared" si="3"/>
        <x:v>5.2461347862173841E-3</x:v>
      </x:c>
      <x:c r="S22" s="28">
        <x:v>49354227</x:v>
      </x:c>
      <x:c r="T22" s="28">
        <x:v>50356016.600000001</x:v>
      </x:c>
      <x:c r="U22" s="28"/>
      <x:c r="V22" s="28"/>
      <x:c r="W22" s="28"/>
      <x:c r="X22" s="28"/>
      <x:c r="Y22" s="28"/>
      <x:c r="Z22" s="28"/>
      <x:c r="AA22" s="29"/>
      <x:c r="AB22" s="28"/>
      <x:c r="AC22" s="81"/>
      <x:c r="AD22" s="81"/>
      <x:c r="AE22" s="28">
        <x:f t="shared" si="4"/>
        <x:v>99710243.599999994</x:v>
      </x:c>
      <x:c r="AF22" s="36">
        <x:f t="shared" si="5"/>
        <x:v>0.1348893988095238</x:v>
      </x:c>
    </x:row>
    <x:row r="24" spans="1:32">
      <x:c r="G24" s="37"/>
      <x:c r="P24" s="35"/>
    </x:row>
    <x:row r="26" spans="1:32">
      <x:c r="AE26" s="76"/>
    </x:row>
    <x:row r="29" spans="1:32">
      <x:c r="AD29" s="77"/>
    </x:row>
  </x:sheetData>
  <x:pageMargins left="0.7" right="0.7" top="0.75" bottom="0.75" header="0.3" footer="0.3"/>
  <x:pageSetup paperSize="9"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06004A0-59EE-4BFA-8A56-115D2769D31B}" mc:Ignorable="x14ac xr xr2 xr3">
  <x:dimension ref="B3:S22"/>
  <x:sheetViews>
    <x:sheetView workbookViewId="0">
      <x:selection activeCell="I26" sqref="I26"/>
    </x:sheetView>
  </x:sheetViews>
  <x:sheetFormatPr defaultRowHeight="17.399999999999999"/>
  <x:cols>
    <x:col min="1" max="1" width="9" style="24" customWidth="1"/>
    <x:col min="2" max="2" width="10.5" style="24" bestFit="1" customWidth="1"/>
    <x:col min="3" max="5" width="12.125" style="24" bestFit="1" customWidth="1"/>
    <x:col min="6" max="6" width="8.625" style="24" bestFit="1" customWidth="1"/>
    <x:col min="7" max="7" width="10.5" style="24" bestFit="1" customWidth="1"/>
    <x:col min="8" max="8" width="10.875" style="24" bestFit="1" customWidth="1"/>
    <x:col min="9" max="9" width="9.25" style="24" bestFit="1" customWidth="1"/>
    <x:col min="10" max="10" width="10.875" style="24" bestFit="1" customWidth="1"/>
    <x:col min="11" max="11" width="8.125" style="24" bestFit="1" customWidth="1"/>
    <x:col min="12" max="12" width="10.875" style="24" bestFit="1" customWidth="1"/>
    <x:col min="13" max="13" width="8.125" style="24" bestFit="1" customWidth="1"/>
    <x:col min="14" max="14" width="9.25" style="24" bestFit="1" customWidth="1"/>
    <x:col min="15" max="15" width="7.625" style="24" bestFit="1" customWidth="1"/>
    <x:col min="16" max="16" width="5.75" style="24" bestFit="1" customWidth="1"/>
    <x:col min="17" max="16384" width="9" style="24"/>
  </x:cols>
  <x:sheetData>
    <x:row r="3" spans="2:19" ht="34.799999999999997">
      <x:c r="B3" s="39" t="s">
        <x:v>71</x:v>
      </x:c>
      <x:c r="C3" s="40" t="s">
        <x:v>138</x:v>
      </x:c>
      <x:c r="D3" s="40" t="s">
        <x:v>96</x:v>
      </x:c>
      <x:c r="E3" s="40" t="s">
        <x:v>97</x:v>
      </x:c>
      <x:c r="F3" s="40" t="s">
        <x:v>98</x:v>
      </x:c>
      <x:c r="G3" s="40" t="s">
        <x:v>99</x:v>
      </x:c>
      <x:c r="H3" s="40" t="s">
        <x:v>100</x:v>
      </x:c>
      <x:c r="I3" s="40" t="s">
        <x:v>101</x:v>
      </x:c>
      <x:c r="J3" s="40" t="s">
        <x:v>192</x:v>
      </x:c>
      <x:c r="K3" s="40" t="s">
        <x:v>101</x:v>
      </x:c>
      <x:c r="L3" s="40" t="s">
        <x:v>193</x:v>
      </x:c>
      <x:c r="M3" s="40" t="s">
        <x:v>101</x:v>
      </x:c>
      <x:c r="N3" s="40" t="s">
        <x:v>102</x:v>
      </x:c>
      <x:c r="O3" s="40" t="s">
        <x:v>104</x:v>
      </x:c>
      <x:c r="P3" s="39" t="s">
        <x:v>103</x:v>
      </x:c>
    </x:row>
    <x:row r="4" spans="2:19">
      <x:c r="B4" s="39" t="s">
        <x:v>41</x:v>
      </x:c>
      <x:c r="C4" s="41">
        <x:f>월종합!O2</x:f>
        <x:v>23483956287.907497</x:v>
      </x:c>
      <x:c r="D4" s="41">
        <x:f>월종합!P2</x:f>
        <x:v>5101294508.3099995</x:v>
      </x:c>
      <x:c r="E4" s="41">
        <x:f>월종합!AE2</x:f>
        <x:v>5620488184.0799999</x:v>
      </x:c>
      <x:c r="F4" s="42">
        <x:f>E4/C4</x:f>
        <x:v>0.23933310534111904</x:v>
      </x:c>
      <x:c r="G4" s="42">
        <x:f>E4/D4</x:f>
        <x:v>1.1017768479989216</x:v>
      </x:c>
      <x:c r="H4" s="41">
        <x:v>3153223956.96</x:v>
      </x:c>
      <x:c r="I4" s="42">
        <x:f>H4/$H$4</x:f>
        <x:v>1</x:v>
      </x:c>
      <x:c r="J4" s="41">
        <x:f>월종합!D2</x:f>
        <x:v>2431618753.4099998</x:v>
      </x:c>
      <x:c r="K4" s="42">
        <x:f>J4/$J$4</x:f>
        <x:v>1</x:v>
      </x:c>
      <x:c r="L4" s="41">
        <x:f>월종합!T2</x:f>
        <x:v>2467264227.1200004</x:v>
      </x:c>
      <x:c r="M4" s="42">
        <x:f>L4/$L$4</x:f>
        <x:v>1</x:v>
      </x:c>
      <x:c r="N4" s="42">
        <x:f>L4/H4</x:f>
        <x:v>0.78245765628987285</x:v>
      </x:c>
      <x:c r="O4" s="42">
        <x:f>L4/J4</x:f>
        <x:v>1.014659153973053</x:v>
      </x:c>
      <x:c r="P4" s="26"/>
      <x:c r="S4" s="67"/>
    </x:row>
    <x:row r="5" spans="2:19">
      <x:c r="B5" s="39" t="s">
        <x:v>82</x:v>
      </x:c>
      <x:c r="C5" s="41">
        <x:f>월종합!O3</x:f>
        <x:v>22104010413.605011</x:v>
      </x:c>
      <x:c r="D5" s="41">
        <x:f>월종합!P3</x:f>
        <x:v>4699629877.7183657</x:v>
      </x:c>
      <x:c r="E5" s="41">
        <x:f>월종합!AE3</x:f>
        <x:v>5063364609.9387999</x:v>
      </x:c>
      <x:c r="F5" s="42">
        <x:f t="shared" ref="F5:F10" si="0">E5/C5</x:f>
        <x:v>0.22906995224822643</x:v>
      </x:c>
      <x:c r="G5" s="42">
        <x:f t="shared" ref="G5:G10" si="1">E5/D5</x:f>
        <x:v>1.0773964634842743</x:v>
      </x:c>
      <x:c r="H5" s="41">
        <x:v>2822684634.29</x:v>
      </x:c>
      <x:c r="I5" s="42">
        <x:f t="shared" ref="I5:I10" si="2">H5/$H$4</x:f>
        <x:v>0.8951741686661957</x:v>
      </x:c>
      <x:c r="J5" s="41">
        <x:f>월종합!D3</x:f>
        <x:v>2246018268.3608413</x:v>
      </x:c>
      <x:c r="K5" s="42">
        <x:f t="shared" ref="K5:K10" si="3">J5/$J$4</x:f>
        <x:v>0.92367204571486372</x:v>
      </x:c>
      <x:c r="L5" s="41">
        <x:f>월종합!T3</x:f>
        <x:v>2240679975.6487999</x:v>
      </x:c>
      <x:c r="M5" s="42">
        <x:f t="shared" ref="M5:M10" si="4">L5/$L$4</x:f>
        <x:v>0.90816376739037441</x:v>
      </x:c>
      <x:c r="N5" s="42">
        <x:f t="shared" ref="N5:N10" si="5">L5/H5</x:f>
        <x:v>0.7938116601582047</x:v>
      </x:c>
      <x:c r="O5" s="42">
        <x:f t="shared" ref="O5:O10" si="6">L5/J5</x:f>
        <x:v>0.99762321937125775</x:v>
      </x:c>
      <x:c r="P5" s="26"/>
    </x:row>
    <x:row r="6" spans="2:19">
      <x:c r="B6" s="39" t="s">
        <x:v>42</x:v>
      </x:c>
      <x:c r="C6" s="41">
        <x:f>월종합!O5</x:f>
        <x:v>433158146.68811512</x:v>
      </x:c>
      <x:c r="D6" s="41">
        <x:f>월종합!P5</x:f>
        <x:v>250784813.14625925</x:v>
      </x:c>
      <x:c r="E6" s="41">
        <x:f>월종합!AE5</x:f>
        <x:v>412034236.79120052</x:v>
      </x:c>
      <x:c r="F6" s="42">
        <x:f>C6/C4</x:f>
        <x:v>1.8444854068782251E-2</x:v>
      </x:c>
      <x:c r="G6" s="42">
        <x:f>E6/E4</x:f>
        <x:v>7.3309332445228706E-2</x:v>
      </x:c>
      <x:c r="H6" s="41">
        <x:v>259984994.27000007</x:v>
      </x:c>
      <x:c r="I6" s="42">
        <x:f t="shared" si="2"/>
        <x:v>8.2450532476814525E-2</x:v>
      </x:c>
      <x:c r="J6" s="41">
        <x:f>월종합!D5</x:f>
        <x:v>110057643.29915857</x:v>
      </x:c>
      <x:c r="K6" s="42">
        <x:f t="shared" si="3"/>
        <x:v>4.5261060412870383E-2</x:v>
      </x:c>
      <x:c r="L6" s="41">
        <x:f>월종합!T5</x:f>
        <x:v>152049242.52120048</x:v>
      </x:c>
      <x:c r="M6" s="42">
        <x:f t="shared" si="4"/>
        <x:v>6.1626655487436476E-2</x:v>
      </x:c>
      <x:c r="N6" s="42">
        <x:f t="shared" si="5"/>
        <x:v>0.58483853250120288</x:v>
      </x:c>
      <x:c r="O6" s="42">
        <x:f t="shared" si="6"/>
        <x:v>1.3815418717253503</x:v>
      </x:c>
      <x:c r="P6" s="26"/>
    </x:row>
    <x:row r="7" spans="2:19">
      <x:c r="B7" s="39" t="s">
        <x:v>105</x:v>
      </x:c>
      <x:c r="C7" s="41">
        <x:f>월종합!O6</x:f>
        <x:v>21165327295.01025</x:v>
      </x:c>
      <x:c r="D7" s="41">
        <x:f>월종합!P6</x:f>
        <x:v>4591095414.7858801</x:v>
      </x:c>
      <x:c r="E7" s="41">
        <x:f>월종합!AE6</x:f>
        <x:v>5003404001.8388004</x:v>
      </x:c>
      <x:c r="F7" s="42">
        <x:f t="shared" si="0"/>
        <x:v>0.23639624996578051</x:v>
      </x:c>
      <x:c r="G7" s="42">
        <x:f t="shared" si="1"/>
        <x:v>1.0898061464209734</x:v>
      </x:c>
      <x:c r="H7" s="41">
        <x:v>2790412021.1399999</x:v>
      </x:c>
      <x:c r="I7" s="42">
        <x:f t="shared" si="2"/>
        <x:v>0.88493936974594578</x:v>
      </x:c>
      <x:c r="J7" s="41">
        <x:f>월종합!D6</x:f>
        <x:v>2173961825.6608558</x:v>
      </x:c>
      <x:c r="K7" s="42">
        <x:f t="shared" si="3"/>
        <x:v>0.89403892884613723</x:v>
      </x:c>
      <x:c r="L7" s="41">
        <x:f>월종합!T6</x:f>
        <x:v>2212991980.6988001</x:v>
      </x:c>
      <x:c r="M7" s="42">
        <x:f t="shared" si="4"/>
        <x:v>0.89694162318479831</x:v>
      </x:c>
      <x:c r="N7" s="42">
        <x:f t="shared" si="5"/>
        <x:v>0.79306997100546484</x:v>
      </x:c>
      <x:c r="O7" s="42">
        <x:f t="shared" si="6"/>
        <x:v>1.0179534684451415</x:v>
      </x:c>
      <x:c r="P7" s="26"/>
    </x:row>
    <x:row r="8" spans="2:19">
      <x:c r="B8" s="39" t="s">
        <x:v>106</x:v>
      </x:c>
      <x:c r="C8" s="41">
        <x:f>월종합!O12</x:f>
        <x:v>383754751.89012498</x:v>
      </x:c>
      <x:c r="D8" s="41">
        <x:f>월종합!P12</x:f>
        <x:v>68375662.74000001</x:v>
      </x:c>
      <x:c r="E8" s="41">
        <x:f>월종합!AE12</x:f>
        <x:v>55968223.849999994</x:v>
      </x:c>
      <x:c r="F8" s="42">
        <x:f t="shared" si="0"/>
        <x:v>0.14584372851238225</x:v>
      </x:c>
      <x:c r="G8" s="42">
        <x:f t="shared" si="1"/>
        <x:v>0.81854012973622525</x:v>
      </x:c>
      <x:c r="H8" s="41">
        <x:v>30584011.149999999</x:v>
      </x:c>
      <x:c r="I8" s="42">
        <x:f t="shared" si="2"/>
        <x:v>9.6992828823633005E-3</x:v>
      </x:c>
      <x:c r="J8" s="41">
        <x:f>월종합!D12</x:f>
        <x:v>34977642.5075</x:v>
      </x:c>
      <x:c r="K8" s="42">
        <x:f t="shared" si="3"/>
        <x:v>1.4384509273276835E-2</x:v>
      </x:c>
      <x:c r="L8" s="41">
        <x:f>월종합!T12</x:f>
        <x:v>25384212.699999999</x:v>
      </x:c>
      <x:c r="M8" s="42">
        <x:f t="shared" si="4"/>
        <x:v>1.0288404630918109E-2</x:v>
      </x:c>
      <x:c r="N8" s="42">
        <x:f t="shared" si="5"/>
        <x:v>0.82998311030893013</x:v>
      </x:c>
      <x:c r="O8" s="42">
        <x:f t="shared" si="6"/>
        <x:v>0.72572680375920273</x:v>
      </x:c>
      <x:c r="P8" s="26"/>
    </x:row>
    <x:row r="9" spans="2:19">
      <x:c r="B9" s="39" t="s">
        <x:v>38</x:v>
      </x:c>
      <x:c r="C9" s="41">
        <x:f>월종합!O15</x:f>
        <x:v>35112000</x:v>
      </x:c>
      <x:c r="D9" s="41">
        <x:f>월종합!P15</x:f>
        <x:v>6160000</x:v>
      </x:c>
      <x:c r="E9" s="41">
        <x:f>월종합!AE15</x:f>
        <x:v>3992384.25</x:v>
      </x:c>
      <x:c r="F9" s="42">
        <x:f t="shared" si="0"/>
        <x:v>0.11370426777170198</x:v>
      </x:c>
      <x:c r="G9" s="42">
        <x:f t="shared" si="1"/>
        <x:v>0.64811432629870125</x:v>
      </x:c>
      <x:c r="H9" s="41">
        <x:v>1688602</x:v>
      </x:c>
      <x:c r="I9" s="42">
        <x:f t="shared" si="2"/>
        <x:v>5.3551603788649655E-4</x:v>
      </x:c>
      <x:c r="J9" s="41">
        <x:f>월종합!D15</x:f>
        <x:v>3080000</x:v>
      </x:c>
      <x:c r="K9" s="42">
        <x:f t="shared" si="3"/>
        <x:v>1.2666459311027839E-3</x:v>
      </x:c>
      <x:c r="L9" s="41">
        <x:f>월종합!T15</x:f>
        <x:v>2303782.25</x:v>
      </x:c>
      <x:c r="M9" s="42">
        <x:f t="shared" si="4"/>
        <x:v>9.3373957465802911E-4</x:v>
      </x:c>
      <x:c r="N9" s="42">
        <x:f t="shared" si="5"/>
        <x:v>1.3643133491491779</x:v>
      </x:c>
      <x:c r="O9" s="42">
        <x:f t="shared" si="6"/>
        <x:v>0.74798125000000004</x:v>
      </x:c>
      <x:c r="P9" s="26"/>
    </x:row>
    <x:row r="10" spans="2:19">
      <x:c r="B10" s="39" t="s">
        <x:v>113</x:v>
      </x:c>
      <x:c r="C10" s="41">
        <x:f>월종합!O16</x:f>
        <x:v>946787727.61437511</x:v>
      </x:c>
      <x:c r="D10" s="41">
        <x:f>월종합!P16</x:f>
        <x:v>150879817.44537503</x:v>
      </x:c>
      <x:c r="E10" s="41">
        <x:f>월종합!AE16</x:f>
        <x:v>145089337.35000002</x:v>
      </x:c>
      <x:c r="F10" s="42">
        <x:f t="shared" si="0"/>
        <x:v>0.15324378751252113</x:v>
      </x:c>
      <x:c r="G10" s="42">
        <x:f t="shared" si="1"/>
        <x:v>0.9616219041524795</x:v>
      </x:c>
      <x:c r="H10" s="41">
        <x:v>70554328.400000006</x:v>
      </x:c>
      <x:c r="I10" s="42">
        <x:f t="shared" si="2"/>
        <x:v>2.2375298856989821E-2</x:v>
      </x:c>
      <x:c r="J10" s="41">
        <x:f>월종합!D16</x:f>
        <x:v>75542841.75</x:v>
      </x:c>
      <x:c r="K10" s="42">
        <x:f t="shared" si="3"/>
        <x:v>3.106689387226591E-2</x:v>
      </x:c>
      <x:c r="L10" s="41">
        <x:f>월종합!T16</x:f>
        <x:v>74535008.950000003</x:v>
      </x:c>
      <x:c r="M10" s="42">
        <x:f t="shared" si="4"/>
        <x:v>3.0209577122189128E-2</x:v>
      </x:c>
      <x:c r="N10" s="42">
        <x:f t="shared" si="5"/>
        <x:v>1.0564200757100537</x:v>
      </x:c>
      <x:c r="O10" s="42">
        <x:f t="shared" si="6"/>
        <x:v>0.98665879153268687</x:v>
      </x:c>
      <x:c r="P10" s="26"/>
    </x:row>
    <x:row r="14" spans="2:19">
      <x:c r="C14" s="75"/>
      <x:c r="E14" s="78"/>
      <x:c r="F14" s="67"/>
    </x:row>
    <x:row r="15" spans="2:19">
      <x:c r="C15" s="75"/>
      <x:c r="E15" s="78"/>
      <x:c r="F15" s="67"/>
    </x:row>
    <x:row r="16" spans="2:19">
      <x:c r="C16" s="75"/>
      <x:c r="D16" s="67"/>
      <x:c r="E16" s="79"/>
      <x:c r="F16" s="67"/>
    </x:row>
    <x:row r="17" spans="3:6">
      <x:c r="C17" s="75"/>
      <x:c r="D17" s="67"/>
      <x:c r="E17" s="78"/>
      <x:c r="F17" s="67"/>
    </x:row>
    <x:row r="18" spans="3:6">
      <x:c r="C18" s="75"/>
      <x:c r="E18" s="78"/>
      <x:c r="F18" s="67"/>
    </x:row>
    <x:row r="19" spans="3:6">
      <x:c r="C19" s="75"/>
      <x:c r="E19" s="78"/>
      <x:c r="F19" s="67"/>
    </x:row>
    <x:row r="20" spans="3:6">
      <x:c r="C20" s="75"/>
      <x:c r="E20" s="78"/>
      <x:c r="F20" s="67"/>
    </x:row>
    <x:row r="21" spans="3:6">
      <x:c r="C21" s="75"/>
      <x:c r="E21" s="78"/>
      <x:c r="F21" s="67"/>
    </x:row>
    <x:row r="22" spans="3:6">
      <x:c r="C22" s="75">
        <x:f t="shared" ref="C22" si="7">C11/1000000</x:f>
        <x:v>0</x:v>
      </x:c>
    </x:row>
  </x:sheetData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490735-0EB8-4136-8F7D-821F9331E081}" mc:Ignorable="x14ac xr xr2 xr3">
  <x:dimension ref="A1:R35"/>
  <x:sheetViews>
    <x:sheetView zoomScaleNormal="100" workbookViewId="0">
      <x:selection activeCell="E7" sqref="E7"/>
    </x:sheetView>
  </x:sheetViews>
  <x:sheetFormatPr defaultRowHeight="17.399999999999999"/>
  <x:cols>
    <x:col min="1" max="1" width="8.125" style="44" customWidth="1"/>
    <x:col min="2" max="2" width="8.375" style="44" customWidth="1"/>
    <x:col min="3" max="3" width="13.375" style="44" customWidth="1"/>
    <x:col min="4" max="5" width="13.625" style="45" customWidth="1"/>
    <x:col min="6" max="9" width="13.625" style="44" customWidth="1"/>
    <x:col min="10" max="10" width="14.5" style="44" customWidth="1"/>
    <x:col min="11" max="11" width="13.875" style="44" customWidth="1"/>
    <x:col min="12" max="12" width="14.5" style="44" customWidth="1"/>
    <x:col min="13" max="16" width="15" style="44" bestFit="1" customWidth="1"/>
    <x:col min="17" max="17" width="5.25" style="44" customWidth="1"/>
    <x:col min="18" max="18" width="12.125" style="44" bestFit="1" customWidth="1"/>
    <x:col min="19" max="16384" width="9" style="44"/>
  </x:cols>
  <x:sheetData>
    <x:row r="1" spans="1:18">
      <x:c r="A1" s="43" t="s">
        <x:v>136</x:v>
      </x:c>
    </x:row>
    <x:row r="2" spans="1:18">
      <x:c r="A2" s="111" t="s">
        <x:v>71</x:v>
      </x:c>
      <x:c r="B2" s="111"/>
      <x:c r="C2" s="111"/>
      <x:c r="D2" s="63" t="s">
        <x:v>114</x:v>
      </x:c>
      <x:c r="E2" s="63" t="s">
        <x:v>51</x:v>
      </x:c>
      <x:c r="F2" s="46" t="s">
        <x:v>52</x:v>
      </x:c>
      <x:c r="G2" s="46" t="s">
        <x:v>53</x:v>
      </x:c>
      <x:c r="H2" s="46" t="s">
        <x:v>54</x:v>
      </x:c>
      <x:c r="I2" s="46" t="s">
        <x:v>55</x:v>
      </x:c>
      <x:c r="J2" s="46" t="s">
        <x:v>56</x:v>
      </x:c>
      <x:c r="K2" s="46" t="s">
        <x:v>57</x:v>
      </x:c>
      <x:c r="L2" s="46" t="s">
        <x:v>58</x:v>
      </x:c>
      <x:c r="M2" s="46" t="s">
        <x:v>59</x:v>
      </x:c>
      <x:c r="N2" s="46" t="s">
        <x:v>60</x:v>
      </x:c>
      <x:c r="O2" s="46" t="s">
        <x:v>61</x:v>
      </x:c>
      <x:c r="P2" s="46" t="s">
        <x:v>115</x:v>
      </x:c>
      <x:c r="Q2" s="48"/>
    </x:row>
    <x:row r="3" spans="1:18">
      <x:c r="A3" s="110" t="s">
        <x:v>116</x:v>
      </x:c>
      <x:c r="B3" s="110"/>
      <x:c r="C3" s="110"/>
      <x:c r="D3" s="49">
        <x:f>월종합!S2</x:f>
        <x:v>3153223956.96</x:v>
      </x:c>
      <x:c r="E3" s="49">
        <x:f>월종합!T2</x:f>
        <x:v>2467264227.1200004</x:v>
      </x:c>
      <x:c r="F3" s="49"/>
      <x:c r="G3" s="49"/>
      <x:c r="H3" s="49"/>
      <x:c r="I3" s="49"/>
      <x:c r="J3" s="49"/>
      <x:c r="K3" s="49"/>
      <x:c r="L3" s="49"/>
      <x:c r="M3" s="49"/>
      <x:c r="N3" s="49"/>
      <x:c r="O3" s="50"/>
      <x:c r="P3" s="50">
        <x:f>SUM(D3:O3)</x:f>
        <x:v>5620488184.0799999</x:v>
      </x:c>
      <x:c r="Q3" s="51"/>
      <x:c r="R3" s="58"/>
    </x:row>
    <x:row r="4" spans="1:18">
      <x:c r="A4" s="110" t="s">
        <x:v>82</x:v>
      </x:c>
      <x:c r="B4" s="110"/>
      <x:c r="C4" s="110"/>
      <x:c r="D4" s="49">
        <x:f>월종합!S3</x:f>
        <x:v>2822684634.29</x:v>
      </x:c>
      <x:c r="E4" s="49">
        <x:f>월종합!T3</x:f>
        <x:v>2240679975.6487999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50"/>
      <x:c r="P4" s="50">
        <x:f t="shared" ref="P4:P7" si="0">SUM(D4:O4)</x:f>
        <x:v>5063364609.9387999</x:v>
      </x:c>
      <x:c r="Q4" s="51"/>
      <x:c r="R4" s="58"/>
    </x:row>
    <x:row r="5" spans="1:18">
      <x:c r="A5" s="107" t="s">
        <x:v>83</x:v>
      </x:c>
      <x:c r="B5" s="108"/>
      <x:c r="C5" s="109"/>
      <x:c r="D5" s="52">
        <x:f>D3-D4</x:f>
        <x:v>330539322.67000008</x:v>
      </x:c>
      <x:c r="E5" s="52">
        <x:f t="shared" ref="E5:O5" si="1">E3-E4</x:f>
        <x:v>226584251.47120047</x:v>
      </x:c>
      <x:c r="F5" s="52">
        <x:f t="shared" si="1"/>
        <x:v>0</x:v>
      </x:c>
      <x:c r="G5" s="52">
        <x:f t="shared" si="1"/>
        <x:v>0</x:v>
      </x:c>
      <x:c r="H5" s="52">
        <x:f t="shared" si="1"/>
        <x:v>0</x:v>
      </x:c>
      <x:c r="I5" s="52">
        <x:f t="shared" si="1"/>
        <x:v>0</x:v>
      </x:c>
      <x:c r="J5" s="52">
        <x:f t="shared" si="1"/>
        <x:v>0</x:v>
      </x:c>
      <x:c r="K5" s="52">
        <x:f t="shared" si="1"/>
        <x:v>0</x:v>
      </x:c>
      <x:c r="L5" s="52">
        <x:f t="shared" si="1"/>
        <x:v>0</x:v>
      </x:c>
      <x:c r="M5" s="52">
        <x:f t="shared" si="1"/>
        <x:v>0</x:v>
      </x:c>
      <x:c r="N5" s="52">
        <x:f t="shared" si="1"/>
        <x:v>0</x:v>
      </x:c>
      <x:c r="O5" s="52">
        <x:f t="shared" si="1"/>
        <x:v>0</x:v>
      </x:c>
      <x:c r="P5" s="57">
        <x:f t="shared" si="0"/>
        <x:v>557123574.14120054</x:v>
      </x:c>
      <x:c r="Q5" s="53"/>
    </x:row>
    <x:row r="6" spans="1:18">
      <x:c r="A6" s="110" t="s">
        <x:v>113</x:v>
      </x:c>
      <x:c r="B6" s="110"/>
      <x:c r="C6" s="110"/>
      <x:c r="D6" s="49">
        <x:f>월종합!S16</x:f>
        <x:v>70554328.400000006</x:v>
      </x:c>
      <x:c r="E6" s="49">
        <x:f>월종합!T16</x:f>
        <x:v>74535008.950000003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50"/>
      <x:c r="P6" s="50">
        <x:f t="shared" si="0"/>
        <x:v>145089337.35000002</x:v>
      </x:c>
      <x:c r="Q6" s="51"/>
    </x:row>
    <x:row r="7" spans="1:18">
      <x:c r="A7" s="110" t="s">
        <x:v>42</x:v>
      </x:c>
      <x:c r="B7" s="110"/>
      <x:c r="C7" s="110"/>
      <x:c r="D7" s="49">
        <x:f t="shared" ref="D7:O7" si="2">D5-D6</x:f>
        <x:v>259984994.27000007</x:v>
      </x:c>
      <x:c r="E7" s="49">
        <x:f t="shared" si="2"/>
        <x:v>152049242.52120048</x:v>
      </x:c>
      <x:c r="F7" s="49">
        <x:f t="shared" si="2"/>
        <x:v>0</x:v>
      </x:c>
      <x:c r="G7" s="49">
        <x:f t="shared" si="2"/>
        <x:v>0</x:v>
      </x:c>
      <x:c r="H7" s="49">
        <x:f t="shared" si="2"/>
        <x:v>0</x:v>
      </x:c>
      <x:c r="I7" s="49">
        <x:f t="shared" si="2"/>
        <x:v>0</x:v>
      </x:c>
      <x:c r="J7" s="49">
        <x:f t="shared" si="2"/>
        <x:v>0</x:v>
      </x:c>
      <x:c r="K7" s="49">
        <x:f t="shared" si="2"/>
        <x:v>0</x:v>
      </x:c>
      <x:c r="L7" s="49">
        <x:f t="shared" si="2"/>
        <x:v>0</x:v>
      </x:c>
      <x:c r="M7" s="49">
        <x:f t="shared" si="2"/>
        <x:v>0</x:v>
      </x:c>
      <x:c r="N7" s="49">
        <x:f t="shared" si="2"/>
        <x:v>0</x:v>
      </x:c>
      <x:c r="O7" s="49">
        <x:f t="shared" si="2"/>
        <x:v>0</x:v>
      </x:c>
      <x:c r="P7" s="50">
        <x:f t="shared" si="0"/>
        <x:v>412034236.79120052</x:v>
      </x:c>
      <x:c r="Q7" s="53"/>
      <x:c r="R7" s="58"/>
    </x:row>
    <x:row r="8" spans="1:18">
      <x:c r="A8" s="111" t="s">
        <x:v>117</x:v>
      </x:c>
      <x:c r="B8" s="111"/>
      <x:c r="C8" s="111"/>
      <x:c r="D8" s="54">
        <x:f t="shared" ref="D8:P8" si="3">D7/D3</x:f>
        <x:v>8.2450532476814525E-2</x:v>
      </x:c>
      <x:c r="E8" s="54">
        <x:f t="shared" si="3"/>
        <x:v>6.1626655487436476E-2</x:v>
      </x:c>
      <x:c r="F8" s="54" t="e">
        <x:f t="shared" si="3"/>
        <x:v>#DIV/0!</x:v>
      </x:c>
      <x:c r="G8" s="54" t="e">
        <x:f t="shared" si="3"/>
        <x:v>#DIV/0!</x:v>
      </x:c>
      <x:c r="H8" s="54" t="e">
        <x:f t="shared" si="3"/>
        <x:v>#DIV/0!</x:v>
      </x:c>
      <x:c r="I8" s="54" t="e">
        <x:f t="shared" si="3"/>
        <x:v>#DIV/0!</x:v>
      </x:c>
      <x:c r="J8" s="54" t="e">
        <x:f t="shared" si="3"/>
        <x:v>#DIV/0!</x:v>
      </x:c>
      <x:c r="K8" s="54" t="e">
        <x:f t="shared" si="3"/>
        <x:v>#DIV/0!</x:v>
      </x:c>
      <x:c r="L8" s="54" t="e">
        <x:f t="shared" si="3"/>
        <x:v>#DIV/0!</x:v>
      </x:c>
      <x:c r="M8" s="54" t="e">
        <x:f t="shared" si="3"/>
        <x:v>#DIV/0!</x:v>
      </x:c>
      <x:c r="N8" s="54" t="e">
        <x:f t="shared" si="3"/>
        <x:v>#DIV/0!</x:v>
      </x:c>
      <x:c r="O8" s="54" t="e">
        <x:f t="shared" si="3"/>
        <x:v>#DIV/0!</x:v>
      </x:c>
      <x:c r="P8" s="54">
        <x:f t="shared" si="3"/>
        <x:v>7.3309332445228706E-2</x:v>
      </x:c>
      <x:c r="Q8" s="55"/>
    </x:row>
    <x:row r="10" spans="1:18">
      <x:c r="A10" s="43" t="s">
        <x:v>139</x:v>
      </x:c>
    </x:row>
    <x:row r="11" spans="1:18">
      <x:c r="A11" s="111" t="s">
        <x:v>71</x:v>
      </x:c>
      <x:c r="B11" s="111"/>
      <x:c r="C11" s="111"/>
      <x:c r="D11" s="63" t="s">
        <x:v>114</x:v>
      </x:c>
      <x:c r="E11" s="63" t="s">
        <x:v>51</x:v>
      </x:c>
      <x:c r="F11" s="46" t="s">
        <x:v>52</x:v>
      </x:c>
      <x:c r="G11" s="46" t="s">
        <x:v>53</x:v>
      </x:c>
      <x:c r="H11" s="46" t="s">
        <x:v>54</x:v>
      </x:c>
      <x:c r="I11" s="46" t="s">
        <x:v>55</x:v>
      </x:c>
      <x:c r="J11" s="46" t="s">
        <x:v>56</x:v>
      </x:c>
      <x:c r="K11" s="46" t="s">
        <x:v>57</x:v>
      </x:c>
      <x:c r="L11" s="46" t="s">
        <x:v>58</x:v>
      </x:c>
      <x:c r="M11" s="46" t="s">
        <x:v>59</x:v>
      </x:c>
      <x:c r="N11" s="46" t="s">
        <x:v>60</x:v>
      </x:c>
      <x:c r="O11" s="46" t="s">
        <x:v>61</x:v>
      </x:c>
      <x:c r="P11" s="46" t="s">
        <x:v>115</x:v>
      </x:c>
    </x:row>
    <x:row r="12" spans="1:18">
      <x:c r="A12" s="110" t="s">
        <x:v>116</x:v>
      </x:c>
      <x:c r="B12" s="110"/>
      <x:c r="C12" s="110"/>
      <x:c r="D12" s="49">
        <x:f>D26</x:f>
        <x:v>3162891789.75</x:v>
      </x:c>
      <x:c r="E12" s="49">
        <x:f>E26-D26</x:f>
        <x:v>-3162891789.75</x:v>
      </x:c>
      <x:c r="F12" s="50">
        <x:f>F26-E26</x:f>
        <x:v>0</x:v>
      </x:c>
      <x:c r="G12" s="50">
        <x:f t="shared" ref="G12:O13" si="4">G26-F26</x:f>
        <x:v>0</x:v>
      </x:c>
      <x:c r="H12" s="50">
        <x:f t="shared" si="4"/>
        <x:v>0</x:v>
      </x:c>
      <x:c r="I12" s="50">
        <x:f t="shared" si="4"/>
        <x:v>0</x:v>
      </x:c>
      <x:c r="J12" s="50">
        <x:f t="shared" si="4"/>
        <x:v>0</x:v>
      </x:c>
      <x:c r="K12" s="50">
        <x:f t="shared" si="4"/>
        <x:v>0</x:v>
      </x:c>
      <x:c r="L12" s="50">
        <x:f t="shared" si="4"/>
        <x:v>0</x:v>
      </x:c>
      <x:c r="M12" s="50">
        <x:f t="shared" si="4"/>
        <x:v>0</x:v>
      </x:c>
      <x:c r="N12" s="50">
        <x:f t="shared" si="4"/>
        <x:v>0</x:v>
      </x:c>
      <x:c r="O12" s="64">
        <x:f t="shared" si="4"/>
        <x:v>0</x:v>
      </x:c>
      <x:c r="P12" s="50">
        <x:f>SUM(D12:D12)</x:f>
        <x:v>3162891789.75</x:v>
      </x:c>
      <x:c r="Q12" s="56"/>
      <x:c r="R12" s="58"/>
    </x:row>
    <x:row r="13" spans="1:18">
      <x:c r="A13" s="110" t="s">
        <x:v>82</x:v>
      </x:c>
      <x:c r="B13" s="110"/>
      <x:c r="C13" s="110"/>
      <x:c r="D13" s="49">
        <x:f>D27</x:f>
        <x:v>2696041790.7500005</x:v>
      </x:c>
      <x:c r="E13" s="49">
        <x:f>E27-D27</x:f>
        <x:v>-2696041790.7500005</x:v>
      </x:c>
      <x:c r="F13" s="50">
        <x:f>F27-E27</x:f>
        <x:v>0</x:v>
      </x:c>
      <x:c r="G13" s="50">
        <x:f t="shared" si="4"/>
        <x:v>0</x:v>
      </x:c>
      <x:c r="H13" s="50">
        <x:f t="shared" si="4"/>
        <x:v>0</x:v>
      </x:c>
      <x:c r="I13" s="50">
        <x:f t="shared" si="4"/>
        <x:v>0</x:v>
      </x:c>
      <x:c r="J13" s="50">
        <x:f t="shared" si="4"/>
        <x:v>0</x:v>
      </x:c>
      <x:c r="K13" s="50">
        <x:f t="shared" si="4"/>
        <x:v>0</x:v>
      </x:c>
      <x:c r="L13" s="50">
        <x:f t="shared" si="4"/>
        <x:v>0</x:v>
      </x:c>
      <x:c r="M13" s="50">
        <x:f t="shared" si="4"/>
        <x:v>0</x:v>
      </x:c>
      <x:c r="N13" s="50">
        <x:f t="shared" si="4"/>
        <x:v>0</x:v>
      </x:c>
      <x:c r="O13" s="64">
        <x:f t="shared" si="4"/>
        <x:v>0</x:v>
      </x:c>
      <x:c r="P13" s="50">
        <x:f t="shared" ref="P13:P16" si="5">SUM(D13:D13)</x:f>
        <x:v>2696041790.7500005</x:v>
      </x:c>
      <x:c r="Q13" s="56"/>
      <x:c r="R13" s="58"/>
    </x:row>
    <x:row r="14" spans="1:18">
      <x:c r="A14" s="111" t="s">
        <x:v>83</x:v>
      </x:c>
      <x:c r="B14" s="111"/>
      <x:c r="C14" s="111"/>
      <x:c r="D14" s="52">
        <x:f>D12-D13</x:f>
        <x:v>466849998.99999952</x:v>
      </x:c>
      <x:c r="E14" s="52">
        <x:f t="shared" ref="E14:O14" si="6">E12-E13</x:f>
        <x:v>-466849998.99999952</x:v>
      </x:c>
      <x:c r="F14" s="52">
        <x:f t="shared" si="6"/>
        <x:v>0</x:v>
      </x:c>
      <x:c r="G14" s="52">
        <x:f t="shared" si="6"/>
        <x:v>0</x:v>
      </x:c>
      <x:c r="H14" s="52">
        <x:f t="shared" si="6"/>
        <x:v>0</x:v>
      </x:c>
      <x:c r="I14" s="52">
        <x:f t="shared" si="6"/>
        <x:v>0</x:v>
      </x:c>
      <x:c r="J14" s="52">
        <x:f t="shared" si="6"/>
        <x:v>0</x:v>
      </x:c>
      <x:c r="K14" s="52">
        <x:f t="shared" si="6"/>
        <x:v>0</x:v>
      </x:c>
      <x:c r="L14" s="52">
        <x:f t="shared" si="6"/>
        <x:v>0</x:v>
      </x:c>
      <x:c r="M14" s="52">
        <x:f t="shared" si="6"/>
        <x:v>0</x:v>
      </x:c>
      <x:c r="N14" s="52">
        <x:f t="shared" si="6"/>
        <x:v>0</x:v>
      </x:c>
      <x:c r="O14" s="65">
        <x:f t="shared" si="6"/>
        <x:v>0</x:v>
      </x:c>
      <x:c r="P14" s="50">
        <x:f t="shared" si="5"/>
        <x:v>466849998.99999952</x:v>
      </x:c>
      <x:c r="Q14" s="58"/>
      <x:c r="R14" s="58"/>
    </x:row>
    <x:row r="15" spans="1:18">
      <x:c r="A15" s="110" t="s">
        <x:v>113</x:v>
      </x:c>
      <x:c r="B15" s="110"/>
      <x:c r="C15" s="110"/>
      <x:c r="D15" s="49">
        <x:f>D28</x:f>
        <x:v>80568341.700000003</x:v>
      </x:c>
      <x:c r="E15" s="49">
        <x:f>E28-D28</x:f>
        <x:v>-80568341.700000003</x:v>
      </x:c>
      <x:c r="F15" s="50">
        <x:f>F28-E28</x:f>
        <x:v>0</x:v>
      </x:c>
      <x:c r="G15" s="50">
        <x:f t="shared" ref="G15:O15" si="7">G28-F28</x:f>
        <x:v>0</x:v>
      </x:c>
      <x:c r="H15" s="50">
        <x:f t="shared" si="7"/>
        <x:v>0</x:v>
      </x:c>
      <x:c r="I15" s="50">
        <x:f t="shared" si="7"/>
        <x:v>0</x:v>
      </x:c>
      <x:c r="J15" s="50">
        <x:f t="shared" si="7"/>
        <x:v>0</x:v>
      </x:c>
      <x:c r="K15" s="50">
        <x:f t="shared" si="7"/>
        <x:v>0</x:v>
      </x:c>
      <x:c r="L15" s="50">
        <x:f t="shared" si="7"/>
        <x:v>0</x:v>
      </x:c>
      <x:c r="M15" s="50">
        <x:f t="shared" si="7"/>
        <x:v>0</x:v>
      </x:c>
      <x:c r="N15" s="50">
        <x:f t="shared" si="7"/>
        <x:v>0</x:v>
      </x:c>
      <x:c r="O15" s="64">
        <x:f t="shared" si="7"/>
        <x:v>0</x:v>
      </x:c>
      <x:c r="P15" s="50">
        <x:f t="shared" si="5"/>
        <x:v>80568341.700000003</x:v>
      </x:c>
      <x:c r="Q15" s="56"/>
    </x:row>
    <x:row r="16" spans="1:18">
      <x:c r="A16" s="110" t="s">
        <x:v>42</x:v>
      </x:c>
      <x:c r="B16" s="110"/>
      <x:c r="C16" s="110"/>
      <x:c r="D16" s="49">
        <x:f>D14-D15</x:f>
        <x:v>386281657.29999954</x:v>
      </x:c>
      <x:c r="E16" s="49">
        <x:f t="shared" ref="E16:O16" si="8">E14-E15</x:f>
        <x:v>-386281657.29999954</x:v>
      </x:c>
      <x:c r="F16" s="49">
        <x:f t="shared" si="8"/>
        <x:v>0</x:v>
      </x:c>
      <x:c r="G16" s="49">
        <x:f t="shared" si="8"/>
        <x:v>0</x:v>
      </x:c>
      <x:c r="H16" s="49">
        <x:f t="shared" si="8"/>
        <x:v>0</x:v>
      </x:c>
      <x:c r="I16" s="49">
        <x:f t="shared" si="8"/>
        <x:v>0</x:v>
      </x:c>
      <x:c r="J16" s="49">
        <x:f t="shared" si="8"/>
        <x:v>0</x:v>
      </x:c>
      <x:c r="K16" s="49">
        <x:f t="shared" si="8"/>
        <x:v>0</x:v>
      </x:c>
      <x:c r="L16" s="49">
        <x:f t="shared" si="8"/>
        <x:v>0</x:v>
      </x:c>
      <x:c r="M16" s="49">
        <x:f t="shared" si="8"/>
        <x:v>0</x:v>
      </x:c>
      <x:c r="N16" s="49">
        <x:f t="shared" si="8"/>
        <x:v>0</x:v>
      </x:c>
      <x:c r="O16" s="74">
        <x:f t="shared" si="8"/>
        <x:v>0</x:v>
      </x:c>
      <x:c r="P16" s="50">
        <x:f t="shared" si="5"/>
        <x:v>386281657.29999954</x:v>
      </x:c>
      <x:c r="Q16" s="58"/>
    </x:row>
    <x:row r="17" spans="1:17">
      <x:c r="A17" s="107" t="s">
        <x:v>117</x:v>
      </x:c>
      <x:c r="B17" s="108"/>
      <x:c r="C17" s="109"/>
      <x:c r="D17" s="54">
        <x:f>D16/D12</x:f>
        <x:v>0.12212926744817022</x:v>
      </x:c>
      <x:c r="E17" s="54">
        <x:f t="shared" ref="E17:P17" si="9">E16/E12</x:f>
        <x:v>0.12212926744817022</x:v>
      </x:c>
      <x:c r="F17" s="54" t="e">
        <x:f t="shared" si="9"/>
        <x:v>#DIV/0!</x:v>
      </x:c>
      <x:c r="G17" s="54" t="e">
        <x:f t="shared" si="9"/>
        <x:v>#DIV/0!</x:v>
      </x:c>
      <x:c r="H17" s="54" t="e">
        <x:f t="shared" si="9"/>
        <x:v>#DIV/0!</x:v>
      </x:c>
      <x:c r="I17" s="54" t="e">
        <x:f t="shared" si="9"/>
        <x:v>#DIV/0!</x:v>
      </x:c>
      <x:c r="J17" s="54" t="e">
        <x:f t="shared" si="9"/>
        <x:v>#DIV/0!</x:v>
      </x:c>
      <x:c r="K17" s="54" t="e">
        <x:f t="shared" si="9"/>
        <x:v>#DIV/0!</x:v>
      </x:c>
      <x:c r="L17" s="54" t="e">
        <x:f t="shared" si="9"/>
        <x:v>#DIV/0!</x:v>
      </x:c>
      <x:c r="M17" s="54" t="e">
        <x:f t="shared" si="9"/>
        <x:v>#DIV/0!</x:v>
      </x:c>
      <x:c r="N17" s="54" t="e">
        <x:f t="shared" si="9"/>
        <x:v>#DIV/0!</x:v>
      </x:c>
      <x:c r="O17" s="66" t="e">
        <x:f t="shared" si="9"/>
        <x:v>#DIV/0!</x:v>
      </x:c>
      <x:c r="P17" s="54">
        <x:f t="shared" si="9"/>
        <x:v>0.12212926744817022</x:v>
      </x:c>
      <x:c r="Q17" s="59"/>
    </x:row>
    <x:row r="18" spans="1:17">
      <x:c r="F18" s="45"/>
      <x:c r="G18" s="45"/>
      <x:c r="H18" s="45"/>
      <x:c r="I18" s="45"/>
      <x:c r="J18" s="45"/>
      <x:c r="K18" s="60"/>
      <x:c r="L18" s="60"/>
      <x:c r="M18" s="45"/>
      <x:c r="N18" s="45"/>
      <x:c r="O18" s="45"/>
    </x:row>
    <x:row r="19" spans="1:17">
      <x:c r="A19" s="43" t="s">
        <x:v>118</x:v>
      </x:c>
      <x:c r="F19" s="45"/>
      <x:c r="G19" s="45"/>
      <x:c r="H19" s="45"/>
      <x:c r="I19" s="45"/>
      <x:c r="J19" s="45"/>
      <x:c r="K19" s="60"/>
      <x:c r="L19" s="60"/>
      <x:c r="M19" s="45"/>
      <x:c r="N19" s="45"/>
      <x:c r="O19" s="45"/>
    </x:row>
    <x:row r="20" spans="1:17">
      <x:c r="A20" s="115" t="s">
        <x:v>71</x:v>
      </x:c>
      <x:c r="B20" s="115"/>
      <x:c r="C20" s="115"/>
      <x:c r="D20" s="63" t="s">
        <x:v>114</x:v>
      </x:c>
      <x:c r="E20" s="63" t="s">
        <x:v>51</x:v>
      </x:c>
      <x:c r="F20" s="46" t="s">
        <x:v>52</x:v>
      </x:c>
      <x:c r="G20" s="46" t="s">
        <x:v>53</x:v>
      </x:c>
      <x:c r="H20" s="46" t="s">
        <x:v>54</x:v>
      </x:c>
      <x:c r="I20" s="46" t="s">
        <x:v>55</x:v>
      </x:c>
      <x:c r="J20" s="46" t="s">
        <x:v>56</x:v>
      </x:c>
      <x:c r="K20" s="46" t="s">
        <x:v>57</x:v>
      </x:c>
      <x:c r="L20" s="46" t="s">
        <x:v>58</x:v>
      </x:c>
      <x:c r="M20" s="46" t="s">
        <x:v>59</x:v>
      </x:c>
      <x:c r="N20" s="46" t="s">
        <x:v>60</x:v>
      </x:c>
      <x:c r="O20" s="46" t="s">
        <x:v>61</x:v>
      </x:c>
      <x:c r="P20" s="46" t="s">
        <x:v>115</x:v>
      </x:c>
    </x:row>
    <x:row r="21" spans="1:17">
      <x:c r="A21" s="110" t="s">
        <x:v>116</x:v>
      </x:c>
      <x:c r="B21" s="110"/>
      <x:c r="C21" s="110"/>
      <x:c r="D21" s="49">
        <x:f t="shared" ref="D21:O21" si="10">D3-D12</x:f>
        <x:v>-9667832.7899999619</x:v>
      </x:c>
      <x:c r="E21" s="49">
        <x:f t="shared" si="10"/>
        <x:v>5630156016.8700008</x:v>
      </x:c>
      <x:c r="F21" s="49">
        <x:f t="shared" si="10"/>
        <x:v>0</x:v>
      </x:c>
      <x:c r="G21" s="49">
        <x:f t="shared" si="10"/>
        <x:v>0</x:v>
      </x:c>
      <x:c r="H21" s="49">
        <x:f t="shared" si="10"/>
        <x:v>0</x:v>
      </x:c>
      <x:c r="I21" s="49">
        <x:f t="shared" si="10"/>
        <x:v>0</x:v>
      </x:c>
      <x:c r="J21" s="49">
        <x:f t="shared" si="10"/>
        <x:v>0</x:v>
      </x:c>
      <x:c r="K21" s="49">
        <x:f t="shared" si="10"/>
        <x:v>0</x:v>
      </x:c>
      <x:c r="L21" s="49">
        <x:f t="shared" si="10"/>
        <x:v>0</x:v>
      </x:c>
      <x:c r="M21" s="49">
        <x:f t="shared" si="10"/>
        <x:v>0</x:v>
      </x:c>
      <x:c r="N21" s="49">
        <x:f t="shared" si="10"/>
        <x:v>0</x:v>
      </x:c>
      <x:c r="O21" s="49">
        <x:f t="shared" si="10"/>
        <x:v>0</x:v>
      </x:c>
      <x:c r="P21" s="50">
        <x:f>SUM(D21)</x:f>
        <x:v>-9667832.7899999619</x:v>
      </x:c>
      <x:c r="Q21" s="56"/>
    </x:row>
    <x:row r="22" spans="1:17">
      <x:c r="A22" s="110" t="s">
        <x:v>82</x:v>
      </x:c>
      <x:c r="B22" s="110"/>
      <x:c r="C22" s="110"/>
      <x:c r="D22" s="49">
        <x:f t="shared" ref="D22:O22" si="11">D4-D13</x:f>
        <x:v>126642843.53999949</x:v>
      </x:c>
      <x:c r="E22" s="49">
        <x:f t="shared" si="11"/>
        <x:v>4936721766.3987999</x:v>
      </x:c>
      <x:c r="F22" s="49">
        <x:f t="shared" si="11"/>
        <x:v>0</x:v>
      </x:c>
      <x:c r="G22" s="49">
        <x:f t="shared" si="11"/>
        <x:v>0</x:v>
      </x:c>
      <x:c r="H22" s="49">
        <x:f t="shared" si="11"/>
        <x:v>0</x:v>
      </x:c>
      <x:c r="I22" s="49">
        <x:f t="shared" si="11"/>
        <x:v>0</x:v>
      </x:c>
      <x:c r="J22" s="49">
        <x:f t="shared" si="11"/>
        <x:v>0</x:v>
      </x:c>
      <x:c r="K22" s="49">
        <x:f t="shared" si="11"/>
        <x:v>0</x:v>
      </x:c>
      <x:c r="L22" s="49">
        <x:f t="shared" si="11"/>
        <x:v>0</x:v>
      </x:c>
      <x:c r="M22" s="49">
        <x:f t="shared" si="11"/>
        <x:v>0</x:v>
      </x:c>
      <x:c r="N22" s="49">
        <x:f t="shared" si="11"/>
        <x:v>0</x:v>
      </x:c>
      <x:c r="O22" s="49">
        <x:f t="shared" si="11"/>
        <x:v>0</x:v>
      </x:c>
      <x:c r="P22" s="50">
        <x:f t="shared" ref="P22:P23" si="12">SUM(D22)</x:f>
        <x:v>126642843.53999949</x:v>
      </x:c>
      <x:c r="Q22" s="56"/>
    </x:row>
    <x:row r="23" spans="1:17">
      <x:c r="A23" s="110" t="s">
        <x:v>113</x:v>
      </x:c>
      <x:c r="B23" s="110"/>
      <x:c r="C23" s="110"/>
      <x:c r="D23" s="49">
        <x:f t="shared" ref="D23:O23" si="13">D6-D15</x:f>
        <x:v>-10014013.299999997</x:v>
      </x:c>
      <x:c r="E23" s="49">
        <x:f t="shared" si="13"/>
        <x:v>155103350.65000001</x:v>
      </x:c>
      <x:c r="F23" s="49">
        <x:f t="shared" si="13"/>
        <x:v>0</x:v>
      </x:c>
      <x:c r="G23" s="49">
        <x:f t="shared" si="13"/>
        <x:v>0</x:v>
      </x:c>
      <x:c r="H23" s="49">
        <x:f t="shared" si="13"/>
        <x:v>0</x:v>
      </x:c>
      <x:c r="I23" s="49">
        <x:f t="shared" si="13"/>
        <x:v>0</x:v>
      </x:c>
      <x:c r="J23" s="49">
        <x:f t="shared" si="13"/>
        <x:v>0</x:v>
      </x:c>
      <x:c r="K23" s="49">
        <x:f t="shared" si="13"/>
        <x:v>0</x:v>
      </x:c>
      <x:c r="L23" s="49">
        <x:f t="shared" si="13"/>
        <x:v>0</x:v>
      </x:c>
      <x:c r="M23" s="49">
        <x:f t="shared" si="13"/>
        <x:v>0</x:v>
      </x:c>
      <x:c r="N23" s="49">
        <x:f t="shared" si="13"/>
        <x:v>0</x:v>
      </x:c>
      <x:c r="O23" s="49">
        <x:f t="shared" si="13"/>
        <x:v>0</x:v>
      </x:c>
      <x:c r="P23" s="50">
        <x:f t="shared" si="12"/>
        <x:v>-10014013.299999997</x:v>
      </x:c>
      <x:c r="Q23" s="56"/>
    </x:row>
    <x:row r="25" spans="1:17">
      <x:c r="A25" s="112" t="s">
        <x:v>119</x:v>
      </x:c>
      <x:c r="B25" s="113"/>
      <x:c r="C25" s="114"/>
      <x:c r="D25" s="61"/>
      <x:c r="E25" s="61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</x:row>
    <x:row r="26" spans="1:17">
      <x:c r="A26" s="111" t="s">
        <x:v>116</x:v>
      </x:c>
      <x:c r="B26" s="111"/>
      <x:c r="C26" s="111"/>
      <x:c r="D26" s="52">
        <x:v>3162891789.75</x:v>
      </x:c>
      <x:c r="E26" s="52"/>
      <x:c r="F26" s="52"/>
      <x:c r="G26" s="52"/>
      <x:c r="H26" s="52"/>
      <x:c r="I26" s="52"/>
      <x:c r="J26" s="52"/>
      <x:c r="K26" s="52"/>
      <x:c r="L26" s="57"/>
      <x:c r="M26" s="57"/>
      <x:c r="N26" s="57"/>
      <x:c r="O26" s="57"/>
      <x:c r="P26" s="47"/>
    </x:row>
    <x:row r="27" spans="1:17">
      <x:c r="A27" s="111" t="s">
        <x:v>82</x:v>
      </x:c>
      <x:c r="B27" s="111"/>
      <x:c r="C27" s="111"/>
      <x:c r="D27" s="52">
        <x:v>2696041790.7500005</x:v>
      </x:c>
      <x:c r="E27" s="52"/>
      <x:c r="F27" s="52"/>
      <x:c r="G27" s="52"/>
      <x:c r="H27" s="52"/>
      <x:c r="I27" s="52"/>
      <x:c r="J27" s="52"/>
      <x:c r="K27" s="52"/>
      <x:c r="L27" s="57"/>
      <x:c r="M27" s="57"/>
      <x:c r="N27" s="57"/>
      <x:c r="O27" s="57"/>
      <x:c r="P27" s="47"/>
    </x:row>
    <x:row r="28" spans="1:17">
      <x:c r="A28" s="111" t="s">
        <x:v>113</x:v>
      </x:c>
      <x:c r="B28" s="111"/>
      <x:c r="C28" s="111"/>
      <x:c r="D28" s="52">
        <x:v>80568341.700000003</x:v>
      </x:c>
      <x:c r="E28" s="52"/>
      <x:c r="F28" s="52"/>
      <x:c r="G28" s="52"/>
      <x:c r="H28" s="52"/>
      <x:c r="I28" s="52"/>
      <x:c r="J28" s="52"/>
      <x:c r="K28" s="52"/>
      <x:c r="L28" s="57"/>
      <x:c r="M28" s="57"/>
      <x:c r="N28" s="57"/>
      <x:c r="O28" s="57"/>
      <x:c r="P28" s="47"/>
    </x:row>
    <x:row r="35" spans="10:11">
      <x:c r="J35" s="69"/>
      <x:c r="K35" s="69"/>
    </x:row>
  </x:sheetData>
  <x:mergeCells count="22">
    <x:mergeCell ref="A2:C2"/>
    <x:mergeCell ref="A3:C3"/>
    <x:mergeCell ref="A4:C4"/>
    <x:mergeCell ref="A5:C5"/>
    <x:mergeCell ref="A28:C28"/>
    <x:mergeCell ref="A21:C21"/>
    <x:mergeCell ref="A22:C22"/>
    <x:mergeCell ref="A23:C23"/>
    <x:mergeCell ref="A25:C25"/>
    <x:mergeCell ref="A26:C26"/>
    <x:mergeCell ref="A27:C27"/>
    <x:mergeCell ref="A20:C20"/>
    <x:mergeCell ref="A6:C6"/>
    <x:mergeCell ref="A7:C7"/>
    <x:mergeCell ref="A8:C8"/>
    <x:mergeCell ref="A11:C11"/>
    <x:mergeCell ref="A17:C17"/>
    <x:mergeCell ref="A12:C12"/>
    <x:mergeCell ref="A13:C13"/>
    <x:mergeCell ref="A14:C14"/>
    <x:mergeCell ref="A15:C15"/>
    <x:mergeCell ref="A16:C16"/>
  </x:mergeCells>
  <x:pageMargins left="0.7" right="0.7" top="0.75" bottom="0.75" header="0.3" footer="0.3"/>
  <x:ignoredErrors>
    <x:ignoredError sqref="D15:O15 D6" formula="1"/>
  </x:ignoredErrors>
</x:worksheet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1월종합</vt:lpstr>
      <vt:lpstr>1월매출</vt:lpstr>
      <vt:lpstr>Sheet1</vt:lpstr>
      <vt:lpstr>1월지출</vt:lpstr>
      <vt:lpstr>2월종합</vt:lpstr>
      <vt:lpstr>2월매출</vt:lpstr>
      <vt:lpstr>Sheet3</vt:lpstr>
      <vt:lpstr>2월지출</vt:lpstr>
      <vt:lpstr>재고평가</vt:lpstr>
      <vt:lpstr>월종합</vt:lpstr>
      <vt:lpstr>보고용자료</vt:lpstr>
      <vt:lpstr>재무VS관리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sung Jung</dc:creator>
  <cp:lastModifiedBy>정윤성 책임매니저 [Yun Sung Jung]</cp:lastModifiedBy>
  <cp:lastPrinted>2022-03-31T15:56:23Z</cp:lastPrinted>
  <dcterms:created xsi:type="dcterms:W3CDTF">2021-01-29T11:01:48Z</dcterms:created>
  <dcterms:modified xsi:type="dcterms:W3CDTF">2026-03-02T14:23:07Z</dcterms:modified>
</cp:coreProperties>
</file>