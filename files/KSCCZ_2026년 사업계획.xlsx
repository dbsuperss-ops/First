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yungshino365-my.sharepoint.com/personal/thgo_kyungshin_co_kr/Documents/02_경영_보고_전략/사업계획/2026/"/>
    </mc:Choice>
  </mc:AlternateContent>
  <xr:revisionPtr revIDLastSave="1" documentId="11_A696C1BB56478404D4CEEA4B143BF91345F7C929" xr6:coauthVersionLast="47" xr6:coauthVersionMax="47" xr10:uidLastSave="{5BC0E4B2-00E5-48F5-9FEB-215F5C05805C}"/>
  <bookViews>
    <workbookView xWindow="-57720" yWindow="-120" windowWidth="29040" windowHeight="17520" xr2:uid="{FD18A033-4271-452B-B4DA-B9ACEC88A7A1}"/>
  </bookViews>
  <sheets>
    <sheet name="손익계획" sheetId="4" r:id="rId1"/>
    <sheet name="제조원가계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4" i="4" l="1"/>
  <c r="D152" i="3"/>
  <c r="D123" i="3"/>
  <c r="D98" i="3"/>
  <c r="D69" i="3"/>
  <c r="D65" i="3"/>
  <c r="D114" i="4"/>
  <c r="C21" i="4" l="1"/>
  <c r="D259" i="4" l="1"/>
  <c r="C198" i="4"/>
  <c r="D198" i="4"/>
  <c r="D174" i="4"/>
  <c r="C148" i="4"/>
  <c r="D148" i="4"/>
  <c r="C113" i="4" l="1"/>
  <c r="D113" i="4"/>
  <c r="D90" i="4"/>
  <c r="E103" i="4" l="1"/>
  <c r="C90" i="4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0" i="4"/>
  <c r="C19" i="4"/>
  <c r="C18" i="4"/>
  <c r="C17" i="4"/>
  <c r="C15" i="4"/>
  <c r="C13" i="4"/>
  <c r="C11" i="4" s="1"/>
  <c r="C10" i="4"/>
  <c r="C9" i="4"/>
  <c r="C6" i="4"/>
  <c r="C5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1" i="4"/>
  <c r="D20" i="4"/>
  <c r="D19" i="4"/>
  <c r="D18" i="4"/>
  <c r="D17" i="4"/>
  <c r="D15" i="4"/>
  <c r="D13" i="4"/>
  <c r="D11" i="4"/>
  <c r="D10" i="4"/>
  <c r="D9" i="4"/>
  <c r="D6" i="4"/>
  <c r="D5" i="4"/>
  <c r="D4" i="4" l="1"/>
  <c r="D7" i="4"/>
  <c r="D16" i="4"/>
  <c r="C16" i="4"/>
  <c r="C4" i="4"/>
  <c r="C7" i="4"/>
  <c r="D22" i="4" l="1"/>
  <c r="D23" i="4" s="1"/>
  <c r="C22" i="4"/>
  <c r="C23" i="4" s="1"/>
  <c r="D57" i="4" l="1"/>
  <c r="C57" i="4"/>
  <c r="C58" i="4"/>
  <c r="C81" i="4"/>
  <c r="D58" i="4"/>
  <c r="D81" i="4" l="1"/>
  <c r="T57" i="4"/>
  <c r="U57" i="4" s="1"/>
  <c r="C82" i="4"/>
  <c r="C83" i="4" s="1"/>
  <c r="D82" i="4"/>
  <c r="D83" i="4" s="1"/>
  <c r="E91" i="4" l="1"/>
  <c r="E90" i="4"/>
  <c r="G89" i="4"/>
  <c r="H89" i="4"/>
  <c r="I89" i="4"/>
  <c r="J89" i="4"/>
  <c r="K89" i="4"/>
  <c r="L89" i="4"/>
  <c r="M89" i="4"/>
  <c r="N89" i="4"/>
  <c r="O89" i="4"/>
  <c r="P89" i="4"/>
  <c r="Q89" i="4"/>
  <c r="F89" i="4"/>
  <c r="G102" i="4"/>
  <c r="H102" i="4"/>
  <c r="I102" i="4"/>
  <c r="J102" i="4"/>
  <c r="K102" i="4"/>
  <c r="L102" i="4"/>
  <c r="M102" i="4"/>
  <c r="N102" i="4"/>
  <c r="O102" i="4"/>
  <c r="P102" i="4"/>
  <c r="Q102" i="4"/>
  <c r="F102" i="4"/>
  <c r="E98" i="4"/>
  <c r="E99" i="4"/>
  <c r="E100" i="4"/>
  <c r="E102" i="4" l="1"/>
  <c r="G111" i="3"/>
  <c r="H111" i="3"/>
  <c r="I111" i="3"/>
  <c r="J111" i="3"/>
  <c r="K111" i="3"/>
  <c r="L111" i="3"/>
  <c r="M111" i="3"/>
  <c r="N111" i="3"/>
  <c r="O111" i="3"/>
  <c r="P111" i="3"/>
  <c r="Q111" i="3"/>
  <c r="F111" i="3"/>
  <c r="Q26" i="3" l="1"/>
  <c r="P26" i="3"/>
  <c r="O26" i="3"/>
  <c r="N26" i="3"/>
  <c r="M26" i="3"/>
  <c r="H69" i="3"/>
  <c r="G69" i="3"/>
  <c r="F26" i="3"/>
  <c r="E257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1" i="4"/>
  <c r="E240" i="4"/>
  <c r="E239" i="4"/>
  <c r="E238" i="4"/>
  <c r="E237" i="4"/>
  <c r="E236" i="4"/>
  <c r="E235" i="4"/>
  <c r="E234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6" i="4"/>
  <c r="E195" i="4"/>
  <c r="E194" i="4"/>
  <c r="E193" i="4"/>
  <c r="E192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0" i="4"/>
  <c r="E189" i="4"/>
  <c r="E188" i="4"/>
  <c r="E187" i="4"/>
  <c r="E186" i="4"/>
  <c r="E185" i="4"/>
  <c r="Q183" i="4"/>
  <c r="P183" i="4"/>
  <c r="O183" i="4"/>
  <c r="N183" i="4"/>
  <c r="N182" i="4" s="1"/>
  <c r="M183" i="4"/>
  <c r="M182" i="4" s="1"/>
  <c r="L183" i="4"/>
  <c r="L182" i="4" s="1"/>
  <c r="K183" i="4"/>
  <c r="K182" i="4" s="1"/>
  <c r="J183" i="4"/>
  <c r="J182" i="4" s="1"/>
  <c r="I183" i="4"/>
  <c r="I182" i="4" s="1"/>
  <c r="H183" i="4"/>
  <c r="H182" i="4" s="1"/>
  <c r="G183" i="4"/>
  <c r="F183" i="4"/>
  <c r="F182" i="4" s="1"/>
  <c r="Q182" i="4"/>
  <c r="P182" i="4"/>
  <c r="O182" i="4"/>
  <c r="E172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Q157" i="4"/>
  <c r="P157" i="4"/>
  <c r="O157" i="4"/>
  <c r="N157" i="4"/>
  <c r="N67" i="4" s="1"/>
  <c r="M157" i="4"/>
  <c r="L157" i="4"/>
  <c r="K157" i="4"/>
  <c r="J157" i="4"/>
  <c r="I157" i="4"/>
  <c r="H157" i="4"/>
  <c r="G157" i="4"/>
  <c r="F157" i="4"/>
  <c r="E156" i="4"/>
  <c r="E155" i="4"/>
  <c r="E154" i="4"/>
  <c r="E153" i="4"/>
  <c r="E152" i="4"/>
  <c r="E151" i="4"/>
  <c r="E150" i="4"/>
  <c r="E149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Q114" i="4"/>
  <c r="P114" i="4"/>
  <c r="P24" i="4" s="1"/>
  <c r="O114" i="4"/>
  <c r="N114" i="4"/>
  <c r="M114" i="4"/>
  <c r="L114" i="4"/>
  <c r="K114" i="4"/>
  <c r="J114" i="4"/>
  <c r="I114" i="4"/>
  <c r="H114" i="4"/>
  <c r="G114" i="4"/>
  <c r="F114" i="4"/>
  <c r="E111" i="4"/>
  <c r="E110" i="4"/>
  <c r="E109" i="4"/>
  <c r="E108" i="4"/>
  <c r="E107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5" i="4"/>
  <c r="S105" i="4" s="1"/>
  <c r="E104" i="4"/>
  <c r="S104" i="4" s="1"/>
  <c r="E101" i="4"/>
  <c r="E97" i="4"/>
  <c r="E96" i="4"/>
  <c r="E95" i="4"/>
  <c r="E94" i="4"/>
  <c r="E93" i="4"/>
  <c r="E89" i="4"/>
  <c r="Q88" i="4"/>
  <c r="P88" i="4"/>
  <c r="P5" i="4" s="1"/>
  <c r="O88" i="4"/>
  <c r="N88" i="4"/>
  <c r="M88" i="4"/>
  <c r="M5" i="4" s="1"/>
  <c r="L88" i="4"/>
  <c r="L5" i="4" s="1"/>
  <c r="K88" i="4"/>
  <c r="K5" i="4" s="1"/>
  <c r="J88" i="4"/>
  <c r="J5" i="4" s="1"/>
  <c r="I88" i="4"/>
  <c r="I5" i="4" s="1"/>
  <c r="H88" i="4"/>
  <c r="H5" i="4" s="1"/>
  <c r="G88" i="4"/>
  <c r="F88" i="4"/>
  <c r="F5" i="4" s="1"/>
  <c r="Q80" i="4"/>
  <c r="P80" i="4"/>
  <c r="O80" i="4"/>
  <c r="N80" i="4"/>
  <c r="M80" i="4"/>
  <c r="L80" i="4"/>
  <c r="K80" i="4"/>
  <c r="J80" i="4"/>
  <c r="I80" i="4"/>
  <c r="H80" i="4"/>
  <c r="G80" i="4"/>
  <c r="F80" i="4"/>
  <c r="Q79" i="4"/>
  <c r="P79" i="4"/>
  <c r="O79" i="4"/>
  <c r="N79" i="4"/>
  <c r="M79" i="4"/>
  <c r="L79" i="4"/>
  <c r="K79" i="4"/>
  <c r="J79" i="4"/>
  <c r="I79" i="4"/>
  <c r="H79" i="4"/>
  <c r="G79" i="4"/>
  <c r="F79" i="4"/>
  <c r="Q78" i="4"/>
  <c r="P78" i="4"/>
  <c r="O78" i="4"/>
  <c r="N78" i="4"/>
  <c r="M78" i="4"/>
  <c r="L78" i="4"/>
  <c r="K78" i="4"/>
  <c r="J78" i="4"/>
  <c r="I78" i="4"/>
  <c r="H78" i="4"/>
  <c r="G78" i="4"/>
  <c r="F78" i="4"/>
  <c r="Q77" i="4"/>
  <c r="P77" i="4"/>
  <c r="O77" i="4"/>
  <c r="N77" i="4"/>
  <c r="M77" i="4"/>
  <c r="L77" i="4"/>
  <c r="K77" i="4"/>
  <c r="J77" i="4"/>
  <c r="I77" i="4"/>
  <c r="H77" i="4"/>
  <c r="G77" i="4"/>
  <c r="F77" i="4"/>
  <c r="Q76" i="4"/>
  <c r="P76" i="4"/>
  <c r="O76" i="4"/>
  <c r="N76" i="4"/>
  <c r="M76" i="4"/>
  <c r="L76" i="4"/>
  <c r="K76" i="4"/>
  <c r="J76" i="4"/>
  <c r="I76" i="4"/>
  <c r="H76" i="4"/>
  <c r="G76" i="4"/>
  <c r="F76" i="4"/>
  <c r="Q75" i="4"/>
  <c r="P75" i="4"/>
  <c r="O75" i="4"/>
  <c r="N75" i="4"/>
  <c r="M75" i="4"/>
  <c r="L75" i="4"/>
  <c r="K75" i="4"/>
  <c r="J75" i="4"/>
  <c r="I75" i="4"/>
  <c r="H75" i="4"/>
  <c r="G75" i="4"/>
  <c r="F75" i="4"/>
  <c r="Q74" i="4"/>
  <c r="P74" i="4"/>
  <c r="O74" i="4"/>
  <c r="N74" i="4"/>
  <c r="M74" i="4"/>
  <c r="L74" i="4"/>
  <c r="K74" i="4"/>
  <c r="J74" i="4"/>
  <c r="I74" i="4"/>
  <c r="H74" i="4"/>
  <c r="G74" i="4"/>
  <c r="F74" i="4"/>
  <c r="Q73" i="4"/>
  <c r="P73" i="4"/>
  <c r="O73" i="4"/>
  <c r="N73" i="4"/>
  <c r="M73" i="4"/>
  <c r="L73" i="4"/>
  <c r="K73" i="4"/>
  <c r="J73" i="4"/>
  <c r="I73" i="4"/>
  <c r="H73" i="4"/>
  <c r="G73" i="4"/>
  <c r="F73" i="4"/>
  <c r="Q72" i="4"/>
  <c r="P72" i="4"/>
  <c r="O72" i="4"/>
  <c r="N72" i="4"/>
  <c r="M72" i="4"/>
  <c r="L72" i="4"/>
  <c r="K72" i="4"/>
  <c r="J72" i="4"/>
  <c r="I72" i="4"/>
  <c r="H72" i="4"/>
  <c r="G72" i="4"/>
  <c r="F72" i="4"/>
  <c r="Q71" i="4"/>
  <c r="P71" i="4"/>
  <c r="O71" i="4"/>
  <c r="N71" i="4"/>
  <c r="M71" i="4"/>
  <c r="L71" i="4"/>
  <c r="K71" i="4"/>
  <c r="J71" i="4"/>
  <c r="I71" i="4"/>
  <c r="H71" i="4"/>
  <c r="G71" i="4"/>
  <c r="F71" i="4"/>
  <c r="Q70" i="4"/>
  <c r="P70" i="4"/>
  <c r="O70" i="4"/>
  <c r="N70" i="4"/>
  <c r="M70" i="4"/>
  <c r="L70" i="4"/>
  <c r="K70" i="4"/>
  <c r="J70" i="4"/>
  <c r="I70" i="4"/>
  <c r="H70" i="4"/>
  <c r="G70" i="4"/>
  <c r="F70" i="4"/>
  <c r="Q69" i="4"/>
  <c r="P69" i="4"/>
  <c r="O69" i="4"/>
  <c r="N69" i="4"/>
  <c r="M69" i="4"/>
  <c r="L69" i="4"/>
  <c r="K69" i="4"/>
  <c r="J69" i="4"/>
  <c r="I69" i="4"/>
  <c r="H69" i="4"/>
  <c r="G69" i="4"/>
  <c r="F69" i="4"/>
  <c r="Q68" i="4"/>
  <c r="P68" i="4"/>
  <c r="O68" i="4"/>
  <c r="N68" i="4"/>
  <c r="M68" i="4"/>
  <c r="L68" i="4"/>
  <c r="K68" i="4"/>
  <c r="J68" i="4"/>
  <c r="I68" i="4"/>
  <c r="H68" i="4"/>
  <c r="G68" i="4"/>
  <c r="F68" i="4"/>
  <c r="Q66" i="4"/>
  <c r="P66" i="4"/>
  <c r="O66" i="4"/>
  <c r="N66" i="4"/>
  <c r="M66" i="4"/>
  <c r="L66" i="4"/>
  <c r="K66" i="4"/>
  <c r="J66" i="4"/>
  <c r="I66" i="4"/>
  <c r="H66" i="4"/>
  <c r="G66" i="4"/>
  <c r="F66" i="4"/>
  <c r="Q65" i="4"/>
  <c r="P65" i="4"/>
  <c r="O65" i="4"/>
  <c r="N65" i="4"/>
  <c r="M65" i="4"/>
  <c r="L65" i="4"/>
  <c r="K65" i="4"/>
  <c r="J65" i="4"/>
  <c r="I65" i="4"/>
  <c r="H65" i="4"/>
  <c r="G65" i="4"/>
  <c r="F65" i="4"/>
  <c r="Q64" i="4"/>
  <c r="P64" i="4"/>
  <c r="O64" i="4"/>
  <c r="N64" i="4"/>
  <c r="M64" i="4"/>
  <c r="L64" i="4"/>
  <c r="K64" i="4"/>
  <c r="J64" i="4"/>
  <c r="I64" i="4"/>
  <c r="H64" i="4"/>
  <c r="G64" i="4"/>
  <c r="F64" i="4"/>
  <c r="Q63" i="4"/>
  <c r="P63" i="4"/>
  <c r="O63" i="4"/>
  <c r="N63" i="4"/>
  <c r="M63" i="4"/>
  <c r="L63" i="4"/>
  <c r="K63" i="4"/>
  <c r="J63" i="4"/>
  <c r="I63" i="4"/>
  <c r="H63" i="4"/>
  <c r="G63" i="4"/>
  <c r="F63" i="4"/>
  <c r="Q62" i="4"/>
  <c r="P62" i="4"/>
  <c r="O62" i="4"/>
  <c r="N62" i="4"/>
  <c r="M62" i="4"/>
  <c r="L62" i="4"/>
  <c r="K62" i="4"/>
  <c r="J62" i="4"/>
  <c r="I62" i="4"/>
  <c r="H62" i="4"/>
  <c r="G62" i="4"/>
  <c r="F62" i="4"/>
  <c r="Q61" i="4"/>
  <c r="P61" i="4"/>
  <c r="O61" i="4"/>
  <c r="N61" i="4"/>
  <c r="M61" i="4"/>
  <c r="L61" i="4"/>
  <c r="K61" i="4"/>
  <c r="J61" i="4"/>
  <c r="I61" i="4"/>
  <c r="H61" i="4"/>
  <c r="G61" i="4"/>
  <c r="F61" i="4"/>
  <c r="Q60" i="4"/>
  <c r="P60" i="4"/>
  <c r="O60" i="4"/>
  <c r="N60" i="4"/>
  <c r="M60" i="4"/>
  <c r="L60" i="4"/>
  <c r="K60" i="4"/>
  <c r="J60" i="4"/>
  <c r="I60" i="4"/>
  <c r="H60" i="4"/>
  <c r="G60" i="4"/>
  <c r="F60" i="4"/>
  <c r="Q59" i="4"/>
  <c r="P59" i="4"/>
  <c r="O59" i="4"/>
  <c r="N59" i="4"/>
  <c r="M59" i="4"/>
  <c r="L59" i="4"/>
  <c r="K59" i="4"/>
  <c r="J59" i="4"/>
  <c r="I59" i="4"/>
  <c r="H59" i="4"/>
  <c r="G59" i="4"/>
  <c r="F59" i="4"/>
  <c r="Q56" i="4"/>
  <c r="P56" i="4"/>
  <c r="O56" i="4"/>
  <c r="N56" i="4"/>
  <c r="M56" i="4"/>
  <c r="L56" i="4"/>
  <c r="K56" i="4"/>
  <c r="J56" i="4"/>
  <c r="I56" i="4"/>
  <c r="H56" i="4"/>
  <c r="G56" i="4"/>
  <c r="F56" i="4"/>
  <c r="Q55" i="4"/>
  <c r="P55" i="4"/>
  <c r="O55" i="4"/>
  <c r="N55" i="4"/>
  <c r="M55" i="4"/>
  <c r="L55" i="4"/>
  <c r="K55" i="4"/>
  <c r="J55" i="4"/>
  <c r="I55" i="4"/>
  <c r="H55" i="4"/>
  <c r="G55" i="4"/>
  <c r="F55" i="4"/>
  <c r="Q54" i="4"/>
  <c r="P54" i="4"/>
  <c r="O54" i="4"/>
  <c r="N54" i="4"/>
  <c r="M54" i="4"/>
  <c r="L54" i="4"/>
  <c r="K54" i="4"/>
  <c r="J54" i="4"/>
  <c r="I54" i="4"/>
  <c r="H54" i="4"/>
  <c r="G54" i="4"/>
  <c r="F54" i="4"/>
  <c r="Q53" i="4"/>
  <c r="P53" i="4"/>
  <c r="O53" i="4"/>
  <c r="N53" i="4"/>
  <c r="M53" i="4"/>
  <c r="L53" i="4"/>
  <c r="K53" i="4"/>
  <c r="J53" i="4"/>
  <c r="I53" i="4"/>
  <c r="H53" i="4"/>
  <c r="G53" i="4"/>
  <c r="F53" i="4"/>
  <c r="Q52" i="4"/>
  <c r="P52" i="4"/>
  <c r="O52" i="4"/>
  <c r="N52" i="4"/>
  <c r="M52" i="4"/>
  <c r="L52" i="4"/>
  <c r="K52" i="4"/>
  <c r="J52" i="4"/>
  <c r="I52" i="4"/>
  <c r="H52" i="4"/>
  <c r="G52" i="4"/>
  <c r="F52" i="4"/>
  <c r="Q51" i="4"/>
  <c r="P51" i="4"/>
  <c r="O51" i="4"/>
  <c r="N51" i="4"/>
  <c r="M51" i="4"/>
  <c r="L51" i="4"/>
  <c r="K51" i="4"/>
  <c r="J51" i="4"/>
  <c r="I51" i="4"/>
  <c r="H51" i="4"/>
  <c r="G51" i="4"/>
  <c r="F51" i="4"/>
  <c r="Q50" i="4"/>
  <c r="P50" i="4"/>
  <c r="O50" i="4"/>
  <c r="N50" i="4"/>
  <c r="M50" i="4"/>
  <c r="L50" i="4"/>
  <c r="K50" i="4"/>
  <c r="J50" i="4"/>
  <c r="I50" i="4"/>
  <c r="H50" i="4"/>
  <c r="G50" i="4"/>
  <c r="F50" i="4"/>
  <c r="Q49" i="4"/>
  <c r="P49" i="4"/>
  <c r="O49" i="4"/>
  <c r="N49" i="4"/>
  <c r="M49" i="4"/>
  <c r="L49" i="4"/>
  <c r="K49" i="4"/>
  <c r="J49" i="4"/>
  <c r="I49" i="4"/>
  <c r="H49" i="4"/>
  <c r="G49" i="4"/>
  <c r="F49" i="4"/>
  <c r="Q48" i="4"/>
  <c r="P48" i="4"/>
  <c r="O48" i="4"/>
  <c r="N48" i="4"/>
  <c r="M48" i="4"/>
  <c r="L48" i="4"/>
  <c r="K48" i="4"/>
  <c r="J48" i="4"/>
  <c r="I48" i="4"/>
  <c r="H48" i="4"/>
  <c r="G48" i="4"/>
  <c r="F48" i="4"/>
  <c r="Q47" i="4"/>
  <c r="P47" i="4"/>
  <c r="O47" i="4"/>
  <c r="N47" i="4"/>
  <c r="M47" i="4"/>
  <c r="L47" i="4"/>
  <c r="K47" i="4"/>
  <c r="J47" i="4"/>
  <c r="I47" i="4"/>
  <c r="H47" i="4"/>
  <c r="G47" i="4"/>
  <c r="F47" i="4"/>
  <c r="Q46" i="4"/>
  <c r="P46" i="4"/>
  <c r="O46" i="4"/>
  <c r="N46" i="4"/>
  <c r="M46" i="4"/>
  <c r="L46" i="4"/>
  <c r="K46" i="4"/>
  <c r="J46" i="4"/>
  <c r="I46" i="4"/>
  <c r="H46" i="4"/>
  <c r="G46" i="4"/>
  <c r="F46" i="4"/>
  <c r="Q45" i="4"/>
  <c r="P45" i="4"/>
  <c r="O45" i="4"/>
  <c r="N45" i="4"/>
  <c r="M45" i="4"/>
  <c r="L45" i="4"/>
  <c r="K45" i="4"/>
  <c r="J45" i="4"/>
  <c r="I45" i="4"/>
  <c r="H45" i="4"/>
  <c r="G45" i="4"/>
  <c r="F45" i="4"/>
  <c r="Q44" i="4"/>
  <c r="P44" i="4"/>
  <c r="O44" i="4"/>
  <c r="N44" i="4"/>
  <c r="M44" i="4"/>
  <c r="L44" i="4"/>
  <c r="K44" i="4"/>
  <c r="J44" i="4"/>
  <c r="I44" i="4"/>
  <c r="H44" i="4"/>
  <c r="G44" i="4"/>
  <c r="F44" i="4"/>
  <c r="Q43" i="4"/>
  <c r="P43" i="4"/>
  <c r="O43" i="4"/>
  <c r="N43" i="4"/>
  <c r="M43" i="4"/>
  <c r="L43" i="4"/>
  <c r="K43" i="4"/>
  <c r="J43" i="4"/>
  <c r="I43" i="4"/>
  <c r="H43" i="4"/>
  <c r="G43" i="4"/>
  <c r="F43" i="4"/>
  <c r="Q42" i="4"/>
  <c r="P42" i="4"/>
  <c r="O42" i="4"/>
  <c r="N42" i="4"/>
  <c r="M42" i="4"/>
  <c r="L42" i="4"/>
  <c r="K42" i="4"/>
  <c r="J42" i="4"/>
  <c r="I42" i="4"/>
  <c r="H42" i="4"/>
  <c r="G42" i="4"/>
  <c r="F42" i="4"/>
  <c r="Q41" i="4"/>
  <c r="P41" i="4"/>
  <c r="O41" i="4"/>
  <c r="N41" i="4"/>
  <c r="M41" i="4"/>
  <c r="L41" i="4"/>
  <c r="K41" i="4"/>
  <c r="J41" i="4"/>
  <c r="I41" i="4"/>
  <c r="H41" i="4"/>
  <c r="G41" i="4"/>
  <c r="F41" i="4"/>
  <c r="Q40" i="4"/>
  <c r="P40" i="4"/>
  <c r="O40" i="4"/>
  <c r="N40" i="4"/>
  <c r="M40" i="4"/>
  <c r="L40" i="4"/>
  <c r="K40" i="4"/>
  <c r="J40" i="4"/>
  <c r="I40" i="4"/>
  <c r="H40" i="4"/>
  <c r="G40" i="4"/>
  <c r="F40" i="4"/>
  <c r="Q39" i="4"/>
  <c r="P39" i="4"/>
  <c r="O39" i="4"/>
  <c r="N39" i="4"/>
  <c r="M39" i="4"/>
  <c r="L39" i="4"/>
  <c r="K39" i="4"/>
  <c r="J39" i="4"/>
  <c r="I39" i="4"/>
  <c r="H39" i="4"/>
  <c r="G39" i="4"/>
  <c r="F39" i="4"/>
  <c r="Q38" i="4"/>
  <c r="P38" i="4"/>
  <c r="O38" i="4"/>
  <c r="N38" i="4"/>
  <c r="M38" i="4"/>
  <c r="L38" i="4"/>
  <c r="K38" i="4"/>
  <c r="J38" i="4"/>
  <c r="I38" i="4"/>
  <c r="H38" i="4"/>
  <c r="G38" i="4"/>
  <c r="F38" i="4"/>
  <c r="Q37" i="4"/>
  <c r="P37" i="4"/>
  <c r="O37" i="4"/>
  <c r="N37" i="4"/>
  <c r="M37" i="4"/>
  <c r="L37" i="4"/>
  <c r="K37" i="4"/>
  <c r="J37" i="4"/>
  <c r="I37" i="4"/>
  <c r="H37" i="4"/>
  <c r="G37" i="4"/>
  <c r="F37" i="4"/>
  <c r="Q36" i="4"/>
  <c r="P36" i="4"/>
  <c r="O36" i="4"/>
  <c r="N36" i="4"/>
  <c r="M36" i="4"/>
  <c r="L36" i="4"/>
  <c r="K36" i="4"/>
  <c r="J36" i="4"/>
  <c r="I36" i="4"/>
  <c r="H36" i="4"/>
  <c r="G36" i="4"/>
  <c r="F36" i="4"/>
  <c r="Q35" i="4"/>
  <c r="P35" i="4"/>
  <c r="O35" i="4"/>
  <c r="N35" i="4"/>
  <c r="M35" i="4"/>
  <c r="L35" i="4"/>
  <c r="K35" i="4"/>
  <c r="J35" i="4"/>
  <c r="I35" i="4"/>
  <c r="H35" i="4"/>
  <c r="G35" i="4"/>
  <c r="F35" i="4"/>
  <c r="Q34" i="4"/>
  <c r="P34" i="4"/>
  <c r="O34" i="4"/>
  <c r="N34" i="4"/>
  <c r="M34" i="4"/>
  <c r="L34" i="4"/>
  <c r="K34" i="4"/>
  <c r="J34" i="4"/>
  <c r="I34" i="4"/>
  <c r="H34" i="4"/>
  <c r="G34" i="4"/>
  <c r="F34" i="4"/>
  <c r="Q33" i="4"/>
  <c r="P33" i="4"/>
  <c r="O33" i="4"/>
  <c r="N33" i="4"/>
  <c r="M33" i="4"/>
  <c r="L33" i="4"/>
  <c r="K33" i="4"/>
  <c r="J33" i="4"/>
  <c r="I33" i="4"/>
  <c r="H33" i="4"/>
  <c r="G33" i="4"/>
  <c r="F33" i="4"/>
  <c r="Q32" i="4"/>
  <c r="P32" i="4"/>
  <c r="O32" i="4"/>
  <c r="N32" i="4"/>
  <c r="M32" i="4"/>
  <c r="L32" i="4"/>
  <c r="K32" i="4"/>
  <c r="J32" i="4"/>
  <c r="I32" i="4"/>
  <c r="H32" i="4"/>
  <c r="G32" i="4"/>
  <c r="F32" i="4"/>
  <c r="Q31" i="4"/>
  <c r="P31" i="4"/>
  <c r="O31" i="4"/>
  <c r="N31" i="4"/>
  <c r="M31" i="4"/>
  <c r="L31" i="4"/>
  <c r="K31" i="4"/>
  <c r="J31" i="4"/>
  <c r="I31" i="4"/>
  <c r="H31" i="4"/>
  <c r="G31" i="4"/>
  <c r="F31" i="4"/>
  <c r="Q30" i="4"/>
  <c r="P30" i="4"/>
  <c r="O30" i="4"/>
  <c r="N30" i="4"/>
  <c r="M30" i="4"/>
  <c r="L30" i="4"/>
  <c r="K30" i="4"/>
  <c r="J30" i="4"/>
  <c r="I30" i="4"/>
  <c r="H30" i="4"/>
  <c r="G30" i="4"/>
  <c r="F30" i="4"/>
  <c r="Q29" i="4"/>
  <c r="P29" i="4"/>
  <c r="O29" i="4"/>
  <c r="N29" i="4"/>
  <c r="M29" i="4"/>
  <c r="L29" i="4"/>
  <c r="K29" i="4"/>
  <c r="J29" i="4"/>
  <c r="I29" i="4"/>
  <c r="H29" i="4"/>
  <c r="G29" i="4"/>
  <c r="F29" i="4"/>
  <c r="Q28" i="4"/>
  <c r="P28" i="4"/>
  <c r="O28" i="4"/>
  <c r="N28" i="4"/>
  <c r="M28" i="4"/>
  <c r="L28" i="4"/>
  <c r="K28" i="4"/>
  <c r="J28" i="4"/>
  <c r="I28" i="4"/>
  <c r="H28" i="4"/>
  <c r="G28" i="4"/>
  <c r="F28" i="4"/>
  <c r="Q27" i="4"/>
  <c r="P27" i="4"/>
  <c r="O27" i="4"/>
  <c r="N27" i="4"/>
  <c r="M27" i="4"/>
  <c r="L27" i="4"/>
  <c r="K27" i="4"/>
  <c r="J27" i="4"/>
  <c r="I27" i="4"/>
  <c r="H27" i="4"/>
  <c r="G27" i="4"/>
  <c r="F27" i="4"/>
  <c r="Q26" i="4"/>
  <c r="P26" i="4"/>
  <c r="O26" i="4"/>
  <c r="N26" i="4"/>
  <c r="M26" i="4"/>
  <c r="L26" i="4"/>
  <c r="K26" i="4"/>
  <c r="J26" i="4"/>
  <c r="I26" i="4"/>
  <c r="H26" i="4"/>
  <c r="G26" i="4"/>
  <c r="F26" i="4"/>
  <c r="Q25" i="4"/>
  <c r="P25" i="4"/>
  <c r="O25" i="4"/>
  <c r="N25" i="4"/>
  <c r="M25" i="4"/>
  <c r="L25" i="4"/>
  <c r="K25" i="4"/>
  <c r="J25" i="4"/>
  <c r="I25" i="4"/>
  <c r="H25" i="4"/>
  <c r="G25" i="4"/>
  <c r="F25" i="4"/>
  <c r="Q21" i="4"/>
  <c r="P21" i="4"/>
  <c r="O21" i="4"/>
  <c r="N21" i="4"/>
  <c r="M21" i="4"/>
  <c r="L21" i="4"/>
  <c r="K21" i="4"/>
  <c r="J21" i="4"/>
  <c r="I21" i="4"/>
  <c r="H21" i="4"/>
  <c r="G21" i="4"/>
  <c r="F21" i="4"/>
  <c r="Q20" i="4"/>
  <c r="P20" i="4"/>
  <c r="O20" i="4"/>
  <c r="N20" i="4"/>
  <c r="M20" i="4"/>
  <c r="L20" i="4"/>
  <c r="K20" i="4"/>
  <c r="J20" i="4"/>
  <c r="I20" i="4"/>
  <c r="H20" i="4"/>
  <c r="G20" i="4"/>
  <c r="F20" i="4"/>
  <c r="Q19" i="4"/>
  <c r="P19" i="4"/>
  <c r="O19" i="4"/>
  <c r="N19" i="4"/>
  <c r="M19" i="4"/>
  <c r="L19" i="4"/>
  <c r="K19" i="4"/>
  <c r="J19" i="4"/>
  <c r="I19" i="4"/>
  <c r="H19" i="4"/>
  <c r="G19" i="4"/>
  <c r="F19" i="4"/>
  <c r="Q18" i="4"/>
  <c r="P18" i="4"/>
  <c r="O18" i="4"/>
  <c r="N18" i="4"/>
  <c r="M18" i="4"/>
  <c r="L18" i="4"/>
  <c r="K18" i="4"/>
  <c r="J18" i="4"/>
  <c r="I18" i="4"/>
  <c r="H18" i="4"/>
  <c r="G18" i="4"/>
  <c r="F18" i="4"/>
  <c r="Q17" i="4"/>
  <c r="P17" i="4"/>
  <c r="O17" i="4"/>
  <c r="N17" i="4"/>
  <c r="M17" i="4"/>
  <c r="L17" i="4"/>
  <c r="K17" i="4"/>
  <c r="J17" i="4"/>
  <c r="J16" i="4" s="1"/>
  <c r="I17" i="4"/>
  <c r="H17" i="4"/>
  <c r="G17" i="4"/>
  <c r="F17" i="4"/>
  <c r="Q16" i="4"/>
  <c r="Q15" i="4"/>
  <c r="P15" i="4"/>
  <c r="O15" i="4"/>
  <c r="N15" i="4"/>
  <c r="M15" i="4"/>
  <c r="L15" i="4"/>
  <c r="K15" i="4"/>
  <c r="J15" i="4"/>
  <c r="I15" i="4"/>
  <c r="H15" i="4"/>
  <c r="G15" i="4"/>
  <c r="F15" i="4"/>
  <c r="E14" i="4"/>
  <c r="Q13" i="4"/>
  <c r="Q11" i="4" s="1"/>
  <c r="P13" i="4"/>
  <c r="P11" i="4" s="1"/>
  <c r="O13" i="4"/>
  <c r="O11" i="4" s="1"/>
  <c r="N13" i="4"/>
  <c r="N11" i="4" s="1"/>
  <c r="M13" i="4"/>
  <c r="M11" i="4" s="1"/>
  <c r="L13" i="4"/>
  <c r="L11" i="4" s="1"/>
  <c r="K13" i="4"/>
  <c r="K11" i="4" s="1"/>
  <c r="J13" i="4"/>
  <c r="J11" i="4" s="1"/>
  <c r="I13" i="4"/>
  <c r="I11" i="4" s="1"/>
  <c r="H13" i="4"/>
  <c r="H11" i="4" s="1"/>
  <c r="G13" i="4"/>
  <c r="G11" i="4" s="1"/>
  <c r="F13" i="4"/>
  <c r="E12" i="4"/>
  <c r="P10" i="4"/>
  <c r="O10" i="4"/>
  <c r="Q9" i="4"/>
  <c r="P9" i="4"/>
  <c r="O9" i="4"/>
  <c r="N9" i="4"/>
  <c r="M9" i="4"/>
  <c r="L9" i="4"/>
  <c r="K9" i="4"/>
  <c r="J9" i="4"/>
  <c r="I9" i="4"/>
  <c r="H9" i="4"/>
  <c r="G9" i="4"/>
  <c r="F9" i="4"/>
  <c r="E8" i="4"/>
  <c r="Q6" i="4"/>
  <c r="P6" i="4"/>
  <c r="O6" i="4"/>
  <c r="Q5" i="4"/>
  <c r="E157" i="3"/>
  <c r="E50" i="3" s="1"/>
  <c r="E156" i="3"/>
  <c r="E49" i="3" s="1"/>
  <c r="E155" i="3"/>
  <c r="E154" i="3"/>
  <c r="E153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30" i="3" s="1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2" i="3"/>
  <c r="E121" i="3"/>
  <c r="E14" i="3" s="1"/>
  <c r="E120" i="3"/>
  <c r="E119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7" i="3"/>
  <c r="E10" i="3" s="1"/>
  <c r="E116" i="3"/>
  <c r="E115" i="3"/>
  <c r="E114" i="3"/>
  <c r="E113" i="3"/>
  <c r="E6" i="3" s="1"/>
  <c r="E112" i="3"/>
  <c r="E103" i="3"/>
  <c r="E102" i="3"/>
  <c r="E101" i="3"/>
  <c r="E48" i="3" s="1"/>
  <c r="E100" i="3"/>
  <c r="E47" i="3" s="1"/>
  <c r="E99" i="3"/>
  <c r="E46" i="3" s="1"/>
  <c r="E97" i="3"/>
  <c r="E44" i="3" s="1"/>
  <c r="E96" i="3"/>
  <c r="E95" i="3"/>
  <c r="E94" i="3"/>
  <c r="E93" i="3"/>
  <c r="E92" i="3"/>
  <c r="E91" i="3"/>
  <c r="E90" i="3"/>
  <c r="E89" i="3"/>
  <c r="E88" i="3"/>
  <c r="E35" i="3" s="1"/>
  <c r="E87" i="3"/>
  <c r="E34" i="3" s="1"/>
  <c r="E86" i="3"/>
  <c r="E33" i="3" s="1"/>
  <c r="E85" i="3"/>
  <c r="E32" i="3" s="1"/>
  <c r="E84" i="3"/>
  <c r="E83" i="3"/>
  <c r="E82" i="3"/>
  <c r="E81" i="3"/>
  <c r="E80" i="3"/>
  <c r="E27" i="3" s="1"/>
  <c r="E78" i="3"/>
  <c r="E77" i="3"/>
  <c r="E76" i="3"/>
  <c r="E23" i="3" s="1"/>
  <c r="E75" i="3"/>
  <c r="E22" i="3" s="1"/>
  <c r="E74" i="3"/>
  <c r="E21" i="3" s="1"/>
  <c r="E73" i="3"/>
  <c r="E72" i="3"/>
  <c r="E71" i="3"/>
  <c r="E70" i="3"/>
  <c r="L69" i="3"/>
  <c r="K69" i="3"/>
  <c r="J69" i="3"/>
  <c r="I69" i="3"/>
  <c r="E68" i="3"/>
  <c r="E67" i="3"/>
  <c r="E66" i="3"/>
  <c r="E65" i="3"/>
  <c r="Q64" i="3"/>
  <c r="P64" i="3"/>
  <c r="O64" i="3"/>
  <c r="O11" i="3" s="1"/>
  <c r="N64" i="3"/>
  <c r="M64" i="3"/>
  <c r="L64" i="3"/>
  <c r="K64" i="3"/>
  <c r="J64" i="3"/>
  <c r="I64" i="3"/>
  <c r="H64" i="3"/>
  <c r="G64" i="3"/>
  <c r="F64" i="3"/>
  <c r="E58" i="3"/>
  <c r="E5" i="3" s="1"/>
  <c r="Q57" i="3"/>
  <c r="Q4" i="3" s="1"/>
  <c r="P57" i="3"/>
  <c r="O57" i="3"/>
  <c r="N57" i="3"/>
  <c r="M57" i="3"/>
  <c r="L57" i="3"/>
  <c r="K57" i="3"/>
  <c r="J57" i="3"/>
  <c r="I57" i="3"/>
  <c r="H57" i="3"/>
  <c r="G57" i="3"/>
  <c r="F57" i="3"/>
  <c r="F4" i="3" s="1"/>
  <c r="Q50" i="3"/>
  <c r="P50" i="3"/>
  <c r="O50" i="3"/>
  <c r="N50" i="3"/>
  <c r="M50" i="3"/>
  <c r="L50" i="3"/>
  <c r="K50" i="3"/>
  <c r="J50" i="3"/>
  <c r="I50" i="3"/>
  <c r="H50" i="3"/>
  <c r="G50" i="3"/>
  <c r="F50" i="3"/>
  <c r="Q49" i="3"/>
  <c r="P49" i="3"/>
  <c r="O49" i="3"/>
  <c r="N49" i="3"/>
  <c r="M49" i="3"/>
  <c r="L49" i="3"/>
  <c r="K49" i="3"/>
  <c r="J49" i="3"/>
  <c r="I49" i="3"/>
  <c r="H49" i="3"/>
  <c r="G49" i="3"/>
  <c r="F49" i="3"/>
  <c r="Q48" i="3"/>
  <c r="P48" i="3"/>
  <c r="O48" i="3"/>
  <c r="N48" i="3"/>
  <c r="M48" i="3"/>
  <c r="L48" i="3"/>
  <c r="K48" i="3"/>
  <c r="J48" i="3"/>
  <c r="I48" i="3"/>
  <c r="H48" i="3"/>
  <c r="G48" i="3"/>
  <c r="F48" i="3"/>
  <c r="Q47" i="3"/>
  <c r="P47" i="3"/>
  <c r="O47" i="3"/>
  <c r="N47" i="3"/>
  <c r="M47" i="3"/>
  <c r="L47" i="3"/>
  <c r="K47" i="3"/>
  <c r="J47" i="3"/>
  <c r="I47" i="3"/>
  <c r="H47" i="3"/>
  <c r="G47" i="3"/>
  <c r="F47" i="3"/>
  <c r="Q46" i="3"/>
  <c r="P46" i="3"/>
  <c r="O46" i="3"/>
  <c r="N46" i="3"/>
  <c r="M46" i="3"/>
  <c r="L46" i="3"/>
  <c r="K46" i="3"/>
  <c r="J46" i="3"/>
  <c r="I46" i="3"/>
  <c r="H46" i="3"/>
  <c r="G46" i="3"/>
  <c r="F46" i="3"/>
  <c r="Q44" i="3"/>
  <c r="P44" i="3"/>
  <c r="O44" i="3"/>
  <c r="N44" i="3"/>
  <c r="M44" i="3"/>
  <c r="L44" i="3"/>
  <c r="K44" i="3"/>
  <c r="J44" i="3"/>
  <c r="I44" i="3"/>
  <c r="H44" i="3"/>
  <c r="G44" i="3"/>
  <c r="F44" i="3"/>
  <c r="Q43" i="3"/>
  <c r="P43" i="3"/>
  <c r="O43" i="3"/>
  <c r="N43" i="3"/>
  <c r="M43" i="3"/>
  <c r="L43" i="3"/>
  <c r="K43" i="3"/>
  <c r="J43" i="3"/>
  <c r="I43" i="3"/>
  <c r="H43" i="3"/>
  <c r="G43" i="3"/>
  <c r="F43" i="3"/>
  <c r="Q42" i="3"/>
  <c r="P42" i="3"/>
  <c r="O42" i="3"/>
  <c r="N42" i="3"/>
  <c r="M42" i="3"/>
  <c r="L42" i="3"/>
  <c r="K42" i="3"/>
  <c r="J42" i="3"/>
  <c r="I42" i="3"/>
  <c r="H42" i="3"/>
  <c r="G42" i="3"/>
  <c r="F42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Q39" i="3"/>
  <c r="P39" i="3"/>
  <c r="O39" i="3"/>
  <c r="N39" i="3"/>
  <c r="M39" i="3"/>
  <c r="L39" i="3"/>
  <c r="K39" i="3"/>
  <c r="J39" i="3"/>
  <c r="I39" i="3"/>
  <c r="H39" i="3"/>
  <c r="G39" i="3"/>
  <c r="F39" i="3"/>
  <c r="Q38" i="3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Q36" i="3"/>
  <c r="P36" i="3"/>
  <c r="O36" i="3"/>
  <c r="N36" i="3"/>
  <c r="M36" i="3"/>
  <c r="L36" i="3"/>
  <c r="K36" i="3"/>
  <c r="J36" i="3"/>
  <c r="I36" i="3"/>
  <c r="H36" i="3"/>
  <c r="G36" i="3"/>
  <c r="F36" i="3"/>
  <c r="Q35" i="3"/>
  <c r="P35" i="3"/>
  <c r="O35" i="3"/>
  <c r="N35" i="3"/>
  <c r="M35" i="3"/>
  <c r="L35" i="3"/>
  <c r="K35" i="3"/>
  <c r="J35" i="3"/>
  <c r="I35" i="3"/>
  <c r="H35" i="3"/>
  <c r="G35" i="3"/>
  <c r="F35" i="3"/>
  <c r="Q34" i="3"/>
  <c r="P34" i="3"/>
  <c r="O34" i="3"/>
  <c r="N34" i="3"/>
  <c r="M34" i="3"/>
  <c r="L34" i="3"/>
  <c r="K34" i="3"/>
  <c r="J34" i="3"/>
  <c r="I34" i="3"/>
  <c r="H34" i="3"/>
  <c r="G34" i="3"/>
  <c r="F34" i="3"/>
  <c r="Q33" i="3"/>
  <c r="P33" i="3"/>
  <c r="O33" i="3"/>
  <c r="N33" i="3"/>
  <c r="M33" i="3"/>
  <c r="L33" i="3"/>
  <c r="K33" i="3"/>
  <c r="J33" i="3"/>
  <c r="I33" i="3"/>
  <c r="H33" i="3"/>
  <c r="G33" i="3"/>
  <c r="F33" i="3"/>
  <c r="Q32" i="3"/>
  <c r="P32" i="3"/>
  <c r="O32" i="3"/>
  <c r="N32" i="3"/>
  <c r="M32" i="3"/>
  <c r="L32" i="3"/>
  <c r="K32" i="3"/>
  <c r="J32" i="3"/>
  <c r="I32" i="3"/>
  <c r="H32" i="3"/>
  <c r="G32" i="3"/>
  <c r="F32" i="3"/>
  <c r="Q31" i="3"/>
  <c r="P31" i="3"/>
  <c r="O31" i="3"/>
  <c r="N31" i="3"/>
  <c r="M31" i="3"/>
  <c r="L31" i="3"/>
  <c r="K31" i="3"/>
  <c r="J31" i="3"/>
  <c r="I31" i="3"/>
  <c r="H31" i="3"/>
  <c r="G31" i="3"/>
  <c r="F31" i="3"/>
  <c r="Q30" i="3"/>
  <c r="P30" i="3"/>
  <c r="O30" i="3"/>
  <c r="N30" i="3"/>
  <c r="M30" i="3"/>
  <c r="L30" i="3"/>
  <c r="K30" i="3"/>
  <c r="J30" i="3"/>
  <c r="I30" i="3"/>
  <c r="H30" i="3"/>
  <c r="G30" i="3"/>
  <c r="F30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Q27" i="3"/>
  <c r="P27" i="3"/>
  <c r="O27" i="3"/>
  <c r="N27" i="3"/>
  <c r="M27" i="3"/>
  <c r="L27" i="3"/>
  <c r="K27" i="3"/>
  <c r="J27" i="3"/>
  <c r="I27" i="3"/>
  <c r="H27" i="3"/>
  <c r="G27" i="3"/>
  <c r="F27" i="3"/>
  <c r="L26" i="3"/>
  <c r="K26" i="3"/>
  <c r="J26" i="3"/>
  <c r="I26" i="3"/>
  <c r="H26" i="3"/>
  <c r="G26" i="3"/>
  <c r="Q25" i="3"/>
  <c r="P25" i="3"/>
  <c r="O25" i="3"/>
  <c r="N25" i="3"/>
  <c r="M25" i="3"/>
  <c r="L25" i="3"/>
  <c r="K25" i="3"/>
  <c r="J25" i="3"/>
  <c r="I25" i="3"/>
  <c r="H25" i="3"/>
  <c r="G25" i="3"/>
  <c r="F25" i="3"/>
  <c r="Q24" i="3"/>
  <c r="P24" i="3"/>
  <c r="O24" i="3"/>
  <c r="N24" i="3"/>
  <c r="M24" i="3"/>
  <c r="L24" i="3"/>
  <c r="K24" i="3"/>
  <c r="J24" i="3"/>
  <c r="I24" i="3"/>
  <c r="H24" i="3"/>
  <c r="G24" i="3"/>
  <c r="F24" i="3"/>
  <c r="Q23" i="3"/>
  <c r="P23" i="3"/>
  <c r="O23" i="3"/>
  <c r="N23" i="3"/>
  <c r="M23" i="3"/>
  <c r="L23" i="3"/>
  <c r="K23" i="3"/>
  <c r="J23" i="3"/>
  <c r="I23" i="3"/>
  <c r="H23" i="3"/>
  <c r="G23" i="3"/>
  <c r="F23" i="3"/>
  <c r="Q22" i="3"/>
  <c r="P22" i="3"/>
  <c r="O22" i="3"/>
  <c r="N22" i="3"/>
  <c r="M22" i="3"/>
  <c r="L22" i="3"/>
  <c r="K22" i="3"/>
  <c r="J22" i="3"/>
  <c r="I22" i="3"/>
  <c r="H22" i="3"/>
  <c r="G22" i="3"/>
  <c r="F22" i="3"/>
  <c r="Q21" i="3"/>
  <c r="P21" i="3"/>
  <c r="O21" i="3"/>
  <c r="N21" i="3"/>
  <c r="M21" i="3"/>
  <c r="L21" i="3"/>
  <c r="K21" i="3"/>
  <c r="J21" i="3"/>
  <c r="I21" i="3"/>
  <c r="H21" i="3"/>
  <c r="G21" i="3"/>
  <c r="F21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Q19" i="3"/>
  <c r="P19" i="3"/>
  <c r="O19" i="3"/>
  <c r="N19" i="3"/>
  <c r="M19" i="3"/>
  <c r="L19" i="3"/>
  <c r="K19" i="3"/>
  <c r="J19" i="3"/>
  <c r="I19" i="3"/>
  <c r="H19" i="3"/>
  <c r="G19" i="3"/>
  <c r="F19" i="3"/>
  <c r="Q18" i="3"/>
  <c r="P18" i="3"/>
  <c r="O18" i="3"/>
  <c r="N18" i="3"/>
  <c r="M18" i="3"/>
  <c r="L18" i="3"/>
  <c r="K18" i="3"/>
  <c r="J18" i="3"/>
  <c r="I18" i="3"/>
  <c r="H18" i="3"/>
  <c r="G18" i="3"/>
  <c r="F18" i="3"/>
  <c r="Q17" i="3"/>
  <c r="P17" i="3"/>
  <c r="O17" i="3"/>
  <c r="N17" i="3"/>
  <c r="M17" i="3"/>
  <c r="L17" i="3"/>
  <c r="K17" i="3"/>
  <c r="J17" i="3"/>
  <c r="I17" i="3"/>
  <c r="H17" i="3"/>
  <c r="G17" i="3"/>
  <c r="F17" i="3"/>
  <c r="Q15" i="3"/>
  <c r="P15" i="3"/>
  <c r="O15" i="3"/>
  <c r="N15" i="3"/>
  <c r="M15" i="3"/>
  <c r="L15" i="3"/>
  <c r="K15" i="3"/>
  <c r="J15" i="3"/>
  <c r="I15" i="3"/>
  <c r="H15" i="3"/>
  <c r="G15" i="3"/>
  <c r="F15" i="3"/>
  <c r="Q14" i="3"/>
  <c r="P14" i="3"/>
  <c r="O14" i="3"/>
  <c r="N14" i="3"/>
  <c r="M14" i="3"/>
  <c r="L14" i="3"/>
  <c r="K14" i="3"/>
  <c r="J14" i="3"/>
  <c r="I14" i="3"/>
  <c r="H14" i="3"/>
  <c r="G14" i="3"/>
  <c r="F14" i="3"/>
  <c r="Q13" i="3"/>
  <c r="P13" i="3"/>
  <c r="O13" i="3"/>
  <c r="N13" i="3"/>
  <c r="M13" i="3"/>
  <c r="L13" i="3"/>
  <c r="K13" i="3"/>
  <c r="J13" i="3"/>
  <c r="I13" i="3"/>
  <c r="H13" i="3"/>
  <c r="G13" i="3"/>
  <c r="F13" i="3"/>
  <c r="Q12" i="3"/>
  <c r="P12" i="3"/>
  <c r="O12" i="3"/>
  <c r="N12" i="3"/>
  <c r="M12" i="3"/>
  <c r="L12" i="3"/>
  <c r="K12" i="3"/>
  <c r="J12" i="3"/>
  <c r="I12" i="3"/>
  <c r="H12" i="3"/>
  <c r="G12" i="3"/>
  <c r="F12" i="3"/>
  <c r="Q10" i="3"/>
  <c r="P10" i="3"/>
  <c r="O10" i="3"/>
  <c r="N10" i="3"/>
  <c r="M10" i="3"/>
  <c r="L10" i="3"/>
  <c r="K10" i="3"/>
  <c r="J10" i="3"/>
  <c r="I10" i="3"/>
  <c r="H10" i="3"/>
  <c r="G10" i="3"/>
  <c r="F10" i="3"/>
  <c r="Q9" i="3"/>
  <c r="P9" i="3"/>
  <c r="O9" i="3"/>
  <c r="N9" i="3"/>
  <c r="M9" i="3"/>
  <c r="L9" i="3"/>
  <c r="K9" i="3"/>
  <c r="J9" i="3"/>
  <c r="I9" i="3"/>
  <c r="H9" i="3"/>
  <c r="G9" i="3"/>
  <c r="F9" i="3"/>
  <c r="E9" i="3"/>
  <c r="Q8" i="3"/>
  <c r="P8" i="3"/>
  <c r="O8" i="3"/>
  <c r="N8" i="3"/>
  <c r="M8" i="3"/>
  <c r="L8" i="3"/>
  <c r="K8" i="3"/>
  <c r="J8" i="3"/>
  <c r="I8" i="3"/>
  <c r="H8" i="3"/>
  <c r="G8" i="3"/>
  <c r="F8" i="3"/>
  <c r="E8" i="3"/>
  <c r="Q7" i="3"/>
  <c r="P7" i="3"/>
  <c r="O7" i="3"/>
  <c r="N7" i="3"/>
  <c r="M7" i="3"/>
  <c r="L7" i="3"/>
  <c r="K7" i="3"/>
  <c r="J7" i="3"/>
  <c r="I7" i="3"/>
  <c r="H7" i="3"/>
  <c r="G7" i="3"/>
  <c r="F7" i="3"/>
  <c r="E7" i="3"/>
  <c r="Q6" i="3"/>
  <c r="P6" i="3"/>
  <c r="O6" i="3"/>
  <c r="N6" i="3"/>
  <c r="M6" i="3"/>
  <c r="L6" i="3"/>
  <c r="K6" i="3"/>
  <c r="J6" i="3"/>
  <c r="I6" i="3"/>
  <c r="H6" i="3"/>
  <c r="G6" i="3"/>
  <c r="F6" i="3"/>
  <c r="Q5" i="3"/>
  <c r="P5" i="3"/>
  <c r="O5" i="3"/>
  <c r="N5" i="3"/>
  <c r="M5" i="3"/>
  <c r="L5" i="3"/>
  <c r="K5" i="3"/>
  <c r="J5" i="3"/>
  <c r="I5" i="3"/>
  <c r="H5" i="3"/>
  <c r="G5" i="3"/>
  <c r="F5" i="3"/>
  <c r="E15" i="3" l="1"/>
  <c r="H11" i="3"/>
  <c r="E17" i="3"/>
  <c r="E18" i="3"/>
  <c r="E42" i="3"/>
  <c r="I16" i="3"/>
  <c r="E19" i="3"/>
  <c r="E31" i="3"/>
  <c r="E43" i="3"/>
  <c r="M11" i="3"/>
  <c r="Q67" i="4"/>
  <c r="O7" i="4"/>
  <c r="N112" i="4"/>
  <c r="N11" i="3"/>
  <c r="I24" i="4"/>
  <c r="G112" i="4"/>
  <c r="P7" i="4"/>
  <c r="K16" i="4"/>
  <c r="K197" i="4"/>
  <c r="K232" i="4" s="1"/>
  <c r="K256" i="4" s="1"/>
  <c r="H67" i="4"/>
  <c r="I67" i="4"/>
  <c r="N24" i="4"/>
  <c r="O24" i="4"/>
  <c r="Q112" i="4"/>
  <c r="Q113" i="4" s="1"/>
  <c r="E66" i="4"/>
  <c r="G24" i="4"/>
  <c r="E78" i="4"/>
  <c r="P67" i="4"/>
  <c r="G67" i="4"/>
  <c r="Q24" i="4"/>
  <c r="Q197" i="4"/>
  <c r="Q198" i="4" s="1"/>
  <c r="J16" i="3"/>
  <c r="Q152" i="3"/>
  <c r="Q158" i="3" s="1"/>
  <c r="I11" i="3"/>
  <c r="I152" i="3"/>
  <c r="I158" i="3" s="1"/>
  <c r="L152" i="3"/>
  <c r="L158" i="3" s="1"/>
  <c r="E118" i="3"/>
  <c r="M69" i="3"/>
  <c r="M16" i="3" s="1"/>
  <c r="N69" i="3"/>
  <c r="N104" i="3" s="1"/>
  <c r="G16" i="3"/>
  <c r="O69" i="3"/>
  <c r="O98" i="3" s="1"/>
  <c r="E79" i="3"/>
  <c r="E26" i="3" s="1"/>
  <c r="P69" i="3"/>
  <c r="P98" i="3" s="1"/>
  <c r="Q69" i="3"/>
  <c r="Q16" i="3" s="1"/>
  <c r="F69" i="3"/>
  <c r="F16" i="3" s="1"/>
  <c r="Q104" i="3"/>
  <c r="H104" i="3"/>
  <c r="K104" i="3"/>
  <c r="K16" i="3"/>
  <c r="H16" i="3"/>
  <c r="L16" i="3"/>
  <c r="J104" i="3"/>
  <c r="L98" i="3"/>
  <c r="H4" i="3"/>
  <c r="N4" i="3"/>
  <c r="O4" i="3"/>
  <c r="P4" i="3"/>
  <c r="G5" i="4"/>
  <c r="J24" i="4"/>
  <c r="O112" i="4"/>
  <c r="O147" i="4" s="1"/>
  <c r="P16" i="4"/>
  <c r="J112" i="4"/>
  <c r="J113" i="4" s="1"/>
  <c r="P4" i="4"/>
  <c r="Q4" i="4"/>
  <c r="Q22" i="4" s="1"/>
  <c r="Q23" i="4" s="1"/>
  <c r="M112" i="4"/>
  <c r="M113" i="4" s="1"/>
  <c r="L197" i="4"/>
  <c r="L232" i="4" s="1"/>
  <c r="L6" i="4"/>
  <c r="L4" i="4" s="1"/>
  <c r="L10" i="4"/>
  <c r="L7" i="4" s="1"/>
  <c r="N16" i="4"/>
  <c r="N5" i="4"/>
  <c r="E9" i="4"/>
  <c r="K10" i="4"/>
  <c r="K7" i="4" s="1"/>
  <c r="E13" i="4"/>
  <c r="E54" i="4"/>
  <c r="E69" i="4"/>
  <c r="E71" i="4"/>
  <c r="E72" i="4"/>
  <c r="E73" i="4"/>
  <c r="E74" i="4"/>
  <c r="E76" i="4"/>
  <c r="E77" i="4"/>
  <c r="E63" i="4"/>
  <c r="O5" i="4"/>
  <c r="O4" i="4" s="1"/>
  <c r="E15" i="4"/>
  <c r="S15" i="4" s="1"/>
  <c r="E68" i="4"/>
  <c r="O197" i="4"/>
  <c r="O198" i="4" s="1"/>
  <c r="E56" i="4"/>
  <c r="E106" i="4"/>
  <c r="S106" i="4" s="1"/>
  <c r="E75" i="4"/>
  <c r="H112" i="4"/>
  <c r="H113" i="4" s="1"/>
  <c r="P197" i="4"/>
  <c r="P198" i="4" s="1"/>
  <c r="E55" i="4"/>
  <c r="E21" i="4"/>
  <c r="K6" i="4"/>
  <c r="K4" i="4" s="1"/>
  <c r="K22" i="4" s="1"/>
  <c r="K23" i="4" s="1"/>
  <c r="Q10" i="4"/>
  <c r="Q7" i="4" s="1"/>
  <c r="E20" i="4"/>
  <c r="L112" i="4"/>
  <c r="L147" i="4" s="1"/>
  <c r="O67" i="4"/>
  <c r="E70" i="4"/>
  <c r="K112" i="4"/>
  <c r="K113" i="4" s="1"/>
  <c r="H24" i="4"/>
  <c r="E34" i="4"/>
  <c r="E46" i="4"/>
  <c r="E59" i="4"/>
  <c r="E60" i="4"/>
  <c r="E61" i="4"/>
  <c r="E62" i="4"/>
  <c r="E64" i="4"/>
  <c r="E65" i="4"/>
  <c r="K24" i="4"/>
  <c r="E80" i="4"/>
  <c r="L67" i="4"/>
  <c r="M67" i="4"/>
  <c r="K67" i="4"/>
  <c r="E157" i="4"/>
  <c r="S157" i="4" s="1"/>
  <c r="E79" i="4"/>
  <c r="E183" i="4"/>
  <c r="G182" i="4"/>
  <c r="G6" i="4" s="1"/>
  <c r="H16" i="4"/>
  <c r="I16" i="4"/>
  <c r="L16" i="4"/>
  <c r="M16" i="4"/>
  <c r="O16" i="4"/>
  <c r="E17" i="4"/>
  <c r="E191" i="4"/>
  <c r="E25" i="4"/>
  <c r="E27" i="4"/>
  <c r="E29" i="4"/>
  <c r="E32" i="4"/>
  <c r="E33" i="4"/>
  <c r="L24" i="4"/>
  <c r="E26" i="4"/>
  <c r="E37" i="4"/>
  <c r="E39" i="4"/>
  <c r="E41" i="4"/>
  <c r="E44" i="4"/>
  <c r="E45" i="4"/>
  <c r="M24" i="4"/>
  <c r="E199" i="4"/>
  <c r="E31" i="4"/>
  <c r="E36" i="4"/>
  <c r="E38" i="4"/>
  <c r="E49" i="4"/>
  <c r="E51" i="4"/>
  <c r="E53" i="4"/>
  <c r="E30" i="4"/>
  <c r="E43" i="4"/>
  <c r="E48" i="4"/>
  <c r="E50" i="4"/>
  <c r="E42" i="4"/>
  <c r="E28" i="4"/>
  <c r="E35" i="4"/>
  <c r="E40" i="4"/>
  <c r="E47" i="4"/>
  <c r="E52" i="4"/>
  <c r="E242" i="4"/>
  <c r="J67" i="4"/>
  <c r="E39" i="3"/>
  <c r="G152" i="3"/>
  <c r="G158" i="3" s="1"/>
  <c r="E24" i="3"/>
  <c r="E36" i="3"/>
  <c r="M152" i="3"/>
  <c r="M158" i="3" s="1"/>
  <c r="J11" i="3"/>
  <c r="K11" i="3"/>
  <c r="L11" i="3"/>
  <c r="E12" i="3"/>
  <c r="J152" i="3"/>
  <c r="J158" i="3" s="1"/>
  <c r="Q11" i="3"/>
  <c r="G11" i="3"/>
  <c r="E13" i="3"/>
  <c r="H152" i="3"/>
  <c r="H158" i="3" s="1"/>
  <c r="G4" i="3"/>
  <c r="E111" i="3"/>
  <c r="F152" i="3"/>
  <c r="F158" i="3" s="1"/>
  <c r="E38" i="3"/>
  <c r="E25" i="3"/>
  <c r="E37" i="3"/>
  <c r="E64" i="3"/>
  <c r="G104" i="3"/>
  <c r="I104" i="3"/>
  <c r="I51" i="3" s="1"/>
  <c r="I4" i="3"/>
  <c r="J4" i="3"/>
  <c r="G113" i="4"/>
  <c r="G147" i="4"/>
  <c r="N10" i="4"/>
  <c r="N7" i="4" s="1"/>
  <c r="N6" i="4"/>
  <c r="N197" i="4"/>
  <c r="H6" i="4"/>
  <c r="H4" i="4" s="1"/>
  <c r="H197" i="4"/>
  <c r="H10" i="4"/>
  <c r="H7" i="4" s="1"/>
  <c r="M10" i="4"/>
  <c r="M7" i="4" s="1"/>
  <c r="M6" i="4"/>
  <c r="M4" i="4" s="1"/>
  <c r="M197" i="4"/>
  <c r="N147" i="4"/>
  <c r="N113" i="4"/>
  <c r="I6" i="4"/>
  <c r="I4" i="4" s="1"/>
  <c r="I197" i="4"/>
  <c r="I10" i="4"/>
  <c r="I7" i="4" s="1"/>
  <c r="J197" i="4"/>
  <c r="J10" i="4"/>
  <c r="J7" i="4" s="1"/>
  <c r="J6" i="4"/>
  <c r="J4" i="4" s="1"/>
  <c r="J22" i="4" s="1"/>
  <c r="J23" i="4" s="1"/>
  <c r="F11" i="4"/>
  <c r="E11" i="4" s="1"/>
  <c r="S11" i="4" s="1"/>
  <c r="F67" i="4"/>
  <c r="F112" i="4"/>
  <c r="P112" i="4"/>
  <c r="F24" i="4"/>
  <c r="F10" i="4"/>
  <c r="F7" i="4" s="1"/>
  <c r="I112" i="4"/>
  <c r="E114" i="4"/>
  <c r="S114" i="4" s="1"/>
  <c r="F197" i="4"/>
  <c r="F16" i="4"/>
  <c r="E88" i="4"/>
  <c r="S88" i="4" s="1"/>
  <c r="G16" i="4"/>
  <c r="E18" i="4"/>
  <c r="E19" i="4"/>
  <c r="F6" i="4"/>
  <c r="J98" i="3"/>
  <c r="L4" i="3"/>
  <c r="M4" i="3"/>
  <c r="F11" i="3"/>
  <c r="N152" i="3"/>
  <c r="N158" i="3" s="1"/>
  <c r="K152" i="3"/>
  <c r="K158" i="3" s="1"/>
  <c r="K98" i="3"/>
  <c r="L104" i="3"/>
  <c r="O152" i="3"/>
  <c r="O158" i="3" s="1"/>
  <c r="K4" i="3"/>
  <c r="P11" i="3"/>
  <c r="E123" i="3"/>
  <c r="P152" i="3"/>
  <c r="P158" i="3" s="1"/>
  <c r="E57" i="3"/>
  <c r="G98" i="3"/>
  <c r="H98" i="3"/>
  <c r="I98" i="3"/>
  <c r="Q147" i="4" l="1"/>
  <c r="T114" i="4"/>
  <c r="L51" i="3"/>
  <c r="I45" i="3"/>
  <c r="K198" i="4"/>
  <c r="G10" i="4"/>
  <c r="G7" i="4" s="1"/>
  <c r="E7" i="4" s="1"/>
  <c r="S7" i="4" s="1"/>
  <c r="F98" i="3"/>
  <c r="F45" i="3" s="1"/>
  <c r="E11" i="3"/>
  <c r="L45" i="3"/>
  <c r="L233" i="4"/>
  <c r="L256" i="4"/>
  <c r="Q57" i="4"/>
  <c r="Q58" i="4" s="1"/>
  <c r="N4" i="4"/>
  <c r="N22" i="4" s="1"/>
  <c r="E5" i="4"/>
  <c r="Q232" i="4"/>
  <c r="Q256" i="4" s="1"/>
  <c r="J57" i="4"/>
  <c r="J81" i="4" s="1"/>
  <c r="J82" i="4" s="1"/>
  <c r="J83" i="4" s="1"/>
  <c r="K57" i="4"/>
  <c r="K58" i="4" s="1"/>
  <c r="P22" i="4"/>
  <c r="L198" i="4"/>
  <c r="L22" i="4"/>
  <c r="G197" i="4"/>
  <c r="O232" i="4"/>
  <c r="Q51" i="3"/>
  <c r="J45" i="3"/>
  <c r="J51" i="3"/>
  <c r="G51" i="3"/>
  <c r="E158" i="3"/>
  <c r="Q98" i="3"/>
  <c r="Q45" i="3" s="1"/>
  <c r="M104" i="3"/>
  <c r="M51" i="3" s="1"/>
  <c r="K51" i="3"/>
  <c r="E69" i="3"/>
  <c r="E16" i="3" s="1"/>
  <c r="N16" i="3"/>
  <c r="P104" i="3"/>
  <c r="P51" i="3" s="1"/>
  <c r="P16" i="3"/>
  <c r="N98" i="3"/>
  <c r="N45" i="3" s="1"/>
  <c r="M98" i="3"/>
  <c r="M45" i="3" s="1"/>
  <c r="O104" i="3"/>
  <c r="O51" i="3" s="1"/>
  <c r="O16" i="3"/>
  <c r="F104" i="3"/>
  <c r="F51" i="3" s="1"/>
  <c r="H51" i="3"/>
  <c r="N51" i="3"/>
  <c r="M147" i="4"/>
  <c r="M171" i="4" s="1"/>
  <c r="M173" i="4" s="1"/>
  <c r="M174" i="4" s="1"/>
  <c r="O22" i="4"/>
  <c r="G4" i="4"/>
  <c r="G22" i="4" s="1"/>
  <c r="J147" i="4"/>
  <c r="J171" i="4" s="1"/>
  <c r="J173" i="4" s="1"/>
  <c r="J174" i="4" s="1"/>
  <c r="O113" i="4"/>
  <c r="L113" i="4"/>
  <c r="L258" i="4"/>
  <c r="L259" i="4" s="1"/>
  <c r="K147" i="4"/>
  <c r="K148" i="4" s="1"/>
  <c r="H147" i="4"/>
  <c r="H148" i="4" s="1"/>
  <c r="P232" i="4"/>
  <c r="E24" i="4"/>
  <c r="M22" i="4"/>
  <c r="E67" i="4"/>
  <c r="S67" i="4" s="1"/>
  <c r="E182" i="4"/>
  <c r="H22" i="4"/>
  <c r="G45" i="3"/>
  <c r="K45" i="3"/>
  <c r="H45" i="3"/>
  <c r="P45" i="3"/>
  <c r="I22" i="4"/>
  <c r="P147" i="4"/>
  <c r="P113" i="4"/>
  <c r="G148" i="4"/>
  <c r="G171" i="4"/>
  <c r="G173" i="4" s="1"/>
  <c r="G174" i="4" s="1"/>
  <c r="Q148" i="4"/>
  <c r="Q171" i="4"/>
  <c r="Q173" i="4" s="1"/>
  <c r="Q174" i="4" s="1"/>
  <c r="M232" i="4"/>
  <c r="M256" i="4" s="1"/>
  <c r="M198" i="4"/>
  <c r="I113" i="4"/>
  <c r="I147" i="4"/>
  <c r="O148" i="4"/>
  <c r="O171" i="4"/>
  <c r="O173" i="4" s="1"/>
  <c r="O174" i="4" s="1"/>
  <c r="K258" i="4"/>
  <c r="K259" i="4" s="1"/>
  <c r="K233" i="4"/>
  <c r="I198" i="4"/>
  <c r="I232" i="4"/>
  <c r="I256" i="4" s="1"/>
  <c r="E16" i="4"/>
  <c r="E6" i="4"/>
  <c r="S6" i="4" s="1"/>
  <c r="F4" i="4"/>
  <c r="N198" i="4"/>
  <c r="N232" i="4"/>
  <c r="N256" i="4" s="1"/>
  <c r="G198" i="4"/>
  <c r="G232" i="4"/>
  <c r="G256" i="4" s="1"/>
  <c r="N171" i="4"/>
  <c r="N173" i="4" s="1"/>
  <c r="N174" i="4" s="1"/>
  <c r="N148" i="4"/>
  <c r="F113" i="4"/>
  <c r="F147" i="4"/>
  <c r="E112" i="4"/>
  <c r="F198" i="4"/>
  <c r="F232" i="4"/>
  <c r="F256" i="4" s="1"/>
  <c r="E197" i="4"/>
  <c r="E198" i="4" s="1"/>
  <c r="J198" i="4"/>
  <c r="J232" i="4"/>
  <c r="J256" i="4" s="1"/>
  <c r="L171" i="4"/>
  <c r="L173" i="4" s="1"/>
  <c r="L174" i="4" s="1"/>
  <c r="L148" i="4"/>
  <c r="E10" i="4"/>
  <c r="H198" i="4"/>
  <c r="H232" i="4"/>
  <c r="H256" i="4" s="1"/>
  <c r="E152" i="3"/>
  <c r="E4" i="3"/>
  <c r="O45" i="3"/>
  <c r="S5" i="4" l="1"/>
  <c r="I57" i="4"/>
  <c r="I81" i="4" s="1"/>
  <c r="I82" i="4" s="1"/>
  <c r="I83" i="4" s="1"/>
  <c r="I23" i="4"/>
  <c r="N57" i="4"/>
  <c r="N81" i="4" s="1"/>
  <c r="N82" i="4" s="1"/>
  <c r="N83" i="4" s="1"/>
  <c r="N23" i="4"/>
  <c r="G57" i="4"/>
  <c r="G58" i="4" s="1"/>
  <c r="G23" i="4"/>
  <c r="L57" i="4"/>
  <c r="L58" i="4" s="1"/>
  <c r="L23" i="4"/>
  <c r="O57" i="4"/>
  <c r="O81" i="4" s="1"/>
  <c r="O82" i="4" s="1"/>
  <c r="O83" i="4" s="1"/>
  <c r="O23" i="4"/>
  <c r="H57" i="4"/>
  <c r="H58" i="4" s="1"/>
  <c r="H23" i="4"/>
  <c r="S16" i="4"/>
  <c r="P57" i="4"/>
  <c r="P58" i="4" s="1"/>
  <c r="P23" i="4"/>
  <c r="M57" i="4"/>
  <c r="M81" i="4" s="1"/>
  <c r="M82" i="4" s="1"/>
  <c r="M83" i="4" s="1"/>
  <c r="M23" i="4"/>
  <c r="E113" i="4"/>
  <c r="S112" i="4"/>
  <c r="Q81" i="4"/>
  <c r="Q82" i="4" s="1"/>
  <c r="Q83" i="4" s="1"/>
  <c r="J58" i="4"/>
  <c r="S24" i="4"/>
  <c r="P258" i="4"/>
  <c r="P259" i="4" s="1"/>
  <c r="P256" i="4"/>
  <c r="Q233" i="4"/>
  <c r="Q258" i="4"/>
  <c r="Q259" i="4" s="1"/>
  <c r="N58" i="4"/>
  <c r="O258" i="4"/>
  <c r="O259" i="4" s="1"/>
  <c r="O256" i="4"/>
  <c r="E256" i="4" s="1"/>
  <c r="K81" i="4"/>
  <c r="K82" i="4" s="1"/>
  <c r="K83" i="4" s="1"/>
  <c r="M148" i="4"/>
  <c r="P81" i="4"/>
  <c r="P82" i="4" s="1"/>
  <c r="P83" i="4" s="1"/>
  <c r="J148" i="4"/>
  <c r="O233" i="4"/>
  <c r="E104" i="3"/>
  <c r="E51" i="3" s="1"/>
  <c r="E98" i="3"/>
  <c r="E45" i="3" s="1"/>
  <c r="H171" i="4"/>
  <c r="H173" i="4" s="1"/>
  <c r="H174" i="4" s="1"/>
  <c r="P233" i="4"/>
  <c r="L85" i="4"/>
  <c r="K171" i="4"/>
  <c r="K173" i="4" s="1"/>
  <c r="K174" i="4" s="1"/>
  <c r="K85" i="4"/>
  <c r="H233" i="4"/>
  <c r="H258" i="4"/>
  <c r="M258" i="4"/>
  <c r="M233" i="4"/>
  <c r="E147" i="4"/>
  <c r="F148" i="4"/>
  <c r="F171" i="4"/>
  <c r="N258" i="4"/>
  <c r="N233" i="4"/>
  <c r="F22" i="4"/>
  <c r="F23" i="4" s="1"/>
  <c r="E4" i="4"/>
  <c r="I148" i="4"/>
  <c r="I171" i="4"/>
  <c r="I173" i="4" s="1"/>
  <c r="I174" i="4" s="1"/>
  <c r="P148" i="4"/>
  <c r="P171" i="4"/>
  <c r="P173" i="4" s="1"/>
  <c r="P174" i="4" s="1"/>
  <c r="J258" i="4"/>
  <c r="J233" i="4"/>
  <c r="I233" i="4"/>
  <c r="I258" i="4"/>
  <c r="I259" i="4" s="1"/>
  <c r="G233" i="4"/>
  <c r="G258" i="4"/>
  <c r="F258" i="4"/>
  <c r="F233" i="4"/>
  <c r="E232" i="4"/>
  <c r="I58" i="4"/>
  <c r="P85" i="4" l="1"/>
  <c r="G81" i="4"/>
  <c r="G82" i="4" s="1"/>
  <c r="G83" i="4" s="1"/>
  <c r="H81" i="4"/>
  <c r="H82" i="4" s="1"/>
  <c r="H83" i="4" s="1"/>
  <c r="L81" i="4"/>
  <c r="L82" i="4" s="1"/>
  <c r="L83" i="4" s="1"/>
  <c r="M58" i="4"/>
  <c r="S4" i="4"/>
  <c r="O58" i="4"/>
  <c r="S147" i="4"/>
  <c r="E233" i="4"/>
  <c r="O85" i="4"/>
  <c r="Q85" i="4"/>
  <c r="I85" i="4"/>
  <c r="N259" i="4"/>
  <c r="N85" i="4"/>
  <c r="E258" i="4"/>
  <c r="E85" i="4" s="1"/>
  <c r="F259" i="4"/>
  <c r="F85" i="4"/>
  <c r="E148" i="4"/>
  <c r="F173" i="4"/>
  <c r="E171" i="4"/>
  <c r="E22" i="4"/>
  <c r="F57" i="4"/>
  <c r="H259" i="4"/>
  <c r="H85" i="4"/>
  <c r="G259" i="4"/>
  <c r="G85" i="4"/>
  <c r="J259" i="4"/>
  <c r="J85" i="4"/>
  <c r="M259" i="4"/>
  <c r="M85" i="4"/>
  <c r="S22" i="4" l="1"/>
  <c r="E23" i="4"/>
  <c r="E173" i="4"/>
  <c r="S173" i="4" s="1"/>
  <c r="S171" i="4"/>
  <c r="E57" i="4"/>
  <c r="F58" i="4"/>
  <c r="F81" i="4"/>
  <c r="E259" i="4"/>
  <c r="F174" i="4"/>
  <c r="E174" i="4" l="1"/>
  <c r="E58" i="4"/>
  <c r="S57" i="4"/>
  <c r="F82" i="4"/>
  <c r="E82" i="4" s="1"/>
  <c r="E81" i="4"/>
  <c r="S81" i="4" s="1"/>
  <c r="F83" i="4" l="1"/>
  <c r="E83" i="4" s="1"/>
  <c r="S8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tc={3C1F531A-A21F-4500-817F-EA2CF1D215E4}</author>
  </authors>
  <commentList>
    <comment ref="I77" authorId="0" shapeId="0" xr:uid="{3C1F531A-A21F-4500-817F-EA2CF1D215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대연기감가상각추가</t>
      </text>
    </comment>
  </commentList>
</comments>
</file>

<file path=xl/sharedStrings.xml><?xml version="1.0" encoding="utf-8"?>
<sst xmlns="http://schemas.openxmlformats.org/spreadsheetml/2006/main" count="512" uniqueCount="182">
  <si>
    <t xml:space="preserve">    (사업부별)</t>
    <phoneticPr fontId="4" type="noConversion"/>
  </si>
  <si>
    <t xml:space="preserve">      전선</t>
    <phoneticPr fontId="5" type="noConversion"/>
  </si>
  <si>
    <t xml:space="preserve">      전장</t>
    <phoneticPr fontId="5" type="noConversion"/>
  </si>
  <si>
    <t xml:space="preserve">    (업체별)</t>
    <phoneticPr fontId="4" type="noConversion"/>
  </si>
  <si>
    <t xml:space="preserve">    └ 江苏京信</t>
  </si>
  <si>
    <t xml:space="preserve">    └ 기타</t>
  </si>
  <si>
    <t xml:space="preserve">    └KSCP</t>
  </si>
  <si>
    <t xml:space="preserve">    └KSCE</t>
  </si>
  <si>
    <t xml:space="preserve">    └KSC</t>
  </si>
  <si>
    <t xml:space="preserve">      기타</t>
    <phoneticPr fontId="4" type="noConversion"/>
  </si>
  <si>
    <t>(단위:RMB)</t>
    <phoneticPr fontId="5" type="noConversion"/>
  </si>
  <si>
    <r>
      <rPr>
        <b/>
        <sz val="12"/>
        <color indexed="9"/>
        <rFont val="MS Gothic"/>
        <family val="3"/>
        <charset val="128"/>
      </rPr>
      <t>区</t>
    </r>
    <r>
      <rPr>
        <b/>
        <sz val="12"/>
        <color indexed="9"/>
        <rFont val="맑은 고딕"/>
        <family val="3"/>
        <charset val="129"/>
      </rPr>
      <t>分</t>
    </r>
    <phoneticPr fontId="5" type="noConversion"/>
  </si>
  <si>
    <t>1月</t>
    <phoneticPr fontId="5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</si>
  <si>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</si>
  <si>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</si>
  <si>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</si>
  <si>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</si>
  <si>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</si>
  <si>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</si>
  <si>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</si>
  <si>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</si>
  <si>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</si>
  <si>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</si>
  <si>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</si>
  <si>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r>
      <t>Ⅰ. 材料</t>
    </r>
    <r>
      <rPr>
        <b/>
        <sz val="12"/>
        <rFont val="FangSong"/>
        <family val="3"/>
        <charset val="134"/>
      </rPr>
      <t>费</t>
    </r>
    <r>
      <rPr>
        <b/>
        <sz val="12"/>
        <rFont val="맑은 고딕"/>
        <family val="3"/>
        <charset val="129"/>
      </rPr>
      <t>_재료비</t>
    </r>
    <phoneticPr fontId="5" type="noConversion"/>
  </si>
  <si>
    <t xml:space="preserve">  1.기초재료비</t>
    <phoneticPr fontId="5" type="noConversion"/>
  </si>
  <si>
    <t xml:space="preserve">  2.원재료매입액</t>
    <phoneticPr fontId="5" type="noConversion"/>
  </si>
  <si>
    <t xml:space="preserve">  3.타계정대체입고</t>
    <phoneticPr fontId="5" type="noConversion"/>
  </si>
  <si>
    <t xml:space="preserve">  4.타계정대체출고</t>
    <phoneticPr fontId="5" type="noConversion"/>
  </si>
  <si>
    <t xml:space="preserve">  5.기말재료비</t>
    <phoneticPr fontId="5" type="noConversion"/>
  </si>
  <si>
    <t xml:space="preserve">  6.分摊材料费_배부재료비 (타입)</t>
    <phoneticPr fontId="5" type="noConversion"/>
  </si>
  <si>
    <r>
      <t xml:space="preserve">Ⅱ. </t>
    </r>
    <r>
      <rPr>
        <b/>
        <sz val="12"/>
        <rFont val="FangSong"/>
        <family val="3"/>
        <charset val="134"/>
      </rPr>
      <t>劳务费</t>
    </r>
    <r>
      <rPr>
        <b/>
        <sz val="12"/>
        <rFont val="맑은 고딕"/>
        <family val="3"/>
        <charset val="129"/>
      </rPr>
      <t>_노무비</t>
    </r>
    <phoneticPr fontId="5" type="noConversion"/>
  </si>
  <si>
    <t xml:space="preserve">  1.工资_임금</t>
    <phoneticPr fontId="5" type="noConversion"/>
  </si>
  <si>
    <t xml:space="preserve">  2.奖金_상여</t>
    <phoneticPr fontId="5" type="noConversion"/>
  </si>
  <si>
    <t xml:space="preserve">  3.补贴_잡급</t>
    <phoneticPr fontId="5" type="noConversion"/>
  </si>
  <si>
    <t xml:space="preserve">  4.退休金_퇴직급여</t>
    <phoneticPr fontId="5" type="noConversion"/>
  </si>
  <si>
    <r>
      <t>Ⅲ. 制造</t>
    </r>
    <r>
      <rPr>
        <b/>
        <sz val="12"/>
        <rFont val="FangSong"/>
        <family val="3"/>
        <charset val="134"/>
      </rPr>
      <t>费</t>
    </r>
    <r>
      <rPr>
        <b/>
        <sz val="12"/>
        <rFont val="맑은 고딕"/>
        <family val="3"/>
        <charset val="129"/>
      </rPr>
      <t>用_제조경비</t>
    </r>
    <phoneticPr fontId="5" type="noConversion"/>
  </si>
  <si>
    <t xml:space="preserve">  1.福利费_복리후생비</t>
    <phoneticPr fontId="5" type="noConversion"/>
  </si>
  <si>
    <t xml:space="preserve">  2.差旅交通费_여비교통비</t>
    <phoneticPr fontId="5" type="noConversion"/>
  </si>
  <si>
    <t xml:space="preserve">  3.招待费_접대비</t>
    <phoneticPr fontId="5" type="noConversion"/>
  </si>
  <si>
    <t xml:space="preserve">  4.通信费_통신비</t>
    <phoneticPr fontId="5" type="noConversion"/>
  </si>
  <si>
    <t xml:space="preserve">  5水电气费_수도광열비</t>
    <phoneticPr fontId="5" type="noConversion"/>
  </si>
  <si>
    <t xml:space="preserve">  6.电费_전력비</t>
    <phoneticPr fontId="5" type="noConversion"/>
  </si>
  <si>
    <t xml:space="preserve">  7.税金以及附加_세금과공과</t>
    <phoneticPr fontId="5" type="noConversion"/>
  </si>
  <si>
    <t xml:space="preserve">  8.折旧费_감가상각비</t>
    <phoneticPr fontId="5" type="noConversion"/>
  </si>
  <si>
    <t xml:space="preserve">  9.支付租金_지급임차료</t>
    <phoneticPr fontId="5" type="noConversion"/>
  </si>
  <si>
    <t xml:space="preserve">  10.维修费_수선비</t>
    <phoneticPr fontId="5" type="noConversion"/>
  </si>
  <si>
    <t xml:space="preserve">  11.保险费_보험료</t>
    <phoneticPr fontId="5" type="noConversion"/>
  </si>
  <si>
    <t xml:space="preserve">  12.车辆维修费_차량유지비</t>
    <phoneticPr fontId="5" type="noConversion"/>
  </si>
  <si>
    <t xml:space="preserve">  13.经常研究开发费用_경상연구개발비</t>
    <phoneticPr fontId="5" type="noConversion"/>
  </si>
  <si>
    <t xml:space="preserve">  14.运费_운반비</t>
    <phoneticPr fontId="5" type="noConversion"/>
  </si>
  <si>
    <t xml:space="preserve">  15.教育培训费_교육훈련비</t>
    <phoneticPr fontId="5" type="noConversion"/>
  </si>
  <si>
    <t xml:space="preserve">  16.图书印刷费_도서인쇄비</t>
    <phoneticPr fontId="5" type="noConversion"/>
  </si>
  <si>
    <t xml:space="preserve">  17.会议费_회의비</t>
    <phoneticPr fontId="5" type="noConversion"/>
  </si>
  <si>
    <t xml:space="preserve">  18.包装费_포장비</t>
    <phoneticPr fontId="5" type="noConversion"/>
  </si>
  <si>
    <t xml:space="preserve">  19.办公用品_사무용품비</t>
    <phoneticPr fontId="5" type="noConversion"/>
  </si>
  <si>
    <t xml:space="preserve">  20.消耗品费_소모품비</t>
    <phoneticPr fontId="5" type="noConversion"/>
  </si>
  <si>
    <t xml:space="preserve">  21.消耗工具_소모공구</t>
    <phoneticPr fontId="5" type="noConversion"/>
  </si>
  <si>
    <t xml:space="preserve">  22.支付手续费_지급수수료</t>
    <phoneticPr fontId="5" type="noConversion"/>
  </si>
  <si>
    <t xml:space="preserve">  23.保管费_보관료</t>
    <phoneticPr fontId="5" type="noConversion"/>
  </si>
  <si>
    <t xml:space="preserve">  24.广告宣传费_광고선전비</t>
    <phoneticPr fontId="5" type="noConversion"/>
  </si>
  <si>
    <t xml:space="preserve">  25.出口收费_수출제비용</t>
    <phoneticPr fontId="5" type="noConversion"/>
  </si>
  <si>
    <t xml:space="preserve">  26.下脚料补税_B/B PVC로스 관세</t>
    <phoneticPr fontId="5" type="noConversion"/>
  </si>
  <si>
    <t xml:space="preserve">  27.委托加工费_외주가공비</t>
    <phoneticPr fontId="5" type="noConversion"/>
  </si>
  <si>
    <t xml:space="preserve">  28.杂费_잡비</t>
    <phoneticPr fontId="5" type="noConversion"/>
  </si>
  <si>
    <t>Ⅳ.제조원가</t>
    <phoneticPr fontId="5" type="noConversion"/>
  </si>
  <si>
    <t xml:space="preserve">  1. 기초재공품</t>
    <phoneticPr fontId="5" type="noConversion"/>
  </si>
  <si>
    <t xml:space="preserve">  2. 기말재공품</t>
    <phoneticPr fontId="5" type="noConversion"/>
  </si>
  <si>
    <t xml:space="preserve">  3. 타계정대체출</t>
    <phoneticPr fontId="5" type="noConversion"/>
  </si>
  <si>
    <t xml:space="preserve">  4. 타계정대체입</t>
    <phoneticPr fontId="5" type="noConversion"/>
  </si>
  <si>
    <t xml:space="preserve">  5. 타계정이입액(제품투입)</t>
    <phoneticPr fontId="5" type="noConversion"/>
  </si>
  <si>
    <t>Ⅴ. 당기제품제조원가</t>
    <phoneticPr fontId="5" type="noConversion"/>
  </si>
  <si>
    <t>Ⅰ. 材料费_재료비</t>
  </si>
  <si>
    <t>재료비</t>
    <phoneticPr fontId="5" type="noConversion"/>
  </si>
  <si>
    <t>1月</t>
  </si>
  <si>
    <t xml:space="preserve">  3.용역</t>
    <phoneticPr fontId="5" type="noConversion"/>
  </si>
  <si>
    <r>
      <t xml:space="preserve">Ⅰ. </t>
    </r>
    <r>
      <rPr>
        <b/>
        <sz val="12"/>
        <rFont val="FangSong"/>
        <family val="3"/>
        <charset val="134"/>
      </rPr>
      <t>销</t>
    </r>
    <r>
      <rPr>
        <b/>
        <sz val="12"/>
        <rFont val="맑은 고딕"/>
        <family val="3"/>
        <charset val="129"/>
      </rPr>
      <t>售</t>
    </r>
    <r>
      <rPr>
        <b/>
        <sz val="12"/>
        <rFont val="FangSong"/>
        <family val="3"/>
        <charset val="134"/>
      </rPr>
      <t>额</t>
    </r>
    <r>
      <rPr>
        <b/>
        <sz val="12"/>
        <rFont val="맑은 고딕"/>
        <family val="3"/>
        <charset val="129"/>
      </rPr>
      <t>_매출액</t>
    </r>
    <phoneticPr fontId="5" type="noConversion"/>
  </si>
  <si>
    <t xml:space="preserve">       전선</t>
    <phoneticPr fontId="4" type="noConversion"/>
  </si>
  <si>
    <t xml:space="preserve">       전장</t>
    <phoneticPr fontId="4" type="noConversion"/>
  </si>
  <si>
    <r>
      <t xml:space="preserve"> 1. </t>
    </r>
    <r>
      <rPr>
        <sz val="12"/>
        <rFont val="FangSong"/>
        <family val="3"/>
        <charset val="134"/>
      </rPr>
      <t>产</t>
    </r>
    <r>
      <rPr>
        <sz val="12"/>
        <rFont val="맑은 고딕"/>
        <family val="3"/>
        <charset val="129"/>
      </rPr>
      <t>品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售_제품매출</t>
    </r>
    <phoneticPr fontId="5" type="noConversion"/>
  </si>
  <si>
    <r>
      <t xml:space="preserve"> 2.商品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售_상품매출</t>
    </r>
    <phoneticPr fontId="5" type="noConversion"/>
  </si>
  <si>
    <r>
      <t xml:space="preserve">  3.其他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售_기타매출</t>
    </r>
    <phoneticPr fontId="5" type="noConversion"/>
  </si>
  <si>
    <r>
      <t xml:space="preserve">Ⅱ. </t>
    </r>
    <r>
      <rPr>
        <b/>
        <sz val="12"/>
        <rFont val="FangSong"/>
        <family val="3"/>
        <charset val="134"/>
      </rPr>
      <t>销售成本</t>
    </r>
    <r>
      <rPr>
        <b/>
        <sz val="12"/>
        <rFont val="맑은 고딕"/>
        <family val="3"/>
        <charset val="129"/>
      </rPr>
      <t>_매출원가</t>
    </r>
    <phoneticPr fontId="5" type="noConversion"/>
  </si>
  <si>
    <r>
      <t xml:space="preserve">  1. </t>
    </r>
    <r>
      <rPr>
        <sz val="12"/>
        <rFont val="FangSong"/>
        <family val="3"/>
        <charset val="134"/>
      </rPr>
      <t>产</t>
    </r>
    <r>
      <rPr>
        <sz val="12"/>
        <rFont val="맑은 고딕"/>
        <family val="3"/>
        <charset val="129"/>
      </rPr>
      <t>品</t>
    </r>
    <r>
      <rPr>
        <sz val="12"/>
        <rFont val="FangSong"/>
        <family val="3"/>
        <charset val="134"/>
      </rPr>
      <t>销</t>
    </r>
    <r>
      <rPr>
        <sz val="12"/>
        <rFont val="맑은 고딕"/>
        <family val="3"/>
        <charset val="129"/>
      </rPr>
      <t>售成本_제품매출원가</t>
    </r>
    <phoneticPr fontId="4" type="noConversion"/>
  </si>
  <si>
    <t xml:space="preserve"> 2. 상품매출원가</t>
    <phoneticPr fontId="4" type="noConversion"/>
  </si>
  <si>
    <t xml:space="preserve"> 3. 반제품매출원가</t>
    <phoneticPr fontId="4" type="noConversion"/>
  </si>
  <si>
    <t xml:space="preserve"> 4. 기타매출원가</t>
    <phoneticPr fontId="4" type="noConversion"/>
  </si>
  <si>
    <t xml:space="preserve"> 5. 영업부가세</t>
    <phoneticPr fontId="4" type="noConversion"/>
  </si>
  <si>
    <r>
      <t>Ⅲ.</t>
    </r>
    <r>
      <rPr>
        <b/>
        <sz val="12"/>
        <rFont val="FangSong"/>
        <family val="3"/>
        <charset val="134"/>
      </rPr>
      <t>卖</t>
    </r>
    <r>
      <rPr>
        <b/>
        <sz val="12"/>
        <rFont val="맑은 고딕"/>
        <family val="3"/>
        <charset val="129"/>
      </rPr>
      <t>出毛利_매출총이익</t>
    </r>
    <phoneticPr fontId="5" type="noConversion"/>
  </si>
  <si>
    <r>
      <t xml:space="preserve">     (利</t>
    </r>
    <r>
      <rPr>
        <sz val="12"/>
        <rFont val="FangSong"/>
        <family val="3"/>
        <charset val="134"/>
      </rPr>
      <t>润</t>
    </r>
    <r>
      <rPr>
        <sz val="12"/>
        <rFont val="맑은 고딕"/>
        <family val="3"/>
        <charset val="129"/>
      </rPr>
      <t>率)</t>
    </r>
    <phoneticPr fontId="4" type="noConversion"/>
  </si>
  <si>
    <r>
      <t>Ⅲ.一般管理</t>
    </r>
    <r>
      <rPr>
        <b/>
        <sz val="12"/>
        <rFont val="FangSong"/>
        <family val="3"/>
        <charset val="134"/>
      </rPr>
      <t>费</t>
    </r>
    <r>
      <rPr>
        <b/>
        <sz val="12"/>
        <rFont val="맑은 고딕"/>
        <family val="3"/>
        <charset val="129"/>
      </rPr>
      <t>_판매관리비</t>
    </r>
    <phoneticPr fontId="5" type="noConversion"/>
  </si>
  <si>
    <t xml:space="preserve">  1..급여</t>
    <phoneticPr fontId="4" type="noConversion"/>
  </si>
  <si>
    <t xml:space="preserve">  2.상여</t>
    <phoneticPr fontId="4" type="noConversion"/>
  </si>
  <si>
    <t xml:space="preserve">  3.잡급</t>
    <phoneticPr fontId="4" type="noConversion"/>
  </si>
  <si>
    <t xml:space="preserve">  4. 퇴직급여</t>
    <phoneticPr fontId="4" type="noConversion"/>
  </si>
  <si>
    <t xml:space="preserve">  5.福利费_복리후생비</t>
    <phoneticPr fontId="5" type="noConversion"/>
  </si>
  <si>
    <t xml:space="preserve">  6.差旅交通费_여비교통비</t>
    <phoneticPr fontId="5" type="noConversion"/>
  </si>
  <si>
    <t xml:space="preserve">  7.招待费_접대비</t>
    <phoneticPr fontId="5" type="noConversion"/>
  </si>
  <si>
    <t xml:space="preserve">  8.通信费_통신비</t>
    <phoneticPr fontId="5" type="noConversion"/>
  </si>
  <si>
    <t xml:space="preserve">  9水电气费_수도광열비</t>
    <phoneticPr fontId="5" type="noConversion"/>
  </si>
  <si>
    <t xml:space="preserve">  10.电费_전력비</t>
    <phoneticPr fontId="5" type="noConversion"/>
  </si>
  <si>
    <t xml:space="preserve">  11.税金以及附加_세금과공과</t>
    <phoneticPr fontId="5" type="noConversion"/>
  </si>
  <si>
    <t xml:space="preserve">  12.折旧费_감가상각비</t>
    <phoneticPr fontId="5" type="noConversion"/>
  </si>
  <si>
    <t xml:space="preserve">  13.支付租金_지급임차료</t>
    <phoneticPr fontId="5" type="noConversion"/>
  </si>
  <si>
    <t xml:space="preserve">  14.维修费_수선비</t>
    <phoneticPr fontId="5" type="noConversion"/>
  </si>
  <si>
    <t xml:space="preserve">  15.保险费_보험료</t>
    <phoneticPr fontId="5" type="noConversion"/>
  </si>
  <si>
    <t xml:space="preserve">  16.车辆维修费_차량유지비</t>
    <phoneticPr fontId="5" type="noConversion"/>
  </si>
  <si>
    <t xml:space="preserve">  17.经常研究开发费用_경상연구개발비</t>
    <phoneticPr fontId="5" type="noConversion"/>
  </si>
  <si>
    <t xml:space="preserve">  18.运费_운반비</t>
    <phoneticPr fontId="5" type="noConversion"/>
  </si>
  <si>
    <t xml:space="preserve">  19.教育培训费_교육훈련비</t>
    <phoneticPr fontId="5" type="noConversion"/>
  </si>
  <si>
    <t xml:space="preserve">  20.图书印刷费_도서인쇄비</t>
    <phoneticPr fontId="5" type="noConversion"/>
  </si>
  <si>
    <t xml:space="preserve">  21.会议费_회의비</t>
    <phoneticPr fontId="5" type="noConversion"/>
  </si>
  <si>
    <t xml:space="preserve">  22.包装费_포장비</t>
    <phoneticPr fontId="5" type="noConversion"/>
  </si>
  <si>
    <t xml:space="preserve">  23.办公用品_사무용품비</t>
    <phoneticPr fontId="5" type="noConversion"/>
  </si>
  <si>
    <t xml:space="preserve">  24.消耗品费_소모품비</t>
    <phoneticPr fontId="5" type="noConversion"/>
  </si>
  <si>
    <t xml:space="preserve">  25.消耗工具_소모공구</t>
    <phoneticPr fontId="5" type="noConversion"/>
  </si>
  <si>
    <t xml:space="preserve">  26.支付手续费_지급수수료</t>
    <phoneticPr fontId="5" type="noConversion"/>
  </si>
  <si>
    <t xml:space="preserve">  27.保管费_보관료</t>
    <phoneticPr fontId="5" type="noConversion"/>
  </si>
  <si>
    <t xml:space="preserve">  28.广告宣传费_광고선전비 견본비</t>
    <phoneticPr fontId="5" type="noConversion"/>
  </si>
  <si>
    <t xml:space="preserve">  29.出口收费_수출제비용</t>
    <phoneticPr fontId="5" type="noConversion"/>
  </si>
  <si>
    <t xml:space="preserve">  30.下脚料补税_B/B PVC로스 관세</t>
    <phoneticPr fontId="5" type="noConversion"/>
  </si>
  <si>
    <t xml:space="preserve">  31.委托加工费_erp/등 사용료</t>
    <phoneticPr fontId="5" type="noConversion"/>
  </si>
  <si>
    <t xml:space="preserve">  32.杂费_잡비 은행수수료 등</t>
    <phoneticPr fontId="5" type="noConversion"/>
  </si>
  <si>
    <r>
      <t>Ⅳ.</t>
    </r>
    <r>
      <rPr>
        <b/>
        <sz val="12"/>
        <rFont val="FangSong"/>
        <family val="3"/>
        <charset val="134"/>
      </rPr>
      <t>营业</t>
    </r>
    <r>
      <rPr>
        <b/>
        <sz val="12"/>
        <rFont val="맑은 고딕"/>
        <family val="3"/>
        <charset val="129"/>
      </rPr>
      <t>利</t>
    </r>
    <r>
      <rPr>
        <b/>
        <sz val="12"/>
        <rFont val="FangSong"/>
        <family val="3"/>
        <charset val="134"/>
      </rPr>
      <t>润</t>
    </r>
    <phoneticPr fontId="5" type="noConversion"/>
  </si>
  <si>
    <r>
      <t>Ⅳ.</t>
    </r>
    <r>
      <rPr>
        <b/>
        <sz val="12"/>
        <rFont val="FangSong"/>
        <family val="3"/>
        <charset val="134"/>
      </rPr>
      <t>其他收入</t>
    </r>
    <r>
      <rPr>
        <b/>
        <sz val="12"/>
        <rFont val="맑은 고딕"/>
        <family val="3"/>
        <charset val="129"/>
      </rPr>
      <t>_영업외수익</t>
    </r>
    <phoneticPr fontId="5" type="noConversion"/>
  </si>
  <si>
    <t>1.期投资者收入_단기투자자산익</t>
    <phoneticPr fontId="4" type="noConversion"/>
  </si>
  <si>
    <t>2.外汇买卖收益_외환차익</t>
    <phoneticPr fontId="4" type="noConversion"/>
  </si>
  <si>
    <t>3.外币折算收益_외화환산이익</t>
    <phoneticPr fontId="4" type="noConversion"/>
  </si>
  <si>
    <t>4.前期差错更正的利润_전기오류수정이익</t>
    <phoneticPr fontId="4" type="noConversion"/>
  </si>
  <si>
    <t>5.固定资产处理收益_유형자산처분이익</t>
    <phoneticPr fontId="4" type="noConversion"/>
  </si>
  <si>
    <t>6.利息收益 _이자수익</t>
    <phoneticPr fontId="4" type="noConversion"/>
  </si>
  <si>
    <t>7.杂项利润_잡이익</t>
    <phoneticPr fontId="4" type="noConversion"/>
  </si>
  <si>
    <r>
      <t>Ⅳ.</t>
    </r>
    <r>
      <rPr>
        <b/>
        <sz val="12"/>
        <rFont val="FangSong"/>
        <family val="3"/>
        <charset val="134"/>
      </rPr>
      <t>其他费用</t>
    </r>
    <r>
      <rPr>
        <b/>
        <sz val="12"/>
        <rFont val="맑은 고딕"/>
        <family val="3"/>
        <charset val="129"/>
      </rPr>
      <t>_영업외비용</t>
    </r>
    <phoneticPr fontId="5" type="noConversion"/>
  </si>
  <si>
    <t>1.汇兑损失_외환차손</t>
    <phoneticPr fontId="4" type="noConversion"/>
  </si>
  <si>
    <t>2.捐款_기부금</t>
    <phoneticPr fontId="4" type="noConversion"/>
  </si>
  <si>
    <t>3.其他的坏账准备_기타의대손상각비</t>
    <phoneticPr fontId="4" type="noConversion"/>
  </si>
  <si>
    <t>4.外汇兑换损失_외화환산손실</t>
    <phoneticPr fontId="4" type="noConversion"/>
  </si>
  <si>
    <t>5.短期投资资产损失_단기투자자산손실</t>
    <phoneticPr fontId="4" type="noConversion"/>
  </si>
  <si>
    <t>6.盘亏_재고자산감모손실</t>
    <phoneticPr fontId="4" type="noConversion"/>
  </si>
  <si>
    <t>7.前期差错更正损失_전기오류수정손실</t>
    <phoneticPr fontId="4" type="noConversion"/>
  </si>
  <si>
    <t>8.固定资产处分损失_유형자산처분손실</t>
    <phoneticPr fontId="4" type="noConversion"/>
  </si>
  <si>
    <t>9.有形资产减资损失_유형자산감액손실</t>
    <phoneticPr fontId="4" type="noConversion"/>
  </si>
  <si>
    <t>10.无形资产减值损失_무형자산감액손실</t>
    <phoneticPr fontId="4" type="noConversion"/>
  </si>
  <si>
    <t>11.杂项损失_잡손실</t>
    <phoneticPr fontId="4" type="noConversion"/>
  </si>
  <si>
    <t>12.库存资产报废损失_재고자산폐기손실</t>
    <phoneticPr fontId="4" type="noConversion"/>
  </si>
  <si>
    <t>13.利息费用_이자비용</t>
    <phoneticPr fontId="4" type="noConversion"/>
  </si>
  <si>
    <t>법인세비용 차감전순이익</t>
  </si>
  <si>
    <t>1.法人税_기업소득세</t>
    <phoneticPr fontId="4" type="noConversion"/>
  </si>
  <si>
    <t>本期纯利-净损失_당기순이익-손실</t>
  </si>
  <si>
    <t xml:space="preserve">     (利润率)</t>
  </si>
  <si>
    <t xml:space="preserve">    └ KSCI</t>
  </si>
  <si>
    <t xml:space="preserve">   (동량)</t>
    <phoneticPr fontId="4" type="noConversion"/>
  </si>
  <si>
    <t>OEM</t>
    <phoneticPr fontId="4" type="noConversion"/>
  </si>
  <si>
    <t>B/B</t>
    <phoneticPr fontId="4" type="noConversion"/>
  </si>
  <si>
    <t xml:space="preserve">  2. 상품매출원가</t>
    <phoneticPr fontId="4" type="noConversion"/>
  </si>
  <si>
    <t xml:space="preserve">  3. 반제품매출원가</t>
    <phoneticPr fontId="4" type="noConversion"/>
  </si>
  <si>
    <t xml:space="preserve">  4. 기타매출원가</t>
    <phoneticPr fontId="4" type="noConversion"/>
  </si>
  <si>
    <t xml:space="preserve">  5. 영업부가세</t>
    <phoneticPr fontId="4" type="noConversion"/>
  </si>
  <si>
    <t xml:space="preserve">  32.杂费_잡비 _은행수수료 등</t>
    <phoneticPr fontId="5" type="noConversion"/>
  </si>
  <si>
    <t xml:space="preserve">    └강소 경신</t>
  </si>
  <si>
    <r>
      <t xml:space="preserve">2026年 </t>
    </r>
    <r>
      <rPr>
        <b/>
        <sz val="20"/>
        <color indexed="8"/>
        <rFont val="宋体"/>
        <charset val="134"/>
      </rPr>
      <t>经营计划</t>
    </r>
    <r>
      <rPr>
        <b/>
        <sz val="20"/>
        <color indexed="8"/>
        <rFont val="맑은 고딕"/>
        <family val="3"/>
        <charset val="129"/>
      </rPr>
      <t xml:space="preserve"> _ 制造</t>
    </r>
    <r>
      <rPr>
        <b/>
        <sz val="20"/>
        <color indexed="8"/>
        <rFont val="宋体"/>
        <charset val="134"/>
      </rPr>
      <t>费</t>
    </r>
    <r>
      <rPr>
        <b/>
        <sz val="20"/>
        <color indexed="8"/>
        <rFont val="맑은 고딕"/>
        <family val="3"/>
        <charset val="129"/>
      </rPr>
      <t>用明</t>
    </r>
    <r>
      <rPr>
        <b/>
        <sz val="20"/>
        <color indexed="8"/>
        <rFont val="새굴림"/>
        <family val="1"/>
        <charset val="129"/>
      </rPr>
      <t>细书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全体</t>
    </r>
    <phoneticPr fontId="5" type="noConversion"/>
  </si>
  <si>
    <r>
      <t xml:space="preserve">2026年 </t>
    </r>
    <r>
      <rPr>
        <b/>
        <sz val="20"/>
        <color indexed="8"/>
        <rFont val="宋体"/>
        <charset val="134"/>
      </rPr>
      <t>经营计划</t>
    </r>
    <r>
      <rPr>
        <b/>
        <sz val="20"/>
        <color indexed="8"/>
        <rFont val="맑은 고딕"/>
        <family val="3"/>
        <charset val="129"/>
      </rPr>
      <t xml:space="preserve"> _ 制造</t>
    </r>
    <r>
      <rPr>
        <b/>
        <sz val="20"/>
        <color indexed="8"/>
        <rFont val="宋体"/>
        <charset val="134"/>
      </rPr>
      <t>费</t>
    </r>
    <r>
      <rPr>
        <b/>
        <sz val="20"/>
        <color indexed="8"/>
        <rFont val="맑은 고딕"/>
        <family val="3"/>
        <charset val="129"/>
      </rPr>
      <t>用明</t>
    </r>
    <r>
      <rPr>
        <b/>
        <sz val="20"/>
        <color indexed="8"/>
        <rFont val="새굴림"/>
        <family val="1"/>
        <charset val="129"/>
      </rPr>
      <t>细书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宋体"/>
        <charset val="134"/>
      </rPr>
      <t>电线</t>
    </r>
    <phoneticPr fontId="5" type="noConversion"/>
  </si>
  <si>
    <r>
      <t>2026</t>
    </r>
    <r>
      <rPr>
        <b/>
        <sz val="20"/>
        <color indexed="8"/>
        <rFont val="宋体"/>
        <charset val="134"/>
      </rPr>
      <t>年</t>
    </r>
    <r>
      <rPr>
        <b/>
        <sz val="20"/>
        <color indexed="8"/>
        <rFont val="맑은 고딕"/>
        <family val="3"/>
        <charset val="129"/>
      </rPr>
      <t xml:space="preserve"> </t>
    </r>
    <r>
      <rPr>
        <b/>
        <sz val="20"/>
        <color indexed="8"/>
        <rFont val="宋体"/>
        <charset val="134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charset val="134"/>
      </rPr>
      <t>制造费用明细书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EV</t>
    </r>
    <phoneticPr fontId="5" type="noConversion"/>
  </si>
  <si>
    <r>
      <t>2026</t>
    </r>
    <r>
      <rPr>
        <b/>
        <sz val="20"/>
        <color indexed="8"/>
        <rFont val="宋体"/>
        <charset val="134"/>
      </rPr>
      <t>年</t>
    </r>
    <r>
      <rPr>
        <b/>
        <sz val="20"/>
        <color indexed="8"/>
        <rFont val="맑은 고딕"/>
        <family val="3"/>
        <charset val="129"/>
      </rPr>
      <t xml:space="preserve"> </t>
    </r>
    <r>
      <rPr>
        <b/>
        <sz val="20"/>
        <color indexed="8"/>
        <rFont val="宋体"/>
        <charset val="134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charset val="134"/>
      </rPr>
      <t>损益表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全体</t>
    </r>
    <phoneticPr fontId="5" type="noConversion"/>
  </si>
  <si>
    <r>
      <t xml:space="preserve">2026年 </t>
    </r>
    <r>
      <rPr>
        <b/>
        <sz val="20"/>
        <color indexed="8"/>
        <rFont val="宋体"/>
        <charset val="134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charset val="134"/>
      </rPr>
      <t>损</t>
    </r>
    <r>
      <rPr>
        <b/>
        <sz val="20"/>
        <color indexed="8"/>
        <rFont val="맑은 고딕"/>
        <family val="3"/>
        <charset val="129"/>
      </rPr>
      <t>益表 _</t>
    </r>
    <r>
      <rPr>
        <b/>
        <sz val="20"/>
        <color indexed="12"/>
        <rFont val="宋体"/>
        <charset val="134"/>
      </rPr>
      <t>电线</t>
    </r>
    <phoneticPr fontId="5" type="noConversion"/>
  </si>
  <si>
    <r>
      <t>2026</t>
    </r>
    <r>
      <rPr>
        <b/>
        <sz val="20"/>
        <color indexed="8"/>
        <rFont val="宋体"/>
        <charset val="134"/>
      </rPr>
      <t>年</t>
    </r>
    <r>
      <rPr>
        <b/>
        <sz val="20"/>
        <color indexed="8"/>
        <rFont val="맑은 고딕"/>
        <family val="3"/>
        <charset val="129"/>
      </rPr>
      <t xml:space="preserve"> </t>
    </r>
    <r>
      <rPr>
        <b/>
        <sz val="20"/>
        <color indexed="8"/>
        <rFont val="宋体"/>
        <charset val="134"/>
      </rPr>
      <t>经营计划</t>
    </r>
    <r>
      <rPr>
        <b/>
        <sz val="20"/>
        <color indexed="8"/>
        <rFont val="맑은 고딕"/>
        <family val="3"/>
        <charset val="129"/>
      </rPr>
      <t xml:space="preserve"> _ </t>
    </r>
    <r>
      <rPr>
        <b/>
        <sz val="20"/>
        <color indexed="8"/>
        <rFont val="宋体"/>
        <charset val="134"/>
      </rPr>
      <t>损益表</t>
    </r>
    <r>
      <rPr>
        <b/>
        <sz val="20"/>
        <color indexed="8"/>
        <rFont val="맑은 고딕"/>
        <family val="3"/>
        <charset val="129"/>
      </rPr>
      <t xml:space="preserve"> _</t>
    </r>
    <r>
      <rPr>
        <b/>
        <sz val="20"/>
        <color indexed="12"/>
        <rFont val="맑은 고딕"/>
        <family val="3"/>
        <charset val="129"/>
      </rPr>
      <t>EV</t>
    </r>
    <phoneticPr fontId="5" type="noConversion"/>
  </si>
  <si>
    <t xml:space="preserve">    └경신(B/B)</t>
  </si>
  <si>
    <t xml:space="preserve">    └ UZ KOJE</t>
  </si>
  <si>
    <t xml:space="preserve">    └ 강소 아센텍</t>
  </si>
  <si>
    <t xml:space="preserve">    └ 성광다</t>
  </si>
  <si>
    <t xml:space="preserve">    └ 신진</t>
  </si>
  <si>
    <t>내수매출</t>
    <phoneticPr fontId="2" type="noConversion"/>
  </si>
  <si>
    <t>경신 BB</t>
    <phoneticPr fontId="2" type="noConversion"/>
  </si>
  <si>
    <t>KRW</t>
    <phoneticPr fontId="2" type="noConversion"/>
  </si>
  <si>
    <t>2026년 계획</t>
    <phoneticPr fontId="4" type="noConversion"/>
  </si>
  <si>
    <t>OK</t>
    <phoneticPr fontId="2" type="noConversion"/>
  </si>
  <si>
    <r>
      <t>2026年</t>
    </r>
    <r>
      <rPr>
        <b/>
        <sz val="12"/>
        <color indexed="9"/>
        <rFont val="FangSong"/>
        <family val="3"/>
        <charset val="134"/>
      </rPr>
      <t>计</t>
    </r>
    <r>
      <rPr>
        <b/>
        <sz val="12"/>
        <color indexed="9"/>
        <rFont val="맑은 고딕"/>
        <family val="3"/>
        <charset val="129"/>
      </rPr>
      <t>劃</t>
    </r>
    <phoneticPr fontId="5" type="noConversion"/>
  </si>
  <si>
    <t>2025년 계획</t>
    <phoneticPr fontId="2" type="noConversion"/>
  </si>
  <si>
    <t>2025년 실적(예상)</t>
    <phoneticPr fontId="2" type="noConversion"/>
  </si>
  <si>
    <t>25년실적 EV배분 0, 26년 계획 7% 배분</t>
    <phoneticPr fontId="2" type="noConversion"/>
  </si>
  <si>
    <t>임금만 계획수립</t>
    <phoneticPr fontId="2" type="noConversion"/>
  </si>
  <si>
    <t>매입세 소진으로 세금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</si>
</sst>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0.0%"/>
    <numFmt numFmtId="179" formatCode="#,##0,"/>
  </numFmts>
  <fonts count="2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8"/>
      <name val="바탕체"/>
      <family val="1"/>
      <charset val="129"/>
    </font>
    <font>
      <sz val="16"/>
      <name val="굴림체"/>
      <family val="3"/>
      <charset val="129"/>
    </font>
    <font>
      <b/>
      <sz val="12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20"/>
      <color indexed="8"/>
      <name val="새굴림"/>
      <family val="1"/>
      <charset val="129"/>
    </font>
    <font>
      <b/>
      <sz val="20"/>
      <color indexed="12"/>
      <name val="맑은 고딕"/>
      <family val="3"/>
      <charset val="129"/>
    </font>
    <font>
      <sz val="14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2"/>
      <color indexed="9"/>
      <name val="MS Gothic"/>
      <family val="3"/>
      <charset val="128"/>
    </font>
    <font>
      <b/>
      <sz val="12"/>
      <color indexed="9"/>
      <name val="맑은 고딕"/>
      <family val="3"/>
      <charset val="129"/>
    </font>
    <font>
      <b/>
      <sz val="12"/>
      <color indexed="9"/>
      <name val="FangSong"/>
      <family val="3"/>
      <charset val="134"/>
    </font>
    <font>
      <b/>
      <sz val="12"/>
      <name val="FangSong"/>
      <family val="3"/>
      <charset val="134"/>
    </font>
    <font>
      <sz val="12"/>
      <color theme="0" tint="-0.249977111117893"/>
      <name val="맑은 고딕"/>
      <family val="3"/>
      <charset val="129"/>
    </font>
    <font>
      <sz val="12"/>
      <name val="FangSong"/>
      <family val="3"/>
      <charset val="134"/>
    </font>
    <font>
      <sz val="12"/>
      <color theme="0" tint="-0.34998626667073579"/>
      <name val="맑은 고딕"/>
      <family val="3"/>
      <charset val="129"/>
    </font>
    <font>
      <sz val="12"/>
      <name val="맑은 고딕"/>
      <family val="3"/>
      <charset val="129"/>
      <scheme val="major"/>
    </font>
    <font>
      <b/>
      <sz val="20"/>
      <color indexed="8"/>
      <name val="宋体"/>
      <charset val="134"/>
    </font>
    <font>
      <b/>
      <sz val="20"/>
      <color indexed="12"/>
      <name val="宋体"/>
      <charset val="134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hair">
        <color theme="0" tint="-0.499984740745262"/>
      </right>
      <top/>
      <bottom style="thin">
        <color theme="0" tint="-0.34998626667073579"/>
      </bottom>
      <diagonal/>
    </border>
    <border>
      <left style="hair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hair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34998626667073579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34998626667073579"/>
      </right>
      <top/>
      <bottom style="thin">
        <color theme="0" tint="-0.499984740745262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7" fillId="0" borderId="0" xfId="0" applyFont="1" applyAlignment="1"/>
    <xf numFmtId="176" fontId="11" fillId="0" borderId="0" xfId="1" applyNumberFormat="1" applyFont="1" applyAlignment="1">
      <alignment vertical="center"/>
    </xf>
    <xf numFmtId="176" fontId="3" fillId="0" borderId="0" xfId="1" applyNumberFormat="1" applyFont="1" applyAlignment="1">
      <alignment horizontal="right"/>
    </xf>
    <xf numFmtId="176" fontId="6" fillId="0" borderId="0" xfId="1" applyNumberFormat="1" applyFont="1" applyAlignment="1">
      <alignment vertical="center"/>
    </xf>
    <xf numFmtId="176" fontId="12" fillId="5" borderId="0" xfId="1" applyNumberFormat="1" applyFont="1" applyFill="1" applyBorder="1" applyAlignment="1">
      <alignment horizontal="center" vertical="center"/>
    </xf>
    <xf numFmtId="176" fontId="12" fillId="5" borderId="2" xfId="1" applyNumberFormat="1" applyFont="1" applyFill="1" applyBorder="1" applyAlignment="1">
      <alignment horizontal="centerContinuous" vertical="center"/>
    </xf>
    <xf numFmtId="176" fontId="12" fillId="5" borderId="3" xfId="1" applyNumberFormat="1" applyFont="1" applyFill="1" applyBorder="1" applyAlignment="1">
      <alignment horizontal="centerContinuous" vertical="center"/>
    </xf>
    <xf numFmtId="176" fontId="12" fillId="5" borderId="4" xfId="1" applyNumberFormat="1" applyFont="1" applyFill="1" applyBorder="1" applyAlignment="1">
      <alignment horizontal="centerContinuous" vertical="center"/>
    </xf>
    <xf numFmtId="176" fontId="6" fillId="4" borderId="5" xfId="1" applyNumberFormat="1" applyFont="1" applyFill="1" applyBorder="1" applyAlignment="1">
      <alignment vertical="center"/>
    </xf>
    <xf numFmtId="176" fontId="6" fillId="4" borderId="2" xfId="1" applyNumberFormat="1" applyFont="1" applyFill="1" applyBorder="1" applyAlignment="1">
      <alignment horizontal="right" vertical="center"/>
    </xf>
    <xf numFmtId="176" fontId="6" fillId="4" borderId="3" xfId="1" applyNumberFormat="1" applyFont="1" applyFill="1" applyBorder="1" applyAlignment="1">
      <alignment horizontal="right" vertical="center"/>
    </xf>
    <xf numFmtId="176" fontId="6" fillId="4" borderId="1" xfId="1" applyNumberFormat="1" applyFont="1" applyFill="1" applyBorder="1" applyAlignment="1">
      <alignment horizontal="right" vertical="center"/>
    </xf>
    <xf numFmtId="176" fontId="6" fillId="4" borderId="4" xfId="1" applyNumberFormat="1" applyFont="1" applyFill="1" applyBorder="1" applyAlignment="1">
      <alignment horizontal="right" vertical="center"/>
    </xf>
    <xf numFmtId="176" fontId="3" fillId="0" borderId="5" xfId="1" applyNumberFormat="1" applyFont="1" applyBorder="1" applyAlignment="1">
      <alignment vertical="center"/>
    </xf>
    <xf numFmtId="176" fontId="3" fillId="0" borderId="2" xfId="1" applyNumberFormat="1" applyFont="1" applyBorder="1" applyAlignment="1">
      <alignment vertical="center"/>
    </xf>
    <xf numFmtId="176" fontId="3" fillId="0" borderId="3" xfId="1" applyNumberFormat="1" applyFont="1" applyBorder="1" applyAlignment="1">
      <alignment horizontal="right" vertical="center"/>
    </xf>
    <xf numFmtId="176" fontId="3" fillId="0" borderId="1" xfId="1" applyNumberFormat="1" applyFont="1" applyBorder="1" applyAlignment="1">
      <alignment horizontal="right" vertical="center"/>
    </xf>
    <xf numFmtId="176" fontId="3" fillId="0" borderId="4" xfId="1" applyNumberFormat="1" applyFont="1" applyBorder="1" applyAlignment="1">
      <alignment horizontal="right" vertical="center"/>
    </xf>
    <xf numFmtId="176" fontId="3" fillId="0" borderId="6" xfId="1" applyNumberFormat="1" applyFont="1" applyBorder="1" applyAlignment="1">
      <alignment horizontal="right" vertical="center"/>
    </xf>
    <xf numFmtId="176" fontId="3" fillId="0" borderId="0" xfId="1" applyNumberFormat="1" applyFont="1" applyBorder="1" applyAlignment="1">
      <alignment vertical="center"/>
    </xf>
    <xf numFmtId="176" fontId="6" fillId="0" borderId="0" xfId="1" applyNumberFormat="1" applyFont="1" applyBorder="1" applyAlignment="1">
      <alignment vertical="center"/>
    </xf>
    <xf numFmtId="176" fontId="6" fillId="4" borderId="2" xfId="1" applyNumberFormat="1" applyFont="1" applyFill="1" applyBorder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176" fontId="3" fillId="0" borderId="5" xfId="1" applyNumberFormat="1" applyFont="1" applyFill="1" applyBorder="1" applyAlignment="1">
      <alignment vertical="center"/>
    </xf>
    <xf numFmtId="176" fontId="6" fillId="6" borderId="5" xfId="1" quotePrefix="1" applyNumberFormat="1" applyFont="1" applyFill="1" applyBorder="1" applyAlignment="1">
      <alignment vertical="center"/>
    </xf>
    <xf numFmtId="176" fontId="6" fillId="6" borderId="2" xfId="1" applyNumberFormat="1" applyFont="1" applyFill="1" applyBorder="1" applyAlignment="1">
      <alignment vertical="center"/>
    </xf>
    <xf numFmtId="176" fontId="6" fillId="6" borderId="3" xfId="1" applyNumberFormat="1" applyFont="1" applyFill="1" applyBorder="1" applyAlignment="1">
      <alignment horizontal="right" vertical="center"/>
    </xf>
    <xf numFmtId="176" fontId="6" fillId="6" borderId="1" xfId="1" applyNumberFormat="1" applyFont="1" applyFill="1" applyBorder="1" applyAlignment="1">
      <alignment horizontal="right" vertical="center"/>
    </xf>
    <xf numFmtId="176" fontId="6" fillId="6" borderId="4" xfId="1" applyNumberFormat="1" applyFont="1" applyFill="1" applyBorder="1" applyAlignment="1">
      <alignment horizontal="right" vertical="center"/>
    </xf>
    <xf numFmtId="176" fontId="3" fillId="0" borderId="5" xfId="0" quotePrefix="1" applyNumberFormat="1" applyFont="1" applyBorder="1" applyAlignment="1">
      <alignment horizontal="left" vertical="center"/>
    </xf>
    <xf numFmtId="176" fontId="3" fillId="0" borderId="3" xfId="4" applyNumberFormat="1" applyFont="1" applyBorder="1" applyAlignment="1">
      <alignment horizontal="right" vertical="center"/>
    </xf>
    <xf numFmtId="176" fontId="3" fillId="0" borderId="1" xfId="4" applyNumberFormat="1" applyFont="1" applyBorder="1" applyAlignment="1">
      <alignment horizontal="right" vertical="center"/>
    </xf>
    <xf numFmtId="176" fontId="3" fillId="0" borderId="4" xfId="4" applyNumberFormat="1" applyFont="1" applyBorder="1" applyAlignment="1">
      <alignment horizontal="right" vertical="center"/>
    </xf>
    <xf numFmtId="176" fontId="6" fillId="6" borderId="7" xfId="0" quotePrefix="1" applyNumberFormat="1" applyFont="1" applyFill="1" applyBorder="1" applyAlignment="1">
      <alignment horizontal="left" vertical="center"/>
    </xf>
    <xf numFmtId="176" fontId="6" fillId="6" borderId="8" xfId="1" applyNumberFormat="1" applyFont="1" applyFill="1" applyBorder="1" applyAlignment="1">
      <alignment vertical="center"/>
    </xf>
    <xf numFmtId="176" fontId="6" fillId="6" borderId="9" xfId="1" applyNumberFormat="1" applyFont="1" applyFill="1" applyBorder="1" applyAlignment="1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3" fillId="0" borderId="2" xfId="3" applyNumberFormat="1" applyFont="1" applyBorder="1" applyAlignment="1">
      <alignment vertical="center"/>
    </xf>
    <xf numFmtId="176" fontId="3" fillId="0" borderId="0" xfId="1" applyNumberFormat="1" applyFont="1" applyFill="1" applyAlignment="1">
      <alignment vertical="center"/>
    </xf>
    <xf numFmtId="9" fontId="3" fillId="0" borderId="0" xfId="2" applyFont="1" applyFill="1" applyAlignment="1">
      <alignment vertical="center"/>
    </xf>
    <xf numFmtId="176" fontId="11" fillId="0" borderId="0" xfId="1" applyNumberFormat="1" applyFont="1" applyFill="1" applyAlignment="1">
      <alignment vertical="center"/>
    </xf>
    <xf numFmtId="9" fontId="3" fillId="0" borderId="0" xfId="2" applyFont="1" applyAlignment="1">
      <alignment vertical="center"/>
    </xf>
    <xf numFmtId="176" fontId="3" fillId="0" borderId="2" xfId="1" applyNumberFormat="1" applyFont="1" applyFill="1" applyBorder="1" applyAlignment="1">
      <alignment vertical="center"/>
    </xf>
    <xf numFmtId="176" fontId="3" fillId="0" borderId="3" xfId="1" applyNumberFormat="1" applyFont="1" applyFill="1" applyBorder="1" applyAlignment="1">
      <alignment horizontal="right" vertical="center"/>
    </xf>
    <xf numFmtId="176" fontId="3" fillId="0" borderId="4" xfId="1" applyNumberFormat="1" applyFont="1" applyFill="1" applyBorder="1" applyAlignment="1">
      <alignment horizontal="right" vertical="center"/>
    </xf>
    <xf numFmtId="176" fontId="6" fillId="6" borderId="10" xfId="4" applyNumberFormat="1" applyFont="1" applyFill="1" applyBorder="1" applyAlignment="1">
      <alignment horizontal="right" vertical="center"/>
    </xf>
    <xf numFmtId="176" fontId="6" fillId="6" borderId="11" xfId="4" applyNumberFormat="1" applyFont="1" applyFill="1" applyBorder="1" applyAlignment="1">
      <alignment horizontal="right" vertical="center"/>
    </xf>
    <xf numFmtId="176" fontId="17" fillId="0" borderId="0" xfId="1" applyNumberFormat="1" applyFont="1" applyAlignment="1">
      <alignment vertical="center"/>
    </xf>
    <xf numFmtId="176" fontId="12" fillId="2" borderId="12" xfId="1" applyNumberFormat="1" applyFont="1" applyFill="1" applyBorder="1" applyAlignment="1">
      <alignment horizontal="centerContinuous" vertical="center"/>
    </xf>
    <xf numFmtId="176" fontId="12" fillId="2" borderId="0" xfId="1" applyNumberFormat="1" applyFont="1" applyFill="1" applyBorder="1" applyAlignment="1">
      <alignment horizontal="centerContinuous" vertical="center"/>
    </xf>
    <xf numFmtId="176" fontId="6" fillId="7" borderId="12" xfId="1" applyNumberFormat="1" applyFont="1" applyFill="1" applyBorder="1" applyAlignment="1">
      <alignment horizontal="right" vertical="center"/>
    </xf>
    <xf numFmtId="176" fontId="3" fillId="3" borderId="12" xfId="1" applyNumberFormat="1" applyFont="1" applyFill="1" applyBorder="1" applyAlignment="1">
      <alignment vertical="center"/>
    </xf>
    <xf numFmtId="176" fontId="3" fillId="0" borderId="12" xfId="1" applyNumberFormat="1" applyFont="1" applyBorder="1" applyAlignment="1">
      <alignment vertical="center"/>
    </xf>
    <xf numFmtId="176" fontId="6" fillId="7" borderId="12" xfId="1" applyNumberFormat="1" applyFont="1" applyFill="1" applyBorder="1" applyAlignment="1">
      <alignment vertical="center"/>
    </xf>
    <xf numFmtId="176" fontId="3" fillId="3" borderId="6" xfId="1" applyNumberFormat="1" applyFont="1" applyFill="1" applyBorder="1" applyAlignment="1">
      <alignment horizontal="right" vertical="center"/>
    </xf>
    <xf numFmtId="176" fontId="6" fillId="3" borderId="13" xfId="1" applyNumberFormat="1" applyFont="1" applyFill="1" applyBorder="1" applyAlignment="1">
      <alignment vertical="center"/>
    </xf>
    <xf numFmtId="176" fontId="19" fillId="0" borderId="0" xfId="1" applyNumberFormat="1" applyFont="1" applyAlignment="1">
      <alignment vertical="center"/>
    </xf>
    <xf numFmtId="176" fontId="19" fillId="0" borderId="14" xfId="1" applyNumberFormat="1" applyFont="1" applyBorder="1" applyAlignment="1">
      <alignment vertical="center"/>
    </xf>
    <xf numFmtId="176" fontId="19" fillId="0" borderId="0" xfId="1" applyNumberFormat="1" applyFont="1" applyBorder="1" applyAlignment="1">
      <alignment vertical="center"/>
    </xf>
    <xf numFmtId="41" fontId="11" fillId="0" borderId="0" xfId="1" applyFont="1" applyAlignment="1">
      <alignment vertical="center"/>
    </xf>
    <xf numFmtId="176" fontId="11" fillId="0" borderId="0" xfId="1" applyNumberFormat="1" applyFont="1" applyBorder="1" applyAlignment="1">
      <alignment vertical="center"/>
    </xf>
    <xf numFmtId="176" fontId="6" fillId="2" borderId="4" xfId="1" applyNumberFormat="1" applyFont="1" applyFill="1" applyBorder="1" applyAlignment="1">
      <alignment horizontal="centerContinuous" vertical="center"/>
    </xf>
    <xf numFmtId="176" fontId="6" fillId="7" borderId="4" xfId="1" applyNumberFormat="1" applyFont="1" applyFill="1" applyBorder="1" applyAlignment="1">
      <alignment horizontal="right" vertical="center"/>
    </xf>
    <xf numFmtId="176" fontId="3" fillId="3" borderId="4" xfId="1" applyNumberFormat="1" applyFont="1" applyFill="1" applyBorder="1" applyAlignment="1">
      <alignment horizontal="right" vertical="center"/>
    </xf>
    <xf numFmtId="176" fontId="3" fillId="0" borderId="12" xfId="1" applyNumberFormat="1" applyFont="1" applyFill="1" applyBorder="1" applyAlignment="1">
      <alignment vertical="center"/>
    </xf>
    <xf numFmtId="176" fontId="3" fillId="0" borderId="6" xfId="1" applyNumberFormat="1" applyFont="1" applyFill="1" applyBorder="1" applyAlignment="1">
      <alignment horizontal="right" vertical="center"/>
    </xf>
    <xf numFmtId="176" fontId="6" fillId="7" borderId="6" xfId="1" applyNumberFormat="1" applyFont="1" applyFill="1" applyBorder="1" applyAlignment="1">
      <alignment horizontal="right" vertical="center"/>
    </xf>
    <xf numFmtId="177" fontId="3" fillId="3" borderId="4" xfId="2" applyNumberFormat="1" applyFont="1" applyFill="1" applyBorder="1" applyAlignment="1">
      <alignment horizontal="right" vertical="center"/>
    </xf>
    <xf numFmtId="177" fontId="3" fillId="0" borderId="0" xfId="2" applyNumberFormat="1" applyFont="1" applyAlignment="1">
      <alignment vertical="center"/>
    </xf>
    <xf numFmtId="176" fontId="3" fillId="0" borderId="14" xfId="1" applyNumberFormat="1" applyFont="1" applyFill="1" applyBorder="1" applyAlignment="1">
      <alignment vertical="center"/>
    </xf>
    <xf numFmtId="176" fontId="3" fillId="0" borderId="0" xfId="1" applyNumberFormat="1" applyFont="1" applyFill="1" applyBorder="1" applyAlignment="1">
      <alignment vertical="center"/>
    </xf>
    <xf numFmtId="41" fontId="3" fillId="0" borderId="0" xfId="1" applyFont="1" applyAlignment="1">
      <alignment vertical="center"/>
    </xf>
    <xf numFmtId="176" fontId="12" fillId="2" borderId="16" xfId="1" applyNumberFormat="1" applyFont="1" applyFill="1" applyBorder="1" applyAlignment="1">
      <alignment horizontal="centerContinuous" vertical="center"/>
    </xf>
    <xf numFmtId="176" fontId="12" fillId="2" borderId="17" xfId="1" applyNumberFormat="1" applyFont="1" applyFill="1" applyBorder="1" applyAlignment="1">
      <alignment horizontal="centerContinuous" vertical="center"/>
    </xf>
    <xf numFmtId="176" fontId="12" fillId="2" borderId="6" xfId="1" applyNumberFormat="1" applyFont="1" applyFill="1" applyBorder="1" applyAlignment="1">
      <alignment horizontal="centerContinuous" vertical="center"/>
    </xf>
    <xf numFmtId="176" fontId="6" fillId="7" borderId="16" xfId="1" applyNumberFormat="1" applyFont="1" applyFill="1" applyBorder="1" applyAlignment="1">
      <alignment horizontal="right" vertical="center"/>
    </xf>
    <xf numFmtId="176" fontId="6" fillId="7" borderId="17" xfId="1" applyNumberFormat="1" applyFont="1" applyFill="1" applyBorder="1" applyAlignment="1">
      <alignment horizontal="right" vertical="center"/>
    </xf>
    <xf numFmtId="176" fontId="6" fillId="7" borderId="0" xfId="1" applyNumberFormat="1" applyFont="1" applyFill="1" applyBorder="1" applyAlignment="1">
      <alignment horizontal="right" vertical="center"/>
    </xf>
    <xf numFmtId="176" fontId="3" fillId="3" borderId="16" xfId="1" applyNumberFormat="1" applyFont="1" applyFill="1" applyBorder="1" applyAlignment="1">
      <alignment horizontal="right" vertical="center"/>
    </xf>
    <xf numFmtId="176" fontId="3" fillId="3" borderId="17" xfId="1" applyNumberFormat="1" applyFont="1" applyFill="1" applyBorder="1" applyAlignment="1">
      <alignment horizontal="right" vertical="center"/>
    </xf>
    <xf numFmtId="176" fontId="3" fillId="3" borderId="0" xfId="1" applyNumberFormat="1" applyFont="1" applyFill="1" applyBorder="1" applyAlignment="1">
      <alignment horizontal="right" vertical="center"/>
    </xf>
    <xf numFmtId="176" fontId="3" fillId="3" borderId="15" xfId="1" applyNumberFormat="1" applyFont="1" applyFill="1" applyBorder="1" applyAlignment="1">
      <alignment horizontal="right" vertical="center"/>
    </xf>
    <xf numFmtId="176" fontId="3" fillId="0" borderId="16" xfId="1" applyNumberFormat="1" applyFont="1" applyBorder="1" applyAlignment="1">
      <alignment horizontal="right" vertical="center"/>
    </xf>
    <xf numFmtId="176" fontId="3" fillId="0" borderId="17" xfId="1" applyNumberFormat="1" applyFont="1" applyBorder="1" applyAlignment="1">
      <alignment horizontal="right" vertical="center"/>
    </xf>
    <xf numFmtId="176" fontId="3" fillId="0" borderId="0" xfId="1" applyNumberFormat="1" applyFont="1" applyBorder="1" applyAlignment="1">
      <alignment horizontal="right" vertical="center"/>
    </xf>
    <xf numFmtId="176" fontId="3" fillId="0" borderId="16" xfId="1" applyNumberFormat="1" applyFont="1" applyFill="1" applyBorder="1" applyAlignment="1">
      <alignment horizontal="right" vertical="center"/>
    </xf>
    <xf numFmtId="176" fontId="3" fillId="0" borderId="17" xfId="1" applyNumberFormat="1" applyFont="1" applyFill="1" applyBorder="1" applyAlignment="1">
      <alignment horizontal="right" vertical="center"/>
    </xf>
    <xf numFmtId="176" fontId="3" fillId="0" borderId="0" xfId="1" applyNumberFormat="1" applyFont="1" applyFill="1" applyBorder="1" applyAlignment="1">
      <alignment horizontal="right" vertical="center"/>
    </xf>
    <xf numFmtId="10" fontId="3" fillId="3" borderId="12" xfId="2" applyNumberFormat="1" applyFont="1" applyFill="1" applyBorder="1" applyAlignment="1">
      <alignment vertical="center"/>
    </xf>
    <xf numFmtId="10" fontId="3" fillId="3" borderId="5" xfId="2" applyNumberFormat="1" applyFont="1" applyFill="1" applyBorder="1" applyAlignment="1">
      <alignment vertical="center"/>
    </xf>
    <xf numFmtId="10" fontId="3" fillId="3" borderId="17" xfId="2" applyNumberFormat="1" applyFont="1" applyFill="1" applyBorder="1" applyAlignment="1">
      <alignment vertical="center"/>
    </xf>
    <xf numFmtId="10" fontId="3" fillId="3" borderId="0" xfId="2" applyNumberFormat="1" applyFont="1" applyFill="1" applyBorder="1" applyAlignment="1">
      <alignment vertical="center"/>
    </xf>
    <xf numFmtId="10" fontId="3" fillId="3" borderId="6" xfId="2" applyNumberFormat="1" applyFont="1" applyFill="1" applyBorder="1" applyAlignment="1">
      <alignment vertical="center"/>
    </xf>
    <xf numFmtId="176" fontId="20" fillId="0" borderId="6" xfId="0" applyNumberFormat="1" applyFont="1" applyBorder="1">
      <alignment vertical="center"/>
    </xf>
    <xf numFmtId="176" fontId="3" fillId="0" borderId="16" xfId="4" applyNumberFormat="1" applyFont="1" applyBorder="1" applyAlignment="1">
      <alignment horizontal="right" vertical="center"/>
    </xf>
    <xf numFmtId="176" fontId="3" fillId="0" borderId="17" xfId="4" applyNumberFormat="1" applyFont="1" applyBorder="1" applyAlignment="1">
      <alignment horizontal="right" vertical="center"/>
    </xf>
    <xf numFmtId="176" fontId="3" fillId="0" borderId="0" xfId="4" applyNumberFormat="1" applyFont="1" applyBorder="1" applyAlignment="1">
      <alignment horizontal="right" vertical="center"/>
    </xf>
    <xf numFmtId="176" fontId="3" fillId="0" borderId="6" xfId="4" applyNumberFormat="1" applyFont="1" applyBorder="1" applyAlignment="1">
      <alignment horizontal="right" vertical="center"/>
    </xf>
    <xf numFmtId="176" fontId="6" fillId="7" borderId="16" xfId="4" applyNumberFormat="1" applyFont="1" applyFill="1" applyBorder="1" applyAlignment="1">
      <alignment horizontal="right" vertical="center"/>
    </xf>
    <xf numFmtId="176" fontId="6" fillId="7" borderId="17" xfId="4" applyNumberFormat="1" applyFont="1" applyFill="1" applyBorder="1" applyAlignment="1">
      <alignment horizontal="right" vertical="center"/>
    </xf>
    <xf numFmtId="176" fontId="6" fillId="7" borderId="0" xfId="4" applyNumberFormat="1" applyFont="1" applyFill="1" applyBorder="1" applyAlignment="1">
      <alignment horizontal="right" vertical="center"/>
    </xf>
    <xf numFmtId="176" fontId="6" fillId="7" borderId="6" xfId="4" applyNumberFormat="1" applyFont="1" applyFill="1" applyBorder="1" applyAlignment="1">
      <alignment horizontal="right" vertical="center"/>
    </xf>
    <xf numFmtId="9" fontId="6" fillId="3" borderId="18" xfId="2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right" vertical="center"/>
    </xf>
    <xf numFmtId="9" fontId="6" fillId="3" borderId="20" xfId="2" applyFont="1" applyFill="1" applyBorder="1" applyAlignment="1">
      <alignment horizontal="right" vertical="center"/>
    </xf>
    <xf numFmtId="9" fontId="6" fillId="3" borderId="21" xfId="2" applyFont="1" applyFill="1" applyBorder="1" applyAlignment="1">
      <alignment horizontal="right" vertical="center"/>
    </xf>
    <xf numFmtId="9" fontId="0" fillId="0" borderId="0" xfId="0" applyNumberFormat="1">
      <alignment vertical="center"/>
    </xf>
    <xf numFmtId="10" fontId="3" fillId="3" borderId="6" xfId="2" applyNumberFormat="1" applyFont="1" applyFill="1" applyBorder="1" applyAlignment="1">
      <alignment horizontal="right" vertical="center"/>
    </xf>
    <xf numFmtId="10" fontId="3" fillId="3" borderId="4" xfId="2" applyNumberFormat="1" applyFont="1" applyFill="1" applyBorder="1" applyAlignment="1">
      <alignment horizontal="right" vertical="center"/>
    </xf>
    <xf numFmtId="10" fontId="3" fillId="3" borderId="16" xfId="2" applyNumberFormat="1" applyFont="1" applyFill="1" applyBorder="1" applyAlignment="1">
      <alignment horizontal="right" vertical="center"/>
    </xf>
    <xf numFmtId="10" fontId="3" fillId="3" borderId="17" xfId="2" applyNumberFormat="1" applyFont="1" applyFill="1" applyBorder="1" applyAlignment="1">
      <alignment horizontal="right" vertical="center"/>
    </xf>
    <xf numFmtId="10" fontId="3" fillId="3" borderId="0" xfId="2" applyNumberFormat="1" applyFont="1" applyFill="1" applyBorder="1" applyAlignment="1">
      <alignment horizontal="right" vertical="center"/>
    </xf>
    <xf numFmtId="177" fontId="0" fillId="0" borderId="0" xfId="2" applyNumberFormat="1" applyFont="1">
      <alignment vertical="center"/>
    </xf>
    <xf numFmtId="0" fontId="0" fillId="8" borderId="0" xfId="0" applyFill="1">
      <alignment vertical="center"/>
    </xf>
    <xf numFmtId="41" fontId="6" fillId="4" borderId="5" xfId="1" applyFont="1" applyFill="1" applyBorder="1" applyAlignment="1">
      <alignment vertical="center"/>
    </xf>
    <xf numFmtId="41" fontId="3" fillId="0" borderId="5" xfId="1" applyFont="1" applyBorder="1" applyAlignment="1">
      <alignment vertical="center"/>
    </xf>
    <xf numFmtId="41" fontId="3" fillId="0" borderId="5" xfId="1" applyFont="1" applyFill="1" applyBorder="1" applyAlignment="1">
      <alignment vertical="center"/>
    </xf>
    <xf numFmtId="41" fontId="6" fillId="6" borderId="5" xfId="1" quotePrefix="1" applyFont="1" applyFill="1" applyBorder="1" applyAlignment="1">
      <alignment vertical="center"/>
    </xf>
    <xf numFmtId="41" fontId="3" fillId="0" borderId="5" xfId="1" quotePrefix="1" applyFont="1" applyBorder="1" applyAlignment="1">
      <alignment horizontal="left" vertical="center"/>
    </xf>
    <xf numFmtId="41" fontId="6" fillId="6" borderId="5" xfId="1" quotePrefix="1" applyFont="1" applyFill="1" applyBorder="1" applyAlignment="1">
      <alignment horizontal="left" vertical="center"/>
    </xf>
    <xf numFmtId="41" fontId="6" fillId="6" borderId="7" xfId="1" quotePrefix="1" applyFont="1" applyFill="1" applyBorder="1" applyAlignment="1">
      <alignment horizontal="left" vertical="center"/>
    </xf>
    <xf numFmtId="176" fontId="12" fillId="2" borderId="22" xfId="1" applyNumberFormat="1" applyFont="1" applyFill="1" applyBorder="1" applyAlignment="1">
      <alignment horizontal="center" vertical="center"/>
    </xf>
    <xf numFmtId="176" fontId="12" fillId="2" borderId="2" xfId="1" applyNumberFormat="1" applyFont="1" applyFill="1" applyBorder="1" applyAlignment="1">
      <alignment horizontal="center" vertical="center"/>
    </xf>
    <xf numFmtId="176" fontId="6" fillId="7" borderId="2" xfId="1" applyNumberFormat="1" applyFont="1" applyFill="1" applyBorder="1" applyAlignment="1">
      <alignment vertical="center"/>
    </xf>
    <xf numFmtId="176" fontId="3" fillId="3" borderId="2" xfId="1" applyNumberFormat="1" applyFont="1" applyFill="1" applyBorder="1" applyAlignment="1">
      <alignment vertical="center"/>
    </xf>
    <xf numFmtId="176" fontId="3" fillId="3" borderId="12" xfId="1" applyNumberFormat="1" applyFont="1" applyFill="1" applyBorder="1" applyAlignment="1">
      <alignment horizontal="right" vertical="center"/>
    </xf>
    <xf numFmtId="176" fontId="3" fillId="0" borderId="12" xfId="1" applyNumberFormat="1" applyFont="1" applyBorder="1" applyAlignment="1">
      <alignment horizontal="right" vertical="center"/>
    </xf>
    <xf numFmtId="176" fontId="3" fillId="0" borderId="12" xfId="1" applyNumberFormat="1" applyFont="1" applyFill="1" applyBorder="1" applyAlignment="1">
      <alignment horizontal="right" vertical="center"/>
    </xf>
    <xf numFmtId="41" fontId="6" fillId="7" borderId="2" xfId="1" applyFont="1" applyFill="1" applyBorder="1" applyAlignment="1">
      <alignment vertical="center"/>
    </xf>
    <xf numFmtId="41" fontId="3" fillId="0" borderId="2" xfId="1" applyFont="1" applyFill="1" applyBorder="1" applyAlignment="1">
      <alignment vertical="center"/>
    </xf>
    <xf numFmtId="41" fontId="3" fillId="3" borderId="2" xfId="1" applyFont="1" applyFill="1" applyBorder="1" applyAlignment="1">
      <alignment vertical="center"/>
    </xf>
    <xf numFmtId="41" fontId="3" fillId="0" borderId="2" xfId="1" applyFont="1" applyBorder="1" applyAlignment="1">
      <alignment vertical="center"/>
    </xf>
    <xf numFmtId="176" fontId="6" fillId="7" borderId="2" xfId="1" quotePrefix="1" applyNumberFormat="1" applyFont="1" applyFill="1" applyBorder="1" applyAlignment="1">
      <alignment vertical="center"/>
    </xf>
    <xf numFmtId="41" fontId="6" fillId="7" borderId="2" xfId="1" quotePrefix="1" applyFont="1" applyFill="1" applyBorder="1" applyAlignment="1">
      <alignment vertical="center"/>
    </xf>
    <xf numFmtId="9" fontId="3" fillId="3" borderId="2" xfId="2" applyFont="1" applyFill="1" applyBorder="1" applyAlignment="1">
      <alignment vertical="center"/>
    </xf>
    <xf numFmtId="10" fontId="3" fillId="3" borderId="5" xfId="2" applyNumberFormat="1" applyFont="1" applyFill="1" applyBorder="1" applyAlignment="1">
      <alignment horizontal="right" vertical="center"/>
    </xf>
    <xf numFmtId="176" fontId="3" fillId="0" borderId="2" xfId="0" quotePrefix="1" applyNumberFormat="1" applyFont="1" applyBorder="1" applyAlignment="1">
      <alignment horizontal="left" vertical="center"/>
    </xf>
    <xf numFmtId="41" fontId="3" fillId="0" borderId="2" xfId="1" quotePrefix="1" applyFont="1" applyBorder="1" applyAlignment="1">
      <alignment horizontal="left" vertical="center"/>
    </xf>
    <xf numFmtId="176" fontId="6" fillId="7" borderId="2" xfId="0" quotePrefix="1" applyNumberFormat="1" applyFont="1" applyFill="1" applyBorder="1" applyAlignment="1">
      <alignment horizontal="left" vertical="center"/>
    </xf>
    <xf numFmtId="41" fontId="6" fillId="7" borderId="2" xfId="1" quotePrefix="1" applyFont="1" applyFill="1" applyBorder="1" applyAlignment="1">
      <alignment horizontal="left" vertical="center"/>
    </xf>
    <xf numFmtId="176" fontId="6" fillId="3" borderId="23" xfId="0" quotePrefix="1" applyNumberFormat="1" applyFont="1" applyFill="1" applyBorder="1" applyAlignment="1">
      <alignment horizontal="left" vertical="center"/>
    </xf>
    <xf numFmtId="41" fontId="6" fillId="3" borderId="23" xfId="1" quotePrefix="1" applyFont="1" applyFill="1" applyBorder="1" applyAlignment="1">
      <alignment horizontal="left" vertical="center"/>
    </xf>
    <xf numFmtId="176" fontId="12" fillId="2" borderId="3" xfId="1" applyNumberFormat="1" applyFont="1" applyFill="1" applyBorder="1" applyAlignment="1">
      <alignment horizontal="center" vertical="center"/>
    </xf>
    <xf numFmtId="176" fontId="12" fillId="2" borderId="1" xfId="1" applyNumberFormat="1" applyFont="1" applyFill="1" applyBorder="1" applyAlignment="1">
      <alignment horizontal="center" vertical="center"/>
    </xf>
    <xf numFmtId="176" fontId="12" fillId="2" borderId="1" xfId="1" applyNumberFormat="1" applyFont="1" applyFill="1" applyBorder="1" applyAlignment="1">
      <alignment horizontal="centerContinuous" vertical="center"/>
    </xf>
    <xf numFmtId="176" fontId="6" fillId="2" borderId="1" xfId="1" applyNumberFormat="1" applyFont="1" applyFill="1" applyBorder="1" applyAlignment="1">
      <alignment horizontal="centerContinuous" vertical="center"/>
    </xf>
    <xf numFmtId="176" fontId="6" fillId="7" borderId="24" xfId="1" applyNumberFormat="1" applyFont="1" applyFill="1" applyBorder="1" applyAlignment="1">
      <alignment vertical="center"/>
    </xf>
    <xf numFmtId="176" fontId="6" fillId="7" borderId="1" xfId="1" applyNumberFormat="1" applyFont="1" applyFill="1" applyBorder="1" applyAlignment="1">
      <alignment vertical="center"/>
    </xf>
    <xf numFmtId="176" fontId="6" fillId="7" borderId="1" xfId="1" applyNumberFormat="1" applyFont="1" applyFill="1" applyBorder="1" applyAlignment="1">
      <alignment horizontal="right" vertical="center"/>
    </xf>
    <xf numFmtId="176" fontId="3" fillId="3" borderId="24" xfId="1" applyNumberFormat="1" applyFont="1" applyFill="1" applyBorder="1" applyAlignment="1">
      <alignment vertical="center"/>
    </xf>
    <xf numFmtId="176" fontId="3" fillId="3" borderId="1" xfId="1" applyNumberFormat="1" applyFont="1" applyFill="1" applyBorder="1" applyAlignment="1">
      <alignment vertical="center"/>
    </xf>
    <xf numFmtId="176" fontId="3" fillId="3" borderId="1" xfId="1" applyNumberFormat="1" applyFont="1" applyFill="1" applyBorder="1" applyAlignment="1">
      <alignment horizontal="right" vertical="center"/>
    </xf>
    <xf numFmtId="176" fontId="3" fillId="3" borderId="25" xfId="1" applyNumberFormat="1" applyFont="1" applyFill="1" applyBorder="1" applyAlignment="1">
      <alignment horizontal="right" vertical="center"/>
    </xf>
    <xf numFmtId="176" fontId="3" fillId="0" borderId="24" xfId="1" applyNumberFormat="1" applyFont="1" applyFill="1" applyBorder="1" applyAlignment="1">
      <alignment horizontal="right" vertical="center"/>
    </xf>
    <xf numFmtId="176" fontId="3" fillId="0" borderId="1" xfId="1" applyNumberFormat="1" applyFont="1" applyFill="1" applyBorder="1" applyAlignment="1">
      <alignment horizontal="right" vertical="center"/>
    </xf>
    <xf numFmtId="176" fontId="3" fillId="0" borderId="1" xfId="1" applyNumberFormat="1" applyFont="1" applyFill="1" applyBorder="1" applyAlignment="1">
      <alignment vertical="center"/>
    </xf>
    <xf numFmtId="176" fontId="3" fillId="0" borderId="24" xfId="1" applyNumberFormat="1" applyFont="1" applyBorder="1" applyAlignment="1">
      <alignment vertical="center"/>
    </xf>
    <xf numFmtId="176" fontId="3" fillId="0" borderId="1" xfId="1" applyNumberFormat="1" applyFont="1" applyBorder="1" applyAlignment="1">
      <alignment vertical="center"/>
    </xf>
    <xf numFmtId="176" fontId="3" fillId="0" borderId="24" xfId="1" applyNumberFormat="1" applyFont="1" applyFill="1" applyBorder="1" applyAlignment="1">
      <alignment vertical="center"/>
    </xf>
    <xf numFmtId="179" fontId="3" fillId="0" borderId="1" xfId="1" applyNumberFormat="1" applyFont="1" applyBorder="1" applyAlignment="1">
      <alignment vertical="center"/>
    </xf>
    <xf numFmtId="179" fontId="3" fillId="4" borderId="1" xfId="1" applyNumberFormat="1" applyFont="1" applyFill="1" applyBorder="1" applyAlignment="1">
      <alignment vertical="center"/>
    </xf>
    <xf numFmtId="179" fontId="3" fillId="4" borderId="4" xfId="1" applyNumberFormat="1" applyFont="1" applyFill="1" applyBorder="1" applyAlignment="1">
      <alignment vertical="center"/>
    </xf>
    <xf numFmtId="176" fontId="3" fillId="0" borderId="24" xfId="1" applyNumberFormat="1" applyFont="1" applyBorder="1" applyAlignment="1">
      <alignment horizontal="right" vertical="center"/>
    </xf>
    <xf numFmtId="179" fontId="3" fillId="0" borderId="1" xfId="1" applyNumberFormat="1" applyFont="1" applyBorder="1" applyAlignment="1">
      <alignment horizontal="right" vertical="center"/>
    </xf>
    <xf numFmtId="179" fontId="3" fillId="0" borderId="25" xfId="1" applyNumberFormat="1" applyFont="1" applyBorder="1" applyAlignment="1">
      <alignment horizontal="right" vertical="center"/>
    </xf>
    <xf numFmtId="179" fontId="3" fillId="0" borderId="4" xfId="1" applyNumberFormat="1" applyFont="1" applyBorder="1" applyAlignment="1">
      <alignment horizontal="right" vertical="center"/>
    </xf>
    <xf numFmtId="177" fontId="3" fillId="3" borderId="1" xfId="2" applyNumberFormat="1" applyFont="1" applyFill="1" applyBorder="1" applyAlignment="1">
      <alignment vertical="center"/>
    </xf>
    <xf numFmtId="177" fontId="3" fillId="3" borderId="1" xfId="2" applyNumberFormat="1" applyFont="1" applyFill="1" applyBorder="1" applyAlignment="1">
      <alignment horizontal="right" vertical="center"/>
    </xf>
    <xf numFmtId="176" fontId="6" fillId="7" borderId="24" xfId="1" quotePrefix="1" applyNumberFormat="1" applyFont="1" applyFill="1" applyBorder="1" applyAlignment="1">
      <alignment vertical="center"/>
    </xf>
    <xf numFmtId="176" fontId="6" fillId="7" borderId="1" xfId="1" quotePrefix="1" applyNumberFormat="1" applyFont="1" applyFill="1" applyBorder="1" applyAlignment="1">
      <alignment vertical="center"/>
    </xf>
    <xf numFmtId="177" fontId="3" fillId="3" borderId="24" xfId="2" applyNumberFormat="1" applyFont="1" applyFill="1" applyBorder="1" applyAlignment="1">
      <alignment vertical="center"/>
    </xf>
    <xf numFmtId="10" fontId="3" fillId="3" borderId="1" xfId="2" applyNumberFormat="1" applyFont="1" applyFill="1" applyBorder="1" applyAlignment="1">
      <alignment horizontal="right" vertical="center"/>
    </xf>
    <xf numFmtId="41" fontId="6" fillId="7" borderId="1" xfId="1" quotePrefix="1" applyFont="1" applyFill="1" applyBorder="1" applyAlignment="1">
      <alignment vertical="center"/>
    </xf>
    <xf numFmtId="176" fontId="3" fillId="0" borderId="24" xfId="0" quotePrefix="1" applyNumberFormat="1" applyFont="1" applyBorder="1" applyAlignment="1">
      <alignment horizontal="left" vertical="center"/>
    </xf>
    <xf numFmtId="41" fontId="3" fillId="0" borderId="1" xfId="1" quotePrefix="1" applyFont="1" applyBorder="1" applyAlignment="1">
      <alignment horizontal="left" vertical="center"/>
    </xf>
    <xf numFmtId="176" fontId="3" fillId="0" borderId="1" xfId="0" quotePrefix="1" applyNumberFormat="1" applyFont="1" applyBorder="1" applyAlignment="1">
      <alignment horizontal="left" vertical="center"/>
    </xf>
    <xf numFmtId="176" fontId="6" fillId="7" borderId="25" xfId="1" applyNumberFormat="1" applyFont="1" applyFill="1" applyBorder="1" applyAlignment="1">
      <alignment horizontal="right" vertical="center"/>
    </xf>
    <xf numFmtId="41" fontId="3" fillId="0" borderId="1" xfId="1" applyFont="1" applyBorder="1" applyAlignment="1">
      <alignment vertical="center"/>
    </xf>
    <xf numFmtId="176" fontId="6" fillId="7" borderId="24" xfId="0" quotePrefix="1" applyNumberFormat="1" applyFont="1" applyFill="1" applyBorder="1" applyAlignment="1">
      <alignment horizontal="left" vertical="center"/>
    </xf>
    <xf numFmtId="41" fontId="6" fillId="7" borderId="1" xfId="1" quotePrefix="1" applyFont="1" applyFill="1" applyBorder="1" applyAlignment="1">
      <alignment horizontal="left" vertical="center"/>
    </xf>
    <xf numFmtId="176" fontId="6" fillId="7" borderId="1" xfId="4" applyNumberFormat="1" applyFont="1" applyFill="1" applyBorder="1" applyAlignment="1">
      <alignment horizontal="right" vertical="center"/>
    </xf>
    <xf numFmtId="176" fontId="6" fillId="7" borderId="25" xfId="4" applyNumberFormat="1" applyFont="1" applyFill="1" applyBorder="1" applyAlignment="1">
      <alignment horizontal="right" vertical="center"/>
    </xf>
    <xf numFmtId="176" fontId="17" fillId="0" borderId="1" xfId="1" applyNumberFormat="1" applyFont="1" applyBorder="1" applyAlignment="1">
      <alignment vertical="center"/>
    </xf>
    <xf numFmtId="176" fontId="17" fillId="0" borderId="1" xfId="4" applyNumberFormat="1" applyFont="1" applyBorder="1" applyAlignment="1">
      <alignment horizontal="right" vertical="center"/>
    </xf>
    <xf numFmtId="176" fontId="17" fillId="0" borderId="25" xfId="4" applyNumberFormat="1" applyFont="1" applyBorder="1" applyAlignment="1">
      <alignment horizontal="right" vertical="center"/>
    </xf>
    <xf numFmtId="176" fontId="6" fillId="7" borderId="4" xfId="1" applyNumberFormat="1" applyFont="1" applyFill="1" applyBorder="1" applyAlignment="1">
      <alignment vertical="center"/>
    </xf>
    <xf numFmtId="176" fontId="6" fillId="3" borderId="26" xfId="0" quotePrefix="1" applyNumberFormat="1" applyFont="1" applyFill="1" applyBorder="1" applyAlignment="1">
      <alignment horizontal="left" vertical="center"/>
    </xf>
    <xf numFmtId="9" fontId="6" fillId="3" borderId="27" xfId="2" quotePrefix="1" applyFont="1" applyFill="1" applyBorder="1" applyAlignment="1">
      <alignment horizontal="right" vertical="center"/>
    </xf>
    <xf numFmtId="10" fontId="6" fillId="3" borderId="27" xfId="1" applyNumberFormat="1" applyFont="1" applyFill="1" applyBorder="1" applyAlignment="1">
      <alignment vertical="center"/>
    </xf>
    <xf numFmtId="10" fontId="6" fillId="3" borderId="28" xfId="1" applyNumberFormat="1" applyFont="1" applyFill="1" applyBorder="1" applyAlignment="1">
      <alignment vertical="center"/>
    </xf>
    <xf numFmtId="176" fontId="12" fillId="2" borderId="4" xfId="1" applyNumberFormat="1" applyFont="1" applyFill="1" applyBorder="1" applyAlignment="1">
      <alignment horizontal="centerContinuous" vertical="center"/>
    </xf>
    <xf numFmtId="176" fontId="3" fillId="7" borderId="24" xfId="1" applyNumberFormat="1" applyFont="1" applyFill="1" applyBorder="1" applyAlignment="1">
      <alignment vertical="center"/>
    </xf>
    <xf numFmtId="176" fontId="3" fillId="7" borderId="1" xfId="1" applyNumberFormat="1" applyFont="1" applyFill="1" applyBorder="1" applyAlignment="1">
      <alignment horizontal="right" vertical="center"/>
    </xf>
    <xf numFmtId="176" fontId="3" fillId="7" borderId="4" xfId="1" applyNumberFormat="1" applyFont="1" applyFill="1" applyBorder="1" applyAlignment="1">
      <alignment horizontal="right" vertical="center"/>
    </xf>
    <xf numFmtId="9" fontId="3" fillId="3" borderId="1" xfId="2" applyFont="1" applyFill="1" applyBorder="1" applyAlignment="1">
      <alignment horizontal="right" vertical="center"/>
    </xf>
    <xf numFmtId="9" fontId="3" fillId="3" borderId="25" xfId="2" applyFont="1" applyFill="1" applyBorder="1" applyAlignment="1">
      <alignment horizontal="right" vertical="center"/>
    </xf>
    <xf numFmtId="10" fontId="3" fillId="3" borderId="25" xfId="2" applyNumberFormat="1" applyFont="1" applyFill="1" applyBorder="1" applyAlignment="1">
      <alignment horizontal="right" vertical="center"/>
    </xf>
    <xf numFmtId="176" fontId="6" fillId="7" borderId="4" xfId="4" applyNumberFormat="1" applyFont="1" applyFill="1" applyBorder="1" applyAlignment="1">
      <alignment horizontal="right" vertical="center"/>
    </xf>
    <xf numFmtId="176" fontId="3" fillId="0" borderId="25" xfId="1" applyNumberFormat="1" applyFont="1" applyBorder="1" applyAlignment="1">
      <alignment horizontal="right" vertical="center"/>
    </xf>
    <xf numFmtId="176" fontId="6" fillId="3" borderId="27" xfId="4" applyNumberFormat="1" applyFont="1" applyFill="1" applyBorder="1" applyAlignment="1">
      <alignment horizontal="right" vertical="center"/>
    </xf>
    <xf numFmtId="176" fontId="6" fillId="3" borderId="27" xfId="1" applyNumberFormat="1" applyFont="1" applyFill="1" applyBorder="1" applyAlignment="1">
      <alignment vertical="center"/>
    </xf>
    <xf numFmtId="176" fontId="6" fillId="3" borderId="28" xfId="4" applyNumberFormat="1" applyFont="1" applyFill="1" applyBorder="1" applyAlignment="1">
      <alignment horizontal="right" vertical="center"/>
    </xf>
  </cellXfs>
  <cellStyles count="5">
    <cellStyle name="나쁨" xfId="4" builtinId="27"/>
    <cellStyle name="백분율" xfId="2" builtinId="5"/>
    <cellStyle name="보통" xfId="3" builtinId="28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병근 책임매니저 [Byeong Keun Lee]" id="{555BAFA5-468A-47A0-9426-67690EB31E67}" userId="S::leebk@kyungshin.co.kr::5846b2f6-e084-49b4-a550-c7b36dcbc8e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7" dT="2025-12-15T08:28:31.05" personId="{555BAFA5-468A-47A0-9426-67690EB31E67}" id="{3C1F531A-A21F-4500-817F-EA2CF1D215E4}">
    <text>대연기감가상각추가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8366-ECA1-40A3-8C96-3C2394A9ECFE}">
  <dimension ref="A1:U264"/>
  <sheetViews>
    <sheetView tabSelected="1" topLeftCell="A227" zoomScale="70" zoomScaleNormal="70" workbookViewId="0">
      <selection activeCell="J247" sqref="J247"/>
    </sheetView>
  </sheetViews>
  <sheetFormatPr defaultRowHeight="17.25"/>
  <cols>
    <col min="1" max="1" width="6.25" style="1" customWidth="1"/>
    <col min="2" max="2" width="38.375" style="1" customWidth="1"/>
    <col min="3" max="4" width="22.375" style="1" customWidth="1"/>
    <col min="5" max="5" width="19" style="1" customWidth="1"/>
    <col min="6" max="10" width="18.25" style="1" customWidth="1"/>
    <col min="11" max="11" width="15.25" style="1" customWidth="1"/>
    <col min="12" max="12" width="15.75" style="1" customWidth="1"/>
    <col min="13" max="13" width="15.25" style="1" customWidth="1"/>
    <col min="14" max="15" width="18.25" style="1" customWidth="1"/>
    <col min="16" max="16" width="13.125" style="1" customWidth="1"/>
    <col min="17" max="17" width="15.5" style="1" customWidth="1"/>
    <col min="19" max="19" width="18.75" bestFit="1" customWidth="1"/>
    <col min="20" max="20" width="11.5" bestFit="1" customWidth="1"/>
    <col min="21" max="21" width="12.375" bestFit="1" customWidth="1"/>
    <col min="254" max="254" width="6.25" customWidth="1"/>
    <col min="255" max="255" width="38.375" customWidth="1"/>
    <col min="256" max="256" width="19" customWidth="1"/>
    <col min="257" max="261" width="18.25" customWidth="1"/>
    <col min="262" max="262" width="15.25" customWidth="1"/>
    <col min="263" max="263" width="15.75" customWidth="1"/>
    <col min="264" max="264" width="15.25" customWidth="1"/>
    <col min="265" max="266" width="18.25" customWidth="1"/>
    <col min="267" max="267" width="13.125" customWidth="1"/>
    <col min="268" max="268" width="15.5" customWidth="1"/>
    <col min="269" max="273" width="13.75" bestFit="1" customWidth="1"/>
    <col min="510" max="510" width="6.25" customWidth="1"/>
    <col min="511" max="511" width="38.375" customWidth="1"/>
    <col min="512" max="512" width="19" customWidth="1"/>
    <col min="513" max="517" width="18.25" customWidth="1"/>
    <col min="518" max="518" width="15.25" customWidth="1"/>
    <col min="519" max="519" width="15.75" customWidth="1"/>
    <col min="520" max="520" width="15.25" customWidth="1"/>
    <col min="521" max="522" width="18.25" customWidth="1"/>
    <col min="523" max="523" width="13.125" customWidth="1"/>
    <col min="524" max="524" width="15.5" customWidth="1"/>
    <col min="525" max="529" width="13.75" bestFit="1" customWidth="1"/>
    <col min="766" max="766" width="6.25" customWidth="1"/>
    <col min="767" max="767" width="38.375" customWidth="1"/>
    <col min="768" max="768" width="19" customWidth="1"/>
    <col min="769" max="773" width="18.25" customWidth="1"/>
    <col min="774" max="774" width="15.25" customWidth="1"/>
    <col min="775" max="775" width="15.75" customWidth="1"/>
    <col min="776" max="776" width="15.25" customWidth="1"/>
    <col min="777" max="778" width="18.25" customWidth="1"/>
    <col min="779" max="779" width="13.125" customWidth="1"/>
    <col min="780" max="780" width="15.5" customWidth="1"/>
    <col min="781" max="785" width="13.75" bestFit="1" customWidth="1"/>
    <col min="1022" max="1022" width="6.25" customWidth="1"/>
    <col min="1023" max="1023" width="38.375" customWidth="1"/>
    <col min="1024" max="1024" width="19" customWidth="1"/>
    <col min="1025" max="1029" width="18.25" customWidth="1"/>
    <col min="1030" max="1030" width="15.25" customWidth="1"/>
    <col min="1031" max="1031" width="15.75" customWidth="1"/>
    <col min="1032" max="1032" width="15.25" customWidth="1"/>
    <col min="1033" max="1034" width="18.25" customWidth="1"/>
    <col min="1035" max="1035" width="13.125" customWidth="1"/>
    <col min="1036" max="1036" width="15.5" customWidth="1"/>
    <col min="1037" max="1041" width="13.75" bestFit="1" customWidth="1"/>
    <col min="1278" max="1278" width="6.25" customWidth="1"/>
    <col min="1279" max="1279" width="38.375" customWidth="1"/>
    <col min="1280" max="1280" width="19" customWidth="1"/>
    <col min="1281" max="1285" width="18.25" customWidth="1"/>
    <col min="1286" max="1286" width="15.25" customWidth="1"/>
    <col min="1287" max="1287" width="15.75" customWidth="1"/>
    <col min="1288" max="1288" width="15.25" customWidth="1"/>
    <col min="1289" max="1290" width="18.25" customWidth="1"/>
    <col min="1291" max="1291" width="13.125" customWidth="1"/>
    <col min="1292" max="1292" width="15.5" customWidth="1"/>
    <col min="1293" max="1297" width="13.75" bestFit="1" customWidth="1"/>
    <col min="1534" max="1534" width="6.25" customWidth="1"/>
    <col min="1535" max="1535" width="38.375" customWidth="1"/>
    <col min="1536" max="1536" width="19" customWidth="1"/>
    <col min="1537" max="1541" width="18.25" customWidth="1"/>
    <col min="1542" max="1542" width="15.25" customWidth="1"/>
    <col min="1543" max="1543" width="15.75" customWidth="1"/>
    <col min="1544" max="1544" width="15.25" customWidth="1"/>
    <col min="1545" max="1546" width="18.25" customWidth="1"/>
    <col min="1547" max="1547" width="13.125" customWidth="1"/>
    <col min="1548" max="1548" width="15.5" customWidth="1"/>
    <col min="1549" max="1553" width="13.75" bestFit="1" customWidth="1"/>
    <col min="1790" max="1790" width="6.25" customWidth="1"/>
    <col min="1791" max="1791" width="38.375" customWidth="1"/>
    <col min="1792" max="1792" width="19" customWidth="1"/>
    <col min="1793" max="1797" width="18.25" customWidth="1"/>
    <col min="1798" max="1798" width="15.25" customWidth="1"/>
    <col min="1799" max="1799" width="15.75" customWidth="1"/>
    <col min="1800" max="1800" width="15.25" customWidth="1"/>
    <col min="1801" max="1802" width="18.25" customWidth="1"/>
    <col min="1803" max="1803" width="13.125" customWidth="1"/>
    <col min="1804" max="1804" width="15.5" customWidth="1"/>
    <col min="1805" max="1809" width="13.75" bestFit="1" customWidth="1"/>
    <col min="2046" max="2046" width="6.25" customWidth="1"/>
    <col min="2047" max="2047" width="38.375" customWidth="1"/>
    <col min="2048" max="2048" width="19" customWidth="1"/>
    <col min="2049" max="2053" width="18.25" customWidth="1"/>
    <col min="2054" max="2054" width="15.25" customWidth="1"/>
    <col min="2055" max="2055" width="15.75" customWidth="1"/>
    <col min="2056" max="2056" width="15.25" customWidth="1"/>
    <col min="2057" max="2058" width="18.25" customWidth="1"/>
    <col min="2059" max="2059" width="13.125" customWidth="1"/>
    <col min="2060" max="2060" width="15.5" customWidth="1"/>
    <col min="2061" max="2065" width="13.75" bestFit="1" customWidth="1"/>
    <col min="2302" max="2302" width="6.25" customWidth="1"/>
    <col min="2303" max="2303" width="38.375" customWidth="1"/>
    <col min="2304" max="2304" width="19" customWidth="1"/>
    <col min="2305" max="2309" width="18.25" customWidth="1"/>
    <col min="2310" max="2310" width="15.25" customWidth="1"/>
    <col min="2311" max="2311" width="15.75" customWidth="1"/>
    <col min="2312" max="2312" width="15.25" customWidth="1"/>
    <col min="2313" max="2314" width="18.25" customWidth="1"/>
    <col min="2315" max="2315" width="13.125" customWidth="1"/>
    <col min="2316" max="2316" width="15.5" customWidth="1"/>
    <col min="2317" max="2321" width="13.75" bestFit="1" customWidth="1"/>
    <col min="2558" max="2558" width="6.25" customWidth="1"/>
    <col min="2559" max="2559" width="38.375" customWidth="1"/>
    <col min="2560" max="2560" width="19" customWidth="1"/>
    <col min="2561" max="2565" width="18.25" customWidth="1"/>
    <col min="2566" max="2566" width="15.25" customWidth="1"/>
    <col min="2567" max="2567" width="15.75" customWidth="1"/>
    <col min="2568" max="2568" width="15.25" customWidth="1"/>
    <col min="2569" max="2570" width="18.25" customWidth="1"/>
    <col min="2571" max="2571" width="13.125" customWidth="1"/>
    <col min="2572" max="2572" width="15.5" customWidth="1"/>
    <col min="2573" max="2577" width="13.75" bestFit="1" customWidth="1"/>
    <col min="2814" max="2814" width="6.25" customWidth="1"/>
    <col min="2815" max="2815" width="38.375" customWidth="1"/>
    <col min="2816" max="2816" width="19" customWidth="1"/>
    <col min="2817" max="2821" width="18.25" customWidth="1"/>
    <col min="2822" max="2822" width="15.25" customWidth="1"/>
    <col min="2823" max="2823" width="15.75" customWidth="1"/>
    <col min="2824" max="2824" width="15.25" customWidth="1"/>
    <col min="2825" max="2826" width="18.25" customWidth="1"/>
    <col min="2827" max="2827" width="13.125" customWidth="1"/>
    <col min="2828" max="2828" width="15.5" customWidth="1"/>
    <col min="2829" max="2833" width="13.75" bestFit="1" customWidth="1"/>
    <col min="3070" max="3070" width="6.25" customWidth="1"/>
    <col min="3071" max="3071" width="38.375" customWidth="1"/>
    <col min="3072" max="3072" width="19" customWidth="1"/>
    <col min="3073" max="3077" width="18.25" customWidth="1"/>
    <col min="3078" max="3078" width="15.25" customWidth="1"/>
    <col min="3079" max="3079" width="15.75" customWidth="1"/>
    <col min="3080" max="3080" width="15.25" customWidth="1"/>
    <col min="3081" max="3082" width="18.25" customWidth="1"/>
    <col min="3083" max="3083" width="13.125" customWidth="1"/>
    <col min="3084" max="3084" width="15.5" customWidth="1"/>
    <col min="3085" max="3089" width="13.75" bestFit="1" customWidth="1"/>
    <col min="3326" max="3326" width="6.25" customWidth="1"/>
    <col min="3327" max="3327" width="38.375" customWidth="1"/>
    <col min="3328" max="3328" width="19" customWidth="1"/>
    <col min="3329" max="3333" width="18.25" customWidth="1"/>
    <col min="3334" max="3334" width="15.25" customWidth="1"/>
    <col min="3335" max="3335" width="15.75" customWidth="1"/>
    <col min="3336" max="3336" width="15.25" customWidth="1"/>
    <col min="3337" max="3338" width="18.25" customWidth="1"/>
    <col min="3339" max="3339" width="13.125" customWidth="1"/>
    <col min="3340" max="3340" width="15.5" customWidth="1"/>
    <col min="3341" max="3345" width="13.75" bestFit="1" customWidth="1"/>
    <col min="3582" max="3582" width="6.25" customWidth="1"/>
    <col min="3583" max="3583" width="38.375" customWidth="1"/>
    <col min="3584" max="3584" width="19" customWidth="1"/>
    <col min="3585" max="3589" width="18.25" customWidth="1"/>
    <col min="3590" max="3590" width="15.25" customWidth="1"/>
    <col min="3591" max="3591" width="15.75" customWidth="1"/>
    <col min="3592" max="3592" width="15.25" customWidth="1"/>
    <col min="3593" max="3594" width="18.25" customWidth="1"/>
    <col min="3595" max="3595" width="13.125" customWidth="1"/>
    <col min="3596" max="3596" width="15.5" customWidth="1"/>
    <col min="3597" max="3601" width="13.75" bestFit="1" customWidth="1"/>
    <col min="3838" max="3838" width="6.25" customWidth="1"/>
    <col min="3839" max="3839" width="38.375" customWidth="1"/>
    <col min="3840" max="3840" width="19" customWidth="1"/>
    <col min="3841" max="3845" width="18.25" customWidth="1"/>
    <col min="3846" max="3846" width="15.25" customWidth="1"/>
    <col min="3847" max="3847" width="15.75" customWidth="1"/>
    <col min="3848" max="3848" width="15.25" customWidth="1"/>
    <col min="3849" max="3850" width="18.25" customWidth="1"/>
    <col min="3851" max="3851" width="13.125" customWidth="1"/>
    <col min="3852" max="3852" width="15.5" customWidth="1"/>
    <col min="3853" max="3857" width="13.75" bestFit="1" customWidth="1"/>
    <col min="4094" max="4094" width="6.25" customWidth="1"/>
    <col min="4095" max="4095" width="38.375" customWidth="1"/>
    <col min="4096" max="4096" width="19" customWidth="1"/>
    <col min="4097" max="4101" width="18.25" customWidth="1"/>
    <col min="4102" max="4102" width="15.25" customWidth="1"/>
    <col min="4103" max="4103" width="15.75" customWidth="1"/>
    <col min="4104" max="4104" width="15.25" customWidth="1"/>
    <col min="4105" max="4106" width="18.25" customWidth="1"/>
    <col min="4107" max="4107" width="13.125" customWidth="1"/>
    <col min="4108" max="4108" width="15.5" customWidth="1"/>
    <col min="4109" max="4113" width="13.75" bestFit="1" customWidth="1"/>
    <col min="4350" max="4350" width="6.25" customWidth="1"/>
    <col min="4351" max="4351" width="38.375" customWidth="1"/>
    <col min="4352" max="4352" width="19" customWidth="1"/>
    <col min="4353" max="4357" width="18.25" customWidth="1"/>
    <col min="4358" max="4358" width="15.25" customWidth="1"/>
    <col min="4359" max="4359" width="15.75" customWidth="1"/>
    <col min="4360" max="4360" width="15.25" customWidth="1"/>
    <col min="4361" max="4362" width="18.25" customWidth="1"/>
    <col min="4363" max="4363" width="13.125" customWidth="1"/>
    <col min="4364" max="4364" width="15.5" customWidth="1"/>
    <col min="4365" max="4369" width="13.75" bestFit="1" customWidth="1"/>
    <col min="4606" max="4606" width="6.25" customWidth="1"/>
    <col min="4607" max="4607" width="38.375" customWidth="1"/>
    <col min="4608" max="4608" width="19" customWidth="1"/>
    <col min="4609" max="4613" width="18.25" customWidth="1"/>
    <col min="4614" max="4614" width="15.25" customWidth="1"/>
    <col min="4615" max="4615" width="15.75" customWidth="1"/>
    <col min="4616" max="4616" width="15.25" customWidth="1"/>
    <col min="4617" max="4618" width="18.25" customWidth="1"/>
    <col min="4619" max="4619" width="13.125" customWidth="1"/>
    <col min="4620" max="4620" width="15.5" customWidth="1"/>
    <col min="4621" max="4625" width="13.75" bestFit="1" customWidth="1"/>
    <col min="4862" max="4862" width="6.25" customWidth="1"/>
    <col min="4863" max="4863" width="38.375" customWidth="1"/>
    <col min="4864" max="4864" width="19" customWidth="1"/>
    <col min="4865" max="4869" width="18.25" customWidth="1"/>
    <col min="4870" max="4870" width="15.25" customWidth="1"/>
    <col min="4871" max="4871" width="15.75" customWidth="1"/>
    <col min="4872" max="4872" width="15.25" customWidth="1"/>
    <col min="4873" max="4874" width="18.25" customWidth="1"/>
    <col min="4875" max="4875" width="13.125" customWidth="1"/>
    <col min="4876" max="4876" width="15.5" customWidth="1"/>
    <col min="4877" max="4881" width="13.75" bestFit="1" customWidth="1"/>
    <col min="5118" max="5118" width="6.25" customWidth="1"/>
    <col min="5119" max="5119" width="38.375" customWidth="1"/>
    <col min="5120" max="5120" width="19" customWidth="1"/>
    <col min="5121" max="5125" width="18.25" customWidth="1"/>
    <col min="5126" max="5126" width="15.25" customWidth="1"/>
    <col min="5127" max="5127" width="15.75" customWidth="1"/>
    <col min="5128" max="5128" width="15.25" customWidth="1"/>
    <col min="5129" max="5130" width="18.25" customWidth="1"/>
    <col min="5131" max="5131" width="13.125" customWidth="1"/>
    <col min="5132" max="5132" width="15.5" customWidth="1"/>
    <col min="5133" max="5137" width="13.75" bestFit="1" customWidth="1"/>
    <col min="5374" max="5374" width="6.25" customWidth="1"/>
    <col min="5375" max="5375" width="38.375" customWidth="1"/>
    <col min="5376" max="5376" width="19" customWidth="1"/>
    <col min="5377" max="5381" width="18.25" customWidth="1"/>
    <col min="5382" max="5382" width="15.25" customWidth="1"/>
    <col min="5383" max="5383" width="15.75" customWidth="1"/>
    <col min="5384" max="5384" width="15.25" customWidth="1"/>
    <col min="5385" max="5386" width="18.25" customWidth="1"/>
    <col min="5387" max="5387" width="13.125" customWidth="1"/>
    <col min="5388" max="5388" width="15.5" customWidth="1"/>
    <col min="5389" max="5393" width="13.75" bestFit="1" customWidth="1"/>
    <col min="5630" max="5630" width="6.25" customWidth="1"/>
    <col min="5631" max="5631" width="38.375" customWidth="1"/>
    <col min="5632" max="5632" width="19" customWidth="1"/>
    <col min="5633" max="5637" width="18.25" customWidth="1"/>
    <col min="5638" max="5638" width="15.25" customWidth="1"/>
    <col min="5639" max="5639" width="15.75" customWidth="1"/>
    <col min="5640" max="5640" width="15.25" customWidth="1"/>
    <col min="5641" max="5642" width="18.25" customWidth="1"/>
    <col min="5643" max="5643" width="13.125" customWidth="1"/>
    <col min="5644" max="5644" width="15.5" customWidth="1"/>
    <col min="5645" max="5649" width="13.75" bestFit="1" customWidth="1"/>
    <col min="5886" max="5886" width="6.25" customWidth="1"/>
    <col min="5887" max="5887" width="38.375" customWidth="1"/>
    <col min="5888" max="5888" width="19" customWidth="1"/>
    <col min="5889" max="5893" width="18.25" customWidth="1"/>
    <col min="5894" max="5894" width="15.25" customWidth="1"/>
    <col min="5895" max="5895" width="15.75" customWidth="1"/>
    <col min="5896" max="5896" width="15.25" customWidth="1"/>
    <col min="5897" max="5898" width="18.25" customWidth="1"/>
    <col min="5899" max="5899" width="13.125" customWidth="1"/>
    <col min="5900" max="5900" width="15.5" customWidth="1"/>
    <col min="5901" max="5905" width="13.75" bestFit="1" customWidth="1"/>
    <col min="6142" max="6142" width="6.25" customWidth="1"/>
    <col min="6143" max="6143" width="38.375" customWidth="1"/>
    <col min="6144" max="6144" width="19" customWidth="1"/>
    <col min="6145" max="6149" width="18.25" customWidth="1"/>
    <col min="6150" max="6150" width="15.25" customWidth="1"/>
    <col min="6151" max="6151" width="15.75" customWidth="1"/>
    <col min="6152" max="6152" width="15.25" customWidth="1"/>
    <col min="6153" max="6154" width="18.25" customWidth="1"/>
    <col min="6155" max="6155" width="13.125" customWidth="1"/>
    <col min="6156" max="6156" width="15.5" customWidth="1"/>
    <col min="6157" max="6161" width="13.75" bestFit="1" customWidth="1"/>
    <col min="6398" max="6398" width="6.25" customWidth="1"/>
    <col min="6399" max="6399" width="38.375" customWidth="1"/>
    <col min="6400" max="6400" width="19" customWidth="1"/>
    <col min="6401" max="6405" width="18.25" customWidth="1"/>
    <col min="6406" max="6406" width="15.25" customWidth="1"/>
    <col min="6407" max="6407" width="15.75" customWidth="1"/>
    <col min="6408" max="6408" width="15.25" customWidth="1"/>
    <col min="6409" max="6410" width="18.25" customWidth="1"/>
    <col min="6411" max="6411" width="13.125" customWidth="1"/>
    <col min="6412" max="6412" width="15.5" customWidth="1"/>
    <col min="6413" max="6417" width="13.75" bestFit="1" customWidth="1"/>
    <col min="6654" max="6654" width="6.25" customWidth="1"/>
    <col min="6655" max="6655" width="38.375" customWidth="1"/>
    <col min="6656" max="6656" width="19" customWidth="1"/>
    <col min="6657" max="6661" width="18.25" customWidth="1"/>
    <col min="6662" max="6662" width="15.25" customWidth="1"/>
    <col min="6663" max="6663" width="15.75" customWidth="1"/>
    <col min="6664" max="6664" width="15.25" customWidth="1"/>
    <col min="6665" max="6666" width="18.25" customWidth="1"/>
    <col min="6667" max="6667" width="13.125" customWidth="1"/>
    <col min="6668" max="6668" width="15.5" customWidth="1"/>
    <col min="6669" max="6673" width="13.75" bestFit="1" customWidth="1"/>
    <col min="6910" max="6910" width="6.25" customWidth="1"/>
    <col min="6911" max="6911" width="38.375" customWidth="1"/>
    <col min="6912" max="6912" width="19" customWidth="1"/>
    <col min="6913" max="6917" width="18.25" customWidth="1"/>
    <col min="6918" max="6918" width="15.25" customWidth="1"/>
    <col min="6919" max="6919" width="15.75" customWidth="1"/>
    <col min="6920" max="6920" width="15.25" customWidth="1"/>
    <col min="6921" max="6922" width="18.25" customWidth="1"/>
    <col min="6923" max="6923" width="13.125" customWidth="1"/>
    <col min="6924" max="6924" width="15.5" customWidth="1"/>
    <col min="6925" max="6929" width="13.75" bestFit="1" customWidth="1"/>
    <col min="7166" max="7166" width="6.25" customWidth="1"/>
    <col min="7167" max="7167" width="38.375" customWidth="1"/>
    <col min="7168" max="7168" width="19" customWidth="1"/>
    <col min="7169" max="7173" width="18.25" customWidth="1"/>
    <col min="7174" max="7174" width="15.25" customWidth="1"/>
    <col min="7175" max="7175" width="15.75" customWidth="1"/>
    <col min="7176" max="7176" width="15.25" customWidth="1"/>
    <col min="7177" max="7178" width="18.25" customWidth="1"/>
    <col min="7179" max="7179" width="13.125" customWidth="1"/>
    <col min="7180" max="7180" width="15.5" customWidth="1"/>
    <col min="7181" max="7185" width="13.75" bestFit="1" customWidth="1"/>
    <col min="7422" max="7422" width="6.25" customWidth="1"/>
    <col min="7423" max="7423" width="38.375" customWidth="1"/>
    <col min="7424" max="7424" width="19" customWidth="1"/>
    <col min="7425" max="7429" width="18.25" customWidth="1"/>
    <col min="7430" max="7430" width="15.25" customWidth="1"/>
    <col min="7431" max="7431" width="15.75" customWidth="1"/>
    <col min="7432" max="7432" width="15.25" customWidth="1"/>
    <col min="7433" max="7434" width="18.25" customWidth="1"/>
    <col min="7435" max="7435" width="13.125" customWidth="1"/>
    <col min="7436" max="7436" width="15.5" customWidth="1"/>
    <col min="7437" max="7441" width="13.75" bestFit="1" customWidth="1"/>
    <col min="7678" max="7678" width="6.25" customWidth="1"/>
    <col min="7679" max="7679" width="38.375" customWidth="1"/>
    <col min="7680" max="7680" width="19" customWidth="1"/>
    <col min="7681" max="7685" width="18.25" customWidth="1"/>
    <col min="7686" max="7686" width="15.25" customWidth="1"/>
    <col min="7687" max="7687" width="15.75" customWidth="1"/>
    <col min="7688" max="7688" width="15.25" customWidth="1"/>
    <col min="7689" max="7690" width="18.25" customWidth="1"/>
    <col min="7691" max="7691" width="13.125" customWidth="1"/>
    <col min="7692" max="7692" width="15.5" customWidth="1"/>
    <col min="7693" max="7697" width="13.75" bestFit="1" customWidth="1"/>
    <col min="7934" max="7934" width="6.25" customWidth="1"/>
    <col min="7935" max="7935" width="38.375" customWidth="1"/>
    <col min="7936" max="7936" width="19" customWidth="1"/>
    <col min="7937" max="7941" width="18.25" customWidth="1"/>
    <col min="7942" max="7942" width="15.25" customWidth="1"/>
    <col min="7943" max="7943" width="15.75" customWidth="1"/>
    <col min="7944" max="7944" width="15.25" customWidth="1"/>
    <col min="7945" max="7946" width="18.25" customWidth="1"/>
    <col min="7947" max="7947" width="13.125" customWidth="1"/>
    <col min="7948" max="7948" width="15.5" customWidth="1"/>
    <col min="7949" max="7953" width="13.75" bestFit="1" customWidth="1"/>
    <col min="8190" max="8190" width="6.25" customWidth="1"/>
    <col min="8191" max="8191" width="38.375" customWidth="1"/>
    <col min="8192" max="8192" width="19" customWidth="1"/>
    <col min="8193" max="8197" width="18.25" customWidth="1"/>
    <col min="8198" max="8198" width="15.25" customWidth="1"/>
    <col min="8199" max="8199" width="15.75" customWidth="1"/>
    <col min="8200" max="8200" width="15.25" customWidth="1"/>
    <col min="8201" max="8202" width="18.25" customWidth="1"/>
    <col min="8203" max="8203" width="13.125" customWidth="1"/>
    <col min="8204" max="8204" width="15.5" customWidth="1"/>
    <col min="8205" max="8209" width="13.75" bestFit="1" customWidth="1"/>
    <col min="8446" max="8446" width="6.25" customWidth="1"/>
    <col min="8447" max="8447" width="38.375" customWidth="1"/>
    <col min="8448" max="8448" width="19" customWidth="1"/>
    <col min="8449" max="8453" width="18.25" customWidth="1"/>
    <col min="8454" max="8454" width="15.25" customWidth="1"/>
    <col min="8455" max="8455" width="15.75" customWidth="1"/>
    <col min="8456" max="8456" width="15.25" customWidth="1"/>
    <col min="8457" max="8458" width="18.25" customWidth="1"/>
    <col min="8459" max="8459" width="13.125" customWidth="1"/>
    <col min="8460" max="8460" width="15.5" customWidth="1"/>
    <col min="8461" max="8465" width="13.75" bestFit="1" customWidth="1"/>
    <col min="8702" max="8702" width="6.25" customWidth="1"/>
    <col min="8703" max="8703" width="38.375" customWidth="1"/>
    <col min="8704" max="8704" width="19" customWidth="1"/>
    <col min="8705" max="8709" width="18.25" customWidth="1"/>
    <col min="8710" max="8710" width="15.25" customWidth="1"/>
    <col min="8711" max="8711" width="15.75" customWidth="1"/>
    <col min="8712" max="8712" width="15.25" customWidth="1"/>
    <col min="8713" max="8714" width="18.25" customWidth="1"/>
    <col min="8715" max="8715" width="13.125" customWidth="1"/>
    <col min="8716" max="8716" width="15.5" customWidth="1"/>
    <col min="8717" max="8721" width="13.75" bestFit="1" customWidth="1"/>
    <col min="8958" max="8958" width="6.25" customWidth="1"/>
    <col min="8959" max="8959" width="38.375" customWidth="1"/>
    <col min="8960" max="8960" width="19" customWidth="1"/>
    <col min="8961" max="8965" width="18.25" customWidth="1"/>
    <col min="8966" max="8966" width="15.25" customWidth="1"/>
    <col min="8967" max="8967" width="15.75" customWidth="1"/>
    <col min="8968" max="8968" width="15.25" customWidth="1"/>
    <col min="8969" max="8970" width="18.25" customWidth="1"/>
    <col min="8971" max="8971" width="13.125" customWidth="1"/>
    <col min="8972" max="8972" width="15.5" customWidth="1"/>
    <col min="8973" max="8977" width="13.75" bestFit="1" customWidth="1"/>
    <col min="9214" max="9214" width="6.25" customWidth="1"/>
    <col min="9215" max="9215" width="38.375" customWidth="1"/>
    <col min="9216" max="9216" width="19" customWidth="1"/>
    <col min="9217" max="9221" width="18.25" customWidth="1"/>
    <col min="9222" max="9222" width="15.25" customWidth="1"/>
    <col min="9223" max="9223" width="15.75" customWidth="1"/>
    <col min="9224" max="9224" width="15.25" customWidth="1"/>
    <col min="9225" max="9226" width="18.25" customWidth="1"/>
    <col min="9227" max="9227" width="13.125" customWidth="1"/>
    <col min="9228" max="9228" width="15.5" customWidth="1"/>
    <col min="9229" max="9233" width="13.75" bestFit="1" customWidth="1"/>
    <col min="9470" max="9470" width="6.25" customWidth="1"/>
    <col min="9471" max="9471" width="38.375" customWidth="1"/>
    <col min="9472" max="9472" width="19" customWidth="1"/>
    <col min="9473" max="9477" width="18.25" customWidth="1"/>
    <col min="9478" max="9478" width="15.25" customWidth="1"/>
    <col min="9479" max="9479" width="15.75" customWidth="1"/>
    <col min="9480" max="9480" width="15.25" customWidth="1"/>
    <col min="9481" max="9482" width="18.25" customWidth="1"/>
    <col min="9483" max="9483" width="13.125" customWidth="1"/>
    <col min="9484" max="9484" width="15.5" customWidth="1"/>
    <col min="9485" max="9489" width="13.75" bestFit="1" customWidth="1"/>
    <col min="9726" max="9726" width="6.25" customWidth="1"/>
    <col min="9727" max="9727" width="38.375" customWidth="1"/>
    <col min="9728" max="9728" width="19" customWidth="1"/>
    <col min="9729" max="9733" width="18.25" customWidth="1"/>
    <col min="9734" max="9734" width="15.25" customWidth="1"/>
    <col min="9735" max="9735" width="15.75" customWidth="1"/>
    <col min="9736" max="9736" width="15.25" customWidth="1"/>
    <col min="9737" max="9738" width="18.25" customWidth="1"/>
    <col min="9739" max="9739" width="13.125" customWidth="1"/>
    <col min="9740" max="9740" width="15.5" customWidth="1"/>
    <col min="9741" max="9745" width="13.75" bestFit="1" customWidth="1"/>
    <col min="9982" max="9982" width="6.25" customWidth="1"/>
    <col min="9983" max="9983" width="38.375" customWidth="1"/>
    <col min="9984" max="9984" width="19" customWidth="1"/>
    <col min="9985" max="9989" width="18.25" customWidth="1"/>
    <col min="9990" max="9990" width="15.25" customWidth="1"/>
    <col min="9991" max="9991" width="15.75" customWidth="1"/>
    <col min="9992" max="9992" width="15.25" customWidth="1"/>
    <col min="9993" max="9994" width="18.25" customWidth="1"/>
    <col min="9995" max="9995" width="13.125" customWidth="1"/>
    <col min="9996" max="9996" width="15.5" customWidth="1"/>
    <col min="9997" max="10001" width="13.75" bestFit="1" customWidth="1"/>
    <col min="10238" max="10238" width="6.25" customWidth="1"/>
    <col min="10239" max="10239" width="38.375" customWidth="1"/>
    <col min="10240" max="10240" width="19" customWidth="1"/>
    <col min="10241" max="10245" width="18.25" customWidth="1"/>
    <col min="10246" max="10246" width="15.25" customWidth="1"/>
    <col min="10247" max="10247" width="15.75" customWidth="1"/>
    <col min="10248" max="10248" width="15.25" customWidth="1"/>
    <col min="10249" max="10250" width="18.25" customWidth="1"/>
    <col min="10251" max="10251" width="13.125" customWidth="1"/>
    <col min="10252" max="10252" width="15.5" customWidth="1"/>
    <col min="10253" max="10257" width="13.75" bestFit="1" customWidth="1"/>
    <col min="10494" max="10494" width="6.25" customWidth="1"/>
    <col min="10495" max="10495" width="38.375" customWidth="1"/>
    <col min="10496" max="10496" width="19" customWidth="1"/>
    <col min="10497" max="10501" width="18.25" customWidth="1"/>
    <col min="10502" max="10502" width="15.25" customWidth="1"/>
    <col min="10503" max="10503" width="15.75" customWidth="1"/>
    <col min="10504" max="10504" width="15.25" customWidth="1"/>
    <col min="10505" max="10506" width="18.25" customWidth="1"/>
    <col min="10507" max="10507" width="13.125" customWidth="1"/>
    <col min="10508" max="10508" width="15.5" customWidth="1"/>
    <col min="10509" max="10513" width="13.75" bestFit="1" customWidth="1"/>
    <col min="10750" max="10750" width="6.25" customWidth="1"/>
    <col min="10751" max="10751" width="38.375" customWidth="1"/>
    <col min="10752" max="10752" width="19" customWidth="1"/>
    <col min="10753" max="10757" width="18.25" customWidth="1"/>
    <col min="10758" max="10758" width="15.25" customWidth="1"/>
    <col min="10759" max="10759" width="15.75" customWidth="1"/>
    <col min="10760" max="10760" width="15.25" customWidth="1"/>
    <col min="10761" max="10762" width="18.25" customWidth="1"/>
    <col min="10763" max="10763" width="13.125" customWidth="1"/>
    <col min="10764" max="10764" width="15.5" customWidth="1"/>
    <col min="10765" max="10769" width="13.75" bestFit="1" customWidth="1"/>
    <col min="11006" max="11006" width="6.25" customWidth="1"/>
    <col min="11007" max="11007" width="38.375" customWidth="1"/>
    <col min="11008" max="11008" width="19" customWidth="1"/>
    <col min="11009" max="11013" width="18.25" customWidth="1"/>
    <col min="11014" max="11014" width="15.25" customWidth="1"/>
    <col min="11015" max="11015" width="15.75" customWidth="1"/>
    <col min="11016" max="11016" width="15.25" customWidth="1"/>
    <col min="11017" max="11018" width="18.25" customWidth="1"/>
    <col min="11019" max="11019" width="13.125" customWidth="1"/>
    <col min="11020" max="11020" width="15.5" customWidth="1"/>
    <col min="11021" max="11025" width="13.75" bestFit="1" customWidth="1"/>
    <col min="11262" max="11262" width="6.25" customWidth="1"/>
    <col min="11263" max="11263" width="38.375" customWidth="1"/>
    <col min="11264" max="11264" width="19" customWidth="1"/>
    <col min="11265" max="11269" width="18.25" customWidth="1"/>
    <col min="11270" max="11270" width="15.25" customWidth="1"/>
    <col min="11271" max="11271" width="15.75" customWidth="1"/>
    <col min="11272" max="11272" width="15.25" customWidth="1"/>
    <col min="11273" max="11274" width="18.25" customWidth="1"/>
    <col min="11275" max="11275" width="13.125" customWidth="1"/>
    <col min="11276" max="11276" width="15.5" customWidth="1"/>
    <col min="11277" max="11281" width="13.75" bestFit="1" customWidth="1"/>
    <col min="11518" max="11518" width="6.25" customWidth="1"/>
    <col min="11519" max="11519" width="38.375" customWidth="1"/>
    <col min="11520" max="11520" width="19" customWidth="1"/>
    <col min="11521" max="11525" width="18.25" customWidth="1"/>
    <col min="11526" max="11526" width="15.25" customWidth="1"/>
    <col min="11527" max="11527" width="15.75" customWidth="1"/>
    <col min="11528" max="11528" width="15.25" customWidth="1"/>
    <col min="11529" max="11530" width="18.25" customWidth="1"/>
    <col min="11531" max="11531" width="13.125" customWidth="1"/>
    <col min="11532" max="11532" width="15.5" customWidth="1"/>
    <col min="11533" max="11537" width="13.75" bestFit="1" customWidth="1"/>
    <col min="11774" max="11774" width="6.25" customWidth="1"/>
    <col min="11775" max="11775" width="38.375" customWidth="1"/>
    <col min="11776" max="11776" width="19" customWidth="1"/>
    <col min="11777" max="11781" width="18.25" customWidth="1"/>
    <col min="11782" max="11782" width="15.25" customWidth="1"/>
    <col min="11783" max="11783" width="15.75" customWidth="1"/>
    <col min="11784" max="11784" width="15.25" customWidth="1"/>
    <col min="11785" max="11786" width="18.25" customWidth="1"/>
    <col min="11787" max="11787" width="13.125" customWidth="1"/>
    <col min="11788" max="11788" width="15.5" customWidth="1"/>
    <col min="11789" max="11793" width="13.75" bestFit="1" customWidth="1"/>
    <col min="12030" max="12030" width="6.25" customWidth="1"/>
    <col min="12031" max="12031" width="38.375" customWidth="1"/>
    <col min="12032" max="12032" width="19" customWidth="1"/>
    <col min="12033" max="12037" width="18.25" customWidth="1"/>
    <col min="12038" max="12038" width="15.25" customWidth="1"/>
    <col min="12039" max="12039" width="15.75" customWidth="1"/>
    <col min="12040" max="12040" width="15.25" customWidth="1"/>
    <col min="12041" max="12042" width="18.25" customWidth="1"/>
    <col min="12043" max="12043" width="13.125" customWidth="1"/>
    <col min="12044" max="12044" width="15.5" customWidth="1"/>
    <col min="12045" max="12049" width="13.75" bestFit="1" customWidth="1"/>
    <col min="12286" max="12286" width="6.25" customWidth="1"/>
    <col min="12287" max="12287" width="38.375" customWidth="1"/>
    <col min="12288" max="12288" width="19" customWidth="1"/>
    <col min="12289" max="12293" width="18.25" customWidth="1"/>
    <col min="12294" max="12294" width="15.25" customWidth="1"/>
    <col min="12295" max="12295" width="15.75" customWidth="1"/>
    <col min="12296" max="12296" width="15.25" customWidth="1"/>
    <col min="12297" max="12298" width="18.25" customWidth="1"/>
    <col min="12299" max="12299" width="13.125" customWidth="1"/>
    <col min="12300" max="12300" width="15.5" customWidth="1"/>
    <col min="12301" max="12305" width="13.75" bestFit="1" customWidth="1"/>
    <col min="12542" max="12542" width="6.25" customWidth="1"/>
    <col min="12543" max="12543" width="38.375" customWidth="1"/>
    <col min="12544" max="12544" width="19" customWidth="1"/>
    <col min="12545" max="12549" width="18.25" customWidth="1"/>
    <col min="12550" max="12550" width="15.25" customWidth="1"/>
    <col min="12551" max="12551" width="15.75" customWidth="1"/>
    <col min="12552" max="12552" width="15.25" customWidth="1"/>
    <col min="12553" max="12554" width="18.25" customWidth="1"/>
    <col min="12555" max="12555" width="13.125" customWidth="1"/>
    <col min="12556" max="12556" width="15.5" customWidth="1"/>
    <col min="12557" max="12561" width="13.75" bestFit="1" customWidth="1"/>
    <col min="12798" max="12798" width="6.25" customWidth="1"/>
    <col min="12799" max="12799" width="38.375" customWidth="1"/>
    <col min="12800" max="12800" width="19" customWidth="1"/>
    <col min="12801" max="12805" width="18.25" customWidth="1"/>
    <col min="12806" max="12806" width="15.25" customWidth="1"/>
    <col min="12807" max="12807" width="15.75" customWidth="1"/>
    <col min="12808" max="12808" width="15.25" customWidth="1"/>
    <col min="12809" max="12810" width="18.25" customWidth="1"/>
    <col min="12811" max="12811" width="13.125" customWidth="1"/>
    <col min="12812" max="12812" width="15.5" customWidth="1"/>
    <col min="12813" max="12817" width="13.75" bestFit="1" customWidth="1"/>
    <col min="13054" max="13054" width="6.25" customWidth="1"/>
    <col min="13055" max="13055" width="38.375" customWidth="1"/>
    <col min="13056" max="13056" width="19" customWidth="1"/>
    <col min="13057" max="13061" width="18.25" customWidth="1"/>
    <col min="13062" max="13062" width="15.25" customWidth="1"/>
    <col min="13063" max="13063" width="15.75" customWidth="1"/>
    <col min="13064" max="13064" width="15.25" customWidth="1"/>
    <col min="13065" max="13066" width="18.25" customWidth="1"/>
    <col min="13067" max="13067" width="13.125" customWidth="1"/>
    <col min="13068" max="13068" width="15.5" customWidth="1"/>
    <col min="13069" max="13073" width="13.75" bestFit="1" customWidth="1"/>
    <col min="13310" max="13310" width="6.25" customWidth="1"/>
    <col min="13311" max="13311" width="38.375" customWidth="1"/>
    <col min="13312" max="13312" width="19" customWidth="1"/>
    <col min="13313" max="13317" width="18.25" customWidth="1"/>
    <col min="13318" max="13318" width="15.25" customWidth="1"/>
    <col min="13319" max="13319" width="15.75" customWidth="1"/>
    <col min="13320" max="13320" width="15.25" customWidth="1"/>
    <col min="13321" max="13322" width="18.25" customWidth="1"/>
    <col min="13323" max="13323" width="13.125" customWidth="1"/>
    <col min="13324" max="13324" width="15.5" customWidth="1"/>
    <col min="13325" max="13329" width="13.75" bestFit="1" customWidth="1"/>
    <col min="13566" max="13566" width="6.25" customWidth="1"/>
    <col min="13567" max="13567" width="38.375" customWidth="1"/>
    <col min="13568" max="13568" width="19" customWidth="1"/>
    <col min="13569" max="13573" width="18.25" customWidth="1"/>
    <col min="13574" max="13574" width="15.25" customWidth="1"/>
    <col min="13575" max="13575" width="15.75" customWidth="1"/>
    <col min="13576" max="13576" width="15.25" customWidth="1"/>
    <col min="13577" max="13578" width="18.25" customWidth="1"/>
    <col min="13579" max="13579" width="13.125" customWidth="1"/>
    <col min="13580" max="13580" width="15.5" customWidth="1"/>
    <col min="13581" max="13585" width="13.75" bestFit="1" customWidth="1"/>
    <col min="13822" max="13822" width="6.25" customWidth="1"/>
    <col min="13823" max="13823" width="38.375" customWidth="1"/>
    <col min="13824" max="13824" width="19" customWidth="1"/>
    <col min="13825" max="13829" width="18.25" customWidth="1"/>
    <col min="13830" max="13830" width="15.25" customWidth="1"/>
    <col min="13831" max="13831" width="15.75" customWidth="1"/>
    <col min="13832" max="13832" width="15.25" customWidth="1"/>
    <col min="13833" max="13834" width="18.25" customWidth="1"/>
    <col min="13835" max="13835" width="13.125" customWidth="1"/>
    <col min="13836" max="13836" width="15.5" customWidth="1"/>
    <col min="13837" max="13841" width="13.75" bestFit="1" customWidth="1"/>
    <col min="14078" max="14078" width="6.25" customWidth="1"/>
    <col min="14079" max="14079" width="38.375" customWidth="1"/>
    <col min="14080" max="14080" width="19" customWidth="1"/>
    <col min="14081" max="14085" width="18.25" customWidth="1"/>
    <col min="14086" max="14086" width="15.25" customWidth="1"/>
    <col min="14087" max="14087" width="15.75" customWidth="1"/>
    <col min="14088" max="14088" width="15.25" customWidth="1"/>
    <col min="14089" max="14090" width="18.25" customWidth="1"/>
    <col min="14091" max="14091" width="13.125" customWidth="1"/>
    <col min="14092" max="14092" width="15.5" customWidth="1"/>
    <col min="14093" max="14097" width="13.75" bestFit="1" customWidth="1"/>
    <col min="14334" max="14334" width="6.25" customWidth="1"/>
    <col min="14335" max="14335" width="38.375" customWidth="1"/>
    <col min="14336" max="14336" width="19" customWidth="1"/>
    <col min="14337" max="14341" width="18.25" customWidth="1"/>
    <col min="14342" max="14342" width="15.25" customWidth="1"/>
    <col min="14343" max="14343" width="15.75" customWidth="1"/>
    <col min="14344" max="14344" width="15.25" customWidth="1"/>
    <col min="14345" max="14346" width="18.25" customWidth="1"/>
    <col min="14347" max="14347" width="13.125" customWidth="1"/>
    <col min="14348" max="14348" width="15.5" customWidth="1"/>
    <col min="14349" max="14353" width="13.75" bestFit="1" customWidth="1"/>
    <col min="14590" max="14590" width="6.25" customWidth="1"/>
    <col min="14591" max="14591" width="38.375" customWidth="1"/>
    <col min="14592" max="14592" width="19" customWidth="1"/>
    <col min="14593" max="14597" width="18.25" customWidth="1"/>
    <col min="14598" max="14598" width="15.25" customWidth="1"/>
    <col min="14599" max="14599" width="15.75" customWidth="1"/>
    <col min="14600" max="14600" width="15.25" customWidth="1"/>
    <col min="14601" max="14602" width="18.25" customWidth="1"/>
    <col min="14603" max="14603" width="13.125" customWidth="1"/>
    <col min="14604" max="14604" width="15.5" customWidth="1"/>
    <col min="14605" max="14609" width="13.75" bestFit="1" customWidth="1"/>
    <col min="14846" max="14846" width="6.25" customWidth="1"/>
    <col min="14847" max="14847" width="38.375" customWidth="1"/>
    <col min="14848" max="14848" width="19" customWidth="1"/>
    <col min="14849" max="14853" width="18.25" customWidth="1"/>
    <col min="14854" max="14854" width="15.25" customWidth="1"/>
    <col min="14855" max="14855" width="15.75" customWidth="1"/>
    <col min="14856" max="14856" width="15.25" customWidth="1"/>
    <col min="14857" max="14858" width="18.25" customWidth="1"/>
    <col min="14859" max="14859" width="13.125" customWidth="1"/>
    <col min="14860" max="14860" width="15.5" customWidth="1"/>
    <col min="14861" max="14865" width="13.75" bestFit="1" customWidth="1"/>
    <col min="15102" max="15102" width="6.25" customWidth="1"/>
    <col min="15103" max="15103" width="38.375" customWidth="1"/>
    <col min="15104" max="15104" width="19" customWidth="1"/>
    <col min="15105" max="15109" width="18.25" customWidth="1"/>
    <col min="15110" max="15110" width="15.25" customWidth="1"/>
    <col min="15111" max="15111" width="15.75" customWidth="1"/>
    <col min="15112" max="15112" width="15.25" customWidth="1"/>
    <col min="15113" max="15114" width="18.25" customWidth="1"/>
    <col min="15115" max="15115" width="13.125" customWidth="1"/>
    <col min="15116" max="15116" width="15.5" customWidth="1"/>
    <col min="15117" max="15121" width="13.75" bestFit="1" customWidth="1"/>
    <col min="15358" max="15358" width="6.25" customWidth="1"/>
    <col min="15359" max="15359" width="38.375" customWidth="1"/>
    <col min="15360" max="15360" width="19" customWidth="1"/>
    <col min="15361" max="15365" width="18.25" customWidth="1"/>
    <col min="15366" max="15366" width="15.25" customWidth="1"/>
    <col min="15367" max="15367" width="15.75" customWidth="1"/>
    <col min="15368" max="15368" width="15.25" customWidth="1"/>
    <col min="15369" max="15370" width="18.25" customWidth="1"/>
    <col min="15371" max="15371" width="13.125" customWidth="1"/>
    <col min="15372" max="15372" width="15.5" customWidth="1"/>
    <col min="15373" max="15377" width="13.75" bestFit="1" customWidth="1"/>
    <col min="15614" max="15614" width="6.25" customWidth="1"/>
    <col min="15615" max="15615" width="38.375" customWidth="1"/>
    <col min="15616" max="15616" width="19" customWidth="1"/>
    <col min="15617" max="15621" width="18.25" customWidth="1"/>
    <col min="15622" max="15622" width="15.25" customWidth="1"/>
    <col min="15623" max="15623" width="15.75" customWidth="1"/>
    <col min="15624" max="15624" width="15.25" customWidth="1"/>
    <col min="15625" max="15626" width="18.25" customWidth="1"/>
    <col min="15627" max="15627" width="13.125" customWidth="1"/>
    <col min="15628" max="15628" width="15.5" customWidth="1"/>
    <col min="15629" max="15633" width="13.75" bestFit="1" customWidth="1"/>
    <col min="15870" max="15870" width="6.25" customWidth="1"/>
    <col min="15871" max="15871" width="38.375" customWidth="1"/>
    <col min="15872" max="15872" width="19" customWidth="1"/>
    <col min="15873" max="15877" width="18.25" customWidth="1"/>
    <col min="15878" max="15878" width="15.25" customWidth="1"/>
    <col min="15879" max="15879" width="15.75" customWidth="1"/>
    <col min="15880" max="15880" width="15.25" customWidth="1"/>
    <col min="15881" max="15882" width="18.25" customWidth="1"/>
    <col min="15883" max="15883" width="13.125" customWidth="1"/>
    <col min="15884" max="15884" width="15.5" customWidth="1"/>
    <col min="15885" max="15889" width="13.75" bestFit="1" customWidth="1"/>
    <col min="16126" max="16126" width="6.25" customWidth="1"/>
    <col min="16127" max="16127" width="38.375" customWidth="1"/>
    <col min="16128" max="16128" width="19" customWidth="1"/>
    <col min="16129" max="16133" width="18.25" customWidth="1"/>
    <col min="16134" max="16134" width="15.25" customWidth="1"/>
    <col min="16135" max="16135" width="15.75" customWidth="1"/>
    <col min="16136" max="16136" width="15.25" customWidth="1"/>
    <col min="16137" max="16138" width="18.25" customWidth="1"/>
    <col min="16139" max="16139" width="13.125" customWidth="1"/>
    <col min="16140" max="16140" width="15.5" customWidth="1"/>
    <col min="16141" max="16145" width="13.75" bestFit="1" customWidth="1"/>
  </cols>
  <sheetData>
    <row r="1" spans="1:19">
      <c r="E1" s="41"/>
      <c r="F1" s="41"/>
      <c r="G1" s="41"/>
      <c r="H1" s="41"/>
    </row>
    <row r="2" spans="1:19" ht="31.5">
      <c r="B2" s="2" t="s">
        <v>163</v>
      </c>
      <c r="C2" s="2"/>
      <c r="D2" s="2"/>
      <c r="E2" s="43"/>
      <c r="F2" s="43"/>
      <c r="G2" s="41"/>
      <c r="H2" s="41"/>
      <c r="Q2" s="4" t="s">
        <v>10</v>
      </c>
    </row>
    <row r="3" spans="1:19">
      <c r="A3" s="5"/>
      <c r="B3" s="145" t="s">
        <v>11</v>
      </c>
      <c r="C3" s="146" t="s">
        <v>177</v>
      </c>
      <c r="D3" s="146" t="s">
        <v>178</v>
      </c>
      <c r="E3" s="147" t="s">
        <v>174</v>
      </c>
      <c r="F3" s="147" t="s">
        <v>12</v>
      </c>
      <c r="G3" s="147" t="s">
        <v>13</v>
      </c>
      <c r="H3" s="147" t="s">
        <v>14</v>
      </c>
      <c r="I3" s="147" t="s">
        <v>15</v>
      </c>
      <c r="J3" s="147" t="s">
        <v>16</v>
      </c>
      <c r="K3" s="147" t="s">
        <v>17</v>
      </c>
      <c r="L3" s="147" t="s">
        <v>18</v>
      </c>
      <c r="M3" s="147" t="s">
        <v>19</v>
      </c>
      <c r="N3" s="147" t="s">
        <v>20</v>
      </c>
      <c r="O3" s="147" t="s">
        <v>21</v>
      </c>
      <c r="P3" s="147" t="s">
        <v>22</v>
      </c>
      <c r="Q3" s="193" t="s">
        <v>23</v>
      </c>
      <c r="S3" s="52" t="s">
        <v>173</v>
      </c>
    </row>
    <row r="4" spans="1:19">
      <c r="A4" s="5"/>
      <c r="B4" s="149" t="s">
        <v>76</v>
      </c>
      <c r="C4" s="151">
        <f>+C5+C6</f>
        <v>538965152.87771225</v>
      </c>
      <c r="D4" s="151">
        <f>+D5+D6</f>
        <v>435395722.36000001</v>
      </c>
      <c r="E4" s="151">
        <f t="shared" ref="E4:E9" si="0">SUM(F4:Q4)</f>
        <v>387377932.47889495</v>
      </c>
      <c r="F4" s="151">
        <f>+F5+F6</f>
        <v>31872580.094622042</v>
      </c>
      <c r="G4" s="151">
        <f t="shared" ref="G4:Q4" si="1">+G5+G6</f>
        <v>24858017.49810769</v>
      </c>
      <c r="H4" s="151">
        <f t="shared" si="1"/>
        <v>36347428.943038382</v>
      </c>
      <c r="I4" s="151">
        <f t="shared" si="1"/>
        <v>35770609.088148244</v>
      </c>
      <c r="J4" s="151">
        <f t="shared" si="1"/>
        <v>28991635.654872403</v>
      </c>
      <c r="K4" s="151">
        <f t="shared" si="1"/>
        <v>33665318.004968226</v>
      </c>
      <c r="L4" s="151">
        <f t="shared" si="1"/>
        <v>34937848.497140095</v>
      </c>
      <c r="M4" s="151">
        <f t="shared" si="1"/>
        <v>26487329.581332397</v>
      </c>
      <c r="N4" s="151">
        <f t="shared" si="1"/>
        <v>35015272.928412423</v>
      </c>
      <c r="O4" s="151">
        <f t="shared" si="1"/>
        <v>29329977.363692403</v>
      </c>
      <c r="P4" s="151">
        <f t="shared" si="1"/>
        <v>33593949.037232399</v>
      </c>
      <c r="Q4" s="65">
        <f t="shared" si="1"/>
        <v>36507965.787328243</v>
      </c>
      <c r="S4" s="80">
        <f>E4*195</f>
        <v>75538696833.384521</v>
      </c>
    </row>
    <row r="5" spans="1:19">
      <c r="B5" s="194" t="s">
        <v>77</v>
      </c>
      <c r="C5" s="195">
        <f t="shared" ref="C5" si="2">+C88</f>
        <v>526202575.58171225</v>
      </c>
      <c r="D5" s="195">
        <f t="shared" ref="D5" si="3">+D88</f>
        <v>412490137.91000003</v>
      </c>
      <c r="E5" s="195">
        <f t="shared" si="0"/>
        <v>360893901.9088949</v>
      </c>
      <c r="F5" s="195">
        <f t="shared" ref="F5:Q5" si="4">+F88</f>
        <v>29487285.974622041</v>
      </c>
      <c r="G5" s="195">
        <f t="shared" si="4"/>
        <v>22463255.33610769</v>
      </c>
      <c r="H5" s="195">
        <f t="shared" si="4"/>
        <v>33794347.247038379</v>
      </c>
      <c r="I5" s="195">
        <f t="shared" si="4"/>
        <v>32839242.896148242</v>
      </c>
      <c r="J5" s="195">
        <f t="shared" si="4"/>
        <v>28503902.254872404</v>
      </c>
      <c r="K5" s="195">
        <f t="shared" si="4"/>
        <v>31417919.004968222</v>
      </c>
      <c r="L5" s="195">
        <f t="shared" si="4"/>
        <v>32690449.497140095</v>
      </c>
      <c r="M5" s="195">
        <f t="shared" si="4"/>
        <v>24239930.581332397</v>
      </c>
      <c r="N5" s="195">
        <f t="shared" si="4"/>
        <v>32767873.928412419</v>
      </c>
      <c r="O5" s="195">
        <f t="shared" si="4"/>
        <v>27082578.363692403</v>
      </c>
      <c r="P5" s="195">
        <f t="shared" si="4"/>
        <v>31346550.037232399</v>
      </c>
      <c r="Q5" s="196">
        <f t="shared" si="4"/>
        <v>34260566.787328243</v>
      </c>
      <c r="S5" s="80">
        <f t="shared" ref="S5:S7" si="5">E5*195</f>
        <v>70374310872.234512</v>
      </c>
    </row>
    <row r="6" spans="1:19">
      <c r="B6" s="194" t="s">
        <v>78</v>
      </c>
      <c r="C6" s="195">
        <f t="shared" ref="C6" si="6">+C182</f>
        <v>12762577.296</v>
      </c>
      <c r="D6" s="195">
        <f t="shared" ref="D6" si="7">+D182</f>
        <v>22905584.449999999</v>
      </c>
      <c r="E6" s="195">
        <f t="shared" si="0"/>
        <v>26484030.57</v>
      </c>
      <c r="F6" s="195">
        <f t="shared" ref="F6:Q6" si="8">+F182</f>
        <v>2385294.1200000006</v>
      </c>
      <c r="G6" s="195">
        <f t="shared" si="8"/>
        <v>2394762.1620000005</v>
      </c>
      <c r="H6" s="195">
        <f t="shared" si="8"/>
        <v>2553081.6960000005</v>
      </c>
      <c r="I6" s="195">
        <f t="shared" si="8"/>
        <v>2931366.1920000003</v>
      </c>
      <c r="J6" s="195">
        <f t="shared" si="8"/>
        <v>487733.4</v>
      </c>
      <c r="K6" s="195">
        <f t="shared" si="8"/>
        <v>2247399</v>
      </c>
      <c r="L6" s="195">
        <f t="shared" si="8"/>
        <v>2247399</v>
      </c>
      <c r="M6" s="195">
        <f t="shared" si="8"/>
        <v>2247399</v>
      </c>
      <c r="N6" s="195">
        <f t="shared" si="8"/>
        <v>2247399</v>
      </c>
      <c r="O6" s="195">
        <f t="shared" si="8"/>
        <v>2247399</v>
      </c>
      <c r="P6" s="195">
        <f t="shared" si="8"/>
        <v>2247399</v>
      </c>
      <c r="Q6" s="196">
        <f t="shared" si="8"/>
        <v>2247399</v>
      </c>
      <c r="S6" s="80">
        <f t="shared" si="5"/>
        <v>5164385961.1499996</v>
      </c>
    </row>
    <row r="7" spans="1:19">
      <c r="B7" s="152" t="s">
        <v>79</v>
      </c>
      <c r="C7" s="154">
        <f>+C9+C10</f>
        <v>456925381.67192352</v>
      </c>
      <c r="D7" s="154">
        <f>+D9+D10</f>
        <v>400731974.34999996</v>
      </c>
      <c r="E7" s="153">
        <f t="shared" si="0"/>
        <v>369078408.10694343</v>
      </c>
      <c r="F7" s="154">
        <f>+F9+F10</f>
        <v>30325088.212690026</v>
      </c>
      <c r="G7" s="154">
        <f t="shared" ref="G7:Q7" si="9">+G9+G10</f>
        <v>23682224.327859089</v>
      </c>
      <c r="H7" s="154">
        <f t="shared" si="9"/>
        <v>34641202.307079159</v>
      </c>
      <c r="I7" s="154">
        <f t="shared" si="9"/>
        <v>34120301.991891354</v>
      </c>
      <c r="J7" s="154">
        <f t="shared" si="9"/>
        <v>27565289.047302049</v>
      </c>
      <c r="K7" s="154">
        <f t="shared" si="9"/>
        <v>32089484.173594218</v>
      </c>
      <c r="L7" s="154">
        <f t="shared" si="9"/>
        <v>33224963.404833794</v>
      </c>
      <c r="M7" s="154">
        <f t="shared" si="9"/>
        <v>25284402.76841069</v>
      </c>
      <c r="N7" s="154">
        <f t="shared" si="9"/>
        <v>33365506.526193418</v>
      </c>
      <c r="O7" s="154">
        <f t="shared" si="9"/>
        <v>27978104.02100493</v>
      </c>
      <c r="P7" s="154">
        <f t="shared" si="9"/>
        <v>32018655.899896279</v>
      </c>
      <c r="Q7" s="66">
        <f t="shared" si="9"/>
        <v>34783185.426188469</v>
      </c>
      <c r="S7" s="80">
        <f t="shared" si="5"/>
        <v>71970289580.853973</v>
      </c>
    </row>
    <row r="8" spans="1:19">
      <c r="B8" s="159" t="s">
        <v>0</v>
      </c>
      <c r="C8" s="18"/>
      <c r="D8" s="18"/>
      <c r="E8" s="160">
        <f t="shared" si="0"/>
        <v>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</row>
    <row r="9" spans="1:19">
      <c r="B9" s="159" t="s">
        <v>1</v>
      </c>
      <c r="C9" s="18">
        <f>+C89</f>
        <v>444162804.37592351</v>
      </c>
      <c r="D9" s="18">
        <f>+D89</f>
        <v>377826389.89999998</v>
      </c>
      <c r="E9" s="160">
        <f t="shared" si="0"/>
        <v>342594377.53694344</v>
      </c>
      <c r="F9" s="18">
        <f>+F89</f>
        <v>27939794.092690025</v>
      </c>
      <c r="G9" s="18">
        <f t="shared" ref="G9:Q9" si="10">+G89</f>
        <v>21287462.165859088</v>
      </c>
      <c r="H9" s="18">
        <f t="shared" si="10"/>
        <v>32088120.611079156</v>
      </c>
      <c r="I9" s="18">
        <f t="shared" si="10"/>
        <v>31188935.799891356</v>
      </c>
      <c r="J9" s="18">
        <f t="shared" si="10"/>
        <v>27077555.64730205</v>
      </c>
      <c r="K9" s="18">
        <f t="shared" si="10"/>
        <v>29842085.173594218</v>
      </c>
      <c r="L9" s="18">
        <f t="shared" si="10"/>
        <v>30977564.404833794</v>
      </c>
      <c r="M9" s="18">
        <f t="shared" si="10"/>
        <v>23037003.76841069</v>
      </c>
      <c r="N9" s="18">
        <f t="shared" si="10"/>
        <v>31118107.526193418</v>
      </c>
      <c r="O9" s="18">
        <f t="shared" si="10"/>
        <v>25730705.02100493</v>
      </c>
      <c r="P9" s="18">
        <f t="shared" si="10"/>
        <v>29771256.899896279</v>
      </c>
      <c r="Q9" s="19">
        <f t="shared" si="10"/>
        <v>32535786.426188473</v>
      </c>
    </row>
    <row r="10" spans="1:19">
      <c r="B10" s="159" t="s">
        <v>2</v>
      </c>
      <c r="C10" s="18">
        <f>+C182</f>
        <v>12762577.296</v>
      </c>
      <c r="D10" s="18">
        <f>+D182</f>
        <v>22905584.449999999</v>
      </c>
      <c r="E10" s="160">
        <f t="shared" ref="E10:E73" si="11">SUM(F10:Q10)</f>
        <v>26484030.57</v>
      </c>
      <c r="F10" s="18">
        <f>+F182</f>
        <v>2385294.1200000006</v>
      </c>
      <c r="G10" s="18">
        <f t="shared" ref="G10:Q10" si="12">+G182</f>
        <v>2394762.1620000005</v>
      </c>
      <c r="H10" s="18">
        <f t="shared" si="12"/>
        <v>2553081.6960000005</v>
      </c>
      <c r="I10" s="18">
        <f t="shared" si="12"/>
        <v>2931366.1920000003</v>
      </c>
      <c r="J10" s="18">
        <f t="shared" si="12"/>
        <v>487733.4</v>
      </c>
      <c r="K10" s="18">
        <f t="shared" si="12"/>
        <v>2247399</v>
      </c>
      <c r="L10" s="18">
        <f t="shared" si="12"/>
        <v>2247399</v>
      </c>
      <c r="M10" s="18">
        <f t="shared" si="12"/>
        <v>2247399</v>
      </c>
      <c r="N10" s="18">
        <f t="shared" si="12"/>
        <v>2247399</v>
      </c>
      <c r="O10" s="18">
        <f t="shared" si="12"/>
        <v>2247399</v>
      </c>
      <c r="P10" s="18">
        <f t="shared" si="12"/>
        <v>2247399</v>
      </c>
      <c r="Q10" s="19">
        <f t="shared" si="12"/>
        <v>2247399</v>
      </c>
    </row>
    <row r="11" spans="1:19">
      <c r="B11" s="152" t="s">
        <v>80</v>
      </c>
      <c r="C11" s="154">
        <f>+C13+C14</f>
        <v>79580635.39172709</v>
      </c>
      <c r="D11" s="154">
        <f>+D13+D14</f>
        <v>30442990.550000001</v>
      </c>
      <c r="E11" s="153">
        <f t="shared" si="11"/>
        <v>14001788.363391738</v>
      </c>
      <c r="F11" s="154">
        <f>+F13+F14</f>
        <v>1200153.2882907204</v>
      </c>
      <c r="G11" s="154">
        <f t="shared" ref="G11:Q11" si="13">+G13+G14</f>
        <v>914402.50536435831</v>
      </c>
      <c r="H11" s="154">
        <f t="shared" si="13"/>
        <v>1314453.6014612652</v>
      </c>
      <c r="I11" s="154">
        <f t="shared" si="13"/>
        <v>1257303.4448759931</v>
      </c>
      <c r="J11" s="154">
        <f t="shared" si="13"/>
        <v>1085852.9751201754</v>
      </c>
      <c r="K11" s="154">
        <f t="shared" si="13"/>
        <v>1200153.2882907204</v>
      </c>
      <c r="L11" s="154">
        <f t="shared" si="13"/>
        <v>1314453.6014612652</v>
      </c>
      <c r="M11" s="154">
        <f t="shared" si="13"/>
        <v>914402.50536435831</v>
      </c>
      <c r="N11" s="154">
        <f t="shared" si="13"/>
        <v>1257303.4448759931</v>
      </c>
      <c r="O11" s="154">
        <f t="shared" si="13"/>
        <v>1028702.818534903</v>
      </c>
      <c r="P11" s="154">
        <f t="shared" si="13"/>
        <v>1200153.2882907204</v>
      </c>
      <c r="Q11" s="66">
        <f t="shared" si="13"/>
        <v>1314453.6014612652</v>
      </c>
      <c r="S11" s="80">
        <f>E11*195</f>
        <v>2730348730.8613892</v>
      </c>
    </row>
    <row r="12" spans="1:19">
      <c r="B12" s="159" t="s">
        <v>0</v>
      </c>
      <c r="C12" s="18"/>
      <c r="D12" s="18"/>
      <c r="E12" s="160">
        <f t="shared" si="11"/>
        <v>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</row>
    <row r="13" spans="1:19">
      <c r="B13" s="159" t="s">
        <v>1</v>
      </c>
      <c r="C13" s="18">
        <f>+C104</f>
        <v>79580635.39172709</v>
      </c>
      <c r="D13" s="18">
        <f>+D104</f>
        <v>30442990.550000001</v>
      </c>
      <c r="E13" s="160">
        <f t="shared" si="11"/>
        <v>14001788.363391738</v>
      </c>
      <c r="F13" s="18">
        <f>+F104</f>
        <v>1200153.2882907204</v>
      </c>
      <c r="G13" s="18">
        <f t="shared" ref="G13:Q13" si="14">+G104</f>
        <v>914402.50536435831</v>
      </c>
      <c r="H13" s="18">
        <f t="shared" si="14"/>
        <v>1314453.6014612652</v>
      </c>
      <c r="I13" s="18">
        <f t="shared" si="14"/>
        <v>1257303.4448759931</v>
      </c>
      <c r="J13" s="18">
        <f t="shared" si="14"/>
        <v>1085852.9751201754</v>
      </c>
      <c r="K13" s="18">
        <f t="shared" si="14"/>
        <v>1200153.2882907204</v>
      </c>
      <c r="L13" s="18">
        <f t="shared" si="14"/>
        <v>1314453.6014612652</v>
      </c>
      <c r="M13" s="18">
        <f t="shared" si="14"/>
        <v>914402.50536435831</v>
      </c>
      <c r="N13" s="18">
        <f t="shared" si="14"/>
        <v>1257303.4448759931</v>
      </c>
      <c r="O13" s="18">
        <f t="shared" si="14"/>
        <v>1028702.818534903</v>
      </c>
      <c r="P13" s="18">
        <f t="shared" si="14"/>
        <v>1200153.2882907204</v>
      </c>
      <c r="Q13" s="19">
        <f t="shared" si="14"/>
        <v>1314453.6014612652</v>
      </c>
    </row>
    <row r="14" spans="1:19">
      <c r="B14" s="159" t="s">
        <v>2</v>
      </c>
      <c r="C14" s="18"/>
      <c r="D14" s="18"/>
      <c r="E14" s="160">
        <f t="shared" si="11"/>
        <v>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9"/>
    </row>
    <row r="15" spans="1:19">
      <c r="B15" s="152" t="s">
        <v>81</v>
      </c>
      <c r="C15" s="154">
        <f>+C105+C190</f>
        <v>2459135.8140616734</v>
      </c>
      <c r="D15" s="154">
        <f>+D105+D190</f>
        <v>4261068.12</v>
      </c>
      <c r="E15" s="153">
        <f t="shared" si="11"/>
        <v>4297736.0085597085</v>
      </c>
      <c r="F15" s="154">
        <f>+F105+F190</f>
        <v>347338.59364129556</v>
      </c>
      <c r="G15" s="154">
        <f t="shared" ref="G15:Q15" si="15">+G105+G190</f>
        <v>261390.66488424334</v>
      </c>
      <c r="H15" s="154">
        <f t="shared" si="15"/>
        <v>391773.03449795529</v>
      </c>
      <c r="I15" s="154">
        <f t="shared" si="15"/>
        <v>393003.65138089343</v>
      </c>
      <c r="J15" s="154">
        <f t="shared" si="15"/>
        <v>340493.63245017792</v>
      </c>
      <c r="K15" s="154">
        <f t="shared" si="15"/>
        <v>375680.54308328312</v>
      </c>
      <c r="L15" s="154">
        <f t="shared" si="15"/>
        <v>398431.49084503471</v>
      </c>
      <c r="M15" s="154">
        <f t="shared" si="15"/>
        <v>288524.30755734723</v>
      </c>
      <c r="N15" s="154">
        <f t="shared" si="15"/>
        <v>392462.95734300849</v>
      </c>
      <c r="O15" s="154">
        <f t="shared" si="15"/>
        <v>323170.52415256773</v>
      </c>
      <c r="P15" s="154">
        <f t="shared" si="15"/>
        <v>375139.84904539818</v>
      </c>
      <c r="Q15" s="66">
        <f t="shared" si="15"/>
        <v>410326.75967850361</v>
      </c>
      <c r="S15" s="80">
        <f>E15*195</f>
        <v>838058521.6691432</v>
      </c>
    </row>
    <row r="16" spans="1:19">
      <c r="A16" s="22"/>
      <c r="B16" s="149" t="s">
        <v>82</v>
      </c>
      <c r="C16" s="151">
        <f>SUM(C17:C21)</f>
        <v>490204921.21193516</v>
      </c>
      <c r="D16" s="151">
        <f>SUM(D17:D21)</f>
        <v>389299689.37009674</v>
      </c>
      <c r="E16" s="150">
        <f t="shared" si="11"/>
        <v>336579514.9589991</v>
      </c>
      <c r="F16" s="151">
        <f>SUM(F17:F21)</f>
        <v>27540932.793791905</v>
      </c>
      <c r="G16" s="151">
        <f t="shared" ref="G16:Q16" si="16">SUM(G17:G21)</f>
        <v>21734973.198428821</v>
      </c>
      <c r="H16" s="151">
        <f t="shared" si="16"/>
        <v>31752612.767039709</v>
      </c>
      <c r="I16" s="151">
        <f t="shared" si="16"/>
        <v>30798805.890146222</v>
      </c>
      <c r="J16" s="151">
        <f t="shared" si="16"/>
        <v>25194419.284089025</v>
      </c>
      <c r="K16" s="151">
        <f t="shared" si="16"/>
        <v>29343630.104833342</v>
      </c>
      <c r="L16" s="151">
        <f t="shared" si="16"/>
        <v>29822505.027894899</v>
      </c>
      <c r="M16" s="151">
        <f t="shared" si="16"/>
        <v>23383262.604190633</v>
      </c>
      <c r="N16" s="151">
        <f t="shared" si="16"/>
        <v>30387284.530246984</v>
      </c>
      <c r="O16" s="151">
        <f t="shared" si="16"/>
        <v>25679024.552033566</v>
      </c>
      <c r="P16" s="151">
        <f t="shared" si="16"/>
        <v>28915738.934384454</v>
      </c>
      <c r="Q16" s="65">
        <f t="shared" si="16"/>
        <v>32026325.271919526</v>
      </c>
      <c r="S16" s="80">
        <f>E16*195</f>
        <v>65633005417.004822</v>
      </c>
    </row>
    <row r="17" spans="1:19">
      <c r="A17" s="21"/>
      <c r="B17" s="152" t="s">
        <v>83</v>
      </c>
      <c r="C17" s="154">
        <f>+C107+C192</f>
        <v>424644089.27732921</v>
      </c>
      <c r="D17" s="154">
        <f>+D107+D192</f>
        <v>358995594.57009673</v>
      </c>
      <c r="E17" s="154">
        <f t="shared" si="11"/>
        <v>321884378.2024579</v>
      </c>
      <c r="F17" s="154">
        <f>+F107+F192</f>
        <v>26400983.197659124</v>
      </c>
      <c r="G17" s="154">
        <f t="shared" ref="G17:Q17" si="17">+G107+G192</f>
        <v>20844009.833756223</v>
      </c>
      <c r="H17" s="154">
        <f t="shared" si="17"/>
        <v>30200116.286574848</v>
      </c>
      <c r="I17" s="154">
        <f t="shared" si="17"/>
        <v>29611649.1137214</v>
      </c>
      <c r="J17" s="154">
        <f t="shared" si="17"/>
        <v>24148884.048540317</v>
      </c>
      <c r="K17" s="154">
        <f t="shared" si="17"/>
        <v>27888925.494952559</v>
      </c>
      <c r="L17" s="154">
        <f t="shared" si="17"/>
        <v>28504141.071178041</v>
      </c>
      <c r="M17" s="154">
        <f t="shared" si="17"/>
        <v>22479348.909518037</v>
      </c>
      <c r="N17" s="154">
        <f t="shared" si="17"/>
        <v>28883302.110074162</v>
      </c>
      <c r="O17" s="154">
        <f t="shared" si="17"/>
        <v>24680696.496776894</v>
      </c>
      <c r="P17" s="154">
        <f t="shared" si="17"/>
        <v>27775789.338251673</v>
      </c>
      <c r="Q17" s="66">
        <f t="shared" si="17"/>
        <v>30466532.301454667</v>
      </c>
    </row>
    <row r="18" spans="1:19">
      <c r="A18" s="21"/>
      <c r="B18" s="152" t="s">
        <v>84</v>
      </c>
      <c r="C18" s="154">
        <f t="shared" ref="C18" si="18">+C108+C193</f>
        <v>65560831.934605926</v>
      </c>
      <c r="D18" s="154">
        <f t="shared" ref="D18" si="19">+D108+D193</f>
        <v>29206061.389999993</v>
      </c>
      <c r="E18" s="154">
        <f t="shared" si="11"/>
        <v>11565759.171549151</v>
      </c>
      <c r="F18" s="154">
        <f t="shared" ref="F18:Q21" si="20">+F108+F193</f>
        <v>991350.78613278421</v>
      </c>
      <c r="G18" s="154">
        <f t="shared" si="20"/>
        <v>755314.8846725974</v>
      </c>
      <c r="H18" s="154">
        <f t="shared" si="20"/>
        <v>1085765.1467168592</v>
      </c>
      <c r="I18" s="154">
        <f t="shared" si="20"/>
        <v>1038557.966424822</v>
      </c>
      <c r="J18" s="154">
        <f t="shared" si="20"/>
        <v>896936.42554870935</v>
      </c>
      <c r="K18" s="154">
        <f t="shared" si="20"/>
        <v>991350.78613278421</v>
      </c>
      <c r="L18" s="154">
        <f t="shared" si="20"/>
        <v>1085765.1467168592</v>
      </c>
      <c r="M18" s="154">
        <f t="shared" si="20"/>
        <v>755314.8846725974</v>
      </c>
      <c r="N18" s="154">
        <f t="shared" si="20"/>
        <v>1038557.966424822</v>
      </c>
      <c r="O18" s="154">
        <f t="shared" si="20"/>
        <v>849729.24525667226</v>
      </c>
      <c r="P18" s="154">
        <f t="shared" si="20"/>
        <v>991350.78613278421</v>
      </c>
      <c r="Q18" s="66">
        <f t="shared" si="20"/>
        <v>1085765.1467168592</v>
      </c>
    </row>
    <row r="19" spans="1:19">
      <c r="A19" s="21"/>
      <c r="B19" s="152" t="s">
        <v>85</v>
      </c>
      <c r="C19" s="154">
        <f t="shared" ref="C19" si="21">+C109+C194</f>
        <v>0</v>
      </c>
      <c r="D19" s="154">
        <f t="shared" ref="D19" si="22">+D109+D194</f>
        <v>0</v>
      </c>
      <c r="E19" s="154">
        <f t="shared" si="11"/>
        <v>0</v>
      </c>
      <c r="F19" s="154">
        <f t="shared" si="20"/>
        <v>0</v>
      </c>
      <c r="G19" s="154">
        <f t="shared" si="20"/>
        <v>0</v>
      </c>
      <c r="H19" s="154">
        <f t="shared" si="20"/>
        <v>0</v>
      </c>
      <c r="I19" s="154">
        <f t="shared" si="20"/>
        <v>0</v>
      </c>
      <c r="J19" s="154">
        <f t="shared" si="20"/>
        <v>0</v>
      </c>
      <c r="K19" s="154">
        <f t="shared" si="20"/>
        <v>0</v>
      </c>
      <c r="L19" s="154">
        <f t="shared" si="20"/>
        <v>0</v>
      </c>
      <c r="M19" s="154">
        <f t="shared" si="20"/>
        <v>0</v>
      </c>
      <c r="N19" s="154">
        <f t="shared" si="20"/>
        <v>0</v>
      </c>
      <c r="O19" s="154">
        <f t="shared" si="20"/>
        <v>0</v>
      </c>
      <c r="P19" s="154">
        <f t="shared" si="20"/>
        <v>0</v>
      </c>
      <c r="Q19" s="66">
        <f t="shared" si="20"/>
        <v>0</v>
      </c>
    </row>
    <row r="20" spans="1:19">
      <c r="A20" s="21"/>
      <c r="B20" s="152" t="s">
        <v>86</v>
      </c>
      <c r="C20" s="154">
        <f t="shared" ref="C20" si="23">+C110+C195</f>
        <v>0</v>
      </c>
      <c r="D20" s="154">
        <f t="shared" ref="D20" si="24">+D110+D195</f>
        <v>-1078706.01</v>
      </c>
      <c r="E20" s="154">
        <f t="shared" si="11"/>
        <v>0</v>
      </c>
      <c r="F20" s="154">
        <f t="shared" si="20"/>
        <v>0</v>
      </c>
      <c r="G20" s="154">
        <f t="shared" si="20"/>
        <v>0</v>
      </c>
      <c r="H20" s="154">
        <f t="shared" si="20"/>
        <v>0</v>
      </c>
      <c r="I20" s="154">
        <f t="shared" si="20"/>
        <v>0</v>
      </c>
      <c r="J20" s="154">
        <f t="shared" si="20"/>
        <v>0</v>
      </c>
      <c r="K20" s="154">
        <f t="shared" si="20"/>
        <v>0</v>
      </c>
      <c r="L20" s="154">
        <f t="shared" si="20"/>
        <v>0</v>
      </c>
      <c r="M20" s="154">
        <f t="shared" si="20"/>
        <v>0</v>
      </c>
      <c r="N20" s="154">
        <f t="shared" si="20"/>
        <v>0</v>
      </c>
      <c r="O20" s="154">
        <f t="shared" si="20"/>
        <v>0</v>
      </c>
      <c r="P20" s="154">
        <f t="shared" si="20"/>
        <v>0</v>
      </c>
      <c r="Q20" s="66">
        <f t="shared" si="20"/>
        <v>0</v>
      </c>
    </row>
    <row r="21" spans="1:19">
      <c r="A21" s="21"/>
      <c r="B21" s="152" t="s">
        <v>87</v>
      </c>
      <c r="C21" s="154">
        <f t="shared" ref="C21" si="25">+C111+C196</f>
        <v>0</v>
      </c>
      <c r="D21" s="154">
        <f t="shared" ref="D21" si="26">+D111+D196</f>
        <v>2176739.42</v>
      </c>
      <c r="E21" s="154">
        <f t="shared" si="11"/>
        <v>3129377.5849920004</v>
      </c>
      <c r="F21" s="154">
        <f t="shared" si="20"/>
        <v>148598.81</v>
      </c>
      <c r="G21" s="154">
        <f t="shared" si="20"/>
        <v>135648.48000000001</v>
      </c>
      <c r="H21" s="154">
        <f t="shared" si="20"/>
        <v>466731.33374799998</v>
      </c>
      <c r="I21" s="154">
        <f t="shared" si="20"/>
        <v>148598.81</v>
      </c>
      <c r="J21" s="154">
        <f t="shared" si="20"/>
        <v>148598.81</v>
      </c>
      <c r="K21" s="154">
        <f t="shared" si="20"/>
        <v>463353.82374799997</v>
      </c>
      <c r="L21" s="154">
        <f t="shared" si="20"/>
        <v>232598.81</v>
      </c>
      <c r="M21" s="154">
        <f t="shared" si="20"/>
        <v>148598.81</v>
      </c>
      <c r="N21" s="154">
        <f t="shared" si="20"/>
        <v>465424.45374799997</v>
      </c>
      <c r="O21" s="154">
        <f t="shared" si="20"/>
        <v>148598.81</v>
      </c>
      <c r="P21" s="154">
        <f t="shared" si="20"/>
        <v>148598.81</v>
      </c>
      <c r="Q21" s="66">
        <f t="shared" si="20"/>
        <v>474027.82374799997</v>
      </c>
      <c r="S21" t="s">
        <v>181</v>
      </c>
    </row>
    <row r="22" spans="1:19">
      <c r="A22" s="22"/>
      <c r="B22" s="149" t="s">
        <v>88</v>
      </c>
      <c r="C22" s="151">
        <f t="shared" ref="C22" si="27">+C4-C16</f>
        <v>48760231.665777087</v>
      </c>
      <c r="D22" s="151">
        <f t="shared" ref="D22" si="28">+D4-D16</f>
        <v>46096032.989903271</v>
      </c>
      <c r="E22" s="150">
        <f t="shared" si="11"/>
        <v>50798417.519895859</v>
      </c>
      <c r="F22" s="151">
        <f t="shared" ref="F22:Q22" si="29">+F4-F16</f>
        <v>4331647.300830137</v>
      </c>
      <c r="G22" s="151">
        <f t="shared" si="29"/>
        <v>3123044.2996788695</v>
      </c>
      <c r="H22" s="151">
        <f t="shared" si="29"/>
        <v>4594816.1759986728</v>
      </c>
      <c r="I22" s="151">
        <f t="shared" si="29"/>
        <v>4971803.1980020218</v>
      </c>
      <c r="J22" s="151">
        <f t="shared" si="29"/>
        <v>3797216.3707833774</v>
      </c>
      <c r="K22" s="151">
        <f t="shared" si="29"/>
        <v>4321687.9001348838</v>
      </c>
      <c r="L22" s="151">
        <f t="shared" si="29"/>
        <v>5115343.4692451954</v>
      </c>
      <c r="M22" s="151">
        <f t="shared" si="29"/>
        <v>3104066.977141764</v>
      </c>
      <c r="N22" s="151">
        <f t="shared" si="29"/>
        <v>4627988.3981654383</v>
      </c>
      <c r="O22" s="151">
        <f t="shared" si="29"/>
        <v>3650952.8116588369</v>
      </c>
      <c r="P22" s="151">
        <f t="shared" si="29"/>
        <v>4678210.1028479449</v>
      </c>
      <c r="Q22" s="65">
        <f t="shared" si="29"/>
        <v>4481640.5154087171</v>
      </c>
      <c r="S22" s="80">
        <f>E22*195</f>
        <v>9905691416.3796921</v>
      </c>
    </row>
    <row r="23" spans="1:19">
      <c r="A23" s="21"/>
      <c r="B23" s="152" t="s">
        <v>89</v>
      </c>
      <c r="C23" s="197">
        <f>C22/C4</f>
        <v>9.0470100720668439E-2</v>
      </c>
      <c r="D23" s="197">
        <f>D22/D4</f>
        <v>0.10587157985853958</v>
      </c>
      <c r="E23" s="197">
        <f>E22/E4</f>
        <v>0.13113399928289268</v>
      </c>
      <c r="F23" s="197">
        <f>F22/F4</f>
        <v>0.13590513500854073</v>
      </c>
      <c r="G23" s="197">
        <f t="shared" ref="G23:Q23" si="30">G22/G4</f>
        <v>0.12563529251343597</v>
      </c>
      <c r="H23" s="197">
        <f t="shared" si="30"/>
        <v>0.12641378797932054</v>
      </c>
      <c r="I23" s="197">
        <f t="shared" si="30"/>
        <v>0.13899129270486235</v>
      </c>
      <c r="J23" s="197">
        <f t="shared" si="30"/>
        <v>0.13097627246654531</v>
      </c>
      <c r="K23" s="197">
        <f t="shared" si="30"/>
        <v>0.12837210982225394</v>
      </c>
      <c r="L23" s="197">
        <f t="shared" si="30"/>
        <v>0.14641266389554358</v>
      </c>
      <c r="M23" s="197">
        <f t="shared" si="30"/>
        <v>0.1171906351529462</v>
      </c>
      <c r="N23" s="197">
        <f t="shared" si="30"/>
        <v>0.13217056475976094</v>
      </c>
      <c r="O23" s="197">
        <f t="shared" si="30"/>
        <v>0.12447854174542779</v>
      </c>
      <c r="P23" s="197">
        <f t="shared" si="30"/>
        <v>0.139257522170527</v>
      </c>
      <c r="Q23" s="198">
        <f t="shared" si="30"/>
        <v>0.12275788088319824</v>
      </c>
    </row>
    <row r="24" spans="1:19">
      <c r="A24" s="22"/>
      <c r="B24" s="149" t="s">
        <v>90</v>
      </c>
      <c r="C24" s="151">
        <f t="shared" ref="C24" si="31">+C114+C199</f>
        <v>28743375.094734959</v>
      </c>
      <c r="D24" s="151">
        <f t="shared" ref="D24" si="32">+D114+D199</f>
        <v>28187612.382799998</v>
      </c>
      <c r="E24" s="150">
        <f t="shared" si="11"/>
        <v>27893280.882997889</v>
      </c>
      <c r="F24" s="151">
        <f t="shared" ref="F24:Q39" si="33">+F114+F199</f>
        <v>2192567.55174034</v>
      </c>
      <c r="G24" s="151">
        <f t="shared" si="33"/>
        <v>2221732.2423478444</v>
      </c>
      <c r="H24" s="151">
        <f t="shared" si="33"/>
        <v>2515781.7179832808</v>
      </c>
      <c r="I24" s="151">
        <f t="shared" si="33"/>
        <v>2301102.5760077359</v>
      </c>
      <c r="J24" s="151">
        <f t="shared" si="33"/>
        <v>2103112.1393900253</v>
      </c>
      <c r="K24" s="151">
        <f t="shared" si="33"/>
        <v>2497391.663445747</v>
      </c>
      <c r="L24" s="151">
        <f t="shared" si="33"/>
        <v>2258978.1395596992</v>
      </c>
      <c r="M24" s="151">
        <f t="shared" si="33"/>
        <v>2009778.6599298022</v>
      </c>
      <c r="N24" s="151">
        <f t="shared" si="33"/>
        <v>2719122.3847720074</v>
      </c>
      <c r="O24" s="151">
        <f t="shared" si="33"/>
        <v>2193683.5278076068</v>
      </c>
      <c r="P24" s="151">
        <f t="shared" si="33"/>
        <v>2378603.7601188193</v>
      </c>
      <c r="Q24" s="65">
        <f t="shared" si="33"/>
        <v>2501426.5198949813</v>
      </c>
      <c r="S24" s="80">
        <f>E24*195</f>
        <v>5439189772.1845884</v>
      </c>
    </row>
    <row r="25" spans="1:19">
      <c r="A25" s="21"/>
      <c r="B25" s="159" t="s">
        <v>91</v>
      </c>
      <c r="C25" s="18">
        <f t="shared" ref="C25" si="34">+C115+C200</f>
        <v>4976222.870000001</v>
      </c>
      <c r="D25" s="18">
        <f t="shared" ref="D25" si="35">+D115+D200</f>
        <v>4475753.78</v>
      </c>
      <c r="E25" s="160">
        <f t="shared" si="11"/>
        <v>4522311</v>
      </c>
      <c r="F25" s="18">
        <f t="shared" si="33"/>
        <v>366018.8</v>
      </c>
      <c r="G25" s="18">
        <f t="shared" si="33"/>
        <v>359423.6</v>
      </c>
      <c r="H25" s="18">
        <f t="shared" si="33"/>
        <v>365469.2</v>
      </c>
      <c r="I25" s="18">
        <f t="shared" si="33"/>
        <v>368275.83999999997</v>
      </c>
      <c r="J25" s="18">
        <f t="shared" si="33"/>
        <v>367320</v>
      </c>
      <c r="K25" s="18">
        <f t="shared" si="33"/>
        <v>368642</v>
      </c>
      <c r="L25" s="18">
        <f t="shared" si="33"/>
        <v>368642</v>
      </c>
      <c r="M25" s="18">
        <f t="shared" si="33"/>
        <v>375444.2</v>
      </c>
      <c r="N25" s="18">
        <f t="shared" si="33"/>
        <v>369208.92</v>
      </c>
      <c r="O25" s="18">
        <f t="shared" si="33"/>
        <v>368842.48</v>
      </c>
      <c r="P25" s="18">
        <f t="shared" si="33"/>
        <v>370976.32</v>
      </c>
      <c r="Q25" s="19">
        <f t="shared" si="33"/>
        <v>474047.64</v>
      </c>
      <c r="R25" t="s">
        <v>175</v>
      </c>
    </row>
    <row r="26" spans="1:19">
      <c r="A26" s="21"/>
      <c r="B26" s="159" t="s">
        <v>92</v>
      </c>
      <c r="C26" s="18">
        <f t="shared" ref="C26" si="36">+C116+C201</f>
        <v>0</v>
      </c>
      <c r="D26" s="18">
        <f t="shared" ref="D26" si="37">+D116+D201</f>
        <v>0</v>
      </c>
      <c r="E26" s="160">
        <f t="shared" si="11"/>
        <v>0</v>
      </c>
      <c r="F26" s="18">
        <f t="shared" si="33"/>
        <v>0</v>
      </c>
      <c r="G26" s="18">
        <f t="shared" si="33"/>
        <v>0</v>
      </c>
      <c r="H26" s="18">
        <f t="shared" si="33"/>
        <v>0</v>
      </c>
      <c r="I26" s="18">
        <f t="shared" si="33"/>
        <v>0</v>
      </c>
      <c r="J26" s="18">
        <f t="shared" si="33"/>
        <v>0</v>
      </c>
      <c r="K26" s="18">
        <f t="shared" si="33"/>
        <v>0</v>
      </c>
      <c r="L26" s="18">
        <f t="shared" si="33"/>
        <v>0</v>
      </c>
      <c r="M26" s="18">
        <f t="shared" si="33"/>
        <v>0</v>
      </c>
      <c r="N26" s="18">
        <f t="shared" si="33"/>
        <v>0</v>
      </c>
      <c r="O26" s="18">
        <f t="shared" si="33"/>
        <v>0</v>
      </c>
      <c r="P26" s="18">
        <f t="shared" si="33"/>
        <v>0</v>
      </c>
      <c r="Q26" s="19">
        <f t="shared" si="33"/>
        <v>0</v>
      </c>
    </row>
    <row r="27" spans="1:19">
      <c r="A27" s="21"/>
      <c r="B27" s="159" t="s">
        <v>93</v>
      </c>
      <c r="C27" s="18">
        <f t="shared" ref="C27" si="38">+C117+C202</f>
        <v>0</v>
      </c>
      <c r="D27" s="18">
        <f t="shared" ref="D27" si="39">+D117+D202</f>
        <v>0</v>
      </c>
      <c r="E27" s="160">
        <f t="shared" si="11"/>
        <v>0</v>
      </c>
      <c r="F27" s="18">
        <f t="shared" si="33"/>
        <v>0</v>
      </c>
      <c r="G27" s="18">
        <f t="shared" si="33"/>
        <v>0</v>
      </c>
      <c r="H27" s="18">
        <f t="shared" si="33"/>
        <v>0</v>
      </c>
      <c r="I27" s="18">
        <f t="shared" si="33"/>
        <v>0</v>
      </c>
      <c r="J27" s="18">
        <f t="shared" si="33"/>
        <v>0</v>
      </c>
      <c r="K27" s="18">
        <f t="shared" si="33"/>
        <v>0</v>
      </c>
      <c r="L27" s="18">
        <f t="shared" si="33"/>
        <v>0</v>
      </c>
      <c r="M27" s="18">
        <f t="shared" si="33"/>
        <v>0</v>
      </c>
      <c r="N27" s="18">
        <f t="shared" si="33"/>
        <v>0</v>
      </c>
      <c r="O27" s="18">
        <f t="shared" si="33"/>
        <v>0</v>
      </c>
      <c r="P27" s="18">
        <f t="shared" si="33"/>
        <v>0</v>
      </c>
      <c r="Q27" s="19">
        <f t="shared" si="33"/>
        <v>0</v>
      </c>
    </row>
    <row r="28" spans="1:19">
      <c r="A28" s="21"/>
      <c r="B28" s="159" t="s">
        <v>94</v>
      </c>
      <c r="C28" s="18">
        <f t="shared" ref="C28" si="40">+C118+C203</f>
        <v>0</v>
      </c>
      <c r="D28" s="18">
        <f t="shared" ref="D28" si="41">+D118+D203</f>
        <v>0</v>
      </c>
      <c r="E28" s="160">
        <f t="shared" si="11"/>
        <v>0</v>
      </c>
      <c r="F28" s="18">
        <f t="shared" si="33"/>
        <v>0</v>
      </c>
      <c r="G28" s="18">
        <f t="shared" si="33"/>
        <v>0</v>
      </c>
      <c r="H28" s="18">
        <f t="shared" si="33"/>
        <v>0</v>
      </c>
      <c r="I28" s="18">
        <f t="shared" si="33"/>
        <v>0</v>
      </c>
      <c r="J28" s="18">
        <f t="shared" si="33"/>
        <v>0</v>
      </c>
      <c r="K28" s="18">
        <f t="shared" si="33"/>
        <v>0</v>
      </c>
      <c r="L28" s="18">
        <f t="shared" si="33"/>
        <v>0</v>
      </c>
      <c r="M28" s="18">
        <f t="shared" si="33"/>
        <v>0</v>
      </c>
      <c r="N28" s="18">
        <f t="shared" si="33"/>
        <v>0</v>
      </c>
      <c r="O28" s="18">
        <f t="shared" si="33"/>
        <v>0</v>
      </c>
      <c r="P28" s="18">
        <f t="shared" si="33"/>
        <v>0</v>
      </c>
      <c r="Q28" s="19">
        <f t="shared" si="33"/>
        <v>0</v>
      </c>
    </row>
    <row r="29" spans="1:19">
      <c r="A29" s="21"/>
      <c r="B29" s="159" t="s">
        <v>95</v>
      </c>
      <c r="C29" s="18">
        <f t="shared" ref="C29" si="42">+C119+C204</f>
        <v>1420273.2545</v>
      </c>
      <c r="D29" s="18">
        <f t="shared" ref="D29" si="43">+D119+D204</f>
        <v>1961270.87</v>
      </c>
      <c r="E29" s="160">
        <f t="shared" si="11"/>
        <v>1938248.2142857146</v>
      </c>
      <c r="F29" s="18">
        <f t="shared" si="33"/>
        <v>95067.5</v>
      </c>
      <c r="G29" s="18">
        <f t="shared" si="33"/>
        <v>363580</v>
      </c>
      <c r="H29" s="18">
        <f t="shared" si="33"/>
        <v>129035</v>
      </c>
      <c r="I29" s="18">
        <f t="shared" si="33"/>
        <v>95317.5</v>
      </c>
      <c r="J29" s="18">
        <f t="shared" si="33"/>
        <v>139953.92857142855</v>
      </c>
      <c r="K29" s="18">
        <f t="shared" si="33"/>
        <v>126477.5</v>
      </c>
      <c r="L29" s="18">
        <f t="shared" si="33"/>
        <v>96877.5</v>
      </c>
      <c r="M29" s="18">
        <f t="shared" si="33"/>
        <v>92830</v>
      </c>
      <c r="N29" s="18">
        <f t="shared" si="33"/>
        <v>338235</v>
      </c>
      <c r="O29" s="18">
        <f t="shared" si="33"/>
        <v>206336.42857142852</v>
      </c>
      <c r="P29" s="18">
        <f t="shared" si="33"/>
        <v>96042.5</v>
      </c>
      <c r="Q29" s="19">
        <f t="shared" si="33"/>
        <v>158495.35714285716</v>
      </c>
      <c r="R29" t="s">
        <v>175</v>
      </c>
    </row>
    <row r="30" spans="1:19">
      <c r="B30" s="159" t="s">
        <v>96</v>
      </c>
      <c r="C30" s="18">
        <f t="shared" ref="C30" si="44">+C120+C205</f>
        <v>146011.41860877705</v>
      </c>
      <c r="D30" s="18">
        <f t="shared" ref="D30" si="45">+D120+D205</f>
        <v>184183.93000000002</v>
      </c>
      <c r="E30" s="160">
        <f t="shared" si="11"/>
        <v>171834.41427033898</v>
      </c>
      <c r="F30" s="18">
        <f t="shared" si="33"/>
        <v>14162.294588472918</v>
      </c>
      <c r="G30" s="18">
        <f t="shared" si="33"/>
        <v>11828.409689992734</v>
      </c>
      <c r="H30" s="18">
        <f t="shared" si="33"/>
        <v>15935.430786322469</v>
      </c>
      <c r="I30" s="18">
        <f t="shared" si="33"/>
        <v>16140.864598842116</v>
      </c>
      <c r="J30" s="18">
        <f t="shared" si="33"/>
        <v>11942.006048556323</v>
      </c>
      <c r="K30" s="18">
        <f t="shared" si="33"/>
        <v>14879.50040058199</v>
      </c>
      <c r="L30" s="18">
        <f t="shared" si="33"/>
        <v>15527.530143982773</v>
      </c>
      <c r="M30" s="18">
        <f t="shared" si="33"/>
        <v>11969.480629775961</v>
      </c>
      <c r="N30" s="18">
        <f t="shared" si="33"/>
        <v>15433.862667336687</v>
      </c>
      <c r="O30" s="18">
        <f t="shared" si="33"/>
        <v>13124.274642296205</v>
      </c>
      <c r="P30" s="18">
        <f t="shared" si="33"/>
        <v>14856.465661076561</v>
      </c>
      <c r="Q30" s="19">
        <f t="shared" si="33"/>
        <v>16034.294413102236</v>
      </c>
      <c r="R30" t="s">
        <v>175</v>
      </c>
    </row>
    <row r="31" spans="1:19">
      <c r="B31" s="159" t="s">
        <v>97</v>
      </c>
      <c r="C31" s="18">
        <f t="shared" ref="C31" si="46">+C121+C206</f>
        <v>31091.396306314644</v>
      </c>
      <c r="D31" s="18">
        <f t="shared" ref="D31" si="47">+D121+D206</f>
        <v>110557.68</v>
      </c>
      <c r="E31" s="160">
        <f t="shared" si="11"/>
        <v>84837.200918654024</v>
      </c>
      <c r="F31" s="18">
        <f t="shared" si="33"/>
        <v>6969.6970811687324</v>
      </c>
      <c r="G31" s="18">
        <f t="shared" si="33"/>
        <v>5776.5219822122872</v>
      </c>
      <c r="H31" s="18">
        <f t="shared" si="33"/>
        <v>7856.8088652850993</v>
      </c>
      <c r="I31" s="18">
        <f t="shared" si="33"/>
        <v>7919.8321843447002</v>
      </c>
      <c r="J31" s="18">
        <f t="shared" si="33"/>
        <v>6045.8265030459834</v>
      </c>
      <c r="K31" s="18">
        <f t="shared" si="33"/>
        <v>7351.3164277395372</v>
      </c>
      <c r="L31" s="18">
        <f t="shared" si="33"/>
        <v>7682.3238355187123</v>
      </c>
      <c r="M31" s="18">
        <f t="shared" si="33"/>
        <v>5864.9061036304984</v>
      </c>
      <c r="N31" s="18">
        <f t="shared" si="33"/>
        <v>7634.4793824614671</v>
      </c>
      <c r="O31" s="18">
        <f t="shared" si="33"/>
        <v>6454.7638632408216</v>
      </c>
      <c r="P31" s="18">
        <f t="shared" si="33"/>
        <v>7339.5505026563051</v>
      </c>
      <c r="Q31" s="19">
        <f t="shared" si="33"/>
        <v>7941.1741873498622</v>
      </c>
      <c r="R31" t="s">
        <v>175</v>
      </c>
    </row>
    <row r="32" spans="1:19">
      <c r="B32" s="159" t="s">
        <v>98</v>
      </c>
      <c r="C32" s="18">
        <f t="shared" ref="C32" si="48">+C122+C207</f>
        <v>101595.13817118469</v>
      </c>
      <c r="D32" s="18">
        <f t="shared" ref="D32" si="49">+D122+D207</f>
        <v>106135.14</v>
      </c>
      <c r="E32" s="160">
        <f t="shared" si="11"/>
        <v>112496.14108138929</v>
      </c>
      <c r="F32" s="18">
        <f t="shared" si="33"/>
        <v>9114.9887085838291</v>
      </c>
      <c r="G32" s="18">
        <f t="shared" si="33"/>
        <v>7301.3150444039366</v>
      </c>
      <c r="H32" s="18">
        <f t="shared" si="33"/>
        <v>10357.472701063169</v>
      </c>
      <c r="I32" s="18">
        <f t="shared" si="33"/>
        <v>10223.692284529085</v>
      </c>
      <c r="J32" s="18">
        <f t="shared" si="33"/>
        <v>8865.2086018104237</v>
      </c>
      <c r="K32" s="18">
        <f t="shared" si="33"/>
        <v>9776.8070859999589</v>
      </c>
      <c r="L32" s="18">
        <f t="shared" si="33"/>
        <v>10278.359566169853</v>
      </c>
      <c r="M32" s="18">
        <f t="shared" si="33"/>
        <v>7524.5530062230519</v>
      </c>
      <c r="N32" s="18">
        <f t="shared" si="33"/>
        <v>10205.864197397796</v>
      </c>
      <c r="O32" s="18">
        <f t="shared" si="33"/>
        <v>8418.3234032813016</v>
      </c>
      <c r="P32" s="18">
        <f t="shared" si="33"/>
        <v>9758.9789988686698</v>
      </c>
      <c r="Q32" s="19">
        <f t="shared" si="33"/>
        <v>10670.577483058209</v>
      </c>
      <c r="R32" t="s">
        <v>175</v>
      </c>
    </row>
    <row r="33" spans="2:18">
      <c r="B33" s="159" t="s">
        <v>99</v>
      </c>
      <c r="C33" s="18">
        <f t="shared" ref="C33" si="50">+C123+C208</f>
        <v>13324.884131277706</v>
      </c>
      <c r="D33" s="18">
        <f t="shared" ref="D33" si="51">+D123+D208</f>
        <v>23127.260000000002</v>
      </c>
      <c r="E33" s="160">
        <f t="shared" si="11"/>
        <v>25345.852119468756</v>
      </c>
      <c r="F33" s="18">
        <f t="shared" si="33"/>
        <v>2053.6451620260341</v>
      </c>
      <c r="G33" s="18">
        <f t="shared" si="33"/>
        <v>1645.0168833722739</v>
      </c>
      <c r="H33" s="18">
        <f t="shared" si="33"/>
        <v>2333.5820134723836</v>
      </c>
      <c r="I33" s="18">
        <f t="shared" si="33"/>
        <v>2303.4407248791977</v>
      </c>
      <c r="J33" s="18">
        <f t="shared" si="33"/>
        <v>1997.3686570027767</v>
      </c>
      <c r="K33" s="18">
        <f t="shared" si="33"/>
        <v>2202.7556165064229</v>
      </c>
      <c r="L33" s="18">
        <f t="shared" si="33"/>
        <v>2315.7574925738145</v>
      </c>
      <c r="M33" s="18">
        <f t="shared" si="33"/>
        <v>1695.3133318844527</v>
      </c>
      <c r="N33" s="18">
        <f t="shared" si="33"/>
        <v>2299.4239821211004</v>
      </c>
      <c r="O33" s="18">
        <f t="shared" si="33"/>
        <v>1896.6835486300022</v>
      </c>
      <c r="P33" s="18">
        <f t="shared" si="33"/>
        <v>2198.7388737483252</v>
      </c>
      <c r="Q33" s="19">
        <f t="shared" si="33"/>
        <v>2404.1258332519728</v>
      </c>
      <c r="R33" t="s">
        <v>175</v>
      </c>
    </row>
    <row r="34" spans="2:18">
      <c r="B34" s="161" t="s">
        <v>100</v>
      </c>
      <c r="C34" s="18">
        <f t="shared" ref="C34" si="52">+C124+C209</f>
        <v>0</v>
      </c>
      <c r="D34" s="18">
        <f t="shared" ref="D34" si="53">+D124+D209</f>
        <v>0</v>
      </c>
      <c r="E34" s="160">
        <f t="shared" si="11"/>
        <v>0</v>
      </c>
      <c r="F34" s="18">
        <f t="shared" si="33"/>
        <v>0</v>
      </c>
      <c r="G34" s="18">
        <f t="shared" si="33"/>
        <v>0</v>
      </c>
      <c r="H34" s="18">
        <f t="shared" si="33"/>
        <v>0</v>
      </c>
      <c r="I34" s="18">
        <f t="shared" si="33"/>
        <v>0</v>
      </c>
      <c r="J34" s="18">
        <f t="shared" si="33"/>
        <v>0</v>
      </c>
      <c r="K34" s="18">
        <f t="shared" si="33"/>
        <v>0</v>
      </c>
      <c r="L34" s="18">
        <f t="shared" si="33"/>
        <v>0</v>
      </c>
      <c r="M34" s="18">
        <f t="shared" si="33"/>
        <v>0</v>
      </c>
      <c r="N34" s="18">
        <f t="shared" si="33"/>
        <v>0</v>
      </c>
      <c r="O34" s="18">
        <f t="shared" si="33"/>
        <v>0</v>
      </c>
      <c r="P34" s="18">
        <f t="shared" si="33"/>
        <v>0</v>
      </c>
      <c r="Q34" s="19">
        <f t="shared" si="33"/>
        <v>0</v>
      </c>
    </row>
    <row r="35" spans="2:18">
      <c r="B35" s="161" t="s">
        <v>101</v>
      </c>
      <c r="C35" s="18">
        <f t="shared" ref="C35" si="54">+C125+C210</f>
        <v>341154.0384621243</v>
      </c>
      <c r="D35" s="18">
        <f t="shared" ref="D35" si="55">+D125+D210</f>
        <v>85853.81</v>
      </c>
      <c r="E35" s="160">
        <f t="shared" si="11"/>
        <v>0</v>
      </c>
      <c r="F35" s="18">
        <f t="shared" si="33"/>
        <v>0</v>
      </c>
      <c r="G35" s="18">
        <f t="shared" si="33"/>
        <v>0</v>
      </c>
      <c r="H35" s="18">
        <f t="shared" si="33"/>
        <v>0</v>
      </c>
      <c r="I35" s="18">
        <f t="shared" si="33"/>
        <v>0</v>
      </c>
      <c r="J35" s="18">
        <f t="shared" si="33"/>
        <v>0</v>
      </c>
      <c r="K35" s="18">
        <f t="shared" si="33"/>
        <v>0</v>
      </c>
      <c r="L35" s="18">
        <f t="shared" si="33"/>
        <v>0</v>
      </c>
      <c r="M35" s="18">
        <f t="shared" si="33"/>
        <v>0</v>
      </c>
      <c r="N35" s="18">
        <f t="shared" si="33"/>
        <v>0</v>
      </c>
      <c r="O35" s="18">
        <f t="shared" si="33"/>
        <v>0</v>
      </c>
      <c r="P35" s="18">
        <f t="shared" si="33"/>
        <v>0</v>
      </c>
      <c r="Q35" s="19">
        <f t="shared" si="33"/>
        <v>0</v>
      </c>
    </row>
    <row r="36" spans="2:18">
      <c r="B36" s="161" t="s">
        <v>102</v>
      </c>
      <c r="C36" s="18">
        <f t="shared" ref="C36" si="56">+C126+C211</f>
        <v>951021.9700000002</v>
      </c>
      <c r="D36" s="18">
        <f t="shared" ref="D36" si="57">+D126+D211</f>
        <v>1088671.3399999999</v>
      </c>
      <c r="E36" s="160">
        <f t="shared" si="11"/>
        <v>1120391.2799999998</v>
      </c>
      <c r="F36" s="18">
        <f t="shared" si="33"/>
        <v>93365.94</v>
      </c>
      <c r="G36" s="18">
        <f t="shared" si="33"/>
        <v>93365.94</v>
      </c>
      <c r="H36" s="18">
        <f t="shared" si="33"/>
        <v>93365.94</v>
      </c>
      <c r="I36" s="18">
        <f t="shared" si="33"/>
        <v>93365.94</v>
      </c>
      <c r="J36" s="18">
        <f t="shared" si="33"/>
        <v>93365.94</v>
      </c>
      <c r="K36" s="18">
        <f t="shared" si="33"/>
        <v>93365.94</v>
      </c>
      <c r="L36" s="18">
        <f t="shared" si="33"/>
        <v>93365.94</v>
      </c>
      <c r="M36" s="18">
        <f t="shared" si="33"/>
        <v>93365.94</v>
      </c>
      <c r="N36" s="18">
        <f t="shared" si="33"/>
        <v>93365.94</v>
      </c>
      <c r="O36" s="18">
        <f t="shared" si="33"/>
        <v>93365.94</v>
      </c>
      <c r="P36" s="18">
        <f t="shared" si="33"/>
        <v>93365.94</v>
      </c>
      <c r="Q36" s="19">
        <f t="shared" si="33"/>
        <v>93365.94</v>
      </c>
      <c r="R36" t="s">
        <v>175</v>
      </c>
    </row>
    <row r="37" spans="2:18">
      <c r="B37" s="161" t="s">
        <v>103</v>
      </c>
      <c r="C37" s="18">
        <f t="shared" ref="C37" si="58">+C127+C212</f>
        <v>0</v>
      </c>
      <c r="D37" s="18">
        <f t="shared" ref="D37" si="59">+D127+D212</f>
        <v>0</v>
      </c>
      <c r="E37" s="160">
        <f t="shared" si="11"/>
        <v>0</v>
      </c>
      <c r="F37" s="18">
        <f t="shared" si="33"/>
        <v>0</v>
      </c>
      <c r="G37" s="18">
        <f t="shared" si="33"/>
        <v>0</v>
      </c>
      <c r="H37" s="18">
        <f t="shared" si="33"/>
        <v>0</v>
      </c>
      <c r="I37" s="18">
        <f t="shared" si="33"/>
        <v>0</v>
      </c>
      <c r="J37" s="18">
        <f t="shared" si="33"/>
        <v>0</v>
      </c>
      <c r="K37" s="18">
        <f t="shared" si="33"/>
        <v>0</v>
      </c>
      <c r="L37" s="18">
        <f t="shared" si="33"/>
        <v>0</v>
      </c>
      <c r="M37" s="18">
        <f t="shared" si="33"/>
        <v>0</v>
      </c>
      <c r="N37" s="18">
        <f t="shared" si="33"/>
        <v>0</v>
      </c>
      <c r="O37" s="18">
        <f t="shared" si="33"/>
        <v>0</v>
      </c>
      <c r="P37" s="18">
        <f t="shared" si="33"/>
        <v>0</v>
      </c>
      <c r="Q37" s="19">
        <f t="shared" si="33"/>
        <v>0</v>
      </c>
    </row>
    <row r="38" spans="2:18">
      <c r="B38" s="161" t="s">
        <v>104</v>
      </c>
      <c r="C38" s="18">
        <f t="shared" ref="C38" si="60">+C128+C213</f>
        <v>632928.85692630045</v>
      </c>
      <c r="D38" s="18">
        <f t="shared" ref="D38:D44" si="61">+D128+D213</f>
        <v>1147433.75</v>
      </c>
      <c r="E38" s="160">
        <f t="shared" si="11"/>
        <v>1060000</v>
      </c>
      <c r="F38" s="18">
        <f t="shared" si="33"/>
        <v>20000</v>
      </c>
      <c r="G38" s="18">
        <f t="shared" si="33"/>
        <v>20000</v>
      </c>
      <c r="H38" s="18">
        <f t="shared" si="33"/>
        <v>220000</v>
      </c>
      <c r="I38" s="18">
        <f t="shared" si="33"/>
        <v>30000</v>
      </c>
      <c r="J38" s="18">
        <f t="shared" si="33"/>
        <v>20000</v>
      </c>
      <c r="K38" s="18">
        <f t="shared" si="33"/>
        <v>240000</v>
      </c>
      <c r="L38" s="18">
        <f t="shared" si="33"/>
        <v>20000</v>
      </c>
      <c r="M38" s="18">
        <f t="shared" si="33"/>
        <v>30000</v>
      </c>
      <c r="N38" s="18">
        <f t="shared" si="33"/>
        <v>220000</v>
      </c>
      <c r="O38" s="18">
        <f t="shared" si="33"/>
        <v>20000</v>
      </c>
      <c r="P38" s="18">
        <f t="shared" si="33"/>
        <v>180000</v>
      </c>
      <c r="Q38" s="19">
        <f t="shared" si="33"/>
        <v>40000</v>
      </c>
      <c r="R38" t="s">
        <v>175</v>
      </c>
    </row>
    <row r="39" spans="2:18">
      <c r="B39" s="161" t="s">
        <v>105</v>
      </c>
      <c r="C39" s="18">
        <f t="shared" ref="C39" si="62">+C129+C214</f>
        <v>432256.31999999995</v>
      </c>
      <c r="D39" s="18">
        <f t="shared" si="61"/>
        <v>441647.9499999999</v>
      </c>
      <c r="E39" s="160">
        <f t="shared" si="11"/>
        <v>647195.68000000005</v>
      </c>
      <c r="F39" s="18">
        <f t="shared" si="33"/>
        <v>53267.14</v>
      </c>
      <c r="G39" s="18">
        <f t="shared" si="33"/>
        <v>53267.14</v>
      </c>
      <c r="H39" s="18">
        <f t="shared" si="33"/>
        <v>53267.14</v>
      </c>
      <c r="I39" s="18">
        <f t="shared" si="33"/>
        <v>53267.14</v>
      </c>
      <c r="J39" s="18">
        <f t="shared" si="33"/>
        <v>53267.14</v>
      </c>
      <c r="K39" s="18">
        <f t="shared" si="33"/>
        <v>56367.14</v>
      </c>
      <c r="L39" s="18">
        <f t="shared" si="33"/>
        <v>54082.14</v>
      </c>
      <c r="M39" s="18">
        <f t="shared" si="33"/>
        <v>54082.14</v>
      </c>
      <c r="N39" s="18">
        <f t="shared" si="33"/>
        <v>54082.14</v>
      </c>
      <c r="O39" s="18">
        <f t="shared" si="33"/>
        <v>54082.14</v>
      </c>
      <c r="P39" s="18">
        <f t="shared" si="33"/>
        <v>54082.14</v>
      </c>
      <c r="Q39" s="19">
        <f t="shared" si="33"/>
        <v>54082.14</v>
      </c>
      <c r="R39" t="s">
        <v>175</v>
      </c>
    </row>
    <row r="40" spans="2:18">
      <c r="B40" s="161" t="s">
        <v>106</v>
      </c>
      <c r="C40" s="18">
        <f t="shared" ref="C40" si="63">+C130+C215</f>
        <v>389628.96000000014</v>
      </c>
      <c r="D40" s="18">
        <f t="shared" si="61"/>
        <v>419390.55</v>
      </c>
      <c r="E40" s="160">
        <f t="shared" si="11"/>
        <v>416808</v>
      </c>
      <c r="F40" s="18">
        <f t="shared" ref="F40:Q55" si="64">+F130+F215</f>
        <v>34734</v>
      </c>
      <c r="G40" s="18">
        <f t="shared" si="64"/>
        <v>34734</v>
      </c>
      <c r="H40" s="18">
        <f t="shared" si="64"/>
        <v>34734</v>
      </c>
      <c r="I40" s="18">
        <f t="shared" si="64"/>
        <v>34734</v>
      </c>
      <c r="J40" s="18">
        <f t="shared" si="64"/>
        <v>34734</v>
      </c>
      <c r="K40" s="18">
        <f t="shared" si="64"/>
        <v>34734</v>
      </c>
      <c r="L40" s="18">
        <f t="shared" si="64"/>
        <v>34734</v>
      </c>
      <c r="M40" s="18">
        <f t="shared" si="64"/>
        <v>34734</v>
      </c>
      <c r="N40" s="18">
        <f t="shared" si="64"/>
        <v>34734</v>
      </c>
      <c r="O40" s="18">
        <f t="shared" si="64"/>
        <v>34734</v>
      </c>
      <c r="P40" s="18">
        <f t="shared" si="64"/>
        <v>34734</v>
      </c>
      <c r="Q40" s="19">
        <f t="shared" si="64"/>
        <v>34734</v>
      </c>
      <c r="R40" t="s">
        <v>175</v>
      </c>
    </row>
    <row r="41" spans="2:18">
      <c r="B41" s="161" t="s">
        <v>107</v>
      </c>
      <c r="C41" s="18">
        <f t="shared" ref="C41" si="65">+C131+C216</f>
        <v>0</v>
      </c>
      <c r="D41" s="18">
        <f t="shared" si="61"/>
        <v>1304248.0799999998</v>
      </c>
      <c r="E41" s="160">
        <f t="shared" si="11"/>
        <v>152064.25999999998</v>
      </c>
      <c r="F41" s="18">
        <f t="shared" si="64"/>
        <v>31388.61</v>
      </c>
      <c r="G41" s="18">
        <f t="shared" si="64"/>
        <v>21094.309999999998</v>
      </c>
      <c r="H41" s="18">
        <f t="shared" si="64"/>
        <v>9663</v>
      </c>
      <c r="I41" s="18">
        <f t="shared" si="64"/>
        <v>9853.0800000000017</v>
      </c>
      <c r="J41" s="18">
        <f t="shared" si="64"/>
        <v>9789.43</v>
      </c>
      <c r="K41" s="18">
        <f t="shared" si="64"/>
        <v>9859.77</v>
      </c>
      <c r="L41" s="18">
        <f t="shared" si="64"/>
        <v>9859.77</v>
      </c>
      <c r="M41" s="18">
        <f t="shared" si="64"/>
        <v>10633.66</v>
      </c>
      <c r="N41" s="18">
        <f t="shared" si="64"/>
        <v>9923.4</v>
      </c>
      <c r="O41" s="18">
        <f t="shared" si="64"/>
        <v>9920.09</v>
      </c>
      <c r="P41" s="18">
        <f t="shared" si="64"/>
        <v>10136.740000000002</v>
      </c>
      <c r="Q41" s="19">
        <f t="shared" si="64"/>
        <v>9942.4</v>
      </c>
      <c r="R41" t="s">
        <v>175</v>
      </c>
    </row>
    <row r="42" spans="2:18">
      <c r="B42" s="161" t="s">
        <v>108</v>
      </c>
      <c r="C42" s="18">
        <f t="shared" ref="C42" si="66">+C132+C217</f>
        <v>7761059.8520974349</v>
      </c>
      <c r="D42" s="18">
        <f t="shared" si="61"/>
        <v>7097261.3500000006</v>
      </c>
      <c r="E42" s="160">
        <f t="shared" si="11"/>
        <v>8093252.2749287756</v>
      </c>
      <c r="F42" s="18">
        <f t="shared" si="64"/>
        <v>689866.27932098764</v>
      </c>
      <c r="G42" s="18">
        <f t="shared" si="64"/>
        <v>595023.20239791088</v>
      </c>
      <c r="H42" s="18">
        <f t="shared" si="64"/>
        <v>712866.27932098764</v>
      </c>
      <c r="I42" s="18">
        <f t="shared" si="64"/>
        <v>711866.27932098764</v>
      </c>
      <c r="J42" s="18">
        <f t="shared" si="64"/>
        <v>628252.43316714151</v>
      </c>
      <c r="K42" s="18">
        <f t="shared" si="64"/>
        <v>703866.27932098764</v>
      </c>
      <c r="L42" s="18">
        <f t="shared" si="64"/>
        <v>707866.27932098764</v>
      </c>
      <c r="M42" s="18">
        <f t="shared" si="64"/>
        <v>601023.20239791088</v>
      </c>
      <c r="N42" s="18">
        <f t="shared" si="64"/>
        <v>711866.27932098764</v>
      </c>
      <c r="O42" s="18">
        <f t="shared" si="64"/>
        <v>618023.20239791088</v>
      </c>
      <c r="P42" s="18">
        <f t="shared" si="64"/>
        <v>696866.27932098764</v>
      </c>
      <c r="Q42" s="19">
        <f t="shared" si="64"/>
        <v>715866.27932098764</v>
      </c>
      <c r="R42" t="s">
        <v>175</v>
      </c>
    </row>
    <row r="43" spans="2:18">
      <c r="B43" s="161" t="s">
        <v>109</v>
      </c>
      <c r="C43" s="18">
        <f t="shared" ref="C43" si="67">+C133+C218</f>
        <v>84192.412093073959</v>
      </c>
      <c r="D43" s="18">
        <f t="shared" si="61"/>
        <v>32656.520000000004</v>
      </c>
      <c r="E43" s="160">
        <f t="shared" si="11"/>
        <v>37748.987870063902</v>
      </c>
      <c r="F43" s="18">
        <f t="shared" si="64"/>
        <v>3058.6080099153137</v>
      </c>
      <c r="G43" s="18">
        <f t="shared" si="64"/>
        <v>2450.0151773856337</v>
      </c>
      <c r="H43" s="18">
        <f t="shared" si="64"/>
        <v>3475.5335391822941</v>
      </c>
      <c r="I43" s="18">
        <f t="shared" si="64"/>
        <v>3430.6424409414785</v>
      </c>
      <c r="J43" s="18">
        <f t="shared" si="64"/>
        <v>2974.792279614388</v>
      </c>
      <c r="K43" s="18">
        <f t="shared" si="64"/>
        <v>3280.6865066629657</v>
      </c>
      <c r="L43" s="18">
        <f t="shared" si="64"/>
        <v>3448.9864884057706</v>
      </c>
      <c r="M43" s="18">
        <f t="shared" si="64"/>
        <v>2524.9244767788527</v>
      </c>
      <c r="N43" s="18">
        <f t="shared" si="64"/>
        <v>3424.6600824499237</v>
      </c>
      <c r="O43" s="18">
        <f t="shared" si="64"/>
        <v>2824.8363453358766</v>
      </c>
      <c r="P43" s="18">
        <f t="shared" si="64"/>
        <v>3274.7041481714109</v>
      </c>
      <c r="Q43" s="19">
        <f t="shared" si="64"/>
        <v>3580.5983752199904</v>
      </c>
      <c r="R43" t="s">
        <v>175</v>
      </c>
    </row>
    <row r="44" spans="2:18">
      <c r="B44" s="161" t="s">
        <v>110</v>
      </c>
      <c r="C44" s="18">
        <f t="shared" ref="C44" si="68">+C134+C219</f>
        <v>0</v>
      </c>
      <c r="D44" s="18">
        <f t="shared" si="61"/>
        <v>0</v>
      </c>
      <c r="E44" s="160">
        <f t="shared" si="11"/>
        <v>0</v>
      </c>
      <c r="F44" s="18">
        <f t="shared" si="64"/>
        <v>0</v>
      </c>
      <c r="G44" s="18">
        <f t="shared" si="64"/>
        <v>0</v>
      </c>
      <c r="H44" s="18">
        <f t="shared" si="64"/>
        <v>0</v>
      </c>
      <c r="I44" s="18">
        <f t="shared" si="64"/>
        <v>0</v>
      </c>
      <c r="J44" s="18">
        <f t="shared" si="64"/>
        <v>0</v>
      </c>
      <c r="K44" s="18">
        <f t="shared" si="64"/>
        <v>0</v>
      </c>
      <c r="L44" s="18">
        <f t="shared" si="64"/>
        <v>0</v>
      </c>
      <c r="M44" s="18">
        <f t="shared" si="64"/>
        <v>0</v>
      </c>
      <c r="N44" s="18">
        <f t="shared" si="64"/>
        <v>0</v>
      </c>
      <c r="O44" s="18">
        <f t="shared" si="64"/>
        <v>0</v>
      </c>
      <c r="P44" s="18">
        <f t="shared" si="64"/>
        <v>0</v>
      </c>
      <c r="Q44" s="19">
        <f t="shared" si="64"/>
        <v>0</v>
      </c>
    </row>
    <row r="45" spans="2:18">
      <c r="B45" s="161" t="s">
        <v>111</v>
      </c>
      <c r="C45" s="18">
        <f t="shared" ref="C45" si="69">+C135+C220</f>
        <v>0</v>
      </c>
      <c r="D45" s="18">
        <f t="shared" ref="D45" si="70">+D135+D220</f>
        <v>0</v>
      </c>
      <c r="E45" s="160">
        <f t="shared" si="11"/>
        <v>0</v>
      </c>
      <c r="F45" s="18">
        <f t="shared" si="64"/>
        <v>0</v>
      </c>
      <c r="G45" s="18">
        <f t="shared" si="64"/>
        <v>0</v>
      </c>
      <c r="H45" s="18">
        <f t="shared" si="64"/>
        <v>0</v>
      </c>
      <c r="I45" s="18">
        <f t="shared" si="64"/>
        <v>0</v>
      </c>
      <c r="J45" s="18">
        <f t="shared" si="64"/>
        <v>0</v>
      </c>
      <c r="K45" s="18">
        <f t="shared" si="64"/>
        <v>0</v>
      </c>
      <c r="L45" s="18">
        <f t="shared" si="64"/>
        <v>0</v>
      </c>
      <c r="M45" s="18">
        <f t="shared" si="64"/>
        <v>0</v>
      </c>
      <c r="N45" s="18">
        <f t="shared" si="64"/>
        <v>0</v>
      </c>
      <c r="O45" s="18">
        <f t="shared" si="64"/>
        <v>0</v>
      </c>
      <c r="P45" s="18">
        <f t="shared" si="64"/>
        <v>0</v>
      </c>
      <c r="Q45" s="19">
        <f t="shared" si="64"/>
        <v>0</v>
      </c>
    </row>
    <row r="46" spans="2:18">
      <c r="B46" s="161" t="s">
        <v>112</v>
      </c>
      <c r="C46" s="18">
        <f t="shared" ref="C46" si="71">+C136+C221</f>
        <v>0</v>
      </c>
      <c r="D46" s="18">
        <f t="shared" ref="D46" si="72">+D136+D221</f>
        <v>0</v>
      </c>
      <c r="E46" s="160">
        <f t="shared" si="11"/>
        <v>0</v>
      </c>
      <c r="F46" s="18">
        <f t="shared" si="64"/>
        <v>0</v>
      </c>
      <c r="G46" s="18">
        <f t="shared" si="64"/>
        <v>0</v>
      </c>
      <c r="H46" s="18">
        <f t="shared" si="64"/>
        <v>0</v>
      </c>
      <c r="I46" s="18">
        <f t="shared" si="64"/>
        <v>0</v>
      </c>
      <c r="J46" s="18">
        <f t="shared" si="64"/>
        <v>0</v>
      </c>
      <c r="K46" s="18">
        <f t="shared" si="64"/>
        <v>0</v>
      </c>
      <c r="L46" s="18">
        <f t="shared" si="64"/>
        <v>0</v>
      </c>
      <c r="M46" s="18">
        <f t="shared" si="64"/>
        <v>0</v>
      </c>
      <c r="N46" s="18">
        <f t="shared" si="64"/>
        <v>0</v>
      </c>
      <c r="O46" s="18">
        <f t="shared" si="64"/>
        <v>0</v>
      </c>
      <c r="P46" s="18">
        <f t="shared" si="64"/>
        <v>0</v>
      </c>
      <c r="Q46" s="19">
        <f t="shared" si="64"/>
        <v>0</v>
      </c>
    </row>
    <row r="47" spans="2:18">
      <c r="B47" s="161" t="s">
        <v>113</v>
      </c>
      <c r="C47" s="18">
        <f t="shared" ref="C47" si="73">+C137+C222</f>
        <v>322865</v>
      </c>
      <c r="D47" s="18">
        <f t="shared" ref="D47" si="74">+D137+D222</f>
        <v>340440.11999999994</v>
      </c>
      <c r="E47" s="160">
        <f t="shared" si="11"/>
        <v>256600</v>
      </c>
      <c r="F47" s="18">
        <f t="shared" si="64"/>
        <v>10950</v>
      </c>
      <c r="G47" s="18">
        <f t="shared" si="64"/>
        <v>22550</v>
      </c>
      <c r="H47" s="18">
        <f t="shared" si="64"/>
        <v>8550</v>
      </c>
      <c r="I47" s="18">
        <f t="shared" si="64"/>
        <v>25950</v>
      </c>
      <c r="J47" s="18">
        <f t="shared" si="64"/>
        <v>17250</v>
      </c>
      <c r="K47" s="18">
        <f t="shared" si="64"/>
        <v>28750</v>
      </c>
      <c r="L47" s="18">
        <f t="shared" si="64"/>
        <v>13750</v>
      </c>
      <c r="M47" s="18">
        <f t="shared" si="64"/>
        <v>26350</v>
      </c>
      <c r="N47" s="18">
        <f t="shared" si="64"/>
        <v>25350</v>
      </c>
      <c r="O47" s="18">
        <f t="shared" si="64"/>
        <v>40050</v>
      </c>
      <c r="P47" s="18">
        <f t="shared" si="64"/>
        <v>8550</v>
      </c>
      <c r="Q47" s="19">
        <f t="shared" si="64"/>
        <v>28550</v>
      </c>
      <c r="R47" t="s">
        <v>175</v>
      </c>
    </row>
    <row r="48" spans="2:18">
      <c r="B48" s="161" t="s">
        <v>114</v>
      </c>
      <c r="C48" s="18">
        <f t="shared" ref="C48" si="75">+C138+C223</f>
        <v>0</v>
      </c>
      <c r="D48" s="18">
        <f t="shared" ref="D48" si="76">+D138+D223</f>
        <v>0</v>
      </c>
      <c r="E48" s="160">
        <f t="shared" si="11"/>
        <v>0</v>
      </c>
      <c r="F48" s="18">
        <f t="shared" si="64"/>
        <v>0</v>
      </c>
      <c r="G48" s="18">
        <f t="shared" si="64"/>
        <v>0</v>
      </c>
      <c r="H48" s="18">
        <f t="shared" si="64"/>
        <v>0</v>
      </c>
      <c r="I48" s="18">
        <f t="shared" si="64"/>
        <v>0</v>
      </c>
      <c r="J48" s="18">
        <f t="shared" si="64"/>
        <v>0</v>
      </c>
      <c r="K48" s="18">
        <f t="shared" si="64"/>
        <v>0</v>
      </c>
      <c r="L48" s="18">
        <f t="shared" si="64"/>
        <v>0</v>
      </c>
      <c r="M48" s="18">
        <f t="shared" si="64"/>
        <v>0</v>
      </c>
      <c r="N48" s="18">
        <f t="shared" si="64"/>
        <v>0</v>
      </c>
      <c r="O48" s="18">
        <f t="shared" si="64"/>
        <v>0</v>
      </c>
      <c r="P48" s="18">
        <f t="shared" si="64"/>
        <v>0</v>
      </c>
      <c r="Q48" s="19">
        <f t="shared" si="64"/>
        <v>0</v>
      </c>
    </row>
    <row r="49" spans="1:21">
      <c r="B49" s="161" t="s">
        <v>115</v>
      </c>
      <c r="C49" s="18">
        <f t="shared" ref="C49" si="77">+C139+C224</f>
        <v>0</v>
      </c>
      <c r="D49" s="18">
        <f t="shared" ref="D49" si="78">+D139+D224</f>
        <v>0</v>
      </c>
      <c r="E49" s="160">
        <f t="shared" si="11"/>
        <v>0</v>
      </c>
      <c r="F49" s="18">
        <f t="shared" si="64"/>
        <v>0</v>
      </c>
      <c r="G49" s="18">
        <f t="shared" si="64"/>
        <v>0</v>
      </c>
      <c r="H49" s="18">
        <f t="shared" si="64"/>
        <v>0</v>
      </c>
      <c r="I49" s="18">
        <f t="shared" si="64"/>
        <v>0</v>
      </c>
      <c r="J49" s="18">
        <f t="shared" si="64"/>
        <v>0</v>
      </c>
      <c r="K49" s="18">
        <f t="shared" si="64"/>
        <v>0</v>
      </c>
      <c r="L49" s="18">
        <f t="shared" si="64"/>
        <v>0</v>
      </c>
      <c r="M49" s="18">
        <f t="shared" si="64"/>
        <v>0</v>
      </c>
      <c r="N49" s="18">
        <f t="shared" si="64"/>
        <v>0</v>
      </c>
      <c r="O49" s="18">
        <f t="shared" si="64"/>
        <v>0</v>
      </c>
      <c r="P49" s="18">
        <f t="shared" si="64"/>
        <v>0</v>
      </c>
      <c r="Q49" s="19">
        <f t="shared" si="64"/>
        <v>0</v>
      </c>
    </row>
    <row r="50" spans="1:21">
      <c r="B50" s="161" t="s">
        <v>116</v>
      </c>
      <c r="C50" s="18">
        <f t="shared" ref="C50" si="79">+C140+C225</f>
        <v>2001241.0900000003</v>
      </c>
      <c r="D50" s="18">
        <f t="shared" ref="D50" si="80">+D140+D225</f>
        <v>1355318.4200000002</v>
      </c>
      <c r="E50" s="160">
        <f t="shared" si="11"/>
        <v>1872579.4153846155</v>
      </c>
      <c r="F50" s="18">
        <f t="shared" si="64"/>
        <v>156048.28461538462</v>
      </c>
      <c r="G50" s="18">
        <f t="shared" si="64"/>
        <v>156048.28461538462</v>
      </c>
      <c r="H50" s="18">
        <f t="shared" si="64"/>
        <v>156048.28461538462</v>
      </c>
      <c r="I50" s="18">
        <f t="shared" si="64"/>
        <v>156048.28461538462</v>
      </c>
      <c r="J50" s="18">
        <f t="shared" si="64"/>
        <v>156048.28461538462</v>
      </c>
      <c r="K50" s="18">
        <f t="shared" si="64"/>
        <v>156048.28461538462</v>
      </c>
      <c r="L50" s="18">
        <f t="shared" si="64"/>
        <v>156048.28461538462</v>
      </c>
      <c r="M50" s="18">
        <f t="shared" si="64"/>
        <v>156048.28461538462</v>
      </c>
      <c r="N50" s="18">
        <f t="shared" si="64"/>
        <v>156048.28461538462</v>
      </c>
      <c r="O50" s="18">
        <f t="shared" si="64"/>
        <v>156048.28461538462</v>
      </c>
      <c r="P50" s="18">
        <f t="shared" si="64"/>
        <v>156048.28461538462</v>
      </c>
      <c r="Q50" s="19">
        <f t="shared" si="64"/>
        <v>156048.28461538462</v>
      </c>
      <c r="R50" t="s">
        <v>175</v>
      </c>
    </row>
    <row r="51" spans="1:21">
      <c r="B51" s="161" t="s">
        <v>117</v>
      </c>
      <c r="C51" s="18">
        <f t="shared" ref="C51" si="81">+C141+C226</f>
        <v>0</v>
      </c>
      <c r="D51" s="18">
        <f t="shared" ref="D51" si="82">+D141+D226</f>
        <v>0</v>
      </c>
      <c r="E51" s="160">
        <f t="shared" si="11"/>
        <v>0</v>
      </c>
      <c r="F51" s="18">
        <f t="shared" si="64"/>
        <v>0</v>
      </c>
      <c r="G51" s="18">
        <f t="shared" si="64"/>
        <v>0</v>
      </c>
      <c r="H51" s="18">
        <f t="shared" si="64"/>
        <v>0</v>
      </c>
      <c r="I51" s="18">
        <f t="shared" si="64"/>
        <v>0</v>
      </c>
      <c r="J51" s="18">
        <f t="shared" si="64"/>
        <v>0</v>
      </c>
      <c r="K51" s="18">
        <f t="shared" si="64"/>
        <v>0</v>
      </c>
      <c r="L51" s="18">
        <f t="shared" si="64"/>
        <v>0</v>
      </c>
      <c r="M51" s="18">
        <f t="shared" si="64"/>
        <v>0</v>
      </c>
      <c r="N51" s="18">
        <f t="shared" si="64"/>
        <v>0</v>
      </c>
      <c r="O51" s="18">
        <f t="shared" si="64"/>
        <v>0</v>
      </c>
      <c r="P51" s="18">
        <f t="shared" si="64"/>
        <v>0</v>
      </c>
      <c r="Q51" s="19">
        <f t="shared" si="64"/>
        <v>0</v>
      </c>
    </row>
    <row r="52" spans="1:21">
      <c r="B52" s="161" t="s">
        <v>118</v>
      </c>
      <c r="C52" s="18">
        <f t="shared" ref="C52" si="83">+C142+C227</f>
        <v>9138507.6334384698</v>
      </c>
      <c r="D52" s="18">
        <f t="shared" ref="D52" si="84">+D142+D227</f>
        <v>7972004.5227999995</v>
      </c>
      <c r="E52" s="160">
        <f t="shared" si="11"/>
        <v>7381568.16213887</v>
      </c>
      <c r="F52" s="18">
        <f t="shared" si="64"/>
        <v>606501.7642538005</v>
      </c>
      <c r="G52" s="18">
        <f t="shared" si="64"/>
        <v>473644.48655718181</v>
      </c>
      <c r="H52" s="18">
        <f t="shared" si="64"/>
        <v>692824.04614158324</v>
      </c>
      <c r="I52" s="18">
        <f t="shared" si="64"/>
        <v>682406.03983782709</v>
      </c>
      <c r="J52" s="18">
        <f t="shared" si="64"/>
        <v>551305.78094604099</v>
      </c>
      <c r="K52" s="18">
        <f t="shared" si="64"/>
        <v>641789.68347188435</v>
      </c>
      <c r="L52" s="18">
        <f t="shared" si="64"/>
        <v>664499.26809667586</v>
      </c>
      <c r="M52" s="18">
        <f t="shared" si="64"/>
        <v>505688.0553682138</v>
      </c>
      <c r="N52" s="18">
        <f t="shared" si="64"/>
        <v>667310.13052386837</v>
      </c>
      <c r="O52" s="18">
        <f t="shared" si="64"/>
        <v>559562.08042009862</v>
      </c>
      <c r="P52" s="18">
        <f t="shared" si="64"/>
        <v>640373.11799792561</v>
      </c>
      <c r="Q52" s="19">
        <f t="shared" si="64"/>
        <v>695663.7085237694</v>
      </c>
      <c r="R52" t="s">
        <v>175</v>
      </c>
    </row>
    <row r="53" spans="1:21">
      <c r="B53" s="161" t="s">
        <v>119</v>
      </c>
      <c r="C53" s="18">
        <f t="shared" ref="C53" si="85">+C143+C228</f>
        <v>0</v>
      </c>
      <c r="D53" s="18">
        <f t="shared" ref="D53" si="86">+D143+D228</f>
        <v>0</v>
      </c>
      <c r="E53" s="160">
        <f t="shared" si="11"/>
        <v>0</v>
      </c>
      <c r="F53" s="18">
        <f t="shared" si="64"/>
        <v>0</v>
      </c>
      <c r="G53" s="18">
        <f t="shared" si="64"/>
        <v>0</v>
      </c>
      <c r="H53" s="18">
        <f t="shared" si="64"/>
        <v>0</v>
      </c>
      <c r="I53" s="18">
        <f t="shared" si="64"/>
        <v>0</v>
      </c>
      <c r="J53" s="18">
        <f t="shared" si="64"/>
        <v>0</v>
      </c>
      <c r="K53" s="18">
        <f t="shared" si="64"/>
        <v>0</v>
      </c>
      <c r="L53" s="18">
        <f t="shared" si="64"/>
        <v>0</v>
      </c>
      <c r="M53" s="18">
        <f t="shared" si="64"/>
        <v>0</v>
      </c>
      <c r="N53" s="18">
        <f t="shared" si="64"/>
        <v>0</v>
      </c>
      <c r="O53" s="18">
        <f t="shared" si="64"/>
        <v>0</v>
      </c>
      <c r="P53" s="18">
        <f t="shared" si="64"/>
        <v>0</v>
      </c>
      <c r="Q53" s="19">
        <f t="shared" si="64"/>
        <v>0</v>
      </c>
    </row>
    <row r="54" spans="1:21">
      <c r="B54" s="161" t="s">
        <v>120</v>
      </c>
      <c r="C54" s="18">
        <f t="shared" ref="C54" si="87">+C144+C229</f>
        <v>0</v>
      </c>
      <c r="D54" s="18">
        <f t="shared" ref="D54" si="88">+D144+D229</f>
        <v>0</v>
      </c>
      <c r="E54" s="160">
        <f t="shared" si="11"/>
        <v>0</v>
      </c>
      <c r="F54" s="18">
        <f t="shared" si="64"/>
        <v>0</v>
      </c>
      <c r="G54" s="18">
        <f t="shared" si="64"/>
        <v>0</v>
      </c>
      <c r="H54" s="18">
        <f t="shared" si="64"/>
        <v>0</v>
      </c>
      <c r="I54" s="18">
        <f t="shared" si="64"/>
        <v>0</v>
      </c>
      <c r="J54" s="18">
        <f t="shared" si="64"/>
        <v>0</v>
      </c>
      <c r="K54" s="18">
        <f t="shared" si="64"/>
        <v>0</v>
      </c>
      <c r="L54" s="18">
        <f t="shared" si="64"/>
        <v>0</v>
      </c>
      <c r="M54" s="18">
        <f t="shared" si="64"/>
        <v>0</v>
      </c>
      <c r="N54" s="18">
        <f t="shared" si="64"/>
        <v>0</v>
      </c>
      <c r="O54" s="18">
        <f t="shared" si="64"/>
        <v>0</v>
      </c>
      <c r="P54" s="18">
        <f t="shared" si="64"/>
        <v>0</v>
      </c>
      <c r="Q54" s="19">
        <f t="shared" si="64"/>
        <v>0</v>
      </c>
    </row>
    <row r="55" spans="1:21">
      <c r="B55" s="159" t="s">
        <v>121</v>
      </c>
      <c r="C55" s="18">
        <f t="shared" ref="C55" si="89">+C145+C230</f>
        <v>0</v>
      </c>
      <c r="D55" s="18">
        <f t="shared" ref="D55" si="90">+D145+D230</f>
        <v>0</v>
      </c>
      <c r="E55" s="160">
        <f t="shared" si="11"/>
        <v>0</v>
      </c>
      <c r="F55" s="18">
        <f t="shared" si="64"/>
        <v>0</v>
      </c>
      <c r="G55" s="18">
        <f t="shared" si="64"/>
        <v>0</v>
      </c>
      <c r="H55" s="18">
        <f t="shared" si="64"/>
        <v>0</v>
      </c>
      <c r="I55" s="18">
        <f t="shared" si="64"/>
        <v>0</v>
      </c>
      <c r="J55" s="18">
        <f t="shared" si="64"/>
        <v>0</v>
      </c>
      <c r="K55" s="18">
        <f t="shared" si="64"/>
        <v>0</v>
      </c>
      <c r="L55" s="18">
        <f t="shared" si="64"/>
        <v>0</v>
      </c>
      <c r="M55" s="18">
        <f t="shared" si="64"/>
        <v>0</v>
      </c>
      <c r="N55" s="18">
        <f t="shared" si="64"/>
        <v>0</v>
      </c>
      <c r="O55" s="18">
        <f t="shared" si="64"/>
        <v>0</v>
      </c>
      <c r="P55" s="18">
        <f t="shared" si="64"/>
        <v>0</v>
      </c>
      <c r="Q55" s="19">
        <f t="shared" si="64"/>
        <v>0</v>
      </c>
    </row>
    <row r="56" spans="1:21">
      <c r="B56" s="159" t="s">
        <v>122</v>
      </c>
      <c r="C56" s="18">
        <f t="shared" ref="C56" si="91">+C146+C231</f>
        <v>0</v>
      </c>
      <c r="D56" s="18">
        <f t="shared" ref="D56" si="92">+D146+D231</f>
        <v>41657.31</v>
      </c>
      <c r="E56" s="160">
        <f t="shared" si="11"/>
        <v>0</v>
      </c>
      <c r="F56" s="18">
        <f t="shared" ref="F56:Q56" si="93">+F146+F231</f>
        <v>0</v>
      </c>
      <c r="G56" s="18">
        <f t="shared" si="93"/>
        <v>0</v>
      </c>
      <c r="H56" s="18">
        <f t="shared" si="93"/>
        <v>0</v>
      </c>
      <c r="I56" s="18">
        <f t="shared" si="93"/>
        <v>0</v>
      </c>
      <c r="J56" s="18">
        <f t="shared" si="93"/>
        <v>0</v>
      </c>
      <c r="K56" s="18">
        <f t="shared" si="93"/>
        <v>0</v>
      </c>
      <c r="L56" s="18">
        <f t="shared" si="93"/>
        <v>0</v>
      </c>
      <c r="M56" s="18">
        <f t="shared" si="93"/>
        <v>0</v>
      </c>
      <c r="N56" s="18">
        <f t="shared" si="93"/>
        <v>0</v>
      </c>
      <c r="O56" s="18">
        <f t="shared" si="93"/>
        <v>0</v>
      </c>
      <c r="P56" s="18">
        <f t="shared" si="93"/>
        <v>0</v>
      </c>
      <c r="Q56" s="19">
        <f t="shared" si="93"/>
        <v>0</v>
      </c>
    </row>
    <row r="57" spans="1:21">
      <c r="A57" s="22"/>
      <c r="B57" s="171" t="s">
        <v>123</v>
      </c>
      <c r="C57" s="151">
        <f t="shared" ref="C57" si="94">+C22-C24</f>
        <v>20016856.571042128</v>
      </c>
      <c r="D57" s="151">
        <f t="shared" ref="D57" si="95">+D22-D24</f>
        <v>17908420.607103273</v>
      </c>
      <c r="E57" s="150">
        <f t="shared" si="11"/>
        <v>22905136.63689797</v>
      </c>
      <c r="F57" s="151">
        <f t="shared" ref="F57:Q57" si="96">+F22-F24</f>
        <v>2139079.749089797</v>
      </c>
      <c r="G57" s="151">
        <f t="shared" si="96"/>
        <v>901312.05733102513</v>
      </c>
      <c r="H57" s="151">
        <f t="shared" si="96"/>
        <v>2079034.4580153921</v>
      </c>
      <c r="I57" s="151">
        <f t="shared" si="96"/>
        <v>2670700.6219942858</v>
      </c>
      <c r="J57" s="151">
        <f t="shared" si="96"/>
        <v>1694104.2313933522</v>
      </c>
      <c r="K57" s="151">
        <f t="shared" si="96"/>
        <v>1824296.2366891368</v>
      </c>
      <c r="L57" s="151">
        <f t="shared" si="96"/>
        <v>2856365.3296854962</v>
      </c>
      <c r="M57" s="151">
        <f t="shared" si="96"/>
        <v>1094288.3172119618</v>
      </c>
      <c r="N57" s="151">
        <f t="shared" si="96"/>
        <v>1908866.013393431</v>
      </c>
      <c r="O57" s="151">
        <f t="shared" si="96"/>
        <v>1457269.2838512301</v>
      </c>
      <c r="P57" s="151">
        <f t="shared" si="96"/>
        <v>2299606.3427291256</v>
      </c>
      <c r="Q57" s="65">
        <f t="shared" si="96"/>
        <v>1980213.9955137358</v>
      </c>
      <c r="S57" s="80">
        <f>E57*195</f>
        <v>4466501644.1951046</v>
      </c>
      <c r="T57">
        <f>D57*195</f>
        <v>3492142018.3851385</v>
      </c>
      <c r="U57" s="39">
        <f>S57-T57</f>
        <v>974359625.80996609</v>
      </c>
    </row>
    <row r="58" spans="1:21">
      <c r="A58" s="21"/>
      <c r="B58" s="152" t="s">
        <v>89</v>
      </c>
      <c r="C58" s="174">
        <f>C57/C4</f>
        <v>3.7139426295309717E-2</v>
      </c>
      <c r="D58" s="174">
        <f>D57/D4</f>
        <v>4.1131365531184481E-2</v>
      </c>
      <c r="E58" s="174">
        <f>E57/E4</f>
        <v>5.9128656323617204E-2</v>
      </c>
      <c r="F58" s="174">
        <f>F57/F4</f>
        <v>6.7113479446577043E-2</v>
      </c>
      <c r="G58" s="174">
        <f t="shared" ref="G58:Q58" si="97">G57/G4</f>
        <v>3.6258404653534311E-2</v>
      </c>
      <c r="H58" s="174">
        <f t="shared" si="97"/>
        <v>5.7198941396199889E-2</v>
      </c>
      <c r="I58" s="174">
        <f t="shared" si="97"/>
        <v>7.4661871577667946E-2</v>
      </c>
      <c r="J58" s="174">
        <f t="shared" si="97"/>
        <v>5.8434241226008127E-2</v>
      </c>
      <c r="K58" s="174">
        <f t="shared" si="97"/>
        <v>5.4189187710031811E-2</v>
      </c>
      <c r="L58" s="174">
        <f t="shared" si="97"/>
        <v>8.1755616116982982E-2</v>
      </c>
      <c r="M58" s="174">
        <f t="shared" si="97"/>
        <v>4.1313652018102602E-2</v>
      </c>
      <c r="N58" s="174">
        <f t="shared" si="97"/>
        <v>5.4515240172368355E-2</v>
      </c>
      <c r="O58" s="174">
        <f t="shared" si="97"/>
        <v>4.9685319077510934E-2</v>
      </c>
      <c r="P58" s="174">
        <f t="shared" si="97"/>
        <v>6.8452992536854079E-2</v>
      </c>
      <c r="Q58" s="199">
        <f t="shared" si="97"/>
        <v>5.4240600723940074E-2</v>
      </c>
    </row>
    <row r="59" spans="1:21">
      <c r="A59" s="22"/>
      <c r="B59" s="171" t="s">
        <v>124</v>
      </c>
      <c r="C59" s="151">
        <f t="shared" ref="C59" si="98">+C149+C234</f>
        <v>0</v>
      </c>
      <c r="D59" s="151">
        <f t="shared" ref="D59" si="99">+D149+D234</f>
        <v>731383.17000000016</v>
      </c>
      <c r="E59" s="150">
        <f t="shared" si="11"/>
        <v>0</v>
      </c>
      <c r="F59" s="151">
        <f t="shared" ref="F59:Q74" si="100">+F149+F234</f>
        <v>0</v>
      </c>
      <c r="G59" s="151">
        <f t="shared" si="100"/>
        <v>0</v>
      </c>
      <c r="H59" s="151">
        <f t="shared" si="100"/>
        <v>0</v>
      </c>
      <c r="I59" s="151">
        <f t="shared" si="100"/>
        <v>0</v>
      </c>
      <c r="J59" s="151">
        <f t="shared" si="100"/>
        <v>0</v>
      </c>
      <c r="K59" s="151">
        <f t="shared" si="100"/>
        <v>0</v>
      </c>
      <c r="L59" s="151">
        <f t="shared" si="100"/>
        <v>0</v>
      </c>
      <c r="M59" s="151">
        <f t="shared" si="100"/>
        <v>0</v>
      </c>
      <c r="N59" s="151">
        <f t="shared" si="100"/>
        <v>0</v>
      </c>
      <c r="O59" s="151">
        <f t="shared" si="100"/>
        <v>0</v>
      </c>
      <c r="P59" s="151">
        <f t="shared" si="100"/>
        <v>0</v>
      </c>
      <c r="Q59" s="65">
        <f t="shared" si="100"/>
        <v>0</v>
      </c>
    </row>
    <row r="60" spans="1:21">
      <c r="A60" s="21"/>
      <c r="B60" s="176" t="s">
        <v>125</v>
      </c>
      <c r="C60" s="18">
        <f t="shared" ref="C60" si="101">+C150+C235</f>
        <v>0</v>
      </c>
      <c r="D60" s="18">
        <f t="shared" ref="D60" si="102">+D150+D235</f>
        <v>0</v>
      </c>
      <c r="E60" s="160">
        <f t="shared" si="11"/>
        <v>0</v>
      </c>
      <c r="F60" s="18">
        <f t="shared" si="100"/>
        <v>0</v>
      </c>
      <c r="G60" s="18">
        <f t="shared" si="100"/>
        <v>0</v>
      </c>
      <c r="H60" s="18">
        <f t="shared" si="100"/>
        <v>0</v>
      </c>
      <c r="I60" s="18">
        <f t="shared" si="100"/>
        <v>0</v>
      </c>
      <c r="J60" s="18">
        <f t="shared" si="100"/>
        <v>0</v>
      </c>
      <c r="K60" s="18">
        <f t="shared" si="100"/>
        <v>0</v>
      </c>
      <c r="L60" s="18">
        <f t="shared" si="100"/>
        <v>0</v>
      </c>
      <c r="M60" s="18">
        <f t="shared" si="100"/>
        <v>0</v>
      </c>
      <c r="N60" s="18">
        <f t="shared" si="100"/>
        <v>0</v>
      </c>
      <c r="O60" s="18">
        <f t="shared" si="100"/>
        <v>0</v>
      </c>
      <c r="P60" s="18">
        <f t="shared" si="100"/>
        <v>0</v>
      </c>
      <c r="Q60" s="19">
        <f t="shared" si="100"/>
        <v>0</v>
      </c>
    </row>
    <row r="61" spans="1:21">
      <c r="A61" s="21"/>
      <c r="B61" s="176" t="s">
        <v>126</v>
      </c>
      <c r="C61" s="18">
        <f t="shared" ref="C61" si="103">+C151+C236</f>
        <v>0</v>
      </c>
      <c r="D61" s="18">
        <f t="shared" ref="D61" si="104">+D151+D236</f>
        <v>191641.62999999998</v>
      </c>
      <c r="E61" s="160">
        <f t="shared" si="11"/>
        <v>0</v>
      </c>
      <c r="F61" s="18">
        <f t="shared" si="100"/>
        <v>0</v>
      </c>
      <c r="G61" s="18">
        <f t="shared" si="100"/>
        <v>0</v>
      </c>
      <c r="H61" s="18">
        <f t="shared" si="100"/>
        <v>0</v>
      </c>
      <c r="I61" s="18">
        <f t="shared" si="100"/>
        <v>0</v>
      </c>
      <c r="J61" s="18">
        <f t="shared" si="100"/>
        <v>0</v>
      </c>
      <c r="K61" s="18">
        <f t="shared" si="100"/>
        <v>0</v>
      </c>
      <c r="L61" s="18">
        <f t="shared" si="100"/>
        <v>0</v>
      </c>
      <c r="M61" s="18">
        <f t="shared" si="100"/>
        <v>0</v>
      </c>
      <c r="N61" s="18">
        <f t="shared" si="100"/>
        <v>0</v>
      </c>
      <c r="O61" s="18">
        <f t="shared" si="100"/>
        <v>0</v>
      </c>
      <c r="P61" s="18">
        <f t="shared" si="100"/>
        <v>0</v>
      </c>
      <c r="Q61" s="19">
        <f t="shared" si="100"/>
        <v>0</v>
      </c>
    </row>
    <row r="62" spans="1:21">
      <c r="A62" s="21"/>
      <c r="B62" s="176" t="s">
        <v>127</v>
      </c>
      <c r="C62" s="18">
        <f t="shared" ref="C62" si="105">+C152+C237</f>
        <v>0</v>
      </c>
      <c r="D62" s="18">
        <f t="shared" ref="D62" si="106">+D152+D237</f>
        <v>0</v>
      </c>
      <c r="E62" s="160">
        <f t="shared" si="11"/>
        <v>0</v>
      </c>
      <c r="F62" s="18">
        <f t="shared" si="100"/>
        <v>0</v>
      </c>
      <c r="G62" s="18">
        <f t="shared" si="100"/>
        <v>0</v>
      </c>
      <c r="H62" s="18">
        <f t="shared" si="100"/>
        <v>0</v>
      </c>
      <c r="I62" s="18">
        <f t="shared" si="100"/>
        <v>0</v>
      </c>
      <c r="J62" s="18">
        <f t="shared" si="100"/>
        <v>0</v>
      </c>
      <c r="K62" s="18">
        <f t="shared" si="100"/>
        <v>0</v>
      </c>
      <c r="L62" s="18">
        <f t="shared" si="100"/>
        <v>0</v>
      </c>
      <c r="M62" s="18">
        <f t="shared" si="100"/>
        <v>0</v>
      </c>
      <c r="N62" s="18">
        <f t="shared" si="100"/>
        <v>0</v>
      </c>
      <c r="O62" s="18">
        <f t="shared" si="100"/>
        <v>0</v>
      </c>
      <c r="P62" s="18">
        <f t="shared" si="100"/>
        <v>0</v>
      </c>
      <c r="Q62" s="19">
        <f t="shared" si="100"/>
        <v>0</v>
      </c>
    </row>
    <row r="63" spans="1:21">
      <c r="A63" s="21"/>
      <c r="B63" s="176" t="s">
        <v>128</v>
      </c>
      <c r="C63" s="18">
        <f t="shared" ref="C63" si="107">+C153+C238</f>
        <v>0</v>
      </c>
      <c r="D63" s="18">
        <f t="shared" ref="D63" si="108">+D153+D238</f>
        <v>0</v>
      </c>
      <c r="E63" s="160">
        <f t="shared" si="11"/>
        <v>0</v>
      </c>
      <c r="F63" s="18">
        <f t="shared" si="100"/>
        <v>0</v>
      </c>
      <c r="G63" s="18">
        <f t="shared" si="100"/>
        <v>0</v>
      </c>
      <c r="H63" s="18">
        <f t="shared" si="100"/>
        <v>0</v>
      </c>
      <c r="I63" s="18">
        <f t="shared" si="100"/>
        <v>0</v>
      </c>
      <c r="J63" s="18">
        <f t="shared" si="100"/>
        <v>0</v>
      </c>
      <c r="K63" s="18">
        <f t="shared" si="100"/>
        <v>0</v>
      </c>
      <c r="L63" s="18">
        <f t="shared" si="100"/>
        <v>0</v>
      </c>
      <c r="M63" s="18">
        <f t="shared" si="100"/>
        <v>0</v>
      </c>
      <c r="N63" s="18">
        <f t="shared" si="100"/>
        <v>0</v>
      </c>
      <c r="O63" s="18">
        <f t="shared" si="100"/>
        <v>0</v>
      </c>
      <c r="P63" s="18">
        <f t="shared" si="100"/>
        <v>0</v>
      </c>
      <c r="Q63" s="19">
        <f t="shared" si="100"/>
        <v>0</v>
      </c>
    </row>
    <row r="64" spans="1:21">
      <c r="A64" s="21"/>
      <c r="B64" s="176" t="s">
        <v>129</v>
      </c>
      <c r="C64" s="18">
        <f t="shared" ref="C64" si="109">+C154+C239</f>
        <v>0</v>
      </c>
      <c r="D64" s="18">
        <f t="shared" ref="D64" si="110">+D154+D239</f>
        <v>182.75</v>
      </c>
      <c r="E64" s="160">
        <f t="shared" si="11"/>
        <v>0</v>
      </c>
      <c r="F64" s="18">
        <f t="shared" si="100"/>
        <v>0</v>
      </c>
      <c r="G64" s="18">
        <f t="shared" si="100"/>
        <v>0</v>
      </c>
      <c r="H64" s="18">
        <f t="shared" si="100"/>
        <v>0</v>
      </c>
      <c r="I64" s="18">
        <f t="shared" si="100"/>
        <v>0</v>
      </c>
      <c r="J64" s="18">
        <f t="shared" si="100"/>
        <v>0</v>
      </c>
      <c r="K64" s="18">
        <f t="shared" si="100"/>
        <v>0</v>
      </c>
      <c r="L64" s="18">
        <f t="shared" si="100"/>
        <v>0</v>
      </c>
      <c r="M64" s="18">
        <f t="shared" si="100"/>
        <v>0</v>
      </c>
      <c r="N64" s="18">
        <f t="shared" si="100"/>
        <v>0</v>
      </c>
      <c r="O64" s="18">
        <f t="shared" si="100"/>
        <v>0</v>
      </c>
      <c r="P64" s="18">
        <f t="shared" si="100"/>
        <v>0</v>
      </c>
      <c r="Q64" s="19">
        <f t="shared" si="100"/>
        <v>0</v>
      </c>
    </row>
    <row r="65" spans="1:19">
      <c r="A65" s="21"/>
      <c r="B65" s="176" t="s">
        <v>130</v>
      </c>
      <c r="C65" s="18">
        <f t="shared" ref="C65" si="111">+C155+C240</f>
        <v>0</v>
      </c>
      <c r="D65" s="18">
        <f t="shared" ref="D65" si="112">+D155+D240</f>
        <v>455938.88000000006</v>
      </c>
      <c r="E65" s="160">
        <f t="shared" si="11"/>
        <v>0</v>
      </c>
      <c r="F65" s="18">
        <f t="shared" si="100"/>
        <v>0</v>
      </c>
      <c r="G65" s="18">
        <f t="shared" si="100"/>
        <v>0</v>
      </c>
      <c r="H65" s="18">
        <f t="shared" si="100"/>
        <v>0</v>
      </c>
      <c r="I65" s="18">
        <f t="shared" si="100"/>
        <v>0</v>
      </c>
      <c r="J65" s="18">
        <f t="shared" si="100"/>
        <v>0</v>
      </c>
      <c r="K65" s="18">
        <f t="shared" si="100"/>
        <v>0</v>
      </c>
      <c r="L65" s="18">
        <f t="shared" si="100"/>
        <v>0</v>
      </c>
      <c r="M65" s="18">
        <f t="shared" si="100"/>
        <v>0</v>
      </c>
      <c r="N65" s="18">
        <f t="shared" si="100"/>
        <v>0</v>
      </c>
      <c r="O65" s="18">
        <f t="shared" si="100"/>
        <v>0</v>
      </c>
      <c r="P65" s="18">
        <f t="shared" si="100"/>
        <v>0</v>
      </c>
      <c r="Q65" s="19">
        <f t="shared" si="100"/>
        <v>0</v>
      </c>
    </row>
    <row r="66" spans="1:19">
      <c r="A66" s="21"/>
      <c r="B66" s="176" t="s">
        <v>131</v>
      </c>
      <c r="C66" s="18">
        <f t="shared" ref="C66" si="113">+C156+C241</f>
        <v>0</v>
      </c>
      <c r="D66" s="18">
        <f t="shared" ref="D66" si="114">+D156+D241</f>
        <v>83619.91</v>
      </c>
      <c r="E66" s="160">
        <f t="shared" si="11"/>
        <v>0</v>
      </c>
      <c r="F66" s="18">
        <f t="shared" si="100"/>
        <v>0</v>
      </c>
      <c r="G66" s="18">
        <f t="shared" si="100"/>
        <v>0</v>
      </c>
      <c r="H66" s="18">
        <f t="shared" si="100"/>
        <v>0</v>
      </c>
      <c r="I66" s="18">
        <f t="shared" si="100"/>
        <v>0</v>
      </c>
      <c r="J66" s="18">
        <f t="shared" si="100"/>
        <v>0</v>
      </c>
      <c r="K66" s="18">
        <f t="shared" si="100"/>
        <v>0</v>
      </c>
      <c r="L66" s="18">
        <f t="shared" si="100"/>
        <v>0</v>
      </c>
      <c r="M66" s="18">
        <f t="shared" si="100"/>
        <v>0</v>
      </c>
      <c r="N66" s="18">
        <f t="shared" si="100"/>
        <v>0</v>
      </c>
      <c r="O66" s="18">
        <f t="shared" si="100"/>
        <v>0</v>
      </c>
      <c r="P66" s="18">
        <f t="shared" si="100"/>
        <v>0</v>
      </c>
      <c r="Q66" s="19">
        <f t="shared" si="100"/>
        <v>0</v>
      </c>
    </row>
    <row r="67" spans="1:19">
      <c r="A67" s="22"/>
      <c r="B67" s="171" t="s">
        <v>132</v>
      </c>
      <c r="C67" s="151">
        <f t="shared" ref="C67" si="115">+C157+C242</f>
        <v>5379528.6399999997</v>
      </c>
      <c r="D67" s="151">
        <f t="shared" ref="D67" si="116">+D157+D242</f>
        <v>7303601.8600000003</v>
      </c>
      <c r="E67" s="150">
        <f t="shared" si="11"/>
        <v>4235673.7055555554</v>
      </c>
      <c r="F67" s="151">
        <f t="shared" si="100"/>
        <v>227283.33000000002</v>
      </c>
      <c r="G67" s="151">
        <f t="shared" si="100"/>
        <v>553149.26</v>
      </c>
      <c r="H67" s="151">
        <f t="shared" si="100"/>
        <v>265888.88888888888</v>
      </c>
      <c r="I67" s="151">
        <f t="shared" si="100"/>
        <v>227283.33000000002</v>
      </c>
      <c r="J67" s="151">
        <f t="shared" si="100"/>
        <v>430402.5</v>
      </c>
      <c r="K67" s="151">
        <f t="shared" si="100"/>
        <v>380768.14888888889</v>
      </c>
      <c r="L67" s="151">
        <f t="shared" si="100"/>
        <v>227283.33000000002</v>
      </c>
      <c r="M67" s="151">
        <f t="shared" si="100"/>
        <v>462255.85</v>
      </c>
      <c r="N67" s="151">
        <f t="shared" si="100"/>
        <v>411051.4788888889</v>
      </c>
      <c r="O67" s="151">
        <f t="shared" si="100"/>
        <v>200986.11</v>
      </c>
      <c r="P67" s="151">
        <f t="shared" si="100"/>
        <v>197000</v>
      </c>
      <c r="Q67" s="65">
        <f t="shared" si="100"/>
        <v>652321.47888888896</v>
      </c>
      <c r="S67" s="80">
        <f>E67*195</f>
        <v>825956372.58333325</v>
      </c>
    </row>
    <row r="68" spans="1:19">
      <c r="A68" s="41"/>
      <c r="B68" s="159" t="s">
        <v>133</v>
      </c>
      <c r="C68" s="18">
        <f t="shared" ref="C68" si="117">+C158+C243</f>
        <v>0</v>
      </c>
      <c r="D68" s="18">
        <f t="shared" ref="D68" si="118">+D158+D243</f>
        <v>169781.80000000005</v>
      </c>
      <c r="E68" s="160">
        <f t="shared" si="11"/>
        <v>0</v>
      </c>
      <c r="F68" s="18">
        <f t="shared" si="100"/>
        <v>0</v>
      </c>
      <c r="G68" s="18">
        <f t="shared" si="100"/>
        <v>0</v>
      </c>
      <c r="H68" s="18">
        <f t="shared" si="100"/>
        <v>0</v>
      </c>
      <c r="I68" s="18">
        <f t="shared" si="100"/>
        <v>0</v>
      </c>
      <c r="J68" s="18">
        <f t="shared" si="100"/>
        <v>0</v>
      </c>
      <c r="K68" s="18">
        <f t="shared" si="100"/>
        <v>0</v>
      </c>
      <c r="L68" s="18">
        <f t="shared" si="100"/>
        <v>0</v>
      </c>
      <c r="M68" s="18">
        <f t="shared" si="100"/>
        <v>0</v>
      </c>
      <c r="N68" s="18">
        <f t="shared" si="100"/>
        <v>0</v>
      </c>
      <c r="O68" s="18">
        <f t="shared" si="100"/>
        <v>0</v>
      </c>
      <c r="P68" s="18">
        <f t="shared" si="100"/>
        <v>0</v>
      </c>
      <c r="Q68" s="19">
        <f t="shared" si="100"/>
        <v>0</v>
      </c>
    </row>
    <row r="69" spans="1:19">
      <c r="A69" s="41"/>
      <c r="B69" s="159" t="s">
        <v>134</v>
      </c>
      <c r="C69" s="18">
        <f t="shared" ref="C69" si="119">+C159+C244</f>
        <v>0</v>
      </c>
      <c r="D69" s="18">
        <f t="shared" ref="D69" si="120">+D159+D244</f>
        <v>0</v>
      </c>
      <c r="E69" s="160">
        <f t="shared" si="11"/>
        <v>0</v>
      </c>
      <c r="F69" s="18">
        <f t="shared" si="100"/>
        <v>0</v>
      </c>
      <c r="G69" s="18">
        <f t="shared" si="100"/>
        <v>0</v>
      </c>
      <c r="H69" s="18">
        <f t="shared" si="100"/>
        <v>0</v>
      </c>
      <c r="I69" s="18">
        <f t="shared" si="100"/>
        <v>0</v>
      </c>
      <c r="J69" s="18">
        <f t="shared" si="100"/>
        <v>0</v>
      </c>
      <c r="K69" s="18">
        <f t="shared" si="100"/>
        <v>0</v>
      </c>
      <c r="L69" s="18">
        <f t="shared" si="100"/>
        <v>0</v>
      </c>
      <c r="M69" s="18">
        <f t="shared" si="100"/>
        <v>0</v>
      </c>
      <c r="N69" s="18">
        <f t="shared" si="100"/>
        <v>0</v>
      </c>
      <c r="O69" s="18">
        <f t="shared" si="100"/>
        <v>0</v>
      </c>
      <c r="P69" s="18">
        <f t="shared" si="100"/>
        <v>0</v>
      </c>
      <c r="Q69" s="19">
        <f t="shared" si="100"/>
        <v>0</v>
      </c>
    </row>
    <row r="70" spans="1:19">
      <c r="A70" s="41"/>
      <c r="B70" s="159" t="s">
        <v>135</v>
      </c>
      <c r="C70" s="18">
        <f t="shared" ref="C70" si="121">+C160+C245</f>
        <v>0</v>
      </c>
      <c r="D70" s="18">
        <f t="shared" ref="D70" si="122">+D160+D245</f>
        <v>0</v>
      </c>
      <c r="E70" s="160">
        <f t="shared" si="11"/>
        <v>0</v>
      </c>
      <c r="F70" s="18">
        <f t="shared" si="100"/>
        <v>0</v>
      </c>
      <c r="G70" s="18">
        <f t="shared" si="100"/>
        <v>0</v>
      </c>
      <c r="H70" s="18">
        <f t="shared" si="100"/>
        <v>0</v>
      </c>
      <c r="I70" s="18">
        <f t="shared" si="100"/>
        <v>0</v>
      </c>
      <c r="J70" s="18">
        <f t="shared" si="100"/>
        <v>0</v>
      </c>
      <c r="K70" s="18">
        <f t="shared" si="100"/>
        <v>0</v>
      </c>
      <c r="L70" s="18">
        <f t="shared" si="100"/>
        <v>0</v>
      </c>
      <c r="M70" s="18">
        <f t="shared" si="100"/>
        <v>0</v>
      </c>
      <c r="N70" s="18">
        <f t="shared" si="100"/>
        <v>0</v>
      </c>
      <c r="O70" s="18">
        <f t="shared" si="100"/>
        <v>0</v>
      </c>
      <c r="P70" s="18">
        <f t="shared" si="100"/>
        <v>0</v>
      </c>
      <c r="Q70" s="19">
        <f t="shared" si="100"/>
        <v>0</v>
      </c>
    </row>
    <row r="71" spans="1:19">
      <c r="A71" s="41"/>
      <c r="B71" s="159" t="s">
        <v>136</v>
      </c>
      <c r="C71" s="18">
        <f t="shared" ref="C71" si="123">+C161+C246</f>
        <v>0</v>
      </c>
      <c r="D71" s="18">
        <f t="shared" ref="D71" si="124">+D161+D246</f>
        <v>2566014.0599999996</v>
      </c>
      <c r="E71" s="160">
        <f t="shared" si="11"/>
        <v>0</v>
      </c>
      <c r="F71" s="18">
        <f t="shared" si="100"/>
        <v>0</v>
      </c>
      <c r="G71" s="18">
        <f t="shared" si="100"/>
        <v>0</v>
      </c>
      <c r="H71" s="18">
        <f t="shared" si="100"/>
        <v>0</v>
      </c>
      <c r="I71" s="18">
        <f t="shared" si="100"/>
        <v>0</v>
      </c>
      <c r="J71" s="18">
        <f t="shared" si="100"/>
        <v>0</v>
      </c>
      <c r="K71" s="18">
        <f t="shared" si="100"/>
        <v>0</v>
      </c>
      <c r="L71" s="18">
        <f t="shared" si="100"/>
        <v>0</v>
      </c>
      <c r="M71" s="18">
        <f t="shared" si="100"/>
        <v>0</v>
      </c>
      <c r="N71" s="18">
        <f t="shared" si="100"/>
        <v>0</v>
      </c>
      <c r="O71" s="18">
        <f t="shared" si="100"/>
        <v>0</v>
      </c>
      <c r="P71" s="18">
        <f t="shared" si="100"/>
        <v>0</v>
      </c>
      <c r="Q71" s="19">
        <f t="shared" si="100"/>
        <v>0</v>
      </c>
    </row>
    <row r="72" spans="1:19">
      <c r="A72" s="41"/>
      <c r="B72" s="159" t="s">
        <v>137</v>
      </c>
      <c r="C72" s="18">
        <f t="shared" ref="C72" si="125">+C162+C247</f>
        <v>0</v>
      </c>
      <c r="D72" s="18">
        <f t="shared" ref="D72" si="126">+D162+D247</f>
        <v>0</v>
      </c>
      <c r="E72" s="160">
        <f t="shared" si="11"/>
        <v>0</v>
      </c>
      <c r="F72" s="18">
        <f t="shared" si="100"/>
        <v>0</v>
      </c>
      <c r="G72" s="18">
        <f t="shared" si="100"/>
        <v>0</v>
      </c>
      <c r="H72" s="18">
        <f t="shared" si="100"/>
        <v>0</v>
      </c>
      <c r="I72" s="18">
        <f t="shared" si="100"/>
        <v>0</v>
      </c>
      <c r="J72" s="18">
        <f t="shared" si="100"/>
        <v>0</v>
      </c>
      <c r="K72" s="18">
        <f t="shared" si="100"/>
        <v>0</v>
      </c>
      <c r="L72" s="18">
        <f t="shared" si="100"/>
        <v>0</v>
      </c>
      <c r="M72" s="18">
        <f t="shared" si="100"/>
        <v>0</v>
      </c>
      <c r="N72" s="18">
        <f t="shared" si="100"/>
        <v>0</v>
      </c>
      <c r="O72" s="18">
        <f t="shared" si="100"/>
        <v>0</v>
      </c>
      <c r="P72" s="18">
        <f t="shared" si="100"/>
        <v>0</v>
      </c>
      <c r="Q72" s="19">
        <f t="shared" si="100"/>
        <v>0</v>
      </c>
    </row>
    <row r="73" spans="1:19">
      <c r="A73" s="41"/>
      <c r="B73" s="159" t="s">
        <v>138</v>
      </c>
      <c r="C73" s="18">
        <f t="shared" ref="C73" si="127">+C163+C248</f>
        <v>0</v>
      </c>
      <c r="D73" s="18">
        <f t="shared" ref="D73" si="128">+D163+D248</f>
        <v>0</v>
      </c>
      <c r="E73" s="160">
        <f t="shared" si="11"/>
        <v>0</v>
      </c>
      <c r="F73" s="18">
        <f t="shared" si="100"/>
        <v>0</v>
      </c>
      <c r="G73" s="18">
        <f t="shared" si="100"/>
        <v>0</v>
      </c>
      <c r="H73" s="18">
        <f t="shared" si="100"/>
        <v>0</v>
      </c>
      <c r="I73" s="18">
        <f t="shared" si="100"/>
        <v>0</v>
      </c>
      <c r="J73" s="18">
        <f t="shared" si="100"/>
        <v>0</v>
      </c>
      <c r="K73" s="18">
        <f t="shared" si="100"/>
        <v>0</v>
      </c>
      <c r="L73" s="18">
        <f t="shared" si="100"/>
        <v>0</v>
      </c>
      <c r="M73" s="18">
        <f t="shared" si="100"/>
        <v>0</v>
      </c>
      <c r="N73" s="18">
        <f t="shared" si="100"/>
        <v>0</v>
      </c>
      <c r="O73" s="18">
        <f t="shared" si="100"/>
        <v>0</v>
      </c>
      <c r="P73" s="18">
        <f t="shared" si="100"/>
        <v>0</v>
      </c>
      <c r="Q73" s="19">
        <f t="shared" si="100"/>
        <v>0</v>
      </c>
    </row>
    <row r="74" spans="1:19">
      <c r="A74" s="41"/>
      <c r="B74" s="159" t="s">
        <v>139</v>
      </c>
      <c r="C74" s="18">
        <f t="shared" ref="C74" si="129">+C164+C249</f>
        <v>0</v>
      </c>
      <c r="D74" s="18">
        <f t="shared" ref="D74" si="130">+D164+D249</f>
        <v>0</v>
      </c>
      <c r="E74" s="160">
        <f t="shared" ref="E74:E83" si="131">SUM(F74:Q74)</f>
        <v>0</v>
      </c>
      <c r="F74" s="18">
        <f t="shared" si="100"/>
        <v>0</v>
      </c>
      <c r="G74" s="18">
        <f t="shared" si="100"/>
        <v>0</v>
      </c>
      <c r="H74" s="18">
        <f t="shared" si="100"/>
        <v>0</v>
      </c>
      <c r="I74" s="18">
        <f t="shared" si="100"/>
        <v>0</v>
      </c>
      <c r="J74" s="18">
        <f t="shared" si="100"/>
        <v>0</v>
      </c>
      <c r="K74" s="18">
        <f t="shared" si="100"/>
        <v>0</v>
      </c>
      <c r="L74" s="18">
        <f t="shared" si="100"/>
        <v>0</v>
      </c>
      <c r="M74" s="18">
        <f t="shared" si="100"/>
        <v>0</v>
      </c>
      <c r="N74" s="18">
        <f t="shared" si="100"/>
        <v>0</v>
      </c>
      <c r="O74" s="18">
        <f t="shared" si="100"/>
        <v>0</v>
      </c>
      <c r="P74" s="18">
        <f t="shared" si="100"/>
        <v>0</v>
      </c>
      <c r="Q74" s="19">
        <f t="shared" si="100"/>
        <v>0</v>
      </c>
    </row>
    <row r="75" spans="1:19">
      <c r="A75" s="41"/>
      <c r="B75" s="159" t="s">
        <v>140</v>
      </c>
      <c r="C75" s="18">
        <f t="shared" ref="C75" si="132">+C165+C250</f>
        <v>0</v>
      </c>
      <c r="D75" s="18">
        <f t="shared" ref="D75" si="133">+D165+D250</f>
        <v>9892.2999999999993</v>
      </c>
      <c r="E75" s="160">
        <f t="shared" si="131"/>
        <v>0</v>
      </c>
      <c r="F75" s="18">
        <f t="shared" ref="F75:Q80" si="134">+F165+F250</f>
        <v>0</v>
      </c>
      <c r="G75" s="18">
        <f t="shared" si="134"/>
        <v>0</v>
      </c>
      <c r="H75" s="18">
        <f t="shared" si="134"/>
        <v>0</v>
      </c>
      <c r="I75" s="18">
        <f t="shared" si="134"/>
        <v>0</v>
      </c>
      <c r="J75" s="18">
        <f t="shared" si="134"/>
        <v>0</v>
      </c>
      <c r="K75" s="18">
        <f t="shared" si="134"/>
        <v>0</v>
      </c>
      <c r="L75" s="18">
        <f t="shared" si="134"/>
        <v>0</v>
      </c>
      <c r="M75" s="18">
        <f t="shared" si="134"/>
        <v>0</v>
      </c>
      <c r="N75" s="18">
        <f t="shared" si="134"/>
        <v>0</v>
      </c>
      <c r="O75" s="18">
        <f t="shared" si="134"/>
        <v>0</v>
      </c>
      <c r="P75" s="18">
        <f t="shared" si="134"/>
        <v>0</v>
      </c>
      <c r="Q75" s="19">
        <f t="shared" si="134"/>
        <v>0</v>
      </c>
    </row>
    <row r="76" spans="1:19">
      <c r="A76" s="41"/>
      <c r="B76" s="159" t="s">
        <v>141</v>
      </c>
      <c r="C76" s="18">
        <f t="shared" ref="C76" si="135">+C166+C251</f>
        <v>0</v>
      </c>
      <c r="D76" s="18">
        <f t="shared" ref="D76" si="136">+D166+D251</f>
        <v>21799.56</v>
      </c>
      <c r="E76" s="160">
        <f t="shared" si="131"/>
        <v>0</v>
      </c>
      <c r="F76" s="18">
        <f t="shared" si="134"/>
        <v>0</v>
      </c>
      <c r="G76" s="18">
        <f t="shared" si="134"/>
        <v>0</v>
      </c>
      <c r="H76" s="18">
        <f t="shared" si="134"/>
        <v>0</v>
      </c>
      <c r="I76" s="18">
        <f t="shared" si="134"/>
        <v>0</v>
      </c>
      <c r="J76" s="18">
        <f t="shared" si="134"/>
        <v>0</v>
      </c>
      <c r="K76" s="18">
        <f t="shared" si="134"/>
        <v>0</v>
      </c>
      <c r="L76" s="18">
        <f t="shared" si="134"/>
        <v>0</v>
      </c>
      <c r="M76" s="18">
        <f t="shared" si="134"/>
        <v>0</v>
      </c>
      <c r="N76" s="18">
        <f t="shared" si="134"/>
        <v>0</v>
      </c>
      <c r="O76" s="18">
        <f t="shared" si="134"/>
        <v>0</v>
      </c>
      <c r="P76" s="18">
        <f t="shared" si="134"/>
        <v>0</v>
      </c>
      <c r="Q76" s="19">
        <f t="shared" si="134"/>
        <v>0</v>
      </c>
    </row>
    <row r="77" spans="1:19">
      <c r="A77" s="41"/>
      <c r="B77" s="159" t="s">
        <v>142</v>
      </c>
      <c r="C77" s="18">
        <f t="shared" ref="C77" si="137">+C167+C252</f>
        <v>0</v>
      </c>
      <c r="D77" s="18">
        <f t="shared" ref="D77" si="138">+D167+D252</f>
        <v>0</v>
      </c>
      <c r="E77" s="160">
        <f t="shared" si="131"/>
        <v>0</v>
      </c>
      <c r="F77" s="18">
        <f t="shared" si="134"/>
        <v>0</v>
      </c>
      <c r="G77" s="18">
        <f t="shared" si="134"/>
        <v>0</v>
      </c>
      <c r="H77" s="18">
        <f t="shared" si="134"/>
        <v>0</v>
      </c>
      <c r="I77" s="18">
        <f t="shared" si="134"/>
        <v>0</v>
      </c>
      <c r="J77" s="18">
        <f t="shared" si="134"/>
        <v>0</v>
      </c>
      <c r="K77" s="18">
        <f t="shared" si="134"/>
        <v>0</v>
      </c>
      <c r="L77" s="18">
        <f t="shared" si="134"/>
        <v>0</v>
      </c>
      <c r="M77" s="18">
        <f t="shared" si="134"/>
        <v>0</v>
      </c>
      <c r="N77" s="18">
        <f t="shared" si="134"/>
        <v>0</v>
      </c>
      <c r="O77" s="18">
        <f t="shared" si="134"/>
        <v>0</v>
      </c>
      <c r="P77" s="18">
        <f t="shared" si="134"/>
        <v>0</v>
      </c>
      <c r="Q77" s="19">
        <f t="shared" si="134"/>
        <v>0</v>
      </c>
    </row>
    <row r="78" spans="1:19">
      <c r="A78" s="41"/>
      <c r="B78" s="159" t="s">
        <v>143</v>
      </c>
      <c r="C78" s="18">
        <f t="shared" ref="C78" si="139">+C168+C253</f>
        <v>0</v>
      </c>
      <c r="D78" s="18">
        <f t="shared" ref="D78" si="140">+D168+D253</f>
        <v>80912.850000000006</v>
      </c>
      <c r="E78" s="160">
        <f t="shared" si="131"/>
        <v>0</v>
      </c>
      <c r="F78" s="18">
        <f t="shared" si="134"/>
        <v>0</v>
      </c>
      <c r="G78" s="18">
        <f t="shared" si="134"/>
        <v>0</v>
      </c>
      <c r="H78" s="18">
        <f t="shared" si="134"/>
        <v>0</v>
      </c>
      <c r="I78" s="18">
        <f t="shared" si="134"/>
        <v>0</v>
      </c>
      <c r="J78" s="18">
        <f t="shared" si="134"/>
        <v>0</v>
      </c>
      <c r="K78" s="18">
        <f t="shared" si="134"/>
        <v>0</v>
      </c>
      <c r="L78" s="18">
        <f t="shared" si="134"/>
        <v>0</v>
      </c>
      <c r="M78" s="18">
        <f t="shared" si="134"/>
        <v>0</v>
      </c>
      <c r="N78" s="18">
        <f t="shared" si="134"/>
        <v>0</v>
      </c>
      <c r="O78" s="18">
        <f t="shared" si="134"/>
        <v>0</v>
      </c>
      <c r="P78" s="18">
        <f t="shared" si="134"/>
        <v>0</v>
      </c>
      <c r="Q78" s="19">
        <f t="shared" si="134"/>
        <v>0</v>
      </c>
    </row>
    <row r="79" spans="1:19">
      <c r="A79" s="41"/>
      <c r="B79" s="159" t="s">
        <v>144</v>
      </c>
      <c r="C79" s="18">
        <f t="shared" ref="C79" si="141">+C169+C254</f>
        <v>0</v>
      </c>
      <c r="D79" s="18">
        <f t="shared" ref="D79" si="142">+D169+D254</f>
        <v>173665.17000000004</v>
      </c>
      <c r="E79" s="160">
        <f t="shared" si="131"/>
        <v>0</v>
      </c>
      <c r="F79" s="18">
        <f t="shared" si="134"/>
        <v>0</v>
      </c>
      <c r="G79" s="18">
        <f t="shared" si="134"/>
        <v>0</v>
      </c>
      <c r="H79" s="18">
        <f t="shared" si="134"/>
        <v>0</v>
      </c>
      <c r="I79" s="18">
        <f t="shared" si="134"/>
        <v>0</v>
      </c>
      <c r="J79" s="18">
        <f t="shared" si="134"/>
        <v>0</v>
      </c>
      <c r="K79" s="18">
        <f t="shared" si="134"/>
        <v>0</v>
      </c>
      <c r="L79" s="18">
        <f t="shared" si="134"/>
        <v>0</v>
      </c>
      <c r="M79" s="18">
        <f t="shared" si="134"/>
        <v>0</v>
      </c>
      <c r="N79" s="18">
        <f t="shared" si="134"/>
        <v>0</v>
      </c>
      <c r="O79" s="18">
        <f t="shared" si="134"/>
        <v>0</v>
      </c>
      <c r="P79" s="18">
        <f t="shared" si="134"/>
        <v>0</v>
      </c>
      <c r="Q79" s="19">
        <f t="shared" si="134"/>
        <v>0</v>
      </c>
    </row>
    <row r="80" spans="1:19">
      <c r="A80" s="41"/>
      <c r="B80" s="159" t="s">
        <v>145</v>
      </c>
      <c r="C80" s="18">
        <f t="shared" ref="C80" si="143">+C170+C255</f>
        <v>5379528.6399999997</v>
      </c>
      <c r="D80" s="18">
        <f t="shared" ref="D80" si="144">+D170+D255</f>
        <v>4281536.12</v>
      </c>
      <c r="E80" s="160">
        <f t="shared" si="131"/>
        <v>4235673.7055555554</v>
      </c>
      <c r="F80" s="18">
        <f t="shared" si="134"/>
        <v>227283.33000000002</v>
      </c>
      <c r="G80" s="18">
        <f t="shared" si="134"/>
        <v>553149.26</v>
      </c>
      <c r="H80" s="18">
        <f t="shared" si="134"/>
        <v>265888.88888888888</v>
      </c>
      <c r="I80" s="18">
        <f t="shared" si="134"/>
        <v>227283.33000000002</v>
      </c>
      <c r="J80" s="18">
        <f t="shared" si="134"/>
        <v>430402.5</v>
      </c>
      <c r="K80" s="18">
        <f t="shared" si="134"/>
        <v>380768.14888888889</v>
      </c>
      <c r="L80" s="18">
        <f t="shared" si="134"/>
        <v>227283.33000000002</v>
      </c>
      <c r="M80" s="18">
        <f t="shared" si="134"/>
        <v>462255.85</v>
      </c>
      <c r="N80" s="18">
        <f t="shared" si="134"/>
        <v>411051.4788888889</v>
      </c>
      <c r="O80" s="18">
        <f t="shared" si="134"/>
        <v>200986.11</v>
      </c>
      <c r="P80" s="18">
        <f t="shared" si="134"/>
        <v>197000</v>
      </c>
      <c r="Q80" s="19">
        <f t="shared" si="134"/>
        <v>652321.47888888896</v>
      </c>
    </row>
    <row r="81" spans="1:19">
      <c r="A81" s="5"/>
      <c r="B81" s="181" t="s">
        <v>146</v>
      </c>
      <c r="C81" s="183">
        <f t="shared" ref="C81" si="145">+C57-C67</f>
        <v>14637327.931042127</v>
      </c>
      <c r="D81" s="183">
        <f>+D57-D67+D59</f>
        <v>11336201.917103274</v>
      </c>
      <c r="E81" s="150">
        <f t="shared" si="131"/>
        <v>18669462.931342412</v>
      </c>
      <c r="F81" s="183">
        <f t="shared" ref="F81:Q81" si="146">+F57-F67</f>
        <v>1911796.419089797</v>
      </c>
      <c r="G81" s="183">
        <f t="shared" si="146"/>
        <v>348162.79733102513</v>
      </c>
      <c r="H81" s="183">
        <f t="shared" si="146"/>
        <v>1813145.5691265031</v>
      </c>
      <c r="I81" s="183">
        <f t="shared" si="146"/>
        <v>2443417.2919942858</v>
      </c>
      <c r="J81" s="183">
        <f t="shared" si="146"/>
        <v>1263701.7313933522</v>
      </c>
      <c r="K81" s="183">
        <f t="shared" si="146"/>
        <v>1443528.0878002481</v>
      </c>
      <c r="L81" s="183">
        <f t="shared" si="146"/>
        <v>2629081.9996854961</v>
      </c>
      <c r="M81" s="183">
        <f t="shared" si="146"/>
        <v>632032.46721196186</v>
      </c>
      <c r="N81" s="183">
        <f t="shared" si="146"/>
        <v>1497814.5345045421</v>
      </c>
      <c r="O81" s="183">
        <f t="shared" si="146"/>
        <v>1256283.1738512302</v>
      </c>
      <c r="P81" s="183">
        <f t="shared" si="146"/>
        <v>2102606.3427291256</v>
      </c>
      <c r="Q81" s="200">
        <f t="shared" si="146"/>
        <v>1327892.516624847</v>
      </c>
      <c r="S81" s="80">
        <f>E81*195</f>
        <v>3640545271.6117702</v>
      </c>
    </row>
    <row r="82" spans="1:19">
      <c r="A82" s="41"/>
      <c r="B82" s="159" t="s">
        <v>147</v>
      </c>
      <c r="C82" s="18">
        <f>C81*0.25</f>
        <v>3659331.9827605318</v>
      </c>
      <c r="D82" s="18">
        <f>D81*0.25</f>
        <v>2834050.4792758184</v>
      </c>
      <c r="E82" s="160">
        <f t="shared" si="131"/>
        <v>4667365.7328356029</v>
      </c>
      <c r="F82" s="18">
        <f>F81*0.25</f>
        <v>477949.10477244924</v>
      </c>
      <c r="G82" s="18">
        <f t="shared" ref="G82:Q82" si="147">G81*0.25</f>
        <v>87040.699332756281</v>
      </c>
      <c r="H82" s="18">
        <f t="shared" si="147"/>
        <v>453286.39228162577</v>
      </c>
      <c r="I82" s="18">
        <f t="shared" si="147"/>
        <v>610854.32299857144</v>
      </c>
      <c r="J82" s="18">
        <f t="shared" si="147"/>
        <v>315925.43284833804</v>
      </c>
      <c r="K82" s="18">
        <f t="shared" si="147"/>
        <v>360882.02195006202</v>
      </c>
      <c r="L82" s="18">
        <f t="shared" si="147"/>
        <v>657270.49992137402</v>
      </c>
      <c r="M82" s="18">
        <f t="shared" si="147"/>
        <v>158008.11680299047</v>
      </c>
      <c r="N82" s="18">
        <f t="shared" si="147"/>
        <v>374453.63362613553</v>
      </c>
      <c r="O82" s="18">
        <f t="shared" si="147"/>
        <v>314070.79346280755</v>
      </c>
      <c r="P82" s="18">
        <f t="shared" si="147"/>
        <v>525651.58568228141</v>
      </c>
      <c r="Q82" s="201">
        <f t="shared" si="147"/>
        <v>331973.12915621174</v>
      </c>
    </row>
    <row r="83" spans="1:19">
      <c r="A83" s="5"/>
      <c r="B83" s="181" t="s">
        <v>148</v>
      </c>
      <c r="C83" s="183">
        <f>C81-C82</f>
        <v>10977995.948281595</v>
      </c>
      <c r="D83" s="183">
        <f>D81-D82</f>
        <v>8502151.4378274549</v>
      </c>
      <c r="E83" s="150">
        <f t="shared" si="131"/>
        <v>14002097.198506812</v>
      </c>
      <c r="F83" s="183">
        <f>F81-F82</f>
        <v>1433847.3143173477</v>
      </c>
      <c r="G83" s="183">
        <f t="shared" ref="G83:Q83" si="148">G81-G82</f>
        <v>261122.09799826884</v>
      </c>
      <c r="H83" s="183">
        <f t="shared" si="148"/>
        <v>1359859.1768448772</v>
      </c>
      <c r="I83" s="183">
        <f t="shared" si="148"/>
        <v>1832562.9689957143</v>
      </c>
      <c r="J83" s="183">
        <f t="shared" si="148"/>
        <v>947776.29854501411</v>
      </c>
      <c r="K83" s="183">
        <f t="shared" si="148"/>
        <v>1082646.0658501862</v>
      </c>
      <c r="L83" s="183">
        <f t="shared" si="148"/>
        <v>1971811.4997641221</v>
      </c>
      <c r="M83" s="183">
        <f t="shared" si="148"/>
        <v>474024.35040897143</v>
      </c>
      <c r="N83" s="183">
        <f t="shared" si="148"/>
        <v>1123360.9008784066</v>
      </c>
      <c r="O83" s="183">
        <f t="shared" si="148"/>
        <v>942212.38038842264</v>
      </c>
      <c r="P83" s="183">
        <f t="shared" si="148"/>
        <v>1576954.7570468443</v>
      </c>
      <c r="Q83" s="184">
        <f t="shared" si="148"/>
        <v>995919.38746863522</v>
      </c>
      <c r="S83" s="80">
        <f>E83*195</f>
        <v>2730408953.7088284</v>
      </c>
    </row>
    <row r="84" spans="1:19">
      <c r="A84" s="5"/>
      <c r="B84" s="189" t="s">
        <v>149</v>
      </c>
      <c r="C84" s="202"/>
      <c r="D84" s="202"/>
      <c r="E84" s="203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4"/>
    </row>
    <row r="85" spans="1:19">
      <c r="E85" s="59">
        <f>+E147+E258</f>
        <v>22608639.477509066</v>
      </c>
      <c r="F85" s="59">
        <f t="shared" ref="F85:Q85" si="149">+F147+F258</f>
        <v>2123169.9159897966</v>
      </c>
      <c r="G85" s="59">
        <f t="shared" si="149"/>
        <v>862591.60913102725</v>
      </c>
      <c r="H85" s="60">
        <f t="shared" si="149"/>
        <v>2060422.235793168</v>
      </c>
      <c r="I85" s="61">
        <f t="shared" si="149"/>
        <v>2654790.7888942827</v>
      </c>
      <c r="J85" s="59">
        <f t="shared" si="149"/>
        <v>1663976.0563933519</v>
      </c>
      <c r="K85" s="59">
        <f t="shared" si="149"/>
        <v>1797642.4662669089</v>
      </c>
      <c r="L85" s="59">
        <f t="shared" si="149"/>
        <v>2840455.4965854944</v>
      </c>
      <c r="M85" s="59">
        <f t="shared" si="149"/>
        <v>1061930.4077119615</v>
      </c>
      <c r="N85" s="59">
        <f t="shared" si="149"/>
        <v>1880092.4098712066</v>
      </c>
      <c r="O85" s="59">
        <f t="shared" si="149"/>
        <v>1443200.2561512317</v>
      </c>
      <c r="P85" s="59">
        <f t="shared" si="149"/>
        <v>2285816.3427291238</v>
      </c>
      <c r="Q85" s="59">
        <f t="shared" si="149"/>
        <v>1934551.4919915134</v>
      </c>
    </row>
    <row r="86" spans="1:19" ht="31.5">
      <c r="B86" s="2" t="s">
        <v>164</v>
      </c>
      <c r="C86" s="2"/>
      <c r="D86" s="2"/>
      <c r="E86" s="62"/>
      <c r="F86" s="3"/>
      <c r="G86" s="3"/>
      <c r="H86" s="63"/>
      <c r="I86" s="63"/>
      <c r="J86" s="3"/>
      <c r="K86" s="3"/>
      <c r="L86" s="3"/>
      <c r="M86" s="3"/>
      <c r="N86" s="3"/>
      <c r="O86" s="3"/>
      <c r="P86" s="3"/>
      <c r="Q86" s="3"/>
    </row>
    <row r="87" spans="1:19">
      <c r="B87" s="145" t="s">
        <v>11</v>
      </c>
      <c r="C87" s="146" t="s">
        <v>177</v>
      </c>
      <c r="D87" s="146" t="s">
        <v>178</v>
      </c>
      <c r="E87" s="147" t="s">
        <v>174</v>
      </c>
      <c r="F87" s="148" t="s">
        <v>12</v>
      </c>
      <c r="G87" s="148" t="s">
        <v>13</v>
      </c>
      <c r="H87" s="148" t="s">
        <v>14</v>
      </c>
      <c r="I87" s="148" t="s">
        <v>15</v>
      </c>
      <c r="J87" s="148" t="s">
        <v>16</v>
      </c>
      <c r="K87" s="148" t="s">
        <v>17</v>
      </c>
      <c r="L87" s="148" t="s">
        <v>18</v>
      </c>
      <c r="M87" s="148" t="s">
        <v>19</v>
      </c>
      <c r="N87" s="148" t="s">
        <v>20</v>
      </c>
      <c r="O87" s="148" t="s">
        <v>21</v>
      </c>
      <c r="P87" s="148" t="s">
        <v>22</v>
      </c>
      <c r="Q87" s="64" t="s">
        <v>23</v>
      </c>
    </row>
    <row r="88" spans="1:19">
      <c r="B88" s="149" t="s">
        <v>76</v>
      </c>
      <c r="C88" s="150">
        <v>526202575.58171225</v>
      </c>
      <c r="D88" s="150">
        <v>412490137.91000003</v>
      </c>
      <c r="E88" s="151">
        <f>SUM(F88:Q88)</f>
        <v>360893901.9088949</v>
      </c>
      <c r="F88" s="151">
        <f t="shared" ref="F88:Q88" si="150">+F89+F104+F105</f>
        <v>29487285.974622041</v>
      </c>
      <c r="G88" s="151">
        <f t="shared" si="150"/>
        <v>22463255.33610769</v>
      </c>
      <c r="H88" s="151">
        <f t="shared" si="150"/>
        <v>33794347.247038379</v>
      </c>
      <c r="I88" s="151">
        <f t="shared" si="150"/>
        <v>32839242.896148242</v>
      </c>
      <c r="J88" s="151">
        <f t="shared" si="150"/>
        <v>28503902.254872404</v>
      </c>
      <c r="K88" s="151">
        <f t="shared" si="150"/>
        <v>31417919.004968222</v>
      </c>
      <c r="L88" s="151">
        <f t="shared" si="150"/>
        <v>32690449.497140095</v>
      </c>
      <c r="M88" s="151">
        <f t="shared" si="150"/>
        <v>24239930.581332397</v>
      </c>
      <c r="N88" s="151">
        <f t="shared" si="150"/>
        <v>32767873.928412419</v>
      </c>
      <c r="O88" s="151">
        <f t="shared" si="150"/>
        <v>27082578.363692403</v>
      </c>
      <c r="P88" s="151">
        <f t="shared" si="150"/>
        <v>31346550.037232399</v>
      </c>
      <c r="Q88" s="65">
        <f t="shared" si="150"/>
        <v>34260566.787328243</v>
      </c>
      <c r="S88" s="80">
        <f>E88*195</f>
        <v>70374310872.234512</v>
      </c>
    </row>
    <row r="89" spans="1:19">
      <c r="B89" s="152" t="s">
        <v>79</v>
      </c>
      <c r="C89" s="153">
        <v>444162804.37592351</v>
      </c>
      <c r="D89" s="153">
        <v>377826389.89999998</v>
      </c>
      <c r="E89" s="153">
        <f>SUM(F89:Q89)</f>
        <v>342594377.53694344</v>
      </c>
      <c r="F89" s="154">
        <f>F90+F91</f>
        <v>27939794.092690025</v>
      </c>
      <c r="G89" s="154">
        <f t="shared" ref="G89:Q89" si="151">G90+G91</f>
        <v>21287462.165859088</v>
      </c>
      <c r="H89" s="154">
        <f t="shared" si="151"/>
        <v>32088120.611079156</v>
      </c>
      <c r="I89" s="154">
        <f t="shared" si="151"/>
        <v>31188935.799891356</v>
      </c>
      <c r="J89" s="154">
        <f t="shared" si="151"/>
        <v>27077555.64730205</v>
      </c>
      <c r="K89" s="154">
        <f t="shared" si="151"/>
        <v>29842085.173594218</v>
      </c>
      <c r="L89" s="154">
        <f t="shared" si="151"/>
        <v>30977564.404833794</v>
      </c>
      <c r="M89" s="154">
        <f t="shared" si="151"/>
        <v>23037003.76841069</v>
      </c>
      <c r="N89" s="154">
        <f t="shared" si="151"/>
        <v>31118107.526193418</v>
      </c>
      <c r="O89" s="154">
        <f t="shared" si="151"/>
        <v>25730705.02100493</v>
      </c>
      <c r="P89" s="154">
        <f t="shared" si="151"/>
        <v>29771256.899896279</v>
      </c>
      <c r="Q89" s="155">
        <f t="shared" si="151"/>
        <v>32535786.426188473</v>
      </c>
    </row>
    <row r="90" spans="1:19">
      <c r="B90" s="156" t="s">
        <v>171</v>
      </c>
      <c r="C90" s="157">
        <f>C89-C91</f>
        <v>440919761.38409609</v>
      </c>
      <c r="D90" s="157">
        <f>D89-D91</f>
        <v>371285402.45263439</v>
      </c>
      <c r="E90" s="158">
        <f t="shared" ref="E90:E91" si="152">SUM(F90:Q90)</f>
        <v>306728575.15825725</v>
      </c>
      <c r="F90" s="157">
        <v>25125389.709278803</v>
      </c>
      <c r="G90" s="157">
        <v>19143154.064212441</v>
      </c>
      <c r="H90" s="157">
        <v>29005677.714962106</v>
      </c>
      <c r="I90" s="157">
        <v>27880058.859646775</v>
      </c>
      <c r="J90" s="157">
        <v>24219889.198909003</v>
      </c>
      <c r="K90" s="157">
        <v>26683611.730633482</v>
      </c>
      <c r="L90" s="157">
        <v>27518283.96730537</v>
      </c>
      <c r="M90" s="157">
        <v>20630547.811869178</v>
      </c>
      <c r="N90" s="157">
        <v>27809230.585948836</v>
      </c>
      <c r="O90" s="157">
        <v>23023442.069895729</v>
      </c>
      <c r="P90" s="157">
        <v>26612783.456935544</v>
      </c>
      <c r="Q90" s="47">
        <v>29076505.988660049</v>
      </c>
    </row>
    <row r="91" spans="1:19">
      <c r="B91" s="156" t="s">
        <v>172</v>
      </c>
      <c r="C91" s="157">
        <v>3243042.9918274418</v>
      </c>
      <c r="D91" s="157">
        <v>6540987.4473656062</v>
      </c>
      <c r="E91" s="158">
        <f t="shared" si="152"/>
        <v>35865802.37868616</v>
      </c>
      <c r="F91" s="157">
        <v>2814404.3834112217</v>
      </c>
      <c r="G91" s="157">
        <v>2144308.101646645</v>
      </c>
      <c r="H91" s="157">
        <v>3082442.8961170521</v>
      </c>
      <c r="I91" s="157">
        <v>3308876.9402445802</v>
      </c>
      <c r="J91" s="157">
        <v>2857666.4483930464</v>
      </c>
      <c r="K91" s="157">
        <v>3158473.4429607349</v>
      </c>
      <c r="L91" s="157">
        <v>3459280.437528424</v>
      </c>
      <c r="M91" s="157">
        <v>2406455.9565415122</v>
      </c>
      <c r="N91" s="157">
        <v>3308876.9402445802</v>
      </c>
      <c r="O91" s="157">
        <v>2707262.9511092012</v>
      </c>
      <c r="P91" s="157">
        <v>3158473.4429607349</v>
      </c>
      <c r="Q91" s="47">
        <v>3459280.437528424</v>
      </c>
    </row>
    <row r="92" spans="1:19">
      <c r="B92" s="159" t="s">
        <v>3</v>
      </c>
      <c r="C92" s="160"/>
      <c r="D92" s="160"/>
      <c r="E92" s="160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9"/>
    </row>
    <row r="93" spans="1:19">
      <c r="B93" s="161" t="s">
        <v>4</v>
      </c>
      <c r="C93" s="158"/>
      <c r="D93" s="158"/>
      <c r="E93" s="158">
        <f t="shared" ref="E93:E100" si="153">SUM(F93:Q93)</f>
        <v>196103221.52118182</v>
      </c>
      <c r="F93" s="157">
        <v>16808847.558958434</v>
      </c>
      <c r="G93" s="157">
        <v>12806740.997301675</v>
      </c>
      <c r="H93" s="157">
        <v>18409690.18362115</v>
      </c>
      <c r="I93" s="157">
        <v>17609268.871289801</v>
      </c>
      <c r="J93" s="157">
        <v>15208004.934295734</v>
      </c>
      <c r="K93" s="157">
        <v>16808847.558958434</v>
      </c>
      <c r="L93" s="157">
        <v>18409690.18362115</v>
      </c>
      <c r="M93" s="157">
        <v>12806740.997301675</v>
      </c>
      <c r="N93" s="157">
        <v>17609268.871289801</v>
      </c>
      <c r="O93" s="157">
        <v>14407583.621964384</v>
      </c>
      <c r="P93" s="157">
        <v>16808847.558958434</v>
      </c>
      <c r="Q93" s="47">
        <v>18409690.18362115</v>
      </c>
    </row>
    <row r="94" spans="1:19">
      <c r="B94" s="161" t="s">
        <v>150</v>
      </c>
      <c r="C94" s="158"/>
      <c r="D94" s="158"/>
      <c r="E94" s="158">
        <f t="shared" si="153"/>
        <v>87491665.057712629</v>
      </c>
      <c r="F94" s="157">
        <v>7499285.576375369</v>
      </c>
      <c r="G94" s="157">
        <v>5713741.3915240904</v>
      </c>
      <c r="H94" s="157">
        <v>8213503.2503158813</v>
      </c>
      <c r="I94" s="157">
        <v>7856394.4133456256</v>
      </c>
      <c r="J94" s="157">
        <v>6785067.9024348576</v>
      </c>
      <c r="K94" s="157">
        <v>7499285.576375369</v>
      </c>
      <c r="L94" s="157">
        <v>8213503.2503158813</v>
      </c>
      <c r="M94" s="157">
        <v>5713741.3915240904</v>
      </c>
      <c r="N94" s="157">
        <v>7856394.4133456256</v>
      </c>
      <c r="O94" s="157">
        <v>6427959.0654646009</v>
      </c>
      <c r="P94" s="157">
        <v>7499285.576375369</v>
      </c>
      <c r="Q94" s="47">
        <v>8213503.2503158813</v>
      </c>
    </row>
    <row r="95" spans="1:19">
      <c r="B95" s="161" t="s">
        <v>166</v>
      </c>
      <c r="C95" s="158"/>
      <c r="D95" s="158"/>
      <c r="E95" s="158">
        <f t="shared" si="153"/>
        <v>35865802.37868616</v>
      </c>
      <c r="F95" s="157">
        <v>2814404.3834112217</v>
      </c>
      <c r="G95" s="157">
        <v>2144308.101646645</v>
      </c>
      <c r="H95" s="157">
        <v>3082442.8961170521</v>
      </c>
      <c r="I95" s="157">
        <v>3308876.9402445802</v>
      </c>
      <c r="J95" s="157">
        <v>2857666.4483930464</v>
      </c>
      <c r="K95" s="157">
        <v>3158473.4429607349</v>
      </c>
      <c r="L95" s="157">
        <v>3459280.437528424</v>
      </c>
      <c r="M95" s="157">
        <v>2406455.9565415122</v>
      </c>
      <c r="N95" s="157">
        <v>3308876.9402445802</v>
      </c>
      <c r="O95" s="157">
        <v>2707262.9511092012</v>
      </c>
      <c r="P95" s="157">
        <v>3158473.4429607349</v>
      </c>
      <c r="Q95" s="47">
        <v>3459280.437528424</v>
      </c>
    </row>
    <row r="96" spans="1:19">
      <c r="B96" s="161" t="s">
        <v>167</v>
      </c>
      <c r="C96" s="158"/>
      <c r="D96" s="158"/>
      <c r="E96" s="158">
        <f t="shared" si="153"/>
        <v>13599028.550004482</v>
      </c>
      <c r="F96" s="157">
        <v>0</v>
      </c>
      <c r="G96" s="157">
        <v>0</v>
      </c>
      <c r="H96" s="157">
        <v>1487393.7476567405</v>
      </c>
      <c r="I96" s="157">
        <v>1558222.0213546799</v>
      </c>
      <c r="J96" s="157">
        <v>1487393.7476567405</v>
      </c>
      <c r="K96" s="157">
        <v>1558222.0213546799</v>
      </c>
      <c r="L96" s="157">
        <v>0</v>
      </c>
      <c r="M96" s="157">
        <v>1487393.7476567405</v>
      </c>
      <c r="N96" s="157">
        <v>1487393.7476567405</v>
      </c>
      <c r="O96" s="157">
        <v>1487393.7476567405</v>
      </c>
      <c r="P96" s="157">
        <v>1487393.7476567405</v>
      </c>
      <c r="Q96" s="47">
        <v>1558222.0213546799</v>
      </c>
    </row>
    <row r="97" spans="2:19">
      <c r="B97" s="161" t="s">
        <v>168</v>
      </c>
      <c r="C97" s="158"/>
      <c r="D97" s="158"/>
      <c r="E97" s="158">
        <f t="shared" si="153"/>
        <v>5984486.8040353199</v>
      </c>
      <c r="F97" s="157">
        <v>512956.01177445595</v>
      </c>
      <c r="G97" s="157">
        <v>390823.62801863311</v>
      </c>
      <c r="H97" s="157">
        <v>561808.96527678519</v>
      </c>
      <c r="I97" s="157">
        <v>537382.48852562066</v>
      </c>
      <c r="J97" s="157">
        <v>464103.05827212677</v>
      </c>
      <c r="K97" s="157">
        <v>512956.01177445595</v>
      </c>
      <c r="L97" s="157">
        <v>561808.96527678519</v>
      </c>
      <c r="M97" s="157">
        <v>390823.62801863311</v>
      </c>
      <c r="N97" s="157">
        <v>537382.48852562066</v>
      </c>
      <c r="O97" s="157">
        <v>439676.58152096224</v>
      </c>
      <c r="P97" s="157">
        <v>512956.01177445595</v>
      </c>
      <c r="Q97" s="47">
        <v>561808.96527678519</v>
      </c>
    </row>
    <row r="98" spans="2:19">
      <c r="B98" s="161" t="s">
        <v>169</v>
      </c>
      <c r="C98" s="158"/>
      <c r="D98" s="158"/>
      <c r="E98" s="158">
        <f t="shared" si="153"/>
        <v>4269027.4659932945</v>
      </c>
      <c r="F98" s="157">
        <v>365916.63994228235</v>
      </c>
      <c r="G98" s="157">
        <v>278793.63043221517</v>
      </c>
      <c r="H98" s="157">
        <v>400765.84374630929</v>
      </c>
      <c r="I98" s="157">
        <v>383341.24184429576</v>
      </c>
      <c r="J98" s="157">
        <v>331067.43613825546</v>
      </c>
      <c r="K98" s="157">
        <v>365916.63994228235</v>
      </c>
      <c r="L98" s="157">
        <v>400765.84374630929</v>
      </c>
      <c r="M98" s="157">
        <v>278793.63043221517</v>
      </c>
      <c r="N98" s="157">
        <v>383341.24184429576</v>
      </c>
      <c r="O98" s="157">
        <v>313642.83423624199</v>
      </c>
      <c r="P98" s="157">
        <v>365916.63994228235</v>
      </c>
      <c r="Q98" s="47">
        <v>400765.84374630929</v>
      </c>
    </row>
    <row r="99" spans="2:19">
      <c r="B99" s="161" t="s">
        <v>170</v>
      </c>
      <c r="C99" s="158"/>
      <c r="D99" s="158"/>
      <c r="E99" s="158">
        <f t="shared" si="153"/>
        <v>3120971.1477304399</v>
      </c>
      <c r="F99" s="157">
        <v>267511.81266260915</v>
      </c>
      <c r="G99" s="157">
        <v>203818.52393341652</v>
      </c>
      <c r="H99" s="157">
        <v>292989.12815428624</v>
      </c>
      <c r="I99" s="157">
        <v>280250.47040844767</v>
      </c>
      <c r="J99" s="157">
        <v>242034.49717093213</v>
      </c>
      <c r="K99" s="157">
        <v>267511.81266260915</v>
      </c>
      <c r="L99" s="157">
        <v>292989.12815428624</v>
      </c>
      <c r="M99" s="157">
        <v>203818.52393341652</v>
      </c>
      <c r="N99" s="157">
        <v>280250.47040844767</v>
      </c>
      <c r="O99" s="157">
        <v>229295.83942509361</v>
      </c>
      <c r="P99" s="157">
        <v>267511.81266260915</v>
      </c>
      <c r="Q99" s="47">
        <v>292989.12815428624</v>
      </c>
    </row>
    <row r="100" spans="2:19">
      <c r="B100" s="161" t="s">
        <v>5</v>
      </c>
      <c r="C100" s="158"/>
      <c r="D100" s="158"/>
      <c r="E100" s="158">
        <f t="shared" si="153"/>
        <v>10161962.97499107</v>
      </c>
      <c r="F100" s="157">
        <v>871025.3978563773</v>
      </c>
      <c r="G100" s="157">
        <v>663638.39836676372</v>
      </c>
      <c r="H100" s="157">
        <v>953980.19765222282</v>
      </c>
      <c r="I100" s="157">
        <v>912502.79775430029</v>
      </c>
      <c r="J100" s="157">
        <v>788070.59806053189</v>
      </c>
      <c r="K100" s="157">
        <v>871025.3978563773</v>
      </c>
      <c r="L100" s="157">
        <v>953980.19765222282</v>
      </c>
      <c r="M100" s="157">
        <v>663638.39836676372</v>
      </c>
      <c r="N100" s="157">
        <v>912502.79775430029</v>
      </c>
      <c r="O100" s="157">
        <v>746593.19816260913</v>
      </c>
      <c r="P100" s="157">
        <v>871025.3978563773</v>
      </c>
      <c r="Q100" s="47">
        <v>953980.19765222282</v>
      </c>
    </row>
    <row r="101" spans="2:19">
      <c r="B101" s="159" t="s">
        <v>151</v>
      </c>
      <c r="C101" s="162">
        <v>5564318.025511384</v>
      </c>
      <c r="D101" s="160">
        <v>4667.9708500000015</v>
      </c>
      <c r="E101" s="163">
        <f>SUM(E102:E103)</f>
        <v>5115836.017321784</v>
      </c>
      <c r="F101" s="163">
        <v>415828.09395055036</v>
      </c>
      <c r="G101" s="163">
        <v>316821.4049147045</v>
      </c>
      <c r="H101" s="163">
        <v>472510.52844113851</v>
      </c>
      <c r="I101" s="163">
        <v>466407.43194877624</v>
      </c>
      <c r="J101" s="163">
        <v>404433.0622037159</v>
      </c>
      <c r="K101" s="163">
        <v>446020.41598417267</v>
      </c>
      <c r="L101" s="163">
        <v>468901.36718587985</v>
      </c>
      <c r="M101" s="163">
        <v>343272.01430990547</v>
      </c>
      <c r="N101" s="163">
        <v>465594.11009752634</v>
      </c>
      <c r="O101" s="163">
        <v>384046.04623911245</v>
      </c>
      <c r="P101" s="163">
        <v>445207.09413292276</v>
      </c>
      <c r="Q101" s="164">
        <v>486794.44791337976</v>
      </c>
    </row>
    <row r="102" spans="2:19">
      <c r="B102" s="165" t="s">
        <v>152</v>
      </c>
      <c r="C102" s="166">
        <v>5133339.4055113839</v>
      </c>
      <c r="D102" s="18">
        <v>4114.4659000000011</v>
      </c>
      <c r="E102" s="162">
        <f>SUM(F102:Q102)</f>
        <v>3423732.1980833691</v>
      </c>
      <c r="F102" s="166">
        <f>F101-F103</f>
        <v>280077.8059408603</v>
      </c>
      <c r="G102" s="166">
        <f t="shared" ref="G102:Q102" si="154">G101-G103</f>
        <v>213392.61405017867</v>
      </c>
      <c r="H102" s="166">
        <f t="shared" si="154"/>
        <v>323831.64157338266</v>
      </c>
      <c r="I102" s="166">
        <f t="shared" si="154"/>
        <v>311307.92504649644</v>
      </c>
      <c r="J102" s="166">
        <f t="shared" si="154"/>
        <v>270483.48806083784</v>
      </c>
      <c r="K102" s="166">
        <f t="shared" si="154"/>
        <v>297970.88666836009</v>
      </c>
      <c r="L102" s="166">
        <f t="shared" si="154"/>
        <v>306751.88269713277</v>
      </c>
      <c r="M102" s="166">
        <f t="shared" si="154"/>
        <v>230472.37292642923</v>
      </c>
      <c r="N102" s="166">
        <f t="shared" si="154"/>
        <v>310494.60319524654</v>
      </c>
      <c r="O102" s="166">
        <f t="shared" si="154"/>
        <v>257146.44968270167</v>
      </c>
      <c r="P102" s="166">
        <f t="shared" si="154"/>
        <v>297157.56481711019</v>
      </c>
      <c r="Q102" s="167">
        <f t="shared" si="154"/>
        <v>324644.96342463268</v>
      </c>
    </row>
    <row r="103" spans="2:19">
      <c r="B103" s="165" t="s">
        <v>153</v>
      </c>
      <c r="C103" s="166">
        <v>430978.62000000005</v>
      </c>
      <c r="D103" s="18">
        <v>553.50495000000046</v>
      </c>
      <c r="E103" s="162">
        <f>SUM(F103:Q103)</f>
        <v>1692103.8192384155</v>
      </c>
      <c r="F103" s="166">
        <v>135750.28800969009</v>
      </c>
      <c r="G103" s="166">
        <v>103428.79086452581</v>
      </c>
      <c r="H103" s="166">
        <v>148678.88686775585</v>
      </c>
      <c r="I103" s="166">
        <v>155099.50690227983</v>
      </c>
      <c r="J103" s="166">
        <v>133949.57414287806</v>
      </c>
      <c r="K103" s="166">
        <v>148049.52931581254</v>
      </c>
      <c r="L103" s="166">
        <v>162149.48448874711</v>
      </c>
      <c r="M103" s="166">
        <v>112799.64138347624</v>
      </c>
      <c r="N103" s="166">
        <v>155099.50690227983</v>
      </c>
      <c r="O103" s="166">
        <v>126899.59655641078</v>
      </c>
      <c r="P103" s="166">
        <v>148049.52931581254</v>
      </c>
      <c r="Q103" s="168">
        <v>162149.48448874711</v>
      </c>
    </row>
    <row r="104" spans="2:19">
      <c r="B104" s="152" t="s">
        <v>80</v>
      </c>
      <c r="C104" s="153">
        <v>79580635.39172709</v>
      </c>
      <c r="D104" s="153">
        <v>30442990.550000001</v>
      </c>
      <c r="E104" s="153">
        <f>SUM(F104:Q104)</f>
        <v>14001788.363391738</v>
      </c>
      <c r="F104" s="154">
        <v>1200153.2882907204</v>
      </c>
      <c r="G104" s="154">
        <v>914402.50536435831</v>
      </c>
      <c r="H104" s="154">
        <v>1314453.6014612652</v>
      </c>
      <c r="I104" s="154">
        <v>1257303.4448759931</v>
      </c>
      <c r="J104" s="154">
        <v>1085852.9751201754</v>
      </c>
      <c r="K104" s="154">
        <v>1200153.2882907204</v>
      </c>
      <c r="L104" s="154">
        <v>1314453.6014612652</v>
      </c>
      <c r="M104" s="154">
        <v>914402.50536435831</v>
      </c>
      <c r="N104" s="154">
        <v>1257303.4448759931</v>
      </c>
      <c r="O104" s="154">
        <v>1028702.818534903</v>
      </c>
      <c r="P104" s="154">
        <v>1200153.2882907204</v>
      </c>
      <c r="Q104" s="66">
        <v>1314453.6014612652</v>
      </c>
      <c r="S104" s="80">
        <f>E104*195</f>
        <v>2730348730.8613892</v>
      </c>
    </row>
    <row r="105" spans="2:19">
      <c r="B105" s="152" t="s">
        <v>81</v>
      </c>
      <c r="C105" s="153">
        <v>2459135.8140616734</v>
      </c>
      <c r="D105" s="153">
        <v>4220757.46</v>
      </c>
      <c r="E105" s="153">
        <f>SUM(F105:Q105)</f>
        <v>4297736.0085597085</v>
      </c>
      <c r="F105" s="154">
        <v>347338.59364129556</v>
      </c>
      <c r="G105" s="154">
        <v>261390.66488424334</v>
      </c>
      <c r="H105" s="154">
        <v>391773.03449795529</v>
      </c>
      <c r="I105" s="154">
        <v>393003.65138089343</v>
      </c>
      <c r="J105" s="154">
        <v>340493.63245017792</v>
      </c>
      <c r="K105" s="154">
        <v>375680.54308328312</v>
      </c>
      <c r="L105" s="154">
        <v>398431.49084503471</v>
      </c>
      <c r="M105" s="154">
        <v>288524.30755734723</v>
      </c>
      <c r="N105" s="154">
        <v>392462.95734300849</v>
      </c>
      <c r="O105" s="154">
        <v>323170.52415256773</v>
      </c>
      <c r="P105" s="154">
        <v>375139.84904539818</v>
      </c>
      <c r="Q105" s="66">
        <v>410326.75967850361</v>
      </c>
      <c r="S105" s="80">
        <f>E105*195</f>
        <v>838058521.6691432</v>
      </c>
    </row>
    <row r="106" spans="2:19">
      <c r="B106" s="149" t="s">
        <v>82</v>
      </c>
      <c r="C106" s="150">
        <v>472733657.54830498</v>
      </c>
      <c r="D106" s="150">
        <v>361807528.47422487</v>
      </c>
      <c r="E106" s="150">
        <f t="shared" ref="E106:E169" si="155">SUM(F106:Q106)</f>
        <v>309729069.07857525</v>
      </c>
      <c r="F106" s="150">
        <f>SUM(F107:F111)</f>
        <v>25190874.413068544</v>
      </c>
      <c r="G106" s="151">
        <f t="shared" ref="G106:Q106" si="156">SUM(G107:G111)</f>
        <v>19277280.407309223</v>
      </c>
      <c r="H106" s="151">
        <f t="shared" si="156"/>
        <v>29151593.121636931</v>
      </c>
      <c r="I106" s="151">
        <f t="shared" si="156"/>
        <v>27840164.140605655</v>
      </c>
      <c r="J106" s="151">
        <f t="shared" si="156"/>
        <v>24486315.028989773</v>
      </c>
      <c r="K106" s="151">
        <f t="shared" si="156"/>
        <v>27087288.86223913</v>
      </c>
      <c r="L106" s="151">
        <f t="shared" si="156"/>
        <v>27591727.785300687</v>
      </c>
      <c r="M106" s="151">
        <f t="shared" si="156"/>
        <v>21163415.601217631</v>
      </c>
      <c r="N106" s="151">
        <f t="shared" si="156"/>
        <v>28135003.287652768</v>
      </c>
      <c r="O106" s="151">
        <f t="shared" si="156"/>
        <v>23455575.30943935</v>
      </c>
      <c r="P106" s="151">
        <f t="shared" si="156"/>
        <v>26690965.691790242</v>
      </c>
      <c r="Q106" s="65">
        <f t="shared" si="156"/>
        <v>29658865.429325312</v>
      </c>
      <c r="S106" s="80">
        <f>E106*195</f>
        <v>60397168470.322174</v>
      </c>
    </row>
    <row r="107" spans="2:19">
      <c r="B107" s="152" t="s">
        <v>83</v>
      </c>
      <c r="C107" s="153">
        <v>407172825.61369908</v>
      </c>
      <c r="D107" s="153">
        <v>333348360.93009675</v>
      </c>
      <c r="E107" s="153">
        <f t="shared" si="155"/>
        <v>295033932.32203412</v>
      </c>
      <c r="F107" s="153">
        <v>24050924.816935763</v>
      </c>
      <c r="G107" s="154">
        <v>18386317.042636625</v>
      </c>
      <c r="H107" s="154">
        <v>27599096.64117207</v>
      </c>
      <c r="I107" s="154">
        <v>26653007.364180833</v>
      </c>
      <c r="J107" s="154">
        <v>23440779.793441065</v>
      </c>
      <c r="K107" s="154">
        <v>25632584.252358347</v>
      </c>
      <c r="L107" s="154">
        <v>26273363.828583829</v>
      </c>
      <c r="M107" s="154">
        <v>20259501.906545036</v>
      </c>
      <c r="N107" s="154">
        <v>26631020.867479946</v>
      </c>
      <c r="O107" s="154">
        <v>22457247.254182678</v>
      </c>
      <c r="P107" s="154">
        <v>25551016.09565746</v>
      </c>
      <c r="Q107" s="66">
        <v>28099072.458860453</v>
      </c>
    </row>
    <row r="108" spans="2:19">
      <c r="B108" s="152" t="s">
        <v>154</v>
      </c>
      <c r="C108" s="153">
        <v>65560831.934605926</v>
      </c>
      <c r="D108" s="153">
        <v>29206061.389999993</v>
      </c>
      <c r="E108" s="153">
        <f t="shared" si="155"/>
        <v>11565759.171549151</v>
      </c>
      <c r="F108" s="154">
        <v>991350.78613278421</v>
      </c>
      <c r="G108" s="154">
        <v>755314.8846725974</v>
      </c>
      <c r="H108" s="154">
        <v>1085765.1467168592</v>
      </c>
      <c r="I108" s="154">
        <v>1038557.966424822</v>
      </c>
      <c r="J108" s="154">
        <v>896936.42554870935</v>
      </c>
      <c r="K108" s="154">
        <v>991350.78613278421</v>
      </c>
      <c r="L108" s="154">
        <v>1085765.1467168592</v>
      </c>
      <c r="M108" s="154">
        <v>755314.8846725974</v>
      </c>
      <c r="N108" s="154">
        <v>1038557.966424822</v>
      </c>
      <c r="O108" s="154">
        <v>849729.24525667226</v>
      </c>
      <c r="P108" s="154">
        <v>991350.78613278421</v>
      </c>
      <c r="Q108" s="66">
        <v>1085765.1467168592</v>
      </c>
    </row>
    <row r="109" spans="2:19">
      <c r="B109" s="152" t="s">
        <v>155</v>
      </c>
      <c r="C109" s="153"/>
      <c r="D109" s="153"/>
      <c r="E109" s="153">
        <f t="shared" si="155"/>
        <v>0</v>
      </c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66"/>
    </row>
    <row r="110" spans="2:19">
      <c r="B110" s="152" t="s">
        <v>156</v>
      </c>
      <c r="C110" s="153"/>
      <c r="D110" s="153">
        <v>-1078706.01</v>
      </c>
      <c r="E110" s="153">
        <f t="shared" si="155"/>
        <v>0</v>
      </c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66"/>
    </row>
    <row r="111" spans="2:19">
      <c r="B111" s="152" t="s">
        <v>157</v>
      </c>
      <c r="C111" s="153"/>
      <c r="D111" s="153">
        <v>2176739.42</v>
      </c>
      <c r="E111" s="153">
        <f t="shared" si="155"/>
        <v>3129377.5849920004</v>
      </c>
      <c r="F111" s="154">
        <v>148598.81</v>
      </c>
      <c r="G111" s="154">
        <v>135648.48000000001</v>
      </c>
      <c r="H111" s="154">
        <v>466731.33374799998</v>
      </c>
      <c r="I111" s="154">
        <v>148598.81</v>
      </c>
      <c r="J111" s="154">
        <v>148598.81</v>
      </c>
      <c r="K111" s="154">
        <v>463353.82374799997</v>
      </c>
      <c r="L111" s="154">
        <v>232598.81</v>
      </c>
      <c r="M111" s="154">
        <v>148598.81</v>
      </c>
      <c r="N111" s="154">
        <v>465424.45374799997</v>
      </c>
      <c r="O111" s="154">
        <v>148598.81</v>
      </c>
      <c r="P111" s="154">
        <v>148598.81</v>
      </c>
      <c r="Q111" s="66">
        <v>474027.82374799997</v>
      </c>
    </row>
    <row r="112" spans="2:19">
      <c r="B112" s="149" t="s">
        <v>88</v>
      </c>
      <c r="C112" s="150">
        <v>53468918.033407234</v>
      </c>
      <c r="D112" s="150">
        <v>48837682.179903328</v>
      </c>
      <c r="E112" s="150">
        <f t="shared" si="155"/>
        <v>51164832.830319688</v>
      </c>
      <c r="F112" s="151">
        <f t="shared" ref="F112:Q112" si="157">+F88-F106</f>
        <v>4296411.5615534969</v>
      </c>
      <c r="G112" s="151">
        <f t="shared" si="157"/>
        <v>3185974.9287984669</v>
      </c>
      <c r="H112" s="151">
        <f t="shared" si="157"/>
        <v>4642754.1254014485</v>
      </c>
      <c r="I112" s="151">
        <f t="shared" si="157"/>
        <v>4999078.7555425875</v>
      </c>
      <c r="J112" s="151">
        <f t="shared" si="157"/>
        <v>4017587.2258826308</v>
      </c>
      <c r="K112" s="151">
        <f t="shared" si="157"/>
        <v>4330630.1427290924</v>
      </c>
      <c r="L112" s="151">
        <f t="shared" si="157"/>
        <v>5098721.7118394077</v>
      </c>
      <c r="M112" s="151">
        <f t="shared" si="157"/>
        <v>3076514.9801147655</v>
      </c>
      <c r="N112" s="151">
        <f t="shared" si="157"/>
        <v>4632870.6407596506</v>
      </c>
      <c r="O112" s="151">
        <f t="shared" si="157"/>
        <v>3627003.0542530529</v>
      </c>
      <c r="P112" s="151">
        <f t="shared" si="157"/>
        <v>4655584.3454421572</v>
      </c>
      <c r="Q112" s="65">
        <f t="shared" si="157"/>
        <v>4601701.3580029309</v>
      </c>
      <c r="S112" s="80">
        <f>E112*195</f>
        <v>9977142401.9123383</v>
      </c>
    </row>
    <row r="113" spans="2:20">
      <c r="B113" s="152" t="s">
        <v>89</v>
      </c>
      <c r="C113" s="169">
        <f>C112/C88</f>
        <v>0.10161280182693486</v>
      </c>
      <c r="D113" s="169">
        <f>D112/D88</f>
        <v>0.11839721169420801</v>
      </c>
      <c r="E113" s="169">
        <f>E112/E88</f>
        <v>0.14177250587968063</v>
      </c>
      <c r="F113" s="170">
        <f t="shared" ref="F113:Q113" si="158">F112/F88</f>
        <v>0.1457038659051621</v>
      </c>
      <c r="G113" s="170">
        <f t="shared" si="158"/>
        <v>0.14183050858516019</v>
      </c>
      <c r="H113" s="170">
        <f t="shared" si="158"/>
        <v>0.13738256553567027</v>
      </c>
      <c r="I113" s="170">
        <f t="shared" si="158"/>
        <v>0.15222880659434862</v>
      </c>
      <c r="J113" s="170">
        <f t="shared" si="158"/>
        <v>0.14094867397308283</v>
      </c>
      <c r="K113" s="170">
        <f t="shared" si="158"/>
        <v>0.13783949669118045</v>
      </c>
      <c r="L113" s="170">
        <f t="shared" si="158"/>
        <v>0.15596976457253872</v>
      </c>
      <c r="M113" s="170">
        <f t="shared" si="158"/>
        <v>0.1269192982955176</v>
      </c>
      <c r="N113" s="170">
        <f t="shared" si="158"/>
        <v>0.14138453568519666</v>
      </c>
      <c r="O113" s="170">
        <f t="shared" si="158"/>
        <v>0.13392384600705176</v>
      </c>
      <c r="P113" s="170">
        <f t="shared" si="158"/>
        <v>0.14851983200423674</v>
      </c>
      <c r="Q113" s="70">
        <f t="shared" si="158"/>
        <v>0.13431480531445661</v>
      </c>
    </row>
    <row r="114" spans="2:20">
      <c r="B114" s="149" t="s">
        <v>90</v>
      </c>
      <c r="C114" s="150">
        <v>27039026.340724558</v>
      </c>
      <c r="D114" s="150">
        <f>SUM(D115:D146)</f>
        <v>26671983.482799999</v>
      </c>
      <c r="E114" s="150">
        <f t="shared" si="155"/>
        <v>25717199.423713192</v>
      </c>
      <c r="F114" s="151">
        <f>SUM(F115:F146)</f>
        <v>2021137.6443706278</v>
      </c>
      <c r="G114" s="151">
        <f t="shared" ref="G114:Q114" si="159">SUM(G115:G146)</f>
        <v>2023458.0690153306</v>
      </c>
      <c r="H114" s="151">
        <f t="shared" si="159"/>
        <v>2324315.3340280941</v>
      </c>
      <c r="I114" s="151">
        <f t="shared" si="159"/>
        <v>2117016.1385575081</v>
      </c>
      <c r="J114" s="151">
        <f t="shared" si="159"/>
        <v>1982444.2005120185</v>
      </c>
      <c r="K114" s="151">
        <f t="shared" si="159"/>
        <v>2303751.4226258025</v>
      </c>
      <c r="L114" s="151">
        <f t="shared" si="159"/>
        <v>2090032.0299348182</v>
      </c>
      <c r="M114" s="151">
        <f t="shared" si="159"/>
        <v>1840082.9188553654</v>
      </c>
      <c r="N114" s="151">
        <f t="shared" si="159"/>
        <v>2515806.783768672</v>
      </c>
      <c r="O114" s="151">
        <f t="shared" si="159"/>
        <v>2006056.3687187755</v>
      </c>
      <c r="P114" s="151">
        <f t="shared" si="159"/>
        <v>2198304.2460369668</v>
      </c>
      <c r="Q114" s="65">
        <f t="shared" si="159"/>
        <v>2294794.2672892134</v>
      </c>
      <c r="S114" s="80">
        <f>E114*195</f>
        <v>5014853887.6240721</v>
      </c>
      <c r="T114" s="115">
        <f>S114/S88</f>
        <v>7.1259722837337697E-2</v>
      </c>
    </row>
    <row r="115" spans="2:20">
      <c r="B115" s="159" t="s">
        <v>91</v>
      </c>
      <c r="C115" s="160">
        <v>4478600.5830000015</v>
      </c>
      <c r="D115" s="160">
        <v>4475753.78</v>
      </c>
      <c r="E115" s="160">
        <f t="shared" si="155"/>
        <v>4205749.2299999995</v>
      </c>
      <c r="F115" s="18">
        <v>340397.484</v>
      </c>
      <c r="G115" s="18">
        <v>334263.94799999997</v>
      </c>
      <c r="H115" s="18">
        <v>339886.35600000003</v>
      </c>
      <c r="I115" s="18">
        <v>342496.53119999997</v>
      </c>
      <c r="J115" s="18">
        <v>341607.60000000003</v>
      </c>
      <c r="K115" s="18">
        <v>342837.06</v>
      </c>
      <c r="L115" s="18">
        <v>342837.06</v>
      </c>
      <c r="M115" s="18">
        <v>349163.10600000003</v>
      </c>
      <c r="N115" s="18">
        <v>343364.29560000001</v>
      </c>
      <c r="O115" s="18">
        <v>343023.50640000001</v>
      </c>
      <c r="P115" s="18">
        <v>345007.97760000004</v>
      </c>
      <c r="Q115" s="19">
        <v>440864.30520000006</v>
      </c>
      <c r="R115" t="s">
        <v>179</v>
      </c>
    </row>
    <row r="116" spans="2:20">
      <c r="B116" s="159" t="s">
        <v>92</v>
      </c>
      <c r="C116" s="160">
        <v>0</v>
      </c>
      <c r="D116" s="160"/>
      <c r="E116" s="160">
        <f t="shared" si="155"/>
        <v>0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/>
    </row>
    <row r="117" spans="2:20">
      <c r="B117" s="159" t="s">
        <v>93</v>
      </c>
      <c r="C117" s="160">
        <v>0</v>
      </c>
      <c r="D117" s="160"/>
      <c r="E117" s="160">
        <f t="shared" si="155"/>
        <v>0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 spans="2:20">
      <c r="B118" s="159" t="s">
        <v>94</v>
      </c>
      <c r="C118" s="160">
        <v>0</v>
      </c>
      <c r="D118" s="160"/>
      <c r="E118" s="160">
        <f t="shared" si="155"/>
        <v>0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9"/>
    </row>
    <row r="119" spans="2:20">
      <c r="B119" s="159" t="s">
        <v>95</v>
      </c>
      <c r="C119" s="160">
        <v>1320211.2</v>
      </c>
      <c r="D119" s="160">
        <v>1780011.4300000002</v>
      </c>
      <c r="E119" s="160">
        <f t="shared" si="155"/>
        <v>1733323.9249999998</v>
      </c>
      <c r="F119" s="18">
        <v>88412.775000000009</v>
      </c>
      <c r="G119" s="18">
        <v>329666.40000000002</v>
      </c>
      <c r="H119" s="18">
        <v>120002.55</v>
      </c>
      <c r="I119" s="18">
        <v>88645.275000000009</v>
      </c>
      <c r="J119" s="18">
        <v>115830.72499999999</v>
      </c>
      <c r="K119" s="18">
        <v>110518.875</v>
      </c>
      <c r="L119" s="18">
        <v>90096.075000000012</v>
      </c>
      <c r="M119" s="18">
        <v>86238.900000000009</v>
      </c>
      <c r="N119" s="18">
        <v>311117.55</v>
      </c>
      <c r="O119" s="18">
        <v>180728.44999999998</v>
      </c>
      <c r="P119" s="18">
        <v>89226.525000000009</v>
      </c>
      <c r="Q119" s="19">
        <v>122839.82500000001</v>
      </c>
    </row>
    <row r="120" spans="2:20">
      <c r="B120" s="159" t="s">
        <v>96</v>
      </c>
      <c r="C120" s="160">
        <v>133248.84131277705</v>
      </c>
      <c r="D120" s="160">
        <v>139811.15000000002</v>
      </c>
      <c r="E120" s="160">
        <f t="shared" si="155"/>
        <v>145350.38370033898</v>
      </c>
      <c r="F120" s="18">
        <v>11777.000468472917</v>
      </c>
      <c r="G120" s="18">
        <v>9433.6475279927326</v>
      </c>
      <c r="H120" s="18">
        <v>13382.349090322468</v>
      </c>
      <c r="I120" s="18">
        <v>13209.498406842114</v>
      </c>
      <c r="J120" s="18">
        <v>11454.272648556323</v>
      </c>
      <c r="K120" s="18">
        <v>12632.101400581991</v>
      </c>
      <c r="L120" s="18">
        <v>13280.131143982773</v>
      </c>
      <c r="M120" s="18">
        <v>9722.0816297759611</v>
      </c>
      <c r="N120" s="18">
        <v>13186.463667336688</v>
      </c>
      <c r="O120" s="18">
        <v>10876.875642296205</v>
      </c>
      <c r="P120" s="18">
        <v>12609.066661076562</v>
      </c>
      <c r="Q120" s="19">
        <v>13786.895413102236</v>
      </c>
    </row>
    <row r="121" spans="2:20">
      <c r="B121" s="159" t="s">
        <v>97</v>
      </c>
      <c r="C121" s="160">
        <v>31091.396306314644</v>
      </c>
      <c r="D121" s="160">
        <v>90870.98</v>
      </c>
      <c r="E121" s="160">
        <f t="shared" si="155"/>
        <v>74243.588690654011</v>
      </c>
      <c r="F121" s="18">
        <v>6015.5794331687321</v>
      </c>
      <c r="G121" s="18">
        <v>4818.6171174122874</v>
      </c>
      <c r="H121" s="18">
        <v>6835.5761868850987</v>
      </c>
      <c r="I121" s="18">
        <v>6747.2857075447</v>
      </c>
      <c r="J121" s="18">
        <v>5850.7331430459835</v>
      </c>
      <c r="K121" s="18">
        <v>6452.356827739537</v>
      </c>
      <c r="L121" s="18">
        <v>6783.3642355187121</v>
      </c>
      <c r="M121" s="18">
        <v>4965.9465036304982</v>
      </c>
      <c r="N121" s="18">
        <v>6735.519782461467</v>
      </c>
      <c r="O121" s="18">
        <v>5555.8042632408215</v>
      </c>
      <c r="P121" s="18">
        <v>6440.5909026563049</v>
      </c>
      <c r="Q121" s="19">
        <v>7042.2145873498621</v>
      </c>
    </row>
    <row r="122" spans="2:20">
      <c r="B122" s="159" t="s">
        <v>98</v>
      </c>
      <c r="C122" s="160">
        <v>88832.560875184688</v>
      </c>
      <c r="D122" s="160">
        <v>106135.14</v>
      </c>
      <c r="E122" s="160">
        <f t="shared" si="155"/>
        <v>104621.41120569204</v>
      </c>
      <c r="F122" s="18">
        <v>8476.9394989829616</v>
      </c>
      <c r="G122" s="18">
        <v>6790.2229912956609</v>
      </c>
      <c r="H122" s="18">
        <v>9632.4496119887481</v>
      </c>
      <c r="I122" s="18">
        <v>9508.03382461205</v>
      </c>
      <c r="J122" s="18">
        <v>8244.6439996836943</v>
      </c>
      <c r="K122" s="18">
        <v>9092.430589979962</v>
      </c>
      <c r="L122" s="18">
        <v>9558.8743965379635</v>
      </c>
      <c r="M122" s="18">
        <v>6997.8342957874384</v>
      </c>
      <c r="N122" s="18">
        <v>9491.4537035799513</v>
      </c>
      <c r="O122" s="18">
        <v>7829.0407650516108</v>
      </c>
      <c r="P122" s="18">
        <v>9075.8504689478632</v>
      </c>
      <c r="Q122" s="19">
        <v>9923.6370592441344</v>
      </c>
    </row>
    <row r="123" spans="2:20">
      <c r="B123" s="159" t="s">
        <v>99</v>
      </c>
      <c r="C123" s="160">
        <v>13324.884131277706</v>
      </c>
      <c r="D123" s="160">
        <v>23127.260000000002</v>
      </c>
      <c r="E123" s="160">
        <f t="shared" si="155"/>
        <v>23571.642471105941</v>
      </c>
      <c r="F123" s="18">
        <v>1909.8900006842118</v>
      </c>
      <c r="G123" s="18">
        <v>1529.8657015362148</v>
      </c>
      <c r="H123" s="18">
        <v>2170.2312725293168</v>
      </c>
      <c r="I123" s="18">
        <v>2142.1998741376538</v>
      </c>
      <c r="J123" s="18">
        <v>1857.5528510125823</v>
      </c>
      <c r="K123" s="18">
        <v>2048.5627233509736</v>
      </c>
      <c r="L123" s="18">
        <v>2153.6544680936477</v>
      </c>
      <c r="M123" s="18">
        <v>1576.6413986525411</v>
      </c>
      <c r="N123" s="18">
        <v>2138.4643033726234</v>
      </c>
      <c r="O123" s="18">
        <v>1763.9157002259021</v>
      </c>
      <c r="P123" s="18">
        <v>2044.8271525859425</v>
      </c>
      <c r="Q123" s="19">
        <v>2235.8370249243349</v>
      </c>
    </row>
    <row r="124" spans="2:20">
      <c r="B124" s="161" t="s">
        <v>100</v>
      </c>
      <c r="C124" s="158">
        <v>0</v>
      </c>
      <c r="D124" s="158"/>
      <c r="E124" s="160">
        <f t="shared" si="155"/>
        <v>0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</row>
    <row r="125" spans="2:20">
      <c r="B125" s="161" t="s">
        <v>101</v>
      </c>
      <c r="C125" s="158">
        <v>247987.22420132431</v>
      </c>
      <c r="D125" s="158">
        <v>85853.81</v>
      </c>
      <c r="E125" s="160">
        <f t="shared" si="155"/>
        <v>0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</row>
    <row r="126" spans="2:20">
      <c r="B126" s="161" t="s">
        <v>102</v>
      </c>
      <c r="C126" s="158">
        <v>853425.9700000002</v>
      </c>
      <c r="D126" s="158">
        <v>1088671.3399999999</v>
      </c>
      <c r="E126" s="160">
        <f t="shared" si="155"/>
        <v>1041963.8904000003</v>
      </c>
      <c r="F126" s="18">
        <v>86830.324200000003</v>
      </c>
      <c r="G126" s="18">
        <v>86830.324200000003</v>
      </c>
      <c r="H126" s="18">
        <v>86830.324200000003</v>
      </c>
      <c r="I126" s="18">
        <v>86830.324200000003</v>
      </c>
      <c r="J126" s="18">
        <v>86830.324200000003</v>
      </c>
      <c r="K126" s="18">
        <v>86830.324200000003</v>
      </c>
      <c r="L126" s="18">
        <v>86830.324200000003</v>
      </c>
      <c r="M126" s="18">
        <v>86830.324200000003</v>
      </c>
      <c r="N126" s="18">
        <v>86830.324200000003</v>
      </c>
      <c r="O126" s="18">
        <v>86830.324200000003</v>
      </c>
      <c r="P126" s="18">
        <v>86830.324200000003</v>
      </c>
      <c r="Q126" s="19">
        <v>86830.324200000003</v>
      </c>
    </row>
    <row r="127" spans="2:20">
      <c r="B127" s="161" t="s">
        <v>103</v>
      </c>
      <c r="C127" s="158">
        <v>0</v>
      </c>
      <c r="D127" s="158"/>
      <c r="E127" s="160">
        <f t="shared" si="155"/>
        <v>0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/>
    </row>
    <row r="128" spans="2:20">
      <c r="B128" s="161" t="s">
        <v>104</v>
      </c>
      <c r="C128" s="158">
        <v>577411.64568870049</v>
      </c>
      <c r="D128" s="158">
        <v>1060556.6299999999</v>
      </c>
      <c r="E128" s="160">
        <f t="shared" si="155"/>
        <v>985800</v>
      </c>
      <c r="F128" s="18">
        <v>18600</v>
      </c>
      <c r="G128" s="18">
        <v>18600</v>
      </c>
      <c r="H128" s="18">
        <v>204600</v>
      </c>
      <c r="I128" s="18">
        <v>27900</v>
      </c>
      <c r="J128" s="18">
        <v>18600</v>
      </c>
      <c r="K128" s="18">
        <v>223200</v>
      </c>
      <c r="L128" s="18">
        <v>18600</v>
      </c>
      <c r="M128" s="18">
        <v>27900</v>
      </c>
      <c r="N128" s="18">
        <v>204600</v>
      </c>
      <c r="O128" s="18">
        <v>18600</v>
      </c>
      <c r="P128" s="18">
        <v>167400</v>
      </c>
      <c r="Q128" s="19">
        <v>37200</v>
      </c>
    </row>
    <row r="129" spans="2:19">
      <c r="B129" s="161" t="s">
        <v>105</v>
      </c>
      <c r="C129" s="158">
        <v>389030.68799999997</v>
      </c>
      <c r="D129" s="158">
        <v>441647.9499999999</v>
      </c>
      <c r="E129" s="160">
        <f t="shared" si="155"/>
        <v>601891.9824000001</v>
      </c>
      <c r="F129" s="18">
        <v>49538.440200000005</v>
      </c>
      <c r="G129" s="18">
        <v>49538.440200000005</v>
      </c>
      <c r="H129" s="18">
        <v>49538.440200000005</v>
      </c>
      <c r="I129" s="18">
        <v>49538.440200000005</v>
      </c>
      <c r="J129" s="18">
        <v>49538.440200000005</v>
      </c>
      <c r="K129" s="18">
        <v>52421.440200000005</v>
      </c>
      <c r="L129" s="18">
        <v>50296.390200000002</v>
      </c>
      <c r="M129" s="18">
        <v>50296.390200000002</v>
      </c>
      <c r="N129" s="18">
        <v>50296.390200000002</v>
      </c>
      <c r="O129" s="18">
        <v>50296.390200000002</v>
      </c>
      <c r="P129" s="18">
        <v>50296.390200000002</v>
      </c>
      <c r="Q129" s="19">
        <v>50296.390200000002</v>
      </c>
    </row>
    <row r="130" spans="2:19">
      <c r="B130" s="161" t="s">
        <v>106</v>
      </c>
      <c r="C130" s="158">
        <v>389628.96000000014</v>
      </c>
      <c r="D130" s="158">
        <v>419390.55</v>
      </c>
      <c r="E130" s="160">
        <f t="shared" si="155"/>
        <v>387631.44</v>
      </c>
      <c r="F130" s="18">
        <v>32302.620000000003</v>
      </c>
      <c r="G130" s="18">
        <v>32302.620000000003</v>
      </c>
      <c r="H130" s="18">
        <v>32302.620000000003</v>
      </c>
      <c r="I130" s="18">
        <v>32302.620000000003</v>
      </c>
      <c r="J130" s="18">
        <v>32302.620000000003</v>
      </c>
      <c r="K130" s="18">
        <v>32302.620000000003</v>
      </c>
      <c r="L130" s="18">
        <v>32302.620000000003</v>
      </c>
      <c r="M130" s="18">
        <v>32302.620000000003</v>
      </c>
      <c r="N130" s="18">
        <v>32302.620000000003</v>
      </c>
      <c r="O130" s="18">
        <v>32302.620000000003</v>
      </c>
      <c r="P130" s="18">
        <v>32302.620000000003</v>
      </c>
      <c r="Q130" s="19">
        <v>32302.620000000003</v>
      </c>
    </row>
    <row r="131" spans="2:19">
      <c r="B131" s="161" t="s">
        <v>107</v>
      </c>
      <c r="C131" s="158">
        <v>0</v>
      </c>
      <c r="D131" s="158">
        <v>1304248.0799999998</v>
      </c>
      <c r="E131" s="160">
        <f t="shared" si="155"/>
        <v>152064.25999999998</v>
      </c>
      <c r="F131" s="18">
        <v>31388.61</v>
      </c>
      <c r="G131" s="18">
        <v>21094.309999999998</v>
      </c>
      <c r="H131" s="18">
        <v>9663</v>
      </c>
      <c r="I131" s="18">
        <v>9853.0800000000017</v>
      </c>
      <c r="J131" s="18">
        <v>9789.43</v>
      </c>
      <c r="K131" s="18">
        <v>9859.77</v>
      </c>
      <c r="L131" s="18">
        <v>9859.77</v>
      </c>
      <c r="M131" s="18">
        <v>10633.66</v>
      </c>
      <c r="N131" s="18">
        <v>9923.4</v>
      </c>
      <c r="O131" s="18">
        <v>9920.09</v>
      </c>
      <c r="P131" s="18">
        <v>10136.740000000002</v>
      </c>
      <c r="Q131" s="19">
        <v>9942.4</v>
      </c>
      <c r="R131" s="116"/>
      <c r="S131" t="s">
        <v>180</v>
      </c>
    </row>
    <row r="132" spans="2:19">
      <c r="B132" s="161" t="s">
        <v>108</v>
      </c>
      <c r="C132" s="158">
        <v>7324739.8520974349</v>
      </c>
      <c r="D132" s="158">
        <v>6338066.4400000004</v>
      </c>
      <c r="E132" s="160">
        <f t="shared" si="155"/>
        <v>7373252.2749287747</v>
      </c>
      <c r="F132" s="18">
        <v>627558.58701329539</v>
      </c>
      <c r="G132" s="18">
        <v>532715.51009021851</v>
      </c>
      <c r="H132" s="18">
        <v>650558.58701329539</v>
      </c>
      <c r="I132" s="18">
        <v>649558.58701329539</v>
      </c>
      <c r="J132" s="18">
        <v>593637.04855175689</v>
      </c>
      <c r="K132" s="18">
        <v>641558.58701329539</v>
      </c>
      <c r="L132" s="18">
        <v>645558.58701329539</v>
      </c>
      <c r="M132" s="18">
        <v>538715.51009021851</v>
      </c>
      <c r="N132" s="18">
        <v>649558.58701329539</v>
      </c>
      <c r="O132" s="18">
        <v>555715.51009021851</v>
      </c>
      <c r="P132" s="18">
        <v>634558.58701329539</v>
      </c>
      <c r="Q132" s="19">
        <v>653558.58701329539</v>
      </c>
    </row>
    <row r="133" spans="2:19">
      <c r="B133" s="161" t="s">
        <v>109</v>
      </c>
      <c r="C133" s="158">
        <v>84192.412093073959</v>
      </c>
      <c r="D133" s="158">
        <v>32656.520000000004</v>
      </c>
      <c r="E133" s="160">
        <f t="shared" si="155"/>
        <v>37748.987870063902</v>
      </c>
      <c r="F133" s="18">
        <v>3058.6080099153137</v>
      </c>
      <c r="G133" s="18">
        <v>2450.0151773856337</v>
      </c>
      <c r="H133" s="18">
        <v>3475.5335391822941</v>
      </c>
      <c r="I133" s="18">
        <v>3430.6424409414785</v>
      </c>
      <c r="J133" s="18">
        <v>2974.792279614388</v>
      </c>
      <c r="K133" s="18">
        <v>3280.6865066629657</v>
      </c>
      <c r="L133" s="18">
        <v>3448.9864884057706</v>
      </c>
      <c r="M133" s="18">
        <v>2524.9244767788527</v>
      </c>
      <c r="N133" s="18">
        <v>3424.6600824499237</v>
      </c>
      <c r="O133" s="18">
        <v>2824.8363453358766</v>
      </c>
      <c r="P133" s="18">
        <v>3274.7041481714109</v>
      </c>
      <c r="Q133" s="19">
        <v>3580.5983752199904</v>
      </c>
    </row>
    <row r="134" spans="2:19">
      <c r="B134" s="161" t="s">
        <v>110</v>
      </c>
      <c r="C134" s="158">
        <v>0</v>
      </c>
      <c r="D134" s="158"/>
      <c r="E134" s="160">
        <f t="shared" si="155"/>
        <v>0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9"/>
    </row>
    <row r="135" spans="2:19">
      <c r="B135" s="161" t="s">
        <v>111</v>
      </c>
      <c r="C135" s="158">
        <v>0</v>
      </c>
      <c r="D135" s="158"/>
      <c r="E135" s="160">
        <f t="shared" si="155"/>
        <v>0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9"/>
    </row>
    <row r="136" spans="2:19">
      <c r="B136" s="161" t="s">
        <v>112</v>
      </c>
      <c r="C136" s="158">
        <v>0</v>
      </c>
      <c r="D136" s="158"/>
      <c r="E136" s="160">
        <f t="shared" si="155"/>
        <v>0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9"/>
    </row>
    <row r="137" spans="2:19">
      <c r="B137" s="161" t="s">
        <v>113</v>
      </c>
      <c r="C137" s="158">
        <v>322865</v>
      </c>
      <c r="D137" s="158">
        <v>340440.11999999994</v>
      </c>
      <c r="E137" s="160">
        <f t="shared" si="155"/>
        <v>256600</v>
      </c>
      <c r="F137" s="18">
        <v>10950</v>
      </c>
      <c r="G137" s="18">
        <v>22550</v>
      </c>
      <c r="H137" s="18">
        <v>8550</v>
      </c>
      <c r="I137" s="18">
        <v>25950</v>
      </c>
      <c r="J137" s="18">
        <v>17250</v>
      </c>
      <c r="K137" s="18">
        <v>28750</v>
      </c>
      <c r="L137" s="18">
        <v>13750</v>
      </c>
      <c r="M137" s="18">
        <v>26350</v>
      </c>
      <c r="N137" s="18">
        <v>25350</v>
      </c>
      <c r="O137" s="18">
        <v>40050</v>
      </c>
      <c r="P137" s="18">
        <v>8550</v>
      </c>
      <c r="Q137" s="19">
        <v>28550</v>
      </c>
    </row>
    <row r="138" spans="2:19">
      <c r="B138" s="161" t="s">
        <v>114</v>
      </c>
      <c r="C138" s="158">
        <v>0</v>
      </c>
      <c r="D138" s="158"/>
      <c r="E138" s="160">
        <f t="shared" si="155"/>
        <v>0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9"/>
    </row>
    <row r="139" spans="2:19">
      <c r="B139" s="161" t="s">
        <v>115</v>
      </c>
      <c r="C139" s="158">
        <v>0</v>
      </c>
      <c r="D139" s="158"/>
      <c r="E139" s="160">
        <f t="shared" si="155"/>
        <v>0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9"/>
    </row>
    <row r="140" spans="2:19">
      <c r="B140" s="161" t="s">
        <v>116</v>
      </c>
      <c r="C140" s="158">
        <v>1901179.0355000002</v>
      </c>
      <c r="D140" s="158">
        <v>1321864.8800000001</v>
      </c>
      <c r="E140" s="160">
        <f t="shared" si="155"/>
        <v>1741498.8563076919</v>
      </c>
      <c r="F140" s="18">
        <v>145124.9046923077</v>
      </c>
      <c r="G140" s="18">
        <v>145124.9046923077</v>
      </c>
      <c r="H140" s="18">
        <v>145124.9046923077</v>
      </c>
      <c r="I140" s="18">
        <v>145124.9046923077</v>
      </c>
      <c r="J140" s="18">
        <v>145124.9046923077</v>
      </c>
      <c r="K140" s="18">
        <v>145124.9046923077</v>
      </c>
      <c r="L140" s="18">
        <v>145124.9046923077</v>
      </c>
      <c r="M140" s="18">
        <v>145124.9046923077</v>
      </c>
      <c r="N140" s="18">
        <v>145124.9046923077</v>
      </c>
      <c r="O140" s="18">
        <v>145124.9046923077</v>
      </c>
      <c r="P140" s="18">
        <v>145124.9046923077</v>
      </c>
      <c r="Q140" s="19">
        <v>145124.9046923077</v>
      </c>
    </row>
    <row r="141" spans="2:19">
      <c r="B141" s="161" t="s">
        <v>117</v>
      </c>
      <c r="C141" s="158">
        <v>0</v>
      </c>
      <c r="D141" s="158"/>
      <c r="E141" s="160">
        <f t="shared" si="155"/>
        <v>0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9"/>
    </row>
    <row r="142" spans="2:19">
      <c r="B142" s="161" t="s">
        <v>118</v>
      </c>
      <c r="C142" s="158">
        <v>8883256.0875184704</v>
      </c>
      <c r="D142" s="158">
        <v>7589140.3027999997</v>
      </c>
      <c r="E142" s="160">
        <f t="shared" si="155"/>
        <v>6851887.5507388692</v>
      </c>
      <c r="F142" s="18">
        <v>558795.8818538005</v>
      </c>
      <c r="G142" s="18">
        <v>425749.24331718177</v>
      </c>
      <c r="H142" s="18">
        <v>641762.41222158319</v>
      </c>
      <c r="I142" s="18">
        <v>623778.71599782712</v>
      </c>
      <c r="J142" s="18">
        <v>541551.11294604104</v>
      </c>
      <c r="K142" s="18">
        <v>596841.70347188436</v>
      </c>
      <c r="L142" s="18">
        <v>619551.28809667588</v>
      </c>
      <c r="M142" s="18">
        <v>460740.07536821382</v>
      </c>
      <c r="N142" s="18">
        <v>622362.15052386839</v>
      </c>
      <c r="O142" s="18">
        <v>514614.10042009864</v>
      </c>
      <c r="P142" s="18">
        <v>595425.13799792563</v>
      </c>
      <c r="Q142" s="19">
        <v>650715.72852376942</v>
      </c>
    </row>
    <row r="143" spans="2:19">
      <c r="B143" s="161" t="s">
        <v>119</v>
      </c>
      <c r="C143" s="158">
        <v>0</v>
      </c>
      <c r="D143" s="158"/>
      <c r="E143" s="160">
        <f t="shared" si="155"/>
        <v>0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9"/>
    </row>
    <row r="144" spans="2:19">
      <c r="B144" s="161" t="s">
        <v>120</v>
      </c>
      <c r="C144" s="158">
        <v>0</v>
      </c>
      <c r="D144" s="158"/>
      <c r="E144" s="160">
        <f t="shared" si="155"/>
        <v>0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9"/>
    </row>
    <row r="145" spans="1:21">
      <c r="B145" s="159" t="s">
        <v>121</v>
      </c>
      <c r="C145" s="160">
        <v>0</v>
      </c>
      <c r="D145" s="160"/>
      <c r="E145" s="160">
        <f t="shared" si="155"/>
        <v>0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9"/>
    </row>
    <row r="146" spans="1:21">
      <c r="B146" s="159" t="s">
        <v>158</v>
      </c>
      <c r="C146" s="160">
        <v>0</v>
      </c>
      <c r="D146" s="160">
        <v>33737.119999999995</v>
      </c>
      <c r="E146" s="160">
        <f t="shared" si="155"/>
        <v>0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9"/>
    </row>
    <row r="147" spans="1:21">
      <c r="B147" s="171" t="s">
        <v>123</v>
      </c>
      <c r="C147" s="172">
        <v>26429891.692682676</v>
      </c>
      <c r="D147" s="172">
        <v>22165698.697103273</v>
      </c>
      <c r="E147" s="150">
        <f t="shared" si="155"/>
        <v>25447633.406606495</v>
      </c>
      <c r="F147" s="151">
        <f>+F112-F114</f>
        <v>2275273.9171828693</v>
      </c>
      <c r="G147" s="151">
        <f t="shared" ref="G147:Q147" si="160">+G112-G114</f>
        <v>1162516.8597831363</v>
      </c>
      <c r="H147" s="151">
        <f t="shared" si="160"/>
        <v>2318438.7913733544</v>
      </c>
      <c r="I147" s="151">
        <f t="shared" si="160"/>
        <v>2882062.6169850794</v>
      </c>
      <c r="J147" s="151">
        <f t="shared" si="160"/>
        <v>2035143.0253706123</v>
      </c>
      <c r="K147" s="151">
        <f t="shared" si="160"/>
        <v>2026878.7201032899</v>
      </c>
      <c r="L147" s="151">
        <f t="shared" si="160"/>
        <v>3008689.6819045898</v>
      </c>
      <c r="M147" s="151">
        <f t="shared" si="160"/>
        <v>1236432.0612594001</v>
      </c>
      <c r="N147" s="151">
        <f t="shared" si="160"/>
        <v>2117063.8569909786</v>
      </c>
      <c r="O147" s="151">
        <f t="shared" si="160"/>
        <v>1620946.6855342775</v>
      </c>
      <c r="P147" s="151">
        <f t="shared" si="160"/>
        <v>2457280.0994051904</v>
      </c>
      <c r="Q147" s="65">
        <f t="shared" si="160"/>
        <v>2306907.0907137175</v>
      </c>
      <c r="S147" s="80">
        <f>E147*195</f>
        <v>4962288514.2882662</v>
      </c>
      <c r="U147" s="39"/>
    </row>
    <row r="148" spans="1:21">
      <c r="A148" s="71"/>
      <c r="B148" s="173" t="s">
        <v>89</v>
      </c>
      <c r="C148" s="174">
        <f t="shared" ref="C148:Q148" si="161">+C147/C88</f>
        <v>5.0227598493725857E-2</v>
      </c>
      <c r="D148" s="174">
        <f t="shared" si="161"/>
        <v>5.3736311877447943E-2</v>
      </c>
      <c r="E148" s="174">
        <f t="shared" si="161"/>
        <v>7.051278304234293E-2</v>
      </c>
      <c r="F148" s="174">
        <f t="shared" si="161"/>
        <v>7.7161184625165663E-2</v>
      </c>
      <c r="G148" s="174">
        <f t="shared" si="161"/>
        <v>5.1751931872247102E-2</v>
      </c>
      <c r="H148" s="174">
        <f t="shared" si="161"/>
        <v>6.8604337122580003E-2</v>
      </c>
      <c r="I148" s="174">
        <f t="shared" si="161"/>
        <v>8.7762760734143491E-2</v>
      </c>
      <c r="J148" s="174">
        <f t="shared" si="161"/>
        <v>7.1398751201608851E-2</v>
      </c>
      <c r="K148" s="174">
        <f t="shared" si="161"/>
        <v>6.4513461880870357E-2</v>
      </c>
      <c r="L148" s="174">
        <f t="shared" si="161"/>
        <v>9.2035739128267513E-2</v>
      </c>
      <c r="M148" s="174">
        <f t="shared" si="161"/>
        <v>5.1008069396518758E-2</v>
      </c>
      <c r="N148" s="174">
        <f t="shared" si="161"/>
        <v>6.4607910223779014E-2</v>
      </c>
      <c r="O148" s="174">
        <f t="shared" si="161"/>
        <v>5.9852007580908917E-2</v>
      </c>
      <c r="P148" s="174">
        <f t="shared" si="161"/>
        <v>7.8390766973925816E-2</v>
      </c>
      <c r="Q148" s="111">
        <f t="shared" si="161"/>
        <v>6.7334177657766003E-2</v>
      </c>
    </row>
    <row r="149" spans="1:21">
      <c r="B149" s="171" t="s">
        <v>124</v>
      </c>
      <c r="C149" s="175">
        <v>0</v>
      </c>
      <c r="D149" s="172">
        <v>440676.74000000011</v>
      </c>
      <c r="E149" s="150">
        <f t="shared" si="155"/>
        <v>0</v>
      </c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65"/>
    </row>
    <row r="150" spans="1:21">
      <c r="B150" s="176" t="s">
        <v>125</v>
      </c>
      <c r="C150" s="177">
        <v>0</v>
      </c>
      <c r="D150" s="178"/>
      <c r="E150" s="160">
        <f t="shared" si="155"/>
        <v>0</v>
      </c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4"/>
    </row>
    <row r="151" spans="1:21">
      <c r="B151" s="176" t="s">
        <v>126</v>
      </c>
      <c r="C151" s="177">
        <v>0</v>
      </c>
      <c r="D151" s="177">
        <v>-51340.899999999994</v>
      </c>
      <c r="E151" s="160">
        <f t="shared" si="155"/>
        <v>0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4"/>
    </row>
    <row r="152" spans="1:21">
      <c r="B152" s="176" t="s">
        <v>127</v>
      </c>
      <c r="C152" s="177">
        <v>0</v>
      </c>
      <c r="D152" s="177"/>
      <c r="E152" s="160">
        <f t="shared" si="155"/>
        <v>0</v>
      </c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4"/>
    </row>
    <row r="153" spans="1:21">
      <c r="B153" s="176" t="s">
        <v>128</v>
      </c>
      <c r="C153" s="177">
        <v>0</v>
      </c>
      <c r="D153" s="177"/>
      <c r="E153" s="160">
        <f t="shared" si="155"/>
        <v>0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4"/>
    </row>
    <row r="154" spans="1:21">
      <c r="B154" s="176" t="s">
        <v>129</v>
      </c>
      <c r="C154" s="177">
        <v>0</v>
      </c>
      <c r="D154" s="177">
        <v>182.75</v>
      </c>
      <c r="E154" s="160">
        <f t="shared" si="155"/>
        <v>0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4"/>
    </row>
    <row r="155" spans="1:21">
      <c r="B155" s="176" t="s">
        <v>130</v>
      </c>
      <c r="C155" s="177">
        <v>0</v>
      </c>
      <c r="D155" s="177">
        <v>455938.88000000006</v>
      </c>
      <c r="E155" s="160">
        <f t="shared" si="155"/>
        <v>0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4"/>
    </row>
    <row r="156" spans="1:21">
      <c r="B156" s="176" t="s">
        <v>131</v>
      </c>
      <c r="C156" s="177">
        <v>0</v>
      </c>
      <c r="D156" s="177">
        <v>35896.009999999995</v>
      </c>
      <c r="E156" s="160">
        <f t="shared" si="155"/>
        <v>0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4"/>
    </row>
    <row r="157" spans="1:21">
      <c r="B157" s="171" t="s">
        <v>132</v>
      </c>
      <c r="C157" s="175">
        <v>4141600</v>
      </c>
      <c r="D157" s="172">
        <v>4737587.8000000007</v>
      </c>
      <c r="E157" s="150">
        <f t="shared" si="155"/>
        <v>3939176.5461666668</v>
      </c>
      <c r="F157" s="151">
        <f>SUM(F158:F170)</f>
        <v>211373.49690000003</v>
      </c>
      <c r="G157" s="151">
        <f t="shared" ref="G157:Q157" si="162">SUM(G158:G170)</f>
        <v>514428.81180000002</v>
      </c>
      <c r="H157" s="151">
        <f t="shared" si="162"/>
        <v>247276.66666666666</v>
      </c>
      <c r="I157" s="151">
        <f t="shared" si="162"/>
        <v>211373.49690000003</v>
      </c>
      <c r="J157" s="151">
        <f t="shared" si="162"/>
        <v>400274.32500000001</v>
      </c>
      <c r="K157" s="151">
        <f t="shared" si="162"/>
        <v>354114.37846666668</v>
      </c>
      <c r="L157" s="151">
        <f t="shared" si="162"/>
        <v>211373.49690000003</v>
      </c>
      <c r="M157" s="151">
        <f t="shared" si="162"/>
        <v>429897.94050000003</v>
      </c>
      <c r="N157" s="151">
        <f t="shared" si="162"/>
        <v>382277.8753666667</v>
      </c>
      <c r="O157" s="151">
        <f t="shared" si="162"/>
        <v>186917.08230000001</v>
      </c>
      <c r="P157" s="151">
        <f t="shared" si="162"/>
        <v>183210</v>
      </c>
      <c r="Q157" s="179">
        <f t="shared" si="162"/>
        <v>606658.9753666668</v>
      </c>
      <c r="S157" s="80">
        <f>E157*195</f>
        <v>768139426.50250006</v>
      </c>
    </row>
    <row r="158" spans="1:21">
      <c r="B158" s="159" t="s">
        <v>133</v>
      </c>
      <c r="C158" s="180">
        <v>0</v>
      </c>
      <c r="D158" s="160">
        <v>169781.80000000005</v>
      </c>
      <c r="E158" s="160">
        <f t="shared" si="155"/>
        <v>0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</row>
    <row r="159" spans="1:21">
      <c r="B159" s="159" t="s">
        <v>134</v>
      </c>
      <c r="C159" s="180">
        <v>0</v>
      </c>
      <c r="D159" s="160"/>
      <c r="E159" s="160">
        <f t="shared" si="155"/>
        <v>0</v>
      </c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4"/>
    </row>
    <row r="160" spans="1:21">
      <c r="B160" s="159" t="s">
        <v>135</v>
      </c>
      <c r="C160" s="180">
        <v>0</v>
      </c>
      <c r="D160" s="160"/>
      <c r="E160" s="160">
        <f t="shared" si="155"/>
        <v>0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4"/>
    </row>
    <row r="161" spans="2:19">
      <c r="B161" s="159" t="s">
        <v>136</v>
      </c>
      <c r="C161" s="180">
        <v>0</v>
      </c>
      <c r="D161" s="160"/>
      <c r="E161" s="160">
        <f t="shared" si="155"/>
        <v>0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4"/>
    </row>
    <row r="162" spans="2:19">
      <c r="B162" s="159" t="s">
        <v>137</v>
      </c>
      <c r="C162" s="180">
        <v>0</v>
      </c>
      <c r="D162" s="160"/>
      <c r="E162" s="160">
        <f t="shared" si="155"/>
        <v>0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4"/>
    </row>
    <row r="163" spans="2:19">
      <c r="B163" s="159" t="s">
        <v>138</v>
      </c>
      <c r="C163" s="180">
        <v>0</v>
      </c>
      <c r="D163" s="160"/>
      <c r="E163" s="160">
        <f t="shared" si="155"/>
        <v>0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4"/>
    </row>
    <row r="164" spans="2:19">
      <c r="B164" s="159" t="s">
        <v>139</v>
      </c>
      <c r="C164" s="180">
        <v>0</v>
      </c>
      <c r="D164" s="160"/>
      <c r="E164" s="160">
        <f t="shared" si="155"/>
        <v>0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4"/>
    </row>
    <row r="165" spans="2:19">
      <c r="B165" s="159" t="s">
        <v>140</v>
      </c>
      <c r="C165" s="180">
        <v>0</v>
      </c>
      <c r="D165" s="160">
        <v>9892.2999999999993</v>
      </c>
      <c r="E165" s="160">
        <f t="shared" si="155"/>
        <v>0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4"/>
    </row>
    <row r="166" spans="2:19">
      <c r="B166" s="159" t="s">
        <v>141</v>
      </c>
      <c r="C166" s="180">
        <v>0</v>
      </c>
      <c r="D166" s="160">
        <v>21799.56</v>
      </c>
      <c r="E166" s="160">
        <f t="shared" si="155"/>
        <v>0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4"/>
    </row>
    <row r="167" spans="2:19">
      <c r="B167" s="159" t="s">
        <v>142</v>
      </c>
      <c r="C167" s="180">
        <v>0</v>
      </c>
      <c r="D167" s="160"/>
      <c r="E167" s="160">
        <f t="shared" si="155"/>
        <v>0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4"/>
    </row>
    <row r="168" spans="2:19">
      <c r="B168" s="159" t="s">
        <v>143</v>
      </c>
      <c r="C168" s="180">
        <v>0</v>
      </c>
      <c r="D168" s="160">
        <v>80912.850000000006</v>
      </c>
      <c r="E168" s="160">
        <f t="shared" si="155"/>
        <v>0</v>
      </c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4"/>
    </row>
    <row r="169" spans="2:19">
      <c r="B169" s="159" t="s">
        <v>144</v>
      </c>
      <c r="C169" s="180">
        <v>0</v>
      </c>
      <c r="D169" s="160">
        <v>173665.17000000004</v>
      </c>
      <c r="E169" s="160">
        <f t="shared" si="155"/>
        <v>0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4"/>
    </row>
    <row r="170" spans="2:19">
      <c r="B170" s="159" t="s">
        <v>145</v>
      </c>
      <c r="C170" s="180">
        <v>4141600</v>
      </c>
      <c r="D170" s="160">
        <v>4281536.12</v>
      </c>
      <c r="E170" s="160">
        <f>SUM(F170:Q170)</f>
        <v>3939176.5461666668</v>
      </c>
      <c r="F170" s="33">
        <v>211373.49690000003</v>
      </c>
      <c r="G170" s="33">
        <v>514428.81180000002</v>
      </c>
      <c r="H170" s="33">
        <v>247276.66666666666</v>
      </c>
      <c r="I170" s="33">
        <v>211373.49690000003</v>
      </c>
      <c r="J170" s="33">
        <v>400274.32500000001</v>
      </c>
      <c r="K170" s="33">
        <v>354114.37846666668</v>
      </c>
      <c r="L170" s="33">
        <v>211373.49690000003</v>
      </c>
      <c r="M170" s="33">
        <v>429897.94050000003</v>
      </c>
      <c r="N170" s="33">
        <v>382277.8753666667</v>
      </c>
      <c r="O170" s="33">
        <v>186917.08230000001</v>
      </c>
      <c r="P170" s="33">
        <v>183210</v>
      </c>
      <c r="Q170" s="34">
        <v>606658.9753666668</v>
      </c>
    </row>
    <row r="171" spans="2:19">
      <c r="B171" s="181" t="s">
        <v>146</v>
      </c>
      <c r="C171" s="182">
        <v>22288291.692682672</v>
      </c>
      <c r="D171" s="182">
        <v>17868787.637103271</v>
      </c>
      <c r="E171" s="150">
        <f>SUM(F171:Q171)</f>
        <v>21508456.86043983</v>
      </c>
      <c r="F171" s="183">
        <f>F147+F149-F157</f>
        <v>2063900.4202828691</v>
      </c>
      <c r="G171" s="183">
        <f t="shared" ref="G171:Q171" si="163">G147+G149-G157</f>
        <v>648088.04798313626</v>
      </c>
      <c r="H171" s="183">
        <f t="shared" si="163"/>
        <v>2071162.1247066876</v>
      </c>
      <c r="I171" s="183">
        <f t="shared" si="163"/>
        <v>2670689.1200850792</v>
      </c>
      <c r="J171" s="183">
        <f t="shared" si="163"/>
        <v>1634868.7003706123</v>
      </c>
      <c r="K171" s="183">
        <f t="shared" si="163"/>
        <v>1672764.3416366233</v>
      </c>
      <c r="L171" s="183">
        <f t="shared" si="163"/>
        <v>2797316.1850045896</v>
      </c>
      <c r="M171" s="183">
        <f t="shared" si="163"/>
        <v>806534.12075940007</v>
      </c>
      <c r="N171" s="183">
        <f t="shared" si="163"/>
        <v>1734785.9816243118</v>
      </c>
      <c r="O171" s="183">
        <f t="shared" si="163"/>
        <v>1434029.6032342776</v>
      </c>
      <c r="P171" s="183">
        <f t="shared" si="163"/>
        <v>2274070.0994051904</v>
      </c>
      <c r="Q171" s="184">
        <f t="shared" si="163"/>
        <v>1700248.1153470506</v>
      </c>
      <c r="S171" s="80">
        <f>E171*195</f>
        <v>4194149087.7857666</v>
      </c>
    </row>
    <row r="172" spans="2:19">
      <c r="B172" s="159" t="s">
        <v>147</v>
      </c>
      <c r="C172" s="180">
        <v>0</v>
      </c>
      <c r="D172" s="160"/>
      <c r="E172" s="185">
        <f>SUM(F172:Q172)</f>
        <v>0</v>
      </c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7"/>
    </row>
    <row r="173" spans="2:19">
      <c r="B173" s="181" t="s">
        <v>148</v>
      </c>
      <c r="C173" s="182">
        <v>22288291.692682672</v>
      </c>
      <c r="D173" s="182">
        <v>17868787.637103271</v>
      </c>
      <c r="E173" s="150">
        <f>E171-E172</f>
        <v>21508456.86043983</v>
      </c>
      <c r="F173" s="150">
        <f t="shared" ref="F173:Q173" si="164">F171-F172</f>
        <v>2063900.4202828691</v>
      </c>
      <c r="G173" s="150">
        <f t="shared" si="164"/>
        <v>648088.04798313626</v>
      </c>
      <c r="H173" s="150">
        <f t="shared" si="164"/>
        <v>2071162.1247066876</v>
      </c>
      <c r="I173" s="150">
        <f t="shared" si="164"/>
        <v>2670689.1200850792</v>
      </c>
      <c r="J173" s="150">
        <f t="shared" si="164"/>
        <v>1634868.7003706123</v>
      </c>
      <c r="K173" s="150">
        <f t="shared" si="164"/>
        <v>1672764.3416366233</v>
      </c>
      <c r="L173" s="150">
        <f t="shared" si="164"/>
        <v>2797316.1850045896</v>
      </c>
      <c r="M173" s="150">
        <f t="shared" si="164"/>
        <v>806534.12075940007</v>
      </c>
      <c r="N173" s="150">
        <f t="shared" si="164"/>
        <v>1734785.9816243118</v>
      </c>
      <c r="O173" s="150">
        <f t="shared" si="164"/>
        <v>1434029.6032342776</v>
      </c>
      <c r="P173" s="150">
        <f t="shared" si="164"/>
        <v>2274070.0994051904</v>
      </c>
      <c r="Q173" s="188">
        <f t="shared" si="164"/>
        <v>1700248.1153470506</v>
      </c>
      <c r="S173" s="80">
        <f>E173*195</f>
        <v>4194149087.7857666</v>
      </c>
    </row>
    <row r="174" spans="2:19">
      <c r="B174" s="189" t="s">
        <v>149</v>
      </c>
      <c r="C174" s="190">
        <v>4.2356865448716523E-2</v>
      </c>
      <c r="D174" s="191">
        <f t="shared" ref="D174:Q174" si="165">D173/D88</f>
        <v>4.3319308741878351E-2</v>
      </c>
      <c r="E174" s="191">
        <f t="shared" si="165"/>
        <v>5.959772871382428E-2</v>
      </c>
      <c r="F174" s="191">
        <f t="shared" si="165"/>
        <v>6.9992891921594469E-2</v>
      </c>
      <c r="G174" s="191">
        <f t="shared" si="165"/>
        <v>2.8851029749966482E-2</v>
      </c>
      <c r="H174" s="191">
        <f t="shared" si="165"/>
        <v>6.1287235689637329E-2</v>
      </c>
      <c r="I174" s="191">
        <f t="shared" si="165"/>
        <v>8.1326147759585771E-2</v>
      </c>
      <c r="J174" s="191">
        <f t="shared" si="165"/>
        <v>5.7355960799758597E-2</v>
      </c>
      <c r="K174" s="191">
        <f t="shared" si="165"/>
        <v>5.3242365968672316E-2</v>
      </c>
      <c r="L174" s="191">
        <f t="shared" si="165"/>
        <v>8.5569829354879667E-2</v>
      </c>
      <c r="M174" s="191">
        <f t="shared" si="165"/>
        <v>3.3272955054604259E-2</v>
      </c>
      <c r="N174" s="191">
        <f t="shared" si="165"/>
        <v>5.2941670412132255E-2</v>
      </c>
      <c r="O174" s="191">
        <f t="shared" si="165"/>
        <v>5.295026138119753E-2</v>
      </c>
      <c r="P174" s="191">
        <f t="shared" si="165"/>
        <v>7.2546104649606577E-2</v>
      </c>
      <c r="Q174" s="192">
        <f t="shared" si="165"/>
        <v>4.9626969860169137E-2</v>
      </c>
    </row>
    <row r="175" spans="2:19">
      <c r="B175" s="41"/>
      <c r="C175" s="41"/>
      <c r="D175" s="41"/>
      <c r="E175" s="41"/>
      <c r="F175" s="41"/>
      <c r="G175" s="41"/>
      <c r="H175" s="72"/>
      <c r="I175" s="73"/>
      <c r="J175" s="41"/>
      <c r="K175" s="41"/>
      <c r="L175" s="41"/>
      <c r="M175" s="41"/>
      <c r="N175" s="41"/>
      <c r="O175" s="41"/>
      <c r="P175" s="41"/>
      <c r="Q175" s="41"/>
    </row>
    <row r="176" spans="2:19">
      <c r="B176" s="41"/>
      <c r="C176" s="41"/>
      <c r="D176" s="41"/>
      <c r="E176" s="41"/>
      <c r="F176" s="41"/>
      <c r="G176" s="41"/>
      <c r="H176" s="73"/>
      <c r="I176" s="73"/>
      <c r="J176" s="41"/>
      <c r="K176" s="41"/>
      <c r="L176" s="41"/>
      <c r="M176" s="41"/>
      <c r="N176" s="41"/>
      <c r="O176" s="41"/>
      <c r="P176" s="41"/>
      <c r="Q176" s="41"/>
    </row>
    <row r="177" spans="2:17">
      <c r="B177" s="41"/>
      <c r="C177" s="41"/>
      <c r="D177" s="41"/>
      <c r="E177" s="41"/>
      <c r="F177" s="41"/>
      <c r="G177" s="41"/>
      <c r="H177" s="73"/>
      <c r="I177" s="73"/>
      <c r="J177" s="41"/>
      <c r="K177" s="41"/>
      <c r="L177" s="41"/>
      <c r="M177" s="41"/>
      <c r="N177" s="41"/>
      <c r="O177" s="41"/>
      <c r="P177" s="41"/>
      <c r="Q177" s="41"/>
    </row>
    <row r="178" spans="2:17">
      <c r="B178" s="41"/>
      <c r="C178" s="41"/>
      <c r="D178" s="41"/>
      <c r="E178" s="41"/>
      <c r="F178" s="41"/>
      <c r="G178" s="41"/>
      <c r="H178" s="73"/>
      <c r="I178" s="73"/>
      <c r="J178" s="41"/>
      <c r="K178" s="41"/>
      <c r="L178" s="41"/>
      <c r="M178" s="41"/>
      <c r="N178" s="41"/>
      <c r="O178" s="41"/>
      <c r="P178" s="41"/>
      <c r="Q178" s="41"/>
    </row>
    <row r="179" spans="2:17">
      <c r="E179" s="74"/>
      <c r="H179" s="21"/>
      <c r="I179" s="21"/>
    </row>
    <row r="180" spans="2:17" ht="31.5">
      <c r="B180" s="2" t="s">
        <v>165</v>
      </c>
      <c r="C180" s="2"/>
      <c r="D180" s="2"/>
      <c r="E180" s="3"/>
      <c r="F180" s="3"/>
      <c r="G180" s="3"/>
      <c r="H180" s="21"/>
      <c r="I180" s="21"/>
      <c r="Q180" s="4" t="s">
        <v>10</v>
      </c>
    </row>
    <row r="181" spans="2:17">
      <c r="B181" s="124" t="s">
        <v>11</v>
      </c>
      <c r="C181" s="125" t="s">
        <v>177</v>
      </c>
      <c r="D181" s="125" t="s">
        <v>178</v>
      </c>
      <c r="E181" s="51" t="s">
        <v>174</v>
      </c>
      <c r="F181" s="75" t="s">
        <v>74</v>
      </c>
      <c r="G181" s="76" t="s">
        <v>13</v>
      </c>
      <c r="H181" s="52" t="s">
        <v>14</v>
      </c>
      <c r="I181" s="76" t="s">
        <v>15</v>
      </c>
      <c r="J181" s="52" t="s">
        <v>16</v>
      </c>
      <c r="K181" s="76" t="s">
        <v>17</v>
      </c>
      <c r="L181" s="52" t="s">
        <v>18</v>
      </c>
      <c r="M181" s="76" t="s">
        <v>19</v>
      </c>
      <c r="N181" s="52" t="s">
        <v>20</v>
      </c>
      <c r="O181" s="76" t="s">
        <v>21</v>
      </c>
      <c r="P181" s="76" t="s">
        <v>22</v>
      </c>
      <c r="Q181" s="77" t="s">
        <v>23</v>
      </c>
    </row>
    <row r="182" spans="2:17">
      <c r="B182" s="126" t="s">
        <v>76</v>
      </c>
      <c r="C182" s="126">
        <v>12762577.296</v>
      </c>
      <c r="D182" s="126">
        <v>22905584.449999999</v>
      </c>
      <c r="E182" s="53">
        <f>SUM(F182:Q182)</f>
        <v>26484030.57</v>
      </c>
      <c r="F182" s="78">
        <f>+F183+F190</f>
        <v>2385294.1200000006</v>
      </c>
      <c r="G182" s="79">
        <f t="shared" ref="G182:Q182" si="166">+G183+G190</f>
        <v>2394762.1620000005</v>
      </c>
      <c r="H182" s="80">
        <f t="shared" si="166"/>
        <v>2553081.6960000005</v>
      </c>
      <c r="I182" s="79">
        <f t="shared" si="166"/>
        <v>2931366.1920000003</v>
      </c>
      <c r="J182" s="80">
        <f t="shared" si="166"/>
        <v>487733.4</v>
      </c>
      <c r="K182" s="79">
        <f t="shared" si="166"/>
        <v>2247399</v>
      </c>
      <c r="L182" s="80">
        <f t="shared" si="166"/>
        <v>2247399</v>
      </c>
      <c r="M182" s="79">
        <f t="shared" si="166"/>
        <v>2247399</v>
      </c>
      <c r="N182" s="80">
        <f t="shared" si="166"/>
        <v>2247399</v>
      </c>
      <c r="O182" s="79">
        <f t="shared" si="166"/>
        <v>2247399</v>
      </c>
      <c r="P182" s="79">
        <f t="shared" si="166"/>
        <v>2247399</v>
      </c>
      <c r="Q182" s="69">
        <f t="shared" si="166"/>
        <v>2247399</v>
      </c>
    </row>
    <row r="183" spans="2:17">
      <c r="B183" s="127" t="s">
        <v>79</v>
      </c>
      <c r="C183" s="127">
        <v>12762577.296</v>
      </c>
      <c r="D183" s="127">
        <v>20705388.849999998</v>
      </c>
      <c r="E183" s="128">
        <f>SUM(F183:Q183)</f>
        <v>26484030.57</v>
      </c>
      <c r="F183" s="81">
        <f>+F185+F186</f>
        <v>2385294.1200000006</v>
      </c>
      <c r="G183" s="82">
        <f t="shared" ref="G183:Q183" si="167">+G185+G186</f>
        <v>2394762.1620000005</v>
      </c>
      <c r="H183" s="83">
        <f t="shared" si="167"/>
        <v>2553081.6960000005</v>
      </c>
      <c r="I183" s="82">
        <f t="shared" si="167"/>
        <v>2931366.1920000003</v>
      </c>
      <c r="J183" s="83">
        <f t="shared" si="167"/>
        <v>487733.4</v>
      </c>
      <c r="K183" s="82">
        <f t="shared" si="167"/>
        <v>2247399</v>
      </c>
      <c r="L183" s="83">
        <f t="shared" si="167"/>
        <v>2247399</v>
      </c>
      <c r="M183" s="82">
        <f t="shared" si="167"/>
        <v>2247399</v>
      </c>
      <c r="N183" s="83">
        <f t="shared" si="167"/>
        <v>2247399</v>
      </c>
      <c r="O183" s="82">
        <f t="shared" si="167"/>
        <v>2247399</v>
      </c>
      <c r="P183" s="82">
        <f t="shared" si="167"/>
        <v>2247399</v>
      </c>
      <c r="Q183" s="84">
        <f t="shared" si="167"/>
        <v>2247399</v>
      </c>
    </row>
    <row r="184" spans="2:17">
      <c r="B184" s="16" t="s">
        <v>3</v>
      </c>
      <c r="C184" s="16"/>
      <c r="D184" s="16"/>
      <c r="E184" s="129"/>
      <c r="F184" s="85"/>
      <c r="G184" s="86"/>
      <c r="H184" s="87"/>
      <c r="I184" s="86"/>
      <c r="J184" s="87"/>
      <c r="K184" s="86"/>
      <c r="L184" s="87"/>
      <c r="M184" s="86"/>
      <c r="N184" s="87"/>
      <c r="O184" s="86"/>
      <c r="P184" s="86"/>
      <c r="Q184" s="20"/>
    </row>
    <row r="185" spans="2:17">
      <c r="B185" s="45" t="s">
        <v>6</v>
      </c>
      <c r="C185" s="45">
        <v>12762577.296</v>
      </c>
      <c r="D185" s="45">
        <v>21814034.380000003</v>
      </c>
      <c r="E185" s="130">
        <f t="shared" ref="E185:E248" si="168">SUM(F185:Q185)</f>
        <v>26484030.57</v>
      </c>
      <c r="F185" s="88">
        <v>2385294.1200000006</v>
      </c>
      <c r="G185" s="89">
        <v>2394762.1620000005</v>
      </c>
      <c r="H185" s="90">
        <v>2553081.6960000005</v>
      </c>
      <c r="I185" s="89">
        <v>2931366.1920000003</v>
      </c>
      <c r="J185" s="90">
        <v>487733.4</v>
      </c>
      <c r="K185" s="89">
        <v>2247399</v>
      </c>
      <c r="L185" s="90">
        <v>2247399</v>
      </c>
      <c r="M185" s="89">
        <v>2247399</v>
      </c>
      <c r="N185" s="90">
        <v>2247399</v>
      </c>
      <c r="O185" s="89">
        <v>2247399</v>
      </c>
      <c r="P185" s="89">
        <v>2247399</v>
      </c>
      <c r="Q185" s="68">
        <v>2247399</v>
      </c>
    </row>
    <row r="186" spans="2:17">
      <c r="B186" s="45" t="s">
        <v>7</v>
      </c>
      <c r="C186" s="45"/>
      <c r="D186" s="45">
        <v>969814.99999999988</v>
      </c>
      <c r="E186" s="130">
        <f t="shared" si="168"/>
        <v>0</v>
      </c>
      <c r="F186" s="88"/>
      <c r="G186" s="89"/>
      <c r="H186" s="90"/>
      <c r="I186" s="89"/>
      <c r="J186" s="90"/>
      <c r="K186" s="89"/>
      <c r="L186" s="90"/>
      <c r="M186" s="89"/>
      <c r="N186" s="90"/>
      <c r="O186" s="89"/>
      <c r="P186" s="89"/>
      <c r="Q186" s="68"/>
    </row>
    <row r="187" spans="2:17">
      <c r="B187" s="45" t="s">
        <v>159</v>
      </c>
      <c r="C187" s="45"/>
      <c r="D187" s="45"/>
      <c r="E187" s="130">
        <f t="shared" si="168"/>
        <v>0</v>
      </c>
      <c r="F187" s="88"/>
      <c r="G187" s="89"/>
      <c r="H187" s="90"/>
      <c r="I187" s="89"/>
      <c r="J187" s="90"/>
      <c r="K187" s="89"/>
      <c r="L187" s="90"/>
      <c r="M187" s="89"/>
      <c r="N187" s="90"/>
      <c r="O187" s="89"/>
      <c r="P187" s="89"/>
      <c r="Q187" s="68"/>
    </row>
    <row r="188" spans="2:17">
      <c r="B188" s="45" t="s">
        <v>8</v>
      </c>
      <c r="C188" s="45"/>
      <c r="D188" s="45"/>
      <c r="E188" s="130">
        <f t="shared" si="168"/>
        <v>0</v>
      </c>
      <c r="F188" s="88"/>
      <c r="G188" s="89"/>
      <c r="H188" s="90"/>
      <c r="I188" s="89"/>
      <c r="J188" s="90"/>
      <c r="K188" s="89"/>
      <c r="L188" s="90"/>
      <c r="M188" s="89"/>
      <c r="N188" s="90"/>
      <c r="O188" s="89"/>
      <c r="P188" s="89"/>
      <c r="Q188" s="68"/>
    </row>
    <row r="189" spans="2:17">
      <c r="B189" s="45" t="s">
        <v>9</v>
      </c>
      <c r="C189" s="45"/>
      <c r="D189" s="45">
        <v>81424.41</v>
      </c>
      <c r="E189" s="130">
        <f t="shared" si="168"/>
        <v>0</v>
      </c>
      <c r="F189" s="88"/>
      <c r="G189" s="89"/>
      <c r="H189" s="90"/>
      <c r="I189" s="89"/>
      <c r="J189" s="90"/>
      <c r="K189" s="89"/>
      <c r="L189" s="90"/>
      <c r="M189" s="89"/>
      <c r="N189" s="90"/>
      <c r="O189" s="89"/>
      <c r="P189" s="89"/>
      <c r="Q189" s="68"/>
    </row>
    <row r="190" spans="2:17">
      <c r="B190" s="127" t="s">
        <v>81</v>
      </c>
      <c r="C190" s="127"/>
      <c r="D190" s="127">
        <v>40310.660000000149</v>
      </c>
      <c r="E190" s="128">
        <f t="shared" si="168"/>
        <v>0</v>
      </c>
      <c r="F190" s="81"/>
      <c r="G190" s="82"/>
      <c r="H190" s="83"/>
      <c r="I190" s="82"/>
      <c r="J190" s="83"/>
      <c r="K190" s="82"/>
      <c r="L190" s="83"/>
      <c r="M190" s="82"/>
      <c r="N190" s="83"/>
      <c r="O190" s="82"/>
      <c r="P190" s="82"/>
      <c r="Q190" s="57"/>
    </row>
    <row r="191" spans="2:17">
      <c r="B191" s="126" t="s">
        <v>82</v>
      </c>
      <c r="C191" s="131">
        <v>17471263.663630113</v>
      </c>
      <c r="D191" s="126">
        <v>25647233.640000001</v>
      </c>
      <c r="E191" s="56">
        <f t="shared" si="168"/>
        <v>26850445.880423844</v>
      </c>
      <c r="F191" s="78">
        <f>+F192+F193</f>
        <v>2350058.3807233614</v>
      </c>
      <c r="G191" s="78">
        <f t="shared" ref="G191:Q191" si="169">+G192+G193</f>
        <v>2457692.791119596</v>
      </c>
      <c r="H191" s="78">
        <f t="shared" si="169"/>
        <v>2601019.6454027779</v>
      </c>
      <c r="I191" s="78">
        <f t="shared" si="169"/>
        <v>2958641.7495405693</v>
      </c>
      <c r="J191" s="78">
        <f t="shared" si="169"/>
        <v>708104.2550992535</v>
      </c>
      <c r="K191" s="78">
        <f t="shared" si="169"/>
        <v>2256341.2425942142</v>
      </c>
      <c r="L191" s="78">
        <f t="shared" si="169"/>
        <v>2230777.2425942142</v>
      </c>
      <c r="M191" s="78">
        <f t="shared" si="169"/>
        <v>2219847.0029730019</v>
      </c>
      <c r="N191" s="78">
        <f t="shared" si="169"/>
        <v>2252281.2425942142</v>
      </c>
      <c r="O191" s="78">
        <f t="shared" si="169"/>
        <v>2223449.2425942142</v>
      </c>
      <c r="P191" s="78">
        <f t="shared" si="169"/>
        <v>2224773.2425942142</v>
      </c>
      <c r="Q191" s="78">
        <f t="shared" si="169"/>
        <v>2367459.8425942138</v>
      </c>
    </row>
    <row r="192" spans="2:17">
      <c r="B192" s="45" t="s">
        <v>83</v>
      </c>
      <c r="C192" s="132">
        <v>17471263.663630113</v>
      </c>
      <c r="D192" s="45">
        <v>25647233.640000001</v>
      </c>
      <c r="E192" s="67">
        <f t="shared" si="168"/>
        <v>26850445.880423844</v>
      </c>
      <c r="F192" s="88">
        <v>2350058.3807233614</v>
      </c>
      <c r="G192" s="88">
        <v>2457692.791119596</v>
      </c>
      <c r="H192" s="88">
        <v>2601019.6454027779</v>
      </c>
      <c r="I192" s="88">
        <v>2958641.7495405693</v>
      </c>
      <c r="J192" s="88">
        <v>708104.2550992535</v>
      </c>
      <c r="K192" s="88">
        <v>2256341.2425942142</v>
      </c>
      <c r="L192" s="88">
        <v>2230777.2425942142</v>
      </c>
      <c r="M192" s="88">
        <v>2219847.0029730019</v>
      </c>
      <c r="N192" s="88">
        <v>2252281.2425942142</v>
      </c>
      <c r="O192" s="88">
        <v>2223449.2425942142</v>
      </c>
      <c r="P192" s="88">
        <v>2224773.2425942142</v>
      </c>
      <c r="Q192" s="88">
        <v>2367459.8425942138</v>
      </c>
    </row>
    <row r="193" spans="2:18">
      <c r="B193" s="127" t="s">
        <v>84</v>
      </c>
      <c r="C193" s="133">
        <v>0</v>
      </c>
      <c r="D193" s="127"/>
      <c r="E193" s="54">
        <f t="shared" si="168"/>
        <v>0</v>
      </c>
      <c r="F193" s="81"/>
      <c r="G193" s="82"/>
      <c r="H193" s="83"/>
      <c r="I193" s="82"/>
      <c r="J193" s="83"/>
      <c r="K193" s="82"/>
      <c r="L193" s="83"/>
      <c r="M193" s="82"/>
      <c r="N193" s="83"/>
      <c r="O193" s="82"/>
      <c r="P193" s="82"/>
      <c r="Q193" s="57"/>
    </row>
    <row r="194" spans="2:18">
      <c r="B194" s="127" t="s">
        <v>85</v>
      </c>
      <c r="C194" s="133">
        <v>0</v>
      </c>
      <c r="D194" s="127"/>
      <c r="E194" s="54">
        <f t="shared" si="168"/>
        <v>0</v>
      </c>
      <c r="F194" s="81"/>
      <c r="G194" s="82"/>
      <c r="H194" s="83"/>
      <c r="I194" s="82"/>
      <c r="J194" s="83"/>
      <c r="K194" s="82"/>
      <c r="L194" s="83"/>
      <c r="M194" s="82"/>
      <c r="N194" s="83"/>
      <c r="O194" s="82"/>
      <c r="P194" s="82"/>
      <c r="Q194" s="57"/>
    </row>
    <row r="195" spans="2:18">
      <c r="B195" s="45" t="s">
        <v>86</v>
      </c>
      <c r="C195" s="132">
        <v>0</v>
      </c>
      <c r="D195" s="45"/>
      <c r="E195" s="67">
        <f t="shared" si="168"/>
        <v>0</v>
      </c>
      <c r="F195" s="88"/>
      <c r="G195" s="89"/>
      <c r="H195" s="90"/>
      <c r="I195" s="89"/>
      <c r="J195" s="90"/>
      <c r="K195" s="89"/>
      <c r="L195" s="90"/>
      <c r="M195" s="89"/>
      <c r="N195" s="90"/>
      <c r="O195" s="89"/>
      <c r="P195" s="89"/>
      <c r="Q195" s="68"/>
    </row>
    <row r="196" spans="2:18">
      <c r="B196" s="127" t="s">
        <v>87</v>
      </c>
      <c r="C196" s="133">
        <v>0</v>
      </c>
      <c r="D196" s="127"/>
      <c r="E196" s="54">
        <f t="shared" si="168"/>
        <v>0</v>
      </c>
      <c r="F196" s="81"/>
      <c r="G196" s="82"/>
      <c r="H196" s="83"/>
      <c r="I196" s="82"/>
      <c r="J196" s="83"/>
      <c r="K196" s="82"/>
      <c r="L196" s="83"/>
      <c r="M196" s="82"/>
      <c r="N196" s="83"/>
      <c r="O196" s="82"/>
      <c r="P196" s="82"/>
      <c r="Q196" s="57"/>
    </row>
    <row r="197" spans="2:18">
      <c r="B197" s="126" t="s">
        <v>88</v>
      </c>
      <c r="C197" s="131">
        <v>-4708686.3676301092</v>
      </c>
      <c r="D197" s="126">
        <v>-2741649.1900000013</v>
      </c>
      <c r="E197" s="56">
        <f t="shared" si="168"/>
        <v>-366415.31042384275</v>
      </c>
      <c r="F197" s="78">
        <f>+F182-F191</f>
        <v>35235.739276639186</v>
      </c>
      <c r="G197" s="79">
        <f t="shared" ref="G197:Q197" si="170">+G182-G191</f>
        <v>-62930.629119595513</v>
      </c>
      <c r="H197" s="80">
        <f t="shared" si="170"/>
        <v>-47937.949402777478</v>
      </c>
      <c r="I197" s="79">
        <f t="shared" si="170"/>
        <v>-27275.557540568989</v>
      </c>
      <c r="J197" s="80">
        <f t="shared" si="170"/>
        <v>-220370.85509925347</v>
      </c>
      <c r="K197" s="79">
        <f t="shared" si="170"/>
        <v>-8942.2425942141563</v>
      </c>
      <c r="L197" s="80">
        <f t="shared" si="170"/>
        <v>16621.757405785844</v>
      </c>
      <c r="M197" s="79">
        <f t="shared" si="170"/>
        <v>27551.997026998084</v>
      </c>
      <c r="N197" s="80">
        <f t="shared" si="170"/>
        <v>-4882.2425942141563</v>
      </c>
      <c r="O197" s="79">
        <f t="shared" si="170"/>
        <v>23949.757405785844</v>
      </c>
      <c r="P197" s="79">
        <f t="shared" si="170"/>
        <v>22625.757405785844</v>
      </c>
      <c r="Q197" s="69">
        <f t="shared" si="170"/>
        <v>-120060.84259421378</v>
      </c>
    </row>
    <row r="198" spans="2:18">
      <c r="B198" s="127" t="s">
        <v>89</v>
      </c>
      <c r="C198" s="91">
        <f>+C197/C182</f>
        <v>-0.36894478743771358</v>
      </c>
      <c r="D198" s="91">
        <f>+D197/D182</f>
        <v>-0.11969348330686237</v>
      </c>
      <c r="E198" s="91">
        <f>+E197/E182</f>
        <v>-1.3835330292923867E-2</v>
      </c>
      <c r="F198" s="92">
        <f t="shared" ref="F198:Q198" si="171">+F197/F182</f>
        <v>1.4772073171688856E-2</v>
      </c>
      <c r="G198" s="93">
        <f t="shared" si="171"/>
        <v>-2.6278446401975304E-2</v>
      </c>
      <c r="H198" s="94">
        <f t="shared" si="171"/>
        <v>-1.8776504284169004E-2</v>
      </c>
      <c r="I198" s="93">
        <f t="shared" si="171"/>
        <v>-9.3047254263240089E-3</v>
      </c>
      <c r="J198" s="94">
        <f t="shared" si="171"/>
        <v>-0.45182645908451924</v>
      </c>
      <c r="K198" s="93">
        <f t="shared" si="171"/>
        <v>-3.9789296845883426E-3</v>
      </c>
      <c r="L198" s="94">
        <f t="shared" si="171"/>
        <v>7.395997509025253E-3</v>
      </c>
      <c r="M198" s="93">
        <f t="shared" si="171"/>
        <v>1.2259503998621555E-2</v>
      </c>
      <c r="N198" s="94">
        <f t="shared" si="171"/>
        <v>-2.1723968882313093E-3</v>
      </c>
      <c r="O198" s="93">
        <f t="shared" si="171"/>
        <v>1.0656655718804647E-2</v>
      </c>
      <c r="P198" s="93">
        <f t="shared" si="171"/>
        <v>1.0067530245312846E-2</v>
      </c>
      <c r="Q198" s="95">
        <f t="shared" si="171"/>
        <v>-5.3422130469139566E-2</v>
      </c>
    </row>
    <row r="199" spans="2:18">
      <c r="B199" s="126" t="s">
        <v>90</v>
      </c>
      <c r="C199" s="131">
        <v>1704348.7540103998</v>
      </c>
      <c r="D199" s="126">
        <v>1515628.9</v>
      </c>
      <c r="E199" s="53">
        <f t="shared" si="168"/>
        <v>2176081.4592846972</v>
      </c>
      <c r="F199" s="78">
        <f>SUM(F200:F231)</f>
        <v>171429.9073697119</v>
      </c>
      <c r="G199" s="79">
        <f t="shared" ref="G199:Q199" si="172">SUM(G200:G231)</f>
        <v>198274.17333251357</v>
      </c>
      <c r="H199" s="80">
        <f t="shared" si="172"/>
        <v>191466.3839551867</v>
      </c>
      <c r="I199" s="79">
        <f t="shared" si="172"/>
        <v>184086.43745022779</v>
      </c>
      <c r="J199" s="80">
        <f t="shared" si="172"/>
        <v>120667.938878007</v>
      </c>
      <c r="K199" s="79">
        <f t="shared" si="172"/>
        <v>193640.24081994471</v>
      </c>
      <c r="L199" s="80">
        <f t="shared" si="172"/>
        <v>168946.10962488127</v>
      </c>
      <c r="M199" s="79">
        <f t="shared" si="172"/>
        <v>169695.74107443672</v>
      </c>
      <c r="N199" s="80">
        <f t="shared" si="172"/>
        <v>203315.60100333556</v>
      </c>
      <c r="O199" s="79">
        <f t="shared" si="172"/>
        <v>187627.15908883157</v>
      </c>
      <c r="P199" s="79">
        <f t="shared" si="172"/>
        <v>180299.51408185237</v>
      </c>
      <c r="Q199" s="69">
        <f t="shared" si="172"/>
        <v>206632.25260576807</v>
      </c>
    </row>
    <row r="200" spans="2:18">
      <c r="B200" s="16" t="s">
        <v>91</v>
      </c>
      <c r="C200" s="134">
        <v>497622.28699999995</v>
      </c>
      <c r="D200" s="16"/>
      <c r="E200" s="55">
        <f t="shared" si="168"/>
        <v>316561.76999999979</v>
      </c>
      <c r="F200" s="85">
        <v>25621.315999999992</v>
      </c>
      <c r="G200" s="86">
        <v>25159.652000000002</v>
      </c>
      <c r="H200" s="87">
        <v>25582.843999999983</v>
      </c>
      <c r="I200" s="86">
        <v>25779.308799999999</v>
      </c>
      <c r="J200" s="87">
        <v>25712.399999999965</v>
      </c>
      <c r="K200" s="86">
        <v>25804.940000000002</v>
      </c>
      <c r="L200" s="87">
        <v>25804.940000000002</v>
      </c>
      <c r="M200" s="86">
        <v>26281.093999999983</v>
      </c>
      <c r="N200" s="87">
        <v>25844.624399999972</v>
      </c>
      <c r="O200" s="86">
        <v>25818.973599999968</v>
      </c>
      <c r="P200" s="86">
        <v>25968.342399999965</v>
      </c>
      <c r="Q200" s="20">
        <v>33183.334799999953</v>
      </c>
      <c r="R200" s="116"/>
    </row>
    <row r="201" spans="2:18">
      <c r="B201" s="16" t="s">
        <v>92</v>
      </c>
      <c r="C201" s="134">
        <v>0</v>
      </c>
      <c r="D201" s="16"/>
      <c r="E201" s="55">
        <f t="shared" si="168"/>
        <v>0</v>
      </c>
      <c r="F201" s="85"/>
      <c r="G201" s="86"/>
      <c r="H201" s="87"/>
      <c r="I201" s="86"/>
      <c r="J201" s="87"/>
      <c r="K201" s="86"/>
      <c r="L201" s="87"/>
      <c r="M201" s="86"/>
      <c r="N201" s="87"/>
      <c r="O201" s="86"/>
      <c r="P201" s="86"/>
      <c r="Q201" s="20"/>
    </row>
    <row r="202" spans="2:18">
      <c r="B202" s="16" t="s">
        <v>93</v>
      </c>
      <c r="C202" s="134">
        <v>0</v>
      </c>
      <c r="D202" s="16"/>
      <c r="E202" s="55">
        <f t="shared" si="168"/>
        <v>0</v>
      </c>
      <c r="F202" s="85"/>
      <c r="G202" s="86"/>
      <c r="H202" s="87"/>
      <c r="I202" s="86"/>
      <c r="J202" s="87"/>
      <c r="K202" s="86"/>
      <c r="L202" s="87"/>
      <c r="M202" s="86"/>
      <c r="N202" s="87"/>
      <c r="O202" s="86"/>
      <c r="P202" s="86"/>
      <c r="Q202" s="20"/>
    </row>
    <row r="203" spans="2:18">
      <c r="B203" s="16" t="s">
        <v>94</v>
      </c>
      <c r="C203" s="134">
        <v>0</v>
      </c>
      <c r="D203" s="16"/>
      <c r="E203" s="55">
        <f t="shared" si="168"/>
        <v>0</v>
      </c>
      <c r="F203" s="85"/>
      <c r="G203" s="86"/>
      <c r="H203" s="87"/>
      <c r="I203" s="86"/>
      <c r="J203" s="87"/>
      <c r="K203" s="86"/>
      <c r="L203" s="87"/>
      <c r="M203" s="86"/>
      <c r="N203" s="87"/>
      <c r="O203" s="86"/>
      <c r="P203" s="86"/>
      <c r="Q203" s="20"/>
    </row>
    <row r="204" spans="2:18">
      <c r="B204" s="16" t="s">
        <v>95</v>
      </c>
      <c r="C204" s="134">
        <v>100062.05450000001</v>
      </c>
      <c r="D204" s="16">
        <v>181259.44</v>
      </c>
      <c r="E204" s="55">
        <f t="shared" si="168"/>
        <v>204924.28928571421</v>
      </c>
      <c r="F204" s="85">
        <v>6654.7249999999913</v>
      </c>
      <c r="G204" s="86">
        <v>33913.599999999977</v>
      </c>
      <c r="H204" s="87">
        <v>9032.4499999999971</v>
      </c>
      <c r="I204" s="86">
        <v>6672.2249999999913</v>
      </c>
      <c r="J204" s="87">
        <v>24123.20357142857</v>
      </c>
      <c r="K204" s="86">
        <v>15958.625</v>
      </c>
      <c r="L204" s="87">
        <v>6781.4249999999884</v>
      </c>
      <c r="M204" s="86">
        <v>6591.0999999999913</v>
      </c>
      <c r="N204" s="87">
        <v>27117.450000000012</v>
      </c>
      <c r="O204" s="86">
        <v>25607.97857142855</v>
      </c>
      <c r="P204" s="86">
        <v>6815.9749999999913</v>
      </c>
      <c r="Q204" s="20">
        <v>35655.532142857141</v>
      </c>
    </row>
    <row r="205" spans="2:18">
      <c r="B205" s="16" t="s">
        <v>96</v>
      </c>
      <c r="C205" s="134">
        <v>12762.577295999999</v>
      </c>
      <c r="D205" s="16">
        <v>44372.78</v>
      </c>
      <c r="E205" s="55">
        <f t="shared" si="168"/>
        <v>26484.030570000006</v>
      </c>
      <c r="F205" s="85">
        <v>2385.2941200000005</v>
      </c>
      <c r="G205" s="86">
        <v>2394.7621620000004</v>
      </c>
      <c r="H205" s="87">
        <v>2553.0816960000006</v>
      </c>
      <c r="I205" s="86">
        <v>2931.3661920000004</v>
      </c>
      <c r="J205" s="87">
        <v>487.73340000000002</v>
      </c>
      <c r="K205" s="86">
        <v>2247.3989999999999</v>
      </c>
      <c r="L205" s="87">
        <v>2247.3989999999999</v>
      </c>
      <c r="M205" s="86">
        <v>2247.3989999999999</v>
      </c>
      <c r="N205" s="87">
        <v>2247.3989999999999</v>
      </c>
      <c r="O205" s="86">
        <v>2247.3989999999999</v>
      </c>
      <c r="P205" s="86">
        <v>2247.3989999999999</v>
      </c>
      <c r="Q205" s="20">
        <v>2247.3989999999999</v>
      </c>
    </row>
    <row r="206" spans="2:18">
      <c r="B206" s="16" t="s">
        <v>97</v>
      </c>
      <c r="C206" s="134">
        <v>0</v>
      </c>
      <c r="D206" s="16">
        <v>19686.7</v>
      </c>
      <c r="E206" s="55">
        <f t="shared" si="168"/>
        <v>10593.612228000002</v>
      </c>
      <c r="F206" s="85">
        <v>954.11764800000026</v>
      </c>
      <c r="G206" s="86">
        <v>957.90486480000027</v>
      </c>
      <c r="H206" s="87">
        <v>1021.2326784000003</v>
      </c>
      <c r="I206" s="86">
        <v>1172.5464768000002</v>
      </c>
      <c r="J206" s="87">
        <v>195.09336000000002</v>
      </c>
      <c r="K206" s="86">
        <v>898.95960000000002</v>
      </c>
      <c r="L206" s="87">
        <v>898.95960000000002</v>
      </c>
      <c r="M206" s="86">
        <v>898.95960000000002</v>
      </c>
      <c r="N206" s="87">
        <v>898.95960000000002</v>
      </c>
      <c r="O206" s="86">
        <v>898.95960000000002</v>
      </c>
      <c r="P206" s="86">
        <v>898.95960000000002</v>
      </c>
      <c r="Q206" s="20">
        <v>898.95960000000002</v>
      </c>
    </row>
    <row r="207" spans="2:18">
      <c r="B207" s="16" t="s">
        <v>98</v>
      </c>
      <c r="C207" s="134">
        <v>12762.577295999999</v>
      </c>
      <c r="D207" s="16"/>
      <c r="E207" s="55">
        <f t="shared" si="168"/>
        <v>7874.7298756972432</v>
      </c>
      <c r="F207" s="85">
        <v>638.04920960086747</v>
      </c>
      <c r="G207" s="86">
        <v>511.09205310827565</v>
      </c>
      <c r="H207" s="87">
        <v>725.02308907442057</v>
      </c>
      <c r="I207" s="86">
        <v>715.65845991703463</v>
      </c>
      <c r="J207" s="87">
        <v>620.56460212672937</v>
      </c>
      <c r="K207" s="86">
        <v>684.37649601999692</v>
      </c>
      <c r="L207" s="87">
        <v>719.48516963188922</v>
      </c>
      <c r="M207" s="86">
        <v>526.7187104356135</v>
      </c>
      <c r="N207" s="87">
        <v>714.41049381784433</v>
      </c>
      <c r="O207" s="86">
        <v>589.28263822969075</v>
      </c>
      <c r="P207" s="86">
        <v>683.12852992080661</v>
      </c>
      <c r="Q207" s="20">
        <v>746.94042381407417</v>
      </c>
    </row>
    <row r="208" spans="2:18">
      <c r="B208" s="16" t="s">
        <v>99</v>
      </c>
      <c r="C208" s="134">
        <v>0</v>
      </c>
      <c r="D208" s="16"/>
      <c r="E208" s="55">
        <f t="shared" si="168"/>
        <v>1774.209648362812</v>
      </c>
      <c r="F208" s="85">
        <v>143.75516134182226</v>
      </c>
      <c r="G208" s="86">
        <v>115.1511818360591</v>
      </c>
      <c r="H208" s="87">
        <v>163.35074094306674</v>
      </c>
      <c r="I208" s="86">
        <v>161.24085074154391</v>
      </c>
      <c r="J208" s="87">
        <v>139.81580599019435</v>
      </c>
      <c r="K208" s="86">
        <v>154.19289315544938</v>
      </c>
      <c r="L208" s="87">
        <v>162.10302448016682</v>
      </c>
      <c r="M208" s="86">
        <v>118.67193323191168</v>
      </c>
      <c r="N208" s="87">
        <v>160.95967874847702</v>
      </c>
      <c r="O208" s="86">
        <v>132.76784840410005</v>
      </c>
      <c r="P208" s="86">
        <v>153.91172116238272</v>
      </c>
      <c r="Q208" s="20">
        <v>168.28880832763798</v>
      </c>
    </row>
    <row r="209" spans="2:18">
      <c r="B209" s="45" t="s">
        <v>100</v>
      </c>
      <c r="C209" s="132">
        <v>0</v>
      </c>
      <c r="D209" s="45"/>
      <c r="E209" s="55">
        <f t="shared" si="168"/>
        <v>0</v>
      </c>
      <c r="F209" s="85"/>
      <c r="G209" s="86"/>
      <c r="H209" s="87"/>
      <c r="I209" s="86"/>
      <c r="J209" s="87"/>
      <c r="K209" s="86"/>
      <c r="L209" s="87"/>
      <c r="M209" s="86"/>
      <c r="N209" s="87"/>
      <c r="O209" s="86"/>
      <c r="P209" s="86"/>
      <c r="Q209" s="20"/>
    </row>
    <row r="210" spans="2:18">
      <c r="B210" s="45" t="s">
        <v>101</v>
      </c>
      <c r="C210" s="132">
        <v>93166.814260800005</v>
      </c>
      <c r="D210" s="45"/>
      <c r="E210" s="55">
        <f t="shared" si="168"/>
        <v>0</v>
      </c>
      <c r="F210" s="85"/>
      <c r="G210" s="86"/>
      <c r="H210" s="87"/>
      <c r="I210" s="86"/>
      <c r="J210" s="87"/>
      <c r="K210" s="86"/>
      <c r="L210" s="87"/>
      <c r="M210" s="86"/>
      <c r="N210" s="87"/>
      <c r="O210" s="86"/>
      <c r="P210" s="86"/>
      <c r="Q210" s="20"/>
    </row>
    <row r="211" spans="2:18">
      <c r="B211" s="45" t="s">
        <v>102</v>
      </c>
      <c r="C211" s="132">
        <v>97596</v>
      </c>
      <c r="D211" s="45"/>
      <c r="E211" s="55">
        <f t="shared" si="168"/>
        <v>78427.389599999995</v>
      </c>
      <c r="F211" s="85">
        <v>6535.6157999999996</v>
      </c>
      <c r="G211" s="85">
        <v>6535.6157999999996</v>
      </c>
      <c r="H211" s="85">
        <v>6535.6157999999996</v>
      </c>
      <c r="I211" s="85">
        <v>6535.6157999999996</v>
      </c>
      <c r="J211" s="85">
        <v>6535.6157999999996</v>
      </c>
      <c r="K211" s="85">
        <v>6535.6157999999996</v>
      </c>
      <c r="L211" s="85">
        <v>6535.6157999999996</v>
      </c>
      <c r="M211" s="85">
        <v>6535.6157999999996</v>
      </c>
      <c r="N211" s="85">
        <v>6535.6157999999996</v>
      </c>
      <c r="O211" s="85">
        <v>6535.6157999999996</v>
      </c>
      <c r="P211" s="85">
        <v>6535.6157999999996</v>
      </c>
      <c r="Q211" s="85">
        <v>6535.6157999999996</v>
      </c>
      <c r="R211" s="109">
        <v>7.0000000000000007E-2</v>
      </c>
    </row>
    <row r="212" spans="2:18">
      <c r="B212" s="45" t="s">
        <v>103</v>
      </c>
      <c r="C212" s="132">
        <v>0</v>
      </c>
      <c r="D212" s="45"/>
      <c r="E212" s="55">
        <f t="shared" si="168"/>
        <v>0</v>
      </c>
      <c r="F212" s="85"/>
      <c r="G212" s="86"/>
      <c r="H212" s="87"/>
      <c r="I212" s="86"/>
      <c r="J212" s="87"/>
      <c r="K212" s="86"/>
      <c r="L212" s="87"/>
      <c r="M212" s="86"/>
      <c r="N212" s="87"/>
      <c r="O212" s="86"/>
      <c r="P212" s="86"/>
      <c r="Q212" s="20"/>
    </row>
    <row r="213" spans="2:18">
      <c r="B213" s="45" t="s">
        <v>104</v>
      </c>
      <c r="C213" s="132">
        <v>55517.2112376</v>
      </c>
      <c r="D213" s="45">
        <v>86877.12000000001</v>
      </c>
      <c r="E213" s="55">
        <f t="shared" si="168"/>
        <v>74200</v>
      </c>
      <c r="F213" s="85">
        <v>1400</v>
      </c>
      <c r="G213" s="86">
        <v>1400</v>
      </c>
      <c r="H213" s="87">
        <v>15400</v>
      </c>
      <c r="I213" s="86">
        <v>2100</v>
      </c>
      <c r="J213" s="87">
        <v>1400</v>
      </c>
      <c r="K213" s="86">
        <v>16800</v>
      </c>
      <c r="L213" s="87">
        <v>1400</v>
      </c>
      <c r="M213" s="86">
        <v>2100</v>
      </c>
      <c r="N213" s="87">
        <v>15400</v>
      </c>
      <c r="O213" s="86">
        <v>1400</v>
      </c>
      <c r="P213" s="86">
        <v>12600</v>
      </c>
      <c r="Q213" s="20">
        <v>2800</v>
      </c>
    </row>
    <row r="214" spans="2:18">
      <c r="B214" s="45" t="s">
        <v>105</v>
      </c>
      <c r="C214" s="132">
        <v>43225.631999999983</v>
      </c>
      <c r="D214" s="45"/>
      <c r="E214" s="55">
        <f t="shared" si="168"/>
        <v>45303.697599999956</v>
      </c>
      <c r="F214" s="85">
        <v>3728.6997999999949</v>
      </c>
      <c r="G214" s="86">
        <v>3728.6997999999949</v>
      </c>
      <c r="H214" s="87">
        <v>3728.6997999999949</v>
      </c>
      <c r="I214" s="86">
        <v>3728.6997999999949</v>
      </c>
      <c r="J214" s="87">
        <v>3728.6997999999949</v>
      </c>
      <c r="K214" s="86">
        <v>3945.6997999999949</v>
      </c>
      <c r="L214" s="87">
        <v>3785.7497999999978</v>
      </c>
      <c r="M214" s="86">
        <v>3785.7497999999978</v>
      </c>
      <c r="N214" s="87">
        <v>3785.7497999999978</v>
      </c>
      <c r="O214" s="86">
        <v>3785.7497999999978</v>
      </c>
      <c r="P214" s="86">
        <v>3785.7497999999978</v>
      </c>
      <c r="Q214" s="20">
        <v>3785.7497999999978</v>
      </c>
    </row>
    <row r="215" spans="2:18">
      <c r="B215" s="45" t="s">
        <v>106</v>
      </c>
      <c r="C215" s="132">
        <v>0</v>
      </c>
      <c r="D215" s="45"/>
      <c r="E215" s="55">
        <f t="shared" si="168"/>
        <v>29176.559999999969</v>
      </c>
      <c r="F215" s="85">
        <v>2431.3799999999974</v>
      </c>
      <c r="G215" s="86">
        <v>2431.3799999999974</v>
      </c>
      <c r="H215" s="87">
        <v>2431.3799999999974</v>
      </c>
      <c r="I215" s="86">
        <v>2431.3799999999974</v>
      </c>
      <c r="J215" s="87">
        <v>2431.3799999999974</v>
      </c>
      <c r="K215" s="86">
        <v>2431.3799999999974</v>
      </c>
      <c r="L215" s="87">
        <v>2431.3799999999974</v>
      </c>
      <c r="M215" s="86">
        <v>2431.3799999999974</v>
      </c>
      <c r="N215" s="87">
        <v>2431.3799999999974</v>
      </c>
      <c r="O215" s="86">
        <v>2431.3799999999974</v>
      </c>
      <c r="P215" s="86">
        <v>2431.3799999999974</v>
      </c>
      <c r="Q215" s="20">
        <v>2431.3799999999974</v>
      </c>
    </row>
    <row r="216" spans="2:18">
      <c r="B216" s="45" t="s">
        <v>107</v>
      </c>
      <c r="C216" s="132">
        <v>0</v>
      </c>
      <c r="D216" s="45"/>
      <c r="E216" s="67">
        <f t="shared" si="168"/>
        <v>0</v>
      </c>
      <c r="F216" s="85"/>
      <c r="G216" s="86"/>
      <c r="H216" s="87"/>
      <c r="I216" s="86"/>
      <c r="J216" s="87"/>
      <c r="K216" s="86"/>
      <c r="L216" s="87"/>
      <c r="M216" s="86"/>
      <c r="N216" s="87"/>
      <c r="O216" s="86"/>
      <c r="P216" s="86"/>
      <c r="Q216" s="20"/>
    </row>
    <row r="217" spans="2:18">
      <c r="B217" s="45" t="s">
        <v>108</v>
      </c>
      <c r="C217" s="132">
        <v>436320</v>
      </c>
      <c r="D217" s="45">
        <v>759194.90999999992</v>
      </c>
      <c r="E217" s="67">
        <f t="shared" si="168"/>
        <v>720000</v>
      </c>
      <c r="F217" s="85">
        <v>62307.692307692312</v>
      </c>
      <c r="G217" s="86">
        <v>62307.692307692312</v>
      </c>
      <c r="H217" s="87">
        <v>62307.692307692312</v>
      </c>
      <c r="I217" s="86">
        <v>62307.692307692312</v>
      </c>
      <c r="J217" s="87">
        <v>34615.384615384617</v>
      </c>
      <c r="K217" s="86">
        <v>62307.692307692312</v>
      </c>
      <c r="L217" s="87">
        <v>62307.692307692312</v>
      </c>
      <c r="M217" s="86">
        <v>62307.692307692312</v>
      </c>
      <c r="N217" s="87">
        <v>62307.692307692312</v>
      </c>
      <c r="O217" s="86">
        <v>62307.692307692312</v>
      </c>
      <c r="P217" s="86">
        <v>62307.692307692312</v>
      </c>
      <c r="Q217" s="20">
        <v>62307.692307692312</v>
      </c>
    </row>
    <row r="218" spans="2:18">
      <c r="B218" s="45" t="s">
        <v>109</v>
      </c>
      <c r="C218" s="132">
        <v>0</v>
      </c>
      <c r="D218" s="45"/>
      <c r="E218" s="67">
        <f t="shared" si="168"/>
        <v>0</v>
      </c>
      <c r="F218" s="85"/>
      <c r="G218" s="86"/>
      <c r="H218" s="87"/>
      <c r="I218" s="86"/>
      <c r="J218" s="87"/>
      <c r="K218" s="86"/>
      <c r="L218" s="87"/>
      <c r="M218" s="86"/>
      <c r="N218" s="87"/>
      <c r="O218" s="86"/>
      <c r="P218" s="86"/>
      <c r="Q218" s="20"/>
    </row>
    <row r="219" spans="2:18">
      <c r="B219" s="45" t="s">
        <v>110</v>
      </c>
      <c r="C219" s="132">
        <v>0</v>
      </c>
      <c r="D219" s="45"/>
      <c r="E219" s="67">
        <f t="shared" si="168"/>
        <v>0</v>
      </c>
      <c r="F219" s="85"/>
      <c r="G219" s="86"/>
      <c r="H219" s="87"/>
      <c r="I219" s="86"/>
      <c r="J219" s="87"/>
      <c r="K219" s="86"/>
      <c r="L219" s="87"/>
      <c r="M219" s="86"/>
      <c r="N219" s="87"/>
      <c r="O219" s="86"/>
      <c r="P219" s="86"/>
      <c r="Q219" s="20"/>
    </row>
    <row r="220" spans="2:18">
      <c r="B220" s="45" t="s">
        <v>111</v>
      </c>
      <c r="C220" s="132">
        <v>0</v>
      </c>
      <c r="D220" s="45"/>
      <c r="E220" s="67">
        <f t="shared" si="168"/>
        <v>0</v>
      </c>
      <c r="F220" s="88"/>
      <c r="G220" s="89"/>
      <c r="H220" s="90"/>
      <c r="I220" s="89"/>
      <c r="J220" s="90"/>
      <c r="K220" s="89"/>
      <c r="L220" s="90"/>
      <c r="M220" s="89"/>
      <c r="N220" s="90"/>
      <c r="O220" s="89"/>
      <c r="P220" s="89"/>
      <c r="Q220" s="68"/>
    </row>
    <row r="221" spans="2:18">
      <c r="B221" s="45" t="s">
        <v>112</v>
      </c>
      <c r="C221" s="132">
        <v>0</v>
      </c>
      <c r="D221" s="45"/>
      <c r="E221" s="67">
        <f t="shared" si="168"/>
        <v>0</v>
      </c>
      <c r="F221" s="85"/>
      <c r="G221" s="86"/>
      <c r="H221" s="87"/>
      <c r="I221" s="86"/>
      <c r="J221" s="87"/>
      <c r="K221" s="86"/>
      <c r="L221" s="87"/>
      <c r="M221" s="86"/>
      <c r="N221" s="87"/>
      <c r="O221" s="86"/>
      <c r="P221" s="86"/>
      <c r="Q221" s="20"/>
    </row>
    <row r="222" spans="2:18">
      <c r="B222" s="45" t="s">
        <v>113</v>
      </c>
      <c r="C222" s="132">
        <v>0</v>
      </c>
      <c r="D222" s="45"/>
      <c r="E222" s="67">
        <f t="shared" si="168"/>
        <v>0</v>
      </c>
      <c r="F222" s="85"/>
      <c r="G222" s="86"/>
      <c r="H222" s="87"/>
      <c r="I222" s="86"/>
      <c r="J222" s="87"/>
      <c r="K222" s="86"/>
      <c r="L222" s="87"/>
      <c r="M222" s="86"/>
      <c r="N222" s="87"/>
      <c r="O222" s="86"/>
      <c r="P222" s="86"/>
      <c r="Q222" s="20"/>
    </row>
    <row r="223" spans="2:18">
      <c r="B223" s="45" t="s">
        <v>114</v>
      </c>
      <c r="C223" s="132">
        <v>0</v>
      </c>
      <c r="D223" s="45"/>
      <c r="E223" s="67">
        <f t="shared" si="168"/>
        <v>0</v>
      </c>
      <c r="F223" s="85"/>
      <c r="G223" s="86"/>
      <c r="H223" s="87"/>
      <c r="I223" s="86"/>
      <c r="J223" s="87"/>
      <c r="K223" s="86"/>
      <c r="L223" s="87"/>
      <c r="M223" s="86"/>
      <c r="N223" s="87"/>
      <c r="O223" s="86"/>
      <c r="P223" s="86"/>
      <c r="Q223" s="20"/>
    </row>
    <row r="224" spans="2:18">
      <c r="B224" s="45" t="s">
        <v>115</v>
      </c>
      <c r="C224" s="132">
        <v>0</v>
      </c>
      <c r="D224" s="45"/>
      <c r="E224" s="67">
        <f t="shared" si="168"/>
        <v>0</v>
      </c>
      <c r="F224" s="85"/>
      <c r="G224" s="86"/>
      <c r="H224" s="87"/>
      <c r="I224" s="86"/>
      <c r="J224" s="87"/>
      <c r="K224" s="86"/>
      <c r="L224" s="87"/>
      <c r="M224" s="86"/>
      <c r="N224" s="87"/>
      <c r="O224" s="86"/>
      <c r="P224" s="86"/>
      <c r="Q224" s="20"/>
    </row>
    <row r="225" spans="2:21">
      <c r="B225" s="45" t="s">
        <v>116</v>
      </c>
      <c r="C225" s="132">
        <v>100062.05450000001</v>
      </c>
      <c r="D225" s="45">
        <v>33453.54</v>
      </c>
      <c r="E225" s="67">
        <f t="shared" si="168"/>
        <v>131080.55907692306</v>
      </c>
      <c r="F225" s="85">
        <v>10923.379923076922</v>
      </c>
      <c r="G225" s="86">
        <v>10923.379923076922</v>
      </c>
      <c r="H225" s="87">
        <v>10923.379923076922</v>
      </c>
      <c r="I225" s="86">
        <v>10923.379923076922</v>
      </c>
      <c r="J225" s="87">
        <v>10923.379923076922</v>
      </c>
      <c r="K225" s="86">
        <v>10923.379923076922</v>
      </c>
      <c r="L225" s="87">
        <v>10923.379923076922</v>
      </c>
      <c r="M225" s="86">
        <v>10923.379923076922</v>
      </c>
      <c r="N225" s="87">
        <v>10923.379923076922</v>
      </c>
      <c r="O225" s="86">
        <v>10923.379923076922</v>
      </c>
      <c r="P225" s="86">
        <v>10923.379923076922</v>
      </c>
      <c r="Q225" s="96">
        <v>10923.379923076922</v>
      </c>
    </row>
    <row r="226" spans="2:21">
      <c r="B226" s="45" t="s">
        <v>117</v>
      </c>
      <c r="C226" s="132">
        <v>0</v>
      </c>
      <c r="D226" s="45"/>
      <c r="E226" s="55">
        <f t="shared" si="168"/>
        <v>0</v>
      </c>
      <c r="F226" s="85"/>
      <c r="G226" s="86"/>
      <c r="H226" s="87"/>
      <c r="I226" s="86"/>
      <c r="J226" s="87"/>
      <c r="K226" s="86"/>
      <c r="L226" s="87"/>
      <c r="M226" s="86"/>
      <c r="N226" s="87"/>
      <c r="O226" s="86"/>
      <c r="P226" s="86"/>
      <c r="Q226" s="20"/>
    </row>
    <row r="227" spans="2:21">
      <c r="B227" s="45" t="s">
        <v>118</v>
      </c>
      <c r="C227" s="132">
        <v>255251.54592</v>
      </c>
      <c r="D227" s="45">
        <v>382864.22</v>
      </c>
      <c r="E227" s="55">
        <f t="shared" si="168"/>
        <v>529680.61139999994</v>
      </c>
      <c r="F227" s="85">
        <v>47705.88240000001</v>
      </c>
      <c r="G227" s="86">
        <v>47895.243240000011</v>
      </c>
      <c r="H227" s="87">
        <v>51061.633920000007</v>
      </c>
      <c r="I227" s="86">
        <v>58627.323840000005</v>
      </c>
      <c r="J227" s="87">
        <v>9754.6680000000015</v>
      </c>
      <c r="K227" s="86">
        <v>44947.98</v>
      </c>
      <c r="L227" s="87">
        <v>44947.98</v>
      </c>
      <c r="M227" s="86">
        <v>44947.98</v>
      </c>
      <c r="N227" s="87">
        <v>44947.98</v>
      </c>
      <c r="O227" s="86">
        <v>44947.98</v>
      </c>
      <c r="P227" s="86">
        <v>44947.98</v>
      </c>
      <c r="Q227" s="20">
        <v>44947.98</v>
      </c>
    </row>
    <row r="228" spans="2:21">
      <c r="B228" s="45" t="s">
        <v>119</v>
      </c>
      <c r="C228" s="132">
        <v>0</v>
      </c>
      <c r="D228" s="45"/>
      <c r="E228" s="55">
        <f t="shared" si="168"/>
        <v>0</v>
      </c>
      <c r="F228" s="85"/>
      <c r="G228" s="86"/>
      <c r="H228" s="87"/>
      <c r="I228" s="86"/>
      <c r="J228" s="87"/>
      <c r="K228" s="86"/>
      <c r="L228" s="87"/>
      <c r="M228" s="86"/>
      <c r="N228" s="87"/>
      <c r="O228" s="86"/>
      <c r="P228" s="86"/>
      <c r="Q228" s="20"/>
    </row>
    <row r="229" spans="2:21">
      <c r="B229" s="45" t="s">
        <v>120</v>
      </c>
      <c r="C229" s="132">
        <v>0</v>
      </c>
      <c r="D229" s="45"/>
      <c r="E229" s="55">
        <f t="shared" si="168"/>
        <v>0</v>
      </c>
      <c r="F229" s="85"/>
      <c r="G229" s="86"/>
      <c r="H229" s="87"/>
      <c r="I229" s="86"/>
      <c r="J229" s="87"/>
      <c r="K229" s="86"/>
      <c r="L229" s="87"/>
      <c r="M229" s="86"/>
      <c r="N229" s="87"/>
      <c r="O229" s="86"/>
      <c r="P229" s="86"/>
      <c r="Q229" s="20"/>
    </row>
    <row r="230" spans="2:21">
      <c r="B230" s="16" t="s">
        <v>121</v>
      </c>
      <c r="C230" s="134">
        <v>0</v>
      </c>
      <c r="D230" s="16"/>
      <c r="E230" s="55">
        <f t="shared" si="168"/>
        <v>0</v>
      </c>
      <c r="F230" s="85"/>
      <c r="G230" s="86"/>
      <c r="H230" s="87"/>
      <c r="I230" s="86"/>
      <c r="J230" s="87"/>
      <c r="K230" s="86"/>
      <c r="L230" s="87"/>
      <c r="M230" s="86"/>
      <c r="N230" s="87"/>
      <c r="O230" s="86"/>
      <c r="P230" s="86"/>
      <c r="Q230" s="20"/>
    </row>
    <row r="231" spans="2:21">
      <c r="B231" s="16" t="s">
        <v>158</v>
      </c>
      <c r="C231" s="134">
        <v>0</v>
      </c>
      <c r="D231" s="16">
        <v>7920.19</v>
      </c>
      <c r="E231" s="55">
        <f t="shared" si="168"/>
        <v>0</v>
      </c>
      <c r="F231" s="85"/>
      <c r="G231" s="86"/>
      <c r="H231" s="87"/>
      <c r="I231" s="86"/>
      <c r="J231" s="87"/>
      <c r="K231" s="86"/>
      <c r="L231" s="87"/>
      <c r="M231" s="86"/>
      <c r="N231" s="87"/>
      <c r="O231" s="86"/>
      <c r="P231" s="86"/>
      <c r="Q231" s="20"/>
    </row>
    <row r="232" spans="2:21">
      <c r="B232" s="135" t="s">
        <v>123</v>
      </c>
      <c r="C232" s="136">
        <v>-6413035.1216405099</v>
      </c>
      <c r="D232" s="135">
        <v>-4257278.09</v>
      </c>
      <c r="E232" s="56">
        <f t="shared" si="168"/>
        <v>-2542496.7697085398</v>
      </c>
      <c r="F232" s="78">
        <f>+F197-F199</f>
        <v>-136194.16809307272</v>
      </c>
      <c r="G232" s="79">
        <f t="shared" ref="G232:Q232" si="173">+G197-G199</f>
        <v>-261204.80245210908</v>
      </c>
      <c r="H232" s="80">
        <f t="shared" si="173"/>
        <v>-239404.33335796418</v>
      </c>
      <c r="I232" s="79">
        <f t="shared" si="173"/>
        <v>-211361.99499079678</v>
      </c>
      <c r="J232" s="80">
        <f t="shared" si="173"/>
        <v>-341038.79397726047</v>
      </c>
      <c r="K232" s="79">
        <f t="shared" si="173"/>
        <v>-202582.48341415887</v>
      </c>
      <c r="L232" s="80">
        <f t="shared" si="173"/>
        <v>-152324.35221909542</v>
      </c>
      <c r="M232" s="79">
        <f t="shared" si="173"/>
        <v>-142143.74404743864</v>
      </c>
      <c r="N232" s="80">
        <f t="shared" si="173"/>
        <v>-208197.84359754971</v>
      </c>
      <c r="O232" s="79">
        <f t="shared" si="173"/>
        <v>-163677.40168304573</v>
      </c>
      <c r="P232" s="79">
        <f t="shared" si="173"/>
        <v>-157673.75667606652</v>
      </c>
      <c r="Q232" s="69">
        <f t="shared" si="173"/>
        <v>-326693.09519998182</v>
      </c>
    </row>
    <row r="233" spans="2:21">
      <c r="B233" s="137" t="s">
        <v>89</v>
      </c>
      <c r="C233" s="133" t="e">
        <v>#DIV/0!</v>
      </c>
      <c r="D233" s="137">
        <v>-0.18586201540908509</v>
      </c>
      <c r="E233" s="138">
        <f>E232/E182</f>
        <v>-9.6001126527492139E-2</v>
      </c>
      <c r="F233" s="112">
        <f>F232/F182</f>
        <v>-5.70974316966298E-2</v>
      </c>
      <c r="G233" s="113">
        <f t="shared" ref="G233:Q233" si="174">G232/G182</f>
        <v>-0.10907337964366461</v>
      </c>
      <c r="H233" s="114">
        <f t="shared" si="174"/>
        <v>-9.377072959829176E-2</v>
      </c>
      <c r="I233" s="113">
        <f t="shared" si="174"/>
        <v>-7.2103579405270277E-2</v>
      </c>
      <c r="J233" s="114">
        <f t="shared" si="174"/>
        <v>-0.69923198611630955</v>
      </c>
      <c r="K233" s="113">
        <f t="shared" si="174"/>
        <v>-9.0140862131806082E-2</v>
      </c>
      <c r="L233" s="114">
        <f t="shared" si="174"/>
        <v>-6.7778063538826622E-2</v>
      </c>
      <c r="M233" s="113">
        <f t="shared" si="174"/>
        <v>-6.3248112172088103E-2</v>
      </c>
      <c r="N233" s="114">
        <f t="shared" si="174"/>
        <v>-9.2639466155119629E-2</v>
      </c>
      <c r="O233" s="113">
        <f t="shared" si="174"/>
        <v>-7.2829702995794568E-2</v>
      </c>
      <c r="P233" s="113">
        <f t="shared" si="174"/>
        <v>-7.0158328216781501E-2</v>
      </c>
      <c r="Q233" s="110">
        <f t="shared" si="174"/>
        <v>-0.14536497310890581</v>
      </c>
    </row>
    <row r="234" spans="2:21">
      <c r="B234" s="135" t="s">
        <v>124</v>
      </c>
      <c r="C234" s="136">
        <v>0</v>
      </c>
      <c r="D234" s="135">
        <v>290706.43</v>
      </c>
      <c r="E234" s="56">
        <f t="shared" si="168"/>
        <v>0</v>
      </c>
      <c r="F234" s="78"/>
      <c r="G234" s="79"/>
      <c r="H234" s="80"/>
      <c r="I234" s="79"/>
      <c r="J234" s="80"/>
      <c r="K234" s="79"/>
      <c r="L234" s="80"/>
      <c r="M234" s="79"/>
      <c r="N234" s="80"/>
      <c r="O234" s="79"/>
      <c r="P234" s="79"/>
      <c r="Q234" s="69"/>
    </row>
    <row r="235" spans="2:21">
      <c r="B235" s="139" t="s">
        <v>125</v>
      </c>
      <c r="C235" s="140">
        <v>0</v>
      </c>
      <c r="D235" s="140"/>
      <c r="E235" s="55">
        <f t="shared" si="168"/>
        <v>0</v>
      </c>
      <c r="F235" s="97"/>
      <c r="G235" s="98"/>
      <c r="H235" s="99"/>
      <c r="I235" s="98"/>
      <c r="J235" s="99"/>
      <c r="K235" s="98"/>
      <c r="L235" s="99"/>
      <c r="M235" s="98"/>
      <c r="N235" s="99"/>
      <c r="O235" s="98"/>
      <c r="P235" s="98"/>
      <c r="Q235" s="100"/>
    </row>
    <row r="236" spans="2:21">
      <c r="B236" s="139" t="s">
        <v>126</v>
      </c>
      <c r="C236" s="140">
        <v>0</v>
      </c>
      <c r="D236" s="140">
        <v>242982.52999999997</v>
      </c>
      <c r="E236" s="55">
        <f t="shared" si="168"/>
        <v>0</v>
      </c>
      <c r="F236" s="97"/>
      <c r="G236" s="98"/>
      <c r="H236" s="99"/>
      <c r="I236" s="98"/>
      <c r="J236" s="99"/>
      <c r="K236" s="98"/>
      <c r="L236" s="99"/>
      <c r="M236" s="98"/>
      <c r="N236" s="99"/>
      <c r="O236" s="98"/>
      <c r="P236" s="98"/>
      <c r="Q236" s="100"/>
    </row>
    <row r="237" spans="2:21">
      <c r="B237" s="139" t="s">
        <v>127</v>
      </c>
      <c r="C237" s="140">
        <v>0</v>
      </c>
      <c r="D237" s="140"/>
      <c r="E237" s="55">
        <f t="shared" si="168"/>
        <v>0</v>
      </c>
      <c r="F237" s="97"/>
      <c r="G237" s="98"/>
      <c r="H237" s="99"/>
      <c r="I237" s="98"/>
      <c r="J237" s="99"/>
      <c r="K237" s="98"/>
      <c r="L237" s="99"/>
      <c r="M237" s="98"/>
      <c r="N237" s="99"/>
      <c r="O237" s="98"/>
      <c r="P237" s="98"/>
      <c r="Q237" s="100"/>
    </row>
    <row r="238" spans="2:21">
      <c r="B238" s="139" t="s">
        <v>128</v>
      </c>
      <c r="C238" s="140">
        <v>0</v>
      </c>
      <c r="D238" s="140"/>
      <c r="E238" s="55">
        <f t="shared" si="168"/>
        <v>0</v>
      </c>
      <c r="F238" s="97"/>
      <c r="G238" s="98"/>
      <c r="H238" s="99"/>
      <c r="I238" s="98"/>
      <c r="J238" s="99"/>
      <c r="K238" s="98"/>
      <c r="L238" s="99"/>
      <c r="M238" s="98"/>
      <c r="N238" s="99"/>
      <c r="O238" s="98"/>
      <c r="P238" s="98"/>
      <c r="Q238" s="100"/>
      <c r="U238">
        <v>216.2</v>
      </c>
    </row>
    <row r="239" spans="2:21">
      <c r="B239" s="139" t="s">
        <v>129</v>
      </c>
      <c r="C239" s="140">
        <v>0</v>
      </c>
      <c r="D239" s="140"/>
      <c r="E239" s="55">
        <f t="shared" si="168"/>
        <v>0</v>
      </c>
      <c r="F239" s="97"/>
      <c r="G239" s="98"/>
      <c r="H239" s="99"/>
      <c r="I239" s="98"/>
      <c r="J239" s="99"/>
      <c r="K239" s="98"/>
      <c r="L239" s="99"/>
      <c r="M239" s="98"/>
      <c r="N239" s="99"/>
      <c r="O239" s="98"/>
      <c r="P239" s="98"/>
      <c r="Q239" s="100"/>
      <c r="U239">
        <v>23.9</v>
      </c>
    </row>
    <row r="240" spans="2:21">
      <c r="B240" s="139" t="s">
        <v>130</v>
      </c>
      <c r="C240" s="140">
        <v>0</v>
      </c>
      <c r="D240" s="140"/>
      <c r="E240" s="55">
        <f t="shared" si="168"/>
        <v>0</v>
      </c>
      <c r="F240" s="97"/>
      <c r="G240" s="98"/>
      <c r="H240" s="99"/>
      <c r="I240" s="98"/>
      <c r="J240" s="99"/>
      <c r="K240" s="98"/>
      <c r="L240" s="99"/>
      <c r="M240" s="98"/>
      <c r="N240" s="99"/>
      <c r="O240" s="98"/>
      <c r="P240" s="98"/>
      <c r="Q240" s="100"/>
    </row>
    <row r="241" spans="2:17">
      <c r="B241" s="139" t="s">
        <v>131</v>
      </c>
      <c r="C241" s="140">
        <v>0</v>
      </c>
      <c r="D241" s="140">
        <v>47723.9</v>
      </c>
      <c r="E241" s="55">
        <f t="shared" si="168"/>
        <v>0</v>
      </c>
      <c r="F241" s="97"/>
      <c r="G241" s="98"/>
      <c r="H241" s="99"/>
      <c r="I241" s="98"/>
      <c r="J241" s="99"/>
      <c r="K241" s="98"/>
      <c r="L241" s="99"/>
      <c r="M241" s="98"/>
      <c r="N241" s="99"/>
      <c r="O241" s="98"/>
      <c r="P241" s="98"/>
      <c r="Q241" s="100"/>
    </row>
    <row r="242" spans="2:17">
      <c r="B242" s="135" t="s">
        <v>132</v>
      </c>
      <c r="C242" s="136">
        <v>1237928.6399999999</v>
      </c>
      <c r="D242" s="135">
        <v>2566014.0599999996</v>
      </c>
      <c r="E242" s="56">
        <f t="shared" si="168"/>
        <v>296497.15938888863</v>
      </c>
      <c r="F242" s="78">
        <f>SUM(F255)</f>
        <v>15909.833099999989</v>
      </c>
      <c r="G242" s="79">
        <f t="shared" ref="G242:Q242" si="175">SUM(G255)</f>
        <v>38720.448199999984</v>
      </c>
      <c r="H242" s="80">
        <f t="shared" si="175"/>
        <v>18612.222222222219</v>
      </c>
      <c r="I242" s="79">
        <f t="shared" si="175"/>
        <v>15909.833099999989</v>
      </c>
      <c r="J242" s="80">
        <f t="shared" si="175"/>
        <v>30128.174999999988</v>
      </c>
      <c r="K242" s="79">
        <f t="shared" si="175"/>
        <v>26653.770422222209</v>
      </c>
      <c r="L242" s="80">
        <f t="shared" si="175"/>
        <v>15909.833099999989</v>
      </c>
      <c r="M242" s="79">
        <f t="shared" si="175"/>
        <v>32357.909499999951</v>
      </c>
      <c r="N242" s="80">
        <f t="shared" si="175"/>
        <v>28773.603522222198</v>
      </c>
      <c r="O242" s="79">
        <f t="shared" si="175"/>
        <v>14069.027699999977</v>
      </c>
      <c r="P242" s="79">
        <f t="shared" si="175"/>
        <v>13790</v>
      </c>
      <c r="Q242" s="69">
        <f t="shared" si="175"/>
        <v>45662.503522222163</v>
      </c>
    </row>
    <row r="243" spans="2:17">
      <c r="B243" s="16" t="s">
        <v>133</v>
      </c>
      <c r="C243" s="134">
        <v>0</v>
      </c>
      <c r="D243" s="16"/>
      <c r="E243" s="55">
        <f t="shared" si="168"/>
        <v>0</v>
      </c>
      <c r="F243" s="97"/>
      <c r="G243" s="98"/>
      <c r="H243" s="99"/>
      <c r="I243" s="98"/>
      <c r="J243" s="99"/>
      <c r="K243" s="98"/>
      <c r="L243" s="99"/>
      <c r="M243" s="98"/>
      <c r="N243" s="99"/>
      <c r="O243" s="98"/>
      <c r="P243" s="98"/>
      <c r="Q243" s="100"/>
    </row>
    <row r="244" spans="2:17">
      <c r="B244" s="16" t="s">
        <v>134</v>
      </c>
      <c r="C244" s="134">
        <v>0</v>
      </c>
      <c r="D244" s="16"/>
      <c r="E244" s="55">
        <f t="shared" si="168"/>
        <v>0</v>
      </c>
      <c r="F244" s="97"/>
      <c r="G244" s="98"/>
      <c r="H244" s="99"/>
      <c r="I244" s="98"/>
      <c r="J244" s="99"/>
      <c r="K244" s="98"/>
      <c r="L244" s="99"/>
      <c r="M244" s="98"/>
      <c r="N244" s="99"/>
      <c r="O244" s="98"/>
      <c r="P244" s="98"/>
      <c r="Q244" s="100"/>
    </row>
    <row r="245" spans="2:17">
      <c r="B245" s="16" t="s">
        <v>135</v>
      </c>
      <c r="C245" s="134">
        <v>0</v>
      </c>
      <c r="D245" s="16"/>
      <c r="E245" s="55">
        <f t="shared" si="168"/>
        <v>0</v>
      </c>
      <c r="F245" s="97"/>
      <c r="G245" s="98"/>
      <c r="H245" s="99"/>
      <c r="I245" s="98"/>
      <c r="J245" s="99"/>
      <c r="K245" s="98"/>
      <c r="L245" s="99"/>
      <c r="M245" s="98"/>
      <c r="N245" s="99"/>
      <c r="O245" s="98"/>
      <c r="P245" s="98"/>
      <c r="Q245" s="100"/>
    </row>
    <row r="246" spans="2:17">
      <c r="B246" s="16" t="s">
        <v>136</v>
      </c>
      <c r="C246" s="134">
        <v>0</v>
      </c>
      <c r="D246" s="16">
        <v>2566014.0599999996</v>
      </c>
      <c r="E246" s="55">
        <f t="shared" si="168"/>
        <v>0</v>
      </c>
      <c r="F246" s="97"/>
      <c r="G246" s="98"/>
      <c r="H246" s="99"/>
      <c r="I246" s="98"/>
      <c r="J246" s="99"/>
      <c r="K246" s="98"/>
      <c r="L246" s="99"/>
      <c r="M246" s="98"/>
      <c r="N246" s="99"/>
      <c r="O246" s="98"/>
      <c r="P246" s="98"/>
      <c r="Q246" s="100"/>
    </row>
    <row r="247" spans="2:17">
      <c r="B247" s="16" t="s">
        <v>137</v>
      </c>
      <c r="C247" s="134">
        <v>0</v>
      </c>
      <c r="D247" s="16"/>
      <c r="E247" s="55">
        <f t="shared" si="168"/>
        <v>0</v>
      </c>
      <c r="F247" s="97"/>
      <c r="G247" s="98"/>
      <c r="H247" s="99"/>
      <c r="I247" s="98"/>
      <c r="J247" s="99"/>
      <c r="K247" s="98"/>
      <c r="L247" s="99"/>
      <c r="M247" s="98"/>
      <c r="N247" s="99"/>
      <c r="O247" s="98"/>
      <c r="P247" s="98"/>
      <c r="Q247" s="100"/>
    </row>
    <row r="248" spans="2:17">
      <c r="B248" s="16" t="s">
        <v>138</v>
      </c>
      <c r="C248" s="134">
        <v>0</v>
      </c>
      <c r="D248" s="16"/>
      <c r="E248" s="55">
        <f t="shared" si="168"/>
        <v>0</v>
      </c>
      <c r="F248" s="97"/>
      <c r="G248" s="98"/>
      <c r="H248" s="99"/>
      <c r="I248" s="98"/>
      <c r="J248" s="99"/>
      <c r="K248" s="98"/>
      <c r="L248" s="99"/>
      <c r="M248" s="98"/>
      <c r="N248" s="99"/>
      <c r="O248" s="98"/>
      <c r="P248" s="98"/>
      <c r="Q248" s="100"/>
    </row>
    <row r="249" spans="2:17">
      <c r="B249" s="16" t="s">
        <v>139</v>
      </c>
      <c r="C249" s="134">
        <v>0</v>
      </c>
      <c r="D249" s="16"/>
      <c r="E249" s="55">
        <f t="shared" ref="E249:E259" si="176">SUM(F249:Q249)</f>
        <v>0</v>
      </c>
      <c r="F249" s="97"/>
      <c r="G249" s="98"/>
      <c r="H249" s="99"/>
      <c r="I249" s="98"/>
      <c r="J249" s="99"/>
      <c r="K249" s="98"/>
      <c r="L249" s="99"/>
      <c r="M249" s="98"/>
      <c r="N249" s="99"/>
      <c r="O249" s="98"/>
      <c r="P249" s="98"/>
      <c r="Q249" s="100"/>
    </row>
    <row r="250" spans="2:17">
      <c r="B250" s="16" t="s">
        <v>140</v>
      </c>
      <c r="C250" s="134">
        <v>0</v>
      </c>
      <c r="D250" s="16"/>
      <c r="E250" s="55">
        <f t="shared" si="176"/>
        <v>0</v>
      </c>
      <c r="F250" s="97"/>
      <c r="G250" s="98"/>
      <c r="H250" s="99"/>
      <c r="I250" s="98"/>
      <c r="J250" s="99"/>
      <c r="K250" s="98"/>
      <c r="L250" s="99"/>
      <c r="M250" s="98"/>
      <c r="N250" s="99"/>
      <c r="O250" s="98"/>
      <c r="P250" s="98"/>
      <c r="Q250" s="100"/>
    </row>
    <row r="251" spans="2:17">
      <c r="B251" s="16" t="s">
        <v>141</v>
      </c>
      <c r="C251" s="134">
        <v>0</v>
      </c>
      <c r="D251" s="16"/>
      <c r="E251" s="55">
        <f t="shared" si="176"/>
        <v>0</v>
      </c>
      <c r="F251" s="97"/>
      <c r="G251" s="98"/>
      <c r="H251" s="99"/>
      <c r="I251" s="98"/>
      <c r="J251" s="99"/>
      <c r="K251" s="98"/>
      <c r="L251" s="99"/>
      <c r="M251" s="98"/>
      <c r="N251" s="99"/>
      <c r="O251" s="98"/>
      <c r="P251" s="98"/>
      <c r="Q251" s="100"/>
    </row>
    <row r="252" spans="2:17">
      <c r="B252" s="16" t="s">
        <v>142</v>
      </c>
      <c r="C252" s="134">
        <v>0</v>
      </c>
      <c r="D252" s="16"/>
      <c r="E252" s="55">
        <f t="shared" si="176"/>
        <v>0</v>
      </c>
      <c r="F252" s="97"/>
      <c r="G252" s="98"/>
      <c r="H252" s="99"/>
      <c r="I252" s="98"/>
      <c r="J252" s="99"/>
      <c r="K252" s="98"/>
      <c r="L252" s="99"/>
      <c r="M252" s="98"/>
      <c r="N252" s="99"/>
      <c r="O252" s="98"/>
      <c r="P252" s="98"/>
      <c r="Q252" s="100"/>
    </row>
    <row r="253" spans="2:17">
      <c r="B253" s="16" t="s">
        <v>143</v>
      </c>
      <c r="C253" s="134">
        <v>0</v>
      </c>
      <c r="D253" s="16"/>
      <c r="E253" s="55">
        <f t="shared" si="176"/>
        <v>0</v>
      </c>
      <c r="F253" s="97"/>
      <c r="G253" s="98"/>
      <c r="H253" s="99"/>
      <c r="I253" s="98"/>
      <c r="J253" s="99"/>
      <c r="K253" s="98"/>
      <c r="L253" s="99"/>
      <c r="M253" s="98"/>
      <c r="N253" s="99"/>
      <c r="O253" s="98"/>
      <c r="P253" s="98"/>
      <c r="Q253" s="100"/>
    </row>
    <row r="254" spans="2:17">
      <c r="B254" s="16" t="s">
        <v>144</v>
      </c>
      <c r="C254" s="134">
        <v>0</v>
      </c>
      <c r="D254" s="16"/>
      <c r="E254" s="55">
        <f t="shared" si="176"/>
        <v>0</v>
      </c>
      <c r="F254" s="97"/>
      <c r="G254" s="98"/>
      <c r="H254" s="99"/>
      <c r="I254" s="98"/>
      <c r="J254" s="99"/>
      <c r="K254" s="98"/>
      <c r="L254" s="99"/>
      <c r="M254" s="98"/>
      <c r="N254" s="99"/>
      <c r="O254" s="98"/>
      <c r="P254" s="98"/>
      <c r="Q254" s="100"/>
    </row>
    <row r="255" spans="2:17">
      <c r="B255" s="16" t="s">
        <v>145</v>
      </c>
      <c r="C255" s="134">
        <v>1237928.6399999999</v>
      </c>
      <c r="D255" s="16"/>
      <c r="E255" s="55">
        <f t="shared" si="176"/>
        <v>296497.15938888863</v>
      </c>
      <c r="F255" s="97">
        <v>15909.833099999989</v>
      </c>
      <c r="G255" s="98">
        <v>38720.448199999984</v>
      </c>
      <c r="H255" s="99">
        <v>18612.222222222219</v>
      </c>
      <c r="I255" s="98">
        <v>15909.833099999989</v>
      </c>
      <c r="J255" s="99">
        <v>30128.174999999988</v>
      </c>
      <c r="K255" s="98">
        <v>26653.770422222209</v>
      </c>
      <c r="L255" s="99">
        <v>15909.833099999989</v>
      </c>
      <c r="M255" s="98">
        <v>32357.909499999951</v>
      </c>
      <c r="N255" s="99">
        <v>28773.603522222198</v>
      </c>
      <c r="O255" s="98">
        <v>14069.027699999977</v>
      </c>
      <c r="P255" s="98">
        <v>13790</v>
      </c>
      <c r="Q255" s="100">
        <v>45662.503522222163</v>
      </c>
    </row>
    <row r="256" spans="2:17">
      <c r="B256" s="141" t="s">
        <v>146</v>
      </c>
      <c r="C256" s="142">
        <v>0</v>
      </c>
      <c r="D256" s="142">
        <v>-6532585.7199999988</v>
      </c>
      <c r="E256" s="56">
        <f t="shared" si="176"/>
        <v>-2838993.9290974285</v>
      </c>
      <c r="F256" s="101">
        <f>F232+F234-F242</f>
        <v>-152104.00119307271</v>
      </c>
      <c r="G256" s="101">
        <f t="shared" ref="G256:Q256" si="177">G232+G234-G242</f>
        <v>-299925.25065210904</v>
      </c>
      <c r="H256" s="101">
        <f t="shared" si="177"/>
        <v>-258016.5555801864</v>
      </c>
      <c r="I256" s="101">
        <f t="shared" si="177"/>
        <v>-227271.82809079677</v>
      </c>
      <c r="J256" s="101">
        <f t="shared" si="177"/>
        <v>-371166.96897726046</v>
      </c>
      <c r="K256" s="101">
        <f t="shared" si="177"/>
        <v>-229236.25383638107</v>
      </c>
      <c r="L256" s="101">
        <f t="shared" si="177"/>
        <v>-168234.18531909541</v>
      </c>
      <c r="M256" s="101">
        <f t="shared" si="177"/>
        <v>-174501.65354743859</v>
      </c>
      <c r="N256" s="101">
        <f t="shared" si="177"/>
        <v>-236971.44711977191</v>
      </c>
      <c r="O256" s="101">
        <f t="shared" si="177"/>
        <v>-177746.4293830457</v>
      </c>
      <c r="P256" s="101">
        <f t="shared" si="177"/>
        <v>-171463.75667606652</v>
      </c>
      <c r="Q256" s="101">
        <f t="shared" si="177"/>
        <v>-372355.59872220398</v>
      </c>
    </row>
    <row r="257" spans="2:17">
      <c r="B257" s="16" t="s">
        <v>147</v>
      </c>
      <c r="C257" s="134">
        <v>0</v>
      </c>
      <c r="D257" s="134"/>
      <c r="E257" s="55">
        <f t="shared" si="176"/>
        <v>0</v>
      </c>
      <c r="F257" s="97"/>
      <c r="G257" s="98"/>
      <c r="H257" s="99"/>
      <c r="I257" s="98"/>
      <c r="J257" s="99"/>
      <c r="K257" s="98"/>
      <c r="L257" s="99"/>
      <c r="M257" s="98"/>
      <c r="N257" s="99"/>
      <c r="O257" s="98"/>
      <c r="P257" s="98"/>
      <c r="Q257" s="100"/>
    </row>
    <row r="258" spans="2:17">
      <c r="B258" s="141" t="s">
        <v>148</v>
      </c>
      <c r="C258" s="142">
        <v>-7650963.7616405105</v>
      </c>
      <c r="D258" s="142">
        <v>-6532585.7199999988</v>
      </c>
      <c r="E258" s="56">
        <f t="shared" si="176"/>
        <v>-2838993.9290974285</v>
      </c>
      <c r="F258" s="101">
        <f>+F232-F242</f>
        <v>-152104.00119307271</v>
      </c>
      <c r="G258" s="102">
        <f t="shared" ref="G258:Q258" si="178">+G232-G242</f>
        <v>-299925.25065210904</v>
      </c>
      <c r="H258" s="103">
        <f t="shared" si="178"/>
        <v>-258016.5555801864</v>
      </c>
      <c r="I258" s="102">
        <f t="shared" si="178"/>
        <v>-227271.82809079677</v>
      </c>
      <c r="J258" s="103">
        <f t="shared" si="178"/>
        <v>-371166.96897726046</v>
      </c>
      <c r="K258" s="102">
        <f t="shared" si="178"/>
        <v>-229236.25383638107</v>
      </c>
      <c r="L258" s="103">
        <f t="shared" si="178"/>
        <v>-168234.18531909541</v>
      </c>
      <c r="M258" s="102">
        <f t="shared" si="178"/>
        <v>-174501.65354743859</v>
      </c>
      <c r="N258" s="103">
        <f t="shared" si="178"/>
        <v>-236971.44711977191</v>
      </c>
      <c r="O258" s="102">
        <f t="shared" si="178"/>
        <v>-177746.4293830457</v>
      </c>
      <c r="P258" s="102">
        <f t="shared" si="178"/>
        <v>-171463.75667606652</v>
      </c>
      <c r="Q258" s="104">
        <f t="shared" si="178"/>
        <v>-372355.59872220398</v>
      </c>
    </row>
    <row r="259" spans="2:17">
      <c r="B259" s="143" t="s">
        <v>149</v>
      </c>
      <c r="C259" s="144" t="e">
        <v>#DIV/0!</v>
      </c>
      <c r="D259" s="105">
        <f t="shared" ref="D259:Q259" si="179">D258/D182</f>
        <v>-0.28519620332150047</v>
      </c>
      <c r="E259" s="58">
        <f t="shared" si="176"/>
        <v>-1.809618856297269</v>
      </c>
      <c r="F259" s="105">
        <f t="shared" si="179"/>
        <v>-6.3767398711012072E-2</v>
      </c>
      <c r="G259" s="106">
        <f t="shared" si="179"/>
        <v>-0.12524218705778473</v>
      </c>
      <c r="H259" s="107">
        <f t="shared" si="179"/>
        <v>-0.10106083012714778</v>
      </c>
      <c r="I259" s="106">
        <f t="shared" si="179"/>
        <v>-7.7531025878324222E-2</v>
      </c>
      <c r="J259" s="107">
        <f t="shared" si="179"/>
        <v>-0.7610037962896542</v>
      </c>
      <c r="K259" s="106">
        <f t="shared" si="179"/>
        <v>-0.10200069228311531</v>
      </c>
      <c r="L259" s="107">
        <f t="shared" si="179"/>
        <v>-7.4857284051072115E-2</v>
      </c>
      <c r="M259" s="106">
        <f t="shared" si="179"/>
        <v>-7.7646049298517344E-2</v>
      </c>
      <c r="N259" s="107">
        <f t="shared" si="179"/>
        <v>-0.10544253473449615</v>
      </c>
      <c r="O259" s="106">
        <f t="shared" si="179"/>
        <v>-7.9089840915229428E-2</v>
      </c>
      <c r="P259" s="106">
        <f t="shared" si="179"/>
        <v>-7.6294310300959692E-2</v>
      </c>
      <c r="Q259" s="108">
        <f t="shared" si="179"/>
        <v>-0.16568290664995577</v>
      </c>
    </row>
    <row r="264" spans="2:17">
      <c r="G264" s="1">
        <f>G232*190</f>
        <v>-49628912.465900727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74A6-3BAD-4F58-9168-AB98E09AF681}">
  <dimension ref="A2:U159"/>
  <sheetViews>
    <sheetView topLeftCell="A128" zoomScale="55" zoomScaleNormal="55" workbookViewId="0">
      <selection activeCell="E159" sqref="E159"/>
    </sheetView>
  </sheetViews>
  <sheetFormatPr defaultRowHeight="17.25"/>
  <cols>
    <col min="1" max="1" width="3.25" style="1" customWidth="1"/>
    <col min="2" max="4" width="28.75" style="1" customWidth="1"/>
    <col min="5" max="5" width="25.75" style="1" customWidth="1"/>
    <col min="6" max="6" width="15.75" style="1" bestFit="1" customWidth="1"/>
    <col min="7" max="13" width="13.375" style="1" bestFit="1" customWidth="1"/>
    <col min="14" max="14" width="14.75" style="1" bestFit="1" customWidth="1"/>
    <col min="15" max="17" width="13.375" style="1" bestFit="1" customWidth="1"/>
    <col min="18" max="18" width="12.625" bestFit="1" customWidth="1"/>
    <col min="19" max="19" width="13.75" bestFit="1" customWidth="1"/>
    <col min="21" max="21" width="11.25" bestFit="1" customWidth="1"/>
    <col min="259" max="259" width="3.25" customWidth="1"/>
    <col min="260" max="260" width="28.75" customWidth="1"/>
    <col min="261" max="261" width="25.75" customWidth="1"/>
    <col min="262" max="262" width="15.75" bestFit="1" customWidth="1"/>
    <col min="263" max="269" width="13.375" bestFit="1" customWidth="1"/>
    <col min="270" max="270" width="14.75" bestFit="1" customWidth="1"/>
    <col min="271" max="273" width="13.375" bestFit="1" customWidth="1"/>
    <col min="275" max="275" width="13.75" bestFit="1" customWidth="1"/>
    <col min="277" max="277" width="11.25" bestFit="1" customWidth="1"/>
    <col min="515" max="515" width="3.25" customWidth="1"/>
    <col min="516" max="516" width="28.75" customWidth="1"/>
    <col min="517" max="517" width="25.75" customWidth="1"/>
    <col min="518" max="518" width="15.75" bestFit="1" customWidth="1"/>
    <col min="519" max="525" width="13.375" bestFit="1" customWidth="1"/>
    <col min="526" max="526" width="14.75" bestFit="1" customWidth="1"/>
    <col min="527" max="529" width="13.375" bestFit="1" customWidth="1"/>
    <col min="531" max="531" width="13.75" bestFit="1" customWidth="1"/>
    <col min="533" max="533" width="11.25" bestFit="1" customWidth="1"/>
    <col min="771" max="771" width="3.25" customWidth="1"/>
    <col min="772" max="772" width="28.75" customWidth="1"/>
    <col min="773" max="773" width="25.75" customWidth="1"/>
    <col min="774" max="774" width="15.75" bestFit="1" customWidth="1"/>
    <col min="775" max="781" width="13.375" bestFit="1" customWidth="1"/>
    <col min="782" max="782" width="14.75" bestFit="1" customWidth="1"/>
    <col min="783" max="785" width="13.375" bestFit="1" customWidth="1"/>
    <col min="787" max="787" width="13.75" bestFit="1" customWidth="1"/>
    <col min="789" max="789" width="11.25" bestFit="1" customWidth="1"/>
    <col min="1027" max="1027" width="3.25" customWidth="1"/>
    <col min="1028" max="1028" width="28.75" customWidth="1"/>
    <col min="1029" max="1029" width="25.75" customWidth="1"/>
    <col min="1030" max="1030" width="15.75" bestFit="1" customWidth="1"/>
    <col min="1031" max="1037" width="13.375" bestFit="1" customWidth="1"/>
    <col min="1038" max="1038" width="14.75" bestFit="1" customWidth="1"/>
    <col min="1039" max="1041" width="13.375" bestFit="1" customWidth="1"/>
    <col min="1043" max="1043" width="13.75" bestFit="1" customWidth="1"/>
    <col min="1045" max="1045" width="11.25" bestFit="1" customWidth="1"/>
    <col min="1283" max="1283" width="3.25" customWidth="1"/>
    <col min="1284" max="1284" width="28.75" customWidth="1"/>
    <col min="1285" max="1285" width="25.75" customWidth="1"/>
    <col min="1286" max="1286" width="15.75" bestFit="1" customWidth="1"/>
    <col min="1287" max="1293" width="13.375" bestFit="1" customWidth="1"/>
    <col min="1294" max="1294" width="14.75" bestFit="1" customWidth="1"/>
    <col min="1295" max="1297" width="13.375" bestFit="1" customWidth="1"/>
    <col min="1299" max="1299" width="13.75" bestFit="1" customWidth="1"/>
    <col min="1301" max="1301" width="11.25" bestFit="1" customWidth="1"/>
    <col min="1539" max="1539" width="3.25" customWidth="1"/>
    <col min="1540" max="1540" width="28.75" customWidth="1"/>
    <col min="1541" max="1541" width="25.75" customWidth="1"/>
    <col min="1542" max="1542" width="15.75" bestFit="1" customWidth="1"/>
    <col min="1543" max="1549" width="13.375" bestFit="1" customWidth="1"/>
    <col min="1550" max="1550" width="14.75" bestFit="1" customWidth="1"/>
    <col min="1551" max="1553" width="13.375" bestFit="1" customWidth="1"/>
    <col min="1555" max="1555" width="13.75" bestFit="1" customWidth="1"/>
    <col min="1557" max="1557" width="11.25" bestFit="1" customWidth="1"/>
    <col min="1795" max="1795" width="3.25" customWidth="1"/>
    <col min="1796" max="1796" width="28.75" customWidth="1"/>
    <col min="1797" max="1797" width="25.75" customWidth="1"/>
    <col min="1798" max="1798" width="15.75" bestFit="1" customWidth="1"/>
    <col min="1799" max="1805" width="13.375" bestFit="1" customWidth="1"/>
    <col min="1806" max="1806" width="14.75" bestFit="1" customWidth="1"/>
    <col min="1807" max="1809" width="13.375" bestFit="1" customWidth="1"/>
    <col min="1811" max="1811" width="13.75" bestFit="1" customWidth="1"/>
    <col min="1813" max="1813" width="11.25" bestFit="1" customWidth="1"/>
    <col min="2051" max="2051" width="3.25" customWidth="1"/>
    <col min="2052" max="2052" width="28.75" customWidth="1"/>
    <col min="2053" max="2053" width="25.75" customWidth="1"/>
    <col min="2054" max="2054" width="15.75" bestFit="1" customWidth="1"/>
    <col min="2055" max="2061" width="13.375" bestFit="1" customWidth="1"/>
    <col min="2062" max="2062" width="14.75" bestFit="1" customWidth="1"/>
    <col min="2063" max="2065" width="13.375" bestFit="1" customWidth="1"/>
    <col min="2067" max="2067" width="13.75" bestFit="1" customWidth="1"/>
    <col min="2069" max="2069" width="11.25" bestFit="1" customWidth="1"/>
    <col min="2307" max="2307" width="3.25" customWidth="1"/>
    <col min="2308" max="2308" width="28.75" customWidth="1"/>
    <col min="2309" max="2309" width="25.75" customWidth="1"/>
    <col min="2310" max="2310" width="15.75" bestFit="1" customWidth="1"/>
    <col min="2311" max="2317" width="13.375" bestFit="1" customWidth="1"/>
    <col min="2318" max="2318" width="14.75" bestFit="1" customWidth="1"/>
    <col min="2319" max="2321" width="13.375" bestFit="1" customWidth="1"/>
    <col min="2323" max="2323" width="13.75" bestFit="1" customWidth="1"/>
    <col min="2325" max="2325" width="11.25" bestFit="1" customWidth="1"/>
    <col min="2563" max="2563" width="3.25" customWidth="1"/>
    <col min="2564" max="2564" width="28.75" customWidth="1"/>
    <col min="2565" max="2565" width="25.75" customWidth="1"/>
    <col min="2566" max="2566" width="15.75" bestFit="1" customWidth="1"/>
    <col min="2567" max="2573" width="13.375" bestFit="1" customWidth="1"/>
    <col min="2574" max="2574" width="14.75" bestFit="1" customWidth="1"/>
    <col min="2575" max="2577" width="13.375" bestFit="1" customWidth="1"/>
    <col min="2579" max="2579" width="13.75" bestFit="1" customWidth="1"/>
    <col min="2581" max="2581" width="11.25" bestFit="1" customWidth="1"/>
    <col min="2819" max="2819" width="3.25" customWidth="1"/>
    <col min="2820" max="2820" width="28.75" customWidth="1"/>
    <col min="2821" max="2821" width="25.75" customWidth="1"/>
    <col min="2822" max="2822" width="15.75" bestFit="1" customWidth="1"/>
    <col min="2823" max="2829" width="13.375" bestFit="1" customWidth="1"/>
    <col min="2830" max="2830" width="14.75" bestFit="1" customWidth="1"/>
    <col min="2831" max="2833" width="13.375" bestFit="1" customWidth="1"/>
    <col min="2835" max="2835" width="13.75" bestFit="1" customWidth="1"/>
    <col min="2837" max="2837" width="11.25" bestFit="1" customWidth="1"/>
    <col min="3075" max="3075" width="3.25" customWidth="1"/>
    <col min="3076" max="3076" width="28.75" customWidth="1"/>
    <col min="3077" max="3077" width="25.75" customWidth="1"/>
    <col min="3078" max="3078" width="15.75" bestFit="1" customWidth="1"/>
    <col min="3079" max="3085" width="13.375" bestFit="1" customWidth="1"/>
    <col min="3086" max="3086" width="14.75" bestFit="1" customWidth="1"/>
    <col min="3087" max="3089" width="13.375" bestFit="1" customWidth="1"/>
    <col min="3091" max="3091" width="13.75" bestFit="1" customWidth="1"/>
    <col min="3093" max="3093" width="11.25" bestFit="1" customWidth="1"/>
    <col min="3331" max="3331" width="3.25" customWidth="1"/>
    <col min="3332" max="3332" width="28.75" customWidth="1"/>
    <col min="3333" max="3333" width="25.75" customWidth="1"/>
    <col min="3334" max="3334" width="15.75" bestFit="1" customWidth="1"/>
    <col min="3335" max="3341" width="13.375" bestFit="1" customWidth="1"/>
    <col min="3342" max="3342" width="14.75" bestFit="1" customWidth="1"/>
    <col min="3343" max="3345" width="13.375" bestFit="1" customWidth="1"/>
    <col min="3347" max="3347" width="13.75" bestFit="1" customWidth="1"/>
    <col min="3349" max="3349" width="11.25" bestFit="1" customWidth="1"/>
    <col min="3587" max="3587" width="3.25" customWidth="1"/>
    <col min="3588" max="3588" width="28.75" customWidth="1"/>
    <col min="3589" max="3589" width="25.75" customWidth="1"/>
    <col min="3590" max="3590" width="15.75" bestFit="1" customWidth="1"/>
    <col min="3591" max="3597" width="13.375" bestFit="1" customWidth="1"/>
    <col min="3598" max="3598" width="14.75" bestFit="1" customWidth="1"/>
    <col min="3599" max="3601" width="13.375" bestFit="1" customWidth="1"/>
    <col min="3603" max="3603" width="13.75" bestFit="1" customWidth="1"/>
    <col min="3605" max="3605" width="11.25" bestFit="1" customWidth="1"/>
    <col min="3843" max="3843" width="3.25" customWidth="1"/>
    <col min="3844" max="3844" width="28.75" customWidth="1"/>
    <col min="3845" max="3845" width="25.75" customWidth="1"/>
    <col min="3846" max="3846" width="15.75" bestFit="1" customWidth="1"/>
    <col min="3847" max="3853" width="13.375" bestFit="1" customWidth="1"/>
    <col min="3854" max="3854" width="14.75" bestFit="1" customWidth="1"/>
    <col min="3855" max="3857" width="13.375" bestFit="1" customWidth="1"/>
    <col min="3859" max="3859" width="13.75" bestFit="1" customWidth="1"/>
    <col min="3861" max="3861" width="11.25" bestFit="1" customWidth="1"/>
    <col min="4099" max="4099" width="3.25" customWidth="1"/>
    <col min="4100" max="4100" width="28.75" customWidth="1"/>
    <col min="4101" max="4101" width="25.75" customWidth="1"/>
    <col min="4102" max="4102" width="15.75" bestFit="1" customWidth="1"/>
    <col min="4103" max="4109" width="13.375" bestFit="1" customWidth="1"/>
    <col min="4110" max="4110" width="14.75" bestFit="1" customWidth="1"/>
    <col min="4111" max="4113" width="13.375" bestFit="1" customWidth="1"/>
    <col min="4115" max="4115" width="13.75" bestFit="1" customWidth="1"/>
    <col min="4117" max="4117" width="11.25" bestFit="1" customWidth="1"/>
    <col min="4355" max="4355" width="3.25" customWidth="1"/>
    <col min="4356" max="4356" width="28.75" customWidth="1"/>
    <col min="4357" max="4357" width="25.75" customWidth="1"/>
    <col min="4358" max="4358" width="15.75" bestFit="1" customWidth="1"/>
    <col min="4359" max="4365" width="13.375" bestFit="1" customWidth="1"/>
    <col min="4366" max="4366" width="14.75" bestFit="1" customWidth="1"/>
    <col min="4367" max="4369" width="13.375" bestFit="1" customWidth="1"/>
    <col min="4371" max="4371" width="13.75" bestFit="1" customWidth="1"/>
    <col min="4373" max="4373" width="11.25" bestFit="1" customWidth="1"/>
    <col min="4611" max="4611" width="3.25" customWidth="1"/>
    <col min="4612" max="4612" width="28.75" customWidth="1"/>
    <col min="4613" max="4613" width="25.75" customWidth="1"/>
    <col min="4614" max="4614" width="15.75" bestFit="1" customWidth="1"/>
    <col min="4615" max="4621" width="13.375" bestFit="1" customWidth="1"/>
    <col min="4622" max="4622" width="14.75" bestFit="1" customWidth="1"/>
    <col min="4623" max="4625" width="13.375" bestFit="1" customWidth="1"/>
    <col min="4627" max="4627" width="13.75" bestFit="1" customWidth="1"/>
    <col min="4629" max="4629" width="11.25" bestFit="1" customWidth="1"/>
    <col min="4867" max="4867" width="3.25" customWidth="1"/>
    <col min="4868" max="4868" width="28.75" customWidth="1"/>
    <col min="4869" max="4869" width="25.75" customWidth="1"/>
    <col min="4870" max="4870" width="15.75" bestFit="1" customWidth="1"/>
    <col min="4871" max="4877" width="13.375" bestFit="1" customWidth="1"/>
    <col min="4878" max="4878" width="14.75" bestFit="1" customWidth="1"/>
    <col min="4879" max="4881" width="13.375" bestFit="1" customWidth="1"/>
    <col min="4883" max="4883" width="13.75" bestFit="1" customWidth="1"/>
    <col min="4885" max="4885" width="11.25" bestFit="1" customWidth="1"/>
    <col min="5123" max="5123" width="3.25" customWidth="1"/>
    <col min="5124" max="5124" width="28.75" customWidth="1"/>
    <col min="5125" max="5125" width="25.75" customWidth="1"/>
    <col min="5126" max="5126" width="15.75" bestFit="1" customWidth="1"/>
    <col min="5127" max="5133" width="13.375" bestFit="1" customWidth="1"/>
    <col min="5134" max="5134" width="14.75" bestFit="1" customWidth="1"/>
    <col min="5135" max="5137" width="13.375" bestFit="1" customWidth="1"/>
    <col min="5139" max="5139" width="13.75" bestFit="1" customWidth="1"/>
    <col min="5141" max="5141" width="11.25" bestFit="1" customWidth="1"/>
    <col min="5379" max="5379" width="3.25" customWidth="1"/>
    <col min="5380" max="5380" width="28.75" customWidth="1"/>
    <col min="5381" max="5381" width="25.75" customWidth="1"/>
    <col min="5382" max="5382" width="15.75" bestFit="1" customWidth="1"/>
    <col min="5383" max="5389" width="13.375" bestFit="1" customWidth="1"/>
    <col min="5390" max="5390" width="14.75" bestFit="1" customWidth="1"/>
    <col min="5391" max="5393" width="13.375" bestFit="1" customWidth="1"/>
    <col min="5395" max="5395" width="13.75" bestFit="1" customWidth="1"/>
    <col min="5397" max="5397" width="11.25" bestFit="1" customWidth="1"/>
    <col min="5635" max="5635" width="3.25" customWidth="1"/>
    <col min="5636" max="5636" width="28.75" customWidth="1"/>
    <col min="5637" max="5637" width="25.75" customWidth="1"/>
    <col min="5638" max="5638" width="15.75" bestFit="1" customWidth="1"/>
    <col min="5639" max="5645" width="13.375" bestFit="1" customWidth="1"/>
    <col min="5646" max="5646" width="14.75" bestFit="1" customWidth="1"/>
    <col min="5647" max="5649" width="13.375" bestFit="1" customWidth="1"/>
    <col min="5651" max="5651" width="13.75" bestFit="1" customWidth="1"/>
    <col min="5653" max="5653" width="11.25" bestFit="1" customWidth="1"/>
    <col min="5891" max="5891" width="3.25" customWidth="1"/>
    <col min="5892" max="5892" width="28.75" customWidth="1"/>
    <col min="5893" max="5893" width="25.75" customWidth="1"/>
    <col min="5894" max="5894" width="15.75" bestFit="1" customWidth="1"/>
    <col min="5895" max="5901" width="13.375" bestFit="1" customWidth="1"/>
    <col min="5902" max="5902" width="14.75" bestFit="1" customWidth="1"/>
    <col min="5903" max="5905" width="13.375" bestFit="1" customWidth="1"/>
    <col min="5907" max="5907" width="13.75" bestFit="1" customWidth="1"/>
    <col min="5909" max="5909" width="11.25" bestFit="1" customWidth="1"/>
    <col min="6147" max="6147" width="3.25" customWidth="1"/>
    <col min="6148" max="6148" width="28.75" customWidth="1"/>
    <col min="6149" max="6149" width="25.75" customWidth="1"/>
    <col min="6150" max="6150" width="15.75" bestFit="1" customWidth="1"/>
    <col min="6151" max="6157" width="13.375" bestFit="1" customWidth="1"/>
    <col min="6158" max="6158" width="14.75" bestFit="1" customWidth="1"/>
    <col min="6159" max="6161" width="13.375" bestFit="1" customWidth="1"/>
    <col min="6163" max="6163" width="13.75" bestFit="1" customWidth="1"/>
    <col min="6165" max="6165" width="11.25" bestFit="1" customWidth="1"/>
    <col min="6403" max="6403" width="3.25" customWidth="1"/>
    <col min="6404" max="6404" width="28.75" customWidth="1"/>
    <col min="6405" max="6405" width="25.75" customWidth="1"/>
    <col min="6406" max="6406" width="15.75" bestFit="1" customWidth="1"/>
    <col min="6407" max="6413" width="13.375" bestFit="1" customWidth="1"/>
    <col min="6414" max="6414" width="14.75" bestFit="1" customWidth="1"/>
    <col min="6415" max="6417" width="13.375" bestFit="1" customWidth="1"/>
    <col min="6419" max="6419" width="13.75" bestFit="1" customWidth="1"/>
    <col min="6421" max="6421" width="11.25" bestFit="1" customWidth="1"/>
    <col min="6659" max="6659" width="3.25" customWidth="1"/>
    <col min="6660" max="6660" width="28.75" customWidth="1"/>
    <col min="6661" max="6661" width="25.75" customWidth="1"/>
    <col min="6662" max="6662" width="15.75" bestFit="1" customWidth="1"/>
    <col min="6663" max="6669" width="13.375" bestFit="1" customWidth="1"/>
    <col min="6670" max="6670" width="14.75" bestFit="1" customWidth="1"/>
    <col min="6671" max="6673" width="13.375" bestFit="1" customWidth="1"/>
    <col min="6675" max="6675" width="13.75" bestFit="1" customWidth="1"/>
    <col min="6677" max="6677" width="11.25" bestFit="1" customWidth="1"/>
    <col min="6915" max="6915" width="3.25" customWidth="1"/>
    <col min="6916" max="6916" width="28.75" customWidth="1"/>
    <col min="6917" max="6917" width="25.75" customWidth="1"/>
    <col min="6918" max="6918" width="15.75" bestFit="1" customWidth="1"/>
    <col min="6919" max="6925" width="13.375" bestFit="1" customWidth="1"/>
    <col min="6926" max="6926" width="14.75" bestFit="1" customWidth="1"/>
    <col min="6927" max="6929" width="13.375" bestFit="1" customWidth="1"/>
    <col min="6931" max="6931" width="13.75" bestFit="1" customWidth="1"/>
    <col min="6933" max="6933" width="11.25" bestFit="1" customWidth="1"/>
    <col min="7171" max="7171" width="3.25" customWidth="1"/>
    <col min="7172" max="7172" width="28.75" customWidth="1"/>
    <col min="7173" max="7173" width="25.75" customWidth="1"/>
    <col min="7174" max="7174" width="15.75" bestFit="1" customWidth="1"/>
    <col min="7175" max="7181" width="13.375" bestFit="1" customWidth="1"/>
    <col min="7182" max="7182" width="14.75" bestFit="1" customWidth="1"/>
    <col min="7183" max="7185" width="13.375" bestFit="1" customWidth="1"/>
    <col min="7187" max="7187" width="13.75" bestFit="1" customWidth="1"/>
    <col min="7189" max="7189" width="11.25" bestFit="1" customWidth="1"/>
    <col min="7427" max="7427" width="3.25" customWidth="1"/>
    <col min="7428" max="7428" width="28.75" customWidth="1"/>
    <col min="7429" max="7429" width="25.75" customWidth="1"/>
    <col min="7430" max="7430" width="15.75" bestFit="1" customWidth="1"/>
    <col min="7431" max="7437" width="13.375" bestFit="1" customWidth="1"/>
    <col min="7438" max="7438" width="14.75" bestFit="1" customWidth="1"/>
    <col min="7439" max="7441" width="13.375" bestFit="1" customWidth="1"/>
    <col min="7443" max="7443" width="13.75" bestFit="1" customWidth="1"/>
    <col min="7445" max="7445" width="11.25" bestFit="1" customWidth="1"/>
    <col min="7683" max="7683" width="3.25" customWidth="1"/>
    <col min="7684" max="7684" width="28.75" customWidth="1"/>
    <col min="7685" max="7685" width="25.75" customWidth="1"/>
    <col min="7686" max="7686" width="15.75" bestFit="1" customWidth="1"/>
    <col min="7687" max="7693" width="13.375" bestFit="1" customWidth="1"/>
    <col min="7694" max="7694" width="14.75" bestFit="1" customWidth="1"/>
    <col min="7695" max="7697" width="13.375" bestFit="1" customWidth="1"/>
    <col min="7699" max="7699" width="13.75" bestFit="1" customWidth="1"/>
    <col min="7701" max="7701" width="11.25" bestFit="1" customWidth="1"/>
    <col min="7939" max="7939" width="3.25" customWidth="1"/>
    <col min="7940" max="7940" width="28.75" customWidth="1"/>
    <col min="7941" max="7941" width="25.75" customWidth="1"/>
    <col min="7942" max="7942" width="15.75" bestFit="1" customWidth="1"/>
    <col min="7943" max="7949" width="13.375" bestFit="1" customWidth="1"/>
    <col min="7950" max="7950" width="14.75" bestFit="1" customWidth="1"/>
    <col min="7951" max="7953" width="13.375" bestFit="1" customWidth="1"/>
    <col min="7955" max="7955" width="13.75" bestFit="1" customWidth="1"/>
    <col min="7957" max="7957" width="11.25" bestFit="1" customWidth="1"/>
    <col min="8195" max="8195" width="3.25" customWidth="1"/>
    <col min="8196" max="8196" width="28.75" customWidth="1"/>
    <col min="8197" max="8197" width="25.75" customWidth="1"/>
    <col min="8198" max="8198" width="15.75" bestFit="1" customWidth="1"/>
    <col min="8199" max="8205" width="13.375" bestFit="1" customWidth="1"/>
    <col min="8206" max="8206" width="14.75" bestFit="1" customWidth="1"/>
    <col min="8207" max="8209" width="13.375" bestFit="1" customWidth="1"/>
    <col min="8211" max="8211" width="13.75" bestFit="1" customWidth="1"/>
    <col min="8213" max="8213" width="11.25" bestFit="1" customWidth="1"/>
    <col min="8451" max="8451" width="3.25" customWidth="1"/>
    <col min="8452" max="8452" width="28.75" customWidth="1"/>
    <col min="8453" max="8453" width="25.75" customWidth="1"/>
    <col min="8454" max="8454" width="15.75" bestFit="1" customWidth="1"/>
    <col min="8455" max="8461" width="13.375" bestFit="1" customWidth="1"/>
    <col min="8462" max="8462" width="14.75" bestFit="1" customWidth="1"/>
    <col min="8463" max="8465" width="13.375" bestFit="1" customWidth="1"/>
    <col min="8467" max="8467" width="13.75" bestFit="1" customWidth="1"/>
    <col min="8469" max="8469" width="11.25" bestFit="1" customWidth="1"/>
    <col min="8707" max="8707" width="3.25" customWidth="1"/>
    <col min="8708" max="8708" width="28.75" customWidth="1"/>
    <col min="8709" max="8709" width="25.75" customWidth="1"/>
    <col min="8710" max="8710" width="15.75" bestFit="1" customWidth="1"/>
    <col min="8711" max="8717" width="13.375" bestFit="1" customWidth="1"/>
    <col min="8718" max="8718" width="14.75" bestFit="1" customWidth="1"/>
    <col min="8719" max="8721" width="13.375" bestFit="1" customWidth="1"/>
    <col min="8723" max="8723" width="13.75" bestFit="1" customWidth="1"/>
    <col min="8725" max="8725" width="11.25" bestFit="1" customWidth="1"/>
    <col min="8963" max="8963" width="3.25" customWidth="1"/>
    <col min="8964" max="8964" width="28.75" customWidth="1"/>
    <col min="8965" max="8965" width="25.75" customWidth="1"/>
    <col min="8966" max="8966" width="15.75" bestFit="1" customWidth="1"/>
    <col min="8967" max="8973" width="13.375" bestFit="1" customWidth="1"/>
    <col min="8974" max="8974" width="14.75" bestFit="1" customWidth="1"/>
    <col min="8975" max="8977" width="13.375" bestFit="1" customWidth="1"/>
    <col min="8979" max="8979" width="13.75" bestFit="1" customWidth="1"/>
    <col min="8981" max="8981" width="11.25" bestFit="1" customWidth="1"/>
    <col min="9219" max="9219" width="3.25" customWidth="1"/>
    <col min="9220" max="9220" width="28.75" customWidth="1"/>
    <col min="9221" max="9221" width="25.75" customWidth="1"/>
    <col min="9222" max="9222" width="15.75" bestFit="1" customWidth="1"/>
    <col min="9223" max="9229" width="13.375" bestFit="1" customWidth="1"/>
    <col min="9230" max="9230" width="14.75" bestFit="1" customWidth="1"/>
    <col min="9231" max="9233" width="13.375" bestFit="1" customWidth="1"/>
    <col min="9235" max="9235" width="13.75" bestFit="1" customWidth="1"/>
    <col min="9237" max="9237" width="11.25" bestFit="1" customWidth="1"/>
    <col min="9475" max="9475" width="3.25" customWidth="1"/>
    <col min="9476" max="9476" width="28.75" customWidth="1"/>
    <col min="9477" max="9477" width="25.75" customWidth="1"/>
    <col min="9478" max="9478" width="15.75" bestFit="1" customWidth="1"/>
    <col min="9479" max="9485" width="13.375" bestFit="1" customWidth="1"/>
    <col min="9486" max="9486" width="14.75" bestFit="1" customWidth="1"/>
    <col min="9487" max="9489" width="13.375" bestFit="1" customWidth="1"/>
    <col min="9491" max="9491" width="13.75" bestFit="1" customWidth="1"/>
    <col min="9493" max="9493" width="11.25" bestFit="1" customWidth="1"/>
    <col min="9731" max="9731" width="3.25" customWidth="1"/>
    <col min="9732" max="9732" width="28.75" customWidth="1"/>
    <col min="9733" max="9733" width="25.75" customWidth="1"/>
    <col min="9734" max="9734" width="15.75" bestFit="1" customWidth="1"/>
    <col min="9735" max="9741" width="13.375" bestFit="1" customWidth="1"/>
    <col min="9742" max="9742" width="14.75" bestFit="1" customWidth="1"/>
    <col min="9743" max="9745" width="13.375" bestFit="1" customWidth="1"/>
    <col min="9747" max="9747" width="13.75" bestFit="1" customWidth="1"/>
    <col min="9749" max="9749" width="11.25" bestFit="1" customWidth="1"/>
    <col min="9987" max="9987" width="3.25" customWidth="1"/>
    <col min="9988" max="9988" width="28.75" customWidth="1"/>
    <col min="9989" max="9989" width="25.75" customWidth="1"/>
    <col min="9990" max="9990" width="15.75" bestFit="1" customWidth="1"/>
    <col min="9991" max="9997" width="13.375" bestFit="1" customWidth="1"/>
    <col min="9998" max="9998" width="14.75" bestFit="1" customWidth="1"/>
    <col min="9999" max="10001" width="13.375" bestFit="1" customWidth="1"/>
    <col min="10003" max="10003" width="13.75" bestFit="1" customWidth="1"/>
    <col min="10005" max="10005" width="11.25" bestFit="1" customWidth="1"/>
    <col min="10243" max="10243" width="3.25" customWidth="1"/>
    <col min="10244" max="10244" width="28.75" customWidth="1"/>
    <col min="10245" max="10245" width="25.75" customWidth="1"/>
    <col min="10246" max="10246" width="15.75" bestFit="1" customWidth="1"/>
    <col min="10247" max="10253" width="13.375" bestFit="1" customWidth="1"/>
    <col min="10254" max="10254" width="14.75" bestFit="1" customWidth="1"/>
    <col min="10255" max="10257" width="13.375" bestFit="1" customWidth="1"/>
    <col min="10259" max="10259" width="13.75" bestFit="1" customWidth="1"/>
    <col min="10261" max="10261" width="11.25" bestFit="1" customWidth="1"/>
    <col min="10499" max="10499" width="3.25" customWidth="1"/>
    <col min="10500" max="10500" width="28.75" customWidth="1"/>
    <col min="10501" max="10501" width="25.75" customWidth="1"/>
    <col min="10502" max="10502" width="15.75" bestFit="1" customWidth="1"/>
    <col min="10503" max="10509" width="13.375" bestFit="1" customWidth="1"/>
    <col min="10510" max="10510" width="14.75" bestFit="1" customWidth="1"/>
    <col min="10511" max="10513" width="13.375" bestFit="1" customWidth="1"/>
    <col min="10515" max="10515" width="13.75" bestFit="1" customWidth="1"/>
    <col min="10517" max="10517" width="11.25" bestFit="1" customWidth="1"/>
    <col min="10755" max="10755" width="3.25" customWidth="1"/>
    <col min="10756" max="10756" width="28.75" customWidth="1"/>
    <col min="10757" max="10757" width="25.75" customWidth="1"/>
    <col min="10758" max="10758" width="15.75" bestFit="1" customWidth="1"/>
    <col min="10759" max="10765" width="13.375" bestFit="1" customWidth="1"/>
    <col min="10766" max="10766" width="14.75" bestFit="1" customWidth="1"/>
    <col min="10767" max="10769" width="13.375" bestFit="1" customWidth="1"/>
    <col min="10771" max="10771" width="13.75" bestFit="1" customWidth="1"/>
    <col min="10773" max="10773" width="11.25" bestFit="1" customWidth="1"/>
    <col min="11011" max="11011" width="3.25" customWidth="1"/>
    <col min="11012" max="11012" width="28.75" customWidth="1"/>
    <col min="11013" max="11013" width="25.75" customWidth="1"/>
    <col min="11014" max="11014" width="15.75" bestFit="1" customWidth="1"/>
    <col min="11015" max="11021" width="13.375" bestFit="1" customWidth="1"/>
    <col min="11022" max="11022" width="14.75" bestFit="1" customWidth="1"/>
    <col min="11023" max="11025" width="13.375" bestFit="1" customWidth="1"/>
    <col min="11027" max="11027" width="13.75" bestFit="1" customWidth="1"/>
    <col min="11029" max="11029" width="11.25" bestFit="1" customWidth="1"/>
    <col min="11267" max="11267" width="3.25" customWidth="1"/>
    <col min="11268" max="11268" width="28.75" customWidth="1"/>
    <col min="11269" max="11269" width="25.75" customWidth="1"/>
    <col min="11270" max="11270" width="15.75" bestFit="1" customWidth="1"/>
    <col min="11271" max="11277" width="13.375" bestFit="1" customWidth="1"/>
    <col min="11278" max="11278" width="14.75" bestFit="1" customWidth="1"/>
    <col min="11279" max="11281" width="13.375" bestFit="1" customWidth="1"/>
    <col min="11283" max="11283" width="13.75" bestFit="1" customWidth="1"/>
    <col min="11285" max="11285" width="11.25" bestFit="1" customWidth="1"/>
    <col min="11523" max="11523" width="3.25" customWidth="1"/>
    <col min="11524" max="11524" width="28.75" customWidth="1"/>
    <col min="11525" max="11525" width="25.75" customWidth="1"/>
    <col min="11526" max="11526" width="15.75" bestFit="1" customWidth="1"/>
    <col min="11527" max="11533" width="13.375" bestFit="1" customWidth="1"/>
    <col min="11534" max="11534" width="14.75" bestFit="1" customWidth="1"/>
    <col min="11535" max="11537" width="13.375" bestFit="1" customWidth="1"/>
    <col min="11539" max="11539" width="13.75" bestFit="1" customWidth="1"/>
    <col min="11541" max="11541" width="11.25" bestFit="1" customWidth="1"/>
    <col min="11779" max="11779" width="3.25" customWidth="1"/>
    <col min="11780" max="11780" width="28.75" customWidth="1"/>
    <col min="11781" max="11781" width="25.75" customWidth="1"/>
    <col min="11782" max="11782" width="15.75" bestFit="1" customWidth="1"/>
    <col min="11783" max="11789" width="13.375" bestFit="1" customWidth="1"/>
    <col min="11790" max="11790" width="14.75" bestFit="1" customWidth="1"/>
    <col min="11791" max="11793" width="13.375" bestFit="1" customWidth="1"/>
    <col min="11795" max="11795" width="13.75" bestFit="1" customWidth="1"/>
    <col min="11797" max="11797" width="11.25" bestFit="1" customWidth="1"/>
    <col min="12035" max="12035" width="3.25" customWidth="1"/>
    <col min="12036" max="12036" width="28.75" customWidth="1"/>
    <col min="12037" max="12037" width="25.75" customWidth="1"/>
    <col min="12038" max="12038" width="15.75" bestFit="1" customWidth="1"/>
    <col min="12039" max="12045" width="13.375" bestFit="1" customWidth="1"/>
    <col min="12046" max="12046" width="14.75" bestFit="1" customWidth="1"/>
    <col min="12047" max="12049" width="13.375" bestFit="1" customWidth="1"/>
    <col min="12051" max="12051" width="13.75" bestFit="1" customWidth="1"/>
    <col min="12053" max="12053" width="11.25" bestFit="1" customWidth="1"/>
    <col min="12291" max="12291" width="3.25" customWidth="1"/>
    <col min="12292" max="12292" width="28.75" customWidth="1"/>
    <col min="12293" max="12293" width="25.75" customWidth="1"/>
    <col min="12294" max="12294" width="15.75" bestFit="1" customWidth="1"/>
    <col min="12295" max="12301" width="13.375" bestFit="1" customWidth="1"/>
    <col min="12302" max="12302" width="14.75" bestFit="1" customWidth="1"/>
    <col min="12303" max="12305" width="13.375" bestFit="1" customWidth="1"/>
    <col min="12307" max="12307" width="13.75" bestFit="1" customWidth="1"/>
    <col min="12309" max="12309" width="11.25" bestFit="1" customWidth="1"/>
    <col min="12547" max="12547" width="3.25" customWidth="1"/>
    <col min="12548" max="12548" width="28.75" customWidth="1"/>
    <col min="12549" max="12549" width="25.75" customWidth="1"/>
    <col min="12550" max="12550" width="15.75" bestFit="1" customWidth="1"/>
    <col min="12551" max="12557" width="13.375" bestFit="1" customWidth="1"/>
    <col min="12558" max="12558" width="14.75" bestFit="1" customWidth="1"/>
    <col min="12559" max="12561" width="13.375" bestFit="1" customWidth="1"/>
    <col min="12563" max="12563" width="13.75" bestFit="1" customWidth="1"/>
    <col min="12565" max="12565" width="11.25" bestFit="1" customWidth="1"/>
    <col min="12803" max="12803" width="3.25" customWidth="1"/>
    <col min="12804" max="12804" width="28.75" customWidth="1"/>
    <col min="12805" max="12805" width="25.75" customWidth="1"/>
    <col min="12806" max="12806" width="15.75" bestFit="1" customWidth="1"/>
    <col min="12807" max="12813" width="13.375" bestFit="1" customWidth="1"/>
    <col min="12814" max="12814" width="14.75" bestFit="1" customWidth="1"/>
    <col min="12815" max="12817" width="13.375" bestFit="1" customWidth="1"/>
    <col min="12819" max="12819" width="13.75" bestFit="1" customWidth="1"/>
    <col min="12821" max="12821" width="11.25" bestFit="1" customWidth="1"/>
    <col min="13059" max="13059" width="3.25" customWidth="1"/>
    <col min="13060" max="13060" width="28.75" customWidth="1"/>
    <col min="13061" max="13061" width="25.75" customWidth="1"/>
    <col min="13062" max="13062" width="15.75" bestFit="1" customWidth="1"/>
    <col min="13063" max="13069" width="13.375" bestFit="1" customWidth="1"/>
    <col min="13070" max="13070" width="14.75" bestFit="1" customWidth="1"/>
    <col min="13071" max="13073" width="13.375" bestFit="1" customWidth="1"/>
    <col min="13075" max="13075" width="13.75" bestFit="1" customWidth="1"/>
    <col min="13077" max="13077" width="11.25" bestFit="1" customWidth="1"/>
    <col min="13315" max="13315" width="3.25" customWidth="1"/>
    <col min="13316" max="13316" width="28.75" customWidth="1"/>
    <col min="13317" max="13317" width="25.75" customWidth="1"/>
    <col min="13318" max="13318" width="15.75" bestFit="1" customWidth="1"/>
    <col min="13319" max="13325" width="13.375" bestFit="1" customWidth="1"/>
    <col min="13326" max="13326" width="14.75" bestFit="1" customWidth="1"/>
    <col min="13327" max="13329" width="13.375" bestFit="1" customWidth="1"/>
    <col min="13331" max="13331" width="13.75" bestFit="1" customWidth="1"/>
    <col min="13333" max="13333" width="11.25" bestFit="1" customWidth="1"/>
    <col min="13571" max="13571" width="3.25" customWidth="1"/>
    <col min="13572" max="13572" width="28.75" customWidth="1"/>
    <col min="13573" max="13573" width="25.75" customWidth="1"/>
    <col min="13574" max="13574" width="15.75" bestFit="1" customWidth="1"/>
    <col min="13575" max="13581" width="13.375" bestFit="1" customWidth="1"/>
    <col min="13582" max="13582" width="14.75" bestFit="1" customWidth="1"/>
    <col min="13583" max="13585" width="13.375" bestFit="1" customWidth="1"/>
    <col min="13587" max="13587" width="13.75" bestFit="1" customWidth="1"/>
    <col min="13589" max="13589" width="11.25" bestFit="1" customWidth="1"/>
    <col min="13827" max="13827" width="3.25" customWidth="1"/>
    <col min="13828" max="13828" width="28.75" customWidth="1"/>
    <col min="13829" max="13829" width="25.75" customWidth="1"/>
    <col min="13830" max="13830" width="15.75" bestFit="1" customWidth="1"/>
    <col min="13831" max="13837" width="13.375" bestFit="1" customWidth="1"/>
    <col min="13838" max="13838" width="14.75" bestFit="1" customWidth="1"/>
    <col min="13839" max="13841" width="13.375" bestFit="1" customWidth="1"/>
    <col min="13843" max="13843" width="13.75" bestFit="1" customWidth="1"/>
    <col min="13845" max="13845" width="11.25" bestFit="1" customWidth="1"/>
    <col min="14083" max="14083" width="3.25" customWidth="1"/>
    <col min="14084" max="14084" width="28.75" customWidth="1"/>
    <col min="14085" max="14085" width="25.75" customWidth="1"/>
    <col min="14086" max="14086" width="15.75" bestFit="1" customWidth="1"/>
    <col min="14087" max="14093" width="13.375" bestFit="1" customWidth="1"/>
    <col min="14094" max="14094" width="14.75" bestFit="1" customWidth="1"/>
    <col min="14095" max="14097" width="13.375" bestFit="1" customWidth="1"/>
    <col min="14099" max="14099" width="13.75" bestFit="1" customWidth="1"/>
    <col min="14101" max="14101" width="11.25" bestFit="1" customWidth="1"/>
    <col min="14339" max="14339" width="3.25" customWidth="1"/>
    <col min="14340" max="14340" width="28.75" customWidth="1"/>
    <col min="14341" max="14341" width="25.75" customWidth="1"/>
    <col min="14342" max="14342" width="15.75" bestFit="1" customWidth="1"/>
    <col min="14343" max="14349" width="13.375" bestFit="1" customWidth="1"/>
    <col min="14350" max="14350" width="14.75" bestFit="1" customWidth="1"/>
    <col min="14351" max="14353" width="13.375" bestFit="1" customWidth="1"/>
    <col min="14355" max="14355" width="13.75" bestFit="1" customWidth="1"/>
    <col min="14357" max="14357" width="11.25" bestFit="1" customWidth="1"/>
    <col min="14595" max="14595" width="3.25" customWidth="1"/>
    <col min="14596" max="14596" width="28.75" customWidth="1"/>
    <col min="14597" max="14597" width="25.75" customWidth="1"/>
    <col min="14598" max="14598" width="15.75" bestFit="1" customWidth="1"/>
    <col min="14599" max="14605" width="13.375" bestFit="1" customWidth="1"/>
    <col min="14606" max="14606" width="14.75" bestFit="1" customWidth="1"/>
    <col min="14607" max="14609" width="13.375" bestFit="1" customWidth="1"/>
    <col min="14611" max="14611" width="13.75" bestFit="1" customWidth="1"/>
    <col min="14613" max="14613" width="11.25" bestFit="1" customWidth="1"/>
    <col min="14851" max="14851" width="3.25" customWidth="1"/>
    <col min="14852" max="14852" width="28.75" customWidth="1"/>
    <col min="14853" max="14853" width="25.75" customWidth="1"/>
    <col min="14854" max="14854" width="15.75" bestFit="1" customWidth="1"/>
    <col min="14855" max="14861" width="13.375" bestFit="1" customWidth="1"/>
    <col min="14862" max="14862" width="14.75" bestFit="1" customWidth="1"/>
    <col min="14863" max="14865" width="13.375" bestFit="1" customWidth="1"/>
    <col min="14867" max="14867" width="13.75" bestFit="1" customWidth="1"/>
    <col min="14869" max="14869" width="11.25" bestFit="1" customWidth="1"/>
    <col min="15107" max="15107" width="3.25" customWidth="1"/>
    <col min="15108" max="15108" width="28.75" customWidth="1"/>
    <col min="15109" max="15109" width="25.75" customWidth="1"/>
    <col min="15110" max="15110" width="15.75" bestFit="1" customWidth="1"/>
    <col min="15111" max="15117" width="13.375" bestFit="1" customWidth="1"/>
    <col min="15118" max="15118" width="14.75" bestFit="1" customWidth="1"/>
    <col min="15119" max="15121" width="13.375" bestFit="1" customWidth="1"/>
    <col min="15123" max="15123" width="13.75" bestFit="1" customWidth="1"/>
    <col min="15125" max="15125" width="11.25" bestFit="1" customWidth="1"/>
    <col min="15363" max="15363" width="3.25" customWidth="1"/>
    <col min="15364" max="15364" width="28.75" customWidth="1"/>
    <col min="15365" max="15365" width="25.75" customWidth="1"/>
    <col min="15366" max="15366" width="15.75" bestFit="1" customWidth="1"/>
    <col min="15367" max="15373" width="13.375" bestFit="1" customWidth="1"/>
    <col min="15374" max="15374" width="14.75" bestFit="1" customWidth="1"/>
    <col min="15375" max="15377" width="13.375" bestFit="1" customWidth="1"/>
    <col min="15379" max="15379" width="13.75" bestFit="1" customWidth="1"/>
    <col min="15381" max="15381" width="11.25" bestFit="1" customWidth="1"/>
    <col min="15619" max="15619" width="3.25" customWidth="1"/>
    <col min="15620" max="15620" width="28.75" customWidth="1"/>
    <col min="15621" max="15621" width="25.75" customWidth="1"/>
    <col min="15622" max="15622" width="15.75" bestFit="1" customWidth="1"/>
    <col min="15623" max="15629" width="13.375" bestFit="1" customWidth="1"/>
    <col min="15630" max="15630" width="14.75" bestFit="1" customWidth="1"/>
    <col min="15631" max="15633" width="13.375" bestFit="1" customWidth="1"/>
    <col min="15635" max="15635" width="13.75" bestFit="1" customWidth="1"/>
    <col min="15637" max="15637" width="11.25" bestFit="1" customWidth="1"/>
    <col min="15875" max="15875" width="3.25" customWidth="1"/>
    <col min="15876" max="15876" width="28.75" customWidth="1"/>
    <col min="15877" max="15877" width="25.75" customWidth="1"/>
    <col min="15878" max="15878" width="15.75" bestFit="1" customWidth="1"/>
    <col min="15879" max="15885" width="13.375" bestFit="1" customWidth="1"/>
    <col min="15886" max="15886" width="14.75" bestFit="1" customWidth="1"/>
    <col min="15887" max="15889" width="13.375" bestFit="1" customWidth="1"/>
    <col min="15891" max="15891" width="13.75" bestFit="1" customWidth="1"/>
    <col min="15893" max="15893" width="11.25" bestFit="1" customWidth="1"/>
    <col min="16131" max="16131" width="3.25" customWidth="1"/>
    <col min="16132" max="16132" width="28.75" customWidth="1"/>
    <col min="16133" max="16133" width="25.75" customWidth="1"/>
    <col min="16134" max="16134" width="15.75" bestFit="1" customWidth="1"/>
    <col min="16135" max="16141" width="13.375" bestFit="1" customWidth="1"/>
    <col min="16142" max="16142" width="14.75" bestFit="1" customWidth="1"/>
    <col min="16143" max="16145" width="13.375" bestFit="1" customWidth="1"/>
    <col min="16147" max="16147" width="13.75" bestFit="1" customWidth="1"/>
    <col min="16149" max="16149" width="11.25" bestFit="1" customWidth="1"/>
  </cols>
  <sheetData>
    <row r="2" spans="1:17" ht="31.5">
      <c r="B2" s="2" t="s">
        <v>160</v>
      </c>
      <c r="C2" s="2"/>
      <c r="D2" s="2"/>
      <c r="E2" s="3"/>
      <c r="F2" s="3"/>
      <c r="Q2" s="4" t="s">
        <v>10</v>
      </c>
    </row>
    <row r="3" spans="1:17">
      <c r="A3" s="5"/>
      <c r="B3" s="6" t="s">
        <v>11</v>
      </c>
      <c r="C3" s="6" t="s">
        <v>177</v>
      </c>
      <c r="D3" s="6" t="s">
        <v>178</v>
      </c>
      <c r="E3" s="7" t="s">
        <v>176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9" t="s">
        <v>23</v>
      </c>
    </row>
    <row r="4" spans="1:17">
      <c r="A4" s="5">
        <v>333147328.47427642</v>
      </c>
      <c r="B4" s="10" t="s">
        <v>24</v>
      </c>
      <c r="C4" s="12">
        <f t="shared" ref="C4" si="0">+C57+C111</f>
        <v>389300225.80433029</v>
      </c>
      <c r="D4" s="12">
        <f t="shared" ref="D4" si="1">+D57+D111</f>
        <v>251216585.85999998</v>
      </c>
      <c r="E4" s="11">
        <f>+E57+E111</f>
        <v>280491611.86135155</v>
      </c>
      <c r="F4" s="12">
        <f t="shared" ref="F4:Q4" si="2">+F57+F111</f>
        <v>23093137.546556644</v>
      </c>
      <c r="G4" s="13">
        <f t="shared" si="2"/>
        <v>17750198.694718033</v>
      </c>
      <c r="H4" s="13">
        <f t="shared" si="2"/>
        <v>26702853.162041936</v>
      </c>
      <c r="I4" s="13">
        <f t="shared" si="2"/>
        <v>26091807.13124869</v>
      </c>
      <c r="J4" s="13">
        <f t="shared" si="2"/>
        <v>20869311.286410578</v>
      </c>
      <c r="K4" s="13">
        <f t="shared" si="2"/>
        <v>24386746.999235783</v>
      </c>
      <c r="L4" s="13">
        <f t="shared" si="2"/>
        <v>24995381.241665889</v>
      </c>
      <c r="M4" s="13">
        <f t="shared" si="2"/>
        <v>19248915.273240827</v>
      </c>
      <c r="N4" s="13">
        <f t="shared" si="2"/>
        <v>25336822.356150787</v>
      </c>
      <c r="O4" s="13">
        <f t="shared" si="2"/>
        <v>21278217.634210814</v>
      </c>
      <c r="P4" s="13">
        <f t="shared" si="2"/>
        <v>24322171.175665792</v>
      </c>
      <c r="Q4" s="14">
        <f t="shared" si="2"/>
        <v>26416049.360205766</v>
      </c>
    </row>
    <row r="5" spans="1:17">
      <c r="B5" s="15" t="s">
        <v>25</v>
      </c>
      <c r="C5" s="17">
        <f t="shared" ref="C5" si="3">+C58+C112</f>
        <v>378211020.86360627</v>
      </c>
      <c r="D5" s="17">
        <f t="shared" ref="D5" si="4">+D58+D112</f>
        <v>0</v>
      </c>
      <c r="E5" s="16">
        <f t="shared" ref="E5:Q20" si="5">+E58+E112</f>
        <v>280491611.86135155</v>
      </c>
      <c r="F5" s="17">
        <f t="shared" si="5"/>
        <v>23093137.546556644</v>
      </c>
      <c r="G5" s="18">
        <f t="shared" si="5"/>
        <v>17750198.694718033</v>
      </c>
      <c r="H5" s="18">
        <f t="shared" si="5"/>
        <v>26702853.162041936</v>
      </c>
      <c r="I5" s="18">
        <f t="shared" si="5"/>
        <v>26091807.13124869</v>
      </c>
      <c r="J5" s="18">
        <f t="shared" si="5"/>
        <v>20869311.286410578</v>
      </c>
      <c r="K5" s="18">
        <f t="shared" si="5"/>
        <v>24386746.999235783</v>
      </c>
      <c r="L5" s="18">
        <f t="shared" si="5"/>
        <v>24995381.241665889</v>
      </c>
      <c r="M5" s="18">
        <f t="shared" si="5"/>
        <v>19248915.273240827</v>
      </c>
      <c r="N5" s="18">
        <f t="shared" si="5"/>
        <v>25336822.356150787</v>
      </c>
      <c r="O5" s="18">
        <f t="shared" si="5"/>
        <v>21278217.634210814</v>
      </c>
      <c r="P5" s="18">
        <f t="shared" si="5"/>
        <v>24322171.175665792</v>
      </c>
      <c r="Q5" s="19">
        <f t="shared" si="5"/>
        <v>26416049.360205766</v>
      </c>
    </row>
    <row r="6" spans="1:17">
      <c r="B6" s="15" t="s">
        <v>26</v>
      </c>
      <c r="C6" s="17">
        <f t="shared" ref="C6" si="6">+C59+C113</f>
        <v>11089204.940724</v>
      </c>
      <c r="D6" s="17">
        <f t="shared" ref="D6" si="7">+D59+D113</f>
        <v>0</v>
      </c>
      <c r="E6" s="16">
        <f t="shared" si="5"/>
        <v>0</v>
      </c>
      <c r="F6" s="17">
        <f t="shared" si="5"/>
        <v>0</v>
      </c>
      <c r="G6" s="17">
        <f t="shared" si="5"/>
        <v>0</v>
      </c>
      <c r="H6" s="17">
        <f t="shared" si="5"/>
        <v>0</v>
      </c>
      <c r="I6" s="17">
        <f t="shared" si="5"/>
        <v>0</v>
      </c>
      <c r="J6" s="17">
        <f t="shared" si="5"/>
        <v>0</v>
      </c>
      <c r="K6" s="17">
        <f t="shared" si="5"/>
        <v>0</v>
      </c>
      <c r="L6" s="17">
        <f t="shared" si="5"/>
        <v>0</v>
      </c>
      <c r="M6" s="17">
        <f t="shared" si="5"/>
        <v>0</v>
      </c>
      <c r="N6" s="17">
        <f t="shared" si="5"/>
        <v>0</v>
      </c>
      <c r="O6" s="17">
        <f t="shared" si="5"/>
        <v>0</v>
      </c>
      <c r="P6" s="17">
        <f t="shared" si="5"/>
        <v>0</v>
      </c>
      <c r="Q6" s="20">
        <f t="shared" si="5"/>
        <v>0</v>
      </c>
    </row>
    <row r="7" spans="1:17">
      <c r="B7" s="15" t="s">
        <v>27</v>
      </c>
      <c r="C7" s="17">
        <f t="shared" ref="C7" si="8">+C60+C114</f>
        <v>0</v>
      </c>
      <c r="D7" s="17">
        <f t="shared" ref="D7" si="9">+D60+D114</f>
        <v>0</v>
      </c>
      <c r="E7" s="16">
        <f t="shared" si="5"/>
        <v>0</v>
      </c>
      <c r="F7" s="17">
        <f t="shared" si="5"/>
        <v>0</v>
      </c>
      <c r="G7" s="18">
        <f t="shared" si="5"/>
        <v>0</v>
      </c>
      <c r="H7" s="18">
        <f t="shared" si="5"/>
        <v>0</v>
      </c>
      <c r="I7" s="18">
        <f t="shared" si="5"/>
        <v>0</v>
      </c>
      <c r="J7" s="18">
        <f t="shared" si="5"/>
        <v>0</v>
      </c>
      <c r="K7" s="18">
        <f t="shared" si="5"/>
        <v>0</v>
      </c>
      <c r="L7" s="18">
        <f t="shared" si="5"/>
        <v>0</v>
      </c>
      <c r="M7" s="18">
        <f t="shared" si="5"/>
        <v>0</v>
      </c>
      <c r="N7" s="18">
        <f t="shared" si="5"/>
        <v>0</v>
      </c>
      <c r="O7" s="18">
        <f t="shared" si="5"/>
        <v>0</v>
      </c>
      <c r="P7" s="18">
        <f t="shared" si="5"/>
        <v>0</v>
      </c>
      <c r="Q7" s="19">
        <f t="shared" si="5"/>
        <v>0</v>
      </c>
    </row>
    <row r="8" spans="1:17">
      <c r="B8" s="15" t="s">
        <v>28</v>
      </c>
      <c r="C8" s="17">
        <f t="shared" ref="C8" si="10">+C61+C115</f>
        <v>0</v>
      </c>
      <c r="D8" s="17">
        <f t="shared" ref="D8" si="11">+D61+D115</f>
        <v>0</v>
      </c>
      <c r="E8" s="16">
        <f t="shared" si="5"/>
        <v>0</v>
      </c>
      <c r="F8" s="17">
        <f t="shared" si="5"/>
        <v>0</v>
      </c>
      <c r="G8" s="18">
        <f t="shared" si="5"/>
        <v>0</v>
      </c>
      <c r="H8" s="18">
        <f t="shared" si="5"/>
        <v>0</v>
      </c>
      <c r="I8" s="18">
        <f t="shared" si="5"/>
        <v>0</v>
      </c>
      <c r="J8" s="18">
        <f t="shared" si="5"/>
        <v>0</v>
      </c>
      <c r="K8" s="18">
        <f t="shared" si="5"/>
        <v>0</v>
      </c>
      <c r="L8" s="18">
        <f t="shared" si="5"/>
        <v>0</v>
      </c>
      <c r="M8" s="18">
        <f t="shared" si="5"/>
        <v>0</v>
      </c>
      <c r="N8" s="18">
        <f t="shared" si="5"/>
        <v>0</v>
      </c>
      <c r="O8" s="18">
        <f t="shared" si="5"/>
        <v>0</v>
      </c>
      <c r="P8" s="18">
        <f t="shared" si="5"/>
        <v>0</v>
      </c>
      <c r="Q8" s="19">
        <f t="shared" si="5"/>
        <v>0</v>
      </c>
    </row>
    <row r="9" spans="1:17">
      <c r="B9" s="15" t="s">
        <v>29</v>
      </c>
      <c r="C9" s="17">
        <f t="shared" ref="C9" si="12">+C62+C116</f>
        <v>0</v>
      </c>
      <c r="D9" s="17">
        <f t="shared" ref="D9" si="13">+D62+D116</f>
        <v>0</v>
      </c>
      <c r="E9" s="16">
        <f t="shared" si="5"/>
        <v>0</v>
      </c>
      <c r="F9" s="17">
        <f t="shared" si="5"/>
        <v>0</v>
      </c>
      <c r="G9" s="18">
        <f t="shared" si="5"/>
        <v>0</v>
      </c>
      <c r="H9" s="18">
        <f t="shared" si="5"/>
        <v>0</v>
      </c>
      <c r="I9" s="18">
        <f t="shared" si="5"/>
        <v>0</v>
      </c>
      <c r="J9" s="18">
        <f t="shared" si="5"/>
        <v>0</v>
      </c>
      <c r="K9" s="18">
        <f t="shared" si="5"/>
        <v>0</v>
      </c>
      <c r="L9" s="18">
        <f t="shared" si="5"/>
        <v>0</v>
      </c>
      <c r="M9" s="18">
        <f t="shared" si="5"/>
        <v>0</v>
      </c>
      <c r="N9" s="18">
        <f t="shared" si="5"/>
        <v>0</v>
      </c>
      <c r="O9" s="18">
        <f t="shared" si="5"/>
        <v>0</v>
      </c>
      <c r="P9" s="18">
        <f t="shared" si="5"/>
        <v>0</v>
      </c>
      <c r="Q9" s="19">
        <f t="shared" si="5"/>
        <v>0</v>
      </c>
    </row>
    <row r="10" spans="1:17">
      <c r="A10" s="21"/>
      <c r="B10" s="15" t="s">
        <v>30</v>
      </c>
      <c r="C10" s="17">
        <f t="shared" ref="C10" si="14">+C63+C117</f>
        <v>0</v>
      </c>
      <c r="D10" s="17">
        <f t="shared" ref="D10" si="15">+D63+D117</f>
        <v>0</v>
      </c>
      <c r="E10" s="16">
        <f t="shared" si="5"/>
        <v>0</v>
      </c>
      <c r="F10" s="17">
        <f t="shared" si="5"/>
        <v>0</v>
      </c>
      <c r="G10" s="18">
        <f t="shared" si="5"/>
        <v>0</v>
      </c>
      <c r="H10" s="18">
        <f t="shared" si="5"/>
        <v>0</v>
      </c>
      <c r="I10" s="18">
        <f t="shared" si="5"/>
        <v>0</v>
      </c>
      <c r="J10" s="18">
        <f t="shared" si="5"/>
        <v>0</v>
      </c>
      <c r="K10" s="18">
        <f t="shared" si="5"/>
        <v>0</v>
      </c>
      <c r="L10" s="18">
        <f t="shared" si="5"/>
        <v>0</v>
      </c>
      <c r="M10" s="18">
        <f t="shared" si="5"/>
        <v>0</v>
      </c>
      <c r="N10" s="18">
        <f t="shared" si="5"/>
        <v>0</v>
      </c>
      <c r="O10" s="18">
        <f t="shared" si="5"/>
        <v>0</v>
      </c>
      <c r="P10" s="18">
        <f t="shared" si="5"/>
        <v>0</v>
      </c>
      <c r="Q10" s="19">
        <f t="shared" si="5"/>
        <v>0</v>
      </c>
    </row>
    <row r="11" spans="1:17">
      <c r="A11" s="22">
        <v>23632744.944895834</v>
      </c>
      <c r="B11" s="10" t="s">
        <v>31</v>
      </c>
      <c r="C11" s="12">
        <f t="shared" ref="C11" si="16">+C64+C118</f>
        <v>10137738.189999999</v>
      </c>
      <c r="D11" s="12">
        <f t="shared" ref="D11" si="17">+D64+D118</f>
        <v>10436359.188000001</v>
      </c>
      <c r="E11" s="23">
        <f t="shared" si="5"/>
        <v>11246122.980000002</v>
      </c>
      <c r="F11" s="12">
        <f t="shared" si="5"/>
        <v>867700.20000000019</v>
      </c>
      <c r="G11" s="13">
        <f t="shared" si="5"/>
        <v>801134.12000000011</v>
      </c>
      <c r="H11" s="13">
        <f t="shared" si="5"/>
        <v>883074.75</v>
      </c>
      <c r="I11" s="13">
        <f t="shared" si="5"/>
        <v>905084.73000000021</v>
      </c>
      <c r="J11" s="13">
        <f t="shared" si="5"/>
        <v>898604.62000000011</v>
      </c>
      <c r="K11" s="13">
        <f t="shared" si="5"/>
        <v>906090.49</v>
      </c>
      <c r="L11" s="13">
        <f t="shared" si="5"/>
        <v>906090.49</v>
      </c>
      <c r="M11" s="13">
        <f t="shared" si="5"/>
        <v>984832.92000000016</v>
      </c>
      <c r="N11" s="13">
        <f t="shared" si="5"/>
        <v>912570.65000000014</v>
      </c>
      <c r="O11" s="13">
        <f t="shared" si="5"/>
        <v>911891.85000000009</v>
      </c>
      <c r="P11" s="13">
        <f t="shared" si="5"/>
        <v>934162.75</v>
      </c>
      <c r="Q11" s="14">
        <f t="shared" si="5"/>
        <v>1334885.4100000001</v>
      </c>
    </row>
    <row r="12" spans="1:17">
      <c r="A12" s="21"/>
      <c r="B12" s="15" t="s">
        <v>32</v>
      </c>
      <c r="C12" s="17">
        <f t="shared" ref="C12" si="18">+C65+C119</f>
        <v>10137738.189999999</v>
      </c>
      <c r="D12" s="17">
        <f t="shared" ref="D12" si="19">+D65+D119</f>
        <v>10436359.188000001</v>
      </c>
      <c r="E12" s="16">
        <f t="shared" si="5"/>
        <v>11246122.980000002</v>
      </c>
      <c r="F12" s="17">
        <f t="shared" si="5"/>
        <v>867700.20000000019</v>
      </c>
      <c r="G12" s="18">
        <f t="shared" si="5"/>
        <v>801134.12000000011</v>
      </c>
      <c r="H12" s="18">
        <f t="shared" si="5"/>
        <v>883074.75</v>
      </c>
      <c r="I12" s="18">
        <f t="shared" si="5"/>
        <v>905084.73000000021</v>
      </c>
      <c r="J12" s="18">
        <f t="shared" si="5"/>
        <v>898604.62000000011</v>
      </c>
      <c r="K12" s="18">
        <f t="shared" si="5"/>
        <v>906090.49</v>
      </c>
      <c r="L12" s="18">
        <f t="shared" si="5"/>
        <v>906090.49</v>
      </c>
      <c r="M12" s="18">
        <f t="shared" si="5"/>
        <v>984832.92000000016</v>
      </c>
      <c r="N12" s="18">
        <f t="shared" si="5"/>
        <v>912570.65000000014</v>
      </c>
      <c r="O12" s="18">
        <f t="shared" si="5"/>
        <v>911891.85000000009</v>
      </c>
      <c r="P12" s="24">
        <f t="shared" si="5"/>
        <v>934162.75</v>
      </c>
      <c r="Q12" s="19">
        <f t="shared" si="5"/>
        <v>1334885.4100000001</v>
      </c>
    </row>
    <row r="13" spans="1:17">
      <c r="A13" s="21"/>
      <c r="B13" s="15" t="s">
        <v>33</v>
      </c>
      <c r="C13" s="17">
        <f t="shared" ref="C13" si="20">+C66+C120</f>
        <v>0</v>
      </c>
      <c r="D13" s="17">
        <f t="shared" ref="D13" si="21">+D66+D120</f>
        <v>0</v>
      </c>
      <c r="E13" s="16">
        <f t="shared" si="5"/>
        <v>0</v>
      </c>
      <c r="F13" s="17">
        <f t="shared" si="5"/>
        <v>0</v>
      </c>
      <c r="G13" s="18">
        <f t="shared" si="5"/>
        <v>0</v>
      </c>
      <c r="H13" s="18">
        <f t="shared" si="5"/>
        <v>0</v>
      </c>
      <c r="I13" s="18">
        <f t="shared" si="5"/>
        <v>0</v>
      </c>
      <c r="J13" s="18">
        <f t="shared" si="5"/>
        <v>0</v>
      </c>
      <c r="K13" s="18">
        <f t="shared" si="5"/>
        <v>0</v>
      </c>
      <c r="L13" s="18">
        <f t="shared" si="5"/>
        <v>0</v>
      </c>
      <c r="M13" s="18">
        <f t="shared" si="5"/>
        <v>0</v>
      </c>
      <c r="N13" s="18">
        <f t="shared" si="5"/>
        <v>0</v>
      </c>
      <c r="O13" s="18">
        <f t="shared" si="5"/>
        <v>0</v>
      </c>
      <c r="P13" s="24">
        <f t="shared" si="5"/>
        <v>0</v>
      </c>
      <c r="Q13" s="19">
        <f t="shared" si="5"/>
        <v>0</v>
      </c>
    </row>
    <row r="14" spans="1:17">
      <c r="A14" s="21"/>
      <c r="B14" s="15" t="s">
        <v>34</v>
      </c>
      <c r="C14" s="17">
        <f t="shared" ref="C14" si="22">+C67+C121</f>
        <v>0</v>
      </c>
      <c r="D14" s="17">
        <f t="shared" ref="D14" si="23">+D67+D121</f>
        <v>0</v>
      </c>
      <c r="E14" s="16">
        <f t="shared" si="5"/>
        <v>0</v>
      </c>
      <c r="F14" s="17">
        <f t="shared" si="5"/>
        <v>0</v>
      </c>
      <c r="G14" s="18">
        <f t="shared" si="5"/>
        <v>0</v>
      </c>
      <c r="H14" s="18">
        <f t="shared" si="5"/>
        <v>0</v>
      </c>
      <c r="I14" s="18">
        <f t="shared" si="5"/>
        <v>0</v>
      </c>
      <c r="J14" s="18">
        <f t="shared" si="5"/>
        <v>0</v>
      </c>
      <c r="K14" s="18">
        <f t="shared" si="5"/>
        <v>0</v>
      </c>
      <c r="L14" s="18">
        <f t="shared" si="5"/>
        <v>0</v>
      </c>
      <c r="M14" s="18">
        <f t="shared" si="5"/>
        <v>0</v>
      </c>
      <c r="N14" s="18">
        <f t="shared" si="5"/>
        <v>0</v>
      </c>
      <c r="O14" s="18">
        <f t="shared" si="5"/>
        <v>0</v>
      </c>
      <c r="P14" s="24">
        <f t="shared" si="5"/>
        <v>0</v>
      </c>
      <c r="Q14" s="19">
        <f t="shared" si="5"/>
        <v>0</v>
      </c>
    </row>
    <row r="15" spans="1:17">
      <c r="A15" s="21"/>
      <c r="B15" s="15" t="s">
        <v>35</v>
      </c>
      <c r="C15" s="17">
        <f t="shared" ref="C15" si="24">+C68+C122</f>
        <v>0</v>
      </c>
      <c r="D15" s="17">
        <f t="shared" ref="D15" si="25">+D68+D122</f>
        <v>0</v>
      </c>
      <c r="E15" s="16">
        <f t="shared" si="5"/>
        <v>0</v>
      </c>
      <c r="F15" s="17">
        <f t="shared" si="5"/>
        <v>0</v>
      </c>
      <c r="G15" s="18">
        <f t="shared" si="5"/>
        <v>0</v>
      </c>
      <c r="H15" s="18">
        <f t="shared" si="5"/>
        <v>0</v>
      </c>
      <c r="I15" s="18">
        <f t="shared" si="5"/>
        <v>0</v>
      </c>
      <c r="J15" s="18">
        <f t="shared" si="5"/>
        <v>0</v>
      </c>
      <c r="K15" s="18">
        <f t="shared" si="5"/>
        <v>0</v>
      </c>
      <c r="L15" s="18">
        <f t="shared" si="5"/>
        <v>0</v>
      </c>
      <c r="M15" s="18">
        <f t="shared" si="5"/>
        <v>0</v>
      </c>
      <c r="N15" s="18">
        <f t="shared" si="5"/>
        <v>0</v>
      </c>
      <c r="O15" s="18">
        <f t="shared" si="5"/>
        <v>0</v>
      </c>
      <c r="P15" s="24">
        <f t="shared" si="5"/>
        <v>0</v>
      </c>
      <c r="Q15" s="19">
        <f t="shared" si="5"/>
        <v>0</v>
      </c>
    </row>
    <row r="16" spans="1:17">
      <c r="A16" s="21">
        <v>29135397.54055889</v>
      </c>
      <c r="B16" s="10" t="s">
        <v>36</v>
      </c>
      <c r="C16" s="12">
        <f t="shared" ref="C16" si="26">+C69+C123</f>
        <v>25206125.282998968</v>
      </c>
      <c r="D16" s="12">
        <f t="shared" ref="D16" si="27">+D69+D123</f>
        <v>26196882.230000004</v>
      </c>
      <c r="E16" s="23">
        <f t="shared" si="5"/>
        <v>30146643.361106407</v>
      </c>
      <c r="F16" s="12">
        <f t="shared" si="5"/>
        <v>2440145.4511024775</v>
      </c>
      <c r="G16" s="13">
        <f t="shared" si="5"/>
        <v>2292677.0190381897</v>
      </c>
      <c r="H16" s="13">
        <f t="shared" si="5"/>
        <v>2614188.374532911</v>
      </c>
      <c r="I16" s="13">
        <f t="shared" si="5"/>
        <v>2614757.2524727127</v>
      </c>
      <c r="J16" s="13">
        <f t="shared" si="5"/>
        <v>2380968.1421297383</v>
      </c>
      <c r="K16" s="13">
        <f t="shared" si="5"/>
        <v>2596088.0057167802</v>
      </c>
      <c r="L16" s="13">
        <f t="shared" si="5"/>
        <v>2602669.3395121549</v>
      </c>
      <c r="M16" s="13">
        <f t="shared" si="5"/>
        <v>2245600.7162772082</v>
      </c>
      <c r="N16" s="13">
        <f t="shared" si="5"/>
        <v>2633909.1039233766</v>
      </c>
      <c r="O16" s="13">
        <f t="shared" si="5"/>
        <v>2490587.0125660771</v>
      </c>
      <c r="P16" s="13">
        <f t="shared" si="5"/>
        <v>2519455.4125858829</v>
      </c>
      <c r="Q16" s="14">
        <f t="shared" si="5"/>
        <v>2715597.5312489029</v>
      </c>
    </row>
    <row r="17" spans="1:17">
      <c r="A17" s="21"/>
      <c r="B17" s="15" t="s">
        <v>37</v>
      </c>
      <c r="C17" s="17">
        <f t="shared" ref="C17" si="28">+C70+C124</f>
        <v>1481184</v>
      </c>
      <c r="D17" s="17">
        <f t="shared" ref="D17" si="29">+D70+D124</f>
        <v>928992.41</v>
      </c>
      <c r="E17" s="16">
        <f t="shared" si="5"/>
        <v>1034582.2857142856</v>
      </c>
      <c r="F17" s="17">
        <f t="shared" si="5"/>
        <v>53268</v>
      </c>
      <c r="G17" s="18">
        <f t="shared" si="5"/>
        <v>159588</v>
      </c>
      <c r="H17" s="18">
        <f t="shared" si="5"/>
        <v>55744</v>
      </c>
      <c r="I17" s="18">
        <f t="shared" si="5"/>
        <v>52968</v>
      </c>
      <c r="J17" s="18">
        <f t="shared" si="5"/>
        <v>125244.57142857142</v>
      </c>
      <c r="K17" s="18">
        <f t="shared" si="5"/>
        <v>106468</v>
      </c>
      <c r="L17" s="18">
        <f t="shared" si="5"/>
        <v>76356</v>
      </c>
      <c r="M17" s="18">
        <f t="shared" si="5"/>
        <v>43188</v>
      </c>
      <c r="N17" s="18">
        <f t="shared" si="5"/>
        <v>101044</v>
      </c>
      <c r="O17" s="18">
        <f t="shared" si="5"/>
        <v>78468.57142857142</v>
      </c>
      <c r="P17" s="24">
        <f t="shared" si="5"/>
        <v>53668</v>
      </c>
      <c r="Q17" s="19">
        <f t="shared" si="5"/>
        <v>128577.14285714286</v>
      </c>
    </row>
    <row r="18" spans="1:17">
      <c r="B18" s="15" t="s">
        <v>38</v>
      </c>
      <c r="C18" s="17">
        <f t="shared" ref="C18" si="30">+C71+C125</f>
        <v>0</v>
      </c>
      <c r="D18" s="17">
        <f t="shared" ref="D18" si="31">+D71+D125</f>
        <v>0</v>
      </c>
      <c r="E18" s="16">
        <f t="shared" si="5"/>
        <v>0</v>
      </c>
      <c r="F18" s="17">
        <f t="shared" si="5"/>
        <v>0</v>
      </c>
      <c r="G18" s="18">
        <f t="shared" si="5"/>
        <v>0</v>
      </c>
      <c r="H18" s="18">
        <f t="shared" si="5"/>
        <v>0</v>
      </c>
      <c r="I18" s="18">
        <f t="shared" si="5"/>
        <v>0</v>
      </c>
      <c r="J18" s="18">
        <f t="shared" si="5"/>
        <v>0</v>
      </c>
      <c r="K18" s="18">
        <f t="shared" si="5"/>
        <v>0</v>
      </c>
      <c r="L18" s="18">
        <f t="shared" si="5"/>
        <v>0</v>
      </c>
      <c r="M18" s="18">
        <f t="shared" si="5"/>
        <v>0</v>
      </c>
      <c r="N18" s="18">
        <f t="shared" si="5"/>
        <v>0</v>
      </c>
      <c r="O18" s="18">
        <f t="shared" si="5"/>
        <v>0</v>
      </c>
      <c r="P18" s="24">
        <f t="shared" si="5"/>
        <v>0</v>
      </c>
      <c r="Q18" s="19">
        <f t="shared" si="5"/>
        <v>0</v>
      </c>
    </row>
    <row r="19" spans="1:17">
      <c r="B19" s="15" t="s">
        <v>39</v>
      </c>
      <c r="C19" s="17">
        <f t="shared" ref="C19" si="32">+C72+C126</f>
        <v>0</v>
      </c>
      <c r="D19" s="17">
        <f t="shared" ref="D19" si="33">+D72+D126</f>
        <v>0</v>
      </c>
      <c r="E19" s="16">
        <f t="shared" si="5"/>
        <v>0</v>
      </c>
      <c r="F19" s="17">
        <f t="shared" si="5"/>
        <v>0</v>
      </c>
      <c r="G19" s="18">
        <f t="shared" si="5"/>
        <v>0</v>
      </c>
      <c r="H19" s="18">
        <f t="shared" si="5"/>
        <v>0</v>
      </c>
      <c r="I19" s="18">
        <f t="shared" si="5"/>
        <v>0</v>
      </c>
      <c r="J19" s="18">
        <f t="shared" si="5"/>
        <v>0</v>
      </c>
      <c r="K19" s="18">
        <f t="shared" si="5"/>
        <v>0</v>
      </c>
      <c r="L19" s="18">
        <f t="shared" si="5"/>
        <v>0</v>
      </c>
      <c r="M19" s="18">
        <f t="shared" si="5"/>
        <v>0</v>
      </c>
      <c r="N19" s="18">
        <f t="shared" si="5"/>
        <v>0</v>
      </c>
      <c r="O19" s="18">
        <f t="shared" si="5"/>
        <v>0</v>
      </c>
      <c r="P19" s="24">
        <f t="shared" si="5"/>
        <v>0</v>
      </c>
      <c r="Q19" s="19">
        <f t="shared" si="5"/>
        <v>0</v>
      </c>
    </row>
    <row r="20" spans="1:17">
      <c r="B20" s="15" t="s">
        <v>40</v>
      </c>
      <c r="C20" s="17">
        <f t="shared" ref="C20" si="34">+C73+C127</f>
        <v>0</v>
      </c>
      <c r="D20" s="17">
        <f t="shared" ref="D20" si="35">+D73+D127</f>
        <v>0</v>
      </c>
      <c r="E20" s="16">
        <f t="shared" si="5"/>
        <v>0</v>
      </c>
      <c r="F20" s="17">
        <f t="shared" si="5"/>
        <v>0</v>
      </c>
      <c r="G20" s="18">
        <f t="shared" si="5"/>
        <v>0</v>
      </c>
      <c r="H20" s="18">
        <f t="shared" si="5"/>
        <v>0</v>
      </c>
      <c r="I20" s="18">
        <f t="shared" si="5"/>
        <v>0</v>
      </c>
      <c r="J20" s="18">
        <f t="shared" si="5"/>
        <v>0</v>
      </c>
      <c r="K20" s="18">
        <f t="shared" si="5"/>
        <v>0</v>
      </c>
      <c r="L20" s="18">
        <f t="shared" si="5"/>
        <v>0</v>
      </c>
      <c r="M20" s="18">
        <f t="shared" si="5"/>
        <v>0</v>
      </c>
      <c r="N20" s="18">
        <f t="shared" si="5"/>
        <v>0</v>
      </c>
      <c r="O20" s="18">
        <f t="shared" si="5"/>
        <v>0</v>
      </c>
      <c r="P20" s="24">
        <f t="shared" si="5"/>
        <v>0</v>
      </c>
      <c r="Q20" s="19">
        <f t="shared" si="5"/>
        <v>0</v>
      </c>
    </row>
    <row r="21" spans="1:17">
      <c r="B21" s="15" t="s">
        <v>41</v>
      </c>
      <c r="C21" s="17">
        <f t="shared" ref="C21" si="36">+C74+C128</f>
        <v>37942.18742204005</v>
      </c>
      <c r="D21" s="17">
        <f t="shared" ref="D21" si="37">+D74+D128</f>
        <v>44198</v>
      </c>
      <c r="E21" s="16">
        <f t="shared" ref="E21:Q36" si="38">+E74+E128</f>
        <v>52592.225992463893</v>
      </c>
      <c r="F21" s="17">
        <f t="shared" si="38"/>
        <v>4327.9410808176117</v>
      </c>
      <c r="G21" s="18">
        <f t="shared" si="38"/>
        <v>3458.2821558957044</v>
      </c>
      <c r="H21" s="18">
        <f t="shared" si="38"/>
        <v>4911.8955699018861</v>
      </c>
      <c r="I21" s="18">
        <f t="shared" si="38"/>
        <v>4967.9433582694128</v>
      </c>
      <c r="J21" s="18">
        <f t="shared" si="38"/>
        <v>3731.225782233862</v>
      </c>
      <c r="K21" s="18">
        <f t="shared" si="38"/>
        <v>4562.7138694604655</v>
      </c>
      <c r="L21" s="18">
        <f t="shared" si="38"/>
        <v>4769.5576683238969</v>
      </c>
      <c r="M21" s="18">
        <f t="shared" si="38"/>
        <v>3633.8683183250896</v>
      </c>
      <c r="N21" s="18">
        <f t="shared" si="38"/>
        <v>4739.6600642451813</v>
      </c>
      <c r="O21" s="18">
        <f t="shared" si="38"/>
        <v>4002.4655669651202</v>
      </c>
      <c r="P21" s="24">
        <f t="shared" si="38"/>
        <v>4555.3614399251655</v>
      </c>
      <c r="Q21" s="19">
        <f t="shared" si="38"/>
        <v>4931.3111181004961</v>
      </c>
    </row>
    <row r="22" spans="1:17">
      <c r="B22" s="25" t="s">
        <v>42</v>
      </c>
      <c r="C22" s="17">
        <f t="shared" ref="C22" si="39">+C75+C129</f>
        <v>3925680.8464259789</v>
      </c>
      <c r="D22" s="17">
        <f t="shared" ref="D22" si="40">+D75+D129</f>
        <v>4724449.2299999995</v>
      </c>
      <c r="E22" s="16">
        <f t="shared" si="38"/>
        <v>5036177.888900985</v>
      </c>
      <c r="F22" s="17">
        <f t="shared" si="38"/>
        <v>415826.29256080277</v>
      </c>
      <c r="G22" s="18">
        <f t="shared" si="38"/>
        <v>336417.92695828911</v>
      </c>
      <c r="H22" s="18">
        <f t="shared" si="38"/>
        <v>471777.64590591553</v>
      </c>
      <c r="I22" s="18">
        <f t="shared" si="38"/>
        <v>480247.02945947729</v>
      </c>
      <c r="J22" s="18">
        <f t="shared" si="38"/>
        <v>346160.95366929838</v>
      </c>
      <c r="K22" s="18">
        <f t="shared" si="38"/>
        <v>436333.19155706355</v>
      </c>
      <c r="L22" s="18">
        <f t="shared" si="38"/>
        <v>455399.20176491007</v>
      </c>
      <c r="M22" s="18">
        <f t="shared" si="38"/>
        <v>350716.03089394694</v>
      </c>
      <c r="N22" s="18">
        <f t="shared" si="38"/>
        <v>452643.36365089775</v>
      </c>
      <c r="O22" s="18">
        <f t="shared" si="38"/>
        <v>384691.80847959727</v>
      </c>
      <c r="P22" s="24">
        <f t="shared" si="38"/>
        <v>435655.47485807253</v>
      </c>
      <c r="Q22" s="19">
        <f t="shared" si="38"/>
        <v>470308.96914271393</v>
      </c>
    </row>
    <row r="23" spans="1:17">
      <c r="B23" s="25" t="s">
        <v>43</v>
      </c>
      <c r="C23" s="17">
        <f t="shared" ref="C23" si="41">+C76+C130</f>
        <v>0</v>
      </c>
      <c r="D23" s="17">
        <f t="shared" ref="D23" si="42">+D76+D130</f>
        <v>0</v>
      </c>
      <c r="E23" s="16">
        <f t="shared" si="38"/>
        <v>0</v>
      </c>
      <c r="F23" s="17">
        <f t="shared" si="38"/>
        <v>0</v>
      </c>
      <c r="G23" s="18">
        <f t="shared" si="38"/>
        <v>0</v>
      </c>
      <c r="H23" s="18">
        <f t="shared" si="38"/>
        <v>0</v>
      </c>
      <c r="I23" s="18">
        <f t="shared" si="38"/>
        <v>0</v>
      </c>
      <c r="J23" s="18">
        <f t="shared" si="38"/>
        <v>0</v>
      </c>
      <c r="K23" s="18">
        <f t="shared" si="38"/>
        <v>0</v>
      </c>
      <c r="L23" s="18">
        <f t="shared" si="38"/>
        <v>0</v>
      </c>
      <c r="M23" s="18">
        <f t="shared" si="38"/>
        <v>0</v>
      </c>
      <c r="N23" s="18">
        <f t="shared" si="38"/>
        <v>0</v>
      </c>
      <c r="O23" s="18">
        <f t="shared" si="38"/>
        <v>0</v>
      </c>
      <c r="P23" s="24">
        <f t="shared" si="38"/>
        <v>0</v>
      </c>
      <c r="Q23" s="19">
        <f t="shared" si="38"/>
        <v>0</v>
      </c>
    </row>
    <row r="24" spans="1:17">
      <c r="B24" s="25" t="s">
        <v>44</v>
      </c>
      <c r="C24" s="17">
        <f t="shared" ref="C24" si="43">+C77+C131</f>
        <v>10498326.860000001</v>
      </c>
      <c r="D24" s="17">
        <f t="shared" ref="D24" si="44">+D77+D131</f>
        <v>10689658.060000002</v>
      </c>
      <c r="E24" s="16">
        <f t="shared" si="38"/>
        <v>11271638.52</v>
      </c>
      <c r="F24" s="17">
        <f t="shared" si="38"/>
        <v>931228.21</v>
      </c>
      <c r="G24" s="18">
        <f t="shared" si="38"/>
        <v>931228.21</v>
      </c>
      <c r="H24" s="18">
        <f t="shared" si="38"/>
        <v>931228.21</v>
      </c>
      <c r="I24" s="18">
        <f t="shared" si="38"/>
        <v>941994.87666666671</v>
      </c>
      <c r="J24" s="18">
        <f t="shared" si="38"/>
        <v>941994.87666666671</v>
      </c>
      <c r="K24" s="18">
        <f t="shared" si="38"/>
        <v>941994.87666666671</v>
      </c>
      <c r="L24" s="18">
        <f t="shared" si="38"/>
        <v>941994.87666666671</v>
      </c>
      <c r="M24" s="18">
        <f t="shared" si="38"/>
        <v>941994.87666666671</v>
      </c>
      <c r="N24" s="18">
        <f t="shared" si="38"/>
        <v>941994.87666666671</v>
      </c>
      <c r="O24" s="18">
        <f t="shared" si="38"/>
        <v>941994.87666666671</v>
      </c>
      <c r="P24" s="24">
        <f t="shared" si="38"/>
        <v>941994.87666666671</v>
      </c>
      <c r="Q24" s="19">
        <f t="shared" si="38"/>
        <v>941994.87666666671</v>
      </c>
    </row>
    <row r="25" spans="1:17">
      <c r="B25" s="25" t="s">
        <v>45</v>
      </c>
      <c r="C25" s="17">
        <f t="shared" ref="C25" si="45">+C78+C132</f>
        <v>0</v>
      </c>
      <c r="D25" s="17">
        <f t="shared" ref="D25" si="46">+D78+D132</f>
        <v>117472.58</v>
      </c>
      <c r="E25" s="16">
        <f t="shared" si="38"/>
        <v>0</v>
      </c>
      <c r="F25" s="17">
        <f t="shared" si="38"/>
        <v>0</v>
      </c>
      <c r="G25" s="18">
        <f t="shared" si="38"/>
        <v>0</v>
      </c>
      <c r="H25" s="18">
        <f t="shared" si="38"/>
        <v>0</v>
      </c>
      <c r="I25" s="18">
        <f t="shared" si="38"/>
        <v>0</v>
      </c>
      <c r="J25" s="18">
        <f t="shared" si="38"/>
        <v>0</v>
      </c>
      <c r="K25" s="18">
        <f t="shared" si="38"/>
        <v>0</v>
      </c>
      <c r="L25" s="18">
        <f t="shared" si="38"/>
        <v>0</v>
      </c>
      <c r="M25" s="18">
        <f t="shared" si="38"/>
        <v>0</v>
      </c>
      <c r="N25" s="18">
        <f t="shared" si="38"/>
        <v>0</v>
      </c>
      <c r="O25" s="18">
        <f t="shared" si="38"/>
        <v>0</v>
      </c>
      <c r="P25" s="24">
        <f t="shared" si="38"/>
        <v>0</v>
      </c>
      <c r="Q25" s="19">
        <f t="shared" si="38"/>
        <v>0</v>
      </c>
    </row>
    <row r="26" spans="1:17">
      <c r="B26" s="25" t="s">
        <v>46</v>
      </c>
      <c r="C26" s="17">
        <f t="shared" ref="C26" si="47">+C79+C133</f>
        <v>897608.36033810431</v>
      </c>
      <c r="D26" s="17">
        <f t="shared" ref="D26" si="48">+D79+D133</f>
        <v>504265.19000000006</v>
      </c>
      <c r="E26" s="16">
        <f t="shared" si="38"/>
        <v>1014878.1294068745</v>
      </c>
      <c r="F26" s="17">
        <f t="shared" si="38"/>
        <v>78005.181273978043</v>
      </c>
      <c r="G26" s="18">
        <f t="shared" si="38"/>
        <v>56803.002451573266</v>
      </c>
      <c r="H26" s="18">
        <f t="shared" si="38"/>
        <v>85192.142015856763</v>
      </c>
      <c r="I26" s="18">
        <f t="shared" si="38"/>
        <v>84903.614810639774</v>
      </c>
      <c r="J26" s="18">
        <f t="shared" si="38"/>
        <v>67865.467640719871</v>
      </c>
      <c r="K26" s="18">
        <f t="shared" si="38"/>
        <v>79311.263360393437</v>
      </c>
      <c r="L26" s="18">
        <f t="shared" si="38"/>
        <v>83646.408869200881</v>
      </c>
      <c r="M26" s="18">
        <f t="shared" si="38"/>
        <v>59821.22424714177</v>
      </c>
      <c r="N26" s="18">
        <f t="shared" si="38"/>
        <v>83019.198675725245</v>
      </c>
      <c r="O26" s="18">
        <f t="shared" si="38"/>
        <v>170117.98495410252</v>
      </c>
      <c r="P26" s="24">
        <f t="shared" si="38"/>
        <v>79152.869604294014</v>
      </c>
      <c r="Q26" s="19">
        <f t="shared" si="38"/>
        <v>87039.771503248965</v>
      </c>
    </row>
    <row r="27" spans="1:17">
      <c r="B27" s="25" t="s">
        <v>47</v>
      </c>
      <c r="C27" s="17">
        <f t="shared" ref="C27" si="49">+C80+C134</f>
        <v>2982418.92</v>
      </c>
      <c r="D27" s="17">
        <f t="shared" ref="D27" si="50">+D80+D134</f>
        <v>1540504.83</v>
      </c>
      <c r="E27" s="16">
        <f t="shared" si="38"/>
        <v>2933838.0900000012</v>
      </c>
      <c r="F27" s="17">
        <f t="shared" si="38"/>
        <v>238958.58000000002</v>
      </c>
      <c r="G27" s="18">
        <f t="shared" si="38"/>
        <v>241582.61000000002</v>
      </c>
      <c r="H27" s="18">
        <f t="shared" si="38"/>
        <v>243080.20000000007</v>
      </c>
      <c r="I27" s="18">
        <f t="shared" si="38"/>
        <v>243080.20000000007</v>
      </c>
      <c r="J27" s="18">
        <f t="shared" si="38"/>
        <v>243080.20000000007</v>
      </c>
      <c r="K27" s="18">
        <f t="shared" si="38"/>
        <v>252080.20000000007</v>
      </c>
      <c r="L27" s="18">
        <f t="shared" si="38"/>
        <v>245329.35000000006</v>
      </c>
      <c r="M27" s="18">
        <f t="shared" si="38"/>
        <v>245329.35000000006</v>
      </c>
      <c r="N27" s="18">
        <f t="shared" si="38"/>
        <v>245329.35000000006</v>
      </c>
      <c r="O27" s="18">
        <f t="shared" si="38"/>
        <v>245329.35000000006</v>
      </c>
      <c r="P27" s="24">
        <f t="shared" si="38"/>
        <v>245329.35000000006</v>
      </c>
      <c r="Q27" s="19">
        <f t="shared" si="38"/>
        <v>245329.35000000006</v>
      </c>
    </row>
    <row r="28" spans="1:17">
      <c r="B28" s="25" t="s">
        <v>48</v>
      </c>
      <c r="C28" s="17">
        <f t="shared" ref="C28" si="51">+C81+C135</f>
        <v>0</v>
      </c>
      <c r="D28" s="17">
        <f t="shared" ref="D28" si="52">+D81+D135</f>
        <v>0</v>
      </c>
      <c r="E28" s="16">
        <f t="shared" si="38"/>
        <v>0</v>
      </c>
      <c r="F28" s="17">
        <f t="shared" si="38"/>
        <v>0</v>
      </c>
      <c r="G28" s="18">
        <f t="shared" si="38"/>
        <v>0</v>
      </c>
      <c r="H28" s="18">
        <f t="shared" si="38"/>
        <v>0</v>
      </c>
      <c r="I28" s="18">
        <f t="shared" si="38"/>
        <v>0</v>
      </c>
      <c r="J28" s="18">
        <f t="shared" si="38"/>
        <v>0</v>
      </c>
      <c r="K28" s="18">
        <f t="shared" si="38"/>
        <v>0</v>
      </c>
      <c r="L28" s="18">
        <f t="shared" si="38"/>
        <v>0</v>
      </c>
      <c r="M28" s="18">
        <f t="shared" si="38"/>
        <v>0</v>
      </c>
      <c r="N28" s="18">
        <f t="shared" si="38"/>
        <v>0</v>
      </c>
      <c r="O28" s="18">
        <f t="shared" si="38"/>
        <v>0</v>
      </c>
      <c r="P28" s="24">
        <f t="shared" si="38"/>
        <v>0</v>
      </c>
      <c r="Q28" s="19">
        <f t="shared" si="38"/>
        <v>0</v>
      </c>
    </row>
    <row r="29" spans="1:17">
      <c r="B29" s="25" t="s">
        <v>49</v>
      </c>
      <c r="C29" s="17">
        <f t="shared" ref="C29" si="53">+C82+C136</f>
        <v>0</v>
      </c>
      <c r="D29" s="17">
        <f t="shared" ref="D29" si="54">+D82+D136</f>
        <v>0</v>
      </c>
      <c r="E29" s="16">
        <f t="shared" si="38"/>
        <v>0</v>
      </c>
      <c r="F29" s="17">
        <f t="shared" si="38"/>
        <v>0</v>
      </c>
      <c r="G29" s="18">
        <f t="shared" si="38"/>
        <v>0</v>
      </c>
      <c r="H29" s="18">
        <f t="shared" si="38"/>
        <v>0</v>
      </c>
      <c r="I29" s="18">
        <f t="shared" si="38"/>
        <v>0</v>
      </c>
      <c r="J29" s="18">
        <f t="shared" si="38"/>
        <v>0</v>
      </c>
      <c r="K29" s="18">
        <f t="shared" si="38"/>
        <v>0</v>
      </c>
      <c r="L29" s="18">
        <f t="shared" si="38"/>
        <v>0</v>
      </c>
      <c r="M29" s="18">
        <f t="shared" si="38"/>
        <v>0</v>
      </c>
      <c r="N29" s="18">
        <f t="shared" si="38"/>
        <v>0</v>
      </c>
      <c r="O29" s="18">
        <f t="shared" si="38"/>
        <v>0</v>
      </c>
      <c r="P29" s="24">
        <f t="shared" si="38"/>
        <v>0</v>
      </c>
      <c r="Q29" s="19">
        <f t="shared" si="38"/>
        <v>0</v>
      </c>
    </row>
    <row r="30" spans="1:17">
      <c r="B30" s="25" t="s">
        <v>50</v>
      </c>
      <c r="C30" s="17">
        <f t="shared" ref="C30" si="55">+C83+C137</f>
        <v>0</v>
      </c>
      <c r="D30" s="17">
        <f t="shared" ref="D30" si="56">+D83+D137</f>
        <v>12281.079999999998</v>
      </c>
      <c r="E30" s="16">
        <f t="shared" si="38"/>
        <v>0</v>
      </c>
      <c r="F30" s="17">
        <f t="shared" si="38"/>
        <v>0</v>
      </c>
      <c r="G30" s="18">
        <f t="shared" si="38"/>
        <v>0</v>
      </c>
      <c r="H30" s="18">
        <f t="shared" si="38"/>
        <v>0</v>
      </c>
      <c r="I30" s="18">
        <f t="shared" si="38"/>
        <v>0</v>
      </c>
      <c r="J30" s="18">
        <f t="shared" si="38"/>
        <v>0</v>
      </c>
      <c r="K30" s="18">
        <f t="shared" si="38"/>
        <v>0</v>
      </c>
      <c r="L30" s="18">
        <f t="shared" si="38"/>
        <v>0</v>
      </c>
      <c r="M30" s="18">
        <f t="shared" si="38"/>
        <v>0</v>
      </c>
      <c r="N30" s="18">
        <f t="shared" si="38"/>
        <v>0</v>
      </c>
      <c r="O30" s="18">
        <f t="shared" si="38"/>
        <v>0</v>
      </c>
      <c r="P30" s="24">
        <f t="shared" si="38"/>
        <v>0</v>
      </c>
      <c r="Q30" s="19">
        <f t="shared" si="38"/>
        <v>0</v>
      </c>
    </row>
    <row r="31" spans="1:17">
      <c r="B31" s="25" t="s">
        <v>51</v>
      </c>
      <c r="C31" s="17">
        <f t="shared" ref="C31" si="57">+C84+C138</f>
        <v>0</v>
      </c>
      <c r="D31" s="17">
        <f t="shared" ref="D31" si="58">+D84+D138</f>
        <v>0</v>
      </c>
      <c r="E31" s="16">
        <f t="shared" si="38"/>
        <v>0</v>
      </c>
      <c r="F31" s="17">
        <f t="shared" si="38"/>
        <v>0</v>
      </c>
      <c r="G31" s="18">
        <f t="shared" si="38"/>
        <v>0</v>
      </c>
      <c r="H31" s="18">
        <f t="shared" si="38"/>
        <v>0</v>
      </c>
      <c r="I31" s="18">
        <f t="shared" si="38"/>
        <v>0</v>
      </c>
      <c r="J31" s="18">
        <f t="shared" si="38"/>
        <v>0</v>
      </c>
      <c r="K31" s="18">
        <f t="shared" si="38"/>
        <v>0</v>
      </c>
      <c r="L31" s="18">
        <f t="shared" si="38"/>
        <v>0</v>
      </c>
      <c r="M31" s="18">
        <f t="shared" si="38"/>
        <v>0</v>
      </c>
      <c r="N31" s="18">
        <f t="shared" si="38"/>
        <v>0</v>
      </c>
      <c r="O31" s="18">
        <f t="shared" si="38"/>
        <v>0</v>
      </c>
      <c r="P31" s="24">
        <f t="shared" si="38"/>
        <v>0</v>
      </c>
      <c r="Q31" s="19">
        <f t="shared" si="38"/>
        <v>0</v>
      </c>
    </row>
    <row r="32" spans="1:17">
      <c r="B32" s="25" t="s">
        <v>52</v>
      </c>
      <c r="C32" s="17">
        <f t="shared" ref="C32" si="59">+C85+C139</f>
        <v>0</v>
      </c>
      <c r="D32" s="17">
        <f t="shared" ref="D32" si="60">+D85+D139</f>
        <v>0</v>
      </c>
      <c r="E32" s="16">
        <f t="shared" si="38"/>
        <v>0</v>
      </c>
      <c r="F32" s="17">
        <f t="shared" si="38"/>
        <v>0</v>
      </c>
      <c r="G32" s="18">
        <f t="shared" si="38"/>
        <v>0</v>
      </c>
      <c r="H32" s="18">
        <f t="shared" si="38"/>
        <v>0</v>
      </c>
      <c r="I32" s="18">
        <f t="shared" si="38"/>
        <v>0</v>
      </c>
      <c r="J32" s="18">
        <f t="shared" si="38"/>
        <v>0</v>
      </c>
      <c r="K32" s="18">
        <f t="shared" si="38"/>
        <v>0</v>
      </c>
      <c r="L32" s="18">
        <f t="shared" si="38"/>
        <v>0</v>
      </c>
      <c r="M32" s="18">
        <f t="shared" si="38"/>
        <v>0</v>
      </c>
      <c r="N32" s="18">
        <f t="shared" si="38"/>
        <v>0</v>
      </c>
      <c r="O32" s="18">
        <f t="shared" si="38"/>
        <v>0</v>
      </c>
      <c r="P32" s="24">
        <f t="shared" si="38"/>
        <v>0</v>
      </c>
      <c r="Q32" s="19">
        <f t="shared" si="38"/>
        <v>0</v>
      </c>
    </row>
    <row r="33" spans="1:17">
      <c r="B33" s="25" t="s">
        <v>53</v>
      </c>
      <c r="C33" s="17">
        <f t="shared" ref="C33" si="61">+C86+C140</f>
        <v>0</v>
      </c>
      <c r="D33" s="17">
        <f t="shared" ref="D33" si="62">+D86+D140</f>
        <v>0</v>
      </c>
      <c r="E33" s="16">
        <f t="shared" si="38"/>
        <v>0</v>
      </c>
      <c r="F33" s="17">
        <f t="shared" si="38"/>
        <v>0</v>
      </c>
      <c r="G33" s="18">
        <f t="shared" si="38"/>
        <v>0</v>
      </c>
      <c r="H33" s="18">
        <f t="shared" si="38"/>
        <v>0</v>
      </c>
      <c r="I33" s="18">
        <f t="shared" si="38"/>
        <v>0</v>
      </c>
      <c r="J33" s="18">
        <f t="shared" si="38"/>
        <v>0</v>
      </c>
      <c r="K33" s="18">
        <f t="shared" si="38"/>
        <v>0</v>
      </c>
      <c r="L33" s="18">
        <f t="shared" si="38"/>
        <v>0</v>
      </c>
      <c r="M33" s="18">
        <f t="shared" si="38"/>
        <v>0</v>
      </c>
      <c r="N33" s="18">
        <f t="shared" si="38"/>
        <v>0</v>
      </c>
      <c r="O33" s="18">
        <f t="shared" si="38"/>
        <v>0</v>
      </c>
      <c r="P33" s="24">
        <f t="shared" si="38"/>
        <v>0</v>
      </c>
      <c r="Q33" s="19">
        <f t="shared" si="38"/>
        <v>0</v>
      </c>
    </row>
    <row r="34" spans="1:17">
      <c r="B34" s="25" t="s">
        <v>54</v>
      </c>
      <c r="C34" s="17">
        <f t="shared" ref="C34" si="63">+C87+C141</f>
        <v>1290688.0625908189</v>
      </c>
      <c r="D34" s="17">
        <f t="shared" ref="D34" si="64">+D87+D141</f>
        <v>1377728.8499999999</v>
      </c>
      <c r="E34" s="16">
        <f t="shared" si="38"/>
        <v>1938269.1949004955</v>
      </c>
      <c r="F34" s="17">
        <f t="shared" si="38"/>
        <v>160285.47997817877</v>
      </c>
      <c r="G34" s="18">
        <f t="shared" si="38"/>
        <v>122691.06628327793</v>
      </c>
      <c r="H34" s="18">
        <f t="shared" si="38"/>
        <v>173493.73739547608</v>
      </c>
      <c r="I34" s="18">
        <f t="shared" si="38"/>
        <v>169445.16858425771</v>
      </c>
      <c r="J34" s="18">
        <f t="shared" si="38"/>
        <v>156260.27918051439</v>
      </c>
      <c r="K34" s="18">
        <f t="shared" si="38"/>
        <v>169257.61784383951</v>
      </c>
      <c r="L34" s="18">
        <f t="shared" si="38"/>
        <v>176408.62517355708</v>
      </c>
      <c r="M34" s="18">
        <f t="shared" si="38"/>
        <v>134159.31404259324</v>
      </c>
      <c r="N34" s="18">
        <f t="shared" si="38"/>
        <v>175375.00469722343</v>
      </c>
      <c r="O34" s="18">
        <f t="shared" si="38"/>
        <v>149888.70400827803</v>
      </c>
      <c r="P34" s="24">
        <f t="shared" si="38"/>
        <v>169003.42952498703</v>
      </c>
      <c r="Q34" s="19">
        <f t="shared" si="38"/>
        <v>182000.76818831224</v>
      </c>
    </row>
    <row r="35" spans="1:17">
      <c r="B35" s="25" t="s">
        <v>55</v>
      </c>
      <c r="C35" s="17">
        <f t="shared" ref="C35" si="65">+C88+C142</f>
        <v>68077.983755449124</v>
      </c>
      <c r="D35" s="17">
        <f t="shared" ref="D35" si="66">+D88+D142</f>
        <v>209169.53</v>
      </c>
      <c r="E35" s="16">
        <f t="shared" si="38"/>
        <v>264982.09334091807</v>
      </c>
      <c r="F35" s="17">
        <f t="shared" si="38"/>
        <v>21538.414920239236</v>
      </c>
      <c r="G35" s="18">
        <f t="shared" si="38"/>
        <v>16410.220891610821</v>
      </c>
      <c r="H35" s="18">
        <f t="shared" si="38"/>
        <v>24474.363237605088</v>
      </c>
      <c r="I35" s="18">
        <f t="shared" si="38"/>
        <v>24158.244566300527</v>
      </c>
      <c r="J35" s="18">
        <f t="shared" si="38"/>
        <v>20948.192842021966</v>
      </c>
      <c r="K35" s="18">
        <f t="shared" si="38"/>
        <v>23102.269717031708</v>
      </c>
      <c r="L35" s="18">
        <f t="shared" si="38"/>
        <v>24287.421533182736</v>
      </c>
      <c r="M35" s="18">
        <f t="shared" si="38"/>
        <v>17780.268294215522</v>
      </c>
      <c r="N35" s="18">
        <f t="shared" si="38"/>
        <v>24116.117389828414</v>
      </c>
      <c r="O35" s="18">
        <f t="shared" si="38"/>
        <v>19892.217992753154</v>
      </c>
      <c r="P35" s="24">
        <f t="shared" si="38"/>
        <v>23060.142540559595</v>
      </c>
      <c r="Q35" s="19">
        <f t="shared" si="38"/>
        <v>25214.219415569347</v>
      </c>
    </row>
    <row r="36" spans="1:17">
      <c r="B36" s="25" t="s">
        <v>56</v>
      </c>
      <c r="C36" s="17">
        <f t="shared" ref="C36" si="67">+C89+C143</f>
        <v>1008902.4985120227</v>
      </c>
      <c r="D36" s="17">
        <f t="shared" ref="D36" si="68">+D89+D143</f>
        <v>1861932.6</v>
      </c>
      <c r="E36" s="16">
        <f t="shared" si="38"/>
        <v>2197823.5917937481</v>
      </c>
      <c r="F36" s="17">
        <f t="shared" si="38"/>
        <v>181300.25677645367</v>
      </c>
      <c r="G36" s="18">
        <f t="shared" si="38"/>
        <v>146173.69083141236</v>
      </c>
      <c r="H36" s="18">
        <f t="shared" si="38"/>
        <v>205713.86024242331</v>
      </c>
      <c r="I36" s="18">
        <f t="shared" si="38"/>
        <v>209031.36430407135</v>
      </c>
      <c r="J36" s="18">
        <f t="shared" si="38"/>
        <v>152426.25735772232</v>
      </c>
      <c r="K36" s="18">
        <f t="shared" si="38"/>
        <v>190490.59843657914</v>
      </c>
      <c r="L36" s="18">
        <f t="shared" si="38"/>
        <v>198901.58623822578</v>
      </c>
      <c r="M36" s="18">
        <f t="shared" si="38"/>
        <v>152720.50988114922</v>
      </c>
      <c r="N36" s="18">
        <f t="shared" si="38"/>
        <v>197685.84573942277</v>
      </c>
      <c r="O36" s="18">
        <f t="shared" si="38"/>
        <v>167708.9551672404</v>
      </c>
      <c r="P36" s="24">
        <f t="shared" si="38"/>
        <v>190191.62309637715</v>
      </c>
      <c r="Q36" s="19">
        <f t="shared" si="38"/>
        <v>205479.04372267038</v>
      </c>
    </row>
    <row r="37" spans="1:17">
      <c r="B37" s="25" t="s">
        <v>57</v>
      </c>
      <c r="C37" s="17">
        <f t="shared" ref="C37" si="69">+C90+C144</f>
        <v>3015295.5639545526</v>
      </c>
      <c r="D37" s="17">
        <f t="shared" ref="D37" si="70">+D90+D144</f>
        <v>4127419.25</v>
      </c>
      <c r="E37" s="16">
        <f t="shared" ref="E37:Q51" si="71">+E90+E144</f>
        <v>4341861.3410566403</v>
      </c>
      <c r="F37" s="17">
        <f t="shared" si="71"/>
        <v>355407.09451200749</v>
      </c>
      <c r="G37" s="18">
        <f t="shared" si="71"/>
        <v>278324.00946613052</v>
      </c>
      <c r="H37" s="18">
        <f t="shared" si="71"/>
        <v>403572.32016573206</v>
      </c>
      <c r="I37" s="18">
        <f t="shared" si="71"/>
        <v>403960.81072303018</v>
      </c>
      <c r="J37" s="18">
        <f t="shared" si="71"/>
        <v>323256.1175619897</v>
      </c>
      <c r="K37" s="18">
        <f t="shared" si="71"/>
        <v>377487.27426574536</v>
      </c>
      <c r="L37" s="18">
        <f t="shared" si="71"/>
        <v>395576.3115980876</v>
      </c>
      <c r="M37" s="18">
        <f t="shared" si="71"/>
        <v>296257.27393316966</v>
      </c>
      <c r="N37" s="18">
        <f t="shared" si="71"/>
        <v>392961.68703936663</v>
      </c>
      <c r="O37" s="18">
        <f t="shared" si="71"/>
        <v>328492.07830190205</v>
      </c>
      <c r="P37" s="24">
        <f t="shared" si="71"/>
        <v>376844.28485500038</v>
      </c>
      <c r="Q37" s="19">
        <f t="shared" si="71"/>
        <v>409722.07863447774</v>
      </c>
    </row>
    <row r="38" spans="1:17">
      <c r="B38" s="25" t="s">
        <v>58</v>
      </c>
      <c r="C38" s="17">
        <f>+C90+C145</f>
        <v>2893314.3096065884</v>
      </c>
      <c r="D38" s="17">
        <f>+D90+D145</f>
        <v>3859722.16</v>
      </c>
      <c r="E38" s="16">
        <f t="shared" si="71"/>
        <v>60000</v>
      </c>
      <c r="F38" s="17">
        <f>+F90+F145</f>
        <v>328742.01116022764</v>
      </c>
      <c r="G38" s="18">
        <f t="shared" si="71"/>
        <v>0</v>
      </c>
      <c r="H38" s="18">
        <f t="shared" si="71"/>
        <v>15000</v>
      </c>
      <c r="I38" s="18">
        <f t="shared" si="71"/>
        <v>0</v>
      </c>
      <c r="J38" s="18">
        <f t="shared" si="71"/>
        <v>0</v>
      </c>
      <c r="K38" s="18">
        <f t="shared" si="71"/>
        <v>15000</v>
      </c>
      <c r="L38" s="18">
        <f t="shared" si="71"/>
        <v>0</v>
      </c>
      <c r="M38" s="18">
        <f t="shared" si="71"/>
        <v>0</v>
      </c>
      <c r="N38" s="18">
        <f t="shared" si="71"/>
        <v>15000</v>
      </c>
      <c r="O38" s="18">
        <f t="shared" si="71"/>
        <v>0</v>
      </c>
      <c r="P38" s="24">
        <f t="shared" si="71"/>
        <v>0</v>
      </c>
      <c r="Q38" s="19">
        <f t="shared" si="71"/>
        <v>15000</v>
      </c>
    </row>
    <row r="39" spans="1:17">
      <c r="B39" s="25" t="s">
        <v>59</v>
      </c>
      <c r="C39" s="17">
        <f t="shared" ref="C39" si="72">+C92+C146</f>
        <v>0</v>
      </c>
      <c r="D39" s="17">
        <f t="shared" ref="D39" si="73">+D92+D146</f>
        <v>0</v>
      </c>
      <c r="E39" s="16">
        <f t="shared" si="71"/>
        <v>0</v>
      </c>
      <c r="F39" s="17">
        <f t="shared" si="71"/>
        <v>0</v>
      </c>
      <c r="G39" s="18">
        <f t="shared" si="71"/>
        <v>0</v>
      </c>
      <c r="H39" s="18">
        <f t="shared" si="71"/>
        <v>0</v>
      </c>
      <c r="I39" s="18">
        <f t="shared" si="71"/>
        <v>0</v>
      </c>
      <c r="J39" s="18">
        <f t="shared" si="71"/>
        <v>0</v>
      </c>
      <c r="K39" s="18">
        <f t="shared" si="71"/>
        <v>0</v>
      </c>
      <c r="L39" s="18">
        <f t="shared" si="71"/>
        <v>0</v>
      </c>
      <c r="M39" s="18">
        <f t="shared" si="71"/>
        <v>0</v>
      </c>
      <c r="N39" s="18">
        <f t="shared" si="71"/>
        <v>0</v>
      </c>
      <c r="O39" s="18">
        <f t="shared" si="71"/>
        <v>0</v>
      </c>
      <c r="P39" s="24">
        <f t="shared" si="71"/>
        <v>0</v>
      </c>
      <c r="Q39" s="19">
        <f t="shared" si="71"/>
        <v>0</v>
      </c>
    </row>
    <row r="40" spans="1:17">
      <c r="B40" s="25" t="s">
        <v>60</v>
      </c>
      <c r="C40" s="17">
        <f t="shared" ref="C40" si="74">+C93+C147</f>
        <v>0</v>
      </c>
      <c r="D40" s="17">
        <f t="shared" ref="D40" si="75">+D93+D147</f>
        <v>0</v>
      </c>
      <c r="E40" s="16">
        <f t="shared" si="71"/>
        <v>0</v>
      </c>
      <c r="F40" s="17">
        <f t="shared" si="71"/>
        <v>0</v>
      </c>
      <c r="G40" s="18">
        <f t="shared" si="71"/>
        <v>0</v>
      </c>
      <c r="H40" s="18">
        <f t="shared" si="71"/>
        <v>0</v>
      </c>
      <c r="I40" s="18">
        <f t="shared" si="71"/>
        <v>0</v>
      </c>
      <c r="J40" s="18">
        <f t="shared" si="71"/>
        <v>0</v>
      </c>
      <c r="K40" s="18">
        <f t="shared" si="71"/>
        <v>0</v>
      </c>
      <c r="L40" s="18">
        <f t="shared" si="71"/>
        <v>0</v>
      </c>
      <c r="M40" s="18">
        <f t="shared" si="71"/>
        <v>0</v>
      </c>
      <c r="N40" s="18">
        <f t="shared" si="71"/>
        <v>0</v>
      </c>
      <c r="O40" s="18">
        <f t="shared" si="71"/>
        <v>0</v>
      </c>
      <c r="P40" s="24">
        <f t="shared" si="71"/>
        <v>0</v>
      </c>
      <c r="Q40" s="19">
        <f t="shared" si="71"/>
        <v>0</v>
      </c>
    </row>
    <row r="41" spans="1:17">
      <c r="B41" s="25" t="s">
        <v>61</v>
      </c>
      <c r="C41" s="17">
        <f t="shared" ref="C41" si="76">+C94+C148</f>
        <v>0</v>
      </c>
      <c r="D41" s="17">
        <f t="shared" ref="D41" si="77">+D94+D148</f>
        <v>0</v>
      </c>
      <c r="E41" s="16">
        <f t="shared" si="71"/>
        <v>0</v>
      </c>
      <c r="F41" s="17">
        <f t="shared" si="71"/>
        <v>0</v>
      </c>
      <c r="G41" s="18">
        <f t="shared" si="71"/>
        <v>0</v>
      </c>
      <c r="H41" s="18">
        <f t="shared" si="71"/>
        <v>0</v>
      </c>
      <c r="I41" s="18">
        <f t="shared" si="71"/>
        <v>0</v>
      </c>
      <c r="J41" s="18">
        <f t="shared" si="71"/>
        <v>0</v>
      </c>
      <c r="K41" s="18">
        <f t="shared" si="71"/>
        <v>0</v>
      </c>
      <c r="L41" s="18">
        <f t="shared" si="71"/>
        <v>0</v>
      </c>
      <c r="M41" s="18">
        <f t="shared" si="71"/>
        <v>0</v>
      </c>
      <c r="N41" s="18">
        <f t="shared" si="71"/>
        <v>0</v>
      </c>
      <c r="O41" s="18">
        <f t="shared" si="71"/>
        <v>0</v>
      </c>
      <c r="P41" s="24">
        <f t="shared" si="71"/>
        <v>0</v>
      </c>
      <c r="Q41" s="19">
        <f t="shared" si="71"/>
        <v>0</v>
      </c>
    </row>
    <row r="42" spans="1:17">
      <c r="B42" s="25" t="s">
        <v>62</v>
      </c>
      <c r="C42" s="17">
        <f t="shared" ref="C42" si="78">+C95+C149</f>
        <v>0</v>
      </c>
      <c r="D42" s="17">
        <f t="shared" ref="D42" si="79">+D95+D149</f>
        <v>0</v>
      </c>
      <c r="E42" s="16">
        <f t="shared" si="71"/>
        <v>0</v>
      </c>
      <c r="F42" s="17">
        <f t="shared" si="71"/>
        <v>0</v>
      </c>
      <c r="G42" s="18">
        <f t="shared" si="71"/>
        <v>0</v>
      </c>
      <c r="H42" s="18">
        <f t="shared" si="71"/>
        <v>0</v>
      </c>
      <c r="I42" s="18">
        <f t="shared" si="71"/>
        <v>0</v>
      </c>
      <c r="J42" s="18">
        <f t="shared" si="71"/>
        <v>0</v>
      </c>
      <c r="K42" s="18">
        <f t="shared" si="71"/>
        <v>0</v>
      </c>
      <c r="L42" s="18">
        <f t="shared" si="71"/>
        <v>0</v>
      </c>
      <c r="M42" s="18">
        <f t="shared" si="71"/>
        <v>0</v>
      </c>
      <c r="N42" s="18">
        <f t="shared" si="71"/>
        <v>0</v>
      </c>
      <c r="O42" s="18">
        <f t="shared" si="71"/>
        <v>0</v>
      </c>
      <c r="P42" s="24">
        <f t="shared" si="71"/>
        <v>0</v>
      </c>
      <c r="Q42" s="19">
        <f t="shared" si="71"/>
        <v>0</v>
      </c>
    </row>
    <row r="43" spans="1:17">
      <c r="B43" s="15" t="s">
        <v>63</v>
      </c>
      <c r="C43" s="17">
        <f t="shared" ref="C43" si="80">+C96+C150</f>
        <v>0</v>
      </c>
      <c r="D43" s="17">
        <f t="shared" ref="D43" si="81">+D96+D150</f>
        <v>0</v>
      </c>
      <c r="E43" s="16">
        <f t="shared" si="71"/>
        <v>0</v>
      </c>
      <c r="F43" s="17">
        <f t="shared" si="71"/>
        <v>0</v>
      </c>
      <c r="G43" s="18">
        <f t="shared" si="71"/>
        <v>0</v>
      </c>
      <c r="H43" s="18">
        <f t="shared" si="71"/>
        <v>0</v>
      </c>
      <c r="I43" s="18">
        <f t="shared" si="71"/>
        <v>0</v>
      </c>
      <c r="J43" s="18">
        <f t="shared" si="71"/>
        <v>0</v>
      </c>
      <c r="K43" s="18">
        <f t="shared" si="71"/>
        <v>0</v>
      </c>
      <c r="L43" s="18">
        <f t="shared" si="71"/>
        <v>0</v>
      </c>
      <c r="M43" s="18">
        <f t="shared" si="71"/>
        <v>0</v>
      </c>
      <c r="N43" s="18">
        <f t="shared" si="71"/>
        <v>0</v>
      </c>
      <c r="O43" s="18">
        <f t="shared" si="71"/>
        <v>0</v>
      </c>
      <c r="P43" s="24">
        <f t="shared" si="71"/>
        <v>0</v>
      </c>
      <c r="Q43" s="19">
        <f t="shared" si="71"/>
        <v>0</v>
      </c>
    </row>
    <row r="44" spans="1:17">
      <c r="B44" s="15" t="s">
        <v>64</v>
      </c>
      <c r="C44" s="17">
        <f t="shared" ref="C44" si="82">+C97+C151</f>
        <v>0</v>
      </c>
      <c r="D44" s="17">
        <f t="shared" ref="D44" si="83">+D97+D151</f>
        <v>0</v>
      </c>
      <c r="E44" s="16">
        <f t="shared" si="71"/>
        <v>0</v>
      </c>
      <c r="F44" s="17">
        <f t="shared" si="71"/>
        <v>0</v>
      </c>
      <c r="G44" s="18">
        <f t="shared" si="71"/>
        <v>0</v>
      </c>
      <c r="H44" s="18">
        <f t="shared" si="71"/>
        <v>0</v>
      </c>
      <c r="I44" s="18">
        <f t="shared" si="71"/>
        <v>0</v>
      </c>
      <c r="J44" s="18">
        <f t="shared" si="71"/>
        <v>0</v>
      </c>
      <c r="K44" s="18">
        <f t="shared" si="71"/>
        <v>0</v>
      </c>
      <c r="L44" s="18">
        <f t="shared" si="71"/>
        <v>0</v>
      </c>
      <c r="M44" s="18">
        <f t="shared" si="71"/>
        <v>0</v>
      </c>
      <c r="N44" s="18">
        <f t="shared" si="71"/>
        <v>0</v>
      </c>
      <c r="O44" s="18">
        <f t="shared" si="71"/>
        <v>0</v>
      </c>
      <c r="P44" s="24">
        <f t="shared" si="71"/>
        <v>0</v>
      </c>
      <c r="Q44" s="19">
        <f t="shared" si="71"/>
        <v>0</v>
      </c>
    </row>
    <row r="45" spans="1:17">
      <c r="A45" s="21">
        <v>385915470.9597311</v>
      </c>
      <c r="B45" s="26" t="s">
        <v>65</v>
      </c>
      <c r="C45" s="28">
        <f t="shared" ref="C45" si="84">+C98+C152</f>
        <v>424644089.27732921</v>
      </c>
      <c r="D45" s="28">
        <f t="shared" ref="D45" si="85">+D98+D152</f>
        <v>287849827.278</v>
      </c>
      <c r="E45" s="27">
        <f t="shared" si="71"/>
        <v>321884378.20245796</v>
      </c>
      <c r="F45" s="28">
        <f t="shared" si="71"/>
        <v>26400983.19765912</v>
      </c>
      <c r="G45" s="29">
        <f t="shared" si="71"/>
        <v>20844009.833756223</v>
      </c>
      <c r="H45" s="29">
        <f t="shared" si="71"/>
        <v>30200116.286574848</v>
      </c>
      <c r="I45" s="29">
        <f t="shared" si="71"/>
        <v>29611649.1137214</v>
      </c>
      <c r="J45" s="29">
        <f t="shared" si="71"/>
        <v>24148884.048540317</v>
      </c>
      <c r="K45" s="29">
        <f t="shared" si="71"/>
        <v>27888925.494952559</v>
      </c>
      <c r="L45" s="29">
        <f t="shared" si="71"/>
        <v>28504141.071178041</v>
      </c>
      <c r="M45" s="29">
        <f t="shared" si="71"/>
        <v>22479348.909518037</v>
      </c>
      <c r="N45" s="29">
        <f t="shared" si="71"/>
        <v>28883302.110074162</v>
      </c>
      <c r="O45" s="29">
        <f t="shared" si="71"/>
        <v>24680696.496776894</v>
      </c>
      <c r="P45" s="29">
        <f t="shared" si="71"/>
        <v>27775789.338251673</v>
      </c>
      <c r="Q45" s="30">
        <f t="shared" si="71"/>
        <v>30466532.301454667</v>
      </c>
    </row>
    <row r="46" spans="1:17">
      <c r="A46" s="21"/>
      <c r="B46" s="31" t="s">
        <v>66</v>
      </c>
      <c r="C46" s="32">
        <f t="shared" ref="C46" si="86">+C99+C153</f>
        <v>0</v>
      </c>
      <c r="D46" s="32">
        <f t="shared" ref="D46" si="87">+D99+D153</f>
        <v>0</v>
      </c>
      <c r="E46" s="16">
        <f t="shared" si="71"/>
        <v>0</v>
      </c>
      <c r="F46" s="32">
        <f t="shared" si="71"/>
        <v>0</v>
      </c>
      <c r="G46" s="33">
        <f t="shared" si="71"/>
        <v>0</v>
      </c>
      <c r="H46" s="33">
        <f t="shared" si="71"/>
        <v>0</v>
      </c>
      <c r="I46" s="33">
        <f t="shared" si="71"/>
        <v>0</v>
      </c>
      <c r="J46" s="33">
        <f t="shared" si="71"/>
        <v>0</v>
      </c>
      <c r="K46" s="33">
        <f t="shared" si="71"/>
        <v>0</v>
      </c>
      <c r="L46" s="33">
        <f t="shared" si="71"/>
        <v>0</v>
      </c>
      <c r="M46" s="33">
        <f t="shared" si="71"/>
        <v>0</v>
      </c>
      <c r="N46" s="33">
        <f t="shared" si="71"/>
        <v>0</v>
      </c>
      <c r="O46" s="33">
        <f t="shared" si="71"/>
        <v>0</v>
      </c>
      <c r="P46" s="33">
        <f t="shared" si="71"/>
        <v>0</v>
      </c>
      <c r="Q46" s="34">
        <f t="shared" si="71"/>
        <v>0</v>
      </c>
    </row>
    <row r="47" spans="1:17">
      <c r="A47" s="21"/>
      <c r="B47" s="31" t="s">
        <v>67</v>
      </c>
      <c r="C47" s="32">
        <f t="shared" ref="C47" si="88">+C100+C154</f>
        <v>0</v>
      </c>
      <c r="D47" s="32">
        <f t="shared" ref="D47" si="89">+D100+D154</f>
        <v>0</v>
      </c>
      <c r="E47" s="16">
        <f t="shared" si="71"/>
        <v>0</v>
      </c>
      <c r="F47" s="32">
        <f t="shared" si="71"/>
        <v>0</v>
      </c>
      <c r="G47" s="33">
        <f t="shared" si="71"/>
        <v>0</v>
      </c>
      <c r="H47" s="33">
        <f t="shared" si="71"/>
        <v>0</v>
      </c>
      <c r="I47" s="33">
        <f t="shared" si="71"/>
        <v>0</v>
      </c>
      <c r="J47" s="33">
        <f t="shared" si="71"/>
        <v>0</v>
      </c>
      <c r="K47" s="33">
        <f t="shared" si="71"/>
        <v>0</v>
      </c>
      <c r="L47" s="33">
        <f t="shared" si="71"/>
        <v>0</v>
      </c>
      <c r="M47" s="33">
        <f t="shared" si="71"/>
        <v>0</v>
      </c>
      <c r="N47" s="33">
        <f t="shared" si="71"/>
        <v>0</v>
      </c>
      <c r="O47" s="33">
        <f t="shared" si="71"/>
        <v>0</v>
      </c>
      <c r="P47" s="33">
        <f t="shared" si="71"/>
        <v>0</v>
      </c>
      <c r="Q47" s="34">
        <f t="shared" si="71"/>
        <v>0</v>
      </c>
    </row>
    <row r="48" spans="1:17">
      <c r="A48" s="21"/>
      <c r="B48" s="31" t="s">
        <v>68</v>
      </c>
      <c r="C48" s="32">
        <f t="shared" ref="C48" si="90">+C101+C155</f>
        <v>0</v>
      </c>
      <c r="D48" s="32">
        <f t="shared" ref="D48" si="91">+D101+D155</f>
        <v>0</v>
      </c>
      <c r="E48" s="16">
        <f t="shared" si="71"/>
        <v>0</v>
      </c>
      <c r="F48" s="32">
        <f t="shared" si="71"/>
        <v>0</v>
      </c>
      <c r="G48" s="33">
        <f t="shared" si="71"/>
        <v>0</v>
      </c>
      <c r="H48" s="33">
        <f t="shared" si="71"/>
        <v>0</v>
      </c>
      <c r="I48" s="33">
        <f t="shared" si="71"/>
        <v>0</v>
      </c>
      <c r="J48" s="33">
        <f t="shared" si="71"/>
        <v>0</v>
      </c>
      <c r="K48" s="33">
        <f t="shared" si="71"/>
        <v>0</v>
      </c>
      <c r="L48" s="33">
        <f t="shared" si="71"/>
        <v>0</v>
      </c>
      <c r="M48" s="33">
        <f t="shared" si="71"/>
        <v>0</v>
      </c>
      <c r="N48" s="33">
        <f t="shared" si="71"/>
        <v>0</v>
      </c>
      <c r="O48" s="33">
        <f t="shared" si="71"/>
        <v>0</v>
      </c>
      <c r="P48" s="33">
        <f t="shared" si="71"/>
        <v>0</v>
      </c>
      <c r="Q48" s="34">
        <f t="shared" si="71"/>
        <v>0</v>
      </c>
    </row>
    <row r="49" spans="1:19">
      <c r="A49" s="21"/>
      <c r="B49" s="31" t="s">
        <v>69</v>
      </c>
      <c r="C49" s="32">
        <f t="shared" ref="C49" si="92">+C102+C156</f>
        <v>0</v>
      </c>
      <c r="D49" s="32">
        <f t="shared" ref="D49" si="93">+D102+D156</f>
        <v>0</v>
      </c>
      <c r="E49" s="16">
        <f t="shared" si="71"/>
        <v>0</v>
      </c>
      <c r="F49" s="32">
        <f t="shared" si="71"/>
        <v>0</v>
      </c>
      <c r="G49" s="33">
        <f t="shared" si="71"/>
        <v>0</v>
      </c>
      <c r="H49" s="33">
        <f t="shared" si="71"/>
        <v>0</v>
      </c>
      <c r="I49" s="33">
        <f t="shared" si="71"/>
        <v>0</v>
      </c>
      <c r="J49" s="33">
        <f t="shared" si="71"/>
        <v>0</v>
      </c>
      <c r="K49" s="33">
        <f t="shared" si="71"/>
        <v>0</v>
      </c>
      <c r="L49" s="33">
        <f t="shared" si="71"/>
        <v>0</v>
      </c>
      <c r="M49" s="33">
        <f t="shared" si="71"/>
        <v>0</v>
      </c>
      <c r="N49" s="33">
        <f t="shared" si="71"/>
        <v>0</v>
      </c>
      <c r="O49" s="33">
        <f t="shared" si="71"/>
        <v>0</v>
      </c>
      <c r="P49" s="33">
        <f t="shared" si="71"/>
        <v>0</v>
      </c>
      <c r="Q49" s="34">
        <f t="shared" si="71"/>
        <v>0</v>
      </c>
    </row>
    <row r="50" spans="1:19">
      <c r="B50" s="31" t="s">
        <v>70</v>
      </c>
      <c r="C50" s="32">
        <f t="shared" ref="C50" si="94">+C103+C157</f>
        <v>0</v>
      </c>
      <c r="D50" s="32">
        <f t="shared" ref="D50" si="95">+D103+D157</f>
        <v>0</v>
      </c>
      <c r="E50" s="16">
        <f t="shared" si="71"/>
        <v>0</v>
      </c>
      <c r="F50" s="32">
        <f t="shared" si="71"/>
        <v>0</v>
      </c>
      <c r="G50" s="33">
        <f t="shared" si="71"/>
        <v>0</v>
      </c>
      <c r="H50" s="33">
        <f t="shared" si="71"/>
        <v>0</v>
      </c>
      <c r="I50" s="33">
        <f t="shared" si="71"/>
        <v>0</v>
      </c>
      <c r="J50" s="33">
        <f t="shared" si="71"/>
        <v>0</v>
      </c>
      <c r="K50" s="33">
        <f t="shared" si="71"/>
        <v>0</v>
      </c>
      <c r="L50" s="33">
        <f t="shared" si="71"/>
        <v>0</v>
      </c>
      <c r="M50" s="33">
        <f t="shared" si="71"/>
        <v>0</v>
      </c>
      <c r="N50" s="33">
        <f t="shared" si="71"/>
        <v>0</v>
      </c>
      <c r="O50" s="33">
        <f t="shared" si="71"/>
        <v>0</v>
      </c>
      <c r="P50" s="33">
        <f t="shared" si="71"/>
        <v>0</v>
      </c>
      <c r="Q50" s="34">
        <f t="shared" si="71"/>
        <v>0</v>
      </c>
    </row>
    <row r="51" spans="1:19">
      <c r="A51" s="5"/>
      <c r="B51" s="35" t="s">
        <v>71</v>
      </c>
      <c r="C51" s="36">
        <f t="shared" ref="C51" si="96">+C104+C158</f>
        <v>424644089.27732921</v>
      </c>
      <c r="D51" s="36">
        <f t="shared" ref="D51" si="97">+D104+D158</f>
        <v>356641416.85209674</v>
      </c>
      <c r="E51" s="36">
        <f t="shared" si="71"/>
        <v>321884378.20245796</v>
      </c>
      <c r="F51" s="36">
        <f t="shared" si="71"/>
        <v>26400983.19765912</v>
      </c>
      <c r="G51" s="36">
        <f t="shared" si="71"/>
        <v>20844009.833756223</v>
      </c>
      <c r="H51" s="36">
        <f t="shared" si="71"/>
        <v>30200116.286574848</v>
      </c>
      <c r="I51" s="36">
        <f t="shared" si="71"/>
        <v>29611649.1137214</v>
      </c>
      <c r="J51" s="36">
        <f t="shared" si="71"/>
        <v>24148884.048540317</v>
      </c>
      <c r="K51" s="36">
        <f t="shared" si="71"/>
        <v>27888925.494952559</v>
      </c>
      <c r="L51" s="36">
        <f t="shared" si="71"/>
        <v>28504141.071178041</v>
      </c>
      <c r="M51" s="36">
        <f t="shared" si="71"/>
        <v>22479348.909518037</v>
      </c>
      <c r="N51" s="36">
        <f t="shared" si="71"/>
        <v>28883302.110074162</v>
      </c>
      <c r="O51" s="36">
        <f t="shared" si="71"/>
        <v>24680696.496776894</v>
      </c>
      <c r="P51" s="36">
        <f t="shared" si="71"/>
        <v>27775789.338251673</v>
      </c>
      <c r="Q51" s="37">
        <f t="shared" si="71"/>
        <v>30466532.301454667</v>
      </c>
    </row>
    <row r="52" spans="1:19"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</row>
    <row r="53" spans="1:19" ht="20.25"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9"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</row>
    <row r="55" spans="1:19" ht="31.5">
      <c r="B55" s="2" t="s">
        <v>161</v>
      </c>
      <c r="C55" s="2"/>
      <c r="D55" s="2"/>
      <c r="E55" s="3"/>
      <c r="Q55" s="4" t="s">
        <v>10</v>
      </c>
    </row>
    <row r="56" spans="1:19">
      <c r="A56" s="5"/>
      <c r="B56" s="6" t="s">
        <v>11</v>
      </c>
      <c r="C56" s="6" t="s">
        <v>177</v>
      </c>
      <c r="D56" s="6" t="s">
        <v>178</v>
      </c>
      <c r="E56" s="7" t="s">
        <v>176</v>
      </c>
      <c r="F56" s="8" t="s">
        <v>12</v>
      </c>
      <c r="G56" s="8" t="s">
        <v>13</v>
      </c>
      <c r="H56" s="8" t="s">
        <v>14</v>
      </c>
      <c r="I56" s="8" t="s">
        <v>15</v>
      </c>
      <c r="J56" s="8" t="s">
        <v>16</v>
      </c>
      <c r="K56" s="8" t="s">
        <v>17</v>
      </c>
      <c r="L56" s="8" t="s">
        <v>18</v>
      </c>
      <c r="M56" s="8" t="s">
        <v>19</v>
      </c>
      <c r="N56" s="8" t="s">
        <v>20</v>
      </c>
      <c r="O56" s="8" t="s">
        <v>21</v>
      </c>
      <c r="P56" s="8" t="s">
        <v>22</v>
      </c>
      <c r="Q56" s="9" t="s">
        <v>23</v>
      </c>
    </row>
    <row r="57" spans="1:19">
      <c r="A57" s="5"/>
      <c r="B57" s="10" t="s">
        <v>72</v>
      </c>
      <c r="C57" s="117">
        <v>378211020.86360627</v>
      </c>
      <c r="D57" s="10">
        <v>234801908.41</v>
      </c>
      <c r="E57" s="11">
        <f>SUM(F57:Q57)</f>
        <v>260663273.12424228</v>
      </c>
      <c r="F57" s="12">
        <f>F58</f>
        <v>21315465.323104654</v>
      </c>
      <c r="G57" s="12">
        <f t="shared" ref="G57:Q57" si="98">G58</f>
        <v>15893271.646384357</v>
      </c>
      <c r="H57" s="12">
        <f t="shared" si="98"/>
        <v>24701601.934560705</v>
      </c>
      <c r="I57" s="12">
        <f t="shared" si="98"/>
        <v>23742994.089209702</v>
      </c>
      <c r="J57" s="12">
        <f t="shared" si="98"/>
        <v>20634464.724184733</v>
      </c>
      <c r="K57" s="12">
        <f t="shared" si="98"/>
        <v>22728342.908724707</v>
      </c>
      <c r="L57" s="12">
        <f t="shared" si="98"/>
        <v>23336977.151154812</v>
      </c>
      <c r="M57" s="12">
        <f t="shared" si="98"/>
        <v>17590511.182729751</v>
      </c>
      <c r="N57" s="12">
        <f t="shared" si="98"/>
        <v>23678418.265639711</v>
      </c>
      <c r="O57" s="12">
        <f t="shared" si="98"/>
        <v>19619813.543699738</v>
      </c>
      <c r="P57" s="12">
        <f t="shared" si="98"/>
        <v>22663767.085154716</v>
      </c>
      <c r="Q57" s="12">
        <f t="shared" si="98"/>
        <v>24757645.26969469</v>
      </c>
    </row>
    <row r="58" spans="1:19">
      <c r="B58" s="15" t="s">
        <v>73</v>
      </c>
      <c r="C58" s="118">
        <v>378211020.86360627</v>
      </c>
      <c r="D58" s="15"/>
      <c r="E58" s="16">
        <f>SUM(F58:Q58)</f>
        <v>260663273.12424228</v>
      </c>
      <c r="F58" s="17">
        <v>21315465.323104654</v>
      </c>
      <c r="G58" s="17">
        <v>15893271.646384357</v>
      </c>
      <c r="H58" s="17">
        <v>24701601.934560705</v>
      </c>
      <c r="I58" s="17">
        <v>23742994.089209702</v>
      </c>
      <c r="J58" s="17">
        <v>20634464.724184733</v>
      </c>
      <c r="K58" s="17">
        <v>22728342.908724707</v>
      </c>
      <c r="L58" s="17">
        <v>23336977.151154812</v>
      </c>
      <c r="M58" s="17">
        <v>17590511.182729751</v>
      </c>
      <c r="N58" s="17">
        <v>23678418.265639711</v>
      </c>
      <c r="O58" s="17">
        <v>19619813.543699738</v>
      </c>
      <c r="P58" s="17">
        <v>22663767.085154716</v>
      </c>
      <c r="Q58" s="19">
        <v>24757645.26969469</v>
      </c>
    </row>
    <row r="59" spans="1:19">
      <c r="B59" s="15"/>
      <c r="C59" s="118"/>
      <c r="D59" s="15"/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9"/>
    </row>
    <row r="60" spans="1:19">
      <c r="B60" s="15"/>
      <c r="C60" s="118"/>
      <c r="D60" s="15"/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9"/>
    </row>
    <row r="61" spans="1:19">
      <c r="B61" s="15"/>
      <c r="C61" s="118"/>
      <c r="D61" s="15"/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9"/>
    </row>
    <row r="62" spans="1:19">
      <c r="B62" s="15"/>
      <c r="C62" s="118"/>
      <c r="D62" s="15"/>
      <c r="E62" s="16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9"/>
    </row>
    <row r="63" spans="1:19">
      <c r="A63" s="21"/>
      <c r="B63" s="15"/>
      <c r="C63" s="118"/>
      <c r="D63" s="15"/>
      <c r="E63" s="16"/>
      <c r="F63" s="1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9"/>
    </row>
    <row r="64" spans="1:19">
      <c r="A64" s="22"/>
      <c r="B64" s="10" t="s">
        <v>31</v>
      </c>
      <c r="C64" s="117">
        <v>7154963.6499999994</v>
      </c>
      <c r="D64" s="10">
        <v>6915104.4859999996</v>
      </c>
      <c r="E64" s="23">
        <f t="shared" ref="E64:E103" si="99">SUM(F64:Q64)</f>
        <v>8294784.3800000027</v>
      </c>
      <c r="F64" s="12">
        <f>F65</f>
        <v>633936.20000000019</v>
      </c>
      <c r="G64" s="12">
        <f t="shared" ref="G64:Q64" si="100">G65</f>
        <v>567370.12000000011</v>
      </c>
      <c r="H64" s="12">
        <f t="shared" si="100"/>
        <v>649310.75</v>
      </c>
      <c r="I64" s="12">
        <f t="shared" si="100"/>
        <v>668920.73000000021</v>
      </c>
      <c r="J64" s="12">
        <f t="shared" si="100"/>
        <v>662440.62000000011</v>
      </c>
      <c r="K64" s="12">
        <f t="shared" si="100"/>
        <v>669926.49</v>
      </c>
      <c r="L64" s="12">
        <f t="shared" si="100"/>
        <v>669926.49</v>
      </c>
      <c r="M64" s="12">
        <f t="shared" si="100"/>
        <v>748668.92000000016</v>
      </c>
      <c r="N64" s="12">
        <f t="shared" si="100"/>
        <v>676406.65000000014</v>
      </c>
      <c r="O64" s="12">
        <f t="shared" si="100"/>
        <v>675727.85000000009</v>
      </c>
      <c r="P64" s="12">
        <f t="shared" si="100"/>
        <v>697998.75</v>
      </c>
      <c r="Q64" s="12">
        <f t="shared" si="100"/>
        <v>974150.81000000029</v>
      </c>
      <c r="S64" s="39"/>
    </row>
    <row r="65" spans="1:21">
      <c r="A65" s="21"/>
      <c r="B65" s="15" t="s">
        <v>32</v>
      </c>
      <c r="C65" s="118">
        <v>7154963.6499999994</v>
      </c>
      <c r="D65" s="15">
        <f>D64</f>
        <v>6915104.4859999996</v>
      </c>
      <c r="E65" s="40">
        <f t="shared" si="99"/>
        <v>8294784.3800000027</v>
      </c>
      <c r="F65" s="17">
        <v>633936.20000000019</v>
      </c>
      <c r="G65" s="17">
        <v>567370.12000000011</v>
      </c>
      <c r="H65" s="17">
        <v>649310.75</v>
      </c>
      <c r="I65" s="17">
        <v>668920.73000000021</v>
      </c>
      <c r="J65" s="17">
        <v>662440.62000000011</v>
      </c>
      <c r="K65" s="17">
        <v>669926.49</v>
      </c>
      <c r="L65" s="17">
        <v>669926.49</v>
      </c>
      <c r="M65" s="17">
        <v>748668.92000000016</v>
      </c>
      <c r="N65" s="17">
        <v>676406.65000000014</v>
      </c>
      <c r="O65" s="17">
        <v>675727.85000000009</v>
      </c>
      <c r="P65" s="17">
        <v>697998.75</v>
      </c>
      <c r="Q65" s="19">
        <v>974150.81000000029</v>
      </c>
      <c r="R65" s="116"/>
      <c r="S65" s="39"/>
    </row>
    <row r="66" spans="1:21">
      <c r="A66" s="21"/>
      <c r="B66" s="15" t="s">
        <v>33</v>
      </c>
      <c r="C66" s="118">
        <v>0</v>
      </c>
      <c r="D66" s="15"/>
      <c r="E66" s="40">
        <f t="shared" si="99"/>
        <v>0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9"/>
      <c r="S66" s="39"/>
    </row>
    <row r="67" spans="1:21">
      <c r="A67" s="21"/>
      <c r="B67" s="15" t="s">
        <v>34</v>
      </c>
      <c r="C67" s="118">
        <v>0</v>
      </c>
      <c r="D67" s="15"/>
      <c r="E67" s="16">
        <f t="shared" si="99"/>
        <v>0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9"/>
      <c r="S67" s="39"/>
    </row>
    <row r="68" spans="1:21">
      <c r="A68" s="21"/>
      <c r="B68" s="15" t="s">
        <v>35</v>
      </c>
      <c r="C68" s="118">
        <v>0</v>
      </c>
      <c r="D68" s="15"/>
      <c r="E68" s="16">
        <f t="shared" si="99"/>
        <v>0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9"/>
      <c r="S68" s="39"/>
    </row>
    <row r="69" spans="1:21">
      <c r="A69" s="22"/>
      <c r="B69" s="10" t="s">
        <v>36</v>
      </c>
      <c r="C69" s="117">
        <v>21806841.100092858</v>
      </c>
      <c r="D69" s="23">
        <f>SUM(D70:D97)</f>
        <v>22970910.090000004</v>
      </c>
      <c r="E69" s="23">
        <f t="shared" si="99"/>
        <v>26075874.817791827</v>
      </c>
      <c r="F69" s="12">
        <f>SUM(F70:F90)</f>
        <v>2101523.2938311077</v>
      </c>
      <c r="G69" s="12">
        <f t="shared" ref="G69:Q69" si="101">SUM(G70:G90)</f>
        <v>1925675.2762522688</v>
      </c>
      <c r="H69" s="12">
        <f t="shared" si="101"/>
        <v>2248183.9566113641</v>
      </c>
      <c r="I69" s="12">
        <f t="shared" si="101"/>
        <v>2241092.5449711308</v>
      </c>
      <c r="J69" s="12">
        <f t="shared" si="101"/>
        <v>2143874.4492563312</v>
      </c>
      <c r="K69" s="12">
        <f t="shared" si="101"/>
        <v>2234314.8536336422</v>
      </c>
      <c r="L69" s="12">
        <f t="shared" si="101"/>
        <v>2266460.1874290169</v>
      </c>
      <c r="M69" s="12">
        <f t="shared" si="101"/>
        <v>1920321.8038152824</v>
      </c>
      <c r="N69" s="12">
        <f t="shared" si="101"/>
        <v>2276195.9518402386</v>
      </c>
      <c r="O69" s="12">
        <f t="shared" si="101"/>
        <v>2161705.8604829391</v>
      </c>
      <c r="P69" s="12">
        <f t="shared" si="101"/>
        <v>2189250.2605027449</v>
      </c>
      <c r="Q69" s="12">
        <f t="shared" si="101"/>
        <v>2367276.3791657649</v>
      </c>
      <c r="S69" s="39"/>
      <c r="U69" s="39"/>
    </row>
    <row r="70" spans="1:21">
      <c r="A70" s="21"/>
      <c r="B70" s="15" t="s">
        <v>37</v>
      </c>
      <c r="C70" s="118">
        <v>1161592</v>
      </c>
      <c r="D70" s="15">
        <v>828855.23</v>
      </c>
      <c r="E70" s="16">
        <f t="shared" si="99"/>
        <v>855450.28571428556</v>
      </c>
      <c r="F70" s="17">
        <v>44700</v>
      </c>
      <c r="G70" s="17">
        <v>121760</v>
      </c>
      <c r="H70" s="17">
        <v>46568</v>
      </c>
      <c r="I70" s="17">
        <v>44300</v>
      </c>
      <c r="J70" s="17">
        <v>105392.57142857142</v>
      </c>
      <c r="K70" s="17">
        <v>83000</v>
      </c>
      <c r="L70" s="17">
        <v>61484</v>
      </c>
      <c r="M70" s="17">
        <v>36260</v>
      </c>
      <c r="N70" s="17">
        <v>79668</v>
      </c>
      <c r="O70" s="17">
        <v>70924.57142857142</v>
      </c>
      <c r="P70" s="17">
        <v>44800</v>
      </c>
      <c r="Q70" s="19">
        <v>116593.14285714286</v>
      </c>
      <c r="S70" s="39"/>
    </row>
    <row r="71" spans="1:21">
      <c r="B71" s="15" t="s">
        <v>38</v>
      </c>
      <c r="C71" s="118">
        <v>0</v>
      </c>
      <c r="D71" s="15"/>
      <c r="E71" s="16">
        <f t="shared" si="99"/>
        <v>0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9"/>
      <c r="S71" s="39"/>
    </row>
    <row r="72" spans="1:21">
      <c r="B72" s="15" t="s">
        <v>39</v>
      </c>
      <c r="C72" s="118">
        <v>0</v>
      </c>
      <c r="D72" s="15"/>
      <c r="E72" s="16">
        <f t="shared" si="99"/>
        <v>0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9"/>
      <c r="S72" s="39"/>
    </row>
    <row r="73" spans="1:21">
      <c r="B73" s="15" t="s">
        <v>40</v>
      </c>
      <c r="C73" s="118">
        <v>0</v>
      </c>
      <c r="D73" s="15"/>
      <c r="E73" s="16">
        <f t="shared" si="99"/>
        <v>0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9"/>
      <c r="S73" s="39"/>
    </row>
    <row r="74" spans="1:21">
      <c r="B74" s="15" t="s">
        <v>41</v>
      </c>
      <c r="C74" s="118">
        <v>26852.982481316045</v>
      </c>
      <c r="D74" s="15">
        <v>36853</v>
      </c>
      <c r="E74" s="16">
        <f t="shared" si="99"/>
        <v>46247.157596588928</v>
      </c>
      <c r="F74" s="17">
        <v>3759.0859693129746</v>
      </c>
      <c r="G74" s="17">
        <v>2864.0655004289283</v>
      </c>
      <c r="H74" s="17">
        <v>4271.4951771078922</v>
      </c>
      <c r="I74" s="17">
        <v>4216.3231848169371</v>
      </c>
      <c r="J74" s="17">
        <v>3656.0748823215913</v>
      </c>
      <c r="K74" s="17">
        <v>4032.0245604969209</v>
      </c>
      <c r="L74" s="17">
        <v>4238.8683593603528</v>
      </c>
      <c r="M74" s="17">
        <v>3103.179009361545</v>
      </c>
      <c r="N74" s="17">
        <v>4208.9707552816371</v>
      </c>
      <c r="O74" s="17">
        <v>3471.776258001576</v>
      </c>
      <c r="P74" s="17">
        <v>4024.6721309616214</v>
      </c>
      <c r="Q74" s="19">
        <v>4400.6218091369519</v>
      </c>
      <c r="R74" s="39"/>
      <c r="S74" s="39"/>
      <c r="U74" s="39"/>
    </row>
    <row r="75" spans="1:21">
      <c r="B75" s="25" t="s">
        <v>42</v>
      </c>
      <c r="C75" s="119">
        <v>3593004.6982042589</v>
      </c>
      <c r="D75" s="25">
        <v>3923500.5299999993</v>
      </c>
      <c r="E75" s="16">
        <f t="shared" si="99"/>
        <v>4262872.6781537235</v>
      </c>
      <c r="F75" s="17">
        <v>346497.07584617508</v>
      </c>
      <c r="G75" s="17">
        <v>263997.77207327582</v>
      </c>
      <c r="H75" s="17">
        <v>393728.84803414752</v>
      </c>
      <c r="I75" s="17">
        <v>388643.32081995677</v>
      </c>
      <c r="J75" s="17">
        <v>337001.93774249038</v>
      </c>
      <c r="K75" s="17">
        <v>371655.43202713155</v>
      </c>
      <c r="L75" s="17">
        <v>390721.44223497808</v>
      </c>
      <c r="M75" s="17">
        <v>286038.27136401494</v>
      </c>
      <c r="N75" s="17">
        <v>387965.60412096576</v>
      </c>
      <c r="O75" s="17">
        <v>320014.04894966527</v>
      </c>
      <c r="P75" s="17">
        <v>370977.71532814053</v>
      </c>
      <c r="Q75" s="19">
        <v>405631.20961278194</v>
      </c>
      <c r="S75" s="39"/>
    </row>
    <row r="76" spans="1:21">
      <c r="B76" s="25" t="s">
        <v>43</v>
      </c>
      <c r="C76" s="119">
        <v>0</v>
      </c>
      <c r="D76" s="25"/>
      <c r="E76" s="16">
        <f t="shared" si="99"/>
        <v>0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9"/>
      <c r="S76" s="39"/>
    </row>
    <row r="77" spans="1:21">
      <c r="B77" s="25" t="s">
        <v>44</v>
      </c>
      <c r="C77" s="119">
        <v>9120456.1400000006</v>
      </c>
      <c r="D77" s="25">
        <v>9311787.3400000017</v>
      </c>
      <c r="E77" s="16">
        <f t="shared" si="99"/>
        <v>9893767.7999999989</v>
      </c>
      <c r="F77" s="17">
        <v>816405.65</v>
      </c>
      <c r="G77" s="17">
        <v>816405.65</v>
      </c>
      <c r="H77" s="17">
        <v>816405.65</v>
      </c>
      <c r="I77" s="17">
        <v>827172.31666666665</v>
      </c>
      <c r="J77" s="17">
        <v>827172.31666666665</v>
      </c>
      <c r="K77" s="17">
        <v>827172.31666666665</v>
      </c>
      <c r="L77" s="17">
        <v>827172.31666666665</v>
      </c>
      <c r="M77" s="17">
        <v>827172.31666666665</v>
      </c>
      <c r="N77" s="17">
        <v>827172.31666666665</v>
      </c>
      <c r="O77" s="17">
        <v>827172.31666666665</v>
      </c>
      <c r="P77" s="17">
        <v>827172.31666666665</v>
      </c>
      <c r="Q77" s="19">
        <v>827172.31666666665</v>
      </c>
      <c r="S77" s="39"/>
    </row>
    <row r="78" spans="1:21">
      <c r="B78" s="25" t="s">
        <v>45</v>
      </c>
      <c r="C78" s="119">
        <v>0</v>
      </c>
      <c r="D78" s="25">
        <v>117472.58</v>
      </c>
      <c r="E78" s="16">
        <f t="shared" si="99"/>
        <v>0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9"/>
      <c r="S78" s="39"/>
    </row>
    <row r="79" spans="1:21">
      <c r="B79" s="25" t="s">
        <v>46</v>
      </c>
      <c r="C79" s="119">
        <v>869885.34798629431</v>
      </c>
      <c r="D79" s="25">
        <v>489326.16000000003</v>
      </c>
      <c r="E79" s="16">
        <f t="shared" si="99"/>
        <v>965307.28256410139</v>
      </c>
      <c r="F79" s="17">
        <v>73561.000715348069</v>
      </c>
      <c r="G79" s="17">
        <v>52160.684830739076</v>
      </c>
      <c r="H79" s="17">
        <v>80189.013947153682</v>
      </c>
      <c r="I79" s="17">
        <v>79031.582205542305</v>
      </c>
      <c r="J79" s="17">
        <v>67278.351235155249</v>
      </c>
      <c r="K79" s="17">
        <v>75165.253134115745</v>
      </c>
      <c r="L79" s="17">
        <v>79500.398642923188</v>
      </c>
      <c r="M79" s="17">
        <v>55675.214020864078</v>
      </c>
      <c r="N79" s="17">
        <v>78873.188449447553</v>
      </c>
      <c r="O79" s="17">
        <v>165971.97472782483</v>
      </c>
      <c r="P79" s="17">
        <v>75006.859378016321</v>
      </c>
      <c r="Q79" s="19">
        <v>82893.761276971272</v>
      </c>
      <c r="S79" s="39"/>
    </row>
    <row r="80" spans="1:21">
      <c r="B80" s="25" t="s">
        <v>47</v>
      </c>
      <c r="C80" s="119">
        <v>2296065.8400000003</v>
      </c>
      <c r="D80" s="25">
        <v>1540504.83</v>
      </c>
      <c r="E80" s="16">
        <f t="shared" si="99"/>
        <v>2263383.5700000012</v>
      </c>
      <c r="F80" s="17">
        <v>183503.37000000002</v>
      </c>
      <c r="G80" s="17">
        <v>186127.40000000002</v>
      </c>
      <c r="H80" s="17">
        <v>187624.99000000008</v>
      </c>
      <c r="I80" s="17">
        <v>187624.99000000008</v>
      </c>
      <c r="J80" s="17">
        <v>187624.99000000008</v>
      </c>
      <c r="K80" s="17">
        <v>194224.99000000008</v>
      </c>
      <c r="L80" s="17">
        <v>189442.14000000007</v>
      </c>
      <c r="M80" s="17">
        <v>189442.14000000007</v>
      </c>
      <c r="N80" s="17">
        <v>189442.14000000007</v>
      </c>
      <c r="O80" s="17">
        <v>189442.14000000007</v>
      </c>
      <c r="P80" s="17">
        <v>189442.14000000007</v>
      </c>
      <c r="Q80" s="19">
        <v>189442.14000000007</v>
      </c>
      <c r="S80" s="39"/>
    </row>
    <row r="81" spans="2:19">
      <c r="B81" s="25" t="s">
        <v>48</v>
      </c>
      <c r="C81" s="119">
        <v>0</v>
      </c>
      <c r="D81" s="25"/>
      <c r="E81" s="16">
        <f t="shared" si="99"/>
        <v>0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9"/>
      <c r="S81" s="39"/>
    </row>
    <row r="82" spans="2:19">
      <c r="B82" s="25" t="s">
        <v>49</v>
      </c>
      <c r="C82" s="119">
        <v>0</v>
      </c>
      <c r="D82" s="25"/>
      <c r="E82" s="16">
        <f t="shared" si="99"/>
        <v>0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9"/>
      <c r="S82" s="39"/>
    </row>
    <row r="83" spans="2:19">
      <c r="B83" s="25" t="s">
        <v>50</v>
      </c>
      <c r="C83" s="119">
        <v>0</v>
      </c>
      <c r="D83" s="25"/>
      <c r="E83" s="16">
        <f t="shared" si="99"/>
        <v>0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9"/>
      <c r="S83" s="39"/>
    </row>
    <row r="84" spans="2:19">
      <c r="B84" s="25" t="s">
        <v>51</v>
      </c>
      <c r="C84" s="119">
        <v>0</v>
      </c>
      <c r="D84" s="25"/>
      <c r="E84" s="16">
        <f t="shared" si="99"/>
        <v>0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9"/>
      <c r="S84" s="39"/>
    </row>
    <row r="85" spans="2:19">
      <c r="B85" s="25" t="s">
        <v>52</v>
      </c>
      <c r="C85" s="119">
        <v>0</v>
      </c>
      <c r="D85" s="25"/>
      <c r="E85" s="16">
        <f t="shared" si="99"/>
        <v>0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9"/>
      <c r="S85" s="39"/>
    </row>
    <row r="86" spans="2:19">
      <c r="B86" s="25" t="s">
        <v>53</v>
      </c>
      <c r="C86" s="119">
        <v>0</v>
      </c>
      <c r="D86" s="25"/>
      <c r="E86" s="16">
        <f t="shared" si="99"/>
        <v>0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9"/>
      <c r="S86" s="39"/>
    </row>
    <row r="87" spans="2:19">
      <c r="B87" s="25" t="s">
        <v>54</v>
      </c>
      <c r="C87" s="119">
        <v>1134633.0625908189</v>
      </c>
      <c r="D87" s="25">
        <v>1377728.8499999999</v>
      </c>
      <c r="E87" s="16">
        <f t="shared" si="99"/>
        <v>1598857.5184222125</v>
      </c>
      <c r="F87" s="17">
        <v>129959.18401858282</v>
      </c>
      <c r="G87" s="17">
        <v>99016.521157015304</v>
      </c>
      <c r="H87" s="17">
        <v>147674.20385911243</v>
      </c>
      <c r="I87" s="17">
        <v>145766.7968039547</v>
      </c>
      <c r="J87" s="17">
        <v>126397.88296839318</v>
      </c>
      <c r="K87" s="17">
        <v>139395.2216317183</v>
      </c>
      <c r="L87" s="17">
        <v>146546.22896143587</v>
      </c>
      <c r="M87" s="17">
        <v>107283.15745168414</v>
      </c>
      <c r="N87" s="17">
        <v>145512.60848510222</v>
      </c>
      <c r="O87" s="17">
        <v>120026.30779615683</v>
      </c>
      <c r="P87" s="17">
        <v>139141.03331286582</v>
      </c>
      <c r="Q87" s="19">
        <v>152138.37197619103</v>
      </c>
      <c r="S87" s="39"/>
    </row>
    <row r="88" spans="2:19">
      <c r="B88" s="25" t="s">
        <v>55</v>
      </c>
      <c r="C88" s="119">
        <v>68077.983755449124</v>
      </c>
      <c r="D88" s="25">
        <v>209169.53</v>
      </c>
      <c r="E88" s="16">
        <f t="shared" si="99"/>
        <v>264982.09334091807</v>
      </c>
      <c r="F88" s="17">
        <v>21538.414920239236</v>
      </c>
      <c r="G88" s="17">
        <v>16410.220891610821</v>
      </c>
      <c r="H88" s="17">
        <v>24474.363237605088</v>
      </c>
      <c r="I88" s="17">
        <v>24158.244566300527</v>
      </c>
      <c r="J88" s="17">
        <v>20948.192842021966</v>
      </c>
      <c r="K88" s="17">
        <v>23102.269717031708</v>
      </c>
      <c r="L88" s="17">
        <v>24287.421533182736</v>
      </c>
      <c r="M88" s="17">
        <v>17780.268294215522</v>
      </c>
      <c r="N88" s="17">
        <v>24116.117389828414</v>
      </c>
      <c r="O88" s="17">
        <v>19892.217992753154</v>
      </c>
      <c r="P88" s="17">
        <v>23060.142540559595</v>
      </c>
      <c r="Q88" s="19">
        <v>25214.219415569347</v>
      </c>
      <c r="S88" s="39"/>
    </row>
    <row r="89" spans="2:19">
      <c r="B89" s="25" t="s">
        <v>56</v>
      </c>
      <c r="C89" s="119">
        <v>642958.73546813056</v>
      </c>
      <c r="D89" s="25">
        <v>1334800.5</v>
      </c>
      <c r="E89" s="16">
        <f t="shared" si="99"/>
        <v>1880570.1719999998</v>
      </c>
      <c r="F89" s="17">
        <v>152857.50120122181</v>
      </c>
      <c r="G89" s="17">
        <v>116462.85805807356</v>
      </c>
      <c r="H89" s="17">
        <v>173693.84060272362</v>
      </c>
      <c r="I89" s="17">
        <v>171450.35563144754</v>
      </c>
      <c r="J89" s="17">
        <v>148668.71236210878</v>
      </c>
      <c r="K89" s="17">
        <v>163956.13298840192</v>
      </c>
      <c r="L89" s="17">
        <v>172367.12079004856</v>
      </c>
      <c r="M89" s="17">
        <v>126186.044432972</v>
      </c>
      <c r="N89" s="17">
        <v>171151.38029124556</v>
      </c>
      <c r="O89" s="17">
        <v>141174.48971906319</v>
      </c>
      <c r="P89" s="17">
        <v>163657.15764819994</v>
      </c>
      <c r="Q89" s="19">
        <v>178944.57827449316</v>
      </c>
      <c r="S89" s="39"/>
    </row>
    <row r="90" spans="2:19">
      <c r="B90" s="25" t="s">
        <v>57</v>
      </c>
      <c r="C90" s="119">
        <v>2893314.3096065884</v>
      </c>
      <c r="D90" s="25">
        <v>3800911.54</v>
      </c>
      <c r="E90" s="16">
        <f>SUM(F90:Q90)</f>
        <v>4044436.2600000012</v>
      </c>
      <c r="F90" s="17">
        <v>328742.01116022764</v>
      </c>
      <c r="G90" s="17">
        <v>250470.10374112541</v>
      </c>
      <c r="H90" s="17">
        <v>373553.55175351357</v>
      </c>
      <c r="I90" s="17">
        <v>368728.6150924454</v>
      </c>
      <c r="J90" s="17">
        <v>319733.41912860202</v>
      </c>
      <c r="K90" s="17">
        <v>352611.21290807921</v>
      </c>
      <c r="L90" s="17">
        <v>370700.25024042145</v>
      </c>
      <c r="M90" s="17">
        <v>271381.21257550351</v>
      </c>
      <c r="N90" s="17">
        <v>368085.62568170048</v>
      </c>
      <c r="O90" s="17">
        <v>303616.01694423589</v>
      </c>
      <c r="P90" s="17">
        <v>351968.22349733423</v>
      </c>
      <c r="Q90" s="19">
        <v>384846.01727681159</v>
      </c>
      <c r="S90" s="39"/>
    </row>
    <row r="91" spans="2:19">
      <c r="B91" s="25" t="s">
        <v>58</v>
      </c>
      <c r="C91" s="119">
        <v>0</v>
      </c>
      <c r="D91" s="25"/>
      <c r="E91" s="16">
        <f t="shared" si="99"/>
        <v>0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9"/>
      <c r="S91" s="39"/>
    </row>
    <row r="92" spans="2:19">
      <c r="B92" s="25" t="s">
        <v>59</v>
      </c>
      <c r="C92" s="119">
        <v>0</v>
      </c>
      <c r="D92" s="25"/>
      <c r="E92" s="16">
        <f t="shared" si="99"/>
        <v>0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9"/>
      <c r="S92" s="39"/>
    </row>
    <row r="93" spans="2:19">
      <c r="B93" s="25" t="s">
        <v>60</v>
      </c>
      <c r="C93" s="119">
        <v>0</v>
      </c>
      <c r="D93" s="25"/>
      <c r="E93" s="16">
        <f t="shared" si="99"/>
        <v>0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9"/>
      <c r="S93" s="39"/>
    </row>
    <row r="94" spans="2:19">
      <c r="B94" s="25" t="s">
        <v>61</v>
      </c>
      <c r="C94" s="119">
        <v>0</v>
      </c>
      <c r="D94" s="25"/>
      <c r="E94" s="16">
        <f t="shared" si="99"/>
        <v>0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9"/>
      <c r="S94" s="39"/>
    </row>
    <row r="95" spans="2:19">
      <c r="B95" s="25" t="s">
        <v>62</v>
      </c>
      <c r="C95" s="119">
        <v>0</v>
      </c>
      <c r="D95" s="25"/>
      <c r="E95" s="16">
        <f t="shared" si="99"/>
        <v>0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9"/>
      <c r="S95" s="39"/>
    </row>
    <row r="96" spans="2:19">
      <c r="B96" s="15" t="s">
        <v>63</v>
      </c>
      <c r="C96" s="118">
        <v>0</v>
      </c>
      <c r="D96" s="15"/>
      <c r="E96" s="16">
        <f t="shared" si="99"/>
        <v>0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9"/>
      <c r="S96" s="39"/>
    </row>
    <row r="97" spans="1:19">
      <c r="B97" s="15" t="s">
        <v>64</v>
      </c>
      <c r="C97" s="118">
        <v>0</v>
      </c>
      <c r="D97" s="15"/>
      <c r="E97" s="16">
        <f t="shared" si="99"/>
        <v>0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9"/>
      <c r="S97" s="39"/>
    </row>
    <row r="98" spans="1:19">
      <c r="A98" s="22"/>
      <c r="B98" s="26" t="s">
        <v>65</v>
      </c>
      <c r="C98" s="120">
        <v>407172825.61369908</v>
      </c>
      <c r="D98" s="27">
        <f t="shared" ref="D98:Q98" si="102">+D57+D64+D69</f>
        <v>264687922.986</v>
      </c>
      <c r="E98" s="27">
        <f>+E57+E64+E69</f>
        <v>295033932.32203412</v>
      </c>
      <c r="F98" s="27">
        <f t="shared" si="102"/>
        <v>24050924.816935759</v>
      </c>
      <c r="G98" s="27">
        <f t="shared" si="102"/>
        <v>18386317.042636625</v>
      </c>
      <c r="H98" s="27">
        <f t="shared" si="102"/>
        <v>27599096.64117207</v>
      </c>
      <c r="I98" s="27">
        <f t="shared" si="102"/>
        <v>26653007.364180833</v>
      </c>
      <c r="J98" s="27">
        <f t="shared" si="102"/>
        <v>23440779.793441065</v>
      </c>
      <c r="K98" s="27">
        <f t="shared" si="102"/>
        <v>25632584.252358347</v>
      </c>
      <c r="L98" s="27">
        <f t="shared" si="102"/>
        <v>26273363.828583829</v>
      </c>
      <c r="M98" s="27">
        <f t="shared" si="102"/>
        <v>20259501.906545036</v>
      </c>
      <c r="N98" s="27">
        <f t="shared" si="102"/>
        <v>26631020.86747995</v>
      </c>
      <c r="O98" s="27">
        <f t="shared" si="102"/>
        <v>22457247.254182678</v>
      </c>
      <c r="P98" s="27">
        <f t="shared" si="102"/>
        <v>25551016.09565746</v>
      </c>
      <c r="Q98" s="27">
        <f t="shared" si="102"/>
        <v>28099072.458860453</v>
      </c>
      <c r="S98" s="39"/>
    </row>
    <row r="99" spans="1:19">
      <c r="A99" s="21"/>
      <c r="B99" s="31" t="s">
        <v>66</v>
      </c>
      <c r="C99" s="121">
        <v>0</v>
      </c>
      <c r="D99" s="31"/>
      <c r="E99" s="16">
        <f t="shared" si="99"/>
        <v>0</v>
      </c>
      <c r="F99" s="32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4"/>
      <c r="S99" s="39"/>
    </row>
    <row r="100" spans="1:19">
      <c r="A100" s="21"/>
      <c r="B100" s="31" t="s">
        <v>67</v>
      </c>
      <c r="C100" s="121">
        <v>0</v>
      </c>
      <c r="D100" s="31"/>
      <c r="E100" s="16">
        <f t="shared" si="99"/>
        <v>0</v>
      </c>
      <c r="F100" s="32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4"/>
      <c r="S100" s="39"/>
    </row>
    <row r="101" spans="1:19">
      <c r="A101" s="21"/>
      <c r="B101" s="31" t="s">
        <v>68</v>
      </c>
      <c r="C101" s="121">
        <v>0</v>
      </c>
      <c r="D101" s="31"/>
      <c r="E101" s="16">
        <f t="shared" si="99"/>
        <v>0</v>
      </c>
      <c r="F101" s="32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4"/>
      <c r="S101" s="39"/>
    </row>
    <row r="102" spans="1:19">
      <c r="A102" s="21"/>
      <c r="B102" s="31" t="s">
        <v>69</v>
      </c>
      <c r="C102" s="121">
        <v>0</v>
      </c>
      <c r="D102" s="31"/>
      <c r="E102" s="16">
        <f t="shared" si="99"/>
        <v>0</v>
      </c>
      <c r="F102" s="32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4"/>
      <c r="S102" s="39"/>
    </row>
    <row r="103" spans="1:19">
      <c r="B103" s="31" t="s">
        <v>70</v>
      </c>
      <c r="C103" s="121">
        <v>0</v>
      </c>
      <c r="D103" s="31"/>
      <c r="E103" s="16">
        <f t="shared" si="99"/>
        <v>0</v>
      </c>
      <c r="F103" s="32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4"/>
      <c r="S103" s="39"/>
    </row>
    <row r="104" spans="1:19">
      <c r="A104" s="5"/>
      <c r="B104" s="35" t="s">
        <v>71</v>
      </c>
      <c r="C104" s="122">
        <v>407172825.61369908</v>
      </c>
      <c r="D104" s="122">
        <v>333348360.93009675</v>
      </c>
      <c r="E104" s="27">
        <f>+E57+E64+E69</f>
        <v>295033932.32203412</v>
      </c>
      <c r="F104" s="27">
        <f t="shared" ref="F104:Q104" si="103">+F57+F64+F69</f>
        <v>24050924.816935759</v>
      </c>
      <c r="G104" s="27">
        <f t="shared" si="103"/>
        <v>18386317.042636625</v>
      </c>
      <c r="H104" s="27">
        <f t="shared" si="103"/>
        <v>27599096.64117207</v>
      </c>
      <c r="I104" s="27">
        <f t="shared" si="103"/>
        <v>26653007.364180833</v>
      </c>
      <c r="J104" s="27">
        <f t="shared" si="103"/>
        <v>23440779.793441065</v>
      </c>
      <c r="K104" s="27">
        <f t="shared" si="103"/>
        <v>25632584.252358347</v>
      </c>
      <c r="L104" s="27">
        <f t="shared" si="103"/>
        <v>26273363.828583829</v>
      </c>
      <c r="M104" s="27">
        <f t="shared" si="103"/>
        <v>20259501.906545036</v>
      </c>
      <c r="N104" s="27">
        <f t="shared" si="103"/>
        <v>26631020.86747995</v>
      </c>
      <c r="O104" s="27">
        <f t="shared" si="103"/>
        <v>22457247.254182678</v>
      </c>
      <c r="P104" s="27">
        <f t="shared" si="103"/>
        <v>25551016.09565746</v>
      </c>
      <c r="Q104" s="27">
        <f t="shared" si="103"/>
        <v>28099072.458860453</v>
      </c>
      <c r="S104" s="39"/>
    </row>
    <row r="105" spans="1:19">
      <c r="S105" s="39"/>
    </row>
    <row r="106" spans="1:19">
      <c r="A106" s="41"/>
      <c r="B106" s="41"/>
      <c r="C106" s="41"/>
      <c r="D106" s="41"/>
      <c r="E106" s="41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S106" s="39"/>
    </row>
    <row r="107" spans="1:19">
      <c r="A107" s="41"/>
      <c r="B107" s="41"/>
      <c r="C107" s="41"/>
      <c r="D107" s="41"/>
      <c r="E107" s="41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S107" s="39"/>
    </row>
    <row r="108" spans="1:19" ht="20.25">
      <c r="A108" s="41"/>
      <c r="B108" s="41"/>
      <c r="C108" s="41"/>
      <c r="D108" s="41"/>
      <c r="E108" s="41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S108" s="39"/>
    </row>
    <row r="109" spans="1:19" ht="31.5">
      <c r="B109" s="2" t="s">
        <v>162</v>
      </c>
      <c r="C109" s="2"/>
      <c r="D109" s="2"/>
      <c r="E109" s="3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Q109" s="4" t="s">
        <v>10</v>
      </c>
    </row>
    <row r="110" spans="1:19">
      <c r="A110" s="5"/>
      <c r="B110" s="6" t="s">
        <v>11</v>
      </c>
      <c r="C110" s="6" t="s">
        <v>177</v>
      </c>
      <c r="D110" s="6" t="s">
        <v>178</v>
      </c>
      <c r="E110" s="7" t="s">
        <v>176</v>
      </c>
      <c r="F110" s="8" t="s">
        <v>74</v>
      </c>
      <c r="G110" s="8" t="s">
        <v>13</v>
      </c>
      <c r="H110" s="8" t="s">
        <v>14</v>
      </c>
      <c r="I110" s="8" t="s">
        <v>15</v>
      </c>
      <c r="J110" s="8" t="s">
        <v>16</v>
      </c>
      <c r="K110" s="8" t="s">
        <v>17</v>
      </c>
      <c r="L110" s="8" t="s">
        <v>18</v>
      </c>
      <c r="M110" s="8" t="s">
        <v>19</v>
      </c>
      <c r="N110" s="8" t="s">
        <v>20</v>
      </c>
      <c r="O110" s="8" t="s">
        <v>21</v>
      </c>
      <c r="P110" s="8" t="s">
        <v>22</v>
      </c>
      <c r="Q110" s="9" t="s">
        <v>23</v>
      </c>
    </row>
    <row r="111" spans="1:19">
      <c r="A111" s="5"/>
      <c r="B111" s="10" t="s">
        <v>24</v>
      </c>
      <c r="C111" s="117">
        <v>11089204.940724</v>
      </c>
      <c r="D111" s="10">
        <v>16414677.449999997</v>
      </c>
      <c r="E111" s="11">
        <f>SUM(F111:Q111)</f>
        <v>19828338.737109266</v>
      </c>
      <c r="F111" s="12">
        <f>F112</f>
        <v>1777672.2234519913</v>
      </c>
      <c r="G111" s="12">
        <f t="shared" ref="G111:Q111" si="104">G112</f>
        <v>1856927.0483336749</v>
      </c>
      <c r="H111" s="12">
        <f t="shared" si="104"/>
        <v>2001251.2274812309</v>
      </c>
      <c r="I111" s="12">
        <f t="shared" si="104"/>
        <v>2348813.0420389874</v>
      </c>
      <c r="J111" s="12">
        <f t="shared" si="104"/>
        <v>234846.56222584617</v>
      </c>
      <c r="K111" s="12">
        <f t="shared" si="104"/>
        <v>1658404.0905110762</v>
      </c>
      <c r="L111" s="12">
        <f t="shared" si="104"/>
        <v>1658404.0905110762</v>
      </c>
      <c r="M111" s="12">
        <f t="shared" si="104"/>
        <v>1658404.0905110762</v>
      </c>
      <c r="N111" s="12">
        <f t="shared" si="104"/>
        <v>1658404.0905110762</v>
      </c>
      <c r="O111" s="12">
        <f t="shared" si="104"/>
        <v>1658404.0905110762</v>
      </c>
      <c r="P111" s="12">
        <f t="shared" si="104"/>
        <v>1658404.0905110762</v>
      </c>
      <c r="Q111" s="12">
        <f t="shared" si="104"/>
        <v>1658404.0905110762</v>
      </c>
    </row>
    <row r="112" spans="1:19">
      <c r="B112" s="15" t="s">
        <v>25</v>
      </c>
      <c r="C112" s="118">
        <v>0</v>
      </c>
      <c r="D112" s="15"/>
      <c r="E112" s="16">
        <f t="shared" ref="E112:E158" si="105">SUM(F112:Q112)</f>
        <v>19828338.737109266</v>
      </c>
      <c r="F112" s="17">
        <v>1777672.2234519913</v>
      </c>
      <c r="G112" s="18">
        <v>1856927.0483336749</v>
      </c>
      <c r="H112" s="18">
        <v>2001251.2274812309</v>
      </c>
      <c r="I112" s="18">
        <v>2348813.0420389874</v>
      </c>
      <c r="J112" s="18">
        <v>234846.56222584617</v>
      </c>
      <c r="K112" s="18">
        <v>1658404.0905110762</v>
      </c>
      <c r="L112" s="18">
        <v>1658404.0905110762</v>
      </c>
      <c r="M112" s="18">
        <v>1658404.0905110762</v>
      </c>
      <c r="N112" s="18">
        <v>1658404.0905110762</v>
      </c>
      <c r="O112" s="18">
        <v>1658404.0905110762</v>
      </c>
      <c r="P112" s="18">
        <v>1658404.0905110762</v>
      </c>
      <c r="Q112" s="19">
        <v>1658404.0905110762</v>
      </c>
    </row>
    <row r="113" spans="1:19">
      <c r="B113" s="15" t="s">
        <v>26</v>
      </c>
      <c r="C113" s="118">
        <v>11089204.940724</v>
      </c>
      <c r="D113" s="15"/>
      <c r="E113" s="16">
        <f t="shared" si="105"/>
        <v>0</v>
      </c>
      <c r="F113" s="1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9"/>
    </row>
    <row r="114" spans="1:19">
      <c r="B114" s="15" t="s">
        <v>27</v>
      </c>
      <c r="C114" s="118">
        <v>0</v>
      </c>
      <c r="D114" s="15"/>
      <c r="E114" s="16">
        <f t="shared" si="105"/>
        <v>0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9"/>
    </row>
    <row r="115" spans="1:19">
      <c r="B115" s="15" t="s">
        <v>28</v>
      </c>
      <c r="C115" s="118">
        <v>0</v>
      </c>
      <c r="D115" s="15"/>
      <c r="E115" s="16">
        <f t="shared" si="105"/>
        <v>0</v>
      </c>
      <c r="F115" s="1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</row>
    <row r="116" spans="1:19">
      <c r="B116" s="15" t="s">
        <v>29</v>
      </c>
      <c r="C116" s="118">
        <v>0</v>
      </c>
      <c r="D116" s="15"/>
      <c r="E116" s="16">
        <f t="shared" si="105"/>
        <v>0</v>
      </c>
      <c r="F116" s="1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/>
    </row>
    <row r="117" spans="1:19">
      <c r="A117" s="21"/>
      <c r="B117" s="15" t="s">
        <v>30</v>
      </c>
      <c r="C117" s="118">
        <v>0</v>
      </c>
      <c r="D117" s="15"/>
      <c r="E117" s="16">
        <f t="shared" si="105"/>
        <v>0</v>
      </c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 spans="1:19">
      <c r="A118" s="22"/>
      <c r="B118" s="10" t="s">
        <v>31</v>
      </c>
      <c r="C118" s="117">
        <v>2982774.54</v>
      </c>
      <c r="D118" s="10">
        <v>3521254.7020000005</v>
      </c>
      <c r="E118" s="23">
        <f t="shared" si="105"/>
        <v>2951338.6</v>
      </c>
      <c r="F118" s="12">
        <f>F119</f>
        <v>233764</v>
      </c>
      <c r="G118" s="12">
        <f t="shared" ref="G118:Q118" si="106">G119</f>
        <v>233764</v>
      </c>
      <c r="H118" s="12">
        <f t="shared" si="106"/>
        <v>233764</v>
      </c>
      <c r="I118" s="12">
        <f t="shared" si="106"/>
        <v>236164</v>
      </c>
      <c r="J118" s="12">
        <f t="shared" si="106"/>
        <v>236164</v>
      </c>
      <c r="K118" s="12">
        <f t="shared" si="106"/>
        <v>236164</v>
      </c>
      <c r="L118" s="12">
        <f t="shared" si="106"/>
        <v>236164</v>
      </c>
      <c r="M118" s="12">
        <f t="shared" si="106"/>
        <v>236164</v>
      </c>
      <c r="N118" s="12">
        <f t="shared" si="106"/>
        <v>236164</v>
      </c>
      <c r="O118" s="12">
        <f t="shared" si="106"/>
        <v>236164</v>
      </c>
      <c r="P118" s="12">
        <f t="shared" si="106"/>
        <v>236164</v>
      </c>
      <c r="Q118" s="12">
        <f t="shared" si="106"/>
        <v>360734.6</v>
      </c>
    </row>
    <row r="119" spans="1:19">
      <c r="A119" s="21"/>
      <c r="B119" s="15" t="s">
        <v>32</v>
      </c>
      <c r="C119" s="118">
        <v>2982774.54</v>
      </c>
      <c r="D119" s="15">
        <v>3521254.7020000005</v>
      </c>
      <c r="E119" s="16">
        <f t="shared" si="105"/>
        <v>2951338.6</v>
      </c>
      <c r="F119" s="17">
        <v>233764</v>
      </c>
      <c r="G119" s="17">
        <v>233764</v>
      </c>
      <c r="H119" s="17">
        <v>233764</v>
      </c>
      <c r="I119" s="17">
        <v>236164</v>
      </c>
      <c r="J119" s="17">
        <v>236164</v>
      </c>
      <c r="K119" s="17">
        <v>236164</v>
      </c>
      <c r="L119" s="17">
        <v>236164</v>
      </c>
      <c r="M119" s="17">
        <v>236164</v>
      </c>
      <c r="N119" s="17">
        <v>236164</v>
      </c>
      <c r="O119" s="17">
        <v>236164</v>
      </c>
      <c r="P119" s="17">
        <v>236164</v>
      </c>
      <c r="Q119" s="19">
        <v>360734.6</v>
      </c>
    </row>
    <row r="120" spans="1:19">
      <c r="A120" s="21"/>
      <c r="B120" s="15" t="s">
        <v>33</v>
      </c>
      <c r="C120" s="118">
        <v>0</v>
      </c>
      <c r="D120" s="15"/>
      <c r="E120" s="16">
        <f t="shared" si="105"/>
        <v>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9"/>
    </row>
    <row r="121" spans="1:19">
      <c r="A121" s="21"/>
      <c r="B121" s="15" t="s">
        <v>75</v>
      </c>
      <c r="C121" s="118">
        <v>0</v>
      </c>
      <c r="D121" s="15"/>
      <c r="E121" s="16">
        <f t="shared" si="105"/>
        <v>0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9"/>
    </row>
    <row r="122" spans="1:19">
      <c r="A122" s="21"/>
      <c r="B122" s="15" t="s">
        <v>35</v>
      </c>
      <c r="C122" s="118">
        <v>0</v>
      </c>
      <c r="D122" s="15"/>
      <c r="E122" s="16">
        <f t="shared" si="105"/>
        <v>0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9"/>
    </row>
    <row r="123" spans="1:19">
      <c r="A123" s="22"/>
      <c r="B123" s="10" t="s">
        <v>36</v>
      </c>
      <c r="C123" s="117">
        <v>3399284.1829061094</v>
      </c>
      <c r="D123" s="12">
        <f>SUM(D124:D151)</f>
        <v>3225972.1400000006</v>
      </c>
      <c r="E123" s="23">
        <f t="shared" si="105"/>
        <v>4070768.5433145808</v>
      </c>
      <c r="F123" s="12">
        <f>SUM(F124:F151)</f>
        <v>338622.15727136994</v>
      </c>
      <c r="G123" s="12">
        <f t="shared" ref="G123:Q123" si="107">SUM(G124:G151)</f>
        <v>367001.74278592091</v>
      </c>
      <c r="H123" s="12">
        <f t="shared" si="107"/>
        <v>366004.4179215469</v>
      </c>
      <c r="I123" s="12">
        <f t="shared" si="107"/>
        <v>373664.70750158204</v>
      </c>
      <c r="J123" s="12">
        <f t="shared" si="107"/>
        <v>237093.69287340733</v>
      </c>
      <c r="K123" s="12">
        <f t="shared" si="107"/>
        <v>361773.15208313783</v>
      </c>
      <c r="L123" s="12">
        <f t="shared" si="107"/>
        <v>336209.15208313783</v>
      </c>
      <c r="M123" s="12">
        <f t="shared" si="107"/>
        <v>325278.91246192571</v>
      </c>
      <c r="N123" s="12">
        <f t="shared" si="107"/>
        <v>357713.15208313783</v>
      </c>
      <c r="O123" s="12">
        <f t="shared" si="107"/>
        <v>328881.15208313783</v>
      </c>
      <c r="P123" s="12">
        <f t="shared" si="107"/>
        <v>330205.15208313783</v>
      </c>
      <c r="Q123" s="12">
        <f t="shared" si="107"/>
        <v>348321.15208313783</v>
      </c>
    </row>
    <row r="124" spans="1:19">
      <c r="A124" s="21"/>
      <c r="B124" s="15" t="s">
        <v>37</v>
      </c>
      <c r="C124" s="118">
        <v>319592</v>
      </c>
      <c r="D124" s="15">
        <v>100137.18000000001</v>
      </c>
      <c r="E124" s="16">
        <f t="shared" si="105"/>
        <v>179132</v>
      </c>
      <c r="F124" s="17">
        <v>8568</v>
      </c>
      <c r="G124" s="17">
        <v>37828</v>
      </c>
      <c r="H124" s="17">
        <v>9176</v>
      </c>
      <c r="I124" s="17">
        <v>8668</v>
      </c>
      <c r="J124" s="17">
        <v>19852</v>
      </c>
      <c r="K124" s="17">
        <v>23468</v>
      </c>
      <c r="L124" s="17">
        <v>14872</v>
      </c>
      <c r="M124" s="17">
        <v>6928</v>
      </c>
      <c r="N124" s="17">
        <v>21376</v>
      </c>
      <c r="O124" s="17">
        <v>7544</v>
      </c>
      <c r="P124" s="17">
        <v>8868</v>
      </c>
      <c r="Q124" s="19">
        <v>11984</v>
      </c>
    </row>
    <row r="125" spans="1:19">
      <c r="B125" s="15" t="s">
        <v>38</v>
      </c>
      <c r="C125" s="118">
        <v>0</v>
      </c>
      <c r="D125" s="15"/>
      <c r="E125" s="16">
        <f t="shared" si="105"/>
        <v>0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9"/>
    </row>
    <row r="126" spans="1:19">
      <c r="B126" s="15" t="s">
        <v>39</v>
      </c>
      <c r="C126" s="118">
        <v>0</v>
      </c>
      <c r="D126" s="15"/>
      <c r="E126" s="16">
        <f t="shared" si="105"/>
        <v>0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9"/>
    </row>
    <row r="127" spans="1:19">
      <c r="B127" s="15" t="s">
        <v>40</v>
      </c>
      <c r="C127" s="118">
        <v>0</v>
      </c>
      <c r="D127" s="15"/>
      <c r="E127" s="16">
        <f t="shared" si="105"/>
        <v>0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9"/>
    </row>
    <row r="128" spans="1:19">
      <c r="B128" s="15" t="s">
        <v>41</v>
      </c>
      <c r="C128" s="118">
        <v>11089.204940724001</v>
      </c>
      <c r="D128" s="15">
        <v>7345</v>
      </c>
      <c r="E128" s="16">
        <f t="shared" si="105"/>
        <v>6345.0683958749632</v>
      </c>
      <c r="F128" s="17">
        <v>568.85511150463731</v>
      </c>
      <c r="G128" s="17">
        <v>594.21665546677605</v>
      </c>
      <c r="H128" s="17">
        <v>640.40039279399389</v>
      </c>
      <c r="I128" s="17">
        <v>751.62017345247602</v>
      </c>
      <c r="J128" s="17">
        <v>75.150899912270773</v>
      </c>
      <c r="K128" s="17">
        <v>530.68930896354436</v>
      </c>
      <c r="L128" s="17">
        <v>530.68930896354436</v>
      </c>
      <c r="M128" s="17">
        <v>530.68930896354436</v>
      </c>
      <c r="N128" s="17">
        <v>530.68930896354436</v>
      </c>
      <c r="O128" s="17">
        <v>530.68930896354436</v>
      </c>
      <c r="P128" s="17">
        <v>530.68930896354436</v>
      </c>
      <c r="Q128" s="19">
        <v>530.68930896354436</v>
      </c>
      <c r="S128" s="39"/>
    </row>
    <row r="129" spans="1:17">
      <c r="B129" s="25" t="s">
        <v>42</v>
      </c>
      <c r="C129" s="119">
        <v>332676.14822172001</v>
      </c>
      <c r="D129" s="15">
        <v>800948.70000000019</v>
      </c>
      <c r="E129" s="16">
        <f t="shared" si="105"/>
        <v>773305.2107472613</v>
      </c>
      <c r="F129" s="17">
        <v>69329.216714627662</v>
      </c>
      <c r="G129" s="17">
        <v>72420.154885013326</v>
      </c>
      <c r="H129" s="17">
        <v>78048.797871768009</v>
      </c>
      <c r="I129" s="17">
        <v>91603.708639520511</v>
      </c>
      <c r="J129" s="17">
        <v>9159.0159268080006</v>
      </c>
      <c r="K129" s="17">
        <v>64677.759529931973</v>
      </c>
      <c r="L129" s="17">
        <v>64677.759529931973</v>
      </c>
      <c r="M129" s="17">
        <v>64677.759529931973</v>
      </c>
      <c r="N129" s="17">
        <v>64677.759529931973</v>
      </c>
      <c r="O129" s="17">
        <v>64677.759529931973</v>
      </c>
      <c r="P129" s="17">
        <v>64677.759529931973</v>
      </c>
      <c r="Q129" s="19">
        <v>64677.759529931973</v>
      </c>
    </row>
    <row r="130" spans="1:17">
      <c r="B130" s="25" t="s">
        <v>43</v>
      </c>
      <c r="C130" s="119">
        <v>0</v>
      </c>
      <c r="D130" s="25"/>
      <c r="E130" s="16">
        <f t="shared" si="105"/>
        <v>0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9"/>
    </row>
    <row r="131" spans="1:17">
      <c r="B131" s="25" t="s">
        <v>44</v>
      </c>
      <c r="C131" s="119">
        <v>1377870.7200000004</v>
      </c>
      <c r="D131" s="25">
        <v>1377870.7200000004</v>
      </c>
      <c r="E131" s="16">
        <f t="shared" si="105"/>
        <v>1377870.7200000004</v>
      </c>
      <c r="F131" s="17">
        <v>114822.56</v>
      </c>
      <c r="G131" s="17">
        <v>114822.56</v>
      </c>
      <c r="H131" s="17">
        <v>114822.56</v>
      </c>
      <c r="I131" s="17">
        <v>114822.56</v>
      </c>
      <c r="J131" s="17">
        <v>114822.56</v>
      </c>
      <c r="K131" s="17">
        <v>114822.56</v>
      </c>
      <c r="L131" s="17">
        <v>114822.56</v>
      </c>
      <c r="M131" s="17">
        <v>114822.56</v>
      </c>
      <c r="N131" s="17">
        <v>114822.56</v>
      </c>
      <c r="O131" s="17">
        <v>114822.56</v>
      </c>
      <c r="P131" s="17">
        <v>114822.56</v>
      </c>
      <c r="Q131" s="19">
        <v>114822.56</v>
      </c>
    </row>
    <row r="132" spans="1:17">
      <c r="A132" s="41"/>
      <c r="B132" s="25" t="s">
        <v>45</v>
      </c>
      <c r="C132" s="119">
        <v>0</v>
      </c>
      <c r="D132" s="25"/>
      <c r="E132" s="45">
        <f t="shared" si="105"/>
        <v>0</v>
      </c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7"/>
    </row>
    <row r="133" spans="1:17">
      <c r="A133" s="41"/>
      <c r="B133" s="25" t="s">
        <v>46</v>
      </c>
      <c r="C133" s="119">
        <v>27723.012351810001</v>
      </c>
      <c r="D133" s="25">
        <v>14939.029999999999</v>
      </c>
      <c r="E133" s="45">
        <f t="shared" si="105"/>
        <v>49570.846842773171</v>
      </c>
      <c r="F133" s="46">
        <v>4444.1805586299788</v>
      </c>
      <c r="G133" s="46">
        <v>4642.3176208341874</v>
      </c>
      <c r="H133" s="46">
        <v>5003.1280687030776</v>
      </c>
      <c r="I133" s="46">
        <v>5872.0326050974681</v>
      </c>
      <c r="J133" s="46">
        <v>587.11640556461543</v>
      </c>
      <c r="K133" s="46">
        <v>4146.0102262776909</v>
      </c>
      <c r="L133" s="46">
        <v>4146.0102262776909</v>
      </c>
      <c r="M133" s="46">
        <v>4146.0102262776909</v>
      </c>
      <c r="N133" s="46">
        <v>4146.0102262776909</v>
      </c>
      <c r="O133" s="46">
        <v>4146.0102262776909</v>
      </c>
      <c r="P133" s="46">
        <v>4146.0102262776909</v>
      </c>
      <c r="Q133" s="47">
        <v>4146.0102262776909</v>
      </c>
    </row>
    <row r="134" spans="1:17">
      <c r="B134" s="25" t="s">
        <v>47</v>
      </c>
      <c r="C134" s="119">
        <v>686353.07999999973</v>
      </c>
      <c r="D134" s="25"/>
      <c r="E134" s="16">
        <f t="shared" si="105"/>
        <v>670454.52</v>
      </c>
      <c r="F134" s="17">
        <v>55455.21</v>
      </c>
      <c r="G134" s="17">
        <v>55455.21</v>
      </c>
      <c r="H134" s="17">
        <v>55455.21</v>
      </c>
      <c r="I134" s="17">
        <v>55455.21</v>
      </c>
      <c r="J134" s="17">
        <v>55455.21</v>
      </c>
      <c r="K134" s="17">
        <v>57855.21</v>
      </c>
      <c r="L134" s="17">
        <v>55887.21</v>
      </c>
      <c r="M134" s="17">
        <v>55887.21</v>
      </c>
      <c r="N134" s="17">
        <v>55887.21</v>
      </c>
      <c r="O134" s="17">
        <v>55887.21</v>
      </c>
      <c r="P134" s="17">
        <v>55887.21</v>
      </c>
      <c r="Q134" s="19">
        <v>55887.21</v>
      </c>
    </row>
    <row r="135" spans="1:17">
      <c r="B135" s="25" t="s">
        <v>48</v>
      </c>
      <c r="C135" s="119">
        <v>0</v>
      </c>
      <c r="D135" s="25"/>
      <c r="E135" s="16">
        <f t="shared" si="105"/>
        <v>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9"/>
    </row>
    <row r="136" spans="1:17">
      <c r="B136" s="25" t="s">
        <v>49</v>
      </c>
      <c r="C136" s="119">
        <v>0</v>
      </c>
      <c r="D136" s="25"/>
      <c r="E136" s="16">
        <f t="shared" si="105"/>
        <v>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9"/>
    </row>
    <row r="137" spans="1:17">
      <c r="B137" s="25" t="s">
        <v>50</v>
      </c>
      <c r="C137" s="119">
        <v>0</v>
      </c>
      <c r="D137" s="25">
        <v>12281.079999999998</v>
      </c>
      <c r="E137" s="16">
        <f t="shared" si="105"/>
        <v>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9"/>
    </row>
    <row r="138" spans="1:17">
      <c r="B138" s="25" t="s">
        <v>51</v>
      </c>
      <c r="C138" s="119">
        <v>0</v>
      </c>
      <c r="D138" s="25"/>
      <c r="E138" s="16">
        <f t="shared" si="105"/>
        <v>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9"/>
    </row>
    <row r="139" spans="1:17">
      <c r="B139" s="25" t="s">
        <v>52</v>
      </c>
      <c r="C139" s="119">
        <v>0</v>
      </c>
      <c r="D139" s="25"/>
      <c r="E139" s="16">
        <f t="shared" si="105"/>
        <v>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9"/>
    </row>
    <row r="140" spans="1:17">
      <c r="B140" s="25" t="s">
        <v>53</v>
      </c>
      <c r="C140" s="119">
        <v>0</v>
      </c>
      <c r="D140" s="25"/>
      <c r="E140" s="16">
        <f t="shared" si="105"/>
        <v>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9"/>
    </row>
    <row r="141" spans="1:17">
      <c r="B141" s="25" t="s">
        <v>54</v>
      </c>
      <c r="C141" s="119">
        <v>156055</v>
      </c>
      <c r="D141" s="25"/>
      <c r="E141" s="16">
        <f t="shared" si="105"/>
        <v>339411.6764782829</v>
      </c>
      <c r="F141" s="17">
        <v>30326.295959595958</v>
      </c>
      <c r="G141" s="17">
        <v>23674.545126262627</v>
      </c>
      <c r="H141" s="17">
        <v>25819.53353636364</v>
      </c>
      <c r="I141" s="17">
        <v>23678.371780303027</v>
      </c>
      <c r="J141" s="17">
        <v>29862.39621212121</v>
      </c>
      <c r="K141" s="17">
        <v>29862.39621212121</v>
      </c>
      <c r="L141" s="17">
        <v>29862.39621212121</v>
      </c>
      <c r="M141" s="17">
        <v>26876.156590909093</v>
      </c>
      <c r="N141" s="17">
        <v>29862.39621212121</v>
      </c>
      <c r="O141" s="17">
        <v>29862.39621212121</v>
      </c>
      <c r="P141" s="17">
        <v>29862.39621212121</v>
      </c>
      <c r="Q141" s="19">
        <v>29862.39621212121</v>
      </c>
    </row>
    <row r="142" spans="1:17">
      <c r="B142" s="25" t="s">
        <v>55</v>
      </c>
      <c r="C142" s="119">
        <v>0</v>
      </c>
      <c r="D142" s="25"/>
      <c r="E142" s="16">
        <f t="shared" si="105"/>
        <v>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9"/>
    </row>
    <row r="143" spans="1:17">
      <c r="B143" s="25" t="s">
        <v>56</v>
      </c>
      <c r="C143" s="119">
        <v>365943.76304389205</v>
      </c>
      <c r="D143" s="25">
        <v>527132.10000000009</v>
      </c>
      <c r="E143" s="16">
        <f t="shared" si="105"/>
        <v>317253.4197937483</v>
      </c>
      <c r="F143" s="17">
        <v>28442.755575231862</v>
      </c>
      <c r="G143" s="17">
        <v>29710.8327733388</v>
      </c>
      <c r="H143" s="17">
        <v>32020.019639699694</v>
      </c>
      <c r="I143" s="17">
        <v>37581.008672623801</v>
      </c>
      <c r="J143" s="17">
        <v>3757.544995613539</v>
      </c>
      <c r="K143" s="17">
        <v>26534.46544817722</v>
      </c>
      <c r="L143" s="17">
        <v>26534.46544817722</v>
      </c>
      <c r="M143" s="17">
        <v>26534.46544817722</v>
      </c>
      <c r="N143" s="17">
        <v>26534.46544817722</v>
      </c>
      <c r="O143" s="17">
        <v>26534.46544817722</v>
      </c>
      <c r="P143" s="17">
        <v>26534.46544817722</v>
      </c>
      <c r="Q143" s="19">
        <v>26534.46544817722</v>
      </c>
    </row>
    <row r="144" spans="1:17">
      <c r="B144" s="25" t="s">
        <v>57</v>
      </c>
      <c r="C144" s="119">
        <v>121981.25434796402</v>
      </c>
      <c r="D144" s="25">
        <v>326507.71000000002</v>
      </c>
      <c r="E144" s="16">
        <f t="shared" si="105"/>
        <v>297425.08105663903</v>
      </c>
      <c r="F144" s="17">
        <v>26665.083351779867</v>
      </c>
      <c r="G144" s="17">
        <v>27853.905725005123</v>
      </c>
      <c r="H144" s="17">
        <v>30018.768412218462</v>
      </c>
      <c r="I144" s="17">
        <v>35232.195630584807</v>
      </c>
      <c r="J144" s="17">
        <v>3522.6984333876921</v>
      </c>
      <c r="K144" s="17">
        <v>24876.061357666142</v>
      </c>
      <c r="L144" s="17">
        <v>24876.061357666142</v>
      </c>
      <c r="M144" s="17">
        <v>24876.061357666142</v>
      </c>
      <c r="N144" s="17">
        <v>24876.061357666142</v>
      </c>
      <c r="O144" s="17">
        <v>24876.061357666142</v>
      </c>
      <c r="P144" s="17">
        <v>24876.061357666142</v>
      </c>
      <c r="Q144" s="19">
        <v>24876.061357666142</v>
      </c>
    </row>
    <row r="145" spans="1:17">
      <c r="B145" s="25" t="s">
        <v>58</v>
      </c>
      <c r="C145" s="119">
        <v>0</v>
      </c>
      <c r="D145" s="25">
        <v>58810.619999999995</v>
      </c>
      <c r="E145" s="16">
        <f t="shared" si="105"/>
        <v>60000</v>
      </c>
      <c r="F145" s="17">
        <v>0</v>
      </c>
      <c r="G145" s="17">
        <v>0</v>
      </c>
      <c r="H145" s="17">
        <v>15000</v>
      </c>
      <c r="I145" s="17">
        <v>0</v>
      </c>
      <c r="J145" s="17">
        <v>0</v>
      </c>
      <c r="K145" s="17">
        <v>15000</v>
      </c>
      <c r="L145" s="17">
        <v>0</v>
      </c>
      <c r="M145" s="17">
        <v>0</v>
      </c>
      <c r="N145" s="17">
        <v>15000</v>
      </c>
      <c r="O145" s="17">
        <v>0</v>
      </c>
      <c r="P145" s="17">
        <v>0</v>
      </c>
      <c r="Q145" s="19">
        <v>15000</v>
      </c>
    </row>
    <row r="146" spans="1:17">
      <c r="B146" s="25" t="s">
        <v>59</v>
      </c>
      <c r="C146" s="119">
        <v>0</v>
      </c>
      <c r="D146" s="25"/>
      <c r="E146" s="16">
        <f t="shared" si="105"/>
        <v>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9"/>
    </row>
    <row r="147" spans="1:17">
      <c r="B147" s="25" t="s">
        <v>60</v>
      </c>
      <c r="C147" s="119">
        <v>0</v>
      </c>
      <c r="D147" s="25"/>
      <c r="E147" s="16">
        <f t="shared" si="105"/>
        <v>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9"/>
    </row>
    <row r="148" spans="1:17">
      <c r="B148" s="25" t="s">
        <v>61</v>
      </c>
      <c r="C148" s="119">
        <v>0</v>
      </c>
      <c r="D148" s="25"/>
      <c r="E148" s="16">
        <f t="shared" si="105"/>
        <v>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9"/>
    </row>
    <row r="149" spans="1:17">
      <c r="B149" s="25" t="s">
        <v>62</v>
      </c>
      <c r="C149" s="119">
        <v>0</v>
      </c>
      <c r="D149" s="25"/>
      <c r="E149" s="16">
        <f t="shared" si="105"/>
        <v>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9"/>
    </row>
    <row r="150" spans="1:17">
      <c r="B150" s="15" t="s">
        <v>63</v>
      </c>
      <c r="C150" s="118">
        <v>0</v>
      </c>
      <c r="D150" s="15"/>
      <c r="E150" s="16">
        <f t="shared" si="105"/>
        <v>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9"/>
    </row>
    <row r="151" spans="1:17">
      <c r="B151" s="15" t="s">
        <v>64</v>
      </c>
      <c r="C151" s="118">
        <v>0</v>
      </c>
      <c r="D151" s="15"/>
      <c r="E151" s="16">
        <f t="shared" si="105"/>
        <v>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9"/>
    </row>
    <row r="152" spans="1:17">
      <c r="A152" s="22"/>
      <c r="B152" s="26" t="s">
        <v>65</v>
      </c>
      <c r="C152" s="120">
        <v>17471263.663630113</v>
      </c>
      <c r="D152" s="28">
        <f>+D111+D118+D123</f>
        <v>23161904.291999999</v>
      </c>
      <c r="E152" s="27">
        <f t="shared" si="105"/>
        <v>26850445.880423844</v>
      </c>
      <c r="F152" s="28">
        <f>+F111+F118+F123</f>
        <v>2350058.3807233614</v>
      </c>
      <c r="G152" s="29">
        <f t="shared" ref="G152:Q152" si="108">+G111+G118+G123</f>
        <v>2457692.791119596</v>
      </c>
      <c r="H152" s="29">
        <f t="shared" si="108"/>
        <v>2601019.6454027779</v>
      </c>
      <c r="I152" s="29">
        <f t="shared" si="108"/>
        <v>2958641.7495405693</v>
      </c>
      <c r="J152" s="29">
        <f t="shared" si="108"/>
        <v>708104.2550992535</v>
      </c>
      <c r="K152" s="29">
        <f t="shared" si="108"/>
        <v>2256341.2425942142</v>
      </c>
      <c r="L152" s="29">
        <f t="shared" si="108"/>
        <v>2230777.2425942142</v>
      </c>
      <c r="M152" s="29">
        <f t="shared" si="108"/>
        <v>2219847.0029730019</v>
      </c>
      <c r="N152" s="29">
        <f t="shared" si="108"/>
        <v>2252281.2425942142</v>
      </c>
      <c r="O152" s="29">
        <f t="shared" si="108"/>
        <v>2223449.2425942142</v>
      </c>
      <c r="P152" s="29">
        <f t="shared" si="108"/>
        <v>2224773.2425942142</v>
      </c>
      <c r="Q152" s="30">
        <f t="shared" si="108"/>
        <v>2367459.8425942142</v>
      </c>
    </row>
    <row r="153" spans="1:17">
      <c r="A153" s="21"/>
      <c r="B153" s="31" t="s">
        <v>66</v>
      </c>
      <c r="C153" s="121">
        <v>0</v>
      </c>
      <c r="D153" s="31"/>
      <c r="E153" s="16">
        <f t="shared" si="105"/>
        <v>0</v>
      </c>
      <c r="F153" s="32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4"/>
    </row>
    <row r="154" spans="1:17">
      <c r="A154" s="21"/>
      <c r="B154" s="31" t="s">
        <v>67</v>
      </c>
      <c r="C154" s="121">
        <v>0</v>
      </c>
      <c r="D154" s="31"/>
      <c r="E154" s="16">
        <f t="shared" si="105"/>
        <v>0</v>
      </c>
      <c r="F154" s="32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4"/>
    </row>
    <row r="155" spans="1:17">
      <c r="A155" s="21"/>
      <c r="B155" s="31" t="s">
        <v>68</v>
      </c>
      <c r="C155" s="121">
        <v>0</v>
      </c>
      <c r="D155" s="31"/>
      <c r="E155" s="16">
        <f t="shared" si="105"/>
        <v>0</v>
      </c>
      <c r="F155" s="32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4"/>
    </row>
    <row r="156" spans="1:17">
      <c r="A156" s="21"/>
      <c r="B156" s="31" t="s">
        <v>69</v>
      </c>
      <c r="C156" s="121">
        <v>0</v>
      </c>
      <c r="D156" s="31"/>
      <c r="E156" s="16">
        <f t="shared" si="105"/>
        <v>0</v>
      </c>
      <c r="F156" s="32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4"/>
    </row>
    <row r="157" spans="1:17">
      <c r="B157" s="31" t="s">
        <v>70</v>
      </c>
      <c r="C157" s="121">
        <v>0</v>
      </c>
      <c r="D157" s="31"/>
      <c r="E157" s="16">
        <f t="shared" si="105"/>
        <v>0</v>
      </c>
      <c r="F157" s="32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4"/>
    </row>
    <row r="158" spans="1:17">
      <c r="A158" s="5"/>
      <c r="B158" s="35" t="s">
        <v>71</v>
      </c>
      <c r="C158" s="123">
        <v>17471263.663630113</v>
      </c>
      <c r="D158" s="123">
        <v>23293055.921999998</v>
      </c>
      <c r="E158" s="36">
        <f t="shared" si="105"/>
        <v>26850445.880423844</v>
      </c>
      <c r="F158" s="48">
        <f>+F152</f>
        <v>2350058.3807233614</v>
      </c>
      <c r="G158" s="48">
        <f t="shared" ref="G158:Q158" si="109">+G152</f>
        <v>2457692.791119596</v>
      </c>
      <c r="H158" s="48">
        <f t="shared" si="109"/>
        <v>2601019.6454027779</v>
      </c>
      <c r="I158" s="48">
        <f t="shared" si="109"/>
        <v>2958641.7495405693</v>
      </c>
      <c r="J158" s="48">
        <f t="shared" si="109"/>
        <v>708104.2550992535</v>
      </c>
      <c r="K158" s="48">
        <f t="shared" si="109"/>
        <v>2256341.2425942142</v>
      </c>
      <c r="L158" s="48">
        <f t="shared" si="109"/>
        <v>2230777.2425942142</v>
      </c>
      <c r="M158" s="48">
        <f t="shared" si="109"/>
        <v>2219847.0029730019</v>
      </c>
      <c r="N158" s="48">
        <f t="shared" si="109"/>
        <v>2252281.2425942142</v>
      </c>
      <c r="O158" s="48">
        <f t="shared" si="109"/>
        <v>2223449.2425942142</v>
      </c>
      <c r="P158" s="48">
        <f t="shared" si="109"/>
        <v>2224773.2425942142</v>
      </c>
      <c r="Q158" s="49">
        <f t="shared" si="109"/>
        <v>2367459.8425942142</v>
      </c>
    </row>
    <row r="159" spans="1:17"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8450c8b-69af-46ef-b020-9f342a9441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C48EED396788249BB0E1DB38EC6BA6D" ma:contentTypeVersion="9" ma:contentTypeDescription="새 문서를 만듭니다." ma:contentTypeScope="" ma:versionID="9f6e2334658423b236b6949b17f5b5ff">
  <xsd:schema xmlns:xsd="http://www.w3.org/2001/XMLSchema" xmlns:xs="http://www.w3.org/2001/XMLSchema" xmlns:p="http://schemas.microsoft.com/office/2006/metadata/properties" xmlns:ns2="e8450c8b-69af-46ef-b020-9f342a944101" targetNamespace="http://schemas.microsoft.com/office/2006/metadata/properties" ma:root="true" ma:fieldsID="682194e653a89da4ac210ce0354bb898" ns2:_="">
    <xsd:import namespace="e8450c8b-69af-46ef-b020-9f342a944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50c8b-69af-46ef-b020-9f342a94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사인 오프 상태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2A669-BC89-4B92-AC2B-25692DF4B036}">
  <ds:schemaRefs>
    <ds:schemaRef ds:uri="http://schemas.microsoft.com/office/2006/metadata/properties"/>
    <ds:schemaRef ds:uri="http://schemas.microsoft.com/office/infopath/2007/PartnerControls"/>
    <ds:schemaRef ds:uri="e8450c8b-69af-46ef-b020-9f342a944101"/>
  </ds:schemaRefs>
</ds:datastoreItem>
</file>

<file path=customXml/itemProps2.xml><?xml version="1.0" encoding="utf-8"?>
<ds:datastoreItem xmlns:ds="http://schemas.openxmlformats.org/officeDocument/2006/customXml" ds:itemID="{72313136-C45B-488A-AB65-6F4974D6C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85CAF-00ED-48F1-B899-A91182C3D3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50c8b-69af-46ef-b020-9f342a9441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손익계획</vt:lpstr>
      <vt:lpstr>제조원가계획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이병근 책임매니저 [Byeong Keun Lee]</dc:creator>
  <cp:lastModifiedBy>고태호 선임매니저 [Tae Ho Goh]</cp:lastModifiedBy>
  <dcterms:created xsi:type="dcterms:W3CDTF">2025-12-15T07:45:50Z</dcterms:created>
  <dcterms:modified xsi:type="dcterms:W3CDTF">2026-03-20T08:35:15Z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0x0101004C48EED396788249BB0E1DB38EC6BA6D</vt:lpwstr>
  </property>
</Properties>
</file>